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Codex\2026-05-19\files-mentioned-by-the-user-hse\outputs\hse-kpi-automated-v3\"/>
    </mc:Choice>
  </mc:AlternateContent>
  <xr:revisionPtr revIDLastSave="0" documentId="13_ncr:1_{E7431911-DD2F-4A40-9B2F-5B4502E8D7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N" sheetId="1" r:id="rId1"/>
    <sheet name="DASHBOARD" sheetId="5" r:id="rId2"/>
    <sheet name="YEAR_COMPARISON" sheetId="18" r:id="rId3"/>
    <sheet name="2026" sheetId="2" r:id="rId4"/>
    <sheet name="2025" sheetId="3" r:id="rId5"/>
    <sheet name="LISTS" sheetId="4" state="hidden" r:id="rId6"/>
    <sheet name="2027" sheetId="7" state="hidden" r:id="rId7"/>
    <sheet name="2028" sheetId="8" state="hidden" r:id="rId8"/>
    <sheet name="2029" sheetId="9" state="hidden" r:id="rId9"/>
    <sheet name="2030" sheetId="10" state="hidden" r:id="rId10"/>
    <sheet name="2031" sheetId="11" state="hidden" r:id="rId11"/>
    <sheet name="2032" sheetId="12" state="hidden" r:id="rId12"/>
    <sheet name="2033" sheetId="13" state="hidden" r:id="rId13"/>
    <sheet name="2034" sheetId="14" state="hidden" r:id="rId14"/>
    <sheet name="KPI_TARGETS" sheetId="16" r:id="rId15"/>
    <sheet name="KPI_DATA" sheetId="17" r:id="rId16"/>
    <sheet name="SETTINGS" sheetId="15" r:id="rId17"/>
    <sheet name="INSTRUCTIONS" sheetId="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6" l="1"/>
  <c r="E260" i="3"/>
  <c r="D260" i="3"/>
  <c r="E236" i="3"/>
  <c r="D236" i="3"/>
  <c r="E212" i="3"/>
  <c r="D212" i="3"/>
  <c r="E188" i="3"/>
  <c r="D188" i="3"/>
  <c r="E164" i="3"/>
  <c r="D164" i="3"/>
  <c r="F92" i="2"/>
  <c r="E92" i="2"/>
  <c r="D92" i="2"/>
  <c r="F68" i="2"/>
  <c r="E68" i="2"/>
  <c r="F44" i="2"/>
  <c r="N7" i="18"/>
  <c r="V2281" i="17"/>
  <c r="U2281" i="17"/>
  <c r="T2281" i="17"/>
  <c r="S2281" i="17"/>
  <c r="R2281" i="17"/>
  <c r="N2281" i="17"/>
  <c r="M2281" i="17"/>
  <c r="V2280" i="17"/>
  <c r="U2280" i="17"/>
  <c r="T2280" i="17"/>
  <c r="S2280" i="17"/>
  <c r="R2280" i="17"/>
  <c r="N2280" i="17"/>
  <c r="M2280" i="17"/>
  <c r="V2279" i="17"/>
  <c r="U2279" i="17"/>
  <c r="T2279" i="17"/>
  <c r="S2279" i="17"/>
  <c r="R2279" i="17"/>
  <c r="N2279" i="17"/>
  <c r="M2279" i="17"/>
  <c r="V2278" i="17"/>
  <c r="U2278" i="17"/>
  <c r="T2278" i="17"/>
  <c r="S2278" i="17"/>
  <c r="R2278" i="17"/>
  <c r="N2278" i="17"/>
  <c r="M2278" i="17"/>
  <c r="V2277" i="17"/>
  <c r="U2277" i="17"/>
  <c r="T2277" i="17"/>
  <c r="S2277" i="17"/>
  <c r="R2277" i="17"/>
  <c r="N2277" i="17"/>
  <c r="M2277" i="17"/>
  <c r="V2276" i="17"/>
  <c r="U2276" i="17"/>
  <c r="T2276" i="17"/>
  <c r="S2276" i="17"/>
  <c r="R2276" i="17"/>
  <c r="N2276" i="17"/>
  <c r="M2276" i="17"/>
  <c r="V2275" i="17"/>
  <c r="U2275" i="17"/>
  <c r="T2275" i="17"/>
  <c r="S2275" i="17"/>
  <c r="R2275" i="17"/>
  <c r="N2275" i="17"/>
  <c r="M2275" i="17"/>
  <c r="V2274" i="17"/>
  <c r="U2274" i="17"/>
  <c r="T2274" i="17"/>
  <c r="S2274" i="17"/>
  <c r="R2274" i="17"/>
  <c r="N2274" i="17"/>
  <c r="M2274" i="17"/>
  <c r="V2273" i="17"/>
  <c r="U2273" i="17"/>
  <c r="T2273" i="17"/>
  <c r="S2273" i="17"/>
  <c r="R2273" i="17"/>
  <c r="N2273" i="17"/>
  <c r="M2273" i="17"/>
  <c r="V2272" i="17"/>
  <c r="U2272" i="17"/>
  <c r="T2272" i="17"/>
  <c r="S2272" i="17"/>
  <c r="R2272" i="17"/>
  <c r="N2272" i="17"/>
  <c r="M2272" i="17"/>
  <c r="V2271" i="17"/>
  <c r="U2271" i="17"/>
  <c r="T2271" i="17"/>
  <c r="S2271" i="17"/>
  <c r="R2271" i="17"/>
  <c r="N2271" i="17"/>
  <c r="M2271" i="17"/>
  <c r="V2270" i="17"/>
  <c r="U2270" i="17"/>
  <c r="T2270" i="17"/>
  <c r="S2270" i="17"/>
  <c r="R2270" i="17"/>
  <c r="N2270" i="17"/>
  <c r="M2270" i="17"/>
  <c r="V2269" i="17"/>
  <c r="U2269" i="17"/>
  <c r="T2269" i="17"/>
  <c r="S2269" i="17"/>
  <c r="R2269" i="17"/>
  <c r="N2269" i="17"/>
  <c r="M2269" i="17"/>
  <c r="V2268" i="17"/>
  <c r="U2268" i="17"/>
  <c r="T2268" i="17"/>
  <c r="S2268" i="17"/>
  <c r="R2268" i="17"/>
  <c r="N2268" i="17"/>
  <c r="M2268" i="17"/>
  <c r="V2267" i="17"/>
  <c r="U2267" i="17"/>
  <c r="T2267" i="17"/>
  <c r="S2267" i="17"/>
  <c r="R2267" i="17"/>
  <c r="N2267" i="17"/>
  <c r="M2267" i="17"/>
  <c r="V2266" i="17"/>
  <c r="U2266" i="17"/>
  <c r="T2266" i="17"/>
  <c r="S2266" i="17"/>
  <c r="R2266" i="17"/>
  <c r="N2266" i="17"/>
  <c r="M2266" i="17"/>
  <c r="V2265" i="17"/>
  <c r="U2265" i="17"/>
  <c r="T2265" i="17"/>
  <c r="S2265" i="17"/>
  <c r="R2265" i="17"/>
  <c r="N2265" i="17"/>
  <c r="M2265" i="17"/>
  <c r="V2264" i="17"/>
  <c r="U2264" i="17"/>
  <c r="T2264" i="17"/>
  <c r="S2264" i="17"/>
  <c r="R2264" i="17"/>
  <c r="N2264" i="17"/>
  <c r="M2264" i="17"/>
  <c r="V2263" i="17"/>
  <c r="U2263" i="17"/>
  <c r="T2263" i="17"/>
  <c r="S2263" i="17"/>
  <c r="R2263" i="17"/>
  <c r="N2263" i="17"/>
  <c r="M2263" i="17"/>
  <c r="V2262" i="17"/>
  <c r="U2262" i="17"/>
  <c r="T2262" i="17"/>
  <c r="S2262" i="17"/>
  <c r="R2262" i="17"/>
  <c r="N2262" i="17"/>
  <c r="M2262" i="17"/>
  <c r="V2261" i="17"/>
  <c r="U2261" i="17"/>
  <c r="T2261" i="17"/>
  <c r="S2261" i="17"/>
  <c r="R2261" i="17"/>
  <c r="N2261" i="17"/>
  <c r="M2261" i="17"/>
  <c r="V2260" i="17"/>
  <c r="U2260" i="17"/>
  <c r="T2260" i="17"/>
  <c r="S2260" i="17"/>
  <c r="R2260" i="17"/>
  <c r="N2260" i="17"/>
  <c r="M2260" i="17"/>
  <c r="V2259" i="17"/>
  <c r="U2259" i="17"/>
  <c r="T2259" i="17"/>
  <c r="S2259" i="17"/>
  <c r="R2259" i="17"/>
  <c r="N2259" i="17"/>
  <c r="M2259" i="17"/>
  <c r="V2258" i="17"/>
  <c r="U2258" i="17"/>
  <c r="T2258" i="17"/>
  <c r="S2258" i="17"/>
  <c r="R2258" i="17"/>
  <c r="N2258" i="17"/>
  <c r="M2258" i="17"/>
  <c r="V2257" i="17"/>
  <c r="U2257" i="17"/>
  <c r="T2257" i="17"/>
  <c r="S2257" i="17"/>
  <c r="R2257" i="17"/>
  <c r="N2257" i="17"/>
  <c r="M2257" i="17"/>
  <c r="V2256" i="17"/>
  <c r="U2256" i="17"/>
  <c r="T2256" i="17"/>
  <c r="S2256" i="17"/>
  <c r="R2256" i="17"/>
  <c r="N2256" i="17"/>
  <c r="M2256" i="17"/>
  <c r="V2255" i="17"/>
  <c r="U2255" i="17"/>
  <c r="T2255" i="17"/>
  <c r="S2255" i="17"/>
  <c r="R2255" i="17"/>
  <c r="N2255" i="17"/>
  <c r="M2255" i="17"/>
  <c r="V2254" i="17"/>
  <c r="U2254" i="17"/>
  <c r="T2254" i="17"/>
  <c r="S2254" i="17"/>
  <c r="R2254" i="17"/>
  <c r="N2254" i="17"/>
  <c r="M2254" i="17"/>
  <c r="V2253" i="17"/>
  <c r="U2253" i="17"/>
  <c r="T2253" i="17"/>
  <c r="S2253" i="17"/>
  <c r="R2253" i="17"/>
  <c r="N2253" i="17"/>
  <c r="M2253" i="17"/>
  <c r="V2252" i="17"/>
  <c r="U2252" i="17"/>
  <c r="T2252" i="17"/>
  <c r="S2252" i="17"/>
  <c r="R2252" i="17"/>
  <c r="N2252" i="17"/>
  <c r="M2252" i="17"/>
  <c r="V2251" i="17"/>
  <c r="U2251" i="17"/>
  <c r="T2251" i="17"/>
  <c r="S2251" i="17"/>
  <c r="R2251" i="17"/>
  <c r="N2251" i="17"/>
  <c r="M2251" i="17"/>
  <c r="V2250" i="17"/>
  <c r="U2250" i="17"/>
  <c r="T2250" i="17"/>
  <c r="S2250" i="17"/>
  <c r="R2250" i="17"/>
  <c r="N2250" i="17"/>
  <c r="M2250" i="17"/>
  <c r="V2249" i="17"/>
  <c r="U2249" i="17"/>
  <c r="T2249" i="17"/>
  <c r="S2249" i="17"/>
  <c r="R2249" i="17"/>
  <c r="N2249" i="17"/>
  <c r="M2249" i="17"/>
  <c r="V2248" i="17"/>
  <c r="U2248" i="17"/>
  <c r="T2248" i="17"/>
  <c r="S2248" i="17"/>
  <c r="R2248" i="17"/>
  <c r="N2248" i="17"/>
  <c r="M2248" i="17"/>
  <c r="V2247" i="17"/>
  <c r="U2247" i="17"/>
  <c r="T2247" i="17"/>
  <c r="S2247" i="17"/>
  <c r="R2247" i="17"/>
  <c r="N2247" i="17"/>
  <c r="M2247" i="17"/>
  <c r="V2246" i="17"/>
  <c r="U2246" i="17"/>
  <c r="T2246" i="17"/>
  <c r="S2246" i="17"/>
  <c r="R2246" i="17"/>
  <c r="N2246" i="17"/>
  <c r="M2246" i="17"/>
  <c r="V2245" i="17"/>
  <c r="U2245" i="17"/>
  <c r="T2245" i="17"/>
  <c r="S2245" i="17"/>
  <c r="R2245" i="17"/>
  <c r="N2245" i="17"/>
  <c r="M2245" i="17"/>
  <c r="V2244" i="17"/>
  <c r="U2244" i="17"/>
  <c r="T2244" i="17"/>
  <c r="S2244" i="17"/>
  <c r="R2244" i="17"/>
  <c r="N2244" i="17"/>
  <c r="M2244" i="17"/>
  <c r="V2243" i="17"/>
  <c r="U2243" i="17"/>
  <c r="T2243" i="17"/>
  <c r="S2243" i="17"/>
  <c r="R2243" i="17"/>
  <c r="N2243" i="17"/>
  <c r="M2243" i="17"/>
  <c r="V2242" i="17"/>
  <c r="U2242" i="17"/>
  <c r="T2242" i="17"/>
  <c r="S2242" i="17"/>
  <c r="R2242" i="17"/>
  <c r="N2242" i="17"/>
  <c r="M2242" i="17"/>
  <c r="V2241" i="17"/>
  <c r="U2241" i="17"/>
  <c r="T2241" i="17"/>
  <c r="S2241" i="17"/>
  <c r="R2241" i="17"/>
  <c r="N2241" i="17"/>
  <c r="M2241" i="17"/>
  <c r="V2240" i="17"/>
  <c r="U2240" i="17"/>
  <c r="T2240" i="17"/>
  <c r="S2240" i="17"/>
  <c r="R2240" i="17"/>
  <c r="N2240" i="17"/>
  <c r="M2240" i="17"/>
  <c r="V2239" i="17"/>
  <c r="U2239" i="17"/>
  <c r="T2239" i="17"/>
  <c r="S2239" i="17"/>
  <c r="R2239" i="17"/>
  <c r="N2239" i="17"/>
  <c r="M2239" i="17"/>
  <c r="V2238" i="17"/>
  <c r="U2238" i="17"/>
  <c r="T2238" i="17"/>
  <c r="S2238" i="17"/>
  <c r="R2238" i="17"/>
  <c r="N2238" i="17"/>
  <c r="M2238" i="17"/>
  <c r="V2237" i="17"/>
  <c r="U2237" i="17"/>
  <c r="T2237" i="17"/>
  <c r="S2237" i="17"/>
  <c r="R2237" i="17"/>
  <c r="N2237" i="17"/>
  <c r="M2237" i="17"/>
  <c r="V2236" i="17"/>
  <c r="U2236" i="17"/>
  <c r="T2236" i="17"/>
  <c r="S2236" i="17"/>
  <c r="R2236" i="17"/>
  <c r="N2236" i="17"/>
  <c r="M2236" i="17"/>
  <c r="V2235" i="17"/>
  <c r="U2235" i="17"/>
  <c r="T2235" i="17"/>
  <c r="S2235" i="17"/>
  <c r="R2235" i="17"/>
  <c r="N2235" i="17"/>
  <c r="M2235" i="17"/>
  <c r="V2234" i="17"/>
  <c r="U2234" i="17"/>
  <c r="T2234" i="17"/>
  <c r="S2234" i="17"/>
  <c r="R2234" i="17"/>
  <c r="N2234" i="17"/>
  <c r="M2234" i="17"/>
  <c r="V2233" i="17"/>
  <c r="U2233" i="17"/>
  <c r="T2233" i="17"/>
  <c r="S2233" i="17"/>
  <c r="R2233" i="17"/>
  <c r="N2233" i="17"/>
  <c r="M2233" i="17"/>
  <c r="V2232" i="17"/>
  <c r="U2232" i="17"/>
  <c r="T2232" i="17"/>
  <c r="S2232" i="17"/>
  <c r="R2232" i="17"/>
  <c r="N2232" i="17"/>
  <c r="M2232" i="17"/>
  <c r="V2231" i="17"/>
  <c r="U2231" i="17"/>
  <c r="T2231" i="17"/>
  <c r="S2231" i="17"/>
  <c r="R2231" i="17"/>
  <c r="N2231" i="17"/>
  <c r="M2231" i="17"/>
  <c r="V2230" i="17"/>
  <c r="U2230" i="17"/>
  <c r="T2230" i="17"/>
  <c r="S2230" i="17"/>
  <c r="R2230" i="17"/>
  <c r="N2230" i="17"/>
  <c r="M2230" i="17"/>
  <c r="V2229" i="17"/>
  <c r="U2229" i="17"/>
  <c r="T2229" i="17"/>
  <c r="S2229" i="17"/>
  <c r="R2229" i="17"/>
  <c r="N2229" i="17"/>
  <c r="M2229" i="17"/>
  <c r="V2228" i="17"/>
  <c r="U2228" i="17"/>
  <c r="T2228" i="17"/>
  <c r="S2228" i="17"/>
  <c r="R2228" i="17"/>
  <c r="N2228" i="17"/>
  <c r="M2228" i="17"/>
  <c r="V2227" i="17"/>
  <c r="U2227" i="17"/>
  <c r="T2227" i="17"/>
  <c r="S2227" i="17"/>
  <c r="R2227" i="17"/>
  <c r="N2227" i="17"/>
  <c r="M2227" i="17"/>
  <c r="V2226" i="17"/>
  <c r="U2226" i="17"/>
  <c r="T2226" i="17"/>
  <c r="S2226" i="17"/>
  <c r="R2226" i="17"/>
  <c r="N2226" i="17"/>
  <c r="M2226" i="17"/>
  <c r="V2225" i="17"/>
  <c r="U2225" i="17"/>
  <c r="T2225" i="17"/>
  <c r="S2225" i="17"/>
  <c r="R2225" i="17"/>
  <c r="N2225" i="17"/>
  <c r="M2225" i="17"/>
  <c r="V2224" i="17"/>
  <c r="U2224" i="17"/>
  <c r="T2224" i="17"/>
  <c r="S2224" i="17"/>
  <c r="R2224" i="17"/>
  <c r="N2224" i="17"/>
  <c r="M2224" i="17"/>
  <c r="V2223" i="17"/>
  <c r="U2223" i="17"/>
  <c r="T2223" i="17"/>
  <c r="S2223" i="17"/>
  <c r="R2223" i="17"/>
  <c r="N2223" i="17"/>
  <c r="M2223" i="17"/>
  <c r="V2222" i="17"/>
  <c r="U2222" i="17"/>
  <c r="T2222" i="17"/>
  <c r="S2222" i="17"/>
  <c r="R2222" i="17"/>
  <c r="N2222" i="17"/>
  <c r="M2222" i="17"/>
  <c r="V2221" i="17"/>
  <c r="U2221" i="17"/>
  <c r="T2221" i="17"/>
  <c r="S2221" i="17"/>
  <c r="R2221" i="17"/>
  <c r="N2221" i="17"/>
  <c r="M2221" i="17"/>
  <c r="V2220" i="17"/>
  <c r="U2220" i="17"/>
  <c r="T2220" i="17"/>
  <c r="S2220" i="17"/>
  <c r="R2220" i="17"/>
  <c r="N2220" i="17"/>
  <c r="M2220" i="17"/>
  <c r="V2219" i="17"/>
  <c r="U2219" i="17"/>
  <c r="T2219" i="17"/>
  <c r="S2219" i="17"/>
  <c r="R2219" i="17"/>
  <c r="N2219" i="17"/>
  <c r="M2219" i="17"/>
  <c r="V2218" i="17"/>
  <c r="U2218" i="17"/>
  <c r="T2218" i="17"/>
  <c r="S2218" i="17"/>
  <c r="R2218" i="17"/>
  <c r="N2218" i="17"/>
  <c r="M2218" i="17"/>
  <c r="V2217" i="17"/>
  <c r="U2217" i="17"/>
  <c r="T2217" i="17"/>
  <c r="S2217" i="17"/>
  <c r="R2217" i="17"/>
  <c r="N2217" i="17"/>
  <c r="M2217" i="17"/>
  <c r="V2216" i="17"/>
  <c r="U2216" i="17"/>
  <c r="T2216" i="17"/>
  <c r="S2216" i="17"/>
  <c r="R2216" i="17"/>
  <c r="N2216" i="17"/>
  <c r="M2216" i="17"/>
  <c r="V2215" i="17"/>
  <c r="U2215" i="17"/>
  <c r="T2215" i="17"/>
  <c r="S2215" i="17"/>
  <c r="R2215" i="17"/>
  <c r="N2215" i="17"/>
  <c r="M2215" i="17"/>
  <c r="V2214" i="17"/>
  <c r="U2214" i="17"/>
  <c r="T2214" i="17"/>
  <c r="S2214" i="17"/>
  <c r="R2214" i="17"/>
  <c r="N2214" i="17"/>
  <c r="M2214" i="17"/>
  <c r="V2213" i="17"/>
  <c r="U2213" i="17"/>
  <c r="T2213" i="17"/>
  <c r="S2213" i="17"/>
  <c r="R2213" i="17"/>
  <c r="N2213" i="17"/>
  <c r="M2213" i="17"/>
  <c r="V2212" i="17"/>
  <c r="U2212" i="17"/>
  <c r="T2212" i="17"/>
  <c r="S2212" i="17"/>
  <c r="R2212" i="17"/>
  <c r="N2212" i="17"/>
  <c r="M2212" i="17"/>
  <c r="V2211" i="17"/>
  <c r="U2211" i="17"/>
  <c r="T2211" i="17"/>
  <c r="S2211" i="17"/>
  <c r="R2211" i="17"/>
  <c r="N2211" i="17"/>
  <c r="M2211" i="17"/>
  <c r="V2210" i="17"/>
  <c r="U2210" i="17"/>
  <c r="T2210" i="17"/>
  <c r="S2210" i="17"/>
  <c r="R2210" i="17"/>
  <c r="N2210" i="17"/>
  <c r="M2210" i="17"/>
  <c r="V2209" i="17"/>
  <c r="U2209" i="17"/>
  <c r="T2209" i="17"/>
  <c r="S2209" i="17"/>
  <c r="R2209" i="17"/>
  <c r="N2209" i="17"/>
  <c r="M2209" i="17"/>
  <c r="V2208" i="17"/>
  <c r="U2208" i="17"/>
  <c r="T2208" i="17"/>
  <c r="S2208" i="17"/>
  <c r="R2208" i="17"/>
  <c r="N2208" i="17"/>
  <c r="M2208" i="17"/>
  <c r="V2207" i="17"/>
  <c r="U2207" i="17"/>
  <c r="T2207" i="17"/>
  <c r="S2207" i="17"/>
  <c r="R2207" i="17"/>
  <c r="N2207" i="17"/>
  <c r="M2207" i="17"/>
  <c r="V2206" i="17"/>
  <c r="U2206" i="17"/>
  <c r="T2206" i="17"/>
  <c r="S2206" i="17"/>
  <c r="R2206" i="17"/>
  <c r="N2206" i="17"/>
  <c r="M2206" i="17"/>
  <c r="V2205" i="17"/>
  <c r="U2205" i="17"/>
  <c r="T2205" i="17"/>
  <c r="S2205" i="17"/>
  <c r="R2205" i="17"/>
  <c r="N2205" i="17"/>
  <c r="M2205" i="17"/>
  <c r="V2204" i="17"/>
  <c r="U2204" i="17"/>
  <c r="T2204" i="17"/>
  <c r="S2204" i="17"/>
  <c r="R2204" i="17"/>
  <c r="N2204" i="17"/>
  <c r="M2204" i="17"/>
  <c r="V2203" i="17"/>
  <c r="U2203" i="17"/>
  <c r="T2203" i="17"/>
  <c r="S2203" i="17"/>
  <c r="R2203" i="17"/>
  <c r="N2203" i="17"/>
  <c r="M2203" i="17"/>
  <c r="V2202" i="17"/>
  <c r="U2202" i="17"/>
  <c r="T2202" i="17"/>
  <c r="S2202" i="17"/>
  <c r="R2202" i="17"/>
  <c r="N2202" i="17"/>
  <c r="M2202" i="17"/>
  <c r="V2201" i="17"/>
  <c r="U2201" i="17"/>
  <c r="T2201" i="17"/>
  <c r="S2201" i="17"/>
  <c r="R2201" i="17"/>
  <c r="N2201" i="17"/>
  <c r="M2201" i="17"/>
  <c r="V2200" i="17"/>
  <c r="U2200" i="17"/>
  <c r="T2200" i="17"/>
  <c r="S2200" i="17"/>
  <c r="R2200" i="17"/>
  <c r="N2200" i="17"/>
  <c r="M2200" i="17"/>
  <c r="V2199" i="17"/>
  <c r="U2199" i="17"/>
  <c r="T2199" i="17"/>
  <c r="S2199" i="17"/>
  <c r="R2199" i="17"/>
  <c r="N2199" i="17"/>
  <c r="M2199" i="17"/>
  <c r="A2199" i="17"/>
  <c r="V2198" i="17"/>
  <c r="U2198" i="17"/>
  <c r="T2198" i="17"/>
  <c r="S2198" i="17"/>
  <c r="R2198" i="17"/>
  <c r="N2198" i="17"/>
  <c r="M2198" i="17"/>
  <c r="A2198" i="17"/>
  <c r="V2197" i="17"/>
  <c r="U2197" i="17"/>
  <c r="T2197" i="17"/>
  <c r="S2197" i="17"/>
  <c r="R2197" i="17"/>
  <c r="N2197" i="17"/>
  <c r="M2197" i="17"/>
  <c r="A2197" i="17"/>
  <c r="V2196" i="17"/>
  <c r="U2196" i="17"/>
  <c r="T2196" i="17"/>
  <c r="S2196" i="17"/>
  <c r="R2196" i="17"/>
  <c r="N2196" i="17"/>
  <c r="M2196" i="17"/>
  <c r="A2196" i="17"/>
  <c r="V2195" i="17"/>
  <c r="U2195" i="17"/>
  <c r="T2195" i="17"/>
  <c r="S2195" i="17"/>
  <c r="R2195" i="17"/>
  <c r="N2195" i="17"/>
  <c r="M2195" i="17"/>
  <c r="A2195" i="17"/>
  <c r="V2194" i="17"/>
  <c r="U2194" i="17"/>
  <c r="T2194" i="17"/>
  <c r="S2194" i="17"/>
  <c r="R2194" i="17"/>
  <c r="N2194" i="17"/>
  <c r="M2194" i="17"/>
  <c r="A2194" i="17"/>
  <c r="V2193" i="17"/>
  <c r="U2193" i="17"/>
  <c r="T2193" i="17"/>
  <c r="S2193" i="17"/>
  <c r="R2193" i="17"/>
  <c r="N2193" i="17"/>
  <c r="M2193" i="17"/>
  <c r="A2193" i="17"/>
  <c r="V2192" i="17"/>
  <c r="U2192" i="17"/>
  <c r="T2192" i="17"/>
  <c r="S2192" i="17"/>
  <c r="R2192" i="17"/>
  <c r="N2192" i="17"/>
  <c r="M2192" i="17"/>
  <c r="A2192" i="17"/>
  <c r="V2191" i="17"/>
  <c r="U2191" i="17"/>
  <c r="T2191" i="17"/>
  <c r="S2191" i="17"/>
  <c r="R2191" i="17"/>
  <c r="N2191" i="17"/>
  <c r="M2191" i="17"/>
  <c r="A2191" i="17"/>
  <c r="V2190" i="17"/>
  <c r="U2190" i="17"/>
  <c r="T2190" i="17"/>
  <c r="S2190" i="17"/>
  <c r="R2190" i="17"/>
  <c r="N2190" i="17"/>
  <c r="M2190" i="17"/>
  <c r="A2190" i="17"/>
  <c r="V2189" i="17"/>
  <c r="U2189" i="17"/>
  <c r="T2189" i="17"/>
  <c r="S2189" i="17"/>
  <c r="R2189" i="17"/>
  <c r="N2189" i="17"/>
  <c r="M2189" i="17"/>
  <c r="A2189" i="17"/>
  <c r="V2188" i="17"/>
  <c r="U2188" i="17"/>
  <c r="T2188" i="17"/>
  <c r="S2188" i="17"/>
  <c r="R2188" i="17"/>
  <c r="N2188" i="17"/>
  <c r="M2188" i="17"/>
  <c r="A2188" i="17"/>
  <c r="V2187" i="17"/>
  <c r="U2187" i="17"/>
  <c r="T2187" i="17"/>
  <c r="S2187" i="17"/>
  <c r="R2187" i="17"/>
  <c r="N2187" i="17"/>
  <c r="M2187" i="17"/>
  <c r="A2187" i="17"/>
  <c r="V2186" i="17"/>
  <c r="U2186" i="17"/>
  <c r="T2186" i="17"/>
  <c r="S2186" i="17"/>
  <c r="R2186" i="17"/>
  <c r="N2186" i="17"/>
  <c r="M2186" i="17"/>
  <c r="A2186" i="17"/>
  <c r="V2185" i="17"/>
  <c r="U2185" i="17"/>
  <c r="T2185" i="17"/>
  <c r="S2185" i="17"/>
  <c r="R2185" i="17"/>
  <c r="N2185" i="17"/>
  <c r="M2185" i="17"/>
  <c r="A2185" i="17"/>
  <c r="V2184" i="17"/>
  <c r="U2184" i="17"/>
  <c r="T2184" i="17"/>
  <c r="S2184" i="17"/>
  <c r="R2184" i="17"/>
  <c r="N2184" i="17"/>
  <c r="M2184" i="17"/>
  <c r="A2184" i="17"/>
  <c r="V2183" i="17"/>
  <c r="U2183" i="17"/>
  <c r="T2183" i="17"/>
  <c r="S2183" i="17"/>
  <c r="R2183" i="17"/>
  <c r="N2183" i="17"/>
  <c r="M2183" i="17"/>
  <c r="A2183" i="17"/>
  <c r="V2182" i="17"/>
  <c r="U2182" i="17"/>
  <c r="T2182" i="17"/>
  <c r="S2182" i="17"/>
  <c r="R2182" i="17"/>
  <c r="N2182" i="17"/>
  <c r="M2182" i="17"/>
  <c r="A2182" i="17"/>
  <c r="V2181" i="17"/>
  <c r="U2181" i="17"/>
  <c r="T2181" i="17"/>
  <c r="S2181" i="17"/>
  <c r="R2181" i="17"/>
  <c r="N2181" i="17"/>
  <c r="M2181" i="17"/>
  <c r="A2181" i="17"/>
  <c r="V2180" i="17"/>
  <c r="U2180" i="17"/>
  <c r="T2180" i="17"/>
  <c r="S2180" i="17"/>
  <c r="R2180" i="17"/>
  <c r="N2180" i="17"/>
  <c r="M2180" i="17"/>
  <c r="A2180" i="17"/>
  <c r="V2179" i="17"/>
  <c r="U2179" i="17"/>
  <c r="T2179" i="17"/>
  <c r="S2179" i="17"/>
  <c r="R2179" i="17"/>
  <c r="N2179" i="17"/>
  <c r="M2179" i="17"/>
  <c r="A2179" i="17"/>
  <c r="V2178" i="17"/>
  <c r="U2178" i="17"/>
  <c r="T2178" i="17"/>
  <c r="S2178" i="17"/>
  <c r="R2178" i="17"/>
  <c r="N2178" i="17"/>
  <c r="M2178" i="17"/>
  <c r="A2178" i="17"/>
  <c r="V2177" i="17"/>
  <c r="U2177" i="17"/>
  <c r="T2177" i="17"/>
  <c r="S2177" i="17"/>
  <c r="R2177" i="17"/>
  <c r="N2177" i="17"/>
  <c r="M2177" i="17"/>
  <c r="A2177" i="17"/>
  <c r="V2176" i="17"/>
  <c r="U2176" i="17"/>
  <c r="T2176" i="17"/>
  <c r="S2176" i="17"/>
  <c r="R2176" i="17"/>
  <c r="N2176" i="17"/>
  <c r="M2176" i="17"/>
  <c r="A2176" i="17"/>
  <c r="V2175" i="17"/>
  <c r="U2175" i="17"/>
  <c r="T2175" i="17"/>
  <c r="S2175" i="17"/>
  <c r="R2175" i="17"/>
  <c r="N2175" i="17"/>
  <c r="M2175" i="17"/>
  <c r="A2175" i="17"/>
  <c r="V2174" i="17"/>
  <c r="U2174" i="17"/>
  <c r="T2174" i="17"/>
  <c r="S2174" i="17"/>
  <c r="R2174" i="17"/>
  <c r="N2174" i="17"/>
  <c r="M2174" i="17"/>
  <c r="A2174" i="17"/>
  <c r="V2173" i="17"/>
  <c r="U2173" i="17"/>
  <c r="T2173" i="17"/>
  <c r="S2173" i="17"/>
  <c r="R2173" i="17"/>
  <c r="N2173" i="17"/>
  <c r="M2173" i="17"/>
  <c r="A2173" i="17"/>
  <c r="V2172" i="17"/>
  <c r="U2172" i="17"/>
  <c r="T2172" i="17"/>
  <c r="S2172" i="17"/>
  <c r="R2172" i="17"/>
  <c r="N2172" i="17"/>
  <c r="M2172" i="17"/>
  <c r="A2172" i="17"/>
  <c r="V2171" i="17"/>
  <c r="U2171" i="17"/>
  <c r="T2171" i="17"/>
  <c r="S2171" i="17"/>
  <c r="R2171" i="17"/>
  <c r="N2171" i="17"/>
  <c r="M2171" i="17"/>
  <c r="A2171" i="17"/>
  <c r="V2170" i="17"/>
  <c r="U2170" i="17"/>
  <c r="T2170" i="17"/>
  <c r="S2170" i="17"/>
  <c r="R2170" i="17"/>
  <c r="N2170" i="17"/>
  <c r="M2170" i="17"/>
  <c r="A2170" i="17"/>
  <c r="V2169" i="17"/>
  <c r="U2169" i="17"/>
  <c r="T2169" i="17"/>
  <c r="S2169" i="17"/>
  <c r="R2169" i="17"/>
  <c r="N2169" i="17"/>
  <c r="M2169" i="17"/>
  <c r="A2169" i="17"/>
  <c r="V2168" i="17"/>
  <c r="U2168" i="17"/>
  <c r="T2168" i="17"/>
  <c r="S2168" i="17"/>
  <c r="R2168" i="17"/>
  <c r="N2168" i="17"/>
  <c r="M2168" i="17"/>
  <c r="A2168" i="17"/>
  <c r="V2167" i="17"/>
  <c r="U2167" i="17"/>
  <c r="T2167" i="17"/>
  <c r="S2167" i="17"/>
  <c r="R2167" i="17"/>
  <c r="N2167" i="17"/>
  <c r="M2167" i="17"/>
  <c r="A2167" i="17"/>
  <c r="V2166" i="17"/>
  <c r="U2166" i="17"/>
  <c r="T2166" i="17"/>
  <c r="S2166" i="17"/>
  <c r="R2166" i="17"/>
  <c r="N2166" i="17"/>
  <c r="M2166" i="17"/>
  <c r="A2166" i="17"/>
  <c r="V2165" i="17"/>
  <c r="U2165" i="17"/>
  <c r="T2165" i="17"/>
  <c r="S2165" i="17"/>
  <c r="R2165" i="17"/>
  <c r="N2165" i="17"/>
  <c r="M2165" i="17"/>
  <c r="A2165" i="17"/>
  <c r="V2164" i="17"/>
  <c r="U2164" i="17"/>
  <c r="T2164" i="17"/>
  <c r="S2164" i="17"/>
  <c r="R2164" i="17"/>
  <c r="N2164" i="17"/>
  <c r="M2164" i="17"/>
  <c r="A2164" i="17"/>
  <c r="V2163" i="17"/>
  <c r="U2163" i="17"/>
  <c r="T2163" i="17"/>
  <c r="S2163" i="17"/>
  <c r="R2163" i="17"/>
  <c r="N2163" i="17"/>
  <c r="M2163" i="17"/>
  <c r="A2163" i="17"/>
  <c r="V2162" i="17"/>
  <c r="U2162" i="17"/>
  <c r="T2162" i="17"/>
  <c r="S2162" i="17"/>
  <c r="R2162" i="17"/>
  <c r="N2162" i="17"/>
  <c r="M2162" i="17"/>
  <c r="A2162" i="17"/>
  <c r="V2161" i="17"/>
  <c r="U2161" i="17"/>
  <c r="T2161" i="17"/>
  <c r="S2161" i="17"/>
  <c r="R2161" i="17"/>
  <c r="N2161" i="17"/>
  <c r="M2161" i="17"/>
  <c r="A2161" i="17"/>
  <c r="V2160" i="17"/>
  <c r="U2160" i="17"/>
  <c r="T2160" i="17"/>
  <c r="S2160" i="17"/>
  <c r="R2160" i="17"/>
  <c r="N2160" i="17"/>
  <c r="M2160" i="17"/>
  <c r="A2160" i="17"/>
  <c r="V2159" i="17"/>
  <c r="U2159" i="17"/>
  <c r="T2159" i="17"/>
  <c r="S2159" i="17"/>
  <c r="R2159" i="17"/>
  <c r="N2159" i="17"/>
  <c r="M2159" i="17"/>
  <c r="A2159" i="17"/>
  <c r="V2158" i="17"/>
  <c r="U2158" i="17"/>
  <c r="T2158" i="17"/>
  <c r="S2158" i="17"/>
  <c r="R2158" i="17"/>
  <c r="N2158" i="17"/>
  <c r="M2158" i="17"/>
  <c r="A2158" i="17"/>
  <c r="V2157" i="17"/>
  <c r="U2157" i="17"/>
  <c r="T2157" i="17"/>
  <c r="S2157" i="17"/>
  <c r="R2157" i="17"/>
  <c r="N2157" i="17"/>
  <c r="M2157" i="17"/>
  <c r="A2157" i="17"/>
  <c r="V2156" i="17"/>
  <c r="U2156" i="17"/>
  <c r="T2156" i="17"/>
  <c r="S2156" i="17"/>
  <c r="R2156" i="17"/>
  <c r="N2156" i="17"/>
  <c r="M2156" i="17"/>
  <c r="A2156" i="17"/>
  <c r="V2155" i="17"/>
  <c r="U2155" i="17"/>
  <c r="T2155" i="17"/>
  <c r="S2155" i="17"/>
  <c r="R2155" i="17"/>
  <c r="N2155" i="17"/>
  <c r="M2155" i="17"/>
  <c r="A2155" i="17"/>
  <c r="V2154" i="17"/>
  <c r="U2154" i="17"/>
  <c r="T2154" i="17"/>
  <c r="S2154" i="17"/>
  <c r="R2154" i="17"/>
  <c r="N2154" i="17"/>
  <c r="M2154" i="17"/>
  <c r="A2154" i="17"/>
  <c r="V2153" i="17"/>
  <c r="U2153" i="17"/>
  <c r="T2153" i="17"/>
  <c r="S2153" i="17"/>
  <c r="R2153" i="17"/>
  <c r="N2153" i="17"/>
  <c r="M2153" i="17"/>
  <c r="A2153" i="17"/>
  <c r="V2152" i="17"/>
  <c r="U2152" i="17"/>
  <c r="T2152" i="17"/>
  <c r="S2152" i="17"/>
  <c r="R2152" i="17"/>
  <c r="N2152" i="17"/>
  <c r="M2152" i="17"/>
  <c r="A2152" i="17"/>
  <c r="V2151" i="17"/>
  <c r="U2151" i="17"/>
  <c r="T2151" i="17"/>
  <c r="S2151" i="17"/>
  <c r="R2151" i="17"/>
  <c r="N2151" i="17"/>
  <c r="M2151" i="17"/>
  <c r="A2151" i="17"/>
  <c r="V2150" i="17"/>
  <c r="U2150" i="17"/>
  <c r="T2150" i="17"/>
  <c r="S2150" i="17"/>
  <c r="R2150" i="17"/>
  <c r="N2150" i="17"/>
  <c r="M2150" i="17"/>
  <c r="A2150" i="17"/>
  <c r="V2149" i="17"/>
  <c r="U2149" i="17"/>
  <c r="T2149" i="17"/>
  <c r="S2149" i="17"/>
  <c r="R2149" i="17"/>
  <c r="N2149" i="17"/>
  <c r="M2149" i="17"/>
  <c r="A2149" i="17"/>
  <c r="V2148" i="17"/>
  <c r="U2148" i="17"/>
  <c r="T2148" i="17"/>
  <c r="S2148" i="17"/>
  <c r="R2148" i="17"/>
  <c r="N2148" i="17"/>
  <c r="M2148" i="17"/>
  <c r="A2148" i="17"/>
  <c r="V2147" i="17"/>
  <c r="U2147" i="17"/>
  <c r="T2147" i="17"/>
  <c r="S2147" i="17"/>
  <c r="R2147" i="17"/>
  <c r="N2147" i="17"/>
  <c r="M2147" i="17"/>
  <c r="A2147" i="17"/>
  <c r="V2146" i="17"/>
  <c r="U2146" i="17"/>
  <c r="T2146" i="17"/>
  <c r="S2146" i="17"/>
  <c r="R2146" i="17"/>
  <c r="N2146" i="17"/>
  <c r="M2146" i="17"/>
  <c r="A2146" i="17"/>
  <c r="V2145" i="17"/>
  <c r="U2145" i="17"/>
  <c r="T2145" i="17"/>
  <c r="S2145" i="17"/>
  <c r="R2145" i="17"/>
  <c r="N2145" i="17"/>
  <c r="M2145" i="17"/>
  <c r="A2145" i="17"/>
  <c r="V2144" i="17"/>
  <c r="U2144" i="17"/>
  <c r="T2144" i="17"/>
  <c r="S2144" i="17"/>
  <c r="R2144" i="17"/>
  <c r="N2144" i="17"/>
  <c r="M2144" i="17"/>
  <c r="A2144" i="17"/>
  <c r="V2143" i="17"/>
  <c r="U2143" i="17"/>
  <c r="T2143" i="17"/>
  <c r="S2143" i="17"/>
  <c r="R2143" i="17"/>
  <c r="N2143" i="17"/>
  <c r="M2143" i="17"/>
  <c r="A2143" i="17"/>
  <c r="V2142" i="17"/>
  <c r="U2142" i="17"/>
  <c r="T2142" i="17"/>
  <c r="S2142" i="17"/>
  <c r="R2142" i="17"/>
  <c r="N2142" i="17"/>
  <c r="M2142" i="17"/>
  <c r="A2142" i="17"/>
  <c r="V2141" i="17"/>
  <c r="U2141" i="17"/>
  <c r="T2141" i="17"/>
  <c r="S2141" i="17"/>
  <c r="R2141" i="17"/>
  <c r="N2141" i="17"/>
  <c r="M2141" i="17"/>
  <c r="A2141" i="17"/>
  <c r="V2140" i="17"/>
  <c r="U2140" i="17"/>
  <c r="T2140" i="17"/>
  <c r="S2140" i="17"/>
  <c r="R2140" i="17"/>
  <c r="N2140" i="17"/>
  <c r="M2140" i="17"/>
  <c r="A2140" i="17"/>
  <c r="V2139" i="17"/>
  <c r="U2139" i="17"/>
  <c r="T2139" i="17"/>
  <c r="S2139" i="17"/>
  <c r="R2139" i="17"/>
  <c r="N2139" i="17"/>
  <c r="M2139" i="17"/>
  <c r="A2139" i="17"/>
  <c r="V2138" i="17"/>
  <c r="U2138" i="17"/>
  <c r="T2138" i="17"/>
  <c r="S2138" i="17"/>
  <c r="R2138" i="17"/>
  <c r="N2138" i="17"/>
  <c r="M2138" i="17"/>
  <c r="A2138" i="17"/>
  <c r="V2137" i="17"/>
  <c r="U2137" i="17"/>
  <c r="T2137" i="17"/>
  <c r="S2137" i="17"/>
  <c r="R2137" i="17"/>
  <c r="N2137" i="17"/>
  <c r="M2137" i="17"/>
  <c r="A2137" i="17"/>
  <c r="V2136" i="17"/>
  <c r="U2136" i="17"/>
  <c r="T2136" i="17"/>
  <c r="S2136" i="17"/>
  <c r="R2136" i="17"/>
  <c r="N2136" i="17"/>
  <c r="M2136" i="17"/>
  <c r="A2136" i="17"/>
  <c r="V2135" i="17"/>
  <c r="U2135" i="17"/>
  <c r="T2135" i="17"/>
  <c r="S2135" i="17"/>
  <c r="R2135" i="17"/>
  <c r="N2135" i="17"/>
  <c r="M2135" i="17"/>
  <c r="A2135" i="17"/>
  <c r="V2134" i="17"/>
  <c r="U2134" i="17"/>
  <c r="T2134" i="17"/>
  <c r="S2134" i="17"/>
  <c r="R2134" i="17"/>
  <c r="N2134" i="17"/>
  <c r="M2134" i="17"/>
  <c r="A2134" i="17"/>
  <c r="V2133" i="17"/>
  <c r="U2133" i="17"/>
  <c r="T2133" i="17"/>
  <c r="S2133" i="17"/>
  <c r="R2133" i="17"/>
  <c r="N2133" i="17"/>
  <c r="M2133" i="17"/>
  <c r="A2133" i="17"/>
  <c r="V2132" i="17"/>
  <c r="U2132" i="17"/>
  <c r="T2132" i="17"/>
  <c r="S2132" i="17"/>
  <c r="R2132" i="17"/>
  <c r="N2132" i="17"/>
  <c r="M2132" i="17"/>
  <c r="A2132" i="17"/>
  <c r="V2131" i="17"/>
  <c r="U2131" i="17"/>
  <c r="T2131" i="17"/>
  <c r="S2131" i="17"/>
  <c r="R2131" i="17"/>
  <c r="N2131" i="17"/>
  <c r="M2131" i="17"/>
  <c r="A2131" i="17"/>
  <c r="V2130" i="17"/>
  <c r="U2130" i="17"/>
  <c r="T2130" i="17"/>
  <c r="S2130" i="17"/>
  <c r="R2130" i="17"/>
  <c r="N2130" i="17"/>
  <c r="M2130" i="17"/>
  <c r="A2130" i="17"/>
  <c r="V2129" i="17"/>
  <c r="U2129" i="17"/>
  <c r="T2129" i="17"/>
  <c r="S2129" i="17"/>
  <c r="R2129" i="17"/>
  <c r="N2129" i="17"/>
  <c r="M2129" i="17"/>
  <c r="A2129" i="17"/>
  <c r="V2128" i="17"/>
  <c r="U2128" i="17"/>
  <c r="T2128" i="17"/>
  <c r="S2128" i="17"/>
  <c r="R2128" i="17"/>
  <c r="N2128" i="17"/>
  <c r="M2128" i="17"/>
  <c r="A2128" i="17"/>
  <c r="V2127" i="17"/>
  <c r="U2127" i="17"/>
  <c r="T2127" i="17"/>
  <c r="S2127" i="17"/>
  <c r="R2127" i="17"/>
  <c r="N2127" i="17"/>
  <c r="M2127" i="17"/>
  <c r="A2127" i="17"/>
  <c r="V2126" i="17"/>
  <c r="U2126" i="17"/>
  <c r="T2126" i="17"/>
  <c r="S2126" i="17"/>
  <c r="R2126" i="17"/>
  <c r="N2126" i="17"/>
  <c r="M2126" i="17"/>
  <c r="A2126" i="17"/>
  <c r="V2125" i="17"/>
  <c r="U2125" i="17"/>
  <c r="T2125" i="17"/>
  <c r="S2125" i="17"/>
  <c r="R2125" i="17"/>
  <c r="N2125" i="17"/>
  <c r="M2125" i="17"/>
  <c r="A2125" i="17"/>
  <c r="V2124" i="17"/>
  <c r="U2124" i="17"/>
  <c r="T2124" i="17"/>
  <c r="S2124" i="17"/>
  <c r="R2124" i="17"/>
  <c r="N2124" i="17"/>
  <c r="M2124" i="17"/>
  <c r="A2124" i="17"/>
  <c r="V2123" i="17"/>
  <c r="U2123" i="17"/>
  <c r="T2123" i="17"/>
  <c r="S2123" i="17"/>
  <c r="R2123" i="17"/>
  <c r="N2123" i="17"/>
  <c r="M2123" i="17"/>
  <c r="A2123" i="17"/>
  <c r="V2122" i="17"/>
  <c r="U2122" i="17"/>
  <c r="T2122" i="17"/>
  <c r="S2122" i="17"/>
  <c r="R2122" i="17"/>
  <c r="N2122" i="17"/>
  <c r="M2122" i="17"/>
  <c r="A2122" i="17"/>
  <c r="V2121" i="17"/>
  <c r="U2121" i="17"/>
  <c r="T2121" i="17"/>
  <c r="S2121" i="17"/>
  <c r="R2121" i="17"/>
  <c r="N2121" i="17"/>
  <c r="M2121" i="17"/>
  <c r="A2121" i="17"/>
  <c r="V2120" i="17"/>
  <c r="U2120" i="17"/>
  <c r="T2120" i="17"/>
  <c r="S2120" i="17"/>
  <c r="R2120" i="17"/>
  <c r="N2120" i="17"/>
  <c r="M2120" i="17"/>
  <c r="A2120" i="17"/>
  <c r="V2119" i="17"/>
  <c r="U2119" i="17"/>
  <c r="T2119" i="17"/>
  <c r="S2119" i="17"/>
  <c r="R2119" i="17"/>
  <c r="N2119" i="17"/>
  <c r="M2119" i="17"/>
  <c r="A2119" i="17"/>
  <c r="V2118" i="17"/>
  <c r="U2118" i="17"/>
  <c r="T2118" i="17"/>
  <c r="S2118" i="17"/>
  <c r="R2118" i="17"/>
  <c r="N2118" i="17"/>
  <c r="M2118" i="17"/>
  <c r="A2118" i="17"/>
  <c r="V2117" i="17"/>
  <c r="U2117" i="17"/>
  <c r="T2117" i="17"/>
  <c r="S2117" i="17"/>
  <c r="R2117" i="17"/>
  <c r="N2117" i="17"/>
  <c r="M2117" i="17"/>
  <c r="A2117" i="17"/>
  <c r="V2116" i="17"/>
  <c r="U2116" i="17"/>
  <c r="T2116" i="17"/>
  <c r="S2116" i="17"/>
  <c r="R2116" i="17"/>
  <c r="N2116" i="17"/>
  <c r="M2116" i="17"/>
  <c r="A2116" i="17"/>
  <c r="V2115" i="17"/>
  <c r="U2115" i="17"/>
  <c r="T2115" i="17"/>
  <c r="S2115" i="17"/>
  <c r="R2115" i="17"/>
  <c r="N2115" i="17"/>
  <c r="M2115" i="17"/>
  <c r="A2115" i="17"/>
  <c r="V2114" i="17"/>
  <c r="U2114" i="17"/>
  <c r="T2114" i="17"/>
  <c r="S2114" i="17"/>
  <c r="R2114" i="17"/>
  <c r="N2114" i="17"/>
  <c r="M2114" i="17"/>
  <c r="A2114" i="17"/>
  <c r="V2113" i="17"/>
  <c r="U2113" i="17"/>
  <c r="T2113" i="17"/>
  <c r="S2113" i="17"/>
  <c r="R2113" i="17"/>
  <c r="N2113" i="17"/>
  <c r="M2113" i="17"/>
  <c r="A2113" i="17"/>
  <c r="V2112" i="17"/>
  <c r="U2112" i="17"/>
  <c r="T2112" i="17"/>
  <c r="S2112" i="17"/>
  <c r="R2112" i="17"/>
  <c r="N2112" i="17"/>
  <c r="M2112" i="17"/>
  <c r="A2112" i="17"/>
  <c r="V2111" i="17"/>
  <c r="U2111" i="17"/>
  <c r="T2111" i="17"/>
  <c r="S2111" i="17"/>
  <c r="R2111" i="17"/>
  <c r="N2111" i="17"/>
  <c r="M2111" i="17"/>
  <c r="A2111" i="17"/>
  <c r="V2110" i="17"/>
  <c r="U2110" i="17"/>
  <c r="T2110" i="17"/>
  <c r="S2110" i="17"/>
  <c r="R2110" i="17"/>
  <c r="N2110" i="17"/>
  <c r="M2110" i="17"/>
  <c r="A2110" i="17"/>
  <c r="V2109" i="17"/>
  <c r="U2109" i="17"/>
  <c r="T2109" i="17"/>
  <c r="S2109" i="17"/>
  <c r="R2109" i="17"/>
  <c r="N2109" i="17"/>
  <c r="M2109" i="17"/>
  <c r="A2109" i="17"/>
  <c r="V2108" i="17"/>
  <c r="U2108" i="17"/>
  <c r="T2108" i="17"/>
  <c r="S2108" i="17"/>
  <c r="R2108" i="17"/>
  <c r="N2108" i="17"/>
  <c r="M2108" i="17"/>
  <c r="A2108" i="17"/>
  <c r="V2107" i="17"/>
  <c r="U2107" i="17"/>
  <c r="T2107" i="17"/>
  <c r="S2107" i="17"/>
  <c r="R2107" i="17"/>
  <c r="N2107" i="17"/>
  <c r="M2107" i="17"/>
  <c r="A2107" i="17"/>
  <c r="V2106" i="17"/>
  <c r="U2106" i="17"/>
  <c r="T2106" i="17"/>
  <c r="S2106" i="17"/>
  <c r="R2106" i="17"/>
  <c r="N2106" i="17"/>
  <c r="M2106" i="17"/>
  <c r="A2106" i="17"/>
  <c r="V2105" i="17"/>
  <c r="U2105" i="17"/>
  <c r="T2105" i="17"/>
  <c r="S2105" i="17"/>
  <c r="R2105" i="17"/>
  <c r="N2105" i="17"/>
  <c r="M2105" i="17"/>
  <c r="A2105" i="17"/>
  <c r="V2104" i="17"/>
  <c r="U2104" i="17"/>
  <c r="T2104" i="17"/>
  <c r="S2104" i="17"/>
  <c r="R2104" i="17"/>
  <c r="N2104" i="17"/>
  <c r="M2104" i="17"/>
  <c r="A2104" i="17"/>
  <c r="V2103" i="17"/>
  <c r="U2103" i="17"/>
  <c r="T2103" i="17"/>
  <c r="S2103" i="17"/>
  <c r="R2103" i="17"/>
  <c r="N2103" i="17"/>
  <c r="M2103" i="17"/>
  <c r="A2103" i="17"/>
  <c r="V2102" i="17"/>
  <c r="U2102" i="17"/>
  <c r="T2102" i="17"/>
  <c r="S2102" i="17"/>
  <c r="R2102" i="17"/>
  <c r="N2102" i="17"/>
  <c r="M2102" i="17"/>
  <c r="A2102" i="17"/>
  <c r="V2101" i="17"/>
  <c r="U2101" i="17"/>
  <c r="T2101" i="17"/>
  <c r="S2101" i="17"/>
  <c r="R2101" i="17"/>
  <c r="N2101" i="17"/>
  <c r="M2101" i="17"/>
  <c r="A2101" i="17"/>
  <c r="V2100" i="17"/>
  <c r="U2100" i="17"/>
  <c r="T2100" i="17"/>
  <c r="S2100" i="17"/>
  <c r="R2100" i="17"/>
  <c r="N2100" i="17"/>
  <c r="M2100" i="17"/>
  <c r="A2100" i="17"/>
  <c r="V2099" i="17"/>
  <c r="U2099" i="17"/>
  <c r="T2099" i="17"/>
  <c r="S2099" i="17"/>
  <c r="R2099" i="17"/>
  <c r="N2099" i="17"/>
  <c r="M2099" i="17"/>
  <c r="A2099" i="17"/>
  <c r="V2098" i="17"/>
  <c r="U2098" i="17"/>
  <c r="T2098" i="17"/>
  <c r="S2098" i="17"/>
  <c r="R2098" i="17"/>
  <c r="N2098" i="17"/>
  <c r="M2098" i="17"/>
  <c r="A2098" i="17"/>
  <c r="V2097" i="17"/>
  <c r="U2097" i="17"/>
  <c r="T2097" i="17"/>
  <c r="S2097" i="17"/>
  <c r="R2097" i="17"/>
  <c r="N2097" i="17"/>
  <c r="M2097" i="17"/>
  <c r="A2097" i="17"/>
  <c r="V2096" i="17"/>
  <c r="U2096" i="17"/>
  <c r="T2096" i="17"/>
  <c r="S2096" i="17"/>
  <c r="R2096" i="17"/>
  <c r="N2096" i="17"/>
  <c r="M2096" i="17"/>
  <c r="A2096" i="17"/>
  <c r="V2095" i="17"/>
  <c r="U2095" i="17"/>
  <c r="T2095" i="17"/>
  <c r="S2095" i="17"/>
  <c r="R2095" i="17"/>
  <c r="N2095" i="17"/>
  <c r="M2095" i="17"/>
  <c r="A2095" i="17"/>
  <c r="V2094" i="17"/>
  <c r="U2094" i="17"/>
  <c r="T2094" i="17"/>
  <c r="S2094" i="17"/>
  <c r="R2094" i="17"/>
  <c r="N2094" i="17"/>
  <c r="M2094" i="17"/>
  <c r="A2094" i="17"/>
  <c r="V2093" i="17"/>
  <c r="U2093" i="17"/>
  <c r="T2093" i="17"/>
  <c r="S2093" i="17"/>
  <c r="R2093" i="17"/>
  <c r="N2093" i="17"/>
  <c r="M2093" i="17"/>
  <c r="A2093" i="17"/>
  <c r="V2092" i="17"/>
  <c r="U2092" i="17"/>
  <c r="T2092" i="17"/>
  <c r="S2092" i="17"/>
  <c r="R2092" i="17"/>
  <c r="N2092" i="17"/>
  <c r="M2092" i="17"/>
  <c r="A2092" i="17"/>
  <c r="V2091" i="17"/>
  <c r="U2091" i="17"/>
  <c r="T2091" i="17"/>
  <c r="S2091" i="17"/>
  <c r="R2091" i="17"/>
  <c r="N2091" i="17"/>
  <c r="M2091" i="17"/>
  <c r="A2091" i="17"/>
  <c r="V2090" i="17"/>
  <c r="U2090" i="17"/>
  <c r="T2090" i="17"/>
  <c r="S2090" i="17"/>
  <c r="R2090" i="17"/>
  <c r="N2090" i="17"/>
  <c r="M2090" i="17"/>
  <c r="A2090" i="17"/>
  <c r="V2089" i="17"/>
  <c r="U2089" i="17"/>
  <c r="T2089" i="17"/>
  <c r="S2089" i="17"/>
  <c r="R2089" i="17"/>
  <c r="N2089" i="17"/>
  <c r="M2089" i="17"/>
  <c r="A2089" i="17"/>
  <c r="V2088" i="17"/>
  <c r="U2088" i="17"/>
  <c r="T2088" i="17"/>
  <c r="S2088" i="17"/>
  <c r="R2088" i="17"/>
  <c r="N2088" i="17"/>
  <c r="M2088" i="17"/>
  <c r="A2088" i="17"/>
  <c r="V2087" i="17"/>
  <c r="U2087" i="17"/>
  <c r="T2087" i="17"/>
  <c r="S2087" i="17"/>
  <c r="R2087" i="17"/>
  <c r="N2087" i="17"/>
  <c r="M2087" i="17"/>
  <c r="A2087" i="17"/>
  <c r="V2086" i="17"/>
  <c r="U2086" i="17"/>
  <c r="T2086" i="17"/>
  <c r="S2086" i="17"/>
  <c r="R2086" i="17"/>
  <c r="N2086" i="17"/>
  <c r="M2086" i="17"/>
  <c r="A2086" i="17"/>
  <c r="V2085" i="17"/>
  <c r="U2085" i="17"/>
  <c r="T2085" i="17"/>
  <c r="S2085" i="17"/>
  <c r="R2085" i="17"/>
  <c r="N2085" i="17"/>
  <c r="M2085" i="17"/>
  <c r="A2085" i="17"/>
  <c r="V2084" i="17"/>
  <c r="U2084" i="17"/>
  <c r="T2084" i="17"/>
  <c r="S2084" i="17"/>
  <c r="R2084" i="17"/>
  <c r="N2084" i="17"/>
  <c r="M2084" i="17"/>
  <c r="A2084" i="17"/>
  <c r="V2083" i="17"/>
  <c r="U2083" i="17"/>
  <c r="T2083" i="17"/>
  <c r="S2083" i="17"/>
  <c r="R2083" i="17"/>
  <c r="N2083" i="17"/>
  <c r="M2083" i="17"/>
  <c r="A2083" i="17"/>
  <c r="V2082" i="17"/>
  <c r="U2082" i="17"/>
  <c r="T2082" i="17"/>
  <c r="S2082" i="17"/>
  <c r="R2082" i="17"/>
  <c r="N2082" i="17"/>
  <c r="M2082" i="17"/>
  <c r="A2082" i="17"/>
  <c r="V2081" i="17"/>
  <c r="U2081" i="17"/>
  <c r="T2081" i="17"/>
  <c r="S2081" i="17"/>
  <c r="R2081" i="17"/>
  <c r="N2081" i="17"/>
  <c r="M2081" i="17"/>
  <c r="A2081" i="17"/>
  <c r="V2080" i="17"/>
  <c r="U2080" i="17"/>
  <c r="T2080" i="17"/>
  <c r="S2080" i="17"/>
  <c r="R2080" i="17"/>
  <c r="N2080" i="17"/>
  <c r="M2080" i="17"/>
  <c r="A2080" i="17"/>
  <c r="V2079" i="17"/>
  <c r="U2079" i="17"/>
  <c r="T2079" i="17"/>
  <c r="S2079" i="17"/>
  <c r="R2079" i="17"/>
  <c r="N2079" i="17"/>
  <c r="M2079" i="17"/>
  <c r="A2079" i="17"/>
  <c r="V2078" i="17"/>
  <c r="U2078" i="17"/>
  <c r="T2078" i="17"/>
  <c r="S2078" i="17"/>
  <c r="R2078" i="17"/>
  <c r="N2078" i="17"/>
  <c r="M2078" i="17"/>
  <c r="A2078" i="17"/>
  <c r="V2077" i="17"/>
  <c r="U2077" i="17"/>
  <c r="T2077" i="17"/>
  <c r="S2077" i="17"/>
  <c r="R2077" i="17"/>
  <c r="N2077" i="17"/>
  <c r="M2077" i="17"/>
  <c r="A2077" i="17"/>
  <c r="V2076" i="17"/>
  <c r="U2076" i="17"/>
  <c r="T2076" i="17"/>
  <c r="S2076" i="17"/>
  <c r="R2076" i="17"/>
  <c r="N2076" i="17"/>
  <c r="M2076" i="17"/>
  <c r="A2076" i="17"/>
  <c r="V2075" i="17"/>
  <c r="U2075" i="17"/>
  <c r="T2075" i="17"/>
  <c r="S2075" i="17"/>
  <c r="R2075" i="17"/>
  <c r="N2075" i="17"/>
  <c r="M2075" i="17"/>
  <c r="A2075" i="17"/>
  <c r="V2074" i="17"/>
  <c r="U2074" i="17"/>
  <c r="T2074" i="17"/>
  <c r="S2074" i="17"/>
  <c r="R2074" i="17"/>
  <c r="N2074" i="17"/>
  <c r="M2074" i="17"/>
  <c r="A2074" i="17"/>
  <c r="V2073" i="17"/>
  <c r="U2073" i="17"/>
  <c r="T2073" i="17"/>
  <c r="S2073" i="17"/>
  <c r="R2073" i="17"/>
  <c r="N2073" i="17"/>
  <c r="M2073" i="17"/>
  <c r="A2073" i="17"/>
  <c r="V2072" i="17"/>
  <c r="U2072" i="17"/>
  <c r="T2072" i="17"/>
  <c r="S2072" i="17"/>
  <c r="R2072" i="17"/>
  <c r="N2072" i="17"/>
  <c r="M2072" i="17"/>
  <c r="A2072" i="17"/>
  <c r="V2071" i="17"/>
  <c r="U2071" i="17"/>
  <c r="T2071" i="17"/>
  <c r="S2071" i="17"/>
  <c r="R2071" i="17"/>
  <c r="N2071" i="17"/>
  <c r="M2071" i="17"/>
  <c r="A2071" i="17"/>
  <c r="V2070" i="17"/>
  <c r="U2070" i="17"/>
  <c r="T2070" i="17"/>
  <c r="S2070" i="17"/>
  <c r="R2070" i="17"/>
  <c r="N2070" i="17"/>
  <c r="M2070" i="17"/>
  <c r="A2070" i="17"/>
  <c r="V2069" i="17"/>
  <c r="U2069" i="17"/>
  <c r="T2069" i="17"/>
  <c r="S2069" i="17"/>
  <c r="R2069" i="17"/>
  <c r="N2069" i="17"/>
  <c r="M2069" i="17"/>
  <c r="A2069" i="17"/>
  <c r="V2068" i="17"/>
  <c r="U2068" i="17"/>
  <c r="T2068" i="17"/>
  <c r="S2068" i="17"/>
  <c r="R2068" i="17"/>
  <c r="N2068" i="17"/>
  <c r="M2068" i="17"/>
  <c r="A2068" i="17"/>
  <c r="V2067" i="17"/>
  <c r="U2067" i="17"/>
  <c r="T2067" i="17"/>
  <c r="S2067" i="17"/>
  <c r="R2067" i="17"/>
  <c r="N2067" i="17"/>
  <c r="M2067" i="17"/>
  <c r="A2067" i="17"/>
  <c r="V2066" i="17"/>
  <c r="U2066" i="17"/>
  <c r="T2066" i="17"/>
  <c r="S2066" i="17"/>
  <c r="R2066" i="17"/>
  <c r="N2066" i="17"/>
  <c r="M2066" i="17"/>
  <c r="A2066" i="17"/>
  <c r="V2065" i="17"/>
  <c r="U2065" i="17"/>
  <c r="T2065" i="17"/>
  <c r="S2065" i="17"/>
  <c r="R2065" i="17"/>
  <c r="N2065" i="17"/>
  <c r="M2065" i="17"/>
  <c r="A2065" i="17"/>
  <c r="V2064" i="17"/>
  <c r="U2064" i="17"/>
  <c r="T2064" i="17"/>
  <c r="S2064" i="17"/>
  <c r="R2064" i="17"/>
  <c r="N2064" i="17"/>
  <c r="M2064" i="17"/>
  <c r="A2064" i="17"/>
  <c r="V2063" i="17"/>
  <c r="U2063" i="17"/>
  <c r="T2063" i="17"/>
  <c r="S2063" i="17"/>
  <c r="R2063" i="17"/>
  <c r="N2063" i="17"/>
  <c r="M2063" i="17"/>
  <c r="A2063" i="17"/>
  <c r="V2062" i="17"/>
  <c r="U2062" i="17"/>
  <c r="T2062" i="17"/>
  <c r="S2062" i="17"/>
  <c r="R2062" i="17"/>
  <c r="N2062" i="17"/>
  <c r="M2062" i="17"/>
  <c r="A2062" i="17"/>
  <c r="V2061" i="17"/>
  <c r="U2061" i="17"/>
  <c r="T2061" i="17"/>
  <c r="S2061" i="17"/>
  <c r="R2061" i="17"/>
  <c r="N2061" i="17"/>
  <c r="M2061" i="17"/>
  <c r="A2061" i="17"/>
  <c r="V2060" i="17"/>
  <c r="U2060" i="17"/>
  <c r="T2060" i="17"/>
  <c r="S2060" i="17"/>
  <c r="R2060" i="17"/>
  <c r="N2060" i="17"/>
  <c r="M2060" i="17"/>
  <c r="A2060" i="17"/>
  <c r="V2059" i="17"/>
  <c r="U2059" i="17"/>
  <c r="T2059" i="17"/>
  <c r="S2059" i="17"/>
  <c r="R2059" i="17"/>
  <c r="N2059" i="17"/>
  <c r="M2059" i="17"/>
  <c r="A2059" i="17"/>
  <c r="V2058" i="17"/>
  <c r="U2058" i="17"/>
  <c r="T2058" i="17"/>
  <c r="S2058" i="17"/>
  <c r="R2058" i="17"/>
  <c r="N2058" i="17"/>
  <c r="M2058" i="17"/>
  <c r="A2058" i="17"/>
  <c r="V2057" i="17"/>
  <c r="U2057" i="17"/>
  <c r="T2057" i="17"/>
  <c r="S2057" i="17"/>
  <c r="R2057" i="17"/>
  <c r="N2057" i="17"/>
  <c r="M2057" i="17"/>
  <c r="A2057" i="17"/>
  <c r="V2056" i="17"/>
  <c r="U2056" i="17"/>
  <c r="T2056" i="17"/>
  <c r="S2056" i="17"/>
  <c r="R2056" i="17"/>
  <c r="N2056" i="17"/>
  <c r="M2056" i="17"/>
  <c r="A2056" i="17"/>
  <c r="V2055" i="17"/>
  <c r="U2055" i="17"/>
  <c r="T2055" i="17"/>
  <c r="S2055" i="17"/>
  <c r="R2055" i="17"/>
  <c r="N2055" i="17"/>
  <c r="M2055" i="17"/>
  <c r="A2055" i="17"/>
  <c r="V2054" i="17"/>
  <c r="U2054" i="17"/>
  <c r="T2054" i="17"/>
  <c r="S2054" i="17"/>
  <c r="R2054" i="17"/>
  <c r="N2054" i="17"/>
  <c r="M2054" i="17"/>
  <c r="A2054" i="17"/>
  <c r="V2053" i="17"/>
  <c r="U2053" i="17"/>
  <c r="T2053" i="17"/>
  <c r="S2053" i="17"/>
  <c r="R2053" i="17"/>
  <c r="N2053" i="17"/>
  <c r="M2053" i="17"/>
  <c r="A2053" i="17"/>
  <c r="V2052" i="17"/>
  <c r="U2052" i="17"/>
  <c r="T2052" i="17"/>
  <c r="S2052" i="17"/>
  <c r="R2052" i="17"/>
  <c r="N2052" i="17"/>
  <c r="M2052" i="17"/>
  <c r="A2052" i="17"/>
  <c r="V2051" i="17"/>
  <c r="U2051" i="17"/>
  <c r="T2051" i="17"/>
  <c r="S2051" i="17"/>
  <c r="R2051" i="17"/>
  <c r="N2051" i="17"/>
  <c r="M2051" i="17"/>
  <c r="A2051" i="17"/>
  <c r="V2050" i="17"/>
  <c r="U2050" i="17"/>
  <c r="T2050" i="17"/>
  <c r="S2050" i="17"/>
  <c r="R2050" i="17"/>
  <c r="N2050" i="17"/>
  <c r="M2050" i="17"/>
  <c r="A2050" i="17"/>
  <c r="V2049" i="17"/>
  <c r="U2049" i="17"/>
  <c r="T2049" i="17"/>
  <c r="S2049" i="17"/>
  <c r="R2049" i="17"/>
  <c r="N2049" i="17"/>
  <c r="M2049" i="17"/>
  <c r="A2049" i="17"/>
  <c r="V2048" i="17"/>
  <c r="U2048" i="17"/>
  <c r="T2048" i="17"/>
  <c r="S2048" i="17"/>
  <c r="R2048" i="17"/>
  <c r="N2048" i="17"/>
  <c r="M2048" i="17"/>
  <c r="A2048" i="17"/>
  <c r="V2047" i="17"/>
  <c r="U2047" i="17"/>
  <c r="T2047" i="17"/>
  <c r="S2047" i="17"/>
  <c r="R2047" i="17"/>
  <c r="N2047" i="17"/>
  <c r="M2047" i="17"/>
  <c r="A2047" i="17"/>
  <c r="V2046" i="17"/>
  <c r="U2046" i="17"/>
  <c r="T2046" i="17"/>
  <c r="S2046" i="17"/>
  <c r="R2046" i="17"/>
  <c r="N2046" i="17"/>
  <c r="M2046" i="17"/>
  <c r="A2046" i="17"/>
  <c r="V2045" i="17"/>
  <c r="U2045" i="17"/>
  <c r="T2045" i="17"/>
  <c r="S2045" i="17"/>
  <c r="R2045" i="17"/>
  <c r="N2045" i="17"/>
  <c r="M2045" i="17"/>
  <c r="A2045" i="17"/>
  <c r="V2044" i="17"/>
  <c r="U2044" i="17"/>
  <c r="T2044" i="17"/>
  <c r="S2044" i="17"/>
  <c r="R2044" i="17"/>
  <c r="N2044" i="17"/>
  <c r="M2044" i="17"/>
  <c r="A2044" i="17"/>
  <c r="V2043" i="17"/>
  <c r="U2043" i="17"/>
  <c r="T2043" i="17"/>
  <c r="S2043" i="17"/>
  <c r="R2043" i="17"/>
  <c r="N2043" i="17"/>
  <c r="M2043" i="17"/>
  <c r="A2043" i="17"/>
  <c r="V2042" i="17"/>
  <c r="U2042" i="17"/>
  <c r="T2042" i="17"/>
  <c r="S2042" i="17"/>
  <c r="R2042" i="17"/>
  <c r="N2042" i="17"/>
  <c r="M2042" i="17"/>
  <c r="A2042" i="17"/>
  <c r="V2041" i="17"/>
  <c r="U2041" i="17"/>
  <c r="T2041" i="17"/>
  <c r="S2041" i="17"/>
  <c r="R2041" i="17"/>
  <c r="N2041" i="17"/>
  <c r="M2041" i="17"/>
  <c r="A2041" i="17"/>
  <c r="V2040" i="17"/>
  <c r="U2040" i="17"/>
  <c r="T2040" i="17"/>
  <c r="S2040" i="17"/>
  <c r="R2040" i="17"/>
  <c r="N2040" i="17"/>
  <c r="M2040" i="17"/>
  <c r="A2040" i="17"/>
  <c r="V2039" i="17"/>
  <c r="U2039" i="17"/>
  <c r="T2039" i="17"/>
  <c r="S2039" i="17"/>
  <c r="R2039" i="17"/>
  <c r="N2039" i="17"/>
  <c r="M2039" i="17"/>
  <c r="A2039" i="17"/>
  <c r="V2038" i="17"/>
  <c r="U2038" i="17"/>
  <c r="T2038" i="17"/>
  <c r="S2038" i="17"/>
  <c r="R2038" i="17"/>
  <c r="N2038" i="17"/>
  <c r="M2038" i="17"/>
  <c r="A2038" i="17"/>
  <c r="V2037" i="17"/>
  <c r="U2037" i="17"/>
  <c r="T2037" i="17"/>
  <c r="S2037" i="17"/>
  <c r="R2037" i="17"/>
  <c r="N2037" i="17"/>
  <c r="M2037" i="17"/>
  <c r="A2037" i="17"/>
  <c r="V2036" i="17"/>
  <c r="U2036" i="17"/>
  <c r="T2036" i="17"/>
  <c r="S2036" i="17"/>
  <c r="R2036" i="17"/>
  <c r="N2036" i="17"/>
  <c r="M2036" i="17"/>
  <c r="A2036" i="17"/>
  <c r="V2035" i="17"/>
  <c r="U2035" i="17"/>
  <c r="T2035" i="17"/>
  <c r="S2035" i="17"/>
  <c r="R2035" i="17"/>
  <c r="N2035" i="17"/>
  <c r="M2035" i="17"/>
  <c r="A2035" i="17"/>
  <c r="V2034" i="17"/>
  <c r="U2034" i="17"/>
  <c r="T2034" i="17"/>
  <c r="S2034" i="17"/>
  <c r="R2034" i="17"/>
  <c r="N2034" i="17"/>
  <c r="M2034" i="17"/>
  <c r="A2034" i="17"/>
  <c r="V2033" i="17"/>
  <c r="U2033" i="17"/>
  <c r="T2033" i="17"/>
  <c r="S2033" i="17"/>
  <c r="R2033" i="17"/>
  <c r="N2033" i="17"/>
  <c r="M2033" i="17"/>
  <c r="A2033" i="17"/>
  <c r="V2032" i="17"/>
  <c r="U2032" i="17"/>
  <c r="T2032" i="17"/>
  <c r="S2032" i="17"/>
  <c r="R2032" i="17"/>
  <c r="N2032" i="17"/>
  <c r="M2032" i="17"/>
  <c r="A2032" i="17"/>
  <c r="V2031" i="17"/>
  <c r="U2031" i="17"/>
  <c r="T2031" i="17"/>
  <c r="S2031" i="17"/>
  <c r="R2031" i="17"/>
  <c r="N2031" i="17"/>
  <c r="M2031" i="17"/>
  <c r="A2031" i="17"/>
  <c r="V2030" i="17"/>
  <c r="U2030" i="17"/>
  <c r="T2030" i="17"/>
  <c r="S2030" i="17"/>
  <c r="R2030" i="17"/>
  <c r="N2030" i="17"/>
  <c r="M2030" i="17"/>
  <c r="A2030" i="17"/>
  <c r="V2029" i="17"/>
  <c r="U2029" i="17"/>
  <c r="T2029" i="17"/>
  <c r="S2029" i="17"/>
  <c r="R2029" i="17"/>
  <c r="N2029" i="17"/>
  <c r="M2029" i="17"/>
  <c r="A2029" i="17"/>
  <c r="V2028" i="17"/>
  <c r="U2028" i="17"/>
  <c r="T2028" i="17"/>
  <c r="S2028" i="17"/>
  <c r="R2028" i="17"/>
  <c r="N2028" i="17"/>
  <c r="M2028" i="17"/>
  <c r="A2028" i="17"/>
  <c r="V2027" i="17"/>
  <c r="U2027" i="17"/>
  <c r="T2027" i="17"/>
  <c r="S2027" i="17"/>
  <c r="R2027" i="17"/>
  <c r="N2027" i="17"/>
  <c r="M2027" i="17"/>
  <c r="A2027" i="17"/>
  <c r="V2026" i="17"/>
  <c r="U2026" i="17"/>
  <c r="T2026" i="17"/>
  <c r="S2026" i="17"/>
  <c r="R2026" i="17"/>
  <c r="N2026" i="17"/>
  <c r="M2026" i="17"/>
  <c r="A2026" i="17"/>
  <c r="V2025" i="17"/>
  <c r="U2025" i="17"/>
  <c r="T2025" i="17"/>
  <c r="S2025" i="17"/>
  <c r="R2025" i="17"/>
  <c r="N2025" i="17"/>
  <c r="M2025" i="17"/>
  <c r="A2025" i="17"/>
  <c r="V2024" i="17"/>
  <c r="U2024" i="17"/>
  <c r="T2024" i="17"/>
  <c r="S2024" i="17"/>
  <c r="R2024" i="17"/>
  <c r="N2024" i="17"/>
  <c r="M2024" i="17"/>
  <c r="A2024" i="17"/>
  <c r="V2023" i="17"/>
  <c r="U2023" i="17"/>
  <c r="T2023" i="17"/>
  <c r="S2023" i="17"/>
  <c r="R2023" i="17"/>
  <c r="N2023" i="17"/>
  <c r="M2023" i="17"/>
  <c r="A2023" i="17"/>
  <c r="V2022" i="17"/>
  <c r="U2022" i="17"/>
  <c r="T2022" i="17"/>
  <c r="S2022" i="17"/>
  <c r="R2022" i="17"/>
  <c r="N2022" i="17"/>
  <c r="M2022" i="17"/>
  <c r="A2022" i="17"/>
  <c r="V2021" i="17"/>
  <c r="U2021" i="17"/>
  <c r="T2021" i="17"/>
  <c r="S2021" i="17"/>
  <c r="R2021" i="17"/>
  <c r="N2021" i="17"/>
  <c r="M2021" i="17"/>
  <c r="A2021" i="17"/>
  <c r="V2020" i="17"/>
  <c r="U2020" i="17"/>
  <c r="T2020" i="17"/>
  <c r="S2020" i="17"/>
  <c r="R2020" i="17"/>
  <c r="N2020" i="17"/>
  <c r="M2020" i="17"/>
  <c r="A2020" i="17"/>
  <c r="V2019" i="17"/>
  <c r="U2019" i="17"/>
  <c r="T2019" i="17"/>
  <c r="S2019" i="17"/>
  <c r="R2019" i="17"/>
  <c r="N2019" i="17"/>
  <c r="M2019" i="17"/>
  <c r="A2019" i="17"/>
  <c r="V2018" i="17"/>
  <c r="U2018" i="17"/>
  <c r="T2018" i="17"/>
  <c r="S2018" i="17"/>
  <c r="R2018" i="17"/>
  <c r="N2018" i="17"/>
  <c r="M2018" i="17"/>
  <c r="A2018" i="17"/>
  <c r="V2017" i="17"/>
  <c r="U2017" i="17"/>
  <c r="T2017" i="17"/>
  <c r="S2017" i="17"/>
  <c r="R2017" i="17"/>
  <c r="N2017" i="17"/>
  <c r="M2017" i="17"/>
  <c r="A2017" i="17"/>
  <c r="V2016" i="17"/>
  <c r="U2016" i="17"/>
  <c r="T2016" i="17"/>
  <c r="S2016" i="17"/>
  <c r="R2016" i="17"/>
  <c r="N2016" i="17"/>
  <c r="M2016" i="17"/>
  <c r="A2016" i="17"/>
  <c r="V2015" i="17"/>
  <c r="U2015" i="17"/>
  <c r="T2015" i="17"/>
  <c r="S2015" i="17"/>
  <c r="R2015" i="17"/>
  <c r="N2015" i="17"/>
  <c r="M2015" i="17"/>
  <c r="A2015" i="17"/>
  <c r="V2014" i="17"/>
  <c r="U2014" i="17"/>
  <c r="T2014" i="17"/>
  <c r="S2014" i="17"/>
  <c r="R2014" i="17"/>
  <c r="N2014" i="17"/>
  <c r="M2014" i="17"/>
  <c r="A2014" i="17"/>
  <c r="V2013" i="17"/>
  <c r="U2013" i="17"/>
  <c r="T2013" i="17"/>
  <c r="S2013" i="17"/>
  <c r="R2013" i="17"/>
  <c r="N2013" i="17"/>
  <c r="M2013" i="17"/>
  <c r="A2013" i="17"/>
  <c r="V2012" i="17"/>
  <c r="U2012" i="17"/>
  <c r="T2012" i="17"/>
  <c r="S2012" i="17"/>
  <c r="R2012" i="17"/>
  <c r="N2012" i="17"/>
  <c r="M2012" i="17"/>
  <c r="A2012" i="17"/>
  <c r="V2011" i="17"/>
  <c r="U2011" i="17"/>
  <c r="T2011" i="17"/>
  <c r="S2011" i="17"/>
  <c r="R2011" i="17"/>
  <c r="N2011" i="17"/>
  <c r="M2011" i="17"/>
  <c r="A2011" i="17"/>
  <c r="V2010" i="17"/>
  <c r="U2010" i="17"/>
  <c r="T2010" i="17"/>
  <c r="S2010" i="17"/>
  <c r="R2010" i="17"/>
  <c r="N2010" i="17"/>
  <c r="M2010" i="17"/>
  <c r="A2010" i="17"/>
  <c r="V2009" i="17"/>
  <c r="U2009" i="17"/>
  <c r="T2009" i="17"/>
  <c r="S2009" i="17"/>
  <c r="R2009" i="17"/>
  <c r="N2009" i="17"/>
  <c r="M2009" i="17"/>
  <c r="A2009" i="17"/>
  <c r="V2008" i="17"/>
  <c r="U2008" i="17"/>
  <c r="T2008" i="17"/>
  <c r="S2008" i="17"/>
  <c r="R2008" i="17"/>
  <c r="N2008" i="17"/>
  <c r="M2008" i="17"/>
  <c r="A2008" i="17"/>
  <c r="V2007" i="17"/>
  <c r="U2007" i="17"/>
  <c r="T2007" i="17"/>
  <c r="S2007" i="17"/>
  <c r="R2007" i="17"/>
  <c r="N2007" i="17"/>
  <c r="M2007" i="17"/>
  <c r="A2007" i="17"/>
  <c r="V2006" i="17"/>
  <c r="U2006" i="17"/>
  <c r="T2006" i="17"/>
  <c r="S2006" i="17"/>
  <c r="R2006" i="17"/>
  <c r="N2006" i="17"/>
  <c r="M2006" i="17"/>
  <c r="A2006" i="17"/>
  <c r="V2005" i="17"/>
  <c r="U2005" i="17"/>
  <c r="T2005" i="17"/>
  <c r="S2005" i="17"/>
  <c r="R2005" i="17"/>
  <c r="N2005" i="17"/>
  <c r="M2005" i="17"/>
  <c r="A2005" i="17"/>
  <c r="V2004" i="17"/>
  <c r="U2004" i="17"/>
  <c r="T2004" i="17"/>
  <c r="S2004" i="17"/>
  <c r="R2004" i="17"/>
  <c r="N2004" i="17"/>
  <c r="M2004" i="17"/>
  <c r="A2004" i="17"/>
  <c r="V2003" i="17"/>
  <c r="U2003" i="17"/>
  <c r="T2003" i="17"/>
  <c r="S2003" i="17"/>
  <c r="R2003" i="17"/>
  <c r="N2003" i="17"/>
  <c r="M2003" i="17"/>
  <c r="A2003" i="17"/>
  <c r="V2002" i="17"/>
  <c r="U2002" i="17"/>
  <c r="T2002" i="17"/>
  <c r="S2002" i="17"/>
  <c r="R2002" i="17"/>
  <c r="N2002" i="17"/>
  <c r="M2002" i="17"/>
  <c r="A2002" i="17"/>
  <c r="V2001" i="17"/>
  <c r="U2001" i="17"/>
  <c r="T2001" i="17"/>
  <c r="S2001" i="17"/>
  <c r="R2001" i="17"/>
  <c r="N2001" i="17"/>
  <c r="M2001" i="17"/>
  <c r="A2001" i="17"/>
  <c r="V2000" i="17"/>
  <c r="U2000" i="17"/>
  <c r="T2000" i="17"/>
  <c r="S2000" i="17"/>
  <c r="R2000" i="17"/>
  <c r="N2000" i="17"/>
  <c r="M2000" i="17"/>
  <c r="A2000" i="17"/>
  <c r="V1999" i="17"/>
  <c r="U1999" i="17"/>
  <c r="T1999" i="17"/>
  <c r="S1999" i="17"/>
  <c r="R1999" i="17"/>
  <c r="N1999" i="17"/>
  <c r="M1999" i="17"/>
  <c r="A1999" i="17"/>
  <c r="V1998" i="17"/>
  <c r="U1998" i="17"/>
  <c r="T1998" i="17"/>
  <c r="S1998" i="17"/>
  <c r="R1998" i="17"/>
  <c r="N1998" i="17"/>
  <c r="M1998" i="17"/>
  <c r="A1998" i="17"/>
  <c r="V1997" i="17"/>
  <c r="U1997" i="17"/>
  <c r="T1997" i="17"/>
  <c r="S1997" i="17"/>
  <c r="R1997" i="17"/>
  <c r="N1997" i="17"/>
  <c r="M1997" i="17"/>
  <c r="A1997" i="17"/>
  <c r="V1996" i="17"/>
  <c r="U1996" i="17"/>
  <c r="T1996" i="17"/>
  <c r="S1996" i="17"/>
  <c r="R1996" i="17"/>
  <c r="N1996" i="17"/>
  <c r="M1996" i="17"/>
  <c r="A1996" i="17"/>
  <c r="V1995" i="17"/>
  <c r="U1995" i="17"/>
  <c r="T1995" i="17"/>
  <c r="S1995" i="17"/>
  <c r="R1995" i="17"/>
  <c r="N1995" i="17"/>
  <c r="M1995" i="17"/>
  <c r="A1995" i="17"/>
  <c r="V1994" i="17"/>
  <c r="U1994" i="17"/>
  <c r="T1994" i="17"/>
  <c r="S1994" i="17"/>
  <c r="R1994" i="17"/>
  <c r="N1994" i="17"/>
  <c r="M1994" i="17"/>
  <c r="A1994" i="17"/>
  <c r="V1993" i="17"/>
  <c r="U1993" i="17"/>
  <c r="T1993" i="17"/>
  <c r="S1993" i="17"/>
  <c r="R1993" i="17"/>
  <c r="N1993" i="17"/>
  <c r="M1993" i="17"/>
  <c r="A1993" i="17"/>
  <c r="V1992" i="17"/>
  <c r="U1992" i="17"/>
  <c r="T1992" i="17"/>
  <c r="S1992" i="17"/>
  <c r="R1992" i="17"/>
  <c r="N1992" i="17"/>
  <c r="M1992" i="17"/>
  <c r="A1992" i="17"/>
  <c r="V1991" i="17"/>
  <c r="U1991" i="17"/>
  <c r="T1991" i="17"/>
  <c r="S1991" i="17"/>
  <c r="R1991" i="17"/>
  <c r="N1991" i="17"/>
  <c r="M1991" i="17"/>
  <c r="A1991" i="17"/>
  <c r="V1990" i="17"/>
  <c r="U1990" i="17"/>
  <c r="T1990" i="17"/>
  <c r="S1990" i="17"/>
  <c r="R1990" i="17"/>
  <c r="N1990" i="17"/>
  <c r="M1990" i="17"/>
  <c r="A1990" i="17"/>
  <c r="V1989" i="17"/>
  <c r="U1989" i="17"/>
  <c r="T1989" i="17"/>
  <c r="S1989" i="17"/>
  <c r="R1989" i="17"/>
  <c r="N1989" i="17"/>
  <c r="M1989" i="17"/>
  <c r="A1989" i="17"/>
  <c r="V1988" i="17"/>
  <c r="U1988" i="17"/>
  <c r="T1988" i="17"/>
  <c r="S1988" i="17"/>
  <c r="R1988" i="17"/>
  <c r="N1988" i="17"/>
  <c r="M1988" i="17"/>
  <c r="A1988" i="17"/>
  <c r="V1987" i="17"/>
  <c r="U1987" i="17"/>
  <c r="T1987" i="17"/>
  <c r="S1987" i="17"/>
  <c r="R1987" i="17"/>
  <c r="N1987" i="17"/>
  <c r="M1987" i="17"/>
  <c r="A1987" i="17"/>
  <c r="V1986" i="17"/>
  <c r="U1986" i="17"/>
  <c r="T1986" i="17"/>
  <c r="S1986" i="17"/>
  <c r="R1986" i="17"/>
  <c r="N1986" i="17"/>
  <c r="M1986" i="17"/>
  <c r="A1986" i="17"/>
  <c r="V1985" i="17"/>
  <c r="U1985" i="17"/>
  <c r="T1985" i="17"/>
  <c r="S1985" i="17"/>
  <c r="R1985" i="17"/>
  <c r="N1985" i="17"/>
  <c r="M1985" i="17"/>
  <c r="A1985" i="17"/>
  <c r="V1984" i="17"/>
  <c r="U1984" i="17"/>
  <c r="T1984" i="17"/>
  <c r="S1984" i="17"/>
  <c r="R1984" i="17"/>
  <c r="N1984" i="17"/>
  <c r="M1984" i="17"/>
  <c r="A1984" i="17"/>
  <c r="V1983" i="17"/>
  <c r="U1983" i="17"/>
  <c r="T1983" i="17"/>
  <c r="S1983" i="17"/>
  <c r="R1983" i="17"/>
  <c r="N1983" i="17"/>
  <c r="M1983" i="17"/>
  <c r="A1983" i="17"/>
  <c r="V1982" i="17"/>
  <c r="U1982" i="17"/>
  <c r="T1982" i="17"/>
  <c r="S1982" i="17"/>
  <c r="R1982" i="17"/>
  <c r="N1982" i="17"/>
  <c r="M1982" i="17"/>
  <c r="A1982" i="17"/>
  <c r="V1981" i="17"/>
  <c r="U1981" i="17"/>
  <c r="T1981" i="17"/>
  <c r="S1981" i="17"/>
  <c r="R1981" i="17"/>
  <c r="N1981" i="17"/>
  <c r="M1981" i="17"/>
  <c r="A1981" i="17"/>
  <c r="V1980" i="17"/>
  <c r="U1980" i="17"/>
  <c r="T1980" i="17"/>
  <c r="S1980" i="17"/>
  <c r="R1980" i="17"/>
  <c r="N1980" i="17"/>
  <c r="M1980" i="17"/>
  <c r="A1980" i="17"/>
  <c r="V1979" i="17"/>
  <c r="U1979" i="17"/>
  <c r="T1979" i="17"/>
  <c r="S1979" i="17"/>
  <c r="R1979" i="17"/>
  <c r="N1979" i="17"/>
  <c r="M1979" i="17"/>
  <c r="A1979" i="17"/>
  <c r="V1978" i="17"/>
  <c r="U1978" i="17"/>
  <c r="T1978" i="17"/>
  <c r="S1978" i="17"/>
  <c r="R1978" i="17"/>
  <c r="N1978" i="17"/>
  <c r="M1978" i="17"/>
  <c r="A1978" i="17"/>
  <c r="V1977" i="17"/>
  <c r="U1977" i="17"/>
  <c r="T1977" i="17"/>
  <c r="S1977" i="17"/>
  <c r="R1977" i="17"/>
  <c r="N1977" i="17"/>
  <c r="M1977" i="17"/>
  <c r="A1977" i="17"/>
  <c r="V1976" i="17"/>
  <c r="U1976" i="17"/>
  <c r="T1976" i="17"/>
  <c r="S1976" i="17"/>
  <c r="R1976" i="17"/>
  <c r="N1976" i="17"/>
  <c r="M1976" i="17"/>
  <c r="A1976" i="17"/>
  <c r="V1975" i="17"/>
  <c r="U1975" i="17"/>
  <c r="T1975" i="17"/>
  <c r="S1975" i="17"/>
  <c r="R1975" i="17"/>
  <c r="N1975" i="17"/>
  <c r="M1975" i="17"/>
  <c r="A1975" i="17"/>
  <c r="V1974" i="17"/>
  <c r="U1974" i="17"/>
  <c r="T1974" i="17"/>
  <c r="S1974" i="17"/>
  <c r="R1974" i="17"/>
  <c r="N1974" i="17"/>
  <c r="M1974" i="17"/>
  <c r="A1974" i="17"/>
  <c r="V1973" i="17"/>
  <c r="U1973" i="17"/>
  <c r="T1973" i="17"/>
  <c r="S1973" i="17"/>
  <c r="R1973" i="17"/>
  <c r="N1973" i="17"/>
  <c r="M1973" i="17"/>
  <c r="A1973" i="17"/>
  <c r="V1972" i="17"/>
  <c r="U1972" i="17"/>
  <c r="T1972" i="17"/>
  <c r="S1972" i="17"/>
  <c r="R1972" i="17"/>
  <c r="N1972" i="17"/>
  <c r="M1972" i="17"/>
  <c r="A1972" i="17"/>
  <c r="V1971" i="17"/>
  <c r="U1971" i="17"/>
  <c r="T1971" i="17"/>
  <c r="S1971" i="17"/>
  <c r="R1971" i="17"/>
  <c r="N1971" i="17"/>
  <c r="M1971" i="17"/>
  <c r="A1971" i="17"/>
  <c r="V1970" i="17"/>
  <c r="U1970" i="17"/>
  <c r="T1970" i="17"/>
  <c r="S1970" i="17"/>
  <c r="R1970" i="17"/>
  <c r="N1970" i="17"/>
  <c r="M1970" i="17"/>
  <c r="A1970" i="17"/>
  <c r="V1969" i="17"/>
  <c r="U1969" i="17"/>
  <c r="T1969" i="17"/>
  <c r="S1969" i="17"/>
  <c r="R1969" i="17"/>
  <c r="N1969" i="17"/>
  <c r="M1969" i="17"/>
  <c r="A1969" i="17"/>
  <c r="V1968" i="17"/>
  <c r="U1968" i="17"/>
  <c r="T1968" i="17"/>
  <c r="S1968" i="17"/>
  <c r="R1968" i="17"/>
  <c r="N1968" i="17"/>
  <c r="M1968" i="17"/>
  <c r="A1968" i="17"/>
  <c r="V1967" i="17"/>
  <c r="U1967" i="17"/>
  <c r="T1967" i="17"/>
  <c r="S1967" i="17"/>
  <c r="R1967" i="17"/>
  <c r="N1967" i="17"/>
  <c r="M1967" i="17"/>
  <c r="A1967" i="17"/>
  <c r="V1966" i="17"/>
  <c r="U1966" i="17"/>
  <c r="T1966" i="17"/>
  <c r="S1966" i="17"/>
  <c r="R1966" i="17"/>
  <c r="N1966" i="17"/>
  <c r="M1966" i="17"/>
  <c r="A1966" i="17"/>
  <c r="V1965" i="17"/>
  <c r="U1965" i="17"/>
  <c r="T1965" i="17"/>
  <c r="S1965" i="17"/>
  <c r="R1965" i="17"/>
  <c r="N1965" i="17"/>
  <c r="M1965" i="17"/>
  <c r="A1965" i="17"/>
  <c r="V1964" i="17"/>
  <c r="U1964" i="17"/>
  <c r="T1964" i="17"/>
  <c r="S1964" i="17"/>
  <c r="R1964" i="17"/>
  <c r="N1964" i="17"/>
  <c r="M1964" i="17"/>
  <c r="A1964" i="17"/>
  <c r="V1963" i="17"/>
  <c r="U1963" i="17"/>
  <c r="T1963" i="17"/>
  <c r="S1963" i="17"/>
  <c r="R1963" i="17"/>
  <c r="N1963" i="17"/>
  <c r="M1963" i="17"/>
  <c r="A1963" i="17"/>
  <c r="V1962" i="17"/>
  <c r="U1962" i="17"/>
  <c r="T1962" i="17"/>
  <c r="S1962" i="17"/>
  <c r="R1962" i="17"/>
  <c r="N1962" i="17"/>
  <c r="M1962" i="17"/>
  <c r="A1962" i="17"/>
  <c r="V1961" i="17"/>
  <c r="U1961" i="17"/>
  <c r="T1961" i="17"/>
  <c r="S1961" i="17"/>
  <c r="R1961" i="17"/>
  <c r="N1961" i="17"/>
  <c r="M1961" i="17"/>
  <c r="A1961" i="17"/>
  <c r="V1960" i="17"/>
  <c r="U1960" i="17"/>
  <c r="T1960" i="17"/>
  <c r="S1960" i="17"/>
  <c r="R1960" i="17"/>
  <c r="N1960" i="17"/>
  <c r="M1960" i="17"/>
  <c r="A1960" i="17"/>
  <c r="V1959" i="17"/>
  <c r="U1959" i="17"/>
  <c r="T1959" i="17"/>
  <c r="S1959" i="17"/>
  <c r="R1959" i="17"/>
  <c r="N1959" i="17"/>
  <c r="M1959" i="17"/>
  <c r="A1959" i="17"/>
  <c r="V1958" i="17"/>
  <c r="U1958" i="17"/>
  <c r="T1958" i="17"/>
  <c r="S1958" i="17"/>
  <c r="R1958" i="17"/>
  <c r="N1958" i="17"/>
  <c r="M1958" i="17"/>
  <c r="A1958" i="17"/>
  <c r="V1957" i="17"/>
  <c r="U1957" i="17"/>
  <c r="T1957" i="17"/>
  <c r="S1957" i="17"/>
  <c r="R1957" i="17"/>
  <c r="N1957" i="17"/>
  <c r="M1957" i="17"/>
  <c r="A1957" i="17"/>
  <c r="V1956" i="17"/>
  <c r="U1956" i="17"/>
  <c r="T1956" i="17"/>
  <c r="S1956" i="17"/>
  <c r="R1956" i="17"/>
  <c r="N1956" i="17"/>
  <c r="M1956" i="17"/>
  <c r="A1956" i="17"/>
  <c r="V1955" i="17"/>
  <c r="U1955" i="17"/>
  <c r="T1955" i="17"/>
  <c r="S1955" i="17"/>
  <c r="R1955" i="17"/>
  <c r="N1955" i="17"/>
  <c r="M1955" i="17"/>
  <c r="A1955" i="17"/>
  <c r="V1954" i="17"/>
  <c r="U1954" i="17"/>
  <c r="T1954" i="17"/>
  <c r="S1954" i="17"/>
  <c r="R1954" i="17"/>
  <c r="N1954" i="17"/>
  <c r="M1954" i="17"/>
  <c r="A1954" i="17"/>
  <c r="V1953" i="17"/>
  <c r="U1953" i="17"/>
  <c r="T1953" i="17"/>
  <c r="S1953" i="17"/>
  <c r="R1953" i="17"/>
  <c r="N1953" i="17"/>
  <c r="M1953" i="17"/>
  <c r="A1953" i="17"/>
  <c r="V1952" i="17"/>
  <c r="U1952" i="17"/>
  <c r="T1952" i="17"/>
  <c r="S1952" i="17"/>
  <c r="R1952" i="17"/>
  <c r="N1952" i="17"/>
  <c r="M1952" i="17"/>
  <c r="A1952" i="17"/>
  <c r="V1951" i="17"/>
  <c r="U1951" i="17"/>
  <c r="T1951" i="17"/>
  <c r="S1951" i="17"/>
  <c r="R1951" i="17"/>
  <c r="N1951" i="17"/>
  <c r="M1951" i="17"/>
  <c r="A1951" i="17"/>
  <c r="V1950" i="17"/>
  <c r="U1950" i="17"/>
  <c r="T1950" i="17"/>
  <c r="S1950" i="17"/>
  <c r="R1950" i="17"/>
  <c r="N1950" i="17"/>
  <c r="M1950" i="17"/>
  <c r="A1950" i="17"/>
  <c r="V1949" i="17"/>
  <c r="U1949" i="17"/>
  <c r="T1949" i="17"/>
  <c r="S1949" i="17"/>
  <c r="R1949" i="17"/>
  <c r="N1949" i="17"/>
  <c r="M1949" i="17"/>
  <c r="A1949" i="17"/>
  <c r="V1948" i="17"/>
  <c r="U1948" i="17"/>
  <c r="T1948" i="17"/>
  <c r="S1948" i="17"/>
  <c r="R1948" i="17"/>
  <c r="N1948" i="17"/>
  <c r="M1948" i="17"/>
  <c r="A1948" i="17"/>
  <c r="V1947" i="17"/>
  <c r="U1947" i="17"/>
  <c r="T1947" i="17"/>
  <c r="S1947" i="17"/>
  <c r="R1947" i="17"/>
  <c r="N1947" i="17"/>
  <c r="M1947" i="17"/>
  <c r="A1947" i="17"/>
  <c r="V1946" i="17"/>
  <c r="U1946" i="17"/>
  <c r="T1946" i="17"/>
  <c r="S1946" i="17"/>
  <c r="R1946" i="17"/>
  <c r="N1946" i="17"/>
  <c r="M1946" i="17"/>
  <c r="A1946" i="17"/>
  <c r="V1945" i="17"/>
  <c r="U1945" i="17"/>
  <c r="T1945" i="17"/>
  <c r="S1945" i="17"/>
  <c r="R1945" i="17"/>
  <c r="N1945" i="17"/>
  <c r="M1945" i="17"/>
  <c r="A1945" i="17"/>
  <c r="V1944" i="17"/>
  <c r="U1944" i="17"/>
  <c r="T1944" i="17"/>
  <c r="S1944" i="17"/>
  <c r="R1944" i="17"/>
  <c r="N1944" i="17"/>
  <c r="M1944" i="17"/>
  <c r="A1944" i="17"/>
  <c r="V1943" i="17"/>
  <c r="U1943" i="17"/>
  <c r="T1943" i="17"/>
  <c r="S1943" i="17"/>
  <c r="R1943" i="17"/>
  <c r="N1943" i="17"/>
  <c r="M1943" i="17"/>
  <c r="A1943" i="17"/>
  <c r="V1942" i="17"/>
  <c r="U1942" i="17"/>
  <c r="T1942" i="17"/>
  <c r="S1942" i="17"/>
  <c r="R1942" i="17"/>
  <c r="N1942" i="17"/>
  <c r="M1942" i="17"/>
  <c r="A1942" i="17"/>
  <c r="V1941" i="17"/>
  <c r="U1941" i="17"/>
  <c r="T1941" i="17"/>
  <c r="S1941" i="17"/>
  <c r="R1941" i="17"/>
  <c r="N1941" i="17"/>
  <c r="M1941" i="17"/>
  <c r="A1941" i="17"/>
  <c r="V1940" i="17"/>
  <c r="U1940" i="17"/>
  <c r="T1940" i="17"/>
  <c r="S1940" i="17"/>
  <c r="R1940" i="17"/>
  <c r="N1940" i="17"/>
  <c r="M1940" i="17"/>
  <c r="A1940" i="17"/>
  <c r="V1939" i="17"/>
  <c r="U1939" i="17"/>
  <c r="T1939" i="17"/>
  <c r="S1939" i="17"/>
  <c r="R1939" i="17"/>
  <c r="N1939" i="17"/>
  <c r="M1939" i="17"/>
  <c r="A1939" i="17"/>
  <c r="V1938" i="17"/>
  <c r="U1938" i="17"/>
  <c r="T1938" i="17"/>
  <c r="S1938" i="17"/>
  <c r="R1938" i="17"/>
  <c r="N1938" i="17"/>
  <c r="M1938" i="17"/>
  <c r="A1938" i="17"/>
  <c r="V1937" i="17"/>
  <c r="U1937" i="17"/>
  <c r="T1937" i="17"/>
  <c r="S1937" i="17"/>
  <c r="R1937" i="17"/>
  <c r="N1937" i="17"/>
  <c r="M1937" i="17"/>
  <c r="A1937" i="17"/>
  <c r="V1936" i="17"/>
  <c r="U1936" i="17"/>
  <c r="T1936" i="17"/>
  <c r="S1936" i="17"/>
  <c r="R1936" i="17"/>
  <c r="N1936" i="17"/>
  <c r="M1936" i="17"/>
  <c r="A1936" i="17"/>
  <c r="V1935" i="17"/>
  <c r="U1935" i="17"/>
  <c r="T1935" i="17"/>
  <c r="S1935" i="17"/>
  <c r="R1935" i="17"/>
  <c r="N1935" i="17"/>
  <c r="M1935" i="17"/>
  <c r="A1935" i="17"/>
  <c r="V1934" i="17"/>
  <c r="U1934" i="17"/>
  <c r="T1934" i="17"/>
  <c r="S1934" i="17"/>
  <c r="R1934" i="17"/>
  <c r="N1934" i="17"/>
  <c r="M1934" i="17"/>
  <c r="A1934" i="17"/>
  <c r="Y1933" i="17"/>
  <c r="V1933" i="17"/>
  <c r="U1933" i="17"/>
  <c r="T1933" i="17"/>
  <c r="S1933" i="17"/>
  <c r="R1933" i="17"/>
  <c r="N1933" i="17"/>
  <c r="M1933" i="17"/>
  <c r="A1933" i="17"/>
  <c r="V1932" i="17"/>
  <c r="U1932" i="17"/>
  <c r="T1932" i="17"/>
  <c r="S1932" i="17"/>
  <c r="R1932" i="17"/>
  <c r="N1932" i="17"/>
  <c r="M1932" i="17"/>
  <c r="A1932" i="17"/>
  <c r="V1931" i="17"/>
  <c r="U1931" i="17"/>
  <c r="T1931" i="17"/>
  <c r="S1931" i="17"/>
  <c r="R1931" i="17"/>
  <c r="N1931" i="17"/>
  <c r="M1931" i="17"/>
  <c r="A1931" i="17"/>
  <c r="V1930" i="17"/>
  <c r="U1930" i="17"/>
  <c r="T1930" i="17"/>
  <c r="S1930" i="17"/>
  <c r="R1930" i="17"/>
  <c r="N1930" i="17"/>
  <c r="M1930" i="17"/>
  <c r="A1930" i="17"/>
  <c r="V1929" i="17"/>
  <c r="U1929" i="17"/>
  <c r="T1929" i="17"/>
  <c r="S1929" i="17"/>
  <c r="R1929" i="17"/>
  <c r="N1929" i="17"/>
  <c r="M1929" i="17"/>
  <c r="A1929" i="17"/>
  <c r="V1928" i="17"/>
  <c r="U1928" i="17"/>
  <c r="T1928" i="17"/>
  <c r="S1928" i="17"/>
  <c r="R1928" i="17"/>
  <c r="N1928" i="17"/>
  <c r="M1928" i="17"/>
  <c r="A1928" i="17"/>
  <c r="V1927" i="17"/>
  <c r="U1927" i="17"/>
  <c r="T1927" i="17"/>
  <c r="S1927" i="17"/>
  <c r="R1927" i="17"/>
  <c r="N1927" i="17"/>
  <c r="M1927" i="17"/>
  <c r="A1927" i="17"/>
  <c r="V1926" i="17"/>
  <c r="U1926" i="17"/>
  <c r="T1926" i="17"/>
  <c r="S1926" i="17"/>
  <c r="R1926" i="17"/>
  <c r="N1926" i="17"/>
  <c r="M1926" i="17"/>
  <c r="A1926" i="17"/>
  <c r="V1925" i="17"/>
  <c r="U1925" i="17"/>
  <c r="T1925" i="17"/>
  <c r="S1925" i="17"/>
  <c r="R1925" i="17"/>
  <c r="N1925" i="17"/>
  <c r="M1925" i="17"/>
  <c r="A1925" i="17"/>
  <c r="V1924" i="17"/>
  <c r="U1924" i="17"/>
  <c r="T1924" i="17"/>
  <c r="S1924" i="17"/>
  <c r="R1924" i="17"/>
  <c r="N1924" i="17"/>
  <c r="M1924" i="17"/>
  <c r="A1924" i="17"/>
  <c r="V1923" i="17"/>
  <c r="U1923" i="17"/>
  <c r="T1923" i="17"/>
  <c r="S1923" i="17"/>
  <c r="R1923" i="17"/>
  <c r="N1923" i="17"/>
  <c r="M1923" i="17"/>
  <c r="A1923" i="17"/>
  <c r="V1922" i="17"/>
  <c r="U1922" i="17"/>
  <c r="T1922" i="17"/>
  <c r="S1922" i="17"/>
  <c r="R1922" i="17"/>
  <c r="N1922" i="17"/>
  <c r="M1922" i="17"/>
  <c r="A1922" i="17"/>
  <c r="V1921" i="17"/>
  <c r="U1921" i="17"/>
  <c r="T1921" i="17"/>
  <c r="S1921" i="17"/>
  <c r="R1921" i="17"/>
  <c r="N1921" i="17"/>
  <c r="M1921" i="17"/>
  <c r="A1921" i="17"/>
  <c r="V1920" i="17"/>
  <c r="U1920" i="17"/>
  <c r="T1920" i="17"/>
  <c r="S1920" i="17"/>
  <c r="R1920" i="17"/>
  <c r="N1920" i="17"/>
  <c r="M1920" i="17"/>
  <c r="A1920" i="17"/>
  <c r="V1919" i="17"/>
  <c r="U1919" i="17"/>
  <c r="T1919" i="17"/>
  <c r="S1919" i="17"/>
  <c r="R1919" i="17"/>
  <c r="N1919" i="17"/>
  <c r="M1919" i="17"/>
  <c r="A1919" i="17"/>
  <c r="V1918" i="17"/>
  <c r="U1918" i="17"/>
  <c r="T1918" i="17"/>
  <c r="S1918" i="17"/>
  <c r="R1918" i="17"/>
  <c r="N1918" i="17"/>
  <c r="M1918" i="17"/>
  <c r="A1918" i="17"/>
  <c r="V1917" i="17"/>
  <c r="U1917" i="17"/>
  <c r="T1917" i="17"/>
  <c r="S1917" i="17"/>
  <c r="R1917" i="17"/>
  <c r="N1917" i="17"/>
  <c r="M1917" i="17"/>
  <c r="A1917" i="17"/>
  <c r="V1916" i="17"/>
  <c r="U1916" i="17"/>
  <c r="T1916" i="17"/>
  <c r="S1916" i="17"/>
  <c r="R1916" i="17"/>
  <c r="N1916" i="17"/>
  <c r="M1916" i="17"/>
  <c r="A1916" i="17"/>
  <c r="V1915" i="17"/>
  <c r="U1915" i="17"/>
  <c r="T1915" i="17"/>
  <c r="S1915" i="17"/>
  <c r="R1915" i="17"/>
  <c r="N1915" i="17"/>
  <c r="M1915" i="17"/>
  <c r="A1915" i="17"/>
  <c r="V1914" i="17"/>
  <c r="U1914" i="17"/>
  <c r="T1914" i="17"/>
  <c r="S1914" i="17"/>
  <c r="R1914" i="17"/>
  <c r="N1914" i="17"/>
  <c r="M1914" i="17"/>
  <c r="A1914" i="17"/>
  <c r="V1913" i="17"/>
  <c r="U1913" i="17"/>
  <c r="T1913" i="17"/>
  <c r="S1913" i="17"/>
  <c r="R1913" i="17"/>
  <c r="N1913" i="17"/>
  <c r="M1913" i="17"/>
  <c r="A1913" i="17"/>
  <c r="V1912" i="17"/>
  <c r="U1912" i="17"/>
  <c r="T1912" i="17"/>
  <c r="S1912" i="17"/>
  <c r="R1912" i="17"/>
  <c r="N1912" i="17"/>
  <c r="M1912" i="17"/>
  <c r="A1912" i="17"/>
  <c r="V1911" i="17"/>
  <c r="U1911" i="17"/>
  <c r="T1911" i="17"/>
  <c r="S1911" i="17"/>
  <c r="R1911" i="17"/>
  <c r="N1911" i="17"/>
  <c r="M1911" i="17"/>
  <c r="A1911" i="17"/>
  <c r="V1910" i="17"/>
  <c r="U1910" i="17"/>
  <c r="T1910" i="17"/>
  <c r="S1910" i="17"/>
  <c r="R1910" i="17"/>
  <c r="N1910" i="17"/>
  <c r="M1910" i="17"/>
  <c r="A1910" i="17"/>
  <c r="V1909" i="17"/>
  <c r="U1909" i="17"/>
  <c r="T1909" i="17"/>
  <c r="S1909" i="17"/>
  <c r="R1909" i="17"/>
  <c r="N1909" i="17"/>
  <c r="M1909" i="17"/>
  <c r="A1909" i="17"/>
  <c r="V1908" i="17"/>
  <c r="U1908" i="17"/>
  <c r="T1908" i="17"/>
  <c r="S1908" i="17"/>
  <c r="R1908" i="17"/>
  <c r="N1908" i="17"/>
  <c r="M1908" i="17"/>
  <c r="A1908" i="17"/>
  <c r="V1907" i="17"/>
  <c r="U1907" i="17"/>
  <c r="T1907" i="17"/>
  <c r="S1907" i="17"/>
  <c r="R1907" i="17"/>
  <c r="N1907" i="17"/>
  <c r="M1907" i="17"/>
  <c r="A1907" i="17"/>
  <c r="V1906" i="17"/>
  <c r="U1906" i="17"/>
  <c r="T1906" i="17"/>
  <c r="S1906" i="17"/>
  <c r="R1906" i="17"/>
  <c r="N1906" i="17"/>
  <c r="M1906" i="17"/>
  <c r="A1906" i="17"/>
  <c r="V1905" i="17"/>
  <c r="U1905" i="17"/>
  <c r="T1905" i="17"/>
  <c r="S1905" i="17"/>
  <c r="R1905" i="17"/>
  <c r="N1905" i="17"/>
  <c r="M1905" i="17"/>
  <c r="A1905" i="17"/>
  <c r="V1904" i="17"/>
  <c r="U1904" i="17"/>
  <c r="T1904" i="17"/>
  <c r="S1904" i="17"/>
  <c r="R1904" i="17"/>
  <c r="N1904" i="17"/>
  <c r="M1904" i="17"/>
  <c r="A1904" i="17"/>
  <c r="V1903" i="17"/>
  <c r="U1903" i="17"/>
  <c r="T1903" i="17"/>
  <c r="S1903" i="17"/>
  <c r="R1903" i="17"/>
  <c r="N1903" i="17"/>
  <c r="M1903" i="17"/>
  <c r="A1903" i="17"/>
  <c r="V1902" i="17"/>
  <c r="U1902" i="17"/>
  <c r="T1902" i="17"/>
  <c r="S1902" i="17"/>
  <c r="R1902" i="17"/>
  <c r="N1902" i="17"/>
  <c r="M1902" i="17"/>
  <c r="A1902" i="17"/>
  <c r="V1901" i="17"/>
  <c r="U1901" i="17"/>
  <c r="T1901" i="17"/>
  <c r="S1901" i="17"/>
  <c r="R1901" i="17"/>
  <c r="N1901" i="17"/>
  <c r="M1901" i="17"/>
  <c r="A1901" i="17"/>
  <c r="V1900" i="17"/>
  <c r="U1900" i="17"/>
  <c r="T1900" i="17"/>
  <c r="S1900" i="17"/>
  <c r="R1900" i="17"/>
  <c r="N1900" i="17"/>
  <c r="M1900" i="17"/>
  <c r="A1900" i="17"/>
  <c r="V1899" i="17"/>
  <c r="U1899" i="17"/>
  <c r="T1899" i="17"/>
  <c r="S1899" i="17"/>
  <c r="R1899" i="17"/>
  <c r="N1899" i="17"/>
  <c r="M1899" i="17"/>
  <c r="A1899" i="17"/>
  <c r="V1898" i="17"/>
  <c r="U1898" i="17"/>
  <c r="T1898" i="17"/>
  <c r="S1898" i="17"/>
  <c r="R1898" i="17"/>
  <c r="N1898" i="17"/>
  <c r="M1898" i="17"/>
  <c r="A1898" i="17"/>
  <c r="V1897" i="17"/>
  <c r="U1897" i="17"/>
  <c r="T1897" i="17"/>
  <c r="S1897" i="17"/>
  <c r="R1897" i="17"/>
  <c r="N1897" i="17"/>
  <c r="M1897" i="17"/>
  <c r="A1897" i="17"/>
  <c r="V1896" i="17"/>
  <c r="U1896" i="17"/>
  <c r="T1896" i="17"/>
  <c r="S1896" i="17"/>
  <c r="R1896" i="17"/>
  <c r="N1896" i="17"/>
  <c r="M1896" i="17"/>
  <c r="A1896" i="17"/>
  <c r="V1895" i="17"/>
  <c r="U1895" i="17"/>
  <c r="T1895" i="17"/>
  <c r="S1895" i="17"/>
  <c r="R1895" i="17"/>
  <c r="N1895" i="17"/>
  <c r="M1895" i="17"/>
  <c r="A1895" i="17"/>
  <c r="V1894" i="17"/>
  <c r="U1894" i="17"/>
  <c r="T1894" i="17"/>
  <c r="S1894" i="17"/>
  <c r="R1894" i="17"/>
  <c r="N1894" i="17"/>
  <c r="M1894" i="17"/>
  <c r="A1894" i="17"/>
  <c r="V1893" i="17"/>
  <c r="U1893" i="17"/>
  <c r="T1893" i="17"/>
  <c r="S1893" i="17"/>
  <c r="R1893" i="17"/>
  <c r="N1893" i="17"/>
  <c r="M1893" i="17"/>
  <c r="A1893" i="17"/>
  <c r="V1892" i="17"/>
  <c r="U1892" i="17"/>
  <c r="T1892" i="17"/>
  <c r="S1892" i="17"/>
  <c r="R1892" i="17"/>
  <c r="N1892" i="17"/>
  <c r="M1892" i="17"/>
  <c r="A1892" i="17"/>
  <c r="V1891" i="17"/>
  <c r="U1891" i="17"/>
  <c r="T1891" i="17"/>
  <c r="S1891" i="17"/>
  <c r="R1891" i="17"/>
  <c r="N1891" i="17"/>
  <c r="M1891" i="17"/>
  <c r="A1891" i="17"/>
  <c r="V1890" i="17"/>
  <c r="U1890" i="17"/>
  <c r="T1890" i="17"/>
  <c r="S1890" i="17"/>
  <c r="R1890" i="17"/>
  <c r="N1890" i="17"/>
  <c r="M1890" i="17"/>
  <c r="A1890" i="17"/>
  <c r="V1889" i="17"/>
  <c r="U1889" i="17"/>
  <c r="T1889" i="17"/>
  <c r="S1889" i="17"/>
  <c r="R1889" i="17"/>
  <c r="N1889" i="17"/>
  <c r="M1889" i="17"/>
  <c r="A1889" i="17"/>
  <c r="V1888" i="17"/>
  <c r="U1888" i="17"/>
  <c r="T1888" i="17"/>
  <c r="S1888" i="17"/>
  <c r="R1888" i="17"/>
  <c r="N1888" i="17"/>
  <c r="M1888" i="17"/>
  <c r="A1888" i="17"/>
  <c r="V1887" i="17"/>
  <c r="U1887" i="17"/>
  <c r="T1887" i="17"/>
  <c r="S1887" i="17"/>
  <c r="R1887" i="17"/>
  <c r="N1887" i="17"/>
  <c r="M1887" i="17"/>
  <c r="A1887" i="17"/>
  <c r="V1886" i="17"/>
  <c r="U1886" i="17"/>
  <c r="T1886" i="17"/>
  <c r="S1886" i="17"/>
  <c r="R1886" i="17"/>
  <c r="N1886" i="17"/>
  <c r="M1886" i="17"/>
  <c r="A1886" i="17"/>
  <c r="V1885" i="17"/>
  <c r="U1885" i="17"/>
  <c r="T1885" i="17"/>
  <c r="S1885" i="17"/>
  <c r="R1885" i="17"/>
  <c r="N1885" i="17"/>
  <c r="M1885" i="17"/>
  <c r="A1885" i="17"/>
  <c r="V1884" i="17"/>
  <c r="U1884" i="17"/>
  <c r="T1884" i="17"/>
  <c r="S1884" i="17"/>
  <c r="R1884" i="17"/>
  <c r="N1884" i="17"/>
  <c r="M1884" i="17"/>
  <c r="A1884" i="17"/>
  <c r="V1883" i="17"/>
  <c r="U1883" i="17"/>
  <c r="T1883" i="17"/>
  <c r="S1883" i="17"/>
  <c r="R1883" i="17"/>
  <c r="N1883" i="17"/>
  <c r="M1883" i="17"/>
  <c r="A1883" i="17"/>
  <c r="V1882" i="17"/>
  <c r="U1882" i="17"/>
  <c r="T1882" i="17"/>
  <c r="S1882" i="17"/>
  <c r="R1882" i="17"/>
  <c r="N1882" i="17"/>
  <c r="M1882" i="17"/>
  <c r="A1882" i="17"/>
  <c r="V1881" i="17"/>
  <c r="U1881" i="17"/>
  <c r="T1881" i="17"/>
  <c r="S1881" i="17"/>
  <c r="R1881" i="17"/>
  <c r="N1881" i="17"/>
  <c r="M1881" i="17"/>
  <c r="A1881" i="17"/>
  <c r="V1880" i="17"/>
  <c r="U1880" i="17"/>
  <c r="T1880" i="17"/>
  <c r="S1880" i="17"/>
  <c r="R1880" i="17"/>
  <c r="N1880" i="17"/>
  <c r="M1880" i="17"/>
  <c r="A1880" i="17"/>
  <c r="V1879" i="17"/>
  <c r="U1879" i="17"/>
  <c r="T1879" i="17"/>
  <c r="S1879" i="17"/>
  <c r="R1879" i="17"/>
  <c r="N1879" i="17"/>
  <c r="M1879" i="17"/>
  <c r="A1879" i="17"/>
  <c r="V1878" i="17"/>
  <c r="U1878" i="17"/>
  <c r="T1878" i="17"/>
  <c r="S1878" i="17"/>
  <c r="R1878" i="17"/>
  <c r="N1878" i="17"/>
  <c r="M1878" i="17"/>
  <c r="A1878" i="17"/>
  <c r="V1877" i="17"/>
  <c r="U1877" i="17"/>
  <c r="T1877" i="17"/>
  <c r="S1877" i="17"/>
  <c r="R1877" i="17"/>
  <c r="N1877" i="17"/>
  <c r="M1877" i="17"/>
  <c r="A1877" i="17"/>
  <c r="V1876" i="17"/>
  <c r="U1876" i="17"/>
  <c r="T1876" i="17"/>
  <c r="S1876" i="17"/>
  <c r="R1876" i="17"/>
  <c r="N1876" i="17"/>
  <c r="M1876" i="17"/>
  <c r="A1876" i="17"/>
  <c r="V1875" i="17"/>
  <c r="U1875" i="17"/>
  <c r="T1875" i="17"/>
  <c r="S1875" i="17"/>
  <c r="R1875" i="17"/>
  <c r="N1875" i="17"/>
  <c r="M1875" i="17"/>
  <c r="A1875" i="17"/>
  <c r="V1874" i="17"/>
  <c r="U1874" i="17"/>
  <c r="T1874" i="17"/>
  <c r="S1874" i="17"/>
  <c r="R1874" i="17"/>
  <c r="N1874" i="17"/>
  <c r="M1874" i="17"/>
  <c r="A1874" i="17"/>
  <c r="V1873" i="17"/>
  <c r="U1873" i="17"/>
  <c r="T1873" i="17"/>
  <c r="S1873" i="17"/>
  <c r="R1873" i="17"/>
  <c r="N1873" i="17"/>
  <c r="M1873" i="17"/>
  <c r="A1873" i="17"/>
  <c r="V1872" i="17"/>
  <c r="U1872" i="17"/>
  <c r="T1872" i="17"/>
  <c r="S1872" i="17"/>
  <c r="R1872" i="17"/>
  <c r="N1872" i="17"/>
  <c r="M1872" i="17"/>
  <c r="A1872" i="17"/>
  <c r="V1871" i="17"/>
  <c r="U1871" i="17"/>
  <c r="T1871" i="17"/>
  <c r="S1871" i="17"/>
  <c r="R1871" i="17"/>
  <c r="N1871" i="17"/>
  <c r="M1871" i="17"/>
  <c r="A1871" i="17"/>
  <c r="V1870" i="17"/>
  <c r="U1870" i="17"/>
  <c r="T1870" i="17"/>
  <c r="S1870" i="17"/>
  <c r="R1870" i="17"/>
  <c r="N1870" i="17"/>
  <c r="M1870" i="17"/>
  <c r="V1869" i="17"/>
  <c r="U1869" i="17"/>
  <c r="T1869" i="17"/>
  <c r="S1869" i="17"/>
  <c r="R1869" i="17"/>
  <c r="N1869" i="17"/>
  <c r="M1869" i="17"/>
  <c r="V1868" i="17"/>
  <c r="U1868" i="17"/>
  <c r="T1868" i="17"/>
  <c r="S1868" i="17"/>
  <c r="R1868" i="17"/>
  <c r="N1868" i="17"/>
  <c r="M1868" i="17"/>
  <c r="V1867" i="17"/>
  <c r="U1867" i="17"/>
  <c r="T1867" i="17"/>
  <c r="S1867" i="17"/>
  <c r="R1867" i="17"/>
  <c r="N1867" i="17"/>
  <c r="M1867" i="17"/>
  <c r="V1866" i="17"/>
  <c r="U1866" i="17"/>
  <c r="T1866" i="17"/>
  <c r="S1866" i="17"/>
  <c r="R1866" i="17"/>
  <c r="N1866" i="17"/>
  <c r="M1866" i="17"/>
  <c r="V1865" i="17"/>
  <c r="U1865" i="17"/>
  <c r="T1865" i="17"/>
  <c r="S1865" i="17"/>
  <c r="R1865" i="17"/>
  <c r="N1865" i="17"/>
  <c r="M1865" i="17"/>
  <c r="V1864" i="17"/>
  <c r="U1864" i="17"/>
  <c r="T1864" i="17"/>
  <c r="S1864" i="17"/>
  <c r="R1864" i="17"/>
  <c r="N1864" i="17"/>
  <c r="M1864" i="17"/>
  <c r="V1863" i="17"/>
  <c r="U1863" i="17"/>
  <c r="T1863" i="17"/>
  <c r="S1863" i="17"/>
  <c r="R1863" i="17"/>
  <c r="N1863" i="17"/>
  <c r="M1863" i="17"/>
  <c r="V1862" i="17"/>
  <c r="U1862" i="17"/>
  <c r="T1862" i="17"/>
  <c r="S1862" i="17"/>
  <c r="R1862" i="17"/>
  <c r="N1862" i="17"/>
  <c r="M1862" i="17"/>
  <c r="V1861" i="17"/>
  <c r="U1861" i="17"/>
  <c r="T1861" i="17"/>
  <c r="S1861" i="17"/>
  <c r="R1861" i="17"/>
  <c r="N1861" i="17"/>
  <c r="M1861" i="17"/>
  <c r="V1860" i="17"/>
  <c r="U1860" i="17"/>
  <c r="T1860" i="17"/>
  <c r="S1860" i="17"/>
  <c r="R1860" i="17"/>
  <c r="N1860" i="17"/>
  <c r="M1860" i="17"/>
  <c r="V1859" i="17"/>
  <c r="U1859" i="17"/>
  <c r="T1859" i="17"/>
  <c r="S1859" i="17"/>
  <c r="R1859" i="17"/>
  <c r="N1859" i="17"/>
  <c r="M1859" i="17"/>
  <c r="V1858" i="17"/>
  <c r="U1858" i="17"/>
  <c r="T1858" i="17"/>
  <c r="S1858" i="17"/>
  <c r="R1858" i="17"/>
  <c r="N1858" i="17"/>
  <c r="M1858" i="17"/>
  <c r="V1857" i="17"/>
  <c r="U1857" i="17"/>
  <c r="T1857" i="17"/>
  <c r="S1857" i="17"/>
  <c r="R1857" i="17"/>
  <c r="N1857" i="17"/>
  <c r="M1857" i="17"/>
  <c r="V1856" i="17"/>
  <c r="U1856" i="17"/>
  <c r="T1856" i="17"/>
  <c r="S1856" i="17"/>
  <c r="R1856" i="17"/>
  <c r="N1856" i="17"/>
  <c r="M1856" i="17"/>
  <c r="V1855" i="17"/>
  <c r="U1855" i="17"/>
  <c r="T1855" i="17"/>
  <c r="S1855" i="17"/>
  <c r="R1855" i="17"/>
  <c r="N1855" i="17"/>
  <c r="M1855" i="17"/>
  <c r="V1854" i="17"/>
  <c r="U1854" i="17"/>
  <c r="T1854" i="17"/>
  <c r="S1854" i="17"/>
  <c r="R1854" i="17"/>
  <c r="N1854" i="17"/>
  <c r="M1854" i="17"/>
  <c r="A1854" i="17"/>
  <c r="V1853" i="17"/>
  <c r="U1853" i="17"/>
  <c r="T1853" i="17"/>
  <c r="S1853" i="17"/>
  <c r="R1853" i="17"/>
  <c r="N1853" i="17"/>
  <c r="M1853" i="17"/>
  <c r="A1853" i="17"/>
  <c r="V1852" i="17"/>
  <c r="U1852" i="17"/>
  <c r="T1852" i="17"/>
  <c r="S1852" i="17"/>
  <c r="R1852" i="17"/>
  <c r="N1852" i="17"/>
  <c r="M1852" i="17"/>
  <c r="A1852" i="17"/>
  <c r="V1851" i="17"/>
  <c r="U1851" i="17"/>
  <c r="T1851" i="17"/>
  <c r="S1851" i="17"/>
  <c r="R1851" i="17"/>
  <c r="N1851" i="17"/>
  <c r="M1851" i="17"/>
  <c r="A1851" i="17"/>
  <c r="V1850" i="17"/>
  <c r="U1850" i="17"/>
  <c r="T1850" i="17"/>
  <c r="S1850" i="17"/>
  <c r="R1850" i="17"/>
  <c r="N1850" i="17"/>
  <c r="M1850" i="17"/>
  <c r="A1850" i="17"/>
  <c r="V1849" i="17"/>
  <c r="U1849" i="17"/>
  <c r="T1849" i="17"/>
  <c r="S1849" i="17"/>
  <c r="R1849" i="17"/>
  <c r="N1849" i="17"/>
  <c r="M1849" i="17"/>
  <c r="A1849" i="17"/>
  <c r="V1848" i="17"/>
  <c r="U1848" i="17"/>
  <c r="T1848" i="17"/>
  <c r="S1848" i="17"/>
  <c r="R1848" i="17"/>
  <c r="N1848" i="17"/>
  <c r="M1848" i="17"/>
  <c r="A1848" i="17"/>
  <c r="V1847" i="17"/>
  <c r="U1847" i="17"/>
  <c r="T1847" i="17"/>
  <c r="S1847" i="17"/>
  <c r="R1847" i="17"/>
  <c r="N1847" i="17"/>
  <c r="M1847" i="17"/>
  <c r="A1847" i="17"/>
  <c r="V1846" i="17"/>
  <c r="U1846" i="17"/>
  <c r="T1846" i="17"/>
  <c r="S1846" i="17"/>
  <c r="R1846" i="17"/>
  <c r="N1846" i="17"/>
  <c r="M1846" i="17"/>
  <c r="A1846" i="17"/>
  <c r="V1845" i="17"/>
  <c r="U1845" i="17"/>
  <c r="T1845" i="17"/>
  <c r="S1845" i="17"/>
  <c r="R1845" i="17"/>
  <c r="N1845" i="17"/>
  <c r="M1845" i="17"/>
  <c r="A1845" i="17"/>
  <c r="V1844" i="17"/>
  <c r="U1844" i="17"/>
  <c r="T1844" i="17"/>
  <c r="S1844" i="17"/>
  <c r="R1844" i="17"/>
  <c r="N1844" i="17"/>
  <c r="M1844" i="17"/>
  <c r="A1844" i="17"/>
  <c r="V1843" i="17"/>
  <c r="U1843" i="17"/>
  <c r="T1843" i="17"/>
  <c r="S1843" i="17"/>
  <c r="R1843" i="17"/>
  <c r="N1843" i="17"/>
  <c r="M1843" i="17"/>
  <c r="A1843" i="17"/>
  <c r="V1842" i="17"/>
  <c r="U1842" i="17"/>
  <c r="T1842" i="17"/>
  <c r="S1842" i="17"/>
  <c r="R1842" i="17"/>
  <c r="N1842" i="17"/>
  <c r="M1842" i="17"/>
  <c r="A1842" i="17"/>
  <c r="V1841" i="17"/>
  <c r="U1841" i="17"/>
  <c r="T1841" i="17"/>
  <c r="S1841" i="17"/>
  <c r="R1841" i="17"/>
  <c r="N1841" i="17"/>
  <c r="M1841" i="17"/>
  <c r="A1841" i="17"/>
  <c r="V1840" i="17"/>
  <c r="U1840" i="17"/>
  <c r="T1840" i="17"/>
  <c r="S1840" i="17"/>
  <c r="R1840" i="17"/>
  <c r="N1840" i="17"/>
  <c r="M1840" i="17"/>
  <c r="A1840" i="17"/>
  <c r="V1839" i="17"/>
  <c r="U1839" i="17"/>
  <c r="T1839" i="17"/>
  <c r="S1839" i="17"/>
  <c r="R1839" i="17"/>
  <c r="N1839" i="17"/>
  <c r="M1839" i="17"/>
  <c r="A1839" i="17"/>
  <c r="V1838" i="17"/>
  <c r="U1838" i="17"/>
  <c r="T1838" i="17"/>
  <c r="S1838" i="17"/>
  <c r="R1838" i="17"/>
  <c r="N1838" i="17"/>
  <c r="M1838" i="17"/>
  <c r="A1838" i="17"/>
  <c r="V1837" i="17"/>
  <c r="U1837" i="17"/>
  <c r="T1837" i="17"/>
  <c r="S1837" i="17"/>
  <c r="R1837" i="17"/>
  <c r="N1837" i="17"/>
  <c r="M1837" i="17"/>
  <c r="A1837" i="17"/>
  <c r="V1836" i="17"/>
  <c r="U1836" i="17"/>
  <c r="T1836" i="17"/>
  <c r="S1836" i="17"/>
  <c r="R1836" i="17"/>
  <c r="N1836" i="17"/>
  <c r="M1836" i="17"/>
  <c r="A1836" i="17"/>
  <c r="V1835" i="17"/>
  <c r="U1835" i="17"/>
  <c r="T1835" i="17"/>
  <c r="S1835" i="17"/>
  <c r="R1835" i="17"/>
  <c r="N1835" i="17"/>
  <c r="M1835" i="17"/>
  <c r="A1835" i="17"/>
  <c r="V1834" i="17"/>
  <c r="U1834" i="17"/>
  <c r="T1834" i="17"/>
  <c r="S1834" i="17"/>
  <c r="R1834" i="17"/>
  <c r="N1834" i="17"/>
  <c r="M1834" i="17"/>
  <c r="A1834" i="17"/>
  <c r="V1833" i="17"/>
  <c r="U1833" i="17"/>
  <c r="T1833" i="17"/>
  <c r="S1833" i="17"/>
  <c r="R1833" i="17"/>
  <c r="N1833" i="17"/>
  <c r="M1833" i="17"/>
  <c r="A1833" i="17"/>
  <c r="V1832" i="17"/>
  <c r="U1832" i="17"/>
  <c r="T1832" i="17"/>
  <c r="S1832" i="17"/>
  <c r="R1832" i="17"/>
  <c r="N1832" i="17"/>
  <c r="M1832" i="17"/>
  <c r="A1832" i="17"/>
  <c r="V1831" i="17"/>
  <c r="U1831" i="17"/>
  <c r="T1831" i="17"/>
  <c r="S1831" i="17"/>
  <c r="R1831" i="17"/>
  <c r="N1831" i="17"/>
  <c r="M1831" i="17"/>
  <c r="A1831" i="17"/>
  <c r="V1830" i="17"/>
  <c r="U1830" i="17"/>
  <c r="T1830" i="17"/>
  <c r="S1830" i="17"/>
  <c r="R1830" i="17"/>
  <c r="N1830" i="17"/>
  <c r="M1830" i="17"/>
  <c r="A1830" i="17"/>
  <c r="V1829" i="17"/>
  <c r="U1829" i="17"/>
  <c r="T1829" i="17"/>
  <c r="S1829" i="17"/>
  <c r="R1829" i="17"/>
  <c r="N1829" i="17"/>
  <c r="M1829" i="17"/>
  <c r="A1829" i="17"/>
  <c r="V1828" i="17"/>
  <c r="U1828" i="17"/>
  <c r="T1828" i="17"/>
  <c r="S1828" i="17"/>
  <c r="R1828" i="17"/>
  <c r="N1828" i="17"/>
  <c r="M1828" i="17"/>
  <c r="A1828" i="17"/>
  <c r="V1827" i="17"/>
  <c r="U1827" i="17"/>
  <c r="T1827" i="17"/>
  <c r="S1827" i="17"/>
  <c r="R1827" i="17"/>
  <c r="N1827" i="17"/>
  <c r="M1827" i="17"/>
  <c r="A1827" i="17"/>
  <c r="V1826" i="17"/>
  <c r="U1826" i="17"/>
  <c r="T1826" i="17"/>
  <c r="S1826" i="17"/>
  <c r="R1826" i="17"/>
  <c r="N1826" i="17"/>
  <c r="M1826" i="17"/>
  <c r="A1826" i="17"/>
  <c r="V1825" i="17"/>
  <c r="U1825" i="17"/>
  <c r="T1825" i="17"/>
  <c r="S1825" i="17"/>
  <c r="R1825" i="17"/>
  <c r="N1825" i="17"/>
  <c r="M1825" i="17"/>
  <c r="A1825" i="17"/>
  <c r="V1824" i="17"/>
  <c r="U1824" i="17"/>
  <c r="T1824" i="17"/>
  <c r="S1824" i="17"/>
  <c r="R1824" i="17"/>
  <c r="N1824" i="17"/>
  <c r="M1824" i="17"/>
  <c r="A1824" i="17"/>
  <c r="V1823" i="17"/>
  <c r="U1823" i="17"/>
  <c r="T1823" i="17"/>
  <c r="S1823" i="17"/>
  <c r="R1823" i="17"/>
  <c r="N1823" i="17"/>
  <c r="M1823" i="17"/>
  <c r="A1823" i="17"/>
  <c r="V1822" i="17"/>
  <c r="U1822" i="17"/>
  <c r="T1822" i="17"/>
  <c r="S1822" i="17"/>
  <c r="R1822" i="17"/>
  <c r="N1822" i="17"/>
  <c r="M1822" i="17"/>
  <c r="A1822" i="17"/>
  <c r="V1821" i="17"/>
  <c r="U1821" i="17"/>
  <c r="T1821" i="17"/>
  <c r="S1821" i="17"/>
  <c r="R1821" i="17"/>
  <c r="N1821" i="17"/>
  <c r="M1821" i="17"/>
  <c r="A1821" i="17"/>
  <c r="V1820" i="17"/>
  <c r="U1820" i="17"/>
  <c r="T1820" i="17"/>
  <c r="S1820" i="17"/>
  <c r="R1820" i="17"/>
  <c r="N1820" i="17"/>
  <c r="M1820" i="17"/>
  <c r="A1820" i="17"/>
  <c r="V1819" i="17"/>
  <c r="U1819" i="17"/>
  <c r="T1819" i="17"/>
  <c r="S1819" i="17"/>
  <c r="R1819" i="17"/>
  <c r="N1819" i="17"/>
  <c r="M1819" i="17"/>
  <c r="A1819" i="17"/>
  <c r="V1818" i="17"/>
  <c r="U1818" i="17"/>
  <c r="T1818" i="17"/>
  <c r="S1818" i="17"/>
  <c r="R1818" i="17"/>
  <c r="N1818" i="17"/>
  <c r="M1818" i="17"/>
  <c r="A1818" i="17"/>
  <c r="V1817" i="17"/>
  <c r="U1817" i="17"/>
  <c r="T1817" i="17"/>
  <c r="S1817" i="17"/>
  <c r="R1817" i="17"/>
  <c r="N1817" i="17"/>
  <c r="M1817" i="17"/>
  <c r="A1817" i="17"/>
  <c r="V1816" i="17"/>
  <c r="U1816" i="17"/>
  <c r="T1816" i="17"/>
  <c r="S1816" i="17"/>
  <c r="R1816" i="17"/>
  <c r="N1816" i="17"/>
  <c r="M1816" i="17"/>
  <c r="A1816" i="17"/>
  <c r="V1815" i="17"/>
  <c r="U1815" i="17"/>
  <c r="T1815" i="17"/>
  <c r="S1815" i="17"/>
  <c r="R1815" i="17"/>
  <c r="N1815" i="17"/>
  <c r="M1815" i="17"/>
  <c r="A1815" i="17"/>
  <c r="V1814" i="17"/>
  <c r="U1814" i="17"/>
  <c r="T1814" i="17"/>
  <c r="S1814" i="17"/>
  <c r="R1814" i="17"/>
  <c r="N1814" i="17"/>
  <c r="M1814" i="17"/>
  <c r="A1814" i="17"/>
  <c r="V1813" i="17"/>
  <c r="U1813" i="17"/>
  <c r="T1813" i="17"/>
  <c r="S1813" i="17"/>
  <c r="R1813" i="17"/>
  <c r="N1813" i="17"/>
  <c r="M1813" i="17"/>
  <c r="A1813" i="17"/>
  <c r="V1812" i="17"/>
  <c r="U1812" i="17"/>
  <c r="T1812" i="17"/>
  <c r="S1812" i="17"/>
  <c r="R1812" i="17"/>
  <c r="N1812" i="17"/>
  <c r="M1812" i="17"/>
  <c r="A1812" i="17"/>
  <c r="V1811" i="17"/>
  <c r="U1811" i="17"/>
  <c r="T1811" i="17"/>
  <c r="S1811" i="17"/>
  <c r="R1811" i="17"/>
  <c r="N1811" i="17"/>
  <c r="M1811" i="17"/>
  <c r="A1811" i="17"/>
  <c r="V1810" i="17"/>
  <c r="U1810" i="17"/>
  <c r="T1810" i="17"/>
  <c r="S1810" i="17"/>
  <c r="R1810" i="17"/>
  <c r="N1810" i="17"/>
  <c r="M1810" i="17"/>
  <c r="A1810" i="17"/>
  <c r="V1809" i="17"/>
  <c r="U1809" i="17"/>
  <c r="T1809" i="17"/>
  <c r="S1809" i="17"/>
  <c r="R1809" i="17"/>
  <c r="N1809" i="17"/>
  <c r="M1809" i="17"/>
  <c r="A1809" i="17"/>
  <c r="V1808" i="17"/>
  <c r="U1808" i="17"/>
  <c r="T1808" i="17"/>
  <c r="S1808" i="17"/>
  <c r="R1808" i="17"/>
  <c r="N1808" i="17"/>
  <c r="M1808" i="17"/>
  <c r="A1808" i="17"/>
  <c r="V1807" i="17"/>
  <c r="U1807" i="17"/>
  <c r="T1807" i="17"/>
  <c r="S1807" i="17"/>
  <c r="R1807" i="17"/>
  <c r="N1807" i="17"/>
  <c r="M1807" i="17"/>
  <c r="A1807" i="17"/>
  <c r="V1806" i="17"/>
  <c r="U1806" i="17"/>
  <c r="T1806" i="17"/>
  <c r="S1806" i="17"/>
  <c r="R1806" i="17"/>
  <c r="N1806" i="17"/>
  <c r="M1806" i="17"/>
  <c r="A1806" i="17"/>
  <c r="V1805" i="17"/>
  <c r="U1805" i="17"/>
  <c r="T1805" i="17"/>
  <c r="S1805" i="17"/>
  <c r="R1805" i="17"/>
  <c r="N1805" i="17"/>
  <c r="M1805" i="17"/>
  <c r="A1805" i="17"/>
  <c r="V1804" i="17"/>
  <c r="U1804" i="17"/>
  <c r="T1804" i="17"/>
  <c r="S1804" i="17"/>
  <c r="R1804" i="17"/>
  <c r="N1804" i="17"/>
  <c r="M1804" i="17"/>
  <c r="A1804" i="17"/>
  <c r="V1803" i="17"/>
  <c r="U1803" i="17"/>
  <c r="T1803" i="17"/>
  <c r="S1803" i="17"/>
  <c r="R1803" i="17"/>
  <c r="N1803" i="17"/>
  <c r="M1803" i="17"/>
  <c r="A1803" i="17"/>
  <c r="V1802" i="17"/>
  <c r="U1802" i="17"/>
  <c r="T1802" i="17"/>
  <c r="S1802" i="17"/>
  <c r="R1802" i="17"/>
  <c r="N1802" i="17"/>
  <c r="M1802" i="17"/>
  <c r="A1802" i="17"/>
  <c r="V1801" i="17"/>
  <c r="U1801" i="17"/>
  <c r="T1801" i="17"/>
  <c r="S1801" i="17"/>
  <c r="R1801" i="17"/>
  <c r="N1801" i="17"/>
  <c r="M1801" i="17"/>
  <c r="A1801" i="17"/>
  <c r="V1800" i="17"/>
  <c r="U1800" i="17"/>
  <c r="T1800" i="17"/>
  <c r="S1800" i="17"/>
  <c r="R1800" i="17"/>
  <c r="N1800" i="17"/>
  <c r="M1800" i="17"/>
  <c r="A1800" i="17"/>
  <c r="V1799" i="17"/>
  <c r="U1799" i="17"/>
  <c r="T1799" i="17"/>
  <c r="S1799" i="17"/>
  <c r="R1799" i="17"/>
  <c r="N1799" i="17"/>
  <c r="M1799" i="17"/>
  <c r="A1799" i="17"/>
  <c r="V1798" i="17"/>
  <c r="U1798" i="17"/>
  <c r="T1798" i="17"/>
  <c r="S1798" i="17"/>
  <c r="R1798" i="17"/>
  <c r="N1798" i="17"/>
  <c r="M1798" i="17"/>
  <c r="A1798" i="17"/>
  <c r="V1797" i="17"/>
  <c r="U1797" i="17"/>
  <c r="T1797" i="17"/>
  <c r="S1797" i="17"/>
  <c r="R1797" i="17"/>
  <c r="N1797" i="17"/>
  <c r="M1797" i="17"/>
  <c r="A1797" i="17"/>
  <c r="V1796" i="17"/>
  <c r="U1796" i="17"/>
  <c r="T1796" i="17"/>
  <c r="S1796" i="17"/>
  <c r="R1796" i="17"/>
  <c r="N1796" i="17"/>
  <c r="M1796" i="17"/>
  <c r="A1796" i="17"/>
  <c r="V1795" i="17"/>
  <c r="U1795" i="17"/>
  <c r="T1795" i="17"/>
  <c r="S1795" i="17"/>
  <c r="R1795" i="17"/>
  <c r="N1795" i="17"/>
  <c r="M1795" i="17"/>
  <c r="A1795" i="17"/>
  <c r="V1794" i="17"/>
  <c r="U1794" i="17"/>
  <c r="T1794" i="17"/>
  <c r="S1794" i="17"/>
  <c r="R1794" i="17"/>
  <c r="N1794" i="17"/>
  <c r="M1794" i="17"/>
  <c r="A1794" i="17"/>
  <c r="V1793" i="17"/>
  <c r="U1793" i="17"/>
  <c r="T1793" i="17"/>
  <c r="S1793" i="17"/>
  <c r="R1793" i="17"/>
  <c r="N1793" i="17"/>
  <c r="M1793" i="17"/>
  <c r="A1793" i="17"/>
  <c r="V1792" i="17"/>
  <c r="U1792" i="17"/>
  <c r="T1792" i="17"/>
  <c r="S1792" i="17"/>
  <c r="R1792" i="17"/>
  <c r="N1792" i="17"/>
  <c r="M1792" i="17"/>
  <c r="A1792" i="17"/>
  <c r="V1791" i="17"/>
  <c r="U1791" i="17"/>
  <c r="T1791" i="17"/>
  <c r="S1791" i="17"/>
  <c r="R1791" i="17"/>
  <c r="N1791" i="17"/>
  <c r="M1791" i="17"/>
  <c r="A1791" i="17"/>
  <c r="V1790" i="17"/>
  <c r="U1790" i="17"/>
  <c r="T1790" i="17"/>
  <c r="S1790" i="17"/>
  <c r="R1790" i="17"/>
  <c r="N1790" i="17"/>
  <c r="M1790" i="17"/>
  <c r="A1790" i="17"/>
  <c r="V1789" i="17"/>
  <c r="U1789" i="17"/>
  <c r="T1789" i="17"/>
  <c r="S1789" i="17"/>
  <c r="R1789" i="17"/>
  <c r="N1789" i="17"/>
  <c r="M1789" i="17"/>
  <c r="A1789" i="17"/>
  <c r="V1788" i="17"/>
  <c r="U1788" i="17"/>
  <c r="T1788" i="17"/>
  <c r="S1788" i="17"/>
  <c r="R1788" i="17"/>
  <c r="N1788" i="17"/>
  <c r="M1788" i="17"/>
  <c r="A1788" i="17"/>
  <c r="V1787" i="17"/>
  <c r="U1787" i="17"/>
  <c r="T1787" i="17"/>
  <c r="S1787" i="17"/>
  <c r="R1787" i="17"/>
  <c r="N1787" i="17"/>
  <c r="M1787" i="17"/>
  <c r="A1787" i="17"/>
  <c r="V1786" i="17"/>
  <c r="U1786" i="17"/>
  <c r="T1786" i="17"/>
  <c r="S1786" i="17"/>
  <c r="R1786" i="17"/>
  <c r="N1786" i="17"/>
  <c r="M1786" i="17"/>
  <c r="A1786" i="17"/>
  <c r="V1785" i="17"/>
  <c r="U1785" i="17"/>
  <c r="T1785" i="17"/>
  <c r="S1785" i="17"/>
  <c r="R1785" i="17"/>
  <c r="N1785" i="17"/>
  <c r="M1785" i="17"/>
  <c r="A1785" i="17"/>
  <c r="V1784" i="17"/>
  <c r="U1784" i="17"/>
  <c r="T1784" i="17"/>
  <c r="S1784" i="17"/>
  <c r="R1784" i="17"/>
  <c r="N1784" i="17"/>
  <c r="M1784" i="17"/>
  <c r="A1784" i="17"/>
  <c r="V1783" i="17"/>
  <c r="U1783" i="17"/>
  <c r="T1783" i="17"/>
  <c r="S1783" i="17"/>
  <c r="R1783" i="17"/>
  <c r="N1783" i="17"/>
  <c r="M1783" i="17"/>
  <c r="A1783" i="17"/>
  <c r="V1782" i="17"/>
  <c r="U1782" i="17"/>
  <c r="T1782" i="17"/>
  <c r="S1782" i="17"/>
  <c r="R1782" i="17"/>
  <c r="N1782" i="17"/>
  <c r="M1782" i="17"/>
  <c r="A1782" i="17"/>
  <c r="V1781" i="17"/>
  <c r="U1781" i="17"/>
  <c r="T1781" i="17"/>
  <c r="S1781" i="17"/>
  <c r="R1781" i="17"/>
  <c r="N1781" i="17"/>
  <c r="M1781" i="17"/>
  <c r="A1781" i="17"/>
  <c r="V1780" i="17"/>
  <c r="U1780" i="17"/>
  <c r="T1780" i="17"/>
  <c r="S1780" i="17"/>
  <c r="R1780" i="17"/>
  <c r="N1780" i="17"/>
  <c r="M1780" i="17"/>
  <c r="A1780" i="17"/>
  <c r="V1779" i="17"/>
  <c r="U1779" i="17"/>
  <c r="T1779" i="17"/>
  <c r="S1779" i="17"/>
  <c r="R1779" i="17"/>
  <c r="N1779" i="17"/>
  <c r="M1779" i="17"/>
  <c r="A1779" i="17"/>
  <c r="V1778" i="17"/>
  <c r="U1778" i="17"/>
  <c r="T1778" i="17"/>
  <c r="S1778" i="17"/>
  <c r="R1778" i="17"/>
  <c r="N1778" i="17"/>
  <c r="M1778" i="17"/>
  <c r="A1778" i="17"/>
  <c r="V1777" i="17"/>
  <c r="U1777" i="17"/>
  <c r="T1777" i="17"/>
  <c r="S1777" i="17"/>
  <c r="R1777" i="17"/>
  <c r="N1777" i="17"/>
  <c r="M1777" i="17"/>
  <c r="A1777" i="17"/>
  <c r="V1776" i="17"/>
  <c r="U1776" i="17"/>
  <c r="T1776" i="17"/>
  <c r="S1776" i="17"/>
  <c r="R1776" i="17"/>
  <c r="N1776" i="17"/>
  <c r="M1776" i="17"/>
  <c r="A1776" i="17"/>
  <c r="V1775" i="17"/>
  <c r="U1775" i="17"/>
  <c r="T1775" i="17"/>
  <c r="S1775" i="17"/>
  <c r="R1775" i="17"/>
  <c r="N1775" i="17"/>
  <c r="M1775" i="17"/>
  <c r="A1775" i="17"/>
  <c r="V1774" i="17"/>
  <c r="U1774" i="17"/>
  <c r="T1774" i="17"/>
  <c r="S1774" i="17"/>
  <c r="R1774" i="17"/>
  <c r="N1774" i="17"/>
  <c r="M1774" i="17"/>
  <c r="A1774" i="17"/>
  <c r="V1773" i="17"/>
  <c r="U1773" i="17"/>
  <c r="T1773" i="17"/>
  <c r="S1773" i="17"/>
  <c r="R1773" i="17"/>
  <c r="N1773" i="17"/>
  <c r="M1773" i="17"/>
  <c r="A1773" i="17"/>
  <c r="V1772" i="17"/>
  <c r="U1772" i="17"/>
  <c r="T1772" i="17"/>
  <c r="S1772" i="17"/>
  <c r="R1772" i="17"/>
  <c r="N1772" i="17"/>
  <c r="M1772" i="17"/>
  <c r="A1772" i="17"/>
  <c r="V1771" i="17"/>
  <c r="U1771" i="17"/>
  <c r="T1771" i="17"/>
  <c r="S1771" i="17"/>
  <c r="R1771" i="17"/>
  <c r="N1771" i="17"/>
  <c r="M1771" i="17"/>
  <c r="A1771" i="17"/>
  <c r="V1770" i="17"/>
  <c r="U1770" i="17"/>
  <c r="T1770" i="17"/>
  <c r="S1770" i="17"/>
  <c r="R1770" i="17"/>
  <c r="N1770" i="17"/>
  <c r="M1770" i="17"/>
  <c r="A1770" i="17"/>
  <c r="V1769" i="17"/>
  <c r="U1769" i="17"/>
  <c r="T1769" i="17"/>
  <c r="S1769" i="17"/>
  <c r="R1769" i="17"/>
  <c r="N1769" i="17"/>
  <c r="M1769" i="17"/>
  <c r="A1769" i="17"/>
  <c r="V1768" i="17"/>
  <c r="U1768" i="17"/>
  <c r="T1768" i="17"/>
  <c r="S1768" i="17"/>
  <c r="R1768" i="17"/>
  <c r="N1768" i="17"/>
  <c r="M1768" i="17"/>
  <c r="A1768" i="17"/>
  <c r="V1767" i="17"/>
  <c r="U1767" i="17"/>
  <c r="T1767" i="17"/>
  <c r="S1767" i="17"/>
  <c r="R1767" i="17"/>
  <c r="N1767" i="17"/>
  <c r="M1767" i="17"/>
  <c r="A1767" i="17"/>
  <c r="V1766" i="17"/>
  <c r="U1766" i="17"/>
  <c r="T1766" i="17"/>
  <c r="S1766" i="17"/>
  <c r="R1766" i="17"/>
  <c r="N1766" i="17"/>
  <c r="M1766" i="17"/>
  <c r="A1766" i="17"/>
  <c r="V1765" i="17"/>
  <c r="U1765" i="17"/>
  <c r="T1765" i="17"/>
  <c r="S1765" i="17"/>
  <c r="R1765" i="17"/>
  <c r="N1765" i="17"/>
  <c r="M1765" i="17"/>
  <c r="A1765" i="17"/>
  <c r="V1764" i="17"/>
  <c r="U1764" i="17"/>
  <c r="T1764" i="17"/>
  <c r="S1764" i="17"/>
  <c r="R1764" i="17"/>
  <c r="N1764" i="17"/>
  <c r="M1764" i="17"/>
  <c r="A1764" i="17"/>
  <c r="V1763" i="17"/>
  <c r="U1763" i="17"/>
  <c r="T1763" i="17"/>
  <c r="S1763" i="17"/>
  <c r="R1763" i="17"/>
  <c r="N1763" i="17"/>
  <c r="M1763" i="17"/>
  <c r="A1763" i="17"/>
  <c r="V1762" i="17"/>
  <c r="U1762" i="17"/>
  <c r="T1762" i="17"/>
  <c r="S1762" i="17"/>
  <c r="R1762" i="17"/>
  <c r="N1762" i="17"/>
  <c r="M1762" i="17"/>
  <c r="A1762" i="17"/>
  <c r="V1761" i="17"/>
  <c r="U1761" i="17"/>
  <c r="T1761" i="17"/>
  <c r="S1761" i="17"/>
  <c r="R1761" i="17"/>
  <c r="N1761" i="17"/>
  <c r="M1761" i="17"/>
  <c r="A1761" i="17"/>
  <c r="V1760" i="17"/>
  <c r="U1760" i="17"/>
  <c r="T1760" i="17"/>
  <c r="S1760" i="17"/>
  <c r="R1760" i="17"/>
  <c r="N1760" i="17"/>
  <c r="M1760" i="17"/>
  <c r="A1760" i="17"/>
  <c r="V1759" i="17"/>
  <c r="U1759" i="17"/>
  <c r="T1759" i="17"/>
  <c r="S1759" i="17"/>
  <c r="R1759" i="17"/>
  <c r="N1759" i="17"/>
  <c r="M1759" i="17"/>
  <c r="A1759" i="17"/>
  <c r="V1758" i="17"/>
  <c r="U1758" i="17"/>
  <c r="T1758" i="17"/>
  <c r="S1758" i="17"/>
  <c r="R1758" i="17"/>
  <c r="N1758" i="17"/>
  <c r="M1758" i="17"/>
  <c r="A1758" i="17"/>
  <c r="V1757" i="17"/>
  <c r="U1757" i="17"/>
  <c r="T1757" i="17"/>
  <c r="S1757" i="17"/>
  <c r="R1757" i="17"/>
  <c r="N1757" i="17"/>
  <c r="M1757" i="17"/>
  <c r="A1757" i="17"/>
  <c r="V1756" i="17"/>
  <c r="U1756" i="17"/>
  <c r="T1756" i="17"/>
  <c r="S1756" i="17"/>
  <c r="R1756" i="17"/>
  <c r="N1756" i="17"/>
  <c r="M1756" i="17"/>
  <c r="A1756" i="17"/>
  <c r="V1755" i="17"/>
  <c r="U1755" i="17"/>
  <c r="T1755" i="17"/>
  <c r="S1755" i="17"/>
  <c r="R1755" i="17"/>
  <c r="N1755" i="17"/>
  <c r="M1755" i="17"/>
  <c r="A1755" i="17"/>
  <c r="V1754" i="17"/>
  <c r="U1754" i="17"/>
  <c r="T1754" i="17"/>
  <c r="S1754" i="17"/>
  <c r="R1754" i="17"/>
  <c r="N1754" i="17"/>
  <c r="M1754" i="17"/>
  <c r="A1754" i="17"/>
  <c r="V1753" i="17"/>
  <c r="U1753" i="17"/>
  <c r="T1753" i="17"/>
  <c r="S1753" i="17"/>
  <c r="R1753" i="17"/>
  <c r="N1753" i="17"/>
  <c r="M1753" i="17"/>
  <c r="A1753" i="17"/>
  <c r="V1752" i="17"/>
  <c r="U1752" i="17"/>
  <c r="T1752" i="17"/>
  <c r="S1752" i="17"/>
  <c r="R1752" i="17"/>
  <c r="N1752" i="17"/>
  <c r="M1752" i="17"/>
  <c r="A1752" i="17"/>
  <c r="V1751" i="17"/>
  <c r="U1751" i="17"/>
  <c r="T1751" i="17"/>
  <c r="S1751" i="17"/>
  <c r="R1751" i="17"/>
  <c r="N1751" i="17"/>
  <c r="M1751" i="17"/>
  <c r="A1751" i="17"/>
  <c r="V1750" i="17"/>
  <c r="U1750" i="17"/>
  <c r="T1750" i="17"/>
  <c r="S1750" i="17"/>
  <c r="R1750" i="17"/>
  <c r="N1750" i="17"/>
  <c r="M1750" i="17"/>
  <c r="A1750" i="17"/>
  <c r="V1749" i="17"/>
  <c r="U1749" i="17"/>
  <c r="T1749" i="17"/>
  <c r="S1749" i="17"/>
  <c r="R1749" i="17"/>
  <c r="N1749" i="17"/>
  <c r="M1749" i="17"/>
  <c r="A1749" i="17"/>
  <c r="V1748" i="17"/>
  <c r="U1748" i="17"/>
  <c r="T1748" i="17"/>
  <c r="S1748" i="17"/>
  <c r="R1748" i="17"/>
  <c r="N1748" i="17"/>
  <c r="M1748" i="17"/>
  <c r="A1748" i="17"/>
  <c r="V1747" i="17"/>
  <c r="U1747" i="17"/>
  <c r="T1747" i="17"/>
  <c r="S1747" i="17"/>
  <c r="R1747" i="17"/>
  <c r="N1747" i="17"/>
  <c r="M1747" i="17"/>
  <c r="A1747" i="17"/>
  <c r="V1746" i="17"/>
  <c r="U1746" i="17"/>
  <c r="T1746" i="17"/>
  <c r="S1746" i="17"/>
  <c r="R1746" i="17"/>
  <c r="N1746" i="17"/>
  <c r="M1746" i="17"/>
  <c r="A1746" i="17"/>
  <c r="V1745" i="17"/>
  <c r="U1745" i="17"/>
  <c r="T1745" i="17"/>
  <c r="S1745" i="17"/>
  <c r="R1745" i="17"/>
  <c r="N1745" i="17"/>
  <c r="M1745" i="17"/>
  <c r="A1745" i="17"/>
  <c r="V1744" i="17"/>
  <c r="U1744" i="17"/>
  <c r="T1744" i="17"/>
  <c r="S1744" i="17"/>
  <c r="R1744" i="17"/>
  <c r="N1744" i="17"/>
  <c r="M1744" i="17"/>
  <c r="A1744" i="17"/>
  <c r="V1743" i="17"/>
  <c r="U1743" i="17"/>
  <c r="T1743" i="17"/>
  <c r="S1743" i="17"/>
  <c r="R1743" i="17"/>
  <c r="N1743" i="17"/>
  <c r="M1743" i="17"/>
  <c r="A1743" i="17"/>
  <c r="V1742" i="17"/>
  <c r="U1742" i="17"/>
  <c r="T1742" i="17"/>
  <c r="S1742" i="17"/>
  <c r="R1742" i="17"/>
  <c r="N1742" i="17"/>
  <c r="M1742" i="17"/>
  <c r="A1742" i="17"/>
  <c r="V1741" i="17"/>
  <c r="U1741" i="17"/>
  <c r="T1741" i="17"/>
  <c r="S1741" i="17"/>
  <c r="R1741" i="17"/>
  <c r="N1741" i="17"/>
  <c r="M1741" i="17"/>
  <c r="A1741" i="17"/>
  <c r="V1740" i="17"/>
  <c r="U1740" i="17"/>
  <c r="T1740" i="17"/>
  <c r="S1740" i="17"/>
  <c r="R1740" i="17"/>
  <c r="N1740" i="17"/>
  <c r="M1740" i="17"/>
  <c r="A1740" i="17"/>
  <c r="V1739" i="17"/>
  <c r="U1739" i="17"/>
  <c r="T1739" i="17"/>
  <c r="S1739" i="17"/>
  <c r="R1739" i="17"/>
  <c r="N1739" i="17"/>
  <c r="M1739" i="17"/>
  <c r="A1739" i="17"/>
  <c r="V1738" i="17"/>
  <c r="U1738" i="17"/>
  <c r="T1738" i="17"/>
  <c r="S1738" i="17"/>
  <c r="R1738" i="17"/>
  <c r="N1738" i="17"/>
  <c r="M1738" i="17"/>
  <c r="A1738" i="17"/>
  <c r="V1737" i="17"/>
  <c r="U1737" i="17"/>
  <c r="T1737" i="17"/>
  <c r="S1737" i="17"/>
  <c r="R1737" i="17"/>
  <c r="N1737" i="17"/>
  <c r="M1737" i="17"/>
  <c r="A1737" i="17"/>
  <c r="V1736" i="17"/>
  <c r="U1736" i="17"/>
  <c r="T1736" i="17"/>
  <c r="S1736" i="17"/>
  <c r="R1736" i="17"/>
  <c r="N1736" i="17"/>
  <c r="M1736" i="17"/>
  <c r="A1736" i="17"/>
  <c r="V1735" i="17"/>
  <c r="U1735" i="17"/>
  <c r="T1735" i="17"/>
  <c r="S1735" i="17"/>
  <c r="R1735" i="17"/>
  <c r="N1735" i="17"/>
  <c r="M1735" i="17"/>
  <c r="A1735" i="17"/>
  <c r="V1734" i="17"/>
  <c r="U1734" i="17"/>
  <c r="T1734" i="17"/>
  <c r="S1734" i="17"/>
  <c r="R1734" i="17"/>
  <c r="N1734" i="17"/>
  <c r="M1734" i="17"/>
  <c r="A1734" i="17"/>
  <c r="V1733" i="17"/>
  <c r="U1733" i="17"/>
  <c r="T1733" i="17"/>
  <c r="S1733" i="17"/>
  <c r="R1733" i="17"/>
  <c r="N1733" i="17"/>
  <c r="M1733" i="17"/>
  <c r="A1733" i="17"/>
  <c r="V1732" i="17"/>
  <c r="U1732" i="17"/>
  <c r="T1732" i="17"/>
  <c r="S1732" i="17"/>
  <c r="R1732" i="17"/>
  <c r="N1732" i="17"/>
  <c r="M1732" i="17"/>
  <c r="A1732" i="17"/>
  <c r="V1731" i="17"/>
  <c r="U1731" i="17"/>
  <c r="T1731" i="17"/>
  <c r="S1731" i="17"/>
  <c r="R1731" i="17"/>
  <c r="N1731" i="17"/>
  <c r="M1731" i="17"/>
  <c r="A1731" i="17"/>
  <c r="V1730" i="17"/>
  <c r="U1730" i="17"/>
  <c r="T1730" i="17"/>
  <c r="S1730" i="17"/>
  <c r="R1730" i="17"/>
  <c r="N1730" i="17"/>
  <c r="M1730" i="17"/>
  <c r="A1730" i="17"/>
  <c r="V1729" i="17"/>
  <c r="U1729" i="17"/>
  <c r="T1729" i="17"/>
  <c r="S1729" i="17"/>
  <c r="R1729" i="17"/>
  <c r="N1729" i="17"/>
  <c r="M1729" i="17"/>
  <c r="A1729" i="17"/>
  <c r="V1728" i="17"/>
  <c r="U1728" i="17"/>
  <c r="T1728" i="17"/>
  <c r="S1728" i="17"/>
  <c r="R1728" i="17"/>
  <c r="N1728" i="17"/>
  <c r="M1728" i="17"/>
  <c r="A1728" i="17"/>
  <c r="V1727" i="17"/>
  <c r="U1727" i="17"/>
  <c r="T1727" i="17"/>
  <c r="S1727" i="17"/>
  <c r="R1727" i="17"/>
  <c r="N1727" i="17"/>
  <c r="M1727" i="17"/>
  <c r="A1727" i="17"/>
  <c r="V1726" i="17"/>
  <c r="U1726" i="17"/>
  <c r="T1726" i="17"/>
  <c r="S1726" i="17"/>
  <c r="R1726" i="17"/>
  <c r="N1726" i="17"/>
  <c r="M1726" i="17"/>
  <c r="A1726" i="17"/>
  <c r="V1725" i="17"/>
  <c r="U1725" i="17"/>
  <c r="T1725" i="17"/>
  <c r="S1725" i="17"/>
  <c r="R1725" i="17"/>
  <c r="N1725" i="17"/>
  <c r="M1725" i="17"/>
  <c r="A1725" i="17"/>
  <c r="V1724" i="17"/>
  <c r="U1724" i="17"/>
  <c r="T1724" i="17"/>
  <c r="S1724" i="17"/>
  <c r="R1724" i="17"/>
  <c r="N1724" i="17"/>
  <c r="M1724" i="17"/>
  <c r="A1724" i="17"/>
  <c r="V1723" i="17"/>
  <c r="U1723" i="17"/>
  <c r="T1723" i="17"/>
  <c r="S1723" i="17"/>
  <c r="R1723" i="17"/>
  <c r="N1723" i="17"/>
  <c r="M1723" i="17"/>
  <c r="A1723" i="17"/>
  <c r="V1722" i="17"/>
  <c r="U1722" i="17"/>
  <c r="T1722" i="17"/>
  <c r="S1722" i="17"/>
  <c r="R1722" i="17"/>
  <c r="N1722" i="17"/>
  <c r="M1722" i="17"/>
  <c r="A1722" i="17"/>
  <c r="V1721" i="17"/>
  <c r="U1721" i="17"/>
  <c r="T1721" i="17"/>
  <c r="S1721" i="17"/>
  <c r="R1721" i="17"/>
  <c r="N1721" i="17"/>
  <c r="M1721" i="17"/>
  <c r="A1721" i="17"/>
  <c r="V1720" i="17"/>
  <c r="U1720" i="17"/>
  <c r="T1720" i="17"/>
  <c r="S1720" i="17"/>
  <c r="R1720" i="17"/>
  <c r="N1720" i="17"/>
  <c r="M1720" i="17"/>
  <c r="A1720" i="17"/>
  <c r="V1719" i="17"/>
  <c r="U1719" i="17"/>
  <c r="T1719" i="17"/>
  <c r="S1719" i="17"/>
  <c r="R1719" i="17"/>
  <c r="N1719" i="17"/>
  <c r="M1719" i="17"/>
  <c r="A1719" i="17"/>
  <c r="V1718" i="17"/>
  <c r="U1718" i="17"/>
  <c r="T1718" i="17"/>
  <c r="S1718" i="17"/>
  <c r="R1718" i="17"/>
  <c r="N1718" i="17"/>
  <c r="M1718" i="17"/>
  <c r="A1718" i="17"/>
  <c r="V1717" i="17"/>
  <c r="U1717" i="17"/>
  <c r="T1717" i="17"/>
  <c r="S1717" i="17"/>
  <c r="R1717" i="17"/>
  <c r="N1717" i="17"/>
  <c r="M1717" i="17"/>
  <c r="A1717" i="17"/>
  <c r="V1716" i="17"/>
  <c r="U1716" i="17"/>
  <c r="T1716" i="17"/>
  <c r="S1716" i="17"/>
  <c r="R1716" i="17"/>
  <c r="N1716" i="17"/>
  <c r="M1716" i="17"/>
  <c r="A1716" i="17"/>
  <c r="V1715" i="17"/>
  <c r="U1715" i="17"/>
  <c r="T1715" i="17"/>
  <c r="S1715" i="17"/>
  <c r="R1715" i="17"/>
  <c r="N1715" i="17"/>
  <c r="M1715" i="17"/>
  <c r="A1715" i="17"/>
  <c r="V1714" i="17"/>
  <c r="U1714" i="17"/>
  <c r="T1714" i="17"/>
  <c r="S1714" i="17"/>
  <c r="R1714" i="17"/>
  <c r="N1714" i="17"/>
  <c r="M1714" i="17"/>
  <c r="A1714" i="17"/>
  <c r="V1713" i="17"/>
  <c r="U1713" i="17"/>
  <c r="T1713" i="17"/>
  <c r="S1713" i="17"/>
  <c r="R1713" i="17"/>
  <c r="N1713" i="17"/>
  <c r="M1713" i="17"/>
  <c r="A1713" i="17"/>
  <c r="V1712" i="17"/>
  <c r="U1712" i="17"/>
  <c r="T1712" i="17"/>
  <c r="S1712" i="17"/>
  <c r="R1712" i="17"/>
  <c r="N1712" i="17"/>
  <c r="M1712" i="17"/>
  <c r="A1712" i="17"/>
  <c r="V1711" i="17"/>
  <c r="U1711" i="17"/>
  <c r="T1711" i="17"/>
  <c r="S1711" i="17"/>
  <c r="R1711" i="17"/>
  <c r="N1711" i="17"/>
  <c r="M1711" i="17"/>
  <c r="A1711" i="17"/>
  <c r="V1710" i="17"/>
  <c r="U1710" i="17"/>
  <c r="T1710" i="17"/>
  <c r="S1710" i="17"/>
  <c r="R1710" i="17"/>
  <c r="N1710" i="17"/>
  <c r="M1710" i="17"/>
  <c r="A1710" i="17"/>
  <c r="V1709" i="17"/>
  <c r="U1709" i="17"/>
  <c r="T1709" i="17"/>
  <c r="S1709" i="17"/>
  <c r="R1709" i="17"/>
  <c r="N1709" i="17"/>
  <c r="M1709" i="17"/>
  <c r="A1709" i="17"/>
  <c r="V1708" i="17"/>
  <c r="U1708" i="17"/>
  <c r="T1708" i="17"/>
  <c r="S1708" i="17"/>
  <c r="R1708" i="17"/>
  <c r="N1708" i="17"/>
  <c r="M1708" i="17"/>
  <c r="D1708" i="17"/>
  <c r="A1708" i="17"/>
  <c r="V1707" i="17"/>
  <c r="U1707" i="17"/>
  <c r="T1707" i="17"/>
  <c r="S1707" i="17"/>
  <c r="R1707" i="17"/>
  <c r="N1707" i="17"/>
  <c r="M1707" i="17"/>
  <c r="A1707" i="17"/>
  <c r="V1706" i="17"/>
  <c r="U1706" i="17"/>
  <c r="T1706" i="17"/>
  <c r="S1706" i="17"/>
  <c r="R1706" i="17"/>
  <c r="N1706" i="17"/>
  <c r="M1706" i="17"/>
  <c r="A1706" i="17"/>
  <c r="V1705" i="17"/>
  <c r="U1705" i="17"/>
  <c r="T1705" i="17"/>
  <c r="S1705" i="17"/>
  <c r="R1705" i="17"/>
  <c r="N1705" i="17"/>
  <c r="M1705" i="17"/>
  <c r="A1705" i="17"/>
  <c r="V1704" i="17"/>
  <c r="U1704" i="17"/>
  <c r="T1704" i="17"/>
  <c r="S1704" i="17"/>
  <c r="R1704" i="17"/>
  <c r="N1704" i="17"/>
  <c r="M1704" i="17"/>
  <c r="A1704" i="17"/>
  <c r="V1703" i="17"/>
  <c r="U1703" i="17"/>
  <c r="T1703" i="17"/>
  <c r="S1703" i="17"/>
  <c r="R1703" i="17"/>
  <c r="N1703" i="17"/>
  <c r="M1703" i="17"/>
  <c r="A1703" i="17"/>
  <c r="V1702" i="17"/>
  <c r="U1702" i="17"/>
  <c r="T1702" i="17"/>
  <c r="S1702" i="17"/>
  <c r="R1702" i="17"/>
  <c r="N1702" i="17"/>
  <c r="M1702" i="17"/>
  <c r="A1702" i="17"/>
  <c r="V1701" i="17"/>
  <c r="U1701" i="17"/>
  <c r="T1701" i="17"/>
  <c r="S1701" i="17"/>
  <c r="R1701" i="17"/>
  <c r="N1701" i="17"/>
  <c r="M1701" i="17"/>
  <c r="D1701" i="17"/>
  <c r="A1701" i="17"/>
  <c r="V1700" i="17"/>
  <c r="U1700" i="17"/>
  <c r="T1700" i="17"/>
  <c r="S1700" i="17"/>
  <c r="R1700" i="17"/>
  <c r="N1700" i="17"/>
  <c r="M1700" i="17"/>
  <c r="A1700" i="17"/>
  <c r="V1699" i="17"/>
  <c r="U1699" i="17"/>
  <c r="T1699" i="17"/>
  <c r="S1699" i="17"/>
  <c r="R1699" i="17"/>
  <c r="N1699" i="17"/>
  <c r="M1699" i="17"/>
  <c r="A1699" i="17"/>
  <c r="V1698" i="17"/>
  <c r="U1698" i="17"/>
  <c r="T1698" i="17"/>
  <c r="S1698" i="17"/>
  <c r="R1698" i="17"/>
  <c r="N1698" i="17"/>
  <c r="M1698" i="17"/>
  <c r="A1698" i="17"/>
  <c r="V1697" i="17"/>
  <c r="U1697" i="17"/>
  <c r="T1697" i="17"/>
  <c r="S1697" i="17"/>
  <c r="R1697" i="17"/>
  <c r="N1697" i="17"/>
  <c r="M1697" i="17"/>
  <c r="A1697" i="17"/>
  <c r="V1696" i="17"/>
  <c r="U1696" i="17"/>
  <c r="T1696" i="17"/>
  <c r="S1696" i="17"/>
  <c r="R1696" i="17"/>
  <c r="N1696" i="17"/>
  <c r="M1696" i="17"/>
  <c r="A1696" i="17"/>
  <c r="V1695" i="17"/>
  <c r="U1695" i="17"/>
  <c r="T1695" i="17"/>
  <c r="S1695" i="17"/>
  <c r="R1695" i="17"/>
  <c r="N1695" i="17"/>
  <c r="M1695" i="17"/>
  <c r="A1695" i="17"/>
  <c r="V1694" i="17"/>
  <c r="U1694" i="17"/>
  <c r="T1694" i="17"/>
  <c r="S1694" i="17"/>
  <c r="R1694" i="17"/>
  <c r="N1694" i="17"/>
  <c r="M1694" i="17"/>
  <c r="A1694" i="17"/>
  <c r="V1693" i="17"/>
  <c r="U1693" i="17"/>
  <c r="T1693" i="17"/>
  <c r="S1693" i="17"/>
  <c r="R1693" i="17"/>
  <c r="N1693" i="17"/>
  <c r="M1693" i="17"/>
  <c r="A1693" i="17"/>
  <c r="V1692" i="17"/>
  <c r="U1692" i="17"/>
  <c r="T1692" i="17"/>
  <c r="S1692" i="17"/>
  <c r="R1692" i="17"/>
  <c r="N1692" i="17"/>
  <c r="M1692" i="17"/>
  <c r="D1692" i="17"/>
  <c r="A1692" i="17"/>
  <c r="V1691" i="17"/>
  <c r="U1691" i="17"/>
  <c r="T1691" i="17"/>
  <c r="S1691" i="17"/>
  <c r="R1691" i="17"/>
  <c r="N1691" i="17"/>
  <c r="M1691" i="17"/>
  <c r="A1691" i="17"/>
  <c r="V1690" i="17"/>
  <c r="U1690" i="17"/>
  <c r="T1690" i="17"/>
  <c r="S1690" i="17"/>
  <c r="R1690" i="17"/>
  <c r="N1690" i="17"/>
  <c r="M1690" i="17"/>
  <c r="A1690" i="17"/>
  <c r="V1689" i="17"/>
  <c r="U1689" i="17"/>
  <c r="T1689" i="17"/>
  <c r="S1689" i="17"/>
  <c r="R1689" i="17"/>
  <c r="N1689" i="17"/>
  <c r="M1689" i="17"/>
  <c r="A1689" i="17"/>
  <c r="V1688" i="17"/>
  <c r="U1688" i="17"/>
  <c r="T1688" i="17"/>
  <c r="S1688" i="17"/>
  <c r="R1688" i="17"/>
  <c r="N1688" i="17"/>
  <c r="M1688" i="17"/>
  <c r="A1688" i="17"/>
  <c r="V1687" i="17"/>
  <c r="U1687" i="17"/>
  <c r="T1687" i="17"/>
  <c r="S1687" i="17"/>
  <c r="R1687" i="17"/>
  <c r="N1687" i="17"/>
  <c r="M1687" i="17"/>
  <c r="A1687" i="17"/>
  <c r="V1686" i="17"/>
  <c r="U1686" i="17"/>
  <c r="T1686" i="17"/>
  <c r="S1686" i="17"/>
  <c r="R1686" i="17"/>
  <c r="N1686" i="17"/>
  <c r="M1686" i="17"/>
  <c r="A1686" i="17"/>
  <c r="V1685" i="17"/>
  <c r="U1685" i="17"/>
  <c r="T1685" i="17"/>
  <c r="S1685" i="17"/>
  <c r="R1685" i="17"/>
  <c r="N1685" i="17"/>
  <c r="M1685" i="17"/>
  <c r="A1685" i="17"/>
  <c r="V1684" i="17"/>
  <c r="U1684" i="17"/>
  <c r="T1684" i="17"/>
  <c r="S1684" i="17"/>
  <c r="R1684" i="17"/>
  <c r="N1684" i="17"/>
  <c r="M1684" i="17"/>
  <c r="A1684" i="17"/>
  <c r="V1683" i="17"/>
  <c r="U1683" i="17"/>
  <c r="T1683" i="17"/>
  <c r="S1683" i="17"/>
  <c r="R1683" i="17"/>
  <c r="N1683" i="17"/>
  <c r="M1683" i="17"/>
  <c r="A1683" i="17"/>
  <c r="V1682" i="17"/>
  <c r="U1682" i="17"/>
  <c r="T1682" i="17"/>
  <c r="S1682" i="17"/>
  <c r="R1682" i="17"/>
  <c r="N1682" i="17"/>
  <c r="M1682" i="17"/>
  <c r="A1682" i="17"/>
  <c r="V1681" i="17"/>
  <c r="U1681" i="17"/>
  <c r="T1681" i="17"/>
  <c r="S1681" i="17"/>
  <c r="R1681" i="17"/>
  <c r="N1681" i="17"/>
  <c r="M1681" i="17"/>
  <c r="A1681" i="17"/>
  <c r="V1680" i="17"/>
  <c r="U1680" i="17"/>
  <c r="T1680" i="17"/>
  <c r="S1680" i="17"/>
  <c r="R1680" i="17"/>
  <c r="N1680" i="17"/>
  <c r="M1680" i="17"/>
  <c r="A1680" i="17"/>
  <c r="V1679" i="17"/>
  <c r="U1679" i="17"/>
  <c r="T1679" i="17"/>
  <c r="S1679" i="17"/>
  <c r="R1679" i="17"/>
  <c r="N1679" i="17"/>
  <c r="M1679" i="17"/>
  <c r="A1679" i="17"/>
  <c r="V1678" i="17"/>
  <c r="U1678" i="17"/>
  <c r="T1678" i="17"/>
  <c r="S1678" i="17"/>
  <c r="R1678" i="17"/>
  <c r="N1678" i="17"/>
  <c r="M1678" i="17"/>
  <c r="A1678" i="17"/>
  <c r="V1677" i="17"/>
  <c r="U1677" i="17"/>
  <c r="T1677" i="17"/>
  <c r="S1677" i="17"/>
  <c r="R1677" i="17"/>
  <c r="N1677" i="17"/>
  <c r="M1677" i="17"/>
  <c r="A1677" i="17"/>
  <c r="V1676" i="17"/>
  <c r="U1676" i="17"/>
  <c r="T1676" i="17"/>
  <c r="S1676" i="17"/>
  <c r="R1676" i="17"/>
  <c r="N1676" i="17"/>
  <c r="M1676" i="17"/>
  <c r="A1676" i="17"/>
  <c r="V1675" i="17"/>
  <c r="U1675" i="17"/>
  <c r="T1675" i="17"/>
  <c r="S1675" i="17"/>
  <c r="R1675" i="17"/>
  <c r="N1675" i="17"/>
  <c r="M1675" i="17"/>
  <c r="A1675" i="17"/>
  <c r="V1674" i="17"/>
  <c r="U1674" i="17"/>
  <c r="T1674" i="17"/>
  <c r="S1674" i="17"/>
  <c r="R1674" i="17"/>
  <c r="N1674" i="17"/>
  <c r="M1674" i="17"/>
  <c r="A1674" i="17"/>
  <c r="V1673" i="17"/>
  <c r="U1673" i="17"/>
  <c r="T1673" i="17"/>
  <c r="S1673" i="17"/>
  <c r="R1673" i="17"/>
  <c r="N1673" i="17"/>
  <c r="M1673" i="17"/>
  <c r="A1673" i="17"/>
  <c r="V1672" i="17"/>
  <c r="U1672" i="17"/>
  <c r="T1672" i="17"/>
  <c r="S1672" i="17"/>
  <c r="R1672" i="17"/>
  <c r="N1672" i="17"/>
  <c r="M1672" i="17"/>
  <c r="A1672" i="17"/>
  <c r="V1671" i="17"/>
  <c r="U1671" i="17"/>
  <c r="T1671" i="17"/>
  <c r="S1671" i="17"/>
  <c r="R1671" i="17"/>
  <c r="N1671" i="17"/>
  <c r="M1671" i="17"/>
  <c r="A1671" i="17"/>
  <c r="V1670" i="17"/>
  <c r="U1670" i="17"/>
  <c r="T1670" i="17"/>
  <c r="S1670" i="17"/>
  <c r="R1670" i="17"/>
  <c r="N1670" i="17"/>
  <c r="M1670" i="17"/>
  <c r="A1670" i="17"/>
  <c r="V1669" i="17"/>
  <c r="U1669" i="17"/>
  <c r="T1669" i="17"/>
  <c r="S1669" i="17"/>
  <c r="R1669" i="17"/>
  <c r="N1669" i="17"/>
  <c r="M1669" i="17"/>
  <c r="A1669" i="17"/>
  <c r="V1668" i="17"/>
  <c r="U1668" i="17"/>
  <c r="T1668" i="17"/>
  <c r="S1668" i="17"/>
  <c r="R1668" i="17"/>
  <c r="N1668" i="17"/>
  <c r="M1668" i="17"/>
  <c r="A1668" i="17"/>
  <c r="V1667" i="17"/>
  <c r="U1667" i="17"/>
  <c r="T1667" i="17"/>
  <c r="S1667" i="17"/>
  <c r="R1667" i="17"/>
  <c r="N1667" i="17"/>
  <c r="M1667" i="17"/>
  <c r="A1667" i="17"/>
  <c r="V1666" i="17"/>
  <c r="U1666" i="17"/>
  <c r="T1666" i="17"/>
  <c r="S1666" i="17"/>
  <c r="R1666" i="17"/>
  <c r="N1666" i="17"/>
  <c r="M1666" i="17"/>
  <c r="A1666" i="17"/>
  <c r="V1665" i="17"/>
  <c r="U1665" i="17"/>
  <c r="T1665" i="17"/>
  <c r="S1665" i="17"/>
  <c r="R1665" i="17"/>
  <c r="N1665" i="17"/>
  <c r="M1665" i="17"/>
  <c r="A1665" i="17"/>
  <c r="V1664" i="17"/>
  <c r="U1664" i="17"/>
  <c r="T1664" i="17"/>
  <c r="S1664" i="17"/>
  <c r="R1664" i="17"/>
  <c r="N1664" i="17"/>
  <c r="M1664" i="17"/>
  <c r="A1664" i="17"/>
  <c r="V1663" i="17"/>
  <c r="U1663" i="17"/>
  <c r="T1663" i="17"/>
  <c r="S1663" i="17"/>
  <c r="R1663" i="17"/>
  <c r="N1663" i="17"/>
  <c r="M1663" i="17"/>
  <c r="A1663" i="17"/>
  <c r="V1662" i="17"/>
  <c r="U1662" i="17"/>
  <c r="T1662" i="17"/>
  <c r="S1662" i="17"/>
  <c r="R1662" i="17"/>
  <c r="N1662" i="17"/>
  <c r="M1662" i="17"/>
  <c r="A1662" i="17"/>
  <c r="V1661" i="17"/>
  <c r="U1661" i="17"/>
  <c r="T1661" i="17"/>
  <c r="S1661" i="17"/>
  <c r="R1661" i="17"/>
  <c r="N1661" i="17"/>
  <c r="M1661" i="17"/>
  <c r="V1660" i="17"/>
  <c r="U1660" i="17"/>
  <c r="T1660" i="17"/>
  <c r="S1660" i="17"/>
  <c r="R1660" i="17"/>
  <c r="N1660" i="17"/>
  <c r="M1660" i="17"/>
  <c r="V1659" i="17"/>
  <c r="U1659" i="17"/>
  <c r="T1659" i="17"/>
  <c r="S1659" i="17"/>
  <c r="R1659" i="17"/>
  <c r="N1659" i="17"/>
  <c r="M1659" i="17"/>
  <c r="V1658" i="17"/>
  <c r="U1658" i="17"/>
  <c r="T1658" i="17"/>
  <c r="S1658" i="17"/>
  <c r="R1658" i="17"/>
  <c r="N1658" i="17"/>
  <c r="M1658" i="17"/>
  <c r="V1657" i="17"/>
  <c r="U1657" i="17"/>
  <c r="T1657" i="17"/>
  <c r="S1657" i="17"/>
  <c r="R1657" i="17"/>
  <c r="N1657" i="17"/>
  <c r="M1657" i="17"/>
  <c r="V1656" i="17"/>
  <c r="U1656" i="17"/>
  <c r="T1656" i="17"/>
  <c r="S1656" i="17"/>
  <c r="R1656" i="17"/>
  <c r="N1656" i="17"/>
  <c r="M1656" i="17"/>
  <c r="V1655" i="17"/>
  <c r="U1655" i="17"/>
  <c r="T1655" i="17"/>
  <c r="S1655" i="17"/>
  <c r="R1655" i="17"/>
  <c r="N1655" i="17"/>
  <c r="M1655" i="17"/>
  <c r="V1654" i="17"/>
  <c r="U1654" i="17"/>
  <c r="T1654" i="17"/>
  <c r="S1654" i="17"/>
  <c r="R1654" i="17"/>
  <c r="N1654" i="17"/>
  <c r="M1654" i="17"/>
  <c r="V1653" i="17"/>
  <c r="U1653" i="17"/>
  <c r="T1653" i="17"/>
  <c r="S1653" i="17"/>
  <c r="R1653" i="17"/>
  <c r="N1653" i="17"/>
  <c r="M1653" i="17"/>
  <c r="V1652" i="17"/>
  <c r="U1652" i="17"/>
  <c r="T1652" i="17"/>
  <c r="S1652" i="17"/>
  <c r="R1652" i="17"/>
  <c r="N1652" i="17"/>
  <c r="M1652" i="17"/>
  <c r="V1651" i="17"/>
  <c r="U1651" i="17"/>
  <c r="T1651" i="17"/>
  <c r="S1651" i="17"/>
  <c r="R1651" i="17"/>
  <c r="N1651" i="17"/>
  <c r="M1651" i="17"/>
  <c r="V1650" i="17"/>
  <c r="U1650" i="17"/>
  <c r="T1650" i="17"/>
  <c r="S1650" i="17"/>
  <c r="R1650" i="17"/>
  <c r="N1650" i="17"/>
  <c r="M1650" i="17"/>
  <c r="V1649" i="17"/>
  <c r="U1649" i="17"/>
  <c r="T1649" i="17"/>
  <c r="S1649" i="17"/>
  <c r="R1649" i="17"/>
  <c r="N1649" i="17"/>
  <c r="M1649" i="17"/>
  <c r="V1648" i="17"/>
  <c r="U1648" i="17"/>
  <c r="T1648" i="17"/>
  <c r="S1648" i="17"/>
  <c r="R1648" i="17"/>
  <c r="N1648" i="17"/>
  <c r="M1648" i="17"/>
  <c r="V1647" i="17"/>
  <c r="U1647" i="17"/>
  <c r="T1647" i="17"/>
  <c r="S1647" i="17"/>
  <c r="R1647" i="17"/>
  <c r="N1647" i="17"/>
  <c r="M1647" i="17"/>
  <c r="V1646" i="17"/>
  <c r="U1646" i="17"/>
  <c r="T1646" i="17"/>
  <c r="S1646" i="17"/>
  <c r="R1646" i="17"/>
  <c r="N1646" i="17"/>
  <c r="M1646" i="17"/>
  <c r="V1645" i="17"/>
  <c r="U1645" i="17"/>
  <c r="T1645" i="17"/>
  <c r="S1645" i="17"/>
  <c r="R1645" i="17"/>
  <c r="N1645" i="17"/>
  <c r="M1645" i="17"/>
  <c r="V1644" i="17"/>
  <c r="U1644" i="17"/>
  <c r="T1644" i="17"/>
  <c r="S1644" i="17"/>
  <c r="R1644" i="17"/>
  <c r="N1644" i="17"/>
  <c r="M1644" i="17"/>
  <c r="V1643" i="17"/>
  <c r="U1643" i="17"/>
  <c r="T1643" i="17"/>
  <c r="S1643" i="17"/>
  <c r="R1643" i="17"/>
  <c r="N1643" i="17"/>
  <c r="M1643" i="17"/>
  <c r="V1642" i="17"/>
  <c r="U1642" i="17"/>
  <c r="T1642" i="17"/>
  <c r="S1642" i="17"/>
  <c r="R1642" i="17"/>
  <c r="N1642" i="17"/>
  <c r="M1642" i="17"/>
  <c r="V1641" i="17"/>
  <c r="U1641" i="17"/>
  <c r="T1641" i="17"/>
  <c r="S1641" i="17"/>
  <c r="R1641" i="17"/>
  <c r="N1641" i="17"/>
  <c r="M1641" i="17"/>
  <c r="V1640" i="17"/>
  <c r="U1640" i="17"/>
  <c r="T1640" i="17"/>
  <c r="S1640" i="17"/>
  <c r="R1640" i="17"/>
  <c r="N1640" i="17"/>
  <c r="M1640" i="17"/>
  <c r="V1639" i="17"/>
  <c r="U1639" i="17"/>
  <c r="T1639" i="17"/>
  <c r="S1639" i="17"/>
  <c r="R1639" i="17"/>
  <c r="N1639" i="17"/>
  <c r="M1639" i="17"/>
  <c r="V1638" i="17"/>
  <c r="U1638" i="17"/>
  <c r="T1638" i="17"/>
  <c r="S1638" i="17"/>
  <c r="R1638" i="17"/>
  <c r="N1638" i="17"/>
  <c r="M1638" i="17"/>
  <c r="V1637" i="17"/>
  <c r="U1637" i="17"/>
  <c r="T1637" i="17"/>
  <c r="S1637" i="17"/>
  <c r="R1637" i="17"/>
  <c r="N1637" i="17"/>
  <c r="M1637" i="17"/>
  <c r="V1636" i="17"/>
  <c r="U1636" i="17"/>
  <c r="T1636" i="17"/>
  <c r="S1636" i="17"/>
  <c r="R1636" i="17"/>
  <c r="N1636" i="17"/>
  <c r="M1636" i="17"/>
  <c r="V1635" i="17"/>
  <c r="U1635" i="17"/>
  <c r="T1635" i="17"/>
  <c r="S1635" i="17"/>
  <c r="R1635" i="17"/>
  <c r="N1635" i="17"/>
  <c r="M1635" i="17"/>
  <c r="V1634" i="17"/>
  <c r="U1634" i="17"/>
  <c r="T1634" i="17"/>
  <c r="S1634" i="17"/>
  <c r="R1634" i="17"/>
  <c r="N1634" i="17"/>
  <c r="M1634" i="17"/>
  <c r="V1633" i="17"/>
  <c r="U1633" i="17"/>
  <c r="T1633" i="17"/>
  <c r="S1633" i="17"/>
  <c r="R1633" i="17"/>
  <c r="N1633" i="17"/>
  <c r="M1633" i="17"/>
  <c r="V1632" i="17"/>
  <c r="U1632" i="17"/>
  <c r="T1632" i="17"/>
  <c r="S1632" i="17"/>
  <c r="R1632" i="17"/>
  <c r="N1632" i="17"/>
  <c r="M1632" i="17"/>
  <c r="V1631" i="17"/>
  <c r="U1631" i="17"/>
  <c r="T1631" i="17"/>
  <c r="S1631" i="17"/>
  <c r="R1631" i="17"/>
  <c r="N1631" i="17"/>
  <c r="M1631" i="17"/>
  <c r="V1630" i="17"/>
  <c r="U1630" i="17"/>
  <c r="T1630" i="17"/>
  <c r="S1630" i="17"/>
  <c r="R1630" i="17"/>
  <c r="N1630" i="17"/>
  <c r="M1630" i="17"/>
  <c r="V1629" i="17"/>
  <c r="U1629" i="17"/>
  <c r="T1629" i="17"/>
  <c r="S1629" i="17"/>
  <c r="R1629" i="17"/>
  <c r="N1629" i="17"/>
  <c r="M1629" i="17"/>
  <c r="V1628" i="17"/>
  <c r="U1628" i="17"/>
  <c r="T1628" i="17"/>
  <c r="S1628" i="17"/>
  <c r="R1628" i="17"/>
  <c r="N1628" i="17"/>
  <c r="M1628" i="17"/>
  <c r="V1627" i="17"/>
  <c r="U1627" i="17"/>
  <c r="T1627" i="17"/>
  <c r="S1627" i="17"/>
  <c r="R1627" i="17"/>
  <c r="N1627" i="17"/>
  <c r="M1627" i="17"/>
  <c r="V1626" i="17"/>
  <c r="U1626" i="17"/>
  <c r="T1626" i="17"/>
  <c r="S1626" i="17"/>
  <c r="R1626" i="17"/>
  <c r="N1626" i="17"/>
  <c r="M1626" i="17"/>
  <c r="V1625" i="17"/>
  <c r="U1625" i="17"/>
  <c r="T1625" i="17"/>
  <c r="S1625" i="17"/>
  <c r="R1625" i="17"/>
  <c r="N1625" i="17"/>
  <c r="M1625" i="17"/>
  <c r="V1624" i="17"/>
  <c r="U1624" i="17"/>
  <c r="T1624" i="17"/>
  <c r="S1624" i="17"/>
  <c r="R1624" i="17"/>
  <c r="N1624" i="17"/>
  <c r="M1624" i="17"/>
  <c r="V1623" i="17"/>
  <c r="U1623" i="17"/>
  <c r="T1623" i="17"/>
  <c r="S1623" i="17"/>
  <c r="R1623" i="17"/>
  <c r="N1623" i="17"/>
  <c r="M1623" i="17"/>
  <c r="V1622" i="17"/>
  <c r="U1622" i="17"/>
  <c r="T1622" i="17"/>
  <c r="S1622" i="17"/>
  <c r="R1622" i="17"/>
  <c r="N1622" i="17"/>
  <c r="M1622" i="17"/>
  <c r="V1621" i="17"/>
  <c r="U1621" i="17"/>
  <c r="T1621" i="17"/>
  <c r="S1621" i="17"/>
  <c r="R1621" i="17"/>
  <c r="N1621" i="17"/>
  <c r="M1621" i="17"/>
  <c r="V1620" i="17"/>
  <c r="U1620" i="17"/>
  <c r="T1620" i="17"/>
  <c r="S1620" i="17"/>
  <c r="R1620" i="17"/>
  <c r="N1620" i="17"/>
  <c r="M1620" i="17"/>
  <c r="V1619" i="17"/>
  <c r="U1619" i="17"/>
  <c r="T1619" i="17"/>
  <c r="S1619" i="17"/>
  <c r="R1619" i="17"/>
  <c r="N1619" i="17"/>
  <c r="M1619" i="17"/>
  <c r="V1618" i="17"/>
  <c r="U1618" i="17"/>
  <c r="T1618" i="17"/>
  <c r="S1618" i="17"/>
  <c r="R1618" i="17"/>
  <c r="N1618" i="17"/>
  <c r="M1618" i="17"/>
  <c r="V1617" i="17"/>
  <c r="U1617" i="17"/>
  <c r="T1617" i="17"/>
  <c r="S1617" i="17"/>
  <c r="R1617" i="17"/>
  <c r="N1617" i="17"/>
  <c r="M1617" i="17"/>
  <c r="V1616" i="17"/>
  <c r="U1616" i="17"/>
  <c r="T1616" i="17"/>
  <c r="S1616" i="17"/>
  <c r="R1616" i="17"/>
  <c r="N1616" i="17"/>
  <c r="M1616" i="17"/>
  <c r="V1615" i="17"/>
  <c r="U1615" i="17"/>
  <c r="T1615" i="17"/>
  <c r="S1615" i="17"/>
  <c r="R1615" i="17"/>
  <c r="N1615" i="17"/>
  <c r="M1615" i="17"/>
  <c r="V1614" i="17"/>
  <c r="U1614" i="17"/>
  <c r="T1614" i="17"/>
  <c r="S1614" i="17"/>
  <c r="R1614" i="17"/>
  <c r="N1614" i="17"/>
  <c r="M1614" i="17"/>
  <c r="V1613" i="17"/>
  <c r="U1613" i="17"/>
  <c r="T1613" i="17"/>
  <c r="S1613" i="17"/>
  <c r="R1613" i="17"/>
  <c r="N1613" i="17"/>
  <c r="M1613" i="17"/>
  <c r="V1612" i="17"/>
  <c r="U1612" i="17"/>
  <c r="T1612" i="17"/>
  <c r="S1612" i="17"/>
  <c r="R1612" i="17"/>
  <c r="N1612" i="17"/>
  <c r="M1612" i="17"/>
  <c r="V1611" i="17"/>
  <c r="U1611" i="17"/>
  <c r="T1611" i="17"/>
  <c r="S1611" i="17"/>
  <c r="R1611" i="17"/>
  <c r="N1611" i="17"/>
  <c r="M1611" i="17"/>
  <c r="V1610" i="17"/>
  <c r="U1610" i="17"/>
  <c r="T1610" i="17"/>
  <c r="S1610" i="17"/>
  <c r="R1610" i="17"/>
  <c r="N1610" i="17"/>
  <c r="M1610" i="17"/>
  <c r="V1609" i="17"/>
  <c r="U1609" i="17"/>
  <c r="T1609" i="17"/>
  <c r="S1609" i="17"/>
  <c r="R1609" i="17"/>
  <c r="N1609" i="17"/>
  <c r="M1609" i="17"/>
  <c r="V1608" i="17"/>
  <c r="U1608" i="17"/>
  <c r="T1608" i="17"/>
  <c r="S1608" i="17"/>
  <c r="R1608" i="17"/>
  <c r="N1608" i="17"/>
  <c r="M1608" i="17"/>
  <c r="V1607" i="17"/>
  <c r="U1607" i="17"/>
  <c r="T1607" i="17"/>
  <c r="S1607" i="17"/>
  <c r="R1607" i="17"/>
  <c r="N1607" i="17"/>
  <c r="M1607" i="17"/>
  <c r="V1606" i="17"/>
  <c r="U1606" i="17"/>
  <c r="T1606" i="17"/>
  <c r="S1606" i="17"/>
  <c r="R1606" i="17"/>
  <c r="N1606" i="17"/>
  <c r="M1606" i="17"/>
  <c r="V1605" i="17"/>
  <c r="U1605" i="17"/>
  <c r="T1605" i="17"/>
  <c r="S1605" i="17"/>
  <c r="R1605" i="17"/>
  <c r="N1605" i="17"/>
  <c r="M1605" i="17"/>
  <c r="V1604" i="17"/>
  <c r="U1604" i="17"/>
  <c r="T1604" i="17"/>
  <c r="S1604" i="17"/>
  <c r="R1604" i="17"/>
  <c r="N1604" i="17"/>
  <c r="M1604" i="17"/>
  <c r="V1603" i="17"/>
  <c r="U1603" i="17"/>
  <c r="T1603" i="17"/>
  <c r="S1603" i="17"/>
  <c r="R1603" i="17"/>
  <c r="N1603" i="17"/>
  <c r="M1603" i="17"/>
  <c r="V1602" i="17"/>
  <c r="U1602" i="17"/>
  <c r="T1602" i="17"/>
  <c r="S1602" i="17"/>
  <c r="R1602" i="17"/>
  <c r="N1602" i="17"/>
  <c r="M1602" i="17"/>
  <c r="V1601" i="17"/>
  <c r="U1601" i="17"/>
  <c r="T1601" i="17"/>
  <c r="S1601" i="17"/>
  <c r="R1601" i="17"/>
  <c r="N1601" i="17"/>
  <c r="M1601" i="17"/>
  <c r="V1600" i="17"/>
  <c r="U1600" i="17"/>
  <c r="T1600" i="17"/>
  <c r="S1600" i="17"/>
  <c r="R1600" i="17"/>
  <c r="N1600" i="17"/>
  <c r="M1600" i="17"/>
  <c r="V1599" i="17"/>
  <c r="U1599" i="17"/>
  <c r="T1599" i="17"/>
  <c r="S1599" i="17"/>
  <c r="R1599" i="17"/>
  <c r="N1599" i="17"/>
  <c r="M1599" i="17"/>
  <c r="V1598" i="17"/>
  <c r="U1598" i="17"/>
  <c r="T1598" i="17"/>
  <c r="S1598" i="17"/>
  <c r="R1598" i="17"/>
  <c r="N1598" i="17"/>
  <c r="M1598" i="17"/>
  <c r="V1597" i="17"/>
  <c r="U1597" i="17"/>
  <c r="T1597" i="17"/>
  <c r="S1597" i="17"/>
  <c r="R1597" i="17"/>
  <c r="N1597" i="17"/>
  <c r="M1597" i="17"/>
  <c r="V1596" i="17"/>
  <c r="U1596" i="17"/>
  <c r="T1596" i="17"/>
  <c r="S1596" i="17"/>
  <c r="R1596" i="17"/>
  <c r="N1596" i="17"/>
  <c r="M1596" i="17"/>
  <c r="V1595" i="17"/>
  <c r="U1595" i="17"/>
  <c r="T1595" i="17"/>
  <c r="S1595" i="17"/>
  <c r="R1595" i="17"/>
  <c r="N1595" i="17"/>
  <c r="M1595" i="17"/>
  <c r="V1594" i="17"/>
  <c r="U1594" i="17"/>
  <c r="T1594" i="17"/>
  <c r="S1594" i="17"/>
  <c r="R1594" i="17"/>
  <c r="N1594" i="17"/>
  <c r="M1594" i="17"/>
  <c r="V1593" i="17"/>
  <c r="U1593" i="17"/>
  <c r="T1593" i="17"/>
  <c r="S1593" i="17"/>
  <c r="R1593" i="17"/>
  <c r="N1593" i="17"/>
  <c r="M1593" i="17"/>
  <c r="V1592" i="17"/>
  <c r="U1592" i="17"/>
  <c r="T1592" i="17"/>
  <c r="S1592" i="17"/>
  <c r="R1592" i="17"/>
  <c r="N1592" i="17"/>
  <c r="M1592" i="17"/>
  <c r="V1591" i="17"/>
  <c r="U1591" i="17"/>
  <c r="T1591" i="17"/>
  <c r="S1591" i="17"/>
  <c r="R1591" i="17"/>
  <c r="N1591" i="17"/>
  <c r="M1591" i="17"/>
  <c r="V1590" i="17"/>
  <c r="U1590" i="17"/>
  <c r="T1590" i="17"/>
  <c r="S1590" i="17"/>
  <c r="R1590" i="17"/>
  <c r="N1590" i="17"/>
  <c r="M1590" i="17"/>
  <c r="V1589" i="17"/>
  <c r="U1589" i="17"/>
  <c r="T1589" i="17"/>
  <c r="S1589" i="17"/>
  <c r="R1589" i="17"/>
  <c r="N1589" i="17"/>
  <c r="M1589" i="17"/>
  <c r="V1588" i="17"/>
  <c r="U1588" i="17"/>
  <c r="T1588" i="17"/>
  <c r="S1588" i="17"/>
  <c r="R1588" i="17"/>
  <c r="N1588" i="17"/>
  <c r="M1588" i="17"/>
  <c r="V1587" i="17"/>
  <c r="U1587" i="17"/>
  <c r="T1587" i="17"/>
  <c r="S1587" i="17"/>
  <c r="R1587" i="17"/>
  <c r="N1587" i="17"/>
  <c r="M1587" i="17"/>
  <c r="V1586" i="17"/>
  <c r="U1586" i="17"/>
  <c r="T1586" i="17"/>
  <c r="S1586" i="17"/>
  <c r="R1586" i="17"/>
  <c r="N1586" i="17"/>
  <c r="M1586" i="17"/>
  <c r="V1585" i="17"/>
  <c r="U1585" i="17"/>
  <c r="T1585" i="17"/>
  <c r="S1585" i="17"/>
  <c r="R1585" i="17"/>
  <c r="N1585" i="17"/>
  <c r="M1585" i="17"/>
  <c r="V1584" i="17"/>
  <c r="U1584" i="17"/>
  <c r="T1584" i="17"/>
  <c r="S1584" i="17"/>
  <c r="R1584" i="17"/>
  <c r="N1584" i="17"/>
  <c r="M1584" i="17"/>
  <c r="V1583" i="17"/>
  <c r="U1583" i="17"/>
  <c r="T1583" i="17"/>
  <c r="S1583" i="17"/>
  <c r="R1583" i="17"/>
  <c r="N1583" i="17"/>
  <c r="M1583" i="17"/>
  <c r="V1582" i="17"/>
  <c r="U1582" i="17"/>
  <c r="T1582" i="17"/>
  <c r="S1582" i="17"/>
  <c r="R1582" i="17"/>
  <c r="N1582" i="17"/>
  <c r="M1582" i="17"/>
  <c r="V1581" i="17"/>
  <c r="U1581" i="17"/>
  <c r="T1581" i="17"/>
  <c r="S1581" i="17"/>
  <c r="R1581" i="17"/>
  <c r="N1581" i="17"/>
  <c r="M1581" i="17"/>
  <c r="V1580" i="17"/>
  <c r="U1580" i="17"/>
  <c r="T1580" i="17"/>
  <c r="S1580" i="17"/>
  <c r="R1580" i="17"/>
  <c r="N1580" i="17"/>
  <c r="M1580" i="17"/>
  <c r="V1579" i="17"/>
  <c r="U1579" i="17"/>
  <c r="T1579" i="17"/>
  <c r="S1579" i="17"/>
  <c r="R1579" i="17"/>
  <c r="N1579" i="17"/>
  <c r="M1579" i="17"/>
  <c r="V1578" i="17"/>
  <c r="U1578" i="17"/>
  <c r="T1578" i="17"/>
  <c r="S1578" i="17"/>
  <c r="R1578" i="17"/>
  <c r="N1578" i="17"/>
  <c r="M1578" i="17"/>
  <c r="V1577" i="17"/>
  <c r="U1577" i="17"/>
  <c r="T1577" i="17"/>
  <c r="S1577" i="17"/>
  <c r="R1577" i="17"/>
  <c r="N1577" i="17"/>
  <c r="M1577" i="17"/>
  <c r="V1576" i="17"/>
  <c r="U1576" i="17"/>
  <c r="T1576" i="17"/>
  <c r="S1576" i="17"/>
  <c r="R1576" i="17"/>
  <c r="N1576" i="17"/>
  <c r="M1576" i="17"/>
  <c r="V1575" i="17"/>
  <c r="U1575" i="17"/>
  <c r="T1575" i="17"/>
  <c r="S1575" i="17"/>
  <c r="R1575" i="17"/>
  <c r="N1575" i="17"/>
  <c r="M1575" i="17"/>
  <c r="V1574" i="17"/>
  <c r="U1574" i="17"/>
  <c r="T1574" i="17"/>
  <c r="S1574" i="17"/>
  <c r="R1574" i="17"/>
  <c r="N1574" i="17"/>
  <c r="M1574" i="17"/>
  <c r="V1573" i="17"/>
  <c r="U1573" i="17"/>
  <c r="T1573" i="17"/>
  <c r="S1573" i="17"/>
  <c r="R1573" i="17"/>
  <c r="N1573" i="17"/>
  <c r="M1573" i="17"/>
  <c r="V1572" i="17"/>
  <c r="U1572" i="17"/>
  <c r="T1572" i="17"/>
  <c r="S1572" i="17"/>
  <c r="R1572" i="17"/>
  <c r="N1572" i="17"/>
  <c r="M1572" i="17"/>
  <c r="V1571" i="17"/>
  <c r="U1571" i="17"/>
  <c r="T1571" i="17"/>
  <c r="S1571" i="17"/>
  <c r="R1571" i="17"/>
  <c r="N1571" i="17"/>
  <c r="M1571" i="17"/>
  <c r="V1570" i="17"/>
  <c r="U1570" i="17"/>
  <c r="T1570" i="17"/>
  <c r="S1570" i="17"/>
  <c r="R1570" i="17"/>
  <c r="N1570" i="17"/>
  <c r="M1570" i="17"/>
  <c r="V1569" i="17"/>
  <c r="U1569" i="17"/>
  <c r="T1569" i="17"/>
  <c r="S1569" i="17"/>
  <c r="R1569" i="17"/>
  <c r="N1569" i="17"/>
  <c r="M1569" i="17"/>
  <c r="V1568" i="17"/>
  <c r="U1568" i="17"/>
  <c r="T1568" i="17"/>
  <c r="S1568" i="17"/>
  <c r="R1568" i="17"/>
  <c r="N1568" i="17"/>
  <c r="M1568" i="17"/>
  <c r="V1567" i="17"/>
  <c r="U1567" i="17"/>
  <c r="T1567" i="17"/>
  <c r="S1567" i="17"/>
  <c r="R1567" i="17"/>
  <c r="N1567" i="17"/>
  <c r="M1567" i="17"/>
  <c r="V1566" i="17"/>
  <c r="U1566" i="17"/>
  <c r="T1566" i="17"/>
  <c r="S1566" i="17"/>
  <c r="R1566" i="17"/>
  <c r="N1566" i="17"/>
  <c r="M1566" i="17"/>
  <c r="V1565" i="17"/>
  <c r="U1565" i="17"/>
  <c r="T1565" i="17"/>
  <c r="S1565" i="17"/>
  <c r="R1565" i="17"/>
  <c r="N1565" i="17"/>
  <c r="M1565" i="17"/>
  <c r="V1564" i="17"/>
  <c r="U1564" i="17"/>
  <c r="T1564" i="17"/>
  <c r="S1564" i="17"/>
  <c r="R1564" i="17"/>
  <c r="N1564" i="17"/>
  <c r="M1564" i="17"/>
  <c r="V1563" i="17"/>
  <c r="U1563" i="17"/>
  <c r="T1563" i="17"/>
  <c r="S1563" i="17"/>
  <c r="R1563" i="17"/>
  <c r="N1563" i="17"/>
  <c r="M1563" i="17"/>
  <c r="V1562" i="17"/>
  <c r="U1562" i="17"/>
  <c r="T1562" i="17"/>
  <c r="S1562" i="17"/>
  <c r="R1562" i="17"/>
  <c r="N1562" i="17"/>
  <c r="M1562" i="17"/>
  <c r="V1561" i="17"/>
  <c r="U1561" i="17"/>
  <c r="T1561" i="17"/>
  <c r="S1561" i="17"/>
  <c r="R1561" i="17"/>
  <c r="N1561" i="17"/>
  <c r="M1561" i="17"/>
  <c r="V1560" i="17"/>
  <c r="U1560" i="17"/>
  <c r="T1560" i="17"/>
  <c r="S1560" i="17"/>
  <c r="R1560" i="17"/>
  <c r="N1560" i="17"/>
  <c r="M1560" i="17"/>
  <c r="V1559" i="17"/>
  <c r="U1559" i="17"/>
  <c r="T1559" i="17"/>
  <c r="S1559" i="17"/>
  <c r="R1559" i="17"/>
  <c r="N1559" i="17"/>
  <c r="M1559" i="17"/>
  <c r="V1558" i="17"/>
  <c r="U1558" i="17"/>
  <c r="T1558" i="17"/>
  <c r="S1558" i="17"/>
  <c r="R1558" i="17"/>
  <c r="N1558" i="17"/>
  <c r="M1558" i="17"/>
  <c r="V1557" i="17"/>
  <c r="U1557" i="17"/>
  <c r="T1557" i="17"/>
  <c r="S1557" i="17"/>
  <c r="R1557" i="17"/>
  <c r="N1557" i="17"/>
  <c r="M1557" i="17"/>
  <c r="V1556" i="17"/>
  <c r="U1556" i="17"/>
  <c r="T1556" i="17"/>
  <c r="S1556" i="17"/>
  <c r="R1556" i="17"/>
  <c r="N1556" i="17"/>
  <c r="M1556" i="17"/>
  <c r="V1555" i="17"/>
  <c r="U1555" i="17"/>
  <c r="T1555" i="17"/>
  <c r="S1555" i="17"/>
  <c r="R1555" i="17"/>
  <c r="N1555" i="17"/>
  <c r="M1555" i="17"/>
  <c r="V1554" i="17"/>
  <c r="U1554" i="17"/>
  <c r="T1554" i="17"/>
  <c r="S1554" i="17"/>
  <c r="R1554" i="17"/>
  <c r="N1554" i="17"/>
  <c r="M1554" i="17"/>
  <c r="V1553" i="17"/>
  <c r="U1553" i="17"/>
  <c r="T1553" i="17"/>
  <c r="S1553" i="17"/>
  <c r="R1553" i="17"/>
  <c r="N1553" i="17"/>
  <c r="M1553" i="17"/>
  <c r="V1552" i="17"/>
  <c r="U1552" i="17"/>
  <c r="T1552" i="17"/>
  <c r="S1552" i="17"/>
  <c r="R1552" i="17"/>
  <c r="N1552" i="17"/>
  <c r="M1552" i="17"/>
  <c r="V1551" i="17"/>
  <c r="U1551" i="17"/>
  <c r="T1551" i="17"/>
  <c r="S1551" i="17"/>
  <c r="R1551" i="17"/>
  <c r="N1551" i="17"/>
  <c r="M1551" i="17"/>
  <c r="V1550" i="17"/>
  <c r="U1550" i="17"/>
  <c r="T1550" i="17"/>
  <c r="S1550" i="17"/>
  <c r="R1550" i="17"/>
  <c r="N1550" i="17"/>
  <c r="M1550" i="17"/>
  <c r="V1549" i="17"/>
  <c r="U1549" i="17"/>
  <c r="T1549" i="17"/>
  <c r="S1549" i="17"/>
  <c r="R1549" i="17"/>
  <c r="N1549" i="17"/>
  <c r="M1549" i="17"/>
  <c r="V1548" i="17"/>
  <c r="U1548" i="17"/>
  <c r="T1548" i="17"/>
  <c r="S1548" i="17"/>
  <c r="R1548" i="17"/>
  <c r="N1548" i="17"/>
  <c r="M1548" i="17"/>
  <c r="V1547" i="17"/>
  <c r="U1547" i="17"/>
  <c r="T1547" i="17"/>
  <c r="S1547" i="17"/>
  <c r="R1547" i="17"/>
  <c r="N1547" i="17"/>
  <c r="M1547" i="17"/>
  <c r="V1546" i="17"/>
  <c r="U1546" i="17"/>
  <c r="T1546" i="17"/>
  <c r="S1546" i="17"/>
  <c r="R1546" i="17"/>
  <c r="N1546" i="17"/>
  <c r="M1546" i="17"/>
  <c r="V1545" i="17"/>
  <c r="U1545" i="17"/>
  <c r="T1545" i="17"/>
  <c r="S1545" i="17"/>
  <c r="R1545" i="17"/>
  <c r="N1545" i="17"/>
  <c r="M1545" i="17"/>
  <c r="V1544" i="17"/>
  <c r="U1544" i="17"/>
  <c r="T1544" i="17"/>
  <c r="S1544" i="17"/>
  <c r="R1544" i="17"/>
  <c r="N1544" i="17"/>
  <c r="M1544" i="17"/>
  <c r="V1543" i="17"/>
  <c r="U1543" i="17"/>
  <c r="T1543" i="17"/>
  <c r="S1543" i="17"/>
  <c r="R1543" i="17"/>
  <c r="N1543" i="17"/>
  <c r="M1543" i="17"/>
  <c r="V1542" i="17"/>
  <c r="U1542" i="17"/>
  <c r="T1542" i="17"/>
  <c r="S1542" i="17"/>
  <c r="R1542" i="17"/>
  <c r="N1542" i="17"/>
  <c r="M1542" i="17"/>
  <c r="V1541" i="17"/>
  <c r="U1541" i="17"/>
  <c r="T1541" i="17"/>
  <c r="S1541" i="17"/>
  <c r="R1541" i="17"/>
  <c r="N1541" i="17"/>
  <c r="M1541" i="17"/>
  <c r="V1540" i="17"/>
  <c r="U1540" i="17"/>
  <c r="T1540" i="17"/>
  <c r="S1540" i="17"/>
  <c r="R1540" i="17"/>
  <c r="N1540" i="17"/>
  <c r="M1540" i="17"/>
  <c r="V1539" i="17"/>
  <c r="U1539" i="17"/>
  <c r="T1539" i="17"/>
  <c r="S1539" i="17"/>
  <c r="R1539" i="17"/>
  <c r="N1539" i="17"/>
  <c r="M1539" i="17"/>
  <c r="V1538" i="17"/>
  <c r="U1538" i="17"/>
  <c r="T1538" i="17"/>
  <c r="S1538" i="17"/>
  <c r="R1538" i="17"/>
  <c r="N1538" i="17"/>
  <c r="M1538" i="17"/>
  <c r="V1537" i="17"/>
  <c r="U1537" i="17"/>
  <c r="T1537" i="17"/>
  <c r="S1537" i="17"/>
  <c r="R1537" i="17"/>
  <c r="N1537" i="17"/>
  <c r="M1537" i="17"/>
  <c r="V1536" i="17"/>
  <c r="U1536" i="17"/>
  <c r="T1536" i="17"/>
  <c r="S1536" i="17"/>
  <c r="R1536" i="17"/>
  <c r="N1536" i="17"/>
  <c r="M1536" i="17"/>
  <c r="V1535" i="17"/>
  <c r="U1535" i="17"/>
  <c r="T1535" i="17"/>
  <c r="S1535" i="17"/>
  <c r="R1535" i="17"/>
  <c r="N1535" i="17"/>
  <c r="M1535" i="17"/>
  <c r="V1534" i="17"/>
  <c r="U1534" i="17"/>
  <c r="T1534" i="17"/>
  <c r="S1534" i="17"/>
  <c r="R1534" i="17"/>
  <c r="N1534" i="17"/>
  <c r="M1534" i="17"/>
  <c r="V1533" i="17"/>
  <c r="U1533" i="17"/>
  <c r="T1533" i="17"/>
  <c r="S1533" i="17"/>
  <c r="R1533" i="17"/>
  <c r="N1533" i="17"/>
  <c r="M1533" i="17"/>
  <c r="V1532" i="17"/>
  <c r="U1532" i="17"/>
  <c r="T1532" i="17"/>
  <c r="S1532" i="17"/>
  <c r="R1532" i="17"/>
  <c r="N1532" i="17"/>
  <c r="M1532" i="17"/>
  <c r="V1531" i="17"/>
  <c r="U1531" i="17"/>
  <c r="T1531" i="17"/>
  <c r="S1531" i="17"/>
  <c r="R1531" i="17"/>
  <c r="N1531" i="17"/>
  <c r="M1531" i="17"/>
  <c r="V1530" i="17"/>
  <c r="U1530" i="17"/>
  <c r="T1530" i="17"/>
  <c r="S1530" i="17"/>
  <c r="R1530" i="17"/>
  <c r="N1530" i="17"/>
  <c r="M1530" i="17"/>
  <c r="V1529" i="17"/>
  <c r="U1529" i="17"/>
  <c r="T1529" i="17"/>
  <c r="S1529" i="17"/>
  <c r="R1529" i="17"/>
  <c r="N1529" i="17"/>
  <c r="M1529" i="17"/>
  <c r="V1528" i="17"/>
  <c r="U1528" i="17"/>
  <c r="T1528" i="17"/>
  <c r="S1528" i="17"/>
  <c r="R1528" i="17"/>
  <c r="N1528" i="17"/>
  <c r="M1528" i="17"/>
  <c r="V1527" i="17"/>
  <c r="U1527" i="17"/>
  <c r="T1527" i="17"/>
  <c r="S1527" i="17"/>
  <c r="R1527" i="17"/>
  <c r="N1527" i="17"/>
  <c r="M1527" i="17"/>
  <c r="V1526" i="17"/>
  <c r="U1526" i="17"/>
  <c r="T1526" i="17"/>
  <c r="S1526" i="17"/>
  <c r="R1526" i="17"/>
  <c r="N1526" i="17"/>
  <c r="M1526" i="17"/>
  <c r="V1525" i="17"/>
  <c r="U1525" i="17"/>
  <c r="T1525" i="17"/>
  <c r="S1525" i="17"/>
  <c r="R1525" i="17"/>
  <c r="N1525" i="17"/>
  <c r="M1525" i="17"/>
  <c r="V1524" i="17"/>
  <c r="U1524" i="17"/>
  <c r="T1524" i="17"/>
  <c r="S1524" i="17"/>
  <c r="R1524" i="17"/>
  <c r="N1524" i="17"/>
  <c r="M1524" i="17"/>
  <c r="V1523" i="17"/>
  <c r="U1523" i="17"/>
  <c r="T1523" i="17"/>
  <c r="S1523" i="17"/>
  <c r="R1523" i="17"/>
  <c r="N1523" i="17"/>
  <c r="M1523" i="17"/>
  <c r="V1522" i="17"/>
  <c r="U1522" i="17"/>
  <c r="T1522" i="17"/>
  <c r="S1522" i="17"/>
  <c r="R1522" i="17"/>
  <c r="N1522" i="17"/>
  <c r="M1522" i="17"/>
  <c r="V1521" i="17"/>
  <c r="U1521" i="17"/>
  <c r="T1521" i="17"/>
  <c r="S1521" i="17"/>
  <c r="R1521" i="17"/>
  <c r="N1521" i="17"/>
  <c r="M1521" i="17"/>
  <c r="V1520" i="17"/>
  <c r="U1520" i="17"/>
  <c r="T1520" i="17"/>
  <c r="S1520" i="17"/>
  <c r="R1520" i="17"/>
  <c r="N1520" i="17"/>
  <c r="M1520" i="17"/>
  <c r="V1519" i="17"/>
  <c r="U1519" i="17"/>
  <c r="T1519" i="17"/>
  <c r="S1519" i="17"/>
  <c r="R1519" i="17"/>
  <c r="N1519" i="17"/>
  <c r="M1519" i="17"/>
  <c r="V1518" i="17"/>
  <c r="U1518" i="17"/>
  <c r="T1518" i="17"/>
  <c r="S1518" i="17"/>
  <c r="R1518" i="17"/>
  <c r="N1518" i="17"/>
  <c r="M1518" i="17"/>
  <c r="V1517" i="17"/>
  <c r="U1517" i="17"/>
  <c r="T1517" i="17"/>
  <c r="S1517" i="17"/>
  <c r="R1517" i="17"/>
  <c r="N1517" i="17"/>
  <c r="M1517" i="17"/>
  <c r="V1516" i="17"/>
  <c r="U1516" i="17"/>
  <c r="T1516" i="17"/>
  <c r="S1516" i="17"/>
  <c r="R1516" i="17"/>
  <c r="N1516" i="17"/>
  <c r="M1516" i="17"/>
  <c r="V1515" i="17"/>
  <c r="U1515" i="17"/>
  <c r="T1515" i="17"/>
  <c r="S1515" i="17"/>
  <c r="R1515" i="17"/>
  <c r="N1515" i="17"/>
  <c r="M1515" i="17"/>
  <c r="V1514" i="17"/>
  <c r="U1514" i="17"/>
  <c r="T1514" i="17"/>
  <c r="S1514" i="17"/>
  <c r="R1514" i="17"/>
  <c r="N1514" i="17"/>
  <c r="M1514" i="17"/>
  <c r="V1513" i="17"/>
  <c r="U1513" i="17"/>
  <c r="T1513" i="17"/>
  <c r="S1513" i="17"/>
  <c r="R1513" i="17"/>
  <c r="N1513" i="17"/>
  <c r="M1513" i="17"/>
  <c r="V1512" i="17"/>
  <c r="U1512" i="17"/>
  <c r="T1512" i="17"/>
  <c r="S1512" i="17"/>
  <c r="R1512" i="17"/>
  <c r="N1512" i="17"/>
  <c r="M1512" i="17"/>
  <c r="V1511" i="17"/>
  <c r="U1511" i="17"/>
  <c r="T1511" i="17"/>
  <c r="S1511" i="17"/>
  <c r="R1511" i="17"/>
  <c r="N1511" i="17"/>
  <c r="M1511" i="17"/>
  <c r="V1510" i="17"/>
  <c r="U1510" i="17"/>
  <c r="T1510" i="17"/>
  <c r="S1510" i="17"/>
  <c r="R1510" i="17"/>
  <c r="N1510" i="17"/>
  <c r="M1510" i="17"/>
  <c r="V1509" i="17"/>
  <c r="U1509" i="17"/>
  <c r="T1509" i="17"/>
  <c r="S1509" i="17"/>
  <c r="R1509" i="17"/>
  <c r="N1509" i="17"/>
  <c r="M1509" i="17"/>
  <c r="V1508" i="17"/>
  <c r="U1508" i="17"/>
  <c r="T1508" i="17"/>
  <c r="S1508" i="17"/>
  <c r="R1508" i="17"/>
  <c r="N1508" i="17"/>
  <c r="M1508" i="17"/>
  <c r="V1507" i="17"/>
  <c r="U1507" i="17"/>
  <c r="T1507" i="17"/>
  <c r="S1507" i="17"/>
  <c r="R1507" i="17"/>
  <c r="N1507" i="17"/>
  <c r="M1507" i="17"/>
  <c r="V1506" i="17"/>
  <c r="U1506" i="17"/>
  <c r="T1506" i="17"/>
  <c r="S1506" i="17"/>
  <c r="R1506" i="17"/>
  <c r="N1506" i="17"/>
  <c r="M1506" i="17"/>
  <c r="V1505" i="17"/>
  <c r="U1505" i="17"/>
  <c r="T1505" i="17"/>
  <c r="S1505" i="17"/>
  <c r="R1505" i="17"/>
  <c r="N1505" i="17"/>
  <c r="M1505" i="17"/>
  <c r="V1504" i="17"/>
  <c r="U1504" i="17"/>
  <c r="T1504" i="17"/>
  <c r="S1504" i="17"/>
  <c r="R1504" i="17"/>
  <c r="N1504" i="17"/>
  <c r="M1504" i="17"/>
  <c r="V1503" i="17"/>
  <c r="U1503" i="17"/>
  <c r="T1503" i="17"/>
  <c r="S1503" i="17"/>
  <c r="R1503" i="17"/>
  <c r="N1503" i="17"/>
  <c r="M1503" i="17"/>
  <c r="V1502" i="17"/>
  <c r="U1502" i="17"/>
  <c r="T1502" i="17"/>
  <c r="S1502" i="17"/>
  <c r="R1502" i="17"/>
  <c r="N1502" i="17"/>
  <c r="M1502" i="17"/>
  <c r="V1501" i="17"/>
  <c r="U1501" i="17"/>
  <c r="T1501" i="17"/>
  <c r="S1501" i="17"/>
  <c r="R1501" i="17"/>
  <c r="N1501" i="17"/>
  <c r="M1501" i="17"/>
  <c r="V1500" i="17"/>
  <c r="U1500" i="17"/>
  <c r="T1500" i="17"/>
  <c r="S1500" i="17"/>
  <c r="R1500" i="17"/>
  <c r="N1500" i="17"/>
  <c r="M1500" i="17"/>
  <c r="V1499" i="17"/>
  <c r="U1499" i="17"/>
  <c r="T1499" i="17"/>
  <c r="S1499" i="17"/>
  <c r="R1499" i="17"/>
  <c r="N1499" i="17"/>
  <c r="M1499" i="17"/>
  <c r="V1498" i="17"/>
  <c r="U1498" i="17"/>
  <c r="T1498" i="17"/>
  <c r="S1498" i="17"/>
  <c r="R1498" i="17"/>
  <c r="N1498" i="17"/>
  <c r="M1498" i="17"/>
  <c r="V1497" i="17"/>
  <c r="U1497" i="17"/>
  <c r="T1497" i="17"/>
  <c r="S1497" i="17"/>
  <c r="R1497" i="17"/>
  <c r="N1497" i="17"/>
  <c r="M1497" i="17"/>
  <c r="V1496" i="17"/>
  <c r="U1496" i="17"/>
  <c r="T1496" i="17"/>
  <c r="S1496" i="17"/>
  <c r="R1496" i="17"/>
  <c r="N1496" i="17"/>
  <c r="M1496" i="17"/>
  <c r="V1495" i="17"/>
  <c r="U1495" i="17"/>
  <c r="T1495" i="17"/>
  <c r="S1495" i="17"/>
  <c r="R1495" i="17"/>
  <c r="N1495" i="17"/>
  <c r="M1495" i="17"/>
  <c r="V1494" i="17"/>
  <c r="U1494" i="17"/>
  <c r="T1494" i="17"/>
  <c r="S1494" i="17"/>
  <c r="R1494" i="17"/>
  <c r="N1494" i="17"/>
  <c r="M1494" i="17"/>
  <c r="V1493" i="17"/>
  <c r="U1493" i="17"/>
  <c r="T1493" i="17"/>
  <c r="S1493" i="17"/>
  <c r="R1493" i="17"/>
  <c r="N1493" i="17"/>
  <c r="M1493" i="17"/>
  <c r="V1492" i="17"/>
  <c r="U1492" i="17"/>
  <c r="T1492" i="17"/>
  <c r="S1492" i="17"/>
  <c r="R1492" i="17"/>
  <c r="N1492" i="17"/>
  <c r="M1492" i="17"/>
  <c r="V1491" i="17"/>
  <c r="U1491" i="17"/>
  <c r="T1491" i="17"/>
  <c r="S1491" i="17"/>
  <c r="R1491" i="17"/>
  <c r="N1491" i="17"/>
  <c r="M1491" i="17"/>
  <c r="V1490" i="17"/>
  <c r="U1490" i="17"/>
  <c r="T1490" i="17"/>
  <c r="S1490" i="17"/>
  <c r="R1490" i="17"/>
  <c r="N1490" i="17"/>
  <c r="M1490" i="17"/>
  <c r="V1489" i="17"/>
  <c r="U1489" i="17"/>
  <c r="T1489" i="17"/>
  <c r="S1489" i="17"/>
  <c r="R1489" i="17"/>
  <c r="N1489" i="17"/>
  <c r="M1489" i="17"/>
  <c r="V1488" i="17"/>
  <c r="U1488" i="17"/>
  <c r="T1488" i="17"/>
  <c r="S1488" i="17"/>
  <c r="R1488" i="17"/>
  <c r="N1488" i="17"/>
  <c r="M1488" i="17"/>
  <c r="V1487" i="17"/>
  <c r="U1487" i="17"/>
  <c r="T1487" i="17"/>
  <c r="S1487" i="17"/>
  <c r="R1487" i="17"/>
  <c r="N1487" i="17"/>
  <c r="M1487" i="17"/>
  <c r="V1486" i="17"/>
  <c r="U1486" i="17"/>
  <c r="T1486" i="17"/>
  <c r="S1486" i="17"/>
  <c r="R1486" i="17"/>
  <c r="N1486" i="17"/>
  <c r="M1486" i="17"/>
  <c r="V1485" i="17"/>
  <c r="U1485" i="17"/>
  <c r="T1485" i="17"/>
  <c r="S1485" i="17"/>
  <c r="R1485" i="17"/>
  <c r="N1485" i="17"/>
  <c r="M1485" i="17"/>
  <c r="V1484" i="17"/>
  <c r="U1484" i="17"/>
  <c r="T1484" i="17"/>
  <c r="S1484" i="17"/>
  <c r="R1484" i="17"/>
  <c r="N1484" i="17"/>
  <c r="M1484" i="17"/>
  <c r="V1483" i="17"/>
  <c r="U1483" i="17"/>
  <c r="T1483" i="17"/>
  <c r="S1483" i="17"/>
  <c r="R1483" i="17"/>
  <c r="N1483" i="17"/>
  <c r="M1483" i="17"/>
  <c r="V1482" i="17"/>
  <c r="U1482" i="17"/>
  <c r="T1482" i="17"/>
  <c r="S1482" i="17"/>
  <c r="R1482" i="17"/>
  <c r="N1482" i="17"/>
  <c r="M1482" i="17"/>
  <c r="V1481" i="17"/>
  <c r="U1481" i="17"/>
  <c r="T1481" i="17"/>
  <c r="S1481" i="17"/>
  <c r="R1481" i="17"/>
  <c r="N1481" i="17"/>
  <c r="M1481" i="17"/>
  <c r="V1480" i="17"/>
  <c r="U1480" i="17"/>
  <c r="T1480" i="17"/>
  <c r="S1480" i="17"/>
  <c r="R1480" i="17"/>
  <c r="N1480" i="17"/>
  <c r="M1480" i="17"/>
  <c r="V1479" i="17"/>
  <c r="U1479" i="17"/>
  <c r="T1479" i="17"/>
  <c r="S1479" i="17"/>
  <c r="R1479" i="17"/>
  <c r="N1479" i="17"/>
  <c r="M1479" i="17"/>
  <c r="V1478" i="17"/>
  <c r="U1478" i="17"/>
  <c r="T1478" i="17"/>
  <c r="S1478" i="17"/>
  <c r="R1478" i="17"/>
  <c r="N1478" i="17"/>
  <c r="M1478" i="17"/>
  <c r="V1477" i="17"/>
  <c r="U1477" i="17"/>
  <c r="T1477" i="17"/>
  <c r="S1477" i="17"/>
  <c r="R1477" i="17"/>
  <c r="N1477" i="17"/>
  <c r="M1477" i="17"/>
  <c r="V1476" i="17"/>
  <c r="U1476" i="17"/>
  <c r="T1476" i="17"/>
  <c r="S1476" i="17"/>
  <c r="R1476" i="17"/>
  <c r="N1476" i="17"/>
  <c r="M1476" i="17"/>
  <c r="V1475" i="17"/>
  <c r="U1475" i="17"/>
  <c r="T1475" i="17"/>
  <c r="S1475" i="17"/>
  <c r="R1475" i="17"/>
  <c r="N1475" i="17"/>
  <c r="M1475" i="17"/>
  <c r="V1474" i="17"/>
  <c r="U1474" i="17"/>
  <c r="T1474" i="17"/>
  <c r="S1474" i="17"/>
  <c r="R1474" i="17"/>
  <c r="N1474" i="17"/>
  <c r="M1474" i="17"/>
  <c r="V1473" i="17"/>
  <c r="U1473" i="17"/>
  <c r="T1473" i="17"/>
  <c r="S1473" i="17"/>
  <c r="R1473" i="17"/>
  <c r="N1473" i="17"/>
  <c r="M1473" i="17"/>
  <c r="V1472" i="17"/>
  <c r="U1472" i="17"/>
  <c r="T1472" i="17"/>
  <c r="S1472" i="17"/>
  <c r="R1472" i="17"/>
  <c r="N1472" i="17"/>
  <c r="M1472" i="17"/>
  <c r="V1471" i="17"/>
  <c r="U1471" i="17"/>
  <c r="T1471" i="17"/>
  <c r="S1471" i="17"/>
  <c r="R1471" i="17"/>
  <c r="N1471" i="17"/>
  <c r="M1471" i="17"/>
  <c r="V1470" i="17"/>
  <c r="U1470" i="17"/>
  <c r="T1470" i="17"/>
  <c r="S1470" i="17"/>
  <c r="R1470" i="17"/>
  <c r="N1470" i="17"/>
  <c r="M1470" i="17"/>
  <c r="V1469" i="17"/>
  <c r="U1469" i="17"/>
  <c r="T1469" i="17"/>
  <c r="S1469" i="17"/>
  <c r="R1469" i="17"/>
  <c r="N1469" i="17"/>
  <c r="M1469" i="17"/>
  <c r="V1468" i="17"/>
  <c r="U1468" i="17"/>
  <c r="T1468" i="17"/>
  <c r="S1468" i="17"/>
  <c r="R1468" i="17"/>
  <c r="N1468" i="17"/>
  <c r="M1468" i="17"/>
  <c r="V1467" i="17"/>
  <c r="U1467" i="17"/>
  <c r="T1467" i="17"/>
  <c r="S1467" i="17"/>
  <c r="R1467" i="17"/>
  <c r="N1467" i="17"/>
  <c r="M1467" i="17"/>
  <c r="V1466" i="17"/>
  <c r="U1466" i="17"/>
  <c r="T1466" i="17"/>
  <c r="S1466" i="17"/>
  <c r="R1466" i="17"/>
  <c r="N1466" i="17"/>
  <c r="M1466" i="17"/>
  <c r="V1465" i="17"/>
  <c r="U1465" i="17"/>
  <c r="T1465" i="17"/>
  <c r="S1465" i="17"/>
  <c r="R1465" i="17"/>
  <c r="N1465" i="17"/>
  <c r="M1465" i="17"/>
  <c r="V1464" i="17"/>
  <c r="U1464" i="17"/>
  <c r="T1464" i="17"/>
  <c r="S1464" i="17"/>
  <c r="R1464" i="17"/>
  <c r="N1464" i="17"/>
  <c r="M1464" i="17"/>
  <c r="V1463" i="17"/>
  <c r="U1463" i="17"/>
  <c r="T1463" i="17"/>
  <c r="S1463" i="17"/>
  <c r="R1463" i="17"/>
  <c r="N1463" i="17"/>
  <c r="M1463" i="17"/>
  <c r="V1462" i="17"/>
  <c r="U1462" i="17"/>
  <c r="T1462" i="17"/>
  <c r="S1462" i="17"/>
  <c r="R1462" i="17"/>
  <c r="N1462" i="17"/>
  <c r="M1462" i="17"/>
  <c r="V1461" i="17"/>
  <c r="U1461" i="17"/>
  <c r="T1461" i="17"/>
  <c r="S1461" i="17"/>
  <c r="R1461" i="17"/>
  <c r="N1461" i="17"/>
  <c r="M1461" i="17"/>
  <c r="V1460" i="17"/>
  <c r="U1460" i="17"/>
  <c r="T1460" i="17"/>
  <c r="S1460" i="17"/>
  <c r="R1460" i="17"/>
  <c r="N1460" i="17"/>
  <c r="M1460" i="17"/>
  <c r="V1459" i="17"/>
  <c r="U1459" i="17"/>
  <c r="T1459" i="17"/>
  <c r="S1459" i="17"/>
  <c r="R1459" i="17"/>
  <c r="N1459" i="17"/>
  <c r="M1459" i="17"/>
  <c r="V1458" i="17"/>
  <c r="U1458" i="17"/>
  <c r="T1458" i="17"/>
  <c r="S1458" i="17"/>
  <c r="R1458" i="17"/>
  <c r="N1458" i="17"/>
  <c r="M1458" i="17"/>
  <c r="V1457" i="17"/>
  <c r="U1457" i="17"/>
  <c r="T1457" i="17"/>
  <c r="S1457" i="17"/>
  <c r="R1457" i="17"/>
  <c r="N1457" i="17"/>
  <c r="M1457" i="17"/>
  <c r="V1456" i="17"/>
  <c r="U1456" i="17"/>
  <c r="T1456" i="17"/>
  <c r="S1456" i="17"/>
  <c r="R1456" i="17"/>
  <c r="N1456" i="17"/>
  <c r="M1456" i="17"/>
  <c r="V1455" i="17"/>
  <c r="U1455" i="17"/>
  <c r="T1455" i="17"/>
  <c r="S1455" i="17"/>
  <c r="R1455" i="17"/>
  <c r="N1455" i="17"/>
  <c r="M1455" i="17"/>
  <c r="V1454" i="17"/>
  <c r="U1454" i="17"/>
  <c r="T1454" i="17"/>
  <c r="S1454" i="17"/>
  <c r="R1454" i="17"/>
  <c r="N1454" i="17"/>
  <c r="M1454" i="17"/>
  <c r="V1453" i="17"/>
  <c r="U1453" i="17"/>
  <c r="T1453" i="17"/>
  <c r="S1453" i="17"/>
  <c r="R1453" i="17"/>
  <c r="N1453" i="17"/>
  <c r="M1453" i="17"/>
  <c r="V1452" i="17"/>
  <c r="U1452" i="17"/>
  <c r="T1452" i="17"/>
  <c r="S1452" i="17"/>
  <c r="R1452" i="17"/>
  <c r="N1452" i="17"/>
  <c r="M1452" i="17"/>
  <c r="V1451" i="17"/>
  <c r="U1451" i="17"/>
  <c r="T1451" i="17"/>
  <c r="S1451" i="17"/>
  <c r="R1451" i="17"/>
  <c r="N1451" i="17"/>
  <c r="M1451" i="17"/>
  <c r="V1450" i="17"/>
  <c r="U1450" i="17"/>
  <c r="T1450" i="17"/>
  <c r="S1450" i="17"/>
  <c r="R1450" i="17"/>
  <c r="N1450" i="17"/>
  <c r="M1450" i="17"/>
  <c r="V1449" i="17"/>
  <c r="U1449" i="17"/>
  <c r="T1449" i="17"/>
  <c r="S1449" i="17"/>
  <c r="R1449" i="17"/>
  <c r="N1449" i="17"/>
  <c r="M1449" i="17"/>
  <c r="V1448" i="17"/>
  <c r="U1448" i="17"/>
  <c r="T1448" i="17"/>
  <c r="S1448" i="17"/>
  <c r="R1448" i="17"/>
  <c r="N1448" i="17"/>
  <c r="M1448" i="17"/>
  <c r="V1447" i="17"/>
  <c r="U1447" i="17"/>
  <c r="T1447" i="17"/>
  <c r="S1447" i="17"/>
  <c r="R1447" i="17"/>
  <c r="N1447" i="17"/>
  <c r="M1447" i="17"/>
  <c r="V1446" i="17"/>
  <c r="U1446" i="17"/>
  <c r="T1446" i="17"/>
  <c r="S1446" i="17"/>
  <c r="R1446" i="17"/>
  <c r="N1446" i="17"/>
  <c r="M1446" i="17"/>
  <c r="V1445" i="17"/>
  <c r="U1445" i="17"/>
  <c r="T1445" i="17"/>
  <c r="S1445" i="17"/>
  <c r="R1445" i="17"/>
  <c r="N1445" i="17"/>
  <c r="M1445" i="17"/>
  <c r="V1444" i="17"/>
  <c r="U1444" i="17"/>
  <c r="T1444" i="17"/>
  <c r="S1444" i="17"/>
  <c r="R1444" i="17"/>
  <c r="N1444" i="17"/>
  <c r="M1444" i="17"/>
  <c r="V1443" i="17"/>
  <c r="U1443" i="17"/>
  <c r="T1443" i="17"/>
  <c r="S1443" i="17"/>
  <c r="R1443" i="17"/>
  <c r="N1443" i="17"/>
  <c r="M1443" i="17"/>
  <c r="V1442" i="17"/>
  <c r="U1442" i="17"/>
  <c r="T1442" i="17"/>
  <c r="S1442" i="17"/>
  <c r="R1442" i="17"/>
  <c r="N1442" i="17"/>
  <c r="M1442" i="17"/>
  <c r="V1441" i="17"/>
  <c r="U1441" i="17"/>
  <c r="T1441" i="17"/>
  <c r="S1441" i="17"/>
  <c r="R1441" i="17"/>
  <c r="N1441" i="17"/>
  <c r="M1441" i="17"/>
  <c r="V1440" i="17"/>
  <c r="U1440" i="17"/>
  <c r="T1440" i="17"/>
  <c r="S1440" i="17"/>
  <c r="R1440" i="17"/>
  <c r="N1440" i="17"/>
  <c r="M1440" i="17"/>
  <c r="V1439" i="17"/>
  <c r="U1439" i="17"/>
  <c r="T1439" i="17"/>
  <c r="S1439" i="17"/>
  <c r="R1439" i="17"/>
  <c r="N1439" i="17"/>
  <c r="M1439" i="17"/>
  <c r="V1438" i="17"/>
  <c r="U1438" i="17"/>
  <c r="T1438" i="17"/>
  <c r="S1438" i="17"/>
  <c r="R1438" i="17"/>
  <c r="N1438" i="17"/>
  <c r="M1438" i="17"/>
  <c r="V1437" i="17"/>
  <c r="U1437" i="17"/>
  <c r="T1437" i="17"/>
  <c r="S1437" i="17"/>
  <c r="R1437" i="17"/>
  <c r="N1437" i="17"/>
  <c r="M1437" i="17"/>
  <c r="V1436" i="17"/>
  <c r="U1436" i="17"/>
  <c r="T1436" i="17"/>
  <c r="S1436" i="17"/>
  <c r="R1436" i="17"/>
  <c r="N1436" i="17"/>
  <c r="M1436" i="17"/>
  <c r="V1435" i="17"/>
  <c r="U1435" i="17"/>
  <c r="T1435" i="17"/>
  <c r="S1435" i="17"/>
  <c r="R1435" i="17"/>
  <c r="N1435" i="17"/>
  <c r="M1435" i="17"/>
  <c r="V1434" i="17"/>
  <c r="U1434" i="17"/>
  <c r="T1434" i="17"/>
  <c r="S1434" i="17"/>
  <c r="R1434" i="17"/>
  <c r="N1434" i="17"/>
  <c r="M1434" i="17"/>
  <c r="V1433" i="17"/>
  <c r="U1433" i="17"/>
  <c r="T1433" i="17"/>
  <c r="S1433" i="17"/>
  <c r="R1433" i="17"/>
  <c r="N1433" i="17"/>
  <c r="M1433" i="17"/>
  <c r="V1432" i="17"/>
  <c r="U1432" i="17"/>
  <c r="T1432" i="17"/>
  <c r="S1432" i="17"/>
  <c r="R1432" i="17"/>
  <c r="N1432" i="17"/>
  <c r="M1432" i="17"/>
  <c r="V1431" i="17"/>
  <c r="U1431" i="17"/>
  <c r="T1431" i="17"/>
  <c r="S1431" i="17"/>
  <c r="R1431" i="17"/>
  <c r="N1431" i="17"/>
  <c r="M1431" i="17"/>
  <c r="V1430" i="17"/>
  <c r="U1430" i="17"/>
  <c r="T1430" i="17"/>
  <c r="S1430" i="17"/>
  <c r="R1430" i="17"/>
  <c r="N1430" i="17"/>
  <c r="M1430" i="17"/>
  <c r="V1429" i="17"/>
  <c r="U1429" i="17"/>
  <c r="T1429" i="17"/>
  <c r="S1429" i="17"/>
  <c r="R1429" i="17"/>
  <c r="N1429" i="17"/>
  <c r="M1429" i="17"/>
  <c r="V1428" i="17"/>
  <c r="U1428" i="17"/>
  <c r="T1428" i="17"/>
  <c r="S1428" i="17"/>
  <c r="R1428" i="17"/>
  <c r="N1428" i="17"/>
  <c r="M1428" i="17"/>
  <c r="V1427" i="17"/>
  <c r="U1427" i="17"/>
  <c r="T1427" i="17"/>
  <c r="S1427" i="17"/>
  <c r="R1427" i="17"/>
  <c r="N1427" i="17"/>
  <c r="M1427" i="17"/>
  <c r="V1426" i="17"/>
  <c r="U1426" i="17"/>
  <c r="T1426" i="17"/>
  <c r="S1426" i="17"/>
  <c r="R1426" i="17"/>
  <c r="N1426" i="17"/>
  <c r="M1426" i="17"/>
  <c r="V1425" i="17"/>
  <c r="U1425" i="17"/>
  <c r="T1425" i="17"/>
  <c r="S1425" i="17"/>
  <c r="R1425" i="17"/>
  <c r="N1425" i="17"/>
  <c r="M1425" i="17"/>
  <c r="V1424" i="17"/>
  <c r="U1424" i="17"/>
  <c r="T1424" i="17"/>
  <c r="S1424" i="17"/>
  <c r="R1424" i="17"/>
  <c r="N1424" i="17"/>
  <c r="M1424" i="17"/>
  <c r="V1423" i="17"/>
  <c r="U1423" i="17"/>
  <c r="T1423" i="17"/>
  <c r="S1423" i="17"/>
  <c r="R1423" i="17"/>
  <c r="N1423" i="17"/>
  <c r="M1423" i="17"/>
  <c r="V1422" i="17"/>
  <c r="U1422" i="17"/>
  <c r="T1422" i="17"/>
  <c r="S1422" i="17"/>
  <c r="R1422" i="17"/>
  <c r="N1422" i="17"/>
  <c r="M1422" i="17"/>
  <c r="V1421" i="17"/>
  <c r="U1421" i="17"/>
  <c r="T1421" i="17"/>
  <c r="S1421" i="17"/>
  <c r="R1421" i="17"/>
  <c r="N1421" i="17"/>
  <c r="M1421" i="17"/>
  <c r="V1420" i="17"/>
  <c r="U1420" i="17"/>
  <c r="T1420" i="17"/>
  <c r="S1420" i="17"/>
  <c r="R1420" i="17"/>
  <c r="N1420" i="17"/>
  <c r="M1420" i="17"/>
  <c r="V1419" i="17"/>
  <c r="U1419" i="17"/>
  <c r="T1419" i="17"/>
  <c r="S1419" i="17"/>
  <c r="R1419" i="17"/>
  <c r="N1419" i="17"/>
  <c r="M1419" i="17"/>
  <c r="V1418" i="17"/>
  <c r="U1418" i="17"/>
  <c r="T1418" i="17"/>
  <c r="S1418" i="17"/>
  <c r="R1418" i="17"/>
  <c r="N1418" i="17"/>
  <c r="M1418" i="17"/>
  <c r="V1417" i="17"/>
  <c r="U1417" i="17"/>
  <c r="T1417" i="17"/>
  <c r="S1417" i="17"/>
  <c r="R1417" i="17"/>
  <c r="N1417" i="17"/>
  <c r="M1417" i="17"/>
  <c r="V1416" i="17"/>
  <c r="U1416" i="17"/>
  <c r="T1416" i="17"/>
  <c r="S1416" i="17"/>
  <c r="R1416" i="17"/>
  <c r="N1416" i="17"/>
  <c r="M1416" i="17"/>
  <c r="V1415" i="17"/>
  <c r="U1415" i="17"/>
  <c r="T1415" i="17"/>
  <c r="S1415" i="17"/>
  <c r="R1415" i="17"/>
  <c r="N1415" i="17"/>
  <c r="M1415" i="17"/>
  <c r="V1414" i="17"/>
  <c r="U1414" i="17"/>
  <c r="T1414" i="17"/>
  <c r="S1414" i="17"/>
  <c r="R1414" i="17"/>
  <c r="N1414" i="17"/>
  <c r="M1414" i="17"/>
  <c r="V1413" i="17"/>
  <c r="U1413" i="17"/>
  <c r="T1413" i="17"/>
  <c r="S1413" i="17"/>
  <c r="R1413" i="17"/>
  <c r="N1413" i="17"/>
  <c r="M1413" i="17"/>
  <c r="V1412" i="17"/>
  <c r="U1412" i="17"/>
  <c r="T1412" i="17"/>
  <c r="S1412" i="17"/>
  <c r="R1412" i="17"/>
  <c r="N1412" i="17"/>
  <c r="M1412" i="17"/>
  <c r="V1411" i="17"/>
  <c r="U1411" i="17"/>
  <c r="T1411" i="17"/>
  <c r="S1411" i="17"/>
  <c r="R1411" i="17"/>
  <c r="N1411" i="17"/>
  <c r="M1411" i="17"/>
  <c r="V1410" i="17"/>
  <c r="U1410" i="17"/>
  <c r="T1410" i="17"/>
  <c r="S1410" i="17"/>
  <c r="R1410" i="17"/>
  <c r="N1410" i="17"/>
  <c r="M1410" i="17"/>
  <c r="V1409" i="17"/>
  <c r="U1409" i="17"/>
  <c r="T1409" i="17"/>
  <c r="S1409" i="17"/>
  <c r="R1409" i="17"/>
  <c r="N1409" i="17"/>
  <c r="M1409" i="17"/>
  <c r="V1408" i="17"/>
  <c r="U1408" i="17"/>
  <c r="T1408" i="17"/>
  <c r="S1408" i="17"/>
  <c r="R1408" i="17"/>
  <c r="N1408" i="17"/>
  <c r="M1408" i="17"/>
  <c r="V1407" i="17"/>
  <c r="U1407" i="17"/>
  <c r="T1407" i="17"/>
  <c r="S1407" i="17"/>
  <c r="R1407" i="17"/>
  <c r="N1407" i="17"/>
  <c r="M1407" i="17"/>
  <c r="V1406" i="17"/>
  <c r="U1406" i="17"/>
  <c r="T1406" i="17"/>
  <c r="S1406" i="17"/>
  <c r="R1406" i="17"/>
  <c r="N1406" i="17"/>
  <c r="M1406" i="17"/>
  <c r="V1405" i="17"/>
  <c r="U1405" i="17"/>
  <c r="T1405" i="17"/>
  <c r="S1405" i="17"/>
  <c r="R1405" i="17"/>
  <c r="N1405" i="17"/>
  <c r="M1405" i="17"/>
  <c r="V1404" i="17"/>
  <c r="U1404" i="17"/>
  <c r="T1404" i="17"/>
  <c r="S1404" i="17"/>
  <c r="R1404" i="17"/>
  <c r="N1404" i="17"/>
  <c r="M1404" i="17"/>
  <c r="V1403" i="17"/>
  <c r="U1403" i="17"/>
  <c r="T1403" i="17"/>
  <c r="S1403" i="17"/>
  <c r="R1403" i="17"/>
  <c r="N1403" i="17"/>
  <c r="M1403" i="17"/>
  <c r="V1402" i="17"/>
  <c r="U1402" i="17"/>
  <c r="T1402" i="17"/>
  <c r="S1402" i="17"/>
  <c r="R1402" i="17"/>
  <c r="N1402" i="17"/>
  <c r="M1402" i="17"/>
  <c r="V1401" i="17"/>
  <c r="U1401" i="17"/>
  <c r="T1401" i="17"/>
  <c r="S1401" i="17"/>
  <c r="R1401" i="17"/>
  <c r="N1401" i="17"/>
  <c r="M1401" i="17"/>
  <c r="V1400" i="17"/>
  <c r="U1400" i="17"/>
  <c r="T1400" i="17"/>
  <c r="S1400" i="17"/>
  <c r="R1400" i="17"/>
  <c r="N1400" i="17"/>
  <c r="M1400" i="17"/>
  <c r="V1399" i="17"/>
  <c r="U1399" i="17"/>
  <c r="T1399" i="17"/>
  <c r="S1399" i="17"/>
  <c r="R1399" i="17"/>
  <c r="N1399" i="17"/>
  <c r="M1399" i="17"/>
  <c r="V1398" i="17"/>
  <c r="U1398" i="17"/>
  <c r="T1398" i="17"/>
  <c r="S1398" i="17"/>
  <c r="R1398" i="17"/>
  <c r="N1398" i="17"/>
  <c r="M1398" i="17"/>
  <c r="V1397" i="17"/>
  <c r="U1397" i="17"/>
  <c r="T1397" i="17"/>
  <c r="S1397" i="17"/>
  <c r="R1397" i="17"/>
  <c r="N1397" i="17"/>
  <c r="M1397" i="17"/>
  <c r="V1396" i="17"/>
  <c r="U1396" i="17"/>
  <c r="T1396" i="17"/>
  <c r="S1396" i="17"/>
  <c r="R1396" i="17"/>
  <c r="N1396" i="17"/>
  <c r="M1396" i="17"/>
  <c r="V1395" i="17"/>
  <c r="U1395" i="17"/>
  <c r="T1395" i="17"/>
  <c r="S1395" i="17"/>
  <c r="R1395" i="17"/>
  <c r="N1395" i="17"/>
  <c r="M1395" i="17"/>
  <c r="V1394" i="17"/>
  <c r="U1394" i="17"/>
  <c r="T1394" i="17"/>
  <c r="S1394" i="17"/>
  <c r="R1394" i="17"/>
  <c r="N1394" i="17"/>
  <c r="M1394" i="17"/>
  <c r="V1393" i="17"/>
  <c r="U1393" i="17"/>
  <c r="T1393" i="17"/>
  <c r="S1393" i="17"/>
  <c r="R1393" i="17"/>
  <c r="N1393" i="17"/>
  <c r="M1393" i="17"/>
  <c r="V1392" i="17"/>
  <c r="U1392" i="17"/>
  <c r="T1392" i="17"/>
  <c r="S1392" i="17"/>
  <c r="R1392" i="17"/>
  <c r="N1392" i="17"/>
  <c r="M1392" i="17"/>
  <c r="V1391" i="17"/>
  <c r="U1391" i="17"/>
  <c r="T1391" i="17"/>
  <c r="S1391" i="17"/>
  <c r="R1391" i="17"/>
  <c r="N1391" i="17"/>
  <c r="M1391" i="17"/>
  <c r="V1390" i="17"/>
  <c r="U1390" i="17"/>
  <c r="T1390" i="17"/>
  <c r="S1390" i="17"/>
  <c r="R1390" i="17"/>
  <c r="N1390" i="17"/>
  <c r="M1390" i="17"/>
  <c r="V1389" i="17"/>
  <c r="U1389" i="17"/>
  <c r="T1389" i="17"/>
  <c r="S1389" i="17"/>
  <c r="R1389" i="17"/>
  <c r="N1389" i="17"/>
  <c r="M1389" i="17"/>
  <c r="V1388" i="17"/>
  <c r="U1388" i="17"/>
  <c r="T1388" i="17"/>
  <c r="S1388" i="17"/>
  <c r="R1388" i="17"/>
  <c r="N1388" i="17"/>
  <c r="M1388" i="17"/>
  <c r="V1387" i="17"/>
  <c r="U1387" i="17"/>
  <c r="T1387" i="17"/>
  <c r="S1387" i="17"/>
  <c r="R1387" i="17"/>
  <c r="N1387" i="17"/>
  <c r="M1387" i="17"/>
  <c r="V1386" i="17"/>
  <c r="U1386" i="17"/>
  <c r="T1386" i="17"/>
  <c r="S1386" i="17"/>
  <c r="R1386" i="17"/>
  <c r="N1386" i="17"/>
  <c r="M1386" i="17"/>
  <c r="V1385" i="17"/>
  <c r="U1385" i="17"/>
  <c r="T1385" i="17"/>
  <c r="S1385" i="17"/>
  <c r="R1385" i="17"/>
  <c r="N1385" i="17"/>
  <c r="M1385" i="17"/>
  <c r="V1384" i="17"/>
  <c r="U1384" i="17"/>
  <c r="T1384" i="17"/>
  <c r="S1384" i="17"/>
  <c r="R1384" i="17"/>
  <c r="N1384" i="17"/>
  <c r="M1384" i="17"/>
  <c r="V1383" i="17"/>
  <c r="U1383" i="17"/>
  <c r="T1383" i="17"/>
  <c r="S1383" i="17"/>
  <c r="R1383" i="17"/>
  <c r="N1383" i="17"/>
  <c r="M1383" i="17"/>
  <c r="V1382" i="17"/>
  <c r="U1382" i="17"/>
  <c r="T1382" i="17"/>
  <c r="S1382" i="17"/>
  <c r="R1382" i="17"/>
  <c r="N1382" i="17"/>
  <c r="M1382" i="17"/>
  <c r="V1381" i="17"/>
  <c r="U1381" i="17"/>
  <c r="T1381" i="17"/>
  <c r="S1381" i="17"/>
  <c r="R1381" i="17"/>
  <c r="N1381" i="17"/>
  <c r="M1381" i="17"/>
  <c r="V1380" i="17"/>
  <c r="U1380" i="17"/>
  <c r="T1380" i="17"/>
  <c r="S1380" i="17"/>
  <c r="R1380" i="17"/>
  <c r="N1380" i="17"/>
  <c r="M1380" i="17"/>
  <c r="V1379" i="17"/>
  <c r="U1379" i="17"/>
  <c r="T1379" i="17"/>
  <c r="S1379" i="17"/>
  <c r="R1379" i="17"/>
  <c r="N1379" i="17"/>
  <c r="M1379" i="17"/>
  <c r="V1378" i="17"/>
  <c r="U1378" i="17"/>
  <c r="T1378" i="17"/>
  <c r="S1378" i="17"/>
  <c r="R1378" i="17"/>
  <c r="N1378" i="17"/>
  <c r="M1378" i="17"/>
  <c r="V1377" i="17"/>
  <c r="U1377" i="17"/>
  <c r="T1377" i="17"/>
  <c r="S1377" i="17"/>
  <c r="R1377" i="17"/>
  <c r="N1377" i="17"/>
  <c r="M1377" i="17"/>
  <c r="V1376" i="17"/>
  <c r="U1376" i="17"/>
  <c r="T1376" i="17"/>
  <c r="S1376" i="17"/>
  <c r="R1376" i="17"/>
  <c r="N1376" i="17"/>
  <c r="M1376" i="17"/>
  <c r="V1375" i="17"/>
  <c r="U1375" i="17"/>
  <c r="T1375" i="17"/>
  <c r="S1375" i="17"/>
  <c r="R1375" i="17"/>
  <c r="N1375" i="17"/>
  <c r="M1375" i="17"/>
  <c r="V1374" i="17"/>
  <c r="U1374" i="17"/>
  <c r="T1374" i="17"/>
  <c r="S1374" i="17"/>
  <c r="R1374" i="17"/>
  <c r="N1374" i="17"/>
  <c r="M1374" i="17"/>
  <c r="V1373" i="17"/>
  <c r="U1373" i="17"/>
  <c r="T1373" i="17"/>
  <c r="S1373" i="17"/>
  <c r="R1373" i="17"/>
  <c r="N1373" i="17"/>
  <c r="M1373" i="17"/>
  <c r="V1372" i="17"/>
  <c r="U1372" i="17"/>
  <c r="T1372" i="17"/>
  <c r="S1372" i="17"/>
  <c r="R1372" i="17"/>
  <c r="N1372" i="17"/>
  <c r="M1372" i="17"/>
  <c r="V1371" i="17"/>
  <c r="U1371" i="17"/>
  <c r="T1371" i="17"/>
  <c r="S1371" i="17"/>
  <c r="R1371" i="17"/>
  <c r="N1371" i="17"/>
  <c r="M1371" i="17"/>
  <c r="V1370" i="17"/>
  <c r="U1370" i="17"/>
  <c r="T1370" i="17"/>
  <c r="S1370" i="17"/>
  <c r="R1370" i="17"/>
  <c r="N1370" i="17"/>
  <c r="M1370" i="17"/>
  <c r="V1369" i="17"/>
  <c r="U1369" i="17"/>
  <c r="T1369" i="17"/>
  <c r="S1369" i="17"/>
  <c r="R1369" i="17"/>
  <c r="N1369" i="17"/>
  <c r="M1369" i="17"/>
  <c r="V1368" i="17"/>
  <c r="U1368" i="17"/>
  <c r="T1368" i="17"/>
  <c r="S1368" i="17"/>
  <c r="R1368" i="17"/>
  <c r="N1368" i="17"/>
  <c r="M1368" i="17"/>
  <c r="V1367" i="17"/>
  <c r="U1367" i="17"/>
  <c r="T1367" i="17"/>
  <c r="S1367" i="17"/>
  <c r="R1367" i="17"/>
  <c r="N1367" i="17"/>
  <c r="M1367" i="17"/>
  <c r="V1366" i="17"/>
  <c r="U1366" i="17"/>
  <c r="T1366" i="17"/>
  <c r="S1366" i="17"/>
  <c r="R1366" i="17"/>
  <c r="N1366" i="17"/>
  <c r="M1366" i="17"/>
  <c r="V1365" i="17"/>
  <c r="U1365" i="17"/>
  <c r="T1365" i="17"/>
  <c r="S1365" i="17"/>
  <c r="R1365" i="17"/>
  <c r="N1365" i="17"/>
  <c r="M1365" i="17"/>
  <c r="V1364" i="17"/>
  <c r="U1364" i="17"/>
  <c r="T1364" i="17"/>
  <c r="S1364" i="17"/>
  <c r="R1364" i="17"/>
  <c r="N1364" i="17"/>
  <c r="M1364" i="17"/>
  <c r="V1363" i="17"/>
  <c r="U1363" i="17"/>
  <c r="T1363" i="17"/>
  <c r="S1363" i="17"/>
  <c r="R1363" i="17"/>
  <c r="N1363" i="17"/>
  <c r="M1363" i="17"/>
  <c r="V1362" i="17"/>
  <c r="U1362" i="17"/>
  <c r="T1362" i="17"/>
  <c r="S1362" i="17"/>
  <c r="R1362" i="17"/>
  <c r="N1362" i="17"/>
  <c r="M1362" i="17"/>
  <c r="V1361" i="17"/>
  <c r="U1361" i="17"/>
  <c r="T1361" i="17"/>
  <c r="S1361" i="17"/>
  <c r="R1361" i="17"/>
  <c r="N1361" i="17"/>
  <c r="M1361" i="17"/>
  <c r="V1360" i="17"/>
  <c r="U1360" i="17"/>
  <c r="T1360" i="17"/>
  <c r="S1360" i="17"/>
  <c r="R1360" i="17"/>
  <c r="N1360" i="17"/>
  <c r="M1360" i="17"/>
  <c r="V1359" i="17"/>
  <c r="U1359" i="17"/>
  <c r="T1359" i="17"/>
  <c r="S1359" i="17"/>
  <c r="R1359" i="17"/>
  <c r="N1359" i="17"/>
  <c r="M1359" i="17"/>
  <c r="V1358" i="17"/>
  <c r="U1358" i="17"/>
  <c r="T1358" i="17"/>
  <c r="S1358" i="17"/>
  <c r="R1358" i="17"/>
  <c r="N1358" i="17"/>
  <c r="M1358" i="17"/>
  <c r="V1357" i="17"/>
  <c r="U1357" i="17"/>
  <c r="T1357" i="17"/>
  <c r="S1357" i="17"/>
  <c r="R1357" i="17"/>
  <c r="N1357" i="17"/>
  <c r="M1357" i="17"/>
  <c r="V1356" i="17"/>
  <c r="U1356" i="17"/>
  <c r="T1356" i="17"/>
  <c r="S1356" i="17"/>
  <c r="R1356" i="17"/>
  <c r="N1356" i="17"/>
  <c r="M1356" i="17"/>
  <c r="V1355" i="17"/>
  <c r="U1355" i="17"/>
  <c r="T1355" i="17"/>
  <c r="S1355" i="17"/>
  <c r="R1355" i="17"/>
  <c r="N1355" i="17"/>
  <c r="M1355" i="17"/>
  <c r="V1354" i="17"/>
  <c r="U1354" i="17"/>
  <c r="T1354" i="17"/>
  <c r="S1354" i="17"/>
  <c r="R1354" i="17"/>
  <c r="N1354" i="17"/>
  <c r="M1354" i="17"/>
  <c r="V1353" i="17"/>
  <c r="U1353" i="17"/>
  <c r="T1353" i="17"/>
  <c r="S1353" i="17"/>
  <c r="R1353" i="17"/>
  <c r="N1353" i="17"/>
  <c r="M1353" i="17"/>
  <c r="V1352" i="17"/>
  <c r="U1352" i="17"/>
  <c r="T1352" i="17"/>
  <c r="S1352" i="17"/>
  <c r="R1352" i="17"/>
  <c r="N1352" i="17"/>
  <c r="M1352" i="17"/>
  <c r="V1351" i="17"/>
  <c r="U1351" i="17"/>
  <c r="T1351" i="17"/>
  <c r="S1351" i="17"/>
  <c r="R1351" i="17"/>
  <c r="N1351" i="17"/>
  <c r="M1351" i="17"/>
  <c r="V1350" i="17"/>
  <c r="U1350" i="17"/>
  <c r="T1350" i="17"/>
  <c r="S1350" i="17"/>
  <c r="R1350" i="17"/>
  <c r="N1350" i="17"/>
  <c r="M1350" i="17"/>
  <c r="V1349" i="17"/>
  <c r="U1349" i="17"/>
  <c r="T1349" i="17"/>
  <c r="S1349" i="17"/>
  <c r="R1349" i="17"/>
  <c r="N1349" i="17"/>
  <c r="M1349" i="17"/>
  <c r="V1348" i="17"/>
  <c r="U1348" i="17"/>
  <c r="T1348" i="17"/>
  <c r="S1348" i="17"/>
  <c r="R1348" i="17"/>
  <c r="N1348" i="17"/>
  <c r="M1348" i="17"/>
  <c r="V1347" i="17"/>
  <c r="U1347" i="17"/>
  <c r="T1347" i="17"/>
  <c r="S1347" i="17"/>
  <c r="R1347" i="17"/>
  <c r="N1347" i="17"/>
  <c r="M1347" i="17"/>
  <c r="V1346" i="17"/>
  <c r="U1346" i="17"/>
  <c r="T1346" i="17"/>
  <c r="S1346" i="17"/>
  <c r="R1346" i="17"/>
  <c r="N1346" i="17"/>
  <c r="M1346" i="17"/>
  <c r="V1345" i="17"/>
  <c r="U1345" i="17"/>
  <c r="T1345" i="17"/>
  <c r="S1345" i="17"/>
  <c r="R1345" i="17"/>
  <c r="N1345" i="17"/>
  <c r="M1345" i="17"/>
  <c r="V1344" i="17"/>
  <c r="U1344" i="17"/>
  <c r="T1344" i="17"/>
  <c r="S1344" i="17"/>
  <c r="R1344" i="17"/>
  <c r="N1344" i="17"/>
  <c r="M1344" i="17"/>
  <c r="V1343" i="17"/>
  <c r="U1343" i="17"/>
  <c r="T1343" i="17"/>
  <c r="S1343" i="17"/>
  <c r="R1343" i="17"/>
  <c r="N1343" i="17"/>
  <c r="M1343" i="17"/>
  <c r="V1342" i="17"/>
  <c r="U1342" i="17"/>
  <c r="T1342" i="17"/>
  <c r="S1342" i="17"/>
  <c r="R1342" i="17"/>
  <c r="N1342" i="17"/>
  <c r="M1342" i="17"/>
  <c r="V1341" i="17"/>
  <c r="U1341" i="17"/>
  <c r="T1341" i="17"/>
  <c r="S1341" i="17"/>
  <c r="R1341" i="17"/>
  <c r="N1341" i="17"/>
  <c r="M1341" i="17"/>
  <c r="V1340" i="17"/>
  <c r="U1340" i="17"/>
  <c r="T1340" i="17"/>
  <c r="S1340" i="17"/>
  <c r="R1340" i="17"/>
  <c r="N1340" i="17"/>
  <c r="M1340" i="17"/>
  <c r="V1339" i="17"/>
  <c r="U1339" i="17"/>
  <c r="T1339" i="17"/>
  <c r="S1339" i="17"/>
  <c r="R1339" i="17"/>
  <c r="N1339" i="17"/>
  <c r="M1339" i="17"/>
  <c r="V1338" i="17"/>
  <c r="U1338" i="17"/>
  <c r="T1338" i="17"/>
  <c r="S1338" i="17"/>
  <c r="R1338" i="17"/>
  <c r="N1338" i="17"/>
  <c r="M1338" i="17"/>
  <c r="V1337" i="17"/>
  <c r="U1337" i="17"/>
  <c r="T1337" i="17"/>
  <c r="S1337" i="17"/>
  <c r="R1337" i="17"/>
  <c r="N1337" i="17"/>
  <c r="M1337" i="17"/>
  <c r="V1336" i="17"/>
  <c r="U1336" i="17"/>
  <c r="T1336" i="17"/>
  <c r="S1336" i="17"/>
  <c r="R1336" i="17"/>
  <c r="N1336" i="17"/>
  <c r="M1336" i="17"/>
  <c r="V1335" i="17"/>
  <c r="U1335" i="17"/>
  <c r="T1335" i="17"/>
  <c r="S1335" i="17"/>
  <c r="R1335" i="17"/>
  <c r="N1335" i="17"/>
  <c r="M1335" i="17"/>
  <c r="V1334" i="17"/>
  <c r="U1334" i="17"/>
  <c r="T1334" i="17"/>
  <c r="S1334" i="17"/>
  <c r="R1334" i="17"/>
  <c r="N1334" i="17"/>
  <c r="M1334" i="17"/>
  <c r="V1333" i="17"/>
  <c r="U1333" i="17"/>
  <c r="T1333" i="17"/>
  <c r="S1333" i="17"/>
  <c r="R1333" i="17"/>
  <c r="N1333" i="17"/>
  <c r="M1333" i="17"/>
  <c r="V1332" i="17"/>
  <c r="U1332" i="17"/>
  <c r="T1332" i="17"/>
  <c r="S1332" i="17"/>
  <c r="R1332" i="17"/>
  <c r="N1332" i="17"/>
  <c r="M1332" i="17"/>
  <c r="V1331" i="17"/>
  <c r="U1331" i="17"/>
  <c r="T1331" i="17"/>
  <c r="S1331" i="17"/>
  <c r="R1331" i="17"/>
  <c r="N1331" i="17"/>
  <c r="M1331" i="17"/>
  <c r="V1330" i="17"/>
  <c r="U1330" i="17"/>
  <c r="T1330" i="17"/>
  <c r="S1330" i="17"/>
  <c r="R1330" i="17"/>
  <c r="N1330" i="17"/>
  <c r="M1330" i="17"/>
  <c r="V1329" i="17"/>
  <c r="U1329" i="17"/>
  <c r="T1329" i="17"/>
  <c r="S1329" i="17"/>
  <c r="R1329" i="17"/>
  <c r="N1329" i="17"/>
  <c r="M1329" i="17"/>
  <c r="V1328" i="17"/>
  <c r="U1328" i="17"/>
  <c r="T1328" i="17"/>
  <c r="S1328" i="17"/>
  <c r="R1328" i="17"/>
  <c r="N1328" i="17"/>
  <c r="M1328" i="17"/>
  <c r="V1327" i="17"/>
  <c r="U1327" i="17"/>
  <c r="T1327" i="17"/>
  <c r="S1327" i="17"/>
  <c r="R1327" i="17"/>
  <c r="N1327" i="17"/>
  <c r="M1327" i="17"/>
  <c r="V1326" i="17"/>
  <c r="U1326" i="17"/>
  <c r="T1326" i="17"/>
  <c r="S1326" i="17"/>
  <c r="R1326" i="17"/>
  <c r="N1326" i="17"/>
  <c r="M1326" i="17"/>
  <c r="V1325" i="17"/>
  <c r="U1325" i="17"/>
  <c r="T1325" i="17"/>
  <c r="S1325" i="17"/>
  <c r="R1325" i="17"/>
  <c r="N1325" i="17"/>
  <c r="M1325" i="17"/>
  <c r="V1324" i="17"/>
  <c r="U1324" i="17"/>
  <c r="T1324" i="17"/>
  <c r="S1324" i="17"/>
  <c r="R1324" i="17"/>
  <c r="N1324" i="17"/>
  <c r="M1324" i="17"/>
  <c r="A1324" i="17"/>
  <c r="V1323" i="17"/>
  <c r="U1323" i="17"/>
  <c r="T1323" i="17"/>
  <c r="S1323" i="17"/>
  <c r="R1323" i="17"/>
  <c r="N1323" i="17"/>
  <c r="M1323" i="17"/>
  <c r="V1322" i="17"/>
  <c r="U1322" i="17"/>
  <c r="T1322" i="17"/>
  <c r="S1322" i="17"/>
  <c r="R1322" i="17"/>
  <c r="N1322" i="17"/>
  <c r="M1322" i="17"/>
  <c r="V1321" i="17"/>
  <c r="U1321" i="17"/>
  <c r="T1321" i="17"/>
  <c r="S1321" i="17"/>
  <c r="R1321" i="17"/>
  <c r="N1321" i="17"/>
  <c r="M1321" i="17"/>
  <c r="V1320" i="17"/>
  <c r="U1320" i="17"/>
  <c r="T1320" i="17"/>
  <c r="S1320" i="17"/>
  <c r="R1320" i="17"/>
  <c r="N1320" i="17"/>
  <c r="M1320" i="17"/>
  <c r="V1319" i="17"/>
  <c r="U1319" i="17"/>
  <c r="T1319" i="17"/>
  <c r="S1319" i="17"/>
  <c r="R1319" i="17"/>
  <c r="N1319" i="17"/>
  <c r="M1319" i="17"/>
  <c r="V1318" i="17"/>
  <c r="U1318" i="17"/>
  <c r="T1318" i="17"/>
  <c r="S1318" i="17"/>
  <c r="R1318" i="17"/>
  <c r="N1318" i="17"/>
  <c r="M1318" i="17"/>
  <c r="V1317" i="17"/>
  <c r="U1317" i="17"/>
  <c r="T1317" i="17"/>
  <c r="S1317" i="17"/>
  <c r="R1317" i="17"/>
  <c r="N1317" i="17"/>
  <c r="M1317" i="17"/>
  <c r="V1316" i="17"/>
  <c r="U1316" i="17"/>
  <c r="T1316" i="17"/>
  <c r="S1316" i="17"/>
  <c r="R1316" i="17"/>
  <c r="N1316" i="17"/>
  <c r="M1316" i="17"/>
  <c r="V1315" i="17"/>
  <c r="U1315" i="17"/>
  <c r="T1315" i="17"/>
  <c r="S1315" i="17"/>
  <c r="R1315" i="17"/>
  <c r="N1315" i="17"/>
  <c r="M1315" i="17"/>
  <c r="V1314" i="17"/>
  <c r="U1314" i="17"/>
  <c r="T1314" i="17"/>
  <c r="S1314" i="17"/>
  <c r="R1314" i="17"/>
  <c r="N1314" i="17"/>
  <c r="M1314" i="17"/>
  <c r="V1313" i="17"/>
  <c r="U1313" i="17"/>
  <c r="T1313" i="17"/>
  <c r="S1313" i="17"/>
  <c r="R1313" i="17"/>
  <c r="N1313" i="17"/>
  <c r="M1313" i="17"/>
  <c r="V1312" i="17"/>
  <c r="U1312" i="17"/>
  <c r="T1312" i="17"/>
  <c r="S1312" i="17"/>
  <c r="R1312" i="17"/>
  <c r="N1312" i="17"/>
  <c r="M1312" i="17"/>
  <c r="V1311" i="17"/>
  <c r="U1311" i="17"/>
  <c r="T1311" i="17"/>
  <c r="S1311" i="17"/>
  <c r="R1311" i="17"/>
  <c r="N1311" i="17"/>
  <c r="M1311" i="17"/>
  <c r="V1310" i="17"/>
  <c r="U1310" i="17"/>
  <c r="T1310" i="17"/>
  <c r="S1310" i="17"/>
  <c r="R1310" i="17"/>
  <c r="N1310" i="17"/>
  <c r="M1310" i="17"/>
  <c r="V1309" i="17"/>
  <c r="U1309" i="17"/>
  <c r="T1309" i="17"/>
  <c r="S1309" i="17"/>
  <c r="R1309" i="17"/>
  <c r="N1309" i="17"/>
  <c r="M1309" i="17"/>
  <c r="V1308" i="17"/>
  <c r="U1308" i="17"/>
  <c r="T1308" i="17"/>
  <c r="S1308" i="17"/>
  <c r="R1308" i="17"/>
  <c r="N1308" i="17"/>
  <c r="M1308" i="17"/>
  <c r="V1307" i="17"/>
  <c r="U1307" i="17"/>
  <c r="T1307" i="17"/>
  <c r="S1307" i="17"/>
  <c r="R1307" i="17"/>
  <c r="N1307" i="17"/>
  <c r="M1307" i="17"/>
  <c r="V1306" i="17"/>
  <c r="U1306" i="17"/>
  <c r="T1306" i="17"/>
  <c r="S1306" i="17"/>
  <c r="R1306" i="17"/>
  <c r="N1306" i="17"/>
  <c r="M1306" i="17"/>
  <c r="V1305" i="17"/>
  <c r="U1305" i="17"/>
  <c r="T1305" i="17"/>
  <c r="S1305" i="17"/>
  <c r="R1305" i="17"/>
  <c r="N1305" i="17"/>
  <c r="M1305" i="17"/>
  <c r="V1304" i="17"/>
  <c r="U1304" i="17"/>
  <c r="T1304" i="17"/>
  <c r="S1304" i="17"/>
  <c r="R1304" i="17"/>
  <c r="N1304" i="17"/>
  <c r="M1304" i="17"/>
  <c r="V1303" i="17"/>
  <c r="U1303" i="17"/>
  <c r="T1303" i="17"/>
  <c r="S1303" i="17"/>
  <c r="R1303" i="17"/>
  <c r="N1303" i="17"/>
  <c r="M1303" i="17"/>
  <c r="V1302" i="17"/>
  <c r="U1302" i="17"/>
  <c r="T1302" i="17"/>
  <c r="S1302" i="17"/>
  <c r="R1302" i="17"/>
  <c r="N1302" i="17"/>
  <c r="M1302" i="17"/>
  <c r="V1301" i="17"/>
  <c r="U1301" i="17"/>
  <c r="T1301" i="17"/>
  <c r="S1301" i="17"/>
  <c r="R1301" i="17"/>
  <c r="N1301" i="17"/>
  <c r="M1301" i="17"/>
  <c r="V1300" i="17"/>
  <c r="U1300" i="17"/>
  <c r="T1300" i="17"/>
  <c r="S1300" i="17"/>
  <c r="R1300" i="17"/>
  <c r="N1300" i="17"/>
  <c r="M1300" i="17"/>
  <c r="V1299" i="17"/>
  <c r="U1299" i="17"/>
  <c r="T1299" i="17"/>
  <c r="S1299" i="17"/>
  <c r="R1299" i="17"/>
  <c r="N1299" i="17"/>
  <c r="M1299" i="17"/>
  <c r="V1298" i="17"/>
  <c r="U1298" i="17"/>
  <c r="T1298" i="17"/>
  <c r="S1298" i="17"/>
  <c r="R1298" i="17"/>
  <c r="N1298" i="17"/>
  <c r="M1298" i="17"/>
  <c r="V1297" i="17"/>
  <c r="U1297" i="17"/>
  <c r="T1297" i="17"/>
  <c r="S1297" i="17"/>
  <c r="R1297" i="17"/>
  <c r="N1297" i="17"/>
  <c r="M1297" i="17"/>
  <c r="V1296" i="17"/>
  <c r="U1296" i="17"/>
  <c r="T1296" i="17"/>
  <c r="S1296" i="17"/>
  <c r="R1296" i="17"/>
  <c r="N1296" i="17"/>
  <c r="M1296" i="17"/>
  <c r="V1295" i="17"/>
  <c r="U1295" i="17"/>
  <c r="T1295" i="17"/>
  <c r="S1295" i="17"/>
  <c r="R1295" i="17"/>
  <c r="N1295" i="17"/>
  <c r="M1295" i="17"/>
  <c r="V1294" i="17"/>
  <c r="U1294" i="17"/>
  <c r="T1294" i="17"/>
  <c r="S1294" i="17"/>
  <c r="R1294" i="17"/>
  <c r="N1294" i="17"/>
  <c r="M1294" i="17"/>
  <c r="V1293" i="17"/>
  <c r="U1293" i="17"/>
  <c r="T1293" i="17"/>
  <c r="S1293" i="17"/>
  <c r="R1293" i="17"/>
  <c r="N1293" i="17"/>
  <c r="M1293" i="17"/>
  <c r="V1292" i="17"/>
  <c r="U1292" i="17"/>
  <c r="T1292" i="17"/>
  <c r="S1292" i="17"/>
  <c r="R1292" i="17"/>
  <c r="N1292" i="17"/>
  <c r="M1292" i="17"/>
  <c r="V1291" i="17"/>
  <c r="U1291" i="17"/>
  <c r="T1291" i="17"/>
  <c r="S1291" i="17"/>
  <c r="R1291" i="17"/>
  <c r="N1291" i="17"/>
  <c r="M1291" i="17"/>
  <c r="V1290" i="17"/>
  <c r="U1290" i="17"/>
  <c r="T1290" i="17"/>
  <c r="S1290" i="17"/>
  <c r="R1290" i="17"/>
  <c r="N1290" i="17"/>
  <c r="M1290" i="17"/>
  <c r="V1289" i="17"/>
  <c r="U1289" i="17"/>
  <c r="T1289" i="17"/>
  <c r="S1289" i="17"/>
  <c r="R1289" i="17"/>
  <c r="N1289" i="17"/>
  <c r="M1289" i="17"/>
  <c r="V1288" i="17"/>
  <c r="U1288" i="17"/>
  <c r="T1288" i="17"/>
  <c r="S1288" i="17"/>
  <c r="R1288" i="17"/>
  <c r="N1288" i="17"/>
  <c r="M1288" i="17"/>
  <c r="V1287" i="17"/>
  <c r="U1287" i="17"/>
  <c r="T1287" i="17"/>
  <c r="S1287" i="17"/>
  <c r="R1287" i="17"/>
  <c r="N1287" i="17"/>
  <c r="M1287" i="17"/>
  <c r="V1286" i="17"/>
  <c r="U1286" i="17"/>
  <c r="T1286" i="17"/>
  <c r="S1286" i="17"/>
  <c r="R1286" i="17"/>
  <c r="N1286" i="17"/>
  <c r="M1286" i="17"/>
  <c r="V1285" i="17"/>
  <c r="U1285" i="17"/>
  <c r="T1285" i="17"/>
  <c r="S1285" i="17"/>
  <c r="R1285" i="17"/>
  <c r="N1285" i="17"/>
  <c r="M1285" i="17"/>
  <c r="V1284" i="17"/>
  <c r="U1284" i="17"/>
  <c r="T1284" i="17"/>
  <c r="S1284" i="17"/>
  <c r="R1284" i="17"/>
  <c r="N1284" i="17"/>
  <c r="M1284" i="17"/>
  <c r="V1283" i="17"/>
  <c r="U1283" i="17"/>
  <c r="T1283" i="17"/>
  <c r="S1283" i="17"/>
  <c r="R1283" i="17"/>
  <c r="N1283" i="17"/>
  <c r="M1283" i="17"/>
  <c r="V1282" i="17"/>
  <c r="U1282" i="17"/>
  <c r="T1282" i="17"/>
  <c r="S1282" i="17"/>
  <c r="R1282" i="17"/>
  <c r="N1282" i="17"/>
  <c r="M1282" i="17"/>
  <c r="V1281" i="17"/>
  <c r="U1281" i="17"/>
  <c r="T1281" i="17"/>
  <c r="S1281" i="17"/>
  <c r="R1281" i="17"/>
  <c r="N1281" i="17"/>
  <c r="M1281" i="17"/>
  <c r="V1280" i="17"/>
  <c r="U1280" i="17"/>
  <c r="T1280" i="17"/>
  <c r="S1280" i="17"/>
  <c r="R1280" i="17"/>
  <c r="N1280" i="17"/>
  <c r="M1280" i="17"/>
  <c r="V1279" i="17"/>
  <c r="U1279" i="17"/>
  <c r="T1279" i="17"/>
  <c r="S1279" i="17"/>
  <c r="R1279" i="17"/>
  <c r="N1279" i="17"/>
  <c r="M1279" i="17"/>
  <c r="V1278" i="17"/>
  <c r="U1278" i="17"/>
  <c r="T1278" i="17"/>
  <c r="S1278" i="17"/>
  <c r="R1278" i="17"/>
  <c r="N1278" i="17"/>
  <c r="M1278" i="17"/>
  <c r="V1277" i="17"/>
  <c r="U1277" i="17"/>
  <c r="T1277" i="17"/>
  <c r="S1277" i="17"/>
  <c r="R1277" i="17"/>
  <c r="N1277" i="17"/>
  <c r="M1277" i="17"/>
  <c r="V1276" i="17"/>
  <c r="U1276" i="17"/>
  <c r="T1276" i="17"/>
  <c r="S1276" i="17"/>
  <c r="R1276" i="17"/>
  <c r="N1276" i="17"/>
  <c r="M1276" i="17"/>
  <c r="V1275" i="17"/>
  <c r="U1275" i="17"/>
  <c r="T1275" i="17"/>
  <c r="S1275" i="17"/>
  <c r="R1275" i="17"/>
  <c r="N1275" i="17"/>
  <c r="M1275" i="17"/>
  <c r="V1274" i="17"/>
  <c r="U1274" i="17"/>
  <c r="T1274" i="17"/>
  <c r="S1274" i="17"/>
  <c r="R1274" i="17"/>
  <c r="N1274" i="17"/>
  <c r="M1274" i="17"/>
  <c r="V1273" i="17"/>
  <c r="U1273" i="17"/>
  <c r="T1273" i="17"/>
  <c r="S1273" i="17"/>
  <c r="R1273" i="17"/>
  <c r="N1273" i="17"/>
  <c r="M1273" i="17"/>
  <c r="V1272" i="17"/>
  <c r="U1272" i="17"/>
  <c r="T1272" i="17"/>
  <c r="S1272" i="17"/>
  <c r="R1272" i="17"/>
  <c r="N1272" i="17"/>
  <c r="M1272" i="17"/>
  <c r="V1271" i="17"/>
  <c r="U1271" i="17"/>
  <c r="T1271" i="17"/>
  <c r="S1271" i="17"/>
  <c r="R1271" i="17"/>
  <c r="N1271" i="17"/>
  <c r="M1271" i="17"/>
  <c r="V1270" i="17"/>
  <c r="U1270" i="17"/>
  <c r="T1270" i="17"/>
  <c r="S1270" i="17"/>
  <c r="R1270" i="17"/>
  <c r="N1270" i="17"/>
  <c r="M1270" i="17"/>
  <c r="V1269" i="17"/>
  <c r="U1269" i="17"/>
  <c r="T1269" i="17"/>
  <c r="S1269" i="17"/>
  <c r="R1269" i="17"/>
  <c r="N1269" i="17"/>
  <c r="M1269" i="17"/>
  <c r="V1268" i="17"/>
  <c r="U1268" i="17"/>
  <c r="T1268" i="17"/>
  <c r="S1268" i="17"/>
  <c r="R1268" i="17"/>
  <c r="N1268" i="17"/>
  <c r="M1268" i="17"/>
  <c r="V1267" i="17"/>
  <c r="U1267" i="17"/>
  <c r="T1267" i="17"/>
  <c r="S1267" i="17"/>
  <c r="R1267" i="17"/>
  <c r="N1267" i="17"/>
  <c r="M1267" i="17"/>
  <c r="V1266" i="17"/>
  <c r="U1266" i="17"/>
  <c r="T1266" i="17"/>
  <c r="S1266" i="17"/>
  <c r="R1266" i="17"/>
  <c r="N1266" i="17"/>
  <c r="M1266" i="17"/>
  <c r="V1265" i="17"/>
  <c r="U1265" i="17"/>
  <c r="T1265" i="17"/>
  <c r="S1265" i="17"/>
  <c r="R1265" i="17"/>
  <c r="N1265" i="17"/>
  <c r="M1265" i="17"/>
  <c r="V1264" i="17"/>
  <c r="U1264" i="17"/>
  <c r="T1264" i="17"/>
  <c r="S1264" i="17"/>
  <c r="R1264" i="17"/>
  <c r="N1264" i="17"/>
  <c r="M1264" i="17"/>
  <c r="V1263" i="17"/>
  <c r="U1263" i="17"/>
  <c r="T1263" i="17"/>
  <c r="S1263" i="17"/>
  <c r="R1263" i="17"/>
  <c r="N1263" i="17"/>
  <c r="M1263" i="17"/>
  <c r="V1262" i="17"/>
  <c r="U1262" i="17"/>
  <c r="T1262" i="17"/>
  <c r="S1262" i="17"/>
  <c r="R1262" i="17"/>
  <c r="N1262" i="17"/>
  <c r="M1262" i="17"/>
  <c r="V1261" i="17"/>
  <c r="U1261" i="17"/>
  <c r="T1261" i="17"/>
  <c r="S1261" i="17"/>
  <c r="R1261" i="17"/>
  <c r="N1261" i="17"/>
  <c r="M1261" i="17"/>
  <c r="V1260" i="17"/>
  <c r="U1260" i="17"/>
  <c r="T1260" i="17"/>
  <c r="S1260" i="17"/>
  <c r="R1260" i="17"/>
  <c r="N1260" i="17"/>
  <c r="M1260" i="17"/>
  <c r="V1259" i="17"/>
  <c r="U1259" i="17"/>
  <c r="T1259" i="17"/>
  <c r="S1259" i="17"/>
  <c r="R1259" i="17"/>
  <c r="N1259" i="17"/>
  <c r="M1259" i="17"/>
  <c r="V1258" i="17"/>
  <c r="U1258" i="17"/>
  <c r="T1258" i="17"/>
  <c r="S1258" i="17"/>
  <c r="R1258" i="17"/>
  <c r="N1258" i="17"/>
  <c r="M1258" i="17"/>
  <c r="V1257" i="17"/>
  <c r="U1257" i="17"/>
  <c r="T1257" i="17"/>
  <c r="S1257" i="17"/>
  <c r="R1257" i="17"/>
  <c r="N1257" i="17"/>
  <c r="M1257" i="17"/>
  <c r="V1256" i="17"/>
  <c r="U1256" i="17"/>
  <c r="T1256" i="17"/>
  <c r="S1256" i="17"/>
  <c r="R1256" i="17"/>
  <c r="N1256" i="17"/>
  <c r="M1256" i="17"/>
  <c r="V1255" i="17"/>
  <c r="U1255" i="17"/>
  <c r="T1255" i="17"/>
  <c r="S1255" i="17"/>
  <c r="R1255" i="17"/>
  <c r="N1255" i="17"/>
  <c r="M1255" i="17"/>
  <c r="V1254" i="17"/>
  <c r="U1254" i="17"/>
  <c r="T1254" i="17"/>
  <c r="S1254" i="17"/>
  <c r="R1254" i="17"/>
  <c r="N1254" i="17"/>
  <c r="M1254" i="17"/>
  <c r="V1253" i="17"/>
  <c r="U1253" i="17"/>
  <c r="T1253" i="17"/>
  <c r="S1253" i="17"/>
  <c r="R1253" i="17"/>
  <c r="N1253" i="17"/>
  <c r="M1253" i="17"/>
  <c r="V1252" i="17"/>
  <c r="U1252" i="17"/>
  <c r="T1252" i="17"/>
  <c r="S1252" i="17"/>
  <c r="R1252" i="17"/>
  <c r="N1252" i="17"/>
  <c r="M1252" i="17"/>
  <c r="V1251" i="17"/>
  <c r="U1251" i="17"/>
  <c r="T1251" i="17"/>
  <c r="S1251" i="17"/>
  <c r="R1251" i="17"/>
  <c r="N1251" i="17"/>
  <c r="M1251" i="17"/>
  <c r="V1250" i="17"/>
  <c r="U1250" i="17"/>
  <c r="T1250" i="17"/>
  <c r="S1250" i="17"/>
  <c r="R1250" i="17"/>
  <c r="N1250" i="17"/>
  <c r="M1250" i="17"/>
  <c r="V1249" i="17"/>
  <c r="U1249" i="17"/>
  <c r="T1249" i="17"/>
  <c r="S1249" i="17"/>
  <c r="R1249" i="17"/>
  <c r="N1249" i="17"/>
  <c r="M1249" i="17"/>
  <c r="V1248" i="17"/>
  <c r="U1248" i="17"/>
  <c r="T1248" i="17"/>
  <c r="S1248" i="17"/>
  <c r="R1248" i="17"/>
  <c r="N1248" i="17"/>
  <c r="M1248" i="17"/>
  <c r="V1247" i="17"/>
  <c r="U1247" i="17"/>
  <c r="T1247" i="17"/>
  <c r="S1247" i="17"/>
  <c r="R1247" i="17"/>
  <c r="N1247" i="17"/>
  <c r="M1247" i="17"/>
  <c r="A1247" i="17"/>
  <c r="V1246" i="17"/>
  <c r="U1246" i="17"/>
  <c r="T1246" i="17"/>
  <c r="S1246" i="17"/>
  <c r="R1246" i="17"/>
  <c r="N1246" i="17"/>
  <c r="M1246" i="17"/>
  <c r="A1246" i="17"/>
  <c r="V1245" i="17"/>
  <c r="U1245" i="17"/>
  <c r="T1245" i="17"/>
  <c r="S1245" i="17"/>
  <c r="R1245" i="17"/>
  <c r="N1245" i="17"/>
  <c r="M1245" i="17"/>
  <c r="A1245" i="17"/>
  <c r="V1244" i="17"/>
  <c r="U1244" i="17"/>
  <c r="T1244" i="17"/>
  <c r="S1244" i="17"/>
  <c r="R1244" i="17"/>
  <c r="N1244" i="17"/>
  <c r="M1244" i="17"/>
  <c r="A1244" i="17"/>
  <c r="V1243" i="17"/>
  <c r="U1243" i="17"/>
  <c r="T1243" i="17"/>
  <c r="S1243" i="17"/>
  <c r="R1243" i="17"/>
  <c r="N1243" i="17"/>
  <c r="M1243" i="17"/>
  <c r="V1242" i="17"/>
  <c r="U1242" i="17"/>
  <c r="T1242" i="17"/>
  <c r="S1242" i="17"/>
  <c r="R1242" i="17"/>
  <c r="N1242" i="17"/>
  <c r="M1242" i="17"/>
  <c r="V1241" i="17"/>
  <c r="U1241" i="17"/>
  <c r="T1241" i="17"/>
  <c r="S1241" i="17"/>
  <c r="R1241" i="17"/>
  <c r="N1241" i="17"/>
  <c r="M1241" i="17"/>
  <c r="V1240" i="17"/>
  <c r="U1240" i="17"/>
  <c r="T1240" i="17"/>
  <c r="S1240" i="17"/>
  <c r="R1240" i="17"/>
  <c r="N1240" i="17"/>
  <c r="M1240" i="17"/>
  <c r="V1239" i="17"/>
  <c r="U1239" i="17"/>
  <c r="T1239" i="17"/>
  <c r="S1239" i="17"/>
  <c r="R1239" i="17"/>
  <c r="N1239" i="17"/>
  <c r="M1239" i="17"/>
  <c r="V1238" i="17"/>
  <c r="U1238" i="17"/>
  <c r="T1238" i="17"/>
  <c r="S1238" i="17"/>
  <c r="R1238" i="17"/>
  <c r="N1238" i="17"/>
  <c r="M1238" i="17"/>
  <c r="V1237" i="17"/>
  <c r="U1237" i="17"/>
  <c r="T1237" i="17"/>
  <c r="S1237" i="17"/>
  <c r="R1237" i="17"/>
  <c r="N1237" i="17"/>
  <c r="M1237" i="17"/>
  <c r="V1236" i="17"/>
  <c r="U1236" i="17"/>
  <c r="T1236" i="17"/>
  <c r="S1236" i="17"/>
  <c r="R1236" i="17"/>
  <c r="N1236" i="17"/>
  <c r="M1236" i="17"/>
  <c r="V1235" i="17"/>
  <c r="U1235" i="17"/>
  <c r="T1235" i="17"/>
  <c r="S1235" i="17"/>
  <c r="R1235" i="17"/>
  <c r="N1235" i="17"/>
  <c r="M1235" i="17"/>
  <c r="V1234" i="17"/>
  <c r="U1234" i="17"/>
  <c r="T1234" i="17"/>
  <c r="S1234" i="17"/>
  <c r="R1234" i="17"/>
  <c r="N1234" i="17"/>
  <c r="M1234" i="17"/>
  <c r="V1233" i="17"/>
  <c r="U1233" i="17"/>
  <c r="T1233" i="17"/>
  <c r="S1233" i="17"/>
  <c r="R1233" i="17"/>
  <c r="N1233" i="17"/>
  <c r="M1233" i="17"/>
  <c r="A1233" i="17"/>
  <c r="V1232" i="17"/>
  <c r="U1232" i="17"/>
  <c r="T1232" i="17"/>
  <c r="S1232" i="17"/>
  <c r="R1232" i="17"/>
  <c r="N1232" i="17"/>
  <c r="M1232" i="17"/>
  <c r="A1232" i="17"/>
  <c r="V1231" i="17"/>
  <c r="U1231" i="17"/>
  <c r="T1231" i="17"/>
  <c r="S1231" i="17"/>
  <c r="R1231" i="17"/>
  <c r="N1231" i="17"/>
  <c r="M1231" i="17"/>
  <c r="A1231" i="17"/>
  <c r="V1230" i="17"/>
  <c r="U1230" i="17"/>
  <c r="T1230" i="17"/>
  <c r="S1230" i="17"/>
  <c r="R1230" i="17"/>
  <c r="N1230" i="17"/>
  <c r="M1230" i="17"/>
  <c r="A1230" i="17"/>
  <c r="V1229" i="17"/>
  <c r="U1229" i="17"/>
  <c r="T1229" i="17"/>
  <c r="S1229" i="17"/>
  <c r="R1229" i="17"/>
  <c r="N1229" i="17"/>
  <c r="M1229" i="17"/>
  <c r="A1229" i="17"/>
  <c r="V1228" i="17"/>
  <c r="U1228" i="17"/>
  <c r="T1228" i="17"/>
  <c r="S1228" i="17"/>
  <c r="R1228" i="17"/>
  <c r="N1228" i="17"/>
  <c r="M1228" i="17"/>
  <c r="A1228" i="17"/>
  <c r="V1227" i="17"/>
  <c r="U1227" i="17"/>
  <c r="T1227" i="17"/>
  <c r="S1227" i="17"/>
  <c r="R1227" i="17"/>
  <c r="N1227" i="17"/>
  <c r="M1227" i="17"/>
  <c r="A1227" i="17"/>
  <c r="V1226" i="17"/>
  <c r="U1226" i="17"/>
  <c r="T1226" i="17"/>
  <c r="S1226" i="17"/>
  <c r="R1226" i="17"/>
  <c r="N1226" i="17"/>
  <c r="M1226" i="17"/>
  <c r="A1226" i="17"/>
  <c r="V1225" i="17"/>
  <c r="U1225" i="17"/>
  <c r="T1225" i="17"/>
  <c r="S1225" i="17"/>
  <c r="R1225" i="17"/>
  <c r="N1225" i="17"/>
  <c r="M1225" i="17"/>
  <c r="A1225" i="17"/>
  <c r="V1224" i="17"/>
  <c r="U1224" i="17"/>
  <c r="T1224" i="17"/>
  <c r="S1224" i="17"/>
  <c r="R1224" i="17"/>
  <c r="N1224" i="17"/>
  <c r="M1224" i="17"/>
  <c r="A1224" i="17"/>
  <c r="V1223" i="17"/>
  <c r="U1223" i="17"/>
  <c r="T1223" i="17"/>
  <c r="S1223" i="17"/>
  <c r="R1223" i="17"/>
  <c r="N1223" i="17"/>
  <c r="M1223" i="17"/>
  <c r="A1223" i="17"/>
  <c r="V1222" i="17"/>
  <c r="U1222" i="17"/>
  <c r="T1222" i="17"/>
  <c r="S1222" i="17"/>
  <c r="R1222" i="17"/>
  <c r="N1222" i="17"/>
  <c r="M1222" i="17"/>
  <c r="A1222" i="17"/>
  <c r="V1221" i="17"/>
  <c r="U1221" i="17"/>
  <c r="T1221" i="17"/>
  <c r="S1221" i="17"/>
  <c r="R1221" i="17"/>
  <c r="N1221" i="17"/>
  <c r="M1221" i="17"/>
  <c r="A1221" i="17"/>
  <c r="V1220" i="17"/>
  <c r="U1220" i="17"/>
  <c r="T1220" i="17"/>
  <c r="S1220" i="17"/>
  <c r="R1220" i="17"/>
  <c r="N1220" i="17"/>
  <c r="M1220" i="17"/>
  <c r="A1220" i="17"/>
  <c r="V1219" i="17"/>
  <c r="U1219" i="17"/>
  <c r="T1219" i="17"/>
  <c r="S1219" i="17"/>
  <c r="R1219" i="17"/>
  <c r="N1219" i="17"/>
  <c r="M1219" i="17"/>
  <c r="A1219" i="17"/>
  <c r="V1218" i="17"/>
  <c r="U1218" i="17"/>
  <c r="T1218" i="17"/>
  <c r="S1218" i="17"/>
  <c r="R1218" i="17"/>
  <c r="N1218" i="17"/>
  <c r="M1218" i="17"/>
  <c r="A1218" i="17"/>
  <c r="V1217" i="17"/>
  <c r="U1217" i="17"/>
  <c r="T1217" i="17"/>
  <c r="S1217" i="17"/>
  <c r="R1217" i="17"/>
  <c r="N1217" i="17"/>
  <c r="M1217" i="17"/>
  <c r="A1217" i="17"/>
  <c r="V1216" i="17"/>
  <c r="U1216" i="17"/>
  <c r="T1216" i="17"/>
  <c r="S1216" i="17"/>
  <c r="R1216" i="17"/>
  <c r="N1216" i="17"/>
  <c r="M1216" i="17"/>
  <c r="A1216" i="17"/>
  <c r="V1215" i="17"/>
  <c r="U1215" i="17"/>
  <c r="T1215" i="17"/>
  <c r="S1215" i="17"/>
  <c r="R1215" i="17"/>
  <c r="N1215" i="17"/>
  <c r="M1215" i="17"/>
  <c r="A1215" i="17"/>
  <c r="V1214" i="17"/>
  <c r="U1214" i="17"/>
  <c r="T1214" i="17"/>
  <c r="S1214" i="17"/>
  <c r="R1214" i="17"/>
  <c r="N1214" i="17"/>
  <c r="M1214" i="17"/>
  <c r="A1214" i="17"/>
  <c r="V1213" i="17"/>
  <c r="U1213" i="17"/>
  <c r="T1213" i="17"/>
  <c r="S1213" i="17"/>
  <c r="R1213" i="17"/>
  <c r="N1213" i="17"/>
  <c r="M1213" i="17"/>
  <c r="A1213" i="17"/>
  <c r="V1212" i="17"/>
  <c r="U1212" i="17"/>
  <c r="T1212" i="17"/>
  <c r="S1212" i="17"/>
  <c r="R1212" i="17"/>
  <c r="N1212" i="17"/>
  <c r="M1212" i="17"/>
  <c r="A1212" i="17"/>
  <c r="V1211" i="17"/>
  <c r="U1211" i="17"/>
  <c r="T1211" i="17"/>
  <c r="S1211" i="17"/>
  <c r="R1211" i="17"/>
  <c r="N1211" i="17"/>
  <c r="M1211" i="17"/>
  <c r="A1211" i="17"/>
  <c r="V1210" i="17"/>
  <c r="U1210" i="17"/>
  <c r="T1210" i="17"/>
  <c r="S1210" i="17"/>
  <c r="R1210" i="17"/>
  <c r="N1210" i="17"/>
  <c r="M1210" i="17"/>
  <c r="A1210" i="17"/>
  <c r="V1209" i="17"/>
  <c r="U1209" i="17"/>
  <c r="T1209" i="17"/>
  <c r="S1209" i="17"/>
  <c r="R1209" i="17"/>
  <c r="N1209" i="17"/>
  <c r="M1209" i="17"/>
  <c r="A1209" i="17"/>
  <c r="V1208" i="17"/>
  <c r="U1208" i="17"/>
  <c r="T1208" i="17"/>
  <c r="S1208" i="17"/>
  <c r="R1208" i="17"/>
  <c r="N1208" i="17"/>
  <c r="M1208" i="17"/>
  <c r="A1208" i="17"/>
  <c r="V1207" i="17"/>
  <c r="U1207" i="17"/>
  <c r="T1207" i="17"/>
  <c r="S1207" i="17"/>
  <c r="R1207" i="17"/>
  <c r="N1207" i="17"/>
  <c r="M1207" i="17"/>
  <c r="A1207" i="17"/>
  <c r="V1206" i="17"/>
  <c r="U1206" i="17"/>
  <c r="T1206" i="17"/>
  <c r="S1206" i="17"/>
  <c r="R1206" i="17"/>
  <c r="N1206" i="17"/>
  <c r="M1206" i="17"/>
  <c r="A1206" i="17"/>
  <c r="V1205" i="17"/>
  <c r="U1205" i="17"/>
  <c r="T1205" i="17"/>
  <c r="S1205" i="17"/>
  <c r="R1205" i="17"/>
  <c r="N1205" i="17"/>
  <c r="M1205" i="17"/>
  <c r="A1205" i="17"/>
  <c r="Y1204" i="17"/>
  <c r="V1204" i="17"/>
  <c r="U1204" i="17"/>
  <c r="T1204" i="17"/>
  <c r="S1204" i="17"/>
  <c r="R1204" i="17"/>
  <c r="N1204" i="17"/>
  <c r="M1204" i="17"/>
  <c r="A1204" i="17"/>
  <c r="V1203" i="17"/>
  <c r="U1203" i="17"/>
  <c r="T1203" i="17"/>
  <c r="S1203" i="17"/>
  <c r="R1203" i="17"/>
  <c r="N1203" i="17"/>
  <c r="M1203" i="17"/>
  <c r="A1203" i="17"/>
  <c r="V1202" i="17"/>
  <c r="U1202" i="17"/>
  <c r="T1202" i="17"/>
  <c r="S1202" i="17"/>
  <c r="R1202" i="17"/>
  <c r="N1202" i="17"/>
  <c r="M1202" i="17"/>
  <c r="A1202" i="17"/>
  <c r="V1201" i="17"/>
  <c r="U1201" i="17"/>
  <c r="T1201" i="17"/>
  <c r="S1201" i="17"/>
  <c r="R1201" i="17"/>
  <c r="N1201" i="17"/>
  <c r="M1201" i="17"/>
  <c r="D1201" i="17"/>
  <c r="A1201" i="17"/>
  <c r="V1200" i="17"/>
  <c r="U1200" i="17"/>
  <c r="T1200" i="17"/>
  <c r="S1200" i="17"/>
  <c r="R1200" i="17"/>
  <c r="N1200" i="17"/>
  <c r="M1200" i="17"/>
  <c r="A1200" i="17"/>
  <c r="V1199" i="17"/>
  <c r="U1199" i="17"/>
  <c r="T1199" i="17"/>
  <c r="S1199" i="17"/>
  <c r="R1199" i="17"/>
  <c r="N1199" i="17"/>
  <c r="M1199" i="17"/>
  <c r="A1199" i="17"/>
  <c r="V1198" i="17"/>
  <c r="U1198" i="17"/>
  <c r="T1198" i="17"/>
  <c r="S1198" i="17"/>
  <c r="R1198" i="17"/>
  <c r="N1198" i="17"/>
  <c r="M1198" i="17"/>
  <c r="A1198" i="17"/>
  <c r="V1197" i="17"/>
  <c r="U1197" i="17"/>
  <c r="T1197" i="17"/>
  <c r="S1197" i="17"/>
  <c r="R1197" i="17"/>
  <c r="N1197" i="17"/>
  <c r="M1197" i="17"/>
  <c r="A1197" i="17"/>
  <c r="V1196" i="17"/>
  <c r="U1196" i="17"/>
  <c r="T1196" i="17"/>
  <c r="S1196" i="17"/>
  <c r="R1196" i="17"/>
  <c r="N1196" i="17"/>
  <c r="M1196" i="17"/>
  <c r="A1196" i="17"/>
  <c r="V1195" i="17"/>
  <c r="U1195" i="17"/>
  <c r="T1195" i="17"/>
  <c r="S1195" i="17"/>
  <c r="R1195" i="17"/>
  <c r="N1195" i="17"/>
  <c r="M1195" i="17"/>
  <c r="A1195" i="17"/>
  <c r="V1194" i="17"/>
  <c r="U1194" i="17"/>
  <c r="T1194" i="17"/>
  <c r="S1194" i="17"/>
  <c r="R1194" i="17"/>
  <c r="N1194" i="17"/>
  <c r="M1194" i="17"/>
  <c r="A1194" i="17"/>
  <c r="V1193" i="17"/>
  <c r="U1193" i="17"/>
  <c r="T1193" i="17"/>
  <c r="S1193" i="17"/>
  <c r="R1193" i="17"/>
  <c r="N1193" i="17"/>
  <c r="M1193" i="17"/>
  <c r="A1193" i="17"/>
  <c r="V1192" i="17"/>
  <c r="U1192" i="17"/>
  <c r="T1192" i="17"/>
  <c r="S1192" i="17"/>
  <c r="R1192" i="17"/>
  <c r="N1192" i="17"/>
  <c r="M1192" i="17"/>
  <c r="A1192" i="17"/>
  <c r="V1191" i="17"/>
  <c r="U1191" i="17"/>
  <c r="T1191" i="17"/>
  <c r="S1191" i="17"/>
  <c r="R1191" i="17"/>
  <c r="N1191" i="17"/>
  <c r="M1191" i="17"/>
  <c r="A1191" i="17"/>
  <c r="V1190" i="17"/>
  <c r="U1190" i="17"/>
  <c r="T1190" i="17"/>
  <c r="S1190" i="17"/>
  <c r="R1190" i="17"/>
  <c r="N1190" i="17"/>
  <c r="M1190" i="17"/>
  <c r="A1190" i="17"/>
  <c r="V1189" i="17"/>
  <c r="U1189" i="17"/>
  <c r="T1189" i="17"/>
  <c r="S1189" i="17"/>
  <c r="R1189" i="17"/>
  <c r="N1189" i="17"/>
  <c r="M1189" i="17"/>
  <c r="A1189" i="17"/>
  <c r="V1188" i="17"/>
  <c r="U1188" i="17"/>
  <c r="T1188" i="17"/>
  <c r="S1188" i="17"/>
  <c r="R1188" i="17"/>
  <c r="N1188" i="17"/>
  <c r="M1188" i="17"/>
  <c r="A1188" i="17"/>
  <c r="V1187" i="17"/>
  <c r="U1187" i="17"/>
  <c r="T1187" i="17"/>
  <c r="S1187" i="17"/>
  <c r="R1187" i="17"/>
  <c r="N1187" i="17"/>
  <c r="M1187" i="17"/>
  <c r="A1187" i="17"/>
  <c r="V1186" i="17"/>
  <c r="U1186" i="17"/>
  <c r="T1186" i="17"/>
  <c r="S1186" i="17"/>
  <c r="R1186" i="17"/>
  <c r="N1186" i="17"/>
  <c r="M1186" i="17"/>
  <c r="A1186" i="17"/>
  <c r="V1185" i="17"/>
  <c r="U1185" i="17"/>
  <c r="T1185" i="17"/>
  <c r="S1185" i="17"/>
  <c r="R1185" i="17"/>
  <c r="N1185" i="17"/>
  <c r="M1185" i="17"/>
  <c r="A1185" i="17"/>
  <c r="V1184" i="17"/>
  <c r="U1184" i="17"/>
  <c r="T1184" i="17"/>
  <c r="S1184" i="17"/>
  <c r="R1184" i="17"/>
  <c r="N1184" i="17"/>
  <c r="M1184" i="17"/>
  <c r="A1184" i="17"/>
  <c r="V1183" i="17"/>
  <c r="U1183" i="17"/>
  <c r="T1183" i="17"/>
  <c r="S1183" i="17"/>
  <c r="R1183" i="17"/>
  <c r="N1183" i="17"/>
  <c r="M1183" i="17"/>
  <c r="A1183" i="17"/>
  <c r="V1182" i="17"/>
  <c r="U1182" i="17"/>
  <c r="T1182" i="17"/>
  <c r="S1182" i="17"/>
  <c r="R1182" i="17"/>
  <c r="N1182" i="17"/>
  <c r="M1182" i="17"/>
  <c r="A1182" i="17"/>
  <c r="V1181" i="17"/>
  <c r="U1181" i="17"/>
  <c r="T1181" i="17"/>
  <c r="S1181" i="17"/>
  <c r="R1181" i="17"/>
  <c r="N1181" i="17"/>
  <c r="M1181" i="17"/>
  <c r="A1181" i="17"/>
  <c r="V1180" i="17"/>
  <c r="U1180" i="17"/>
  <c r="T1180" i="17"/>
  <c r="S1180" i="17"/>
  <c r="R1180" i="17"/>
  <c r="N1180" i="17"/>
  <c r="M1180" i="17"/>
  <c r="A1180" i="17"/>
  <c r="V1179" i="17"/>
  <c r="U1179" i="17"/>
  <c r="T1179" i="17"/>
  <c r="S1179" i="17"/>
  <c r="R1179" i="17"/>
  <c r="N1179" i="17"/>
  <c r="M1179" i="17"/>
  <c r="A1179" i="17"/>
  <c r="V1178" i="17"/>
  <c r="U1178" i="17"/>
  <c r="T1178" i="17"/>
  <c r="S1178" i="17"/>
  <c r="R1178" i="17"/>
  <c r="N1178" i="17"/>
  <c r="M1178" i="17"/>
  <c r="A1178" i="17"/>
  <c r="V1177" i="17"/>
  <c r="U1177" i="17"/>
  <c r="T1177" i="17"/>
  <c r="S1177" i="17"/>
  <c r="R1177" i="17"/>
  <c r="N1177" i="17"/>
  <c r="M1177" i="17"/>
  <c r="A1177" i="17"/>
  <c r="V1176" i="17"/>
  <c r="U1176" i="17"/>
  <c r="T1176" i="17"/>
  <c r="S1176" i="17"/>
  <c r="R1176" i="17"/>
  <c r="N1176" i="17"/>
  <c r="M1176" i="17"/>
  <c r="A1176" i="17"/>
  <c r="V1175" i="17"/>
  <c r="U1175" i="17"/>
  <c r="T1175" i="17"/>
  <c r="S1175" i="17"/>
  <c r="R1175" i="17"/>
  <c r="N1175" i="17"/>
  <c r="M1175" i="17"/>
  <c r="A1175" i="17"/>
  <c r="V1174" i="17"/>
  <c r="U1174" i="17"/>
  <c r="T1174" i="17"/>
  <c r="S1174" i="17"/>
  <c r="R1174" i="17"/>
  <c r="N1174" i="17"/>
  <c r="M1174" i="17"/>
  <c r="A1174" i="17"/>
  <c r="V1173" i="17"/>
  <c r="U1173" i="17"/>
  <c r="T1173" i="17"/>
  <c r="S1173" i="17"/>
  <c r="R1173" i="17"/>
  <c r="N1173" i="17"/>
  <c r="M1173" i="17"/>
  <c r="A1173" i="17"/>
  <c r="V1172" i="17"/>
  <c r="U1172" i="17"/>
  <c r="T1172" i="17"/>
  <c r="S1172" i="17"/>
  <c r="R1172" i="17"/>
  <c r="N1172" i="17"/>
  <c r="M1172" i="17"/>
  <c r="A1172" i="17"/>
  <c r="V1171" i="17"/>
  <c r="U1171" i="17"/>
  <c r="T1171" i="17"/>
  <c r="S1171" i="17"/>
  <c r="R1171" i="17"/>
  <c r="N1171" i="17"/>
  <c r="M1171" i="17"/>
  <c r="A1171" i="17"/>
  <c r="V1170" i="17"/>
  <c r="U1170" i="17"/>
  <c r="T1170" i="17"/>
  <c r="S1170" i="17"/>
  <c r="R1170" i="17"/>
  <c r="N1170" i="17"/>
  <c r="M1170" i="17"/>
  <c r="A1170" i="17"/>
  <c r="V1169" i="17"/>
  <c r="U1169" i="17"/>
  <c r="T1169" i="17"/>
  <c r="S1169" i="17"/>
  <c r="R1169" i="17"/>
  <c r="N1169" i="17"/>
  <c r="M1169" i="17"/>
  <c r="A1169" i="17"/>
  <c r="V1168" i="17"/>
  <c r="U1168" i="17"/>
  <c r="T1168" i="17"/>
  <c r="S1168" i="17"/>
  <c r="R1168" i="17"/>
  <c r="N1168" i="17"/>
  <c r="M1168" i="17"/>
  <c r="A1168" i="17"/>
  <c r="V1167" i="17"/>
  <c r="U1167" i="17"/>
  <c r="T1167" i="17"/>
  <c r="S1167" i="17"/>
  <c r="R1167" i="17"/>
  <c r="N1167" i="17"/>
  <c r="M1167" i="17"/>
  <c r="A1167" i="17"/>
  <c r="V1166" i="17"/>
  <c r="U1166" i="17"/>
  <c r="T1166" i="17"/>
  <c r="S1166" i="17"/>
  <c r="R1166" i="17"/>
  <c r="N1166" i="17"/>
  <c r="M1166" i="17"/>
  <c r="A1166" i="17"/>
  <c r="V1165" i="17"/>
  <c r="U1165" i="17"/>
  <c r="T1165" i="17"/>
  <c r="S1165" i="17"/>
  <c r="R1165" i="17"/>
  <c r="N1165" i="17"/>
  <c r="M1165" i="17"/>
  <c r="A1165" i="17"/>
  <c r="V1164" i="17"/>
  <c r="U1164" i="17"/>
  <c r="T1164" i="17"/>
  <c r="S1164" i="17"/>
  <c r="R1164" i="17"/>
  <c r="N1164" i="17"/>
  <c r="M1164" i="17"/>
  <c r="A1164" i="17"/>
  <c r="V1163" i="17"/>
  <c r="U1163" i="17"/>
  <c r="T1163" i="17"/>
  <c r="S1163" i="17"/>
  <c r="R1163" i="17"/>
  <c r="N1163" i="17"/>
  <c r="M1163" i="17"/>
  <c r="A1163" i="17"/>
  <c r="V1162" i="17"/>
  <c r="U1162" i="17"/>
  <c r="T1162" i="17"/>
  <c r="S1162" i="17"/>
  <c r="R1162" i="17"/>
  <c r="N1162" i="17"/>
  <c r="M1162" i="17"/>
  <c r="A1162" i="17"/>
  <c r="V1161" i="17"/>
  <c r="U1161" i="17"/>
  <c r="T1161" i="17"/>
  <c r="S1161" i="17"/>
  <c r="R1161" i="17"/>
  <c r="N1161" i="17"/>
  <c r="M1161" i="17"/>
  <c r="A1161" i="17"/>
  <c r="V1160" i="17"/>
  <c r="U1160" i="17"/>
  <c r="T1160" i="17"/>
  <c r="S1160" i="17"/>
  <c r="R1160" i="17"/>
  <c r="N1160" i="17"/>
  <c r="M1160" i="17"/>
  <c r="A1160" i="17"/>
  <c r="V1159" i="17"/>
  <c r="U1159" i="17"/>
  <c r="T1159" i="17"/>
  <c r="S1159" i="17"/>
  <c r="R1159" i="17"/>
  <c r="N1159" i="17"/>
  <c r="M1159" i="17"/>
  <c r="A1159" i="17"/>
  <c r="V1158" i="17"/>
  <c r="U1158" i="17"/>
  <c r="T1158" i="17"/>
  <c r="S1158" i="17"/>
  <c r="R1158" i="17"/>
  <c r="N1158" i="17"/>
  <c r="M1158" i="17"/>
  <c r="A1158" i="17"/>
  <c r="V1157" i="17"/>
  <c r="U1157" i="17"/>
  <c r="T1157" i="17"/>
  <c r="S1157" i="17"/>
  <c r="R1157" i="17"/>
  <c r="N1157" i="17"/>
  <c r="M1157" i="17"/>
  <c r="A1157" i="17"/>
  <c r="V1156" i="17"/>
  <c r="U1156" i="17"/>
  <c r="T1156" i="17"/>
  <c r="S1156" i="17"/>
  <c r="R1156" i="17"/>
  <c r="N1156" i="17"/>
  <c r="M1156" i="17"/>
  <c r="A1156" i="17"/>
  <c r="V1155" i="17"/>
  <c r="U1155" i="17"/>
  <c r="T1155" i="17"/>
  <c r="S1155" i="17"/>
  <c r="R1155" i="17"/>
  <c r="N1155" i="17"/>
  <c r="M1155" i="17"/>
  <c r="A1155" i="17"/>
  <c r="V1154" i="17"/>
  <c r="U1154" i="17"/>
  <c r="T1154" i="17"/>
  <c r="S1154" i="17"/>
  <c r="R1154" i="17"/>
  <c r="N1154" i="17"/>
  <c r="M1154" i="17"/>
  <c r="A1154" i="17"/>
  <c r="V1153" i="17"/>
  <c r="U1153" i="17"/>
  <c r="T1153" i="17"/>
  <c r="S1153" i="17"/>
  <c r="R1153" i="17"/>
  <c r="N1153" i="17"/>
  <c r="M1153" i="17"/>
  <c r="A1153" i="17"/>
  <c r="V1152" i="17"/>
  <c r="U1152" i="17"/>
  <c r="T1152" i="17"/>
  <c r="S1152" i="17"/>
  <c r="R1152" i="17"/>
  <c r="N1152" i="17"/>
  <c r="M1152" i="17"/>
  <c r="A1152" i="17"/>
  <c r="V1151" i="17"/>
  <c r="U1151" i="17"/>
  <c r="T1151" i="17"/>
  <c r="S1151" i="17"/>
  <c r="R1151" i="17"/>
  <c r="N1151" i="17"/>
  <c r="M1151" i="17"/>
  <c r="A1151" i="17"/>
  <c r="V1150" i="17"/>
  <c r="U1150" i="17"/>
  <c r="T1150" i="17"/>
  <c r="S1150" i="17"/>
  <c r="R1150" i="17"/>
  <c r="N1150" i="17"/>
  <c r="M1150" i="17"/>
  <c r="A1150" i="17"/>
  <c r="V1149" i="17"/>
  <c r="U1149" i="17"/>
  <c r="T1149" i="17"/>
  <c r="S1149" i="17"/>
  <c r="R1149" i="17"/>
  <c r="N1149" i="17"/>
  <c r="M1149" i="17"/>
  <c r="A1149" i="17"/>
  <c r="V1148" i="17"/>
  <c r="U1148" i="17"/>
  <c r="T1148" i="17"/>
  <c r="S1148" i="17"/>
  <c r="R1148" i="17"/>
  <c r="N1148" i="17"/>
  <c r="M1148" i="17"/>
  <c r="A1148" i="17"/>
  <c r="V1147" i="17"/>
  <c r="U1147" i="17"/>
  <c r="T1147" i="17"/>
  <c r="S1147" i="17"/>
  <c r="R1147" i="17"/>
  <c r="N1147" i="17"/>
  <c r="M1147" i="17"/>
  <c r="A1147" i="17"/>
  <c r="V1146" i="17"/>
  <c r="U1146" i="17"/>
  <c r="T1146" i="17"/>
  <c r="S1146" i="17"/>
  <c r="R1146" i="17"/>
  <c r="N1146" i="17"/>
  <c r="M1146" i="17"/>
  <c r="A1146" i="17"/>
  <c r="V1145" i="17"/>
  <c r="U1145" i="17"/>
  <c r="T1145" i="17"/>
  <c r="S1145" i="17"/>
  <c r="R1145" i="17"/>
  <c r="N1145" i="17"/>
  <c r="M1145" i="17"/>
  <c r="A1145" i="17"/>
  <c r="V1144" i="17"/>
  <c r="U1144" i="17"/>
  <c r="T1144" i="17"/>
  <c r="S1144" i="17"/>
  <c r="R1144" i="17"/>
  <c r="N1144" i="17"/>
  <c r="M1144" i="17"/>
  <c r="A1144" i="17"/>
  <c r="V1143" i="17"/>
  <c r="U1143" i="17"/>
  <c r="T1143" i="17"/>
  <c r="S1143" i="17"/>
  <c r="R1143" i="17"/>
  <c r="N1143" i="17"/>
  <c r="M1143" i="17"/>
  <c r="A1143" i="17"/>
  <c r="V1142" i="17"/>
  <c r="U1142" i="17"/>
  <c r="T1142" i="17"/>
  <c r="S1142" i="17"/>
  <c r="R1142" i="17"/>
  <c r="N1142" i="17"/>
  <c r="M1142" i="17"/>
  <c r="A1142" i="17"/>
  <c r="V1141" i="17"/>
  <c r="U1141" i="17"/>
  <c r="T1141" i="17"/>
  <c r="S1141" i="17"/>
  <c r="R1141" i="17"/>
  <c r="N1141" i="17"/>
  <c r="M1141" i="17"/>
  <c r="A1141" i="17"/>
  <c r="V1140" i="17"/>
  <c r="U1140" i="17"/>
  <c r="T1140" i="17"/>
  <c r="S1140" i="17"/>
  <c r="R1140" i="17"/>
  <c r="N1140" i="17"/>
  <c r="M1140" i="17"/>
  <c r="A1140" i="17"/>
  <c r="V1139" i="17"/>
  <c r="U1139" i="17"/>
  <c r="T1139" i="17"/>
  <c r="S1139" i="17"/>
  <c r="R1139" i="17"/>
  <c r="N1139" i="17"/>
  <c r="M1139" i="17"/>
  <c r="A1139" i="17"/>
  <c r="V1138" i="17"/>
  <c r="U1138" i="17"/>
  <c r="T1138" i="17"/>
  <c r="S1138" i="17"/>
  <c r="R1138" i="17"/>
  <c r="N1138" i="17"/>
  <c r="M1138" i="17"/>
  <c r="A1138" i="17"/>
  <c r="V1137" i="17"/>
  <c r="U1137" i="17"/>
  <c r="T1137" i="17"/>
  <c r="S1137" i="17"/>
  <c r="R1137" i="17"/>
  <c r="N1137" i="17"/>
  <c r="M1137" i="17"/>
  <c r="A1137" i="17"/>
  <c r="V1136" i="17"/>
  <c r="U1136" i="17"/>
  <c r="T1136" i="17"/>
  <c r="S1136" i="17"/>
  <c r="R1136" i="17"/>
  <c r="N1136" i="17"/>
  <c r="M1136" i="17"/>
  <c r="A1136" i="17"/>
  <c r="V1135" i="17"/>
  <c r="U1135" i="17"/>
  <c r="T1135" i="17"/>
  <c r="S1135" i="17"/>
  <c r="R1135" i="17"/>
  <c r="N1135" i="17"/>
  <c r="M1135" i="17"/>
  <c r="A1135" i="17"/>
  <c r="V1134" i="17"/>
  <c r="U1134" i="17"/>
  <c r="T1134" i="17"/>
  <c r="S1134" i="17"/>
  <c r="R1134" i="17"/>
  <c r="N1134" i="17"/>
  <c r="M1134" i="17"/>
  <c r="A1134" i="17"/>
  <c r="V1133" i="17"/>
  <c r="U1133" i="17"/>
  <c r="T1133" i="17"/>
  <c r="S1133" i="17"/>
  <c r="R1133" i="17"/>
  <c r="N1133" i="17"/>
  <c r="M1133" i="17"/>
  <c r="A1133" i="17"/>
  <c r="V1132" i="17"/>
  <c r="U1132" i="17"/>
  <c r="T1132" i="17"/>
  <c r="S1132" i="17"/>
  <c r="R1132" i="17"/>
  <c r="N1132" i="17"/>
  <c r="M1132" i="17"/>
  <c r="A1132" i="17"/>
  <c r="V1131" i="17"/>
  <c r="U1131" i="17"/>
  <c r="T1131" i="17"/>
  <c r="S1131" i="17"/>
  <c r="R1131" i="17"/>
  <c r="N1131" i="17"/>
  <c r="M1131" i="17"/>
  <c r="A1131" i="17"/>
  <c r="V1130" i="17"/>
  <c r="U1130" i="17"/>
  <c r="T1130" i="17"/>
  <c r="S1130" i="17"/>
  <c r="R1130" i="17"/>
  <c r="N1130" i="17"/>
  <c r="M1130" i="17"/>
  <c r="A1130" i="17"/>
  <c r="V1129" i="17"/>
  <c r="U1129" i="17"/>
  <c r="T1129" i="17"/>
  <c r="S1129" i="17"/>
  <c r="R1129" i="17"/>
  <c r="N1129" i="17"/>
  <c r="M1129" i="17"/>
  <c r="A1129" i="17"/>
  <c r="V1128" i="17"/>
  <c r="U1128" i="17"/>
  <c r="T1128" i="17"/>
  <c r="S1128" i="17"/>
  <c r="R1128" i="17"/>
  <c r="N1128" i="17"/>
  <c r="M1128" i="17"/>
  <c r="A1128" i="17"/>
  <c r="V1127" i="17"/>
  <c r="U1127" i="17"/>
  <c r="T1127" i="17"/>
  <c r="S1127" i="17"/>
  <c r="R1127" i="17"/>
  <c r="N1127" i="17"/>
  <c r="M1127" i="17"/>
  <c r="A1127" i="17"/>
  <c r="V1126" i="17"/>
  <c r="U1126" i="17"/>
  <c r="T1126" i="17"/>
  <c r="S1126" i="17"/>
  <c r="R1126" i="17"/>
  <c r="N1126" i="17"/>
  <c r="M1126" i="17"/>
  <c r="A1126" i="17"/>
  <c r="V1125" i="17"/>
  <c r="U1125" i="17"/>
  <c r="T1125" i="17"/>
  <c r="S1125" i="17"/>
  <c r="R1125" i="17"/>
  <c r="N1125" i="17"/>
  <c r="M1125" i="17"/>
  <c r="A1125" i="17"/>
  <c r="V1124" i="17"/>
  <c r="U1124" i="17"/>
  <c r="T1124" i="17"/>
  <c r="S1124" i="17"/>
  <c r="R1124" i="17"/>
  <c r="N1124" i="17"/>
  <c r="M1124" i="17"/>
  <c r="A1124" i="17"/>
  <c r="V1123" i="17"/>
  <c r="U1123" i="17"/>
  <c r="T1123" i="17"/>
  <c r="S1123" i="17"/>
  <c r="R1123" i="17"/>
  <c r="N1123" i="17"/>
  <c r="M1123" i="17"/>
  <c r="A1123" i="17"/>
  <c r="V1122" i="17"/>
  <c r="U1122" i="17"/>
  <c r="T1122" i="17"/>
  <c r="S1122" i="17"/>
  <c r="R1122" i="17"/>
  <c r="N1122" i="17"/>
  <c r="M1122" i="17"/>
  <c r="A1122" i="17"/>
  <c r="V1121" i="17"/>
  <c r="U1121" i="17"/>
  <c r="T1121" i="17"/>
  <c r="S1121" i="17"/>
  <c r="R1121" i="17"/>
  <c r="N1121" i="17"/>
  <c r="M1121" i="17"/>
  <c r="A1121" i="17"/>
  <c r="V1120" i="17"/>
  <c r="U1120" i="17"/>
  <c r="T1120" i="17"/>
  <c r="S1120" i="17"/>
  <c r="R1120" i="17"/>
  <c r="N1120" i="17"/>
  <c r="M1120" i="17"/>
  <c r="A1120" i="17"/>
  <c r="V1119" i="17"/>
  <c r="U1119" i="17"/>
  <c r="T1119" i="17"/>
  <c r="S1119" i="17"/>
  <c r="R1119" i="17"/>
  <c r="N1119" i="17"/>
  <c r="M1119" i="17"/>
  <c r="A1119" i="17"/>
  <c r="V1118" i="17"/>
  <c r="U1118" i="17"/>
  <c r="T1118" i="17"/>
  <c r="S1118" i="17"/>
  <c r="R1118" i="17"/>
  <c r="N1118" i="17"/>
  <c r="M1118" i="17"/>
  <c r="A1118" i="17"/>
  <c r="V1117" i="17"/>
  <c r="U1117" i="17"/>
  <c r="T1117" i="17"/>
  <c r="S1117" i="17"/>
  <c r="R1117" i="17"/>
  <c r="N1117" i="17"/>
  <c r="M1117" i="17"/>
  <c r="A1117" i="17"/>
  <c r="V1116" i="17"/>
  <c r="U1116" i="17"/>
  <c r="T1116" i="17"/>
  <c r="S1116" i="17"/>
  <c r="R1116" i="17"/>
  <c r="N1116" i="17"/>
  <c r="M1116" i="17"/>
  <c r="A1116" i="17"/>
  <c r="V1115" i="17"/>
  <c r="U1115" i="17"/>
  <c r="T1115" i="17"/>
  <c r="S1115" i="17"/>
  <c r="R1115" i="17"/>
  <c r="N1115" i="17"/>
  <c r="M1115" i="17"/>
  <c r="A1115" i="17"/>
  <c r="V1114" i="17"/>
  <c r="U1114" i="17"/>
  <c r="T1114" i="17"/>
  <c r="S1114" i="17"/>
  <c r="R1114" i="17"/>
  <c r="N1114" i="17"/>
  <c r="M1114" i="17"/>
  <c r="A1114" i="17"/>
  <c r="V1113" i="17"/>
  <c r="U1113" i="17"/>
  <c r="T1113" i="17"/>
  <c r="S1113" i="17"/>
  <c r="R1113" i="17"/>
  <c r="N1113" i="17"/>
  <c r="M1113" i="17"/>
  <c r="A1113" i="17"/>
  <c r="V1112" i="17"/>
  <c r="U1112" i="17"/>
  <c r="T1112" i="17"/>
  <c r="S1112" i="17"/>
  <c r="R1112" i="17"/>
  <c r="N1112" i="17"/>
  <c r="M1112" i="17"/>
  <c r="A1112" i="17"/>
  <c r="V1111" i="17"/>
  <c r="U1111" i="17"/>
  <c r="T1111" i="17"/>
  <c r="S1111" i="17"/>
  <c r="R1111" i="17"/>
  <c r="N1111" i="17"/>
  <c r="M1111" i="17"/>
  <c r="A1111" i="17"/>
  <c r="V1110" i="17"/>
  <c r="U1110" i="17"/>
  <c r="T1110" i="17"/>
  <c r="S1110" i="17"/>
  <c r="R1110" i="17"/>
  <c r="N1110" i="17"/>
  <c r="M1110" i="17"/>
  <c r="A1110" i="17"/>
  <c r="V1109" i="17"/>
  <c r="U1109" i="17"/>
  <c r="T1109" i="17"/>
  <c r="S1109" i="17"/>
  <c r="R1109" i="17"/>
  <c r="N1109" i="17"/>
  <c r="M1109" i="17"/>
  <c r="A1109" i="17"/>
  <c r="V1108" i="17"/>
  <c r="U1108" i="17"/>
  <c r="T1108" i="17"/>
  <c r="S1108" i="17"/>
  <c r="R1108" i="17"/>
  <c r="N1108" i="17"/>
  <c r="M1108" i="17"/>
  <c r="A1108" i="17"/>
  <c r="V1107" i="17"/>
  <c r="U1107" i="17"/>
  <c r="T1107" i="17"/>
  <c r="S1107" i="17"/>
  <c r="R1107" i="17"/>
  <c r="N1107" i="17"/>
  <c r="M1107" i="17"/>
  <c r="A1107" i="17"/>
  <c r="V1106" i="17"/>
  <c r="U1106" i="17"/>
  <c r="T1106" i="17"/>
  <c r="S1106" i="17"/>
  <c r="R1106" i="17"/>
  <c r="N1106" i="17"/>
  <c r="M1106" i="17"/>
  <c r="A1106" i="17"/>
  <c r="V1105" i="17"/>
  <c r="U1105" i="17"/>
  <c r="T1105" i="17"/>
  <c r="S1105" i="17"/>
  <c r="R1105" i="17"/>
  <c r="N1105" i="17"/>
  <c r="M1105" i="17"/>
  <c r="A1105" i="17"/>
  <c r="V1104" i="17"/>
  <c r="U1104" i="17"/>
  <c r="T1104" i="17"/>
  <c r="S1104" i="17"/>
  <c r="R1104" i="17"/>
  <c r="N1104" i="17"/>
  <c r="M1104" i="17"/>
  <c r="A1104" i="17"/>
  <c r="V1103" i="17"/>
  <c r="U1103" i="17"/>
  <c r="T1103" i="17"/>
  <c r="S1103" i="17"/>
  <c r="R1103" i="17"/>
  <c r="N1103" i="17"/>
  <c r="M1103" i="17"/>
  <c r="A1103" i="17"/>
  <c r="V1102" i="17"/>
  <c r="U1102" i="17"/>
  <c r="T1102" i="17"/>
  <c r="S1102" i="17"/>
  <c r="R1102" i="17"/>
  <c r="N1102" i="17"/>
  <c r="M1102" i="17"/>
  <c r="A1102" i="17"/>
  <c r="V1101" i="17"/>
  <c r="U1101" i="17"/>
  <c r="T1101" i="17"/>
  <c r="S1101" i="17"/>
  <c r="R1101" i="17"/>
  <c r="N1101" i="17"/>
  <c r="M1101" i="17"/>
  <c r="A1101" i="17"/>
  <c r="V1100" i="17"/>
  <c r="U1100" i="17"/>
  <c r="T1100" i="17"/>
  <c r="S1100" i="17"/>
  <c r="R1100" i="17"/>
  <c r="N1100" i="17"/>
  <c r="M1100" i="17"/>
  <c r="A1100" i="17"/>
  <c r="V1099" i="17"/>
  <c r="U1099" i="17"/>
  <c r="T1099" i="17"/>
  <c r="S1099" i="17"/>
  <c r="R1099" i="17"/>
  <c r="N1099" i="17"/>
  <c r="M1099" i="17"/>
  <c r="A1099" i="17"/>
  <c r="V1098" i="17"/>
  <c r="U1098" i="17"/>
  <c r="T1098" i="17"/>
  <c r="S1098" i="17"/>
  <c r="R1098" i="17"/>
  <c r="N1098" i="17"/>
  <c r="M1098" i="17"/>
  <c r="A1098" i="17"/>
  <c r="V1097" i="17"/>
  <c r="U1097" i="17"/>
  <c r="T1097" i="17"/>
  <c r="S1097" i="17"/>
  <c r="R1097" i="17"/>
  <c r="N1097" i="17"/>
  <c r="M1097" i="17"/>
  <c r="A1097" i="17"/>
  <c r="V1096" i="17"/>
  <c r="U1096" i="17"/>
  <c r="T1096" i="17"/>
  <c r="S1096" i="17"/>
  <c r="R1096" i="17"/>
  <c r="N1096" i="17"/>
  <c r="M1096" i="17"/>
  <c r="A1096" i="17"/>
  <c r="V1095" i="17"/>
  <c r="U1095" i="17"/>
  <c r="T1095" i="17"/>
  <c r="S1095" i="17"/>
  <c r="R1095" i="17"/>
  <c r="N1095" i="17"/>
  <c r="M1095" i="17"/>
  <c r="A1095" i="17"/>
  <c r="V1094" i="17"/>
  <c r="U1094" i="17"/>
  <c r="T1094" i="17"/>
  <c r="S1094" i="17"/>
  <c r="R1094" i="17"/>
  <c r="N1094" i="17"/>
  <c r="M1094" i="17"/>
  <c r="A1094" i="17"/>
  <c r="V1093" i="17"/>
  <c r="U1093" i="17"/>
  <c r="T1093" i="17"/>
  <c r="S1093" i="17"/>
  <c r="R1093" i="17"/>
  <c r="N1093" i="17"/>
  <c r="M1093" i="17"/>
  <c r="A1093" i="17"/>
  <c r="V1092" i="17"/>
  <c r="U1092" i="17"/>
  <c r="T1092" i="17"/>
  <c r="S1092" i="17"/>
  <c r="R1092" i="17"/>
  <c r="N1092" i="17"/>
  <c r="M1092" i="17"/>
  <c r="A1092" i="17"/>
  <c r="V1091" i="17"/>
  <c r="U1091" i="17"/>
  <c r="T1091" i="17"/>
  <c r="S1091" i="17"/>
  <c r="R1091" i="17"/>
  <c r="N1091" i="17"/>
  <c r="M1091" i="17"/>
  <c r="A1091" i="17"/>
  <c r="V1090" i="17"/>
  <c r="U1090" i="17"/>
  <c r="T1090" i="17"/>
  <c r="S1090" i="17"/>
  <c r="R1090" i="17"/>
  <c r="N1090" i="17"/>
  <c r="M1090" i="17"/>
  <c r="A1090" i="17"/>
  <c r="V1089" i="17"/>
  <c r="U1089" i="17"/>
  <c r="T1089" i="17"/>
  <c r="S1089" i="17"/>
  <c r="R1089" i="17"/>
  <c r="N1089" i="17"/>
  <c r="M1089" i="17"/>
  <c r="A1089" i="17"/>
  <c r="V1088" i="17"/>
  <c r="U1088" i="17"/>
  <c r="T1088" i="17"/>
  <c r="S1088" i="17"/>
  <c r="R1088" i="17"/>
  <c r="N1088" i="17"/>
  <c r="M1088" i="17"/>
  <c r="A1088" i="17"/>
  <c r="V1087" i="17"/>
  <c r="U1087" i="17"/>
  <c r="T1087" i="17"/>
  <c r="S1087" i="17"/>
  <c r="R1087" i="17"/>
  <c r="N1087" i="17"/>
  <c r="M1087" i="17"/>
  <c r="A1087" i="17"/>
  <c r="V1086" i="17"/>
  <c r="U1086" i="17"/>
  <c r="T1086" i="17"/>
  <c r="S1086" i="17"/>
  <c r="R1086" i="17"/>
  <c r="N1086" i="17"/>
  <c r="M1086" i="17"/>
  <c r="A1086" i="17"/>
  <c r="V1085" i="17"/>
  <c r="U1085" i="17"/>
  <c r="T1085" i="17"/>
  <c r="S1085" i="17"/>
  <c r="R1085" i="17"/>
  <c r="N1085" i="17"/>
  <c r="M1085" i="17"/>
  <c r="A1085" i="17"/>
  <c r="V1084" i="17"/>
  <c r="U1084" i="17"/>
  <c r="T1084" i="17"/>
  <c r="S1084" i="17"/>
  <c r="R1084" i="17"/>
  <c r="N1084" i="17"/>
  <c r="M1084" i="17"/>
  <c r="A1084" i="17"/>
  <c r="V1083" i="17"/>
  <c r="U1083" i="17"/>
  <c r="T1083" i="17"/>
  <c r="S1083" i="17"/>
  <c r="R1083" i="17"/>
  <c r="N1083" i="17"/>
  <c r="M1083" i="17"/>
  <c r="A1083" i="17"/>
  <c r="V1082" i="17"/>
  <c r="U1082" i="17"/>
  <c r="T1082" i="17"/>
  <c r="S1082" i="17"/>
  <c r="R1082" i="17"/>
  <c r="N1082" i="17"/>
  <c r="M1082" i="17"/>
  <c r="A1082" i="17"/>
  <c r="V1081" i="17"/>
  <c r="U1081" i="17"/>
  <c r="T1081" i="17"/>
  <c r="S1081" i="17"/>
  <c r="R1081" i="17"/>
  <c r="N1081" i="17"/>
  <c r="M1081" i="17"/>
  <c r="A1081" i="17"/>
  <c r="V1080" i="17"/>
  <c r="U1080" i="17"/>
  <c r="T1080" i="17"/>
  <c r="S1080" i="17"/>
  <c r="R1080" i="17"/>
  <c r="N1080" i="17"/>
  <c r="M1080" i="17"/>
  <c r="A1080" i="17"/>
  <c r="V1079" i="17"/>
  <c r="U1079" i="17"/>
  <c r="T1079" i="17"/>
  <c r="S1079" i="17"/>
  <c r="R1079" i="17"/>
  <c r="N1079" i="17"/>
  <c r="M1079" i="17"/>
  <c r="A1079" i="17"/>
  <c r="V1078" i="17"/>
  <c r="U1078" i="17"/>
  <c r="T1078" i="17"/>
  <c r="S1078" i="17"/>
  <c r="R1078" i="17"/>
  <c r="N1078" i="17"/>
  <c r="M1078" i="17"/>
  <c r="A1078" i="17"/>
  <c r="V1077" i="17"/>
  <c r="U1077" i="17"/>
  <c r="T1077" i="17"/>
  <c r="S1077" i="17"/>
  <c r="R1077" i="17"/>
  <c r="N1077" i="17"/>
  <c r="M1077" i="17"/>
  <c r="A1077" i="17"/>
  <c r="V1076" i="17"/>
  <c r="U1076" i="17"/>
  <c r="T1076" i="17"/>
  <c r="S1076" i="17"/>
  <c r="R1076" i="17"/>
  <c r="N1076" i="17"/>
  <c r="M1076" i="17"/>
  <c r="A1076" i="17"/>
  <c r="V1075" i="17"/>
  <c r="U1075" i="17"/>
  <c r="T1075" i="17"/>
  <c r="S1075" i="17"/>
  <c r="R1075" i="17"/>
  <c r="N1075" i="17"/>
  <c r="M1075" i="17"/>
  <c r="A1075" i="17"/>
  <c r="V1074" i="17"/>
  <c r="U1074" i="17"/>
  <c r="T1074" i="17"/>
  <c r="S1074" i="17"/>
  <c r="R1074" i="17"/>
  <c r="N1074" i="17"/>
  <c r="M1074" i="17"/>
  <c r="A1074" i="17"/>
  <c r="V1073" i="17"/>
  <c r="U1073" i="17"/>
  <c r="T1073" i="17"/>
  <c r="S1073" i="17"/>
  <c r="R1073" i="17"/>
  <c r="N1073" i="17"/>
  <c r="M1073" i="17"/>
  <c r="A1073" i="17"/>
  <c r="V1072" i="17"/>
  <c r="U1072" i="17"/>
  <c r="T1072" i="17"/>
  <c r="S1072" i="17"/>
  <c r="R1072" i="17"/>
  <c r="N1072" i="17"/>
  <c r="M1072" i="17"/>
  <c r="A1072" i="17"/>
  <c r="V1071" i="17"/>
  <c r="U1071" i="17"/>
  <c r="T1071" i="17"/>
  <c r="S1071" i="17"/>
  <c r="R1071" i="17"/>
  <c r="N1071" i="17"/>
  <c r="M1071" i="17"/>
  <c r="A1071" i="17"/>
  <c r="V1070" i="17"/>
  <c r="U1070" i="17"/>
  <c r="T1070" i="17"/>
  <c r="S1070" i="17"/>
  <c r="R1070" i="17"/>
  <c r="N1070" i="17"/>
  <c r="M1070" i="17"/>
  <c r="A1070" i="17"/>
  <c r="V1069" i="17"/>
  <c r="U1069" i="17"/>
  <c r="T1069" i="17"/>
  <c r="S1069" i="17"/>
  <c r="R1069" i="17"/>
  <c r="N1069" i="17"/>
  <c r="M1069" i="17"/>
  <c r="A1069" i="17"/>
  <c r="V1068" i="17"/>
  <c r="U1068" i="17"/>
  <c r="T1068" i="17"/>
  <c r="S1068" i="17"/>
  <c r="R1068" i="17"/>
  <c r="N1068" i="17"/>
  <c r="M1068" i="17"/>
  <c r="A1068" i="17"/>
  <c r="V1067" i="17"/>
  <c r="U1067" i="17"/>
  <c r="T1067" i="17"/>
  <c r="S1067" i="17"/>
  <c r="R1067" i="17"/>
  <c r="N1067" i="17"/>
  <c r="M1067" i="17"/>
  <c r="A1067" i="17"/>
  <c r="V1066" i="17"/>
  <c r="U1066" i="17"/>
  <c r="T1066" i="17"/>
  <c r="S1066" i="17"/>
  <c r="R1066" i="17"/>
  <c r="N1066" i="17"/>
  <c r="M1066" i="17"/>
  <c r="A1066" i="17"/>
  <c r="V1065" i="17"/>
  <c r="U1065" i="17"/>
  <c r="T1065" i="17"/>
  <c r="S1065" i="17"/>
  <c r="R1065" i="17"/>
  <c r="N1065" i="17"/>
  <c r="M1065" i="17"/>
  <c r="A1065" i="17"/>
  <c r="V1064" i="17"/>
  <c r="U1064" i="17"/>
  <c r="T1064" i="17"/>
  <c r="S1064" i="17"/>
  <c r="R1064" i="17"/>
  <c r="N1064" i="17"/>
  <c r="M1064" i="17"/>
  <c r="A1064" i="17"/>
  <c r="V1063" i="17"/>
  <c r="U1063" i="17"/>
  <c r="T1063" i="17"/>
  <c r="S1063" i="17"/>
  <c r="R1063" i="17"/>
  <c r="N1063" i="17"/>
  <c r="M1063" i="17"/>
  <c r="A1063" i="17"/>
  <c r="V1062" i="17"/>
  <c r="U1062" i="17"/>
  <c r="T1062" i="17"/>
  <c r="S1062" i="17"/>
  <c r="R1062" i="17"/>
  <c r="N1062" i="17"/>
  <c r="M1062" i="17"/>
  <c r="A1062" i="17"/>
  <c r="V1061" i="17"/>
  <c r="U1061" i="17"/>
  <c r="T1061" i="17"/>
  <c r="S1061" i="17"/>
  <c r="R1061" i="17"/>
  <c r="N1061" i="17"/>
  <c r="M1061" i="17"/>
  <c r="A1061" i="17"/>
  <c r="V1060" i="17"/>
  <c r="U1060" i="17"/>
  <c r="T1060" i="17"/>
  <c r="S1060" i="17"/>
  <c r="R1060" i="17"/>
  <c r="N1060" i="17"/>
  <c r="M1060" i="17"/>
  <c r="A1060" i="17"/>
  <c r="V1059" i="17"/>
  <c r="U1059" i="17"/>
  <c r="T1059" i="17"/>
  <c r="S1059" i="17"/>
  <c r="R1059" i="17"/>
  <c r="N1059" i="17"/>
  <c r="M1059" i="17"/>
  <c r="A1059" i="17"/>
  <c r="V1058" i="17"/>
  <c r="U1058" i="17"/>
  <c r="T1058" i="17"/>
  <c r="S1058" i="17"/>
  <c r="R1058" i="17"/>
  <c r="N1058" i="17"/>
  <c r="M1058" i="17"/>
  <c r="A1058" i="17"/>
  <c r="V1057" i="17"/>
  <c r="U1057" i="17"/>
  <c r="T1057" i="17"/>
  <c r="S1057" i="17"/>
  <c r="R1057" i="17"/>
  <c r="N1057" i="17"/>
  <c r="M1057" i="17"/>
  <c r="A1057" i="17"/>
  <c r="V1056" i="17"/>
  <c r="U1056" i="17"/>
  <c r="T1056" i="17"/>
  <c r="S1056" i="17"/>
  <c r="R1056" i="17"/>
  <c r="N1056" i="17"/>
  <c r="M1056" i="17"/>
  <c r="A1056" i="17"/>
  <c r="V1055" i="17"/>
  <c r="U1055" i="17"/>
  <c r="T1055" i="17"/>
  <c r="S1055" i="17"/>
  <c r="R1055" i="17"/>
  <c r="N1055" i="17"/>
  <c r="M1055" i="17"/>
  <c r="A1055" i="17"/>
  <c r="V1054" i="17"/>
  <c r="U1054" i="17"/>
  <c r="T1054" i="17"/>
  <c r="S1054" i="17"/>
  <c r="R1054" i="17"/>
  <c r="N1054" i="17"/>
  <c r="M1054" i="17"/>
  <c r="A1054" i="17"/>
  <c r="V1053" i="17"/>
  <c r="U1053" i="17"/>
  <c r="T1053" i="17"/>
  <c r="S1053" i="17"/>
  <c r="R1053" i="17"/>
  <c r="N1053" i="17"/>
  <c r="M1053" i="17"/>
  <c r="A1053" i="17"/>
  <c r="V1052" i="17"/>
  <c r="U1052" i="17"/>
  <c r="T1052" i="17"/>
  <c r="S1052" i="17"/>
  <c r="R1052" i="17"/>
  <c r="N1052" i="17"/>
  <c r="M1052" i="17"/>
  <c r="A1052" i="17"/>
  <c r="V1051" i="17"/>
  <c r="U1051" i="17"/>
  <c r="T1051" i="17"/>
  <c r="S1051" i="17"/>
  <c r="R1051" i="17"/>
  <c r="N1051" i="17"/>
  <c r="M1051" i="17"/>
  <c r="A1051" i="17"/>
  <c r="V1050" i="17"/>
  <c r="U1050" i="17"/>
  <c r="T1050" i="17"/>
  <c r="S1050" i="17"/>
  <c r="R1050" i="17"/>
  <c r="N1050" i="17"/>
  <c r="M1050" i="17"/>
  <c r="A1050" i="17"/>
  <c r="V1049" i="17"/>
  <c r="U1049" i="17"/>
  <c r="T1049" i="17"/>
  <c r="S1049" i="17"/>
  <c r="R1049" i="17"/>
  <c r="N1049" i="17"/>
  <c r="M1049" i="17"/>
  <c r="A1049" i="17"/>
  <c r="V1048" i="17"/>
  <c r="U1048" i="17"/>
  <c r="T1048" i="17"/>
  <c r="S1048" i="17"/>
  <c r="R1048" i="17"/>
  <c r="N1048" i="17"/>
  <c r="M1048" i="17"/>
  <c r="A1048" i="17"/>
  <c r="V1047" i="17"/>
  <c r="U1047" i="17"/>
  <c r="T1047" i="17"/>
  <c r="S1047" i="17"/>
  <c r="R1047" i="17"/>
  <c r="N1047" i="17"/>
  <c r="M1047" i="17"/>
  <c r="A1047" i="17"/>
  <c r="V1046" i="17"/>
  <c r="U1046" i="17"/>
  <c r="T1046" i="17"/>
  <c r="S1046" i="17"/>
  <c r="R1046" i="17"/>
  <c r="N1046" i="17"/>
  <c r="M1046" i="17"/>
  <c r="A1046" i="17"/>
  <c r="V1045" i="17"/>
  <c r="U1045" i="17"/>
  <c r="T1045" i="17"/>
  <c r="S1045" i="17"/>
  <c r="R1045" i="17"/>
  <c r="N1045" i="17"/>
  <c r="M1045" i="17"/>
  <c r="A1045" i="17"/>
  <c r="V1044" i="17"/>
  <c r="U1044" i="17"/>
  <c r="T1044" i="17"/>
  <c r="S1044" i="17"/>
  <c r="R1044" i="17"/>
  <c r="N1044" i="17"/>
  <c r="M1044" i="17"/>
  <c r="A1044" i="17"/>
  <c r="V1043" i="17"/>
  <c r="U1043" i="17"/>
  <c r="T1043" i="17"/>
  <c r="S1043" i="17"/>
  <c r="R1043" i="17"/>
  <c r="N1043" i="17"/>
  <c r="M1043" i="17"/>
  <c r="A1043" i="17"/>
  <c r="V1042" i="17"/>
  <c r="U1042" i="17"/>
  <c r="T1042" i="17"/>
  <c r="S1042" i="17"/>
  <c r="R1042" i="17"/>
  <c r="N1042" i="17"/>
  <c r="M1042" i="17"/>
  <c r="A1042" i="17"/>
  <c r="V1041" i="17"/>
  <c r="U1041" i="17"/>
  <c r="T1041" i="17"/>
  <c r="S1041" i="17"/>
  <c r="R1041" i="17"/>
  <c r="N1041" i="17"/>
  <c r="M1041" i="17"/>
  <c r="A1041" i="17"/>
  <c r="V1040" i="17"/>
  <c r="U1040" i="17"/>
  <c r="T1040" i="17"/>
  <c r="S1040" i="17"/>
  <c r="R1040" i="17"/>
  <c r="N1040" i="17"/>
  <c r="M1040" i="17"/>
  <c r="A1040" i="17"/>
  <c r="V1039" i="17"/>
  <c r="U1039" i="17"/>
  <c r="T1039" i="17"/>
  <c r="S1039" i="17"/>
  <c r="R1039" i="17"/>
  <c r="N1039" i="17"/>
  <c r="M1039" i="17"/>
  <c r="A1039" i="17"/>
  <c r="V1038" i="17"/>
  <c r="U1038" i="17"/>
  <c r="T1038" i="17"/>
  <c r="S1038" i="17"/>
  <c r="R1038" i="17"/>
  <c r="N1038" i="17"/>
  <c r="M1038" i="17"/>
  <c r="A1038" i="17"/>
  <c r="V1037" i="17"/>
  <c r="U1037" i="17"/>
  <c r="T1037" i="17"/>
  <c r="S1037" i="17"/>
  <c r="R1037" i="17"/>
  <c r="N1037" i="17"/>
  <c r="M1037" i="17"/>
  <c r="A1037" i="17"/>
  <c r="V1036" i="17"/>
  <c r="U1036" i="17"/>
  <c r="T1036" i="17"/>
  <c r="S1036" i="17"/>
  <c r="R1036" i="17"/>
  <c r="N1036" i="17"/>
  <c r="M1036" i="17"/>
  <c r="A1036" i="17"/>
  <c r="V1035" i="17"/>
  <c r="U1035" i="17"/>
  <c r="T1035" i="17"/>
  <c r="S1035" i="17"/>
  <c r="R1035" i="17"/>
  <c r="N1035" i="17"/>
  <c r="M1035" i="17"/>
  <c r="A1035" i="17"/>
  <c r="V1034" i="17"/>
  <c r="U1034" i="17"/>
  <c r="T1034" i="17"/>
  <c r="S1034" i="17"/>
  <c r="R1034" i="17"/>
  <c r="N1034" i="17"/>
  <c r="M1034" i="17"/>
  <c r="V1033" i="17"/>
  <c r="U1033" i="17"/>
  <c r="T1033" i="17"/>
  <c r="S1033" i="17"/>
  <c r="R1033" i="17"/>
  <c r="N1033" i="17"/>
  <c r="M1033" i="17"/>
  <c r="V1032" i="17"/>
  <c r="U1032" i="17"/>
  <c r="T1032" i="17"/>
  <c r="S1032" i="17"/>
  <c r="R1032" i="17"/>
  <c r="N1032" i="17"/>
  <c r="M1032" i="17"/>
  <c r="V1031" i="17"/>
  <c r="U1031" i="17"/>
  <c r="T1031" i="17"/>
  <c r="S1031" i="17"/>
  <c r="R1031" i="17"/>
  <c r="N1031" i="17"/>
  <c r="M1031" i="17"/>
  <c r="V1030" i="17"/>
  <c r="U1030" i="17"/>
  <c r="T1030" i="17"/>
  <c r="S1030" i="17"/>
  <c r="R1030" i="17"/>
  <c r="N1030" i="17"/>
  <c r="M1030" i="17"/>
  <c r="V1029" i="17"/>
  <c r="U1029" i="17"/>
  <c r="T1029" i="17"/>
  <c r="S1029" i="17"/>
  <c r="R1029" i="17"/>
  <c r="N1029" i="17"/>
  <c r="M1029" i="17"/>
  <c r="V1028" i="17"/>
  <c r="U1028" i="17"/>
  <c r="T1028" i="17"/>
  <c r="S1028" i="17"/>
  <c r="R1028" i="17"/>
  <c r="N1028" i="17"/>
  <c r="M1028" i="17"/>
  <c r="V1027" i="17"/>
  <c r="U1027" i="17"/>
  <c r="T1027" i="17"/>
  <c r="S1027" i="17"/>
  <c r="R1027" i="17"/>
  <c r="N1027" i="17"/>
  <c r="M1027" i="17"/>
  <c r="V1026" i="17"/>
  <c r="U1026" i="17"/>
  <c r="T1026" i="17"/>
  <c r="S1026" i="17"/>
  <c r="R1026" i="17"/>
  <c r="N1026" i="17"/>
  <c r="M1026" i="17"/>
  <c r="V1025" i="17"/>
  <c r="U1025" i="17"/>
  <c r="T1025" i="17"/>
  <c r="S1025" i="17"/>
  <c r="R1025" i="17"/>
  <c r="N1025" i="17"/>
  <c r="M1025" i="17"/>
  <c r="V1024" i="17"/>
  <c r="U1024" i="17"/>
  <c r="T1024" i="17"/>
  <c r="S1024" i="17"/>
  <c r="R1024" i="17"/>
  <c r="N1024" i="17"/>
  <c r="M1024" i="17"/>
  <c r="V1023" i="17"/>
  <c r="U1023" i="17"/>
  <c r="T1023" i="17"/>
  <c r="S1023" i="17"/>
  <c r="R1023" i="17"/>
  <c r="N1023" i="17"/>
  <c r="M1023" i="17"/>
  <c r="V1022" i="17"/>
  <c r="U1022" i="17"/>
  <c r="T1022" i="17"/>
  <c r="S1022" i="17"/>
  <c r="R1022" i="17"/>
  <c r="N1022" i="17"/>
  <c r="M1022" i="17"/>
  <c r="V1021" i="17"/>
  <c r="U1021" i="17"/>
  <c r="T1021" i="17"/>
  <c r="S1021" i="17"/>
  <c r="R1021" i="17"/>
  <c r="N1021" i="17"/>
  <c r="M1021" i="17"/>
  <c r="V1020" i="17"/>
  <c r="U1020" i="17"/>
  <c r="T1020" i="17"/>
  <c r="S1020" i="17"/>
  <c r="R1020" i="17"/>
  <c r="N1020" i="17"/>
  <c r="M1020" i="17"/>
  <c r="V1019" i="17"/>
  <c r="U1019" i="17"/>
  <c r="T1019" i="17"/>
  <c r="S1019" i="17"/>
  <c r="R1019" i="17"/>
  <c r="N1019" i="17"/>
  <c r="M1019" i="17"/>
  <c r="V1018" i="17"/>
  <c r="U1018" i="17"/>
  <c r="T1018" i="17"/>
  <c r="S1018" i="17"/>
  <c r="R1018" i="17"/>
  <c r="N1018" i="17"/>
  <c r="M1018" i="17"/>
  <c r="V1017" i="17"/>
  <c r="U1017" i="17"/>
  <c r="T1017" i="17"/>
  <c r="S1017" i="17"/>
  <c r="R1017" i="17"/>
  <c r="N1017" i="17"/>
  <c r="M1017" i="17"/>
  <c r="V1016" i="17"/>
  <c r="U1016" i="17"/>
  <c r="T1016" i="17"/>
  <c r="S1016" i="17"/>
  <c r="R1016" i="17"/>
  <c r="N1016" i="17"/>
  <c r="M1016" i="17"/>
  <c r="V1015" i="17"/>
  <c r="U1015" i="17"/>
  <c r="T1015" i="17"/>
  <c r="S1015" i="17"/>
  <c r="R1015" i="17"/>
  <c r="N1015" i="17"/>
  <c r="M1015" i="17"/>
  <c r="V1014" i="17"/>
  <c r="U1014" i="17"/>
  <c r="T1014" i="17"/>
  <c r="S1014" i="17"/>
  <c r="R1014" i="17"/>
  <c r="N1014" i="17"/>
  <c r="M1014" i="17"/>
  <c r="V1013" i="17"/>
  <c r="U1013" i="17"/>
  <c r="T1013" i="17"/>
  <c r="S1013" i="17"/>
  <c r="R1013" i="17"/>
  <c r="N1013" i="17"/>
  <c r="M1013" i="17"/>
  <c r="V1012" i="17"/>
  <c r="U1012" i="17"/>
  <c r="T1012" i="17"/>
  <c r="S1012" i="17"/>
  <c r="R1012" i="17"/>
  <c r="N1012" i="17"/>
  <c r="M1012" i="17"/>
  <c r="V1011" i="17"/>
  <c r="U1011" i="17"/>
  <c r="T1011" i="17"/>
  <c r="S1011" i="17"/>
  <c r="R1011" i="17"/>
  <c r="N1011" i="17"/>
  <c r="M1011" i="17"/>
  <c r="V1010" i="17"/>
  <c r="U1010" i="17"/>
  <c r="T1010" i="17"/>
  <c r="S1010" i="17"/>
  <c r="R1010" i="17"/>
  <c r="N1010" i="17"/>
  <c r="M1010" i="17"/>
  <c r="V1009" i="17"/>
  <c r="U1009" i="17"/>
  <c r="T1009" i="17"/>
  <c r="S1009" i="17"/>
  <c r="R1009" i="17"/>
  <c r="N1009" i="17"/>
  <c r="M1009" i="17"/>
  <c r="V1008" i="17"/>
  <c r="U1008" i="17"/>
  <c r="T1008" i="17"/>
  <c r="S1008" i="17"/>
  <c r="R1008" i="17"/>
  <c r="N1008" i="17"/>
  <c r="M1008" i="17"/>
  <c r="V1007" i="17"/>
  <c r="U1007" i="17"/>
  <c r="T1007" i="17"/>
  <c r="S1007" i="17"/>
  <c r="R1007" i="17"/>
  <c r="N1007" i="17"/>
  <c r="M1007" i="17"/>
  <c r="V1006" i="17"/>
  <c r="U1006" i="17"/>
  <c r="T1006" i="17"/>
  <c r="S1006" i="17"/>
  <c r="R1006" i="17"/>
  <c r="N1006" i="17"/>
  <c r="M1006" i="17"/>
  <c r="V1005" i="17"/>
  <c r="U1005" i="17"/>
  <c r="T1005" i="17"/>
  <c r="S1005" i="17"/>
  <c r="R1005" i="17"/>
  <c r="N1005" i="17"/>
  <c r="M1005" i="17"/>
  <c r="V1004" i="17"/>
  <c r="U1004" i="17"/>
  <c r="T1004" i="17"/>
  <c r="S1004" i="17"/>
  <c r="R1004" i="17"/>
  <c r="N1004" i="17"/>
  <c r="M1004" i="17"/>
  <c r="V1003" i="17"/>
  <c r="U1003" i="17"/>
  <c r="T1003" i="17"/>
  <c r="S1003" i="17"/>
  <c r="R1003" i="17"/>
  <c r="N1003" i="17"/>
  <c r="M1003" i="17"/>
  <c r="V1002" i="17"/>
  <c r="U1002" i="17"/>
  <c r="T1002" i="17"/>
  <c r="S1002" i="17"/>
  <c r="R1002" i="17"/>
  <c r="N1002" i="17"/>
  <c r="M1002" i="17"/>
  <c r="V1001" i="17"/>
  <c r="U1001" i="17"/>
  <c r="T1001" i="17"/>
  <c r="S1001" i="17"/>
  <c r="R1001" i="17"/>
  <c r="N1001" i="17"/>
  <c r="M1001" i="17"/>
  <c r="V1000" i="17"/>
  <c r="U1000" i="17"/>
  <c r="T1000" i="17"/>
  <c r="S1000" i="17"/>
  <c r="R1000" i="17"/>
  <c r="N1000" i="17"/>
  <c r="M1000" i="17"/>
  <c r="V999" i="17"/>
  <c r="U999" i="17"/>
  <c r="T999" i="17"/>
  <c r="S999" i="17"/>
  <c r="R999" i="17"/>
  <c r="N999" i="17"/>
  <c r="M999" i="17"/>
  <c r="V998" i="17"/>
  <c r="U998" i="17"/>
  <c r="T998" i="17"/>
  <c r="S998" i="17"/>
  <c r="R998" i="17"/>
  <c r="N998" i="17"/>
  <c r="M998" i="17"/>
  <c r="V997" i="17"/>
  <c r="U997" i="17"/>
  <c r="T997" i="17"/>
  <c r="S997" i="17"/>
  <c r="R997" i="17"/>
  <c r="N997" i="17"/>
  <c r="M997" i="17"/>
  <c r="V996" i="17"/>
  <c r="U996" i="17"/>
  <c r="T996" i="17"/>
  <c r="S996" i="17"/>
  <c r="R996" i="17"/>
  <c r="N996" i="17"/>
  <c r="M996" i="17"/>
  <c r="V995" i="17"/>
  <c r="U995" i="17"/>
  <c r="T995" i="17"/>
  <c r="S995" i="17"/>
  <c r="R995" i="17"/>
  <c r="N995" i="17"/>
  <c r="M995" i="17"/>
  <c r="V994" i="17"/>
  <c r="U994" i="17"/>
  <c r="T994" i="17"/>
  <c r="S994" i="17"/>
  <c r="R994" i="17"/>
  <c r="N994" i="17"/>
  <c r="M994" i="17"/>
  <c r="V993" i="17"/>
  <c r="U993" i="17"/>
  <c r="T993" i="17"/>
  <c r="S993" i="17"/>
  <c r="R993" i="17"/>
  <c r="N993" i="17"/>
  <c r="M993" i="17"/>
  <c r="V992" i="17"/>
  <c r="U992" i="17"/>
  <c r="T992" i="17"/>
  <c r="S992" i="17"/>
  <c r="R992" i="17"/>
  <c r="N992" i="17"/>
  <c r="M992" i="17"/>
  <c r="V991" i="17"/>
  <c r="U991" i="17"/>
  <c r="T991" i="17"/>
  <c r="S991" i="17"/>
  <c r="R991" i="17"/>
  <c r="N991" i="17"/>
  <c r="M991" i="17"/>
  <c r="V990" i="17"/>
  <c r="U990" i="17"/>
  <c r="T990" i="17"/>
  <c r="S990" i="17"/>
  <c r="R990" i="17"/>
  <c r="N990" i="17"/>
  <c r="M990" i="17"/>
  <c r="V989" i="17"/>
  <c r="U989" i="17"/>
  <c r="T989" i="17"/>
  <c r="S989" i="17"/>
  <c r="R989" i="17"/>
  <c r="N989" i="17"/>
  <c r="M989" i="17"/>
  <c r="V988" i="17"/>
  <c r="U988" i="17"/>
  <c r="T988" i="17"/>
  <c r="S988" i="17"/>
  <c r="R988" i="17"/>
  <c r="N988" i="17"/>
  <c r="M988" i="17"/>
  <c r="V987" i="17"/>
  <c r="U987" i="17"/>
  <c r="T987" i="17"/>
  <c r="S987" i="17"/>
  <c r="R987" i="17"/>
  <c r="N987" i="17"/>
  <c r="M987" i="17"/>
  <c r="V986" i="17"/>
  <c r="U986" i="17"/>
  <c r="T986" i="17"/>
  <c r="S986" i="17"/>
  <c r="R986" i="17"/>
  <c r="N986" i="17"/>
  <c r="M986" i="17"/>
  <c r="V985" i="17"/>
  <c r="U985" i="17"/>
  <c r="T985" i="17"/>
  <c r="S985" i="17"/>
  <c r="R985" i="17"/>
  <c r="N985" i="17"/>
  <c r="M985" i="17"/>
  <c r="V984" i="17"/>
  <c r="U984" i="17"/>
  <c r="T984" i="17"/>
  <c r="S984" i="17"/>
  <c r="R984" i="17"/>
  <c r="N984" i="17"/>
  <c r="M984" i="17"/>
  <c r="V983" i="17"/>
  <c r="U983" i="17"/>
  <c r="T983" i="17"/>
  <c r="S983" i="17"/>
  <c r="R983" i="17"/>
  <c r="N983" i="17"/>
  <c r="M983" i="17"/>
  <c r="V982" i="17"/>
  <c r="U982" i="17"/>
  <c r="T982" i="17"/>
  <c r="S982" i="17"/>
  <c r="R982" i="17"/>
  <c r="N982" i="17"/>
  <c r="M982" i="17"/>
  <c r="V981" i="17"/>
  <c r="U981" i="17"/>
  <c r="T981" i="17"/>
  <c r="S981" i="17"/>
  <c r="R981" i="17"/>
  <c r="N981" i="17"/>
  <c r="M981" i="17"/>
  <c r="V980" i="17"/>
  <c r="U980" i="17"/>
  <c r="T980" i="17"/>
  <c r="S980" i="17"/>
  <c r="R980" i="17"/>
  <c r="N980" i="17"/>
  <c r="M980" i="17"/>
  <c r="V979" i="17"/>
  <c r="U979" i="17"/>
  <c r="T979" i="17"/>
  <c r="S979" i="17"/>
  <c r="R979" i="17"/>
  <c r="N979" i="17"/>
  <c r="M979" i="17"/>
  <c r="V978" i="17"/>
  <c r="U978" i="17"/>
  <c r="T978" i="17"/>
  <c r="S978" i="17"/>
  <c r="R978" i="17"/>
  <c r="N978" i="17"/>
  <c r="M978" i="17"/>
  <c r="V977" i="17"/>
  <c r="U977" i="17"/>
  <c r="T977" i="17"/>
  <c r="S977" i="17"/>
  <c r="R977" i="17"/>
  <c r="N977" i="17"/>
  <c r="M977" i="17"/>
  <c r="V976" i="17"/>
  <c r="U976" i="17"/>
  <c r="T976" i="17"/>
  <c r="S976" i="17"/>
  <c r="R976" i="17"/>
  <c r="N976" i="17"/>
  <c r="M976" i="17"/>
  <c r="V975" i="17"/>
  <c r="U975" i="17"/>
  <c r="T975" i="17"/>
  <c r="S975" i="17"/>
  <c r="R975" i="17"/>
  <c r="N975" i="17"/>
  <c r="M975" i="17"/>
  <c r="V974" i="17"/>
  <c r="U974" i="17"/>
  <c r="T974" i="17"/>
  <c r="S974" i="17"/>
  <c r="R974" i="17"/>
  <c r="N974" i="17"/>
  <c r="M974" i="17"/>
  <c r="V973" i="17"/>
  <c r="U973" i="17"/>
  <c r="T973" i="17"/>
  <c r="S973" i="17"/>
  <c r="R973" i="17"/>
  <c r="N973" i="17"/>
  <c r="M973" i="17"/>
  <c r="V972" i="17"/>
  <c r="U972" i="17"/>
  <c r="T972" i="17"/>
  <c r="S972" i="17"/>
  <c r="R972" i="17"/>
  <c r="N972" i="17"/>
  <c r="M972" i="17"/>
  <c r="V971" i="17"/>
  <c r="U971" i="17"/>
  <c r="T971" i="17"/>
  <c r="S971" i="17"/>
  <c r="R971" i="17"/>
  <c r="N971" i="17"/>
  <c r="M971" i="17"/>
  <c r="V970" i="17"/>
  <c r="U970" i="17"/>
  <c r="T970" i="17"/>
  <c r="S970" i="17"/>
  <c r="R970" i="17"/>
  <c r="N970" i="17"/>
  <c r="M970" i="17"/>
  <c r="V969" i="17"/>
  <c r="U969" i="17"/>
  <c r="T969" i="17"/>
  <c r="S969" i="17"/>
  <c r="R969" i="17"/>
  <c r="N969" i="17"/>
  <c r="M969" i="17"/>
  <c r="V968" i="17"/>
  <c r="U968" i="17"/>
  <c r="T968" i="17"/>
  <c r="S968" i="17"/>
  <c r="R968" i="17"/>
  <c r="N968" i="17"/>
  <c r="M968" i="17"/>
  <c r="V967" i="17"/>
  <c r="U967" i="17"/>
  <c r="T967" i="17"/>
  <c r="S967" i="17"/>
  <c r="R967" i="17"/>
  <c r="N967" i="17"/>
  <c r="M967" i="17"/>
  <c r="V966" i="17"/>
  <c r="U966" i="17"/>
  <c r="T966" i="17"/>
  <c r="S966" i="17"/>
  <c r="R966" i="17"/>
  <c r="N966" i="17"/>
  <c r="M966" i="17"/>
  <c r="V965" i="17"/>
  <c r="U965" i="17"/>
  <c r="T965" i="17"/>
  <c r="S965" i="17"/>
  <c r="R965" i="17"/>
  <c r="N965" i="17"/>
  <c r="M965" i="17"/>
  <c r="V964" i="17"/>
  <c r="U964" i="17"/>
  <c r="T964" i="17"/>
  <c r="S964" i="17"/>
  <c r="R964" i="17"/>
  <c r="N964" i="17"/>
  <c r="M964" i="17"/>
  <c r="V963" i="17"/>
  <c r="U963" i="17"/>
  <c r="T963" i="17"/>
  <c r="S963" i="17"/>
  <c r="R963" i="17"/>
  <c r="N963" i="17"/>
  <c r="M963" i="17"/>
  <c r="V962" i="17"/>
  <c r="U962" i="17"/>
  <c r="T962" i="17"/>
  <c r="S962" i="17"/>
  <c r="R962" i="17"/>
  <c r="N962" i="17"/>
  <c r="M962" i="17"/>
  <c r="V961" i="17"/>
  <c r="U961" i="17"/>
  <c r="T961" i="17"/>
  <c r="S961" i="17"/>
  <c r="R961" i="17"/>
  <c r="N961" i="17"/>
  <c r="M961" i="17"/>
  <c r="V960" i="17"/>
  <c r="U960" i="17"/>
  <c r="T960" i="17"/>
  <c r="S960" i="17"/>
  <c r="R960" i="17"/>
  <c r="N960" i="17"/>
  <c r="M960" i="17"/>
  <c r="V959" i="17"/>
  <c r="U959" i="17"/>
  <c r="T959" i="17"/>
  <c r="S959" i="17"/>
  <c r="R959" i="17"/>
  <c r="N959" i="17"/>
  <c r="M959" i="17"/>
  <c r="V958" i="17"/>
  <c r="U958" i="17"/>
  <c r="T958" i="17"/>
  <c r="S958" i="17"/>
  <c r="R958" i="17"/>
  <c r="N958" i="17"/>
  <c r="M958" i="17"/>
  <c r="V957" i="17"/>
  <c r="U957" i="17"/>
  <c r="T957" i="17"/>
  <c r="S957" i="17"/>
  <c r="R957" i="17"/>
  <c r="N957" i="17"/>
  <c r="M957" i="17"/>
  <c r="V956" i="17"/>
  <c r="U956" i="17"/>
  <c r="T956" i="17"/>
  <c r="S956" i="17"/>
  <c r="R956" i="17"/>
  <c r="N956" i="17"/>
  <c r="M956" i="17"/>
  <c r="V955" i="17"/>
  <c r="U955" i="17"/>
  <c r="T955" i="17"/>
  <c r="S955" i="17"/>
  <c r="R955" i="17"/>
  <c r="N955" i="17"/>
  <c r="M955" i="17"/>
  <c r="V954" i="17"/>
  <c r="U954" i="17"/>
  <c r="T954" i="17"/>
  <c r="S954" i="17"/>
  <c r="R954" i="17"/>
  <c r="N954" i="17"/>
  <c r="M954" i="17"/>
  <c r="V953" i="17"/>
  <c r="U953" i="17"/>
  <c r="T953" i="17"/>
  <c r="S953" i="17"/>
  <c r="R953" i="17"/>
  <c r="N953" i="17"/>
  <c r="M953" i="17"/>
  <c r="V952" i="17"/>
  <c r="U952" i="17"/>
  <c r="T952" i="17"/>
  <c r="S952" i="17"/>
  <c r="R952" i="17"/>
  <c r="N952" i="17"/>
  <c r="M952" i="17"/>
  <c r="V951" i="17"/>
  <c r="U951" i="17"/>
  <c r="T951" i="17"/>
  <c r="S951" i="17"/>
  <c r="R951" i="17"/>
  <c r="N951" i="17"/>
  <c r="M951" i="17"/>
  <c r="V950" i="17"/>
  <c r="U950" i="17"/>
  <c r="T950" i="17"/>
  <c r="S950" i="17"/>
  <c r="R950" i="17"/>
  <c r="N950" i="17"/>
  <c r="M950" i="17"/>
  <c r="V949" i="17"/>
  <c r="U949" i="17"/>
  <c r="T949" i="17"/>
  <c r="S949" i="17"/>
  <c r="R949" i="17"/>
  <c r="N949" i="17"/>
  <c r="M949" i="17"/>
  <c r="V948" i="17"/>
  <c r="U948" i="17"/>
  <c r="T948" i="17"/>
  <c r="S948" i="17"/>
  <c r="R948" i="17"/>
  <c r="N948" i="17"/>
  <c r="M948" i="17"/>
  <c r="V947" i="17"/>
  <c r="U947" i="17"/>
  <c r="T947" i="17"/>
  <c r="S947" i="17"/>
  <c r="R947" i="17"/>
  <c r="N947" i="17"/>
  <c r="M947" i="17"/>
  <c r="V946" i="17"/>
  <c r="U946" i="17"/>
  <c r="T946" i="17"/>
  <c r="S946" i="17"/>
  <c r="R946" i="17"/>
  <c r="N946" i="17"/>
  <c r="M946" i="17"/>
  <c r="V945" i="17"/>
  <c r="U945" i="17"/>
  <c r="T945" i="17"/>
  <c r="S945" i="17"/>
  <c r="R945" i="17"/>
  <c r="N945" i="17"/>
  <c r="M945" i="17"/>
  <c r="V944" i="17"/>
  <c r="U944" i="17"/>
  <c r="T944" i="17"/>
  <c r="S944" i="17"/>
  <c r="R944" i="17"/>
  <c r="N944" i="17"/>
  <c r="M944" i="17"/>
  <c r="V943" i="17"/>
  <c r="U943" i="17"/>
  <c r="T943" i="17"/>
  <c r="S943" i="17"/>
  <c r="R943" i="17"/>
  <c r="N943" i="17"/>
  <c r="M943" i="17"/>
  <c r="V942" i="17"/>
  <c r="U942" i="17"/>
  <c r="T942" i="17"/>
  <c r="S942" i="17"/>
  <c r="R942" i="17"/>
  <c r="N942" i="17"/>
  <c r="M942" i="17"/>
  <c r="V941" i="17"/>
  <c r="U941" i="17"/>
  <c r="T941" i="17"/>
  <c r="S941" i="17"/>
  <c r="R941" i="17"/>
  <c r="N941" i="17"/>
  <c r="M941" i="17"/>
  <c r="V940" i="17"/>
  <c r="U940" i="17"/>
  <c r="T940" i="17"/>
  <c r="S940" i="17"/>
  <c r="R940" i="17"/>
  <c r="N940" i="17"/>
  <c r="M940" i="17"/>
  <c r="V939" i="17"/>
  <c r="U939" i="17"/>
  <c r="T939" i="17"/>
  <c r="S939" i="17"/>
  <c r="R939" i="17"/>
  <c r="N939" i="17"/>
  <c r="M939" i="17"/>
  <c r="V938" i="17"/>
  <c r="U938" i="17"/>
  <c r="T938" i="17"/>
  <c r="S938" i="17"/>
  <c r="R938" i="17"/>
  <c r="N938" i="17"/>
  <c r="M938" i="17"/>
  <c r="V937" i="17"/>
  <c r="U937" i="17"/>
  <c r="T937" i="17"/>
  <c r="S937" i="17"/>
  <c r="R937" i="17"/>
  <c r="N937" i="17"/>
  <c r="M937" i="17"/>
  <c r="V936" i="17"/>
  <c r="U936" i="17"/>
  <c r="T936" i="17"/>
  <c r="S936" i="17"/>
  <c r="R936" i="17"/>
  <c r="N936" i="17"/>
  <c r="M936" i="17"/>
  <c r="V935" i="17"/>
  <c r="U935" i="17"/>
  <c r="T935" i="17"/>
  <c r="S935" i="17"/>
  <c r="R935" i="17"/>
  <c r="N935" i="17"/>
  <c r="M935" i="17"/>
  <c r="V934" i="17"/>
  <c r="U934" i="17"/>
  <c r="T934" i="17"/>
  <c r="S934" i="17"/>
  <c r="R934" i="17"/>
  <c r="N934" i="17"/>
  <c r="M934" i="17"/>
  <c r="V933" i="17"/>
  <c r="U933" i="17"/>
  <c r="T933" i="17"/>
  <c r="S933" i="17"/>
  <c r="R933" i="17"/>
  <c r="N933" i="17"/>
  <c r="M933" i="17"/>
  <c r="V932" i="17"/>
  <c r="U932" i="17"/>
  <c r="T932" i="17"/>
  <c r="S932" i="17"/>
  <c r="R932" i="17"/>
  <c r="N932" i="17"/>
  <c r="M932" i="17"/>
  <c r="V931" i="17"/>
  <c r="U931" i="17"/>
  <c r="T931" i="17"/>
  <c r="S931" i="17"/>
  <c r="R931" i="17"/>
  <c r="N931" i="17"/>
  <c r="M931" i="17"/>
  <c r="V930" i="17"/>
  <c r="U930" i="17"/>
  <c r="T930" i="17"/>
  <c r="S930" i="17"/>
  <c r="R930" i="17"/>
  <c r="N930" i="17"/>
  <c r="M930" i="17"/>
  <c r="V929" i="17"/>
  <c r="U929" i="17"/>
  <c r="T929" i="17"/>
  <c r="S929" i="17"/>
  <c r="R929" i="17"/>
  <c r="N929" i="17"/>
  <c r="M929" i="17"/>
  <c r="V928" i="17"/>
  <c r="U928" i="17"/>
  <c r="T928" i="17"/>
  <c r="S928" i="17"/>
  <c r="R928" i="17"/>
  <c r="N928" i="17"/>
  <c r="M928" i="17"/>
  <c r="V927" i="17"/>
  <c r="U927" i="17"/>
  <c r="T927" i="17"/>
  <c r="S927" i="17"/>
  <c r="R927" i="17"/>
  <c r="N927" i="17"/>
  <c r="M927" i="17"/>
  <c r="V926" i="17"/>
  <c r="U926" i="17"/>
  <c r="T926" i="17"/>
  <c r="S926" i="17"/>
  <c r="R926" i="17"/>
  <c r="N926" i="17"/>
  <c r="M926" i="17"/>
  <c r="V925" i="17"/>
  <c r="U925" i="17"/>
  <c r="T925" i="17"/>
  <c r="S925" i="17"/>
  <c r="R925" i="17"/>
  <c r="N925" i="17"/>
  <c r="M925" i="17"/>
  <c r="V924" i="17"/>
  <c r="U924" i="17"/>
  <c r="T924" i="17"/>
  <c r="S924" i="17"/>
  <c r="R924" i="17"/>
  <c r="N924" i="17"/>
  <c r="M924" i="17"/>
  <c r="V923" i="17"/>
  <c r="U923" i="17"/>
  <c r="T923" i="17"/>
  <c r="S923" i="17"/>
  <c r="R923" i="17"/>
  <c r="N923" i="17"/>
  <c r="M923" i="17"/>
  <c r="V922" i="17"/>
  <c r="U922" i="17"/>
  <c r="T922" i="17"/>
  <c r="S922" i="17"/>
  <c r="R922" i="17"/>
  <c r="N922" i="17"/>
  <c r="M922" i="17"/>
  <c r="V921" i="17"/>
  <c r="U921" i="17"/>
  <c r="T921" i="17"/>
  <c r="S921" i="17"/>
  <c r="R921" i="17"/>
  <c r="N921" i="17"/>
  <c r="M921" i="17"/>
  <c r="V920" i="17"/>
  <c r="U920" i="17"/>
  <c r="T920" i="17"/>
  <c r="S920" i="17"/>
  <c r="R920" i="17"/>
  <c r="N920" i="17"/>
  <c r="M920" i="17"/>
  <c r="V919" i="17"/>
  <c r="U919" i="17"/>
  <c r="T919" i="17"/>
  <c r="S919" i="17"/>
  <c r="R919" i="17"/>
  <c r="N919" i="17"/>
  <c r="M919" i="17"/>
  <c r="V918" i="17"/>
  <c r="U918" i="17"/>
  <c r="T918" i="17"/>
  <c r="S918" i="17"/>
  <c r="R918" i="17"/>
  <c r="N918" i="17"/>
  <c r="M918" i="17"/>
  <c r="V917" i="17"/>
  <c r="U917" i="17"/>
  <c r="T917" i="17"/>
  <c r="S917" i="17"/>
  <c r="R917" i="17"/>
  <c r="N917" i="17"/>
  <c r="M917" i="17"/>
  <c r="V916" i="17"/>
  <c r="U916" i="17"/>
  <c r="T916" i="17"/>
  <c r="S916" i="17"/>
  <c r="R916" i="17"/>
  <c r="N916" i="17"/>
  <c r="M916" i="17"/>
  <c r="V915" i="17"/>
  <c r="U915" i="17"/>
  <c r="T915" i="17"/>
  <c r="S915" i="17"/>
  <c r="R915" i="17"/>
  <c r="N915" i="17"/>
  <c r="M915" i="17"/>
  <c r="V914" i="17"/>
  <c r="U914" i="17"/>
  <c r="T914" i="17"/>
  <c r="S914" i="17"/>
  <c r="R914" i="17"/>
  <c r="N914" i="17"/>
  <c r="M914" i="17"/>
  <c r="V913" i="17"/>
  <c r="U913" i="17"/>
  <c r="T913" i="17"/>
  <c r="S913" i="17"/>
  <c r="R913" i="17"/>
  <c r="N913" i="17"/>
  <c r="M913" i="17"/>
  <c r="V912" i="17"/>
  <c r="U912" i="17"/>
  <c r="T912" i="17"/>
  <c r="S912" i="17"/>
  <c r="R912" i="17"/>
  <c r="N912" i="17"/>
  <c r="M912" i="17"/>
  <c r="V911" i="17"/>
  <c r="U911" i="17"/>
  <c r="T911" i="17"/>
  <c r="S911" i="17"/>
  <c r="R911" i="17"/>
  <c r="N911" i="17"/>
  <c r="M911" i="17"/>
  <c r="V910" i="17"/>
  <c r="U910" i="17"/>
  <c r="T910" i="17"/>
  <c r="S910" i="17"/>
  <c r="R910" i="17"/>
  <c r="N910" i="17"/>
  <c r="M910" i="17"/>
  <c r="V909" i="17"/>
  <c r="U909" i="17"/>
  <c r="T909" i="17"/>
  <c r="S909" i="17"/>
  <c r="R909" i="17"/>
  <c r="N909" i="17"/>
  <c r="M909" i="17"/>
  <c r="V908" i="17"/>
  <c r="U908" i="17"/>
  <c r="T908" i="17"/>
  <c r="S908" i="17"/>
  <c r="R908" i="17"/>
  <c r="N908" i="17"/>
  <c r="M908" i="17"/>
  <c r="V907" i="17"/>
  <c r="U907" i="17"/>
  <c r="T907" i="17"/>
  <c r="S907" i="17"/>
  <c r="R907" i="17"/>
  <c r="N907" i="17"/>
  <c r="M907" i="17"/>
  <c r="V906" i="17"/>
  <c r="U906" i="17"/>
  <c r="T906" i="17"/>
  <c r="S906" i="17"/>
  <c r="R906" i="17"/>
  <c r="N906" i="17"/>
  <c r="M906" i="17"/>
  <c r="V905" i="17"/>
  <c r="U905" i="17"/>
  <c r="T905" i="17"/>
  <c r="S905" i="17"/>
  <c r="R905" i="17"/>
  <c r="N905" i="17"/>
  <c r="M905" i="17"/>
  <c r="V904" i="17"/>
  <c r="U904" i="17"/>
  <c r="T904" i="17"/>
  <c r="S904" i="17"/>
  <c r="R904" i="17"/>
  <c r="N904" i="17"/>
  <c r="M904" i="17"/>
  <c r="V903" i="17"/>
  <c r="U903" i="17"/>
  <c r="T903" i="17"/>
  <c r="S903" i="17"/>
  <c r="R903" i="17"/>
  <c r="N903" i="17"/>
  <c r="M903" i="17"/>
  <c r="V902" i="17"/>
  <c r="U902" i="17"/>
  <c r="T902" i="17"/>
  <c r="S902" i="17"/>
  <c r="R902" i="17"/>
  <c r="N902" i="17"/>
  <c r="M902" i="17"/>
  <c r="V901" i="17"/>
  <c r="U901" i="17"/>
  <c r="T901" i="17"/>
  <c r="S901" i="17"/>
  <c r="R901" i="17"/>
  <c r="N901" i="17"/>
  <c r="M901" i="17"/>
  <c r="V900" i="17"/>
  <c r="U900" i="17"/>
  <c r="T900" i="17"/>
  <c r="S900" i="17"/>
  <c r="R900" i="17"/>
  <c r="N900" i="17"/>
  <c r="M900" i="17"/>
  <c r="V899" i="17"/>
  <c r="U899" i="17"/>
  <c r="T899" i="17"/>
  <c r="S899" i="17"/>
  <c r="R899" i="17"/>
  <c r="N899" i="17"/>
  <c r="M899" i="17"/>
  <c r="V898" i="17"/>
  <c r="U898" i="17"/>
  <c r="T898" i="17"/>
  <c r="S898" i="17"/>
  <c r="R898" i="17"/>
  <c r="N898" i="17"/>
  <c r="M898" i="17"/>
  <c r="V897" i="17"/>
  <c r="U897" i="17"/>
  <c r="T897" i="17"/>
  <c r="S897" i="17"/>
  <c r="R897" i="17"/>
  <c r="N897" i="17"/>
  <c r="M897" i="17"/>
  <c r="V896" i="17"/>
  <c r="U896" i="17"/>
  <c r="T896" i="17"/>
  <c r="S896" i="17"/>
  <c r="R896" i="17"/>
  <c r="N896" i="17"/>
  <c r="M896" i="17"/>
  <c r="V895" i="17"/>
  <c r="U895" i="17"/>
  <c r="T895" i="17"/>
  <c r="S895" i="17"/>
  <c r="R895" i="17"/>
  <c r="N895" i="17"/>
  <c r="M895" i="17"/>
  <c r="V894" i="17"/>
  <c r="U894" i="17"/>
  <c r="T894" i="17"/>
  <c r="S894" i="17"/>
  <c r="R894" i="17"/>
  <c r="N894" i="17"/>
  <c r="M894" i="17"/>
  <c r="V893" i="17"/>
  <c r="U893" i="17"/>
  <c r="T893" i="17"/>
  <c r="S893" i="17"/>
  <c r="R893" i="17"/>
  <c r="N893" i="17"/>
  <c r="M893" i="17"/>
  <c r="V892" i="17"/>
  <c r="U892" i="17"/>
  <c r="T892" i="17"/>
  <c r="S892" i="17"/>
  <c r="R892" i="17"/>
  <c r="N892" i="17"/>
  <c r="M892" i="17"/>
  <c r="V891" i="17"/>
  <c r="U891" i="17"/>
  <c r="T891" i="17"/>
  <c r="S891" i="17"/>
  <c r="R891" i="17"/>
  <c r="N891" i="17"/>
  <c r="M891" i="17"/>
  <c r="V890" i="17"/>
  <c r="U890" i="17"/>
  <c r="T890" i="17"/>
  <c r="S890" i="17"/>
  <c r="R890" i="17"/>
  <c r="N890" i="17"/>
  <c r="M890" i="17"/>
  <c r="V889" i="17"/>
  <c r="U889" i="17"/>
  <c r="T889" i="17"/>
  <c r="S889" i="17"/>
  <c r="R889" i="17"/>
  <c r="N889" i="17"/>
  <c r="M889" i="17"/>
  <c r="V888" i="17"/>
  <c r="U888" i="17"/>
  <c r="T888" i="17"/>
  <c r="S888" i="17"/>
  <c r="R888" i="17"/>
  <c r="N888" i="17"/>
  <c r="M888" i="17"/>
  <c r="V887" i="17"/>
  <c r="U887" i="17"/>
  <c r="T887" i="17"/>
  <c r="S887" i="17"/>
  <c r="R887" i="17"/>
  <c r="N887" i="17"/>
  <c r="M887" i="17"/>
  <c r="V886" i="17"/>
  <c r="U886" i="17"/>
  <c r="T886" i="17"/>
  <c r="S886" i="17"/>
  <c r="R886" i="17"/>
  <c r="N886" i="17"/>
  <c r="M886" i="17"/>
  <c r="V885" i="17"/>
  <c r="U885" i="17"/>
  <c r="T885" i="17"/>
  <c r="S885" i="17"/>
  <c r="R885" i="17"/>
  <c r="N885" i="17"/>
  <c r="M885" i="17"/>
  <c r="V884" i="17"/>
  <c r="U884" i="17"/>
  <c r="T884" i="17"/>
  <c r="S884" i="17"/>
  <c r="R884" i="17"/>
  <c r="N884" i="17"/>
  <c r="M884" i="17"/>
  <c r="V883" i="17"/>
  <c r="U883" i="17"/>
  <c r="T883" i="17"/>
  <c r="S883" i="17"/>
  <c r="R883" i="17"/>
  <c r="N883" i="17"/>
  <c r="M883" i="17"/>
  <c r="V882" i="17"/>
  <c r="U882" i="17"/>
  <c r="T882" i="17"/>
  <c r="S882" i="17"/>
  <c r="R882" i="17"/>
  <c r="N882" i="17"/>
  <c r="M882" i="17"/>
  <c r="V881" i="17"/>
  <c r="U881" i="17"/>
  <c r="T881" i="17"/>
  <c r="S881" i="17"/>
  <c r="R881" i="17"/>
  <c r="N881" i="17"/>
  <c r="M881" i="17"/>
  <c r="V880" i="17"/>
  <c r="U880" i="17"/>
  <c r="T880" i="17"/>
  <c r="S880" i="17"/>
  <c r="R880" i="17"/>
  <c r="N880" i="17"/>
  <c r="M880" i="17"/>
  <c r="V879" i="17"/>
  <c r="U879" i="17"/>
  <c r="T879" i="17"/>
  <c r="S879" i="17"/>
  <c r="R879" i="17"/>
  <c r="N879" i="17"/>
  <c r="M879" i="17"/>
  <c r="V878" i="17"/>
  <c r="U878" i="17"/>
  <c r="T878" i="17"/>
  <c r="S878" i="17"/>
  <c r="R878" i="17"/>
  <c r="N878" i="17"/>
  <c r="M878" i="17"/>
  <c r="V877" i="17"/>
  <c r="U877" i="17"/>
  <c r="T877" i="17"/>
  <c r="S877" i="17"/>
  <c r="R877" i="17"/>
  <c r="N877" i="17"/>
  <c r="M877" i="17"/>
  <c r="V876" i="17"/>
  <c r="U876" i="17"/>
  <c r="T876" i="17"/>
  <c r="S876" i="17"/>
  <c r="R876" i="17"/>
  <c r="N876" i="17"/>
  <c r="M876" i="17"/>
  <c r="V875" i="17"/>
  <c r="U875" i="17"/>
  <c r="T875" i="17"/>
  <c r="S875" i="17"/>
  <c r="R875" i="17"/>
  <c r="N875" i="17"/>
  <c r="M875" i="17"/>
  <c r="V874" i="17"/>
  <c r="U874" i="17"/>
  <c r="T874" i="17"/>
  <c r="S874" i="17"/>
  <c r="R874" i="17"/>
  <c r="N874" i="17"/>
  <c r="M874" i="17"/>
  <c r="V873" i="17"/>
  <c r="U873" i="17"/>
  <c r="T873" i="17"/>
  <c r="S873" i="17"/>
  <c r="R873" i="17"/>
  <c r="N873" i="17"/>
  <c r="M873" i="17"/>
  <c r="V872" i="17"/>
  <c r="U872" i="17"/>
  <c r="T872" i="17"/>
  <c r="S872" i="17"/>
  <c r="R872" i="17"/>
  <c r="N872" i="17"/>
  <c r="M872" i="17"/>
  <c r="V871" i="17"/>
  <c r="U871" i="17"/>
  <c r="T871" i="17"/>
  <c r="S871" i="17"/>
  <c r="R871" i="17"/>
  <c r="N871" i="17"/>
  <c r="M871" i="17"/>
  <c r="V870" i="17"/>
  <c r="U870" i="17"/>
  <c r="T870" i="17"/>
  <c r="S870" i="17"/>
  <c r="R870" i="17"/>
  <c r="N870" i="17"/>
  <c r="M870" i="17"/>
  <c r="V869" i="17"/>
  <c r="U869" i="17"/>
  <c r="T869" i="17"/>
  <c r="S869" i="17"/>
  <c r="R869" i="17"/>
  <c r="N869" i="17"/>
  <c r="M869" i="17"/>
  <c r="V868" i="17"/>
  <c r="U868" i="17"/>
  <c r="T868" i="17"/>
  <c r="S868" i="17"/>
  <c r="R868" i="17"/>
  <c r="N868" i="17"/>
  <c r="M868" i="17"/>
  <c r="V867" i="17"/>
  <c r="U867" i="17"/>
  <c r="T867" i="17"/>
  <c r="S867" i="17"/>
  <c r="R867" i="17"/>
  <c r="N867" i="17"/>
  <c r="M867" i="17"/>
  <c r="V866" i="17"/>
  <c r="U866" i="17"/>
  <c r="T866" i="17"/>
  <c r="S866" i="17"/>
  <c r="R866" i="17"/>
  <c r="N866" i="17"/>
  <c r="M866" i="17"/>
  <c r="V865" i="17"/>
  <c r="U865" i="17"/>
  <c r="T865" i="17"/>
  <c r="S865" i="17"/>
  <c r="R865" i="17"/>
  <c r="N865" i="17"/>
  <c r="M865" i="17"/>
  <c r="V864" i="17"/>
  <c r="U864" i="17"/>
  <c r="T864" i="17"/>
  <c r="S864" i="17"/>
  <c r="R864" i="17"/>
  <c r="N864" i="17"/>
  <c r="M864" i="17"/>
  <c r="V863" i="17"/>
  <c r="U863" i="17"/>
  <c r="T863" i="17"/>
  <c r="S863" i="17"/>
  <c r="R863" i="17"/>
  <c r="N863" i="17"/>
  <c r="M863" i="17"/>
  <c r="V862" i="17"/>
  <c r="U862" i="17"/>
  <c r="T862" i="17"/>
  <c r="S862" i="17"/>
  <c r="R862" i="17"/>
  <c r="N862" i="17"/>
  <c r="M862" i="17"/>
  <c r="V861" i="17"/>
  <c r="U861" i="17"/>
  <c r="T861" i="17"/>
  <c r="S861" i="17"/>
  <c r="R861" i="17"/>
  <c r="N861" i="17"/>
  <c r="M861" i="17"/>
  <c r="V860" i="17"/>
  <c r="U860" i="17"/>
  <c r="T860" i="17"/>
  <c r="S860" i="17"/>
  <c r="R860" i="17"/>
  <c r="N860" i="17"/>
  <c r="M860" i="17"/>
  <c r="V859" i="17"/>
  <c r="U859" i="17"/>
  <c r="T859" i="17"/>
  <c r="S859" i="17"/>
  <c r="R859" i="17"/>
  <c r="N859" i="17"/>
  <c r="M859" i="17"/>
  <c r="V858" i="17"/>
  <c r="U858" i="17"/>
  <c r="T858" i="17"/>
  <c r="S858" i="17"/>
  <c r="R858" i="17"/>
  <c r="N858" i="17"/>
  <c r="M858" i="17"/>
  <c r="V857" i="17"/>
  <c r="U857" i="17"/>
  <c r="T857" i="17"/>
  <c r="S857" i="17"/>
  <c r="R857" i="17"/>
  <c r="N857" i="17"/>
  <c r="M857" i="17"/>
  <c r="V856" i="17"/>
  <c r="U856" i="17"/>
  <c r="T856" i="17"/>
  <c r="S856" i="17"/>
  <c r="R856" i="17"/>
  <c r="N856" i="17"/>
  <c r="M856" i="17"/>
  <c r="V855" i="17"/>
  <c r="U855" i="17"/>
  <c r="T855" i="17"/>
  <c r="S855" i="17"/>
  <c r="R855" i="17"/>
  <c r="N855" i="17"/>
  <c r="M855" i="17"/>
  <c r="V854" i="17"/>
  <c r="U854" i="17"/>
  <c r="T854" i="17"/>
  <c r="S854" i="17"/>
  <c r="R854" i="17"/>
  <c r="N854" i="17"/>
  <c r="M854" i="17"/>
  <c r="V853" i="17"/>
  <c r="U853" i="17"/>
  <c r="T853" i="17"/>
  <c r="S853" i="17"/>
  <c r="R853" i="17"/>
  <c r="N853" i="17"/>
  <c r="M853" i="17"/>
  <c r="V852" i="17"/>
  <c r="U852" i="17"/>
  <c r="T852" i="17"/>
  <c r="S852" i="17"/>
  <c r="R852" i="17"/>
  <c r="N852" i="17"/>
  <c r="M852" i="17"/>
  <c r="V851" i="17"/>
  <c r="U851" i="17"/>
  <c r="T851" i="17"/>
  <c r="S851" i="17"/>
  <c r="R851" i="17"/>
  <c r="N851" i="17"/>
  <c r="M851" i="17"/>
  <c r="V850" i="17"/>
  <c r="U850" i="17"/>
  <c r="T850" i="17"/>
  <c r="S850" i="17"/>
  <c r="R850" i="17"/>
  <c r="N850" i="17"/>
  <c r="M850" i="17"/>
  <c r="V849" i="17"/>
  <c r="U849" i="17"/>
  <c r="T849" i="17"/>
  <c r="S849" i="17"/>
  <c r="R849" i="17"/>
  <c r="N849" i="17"/>
  <c r="M849" i="17"/>
  <c r="V848" i="17"/>
  <c r="U848" i="17"/>
  <c r="T848" i="17"/>
  <c r="S848" i="17"/>
  <c r="R848" i="17"/>
  <c r="N848" i="17"/>
  <c r="M848" i="17"/>
  <c r="V847" i="17"/>
  <c r="U847" i="17"/>
  <c r="T847" i="17"/>
  <c r="S847" i="17"/>
  <c r="R847" i="17"/>
  <c r="N847" i="17"/>
  <c r="M847" i="17"/>
  <c r="V846" i="17"/>
  <c r="U846" i="17"/>
  <c r="T846" i="17"/>
  <c r="S846" i="17"/>
  <c r="R846" i="17"/>
  <c r="N846" i="17"/>
  <c r="M846" i="17"/>
  <c r="V845" i="17"/>
  <c r="U845" i="17"/>
  <c r="T845" i="17"/>
  <c r="S845" i="17"/>
  <c r="R845" i="17"/>
  <c r="N845" i="17"/>
  <c r="M845" i="17"/>
  <c r="V844" i="17"/>
  <c r="U844" i="17"/>
  <c r="T844" i="17"/>
  <c r="S844" i="17"/>
  <c r="R844" i="17"/>
  <c r="N844" i="17"/>
  <c r="M844" i="17"/>
  <c r="V843" i="17"/>
  <c r="U843" i="17"/>
  <c r="T843" i="17"/>
  <c r="S843" i="17"/>
  <c r="R843" i="17"/>
  <c r="N843" i="17"/>
  <c r="M843" i="17"/>
  <c r="V842" i="17"/>
  <c r="U842" i="17"/>
  <c r="T842" i="17"/>
  <c r="S842" i="17"/>
  <c r="R842" i="17"/>
  <c r="N842" i="17"/>
  <c r="M842" i="17"/>
  <c r="V841" i="17"/>
  <c r="U841" i="17"/>
  <c r="T841" i="17"/>
  <c r="S841" i="17"/>
  <c r="R841" i="17"/>
  <c r="N841" i="17"/>
  <c r="M841" i="17"/>
  <c r="V840" i="17"/>
  <c r="U840" i="17"/>
  <c r="T840" i="17"/>
  <c r="S840" i="17"/>
  <c r="R840" i="17"/>
  <c r="N840" i="17"/>
  <c r="M840" i="17"/>
  <c r="V839" i="17"/>
  <c r="U839" i="17"/>
  <c r="T839" i="17"/>
  <c r="S839" i="17"/>
  <c r="R839" i="17"/>
  <c r="N839" i="17"/>
  <c r="M839" i="17"/>
  <c r="V838" i="17"/>
  <c r="U838" i="17"/>
  <c r="T838" i="17"/>
  <c r="S838" i="17"/>
  <c r="R838" i="17"/>
  <c r="N838" i="17"/>
  <c r="M838" i="17"/>
  <c r="V837" i="17"/>
  <c r="U837" i="17"/>
  <c r="T837" i="17"/>
  <c r="S837" i="17"/>
  <c r="R837" i="17"/>
  <c r="N837" i="17"/>
  <c r="M837" i="17"/>
  <c r="V836" i="17"/>
  <c r="U836" i="17"/>
  <c r="T836" i="17"/>
  <c r="S836" i="17"/>
  <c r="R836" i="17"/>
  <c r="N836" i="17"/>
  <c r="M836" i="17"/>
  <c r="V835" i="17"/>
  <c r="U835" i="17"/>
  <c r="T835" i="17"/>
  <c r="S835" i="17"/>
  <c r="R835" i="17"/>
  <c r="N835" i="17"/>
  <c r="M835" i="17"/>
  <c r="V834" i="17"/>
  <c r="U834" i="17"/>
  <c r="T834" i="17"/>
  <c r="S834" i="17"/>
  <c r="R834" i="17"/>
  <c r="N834" i="17"/>
  <c r="M834" i="17"/>
  <c r="V833" i="17"/>
  <c r="U833" i="17"/>
  <c r="T833" i="17"/>
  <c r="S833" i="17"/>
  <c r="R833" i="17"/>
  <c r="N833" i="17"/>
  <c r="M833" i="17"/>
  <c r="V832" i="17"/>
  <c r="U832" i="17"/>
  <c r="T832" i="17"/>
  <c r="S832" i="17"/>
  <c r="R832" i="17"/>
  <c r="N832" i="17"/>
  <c r="M832" i="17"/>
  <c r="V831" i="17"/>
  <c r="U831" i="17"/>
  <c r="T831" i="17"/>
  <c r="S831" i="17"/>
  <c r="R831" i="17"/>
  <c r="N831" i="17"/>
  <c r="M831" i="17"/>
  <c r="V830" i="17"/>
  <c r="U830" i="17"/>
  <c r="T830" i="17"/>
  <c r="S830" i="17"/>
  <c r="R830" i="17"/>
  <c r="N830" i="17"/>
  <c r="M830" i="17"/>
  <c r="V829" i="17"/>
  <c r="U829" i="17"/>
  <c r="T829" i="17"/>
  <c r="S829" i="17"/>
  <c r="R829" i="17"/>
  <c r="N829" i="17"/>
  <c r="M829" i="17"/>
  <c r="V828" i="17"/>
  <c r="U828" i="17"/>
  <c r="T828" i="17"/>
  <c r="S828" i="17"/>
  <c r="R828" i="17"/>
  <c r="N828" i="17"/>
  <c r="M828" i="17"/>
  <c r="V827" i="17"/>
  <c r="U827" i="17"/>
  <c r="T827" i="17"/>
  <c r="S827" i="17"/>
  <c r="R827" i="17"/>
  <c r="N827" i="17"/>
  <c r="M827" i="17"/>
  <c r="V826" i="17"/>
  <c r="U826" i="17"/>
  <c r="T826" i="17"/>
  <c r="S826" i="17"/>
  <c r="R826" i="17"/>
  <c r="N826" i="17"/>
  <c r="M826" i="17"/>
  <c r="V825" i="17"/>
  <c r="U825" i="17"/>
  <c r="T825" i="17"/>
  <c r="S825" i="17"/>
  <c r="R825" i="17"/>
  <c r="N825" i="17"/>
  <c r="M825" i="17"/>
  <c r="V824" i="17"/>
  <c r="U824" i="17"/>
  <c r="T824" i="17"/>
  <c r="S824" i="17"/>
  <c r="R824" i="17"/>
  <c r="N824" i="17"/>
  <c r="M824" i="17"/>
  <c r="V823" i="17"/>
  <c r="U823" i="17"/>
  <c r="T823" i="17"/>
  <c r="S823" i="17"/>
  <c r="R823" i="17"/>
  <c r="N823" i="17"/>
  <c r="M823" i="17"/>
  <c r="V822" i="17"/>
  <c r="U822" i="17"/>
  <c r="T822" i="17"/>
  <c r="S822" i="17"/>
  <c r="R822" i="17"/>
  <c r="N822" i="17"/>
  <c r="M822" i="17"/>
  <c r="V821" i="17"/>
  <c r="U821" i="17"/>
  <c r="T821" i="17"/>
  <c r="S821" i="17"/>
  <c r="R821" i="17"/>
  <c r="N821" i="17"/>
  <c r="M821" i="17"/>
  <c r="V820" i="17"/>
  <c r="U820" i="17"/>
  <c r="T820" i="17"/>
  <c r="S820" i="17"/>
  <c r="R820" i="17"/>
  <c r="N820" i="17"/>
  <c r="M820" i="17"/>
  <c r="V819" i="17"/>
  <c r="U819" i="17"/>
  <c r="T819" i="17"/>
  <c r="S819" i="17"/>
  <c r="R819" i="17"/>
  <c r="N819" i="17"/>
  <c r="M819" i="17"/>
  <c r="V818" i="17"/>
  <c r="U818" i="17"/>
  <c r="T818" i="17"/>
  <c r="S818" i="17"/>
  <c r="R818" i="17"/>
  <c r="N818" i="17"/>
  <c r="M818" i="17"/>
  <c r="V817" i="17"/>
  <c r="U817" i="17"/>
  <c r="T817" i="17"/>
  <c r="S817" i="17"/>
  <c r="R817" i="17"/>
  <c r="N817" i="17"/>
  <c r="M817" i="17"/>
  <c r="V816" i="17"/>
  <c r="U816" i="17"/>
  <c r="T816" i="17"/>
  <c r="S816" i="17"/>
  <c r="R816" i="17"/>
  <c r="N816" i="17"/>
  <c r="M816" i="17"/>
  <c r="V815" i="17"/>
  <c r="U815" i="17"/>
  <c r="T815" i="17"/>
  <c r="S815" i="17"/>
  <c r="R815" i="17"/>
  <c r="N815" i="17"/>
  <c r="M815" i="17"/>
  <c r="V814" i="17"/>
  <c r="U814" i="17"/>
  <c r="T814" i="17"/>
  <c r="S814" i="17"/>
  <c r="R814" i="17"/>
  <c r="N814" i="17"/>
  <c r="M814" i="17"/>
  <c r="V813" i="17"/>
  <c r="U813" i="17"/>
  <c r="T813" i="17"/>
  <c r="S813" i="17"/>
  <c r="R813" i="17"/>
  <c r="N813" i="17"/>
  <c r="M813" i="17"/>
  <c r="V812" i="17"/>
  <c r="U812" i="17"/>
  <c r="T812" i="17"/>
  <c r="S812" i="17"/>
  <c r="R812" i="17"/>
  <c r="N812" i="17"/>
  <c r="M812" i="17"/>
  <c r="V811" i="17"/>
  <c r="U811" i="17"/>
  <c r="T811" i="17"/>
  <c r="S811" i="17"/>
  <c r="R811" i="17"/>
  <c r="N811" i="17"/>
  <c r="M811" i="17"/>
  <c r="V810" i="17"/>
  <c r="U810" i="17"/>
  <c r="T810" i="17"/>
  <c r="S810" i="17"/>
  <c r="R810" i="17"/>
  <c r="N810" i="17"/>
  <c r="M810" i="17"/>
  <c r="V809" i="17"/>
  <c r="U809" i="17"/>
  <c r="T809" i="17"/>
  <c r="S809" i="17"/>
  <c r="R809" i="17"/>
  <c r="N809" i="17"/>
  <c r="M809" i="17"/>
  <c r="V808" i="17"/>
  <c r="U808" i="17"/>
  <c r="T808" i="17"/>
  <c r="S808" i="17"/>
  <c r="R808" i="17"/>
  <c r="N808" i="17"/>
  <c r="M808" i="17"/>
  <c r="V807" i="17"/>
  <c r="U807" i="17"/>
  <c r="T807" i="17"/>
  <c r="S807" i="17"/>
  <c r="R807" i="17"/>
  <c r="N807" i="17"/>
  <c r="M807" i="17"/>
  <c r="V806" i="17"/>
  <c r="U806" i="17"/>
  <c r="T806" i="17"/>
  <c r="S806" i="17"/>
  <c r="R806" i="17"/>
  <c r="N806" i="17"/>
  <c r="M806" i="17"/>
  <c r="V805" i="17"/>
  <c r="U805" i="17"/>
  <c r="T805" i="17"/>
  <c r="S805" i="17"/>
  <c r="R805" i="17"/>
  <c r="N805" i="17"/>
  <c r="M805" i="17"/>
  <c r="V804" i="17"/>
  <c r="U804" i="17"/>
  <c r="T804" i="17"/>
  <c r="S804" i="17"/>
  <c r="R804" i="17"/>
  <c r="N804" i="17"/>
  <c r="M804" i="17"/>
  <c r="V803" i="17"/>
  <c r="U803" i="17"/>
  <c r="T803" i="17"/>
  <c r="S803" i="17"/>
  <c r="R803" i="17"/>
  <c r="N803" i="17"/>
  <c r="M803" i="17"/>
  <c r="V802" i="17"/>
  <c r="U802" i="17"/>
  <c r="T802" i="17"/>
  <c r="S802" i="17"/>
  <c r="R802" i="17"/>
  <c r="N802" i="17"/>
  <c r="M802" i="17"/>
  <c r="V801" i="17"/>
  <c r="U801" i="17"/>
  <c r="T801" i="17"/>
  <c r="S801" i="17"/>
  <c r="R801" i="17"/>
  <c r="N801" i="17"/>
  <c r="M801" i="17"/>
  <c r="V800" i="17"/>
  <c r="U800" i="17"/>
  <c r="T800" i="17"/>
  <c r="S800" i="17"/>
  <c r="R800" i="17"/>
  <c r="N800" i="17"/>
  <c r="M800" i="17"/>
  <c r="V799" i="17"/>
  <c r="U799" i="17"/>
  <c r="T799" i="17"/>
  <c r="S799" i="17"/>
  <c r="R799" i="17"/>
  <c r="N799" i="17"/>
  <c r="M799" i="17"/>
  <c r="V798" i="17"/>
  <c r="U798" i="17"/>
  <c r="T798" i="17"/>
  <c r="S798" i="17"/>
  <c r="R798" i="17"/>
  <c r="N798" i="17"/>
  <c r="M798" i="17"/>
  <c r="V797" i="17"/>
  <c r="U797" i="17"/>
  <c r="T797" i="17"/>
  <c r="S797" i="17"/>
  <c r="R797" i="17"/>
  <c r="N797" i="17"/>
  <c r="M797" i="17"/>
  <c r="V796" i="17"/>
  <c r="U796" i="17"/>
  <c r="T796" i="17"/>
  <c r="S796" i="17"/>
  <c r="R796" i="17"/>
  <c r="N796" i="17"/>
  <c r="M796" i="17"/>
  <c r="V795" i="17"/>
  <c r="U795" i="17"/>
  <c r="T795" i="17"/>
  <c r="S795" i="17"/>
  <c r="R795" i="17"/>
  <c r="N795" i="17"/>
  <c r="M795" i="17"/>
  <c r="V794" i="17"/>
  <c r="U794" i="17"/>
  <c r="T794" i="17"/>
  <c r="S794" i="17"/>
  <c r="R794" i="17"/>
  <c r="N794" i="17"/>
  <c r="M794" i="17"/>
  <c r="V793" i="17"/>
  <c r="U793" i="17"/>
  <c r="T793" i="17"/>
  <c r="S793" i="17"/>
  <c r="R793" i="17"/>
  <c r="N793" i="17"/>
  <c r="M793" i="17"/>
  <c r="V792" i="17"/>
  <c r="U792" i="17"/>
  <c r="T792" i="17"/>
  <c r="S792" i="17"/>
  <c r="R792" i="17"/>
  <c r="N792" i="17"/>
  <c r="M792" i="17"/>
  <c r="V791" i="17"/>
  <c r="U791" i="17"/>
  <c r="T791" i="17"/>
  <c r="S791" i="17"/>
  <c r="R791" i="17"/>
  <c r="N791" i="17"/>
  <c r="M791" i="17"/>
  <c r="V790" i="17"/>
  <c r="U790" i="17"/>
  <c r="T790" i="17"/>
  <c r="S790" i="17"/>
  <c r="R790" i="17"/>
  <c r="N790" i="17"/>
  <c r="M790" i="17"/>
  <c r="V789" i="17"/>
  <c r="U789" i="17"/>
  <c r="T789" i="17"/>
  <c r="S789" i="17"/>
  <c r="R789" i="17"/>
  <c r="N789" i="17"/>
  <c r="M789" i="17"/>
  <c r="V788" i="17"/>
  <c r="U788" i="17"/>
  <c r="T788" i="17"/>
  <c r="S788" i="17"/>
  <c r="R788" i="17"/>
  <c r="N788" i="17"/>
  <c r="M788" i="17"/>
  <c r="V787" i="17"/>
  <c r="U787" i="17"/>
  <c r="T787" i="17"/>
  <c r="S787" i="17"/>
  <c r="R787" i="17"/>
  <c r="N787" i="17"/>
  <c r="M787" i="17"/>
  <c r="V786" i="17"/>
  <c r="U786" i="17"/>
  <c r="T786" i="17"/>
  <c r="S786" i="17"/>
  <c r="R786" i="17"/>
  <c r="N786" i="17"/>
  <c r="M786" i="17"/>
  <c r="V785" i="17"/>
  <c r="U785" i="17"/>
  <c r="T785" i="17"/>
  <c r="S785" i="17"/>
  <c r="R785" i="17"/>
  <c r="N785" i="17"/>
  <c r="M785" i="17"/>
  <c r="V784" i="17"/>
  <c r="U784" i="17"/>
  <c r="T784" i="17"/>
  <c r="S784" i="17"/>
  <c r="R784" i="17"/>
  <c r="N784" i="17"/>
  <c r="M784" i="17"/>
  <c r="V783" i="17"/>
  <c r="U783" i="17"/>
  <c r="T783" i="17"/>
  <c r="S783" i="17"/>
  <c r="R783" i="17"/>
  <c r="N783" i="17"/>
  <c r="M783" i="17"/>
  <c r="V782" i="17"/>
  <c r="U782" i="17"/>
  <c r="T782" i="17"/>
  <c r="S782" i="17"/>
  <c r="R782" i="17"/>
  <c r="N782" i="17"/>
  <c r="M782" i="17"/>
  <c r="V781" i="17"/>
  <c r="U781" i="17"/>
  <c r="T781" i="17"/>
  <c r="S781" i="17"/>
  <c r="R781" i="17"/>
  <c r="N781" i="17"/>
  <c r="M781" i="17"/>
  <c r="V780" i="17"/>
  <c r="U780" i="17"/>
  <c r="T780" i="17"/>
  <c r="S780" i="17"/>
  <c r="R780" i="17"/>
  <c r="N780" i="17"/>
  <c r="M780" i="17"/>
  <c r="V779" i="17"/>
  <c r="U779" i="17"/>
  <c r="T779" i="17"/>
  <c r="S779" i="17"/>
  <c r="R779" i="17"/>
  <c r="N779" i="17"/>
  <c r="M779" i="17"/>
  <c r="V778" i="17"/>
  <c r="U778" i="17"/>
  <c r="T778" i="17"/>
  <c r="S778" i="17"/>
  <c r="R778" i="17"/>
  <c r="N778" i="17"/>
  <c r="M778" i="17"/>
  <c r="V777" i="17"/>
  <c r="U777" i="17"/>
  <c r="T777" i="17"/>
  <c r="S777" i="17"/>
  <c r="R777" i="17"/>
  <c r="N777" i="17"/>
  <c r="M777" i="17"/>
  <c r="V776" i="17"/>
  <c r="U776" i="17"/>
  <c r="T776" i="17"/>
  <c r="S776" i="17"/>
  <c r="R776" i="17"/>
  <c r="N776" i="17"/>
  <c r="M776" i="17"/>
  <c r="V775" i="17"/>
  <c r="U775" i="17"/>
  <c r="T775" i="17"/>
  <c r="S775" i="17"/>
  <c r="R775" i="17"/>
  <c r="N775" i="17"/>
  <c r="M775" i="17"/>
  <c r="V774" i="17"/>
  <c r="U774" i="17"/>
  <c r="T774" i="17"/>
  <c r="S774" i="17"/>
  <c r="R774" i="17"/>
  <c r="N774" i="17"/>
  <c r="M774" i="17"/>
  <c r="V773" i="17"/>
  <c r="U773" i="17"/>
  <c r="T773" i="17"/>
  <c r="S773" i="17"/>
  <c r="R773" i="17"/>
  <c r="N773" i="17"/>
  <c r="M773" i="17"/>
  <c r="V772" i="17"/>
  <c r="U772" i="17"/>
  <c r="T772" i="17"/>
  <c r="S772" i="17"/>
  <c r="R772" i="17"/>
  <c r="N772" i="17"/>
  <c r="M772" i="17"/>
  <c r="V771" i="17"/>
  <c r="U771" i="17"/>
  <c r="T771" i="17"/>
  <c r="S771" i="17"/>
  <c r="R771" i="17"/>
  <c r="N771" i="17"/>
  <c r="M771" i="17"/>
  <c r="V770" i="17"/>
  <c r="U770" i="17"/>
  <c r="T770" i="17"/>
  <c r="S770" i="17"/>
  <c r="R770" i="17"/>
  <c r="N770" i="17"/>
  <c r="M770" i="17"/>
  <c r="V769" i="17"/>
  <c r="U769" i="17"/>
  <c r="T769" i="17"/>
  <c r="S769" i="17"/>
  <c r="R769" i="17"/>
  <c r="N769" i="17"/>
  <c r="M769" i="17"/>
  <c r="V768" i="17"/>
  <c r="U768" i="17"/>
  <c r="T768" i="17"/>
  <c r="S768" i="17"/>
  <c r="R768" i="17"/>
  <c r="N768" i="17"/>
  <c r="M768" i="17"/>
  <c r="V767" i="17"/>
  <c r="U767" i="17"/>
  <c r="T767" i="17"/>
  <c r="S767" i="17"/>
  <c r="R767" i="17"/>
  <c r="N767" i="17"/>
  <c r="M767" i="17"/>
  <c r="V766" i="17"/>
  <c r="U766" i="17"/>
  <c r="T766" i="17"/>
  <c r="S766" i="17"/>
  <c r="R766" i="17"/>
  <c r="N766" i="17"/>
  <c r="M766" i="17"/>
  <c r="V765" i="17"/>
  <c r="U765" i="17"/>
  <c r="T765" i="17"/>
  <c r="S765" i="17"/>
  <c r="R765" i="17"/>
  <c r="N765" i="17"/>
  <c r="M765" i="17"/>
  <c r="V764" i="17"/>
  <c r="U764" i="17"/>
  <c r="T764" i="17"/>
  <c r="S764" i="17"/>
  <c r="R764" i="17"/>
  <c r="N764" i="17"/>
  <c r="M764" i="17"/>
  <c r="V763" i="17"/>
  <c r="U763" i="17"/>
  <c r="T763" i="17"/>
  <c r="S763" i="17"/>
  <c r="R763" i="17"/>
  <c r="N763" i="17"/>
  <c r="M763" i="17"/>
  <c r="V762" i="17"/>
  <c r="U762" i="17"/>
  <c r="T762" i="17"/>
  <c r="S762" i="17"/>
  <c r="R762" i="17"/>
  <c r="N762" i="17"/>
  <c r="M762" i="17"/>
  <c r="V761" i="17"/>
  <c r="U761" i="17"/>
  <c r="T761" i="17"/>
  <c r="S761" i="17"/>
  <c r="R761" i="17"/>
  <c r="N761" i="17"/>
  <c r="M761" i="17"/>
  <c r="V760" i="17"/>
  <c r="U760" i="17"/>
  <c r="T760" i="17"/>
  <c r="S760" i="17"/>
  <c r="R760" i="17"/>
  <c r="N760" i="17"/>
  <c r="M760" i="17"/>
  <c r="V759" i="17"/>
  <c r="U759" i="17"/>
  <c r="T759" i="17"/>
  <c r="S759" i="17"/>
  <c r="R759" i="17"/>
  <c r="N759" i="17"/>
  <c r="M759" i="17"/>
  <c r="V758" i="17"/>
  <c r="U758" i="17"/>
  <c r="T758" i="17"/>
  <c r="S758" i="17"/>
  <c r="R758" i="17"/>
  <c r="N758" i="17"/>
  <c r="M758" i="17"/>
  <c r="V757" i="17"/>
  <c r="U757" i="17"/>
  <c r="T757" i="17"/>
  <c r="S757" i="17"/>
  <c r="R757" i="17"/>
  <c r="N757" i="17"/>
  <c r="M757" i="17"/>
  <c r="V756" i="17"/>
  <c r="U756" i="17"/>
  <c r="T756" i="17"/>
  <c r="S756" i="17"/>
  <c r="R756" i="17"/>
  <c r="N756" i="17"/>
  <c r="M756" i="17"/>
  <c r="V755" i="17"/>
  <c r="U755" i="17"/>
  <c r="T755" i="17"/>
  <c r="S755" i="17"/>
  <c r="R755" i="17"/>
  <c r="N755" i="17"/>
  <c r="M755" i="17"/>
  <c r="V754" i="17"/>
  <c r="U754" i="17"/>
  <c r="T754" i="17"/>
  <c r="S754" i="17"/>
  <c r="R754" i="17"/>
  <c r="N754" i="17"/>
  <c r="M754" i="17"/>
  <c r="V753" i="17"/>
  <c r="U753" i="17"/>
  <c r="T753" i="17"/>
  <c r="S753" i="17"/>
  <c r="R753" i="17"/>
  <c r="N753" i="17"/>
  <c r="M753" i="17"/>
  <c r="V752" i="17"/>
  <c r="U752" i="17"/>
  <c r="T752" i="17"/>
  <c r="S752" i="17"/>
  <c r="R752" i="17"/>
  <c r="N752" i="17"/>
  <c r="M752" i="17"/>
  <c r="V751" i="17"/>
  <c r="U751" i="17"/>
  <c r="T751" i="17"/>
  <c r="S751" i="17"/>
  <c r="R751" i="17"/>
  <c r="N751" i="17"/>
  <c r="M751" i="17"/>
  <c r="V750" i="17"/>
  <c r="U750" i="17"/>
  <c r="T750" i="17"/>
  <c r="S750" i="17"/>
  <c r="R750" i="17"/>
  <c r="N750" i="17"/>
  <c r="M750" i="17"/>
  <c r="V749" i="17"/>
  <c r="U749" i="17"/>
  <c r="T749" i="17"/>
  <c r="S749" i="17"/>
  <c r="R749" i="17"/>
  <c r="N749" i="17"/>
  <c r="M749" i="17"/>
  <c r="V748" i="17"/>
  <c r="U748" i="17"/>
  <c r="T748" i="17"/>
  <c r="S748" i="17"/>
  <c r="R748" i="17"/>
  <c r="N748" i="17"/>
  <c r="M748" i="17"/>
  <c r="V747" i="17"/>
  <c r="U747" i="17"/>
  <c r="T747" i="17"/>
  <c r="S747" i="17"/>
  <c r="R747" i="17"/>
  <c r="N747" i="17"/>
  <c r="M747" i="17"/>
  <c r="V746" i="17"/>
  <c r="U746" i="17"/>
  <c r="T746" i="17"/>
  <c r="S746" i="17"/>
  <c r="R746" i="17"/>
  <c r="N746" i="17"/>
  <c r="M746" i="17"/>
  <c r="V745" i="17"/>
  <c r="U745" i="17"/>
  <c r="T745" i="17"/>
  <c r="S745" i="17"/>
  <c r="R745" i="17"/>
  <c r="N745" i="17"/>
  <c r="M745" i="17"/>
  <c r="V744" i="17"/>
  <c r="U744" i="17"/>
  <c r="T744" i="17"/>
  <c r="S744" i="17"/>
  <c r="R744" i="17"/>
  <c r="N744" i="17"/>
  <c r="M744" i="17"/>
  <c r="V743" i="17"/>
  <c r="U743" i="17"/>
  <c r="T743" i="17"/>
  <c r="S743" i="17"/>
  <c r="R743" i="17"/>
  <c r="N743" i="17"/>
  <c r="M743" i="17"/>
  <c r="V742" i="17"/>
  <c r="U742" i="17"/>
  <c r="T742" i="17"/>
  <c r="S742" i="17"/>
  <c r="R742" i="17"/>
  <c r="N742" i="17"/>
  <c r="M742" i="17"/>
  <c r="V741" i="17"/>
  <c r="U741" i="17"/>
  <c r="T741" i="17"/>
  <c r="S741" i="17"/>
  <c r="R741" i="17"/>
  <c r="N741" i="17"/>
  <c r="M741" i="17"/>
  <c r="V740" i="17"/>
  <c r="U740" i="17"/>
  <c r="T740" i="17"/>
  <c r="S740" i="17"/>
  <c r="R740" i="17"/>
  <c r="N740" i="17"/>
  <c r="M740" i="17"/>
  <c r="V739" i="17"/>
  <c r="U739" i="17"/>
  <c r="T739" i="17"/>
  <c r="S739" i="17"/>
  <c r="R739" i="17"/>
  <c r="N739" i="17"/>
  <c r="M739" i="17"/>
  <c r="V738" i="17"/>
  <c r="U738" i="17"/>
  <c r="T738" i="17"/>
  <c r="S738" i="17"/>
  <c r="R738" i="17"/>
  <c r="N738" i="17"/>
  <c r="M738" i="17"/>
  <c r="V737" i="17"/>
  <c r="U737" i="17"/>
  <c r="T737" i="17"/>
  <c r="S737" i="17"/>
  <c r="R737" i="17"/>
  <c r="N737" i="17"/>
  <c r="M737" i="17"/>
  <c r="V736" i="17"/>
  <c r="U736" i="17"/>
  <c r="T736" i="17"/>
  <c r="S736" i="17"/>
  <c r="R736" i="17"/>
  <c r="N736" i="17"/>
  <c r="M736" i="17"/>
  <c r="V735" i="17"/>
  <c r="U735" i="17"/>
  <c r="T735" i="17"/>
  <c r="S735" i="17"/>
  <c r="R735" i="17"/>
  <c r="N735" i="17"/>
  <c r="M735" i="17"/>
  <c r="V734" i="17"/>
  <c r="U734" i="17"/>
  <c r="T734" i="17"/>
  <c r="S734" i="17"/>
  <c r="R734" i="17"/>
  <c r="N734" i="17"/>
  <c r="M734" i="17"/>
  <c r="V733" i="17"/>
  <c r="U733" i="17"/>
  <c r="T733" i="17"/>
  <c r="S733" i="17"/>
  <c r="R733" i="17"/>
  <c r="N733" i="17"/>
  <c r="M733" i="17"/>
  <c r="V732" i="17"/>
  <c r="U732" i="17"/>
  <c r="T732" i="17"/>
  <c r="S732" i="17"/>
  <c r="R732" i="17"/>
  <c r="N732" i="17"/>
  <c r="M732" i="17"/>
  <c r="V731" i="17"/>
  <c r="U731" i="17"/>
  <c r="T731" i="17"/>
  <c r="S731" i="17"/>
  <c r="R731" i="17"/>
  <c r="N731" i="17"/>
  <c r="M731" i="17"/>
  <c r="V730" i="17"/>
  <c r="U730" i="17"/>
  <c r="T730" i="17"/>
  <c r="S730" i="17"/>
  <c r="R730" i="17"/>
  <c r="N730" i="17"/>
  <c r="M730" i="17"/>
  <c r="V729" i="17"/>
  <c r="U729" i="17"/>
  <c r="T729" i="17"/>
  <c r="S729" i="17"/>
  <c r="R729" i="17"/>
  <c r="N729" i="17"/>
  <c r="M729" i="17"/>
  <c r="V728" i="17"/>
  <c r="U728" i="17"/>
  <c r="T728" i="17"/>
  <c r="S728" i="17"/>
  <c r="R728" i="17"/>
  <c r="N728" i="17"/>
  <c r="M728" i="17"/>
  <c r="V727" i="17"/>
  <c r="U727" i="17"/>
  <c r="T727" i="17"/>
  <c r="S727" i="17"/>
  <c r="R727" i="17"/>
  <c r="N727" i="17"/>
  <c r="M727" i="17"/>
  <c r="V726" i="17"/>
  <c r="U726" i="17"/>
  <c r="T726" i="17"/>
  <c r="S726" i="17"/>
  <c r="R726" i="17"/>
  <c r="N726" i="17"/>
  <c r="M726" i="17"/>
  <c r="V725" i="17"/>
  <c r="U725" i="17"/>
  <c r="T725" i="17"/>
  <c r="S725" i="17"/>
  <c r="R725" i="17"/>
  <c r="N725" i="17"/>
  <c r="M725" i="17"/>
  <c r="V724" i="17"/>
  <c r="U724" i="17"/>
  <c r="T724" i="17"/>
  <c r="S724" i="17"/>
  <c r="R724" i="17"/>
  <c r="N724" i="17"/>
  <c r="M724" i="17"/>
  <c r="V723" i="17"/>
  <c r="U723" i="17"/>
  <c r="T723" i="17"/>
  <c r="S723" i="17"/>
  <c r="R723" i="17"/>
  <c r="N723" i="17"/>
  <c r="M723" i="17"/>
  <c r="V722" i="17"/>
  <c r="U722" i="17"/>
  <c r="T722" i="17"/>
  <c r="S722" i="17"/>
  <c r="R722" i="17"/>
  <c r="N722" i="17"/>
  <c r="M722" i="17"/>
  <c r="V721" i="17"/>
  <c r="U721" i="17"/>
  <c r="T721" i="17"/>
  <c r="S721" i="17"/>
  <c r="R721" i="17"/>
  <c r="N721" i="17"/>
  <c r="M721" i="17"/>
  <c r="V720" i="17"/>
  <c r="U720" i="17"/>
  <c r="T720" i="17"/>
  <c r="S720" i="17"/>
  <c r="R720" i="17"/>
  <c r="N720" i="17"/>
  <c r="M720" i="17"/>
  <c r="V719" i="17"/>
  <c r="U719" i="17"/>
  <c r="T719" i="17"/>
  <c r="S719" i="17"/>
  <c r="R719" i="17"/>
  <c r="N719" i="17"/>
  <c r="M719" i="17"/>
  <c r="V718" i="17"/>
  <c r="U718" i="17"/>
  <c r="T718" i="17"/>
  <c r="S718" i="17"/>
  <c r="R718" i="17"/>
  <c r="N718" i="17"/>
  <c r="M718" i="17"/>
  <c r="V717" i="17"/>
  <c r="U717" i="17"/>
  <c r="T717" i="17"/>
  <c r="S717" i="17"/>
  <c r="R717" i="17"/>
  <c r="N717" i="17"/>
  <c r="M717" i="17"/>
  <c r="V716" i="17"/>
  <c r="U716" i="17"/>
  <c r="T716" i="17"/>
  <c r="S716" i="17"/>
  <c r="R716" i="17"/>
  <c r="N716" i="17"/>
  <c r="M716" i="17"/>
  <c r="V715" i="17"/>
  <c r="U715" i="17"/>
  <c r="T715" i="17"/>
  <c r="S715" i="17"/>
  <c r="R715" i="17"/>
  <c r="N715" i="17"/>
  <c r="M715" i="17"/>
  <c r="V714" i="17"/>
  <c r="U714" i="17"/>
  <c r="T714" i="17"/>
  <c r="S714" i="17"/>
  <c r="R714" i="17"/>
  <c r="N714" i="17"/>
  <c r="M714" i="17"/>
  <c r="V713" i="17"/>
  <c r="U713" i="17"/>
  <c r="T713" i="17"/>
  <c r="S713" i="17"/>
  <c r="R713" i="17"/>
  <c r="N713" i="17"/>
  <c r="M713" i="17"/>
  <c r="V712" i="17"/>
  <c r="U712" i="17"/>
  <c r="T712" i="17"/>
  <c r="S712" i="17"/>
  <c r="R712" i="17"/>
  <c r="N712" i="17"/>
  <c r="M712" i="17"/>
  <c r="V711" i="17"/>
  <c r="U711" i="17"/>
  <c r="T711" i="17"/>
  <c r="S711" i="17"/>
  <c r="R711" i="17"/>
  <c r="N711" i="17"/>
  <c r="M711" i="17"/>
  <c r="V710" i="17"/>
  <c r="U710" i="17"/>
  <c r="T710" i="17"/>
  <c r="S710" i="17"/>
  <c r="R710" i="17"/>
  <c r="N710" i="17"/>
  <c r="M710" i="17"/>
  <c r="V709" i="17"/>
  <c r="U709" i="17"/>
  <c r="T709" i="17"/>
  <c r="S709" i="17"/>
  <c r="R709" i="17"/>
  <c r="N709" i="17"/>
  <c r="M709" i="17"/>
  <c r="V708" i="17"/>
  <c r="U708" i="17"/>
  <c r="T708" i="17"/>
  <c r="S708" i="17"/>
  <c r="R708" i="17"/>
  <c r="N708" i="17"/>
  <c r="M708" i="17"/>
  <c r="V707" i="17"/>
  <c r="U707" i="17"/>
  <c r="T707" i="17"/>
  <c r="S707" i="17"/>
  <c r="R707" i="17"/>
  <c r="N707" i="17"/>
  <c r="M707" i="17"/>
  <c r="V706" i="17"/>
  <c r="U706" i="17"/>
  <c r="T706" i="17"/>
  <c r="S706" i="17"/>
  <c r="R706" i="17"/>
  <c r="N706" i="17"/>
  <c r="M706" i="17"/>
  <c r="V705" i="17"/>
  <c r="U705" i="17"/>
  <c r="T705" i="17"/>
  <c r="S705" i="17"/>
  <c r="R705" i="17"/>
  <c r="N705" i="17"/>
  <c r="M705" i="17"/>
  <c r="V704" i="17"/>
  <c r="U704" i="17"/>
  <c r="T704" i="17"/>
  <c r="S704" i="17"/>
  <c r="R704" i="17"/>
  <c r="N704" i="17"/>
  <c r="M704" i="17"/>
  <c r="V703" i="17"/>
  <c r="U703" i="17"/>
  <c r="T703" i="17"/>
  <c r="S703" i="17"/>
  <c r="R703" i="17"/>
  <c r="N703" i="17"/>
  <c r="M703" i="17"/>
  <c r="V702" i="17"/>
  <c r="U702" i="17"/>
  <c r="T702" i="17"/>
  <c r="S702" i="17"/>
  <c r="R702" i="17"/>
  <c r="N702" i="17"/>
  <c r="M702" i="17"/>
  <c r="V701" i="17"/>
  <c r="U701" i="17"/>
  <c r="T701" i="17"/>
  <c r="S701" i="17"/>
  <c r="R701" i="17"/>
  <c r="N701" i="17"/>
  <c r="M701" i="17"/>
  <c r="V700" i="17"/>
  <c r="U700" i="17"/>
  <c r="T700" i="17"/>
  <c r="S700" i="17"/>
  <c r="R700" i="17"/>
  <c r="N700" i="17"/>
  <c r="M700" i="17"/>
  <c r="V699" i="17"/>
  <c r="U699" i="17"/>
  <c r="T699" i="17"/>
  <c r="S699" i="17"/>
  <c r="R699" i="17"/>
  <c r="N699" i="17"/>
  <c r="M699" i="17"/>
  <c r="V698" i="17"/>
  <c r="U698" i="17"/>
  <c r="T698" i="17"/>
  <c r="S698" i="17"/>
  <c r="R698" i="17"/>
  <c r="N698" i="17"/>
  <c r="M698" i="17"/>
  <c r="V697" i="17"/>
  <c r="U697" i="17"/>
  <c r="T697" i="17"/>
  <c r="S697" i="17"/>
  <c r="R697" i="17"/>
  <c r="N697" i="17"/>
  <c r="M697" i="17"/>
  <c r="V696" i="17"/>
  <c r="U696" i="17"/>
  <c r="T696" i="17"/>
  <c r="S696" i="17"/>
  <c r="R696" i="17"/>
  <c r="N696" i="17"/>
  <c r="M696" i="17"/>
  <c r="V695" i="17"/>
  <c r="U695" i="17"/>
  <c r="T695" i="17"/>
  <c r="S695" i="17"/>
  <c r="R695" i="17"/>
  <c r="N695" i="17"/>
  <c r="M695" i="17"/>
  <c r="V694" i="17"/>
  <c r="U694" i="17"/>
  <c r="T694" i="17"/>
  <c r="S694" i="17"/>
  <c r="R694" i="17"/>
  <c r="N694" i="17"/>
  <c r="M694" i="17"/>
  <c r="V693" i="17"/>
  <c r="U693" i="17"/>
  <c r="T693" i="17"/>
  <c r="S693" i="17"/>
  <c r="R693" i="17"/>
  <c r="N693" i="17"/>
  <c r="M693" i="17"/>
  <c r="V692" i="17"/>
  <c r="U692" i="17"/>
  <c r="T692" i="17"/>
  <c r="S692" i="17"/>
  <c r="R692" i="17"/>
  <c r="N692" i="17"/>
  <c r="M692" i="17"/>
  <c r="V691" i="17"/>
  <c r="U691" i="17"/>
  <c r="T691" i="17"/>
  <c r="S691" i="17"/>
  <c r="R691" i="17"/>
  <c r="N691" i="17"/>
  <c r="M691" i="17"/>
  <c r="V690" i="17"/>
  <c r="U690" i="17"/>
  <c r="T690" i="17"/>
  <c r="S690" i="17"/>
  <c r="R690" i="17"/>
  <c r="N690" i="17"/>
  <c r="M690" i="17"/>
  <c r="V689" i="17"/>
  <c r="U689" i="17"/>
  <c r="T689" i="17"/>
  <c r="S689" i="17"/>
  <c r="R689" i="17"/>
  <c r="N689" i="17"/>
  <c r="M689" i="17"/>
  <c r="V688" i="17"/>
  <c r="U688" i="17"/>
  <c r="T688" i="17"/>
  <c r="S688" i="17"/>
  <c r="R688" i="17"/>
  <c r="N688" i="17"/>
  <c r="M688" i="17"/>
  <c r="V687" i="17"/>
  <c r="U687" i="17"/>
  <c r="T687" i="17"/>
  <c r="S687" i="17"/>
  <c r="R687" i="17"/>
  <c r="N687" i="17"/>
  <c r="M687" i="17"/>
  <c r="V686" i="17"/>
  <c r="U686" i="17"/>
  <c r="T686" i="17"/>
  <c r="S686" i="17"/>
  <c r="R686" i="17"/>
  <c r="N686" i="17"/>
  <c r="M686" i="17"/>
  <c r="V685" i="17"/>
  <c r="U685" i="17"/>
  <c r="T685" i="17"/>
  <c r="S685" i="17"/>
  <c r="R685" i="17"/>
  <c r="N685" i="17"/>
  <c r="M685" i="17"/>
  <c r="V684" i="17"/>
  <c r="U684" i="17"/>
  <c r="T684" i="17"/>
  <c r="S684" i="17"/>
  <c r="R684" i="17"/>
  <c r="N684" i="17"/>
  <c r="M684" i="17"/>
  <c r="V683" i="17"/>
  <c r="U683" i="17"/>
  <c r="T683" i="17"/>
  <c r="S683" i="17"/>
  <c r="R683" i="17"/>
  <c r="N683" i="17"/>
  <c r="M683" i="17"/>
  <c r="V682" i="17"/>
  <c r="U682" i="17"/>
  <c r="T682" i="17"/>
  <c r="S682" i="17"/>
  <c r="R682" i="17"/>
  <c r="N682" i="17"/>
  <c r="M682" i="17"/>
  <c r="V681" i="17"/>
  <c r="U681" i="17"/>
  <c r="T681" i="17"/>
  <c r="S681" i="17"/>
  <c r="R681" i="17"/>
  <c r="N681" i="17"/>
  <c r="M681" i="17"/>
  <c r="V680" i="17"/>
  <c r="U680" i="17"/>
  <c r="T680" i="17"/>
  <c r="S680" i="17"/>
  <c r="R680" i="17"/>
  <c r="N680" i="17"/>
  <c r="M680" i="17"/>
  <c r="V679" i="17"/>
  <c r="U679" i="17"/>
  <c r="T679" i="17"/>
  <c r="S679" i="17"/>
  <c r="R679" i="17"/>
  <c r="N679" i="17"/>
  <c r="M679" i="17"/>
  <c r="V678" i="17"/>
  <c r="U678" i="17"/>
  <c r="T678" i="17"/>
  <c r="S678" i="17"/>
  <c r="R678" i="17"/>
  <c r="N678" i="17"/>
  <c r="M678" i="17"/>
  <c r="V677" i="17"/>
  <c r="U677" i="17"/>
  <c r="T677" i="17"/>
  <c r="S677" i="17"/>
  <c r="R677" i="17"/>
  <c r="N677" i="17"/>
  <c r="M677" i="17"/>
  <c r="V676" i="17"/>
  <c r="U676" i="17"/>
  <c r="T676" i="17"/>
  <c r="S676" i="17"/>
  <c r="R676" i="17"/>
  <c r="N676" i="17"/>
  <c r="M676" i="17"/>
  <c r="V675" i="17"/>
  <c r="U675" i="17"/>
  <c r="T675" i="17"/>
  <c r="S675" i="17"/>
  <c r="R675" i="17"/>
  <c r="N675" i="17"/>
  <c r="M675" i="17"/>
  <c r="V674" i="17"/>
  <c r="U674" i="17"/>
  <c r="T674" i="17"/>
  <c r="S674" i="17"/>
  <c r="R674" i="17"/>
  <c r="N674" i="17"/>
  <c r="M674" i="17"/>
  <c r="V673" i="17"/>
  <c r="U673" i="17"/>
  <c r="T673" i="17"/>
  <c r="S673" i="17"/>
  <c r="R673" i="17"/>
  <c r="N673" i="17"/>
  <c r="M673" i="17"/>
  <c r="V672" i="17"/>
  <c r="U672" i="17"/>
  <c r="T672" i="17"/>
  <c r="S672" i="17"/>
  <c r="R672" i="17"/>
  <c r="N672" i="17"/>
  <c r="M672" i="17"/>
  <c r="V671" i="17"/>
  <c r="U671" i="17"/>
  <c r="T671" i="17"/>
  <c r="S671" i="17"/>
  <c r="R671" i="17"/>
  <c r="N671" i="17"/>
  <c r="M671" i="17"/>
  <c r="V670" i="17"/>
  <c r="U670" i="17"/>
  <c r="T670" i="17"/>
  <c r="S670" i="17"/>
  <c r="R670" i="17"/>
  <c r="N670" i="17"/>
  <c r="M670" i="17"/>
  <c r="V669" i="17"/>
  <c r="U669" i="17"/>
  <c r="T669" i="17"/>
  <c r="S669" i="17"/>
  <c r="R669" i="17"/>
  <c r="N669" i="17"/>
  <c r="M669" i="17"/>
  <c r="V668" i="17"/>
  <c r="U668" i="17"/>
  <c r="T668" i="17"/>
  <c r="S668" i="17"/>
  <c r="R668" i="17"/>
  <c r="N668" i="17"/>
  <c r="M668" i="17"/>
  <c r="V667" i="17"/>
  <c r="U667" i="17"/>
  <c r="T667" i="17"/>
  <c r="S667" i="17"/>
  <c r="R667" i="17"/>
  <c r="N667" i="17"/>
  <c r="M667" i="17"/>
  <c r="V666" i="17"/>
  <c r="U666" i="17"/>
  <c r="T666" i="17"/>
  <c r="S666" i="17"/>
  <c r="R666" i="17"/>
  <c r="N666" i="17"/>
  <c r="M666" i="17"/>
  <c r="V665" i="17"/>
  <c r="U665" i="17"/>
  <c r="T665" i="17"/>
  <c r="S665" i="17"/>
  <c r="R665" i="17"/>
  <c r="N665" i="17"/>
  <c r="M665" i="17"/>
  <c r="V664" i="17"/>
  <c r="U664" i="17"/>
  <c r="T664" i="17"/>
  <c r="S664" i="17"/>
  <c r="R664" i="17"/>
  <c r="N664" i="17"/>
  <c r="M664" i="17"/>
  <c r="V663" i="17"/>
  <c r="U663" i="17"/>
  <c r="T663" i="17"/>
  <c r="S663" i="17"/>
  <c r="R663" i="17"/>
  <c r="N663" i="17"/>
  <c r="M663" i="17"/>
  <c r="V662" i="17"/>
  <c r="U662" i="17"/>
  <c r="T662" i="17"/>
  <c r="S662" i="17"/>
  <c r="R662" i="17"/>
  <c r="N662" i="17"/>
  <c r="M662" i="17"/>
  <c r="V661" i="17"/>
  <c r="U661" i="17"/>
  <c r="T661" i="17"/>
  <c r="S661" i="17"/>
  <c r="R661" i="17"/>
  <c r="N661" i="17"/>
  <c r="M661" i="17"/>
  <c r="V660" i="17"/>
  <c r="U660" i="17"/>
  <c r="T660" i="17"/>
  <c r="S660" i="17"/>
  <c r="R660" i="17"/>
  <c r="N660" i="17"/>
  <c r="M660" i="17"/>
  <c r="V659" i="17"/>
  <c r="U659" i="17"/>
  <c r="T659" i="17"/>
  <c r="S659" i="17"/>
  <c r="R659" i="17"/>
  <c r="N659" i="17"/>
  <c r="M659" i="17"/>
  <c r="V658" i="17"/>
  <c r="U658" i="17"/>
  <c r="T658" i="17"/>
  <c r="S658" i="17"/>
  <c r="R658" i="17"/>
  <c r="N658" i="17"/>
  <c r="M658" i="17"/>
  <c r="V657" i="17"/>
  <c r="U657" i="17"/>
  <c r="T657" i="17"/>
  <c r="S657" i="17"/>
  <c r="R657" i="17"/>
  <c r="N657" i="17"/>
  <c r="M657" i="17"/>
  <c r="V656" i="17"/>
  <c r="U656" i="17"/>
  <c r="T656" i="17"/>
  <c r="S656" i="17"/>
  <c r="R656" i="17"/>
  <c r="N656" i="17"/>
  <c r="M656" i="17"/>
  <c r="V655" i="17"/>
  <c r="U655" i="17"/>
  <c r="T655" i="17"/>
  <c r="S655" i="17"/>
  <c r="R655" i="17"/>
  <c r="N655" i="17"/>
  <c r="M655" i="17"/>
  <c r="V654" i="17"/>
  <c r="U654" i="17"/>
  <c r="T654" i="17"/>
  <c r="S654" i="17"/>
  <c r="R654" i="17"/>
  <c r="N654" i="17"/>
  <c r="M654" i="17"/>
  <c r="V653" i="17"/>
  <c r="U653" i="17"/>
  <c r="T653" i="17"/>
  <c r="S653" i="17"/>
  <c r="R653" i="17"/>
  <c r="N653" i="17"/>
  <c r="M653" i="17"/>
  <c r="V652" i="17"/>
  <c r="U652" i="17"/>
  <c r="T652" i="17"/>
  <c r="S652" i="17"/>
  <c r="R652" i="17"/>
  <c r="N652" i="17"/>
  <c r="M652" i="17"/>
  <c r="V651" i="17"/>
  <c r="U651" i="17"/>
  <c r="T651" i="17"/>
  <c r="S651" i="17"/>
  <c r="R651" i="17"/>
  <c r="N651" i="17"/>
  <c r="M651" i="17"/>
  <c r="V650" i="17"/>
  <c r="U650" i="17"/>
  <c r="T650" i="17"/>
  <c r="S650" i="17"/>
  <c r="R650" i="17"/>
  <c r="N650" i="17"/>
  <c r="M650" i="17"/>
  <c r="V649" i="17"/>
  <c r="U649" i="17"/>
  <c r="T649" i="17"/>
  <c r="S649" i="17"/>
  <c r="R649" i="17"/>
  <c r="N649" i="17"/>
  <c r="M649" i="17"/>
  <c r="V648" i="17"/>
  <c r="U648" i="17"/>
  <c r="T648" i="17"/>
  <c r="S648" i="17"/>
  <c r="R648" i="17"/>
  <c r="N648" i="17"/>
  <c r="M648" i="17"/>
  <c r="V647" i="17"/>
  <c r="U647" i="17"/>
  <c r="T647" i="17"/>
  <c r="S647" i="17"/>
  <c r="R647" i="17"/>
  <c r="N647" i="17"/>
  <c r="M647" i="17"/>
  <c r="V646" i="17"/>
  <c r="U646" i="17"/>
  <c r="T646" i="17"/>
  <c r="S646" i="17"/>
  <c r="R646" i="17"/>
  <c r="N646" i="17"/>
  <c r="M646" i="17"/>
  <c r="V645" i="17"/>
  <c r="U645" i="17"/>
  <c r="T645" i="17"/>
  <c r="S645" i="17"/>
  <c r="R645" i="17"/>
  <c r="N645" i="17"/>
  <c r="M645" i="17"/>
  <c r="V644" i="17"/>
  <c r="U644" i="17"/>
  <c r="T644" i="17"/>
  <c r="S644" i="17"/>
  <c r="R644" i="17"/>
  <c r="N644" i="17"/>
  <c r="M644" i="17"/>
  <c r="V643" i="17"/>
  <c r="U643" i="17"/>
  <c r="T643" i="17"/>
  <c r="S643" i="17"/>
  <c r="R643" i="17"/>
  <c r="N643" i="17"/>
  <c r="M643" i="17"/>
  <c r="V642" i="17"/>
  <c r="U642" i="17"/>
  <c r="T642" i="17"/>
  <c r="S642" i="17"/>
  <c r="R642" i="17"/>
  <c r="N642" i="17"/>
  <c r="M642" i="17"/>
  <c r="V641" i="17"/>
  <c r="U641" i="17"/>
  <c r="T641" i="17"/>
  <c r="S641" i="17"/>
  <c r="R641" i="17"/>
  <c r="N641" i="17"/>
  <c r="M641" i="17"/>
  <c r="V640" i="17"/>
  <c r="U640" i="17"/>
  <c r="T640" i="17"/>
  <c r="S640" i="17"/>
  <c r="R640" i="17"/>
  <c r="N640" i="17"/>
  <c r="M640" i="17"/>
  <c r="V639" i="17"/>
  <c r="U639" i="17"/>
  <c r="T639" i="17"/>
  <c r="S639" i="17"/>
  <c r="R639" i="17"/>
  <c r="N639" i="17"/>
  <c r="M639" i="17"/>
  <c r="V638" i="17"/>
  <c r="U638" i="17"/>
  <c r="T638" i="17"/>
  <c r="S638" i="17"/>
  <c r="R638" i="17"/>
  <c r="N638" i="17"/>
  <c r="M638" i="17"/>
  <c r="V637" i="17"/>
  <c r="U637" i="17"/>
  <c r="T637" i="17"/>
  <c r="S637" i="17"/>
  <c r="R637" i="17"/>
  <c r="N637" i="17"/>
  <c r="M637" i="17"/>
  <c r="V636" i="17"/>
  <c r="U636" i="17"/>
  <c r="T636" i="17"/>
  <c r="S636" i="17"/>
  <c r="R636" i="17"/>
  <c r="N636" i="17"/>
  <c r="M636" i="17"/>
  <c r="V635" i="17"/>
  <c r="U635" i="17"/>
  <c r="T635" i="17"/>
  <c r="S635" i="17"/>
  <c r="R635" i="17"/>
  <c r="N635" i="17"/>
  <c r="M635" i="17"/>
  <c r="V634" i="17"/>
  <c r="U634" i="17"/>
  <c r="T634" i="17"/>
  <c r="S634" i="17"/>
  <c r="R634" i="17"/>
  <c r="N634" i="17"/>
  <c r="M634" i="17"/>
  <c r="V633" i="17"/>
  <c r="U633" i="17"/>
  <c r="T633" i="17"/>
  <c r="S633" i="17"/>
  <c r="R633" i="17"/>
  <c r="N633" i="17"/>
  <c r="M633" i="17"/>
  <c r="V632" i="17"/>
  <c r="U632" i="17"/>
  <c r="T632" i="17"/>
  <c r="S632" i="17"/>
  <c r="R632" i="17"/>
  <c r="N632" i="17"/>
  <c r="M632" i="17"/>
  <c r="V631" i="17"/>
  <c r="U631" i="17"/>
  <c r="T631" i="17"/>
  <c r="S631" i="17"/>
  <c r="R631" i="17"/>
  <c r="N631" i="17"/>
  <c r="M631" i="17"/>
  <c r="V630" i="17"/>
  <c r="U630" i="17"/>
  <c r="T630" i="17"/>
  <c r="S630" i="17"/>
  <c r="R630" i="17"/>
  <c r="N630" i="17"/>
  <c r="M630" i="17"/>
  <c r="V629" i="17"/>
  <c r="U629" i="17"/>
  <c r="T629" i="17"/>
  <c r="S629" i="17"/>
  <c r="R629" i="17"/>
  <c r="N629" i="17"/>
  <c r="M629" i="17"/>
  <c r="V628" i="17"/>
  <c r="U628" i="17"/>
  <c r="T628" i="17"/>
  <c r="S628" i="17"/>
  <c r="R628" i="17"/>
  <c r="N628" i="17"/>
  <c r="M628" i="17"/>
  <c r="V627" i="17"/>
  <c r="U627" i="17"/>
  <c r="T627" i="17"/>
  <c r="S627" i="17"/>
  <c r="R627" i="17"/>
  <c r="N627" i="17"/>
  <c r="M627" i="17"/>
  <c r="V626" i="17"/>
  <c r="U626" i="17"/>
  <c r="T626" i="17"/>
  <c r="S626" i="17"/>
  <c r="R626" i="17"/>
  <c r="N626" i="17"/>
  <c r="M626" i="17"/>
  <c r="V625" i="17"/>
  <c r="U625" i="17"/>
  <c r="T625" i="17"/>
  <c r="S625" i="17"/>
  <c r="R625" i="17"/>
  <c r="N625" i="17"/>
  <c r="M625" i="17"/>
  <c r="V624" i="17"/>
  <c r="U624" i="17"/>
  <c r="T624" i="17"/>
  <c r="S624" i="17"/>
  <c r="R624" i="17"/>
  <c r="N624" i="17"/>
  <c r="M624" i="17"/>
  <c r="V623" i="17"/>
  <c r="U623" i="17"/>
  <c r="T623" i="17"/>
  <c r="S623" i="17"/>
  <c r="R623" i="17"/>
  <c r="N623" i="17"/>
  <c r="M623" i="17"/>
  <c r="V622" i="17"/>
  <c r="U622" i="17"/>
  <c r="T622" i="17"/>
  <c r="S622" i="17"/>
  <c r="R622" i="17"/>
  <c r="N622" i="17"/>
  <c r="M622" i="17"/>
  <c r="V621" i="17"/>
  <c r="U621" i="17"/>
  <c r="T621" i="17"/>
  <c r="S621" i="17"/>
  <c r="R621" i="17"/>
  <c r="N621" i="17"/>
  <c r="M621" i="17"/>
  <c r="V620" i="17"/>
  <c r="U620" i="17"/>
  <c r="T620" i="17"/>
  <c r="S620" i="17"/>
  <c r="R620" i="17"/>
  <c r="N620" i="17"/>
  <c r="M620" i="17"/>
  <c r="V619" i="17"/>
  <c r="U619" i="17"/>
  <c r="T619" i="17"/>
  <c r="S619" i="17"/>
  <c r="R619" i="17"/>
  <c r="N619" i="17"/>
  <c r="M619" i="17"/>
  <c r="V618" i="17"/>
  <c r="U618" i="17"/>
  <c r="T618" i="17"/>
  <c r="S618" i="17"/>
  <c r="R618" i="17"/>
  <c r="N618" i="17"/>
  <c r="M618" i="17"/>
  <c r="V617" i="17"/>
  <c r="U617" i="17"/>
  <c r="T617" i="17"/>
  <c r="S617" i="17"/>
  <c r="R617" i="17"/>
  <c r="N617" i="17"/>
  <c r="M617" i="17"/>
  <c r="V616" i="17"/>
  <c r="U616" i="17"/>
  <c r="T616" i="17"/>
  <c r="S616" i="17"/>
  <c r="R616" i="17"/>
  <c r="N616" i="17"/>
  <c r="M616" i="17"/>
  <c r="V615" i="17"/>
  <c r="U615" i="17"/>
  <c r="T615" i="17"/>
  <c r="S615" i="17"/>
  <c r="R615" i="17"/>
  <c r="N615" i="17"/>
  <c r="M615" i="17"/>
  <c r="V614" i="17"/>
  <c r="U614" i="17"/>
  <c r="T614" i="17"/>
  <c r="S614" i="17"/>
  <c r="R614" i="17"/>
  <c r="N614" i="17"/>
  <c r="M614" i="17"/>
  <c r="V613" i="17"/>
  <c r="U613" i="17"/>
  <c r="T613" i="17"/>
  <c r="S613" i="17"/>
  <c r="R613" i="17"/>
  <c r="N613" i="17"/>
  <c r="M613" i="17"/>
  <c r="V612" i="17"/>
  <c r="U612" i="17"/>
  <c r="T612" i="17"/>
  <c r="S612" i="17"/>
  <c r="R612" i="17"/>
  <c r="N612" i="17"/>
  <c r="M612" i="17"/>
  <c r="V611" i="17"/>
  <c r="U611" i="17"/>
  <c r="T611" i="17"/>
  <c r="S611" i="17"/>
  <c r="R611" i="17"/>
  <c r="N611" i="17"/>
  <c r="M611" i="17"/>
  <c r="V610" i="17"/>
  <c r="U610" i="17"/>
  <c r="T610" i="17"/>
  <c r="S610" i="17"/>
  <c r="R610" i="17"/>
  <c r="N610" i="17"/>
  <c r="M610" i="17"/>
  <c r="V609" i="17"/>
  <c r="U609" i="17"/>
  <c r="T609" i="17"/>
  <c r="S609" i="17"/>
  <c r="R609" i="17"/>
  <c r="N609" i="17"/>
  <c r="M609" i="17"/>
  <c r="V608" i="17"/>
  <c r="U608" i="17"/>
  <c r="T608" i="17"/>
  <c r="S608" i="17"/>
  <c r="R608" i="17"/>
  <c r="N608" i="17"/>
  <c r="M608" i="17"/>
  <c r="V607" i="17"/>
  <c r="U607" i="17"/>
  <c r="T607" i="17"/>
  <c r="S607" i="17"/>
  <c r="R607" i="17"/>
  <c r="N607" i="17"/>
  <c r="M607" i="17"/>
  <c r="V606" i="17"/>
  <c r="U606" i="17"/>
  <c r="T606" i="17"/>
  <c r="S606" i="17"/>
  <c r="R606" i="17"/>
  <c r="N606" i="17"/>
  <c r="M606" i="17"/>
  <c r="V605" i="17"/>
  <c r="U605" i="17"/>
  <c r="T605" i="17"/>
  <c r="S605" i="17"/>
  <c r="R605" i="17"/>
  <c r="N605" i="17"/>
  <c r="M605" i="17"/>
  <c r="V604" i="17"/>
  <c r="U604" i="17"/>
  <c r="T604" i="17"/>
  <c r="S604" i="17"/>
  <c r="R604" i="17"/>
  <c r="N604" i="17"/>
  <c r="M604" i="17"/>
  <c r="V603" i="17"/>
  <c r="U603" i="17"/>
  <c r="T603" i="17"/>
  <c r="S603" i="17"/>
  <c r="R603" i="17"/>
  <c r="N603" i="17"/>
  <c r="M603" i="17"/>
  <c r="V602" i="17"/>
  <c r="U602" i="17"/>
  <c r="T602" i="17"/>
  <c r="S602" i="17"/>
  <c r="R602" i="17"/>
  <c r="N602" i="17"/>
  <c r="M602" i="17"/>
  <c r="V601" i="17"/>
  <c r="U601" i="17"/>
  <c r="T601" i="17"/>
  <c r="S601" i="17"/>
  <c r="R601" i="17"/>
  <c r="N601" i="17"/>
  <c r="M601" i="17"/>
  <c r="V600" i="17"/>
  <c r="U600" i="17"/>
  <c r="T600" i="17"/>
  <c r="S600" i="17"/>
  <c r="R600" i="17"/>
  <c r="N600" i="17"/>
  <c r="M600" i="17"/>
  <c r="V599" i="17"/>
  <c r="U599" i="17"/>
  <c r="T599" i="17"/>
  <c r="S599" i="17"/>
  <c r="R599" i="17"/>
  <c r="N599" i="17"/>
  <c r="M599" i="17"/>
  <c r="V598" i="17"/>
  <c r="U598" i="17"/>
  <c r="T598" i="17"/>
  <c r="S598" i="17"/>
  <c r="R598" i="17"/>
  <c r="N598" i="17"/>
  <c r="M598" i="17"/>
  <c r="V597" i="17"/>
  <c r="U597" i="17"/>
  <c r="T597" i="17"/>
  <c r="S597" i="17"/>
  <c r="R597" i="17"/>
  <c r="N597" i="17"/>
  <c r="M597" i="17"/>
  <c r="V596" i="17"/>
  <c r="U596" i="17"/>
  <c r="T596" i="17"/>
  <c r="S596" i="17"/>
  <c r="R596" i="17"/>
  <c r="N596" i="17"/>
  <c r="M596" i="17"/>
  <c r="V595" i="17"/>
  <c r="U595" i="17"/>
  <c r="T595" i="17"/>
  <c r="S595" i="17"/>
  <c r="R595" i="17"/>
  <c r="N595" i="17"/>
  <c r="M595" i="17"/>
  <c r="V594" i="17"/>
  <c r="U594" i="17"/>
  <c r="T594" i="17"/>
  <c r="S594" i="17"/>
  <c r="R594" i="17"/>
  <c r="N594" i="17"/>
  <c r="M594" i="17"/>
  <c r="V593" i="17"/>
  <c r="U593" i="17"/>
  <c r="T593" i="17"/>
  <c r="S593" i="17"/>
  <c r="R593" i="17"/>
  <c r="N593" i="17"/>
  <c r="M593" i="17"/>
  <c r="V592" i="17"/>
  <c r="U592" i="17"/>
  <c r="T592" i="17"/>
  <c r="S592" i="17"/>
  <c r="R592" i="17"/>
  <c r="N592" i="17"/>
  <c r="M592" i="17"/>
  <c r="V591" i="17"/>
  <c r="U591" i="17"/>
  <c r="T591" i="17"/>
  <c r="S591" i="17"/>
  <c r="R591" i="17"/>
  <c r="N591" i="17"/>
  <c r="M591" i="17"/>
  <c r="V590" i="17"/>
  <c r="U590" i="17"/>
  <c r="T590" i="17"/>
  <c r="S590" i="17"/>
  <c r="R590" i="17"/>
  <c r="N590" i="17"/>
  <c r="M590" i="17"/>
  <c r="V589" i="17"/>
  <c r="U589" i="17"/>
  <c r="T589" i="17"/>
  <c r="S589" i="17"/>
  <c r="R589" i="17"/>
  <c r="N589" i="17"/>
  <c r="M589" i="17"/>
  <c r="V588" i="17"/>
  <c r="U588" i="17"/>
  <c r="T588" i="17"/>
  <c r="S588" i="17"/>
  <c r="R588" i="17"/>
  <c r="N588" i="17"/>
  <c r="M588" i="17"/>
  <c r="V587" i="17"/>
  <c r="U587" i="17"/>
  <c r="T587" i="17"/>
  <c r="S587" i="17"/>
  <c r="R587" i="17"/>
  <c r="N587" i="17"/>
  <c r="M587" i="17"/>
  <c r="V586" i="17"/>
  <c r="U586" i="17"/>
  <c r="T586" i="17"/>
  <c r="S586" i="17"/>
  <c r="R586" i="17"/>
  <c r="N586" i="17"/>
  <c r="M586" i="17"/>
  <c r="V585" i="17"/>
  <c r="U585" i="17"/>
  <c r="T585" i="17"/>
  <c r="S585" i="17"/>
  <c r="R585" i="17"/>
  <c r="N585" i="17"/>
  <c r="M585" i="17"/>
  <c r="V584" i="17"/>
  <c r="U584" i="17"/>
  <c r="T584" i="17"/>
  <c r="S584" i="17"/>
  <c r="R584" i="17"/>
  <c r="N584" i="17"/>
  <c r="M584" i="17"/>
  <c r="V583" i="17"/>
  <c r="U583" i="17"/>
  <c r="T583" i="17"/>
  <c r="S583" i="17"/>
  <c r="R583" i="17"/>
  <c r="N583" i="17"/>
  <c r="M583" i="17"/>
  <c r="V582" i="17"/>
  <c r="U582" i="17"/>
  <c r="T582" i="17"/>
  <c r="S582" i="17"/>
  <c r="R582" i="17"/>
  <c r="N582" i="17"/>
  <c r="M582" i="17"/>
  <c r="V581" i="17"/>
  <c r="U581" i="17"/>
  <c r="T581" i="17"/>
  <c r="S581" i="17"/>
  <c r="R581" i="17"/>
  <c r="N581" i="17"/>
  <c r="M581" i="17"/>
  <c r="V580" i="17"/>
  <c r="U580" i="17"/>
  <c r="T580" i="17"/>
  <c r="S580" i="17"/>
  <c r="R580" i="17"/>
  <c r="N580" i="17"/>
  <c r="M580" i="17"/>
  <c r="V579" i="17"/>
  <c r="U579" i="17"/>
  <c r="T579" i="17"/>
  <c r="S579" i="17"/>
  <c r="R579" i="17"/>
  <c r="N579" i="17"/>
  <c r="M579" i="17"/>
  <c r="V578" i="17"/>
  <c r="U578" i="17"/>
  <c r="T578" i="17"/>
  <c r="S578" i="17"/>
  <c r="R578" i="17"/>
  <c r="N578" i="17"/>
  <c r="M578" i="17"/>
  <c r="V577" i="17"/>
  <c r="U577" i="17"/>
  <c r="T577" i="17"/>
  <c r="S577" i="17"/>
  <c r="R577" i="17"/>
  <c r="N577" i="17"/>
  <c r="M577" i="17"/>
  <c r="V576" i="17"/>
  <c r="U576" i="17"/>
  <c r="T576" i="17"/>
  <c r="S576" i="17"/>
  <c r="R576" i="17"/>
  <c r="N576" i="17"/>
  <c r="M576" i="17"/>
  <c r="V575" i="17"/>
  <c r="U575" i="17"/>
  <c r="T575" i="17"/>
  <c r="S575" i="17"/>
  <c r="R575" i="17"/>
  <c r="N575" i="17"/>
  <c r="M575" i="17"/>
  <c r="V574" i="17"/>
  <c r="U574" i="17"/>
  <c r="T574" i="17"/>
  <c r="S574" i="17"/>
  <c r="R574" i="17"/>
  <c r="N574" i="17"/>
  <c r="M574" i="17"/>
  <c r="V573" i="17"/>
  <c r="U573" i="17"/>
  <c r="T573" i="17"/>
  <c r="S573" i="17"/>
  <c r="R573" i="17"/>
  <c r="N573" i="17"/>
  <c r="M573" i="17"/>
  <c r="V572" i="17"/>
  <c r="U572" i="17"/>
  <c r="T572" i="17"/>
  <c r="S572" i="17"/>
  <c r="R572" i="17"/>
  <c r="N572" i="17"/>
  <c r="M572" i="17"/>
  <c r="V571" i="17"/>
  <c r="U571" i="17"/>
  <c r="T571" i="17"/>
  <c r="S571" i="17"/>
  <c r="R571" i="17"/>
  <c r="N571" i="17"/>
  <c r="M571" i="17"/>
  <c r="V570" i="17"/>
  <c r="U570" i="17"/>
  <c r="T570" i="17"/>
  <c r="S570" i="17"/>
  <c r="R570" i="17"/>
  <c r="N570" i="17"/>
  <c r="M570" i="17"/>
  <c r="V569" i="17"/>
  <c r="U569" i="17"/>
  <c r="T569" i="17"/>
  <c r="S569" i="17"/>
  <c r="R569" i="17"/>
  <c r="N569" i="17"/>
  <c r="M569" i="17"/>
  <c r="V568" i="17"/>
  <c r="U568" i="17"/>
  <c r="T568" i="17"/>
  <c r="S568" i="17"/>
  <c r="R568" i="17"/>
  <c r="N568" i="17"/>
  <c r="M568" i="17"/>
  <c r="V567" i="17"/>
  <c r="U567" i="17"/>
  <c r="T567" i="17"/>
  <c r="S567" i="17"/>
  <c r="R567" i="17"/>
  <c r="N567" i="17"/>
  <c r="M567" i="17"/>
  <c r="V566" i="17"/>
  <c r="U566" i="17"/>
  <c r="T566" i="17"/>
  <c r="S566" i="17"/>
  <c r="R566" i="17"/>
  <c r="N566" i="17"/>
  <c r="M566" i="17"/>
  <c r="V565" i="17"/>
  <c r="U565" i="17"/>
  <c r="T565" i="17"/>
  <c r="S565" i="17"/>
  <c r="R565" i="17"/>
  <c r="N565" i="17"/>
  <c r="M565" i="17"/>
  <c r="V564" i="17"/>
  <c r="U564" i="17"/>
  <c r="T564" i="17"/>
  <c r="S564" i="17"/>
  <c r="R564" i="17"/>
  <c r="N564" i="17"/>
  <c r="M564" i="17"/>
  <c r="V563" i="17"/>
  <c r="U563" i="17"/>
  <c r="T563" i="17"/>
  <c r="S563" i="17"/>
  <c r="R563" i="17"/>
  <c r="N563" i="17"/>
  <c r="M563" i="17"/>
  <c r="V562" i="17"/>
  <c r="U562" i="17"/>
  <c r="T562" i="17"/>
  <c r="S562" i="17"/>
  <c r="R562" i="17"/>
  <c r="N562" i="17"/>
  <c r="M562" i="17"/>
  <c r="V561" i="17"/>
  <c r="U561" i="17"/>
  <c r="T561" i="17"/>
  <c r="S561" i="17"/>
  <c r="R561" i="17"/>
  <c r="N561" i="17"/>
  <c r="M561" i="17"/>
  <c r="V560" i="17"/>
  <c r="U560" i="17"/>
  <c r="T560" i="17"/>
  <c r="S560" i="17"/>
  <c r="R560" i="17"/>
  <c r="N560" i="17"/>
  <c r="M560" i="17"/>
  <c r="V559" i="17"/>
  <c r="U559" i="17"/>
  <c r="T559" i="17"/>
  <c r="S559" i="17"/>
  <c r="R559" i="17"/>
  <c r="N559" i="17"/>
  <c r="M559" i="17"/>
  <c r="V558" i="17"/>
  <c r="U558" i="17"/>
  <c r="T558" i="17"/>
  <c r="S558" i="17"/>
  <c r="R558" i="17"/>
  <c r="N558" i="17"/>
  <c r="M558" i="17"/>
  <c r="V557" i="17"/>
  <c r="U557" i="17"/>
  <c r="T557" i="17"/>
  <c r="S557" i="17"/>
  <c r="R557" i="17"/>
  <c r="N557" i="17"/>
  <c r="M557" i="17"/>
  <c r="V556" i="17"/>
  <c r="U556" i="17"/>
  <c r="T556" i="17"/>
  <c r="S556" i="17"/>
  <c r="R556" i="17"/>
  <c r="N556" i="17"/>
  <c r="M556" i="17"/>
  <c r="V555" i="17"/>
  <c r="U555" i="17"/>
  <c r="T555" i="17"/>
  <c r="S555" i="17"/>
  <c r="R555" i="17"/>
  <c r="N555" i="17"/>
  <c r="M555" i="17"/>
  <c r="V554" i="17"/>
  <c r="U554" i="17"/>
  <c r="T554" i="17"/>
  <c r="S554" i="17"/>
  <c r="R554" i="17"/>
  <c r="N554" i="17"/>
  <c r="M554" i="17"/>
  <c r="V553" i="17"/>
  <c r="U553" i="17"/>
  <c r="T553" i="17"/>
  <c r="S553" i="17"/>
  <c r="R553" i="17"/>
  <c r="N553" i="17"/>
  <c r="M553" i="17"/>
  <c r="V552" i="17"/>
  <c r="U552" i="17"/>
  <c r="T552" i="17"/>
  <c r="S552" i="17"/>
  <c r="R552" i="17"/>
  <c r="N552" i="17"/>
  <c r="M552" i="17"/>
  <c r="V551" i="17"/>
  <c r="U551" i="17"/>
  <c r="T551" i="17"/>
  <c r="S551" i="17"/>
  <c r="R551" i="17"/>
  <c r="N551" i="17"/>
  <c r="M551" i="17"/>
  <c r="V550" i="17"/>
  <c r="U550" i="17"/>
  <c r="T550" i="17"/>
  <c r="S550" i="17"/>
  <c r="R550" i="17"/>
  <c r="N550" i="17"/>
  <c r="M550" i="17"/>
  <c r="V549" i="17"/>
  <c r="U549" i="17"/>
  <c r="T549" i="17"/>
  <c r="S549" i="17"/>
  <c r="R549" i="17"/>
  <c r="N549" i="17"/>
  <c r="M549" i="17"/>
  <c r="V548" i="17"/>
  <c r="U548" i="17"/>
  <c r="T548" i="17"/>
  <c r="S548" i="17"/>
  <c r="R548" i="17"/>
  <c r="N548" i="17"/>
  <c r="M548" i="17"/>
  <c r="V547" i="17"/>
  <c r="U547" i="17"/>
  <c r="T547" i="17"/>
  <c r="S547" i="17"/>
  <c r="R547" i="17"/>
  <c r="N547" i="17"/>
  <c r="M547" i="17"/>
  <c r="V546" i="17"/>
  <c r="U546" i="17"/>
  <c r="T546" i="17"/>
  <c r="S546" i="17"/>
  <c r="R546" i="17"/>
  <c r="N546" i="17"/>
  <c r="M546" i="17"/>
  <c r="V545" i="17"/>
  <c r="U545" i="17"/>
  <c r="T545" i="17"/>
  <c r="S545" i="17"/>
  <c r="R545" i="17"/>
  <c r="N545" i="17"/>
  <c r="M545" i="17"/>
  <c r="V544" i="17"/>
  <c r="U544" i="17"/>
  <c r="T544" i="17"/>
  <c r="S544" i="17"/>
  <c r="R544" i="17"/>
  <c r="N544" i="17"/>
  <c r="M544" i="17"/>
  <c r="V543" i="17"/>
  <c r="U543" i="17"/>
  <c r="T543" i="17"/>
  <c r="S543" i="17"/>
  <c r="R543" i="17"/>
  <c r="N543" i="17"/>
  <c r="M543" i="17"/>
  <c r="V542" i="17"/>
  <c r="U542" i="17"/>
  <c r="T542" i="17"/>
  <c r="S542" i="17"/>
  <c r="R542" i="17"/>
  <c r="N542" i="17"/>
  <c r="M542" i="17"/>
  <c r="V541" i="17"/>
  <c r="U541" i="17"/>
  <c r="T541" i="17"/>
  <c r="S541" i="17"/>
  <c r="R541" i="17"/>
  <c r="N541" i="17"/>
  <c r="M541" i="17"/>
  <c r="V540" i="17"/>
  <c r="U540" i="17"/>
  <c r="T540" i="17"/>
  <c r="S540" i="17"/>
  <c r="R540" i="17"/>
  <c r="N540" i="17"/>
  <c r="M540" i="17"/>
  <c r="V539" i="17"/>
  <c r="U539" i="17"/>
  <c r="T539" i="17"/>
  <c r="S539" i="17"/>
  <c r="R539" i="17"/>
  <c r="N539" i="17"/>
  <c r="M539" i="17"/>
  <c r="V538" i="17"/>
  <c r="U538" i="17"/>
  <c r="T538" i="17"/>
  <c r="S538" i="17"/>
  <c r="R538" i="17"/>
  <c r="N538" i="17"/>
  <c r="M538" i="17"/>
  <c r="V537" i="17"/>
  <c r="U537" i="17"/>
  <c r="T537" i="17"/>
  <c r="S537" i="17"/>
  <c r="R537" i="17"/>
  <c r="N537" i="17"/>
  <c r="M537" i="17"/>
  <c r="V536" i="17"/>
  <c r="U536" i="17"/>
  <c r="T536" i="17"/>
  <c r="S536" i="17"/>
  <c r="R536" i="17"/>
  <c r="N536" i="17"/>
  <c r="M536" i="17"/>
  <c r="V535" i="17"/>
  <c r="U535" i="17"/>
  <c r="T535" i="17"/>
  <c r="S535" i="17"/>
  <c r="R535" i="17"/>
  <c r="N535" i="17"/>
  <c r="M535" i="17"/>
  <c r="V534" i="17"/>
  <c r="U534" i="17"/>
  <c r="T534" i="17"/>
  <c r="S534" i="17"/>
  <c r="R534" i="17"/>
  <c r="N534" i="17"/>
  <c r="M534" i="17"/>
  <c r="V533" i="17"/>
  <c r="U533" i="17"/>
  <c r="T533" i="17"/>
  <c r="S533" i="17"/>
  <c r="R533" i="17"/>
  <c r="N533" i="17"/>
  <c r="M533" i="17"/>
  <c r="V532" i="17"/>
  <c r="U532" i="17"/>
  <c r="T532" i="17"/>
  <c r="S532" i="17"/>
  <c r="R532" i="17"/>
  <c r="N532" i="17"/>
  <c r="M532" i="17"/>
  <c r="V531" i="17"/>
  <c r="U531" i="17"/>
  <c r="T531" i="17"/>
  <c r="S531" i="17"/>
  <c r="R531" i="17"/>
  <c r="N531" i="17"/>
  <c r="M531" i="17"/>
  <c r="V530" i="17"/>
  <c r="U530" i="17"/>
  <c r="T530" i="17"/>
  <c r="S530" i="17"/>
  <c r="R530" i="17"/>
  <c r="N530" i="17"/>
  <c r="M530" i="17"/>
  <c r="V529" i="17"/>
  <c r="U529" i="17"/>
  <c r="T529" i="17"/>
  <c r="S529" i="17"/>
  <c r="R529" i="17"/>
  <c r="N529" i="17"/>
  <c r="M529" i="17"/>
  <c r="V528" i="17"/>
  <c r="U528" i="17"/>
  <c r="T528" i="17"/>
  <c r="S528" i="17"/>
  <c r="R528" i="17"/>
  <c r="N528" i="17"/>
  <c r="M528" i="17"/>
  <c r="V527" i="17"/>
  <c r="U527" i="17"/>
  <c r="T527" i="17"/>
  <c r="S527" i="17"/>
  <c r="R527" i="17"/>
  <c r="N527" i="17"/>
  <c r="M527" i="17"/>
  <c r="V526" i="17"/>
  <c r="U526" i="17"/>
  <c r="T526" i="17"/>
  <c r="S526" i="17"/>
  <c r="R526" i="17"/>
  <c r="N526" i="17"/>
  <c r="M526" i="17"/>
  <c r="V525" i="17"/>
  <c r="U525" i="17"/>
  <c r="T525" i="17"/>
  <c r="S525" i="17"/>
  <c r="R525" i="17"/>
  <c r="N525" i="17"/>
  <c r="M525" i="17"/>
  <c r="V524" i="17"/>
  <c r="U524" i="17"/>
  <c r="T524" i="17"/>
  <c r="S524" i="17"/>
  <c r="R524" i="17"/>
  <c r="N524" i="17"/>
  <c r="M524" i="17"/>
  <c r="V523" i="17"/>
  <c r="U523" i="17"/>
  <c r="T523" i="17"/>
  <c r="S523" i="17"/>
  <c r="R523" i="17"/>
  <c r="N523" i="17"/>
  <c r="M523" i="17"/>
  <c r="V522" i="17"/>
  <c r="U522" i="17"/>
  <c r="T522" i="17"/>
  <c r="S522" i="17"/>
  <c r="R522" i="17"/>
  <c r="N522" i="17"/>
  <c r="M522" i="17"/>
  <c r="V521" i="17"/>
  <c r="U521" i="17"/>
  <c r="T521" i="17"/>
  <c r="S521" i="17"/>
  <c r="R521" i="17"/>
  <c r="N521" i="17"/>
  <c r="M521" i="17"/>
  <c r="V520" i="17"/>
  <c r="U520" i="17"/>
  <c r="T520" i="17"/>
  <c r="S520" i="17"/>
  <c r="R520" i="17"/>
  <c r="N520" i="17"/>
  <c r="M520" i="17"/>
  <c r="V519" i="17"/>
  <c r="U519" i="17"/>
  <c r="T519" i="17"/>
  <c r="S519" i="17"/>
  <c r="R519" i="17"/>
  <c r="N519" i="17"/>
  <c r="M519" i="17"/>
  <c r="V518" i="17"/>
  <c r="U518" i="17"/>
  <c r="T518" i="17"/>
  <c r="S518" i="17"/>
  <c r="R518" i="17"/>
  <c r="N518" i="17"/>
  <c r="M518" i="17"/>
  <c r="V517" i="17"/>
  <c r="U517" i="17"/>
  <c r="T517" i="17"/>
  <c r="S517" i="17"/>
  <c r="R517" i="17"/>
  <c r="N517" i="17"/>
  <c r="M517" i="17"/>
  <c r="V516" i="17"/>
  <c r="U516" i="17"/>
  <c r="T516" i="17"/>
  <c r="S516" i="17"/>
  <c r="R516" i="17"/>
  <c r="N516" i="17"/>
  <c r="M516" i="17"/>
  <c r="V515" i="17"/>
  <c r="U515" i="17"/>
  <c r="T515" i="17"/>
  <c r="S515" i="17"/>
  <c r="R515" i="17"/>
  <c r="N515" i="17"/>
  <c r="M515" i="17"/>
  <c r="V514" i="17"/>
  <c r="U514" i="17"/>
  <c r="T514" i="17"/>
  <c r="S514" i="17"/>
  <c r="R514" i="17"/>
  <c r="N514" i="17"/>
  <c r="M514" i="17"/>
  <c r="V513" i="17"/>
  <c r="U513" i="17"/>
  <c r="T513" i="17"/>
  <c r="S513" i="17"/>
  <c r="R513" i="17"/>
  <c r="N513" i="17"/>
  <c r="M513" i="17"/>
  <c r="V512" i="17"/>
  <c r="U512" i="17"/>
  <c r="T512" i="17"/>
  <c r="S512" i="17"/>
  <c r="R512" i="17"/>
  <c r="N512" i="17"/>
  <c r="M512" i="17"/>
  <c r="V511" i="17"/>
  <c r="U511" i="17"/>
  <c r="T511" i="17"/>
  <c r="S511" i="17"/>
  <c r="R511" i="17"/>
  <c r="N511" i="17"/>
  <c r="M511" i="17"/>
  <c r="V510" i="17"/>
  <c r="U510" i="17"/>
  <c r="T510" i="17"/>
  <c r="S510" i="17"/>
  <c r="R510" i="17"/>
  <c r="N510" i="17"/>
  <c r="M510" i="17"/>
  <c r="V509" i="17"/>
  <c r="U509" i="17"/>
  <c r="T509" i="17"/>
  <c r="S509" i="17"/>
  <c r="R509" i="17"/>
  <c r="N509" i="17"/>
  <c r="M509" i="17"/>
  <c r="V508" i="17"/>
  <c r="U508" i="17"/>
  <c r="T508" i="17"/>
  <c r="S508" i="17"/>
  <c r="R508" i="17"/>
  <c r="N508" i="17"/>
  <c r="M508" i="17"/>
  <c r="V507" i="17"/>
  <c r="U507" i="17"/>
  <c r="T507" i="17"/>
  <c r="S507" i="17"/>
  <c r="R507" i="17"/>
  <c r="N507" i="17"/>
  <c r="M507" i="17"/>
  <c r="V506" i="17"/>
  <c r="U506" i="17"/>
  <c r="T506" i="17"/>
  <c r="S506" i="17"/>
  <c r="R506" i="17"/>
  <c r="N506" i="17"/>
  <c r="M506" i="17"/>
  <c r="V505" i="17"/>
  <c r="U505" i="17"/>
  <c r="T505" i="17"/>
  <c r="S505" i="17"/>
  <c r="R505" i="17"/>
  <c r="N505" i="17"/>
  <c r="M505" i="17"/>
  <c r="V504" i="17"/>
  <c r="U504" i="17"/>
  <c r="T504" i="17"/>
  <c r="S504" i="17"/>
  <c r="R504" i="17"/>
  <c r="N504" i="17"/>
  <c r="M504" i="17"/>
  <c r="V503" i="17"/>
  <c r="U503" i="17"/>
  <c r="T503" i="17"/>
  <c r="S503" i="17"/>
  <c r="R503" i="17"/>
  <c r="N503" i="17"/>
  <c r="M503" i="17"/>
  <c r="V502" i="17"/>
  <c r="U502" i="17"/>
  <c r="T502" i="17"/>
  <c r="S502" i="17"/>
  <c r="R502" i="17"/>
  <c r="N502" i="17"/>
  <c r="M502" i="17"/>
  <c r="V501" i="17"/>
  <c r="U501" i="17"/>
  <c r="T501" i="17"/>
  <c r="S501" i="17"/>
  <c r="R501" i="17"/>
  <c r="N501" i="17"/>
  <c r="M501" i="17"/>
  <c r="V500" i="17"/>
  <c r="U500" i="17"/>
  <c r="T500" i="17"/>
  <c r="S500" i="17"/>
  <c r="R500" i="17"/>
  <c r="N500" i="17"/>
  <c r="M500" i="17"/>
  <c r="V499" i="17"/>
  <c r="U499" i="17"/>
  <c r="T499" i="17"/>
  <c r="S499" i="17"/>
  <c r="R499" i="17"/>
  <c r="N499" i="17"/>
  <c r="M499" i="17"/>
  <c r="V498" i="17"/>
  <c r="U498" i="17"/>
  <c r="T498" i="17"/>
  <c r="S498" i="17"/>
  <c r="R498" i="17"/>
  <c r="N498" i="17"/>
  <c r="M498" i="17"/>
  <c r="V497" i="17"/>
  <c r="U497" i="17"/>
  <c r="T497" i="17"/>
  <c r="S497" i="17"/>
  <c r="R497" i="17"/>
  <c r="N497" i="17"/>
  <c r="M497" i="17"/>
  <c r="V496" i="17"/>
  <c r="U496" i="17"/>
  <c r="T496" i="17"/>
  <c r="S496" i="17"/>
  <c r="R496" i="17"/>
  <c r="N496" i="17"/>
  <c r="M496" i="17"/>
  <c r="V495" i="17"/>
  <c r="U495" i="17"/>
  <c r="T495" i="17"/>
  <c r="S495" i="17"/>
  <c r="R495" i="17"/>
  <c r="N495" i="17"/>
  <c r="M495" i="17"/>
  <c r="V494" i="17"/>
  <c r="U494" i="17"/>
  <c r="T494" i="17"/>
  <c r="S494" i="17"/>
  <c r="R494" i="17"/>
  <c r="N494" i="17"/>
  <c r="M494" i="17"/>
  <c r="V493" i="17"/>
  <c r="U493" i="17"/>
  <c r="T493" i="17"/>
  <c r="S493" i="17"/>
  <c r="R493" i="17"/>
  <c r="N493" i="17"/>
  <c r="M493" i="17"/>
  <c r="V492" i="17"/>
  <c r="U492" i="17"/>
  <c r="T492" i="17"/>
  <c r="S492" i="17"/>
  <c r="R492" i="17"/>
  <c r="N492" i="17"/>
  <c r="M492" i="17"/>
  <c r="V491" i="17"/>
  <c r="U491" i="17"/>
  <c r="T491" i="17"/>
  <c r="S491" i="17"/>
  <c r="R491" i="17"/>
  <c r="N491" i="17"/>
  <c r="M491" i="17"/>
  <c r="V490" i="17"/>
  <c r="U490" i="17"/>
  <c r="T490" i="17"/>
  <c r="S490" i="17"/>
  <c r="R490" i="17"/>
  <c r="N490" i="17"/>
  <c r="M490" i="17"/>
  <c r="V489" i="17"/>
  <c r="U489" i="17"/>
  <c r="T489" i="17"/>
  <c r="S489" i="17"/>
  <c r="R489" i="17"/>
  <c r="N489" i="17"/>
  <c r="M489" i="17"/>
  <c r="V488" i="17"/>
  <c r="U488" i="17"/>
  <c r="T488" i="17"/>
  <c r="S488" i="17"/>
  <c r="R488" i="17"/>
  <c r="N488" i="17"/>
  <c r="M488" i="17"/>
  <c r="V487" i="17"/>
  <c r="U487" i="17"/>
  <c r="T487" i="17"/>
  <c r="S487" i="17"/>
  <c r="R487" i="17"/>
  <c r="N487" i="17"/>
  <c r="M487" i="17"/>
  <c r="V486" i="17"/>
  <c r="U486" i="17"/>
  <c r="T486" i="17"/>
  <c r="S486" i="17"/>
  <c r="R486" i="17"/>
  <c r="N486" i="17"/>
  <c r="M486" i="17"/>
  <c r="V485" i="17"/>
  <c r="U485" i="17"/>
  <c r="T485" i="17"/>
  <c r="S485" i="17"/>
  <c r="R485" i="17"/>
  <c r="N485" i="17"/>
  <c r="M485" i="17"/>
  <c r="V484" i="17"/>
  <c r="U484" i="17"/>
  <c r="T484" i="17"/>
  <c r="S484" i="17"/>
  <c r="R484" i="17"/>
  <c r="N484" i="17"/>
  <c r="M484" i="17"/>
  <c r="V483" i="17"/>
  <c r="U483" i="17"/>
  <c r="T483" i="17"/>
  <c r="S483" i="17"/>
  <c r="R483" i="17"/>
  <c r="N483" i="17"/>
  <c r="M483" i="17"/>
  <c r="V482" i="17"/>
  <c r="U482" i="17"/>
  <c r="T482" i="17"/>
  <c r="S482" i="17"/>
  <c r="R482" i="17"/>
  <c r="N482" i="17"/>
  <c r="M482" i="17"/>
  <c r="V481" i="17"/>
  <c r="U481" i="17"/>
  <c r="T481" i="17"/>
  <c r="S481" i="17"/>
  <c r="R481" i="17"/>
  <c r="N481" i="17"/>
  <c r="M481" i="17"/>
  <c r="V480" i="17"/>
  <c r="U480" i="17"/>
  <c r="T480" i="17"/>
  <c r="S480" i="17"/>
  <c r="R480" i="17"/>
  <c r="N480" i="17"/>
  <c r="M480" i="17"/>
  <c r="V479" i="17"/>
  <c r="U479" i="17"/>
  <c r="T479" i="17"/>
  <c r="S479" i="17"/>
  <c r="R479" i="17"/>
  <c r="N479" i="17"/>
  <c r="M479" i="17"/>
  <c r="V478" i="17"/>
  <c r="U478" i="17"/>
  <c r="T478" i="17"/>
  <c r="S478" i="17"/>
  <c r="R478" i="17"/>
  <c r="N478" i="17"/>
  <c r="M478" i="17"/>
  <c r="V477" i="17"/>
  <c r="U477" i="17"/>
  <c r="T477" i="17"/>
  <c r="S477" i="17"/>
  <c r="R477" i="17"/>
  <c r="N477" i="17"/>
  <c r="M477" i="17"/>
  <c r="V476" i="17"/>
  <c r="U476" i="17"/>
  <c r="T476" i="17"/>
  <c r="S476" i="17"/>
  <c r="R476" i="17"/>
  <c r="N476" i="17"/>
  <c r="M476" i="17"/>
  <c r="V475" i="17"/>
  <c r="U475" i="17"/>
  <c r="T475" i="17"/>
  <c r="S475" i="17"/>
  <c r="R475" i="17"/>
  <c r="N475" i="17"/>
  <c r="M475" i="17"/>
  <c r="V474" i="17"/>
  <c r="U474" i="17"/>
  <c r="T474" i="17"/>
  <c r="S474" i="17"/>
  <c r="R474" i="17"/>
  <c r="N474" i="17"/>
  <c r="M474" i="17"/>
  <c r="V473" i="17"/>
  <c r="U473" i="17"/>
  <c r="T473" i="17"/>
  <c r="S473" i="17"/>
  <c r="R473" i="17"/>
  <c r="N473" i="17"/>
  <c r="M473" i="17"/>
  <c r="V472" i="17"/>
  <c r="U472" i="17"/>
  <c r="T472" i="17"/>
  <c r="S472" i="17"/>
  <c r="R472" i="17"/>
  <c r="N472" i="17"/>
  <c r="M472" i="17"/>
  <c r="V471" i="17"/>
  <c r="U471" i="17"/>
  <c r="T471" i="17"/>
  <c r="S471" i="17"/>
  <c r="R471" i="17"/>
  <c r="N471" i="17"/>
  <c r="M471" i="17"/>
  <c r="V470" i="17"/>
  <c r="U470" i="17"/>
  <c r="T470" i="17"/>
  <c r="S470" i="17"/>
  <c r="R470" i="17"/>
  <c r="N470" i="17"/>
  <c r="M470" i="17"/>
  <c r="V469" i="17"/>
  <c r="U469" i="17"/>
  <c r="T469" i="17"/>
  <c r="S469" i="17"/>
  <c r="R469" i="17"/>
  <c r="N469" i="17"/>
  <c r="M469" i="17"/>
  <c r="V468" i="17"/>
  <c r="U468" i="17"/>
  <c r="T468" i="17"/>
  <c r="S468" i="17"/>
  <c r="R468" i="17"/>
  <c r="N468" i="17"/>
  <c r="M468" i="17"/>
  <c r="V467" i="17"/>
  <c r="U467" i="17"/>
  <c r="T467" i="17"/>
  <c r="S467" i="17"/>
  <c r="R467" i="17"/>
  <c r="N467" i="17"/>
  <c r="M467" i="17"/>
  <c r="V466" i="17"/>
  <c r="U466" i="17"/>
  <c r="T466" i="17"/>
  <c r="S466" i="17"/>
  <c r="R466" i="17"/>
  <c r="N466" i="17"/>
  <c r="M466" i="17"/>
  <c r="V465" i="17"/>
  <c r="U465" i="17"/>
  <c r="T465" i="17"/>
  <c r="S465" i="17"/>
  <c r="R465" i="17"/>
  <c r="N465" i="17"/>
  <c r="M465" i="17"/>
  <c r="V464" i="17"/>
  <c r="U464" i="17"/>
  <c r="T464" i="17"/>
  <c r="S464" i="17"/>
  <c r="R464" i="17"/>
  <c r="N464" i="17"/>
  <c r="M464" i="17"/>
  <c r="V463" i="17"/>
  <c r="U463" i="17"/>
  <c r="T463" i="17"/>
  <c r="S463" i="17"/>
  <c r="R463" i="17"/>
  <c r="N463" i="17"/>
  <c r="M463" i="17"/>
  <c r="V462" i="17"/>
  <c r="U462" i="17"/>
  <c r="T462" i="17"/>
  <c r="S462" i="17"/>
  <c r="R462" i="17"/>
  <c r="N462" i="17"/>
  <c r="M462" i="17"/>
  <c r="V461" i="17"/>
  <c r="U461" i="17"/>
  <c r="T461" i="17"/>
  <c r="S461" i="17"/>
  <c r="R461" i="17"/>
  <c r="N461" i="17"/>
  <c r="M461" i="17"/>
  <c r="V460" i="17"/>
  <c r="U460" i="17"/>
  <c r="T460" i="17"/>
  <c r="S460" i="17"/>
  <c r="R460" i="17"/>
  <c r="N460" i="17"/>
  <c r="M460" i="17"/>
  <c r="V459" i="17"/>
  <c r="U459" i="17"/>
  <c r="T459" i="17"/>
  <c r="S459" i="17"/>
  <c r="R459" i="17"/>
  <c r="N459" i="17"/>
  <c r="M459" i="17"/>
  <c r="V458" i="17"/>
  <c r="U458" i="17"/>
  <c r="T458" i="17"/>
  <c r="S458" i="17"/>
  <c r="R458" i="17"/>
  <c r="N458" i="17"/>
  <c r="M458" i="17"/>
  <c r="V457" i="17"/>
  <c r="U457" i="17"/>
  <c r="T457" i="17"/>
  <c r="S457" i="17"/>
  <c r="R457" i="17"/>
  <c r="N457" i="17"/>
  <c r="M457" i="17"/>
  <c r="V456" i="17"/>
  <c r="U456" i="17"/>
  <c r="T456" i="17"/>
  <c r="S456" i="17"/>
  <c r="R456" i="17"/>
  <c r="N456" i="17"/>
  <c r="M456" i="17"/>
  <c r="V455" i="17"/>
  <c r="U455" i="17"/>
  <c r="T455" i="17"/>
  <c r="S455" i="17"/>
  <c r="R455" i="17"/>
  <c r="N455" i="17"/>
  <c r="M455" i="17"/>
  <c r="V454" i="17"/>
  <c r="U454" i="17"/>
  <c r="T454" i="17"/>
  <c r="S454" i="17"/>
  <c r="R454" i="17"/>
  <c r="N454" i="17"/>
  <c r="M454" i="17"/>
  <c r="V453" i="17"/>
  <c r="U453" i="17"/>
  <c r="T453" i="17"/>
  <c r="S453" i="17"/>
  <c r="R453" i="17"/>
  <c r="N453" i="17"/>
  <c r="M453" i="17"/>
  <c r="V452" i="17"/>
  <c r="U452" i="17"/>
  <c r="T452" i="17"/>
  <c r="S452" i="17"/>
  <c r="R452" i="17"/>
  <c r="N452" i="17"/>
  <c r="M452" i="17"/>
  <c r="V451" i="17"/>
  <c r="U451" i="17"/>
  <c r="T451" i="17"/>
  <c r="S451" i="17"/>
  <c r="R451" i="17"/>
  <c r="N451" i="17"/>
  <c r="M451" i="17"/>
  <c r="V450" i="17"/>
  <c r="U450" i="17"/>
  <c r="T450" i="17"/>
  <c r="S450" i="17"/>
  <c r="R450" i="17"/>
  <c r="N450" i="17"/>
  <c r="M450" i="17"/>
  <c r="V449" i="17"/>
  <c r="U449" i="17"/>
  <c r="T449" i="17"/>
  <c r="S449" i="17"/>
  <c r="R449" i="17"/>
  <c r="N449" i="17"/>
  <c r="M449" i="17"/>
  <c r="V448" i="17"/>
  <c r="U448" i="17"/>
  <c r="T448" i="17"/>
  <c r="S448" i="17"/>
  <c r="R448" i="17"/>
  <c r="N448" i="17"/>
  <c r="M448" i="17"/>
  <c r="V447" i="17"/>
  <c r="U447" i="17"/>
  <c r="T447" i="17"/>
  <c r="S447" i="17"/>
  <c r="R447" i="17"/>
  <c r="N447" i="17"/>
  <c r="M447" i="17"/>
  <c r="V446" i="17"/>
  <c r="U446" i="17"/>
  <c r="T446" i="17"/>
  <c r="S446" i="17"/>
  <c r="R446" i="17"/>
  <c r="N446" i="17"/>
  <c r="M446" i="17"/>
  <c r="V445" i="17"/>
  <c r="U445" i="17"/>
  <c r="T445" i="17"/>
  <c r="S445" i="17"/>
  <c r="R445" i="17"/>
  <c r="N445" i="17"/>
  <c r="M445" i="17"/>
  <c r="V444" i="17"/>
  <c r="U444" i="17"/>
  <c r="T444" i="17"/>
  <c r="S444" i="17"/>
  <c r="R444" i="17"/>
  <c r="N444" i="17"/>
  <c r="M444" i="17"/>
  <c r="V443" i="17"/>
  <c r="U443" i="17"/>
  <c r="T443" i="17"/>
  <c r="S443" i="17"/>
  <c r="R443" i="17"/>
  <c r="N443" i="17"/>
  <c r="M443" i="17"/>
  <c r="V442" i="17"/>
  <c r="U442" i="17"/>
  <c r="T442" i="17"/>
  <c r="S442" i="17"/>
  <c r="R442" i="17"/>
  <c r="N442" i="17"/>
  <c r="M442" i="17"/>
  <c r="V441" i="17"/>
  <c r="U441" i="17"/>
  <c r="T441" i="17"/>
  <c r="S441" i="17"/>
  <c r="R441" i="17"/>
  <c r="N441" i="17"/>
  <c r="M441" i="17"/>
  <c r="V440" i="17"/>
  <c r="U440" i="17"/>
  <c r="T440" i="17"/>
  <c r="S440" i="17"/>
  <c r="R440" i="17"/>
  <c r="N440" i="17"/>
  <c r="M440" i="17"/>
  <c r="V439" i="17"/>
  <c r="U439" i="17"/>
  <c r="T439" i="17"/>
  <c r="S439" i="17"/>
  <c r="R439" i="17"/>
  <c r="N439" i="17"/>
  <c r="M439" i="17"/>
  <c r="V438" i="17"/>
  <c r="U438" i="17"/>
  <c r="T438" i="17"/>
  <c r="S438" i="17"/>
  <c r="R438" i="17"/>
  <c r="N438" i="17"/>
  <c r="M438" i="17"/>
  <c r="V437" i="17"/>
  <c r="U437" i="17"/>
  <c r="T437" i="17"/>
  <c r="S437" i="17"/>
  <c r="R437" i="17"/>
  <c r="N437" i="17"/>
  <c r="M437" i="17"/>
  <c r="V436" i="17"/>
  <c r="U436" i="17"/>
  <c r="T436" i="17"/>
  <c r="S436" i="17"/>
  <c r="R436" i="17"/>
  <c r="N436" i="17"/>
  <c r="M436" i="17"/>
  <c r="V435" i="17"/>
  <c r="U435" i="17"/>
  <c r="T435" i="17"/>
  <c r="S435" i="17"/>
  <c r="R435" i="17"/>
  <c r="N435" i="17"/>
  <c r="M435" i="17"/>
  <c r="V434" i="17"/>
  <c r="U434" i="17"/>
  <c r="T434" i="17"/>
  <c r="S434" i="17"/>
  <c r="R434" i="17"/>
  <c r="N434" i="17"/>
  <c r="M434" i="17"/>
  <c r="V433" i="17"/>
  <c r="U433" i="17"/>
  <c r="T433" i="17"/>
  <c r="S433" i="17"/>
  <c r="R433" i="17"/>
  <c r="N433" i="17"/>
  <c r="M433" i="17"/>
  <c r="V432" i="17"/>
  <c r="U432" i="17"/>
  <c r="T432" i="17"/>
  <c r="S432" i="17"/>
  <c r="R432" i="17"/>
  <c r="N432" i="17"/>
  <c r="M432" i="17"/>
  <c r="V431" i="17"/>
  <c r="U431" i="17"/>
  <c r="T431" i="17"/>
  <c r="S431" i="17"/>
  <c r="R431" i="17"/>
  <c r="N431" i="17"/>
  <c r="M431" i="17"/>
  <c r="V430" i="17"/>
  <c r="U430" i="17"/>
  <c r="T430" i="17"/>
  <c r="S430" i="17"/>
  <c r="R430" i="17"/>
  <c r="N430" i="17"/>
  <c r="M430" i="17"/>
  <c r="V429" i="17"/>
  <c r="U429" i="17"/>
  <c r="T429" i="17"/>
  <c r="S429" i="17"/>
  <c r="R429" i="17"/>
  <c r="N429" i="17"/>
  <c r="M429" i="17"/>
  <c r="V428" i="17"/>
  <c r="U428" i="17"/>
  <c r="T428" i="17"/>
  <c r="S428" i="17"/>
  <c r="R428" i="17"/>
  <c r="N428" i="17"/>
  <c r="M428" i="17"/>
  <c r="V427" i="17"/>
  <c r="U427" i="17"/>
  <c r="T427" i="17"/>
  <c r="S427" i="17"/>
  <c r="R427" i="17"/>
  <c r="N427" i="17"/>
  <c r="M427" i="17"/>
  <c r="V426" i="17"/>
  <c r="U426" i="17"/>
  <c r="T426" i="17"/>
  <c r="S426" i="17"/>
  <c r="R426" i="17"/>
  <c r="N426" i="17"/>
  <c r="M426" i="17"/>
  <c r="V425" i="17"/>
  <c r="U425" i="17"/>
  <c r="T425" i="17"/>
  <c r="S425" i="17"/>
  <c r="R425" i="17"/>
  <c r="N425" i="17"/>
  <c r="M425" i="17"/>
  <c r="V424" i="17"/>
  <c r="U424" i="17"/>
  <c r="T424" i="17"/>
  <c r="S424" i="17"/>
  <c r="R424" i="17"/>
  <c r="N424" i="17"/>
  <c r="M424" i="17"/>
  <c r="V423" i="17"/>
  <c r="U423" i="17"/>
  <c r="T423" i="17"/>
  <c r="S423" i="17"/>
  <c r="R423" i="17"/>
  <c r="N423" i="17"/>
  <c r="M423" i="17"/>
  <c r="V422" i="17"/>
  <c r="U422" i="17"/>
  <c r="T422" i="17"/>
  <c r="S422" i="17"/>
  <c r="R422" i="17"/>
  <c r="N422" i="17"/>
  <c r="M422" i="17"/>
  <c r="V421" i="17"/>
  <c r="U421" i="17"/>
  <c r="T421" i="17"/>
  <c r="S421" i="17"/>
  <c r="R421" i="17"/>
  <c r="N421" i="17"/>
  <c r="M421" i="17"/>
  <c r="V420" i="17"/>
  <c r="U420" i="17"/>
  <c r="T420" i="17"/>
  <c r="S420" i="17"/>
  <c r="R420" i="17"/>
  <c r="N420" i="17"/>
  <c r="M420" i="17"/>
  <c r="V419" i="17"/>
  <c r="U419" i="17"/>
  <c r="T419" i="17"/>
  <c r="S419" i="17"/>
  <c r="R419" i="17"/>
  <c r="N419" i="17"/>
  <c r="M419" i="17"/>
  <c r="V418" i="17"/>
  <c r="U418" i="17"/>
  <c r="T418" i="17"/>
  <c r="S418" i="17"/>
  <c r="R418" i="17"/>
  <c r="N418" i="17"/>
  <c r="M418" i="17"/>
  <c r="V417" i="17"/>
  <c r="U417" i="17"/>
  <c r="T417" i="17"/>
  <c r="S417" i="17"/>
  <c r="R417" i="17"/>
  <c r="N417" i="17"/>
  <c r="M417" i="17"/>
  <c r="V416" i="17"/>
  <c r="U416" i="17"/>
  <c r="T416" i="17"/>
  <c r="S416" i="17"/>
  <c r="R416" i="17"/>
  <c r="N416" i="17"/>
  <c r="M416" i="17"/>
  <c r="V415" i="17"/>
  <c r="U415" i="17"/>
  <c r="T415" i="17"/>
  <c r="S415" i="17"/>
  <c r="R415" i="17"/>
  <c r="N415" i="17"/>
  <c r="M415" i="17"/>
  <c r="V414" i="17"/>
  <c r="U414" i="17"/>
  <c r="T414" i="17"/>
  <c r="S414" i="17"/>
  <c r="R414" i="17"/>
  <c r="N414" i="17"/>
  <c r="M414" i="17"/>
  <c r="V413" i="17"/>
  <c r="U413" i="17"/>
  <c r="T413" i="17"/>
  <c r="S413" i="17"/>
  <c r="R413" i="17"/>
  <c r="N413" i="17"/>
  <c r="M413" i="17"/>
  <c r="V412" i="17"/>
  <c r="U412" i="17"/>
  <c r="T412" i="17"/>
  <c r="S412" i="17"/>
  <c r="R412" i="17"/>
  <c r="N412" i="17"/>
  <c r="M412" i="17"/>
  <c r="V411" i="17"/>
  <c r="U411" i="17"/>
  <c r="T411" i="17"/>
  <c r="S411" i="17"/>
  <c r="R411" i="17"/>
  <c r="N411" i="17"/>
  <c r="M411" i="17"/>
  <c r="V410" i="17"/>
  <c r="U410" i="17"/>
  <c r="T410" i="17"/>
  <c r="S410" i="17"/>
  <c r="R410" i="17"/>
  <c r="N410" i="17"/>
  <c r="M410" i="17"/>
  <c r="V409" i="17"/>
  <c r="U409" i="17"/>
  <c r="T409" i="17"/>
  <c r="S409" i="17"/>
  <c r="R409" i="17"/>
  <c r="N409" i="17"/>
  <c r="M409" i="17"/>
  <c r="V408" i="17"/>
  <c r="U408" i="17"/>
  <c r="T408" i="17"/>
  <c r="S408" i="17"/>
  <c r="R408" i="17"/>
  <c r="N408" i="17"/>
  <c r="M408" i="17"/>
  <c r="V407" i="17"/>
  <c r="U407" i="17"/>
  <c r="T407" i="17"/>
  <c r="S407" i="17"/>
  <c r="R407" i="17"/>
  <c r="N407" i="17"/>
  <c r="M407" i="17"/>
  <c r="V406" i="17"/>
  <c r="U406" i="17"/>
  <c r="T406" i="17"/>
  <c r="S406" i="17"/>
  <c r="R406" i="17"/>
  <c r="N406" i="17"/>
  <c r="M406" i="17"/>
  <c r="V405" i="17"/>
  <c r="U405" i="17"/>
  <c r="T405" i="17"/>
  <c r="S405" i="17"/>
  <c r="R405" i="17"/>
  <c r="N405" i="17"/>
  <c r="M405" i="17"/>
  <c r="V404" i="17"/>
  <c r="U404" i="17"/>
  <c r="T404" i="17"/>
  <c r="S404" i="17"/>
  <c r="R404" i="17"/>
  <c r="N404" i="17"/>
  <c r="M404" i="17"/>
  <c r="V403" i="17"/>
  <c r="U403" i="17"/>
  <c r="T403" i="17"/>
  <c r="S403" i="17"/>
  <c r="R403" i="17"/>
  <c r="N403" i="17"/>
  <c r="M403" i="17"/>
  <c r="V402" i="17"/>
  <c r="U402" i="17"/>
  <c r="T402" i="17"/>
  <c r="S402" i="17"/>
  <c r="R402" i="17"/>
  <c r="N402" i="17"/>
  <c r="M402" i="17"/>
  <c r="V401" i="17"/>
  <c r="U401" i="17"/>
  <c r="T401" i="17"/>
  <c r="S401" i="17"/>
  <c r="R401" i="17"/>
  <c r="N401" i="17"/>
  <c r="M401" i="17"/>
  <c r="V400" i="17"/>
  <c r="U400" i="17"/>
  <c r="T400" i="17"/>
  <c r="S400" i="17"/>
  <c r="R400" i="17"/>
  <c r="N400" i="17"/>
  <c r="M400" i="17"/>
  <c r="V399" i="17"/>
  <c r="U399" i="17"/>
  <c r="T399" i="17"/>
  <c r="S399" i="17"/>
  <c r="R399" i="17"/>
  <c r="N399" i="17"/>
  <c r="M399" i="17"/>
  <c r="V398" i="17"/>
  <c r="U398" i="17"/>
  <c r="T398" i="17"/>
  <c r="S398" i="17"/>
  <c r="R398" i="17"/>
  <c r="N398" i="17"/>
  <c r="M398" i="17"/>
  <c r="V397" i="17"/>
  <c r="U397" i="17"/>
  <c r="T397" i="17"/>
  <c r="S397" i="17"/>
  <c r="R397" i="17"/>
  <c r="N397" i="17"/>
  <c r="M397" i="17"/>
  <c r="V396" i="17"/>
  <c r="U396" i="17"/>
  <c r="T396" i="17"/>
  <c r="S396" i="17"/>
  <c r="R396" i="17"/>
  <c r="N396" i="17"/>
  <c r="M396" i="17"/>
  <c r="V395" i="17"/>
  <c r="U395" i="17"/>
  <c r="T395" i="17"/>
  <c r="S395" i="17"/>
  <c r="R395" i="17"/>
  <c r="N395" i="17"/>
  <c r="M395" i="17"/>
  <c r="V394" i="17"/>
  <c r="U394" i="17"/>
  <c r="T394" i="17"/>
  <c r="S394" i="17"/>
  <c r="R394" i="17"/>
  <c r="N394" i="17"/>
  <c r="M394" i="17"/>
  <c r="V393" i="17"/>
  <c r="U393" i="17"/>
  <c r="T393" i="17"/>
  <c r="S393" i="17"/>
  <c r="R393" i="17"/>
  <c r="N393" i="17"/>
  <c r="M393" i="17"/>
  <c r="V392" i="17"/>
  <c r="U392" i="17"/>
  <c r="T392" i="17"/>
  <c r="S392" i="17"/>
  <c r="R392" i="17"/>
  <c r="N392" i="17"/>
  <c r="M392" i="17"/>
  <c r="V391" i="17"/>
  <c r="U391" i="17"/>
  <c r="T391" i="17"/>
  <c r="S391" i="17"/>
  <c r="R391" i="17"/>
  <c r="N391" i="17"/>
  <c r="M391" i="17"/>
  <c r="V390" i="17"/>
  <c r="U390" i="17"/>
  <c r="T390" i="17"/>
  <c r="S390" i="17"/>
  <c r="R390" i="17"/>
  <c r="N390" i="17"/>
  <c r="M390" i="17"/>
  <c r="V389" i="17"/>
  <c r="U389" i="17"/>
  <c r="T389" i="17"/>
  <c r="S389" i="17"/>
  <c r="R389" i="17"/>
  <c r="N389" i="17"/>
  <c r="M389" i="17"/>
  <c r="V388" i="17"/>
  <c r="U388" i="17"/>
  <c r="T388" i="17"/>
  <c r="S388" i="17"/>
  <c r="R388" i="17"/>
  <c r="N388" i="17"/>
  <c r="M388" i="17"/>
  <c r="V387" i="17"/>
  <c r="U387" i="17"/>
  <c r="T387" i="17"/>
  <c r="S387" i="17"/>
  <c r="R387" i="17"/>
  <c r="N387" i="17"/>
  <c r="M387" i="17"/>
  <c r="V386" i="17"/>
  <c r="U386" i="17"/>
  <c r="T386" i="17"/>
  <c r="S386" i="17"/>
  <c r="R386" i="17"/>
  <c r="N386" i="17"/>
  <c r="M386" i="17"/>
  <c r="V385" i="17"/>
  <c r="U385" i="17"/>
  <c r="T385" i="17"/>
  <c r="S385" i="17"/>
  <c r="R385" i="17"/>
  <c r="N385" i="17"/>
  <c r="M385" i="17"/>
  <c r="V384" i="17"/>
  <c r="U384" i="17"/>
  <c r="T384" i="17"/>
  <c r="S384" i="17"/>
  <c r="R384" i="17"/>
  <c r="N384" i="17"/>
  <c r="M384" i="17"/>
  <c r="V383" i="17"/>
  <c r="U383" i="17"/>
  <c r="T383" i="17"/>
  <c r="S383" i="17"/>
  <c r="R383" i="17"/>
  <c r="N383" i="17"/>
  <c r="M383" i="17"/>
  <c r="V382" i="17"/>
  <c r="U382" i="17"/>
  <c r="T382" i="17"/>
  <c r="S382" i="17"/>
  <c r="R382" i="17"/>
  <c r="N382" i="17"/>
  <c r="M382" i="17"/>
  <c r="V381" i="17"/>
  <c r="U381" i="17"/>
  <c r="T381" i="17"/>
  <c r="S381" i="17"/>
  <c r="R381" i="17"/>
  <c r="N381" i="17"/>
  <c r="M381" i="17"/>
  <c r="V380" i="17"/>
  <c r="U380" i="17"/>
  <c r="T380" i="17"/>
  <c r="S380" i="17"/>
  <c r="R380" i="17"/>
  <c r="N380" i="17"/>
  <c r="M380" i="17"/>
  <c r="V379" i="17"/>
  <c r="U379" i="17"/>
  <c r="T379" i="17"/>
  <c r="S379" i="17"/>
  <c r="R379" i="17"/>
  <c r="N379" i="17"/>
  <c r="M379" i="17"/>
  <c r="V378" i="17"/>
  <c r="U378" i="17"/>
  <c r="T378" i="17"/>
  <c r="S378" i="17"/>
  <c r="R378" i="17"/>
  <c r="N378" i="17"/>
  <c r="M378" i="17"/>
  <c r="V377" i="17"/>
  <c r="U377" i="17"/>
  <c r="T377" i="17"/>
  <c r="S377" i="17"/>
  <c r="R377" i="17"/>
  <c r="N377" i="17"/>
  <c r="M377" i="17"/>
  <c r="V376" i="17"/>
  <c r="U376" i="17"/>
  <c r="T376" i="17"/>
  <c r="S376" i="17"/>
  <c r="R376" i="17"/>
  <c r="N376" i="17"/>
  <c r="M376" i="17"/>
  <c r="V375" i="17"/>
  <c r="U375" i="17"/>
  <c r="T375" i="17"/>
  <c r="S375" i="17"/>
  <c r="R375" i="17"/>
  <c r="N375" i="17"/>
  <c r="M375" i="17"/>
  <c r="V374" i="17"/>
  <c r="U374" i="17"/>
  <c r="T374" i="17"/>
  <c r="S374" i="17"/>
  <c r="R374" i="17"/>
  <c r="N374" i="17"/>
  <c r="M374" i="17"/>
  <c r="V373" i="17"/>
  <c r="U373" i="17"/>
  <c r="T373" i="17"/>
  <c r="S373" i="17"/>
  <c r="R373" i="17"/>
  <c r="N373" i="17"/>
  <c r="M373" i="17"/>
  <c r="V372" i="17"/>
  <c r="U372" i="17"/>
  <c r="T372" i="17"/>
  <c r="S372" i="17"/>
  <c r="R372" i="17"/>
  <c r="N372" i="17"/>
  <c r="M372" i="17"/>
  <c r="V371" i="17"/>
  <c r="U371" i="17"/>
  <c r="T371" i="17"/>
  <c r="S371" i="17"/>
  <c r="R371" i="17"/>
  <c r="N371" i="17"/>
  <c r="M371" i="17"/>
  <c r="V370" i="17"/>
  <c r="U370" i="17"/>
  <c r="T370" i="17"/>
  <c r="S370" i="17"/>
  <c r="R370" i="17"/>
  <c r="N370" i="17"/>
  <c r="M370" i="17"/>
  <c r="V369" i="17"/>
  <c r="U369" i="17"/>
  <c r="T369" i="17"/>
  <c r="S369" i="17"/>
  <c r="R369" i="17"/>
  <c r="N369" i="17"/>
  <c r="M369" i="17"/>
  <c r="V368" i="17"/>
  <c r="U368" i="17"/>
  <c r="T368" i="17"/>
  <c r="S368" i="17"/>
  <c r="R368" i="17"/>
  <c r="N368" i="17"/>
  <c r="M368" i="17"/>
  <c r="V367" i="17"/>
  <c r="U367" i="17"/>
  <c r="T367" i="17"/>
  <c r="S367" i="17"/>
  <c r="R367" i="17"/>
  <c r="N367" i="17"/>
  <c r="M367" i="17"/>
  <c r="V366" i="17"/>
  <c r="U366" i="17"/>
  <c r="T366" i="17"/>
  <c r="S366" i="17"/>
  <c r="R366" i="17"/>
  <c r="N366" i="17"/>
  <c r="M366" i="17"/>
  <c r="V365" i="17"/>
  <c r="U365" i="17"/>
  <c r="T365" i="17"/>
  <c r="S365" i="17"/>
  <c r="R365" i="17"/>
  <c r="N365" i="17"/>
  <c r="M365" i="17"/>
  <c r="V364" i="17"/>
  <c r="U364" i="17"/>
  <c r="T364" i="17"/>
  <c r="S364" i="17"/>
  <c r="R364" i="17"/>
  <c r="N364" i="17"/>
  <c r="M364" i="17"/>
  <c r="V363" i="17"/>
  <c r="U363" i="17"/>
  <c r="T363" i="17"/>
  <c r="S363" i="17"/>
  <c r="R363" i="17"/>
  <c r="N363" i="17"/>
  <c r="M363" i="17"/>
  <c r="V362" i="17"/>
  <c r="U362" i="17"/>
  <c r="T362" i="17"/>
  <c r="S362" i="17"/>
  <c r="R362" i="17"/>
  <c r="N362" i="17"/>
  <c r="M362" i="17"/>
  <c r="V361" i="17"/>
  <c r="U361" i="17"/>
  <c r="T361" i="17"/>
  <c r="S361" i="17"/>
  <c r="R361" i="17"/>
  <c r="N361" i="17"/>
  <c r="M361" i="17"/>
  <c r="V360" i="17"/>
  <c r="U360" i="17"/>
  <c r="T360" i="17"/>
  <c r="S360" i="17"/>
  <c r="R360" i="17"/>
  <c r="N360" i="17"/>
  <c r="M360" i="17"/>
  <c r="V359" i="17"/>
  <c r="U359" i="17"/>
  <c r="T359" i="17"/>
  <c r="S359" i="17"/>
  <c r="R359" i="17"/>
  <c r="N359" i="17"/>
  <c r="M359" i="17"/>
  <c r="V358" i="17"/>
  <c r="U358" i="17"/>
  <c r="T358" i="17"/>
  <c r="S358" i="17"/>
  <c r="R358" i="17"/>
  <c r="N358" i="17"/>
  <c r="M358" i="17"/>
  <c r="V357" i="17"/>
  <c r="U357" i="17"/>
  <c r="T357" i="17"/>
  <c r="S357" i="17"/>
  <c r="R357" i="17"/>
  <c r="N357" i="17"/>
  <c r="M357" i="17"/>
  <c r="V356" i="17"/>
  <c r="U356" i="17"/>
  <c r="T356" i="17"/>
  <c r="S356" i="17"/>
  <c r="R356" i="17"/>
  <c r="N356" i="17"/>
  <c r="M356" i="17"/>
  <c r="V355" i="17"/>
  <c r="U355" i="17"/>
  <c r="T355" i="17"/>
  <c r="S355" i="17"/>
  <c r="R355" i="17"/>
  <c r="N355" i="17"/>
  <c r="M355" i="17"/>
  <c r="V354" i="17"/>
  <c r="U354" i="17"/>
  <c r="T354" i="17"/>
  <c r="S354" i="17"/>
  <c r="R354" i="17"/>
  <c r="N354" i="17"/>
  <c r="M354" i="17"/>
  <c r="V353" i="17"/>
  <c r="U353" i="17"/>
  <c r="T353" i="17"/>
  <c r="S353" i="17"/>
  <c r="R353" i="17"/>
  <c r="N353" i="17"/>
  <c r="M353" i="17"/>
  <c r="V352" i="17"/>
  <c r="U352" i="17"/>
  <c r="T352" i="17"/>
  <c r="S352" i="17"/>
  <c r="R352" i="17"/>
  <c r="N352" i="17"/>
  <c r="M352" i="17"/>
  <c r="V351" i="17"/>
  <c r="U351" i="17"/>
  <c r="T351" i="17"/>
  <c r="S351" i="17"/>
  <c r="R351" i="17"/>
  <c r="N351" i="17"/>
  <c r="M351" i="17"/>
  <c r="V350" i="17"/>
  <c r="U350" i="17"/>
  <c r="T350" i="17"/>
  <c r="S350" i="17"/>
  <c r="R350" i="17"/>
  <c r="N350" i="17"/>
  <c r="M350" i="17"/>
  <c r="V349" i="17"/>
  <c r="U349" i="17"/>
  <c r="T349" i="17"/>
  <c r="S349" i="17"/>
  <c r="R349" i="17"/>
  <c r="N349" i="17"/>
  <c r="M349" i="17"/>
  <c r="V348" i="17"/>
  <c r="U348" i="17"/>
  <c r="T348" i="17"/>
  <c r="S348" i="17"/>
  <c r="R348" i="17"/>
  <c r="N348" i="17"/>
  <c r="M348" i="17"/>
  <c r="V347" i="17"/>
  <c r="U347" i="17"/>
  <c r="T347" i="17"/>
  <c r="S347" i="17"/>
  <c r="R347" i="17"/>
  <c r="N347" i="17"/>
  <c r="M347" i="17"/>
  <c r="V346" i="17"/>
  <c r="U346" i="17"/>
  <c r="T346" i="17"/>
  <c r="S346" i="17"/>
  <c r="R346" i="17"/>
  <c r="N346" i="17"/>
  <c r="M346" i="17"/>
  <c r="V345" i="17"/>
  <c r="U345" i="17"/>
  <c r="T345" i="17"/>
  <c r="S345" i="17"/>
  <c r="R345" i="17"/>
  <c r="N345" i="17"/>
  <c r="M345" i="17"/>
  <c r="V344" i="17"/>
  <c r="U344" i="17"/>
  <c r="T344" i="17"/>
  <c r="S344" i="17"/>
  <c r="R344" i="17"/>
  <c r="N344" i="17"/>
  <c r="M344" i="17"/>
  <c r="V343" i="17"/>
  <c r="U343" i="17"/>
  <c r="T343" i="17"/>
  <c r="S343" i="17"/>
  <c r="R343" i="17"/>
  <c r="N343" i="17"/>
  <c r="M343" i="17"/>
  <c r="V342" i="17"/>
  <c r="U342" i="17"/>
  <c r="T342" i="17"/>
  <c r="S342" i="17"/>
  <c r="R342" i="17"/>
  <c r="N342" i="17"/>
  <c r="M342" i="17"/>
  <c r="V341" i="17"/>
  <c r="U341" i="17"/>
  <c r="T341" i="17"/>
  <c r="S341" i="17"/>
  <c r="R341" i="17"/>
  <c r="N341" i="17"/>
  <c r="M341" i="17"/>
  <c r="V340" i="17"/>
  <c r="U340" i="17"/>
  <c r="T340" i="17"/>
  <c r="S340" i="17"/>
  <c r="R340" i="17"/>
  <c r="N340" i="17"/>
  <c r="M340" i="17"/>
  <c r="V339" i="17"/>
  <c r="U339" i="17"/>
  <c r="T339" i="17"/>
  <c r="S339" i="17"/>
  <c r="R339" i="17"/>
  <c r="N339" i="17"/>
  <c r="M339" i="17"/>
  <c r="V338" i="17"/>
  <c r="U338" i="17"/>
  <c r="T338" i="17"/>
  <c r="S338" i="17"/>
  <c r="R338" i="17"/>
  <c r="N338" i="17"/>
  <c r="M338" i="17"/>
  <c r="V337" i="17"/>
  <c r="U337" i="17"/>
  <c r="T337" i="17"/>
  <c r="S337" i="17"/>
  <c r="R337" i="17"/>
  <c r="N337" i="17"/>
  <c r="M337" i="17"/>
  <c r="V336" i="17"/>
  <c r="U336" i="17"/>
  <c r="T336" i="17"/>
  <c r="S336" i="17"/>
  <c r="R336" i="17"/>
  <c r="N336" i="17"/>
  <c r="M336" i="17"/>
  <c r="V335" i="17"/>
  <c r="U335" i="17"/>
  <c r="T335" i="17"/>
  <c r="S335" i="17"/>
  <c r="R335" i="17"/>
  <c r="N335" i="17"/>
  <c r="M335" i="17"/>
  <c r="V334" i="17"/>
  <c r="U334" i="17"/>
  <c r="T334" i="17"/>
  <c r="S334" i="17"/>
  <c r="R334" i="17"/>
  <c r="N334" i="17"/>
  <c r="M334" i="17"/>
  <c r="V333" i="17"/>
  <c r="U333" i="17"/>
  <c r="T333" i="17"/>
  <c r="S333" i="17"/>
  <c r="R333" i="17"/>
  <c r="N333" i="17"/>
  <c r="M333" i="17"/>
  <c r="V332" i="17"/>
  <c r="U332" i="17"/>
  <c r="T332" i="17"/>
  <c r="S332" i="17"/>
  <c r="R332" i="17"/>
  <c r="N332" i="17"/>
  <c r="M332" i="17"/>
  <c r="V331" i="17"/>
  <c r="U331" i="17"/>
  <c r="T331" i="17"/>
  <c r="S331" i="17"/>
  <c r="R331" i="17"/>
  <c r="N331" i="17"/>
  <c r="M331" i="17"/>
  <c r="V330" i="17"/>
  <c r="U330" i="17"/>
  <c r="T330" i="17"/>
  <c r="S330" i="17"/>
  <c r="R330" i="17"/>
  <c r="N330" i="17"/>
  <c r="M330" i="17"/>
  <c r="V329" i="17"/>
  <c r="U329" i="17"/>
  <c r="T329" i="17"/>
  <c r="S329" i="17"/>
  <c r="R329" i="17"/>
  <c r="N329" i="17"/>
  <c r="M329" i="17"/>
  <c r="V328" i="17"/>
  <c r="U328" i="17"/>
  <c r="T328" i="17"/>
  <c r="S328" i="17"/>
  <c r="R328" i="17"/>
  <c r="N328" i="17"/>
  <c r="M328" i="17"/>
  <c r="V327" i="17"/>
  <c r="U327" i="17"/>
  <c r="T327" i="17"/>
  <c r="S327" i="17"/>
  <c r="R327" i="17"/>
  <c r="N327" i="17"/>
  <c r="M327" i="17"/>
  <c r="V326" i="17"/>
  <c r="U326" i="17"/>
  <c r="T326" i="17"/>
  <c r="S326" i="17"/>
  <c r="R326" i="17"/>
  <c r="N326" i="17"/>
  <c r="M326" i="17"/>
  <c r="V325" i="17"/>
  <c r="U325" i="17"/>
  <c r="T325" i="17"/>
  <c r="S325" i="17"/>
  <c r="R325" i="17"/>
  <c r="N325" i="17"/>
  <c r="M325" i="17"/>
  <c r="V324" i="17"/>
  <c r="U324" i="17"/>
  <c r="T324" i="17"/>
  <c r="S324" i="17"/>
  <c r="R324" i="17"/>
  <c r="N324" i="17"/>
  <c r="M324" i="17"/>
  <c r="V323" i="17"/>
  <c r="U323" i="17"/>
  <c r="T323" i="17"/>
  <c r="S323" i="17"/>
  <c r="R323" i="17"/>
  <c r="N323" i="17"/>
  <c r="M323" i="17"/>
  <c r="V322" i="17"/>
  <c r="U322" i="17"/>
  <c r="T322" i="17"/>
  <c r="S322" i="17"/>
  <c r="R322" i="17"/>
  <c r="N322" i="17"/>
  <c r="M322" i="17"/>
  <c r="V321" i="17"/>
  <c r="U321" i="17"/>
  <c r="T321" i="17"/>
  <c r="S321" i="17"/>
  <c r="R321" i="17"/>
  <c r="N321" i="17"/>
  <c r="M321" i="17"/>
  <c r="V320" i="17"/>
  <c r="U320" i="17"/>
  <c r="T320" i="17"/>
  <c r="S320" i="17"/>
  <c r="R320" i="17"/>
  <c r="N320" i="17"/>
  <c r="M320" i="17"/>
  <c r="V319" i="17"/>
  <c r="U319" i="17"/>
  <c r="T319" i="17"/>
  <c r="S319" i="17"/>
  <c r="R319" i="17"/>
  <c r="N319" i="17"/>
  <c r="M319" i="17"/>
  <c r="V318" i="17"/>
  <c r="U318" i="17"/>
  <c r="T318" i="17"/>
  <c r="S318" i="17"/>
  <c r="R318" i="17"/>
  <c r="N318" i="17"/>
  <c r="M318" i="17"/>
  <c r="V317" i="17"/>
  <c r="U317" i="17"/>
  <c r="T317" i="17"/>
  <c r="S317" i="17"/>
  <c r="R317" i="17"/>
  <c r="N317" i="17"/>
  <c r="M317" i="17"/>
  <c r="V316" i="17"/>
  <c r="U316" i="17"/>
  <c r="T316" i="17"/>
  <c r="S316" i="17"/>
  <c r="R316" i="17"/>
  <c r="N316" i="17"/>
  <c r="M316" i="17"/>
  <c r="V315" i="17"/>
  <c r="U315" i="17"/>
  <c r="T315" i="17"/>
  <c r="S315" i="17"/>
  <c r="R315" i="17"/>
  <c r="N315" i="17"/>
  <c r="M315" i="17"/>
  <c r="V314" i="17"/>
  <c r="U314" i="17"/>
  <c r="T314" i="17"/>
  <c r="S314" i="17"/>
  <c r="R314" i="17"/>
  <c r="N314" i="17"/>
  <c r="M314" i="17"/>
  <c r="V313" i="17"/>
  <c r="U313" i="17"/>
  <c r="T313" i="17"/>
  <c r="S313" i="17"/>
  <c r="R313" i="17"/>
  <c r="N313" i="17"/>
  <c r="M313" i="17"/>
  <c r="V312" i="17"/>
  <c r="U312" i="17"/>
  <c r="T312" i="17"/>
  <c r="S312" i="17"/>
  <c r="R312" i="17"/>
  <c r="N312" i="17"/>
  <c r="M312" i="17"/>
  <c r="V311" i="17"/>
  <c r="U311" i="17"/>
  <c r="T311" i="17"/>
  <c r="S311" i="17"/>
  <c r="R311" i="17"/>
  <c r="N311" i="17"/>
  <c r="M311" i="17"/>
  <c r="V310" i="17"/>
  <c r="U310" i="17"/>
  <c r="T310" i="17"/>
  <c r="S310" i="17"/>
  <c r="R310" i="17"/>
  <c r="N310" i="17"/>
  <c r="M310" i="17"/>
  <c r="V309" i="17"/>
  <c r="U309" i="17"/>
  <c r="T309" i="17"/>
  <c r="S309" i="17"/>
  <c r="R309" i="17"/>
  <c r="N309" i="17"/>
  <c r="M309" i="17"/>
  <c r="V308" i="17"/>
  <c r="U308" i="17"/>
  <c r="T308" i="17"/>
  <c r="S308" i="17"/>
  <c r="R308" i="17"/>
  <c r="N308" i="17"/>
  <c r="M308" i="17"/>
  <c r="V307" i="17"/>
  <c r="U307" i="17"/>
  <c r="T307" i="17"/>
  <c r="S307" i="17"/>
  <c r="R307" i="17"/>
  <c r="N307" i="17"/>
  <c r="M307" i="17"/>
  <c r="V306" i="17"/>
  <c r="U306" i="17"/>
  <c r="T306" i="17"/>
  <c r="S306" i="17"/>
  <c r="R306" i="17"/>
  <c r="N306" i="17"/>
  <c r="M306" i="17"/>
  <c r="V305" i="17"/>
  <c r="U305" i="17"/>
  <c r="T305" i="17"/>
  <c r="S305" i="17"/>
  <c r="R305" i="17"/>
  <c r="N305" i="17"/>
  <c r="M305" i="17"/>
  <c r="V304" i="17"/>
  <c r="U304" i="17"/>
  <c r="T304" i="17"/>
  <c r="S304" i="17"/>
  <c r="R304" i="17"/>
  <c r="N304" i="17"/>
  <c r="M304" i="17"/>
  <c r="V303" i="17"/>
  <c r="U303" i="17"/>
  <c r="T303" i="17"/>
  <c r="S303" i="17"/>
  <c r="R303" i="17"/>
  <c r="N303" i="17"/>
  <c r="M303" i="17"/>
  <c r="V302" i="17"/>
  <c r="U302" i="17"/>
  <c r="T302" i="17"/>
  <c r="S302" i="17"/>
  <c r="R302" i="17"/>
  <c r="N302" i="17"/>
  <c r="M302" i="17"/>
  <c r="V301" i="17"/>
  <c r="U301" i="17"/>
  <c r="T301" i="17"/>
  <c r="S301" i="17"/>
  <c r="R301" i="17"/>
  <c r="N301" i="17"/>
  <c r="M301" i="17"/>
  <c r="V300" i="17"/>
  <c r="U300" i="17"/>
  <c r="T300" i="17"/>
  <c r="S300" i="17"/>
  <c r="R300" i="17"/>
  <c r="N300" i="17"/>
  <c r="M300" i="17"/>
  <c r="V299" i="17"/>
  <c r="U299" i="17"/>
  <c r="T299" i="17"/>
  <c r="S299" i="17"/>
  <c r="R299" i="17"/>
  <c r="N299" i="17"/>
  <c r="M299" i="17"/>
  <c r="V298" i="17"/>
  <c r="U298" i="17"/>
  <c r="T298" i="17"/>
  <c r="S298" i="17"/>
  <c r="R298" i="17"/>
  <c r="N298" i="17"/>
  <c r="M298" i="17"/>
  <c r="V297" i="17"/>
  <c r="U297" i="17"/>
  <c r="T297" i="17"/>
  <c r="S297" i="17"/>
  <c r="R297" i="17"/>
  <c r="N297" i="17"/>
  <c r="M297" i="17"/>
  <c r="V296" i="17"/>
  <c r="U296" i="17"/>
  <c r="T296" i="17"/>
  <c r="S296" i="17"/>
  <c r="R296" i="17"/>
  <c r="N296" i="17"/>
  <c r="M296" i="17"/>
  <c r="V295" i="17"/>
  <c r="U295" i="17"/>
  <c r="T295" i="17"/>
  <c r="S295" i="17"/>
  <c r="R295" i="17"/>
  <c r="N295" i="17"/>
  <c r="M295" i="17"/>
  <c r="V294" i="17"/>
  <c r="U294" i="17"/>
  <c r="T294" i="17"/>
  <c r="S294" i="17"/>
  <c r="R294" i="17"/>
  <c r="N294" i="17"/>
  <c r="M294" i="17"/>
  <c r="V293" i="17"/>
  <c r="U293" i="17"/>
  <c r="T293" i="17"/>
  <c r="S293" i="17"/>
  <c r="R293" i="17"/>
  <c r="N293" i="17"/>
  <c r="M293" i="17"/>
  <c r="V292" i="17"/>
  <c r="U292" i="17"/>
  <c r="T292" i="17"/>
  <c r="S292" i="17"/>
  <c r="R292" i="17"/>
  <c r="N292" i="17"/>
  <c r="M292" i="17"/>
  <c r="V291" i="17"/>
  <c r="U291" i="17"/>
  <c r="T291" i="17"/>
  <c r="S291" i="17"/>
  <c r="R291" i="17"/>
  <c r="N291" i="17"/>
  <c r="M291" i="17"/>
  <c r="V290" i="17"/>
  <c r="U290" i="17"/>
  <c r="T290" i="17"/>
  <c r="S290" i="17"/>
  <c r="R290" i="17"/>
  <c r="N290" i="17"/>
  <c r="M290" i="17"/>
  <c r="V289" i="17"/>
  <c r="U289" i="17"/>
  <c r="T289" i="17"/>
  <c r="S289" i="17"/>
  <c r="R289" i="17"/>
  <c r="N289" i="17"/>
  <c r="M289" i="17"/>
  <c r="V288" i="17"/>
  <c r="U288" i="17"/>
  <c r="T288" i="17"/>
  <c r="S288" i="17"/>
  <c r="R288" i="17"/>
  <c r="N288" i="17"/>
  <c r="M288" i="17"/>
  <c r="V287" i="17"/>
  <c r="U287" i="17"/>
  <c r="T287" i="17"/>
  <c r="S287" i="17"/>
  <c r="R287" i="17"/>
  <c r="N287" i="17"/>
  <c r="M287" i="17"/>
  <c r="V286" i="17"/>
  <c r="U286" i="17"/>
  <c r="T286" i="17"/>
  <c r="S286" i="17"/>
  <c r="R286" i="17"/>
  <c r="N286" i="17"/>
  <c r="M286" i="17"/>
  <c r="V285" i="17"/>
  <c r="U285" i="17"/>
  <c r="T285" i="17"/>
  <c r="S285" i="17"/>
  <c r="R285" i="17"/>
  <c r="N285" i="17"/>
  <c r="M285" i="17"/>
  <c r="V284" i="17"/>
  <c r="U284" i="17"/>
  <c r="T284" i="17"/>
  <c r="S284" i="17"/>
  <c r="R284" i="17"/>
  <c r="N284" i="17"/>
  <c r="M284" i="17"/>
  <c r="V283" i="17"/>
  <c r="U283" i="17"/>
  <c r="T283" i="17"/>
  <c r="S283" i="17"/>
  <c r="R283" i="17"/>
  <c r="N283" i="17"/>
  <c r="M283" i="17"/>
  <c r="V282" i="17"/>
  <c r="U282" i="17"/>
  <c r="T282" i="17"/>
  <c r="S282" i="17"/>
  <c r="R282" i="17"/>
  <c r="N282" i="17"/>
  <c r="M282" i="17"/>
  <c r="V281" i="17"/>
  <c r="U281" i="17"/>
  <c r="T281" i="17"/>
  <c r="S281" i="17"/>
  <c r="R281" i="17"/>
  <c r="N281" i="17"/>
  <c r="M281" i="17"/>
  <c r="V280" i="17"/>
  <c r="U280" i="17"/>
  <c r="T280" i="17"/>
  <c r="S280" i="17"/>
  <c r="R280" i="17"/>
  <c r="N280" i="17"/>
  <c r="M280" i="17"/>
  <c r="V279" i="17"/>
  <c r="U279" i="17"/>
  <c r="T279" i="17"/>
  <c r="S279" i="17"/>
  <c r="R279" i="17"/>
  <c r="N279" i="17"/>
  <c r="M279" i="17"/>
  <c r="V278" i="17"/>
  <c r="U278" i="17"/>
  <c r="T278" i="17"/>
  <c r="S278" i="17"/>
  <c r="R278" i="17"/>
  <c r="N278" i="17"/>
  <c r="M278" i="17"/>
  <c r="V277" i="17"/>
  <c r="U277" i="17"/>
  <c r="T277" i="17"/>
  <c r="S277" i="17"/>
  <c r="R277" i="17"/>
  <c r="N277" i="17"/>
  <c r="M277" i="17"/>
  <c r="V276" i="17"/>
  <c r="U276" i="17"/>
  <c r="T276" i="17"/>
  <c r="S276" i="17"/>
  <c r="R276" i="17"/>
  <c r="N276" i="17"/>
  <c r="M276" i="17"/>
  <c r="V275" i="17"/>
  <c r="U275" i="17"/>
  <c r="T275" i="17"/>
  <c r="S275" i="17"/>
  <c r="R275" i="17"/>
  <c r="N275" i="17"/>
  <c r="M275" i="17"/>
  <c r="V274" i="17"/>
  <c r="U274" i="17"/>
  <c r="T274" i="17"/>
  <c r="S274" i="17"/>
  <c r="R274" i="17"/>
  <c r="N274" i="17"/>
  <c r="M274" i="17"/>
  <c r="V273" i="17"/>
  <c r="U273" i="17"/>
  <c r="T273" i="17"/>
  <c r="S273" i="17"/>
  <c r="R273" i="17"/>
  <c r="N273" i="17"/>
  <c r="M273" i="17"/>
  <c r="V272" i="17"/>
  <c r="U272" i="17"/>
  <c r="T272" i="17"/>
  <c r="S272" i="17"/>
  <c r="R272" i="17"/>
  <c r="N272" i="17"/>
  <c r="M272" i="17"/>
  <c r="V271" i="17"/>
  <c r="U271" i="17"/>
  <c r="T271" i="17"/>
  <c r="S271" i="17"/>
  <c r="R271" i="17"/>
  <c r="N271" i="17"/>
  <c r="M271" i="17"/>
  <c r="V270" i="17"/>
  <c r="U270" i="17"/>
  <c r="T270" i="17"/>
  <c r="S270" i="17"/>
  <c r="R270" i="17"/>
  <c r="N270" i="17"/>
  <c r="M270" i="17"/>
  <c r="V269" i="17"/>
  <c r="U269" i="17"/>
  <c r="T269" i="17"/>
  <c r="S269" i="17"/>
  <c r="R269" i="17"/>
  <c r="N269" i="17"/>
  <c r="M269" i="17"/>
  <c r="V268" i="17"/>
  <c r="U268" i="17"/>
  <c r="T268" i="17"/>
  <c r="S268" i="17"/>
  <c r="R268" i="17"/>
  <c r="N268" i="17"/>
  <c r="M268" i="17"/>
  <c r="V267" i="17"/>
  <c r="U267" i="17"/>
  <c r="T267" i="17"/>
  <c r="S267" i="17"/>
  <c r="R267" i="17"/>
  <c r="N267" i="17"/>
  <c r="M267" i="17"/>
  <c r="V266" i="17"/>
  <c r="U266" i="17"/>
  <c r="T266" i="17"/>
  <c r="S266" i="17"/>
  <c r="R266" i="17"/>
  <c r="N266" i="17"/>
  <c r="M266" i="17"/>
  <c r="V265" i="17"/>
  <c r="U265" i="17"/>
  <c r="T265" i="17"/>
  <c r="S265" i="17"/>
  <c r="R265" i="17"/>
  <c r="N265" i="17"/>
  <c r="M265" i="17"/>
  <c r="V264" i="17"/>
  <c r="U264" i="17"/>
  <c r="T264" i="17"/>
  <c r="S264" i="17"/>
  <c r="R264" i="17"/>
  <c r="N264" i="17"/>
  <c r="M264" i="17"/>
  <c r="V263" i="17"/>
  <c r="U263" i="17"/>
  <c r="T263" i="17"/>
  <c r="S263" i="17"/>
  <c r="R263" i="17"/>
  <c r="N263" i="17"/>
  <c r="M263" i="17"/>
  <c r="V262" i="17"/>
  <c r="U262" i="17"/>
  <c r="T262" i="17"/>
  <c r="S262" i="17"/>
  <c r="R262" i="17"/>
  <c r="N262" i="17"/>
  <c r="M262" i="17"/>
  <c r="V261" i="17"/>
  <c r="U261" i="17"/>
  <c r="T261" i="17"/>
  <c r="S261" i="17"/>
  <c r="R261" i="17"/>
  <c r="N261" i="17"/>
  <c r="M261" i="17"/>
  <c r="V260" i="17"/>
  <c r="U260" i="17"/>
  <c r="T260" i="17"/>
  <c r="S260" i="17"/>
  <c r="R260" i="17"/>
  <c r="N260" i="17"/>
  <c r="M260" i="17"/>
  <c r="V259" i="17"/>
  <c r="U259" i="17"/>
  <c r="T259" i="17"/>
  <c r="S259" i="17"/>
  <c r="R259" i="17"/>
  <c r="N259" i="17"/>
  <c r="M259" i="17"/>
  <c r="V258" i="17"/>
  <c r="U258" i="17"/>
  <c r="T258" i="17"/>
  <c r="S258" i="17"/>
  <c r="R258" i="17"/>
  <c r="N258" i="17"/>
  <c r="M258" i="17"/>
  <c r="V257" i="17"/>
  <c r="U257" i="17"/>
  <c r="T257" i="17"/>
  <c r="S257" i="17"/>
  <c r="R257" i="17"/>
  <c r="N257" i="17"/>
  <c r="M257" i="17"/>
  <c r="V256" i="17"/>
  <c r="U256" i="17"/>
  <c r="T256" i="17"/>
  <c r="S256" i="17"/>
  <c r="R256" i="17"/>
  <c r="N256" i="17"/>
  <c r="M256" i="17"/>
  <c r="V255" i="17"/>
  <c r="U255" i="17"/>
  <c r="T255" i="17"/>
  <c r="S255" i="17"/>
  <c r="R255" i="17"/>
  <c r="N255" i="17"/>
  <c r="M255" i="17"/>
  <c r="V254" i="17"/>
  <c r="U254" i="17"/>
  <c r="T254" i="17"/>
  <c r="S254" i="17"/>
  <c r="R254" i="17"/>
  <c r="N254" i="17"/>
  <c r="M254" i="17"/>
  <c r="V253" i="17"/>
  <c r="U253" i="17"/>
  <c r="T253" i="17"/>
  <c r="S253" i="17"/>
  <c r="R253" i="17"/>
  <c r="N253" i="17"/>
  <c r="M253" i="17"/>
  <c r="V252" i="17"/>
  <c r="U252" i="17"/>
  <c r="T252" i="17"/>
  <c r="S252" i="17"/>
  <c r="R252" i="17"/>
  <c r="N252" i="17"/>
  <c r="M252" i="17"/>
  <c r="V251" i="17"/>
  <c r="U251" i="17"/>
  <c r="T251" i="17"/>
  <c r="S251" i="17"/>
  <c r="R251" i="17"/>
  <c r="N251" i="17"/>
  <c r="M251" i="17"/>
  <c r="V250" i="17"/>
  <c r="U250" i="17"/>
  <c r="T250" i="17"/>
  <c r="S250" i="17"/>
  <c r="R250" i="17"/>
  <c r="N250" i="17"/>
  <c r="M250" i="17"/>
  <c r="V249" i="17"/>
  <c r="U249" i="17"/>
  <c r="T249" i="17"/>
  <c r="S249" i="17"/>
  <c r="R249" i="17"/>
  <c r="N249" i="17"/>
  <c r="M249" i="17"/>
  <c r="V248" i="17"/>
  <c r="U248" i="17"/>
  <c r="T248" i="17"/>
  <c r="S248" i="17"/>
  <c r="R248" i="17"/>
  <c r="N248" i="17"/>
  <c r="M248" i="17"/>
  <c r="V247" i="17"/>
  <c r="U247" i="17"/>
  <c r="T247" i="17"/>
  <c r="S247" i="17"/>
  <c r="R247" i="17"/>
  <c r="N247" i="17"/>
  <c r="M247" i="17"/>
  <c r="V246" i="17"/>
  <c r="U246" i="17"/>
  <c r="T246" i="17"/>
  <c r="S246" i="17"/>
  <c r="R246" i="17"/>
  <c r="N246" i="17"/>
  <c r="M246" i="17"/>
  <c r="V245" i="17"/>
  <c r="U245" i="17"/>
  <c r="T245" i="17"/>
  <c r="S245" i="17"/>
  <c r="R245" i="17"/>
  <c r="N245" i="17"/>
  <c r="M245" i="17"/>
  <c r="V244" i="17"/>
  <c r="U244" i="17"/>
  <c r="T244" i="17"/>
  <c r="S244" i="17"/>
  <c r="R244" i="17"/>
  <c r="N244" i="17"/>
  <c r="M244" i="17"/>
  <c r="V243" i="17"/>
  <c r="U243" i="17"/>
  <c r="T243" i="17"/>
  <c r="S243" i="17"/>
  <c r="R243" i="17"/>
  <c r="N243" i="17"/>
  <c r="M243" i="17"/>
  <c r="V242" i="17"/>
  <c r="U242" i="17"/>
  <c r="T242" i="17"/>
  <c r="S242" i="17"/>
  <c r="R242" i="17"/>
  <c r="N242" i="17"/>
  <c r="M242" i="17"/>
  <c r="V241" i="17"/>
  <c r="U241" i="17"/>
  <c r="T241" i="17"/>
  <c r="S241" i="17"/>
  <c r="R241" i="17"/>
  <c r="N241" i="17"/>
  <c r="M241" i="17"/>
  <c r="V240" i="17"/>
  <c r="U240" i="17"/>
  <c r="T240" i="17"/>
  <c r="S240" i="17"/>
  <c r="R240" i="17"/>
  <c r="N240" i="17"/>
  <c r="M240" i="17"/>
  <c r="V239" i="17"/>
  <c r="U239" i="17"/>
  <c r="T239" i="17"/>
  <c r="S239" i="17"/>
  <c r="R239" i="17"/>
  <c r="N239" i="17"/>
  <c r="M239" i="17"/>
  <c r="V238" i="17"/>
  <c r="U238" i="17"/>
  <c r="T238" i="17"/>
  <c r="S238" i="17"/>
  <c r="R238" i="17"/>
  <c r="N238" i="17"/>
  <c r="M238" i="17"/>
  <c r="V237" i="17"/>
  <c r="U237" i="17"/>
  <c r="T237" i="17"/>
  <c r="S237" i="17"/>
  <c r="R237" i="17"/>
  <c r="N237" i="17"/>
  <c r="M237" i="17"/>
  <c r="V236" i="17"/>
  <c r="U236" i="17"/>
  <c r="T236" i="17"/>
  <c r="S236" i="17"/>
  <c r="R236" i="17"/>
  <c r="N236" i="17"/>
  <c r="M236" i="17"/>
  <c r="V235" i="17"/>
  <c r="U235" i="17"/>
  <c r="T235" i="17"/>
  <c r="S235" i="17"/>
  <c r="R235" i="17"/>
  <c r="N235" i="17"/>
  <c r="M235" i="17"/>
  <c r="V234" i="17"/>
  <c r="U234" i="17"/>
  <c r="T234" i="17"/>
  <c r="S234" i="17"/>
  <c r="R234" i="17"/>
  <c r="N234" i="17"/>
  <c r="M234" i="17"/>
  <c r="V233" i="17"/>
  <c r="U233" i="17"/>
  <c r="T233" i="17"/>
  <c r="S233" i="17"/>
  <c r="R233" i="17"/>
  <c r="N233" i="17"/>
  <c r="M233" i="17"/>
  <c r="V232" i="17"/>
  <c r="U232" i="17"/>
  <c r="T232" i="17"/>
  <c r="S232" i="17"/>
  <c r="R232" i="17"/>
  <c r="N232" i="17"/>
  <c r="M232" i="17"/>
  <c r="V231" i="17"/>
  <c r="U231" i="17"/>
  <c r="T231" i="17"/>
  <c r="S231" i="17"/>
  <c r="R231" i="17"/>
  <c r="N231" i="17"/>
  <c r="M231" i="17"/>
  <c r="V230" i="17"/>
  <c r="U230" i="17"/>
  <c r="T230" i="17"/>
  <c r="S230" i="17"/>
  <c r="R230" i="17"/>
  <c r="N230" i="17"/>
  <c r="M230" i="17"/>
  <c r="V229" i="17"/>
  <c r="U229" i="17"/>
  <c r="T229" i="17"/>
  <c r="S229" i="17"/>
  <c r="R229" i="17"/>
  <c r="N229" i="17"/>
  <c r="M229" i="17"/>
  <c r="V228" i="17"/>
  <c r="U228" i="17"/>
  <c r="T228" i="17"/>
  <c r="S228" i="17"/>
  <c r="R228" i="17"/>
  <c r="N228" i="17"/>
  <c r="M228" i="17"/>
  <c r="V227" i="17"/>
  <c r="U227" i="17"/>
  <c r="T227" i="17"/>
  <c r="S227" i="17"/>
  <c r="R227" i="17"/>
  <c r="N227" i="17"/>
  <c r="M227" i="17"/>
  <c r="V226" i="17"/>
  <c r="U226" i="17"/>
  <c r="T226" i="17"/>
  <c r="S226" i="17"/>
  <c r="R226" i="17"/>
  <c r="N226" i="17"/>
  <c r="M226" i="17"/>
  <c r="V225" i="17"/>
  <c r="U225" i="17"/>
  <c r="T225" i="17"/>
  <c r="S225" i="17"/>
  <c r="R225" i="17"/>
  <c r="N225" i="17"/>
  <c r="M225" i="17"/>
  <c r="V224" i="17"/>
  <c r="U224" i="17"/>
  <c r="T224" i="17"/>
  <c r="S224" i="17"/>
  <c r="R224" i="17"/>
  <c r="N224" i="17"/>
  <c r="M224" i="17"/>
  <c r="V223" i="17"/>
  <c r="U223" i="17"/>
  <c r="T223" i="17"/>
  <c r="S223" i="17"/>
  <c r="R223" i="17"/>
  <c r="N223" i="17"/>
  <c r="V222" i="17"/>
  <c r="U222" i="17"/>
  <c r="T222" i="17"/>
  <c r="S222" i="17"/>
  <c r="R222" i="17"/>
  <c r="N222" i="17"/>
  <c r="V221" i="17"/>
  <c r="U221" i="17"/>
  <c r="T221" i="17"/>
  <c r="S221" i="17"/>
  <c r="R221" i="17"/>
  <c r="N221" i="17"/>
  <c r="M221" i="17"/>
  <c r="V220" i="17"/>
  <c r="U220" i="17"/>
  <c r="T220" i="17"/>
  <c r="S220" i="17"/>
  <c r="R220" i="17"/>
  <c r="N220" i="17"/>
  <c r="M220" i="17"/>
  <c r="V219" i="17"/>
  <c r="U219" i="17"/>
  <c r="T219" i="17"/>
  <c r="S219" i="17"/>
  <c r="R219" i="17"/>
  <c r="N219" i="17"/>
  <c r="M219" i="17"/>
  <c r="V218" i="17"/>
  <c r="U218" i="17"/>
  <c r="T218" i="17"/>
  <c r="S218" i="17"/>
  <c r="R218" i="17"/>
  <c r="N218" i="17"/>
  <c r="M218" i="17"/>
  <c r="V217" i="17"/>
  <c r="U217" i="17"/>
  <c r="T217" i="17"/>
  <c r="S217" i="17"/>
  <c r="R217" i="17"/>
  <c r="N217" i="17"/>
  <c r="M217" i="17"/>
  <c r="V216" i="17"/>
  <c r="U216" i="17"/>
  <c r="T216" i="17"/>
  <c r="S216" i="17"/>
  <c r="R216" i="17"/>
  <c r="N216" i="17"/>
  <c r="M216" i="17"/>
  <c r="V215" i="17"/>
  <c r="U215" i="17"/>
  <c r="T215" i="17"/>
  <c r="S215" i="17"/>
  <c r="R215" i="17"/>
  <c r="N215" i="17"/>
  <c r="M215" i="17"/>
  <c r="V214" i="17"/>
  <c r="U214" i="17"/>
  <c r="T214" i="17"/>
  <c r="S214" i="17"/>
  <c r="R214" i="17"/>
  <c r="N214" i="17"/>
  <c r="M214" i="17"/>
  <c r="V213" i="17"/>
  <c r="U213" i="17"/>
  <c r="T213" i="17"/>
  <c r="S213" i="17"/>
  <c r="R213" i="17"/>
  <c r="N213" i="17"/>
  <c r="M213" i="17"/>
  <c r="V212" i="17"/>
  <c r="U212" i="17"/>
  <c r="T212" i="17"/>
  <c r="S212" i="17"/>
  <c r="R212" i="17"/>
  <c r="N212" i="17"/>
  <c r="M212" i="17"/>
  <c r="V211" i="17"/>
  <c r="U211" i="17"/>
  <c r="T211" i="17"/>
  <c r="S211" i="17"/>
  <c r="R211" i="17"/>
  <c r="N211" i="17"/>
  <c r="M211" i="17"/>
  <c r="V210" i="17"/>
  <c r="U210" i="17"/>
  <c r="T210" i="17"/>
  <c r="S210" i="17"/>
  <c r="R210" i="17"/>
  <c r="N210" i="17"/>
  <c r="M210" i="17"/>
  <c r="V209" i="17"/>
  <c r="U209" i="17"/>
  <c r="T209" i="17"/>
  <c r="S209" i="17"/>
  <c r="R209" i="17"/>
  <c r="N209" i="17"/>
  <c r="M209" i="17"/>
  <c r="V208" i="17"/>
  <c r="U208" i="17"/>
  <c r="T208" i="17"/>
  <c r="S208" i="17"/>
  <c r="R208" i="17"/>
  <c r="N208" i="17"/>
  <c r="M208" i="17"/>
  <c r="V207" i="17"/>
  <c r="U207" i="17"/>
  <c r="T207" i="17"/>
  <c r="S207" i="17"/>
  <c r="R207" i="17"/>
  <c r="N207" i="17"/>
  <c r="M207" i="17"/>
  <c r="V206" i="17"/>
  <c r="U206" i="17"/>
  <c r="T206" i="17"/>
  <c r="S206" i="17"/>
  <c r="R206" i="17"/>
  <c r="N206" i="17"/>
  <c r="M206" i="17"/>
  <c r="V205" i="17"/>
  <c r="U205" i="17"/>
  <c r="T205" i="17"/>
  <c r="S205" i="17"/>
  <c r="R205" i="17"/>
  <c r="N205" i="17"/>
  <c r="M205" i="17"/>
  <c r="V204" i="17"/>
  <c r="U204" i="17"/>
  <c r="T204" i="17"/>
  <c r="S204" i="17"/>
  <c r="R204" i="17"/>
  <c r="N204" i="17"/>
  <c r="V203" i="17"/>
  <c r="U203" i="17"/>
  <c r="T203" i="17"/>
  <c r="S203" i="17"/>
  <c r="R203" i="17"/>
  <c r="N203" i="17"/>
  <c r="V202" i="17"/>
  <c r="U202" i="17"/>
  <c r="T202" i="17"/>
  <c r="S202" i="17"/>
  <c r="R202" i="17"/>
  <c r="N202" i="17"/>
  <c r="M202" i="17"/>
  <c r="V201" i="17"/>
  <c r="U201" i="17"/>
  <c r="T201" i="17"/>
  <c r="S201" i="17"/>
  <c r="R201" i="17"/>
  <c r="N201" i="17"/>
  <c r="M201" i="17"/>
  <c r="V200" i="17"/>
  <c r="U200" i="17"/>
  <c r="T200" i="17"/>
  <c r="S200" i="17"/>
  <c r="R200" i="17"/>
  <c r="N200" i="17"/>
  <c r="M200" i="17"/>
  <c r="V199" i="17"/>
  <c r="U199" i="17"/>
  <c r="T199" i="17"/>
  <c r="S199" i="17"/>
  <c r="R199" i="17"/>
  <c r="N199" i="17"/>
  <c r="M199" i="17"/>
  <c r="V198" i="17"/>
  <c r="U198" i="17"/>
  <c r="T198" i="17"/>
  <c r="S198" i="17"/>
  <c r="R198" i="17"/>
  <c r="N198" i="17"/>
  <c r="M198" i="17"/>
  <c r="V197" i="17"/>
  <c r="U197" i="17"/>
  <c r="T197" i="17"/>
  <c r="S197" i="17"/>
  <c r="R197" i="17"/>
  <c r="N197" i="17"/>
  <c r="M197" i="17"/>
  <c r="V196" i="17"/>
  <c r="U196" i="17"/>
  <c r="T196" i="17"/>
  <c r="S196" i="17"/>
  <c r="R196" i="17"/>
  <c r="N196" i="17"/>
  <c r="M196" i="17"/>
  <c r="V195" i="17"/>
  <c r="U195" i="17"/>
  <c r="T195" i="17"/>
  <c r="S195" i="17"/>
  <c r="R195" i="17"/>
  <c r="N195" i="17"/>
  <c r="M195" i="17"/>
  <c r="V194" i="17"/>
  <c r="U194" i="17"/>
  <c r="T194" i="17"/>
  <c r="S194" i="17"/>
  <c r="R194" i="17"/>
  <c r="N194" i="17"/>
  <c r="M194" i="17"/>
  <c r="V193" i="17"/>
  <c r="U193" i="17"/>
  <c r="T193" i="17"/>
  <c r="S193" i="17"/>
  <c r="R193" i="17"/>
  <c r="N193" i="17"/>
  <c r="M193" i="17"/>
  <c r="V192" i="17"/>
  <c r="U192" i="17"/>
  <c r="T192" i="17"/>
  <c r="S192" i="17"/>
  <c r="R192" i="17"/>
  <c r="N192" i="17"/>
  <c r="M192" i="17"/>
  <c r="V191" i="17"/>
  <c r="U191" i="17"/>
  <c r="T191" i="17"/>
  <c r="S191" i="17"/>
  <c r="R191" i="17"/>
  <c r="N191" i="17"/>
  <c r="M191" i="17"/>
  <c r="V190" i="17"/>
  <c r="U190" i="17"/>
  <c r="T190" i="17"/>
  <c r="S190" i="17"/>
  <c r="R190" i="17"/>
  <c r="N190" i="17"/>
  <c r="M190" i="17"/>
  <c r="V189" i="17"/>
  <c r="U189" i="17"/>
  <c r="T189" i="17"/>
  <c r="S189" i="17"/>
  <c r="R189" i="17"/>
  <c r="N189" i="17"/>
  <c r="M189" i="17"/>
  <c r="V188" i="17"/>
  <c r="U188" i="17"/>
  <c r="T188" i="17"/>
  <c r="S188" i="17"/>
  <c r="R188" i="17"/>
  <c r="N188" i="17"/>
  <c r="M188" i="17"/>
  <c r="V187" i="17"/>
  <c r="U187" i="17"/>
  <c r="T187" i="17"/>
  <c r="S187" i="17"/>
  <c r="R187" i="17"/>
  <c r="N187" i="17"/>
  <c r="M187" i="17"/>
  <c r="V186" i="17"/>
  <c r="U186" i="17"/>
  <c r="T186" i="17"/>
  <c r="S186" i="17"/>
  <c r="R186" i="17"/>
  <c r="N186" i="17"/>
  <c r="M186" i="17"/>
  <c r="V185" i="17"/>
  <c r="U185" i="17"/>
  <c r="T185" i="17"/>
  <c r="S185" i="17"/>
  <c r="R185" i="17"/>
  <c r="N185" i="17"/>
  <c r="V184" i="17"/>
  <c r="U184" i="17"/>
  <c r="T184" i="17"/>
  <c r="S184" i="17"/>
  <c r="R184" i="17"/>
  <c r="N184" i="17"/>
  <c r="V183" i="17"/>
  <c r="U183" i="17"/>
  <c r="T183" i="17"/>
  <c r="S183" i="17"/>
  <c r="R183" i="17"/>
  <c r="N183" i="17"/>
  <c r="M183" i="17"/>
  <c r="V182" i="17"/>
  <c r="U182" i="17"/>
  <c r="T182" i="17"/>
  <c r="S182" i="17"/>
  <c r="R182" i="17"/>
  <c r="N182" i="17"/>
  <c r="M182" i="17"/>
  <c r="V181" i="17"/>
  <c r="U181" i="17"/>
  <c r="T181" i="17"/>
  <c r="S181" i="17"/>
  <c r="R181" i="17"/>
  <c r="N181" i="17"/>
  <c r="M181" i="17"/>
  <c r="V180" i="17"/>
  <c r="U180" i="17"/>
  <c r="T180" i="17"/>
  <c r="S180" i="17"/>
  <c r="R180" i="17"/>
  <c r="N180" i="17"/>
  <c r="M180" i="17"/>
  <c r="V179" i="17"/>
  <c r="U179" i="17"/>
  <c r="T179" i="17"/>
  <c r="S179" i="17"/>
  <c r="R179" i="17"/>
  <c r="N179" i="17"/>
  <c r="M179" i="17"/>
  <c r="V178" i="17"/>
  <c r="U178" i="17"/>
  <c r="T178" i="17"/>
  <c r="S178" i="17"/>
  <c r="R178" i="17"/>
  <c r="N178" i="17"/>
  <c r="M178" i="17"/>
  <c r="V177" i="17"/>
  <c r="U177" i="17"/>
  <c r="T177" i="17"/>
  <c r="S177" i="17"/>
  <c r="R177" i="17"/>
  <c r="N177" i="17"/>
  <c r="M177" i="17"/>
  <c r="V176" i="17"/>
  <c r="U176" i="17"/>
  <c r="T176" i="17"/>
  <c r="S176" i="17"/>
  <c r="R176" i="17"/>
  <c r="N176" i="17"/>
  <c r="M176" i="17"/>
  <c r="V175" i="17"/>
  <c r="U175" i="17"/>
  <c r="T175" i="17"/>
  <c r="S175" i="17"/>
  <c r="R175" i="17"/>
  <c r="N175" i="17"/>
  <c r="M175" i="17"/>
  <c r="V174" i="17"/>
  <c r="U174" i="17"/>
  <c r="T174" i="17"/>
  <c r="S174" i="17"/>
  <c r="R174" i="17"/>
  <c r="N174" i="17"/>
  <c r="M174" i="17"/>
  <c r="V173" i="17"/>
  <c r="U173" i="17"/>
  <c r="T173" i="17"/>
  <c r="S173" i="17"/>
  <c r="R173" i="17"/>
  <c r="N173" i="17"/>
  <c r="M173" i="17"/>
  <c r="V172" i="17"/>
  <c r="U172" i="17"/>
  <c r="T172" i="17"/>
  <c r="S172" i="17"/>
  <c r="R172" i="17"/>
  <c r="N172" i="17"/>
  <c r="M172" i="17"/>
  <c r="V171" i="17"/>
  <c r="U171" i="17"/>
  <c r="T171" i="17"/>
  <c r="S171" i="17"/>
  <c r="R171" i="17"/>
  <c r="N171" i="17"/>
  <c r="M171" i="17"/>
  <c r="V170" i="17"/>
  <c r="U170" i="17"/>
  <c r="T170" i="17"/>
  <c r="S170" i="17"/>
  <c r="R170" i="17"/>
  <c r="N170" i="17"/>
  <c r="M170" i="17"/>
  <c r="V169" i="17"/>
  <c r="U169" i="17"/>
  <c r="T169" i="17"/>
  <c r="S169" i="17"/>
  <c r="R169" i="17"/>
  <c r="N169" i="17"/>
  <c r="M169" i="17"/>
  <c r="V168" i="17"/>
  <c r="U168" i="17"/>
  <c r="T168" i="17"/>
  <c r="S168" i="17"/>
  <c r="R168" i="17"/>
  <c r="N168" i="17"/>
  <c r="M168" i="17"/>
  <c r="V167" i="17"/>
  <c r="U167" i="17"/>
  <c r="T167" i="17"/>
  <c r="S167" i="17"/>
  <c r="R167" i="17"/>
  <c r="N167" i="17"/>
  <c r="M167" i="17"/>
  <c r="V166" i="17"/>
  <c r="U166" i="17"/>
  <c r="T166" i="17"/>
  <c r="S166" i="17"/>
  <c r="R166" i="17"/>
  <c r="N166" i="17"/>
  <c r="V165" i="17"/>
  <c r="U165" i="17"/>
  <c r="T165" i="17"/>
  <c r="S165" i="17"/>
  <c r="R165" i="17"/>
  <c r="N165" i="17"/>
  <c r="V164" i="17"/>
  <c r="U164" i="17"/>
  <c r="T164" i="17"/>
  <c r="S164" i="17"/>
  <c r="R164" i="17"/>
  <c r="N164" i="17"/>
  <c r="M164" i="17"/>
  <c r="V163" i="17"/>
  <c r="U163" i="17"/>
  <c r="T163" i="17"/>
  <c r="S163" i="17"/>
  <c r="R163" i="17"/>
  <c r="N163" i="17"/>
  <c r="M163" i="17"/>
  <c r="V162" i="17"/>
  <c r="U162" i="17"/>
  <c r="T162" i="17"/>
  <c r="S162" i="17"/>
  <c r="R162" i="17"/>
  <c r="N162" i="17"/>
  <c r="M162" i="17"/>
  <c r="V161" i="17"/>
  <c r="U161" i="17"/>
  <c r="T161" i="17"/>
  <c r="S161" i="17"/>
  <c r="R161" i="17"/>
  <c r="N161" i="17"/>
  <c r="M161" i="17"/>
  <c r="V160" i="17"/>
  <c r="U160" i="17"/>
  <c r="T160" i="17"/>
  <c r="S160" i="17"/>
  <c r="R160" i="17"/>
  <c r="N160" i="17"/>
  <c r="M160" i="17"/>
  <c r="V159" i="17"/>
  <c r="U159" i="17"/>
  <c r="T159" i="17"/>
  <c r="S159" i="17"/>
  <c r="R159" i="17"/>
  <c r="N159" i="17"/>
  <c r="M159" i="17"/>
  <c r="V158" i="17"/>
  <c r="U158" i="17"/>
  <c r="T158" i="17"/>
  <c r="S158" i="17"/>
  <c r="R158" i="17"/>
  <c r="N158" i="17"/>
  <c r="M158" i="17"/>
  <c r="V157" i="17"/>
  <c r="U157" i="17"/>
  <c r="T157" i="17"/>
  <c r="S157" i="17"/>
  <c r="R157" i="17"/>
  <c r="N157" i="17"/>
  <c r="M157" i="17"/>
  <c r="V156" i="17"/>
  <c r="U156" i="17"/>
  <c r="T156" i="17"/>
  <c r="S156" i="17"/>
  <c r="R156" i="17"/>
  <c r="N156" i="17"/>
  <c r="M156" i="17"/>
  <c r="V155" i="17"/>
  <c r="U155" i="17"/>
  <c r="T155" i="17"/>
  <c r="S155" i="17"/>
  <c r="R155" i="17"/>
  <c r="N155" i="17"/>
  <c r="M155" i="17"/>
  <c r="V154" i="17"/>
  <c r="U154" i="17"/>
  <c r="T154" i="17"/>
  <c r="S154" i="17"/>
  <c r="R154" i="17"/>
  <c r="N154" i="17"/>
  <c r="M154" i="17"/>
  <c r="V153" i="17"/>
  <c r="U153" i="17"/>
  <c r="T153" i="17"/>
  <c r="S153" i="17"/>
  <c r="R153" i="17"/>
  <c r="N153" i="17"/>
  <c r="M153" i="17"/>
  <c r="V152" i="17"/>
  <c r="U152" i="17"/>
  <c r="T152" i="17"/>
  <c r="S152" i="17"/>
  <c r="R152" i="17"/>
  <c r="N152" i="17"/>
  <c r="M152" i="17"/>
  <c r="V151" i="17"/>
  <c r="U151" i="17"/>
  <c r="T151" i="17"/>
  <c r="S151" i="17"/>
  <c r="R151" i="17"/>
  <c r="N151" i="17"/>
  <c r="M151" i="17"/>
  <c r="V150" i="17"/>
  <c r="U150" i="17"/>
  <c r="T150" i="17"/>
  <c r="S150" i="17"/>
  <c r="R150" i="17"/>
  <c r="N150" i="17"/>
  <c r="M150" i="17"/>
  <c r="V149" i="17"/>
  <c r="U149" i="17"/>
  <c r="T149" i="17"/>
  <c r="S149" i="17"/>
  <c r="R149" i="17"/>
  <c r="N149" i="17"/>
  <c r="M149" i="17"/>
  <c r="V148" i="17"/>
  <c r="U148" i="17"/>
  <c r="T148" i="17"/>
  <c r="S148" i="17"/>
  <c r="R148" i="17"/>
  <c r="N148" i="17"/>
  <c r="M148" i="17"/>
  <c r="V147" i="17"/>
  <c r="U147" i="17"/>
  <c r="T147" i="17"/>
  <c r="S147" i="17"/>
  <c r="R147" i="17"/>
  <c r="N147" i="17"/>
  <c r="V146" i="17"/>
  <c r="U146" i="17"/>
  <c r="T146" i="17"/>
  <c r="S146" i="17"/>
  <c r="R146" i="17"/>
  <c r="N146" i="17"/>
  <c r="V145" i="17"/>
  <c r="U145" i="17"/>
  <c r="T145" i="17"/>
  <c r="S145" i="17"/>
  <c r="R145" i="17"/>
  <c r="N145" i="17"/>
  <c r="M145" i="17"/>
  <c r="V144" i="17"/>
  <c r="U144" i="17"/>
  <c r="T144" i="17"/>
  <c r="S144" i="17"/>
  <c r="R144" i="17"/>
  <c r="N144" i="17"/>
  <c r="M144" i="17"/>
  <c r="V143" i="17"/>
  <c r="U143" i="17"/>
  <c r="T143" i="17"/>
  <c r="S143" i="17"/>
  <c r="R143" i="17"/>
  <c r="N143" i="17"/>
  <c r="M143" i="17"/>
  <c r="V142" i="17"/>
  <c r="U142" i="17"/>
  <c r="T142" i="17"/>
  <c r="S142" i="17"/>
  <c r="R142" i="17"/>
  <c r="N142" i="17"/>
  <c r="M142" i="17"/>
  <c r="V141" i="17"/>
  <c r="U141" i="17"/>
  <c r="T141" i="17"/>
  <c r="S141" i="17"/>
  <c r="R141" i="17"/>
  <c r="N141" i="17"/>
  <c r="M141" i="17"/>
  <c r="V140" i="17"/>
  <c r="U140" i="17"/>
  <c r="T140" i="17"/>
  <c r="S140" i="17"/>
  <c r="R140" i="17"/>
  <c r="N140" i="17"/>
  <c r="M140" i="17"/>
  <c r="V139" i="17"/>
  <c r="U139" i="17"/>
  <c r="T139" i="17"/>
  <c r="S139" i="17"/>
  <c r="R139" i="17"/>
  <c r="N139" i="17"/>
  <c r="M139" i="17"/>
  <c r="V138" i="17"/>
  <c r="U138" i="17"/>
  <c r="T138" i="17"/>
  <c r="S138" i="17"/>
  <c r="R138" i="17"/>
  <c r="N138" i="17"/>
  <c r="M138" i="17"/>
  <c r="V137" i="17"/>
  <c r="U137" i="17"/>
  <c r="T137" i="17"/>
  <c r="S137" i="17"/>
  <c r="R137" i="17"/>
  <c r="N137" i="17"/>
  <c r="M137" i="17"/>
  <c r="V136" i="17"/>
  <c r="U136" i="17"/>
  <c r="T136" i="17"/>
  <c r="S136" i="17"/>
  <c r="R136" i="17"/>
  <c r="N136" i="17"/>
  <c r="M136" i="17"/>
  <c r="V135" i="17"/>
  <c r="U135" i="17"/>
  <c r="T135" i="17"/>
  <c r="S135" i="17"/>
  <c r="R135" i="17"/>
  <c r="N135" i="17"/>
  <c r="M135" i="17"/>
  <c r="V134" i="17"/>
  <c r="U134" i="17"/>
  <c r="T134" i="17"/>
  <c r="S134" i="17"/>
  <c r="R134" i="17"/>
  <c r="N134" i="17"/>
  <c r="M134" i="17"/>
  <c r="V133" i="17"/>
  <c r="U133" i="17"/>
  <c r="T133" i="17"/>
  <c r="S133" i="17"/>
  <c r="R133" i="17"/>
  <c r="N133" i="17"/>
  <c r="M133" i="17"/>
  <c r="V132" i="17"/>
  <c r="U132" i="17"/>
  <c r="T132" i="17"/>
  <c r="S132" i="17"/>
  <c r="R132" i="17"/>
  <c r="N132" i="17"/>
  <c r="M132" i="17"/>
  <c r="V131" i="17"/>
  <c r="U131" i="17"/>
  <c r="T131" i="17"/>
  <c r="S131" i="17"/>
  <c r="R131" i="17"/>
  <c r="N131" i="17"/>
  <c r="M131" i="17"/>
  <c r="V130" i="17"/>
  <c r="U130" i="17"/>
  <c r="T130" i="17"/>
  <c r="S130" i="17"/>
  <c r="R130" i="17"/>
  <c r="N130" i="17"/>
  <c r="M130" i="17"/>
  <c r="V129" i="17"/>
  <c r="U129" i="17"/>
  <c r="T129" i="17"/>
  <c r="S129" i="17"/>
  <c r="R129" i="17"/>
  <c r="N129" i="17"/>
  <c r="M129" i="17"/>
  <c r="V128" i="17"/>
  <c r="U128" i="17"/>
  <c r="T128" i="17"/>
  <c r="S128" i="17"/>
  <c r="R128" i="17"/>
  <c r="N128" i="17"/>
  <c r="V127" i="17"/>
  <c r="U127" i="17"/>
  <c r="T127" i="17"/>
  <c r="S127" i="17"/>
  <c r="R127" i="17"/>
  <c r="N127" i="17"/>
  <c r="V126" i="17"/>
  <c r="U126" i="17"/>
  <c r="T126" i="17"/>
  <c r="S126" i="17"/>
  <c r="R126" i="17"/>
  <c r="N126" i="17"/>
  <c r="M126" i="17"/>
  <c r="V125" i="17"/>
  <c r="U125" i="17"/>
  <c r="T125" i="17"/>
  <c r="S125" i="17"/>
  <c r="R125" i="17"/>
  <c r="N125" i="17"/>
  <c r="M125" i="17"/>
  <c r="V124" i="17"/>
  <c r="U124" i="17"/>
  <c r="T124" i="17"/>
  <c r="S124" i="17"/>
  <c r="R124" i="17"/>
  <c r="N124" i="17"/>
  <c r="M124" i="17"/>
  <c r="V123" i="17"/>
  <c r="U123" i="17"/>
  <c r="T123" i="17"/>
  <c r="S123" i="17"/>
  <c r="R123" i="17"/>
  <c r="N123" i="17"/>
  <c r="M123" i="17"/>
  <c r="V122" i="17"/>
  <c r="U122" i="17"/>
  <c r="T122" i="17"/>
  <c r="S122" i="17"/>
  <c r="R122" i="17"/>
  <c r="N122" i="17"/>
  <c r="M122" i="17"/>
  <c r="V121" i="17"/>
  <c r="U121" i="17"/>
  <c r="T121" i="17"/>
  <c r="S121" i="17"/>
  <c r="R121" i="17"/>
  <c r="N121" i="17"/>
  <c r="M121" i="17"/>
  <c r="V120" i="17"/>
  <c r="U120" i="17"/>
  <c r="T120" i="17"/>
  <c r="S120" i="17"/>
  <c r="R120" i="17"/>
  <c r="N120" i="17"/>
  <c r="M120" i="17"/>
  <c r="V119" i="17"/>
  <c r="U119" i="17"/>
  <c r="T119" i="17"/>
  <c r="S119" i="17"/>
  <c r="R119" i="17"/>
  <c r="N119" i="17"/>
  <c r="M119" i="17"/>
  <c r="V118" i="17"/>
  <c r="U118" i="17"/>
  <c r="T118" i="17"/>
  <c r="S118" i="17"/>
  <c r="R118" i="17"/>
  <c r="N118" i="17"/>
  <c r="M118" i="17"/>
  <c r="V117" i="17"/>
  <c r="U117" i="17"/>
  <c r="T117" i="17"/>
  <c r="S117" i="17"/>
  <c r="R117" i="17"/>
  <c r="N117" i="17"/>
  <c r="M117" i="17"/>
  <c r="V116" i="17"/>
  <c r="U116" i="17"/>
  <c r="T116" i="17"/>
  <c r="S116" i="17"/>
  <c r="R116" i="17"/>
  <c r="N116" i="17"/>
  <c r="M116" i="17"/>
  <c r="V115" i="17"/>
  <c r="U115" i="17"/>
  <c r="T115" i="17"/>
  <c r="S115" i="17"/>
  <c r="R115" i="17"/>
  <c r="N115" i="17"/>
  <c r="M115" i="17"/>
  <c r="V114" i="17"/>
  <c r="U114" i="17"/>
  <c r="T114" i="17"/>
  <c r="S114" i="17"/>
  <c r="R114" i="17"/>
  <c r="N114" i="17"/>
  <c r="M114" i="17"/>
  <c r="V113" i="17"/>
  <c r="U113" i="17"/>
  <c r="T113" i="17"/>
  <c r="S113" i="17"/>
  <c r="R113" i="17"/>
  <c r="N113" i="17"/>
  <c r="M113" i="17"/>
  <c r="V112" i="17"/>
  <c r="U112" i="17"/>
  <c r="T112" i="17"/>
  <c r="S112" i="17"/>
  <c r="R112" i="17"/>
  <c r="N112" i="17"/>
  <c r="M112" i="17"/>
  <c r="V111" i="17"/>
  <c r="U111" i="17"/>
  <c r="T111" i="17"/>
  <c r="S111" i="17"/>
  <c r="R111" i="17"/>
  <c r="N111" i="17"/>
  <c r="M111" i="17"/>
  <c r="V110" i="17"/>
  <c r="U110" i="17"/>
  <c r="T110" i="17"/>
  <c r="S110" i="17"/>
  <c r="R110" i="17"/>
  <c r="N110" i="17"/>
  <c r="M110" i="17"/>
  <c r="V109" i="17"/>
  <c r="U109" i="17"/>
  <c r="T109" i="17"/>
  <c r="S109" i="17"/>
  <c r="R109" i="17"/>
  <c r="N109" i="17"/>
  <c r="V108" i="17"/>
  <c r="U108" i="17"/>
  <c r="T108" i="17"/>
  <c r="S108" i="17"/>
  <c r="R108" i="17"/>
  <c r="N108" i="17"/>
  <c r="V107" i="17"/>
  <c r="U107" i="17"/>
  <c r="T107" i="17"/>
  <c r="S107" i="17"/>
  <c r="R107" i="17"/>
  <c r="N107" i="17"/>
  <c r="M107" i="17"/>
  <c r="V106" i="17"/>
  <c r="U106" i="17"/>
  <c r="T106" i="17"/>
  <c r="S106" i="17"/>
  <c r="R106" i="17"/>
  <c r="N106" i="17"/>
  <c r="M106" i="17"/>
  <c r="V105" i="17"/>
  <c r="U105" i="17"/>
  <c r="T105" i="17"/>
  <c r="S105" i="17"/>
  <c r="R105" i="17"/>
  <c r="N105" i="17"/>
  <c r="M105" i="17"/>
  <c r="V104" i="17"/>
  <c r="U104" i="17"/>
  <c r="T104" i="17"/>
  <c r="S104" i="17"/>
  <c r="R104" i="17"/>
  <c r="N104" i="17"/>
  <c r="M104" i="17"/>
  <c r="V103" i="17"/>
  <c r="U103" i="17"/>
  <c r="T103" i="17"/>
  <c r="S103" i="17"/>
  <c r="R103" i="17"/>
  <c r="N103" i="17"/>
  <c r="M103" i="17"/>
  <c r="V102" i="17"/>
  <c r="U102" i="17"/>
  <c r="T102" i="17"/>
  <c r="S102" i="17"/>
  <c r="R102" i="17"/>
  <c r="N102" i="17"/>
  <c r="M102" i="17"/>
  <c r="V101" i="17"/>
  <c r="U101" i="17"/>
  <c r="T101" i="17"/>
  <c r="S101" i="17"/>
  <c r="R101" i="17"/>
  <c r="N101" i="17"/>
  <c r="M101" i="17"/>
  <c r="V100" i="17"/>
  <c r="U100" i="17"/>
  <c r="T100" i="17"/>
  <c r="S100" i="17"/>
  <c r="R100" i="17"/>
  <c r="N100" i="17"/>
  <c r="M100" i="17"/>
  <c r="V99" i="17"/>
  <c r="U99" i="17"/>
  <c r="T99" i="17"/>
  <c r="S99" i="17"/>
  <c r="R99" i="17"/>
  <c r="N99" i="17"/>
  <c r="M99" i="17"/>
  <c r="V98" i="17"/>
  <c r="U98" i="17"/>
  <c r="T98" i="17"/>
  <c r="S98" i="17"/>
  <c r="R98" i="17"/>
  <c r="N98" i="17"/>
  <c r="M98" i="17"/>
  <c r="V97" i="17"/>
  <c r="U97" i="17"/>
  <c r="T97" i="17"/>
  <c r="S97" i="17"/>
  <c r="R97" i="17"/>
  <c r="N97" i="17"/>
  <c r="M97" i="17"/>
  <c r="V96" i="17"/>
  <c r="U96" i="17"/>
  <c r="T96" i="17"/>
  <c r="S96" i="17"/>
  <c r="R96" i="17"/>
  <c r="N96" i="17"/>
  <c r="M96" i="17"/>
  <c r="V95" i="17"/>
  <c r="U95" i="17"/>
  <c r="T95" i="17"/>
  <c r="S95" i="17"/>
  <c r="R95" i="17"/>
  <c r="N95" i="17"/>
  <c r="M95" i="17"/>
  <c r="V94" i="17"/>
  <c r="U94" i="17"/>
  <c r="T94" i="17"/>
  <c r="S94" i="17"/>
  <c r="R94" i="17"/>
  <c r="N94" i="17"/>
  <c r="M94" i="17"/>
  <c r="V93" i="17"/>
  <c r="U93" i="17"/>
  <c r="T93" i="17"/>
  <c r="S93" i="17"/>
  <c r="R93" i="17"/>
  <c r="N93" i="17"/>
  <c r="M93" i="17"/>
  <c r="V92" i="17"/>
  <c r="U92" i="17"/>
  <c r="T92" i="17"/>
  <c r="S92" i="17"/>
  <c r="R92" i="17"/>
  <c r="N92" i="17"/>
  <c r="M92" i="17"/>
  <c r="V91" i="17"/>
  <c r="U91" i="17"/>
  <c r="T91" i="17"/>
  <c r="S91" i="17"/>
  <c r="R91" i="17"/>
  <c r="N91" i="17"/>
  <c r="M91" i="17"/>
  <c r="V90" i="17"/>
  <c r="U90" i="17"/>
  <c r="T90" i="17"/>
  <c r="S90" i="17"/>
  <c r="R90" i="17"/>
  <c r="N90" i="17"/>
  <c r="V89" i="17"/>
  <c r="U89" i="17"/>
  <c r="T89" i="17"/>
  <c r="S89" i="17"/>
  <c r="R89" i="17"/>
  <c r="N89" i="17"/>
  <c r="V88" i="17"/>
  <c r="U88" i="17"/>
  <c r="T88" i="17"/>
  <c r="S88" i="17"/>
  <c r="R88" i="17"/>
  <c r="N88" i="17"/>
  <c r="M88" i="17"/>
  <c r="V87" i="17"/>
  <c r="U87" i="17"/>
  <c r="T87" i="17"/>
  <c r="S87" i="17"/>
  <c r="R87" i="17"/>
  <c r="N87" i="17"/>
  <c r="M87" i="17"/>
  <c r="V86" i="17"/>
  <c r="U86" i="17"/>
  <c r="T86" i="17"/>
  <c r="S86" i="17"/>
  <c r="R86" i="17"/>
  <c r="N86" i="17"/>
  <c r="M86" i="17"/>
  <c r="V85" i="17"/>
  <c r="U85" i="17"/>
  <c r="T85" i="17"/>
  <c r="S85" i="17"/>
  <c r="R85" i="17"/>
  <c r="N85" i="17"/>
  <c r="M85" i="17"/>
  <c r="V84" i="17"/>
  <c r="U84" i="17"/>
  <c r="T84" i="17"/>
  <c r="S84" i="17"/>
  <c r="R84" i="17"/>
  <c r="N84" i="17"/>
  <c r="M84" i="17"/>
  <c r="V83" i="17"/>
  <c r="U83" i="17"/>
  <c r="T83" i="17"/>
  <c r="S83" i="17"/>
  <c r="R83" i="17"/>
  <c r="N83" i="17"/>
  <c r="M83" i="17"/>
  <c r="V82" i="17"/>
  <c r="U82" i="17"/>
  <c r="T82" i="17"/>
  <c r="S82" i="17"/>
  <c r="R82" i="17"/>
  <c r="N82" i="17"/>
  <c r="M82" i="17"/>
  <c r="V81" i="17"/>
  <c r="U81" i="17"/>
  <c r="T81" i="17"/>
  <c r="S81" i="17"/>
  <c r="R81" i="17"/>
  <c r="N81" i="17"/>
  <c r="M81" i="17"/>
  <c r="V80" i="17"/>
  <c r="U80" i="17"/>
  <c r="T80" i="17"/>
  <c r="S80" i="17"/>
  <c r="R80" i="17"/>
  <c r="N80" i="17"/>
  <c r="M80" i="17"/>
  <c r="V79" i="17"/>
  <c r="U79" i="17"/>
  <c r="T79" i="17"/>
  <c r="S79" i="17"/>
  <c r="R79" i="17"/>
  <c r="N79" i="17"/>
  <c r="M79" i="17"/>
  <c r="V78" i="17"/>
  <c r="U78" i="17"/>
  <c r="T78" i="17"/>
  <c r="S78" i="17"/>
  <c r="R78" i="17"/>
  <c r="N78" i="17"/>
  <c r="M78" i="17"/>
  <c r="V77" i="17"/>
  <c r="U77" i="17"/>
  <c r="T77" i="17"/>
  <c r="S77" i="17"/>
  <c r="R77" i="17"/>
  <c r="N77" i="17"/>
  <c r="M77" i="17"/>
  <c r="V76" i="17"/>
  <c r="U76" i="17"/>
  <c r="T76" i="17"/>
  <c r="S76" i="17"/>
  <c r="R76" i="17"/>
  <c r="N76" i="17"/>
  <c r="M76" i="17"/>
  <c r="V75" i="17"/>
  <c r="U75" i="17"/>
  <c r="T75" i="17"/>
  <c r="S75" i="17"/>
  <c r="R75" i="17"/>
  <c r="N75" i="17"/>
  <c r="M75" i="17"/>
  <c r="V74" i="17"/>
  <c r="U74" i="17"/>
  <c r="T74" i="17"/>
  <c r="S74" i="17"/>
  <c r="R74" i="17"/>
  <c r="N74" i="17"/>
  <c r="M74" i="17"/>
  <c r="V73" i="17"/>
  <c r="U73" i="17"/>
  <c r="T73" i="17"/>
  <c r="S73" i="17"/>
  <c r="R73" i="17"/>
  <c r="N73" i="17"/>
  <c r="M73" i="17"/>
  <c r="V72" i="17"/>
  <c r="U72" i="17"/>
  <c r="T72" i="17"/>
  <c r="S72" i="17"/>
  <c r="R72" i="17"/>
  <c r="N72" i="17"/>
  <c r="M72" i="17"/>
  <c r="V71" i="17"/>
  <c r="U71" i="17"/>
  <c r="T71" i="17"/>
  <c r="S71" i="17"/>
  <c r="R71" i="17"/>
  <c r="N71" i="17"/>
  <c r="V70" i="17"/>
  <c r="U70" i="17"/>
  <c r="T70" i="17"/>
  <c r="S70" i="17"/>
  <c r="R70" i="17"/>
  <c r="N70" i="17"/>
  <c r="V69" i="17"/>
  <c r="U69" i="17"/>
  <c r="T69" i="17"/>
  <c r="S69" i="17"/>
  <c r="R69" i="17"/>
  <c r="N69" i="17"/>
  <c r="M69" i="17"/>
  <c r="V68" i="17"/>
  <c r="U68" i="17"/>
  <c r="T68" i="17"/>
  <c r="S68" i="17"/>
  <c r="R68" i="17"/>
  <c r="N68" i="17"/>
  <c r="M68" i="17"/>
  <c r="V67" i="17"/>
  <c r="U67" i="17"/>
  <c r="T67" i="17"/>
  <c r="S67" i="17"/>
  <c r="R67" i="17"/>
  <c r="N67" i="17"/>
  <c r="M67" i="17"/>
  <c r="V66" i="17"/>
  <c r="U66" i="17"/>
  <c r="T66" i="17"/>
  <c r="S66" i="17"/>
  <c r="R66" i="17"/>
  <c r="N66" i="17"/>
  <c r="M66" i="17"/>
  <c r="V65" i="17"/>
  <c r="U65" i="17"/>
  <c r="T65" i="17"/>
  <c r="S65" i="17"/>
  <c r="R65" i="17"/>
  <c r="N65" i="17"/>
  <c r="M65" i="17"/>
  <c r="V64" i="17"/>
  <c r="U64" i="17"/>
  <c r="T64" i="17"/>
  <c r="S64" i="17"/>
  <c r="R64" i="17"/>
  <c r="N64" i="17"/>
  <c r="M64" i="17"/>
  <c r="V63" i="17"/>
  <c r="U63" i="17"/>
  <c r="T63" i="17"/>
  <c r="S63" i="17"/>
  <c r="R63" i="17"/>
  <c r="N63" i="17"/>
  <c r="M63" i="17"/>
  <c r="V62" i="17"/>
  <c r="U62" i="17"/>
  <c r="T62" i="17"/>
  <c r="S62" i="17"/>
  <c r="R62" i="17"/>
  <c r="N62" i="17"/>
  <c r="M62" i="17"/>
  <c r="V61" i="17"/>
  <c r="U61" i="17"/>
  <c r="T61" i="17"/>
  <c r="S61" i="17"/>
  <c r="R61" i="17"/>
  <c r="N61" i="17"/>
  <c r="M61" i="17"/>
  <c r="V60" i="17"/>
  <c r="U60" i="17"/>
  <c r="T60" i="17"/>
  <c r="S60" i="17"/>
  <c r="R60" i="17"/>
  <c r="N60" i="17"/>
  <c r="M60" i="17"/>
  <c r="V59" i="17"/>
  <c r="U59" i="17"/>
  <c r="T59" i="17"/>
  <c r="S59" i="17"/>
  <c r="R59" i="17"/>
  <c r="N59" i="17"/>
  <c r="M59" i="17"/>
  <c r="V58" i="17"/>
  <c r="U58" i="17"/>
  <c r="T58" i="17"/>
  <c r="S58" i="17"/>
  <c r="R58" i="17"/>
  <c r="N58" i="17"/>
  <c r="M58" i="17"/>
  <c r="V57" i="17"/>
  <c r="U57" i="17"/>
  <c r="T57" i="17"/>
  <c r="S57" i="17"/>
  <c r="R57" i="17"/>
  <c r="N57" i="17"/>
  <c r="M57" i="17"/>
  <c r="V56" i="17"/>
  <c r="U56" i="17"/>
  <c r="T56" i="17"/>
  <c r="S56" i="17"/>
  <c r="R56" i="17"/>
  <c r="N56" i="17"/>
  <c r="M56" i="17"/>
  <c r="V55" i="17"/>
  <c r="U55" i="17"/>
  <c r="T55" i="17"/>
  <c r="S55" i="17"/>
  <c r="R55" i="17"/>
  <c r="N55" i="17"/>
  <c r="M55" i="17"/>
  <c r="V54" i="17"/>
  <c r="U54" i="17"/>
  <c r="T54" i="17"/>
  <c r="S54" i="17"/>
  <c r="R54" i="17"/>
  <c r="N54" i="17"/>
  <c r="M54" i="17"/>
  <c r="V53" i="17"/>
  <c r="U53" i="17"/>
  <c r="T53" i="17"/>
  <c r="S53" i="17"/>
  <c r="R53" i="17"/>
  <c r="N53" i="17"/>
  <c r="M53" i="17"/>
  <c r="V52" i="17"/>
  <c r="U52" i="17"/>
  <c r="T52" i="17"/>
  <c r="S52" i="17"/>
  <c r="R52" i="17"/>
  <c r="N52" i="17"/>
  <c r="V51" i="17"/>
  <c r="U51" i="17"/>
  <c r="T51" i="17"/>
  <c r="S51" i="17"/>
  <c r="R51" i="17"/>
  <c r="N51" i="17"/>
  <c r="V50" i="17"/>
  <c r="U50" i="17"/>
  <c r="T50" i="17"/>
  <c r="S50" i="17"/>
  <c r="R50" i="17"/>
  <c r="N50" i="17"/>
  <c r="M50" i="17"/>
  <c r="V49" i="17"/>
  <c r="U49" i="17"/>
  <c r="T49" i="17"/>
  <c r="S49" i="17"/>
  <c r="R49" i="17"/>
  <c r="N49" i="17"/>
  <c r="M49" i="17"/>
  <c r="V48" i="17"/>
  <c r="U48" i="17"/>
  <c r="T48" i="17"/>
  <c r="S48" i="17"/>
  <c r="R48" i="17"/>
  <c r="N48" i="17"/>
  <c r="M48" i="17"/>
  <c r="V47" i="17"/>
  <c r="U47" i="17"/>
  <c r="T47" i="17"/>
  <c r="S47" i="17"/>
  <c r="R47" i="17"/>
  <c r="N47" i="17"/>
  <c r="M47" i="17"/>
  <c r="V46" i="17"/>
  <c r="U46" i="17"/>
  <c r="T46" i="17"/>
  <c r="S46" i="17"/>
  <c r="R46" i="17"/>
  <c r="N46" i="17"/>
  <c r="M46" i="17"/>
  <c r="V45" i="17"/>
  <c r="U45" i="17"/>
  <c r="T45" i="17"/>
  <c r="S45" i="17"/>
  <c r="R45" i="17"/>
  <c r="N45" i="17"/>
  <c r="M45" i="17"/>
  <c r="V44" i="17"/>
  <c r="U44" i="17"/>
  <c r="T44" i="17"/>
  <c r="S44" i="17"/>
  <c r="R44" i="17"/>
  <c r="N44" i="17"/>
  <c r="M44" i="17"/>
  <c r="V43" i="17"/>
  <c r="U43" i="17"/>
  <c r="T43" i="17"/>
  <c r="S43" i="17"/>
  <c r="R43" i="17"/>
  <c r="N43" i="17"/>
  <c r="M43" i="17"/>
  <c r="V42" i="17"/>
  <c r="U42" i="17"/>
  <c r="T42" i="17"/>
  <c r="S42" i="17"/>
  <c r="R42" i="17"/>
  <c r="N42" i="17"/>
  <c r="M42" i="17"/>
  <c r="V41" i="17"/>
  <c r="U41" i="17"/>
  <c r="T41" i="17"/>
  <c r="S41" i="17"/>
  <c r="R41" i="17"/>
  <c r="N41" i="17"/>
  <c r="M41" i="17"/>
  <c r="V40" i="17"/>
  <c r="U40" i="17"/>
  <c r="T40" i="17"/>
  <c r="S40" i="17"/>
  <c r="R40" i="17"/>
  <c r="N40" i="17"/>
  <c r="M40" i="17"/>
  <c r="V39" i="17"/>
  <c r="U39" i="17"/>
  <c r="T39" i="17"/>
  <c r="S39" i="17"/>
  <c r="R39" i="17"/>
  <c r="N39" i="17"/>
  <c r="M39" i="17"/>
  <c r="V38" i="17"/>
  <c r="U38" i="17"/>
  <c r="T38" i="17"/>
  <c r="S38" i="17"/>
  <c r="R38" i="17"/>
  <c r="N38" i="17"/>
  <c r="M38" i="17"/>
  <c r="V37" i="17"/>
  <c r="U37" i="17"/>
  <c r="T37" i="17"/>
  <c r="S37" i="17"/>
  <c r="R37" i="17"/>
  <c r="N37" i="17"/>
  <c r="M37" i="17"/>
  <c r="V36" i="17"/>
  <c r="U36" i="17"/>
  <c r="T36" i="17"/>
  <c r="S36" i="17"/>
  <c r="R36" i="17"/>
  <c r="N36" i="17"/>
  <c r="M36" i="17"/>
  <c r="V35" i="17"/>
  <c r="U35" i="17"/>
  <c r="T35" i="17"/>
  <c r="S35" i="17"/>
  <c r="R35" i="17"/>
  <c r="N35" i="17"/>
  <c r="M35" i="17"/>
  <c r="V34" i="17"/>
  <c r="U34" i="17"/>
  <c r="T34" i="17"/>
  <c r="S34" i="17"/>
  <c r="R34" i="17"/>
  <c r="N34" i="17"/>
  <c r="M34" i="17"/>
  <c r="V33" i="17"/>
  <c r="U33" i="17"/>
  <c r="T33" i="17"/>
  <c r="S33" i="17"/>
  <c r="R33" i="17"/>
  <c r="N33" i="17"/>
  <c r="V32" i="17"/>
  <c r="U32" i="17"/>
  <c r="T32" i="17"/>
  <c r="S32" i="17"/>
  <c r="R32" i="17"/>
  <c r="N32" i="17"/>
  <c r="V31" i="17"/>
  <c r="U31" i="17"/>
  <c r="T31" i="17"/>
  <c r="S31" i="17"/>
  <c r="R31" i="17"/>
  <c r="N31" i="17"/>
  <c r="M31" i="17"/>
  <c r="V30" i="17"/>
  <c r="U30" i="17"/>
  <c r="T30" i="17"/>
  <c r="S30" i="17"/>
  <c r="R30" i="17"/>
  <c r="N30" i="17"/>
  <c r="M30" i="17"/>
  <c r="V29" i="17"/>
  <c r="U29" i="17"/>
  <c r="T29" i="17"/>
  <c r="S29" i="17"/>
  <c r="R29" i="17"/>
  <c r="N29" i="17"/>
  <c r="M29" i="17"/>
  <c r="V28" i="17"/>
  <c r="U28" i="17"/>
  <c r="T28" i="17"/>
  <c r="S28" i="17"/>
  <c r="R28" i="17"/>
  <c r="N28" i="17"/>
  <c r="M28" i="17"/>
  <c r="V27" i="17"/>
  <c r="U27" i="17"/>
  <c r="T27" i="17"/>
  <c r="S27" i="17"/>
  <c r="R27" i="17"/>
  <c r="N27" i="17"/>
  <c r="M27" i="17"/>
  <c r="V26" i="17"/>
  <c r="U26" i="17"/>
  <c r="T26" i="17"/>
  <c r="S26" i="17"/>
  <c r="R26" i="17"/>
  <c r="N26" i="17"/>
  <c r="M26" i="17"/>
  <c r="V25" i="17"/>
  <c r="U25" i="17"/>
  <c r="T25" i="17"/>
  <c r="S25" i="17"/>
  <c r="R25" i="17"/>
  <c r="N25" i="17"/>
  <c r="M25" i="17"/>
  <c r="V24" i="17"/>
  <c r="U24" i="17"/>
  <c r="T24" i="17"/>
  <c r="S24" i="17"/>
  <c r="R24" i="17"/>
  <c r="N24" i="17"/>
  <c r="M24" i="17"/>
  <c r="V23" i="17"/>
  <c r="U23" i="17"/>
  <c r="T23" i="17"/>
  <c r="S23" i="17"/>
  <c r="R23" i="17"/>
  <c r="N23" i="17"/>
  <c r="M23" i="17"/>
  <c r="V22" i="17"/>
  <c r="U22" i="17"/>
  <c r="T22" i="17"/>
  <c r="S22" i="17"/>
  <c r="R22" i="17"/>
  <c r="N22" i="17"/>
  <c r="M22" i="17"/>
  <c r="V21" i="17"/>
  <c r="U21" i="17"/>
  <c r="T21" i="17"/>
  <c r="S21" i="17"/>
  <c r="R21" i="17"/>
  <c r="N21" i="17"/>
  <c r="M21" i="17"/>
  <c r="V20" i="17"/>
  <c r="U20" i="17"/>
  <c r="T20" i="17"/>
  <c r="S20" i="17"/>
  <c r="R20" i="17"/>
  <c r="N20" i="17"/>
  <c r="M20" i="17"/>
  <c r="V19" i="17"/>
  <c r="U19" i="17"/>
  <c r="T19" i="17"/>
  <c r="S19" i="17"/>
  <c r="R19" i="17"/>
  <c r="N19" i="17"/>
  <c r="M19" i="17"/>
  <c r="V18" i="17"/>
  <c r="U18" i="17"/>
  <c r="T18" i="17"/>
  <c r="S18" i="17"/>
  <c r="R18" i="17"/>
  <c r="N18" i="17"/>
  <c r="M18" i="17"/>
  <c r="V17" i="17"/>
  <c r="U17" i="17"/>
  <c r="T17" i="17"/>
  <c r="S17" i="17"/>
  <c r="R17" i="17"/>
  <c r="N17" i="17"/>
  <c r="M17" i="17"/>
  <c r="V16" i="17"/>
  <c r="U16" i="17"/>
  <c r="T16" i="17"/>
  <c r="S16" i="17"/>
  <c r="R16" i="17"/>
  <c r="N16" i="17"/>
  <c r="M16" i="17"/>
  <c r="V15" i="17"/>
  <c r="U15" i="17"/>
  <c r="T15" i="17"/>
  <c r="S15" i="17"/>
  <c r="R15" i="17"/>
  <c r="N15" i="17"/>
  <c r="M15" i="17"/>
  <c r="V14" i="17"/>
  <c r="U14" i="17"/>
  <c r="T14" i="17"/>
  <c r="S14" i="17"/>
  <c r="R14" i="17"/>
  <c r="N14" i="17"/>
  <c r="V13" i="17"/>
  <c r="U13" i="17"/>
  <c r="T13" i="17"/>
  <c r="S13" i="17"/>
  <c r="R13" i="17"/>
  <c r="N13" i="17"/>
  <c r="V12" i="17"/>
  <c r="U12" i="17"/>
  <c r="T12" i="17"/>
  <c r="S12" i="17"/>
  <c r="R12" i="17"/>
  <c r="N12" i="17"/>
  <c r="M12" i="17"/>
  <c r="V11" i="17"/>
  <c r="U11" i="17"/>
  <c r="T11" i="17"/>
  <c r="S11" i="17"/>
  <c r="R11" i="17"/>
  <c r="N11" i="17"/>
  <c r="M11" i="17"/>
  <c r="V10" i="17"/>
  <c r="U10" i="17"/>
  <c r="T10" i="17"/>
  <c r="S10" i="17"/>
  <c r="R10" i="17"/>
  <c r="N10" i="17"/>
  <c r="M10" i="17"/>
  <c r="V9" i="17"/>
  <c r="U9" i="17"/>
  <c r="T9" i="17"/>
  <c r="S9" i="17"/>
  <c r="R9" i="17"/>
  <c r="N9" i="17"/>
  <c r="M9" i="17"/>
  <c r="V8" i="17"/>
  <c r="U8" i="17"/>
  <c r="T8" i="17"/>
  <c r="S8" i="17"/>
  <c r="R8" i="17"/>
  <c r="N8" i="17"/>
  <c r="M8" i="17"/>
  <c r="V7" i="17"/>
  <c r="U7" i="17"/>
  <c r="T7" i="17"/>
  <c r="S7" i="17"/>
  <c r="R7" i="17"/>
  <c r="N7" i="17"/>
  <c r="M7" i="17"/>
  <c r="V6" i="17"/>
  <c r="U6" i="17"/>
  <c r="T6" i="17"/>
  <c r="S6" i="17"/>
  <c r="R6" i="17"/>
  <c r="N6" i="17"/>
  <c r="M6" i="17"/>
  <c r="V5" i="17"/>
  <c r="U5" i="17"/>
  <c r="T5" i="17"/>
  <c r="S5" i="17"/>
  <c r="R5" i="17"/>
  <c r="N5" i="17"/>
  <c r="M5" i="17"/>
  <c r="V4" i="17"/>
  <c r="U4" i="17"/>
  <c r="T4" i="17"/>
  <c r="S4" i="17"/>
  <c r="R4" i="17"/>
  <c r="N4" i="17"/>
  <c r="M4" i="17"/>
  <c r="V3" i="17"/>
  <c r="U3" i="17"/>
  <c r="T3" i="17"/>
  <c r="S3" i="17"/>
  <c r="R3" i="17"/>
  <c r="N3" i="17"/>
  <c r="M3" i="17"/>
  <c r="V2" i="17"/>
  <c r="U2" i="17"/>
  <c r="T2" i="17"/>
  <c r="S2" i="17"/>
  <c r="R2" i="17"/>
  <c r="N2" i="17"/>
  <c r="M2" i="17"/>
  <c r="R23" i="16"/>
  <c r="R22" i="16"/>
  <c r="R21" i="16"/>
  <c r="Q21" i="16"/>
  <c r="R20" i="16"/>
  <c r="R19" i="16"/>
  <c r="R18" i="16"/>
  <c r="R15" i="16"/>
  <c r="R14" i="16"/>
  <c r="R13" i="16"/>
  <c r="Q13" i="16"/>
  <c r="R12" i="16"/>
  <c r="Q12" i="16"/>
  <c r="R11" i="16"/>
  <c r="Q11" i="16"/>
  <c r="R10" i="16"/>
  <c r="Q10" i="16"/>
  <c r="R9" i="16"/>
  <c r="R8" i="16"/>
  <c r="Q8" i="16"/>
  <c r="R7" i="16"/>
  <c r="R6" i="16"/>
  <c r="R5" i="16"/>
  <c r="A24" i="15"/>
  <c r="A23" i="15"/>
  <c r="A22" i="15"/>
  <c r="A21" i="15"/>
  <c r="A20" i="15"/>
  <c r="A19" i="15"/>
  <c r="A18" i="15"/>
  <c r="B17" i="15"/>
  <c r="A17" i="15"/>
  <c r="A16" i="15"/>
  <c r="A15" i="15"/>
  <c r="E294" i="14"/>
  <c r="E293" i="14"/>
  <c r="E292" i="14"/>
  <c r="E290" i="14"/>
  <c r="E289" i="14"/>
  <c r="E288" i="14"/>
  <c r="E287" i="14"/>
  <c r="E286" i="14"/>
  <c r="E285" i="14"/>
  <c r="E284" i="14"/>
  <c r="E282" i="14"/>
  <c r="E281" i="14"/>
  <c r="E280" i="14"/>
  <c r="E279" i="14"/>
  <c r="E278" i="14"/>
  <c r="E277" i="14"/>
  <c r="E275" i="14"/>
  <c r="E274" i="14"/>
  <c r="E273" i="14"/>
  <c r="E270" i="14"/>
  <c r="E269" i="14"/>
  <c r="E268" i="14"/>
  <c r="E266" i="14"/>
  <c r="E265" i="14"/>
  <c r="E264" i="14"/>
  <c r="E263" i="14"/>
  <c r="E262" i="14"/>
  <c r="E261" i="14"/>
  <c r="E260" i="14"/>
  <c r="E258" i="14"/>
  <c r="E257" i="14"/>
  <c r="E256" i="14"/>
  <c r="E255" i="14"/>
  <c r="E254" i="14"/>
  <c r="E253" i="14"/>
  <c r="E251" i="14"/>
  <c r="E250" i="14"/>
  <c r="E249" i="14"/>
  <c r="E246" i="14"/>
  <c r="E245" i="14"/>
  <c r="E244" i="14"/>
  <c r="E242" i="14"/>
  <c r="E241" i="14"/>
  <c r="E240" i="14"/>
  <c r="E239" i="14"/>
  <c r="E238" i="14"/>
  <c r="E237" i="14"/>
  <c r="E236" i="14"/>
  <c r="E234" i="14"/>
  <c r="E233" i="14"/>
  <c r="E232" i="14"/>
  <c r="E231" i="14"/>
  <c r="E230" i="14"/>
  <c r="E229" i="14"/>
  <c r="E227" i="14"/>
  <c r="E226" i="14"/>
  <c r="E225" i="14"/>
  <c r="E222" i="14"/>
  <c r="E221" i="14"/>
  <c r="E220" i="14"/>
  <c r="E218" i="14"/>
  <c r="E217" i="14"/>
  <c r="E216" i="14"/>
  <c r="E215" i="14"/>
  <c r="E214" i="14"/>
  <c r="E213" i="14"/>
  <c r="E212" i="14"/>
  <c r="E210" i="14"/>
  <c r="E209" i="14"/>
  <c r="E208" i="14"/>
  <c r="E207" i="14"/>
  <c r="E206" i="14"/>
  <c r="E205" i="14"/>
  <c r="E203" i="14"/>
  <c r="E202" i="14"/>
  <c r="E201" i="14"/>
  <c r="E198" i="14"/>
  <c r="E197" i="14"/>
  <c r="E196" i="14"/>
  <c r="E194" i="14"/>
  <c r="E193" i="14"/>
  <c r="E192" i="14"/>
  <c r="E191" i="14"/>
  <c r="E190" i="14"/>
  <c r="E189" i="14"/>
  <c r="E188" i="14"/>
  <c r="E186" i="14"/>
  <c r="E185" i="14"/>
  <c r="E184" i="14"/>
  <c r="E183" i="14"/>
  <c r="E182" i="14"/>
  <c r="E181" i="14"/>
  <c r="E179" i="14"/>
  <c r="E178" i="14"/>
  <c r="E177" i="14"/>
  <c r="E174" i="14"/>
  <c r="E173" i="14"/>
  <c r="E172" i="14"/>
  <c r="E170" i="14"/>
  <c r="E169" i="14"/>
  <c r="E168" i="14"/>
  <c r="E167" i="14"/>
  <c r="E166" i="14"/>
  <c r="E165" i="14"/>
  <c r="E164" i="14"/>
  <c r="E162" i="14"/>
  <c r="E161" i="14"/>
  <c r="E160" i="14"/>
  <c r="E159" i="14"/>
  <c r="E158" i="14"/>
  <c r="E157" i="14"/>
  <c r="E155" i="14"/>
  <c r="E154" i="14"/>
  <c r="E153" i="14"/>
  <c r="E150" i="14"/>
  <c r="E149" i="14"/>
  <c r="E148" i="14"/>
  <c r="E146" i="14"/>
  <c r="E145" i="14"/>
  <c r="E144" i="14"/>
  <c r="E143" i="14"/>
  <c r="E142" i="14"/>
  <c r="E141" i="14"/>
  <c r="E140" i="14"/>
  <c r="E138" i="14"/>
  <c r="E137" i="14"/>
  <c r="E136" i="14"/>
  <c r="E135" i="14"/>
  <c r="E134" i="14"/>
  <c r="E133" i="14"/>
  <c r="E131" i="14"/>
  <c r="E130" i="14"/>
  <c r="E129" i="14"/>
  <c r="E126" i="14"/>
  <c r="E125" i="14"/>
  <c r="E124" i="14"/>
  <c r="E122" i="14"/>
  <c r="E121" i="14"/>
  <c r="E120" i="14"/>
  <c r="E119" i="14"/>
  <c r="E118" i="14"/>
  <c r="E117" i="14"/>
  <c r="E116" i="14"/>
  <c r="E114" i="14"/>
  <c r="E113" i="14"/>
  <c r="E112" i="14"/>
  <c r="E111" i="14"/>
  <c r="E110" i="14"/>
  <c r="E109" i="14"/>
  <c r="E107" i="14"/>
  <c r="E106" i="14"/>
  <c r="E105" i="14"/>
  <c r="E102" i="14"/>
  <c r="E101" i="14"/>
  <c r="E100" i="14"/>
  <c r="E98" i="14"/>
  <c r="E97" i="14"/>
  <c r="E96" i="14"/>
  <c r="E95" i="14"/>
  <c r="E94" i="14"/>
  <c r="E93" i="14"/>
  <c r="E92" i="14"/>
  <c r="E90" i="14"/>
  <c r="E89" i="14"/>
  <c r="E88" i="14"/>
  <c r="E87" i="14"/>
  <c r="E86" i="14"/>
  <c r="E85" i="14"/>
  <c r="E83" i="14"/>
  <c r="E82" i="14"/>
  <c r="E81" i="14"/>
  <c r="E78" i="14"/>
  <c r="E77" i="14"/>
  <c r="E76" i="14"/>
  <c r="E74" i="14"/>
  <c r="E73" i="14"/>
  <c r="E72" i="14"/>
  <c r="E71" i="14"/>
  <c r="E70" i="14"/>
  <c r="E69" i="14"/>
  <c r="E68" i="14"/>
  <c r="E66" i="14"/>
  <c r="E65" i="14"/>
  <c r="E64" i="14"/>
  <c r="E63" i="14"/>
  <c r="E62" i="14"/>
  <c r="E61" i="14"/>
  <c r="E59" i="14"/>
  <c r="E58" i="14"/>
  <c r="E57" i="14"/>
  <c r="E54" i="14"/>
  <c r="E53" i="14"/>
  <c r="E52" i="14"/>
  <c r="E50" i="14"/>
  <c r="E49" i="14"/>
  <c r="E48" i="14"/>
  <c r="E47" i="14"/>
  <c r="E46" i="14"/>
  <c r="E45" i="14"/>
  <c r="E44" i="14"/>
  <c r="E42" i="14"/>
  <c r="E41" i="14"/>
  <c r="E40" i="14"/>
  <c r="E39" i="14"/>
  <c r="E38" i="14"/>
  <c r="E37" i="14"/>
  <c r="E35" i="14"/>
  <c r="E34" i="14"/>
  <c r="E33" i="14"/>
  <c r="E30" i="14"/>
  <c r="E29" i="14"/>
  <c r="E28" i="14"/>
  <c r="E26" i="14"/>
  <c r="E25" i="14"/>
  <c r="E24" i="14"/>
  <c r="E23" i="14"/>
  <c r="E22" i="14"/>
  <c r="E21" i="14"/>
  <c r="E20" i="14"/>
  <c r="E18" i="14"/>
  <c r="E17" i="14"/>
  <c r="E16" i="14"/>
  <c r="E15" i="14"/>
  <c r="E14" i="14"/>
  <c r="E13" i="14"/>
  <c r="E11" i="14"/>
  <c r="E10" i="14"/>
  <c r="E9" i="14"/>
  <c r="E294" i="13"/>
  <c r="E293" i="13"/>
  <c r="E292" i="13"/>
  <c r="E290" i="13"/>
  <c r="E289" i="13"/>
  <c r="E288" i="13"/>
  <c r="E287" i="13"/>
  <c r="E286" i="13"/>
  <c r="E285" i="13"/>
  <c r="E284" i="13"/>
  <c r="E282" i="13"/>
  <c r="E281" i="13"/>
  <c r="E280" i="13"/>
  <c r="E279" i="13"/>
  <c r="E278" i="13"/>
  <c r="E277" i="13"/>
  <c r="E275" i="13"/>
  <c r="E274" i="13"/>
  <c r="E273" i="13"/>
  <c r="E270" i="13"/>
  <c r="E269" i="13"/>
  <c r="E268" i="13"/>
  <c r="E266" i="13"/>
  <c r="E265" i="13"/>
  <c r="E264" i="13"/>
  <c r="E263" i="13"/>
  <c r="E262" i="13"/>
  <c r="E261" i="13"/>
  <c r="E260" i="13"/>
  <c r="E258" i="13"/>
  <c r="E257" i="13"/>
  <c r="E256" i="13"/>
  <c r="E255" i="13"/>
  <c r="E254" i="13"/>
  <c r="E253" i="13"/>
  <c r="E251" i="13"/>
  <c r="E250" i="13"/>
  <c r="E249" i="13"/>
  <c r="E246" i="13"/>
  <c r="E245" i="13"/>
  <c r="E244" i="13"/>
  <c r="E242" i="13"/>
  <c r="E241" i="13"/>
  <c r="E240" i="13"/>
  <c r="E239" i="13"/>
  <c r="E238" i="13"/>
  <c r="E237" i="13"/>
  <c r="E236" i="13"/>
  <c r="E234" i="13"/>
  <c r="E233" i="13"/>
  <c r="E232" i="13"/>
  <c r="E231" i="13"/>
  <c r="E230" i="13"/>
  <c r="E229" i="13"/>
  <c r="E227" i="13"/>
  <c r="E226" i="13"/>
  <c r="E225" i="13"/>
  <c r="E222" i="13"/>
  <c r="E221" i="13"/>
  <c r="E220" i="13"/>
  <c r="E218" i="13"/>
  <c r="E217" i="13"/>
  <c r="E216" i="13"/>
  <c r="E215" i="13"/>
  <c r="E214" i="13"/>
  <c r="E213" i="13"/>
  <c r="E212" i="13"/>
  <c r="E210" i="13"/>
  <c r="E209" i="13"/>
  <c r="E208" i="13"/>
  <c r="E207" i="13"/>
  <c r="E206" i="13"/>
  <c r="E205" i="13"/>
  <c r="E203" i="13"/>
  <c r="E202" i="13"/>
  <c r="E201" i="13"/>
  <c r="E198" i="13"/>
  <c r="E197" i="13"/>
  <c r="E196" i="13"/>
  <c r="E194" i="13"/>
  <c r="E193" i="13"/>
  <c r="E192" i="13"/>
  <c r="E191" i="13"/>
  <c r="E190" i="13"/>
  <c r="E189" i="13"/>
  <c r="E188" i="13"/>
  <c r="E186" i="13"/>
  <c r="E185" i="13"/>
  <c r="E184" i="13"/>
  <c r="E183" i="13"/>
  <c r="E182" i="13"/>
  <c r="E181" i="13"/>
  <c r="E179" i="13"/>
  <c r="E178" i="13"/>
  <c r="E177" i="13"/>
  <c r="E174" i="13"/>
  <c r="E173" i="13"/>
  <c r="E172" i="13"/>
  <c r="E170" i="13"/>
  <c r="E169" i="13"/>
  <c r="E168" i="13"/>
  <c r="E167" i="13"/>
  <c r="E166" i="13"/>
  <c r="E165" i="13"/>
  <c r="E164" i="13"/>
  <c r="E162" i="13"/>
  <c r="E161" i="13"/>
  <c r="E160" i="13"/>
  <c r="E159" i="13"/>
  <c r="E158" i="13"/>
  <c r="E157" i="13"/>
  <c r="E155" i="13"/>
  <c r="E154" i="13"/>
  <c r="E153" i="13"/>
  <c r="E150" i="13"/>
  <c r="E149" i="13"/>
  <c r="E148" i="13"/>
  <c r="E146" i="13"/>
  <c r="E145" i="13"/>
  <c r="E144" i="13"/>
  <c r="E143" i="13"/>
  <c r="E142" i="13"/>
  <c r="E141" i="13"/>
  <c r="E140" i="13"/>
  <c r="E138" i="13"/>
  <c r="E137" i="13"/>
  <c r="E136" i="13"/>
  <c r="E135" i="13"/>
  <c r="E134" i="13"/>
  <c r="E133" i="13"/>
  <c r="E131" i="13"/>
  <c r="E130" i="13"/>
  <c r="E129" i="13"/>
  <c r="E126" i="13"/>
  <c r="E125" i="13"/>
  <c r="E124" i="13"/>
  <c r="E122" i="13"/>
  <c r="E121" i="13"/>
  <c r="E120" i="13"/>
  <c r="E119" i="13"/>
  <c r="E118" i="13"/>
  <c r="E117" i="13"/>
  <c r="E116" i="13"/>
  <c r="E114" i="13"/>
  <c r="E113" i="13"/>
  <c r="E112" i="13"/>
  <c r="E111" i="13"/>
  <c r="E110" i="13"/>
  <c r="E109" i="13"/>
  <c r="E107" i="13"/>
  <c r="E106" i="13"/>
  <c r="E105" i="13"/>
  <c r="E102" i="13"/>
  <c r="E101" i="13"/>
  <c r="E100" i="13"/>
  <c r="E98" i="13"/>
  <c r="E97" i="13"/>
  <c r="E96" i="13"/>
  <c r="E95" i="13"/>
  <c r="E94" i="13"/>
  <c r="E93" i="13"/>
  <c r="E92" i="13"/>
  <c r="E90" i="13"/>
  <c r="E89" i="13"/>
  <c r="E88" i="13"/>
  <c r="E87" i="13"/>
  <c r="E86" i="13"/>
  <c r="E85" i="13"/>
  <c r="E83" i="13"/>
  <c r="E82" i="13"/>
  <c r="E81" i="13"/>
  <c r="E78" i="13"/>
  <c r="E77" i="13"/>
  <c r="E76" i="13"/>
  <c r="E74" i="13"/>
  <c r="E73" i="13"/>
  <c r="E72" i="13"/>
  <c r="E71" i="13"/>
  <c r="E70" i="13"/>
  <c r="E69" i="13"/>
  <c r="E68" i="13"/>
  <c r="E66" i="13"/>
  <c r="E65" i="13"/>
  <c r="E64" i="13"/>
  <c r="E63" i="13"/>
  <c r="E62" i="13"/>
  <c r="E61" i="13"/>
  <c r="E59" i="13"/>
  <c r="E58" i="13"/>
  <c r="E57" i="13"/>
  <c r="E54" i="13"/>
  <c r="E53" i="13"/>
  <c r="E52" i="13"/>
  <c r="E50" i="13"/>
  <c r="E49" i="13"/>
  <c r="E48" i="13"/>
  <c r="E47" i="13"/>
  <c r="E46" i="13"/>
  <c r="E45" i="13"/>
  <c r="E44" i="13"/>
  <c r="E42" i="13"/>
  <c r="E41" i="13"/>
  <c r="E40" i="13"/>
  <c r="E39" i="13"/>
  <c r="E38" i="13"/>
  <c r="E37" i="13"/>
  <c r="E35" i="13"/>
  <c r="E34" i="13"/>
  <c r="E33" i="13"/>
  <c r="E30" i="13"/>
  <c r="E29" i="13"/>
  <c r="E28" i="13"/>
  <c r="E26" i="13"/>
  <c r="E25" i="13"/>
  <c r="E24" i="13"/>
  <c r="E23" i="13"/>
  <c r="E22" i="13"/>
  <c r="E21" i="13"/>
  <c r="E20" i="13"/>
  <c r="E18" i="13"/>
  <c r="E17" i="13"/>
  <c r="E16" i="13"/>
  <c r="E15" i="13"/>
  <c r="E14" i="13"/>
  <c r="E13" i="13"/>
  <c r="E11" i="13"/>
  <c r="E10" i="13"/>
  <c r="E9" i="13"/>
  <c r="E294" i="12"/>
  <c r="E293" i="12"/>
  <c r="E292" i="12"/>
  <c r="E290" i="12"/>
  <c r="E289" i="12"/>
  <c r="E288" i="12"/>
  <c r="E287" i="12"/>
  <c r="E286" i="12"/>
  <c r="E285" i="12"/>
  <c r="E284" i="12"/>
  <c r="E282" i="12"/>
  <c r="E281" i="12"/>
  <c r="E280" i="12"/>
  <c r="E279" i="12"/>
  <c r="E278" i="12"/>
  <c r="E277" i="12"/>
  <c r="E275" i="12"/>
  <c r="E274" i="12"/>
  <c r="E273" i="12"/>
  <c r="E270" i="12"/>
  <c r="E269" i="12"/>
  <c r="E268" i="12"/>
  <c r="E266" i="12"/>
  <c r="E265" i="12"/>
  <c r="E264" i="12"/>
  <c r="E263" i="12"/>
  <c r="E262" i="12"/>
  <c r="E261" i="12"/>
  <c r="E260" i="12"/>
  <c r="E258" i="12"/>
  <c r="E257" i="12"/>
  <c r="E256" i="12"/>
  <c r="E255" i="12"/>
  <c r="E254" i="12"/>
  <c r="E253" i="12"/>
  <c r="E251" i="12"/>
  <c r="E250" i="12"/>
  <c r="E249" i="12"/>
  <c r="E246" i="12"/>
  <c r="E245" i="12"/>
  <c r="E244" i="12"/>
  <c r="E242" i="12"/>
  <c r="E241" i="12"/>
  <c r="E240" i="12"/>
  <c r="E239" i="12"/>
  <c r="E238" i="12"/>
  <c r="E237" i="12"/>
  <c r="E236" i="12"/>
  <c r="E234" i="12"/>
  <c r="E233" i="12"/>
  <c r="E232" i="12"/>
  <c r="E231" i="12"/>
  <c r="E230" i="12"/>
  <c r="E229" i="12"/>
  <c r="E227" i="12"/>
  <c r="E226" i="12"/>
  <c r="E225" i="12"/>
  <c r="E222" i="12"/>
  <c r="E221" i="12"/>
  <c r="E220" i="12"/>
  <c r="E218" i="12"/>
  <c r="E217" i="12"/>
  <c r="E216" i="12"/>
  <c r="E215" i="12"/>
  <c r="E214" i="12"/>
  <c r="E213" i="12"/>
  <c r="E212" i="12"/>
  <c r="E210" i="12"/>
  <c r="E209" i="12"/>
  <c r="E208" i="12"/>
  <c r="E207" i="12"/>
  <c r="E206" i="12"/>
  <c r="E205" i="12"/>
  <c r="E203" i="12"/>
  <c r="E202" i="12"/>
  <c r="E201" i="12"/>
  <c r="E198" i="12"/>
  <c r="E197" i="12"/>
  <c r="E196" i="12"/>
  <c r="E194" i="12"/>
  <c r="E193" i="12"/>
  <c r="E192" i="12"/>
  <c r="E191" i="12"/>
  <c r="E190" i="12"/>
  <c r="E189" i="12"/>
  <c r="E188" i="12"/>
  <c r="E186" i="12"/>
  <c r="E185" i="12"/>
  <c r="E184" i="12"/>
  <c r="E183" i="12"/>
  <c r="E182" i="12"/>
  <c r="E181" i="12"/>
  <c r="E179" i="12"/>
  <c r="E178" i="12"/>
  <c r="E177" i="12"/>
  <c r="E174" i="12"/>
  <c r="E173" i="12"/>
  <c r="E172" i="12"/>
  <c r="E170" i="12"/>
  <c r="E169" i="12"/>
  <c r="E168" i="12"/>
  <c r="E167" i="12"/>
  <c r="E166" i="12"/>
  <c r="E165" i="12"/>
  <c r="E164" i="12"/>
  <c r="E162" i="12"/>
  <c r="E161" i="12"/>
  <c r="E160" i="12"/>
  <c r="E159" i="12"/>
  <c r="E158" i="12"/>
  <c r="E157" i="12"/>
  <c r="E155" i="12"/>
  <c r="E154" i="12"/>
  <c r="E153" i="12"/>
  <c r="E150" i="12"/>
  <c r="E149" i="12"/>
  <c r="E148" i="12"/>
  <c r="E146" i="12"/>
  <c r="E145" i="12"/>
  <c r="E144" i="12"/>
  <c r="E143" i="12"/>
  <c r="E142" i="12"/>
  <c r="E141" i="12"/>
  <c r="E140" i="12"/>
  <c r="E138" i="12"/>
  <c r="E137" i="12"/>
  <c r="E136" i="12"/>
  <c r="E135" i="12"/>
  <c r="E134" i="12"/>
  <c r="E133" i="12"/>
  <c r="E131" i="12"/>
  <c r="E130" i="12"/>
  <c r="E129" i="12"/>
  <c r="E126" i="12"/>
  <c r="E125" i="12"/>
  <c r="E124" i="12"/>
  <c r="E122" i="12"/>
  <c r="E121" i="12"/>
  <c r="E120" i="12"/>
  <c r="E119" i="12"/>
  <c r="E118" i="12"/>
  <c r="E117" i="12"/>
  <c r="E116" i="12"/>
  <c r="E114" i="12"/>
  <c r="E113" i="12"/>
  <c r="E112" i="12"/>
  <c r="E111" i="12"/>
  <c r="E110" i="12"/>
  <c r="E109" i="12"/>
  <c r="E107" i="12"/>
  <c r="E106" i="12"/>
  <c r="E105" i="12"/>
  <c r="E102" i="12"/>
  <c r="E101" i="12"/>
  <c r="E100" i="12"/>
  <c r="E98" i="12"/>
  <c r="E97" i="12"/>
  <c r="E96" i="12"/>
  <c r="E95" i="12"/>
  <c r="E94" i="12"/>
  <c r="E93" i="12"/>
  <c r="E92" i="12"/>
  <c r="E90" i="12"/>
  <c r="E89" i="12"/>
  <c r="E88" i="12"/>
  <c r="E87" i="12"/>
  <c r="E86" i="12"/>
  <c r="E85" i="12"/>
  <c r="E83" i="12"/>
  <c r="E82" i="12"/>
  <c r="E81" i="12"/>
  <c r="E78" i="12"/>
  <c r="E77" i="12"/>
  <c r="E76" i="12"/>
  <c r="E74" i="12"/>
  <c r="E73" i="12"/>
  <c r="E72" i="12"/>
  <c r="E71" i="12"/>
  <c r="E70" i="12"/>
  <c r="E69" i="12"/>
  <c r="E68" i="12"/>
  <c r="E66" i="12"/>
  <c r="E65" i="12"/>
  <c r="E64" i="12"/>
  <c r="E63" i="12"/>
  <c r="E62" i="12"/>
  <c r="E61" i="12"/>
  <c r="E59" i="12"/>
  <c r="E58" i="12"/>
  <c r="E57" i="12"/>
  <c r="E54" i="12"/>
  <c r="E53" i="12"/>
  <c r="E52" i="12"/>
  <c r="E50" i="12"/>
  <c r="E49" i="12"/>
  <c r="E48" i="12"/>
  <c r="E47" i="12"/>
  <c r="E46" i="12"/>
  <c r="E45" i="12"/>
  <c r="E44" i="12"/>
  <c r="E42" i="12"/>
  <c r="E41" i="12"/>
  <c r="E40" i="12"/>
  <c r="E39" i="12"/>
  <c r="E38" i="12"/>
  <c r="E37" i="12"/>
  <c r="E35" i="12"/>
  <c r="E34" i="12"/>
  <c r="E33" i="12"/>
  <c r="E30" i="12"/>
  <c r="E29" i="12"/>
  <c r="E28" i="12"/>
  <c r="E26" i="12"/>
  <c r="E25" i="12"/>
  <c r="E24" i="12"/>
  <c r="E23" i="12"/>
  <c r="E22" i="12"/>
  <c r="E21" i="12"/>
  <c r="E20" i="12"/>
  <c r="E18" i="12"/>
  <c r="E17" i="12"/>
  <c r="E16" i="12"/>
  <c r="E15" i="12"/>
  <c r="E14" i="12"/>
  <c r="E13" i="12"/>
  <c r="E11" i="12"/>
  <c r="E10" i="12"/>
  <c r="E9" i="12"/>
  <c r="E294" i="11"/>
  <c r="E293" i="11"/>
  <c r="E292" i="11"/>
  <c r="E290" i="11"/>
  <c r="E289" i="11"/>
  <c r="E288" i="11"/>
  <c r="E287" i="11"/>
  <c r="E286" i="11"/>
  <c r="E285" i="11"/>
  <c r="E284" i="11"/>
  <c r="E282" i="11"/>
  <c r="E281" i="11"/>
  <c r="E280" i="11"/>
  <c r="E279" i="11"/>
  <c r="E278" i="11"/>
  <c r="E277" i="11"/>
  <c r="E275" i="11"/>
  <c r="E274" i="11"/>
  <c r="E273" i="11"/>
  <c r="E270" i="11"/>
  <c r="E269" i="11"/>
  <c r="E268" i="11"/>
  <c r="E266" i="11"/>
  <c r="E265" i="11"/>
  <c r="E264" i="11"/>
  <c r="E263" i="11"/>
  <c r="E262" i="11"/>
  <c r="E261" i="11"/>
  <c r="E260" i="11"/>
  <c r="E258" i="11"/>
  <c r="E257" i="11"/>
  <c r="E256" i="11"/>
  <c r="E255" i="11"/>
  <c r="E254" i="11"/>
  <c r="E253" i="11"/>
  <c r="E251" i="11"/>
  <c r="E250" i="11"/>
  <c r="E249" i="11"/>
  <c r="E246" i="11"/>
  <c r="E245" i="11"/>
  <c r="E244" i="11"/>
  <c r="E242" i="11"/>
  <c r="E241" i="11"/>
  <c r="E240" i="11"/>
  <c r="E239" i="11"/>
  <c r="E238" i="11"/>
  <c r="E237" i="11"/>
  <c r="E236" i="11"/>
  <c r="E234" i="11"/>
  <c r="E233" i="11"/>
  <c r="E232" i="11"/>
  <c r="E231" i="11"/>
  <c r="E230" i="11"/>
  <c r="E229" i="11"/>
  <c r="E227" i="11"/>
  <c r="E226" i="11"/>
  <c r="E225" i="11"/>
  <c r="E222" i="11"/>
  <c r="E221" i="11"/>
  <c r="E220" i="11"/>
  <c r="E218" i="11"/>
  <c r="E217" i="11"/>
  <c r="E216" i="11"/>
  <c r="E215" i="11"/>
  <c r="E214" i="11"/>
  <c r="E213" i="11"/>
  <c r="E212" i="11"/>
  <c r="E210" i="11"/>
  <c r="E209" i="11"/>
  <c r="E208" i="11"/>
  <c r="E207" i="11"/>
  <c r="E206" i="11"/>
  <c r="E205" i="11"/>
  <c r="E203" i="11"/>
  <c r="E202" i="11"/>
  <c r="E201" i="11"/>
  <c r="E198" i="11"/>
  <c r="E197" i="11"/>
  <c r="E196" i="11"/>
  <c r="E194" i="11"/>
  <c r="E193" i="11"/>
  <c r="E192" i="11"/>
  <c r="E191" i="11"/>
  <c r="E190" i="11"/>
  <c r="E189" i="11"/>
  <c r="E188" i="11"/>
  <c r="E186" i="11"/>
  <c r="E185" i="11"/>
  <c r="E184" i="11"/>
  <c r="E183" i="11"/>
  <c r="E182" i="11"/>
  <c r="E181" i="11"/>
  <c r="E179" i="11"/>
  <c r="E178" i="11"/>
  <c r="E177" i="11"/>
  <c r="E174" i="11"/>
  <c r="E173" i="11"/>
  <c r="E172" i="11"/>
  <c r="E170" i="11"/>
  <c r="E169" i="11"/>
  <c r="E168" i="11"/>
  <c r="E167" i="11"/>
  <c r="E166" i="11"/>
  <c r="E165" i="11"/>
  <c r="E164" i="11"/>
  <c r="E162" i="11"/>
  <c r="E161" i="11"/>
  <c r="E160" i="11"/>
  <c r="E159" i="11"/>
  <c r="E158" i="11"/>
  <c r="E157" i="11"/>
  <c r="E155" i="11"/>
  <c r="E154" i="11"/>
  <c r="E153" i="11"/>
  <c r="E150" i="11"/>
  <c r="E149" i="11"/>
  <c r="E148" i="11"/>
  <c r="E146" i="11"/>
  <c r="E145" i="11"/>
  <c r="E144" i="11"/>
  <c r="E143" i="11"/>
  <c r="E142" i="11"/>
  <c r="E141" i="11"/>
  <c r="E140" i="11"/>
  <c r="E138" i="11"/>
  <c r="E137" i="11"/>
  <c r="E136" i="11"/>
  <c r="E135" i="11"/>
  <c r="E134" i="11"/>
  <c r="E133" i="11"/>
  <c r="E131" i="11"/>
  <c r="E130" i="11"/>
  <c r="E129" i="11"/>
  <c r="E126" i="11"/>
  <c r="E125" i="11"/>
  <c r="E124" i="11"/>
  <c r="E122" i="11"/>
  <c r="E121" i="11"/>
  <c r="E120" i="11"/>
  <c r="E119" i="11"/>
  <c r="E118" i="11"/>
  <c r="E117" i="11"/>
  <c r="E116" i="11"/>
  <c r="E114" i="11"/>
  <c r="E113" i="11"/>
  <c r="E112" i="11"/>
  <c r="E111" i="11"/>
  <c r="E110" i="11"/>
  <c r="E109" i="11"/>
  <c r="E107" i="11"/>
  <c r="E106" i="11"/>
  <c r="E105" i="11"/>
  <c r="E102" i="11"/>
  <c r="E101" i="11"/>
  <c r="E100" i="11"/>
  <c r="E98" i="11"/>
  <c r="E97" i="11"/>
  <c r="E96" i="11"/>
  <c r="E95" i="11"/>
  <c r="E94" i="11"/>
  <c r="E93" i="11"/>
  <c r="E92" i="11"/>
  <c r="E90" i="11"/>
  <c r="E89" i="11"/>
  <c r="E88" i="11"/>
  <c r="E87" i="11"/>
  <c r="E86" i="11"/>
  <c r="E85" i="11"/>
  <c r="E83" i="11"/>
  <c r="E82" i="11"/>
  <c r="E81" i="11"/>
  <c r="E78" i="11"/>
  <c r="E77" i="11"/>
  <c r="E76" i="11"/>
  <c r="E74" i="11"/>
  <c r="E73" i="11"/>
  <c r="E72" i="11"/>
  <c r="E71" i="11"/>
  <c r="E70" i="11"/>
  <c r="E69" i="11"/>
  <c r="E68" i="11"/>
  <c r="E66" i="11"/>
  <c r="E65" i="11"/>
  <c r="E64" i="11"/>
  <c r="E63" i="11"/>
  <c r="E62" i="11"/>
  <c r="E61" i="11"/>
  <c r="E59" i="11"/>
  <c r="E58" i="11"/>
  <c r="E57" i="11"/>
  <c r="E54" i="11"/>
  <c r="E53" i="11"/>
  <c r="E52" i="11"/>
  <c r="E50" i="11"/>
  <c r="E49" i="11"/>
  <c r="E48" i="11"/>
  <c r="E47" i="11"/>
  <c r="E46" i="11"/>
  <c r="E45" i="11"/>
  <c r="E44" i="11"/>
  <c r="E42" i="11"/>
  <c r="E41" i="11"/>
  <c r="E40" i="11"/>
  <c r="E39" i="11"/>
  <c r="E38" i="11"/>
  <c r="E37" i="11"/>
  <c r="E35" i="11"/>
  <c r="E34" i="11"/>
  <c r="E33" i="11"/>
  <c r="E30" i="11"/>
  <c r="E29" i="11"/>
  <c r="E28" i="11"/>
  <c r="E26" i="11"/>
  <c r="E25" i="11"/>
  <c r="E24" i="11"/>
  <c r="E23" i="11"/>
  <c r="E22" i="11"/>
  <c r="E21" i="11"/>
  <c r="E20" i="11"/>
  <c r="E18" i="11"/>
  <c r="E17" i="11"/>
  <c r="E16" i="11"/>
  <c r="E15" i="11"/>
  <c r="E14" i="11"/>
  <c r="E13" i="11"/>
  <c r="E11" i="11"/>
  <c r="E10" i="11"/>
  <c r="E9" i="11"/>
  <c r="E294" i="10"/>
  <c r="E293" i="10"/>
  <c r="E292" i="10"/>
  <c r="E290" i="10"/>
  <c r="E289" i="10"/>
  <c r="E288" i="10"/>
  <c r="E287" i="10"/>
  <c r="E286" i="10"/>
  <c r="E285" i="10"/>
  <c r="E284" i="10"/>
  <c r="E282" i="10"/>
  <c r="E281" i="10"/>
  <c r="E280" i="10"/>
  <c r="E279" i="10"/>
  <c r="E278" i="10"/>
  <c r="E277" i="10"/>
  <c r="E275" i="10"/>
  <c r="E274" i="10"/>
  <c r="E273" i="10"/>
  <c r="E270" i="10"/>
  <c r="E269" i="10"/>
  <c r="E268" i="10"/>
  <c r="E266" i="10"/>
  <c r="E265" i="10"/>
  <c r="E264" i="10"/>
  <c r="E263" i="10"/>
  <c r="E262" i="10"/>
  <c r="E261" i="10"/>
  <c r="E260" i="10"/>
  <c r="E258" i="10"/>
  <c r="E257" i="10"/>
  <c r="E256" i="10"/>
  <c r="E255" i="10"/>
  <c r="E254" i="10"/>
  <c r="E253" i="10"/>
  <c r="E251" i="10"/>
  <c r="E250" i="10"/>
  <c r="E249" i="10"/>
  <c r="E246" i="10"/>
  <c r="E245" i="10"/>
  <c r="E244" i="10"/>
  <c r="E242" i="10"/>
  <c r="E241" i="10"/>
  <c r="E240" i="10"/>
  <c r="E239" i="10"/>
  <c r="E238" i="10"/>
  <c r="E237" i="10"/>
  <c r="E236" i="10"/>
  <c r="E234" i="10"/>
  <c r="E233" i="10"/>
  <c r="E232" i="10"/>
  <c r="E231" i="10"/>
  <c r="E230" i="10"/>
  <c r="E229" i="10"/>
  <c r="E227" i="10"/>
  <c r="E226" i="10"/>
  <c r="E225" i="10"/>
  <c r="E222" i="10"/>
  <c r="E221" i="10"/>
  <c r="E220" i="10"/>
  <c r="E218" i="10"/>
  <c r="E217" i="10"/>
  <c r="E216" i="10"/>
  <c r="E215" i="10"/>
  <c r="E214" i="10"/>
  <c r="E213" i="10"/>
  <c r="E212" i="10"/>
  <c r="E210" i="10"/>
  <c r="E209" i="10"/>
  <c r="E208" i="10"/>
  <c r="E207" i="10"/>
  <c r="E206" i="10"/>
  <c r="E205" i="10"/>
  <c r="E203" i="10"/>
  <c r="E202" i="10"/>
  <c r="E201" i="10"/>
  <c r="E198" i="10"/>
  <c r="E197" i="10"/>
  <c r="E196" i="10"/>
  <c r="E194" i="10"/>
  <c r="E193" i="10"/>
  <c r="E192" i="10"/>
  <c r="E191" i="10"/>
  <c r="E190" i="10"/>
  <c r="E189" i="10"/>
  <c r="E188" i="10"/>
  <c r="E186" i="10"/>
  <c r="E185" i="10"/>
  <c r="E184" i="10"/>
  <c r="E183" i="10"/>
  <c r="E182" i="10"/>
  <c r="E181" i="10"/>
  <c r="E179" i="10"/>
  <c r="E178" i="10"/>
  <c r="E177" i="10"/>
  <c r="E174" i="10"/>
  <c r="E173" i="10"/>
  <c r="E172" i="10"/>
  <c r="E170" i="10"/>
  <c r="E169" i="10"/>
  <c r="E168" i="10"/>
  <c r="E167" i="10"/>
  <c r="E166" i="10"/>
  <c r="E165" i="10"/>
  <c r="E164" i="10"/>
  <c r="E162" i="10"/>
  <c r="E161" i="10"/>
  <c r="E160" i="10"/>
  <c r="E159" i="10"/>
  <c r="E158" i="10"/>
  <c r="E157" i="10"/>
  <c r="E155" i="10"/>
  <c r="E154" i="10"/>
  <c r="E153" i="10"/>
  <c r="E150" i="10"/>
  <c r="E149" i="10"/>
  <c r="E148" i="10"/>
  <c r="E146" i="10"/>
  <c r="E145" i="10"/>
  <c r="E144" i="10"/>
  <c r="E143" i="10"/>
  <c r="E142" i="10"/>
  <c r="E141" i="10"/>
  <c r="E140" i="10"/>
  <c r="E138" i="10"/>
  <c r="E137" i="10"/>
  <c r="E136" i="10"/>
  <c r="E135" i="10"/>
  <c r="E134" i="10"/>
  <c r="E133" i="10"/>
  <c r="E131" i="10"/>
  <c r="E130" i="10"/>
  <c r="E129" i="10"/>
  <c r="E126" i="10"/>
  <c r="E125" i="10"/>
  <c r="E124" i="10"/>
  <c r="E122" i="10"/>
  <c r="E121" i="10"/>
  <c r="E120" i="10"/>
  <c r="E119" i="10"/>
  <c r="E118" i="10"/>
  <c r="E117" i="10"/>
  <c r="E116" i="10"/>
  <c r="E114" i="10"/>
  <c r="E113" i="10"/>
  <c r="E112" i="10"/>
  <c r="E111" i="10"/>
  <c r="E110" i="10"/>
  <c r="E109" i="10"/>
  <c r="E107" i="10"/>
  <c r="E106" i="10"/>
  <c r="E105" i="10"/>
  <c r="E102" i="10"/>
  <c r="E101" i="10"/>
  <c r="E100" i="10"/>
  <c r="E98" i="10"/>
  <c r="E97" i="10"/>
  <c r="E96" i="10"/>
  <c r="E95" i="10"/>
  <c r="E94" i="10"/>
  <c r="E93" i="10"/>
  <c r="E92" i="10"/>
  <c r="E90" i="10"/>
  <c r="E89" i="10"/>
  <c r="E88" i="10"/>
  <c r="E87" i="10"/>
  <c r="E86" i="10"/>
  <c r="E85" i="10"/>
  <c r="E83" i="10"/>
  <c r="E82" i="10"/>
  <c r="E81" i="10"/>
  <c r="E78" i="10"/>
  <c r="E77" i="10"/>
  <c r="E76" i="10"/>
  <c r="E74" i="10"/>
  <c r="E73" i="10"/>
  <c r="E72" i="10"/>
  <c r="E71" i="10"/>
  <c r="E70" i="10"/>
  <c r="E69" i="10"/>
  <c r="E68" i="10"/>
  <c r="E66" i="10"/>
  <c r="E65" i="10"/>
  <c r="E64" i="10"/>
  <c r="E63" i="10"/>
  <c r="E62" i="10"/>
  <c r="E61" i="10"/>
  <c r="E59" i="10"/>
  <c r="E58" i="10"/>
  <c r="E57" i="10"/>
  <c r="E54" i="10"/>
  <c r="E53" i="10"/>
  <c r="E52" i="10"/>
  <c r="E50" i="10"/>
  <c r="E49" i="10"/>
  <c r="E48" i="10"/>
  <c r="E47" i="10"/>
  <c r="E46" i="10"/>
  <c r="E45" i="10"/>
  <c r="E44" i="10"/>
  <c r="E42" i="10"/>
  <c r="E41" i="10"/>
  <c r="E40" i="10"/>
  <c r="E39" i="10"/>
  <c r="E38" i="10"/>
  <c r="E37" i="10"/>
  <c r="E35" i="10"/>
  <c r="E34" i="10"/>
  <c r="E33" i="10"/>
  <c r="E30" i="10"/>
  <c r="E29" i="10"/>
  <c r="E28" i="10"/>
  <c r="E26" i="10"/>
  <c r="E25" i="10"/>
  <c r="E24" i="10"/>
  <c r="E23" i="10"/>
  <c r="E22" i="10"/>
  <c r="E21" i="10"/>
  <c r="E20" i="10"/>
  <c r="E18" i="10"/>
  <c r="E17" i="10"/>
  <c r="E16" i="10"/>
  <c r="E15" i="10"/>
  <c r="E14" i="10"/>
  <c r="E13" i="10"/>
  <c r="E11" i="10"/>
  <c r="E10" i="10"/>
  <c r="E9" i="10"/>
  <c r="E294" i="9"/>
  <c r="E293" i="9"/>
  <c r="E292" i="9"/>
  <c r="E290" i="9"/>
  <c r="E289" i="9"/>
  <c r="E288" i="9"/>
  <c r="E287" i="9"/>
  <c r="E286" i="9"/>
  <c r="E285" i="9"/>
  <c r="E284" i="9"/>
  <c r="E282" i="9"/>
  <c r="E281" i="9"/>
  <c r="E280" i="9"/>
  <c r="E279" i="9"/>
  <c r="E278" i="9"/>
  <c r="E277" i="9"/>
  <c r="E275" i="9"/>
  <c r="E274" i="9"/>
  <c r="E273" i="9"/>
  <c r="E270" i="9"/>
  <c r="E269" i="9"/>
  <c r="E268" i="9"/>
  <c r="E266" i="9"/>
  <c r="E265" i="9"/>
  <c r="E264" i="9"/>
  <c r="E263" i="9"/>
  <c r="E262" i="9"/>
  <c r="E261" i="9"/>
  <c r="E260" i="9"/>
  <c r="E258" i="9"/>
  <c r="E257" i="9"/>
  <c r="E256" i="9"/>
  <c r="E255" i="9"/>
  <c r="E254" i="9"/>
  <c r="E253" i="9"/>
  <c r="E251" i="9"/>
  <c r="E250" i="9"/>
  <c r="E249" i="9"/>
  <c r="E246" i="9"/>
  <c r="E245" i="9"/>
  <c r="E244" i="9"/>
  <c r="E242" i="9"/>
  <c r="E241" i="9"/>
  <c r="E240" i="9"/>
  <c r="E239" i="9"/>
  <c r="E238" i="9"/>
  <c r="E237" i="9"/>
  <c r="E236" i="9"/>
  <c r="E234" i="9"/>
  <c r="E233" i="9"/>
  <c r="E232" i="9"/>
  <c r="E231" i="9"/>
  <c r="E230" i="9"/>
  <c r="E229" i="9"/>
  <c r="E227" i="9"/>
  <c r="E226" i="9"/>
  <c r="E225" i="9"/>
  <c r="E222" i="9"/>
  <c r="E221" i="9"/>
  <c r="E220" i="9"/>
  <c r="E218" i="9"/>
  <c r="E217" i="9"/>
  <c r="E216" i="9"/>
  <c r="E215" i="9"/>
  <c r="E214" i="9"/>
  <c r="E213" i="9"/>
  <c r="E212" i="9"/>
  <c r="E210" i="9"/>
  <c r="E209" i="9"/>
  <c r="E208" i="9"/>
  <c r="E207" i="9"/>
  <c r="E206" i="9"/>
  <c r="E205" i="9"/>
  <c r="E203" i="9"/>
  <c r="E202" i="9"/>
  <c r="E201" i="9"/>
  <c r="E198" i="9"/>
  <c r="E197" i="9"/>
  <c r="E196" i="9"/>
  <c r="E194" i="9"/>
  <c r="E193" i="9"/>
  <c r="E192" i="9"/>
  <c r="E191" i="9"/>
  <c r="E190" i="9"/>
  <c r="E189" i="9"/>
  <c r="E188" i="9"/>
  <c r="E186" i="9"/>
  <c r="E185" i="9"/>
  <c r="E184" i="9"/>
  <c r="E183" i="9"/>
  <c r="E182" i="9"/>
  <c r="E181" i="9"/>
  <c r="E179" i="9"/>
  <c r="E178" i="9"/>
  <c r="E177" i="9"/>
  <c r="E174" i="9"/>
  <c r="E173" i="9"/>
  <c r="E172" i="9"/>
  <c r="E170" i="9"/>
  <c r="E169" i="9"/>
  <c r="E168" i="9"/>
  <c r="E167" i="9"/>
  <c r="E166" i="9"/>
  <c r="E165" i="9"/>
  <c r="E164" i="9"/>
  <c r="E162" i="9"/>
  <c r="E161" i="9"/>
  <c r="E160" i="9"/>
  <c r="E159" i="9"/>
  <c r="E158" i="9"/>
  <c r="E157" i="9"/>
  <c r="E155" i="9"/>
  <c r="E154" i="9"/>
  <c r="E153" i="9"/>
  <c r="E150" i="9"/>
  <c r="E149" i="9"/>
  <c r="E148" i="9"/>
  <c r="E146" i="9"/>
  <c r="E145" i="9"/>
  <c r="E144" i="9"/>
  <c r="E143" i="9"/>
  <c r="E142" i="9"/>
  <c r="E141" i="9"/>
  <c r="E140" i="9"/>
  <c r="E138" i="9"/>
  <c r="E137" i="9"/>
  <c r="E136" i="9"/>
  <c r="E135" i="9"/>
  <c r="E134" i="9"/>
  <c r="E133" i="9"/>
  <c r="E131" i="9"/>
  <c r="E130" i="9"/>
  <c r="E129" i="9"/>
  <c r="E126" i="9"/>
  <c r="E125" i="9"/>
  <c r="E124" i="9"/>
  <c r="E122" i="9"/>
  <c r="E121" i="9"/>
  <c r="E120" i="9"/>
  <c r="E119" i="9"/>
  <c r="E118" i="9"/>
  <c r="E117" i="9"/>
  <c r="E116" i="9"/>
  <c r="E114" i="9"/>
  <c r="E113" i="9"/>
  <c r="E112" i="9"/>
  <c r="E111" i="9"/>
  <c r="E110" i="9"/>
  <c r="E109" i="9"/>
  <c r="E107" i="9"/>
  <c r="E106" i="9"/>
  <c r="E105" i="9"/>
  <c r="E102" i="9"/>
  <c r="E101" i="9"/>
  <c r="E100" i="9"/>
  <c r="E98" i="9"/>
  <c r="E97" i="9"/>
  <c r="E96" i="9"/>
  <c r="E95" i="9"/>
  <c r="E94" i="9"/>
  <c r="E93" i="9"/>
  <c r="E92" i="9"/>
  <c r="E90" i="9"/>
  <c r="E89" i="9"/>
  <c r="E88" i="9"/>
  <c r="E87" i="9"/>
  <c r="E86" i="9"/>
  <c r="E85" i="9"/>
  <c r="E83" i="9"/>
  <c r="E82" i="9"/>
  <c r="E81" i="9"/>
  <c r="E78" i="9"/>
  <c r="E77" i="9"/>
  <c r="E76" i="9"/>
  <c r="E74" i="9"/>
  <c r="E73" i="9"/>
  <c r="E72" i="9"/>
  <c r="E71" i="9"/>
  <c r="E70" i="9"/>
  <c r="E69" i="9"/>
  <c r="E68" i="9"/>
  <c r="E66" i="9"/>
  <c r="E65" i="9"/>
  <c r="E64" i="9"/>
  <c r="E63" i="9"/>
  <c r="E62" i="9"/>
  <c r="E61" i="9"/>
  <c r="E59" i="9"/>
  <c r="E58" i="9"/>
  <c r="E57" i="9"/>
  <c r="E54" i="9"/>
  <c r="E53" i="9"/>
  <c r="E52" i="9"/>
  <c r="E50" i="9"/>
  <c r="E49" i="9"/>
  <c r="E48" i="9"/>
  <c r="E47" i="9"/>
  <c r="E46" i="9"/>
  <c r="E45" i="9"/>
  <c r="E44" i="9"/>
  <c r="E42" i="9"/>
  <c r="E41" i="9"/>
  <c r="E40" i="9"/>
  <c r="E39" i="9"/>
  <c r="E38" i="9"/>
  <c r="E37" i="9"/>
  <c r="E35" i="9"/>
  <c r="E34" i="9"/>
  <c r="E33" i="9"/>
  <c r="E30" i="9"/>
  <c r="E29" i="9"/>
  <c r="E28" i="9"/>
  <c r="E26" i="9"/>
  <c r="E25" i="9"/>
  <c r="E24" i="9"/>
  <c r="E23" i="9"/>
  <c r="E22" i="9"/>
  <c r="E21" i="9"/>
  <c r="E20" i="9"/>
  <c r="E18" i="9"/>
  <c r="E17" i="9"/>
  <c r="E16" i="9"/>
  <c r="E15" i="9"/>
  <c r="E14" i="9"/>
  <c r="E13" i="9"/>
  <c r="E11" i="9"/>
  <c r="E10" i="9"/>
  <c r="E9" i="9"/>
  <c r="E294" i="8"/>
  <c r="E293" i="8"/>
  <c r="E292" i="8"/>
  <c r="E290" i="8"/>
  <c r="E289" i="8"/>
  <c r="E288" i="8"/>
  <c r="E287" i="8"/>
  <c r="E286" i="8"/>
  <c r="E285" i="8"/>
  <c r="E284" i="8"/>
  <c r="E282" i="8"/>
  <c r="E281" i="8"/>
  <c r="E280" i="8"/>
  <c r="E279" i="8"/>
  <c r="E278" i="8"/>
  <c r="E277" i="8"/>
  <c r="E275" i="8"/>
  <c r="E274" i="8"/>
  <c r="E273" i="8"/>
  <c r="E270" i="8"/>
  <c r="E269" i="8"/>
  <c r="E268" i="8"/>
  <c r="E266" i="8"/>
  <c r="E265" i="8"/>
  <c r="E264" i="8"/>
  <c r="E263" i="8"/>
  <c r="E262" i="8"/>
  <c r="E261" i="8"/>
  <c r="E260" i="8"/>
  <c r="E258" i="8"/>
  <c r="E257" i="8"/>
  <c r="E256" i="8"/>
  <c r="E255" i="8"/>
  <c r="E254" i="8"/>
  <c r="E253" i="8"/>
  <c r="E251" i="8"/>
  <c r="E250" i="8"/>
  <c r="E249" i="8"/>
  <c r="E246" i="8"/>
  <c r="E245" i="8"/>
  <c r="E244" i="8"/>
  <c r="E242" i="8"/>
  <c r="E241" i="8"/>
  <c r="E240" i="8"/>
  <c r="E239" i="8"/>
  <c r="E238" i="8"/>
  <c r="E237" i="8"/>
  <c r="E236" i="8"/>
  <c r="E234" i="8"/>
  <c r="E233" i="8"/>
  <c r="E232" i="8"/>
  <c r="E231" i="8"/>
  <c r="E230" i="8"/>
  <c r="E229" i="8"/>
  <c r="E227" i="8"/>
  <c r="E226" i="8"/>
  <c r="E225" i="8"/>
  <c r="E222" i="8"/>
  <c r="E221" i="8"/>
  <c r="E220" i="8"/>
  <c r="E218" i="8"/>
  <c r="E217" i="8"/>
  <c r="E216" i="8"/>
  <c r="E215" i="8"/>
  <c r="E214" i="8"/>
  <c r="E213" i="8"/>
  <c r="E212" i="8"/>
  <c r="E210" i="8"/>
  <c r="E209" i="8"/>
  <c r="E208" i="8"/>
  <c r="E207" i="8"/>
  <c r="E206" i="8"/>
  <c r="E205" i="8"/>
  <c r="E203" i="8"/>
  <c r="E202" i="8"/>
  <c r="E201" i="8"/>
  <c r="E198" i="8"/>
  <c r="E197" i="8"/>
  <c r="E196" i="8"/>
  <c r="E194" i="8"/>
  <c r="E193" i="8"/>
  <c r="E192" i="8"/>
  <c r="E191" i="8"/>
  <c r="E190" i="8"/>
  <c r="E189" i="8"/>
  <c r="E188" i="8"/>
  <c r="E186" i="8"/>
  <c r="E185" i="8"/>
  <c r="E184" i="8"/>
  <c r="E183" i="8"/>
  <c r="E182" i="8"/>
  <c r="E181" i="8"/>
  <c r="E179" i="8"/>
  <c r="E178" i="8"/>
  <c r="E177" i="8"/>
  <c r="E174" i="8"/>
  <c r="E173" i="8"/>
  <c r="E172" i="8"/>
  <c r="E170" i="8"/>
  <c r="E169" i="8"/>
  <c r="E168" i="8"/>
  <c r="E167" i="8"/>
  <c r="E166" i="8"/>
  <c r="E165" i="8"/>
  <c r="E164" i="8"/>
  <c r="E162" i="8"/>
  <c r="E161" i="8"/>
  <c r="E160" i="8"/>
  <c r="E159" i="8"/>
  <c r="E158" i="8"/>
  <c r="E157" i="8"/>
  <c r="E155" i="8"/>
  <c r="E154" i="8"/>
  <c r="E153" i="8"/>
  <c r="E150" i="8"/>
  <c r="E149" i="8"/>
  <c r="E148" i="8"/>
  <c r="E146" i="8"/>
  <c r="E145" i="8"/>
  <c r="E144" i="8"/>
  <c r="E143" i="8"/>
  <c r="E142" i="8"/>
  <c r="E141" i="8"/>
  <c r="E140" i="8"/>
  <c r="E138" i="8"/>
  <c r="E137" i="8"/>
  <c r="E136" i="8"/>
  <c r="E135" i="8"/>
  <c r="E134" i="8"/>
  <c r="E133" i="8"/>
  <c r="E131" i="8"/>
  <c r="E130" i="8"/>
  <c r="E129" i="8"/>
  <c r="E126" i="8"/>
  <c r="E125" i="8"/>
  <c r="E124" i="8"/>
  <c r="E122" i="8"/>
  <c r="E121" i="8"/>
  <c r="E120" i="8"/>
  <c r="E119" i="8"/>
  <c r="E118" i="8"/>
  <c r="E117" i="8"/>
  <c r="E116" i="8"/>
  <c r="E114" i="8"/>
  <c r="E113" i="8"/>
  <c r="E112" i="8"/>
  <c r="E111" i="8"/>
  <c r="E110" i="8"/>
  <c r="E109" i="8"/>
  <c r="E107" i="8"/>
  <c r="E106" i="8"/>
  <c r="E105" i="8"/>
  <c r="E102" i="8"/>
  <c r="E101" i="8"/>
  <c r="E100" i="8"/>
  <c r="E98" i="8"/>
  <c r="E97" i="8"/>
  <c r="E96" i="8"/>
  <c r="E95" i="8"/>
  <c r="E94" i="8"/>
  <c r="E93" i="8"/>
  <c r="E92" i="8"/>
  <c r="E90" i="8"/>
  <c r="E89" i="8"/>
  <c r="E88" i="8"/>
  <c r="E87" i="8"/>
  <c r="E86" i="8"/>
  <c r="E85" i="8"/>
  <c r="E83" i="8"/>
  <c r="E82" i="8"/>
  <c r="E81" i="8"/>
  <c r="E78" i="8"/>
  <c r="E77" i="8"/>
  <c r="E76" i="8"/>
  <c r="E74" i="8"/>
  <c r="E73" i="8"/>
  <c r="E72" i="8"/>
  <c r="E71" i="8"/>
  <c r="E70" i="8"/>
  <c r="E69" i="8"/>
  <c r="E68" i="8"/>
  <c r="E66" i="8"/>
  <c r="E65" i="8"/>
  <c r="E64" i="8"/>
  <c r="E63" i="8"/>
  <c r="E62" i="8"/>
  <c r="E61" i="8"/>
  <c r="E59" i="8"/>
  <c r="E58" i="8"/>
  <c r="E57" i="8"/>
  <c r="E54" i="8"/>
  <c r="E53" i="8"/>
  <c r="E52" i="8"/>
  <c r="E50" i="8"/>
  <c r="E49" i="8"/>
  <c r="E48" i="8"/>
  <c r="E47" i="8"/>
  <c r="E46" i="8"/>
  <c r="E45" i="8"/>
  <c r="E44" i="8"/>
  <c r="E42" i="8"/>
  <c r="E41" i="8"/>
  <c r="E40" i="8"/>
  <c r="E39" i="8"/>
  <c r="E38" i="8"/>
  <c r="E37" i="8"/>
  <c r="E35" i="8"/>
  <c r="E34" i="8"/>
  <c r="E33" i="8"/>
  <c r="E30" i="8"/>
  <c r="E29" i="8"/>
  <c r="E28" i="8"/>
  <c r="E26" i="8"/>
  <c r="E25" i="8"/>
  <c r="E24" i="8"/>
  <c r="E23" i="8"/>
  <c r="E22" i="8"/>
  <c r="E21" i="8"/>
  <c r="E20" i="8"/>
  <c r="E18" i="8"/>
  <c r="E17" i="8"/>
  <c r="E16" i="8"/>
  <c r="E15" i="8"/>
  <c r="E14" i="8"/>
  <c r="E13" i="8"/>
  <c r="E11" i="8"/>
  <c r="E10" i="8"/>
  <c r="E9" i="8"/>
  <c r="E294" i="7"/>
  <c r="E293" i="7"/>
  <c r="E292" i="7"/>
  <c r="E290" i="7"/>
  <c r="E289" i="7"/>
  <c r="E288" i="7"/>
  <c r="E287" i="7"/>
  <c r="E286" i="7"/>
  <c r="E285" i="7"/>
  <c r="E284" i="7"/>
  <c r="E282" i="7"/>
  <c r="E281" i="7"/>
  <c r="E280" i="7"/>
  <c r="E279" i="7"/>
  <c r="E278" i="7"/>
  <c r="E277" i="7"/>
  <c r="E275" i="7"/>
  <c r="E274" i="7"/>
  <c r="E273" i="7"/>
  <c r="E270" i="7"/>
  <c r="E269" i="7"/>
  <c r="E268" i="7"/>
  <c r="E266" i="7"/>
  <c r="E265" i="7"/>
  <c r="E264" i="7"/>
  <c r="E263" i="7"/>
  <c r="E262" i="7"/>
  <c r="E261" i="7"/>
  <c r="E260" i="7"/>
  <c r="E258" i="7"/>
  <c r="E257" i="7"/>
  <c r="E256" i="7"/>
  <c r="E255" i="7"/>
  <c r="E254" i="7"/>
  <c r="E253" i="7"/>
  <c r="E251" i="7"/>
  <c r="E250" i="7"/>
  <c r="E249" i="7"/>
  <c r="E246" i="7"/>
  <c r="E245" i="7"/>
  <c r="E244" i="7"/>
  <c r="E242" i="7"/>
  <c r="E241" i="7"/>
  <c r="E240" i="7"/>
  <c r="E239" i="7"/>
  <c r="E238" i="7"/>
  <c r="E237" i="7"/>
  <c r="E236" i="7"/>
  <c r="E234" i="7"/>
  <c r="E233" i="7"/>
  <c r="E232" i="7"/>
  <c r="E231" i="7"/>
  <c r="E230" i="7"/>
  <c r="E229" i="7"/>
  <c r="E227" i="7"/>
  <c r="E226" i="7"/>
  <c r="E225" i="7"/>
  <c r="E222" i="7"/>
  <c r="E221" i="7"/>
  <c r="E220" i="7"/>
  <c r="E218" i="7"/>
  <c r="E217" i="7"/>
  <c r="E216" i="7"/>
  <c r="E215" i="7"/>
  <c r="E214" i="7"/>
  <c r="E213" i="7"/>
  <c r="E212" i="7"/>
  <c r="E210" i="7"/>
  <c r="E209" i="7"/>
  <c r="E208" i="7"/>
  <c r="E207" i="7"/>
  <c r="E206" i="7"/>
  <c r="E205" i="7"/>
  <c r="E203" i="7"/>
  <c r="E202" i="7"/>
  <c r="E201" i="7"/>
  <c r="E198" i="7"/>
  <c r="E197" i="7"/>
  <c r="E196" i="7"/>
  <c r="E194" i="7"/>
  <c r="E193" i="7"/>
  <c r="E192" i="7"/>
  <c r="E191" i="7"/>
  <c r="E190" i="7"/>
  <c r="E189" i="7"/>
  <c r="E188" i="7"/>
  <c r="E186" i="7"/>
  <c r="E185" i="7"/>
  <c r="E184" i="7"/>
  <c r="E183" i="7"/>
  <c r="E182" i="7"/>
  <c r="E181" i="7"/>
  <c r="E179" i="7"/>
  <c r="E178" i="7"/>
  <c r="E177" i="7"/>
  <c r="E174" i="7"/>
  <c r="E173" i="7"/>
  <c r="E172" i="7"/>
  <c r="E170" i="7"/>
  <c r="E169" i="7"/>
  <c r="E168" i="7"/>
  <c r="E167" i="7"/>
  <c r="E166" i="7"/>
  <c r="E165" i="7"/>
  <c r="E164" i="7"/>
  <c r="E162" i="7"/>
  <c r="E161" i="7"/>
  <c r="E160" i="7"/>
  <c r="E159" i="7"/>
  <c r="E158" i="7"/>
  <c r="E157" i="7"/>
  <c r="E155" i="7"/>
  <c r="E154" i="7"/>
  <c r="E153" i="7"/>
  <c r="E150" i="7"/>
  <c r="E149" i="7"/>
  <c r="E148" i="7"/>
  <c r="E146" i="7"/>
  <c r="E145" i="7"/>
  <c r="E144" i="7"/>
  <c r="E143" i="7"/>
  <c r="E142" i="7"/>
  <c r="E141" i="7"/>
  <c r="E140" i="7"/>
  <c r="E138" i="7"/>
  <c r="E137" i="7"/>
  <c r="E136" i="7"/>
  <c r="E135" i="7"/>
  <c r="E134" i="7"/>
  <c r="E133" i="7"/>
  <c r="E131" i="7"/>
  <c r="E130" i="7"/>
  <c r="E129" i="7"/>
  <c r="E126" i="7"/>
  <c r="E125" i="7"/>
  <c r="E124" i="7"/>
  <c r="E122" i="7"/>
  <c r="E121" i="7"/>
  <c r="E120" i="7"/>
  <c r="E119" i="7"/>
  <c r="E118" i="7"/>
  <c r="E117" i="7"/>
  <c r="E116" i="7"/>
  <c r="E114" i="7"/>
  <c r="E113" i="7"/>
  <c r="E112" i="7"/>
  <c r="E111" i="7"/>
  <c r="E110" i="7"/>
  <c r="E109" i="7"/>
  <c r="E107" i="7"/>
  <c r="E106" i="7"/>
  <c r="E105" i="7"/>
  <c r="E102" i="7"/>
  <c r="E101" i="7"/>
  <c r="E100" i="7"/>
  <c r="E98" i="7"/>
  <c r="E97" i="7"/>
  <c r="E96" i="7"/>
  <c r="E95" i="7"/>
  <c r="E94" i="7"/>
  <c r="E93" i="7"/>
  <c r="E92" i="7"/>
  <c r="E90" i="7"/>
  <c r="E89" i="7"/>
  <c r="E88" i="7"/>
  <c r="E87" i="7"/>
  <c r="E86" i="7"/>
  <c r="E85" i="7"/>
  <c r="E83" i="7"/>
  <c r="E82" i="7"/>
  <c r="E81" i="7"/>
  <c r="E78" i="7"/>
  <c r="E77" i="7"/>
  <c r="E76" i="7"/>
  <c r="E74" i="7"/>
  <c r="E73" i="7"/>
  <c r="E72" i="7"/>
  <c r="E71" i="7"/>
  <c r="E70" i="7"/>
  <c r="E69" i="7"/>
  <c r="E68" i="7"/>
  <c r="E66" i="7"/>
  <c r="E65" i="7"/>
  <c r="E64" i="7"/>
  <c r="E63" i="7"/>
  <c r="E62" i="7"/>
  <c r="E61" i="7"/>
  <c r="E59" i="7"/>
  <c r="E58" i="7"/>
  <c r="E57" i="7"/>
  <c r="E54" i="7"/>
  <c r="E53" i="7"/>
  <c r="E52" i="7"/>
  <c r="E50" i="7"/>
  <c r="E49" i="7"/>
  <c r="E48" i="7"/>
  <c r="E47" i="7"/>
  <c r="E46" i="7"/>
  <c r="E45" i="7"/>
  <c r="E44" i="7"/>
  <c r="E42" i="7"/>
  <c r="E41" i="7"/>
  <c r="E40" i="7"/>
  <c r="E39" i="7"/>
  <c r="E38" i="7"/>
  <c r="E37" i="7"/>
  <c r="E35" i="7"/>
  <c r="E34" i="7"/>
  <c r="E33" i="7"/>
  <c r="E30" i="7"/>
  <c r="E29" i="7"/>
  <c r="E28" i="7"/>
  <c r="E26" i="7"/>
  <c r="E25" i="7"/>
  <c r="E24" i="7"/>
  <c r="E23" i="7"/>
  <c r="E22" i="7"/>
  <c r="E21" i="7"/>
  <c r="E20" i="7"/>
  <c r="E18" i="7"/>
  <c r="E17" i="7"/>
  <c r="E16" i="7"/>
  <c r="E15" i="7"/>
  <c r="E14" i="7"/>
  <c r="E13" i="7"/>
  <c r="E11" i="7"/>
  <c r="E10" i="7"/>
  <c r="E9" i="7"/>
  <c r="E250" i="3"/>
  <c r="E226" i="3"/>
  <c r="E202" i="3"/>
  <c r="E178" i="3"/>
  <c r="F154" i="3"/>
  <c r="F82" i="2"/>
  <c r="E82" i="2"/>
  <c r="F58" i="2"/>
  <c r="E58" i="2"/>
  <c r="F34" i="2"/>
  <c r="D57" i="1"/>
  <c r="D56" i="1"/>
  <c r="M30" i="1"/>
  <c r="F30" i="1"/>
  <c r="M29" i="1"/>
  <c r="F29" i="1"/>
  <c r="M28" i="1"/>
  <c r="F28" i="1"/>
  <c r="M27" i="1"/>
  <c r="F27" i="1"/>
  <c r="M26" i="1"/>
  <c r="F26" i="1"/>
  <c r="M25" i="1"/>
  <c r="F25" i="1"/>
  <c r="M24" i="1"/>
  <c r="F24" i="1"/>
  <c r="M23" i="1"/>
  <c r="F23" i="1"/>
  <c r="M22" i="1"/>
  <c r="F22" i="1"/>
  <c r="M21" i="1"/>
  <c r="F21" i="1"/>
  <c r="F20" i="1"/>
  <c r="F19" i="1"/>
  <c r="F18" i="1"/>
  <c r="F17" i="1"/>
  <c r="F16" i="1"/>
  <c r="F15" i="1"/>
  <c r="M14" i="1"/>
  <c r="F14" i="1"/>
  <c r="M13" i="1"/>
  <c r="F13" i="1"/>
  <c r="M12" i="1"/>
  <c r="F12" i="1"/>
  <c r="P7" i="1"/>
  <c r="D7" i="1"/>
  <c r="L3" i="1"/>
  <c r="W1243" i="17" l="1"/>
  <c r="M203" i="17"/>
  <c r="M32" i="17"/>
  <c r="R16" i="16"/>
  <c r="M222" i="17"/>
  <c r="M184" i="17"/>
  <c r="M165" i="17"/>
  <c r="M146" i="17"/>
  <c r="M127" i="17"/>
  <c r="M108" i="17"/>
  <c r="M89" i="17"/>
  <c r="M70" i="17"/>
  <c r="M51" i="17"/>
  <c r="M13" i="17"/>
  <c r="Z1739" i="17"/>
  <c r="Z1737" i="17"/>
  <c r="Z1735" i="17"/>
  <c r="Z1732" i="17"/>
  <c r="Z1729" i="17"/>
  <c r="Z1725" i="17"/>
  <c r="Z1722" i="17"/>
  <c r="Z1718" i="17"/>
  <c r="Z1714" i="17"/>
  <c r="Z1711" i="17"/>
  <c r="Z1707" i="17"/>
  <c r="Z1703" i="17"/>
  <c r="Z1700" i="17"/>
  <c r="Z1749" i="17"/>
  <c r="Z1736" i="17"/>
  <c r="Z1734" i="17"/>
  <c r="Z1731" i="17"/>
  <c r="Z1730" i="17"/>
  <c r="Z1727" i="17"/>
  <c r="Z1723" i="17"/>
  <c r="Z1720" i="17"/>
  <c r="Z1716" i="17"/>
  <c r="Z1712" i="17"/>
  <c r="Z1708" i="17"/>
  <c r="Z1705" i="17"/>
  <c r="Z1701" i="17"/>
  <c r="Z1738" i="17"/>
  <c r="Z1733" i="17"/>
  <c r="Z1728" i="17"/>
  <c r="Z1726" i="17"/>
  <c r="Z1724" i="17"/>
  <c r="Z1721" i="17"/>
  <c r="Z1719" i="17"/>
  <c r="Z1717" i="17"/>
  <c r="Z1715" i="17"/>
  <c r="Z1713" i="17"/>
  <c r="Z1710" i="17"/>
  <c r="Z1709" i="17"/>
  <c r="Z1706" i="17"/>
  <c r="Z1704" i="17"/>
  <c r="Z1702" i="17"/>
  <c r="Z1699" i="17"/>
  <c r="Z1698" i="17"/>
  <c r="Z1872" i="17"/>
  <c r="Z1752" i="17"/>
  <c r="Z1751" i="17"/>
  <c r="Z1748" i="17"/>
  <c r="Z1745" i="17"/>
  <c r="Z1743" i="17"/>
  <c r="Z1740" i="17"/>
  <c r="Z1870" i="17"/>
  <c r="Z1746" i="17"/>
  <c r="Z1742" i="17"/>
  <c r="Z1871" i="17"/>
  <c r="Z1753" i="17"/>
  <c r="Z1750" i="17"/>
  <c r="Z1747" i="17"/>
  <c r="Z1744" i="17"/>
  <c r="Z1741" i="17"/>
  <c r="Z1901" i="17"/>
  <c r="Z1900" i="17"/>
  <c r="Z1899" i="17"/>
  <c r="Z1898" i="17"/>
  <c r="Z1897" i="17"/>
  <c r="Z1896" i="17"/>
  <c r="Z1895" i="17"/>
  <c r="Z1894" i="17"/>
  <c r="Z1893" i="17"/>
  <c r="Z1892" i="17"/>
  <c r="Z1891" i="17"/>
  <c r="Z1890" i="17"/>
  <c r="Z1889" i="17"/>
  <c r="Z1888" i="17"/>
  <c r="Z1887" i="17"/>
  <c r="Z1886" i="17"/>
  <c r="Z1885" i="17"/>
  <c r="Z1883" i="17"/>
  <c r="Z1881" i="17"/>
  <c r="Z1879" i="17"/>
  <c r="Z1876" i="17"/>
  <c r="Z1874" i="17"/>
  <c r="Z1697" i="17"/>
  <c r="Z1696" i="17"/>
  <c r="Z1695" i="17"/>
  <c r="Z1694" i="17"/>
  <c r="Z1693" i="17"/>
  <c r="Z1692" i="17"/>
  <c r="Z1691" i="17"/>
  <c r="Z1690" i="17"/>
  <c r="Z1689" i="17"/>
  <c r="Z1688" i="17"/>
  <c r="Z1687" i="17"/>
  <c r="Z1686" i="17"/>
  <c r="Z1685" i="17"/>
  <c r="Z1684" i="17"/>
  <c r="Z1683" i="17"/>
  <c r="Z1682" i="17"/>
  <c r="Z1681" i="17"/>
  <c r="Z1680" i="17"/>
  <c r="Z1679" i="17"/>
  <c r="Z1678" i="17"/>
  <c r="Z1677" i="17"/>
  <c r="Z1676" i="17"/>
  <c r="Z1675" i="17"/>
  <c r="Z1674" i="17"/>
  <c r="Z1673" i="17"/>
  <c r="Z1672" i="17"/>
  <c r="Z1671" i="17"/>
  <c r="Z1670" i="17"/>
  <c r="Z1669" i="17"/>
  <c r="Z1668" i="17"/>
  <c r="Z1667" i="17"/>
  <c r="Z1666" i="17"/>
  <c r="Z1665" i="17"/>
  <c r="Z1664" i="17"/>
  <c r="Z1663" i="17"/>
  <c r="Z1662" i="17"/>
  <c r="Z1661" i="17"/>
  <c r="Z1884" i="17"/>
  <c r="Z1882" i="17"/>
  <c r="Z1880" i="17"/>
  <c r="Z1878" i="17"/>
  <c r="Z1877" i="17"/>
  <c r="Z1875" i="17"/>
  <c r="Z1873" i="17"/>
  <c r="M185" i="17"/>
  <c r="M204" i="17"/>
  <c r="M128" i="17"/>
  <c r="M90" i="17"/>
  <c r="M14" i="17"/>
  <c r="M223" i="17"/>
  <c r="M166" i="17"/>
  <c r="M147" i="17"/>
  <c r="M109" i="17"/>
  <c r="M71" i="17"/>
  <c r="M52" i="17"/>
  <c r="M33" i="17"/>
  <c r="R17" i="16"/>
  <c r="W1723" i="17"/>
  <c r="W1452" i="17"/>
  <c r="W1034" i="17"/>
  <c r="W825" i="17"/>
  <c r="Z2281" i="17"/>
  <c r="W2281" i="17"/>
  <c r="A2281" i="17"/>
  <c r="Z2280" i="17"/>
  <c r="W2280" i="17"/>
  <c r="A2280" i="17"/>
  <c r="Z2279" i="17"/>
  <c r="W2279" i="17"/>
  <c r="A2279" i="17"/>
  <c r="Z2278" i="17"/>
  <c r="W2278" i="17"/>
  <c r="A2278" i="17"/>
  <c r="Z2277" i="17"/>
  <c r="W2277" i="17"/>
  <c r="A2277" i="17"/>
  <c r="Z2276" i="17"/>
  <c r="W2276" i="17"/>
  <c r="A2276" i="17"/>
  <c r="Z2275" i="17"/>
  <c r="W2275" i="17"/>
  <c r="A2275" i="17"/>
  <c r="Z2274" i="17"/>
  <c r="W2274" i="17"/>
  <c r="A2274" i="17"/>
  <c r="Z2273" i="17"/>
  <c r="W2273" i="17"/>
  <c r="A2273" i="17"/>
  <c r="Z2272" i="17"/>
  <c r="W2272" i="17"/>
  <c r="A2272" i="17"/>
  <c r="Z2271" i="17"/>
  <c r="W2271" i="17"/>
  <c r="A2271" i="17"/>
  <c r="Z2270" i="17"/>
  <c r="W2270" i="17"/>
  <c r="A2270" i="17"/>
  <c r="Z2269" i="17"/>
  <c r="W2269" i="17"/>
  <c r="A2269" i="17"/>
  <c r="Z2268" i="17"/>
  <c r="W2268" i="17"/>
  <c r="A2268" i="17"/>
  <c r="Z2267" i="17"/>
  <c r="W2267" i="17"/>
  <c r="A2267" i="17"/>
  <c r="Z2266" i="17"/>
  <c r="W2266" i="17"/>
  <c r="A2266" i="17"/>
  <c r="Z2265" i="17"/>
  <c r="W2265" i="17"/>
  <c r="A2265" i="17"/>
  <c r="Z2264" i="17"/>
  <c r="W2264" i="17"/>
  <c r="A2264" i="17"/>
  <c r="Z2263" i="17"/>
  <c r="W2263" i="17"/>
  <c r="A2263" i="17"/>
  <c r="Z2262" i="17"/>
  <c r="W2262" i="17"/>
  <c r="A2262" i="17"/>
  <c r="Z2261" i="17"/>
  <c r="W2261" i="17"/>
  <c r="A2261" i="17"/>
  <c r="Z2260" i="17"/>
  <c r="W2260" i="17"/>
  <c r="A2260" i="17"/>
  <c r="Z2259" i="17"/>
  <c r="W2259" i="17"/>
  <c r="A2259" i="17"/>
  <c r="Z2258" i="17"/>
  <c r="W2258" i="17"/>
  <c r="A2258" i="17"/>
  <c r="Z2257" i="17"/>
  <c r="W2257" i="17"/>
  <c r="A2257" i="17"/>
  <c r="Z2256" i="17"/>
  <c r="W2256" i="17"/>
  <c r="A2256" i="17"/>
  <c r="Z2255" i="17"/>
  <c r="W2255" i="17"/>
  <c r="A2255" i="17"/>
  <c r="Z2254" i="17"/>
  <c r="W2254" i="17"/>
  <c r="A2254" i="17"/>
  <c r="Z2253" i="17"/>
  <c r="W2253" i="17"/>
  <c r="A2253" i="17"/>
  <c r="Z2252" i="17"/>
  <c r="W2252" i="17"/>
  <c r="A2252" i="17"/>
  <c r="Z2251" i="17"/>
  <c r="W2251" i="17"/>
  <c r="A2251" i="17"/>
  <c r="Z2250" i="17"/>
  <c r="W2250" i="17"/>
  <c r="A2250" i="17"/>
  <c r="Z2249" i="17"/>
  <c r="W2249" i="17"/>
  <c r="A2249" i="17"/>
  <c r="Z2248" i="17"/>
  <c r="W2248" i="17"/>
  <c r="A2248" i="17"/>
  <c r="Z2247" i="17"/>
  <c r="W2247" i="17"/>
  <c r="A2247" i="17"/>
  <c r="Z2246" i="17"/>
  <c r="W2246" i="17"/>
  <c r="A2246" i="17"/>
  <c r="Z2245" i="17"/>
  <c r="W2245" i="17"/>
  <c r="A2245" i="17"/>
  <c r="Z2244" i="17"/>
  <c r="W2244" i="17"/>
  <c r="A2244" i="17"/>
  <c r="Z2243" i="17"/>
  <c r="W2243" i="17"/>
  <c r="A2243" i="17"/>
  <c r="Z2242" i="17"/>
  <c r="W2242" i="17"/>
  <c r="A2242" i="17"/>
  <c r="Z2241" i="17"/>
  <c r="W2241" i="17"/>
  <c r="A2241" i="17"/>
  <c r="Z2240" i="17"/>
  <c r="W2240" i="17"/>
  <c r="A2240" i="17"/>
  <c r="Z2239" i="17"/>
  <c r="W2239" i="17"/>
  <c r="A2239" i="17"/>
  <c r="Z2238" i="17"/>
  <c r="W2238" i="17"/>
  <c r="A2238" i="17"/>
  <c r="Z2237" i="17"/>
  <c r="W2237" i="17"/>
  <c r="A2237" i="17"/>
  <c r="Z2236" i="17"/>
  <c r="W2236" i="17"/>
  <c r="A2236" i="17"/>
  <c r="Z2235" i="17"/>
  <c r="W2235" i="17"/>
  <c r="A2235" i="17"/>
  <c r="Z2234" i="17"/>
  <c r="W2234" i="17"/>
  <c r="A2234" i="17"/>
  <c r="Z2233" i="17"/>
  <c r="W2233" i="17"/>
  <c r="A2233" i="17"/>
  <c r="Z2232" i="17"/>
  <c r="W2232" i="17"/>
  <c r="A2232" i="17"/>
  <c r="Z2231" i="17"/>
  <c r="W2231" i="17"/>
  <c r="A2231" i="17"/>
  <c r="Z2230" i="17"/>
  <c r="W2230" i="17"/>
  <c r="A2230" i="17"/>
  <c r="Z2229" i="17"/>
  <c r="W2229" i="17"/>
  <c r="A2229" i="17"/>
  <c r="Z2228" i="17"/>
  <c r="W2228" i="17"/>
  <c r="A2228" i="17"/>
  <c r="Z2227" i="17"/>
  <c r="W2227" i="17"/>
  <c r="A2227" i="17"/>
  <c r="Z2226" i="17"/>
  <c r="W2226" i="17"/>
  <c r="A2226" i="17"/>
  <c r="Z2225" i="17"/>
  <c r="W2225" i="17"/>
  <c r="A2225" i="17"/>
  <c r="Z2224" i="17"/>
  <c r="W2224" i="17"/>
  <c r="A2224" i="17"/>
  <c r="Z2223" i="17"/>
  <c r="W2223" i="17"/>
  <c r="A2223" i="17"/>
  <c r="Z2222" i="17"/>
  <c r="W2222" i="17"/>
  <c r="A2222" i="17"/>
  <c r="Z2221" i="17"/>
  <c r="W2221" i="17"/>
  <c r="A2221" i="17"/>
  <c r="Z2220" i="17"/>
  <c r="W2220" i="17"/>
  <c r="A2220" i="17"/>
  <c r="Z2219" i="17"/>
  <c r="W2219" i="17"/>
  <c r="A2219" i="17"/>
  <c r="Z2218" i="17"/>
  <c r="W2218" i="17"/>
  <c r="A2218" i="17"/>
  <c r="Z2217" i="17"/>
  <c r="W2217" i="17"/>
  <c r="A2217" i="17"/>
  <c r="Z2216" i="17"/>
  <c r="W2216" i="17"/>
  <c r="A2216" i="17"/>
  <c r="Z2215" i="17"/>
  <c r="W2215" i="17"/>
  <c r="A2215" i="17"/>
  <c r="Z2214" i="17"/>
  <c r="W2214" i="17"/>
  <c r="A2214" i="17"/>
  <c r="Z2213" i="17"/>
  <c r="W2213" i="17"/>
  <c r="A2213" i="17"/>
  <c r="Z2212" i="17"/>
  <c r="W2212" i="17"/>
  <c r="A2212" i="17"/>
  <c r="Z2211" i="17"/>
  <c r="W2211" i="17"/>
  <c r="A2211" i="17"/>
  <c r="Z2210" i="17"/>
  <c r="W2210" i="17"/>
  <c r="A2210" i="17"/>
  <c r="Z2209" i="17"/>
  <c r="W2209" i="17"/>
  <c r="A2209" i="17"/>
  <c r="Z2208" i="17"/>
  <c r="W2208" i="17"/>
  <c r="A2208" i="17"/>
  <c r="Z2207" i="17"/>
  <c r="W2207" i="17"/>
  <c r="A2207" i="17"/>
  <c r="Z2206" i="17"/>
  <c r="W2206" i="17"/>
  <c r="A2206" i="17"/>
  <c r="Z2205" i="17"/>
  <c r="W2205" i="17"/>
  <c r="A2205" i="17"/>
  <c r="Z2204" i="17"/>
  <c r="W2204" i="17"/>
  <c r="A2204" i="17"/>
  <c r="Z2203" i="17"/>
  <c r="W2203" i="17"/>
  <c r="A2203" i="17"/>
  <c r="Z2202" i="17"/>
  <c r="W2202" i="17"/>
  <c r="A2202" i="17"/>
  <c r="Z2201" i="17"/>
  <c r="W2201" i="17"/>
  <c r="A2201" i="17"/>
  <c r="Z2200" i="17"/>
  <c r="W2200" i="17"/>
  <c r="A2200" i="17"/>
  <c r="Z2199" i="17"/>
  <c r="Y2199" i="17"/>
  <c r="W2199" i="17"/>
  <c r="D2199" i="17"/>
  <c r="C2199" i="17"/>
  <c r="Z2198" i="17"/>
  <c r="Y2198" i="17"/>
  <c r="W2198" i="17"/>
  <c r="D2198" i="17"/>
  <c r="C2198" i="17"/>
  <c r="Z2197" i="17"/>
  <c r="Y2197" i="17"/>
  <c r="W2197" i="17"/>
  <c r="D2197" i="17"/>
  <c r="C2197" i="17"/>
  <c r="Z2196" i="17"/>
  <c r="Y2196" i="17"/>
  <c r="W2196" i="17"/>
  <c r="D2196" i="17"/>
  <c r="C2196" i="17"/>
  <c r="Z2195" i="17"/>
  <c r="Y2195" i="17"/>
  <c r="W2195" i="17"/>
  <c r="D2195" i="17"/>
  <c r="C2195" i="17"/>
  <c r="Z2194" i="17"/>
  <c r="Y2194" i="17"/>
  <c r="W2194" i="17"/>
  <c r="D2194" i="17"/>
  <c r="C2194" i="17"/>
  <c r="Z2193" i="17"/>
  <c r="Y2193" i="17"/>
  <c r="W2193" i="17"/>
  <c r="D2193" i="17"/>
  <c r="C2193" i="17"/>
  <c r="Z2192" i="17"/>
  <c r="Y2192" i="17"/>
  <c r="W2192" i="17"/>
  <c r="D2192" i="17"/>
  <c r="C2192" i="17"/>
  <c r="Z2191" i="17"/>
  <c r="Y2191" i="17"/>
  <c r="W2191" i="17"/>
  <c r="D2191" i="17"/>
  <c r="C2191" i="17"/>
  <c r="Z2190" i="17"/>
  <c r="Y2190" i="17"/>
  <c r="W2190" i="17"/>
  <c r="D2190" i="17"/>
  <c r="C2190" i="17"/>
  <c r="Z2189" i="17"/>
  <c r="Y2189" i="17"/>
  <c r="W2189" i="17"/>
  <c r="D2189" i="17"/>
  <c r="C2189" i="17"/>
  <c r="Z2188" i="17"/>
  <c r="Y2188" i="17"/>
  <c r="W2188" i="17"/>
  <c r="D2188" i="17"/>
  <c r="C2188" i="17"/>
  <c r="Z2187" i="17"/>
  <c r="Y2187" i="17"/>
  <c r="W2187" i="17"/>
  <c r="D2187" i="17"/>
  <c r="C2187" i="17"/>
  <c r="Z2186" i="17"/>
  <c r="Y2186" i="17"/>
  <c r="W2186" i="17"/>
  <c r="D2186" i="17"/>
  <c r="C2186" i="17"/>
  <c r="Z2185" i="17"/>
  <c r="Y2185" i="17"/>
  <c r="W2185" i="17"/>
  <c r="D2185" i="17"/>
  <c r="C2185" i="17"/>
  <c r="Z2184" i="17"/>
  <c r="Y2184" i="17"/>
  <c r="W2184" i="17"/>
  <c r="D2184" i="17"/>
  <c r="C2184" i="17"/>
  <c r="Z2183" i="17"/>
  <c r="Y2183" i="17"/>
  <c r="W2183" i="17"/>
  <c r="D2183" i="17"/>
  <c r="C2183" i="17"/>
  <c r="Z2182" i="17"/>
  <c r="Y2182" i="17"/>
  <c r="W2182" i="17"/>
  <c r="D2182" i="17"/>
  <c r="C2182" i="17"/>
  <c r="Z2181" i="17"/>
  <c r="Y2181" i="17"/>
  <c r="W2181" i="17"/>
  <c r="D2181" i="17"/>
  <c r="C2181" i="17"/>
  <c r="Z2180" i="17"/>
  <c r="Y2180" i="17"/>
  <c r="W2180" i="17"/>
  <c r="D2180" i="17"/>
  <c r="C2180" i="17"/>
  <c r="Z2179" i="17"/>
  <c r="Y2179" i="17"/>
  <c r="W2179" i="17"/>
  <c r="D2179" i="17"/>
  <c r="C2179" i="17"/>
  <c r="Z2178" i="17"/>
  <c r="Y2178" i="17"/>
  <c r="W2178" i="17"/>
  <c r="D2178" i="17"/>
  <c r="C2178" i="17"/>
  <c r="Z2177" i="17"/>
  <c r="Y2177" i="17"/>
  <c r="W2177" i="17"/>
  <c r="D2177" i="17"/>
  <c r="C2177" i="17"/>
  <c r="Z2176" i="17"/>
  <c r="Y2176" i="17"/>
  <c r="W2176" i="17"/>
  <c r="D2176" i="17"/>
  <c r="C2176" i="17"/>
  <c r="Z2175" i="17"/>
  <c r="Y2175" i="17"/>
  <c r="W2175" i="17"/>
  <c r="D2175" i="17"/>
  <c r="C2175" i="17"/>
  <c r="Z2174" i="17"/>
  <c r="Y2174" i="17"/>
  <c r="W2174" i="17"/>
  <c r="D2174" i="17"/>
  <c r="C2174" i="17"/>
  <c r="Z2173" i="17"/>
  <c r="Y2173" i="17"/>
  <c r="W2173" i="17"/>
  <c r="D2173" i="17"/>
  <c r="C2173" i="17"/>
  <c r="Z2172" i="17"/>
  <c r="Y2172" i="17"/>
  <c r="W2172" i="17"/>
  <c r="D2172" i="17"/>
  <c r="C2172" i="17"/>
  <c r="Z2171" i="17"/>
  <c r="Y2171" i="17"/>
  <c r="W2171" i="17"/>
  <c r="D2171" i="17"/>
  <c r="C2171" i="17"/>
  <c r="Z2170" i="17"/>
  <c r="Y2170" i="17"/>
  <c r="W2170" i="17"/>
  <c r="D2170" i="17"/>
  <c r="C2170" i="17"/>
  <c r="Z2169" i="17"/>
  <c r="Y2169" i="17"/>
  <c r="W2169" i="17"/>
  <c r="D2169" i="17"/>
  <c r="C2169" i="17"/>
  <c r="Z2168" i="17"/>
  <c r="Y2168" i="17"/>
  <c r="W2168" i="17"/>
  <c r="D2168" i="17"/>
  <c r="C2168" i="17"/>
  <c r="Z2167" i="17"/>
  <c r="Y2167" i="17"/>
  <c r="W2167" i="17"/>
  <c r="D2167" i="17"/>
  <c r="C2167" i="17"/>
  <c r="Z2166" i="17"/>
  <c r="Y2166" i="17"/>
  <c r="W2166" i="17"/>
  <c r="D2166" i="17"/>
  <c r="C2166" i="17"/>
  <c r="Z2165" i="17"/>
  <c r="Y2165" i="17"/>
  <c r="W2165" i="17"/>
  <c r="D2165" i="17"/>
  <c r="C2165" i="17"/>
  <c r="Z2164" i="17"/>
  <c r="Y2164" i="17"/>
  <c r="W2164" i="17"/>
  <c r="D2164" i="17"/>
  <c r="C2164" i="17"/>
  <c r="Z2163" i="17"/>
  <c r="Y2163" i="17"/>
  <c r="W2163" i="17"/>
  <c r="D2163" i="17"/>
  <c r="C2163" i="17"/>
  <c r="Z2162" i="17"/>
  <c r="Y2162" i="17"/>
  <c r="W2162" i="17"/>
  <c r="D2162" i="17"/>
  <c r="C2162" i="17"/>
  <c r="Z2161" i="17"/>
  <c r="Y2161" i="17"/>
  <c r="W2161" i="17"/>
  <c r="D2161" i="17"/>
  <c r="C2161" i="17"/>
  <c r="Z2160" i="17"/>
  <c r="Y2160" i="17"/>
  <c r="W2160" i="17"/>
  <c r="D2160" i="17"/>
  <c r="C2160" i="17"/>
  <c r="Z2159" i="17"/>
  <c r="Y2159" i="17"/>
  <c r="W2159" i="17"/>
  <c r="D2159" i="17"/>
  <c r="C2159" i="17"/>
  <c r="Z2158" i="17"/>
  <c r="Y2158" i="17"/>
  <c r="W2158" i="17"/>
  <c r="D2158" i="17"/>
  <c r="C2158" i="17"/>
  <c r="Z2157" i="17"/>
  <c r="Y2157" i="17"/>
  <c r="W2157" i="17"/>
  <c r="D2157" i="17"/>
  <c r="C2157" i="17"/>
  <c r="Z2156" i="17"/>
  <c r="Y2156" i="17"/>
  <c r="W2156" i="17"/>
  <c r="D2156" i="17"/>
  <c r="C2156" i="17"/>
  <c r="Z2155" i="17"/>
  <c r="Y2155" i="17"/>
  <c r="W2155" i="17"/>
  <c r="D2155" i="17"/>
  <c r="C2155" i="17"/>
  <c r="Z2154" i="17"/>
  <c r="Y2154" i="17"/>
  <c r="W2154" i="17"/>
  <c r="D2154" i="17"/>
  <c r="C2154" i="17"/>
  <c r="Z2153" i="17"/>
  <c r="Y2153" i="17"/>
  <c r="W2153" i="17"/>
  <c r="D2153" i="17"/>
  <c r="C2153" i="17"/>
  <c r="Z2152" i="17"/>
  <c r="Y2152" i="17"/>
  <c r="W2152" i="17"/>
  <c r="D2152" i="17"/>
  <c r="C2152" i="17"/>
  <c r="Z2151" i="17"/>
  <c r="Y2151" i="17"/>
  <c r="W2151" i="17"/>
  <c r="D2151" i="17"/>
  <c r="C2151" i="17"/>
  <c r="Z2150" i="17"/>
  <c r="Y2150" i="17"/>
  <c r="W2150" i="17"/>
  <c r="D2150" i="17"/>
  <c r="C2150" i="17"/>
  <c r="Z2149" i="17"/>
  <c r="Y2149" i="17"/>
  <c r="W2149" i="17"/>
  <c r="D2149" i="17"/>
  <c r="C2149" i="17"/>
  <c r="Z2148" i="17"/>
  <c r="Y2148" i="17"/>
  <c r="W2148" i="17"/>
  <c r="D2148" i="17"/>
  <c r="C2148" i="17"/>
  <c r="Z2147" i="17"/>
  <c r="Y2147" i="17"/>
  <c r="W2147" i="17"/>
  <c r="D2147" i="17"/>
  <c r="C2147" i="17"/>
  <c r="Z2146" i="17"/>
  <c r="Y2146" i="17"/>
  <c r="W2146" i="17"/>
  <c r="D2146" i="17"/>
  <c r="C2146" i="17"/>
  <c r="Z2145" i="17"/>
  <c r="Y2145" i="17"/>
  <c r="W2145" i="17"/>
  <c r="D2145" i="17"/>
  <c r="C2145" i="17"/>
  <c r="Z2144" i="17"/>
  <c r="Y2144" i="17"/>
  <c r="W2144" i="17"/>
  <c r="D2144" i="17"/>
  <c r="C2144" i="17"/>
  <c r="Z2143" i="17"/>
  <c r="Y2143" i="17"/>
  <c r="W2143" i="17"/>
  <c r="D2143" i="17"/>
  <c r="C2143" i="17"/>
  <c r="Z2142" i="17"/>
  <c r="Y2142" i="17"/>
  <c r="W2142" i="17"/>
  <c r="D2142" i="17"/>
  <c r="C2142" i="17"/>
  <c r="Z2141" i="17"/>
  <c r="Y2141" i="17"/>
  <c r="W2141" i="17"/>
  <c r="D2141" i="17"/>
  <c r="C2141" i="17"/>
  <c r="Z2140" i="17"/>
  <c r="Y2140" i="17"/>
  <c r="W2140" i="17"/>
  <c r="D2140" i="17"/>
  <c r="C2140" i="17"/>
  <c r="Z2139" i="17"/>
  <c r="Y2139" i="17"/>
  <c r="W2139" i="17"/>
  <c r="D2139" i="17"/>
  <c r="C2139" i="17"/>
  <c r="Z2138" i="17"/>
  <c r="Y2138" i="17"/>
  <c r="W2138" i="17"/>
  <c r="D2138" i="17"/>
  <c r="C2138" i="17"/>
  <c r="Z2137" i="17"/>
  <c r="Y2137" i="17"/>
  <c r="W2137" i="17"/>
  <c r="D2137" i="17"/>
  <c r="C2137" i="17"/>
  <c r="Z2136" i="17"/>
  <c r="Y2136" i="17"/>
  <c r="W2136" i="17"/>
  <c r="D2136" i="17"/>
  <c r="C2136" i="17"/>
  <c r="Z2135" i="17"/>
  <c r="Y2135" i="17"/>
  <c r="W2135" i="17"/>
  <c r="D2135" i="17"/>
  <c r="C2135" i="17"/>
  <c r="Z2134" i="17"/>
  <c r="Y2134" i="17"/>
  <c r="W2134" i="17"/>
  <c r="D2134" i="17"/>
  <c r="C2134" i="17"/>
  <c r="Z2133" i="17"/>
  <c r="Y2133" i="17"/>
  <c r="W2133" i="17"/>
  <c r="D2133" i="17"/>
  <c r="C2133" i="17"/>
  <c r="Z2132" i="17"/>
  <c r="Y2132" i="17"/>
  <c r="W2132" i="17"/>
  <c r="D2132" i="17"/>
  <c r="C2132" i="17"/>
  <c r="Z2131" i="17"/>
  <c r="Y2131" i="17"/>
  <c r="W2131" i="17"/>
  <c r="D2131" i="17"/>
  <c r="C2131" i="17"/>
  <c r="Z2130" i="17"/>
  <c r="Y2130" i="17"/>
  <c r="W2130" i="17"/>
  <c r="D2130" i="17"/>
  <c r="C2130" i="17"/>
  <c r="Z2129" i="17"/>
  <c r="Y2129" i="17"/>
  <c r="W2129" i="17"/>
  <c r="D2129" i="17"/>
  <c r="C2129" i="17"/>
  <c r="Z2128" i="17"/>
  <c r="Y2128" i="17"/>
  <c r="W2128" i="17"/>
  <c r="D2128" i="17"/>
  <c r="C2128" i="17"/>
  <c r="Z2127" i="17"/>
  <c r="Y2127" i="17"/>
  <c r="W2127" i="17"/>
  <c r="D2127" i="17"/>
  <c r="C2127" i="17"/>
  <c r="Z2126" i="17"/>
  <c r="Y2126" i="17"/>
  <c r="W2126" i="17"/>
  <c r="D2126" i="17"/>
  <c r="C2126" i="17"/>
  <c r="Z2125" i="17"/>
  <c r="Y2125" i="17"/>
  <c r="W2125" i="17"/>
  <c r="D2125" i="17"/>
  <c r="C2125" i="17"/>
  <c r="Z2124" i="17"/>
  <c r="Y2124" i="17"/>
  <c r="W2124" i="17"/>
  <c r="D2124" i="17"/>
  <c r="C2124" i="17"/>
  <c r="Z2123" i="17"/>
  <c r="Y2123" i="17"/>
  <c r="W2123" i="17"/>
  <c r="D2123" i="17"/>
  <c r="C2123" i="17"/>
  <c r="Z2122" i="17"/>
  <c r="Y2122" i="17"/>
  <c r="W2122" i="17"/>
  <c r="D2122" i="17"/>
  <c r="C2122" i="17"/>
  <c r="Z2121" i="17"/>
  <c r="Y2121" i="17"/>
  <c r="W2121" i="17"/>
  <c r="D2121" i="17"/>
  <c r="C2121" i="17"/>
  <c r="Z2120" i="17"/>
  <c r="Y2120" i="17"/>
  <c r="W2120" i="17"/>
  <c r="D2120" i="17"/>
  <c r="C2120" i="17"/>
  <c r="Z2119" i="17"/>
  <c r="Y2119" i="17"/>
  <c r="W2119" i="17"/>
  <c r="D2119" i="17"/>
  <c r="C2119" i="17"/>
  <c r="Z2118" i="17"/>
  <c r="Y2118" i="17"/>
  <c r="W2118" i="17"/>
  <c r="D2118" i="17"/>
  <c r="C2118" i="17"/>
  <c r="Z2117" i="17"/>
  <c r="Y2117" i="17"/>
  <c r="W2117" i="17"/>
  <c r="D2117" i="17"/>
  <c r="C2117" i="17"/>
  <c r="Z2116" i="17"/>
  <c r="Y2116" i="17"/>
  <c r="W2116" i="17"/>
  <c r="D2116" i="17"/>
  <c r="C2116" i="17"/>
  <c r="Z2115" i="17"/>
  <c r="Y2115" i="17"/>
  <c r="W2115" i="17"/>
  <c r="D2115" i="17"/>
  <c r="C2115" i="17"/>
  <c r="Z2114" i="17"/>
  <c r="Y2114" i="17"/>
  <c r="W2114" i="17"/>
  <c r="D2114" i="17"/>
  <c r="C2114" i="17"/>
  <c r="Z2113" i="17"/>
  <c r="Y2113" i="17"/>
  <c r="W2113" i="17"/>
  <c r="D2113" i="17"/>
  <c r="C2113" i="17"/>
  <c r="Z2112" i="17"/>
  <c r="Y2112" i="17"/>
  <c r="W2112" i="17"/>
  <c r="D2112" i="17"/>
  <c r="C2112" i="17"/>
  <c r="Z2111" i="17"/>
  <c r="Y2111" i="17"/>
  <c r="W2111" i="17"/>
  <c r="D2111" i="17"/>
  <c r="C2111" i="17"/>
  <c r="Z2110" i="17"/>
  <c r="Y2110" i="17"/>
  <c r="W2110" i="17"/>
  <c r="D2110" i="17"/>
  <c r="C2110" i="17"/>
  <c r="Z2109" i="17"/>
  <c r="Y2109" i="17"/>
  <c r="W2109" i="17"/>
  <c r="D2109" i="17"/>
  <c r="C2109" i="17"/>
  <c r="Z2108" i="17"/>
  <c r="Y2108" i="17"/>
  <c r="W2108" i="17"/>
  <c r="D2108" i="17"/>
  <c r="C2108" i="17"/>
  <c r="Z2107" i="17"/>
  <c r="Y2107" i="17"/>
  <c r="W2107" i="17"/>
  <c r="D2107" i="17"/>
  <c r="C2107" i="17"/>
  <c r="Z2106" i="17"/>
  <c r="Y2106" i="17"/>
  <c r="W2106" i="17"/>
  <c r="D2106" i="17"/>
  <c r="C2106" i="17"/>
  <c r="Z2105" i="17"/>
  <c r="Y2105" i="17"/>
  <c r="W2105" i="17"/>
  <c r="D2105" i="17"/>
  <c r="C2105" i="17"/>
  <c r="Z2104" i="17"/>
  <c r="Y2104" i="17"/>
  <c r="W2104" i="17"/>
  <c r="D2104" i="17"/>
  <c r="C2104" i="17"/>
  <c r="Z2103" i="17"/>
  <c r="Y2103" i="17"/>
  <c r="W2103" i="17"/>
  <c r="D2103" i="17"/>
  <c r="C2103" i="17"/>
  <c r="Z2102" i="17"/>
  <c r="Y2102" i="17"/>
  <c r="W2102" i="17"/>
  <c r="D2102" i="17"/>
  <c r="C2102" i="17"/>
  <c r="Z2101" i="17"/>
  <c r="Y2101" i="17"/>
  <c r="W2101" i="17"/>
  <c r="D2101" i="17"/>
  <c r="C2101" i="17"/>
  <c r="Z2100" i="17"/>
  <c r="Y2100" i="17"/>
  <c r="W2100" i="17"/>
  <c r="D2100" i="17"/>
  <c r="C2100" i="17"/>
  <c r="Z2099" i="17"/>
  <c r="Y2099" i="17"/>
  <c r="W2099" i="17"/>
  <c r="D2099" i="17"/>
  <c r="C2099" i="17"/>
  <c r="Z2098" i="17"/>
  <c r="Y2098" i="17"/>
  <c r="W2098" i="17"/>
  <c r="D2098" i="17"/>
  <c r="C2098" i="17"/>
  <c r="Z2097" i="17"/>
  <c r="Y2097" i="17"/>
  <c r="W2097" i="17"/>
  <c r="D2097" i="17"/>
  <c r="C2097" i="17"/>
  <c r="Z2096" i="17"/>
  <c r="Y2096" i="17"/>
  <c r="W2096" i="17"/>
  <c r="D2096" i="17"/>
  <c r="C2096" i="17"/>
  <c r="Z2095" i="17"/>
  <c r="Y2095" i="17"/>
  <c r="W2095" i="17"/>
  <c r="D2095" i="17"/>
  <c r="C2095" i="17"/>
  <c r="Z2094" i="17"/>
  <c r="Y2094" i="17"/>
  <c r="W2094" i="17"/>
  <c r="D2094" i="17"/>
  <c r="C2094" i="17"/>
  <c r="Z2093" i="17"/>
  <c r="Y2093" i="17"/>
  <c r="W2093" i="17"/>
  <c r="D2093" i="17"/>
  <c r="C2093" i="17"/>
  <c r="Z2092" i="17"/>
  <c r="Y2092" i="17"/>
  <c r="W2092" i="17"/>
  <c r="D2092" i="17"/>
  <c r="C2092" i="17"/>
  <c r="Z2091" i="17"/>
  <c r="Y2091" i="17"/>
  <c r="W2091" i="17"/>
  <c r="D2091" i="17"/>
  <c r="C2091" i="17"/>
  <c r="Z2090" i="17"/>
  <c r="Y2090" i="17"/>
  <c r="W2090" i="17"/>
  <c r="D2090" i="17"/>
  <c r="C2090" i="17"/>
  <c r="Z2089" i="17"/>
  <c r="Y2089" i="17"/>
  <c r="W2089" i="17"/>
  <c r="D2089" i="17"/>
  <c r="C2089" i="17"/>
  <c r="Z2088" i="17"/>
  <c r="Y2088" i="17"/>
  <c r="W2088" i="17"/>
  <c r="D2088" i="17"/>
  <c r="C2088" i="17"/>
  <c r="Z2087" i="17"/>
  <c r="Y2087" i="17"/>
  <c r="W2087" i="17"/>
  <c r="D2087" i="17"/>
  <c r="C2087" i="17"/>
  <c r="Z2086" i="17"/>
  <c r="Y2086" i="17"/>
  <c r="W2086" i="17"/>
  <c r="D2086" i="17"/>
  <c r="C2086" i="17"/>
  <c r="Z2085" i="17"/>
  <c r="Y2085" i="17"/>
  <c r="W2085" i="17"/>
  <c r="D2085" i="17"/>
  <c r="C2085" i="17"/>
  <c r="Z2084" i="17"/>
  <c r="Y2084" i="17"/>
  <c r="W2084" i="17"/>
  <c r="D2084" i="17"/>
  <c r="C2084" i="17"/>
  <c r="Z2083" i="17"/>
  <c r="Y2083" i="17"/>
  <c r="W2083" i="17"/>
  <c r="D2083" i="17"/>
  <c r="C2083" i="17"/>
  <c r="Z2082" i="17"/>
  <c r="Y2082" i="17"/>
  <c r="W2082" i="17"/>
  <c r="D2082" i="17"/>
  <c r="C2082" i="17"/>
  <c r="Z2081" i="17"/>
  <c r="Y2081" i="17"/>
  <c r="W2081" i="17"/>
  <c r="D2081" i="17"/>
  <c r="C2081" i="17"/>
  <c r="Z2080" i="17"/>
  <c r="Y2080" i="17"/>
  <c r="W2080" i="17"/>
  <c r="D2080" i="17"/>
  <c r="C2080" i="17"/>
  <c r="Y2053" i="17"/>
  <c r="D2053" i="17"/>
  <c r="Y2052" i="17"/>
  <c r="W2052" i="17"/>
  <c r="Y2051" i="17"/>
  <c r="W2051" i="17"/>
  <c r="D2051" i="17"/>
  <c r="C2051" i="17"/>
  <c r="Y2050" i="17"/>
  <c r="W2050" i="17"/>
  <c r="D2050" i="17"/>
  <c r="C2050" i="17"/>
  <c r="Z2049" i="17"/>
  <c r="D2049" i="17"/>
  <c r="C2049" i="17"/>
  <c r="Z2048" i="17"/>
  <c r="D2048" i="17"/>
  <c r="C2048" i="17"/>
  <c r="Y2047" i="17"/>
  <c r="W2047" i="17"/>
  <c r="D2047" i="17"/>
  <c r="C2047" i="17"/>
  <c r="Z2046" i="17"/>
  <c r="W2046" i="17"/>
  <c r="D2046" i="17"/>
  <c r="C2046" i="17"/>
  <c r="Y2045" i="17"/>
  <c r="W2045" i="17"/>
  <c r="D2045" i="17"/>
  <c r="C2045" i="17"/>
  <c r="Z2044" i="17"/>
  <c r="D2044" i="17"/>
  <c r="C2044" i="17"/>
  <c r="Z2043" i="17"/>
  <c r="D2043" i="17"/>
  <c r="C2043" i="17"/>
  <c r="Z2042" i="17"/>
  <c r="W2042" i="17"/>
  <c r="D2042" i="17"/>
  <c r="C2042" i="17"/>
  <c r="Z2041" i="17"/>
  <c r="D2041" i="17"/>
  <c r="C2041" i="17"/>
  <c r="Z2040" i="17"/>
  <c r="W2040" i="17"/>
  <c r="D2040" i="17"/>
  <c r="C2040" i="17"/>
  <c r="Z2039" i="17"/>
  <c r="D2039" i="17"/>
  <c r="C2039" i="17"/>
  <c r="Y2038" i="17"/>
  <c r="W2038" i="17"/>
  <c r="D2038" i="17"/>
  <c r="C2038" i="17"/>
  <c r="Y2037" i="17"/>
  <c r="W2037" i="17"/>
  <c r="D2037" i="17"/>
  <c r="Y2036" i="17"/>
  <c r="W2036" i="17"/>
  <c r="D2036" i="17"/>
  <c r="C2036" i="17"/>
  <c r="Y2035" i="17"/>
  <c r="W2035" i="17"/>
  <c r="D2035" i="17"/>
  <c r="C2035" i="17"/>
  <c r="Z2034" i="17"/>
  <c r="Y2034" i="17"/>
  <c r="W2034" i="17"/>
  <c r="D2034" i="17"/>
  <c r="C2034" i="17"/>
  <c r="Z2033" i="17"/>
  <c r="W2033" i="17"/>
  <c r="D2033" i="17"/>
  <c r="C2033" i="17"/>
  <c r="Z2032" i="17"/>
  <c r="C2032" i="17"/>
  <c r="Z2031" i="17"/>
  <c r="W2031" i="17"/>
  <c r="D2031" i="17"/>
  <c r="C2031" i="17"/>
  <c r="Z2030" i="17"/>
  <c r="D2030" i="17"/>
  <c r="Z2029" i="17"/>
  <c r="W2029" i="17"/>
  <c r="D2029" i="17"/>
  <c r="C2029" i="17"/>
  <c r="Y2028" i="17"/>
  <c r="W2028" i="17"/>
  <c r="D2028" i="17"/>
  <c r="C2028" i="17"/>
  <c r="Z2027" i="17"/>
  <c r="Y2027" i="17"/>
  <c r="W2027" i="17"/>
  <c r="D2027" i="17"/>
  <c r="C2027" i="17"/>
  <c r="Z2026" i="17"/>
  <c r="W2026" i="17"/>
  <c r="D2026" i="17"/>
  <c r="C2026" i="17"/>
  <c r="Z2025" i="17"/>
  <c r="D2025" i="17"/>
  <c r="C2025" i="17"/>
  <c r="Z2024" i="17"/>
  <c r="C2024" i="17"/>
  <c r="Z2023" i="17"/>
  <c r="D2023" i="17"/>
  <c r="C2023" i="17"/>
  <c r="Y2022" i="17"/>
  <c r="W2022" i="17"/>
  <c r="D2022" i="17"/>
  <c r="C2022" i="17"/>
  <c r="Y2021" i="17"/>
  <c r="W2021" i="17"/>
  <c r="D2021" i="17"/>
  <c r="C2021" i="17"/>
  <c r="Y2020" i="17"/>
  <c r="W2020" i="17"/>
  <c r="D2020" i="17"/>
  <c r="C2020" i="17"/>
  <c r="Z2019" i="17"/>
  <c r="W2019" i="17"/>
  <c r="D2019" i="17"/>
  <c r="C2019" i="17"/>
  <c r="Z2018" i="17"/>
  <c r="D2018" i="17"/>
  <c r="C2018" i="17"/>
  <c r="Y2017" i="17"/>
  <c r="W2017" i="17"/>
  <c r="Y2012" i="17"/>
  <c r="W2012" i="17"/>
  <c r="D2012" i="17"/>
  <c r="C2012" i="17"/>
  <c r="Y2011" i="17"/>
  <c r="W2011" i="17"/>
  <c r="D2011" i="17"/>
  <c r="C2011" i="17"/>
  <c r="Z2010" i="17"/>
  <c r="Y2010" i="17"/>
  <c r="W2010" i="17"/>
  <c r="D2010" i="17"/>
  <c r="C2010" i="17"/>
  <c r="Z2009" i="17"/>
  <c r="Y2009" i="17"/>
  <c r="W2009" i="17"/>
  <c r="D2009" i="17"/>
  <c r="Y2008" i="17"/>
  <c r="W2008" i="17"/>
  <c r="C2008" i="17"/>
  <c r="Y2007" i="17"/>
  <c r="W2007" i="17"/>
  <c r="D2007" i="17"/>
  <c r="Y2006" i="17"/>
  <c r="W2006" i="17"/>
  <c r="D2006" i="17"/>
  <c r="Y2005" i="17"/>
  <c r="W2005" i="17"/>
  <c r="D2005" i="17"/>
  <c r="C2005" i="17"/>
  <c r="Z2004" i="17"/>
  <c r="W2004" i="17"/>
  <c r="D2004" i="17"/>
  <c r="C2004" i="17"/>
  <c r="Z2003" i="17"/>
  <c r="W2003" i="17"/>
  <c r="C2003" i="17"/>
  <c r="Y2002" i="17"/>
  <c r="W2002" i="17"/>
  <c r="D2002" i="17"/>
  <c r="C2002" i="17"/>
  <c r="Z2001" i="17"/>
  <c r="W2001" i="17"/>
  <c r="D2001" i="17"/>
  <c r="C2001" i="17"/>
  <c r="Z2000" i="17"/>
  <c r="W2000" i="17"/>
  <c r="D2000" i="17"/>
  <c r="C2000" i="17"/>
  <c r="Z1999" i="17"/>
  <c r="C1999" i="17"/>
  <c r="Y1998" i="17"/>
  <c r="W1998" i="17"/>
  <c r="D1998" i="17"/>
  <c r="C1998" i="17"/>
  <c r="Y1997" i="17"/>
  <c r="W1997" i="17"/>
  <c r="D1997" i="17"/>
  <c r="C1997" i="17"/>
  <c r="Z1996" i="17"/>
  <c r="W1996" i="17"/>
  <c r="D1996" i="17"/>
  <c r="Z1995" i="17"/>
  <c r="D1995" i="17"/>
  <c r="C1995" i="17"/>
  <c r="Y1994" i="17"/>
  <c r="W1994" i="17"/>
  <c r="D1994" i="17"/>
  <c r="C1994" i="17"/>
  <c r="Z1993" i="17"/>
  <c r="D1993" i="17"/>
  <c r="C1993" i="17"/>
  <c r="Z1992" i="17"/>
  <c r="D1992" i="17"/>
  <c r="C1992" i="17"/>
  <c r="Y1991" i="17"/>
  <c r="W1991" i="17"/>
  <c r="D1991" i="17"/>
  <c r="C1991" i="17"/>
  <c r="Y1990" i="17"/>
  <c r="W1990" i="17"/>
  <c r="D1990" i="17"/>
  <c r="C1990" i="17"/>
  <c r="Y1989" i="17"/>
  <c r="W1989" i="17"/>
  <c r="D1989" i="17"/>
  <c r="C1989" i="17"/>
  <c r="Z1988" i="17"/>
  <c r="W1988" i="17"/>
  <c r="D1988" i="17"/>
  <c r="Y1987" i="17"/>
  <c r="W1987" i="17"/>
  <c r="D1987" i="17"/>
  <c r="C1987" i="17"/>
  <c r="Z1986" i="17"/>
  <c r="W1986" i="17"/>
  <c r="D1986" i="17"/>
  <c r="Y1985" i="17"/>
  <c r="W1985" i="17"/>
  <c r="C1985" i="17"/>
  <c r="Z1984" i="17"/>
  <c r="W1984" i="17"/>
  <c r="D1984" i="17"/>
  <c r="C1984" i="17"/>
  <c r="Y1983" i="17"/>
  <c r="W1983" i="17"/>
  <c r="D1983" i="17"/>
  <c r="C1983" i="17"/>
  <c r="Y1982" i="17"/>
  <c r="W1982" i="17"/>
  <c r="D1982" i="17"/>
  <c r="C1982" i="17"/>
  <c r="Z1981" i="17"/>
  <c r="W1981" i="17"/>
  <c r="D1981" i="17"/>
  <c r="C1981" i="17"/>
  <c r="Y1980" i="17"/>
  <c r="W1980" i="17"/>
  <c r="D1980" i="17"/>
  <c r="C1980" i="17"/>
  <c r="Z1979" i="17"/>
  <c r="W1979" i="17"/>
  <c r="D1979" i="17"/>
  <c r="C1979" i="17"/>
  <c r="Z1978" i="17"/>
  <c r="W1978" i="17"/>
  <c r="D1978" i="17"/>
  <c r="C1978" i="17"/>
  <c r="Y1977" i="17"/>
  <c r="W1977" i="17"/>
  <c r="D1977" i="17"/>
  <c r="C1977" i="17"/>
  <c r="Z1976" i="17"/>
  <c r="W1976" i="17"/>
  <c r="D1976" i="17"/>
  <c r="Y1975" i="17"/>
  <c r="W1975" i="17"/>
  <c r="D1975" i="17"/>
  <c r="C1975" i="17"/>
  <c r="Z1974" i="17"/>
  <c r="W1974" i="17"/>
  <c r="D1974" i="17"/>
  <c r="C1974" i="17"/>
  <c r="Y1973" i="17"/>
  <c r="D1973" i="17"/>
  <c r="C1973" i="17"/>
  <c r="Y1972" i="17"/>
  <c r="W1972" i="17"/>
  <c r="D1972" i="17"/>
  <c r="C1972" i="17"/>
  <c r="Z1971" i="17"/>
  <c r="W1971" i="17"/>
  <c r="D1971" i="17"/>
  <c r="C1971" i="17"/>
  <c r="Y1970" i="17"/>
  <c r="W1970" i="17"/>
  <c r="D1970" i="17"/>
  <c r="Y1969" i="17"/>
  <c r="W1969" i="17"/>
  <c r="D1969" i="17"/>
  <c r="C1969" i="17"/>
  <c r="Z1968" i="17"/>
  <c r="W1968" i="17"/>
  <c r="D1968" i="17"/>
  <c r="C1968" i="17"/>
  <c r="Z1967" i="17"/>
  <c r="W1967" i="17"/>
  <c r="D1967" i="17"/>
  <c r="Y1966" i="17"/>
  <c r="W1966" i="17"/>
  <c r="D1966" i="17"/>
  <c r="C1966" i="17"/>
  <c r="Z1965" i="17"/>
  <c r="W1965" i="17"/>
  <c r="C1965" i="17"/>
  <c r="Z1964" i="17"/>
  <c r="W1964" i="17"/>
  <c r="D1964" i="17"/>
  <c r="C1964" i="17"/>
  <c r="Z1963" i="17"/>
  <c r="D1963" i="17"/>
  <c r="C1963" i="17"/>
  <c r="Z1962" i="17"/>
  <c r="W1962" i="17"/>
  <c r="D1962" i="17"/>
  <c r="C1962" i="17"/>
  <c r="Y1961" i="17"/>
  <c r="W1961" i="17"/>
  <c r="D1961" i="17"/>
  <c r="C1961" i="17"/>
  <c r="Z1960" i="17"/>
  <c r="W1960" i="17"/>
  <c r="D1960" i="17"/>
  <c r="C1960" i="17"/>
  <c r="Z1959" i="17"/>
  <c r="D1959" i="17"/>
  <c r="C1959" i="17"/>
  <c r="Y1958" i="17"/>
  <c r="W1958" i="17"/>
  <c r="D1958" i="17"/>
  <c r="C1958" i="17"/>
  <c r="Z1957" i="17"/>
  <c r="W1957" i="17"/>
  <c r="D1957" i="17"/>
  <c r="Y1956" i="17"/>
  <c r="W1956" i="17"/>
  <c r="D1956" i="17"/>
  <c r="Y1955" i="17"/>
  <c r="W1955" i="17"/>
  <c r="D1955" i="17"/>
  <c r="C1955" i="17"/>
  <c r="Z1954" i="17"/>
  <c r="W1954" i="17"/>
  <c r="D1954" i="17"/>
  <c r="C1954" i="17"/>
  <c r="Y1953" i="17"/>
  <c r="W1953" i="17"/>
  <c r="D1953" i="17"/>
  <c r="C1953" i="17"/>
  <c r="Z1952" i="17"/>
  <c r="W1952" i="17"/>
  <c r="D1952" i="17"/>
  <c r="C1952" i="17"/>
  <c r="Y1951" i="17"/>
  <c r="W1951" i="17"/>
  <c r="D1951" i="17"/>
  <c r="C1951" i="17"/>
  <c r="Z1950" i="17"/>
  <c r="D1950" i="17"/>
  <c r="C1950" i="17"/>
  <c r="Y1949" i="17"/>
  <c r="W1949" i="17"/>
  <c r="D1949" i="17"/>
  <c r="C1949" i="17"/>
  <c r="Z1948" i="17"/>
  <c r="W1948" i="17"/>
  <c r="D1948" i="17"/>
  <c r="Y1947" i="17"/>
  <c r="W1947" i="17"/>
  <c r="D1947" i="17"/>
  <c r="C1947" i="17"/>
  <c r="Z1946" i="17"/>
  <c r="D1946" i="17"/>
  <c r="C1946" i="17"/>
  <c r="Z1945" i="17"/>
  <c r="W1945" i="17"/>
  <c r="D1945" i="17"/>
  <c r="C1945" i="17"/>
  <c r="Z1944" i="17"/>
  <c r="D1944" i="17"/>
  <c r="C1944" i="17"/>
  <c r="Y1943" i="17"/>
  <c r="W1943" i="17"/>
  <c r="D1943" i="17"/>
  <c r="C1943" i="17"/>
  <c r="Z1942" i="17"/>
  <c r="D1942" i="17"/>
  <c r="C1942" i="17"/>
  <c r="Z1941" i="17"/>
  <c r="Y1941" i="17"/>
  <c r="W1941" i="17"/>
  <c r="C1941" i="17"/>
  <c r="Z1940" i="17"/>
  <c r="W1940" i="17"/>
  <c r="D1940" i="17"/>
  <c r="C1940" i="17"/>
  <c r="Y1939" i="17"/>
  <c r="W1939" i="17"/>
  <c r="D1939" i="17"/>
  <c r="C1939" i="17"/>
  <c r="Z1938" i="17"/>
  <c r="Y1938" i="17"/>
  <c r="W1938" i="17"/>
  <c r="D1938" i="17"/>
  <c r="C1938" i="17"/>
  <c r="Y1937" i="17"/>
  <c r="W1937" i="17"/>
  <c r="D1937" i="17"/>
  <c r="C1937" i="17"/>
  <c r="Y1936" i="17"/>
  <c r="W1936" i="17"/>
  <c r="D1936" i="17"/>
  <c r="C1936" i="17"/>
  <c r="Z1935" i="17"/>
  <c r="C1935" i="17"/>
  <c r="Y1934" i="17"/>
  <c r="W1934" i="17"/>
  <c r="D1934" i="17"/>
  <c r="C1934" i="17"/>
  <c r="Z1933" i="17"/>
  <c r="W1933" i="17"/>
  <c r="D1933" i="17"/>
  <c r="C1933" i="17"/>
  <c r="Z1932" i="17"/>
  <c r="Y1932" i="17"/>
  <c r="AA1932" i="17" s="1"/>
  <c r="W1932" i="17"/>
  <c r="D1932" i="17"/>
  <c r="C1932" i="17"/>
  <c r="Z1931" i="17"/>
  <c r="Y1931" i="17"/>
  <c r="W1931" i="17"/>
  <c r="D1931" i="17"/>
  <c r="C1931" i="17"/>
  <c r="Z1930" i="17"/>
  <c r="Y1930" i="17"/>
  <c r="W1930" i="17"/>
  <c r="D1930" i="17"/>
  <c r="C1930" i="17"/>
  <c r="Z1929" i="17"/>
  <c r="Y1929" i="17"/>
  <c r="W1929" i="17"/>
  <c r="D1929" i="17"/>
  <c r="C1929" i="17"/>
  <c r="Z1928" i="17"/>
  <c r="W1928" i="17"/>
  <c r="D1928" i="17"/>
  <c r="C1928" i="17"/>
  <c r="Z1927" i="17"/>
  <c r="W1927" i="17"/>
  <c r="D1927" i="17"/>
  <c r="C1927" i="17"/>
  <c r="Z1926" i="17"/>
  <c r="W1926" i="17"/>
  <c r="D1926" i="17"/>
  <c r="C1926" i="17"/>
  <c r="Z1925" i="17"/>
  <c r="W1925" i="17"/>
  <c r="D1925" i="17"/>
  <c r="Y1924" i="17"/>
  <c r="W1924" i="17"/>
  <c r="D1924" i="17"/>
  <c r="Y1923" i="17"/>
  <c r="W1923" i="17"/>
  <c r="D1923" i="17"/>
  <c r="C1923" i="17"/>
  <c r="Z1922" i="17"/>
  <c r="D1922" i="17"/>
  <c r="C1922" i="17"/>
  <c r="Z1921" i="17"/>
  <c r="D1921" i="17"/>
  <c r="C1921" i="17"/>
  <c r="Z1920" i="17"/>
  <c r="D1920" i="17"/>
  <c r="C1920" i="17"/>
  <c r="Y1919" i="17"/>
  <c r="W1919" i="17"/>
  <c r="D1919" i="17"/>
  <c r="C1919" i="17"/>
  <c r="Z1918" i="17"/>
  <c r="C1918" i="17"/>
  <c r="Y1917" i="17"/>
  <c r="W1917" i="17"/>
  <c r="D1917" i="17"/>
  <c r="C1917" i="17"/>
  <c r="Y1916" i="17"/>
  <c r="W1916" i="17"/>
  <c r="Y1910" i="17"/>
  <c r="Z1909" i="17"/>
  <c r="C1909" i="17"/>
  <c r="Z1908" i="17"/>
  <c r="Y1908" i="17"/>
  <c r="W1908" i="17"/>
  <c r="C1908" i="17"/>
  <c r="Z1907" i="17"/>
  <c r="Y1907" i="17"/>
  <c r="D1907" i="17"/>
  <c r="Z1906" i="17"/>
  <c r="W1906" i="17"/>
  <c r="C1906" i="17"/>
  <c r="D1905" i="17"/>
  <c r="C1905" i="17"/>
  <c r="Z1904" i="17"/>
  <c r="W1904" i="17"/>
  <c r="C1904" i="17"/>
  <c r="Z1903" i="17"/>
  <c r="W1903" i="17"/>
  <c r="C1903" i="17"/>
  <c r="Z1902" i="17"/>
  <c r="C1902" i="17"/>
  <c r="Y1899" i="17"/>
  <c r="D1898" i="17"/>
  <c r="Y1897" i="17"/>
  <c r="Y1892" i="17"/>
  <c r="D1892" i="17"/>
  <c r="D1891" i="17"/>
  <c r="W1890" i="17"/>
  <c r="C1887" i="17"/>
  <c r="C1886" i="17"/>
  <c r="Y1879" i="17"/>
  <c r="Y1878" i="17"/>
  <c r="W1877" i="17"/>
  <c r="D1877" i="17"/>
  <c r="W1753" i="17"/>
  <c r="D1751" i="17"/>
  <c r="W1750" i="17"/>
  <c r="Y1745" i="17"/>
  <c r="D1742" i="17"/>
  <c r="Y1737" i="17"/>
  <c r="W1732" i="17"/>
  <c r="W1730" i="17"/>
  <c r="D1728" i="17"/>
  <c r="D1726" i="17"/>
  <c r="W1724" i="17"/>
  <c r="D1723" i="17"/>
  <c r="W1722" i="17"/>
  <c r="D1720" i="17"/>
  <c r="Y1718" i="17"/>
  <c r="C1713" i="17"/>
  <c r="W1712" i="17"/>
  <c r="C1703" i="17"/>
  <c r="Y1699" i="17"/>
  <c r="C1699" i="17"/>
  <c r="W1698" i="17"/>
  <c r="C1698" i="17"/>
  <c r="W1697" i="17"/>
  <c r="W1696" i="17"/>
  <c r="Y1691" i="17"/>
  <c r="W1690" i="17"/>
  <c r="D1689" i="17"/>
  <c r="Y1688" i="17"/>
  <c r="D1685" i="17"/>
  <c r="C1683" i="17"/>
  <c r="C1682" i="17"/>
  <c r="C1680" i="17"/>
  <c r="C1677" i="17"/>
  <c r="Z2079" i="17"/>
  <c r="Y2079" i="17"/>
  <c r="W2079" i="17"/>
  <c r="D2079" i="17"/>
  <c r="C2079" i="17"/>
  <c r="Z2078" i="17"/>
  <c r="Y2078" i="17"/>
  <c r="W2078" i="17"/>
  <c r="D2078" i="17"/>
  <c r="C2078" i="17"/>
  <c r="Z2077" i="17"/>
  <c r="Y2077" i="17"/>
  <c r="W2077" i="17"/>
  <c r="D2077" i="17"/>
  <c r="C2077" i="17"/>
  <c r="Z2076" i="17"/>
  <c r="Y2076" i="17"/>
  <c r="W2076" i="17"/>
  <c r="D2076" i="17"/>
  <c r="C2076" i="17"/>
  <c r="Z2075" i="17"/>
  <c r="Y2075" i="17"/>
  <c r="W2075" i="17"/>
  <c r="D2075" i="17"/>
  <c r="C2075" i="17"/>
  <c r="Z2074" i="17"/>
  <c r="Y2074" i="17"/>
  <c r="W2074" i="17"/>
  <c r="D2074" i="17"/>
  <c r="C2074" i="17"/>
  <c r="Z2073" i="17"/>
  <c r="Y2073" i="17"/>
  <c r="W2073" i="17"/>
  <c r="D2073" i="17"/>
  <c r="C2073" i="17"/>
  <c r="Z2072" i="17"/>
  <c r="Y2072" i="17"/>
  <c r="W2072" i="17"/>
  <c r="D2072" i="17"/>
  <c r="C2072" i="17"/>
  <c r="Z2071" i="17"/>
  <c r="Y2071" i="17"/>
  <c r="W2071" i="17"/>
  <c r="D2071" i="17"/>
  <c r="C2071" i="17"/>
  <c r="Z2070" i="17"/>
  <c r="Y2070" i="17"/>
  <c r="W2070" i="17"/>
  <c r="D2070" i="17"/>
  <c r="C2070" i="17"/>
  <c r="Z2069" i="17"/>
  <c r="Y2069" i="17"/>
  <c r="W2069" i="17"/>
  <c r="D2069" i="17"/>
  <c r="C2069" i="17"/>
  <c r="Z2068" i="17"/>
  <c r="Y2068" i="17"/>
  <c r="W2068" i="17"/>
  <c r="D2068" i="17"/>
  <c r="C2068" i="17"/>
  <c r="Z2067" i="17"/>
  <c r="Y2067" i="17"/>
  <c r="W2067" i="17"/>
  <c r="D2067" i="17"/>
  <c r="C2067" i="17"/>
  <c r="Z2066" i="17"/>
  <c r="Y2066" i="17"/>
  <c r="W2066" i="17"/>
  <c r="D2066" i="17"/>
  <c r="C2066" i="17"/>
  <c r="Z2065" i="17"/>
  <c r="Y2065" i="17"/>
  <c r="W2065" i="17"/>
  <c r="D2065" i="17"/>
  <c r="C2065" i="17"/>
  <c r="Z2064" i="17"/>
  <c r="Y2064" i="17"/>
  <c r="W2064" i="17"/>
  <c r="D2064" i="17"/>
  <c r="C2064" i="17"/>
  <c r="Z2063" i="17"/>
  <c r="Y2063" i="17"/>
  <c r="W2063" i="17"/>
  <c r="D2063" i="17"/>
  <c r="C2063" i="17"/>
  <c r="Z2062" i="17"/>
  <c r="Y2062" i="17"/>
  <c r="W2062" i="17"/>
  <c r="D2062" i="17"/>
  <c r="C2062" i="17"/>
  <c r="Z2061" i="17"/>
  <c r="Y2061" i="17"/>
  <c r="W2061" i="17"/>
  <c r="D2061" i="17"/>
  <c r="C2061" i="17"/>
  <c r="Z2060" i="17"/>
  <c r="Y2060" i="17"/>
  <c r="W2060" i="17"/>
  <c r="D2060" i="17"/>
  <c r="C2060" i="17"/>
  <c r="Z2059" i="17"/>
  <c r="Y2059" i="17"/>
  <c r="W2059" i="17"/>
  <c r="D2059" i="17"/>
  <c r="C2059" i="17"/>
  <c r="Z2058" i="17"/>
  <c r="Y2058" i="17"/>
  <c r="W2058" i="17"/>
  <c r="D2058" i="17"/>
  <c r="C2058" i="17"/>
  <c r="Z2057" i="17"/>
  <c r="Y2057" i="17"/>
  <c r="W2057" i="17"/>
  <c r="D2057" i="17"/>
  <c r="C2057" i="17"/>
  <c r="Z2056" i="17"/>
  <c r="Y2056" i="17"/>
  <c r="W2056" i="17"/>
  <c r="D2056" i="17"/>
  <c r="C2056" i="17"/>
  <c r="Z2055" i="17"/>
  <c r="Y2055" i="17"/>
  <c r="W2055" i="17"/>
  <c r="D2055" i="17"/>
  <c r="C2055" i="17"/>
  <c r="Z2054" i="17"/>
  <c r="Y2054" i="17"/>
  <c r="W2054" i="17"/>
  <c r="D2054" i="17"/>
  <c r="C2054" i="17"/>
  <c r="Z2053" i="17"/>
  <c r="W2053" i="17"/>
  <c r="C2053" i="17"/>
  <c r="Z2052" i="17"/>
  <c r="D2052" i="17"/>
  <c r="C2052" i="17"/>
  <c r="Z2051" i="17"/>
  <c r="Z2050" i="17"/>
  <c r="Y2049" i="17"/>
  <c r="AA2049" i="17" s="1"/>
  <c r="W2049" i="17"/>
  <c r="Y2048" i="17"/>
  <c r="W2048" i="17"/>
  <c r="Z2047" i="17"/>
  <c r="Y2046" i="17"/>
  <c r="Z2045" i="17"/>
  <c r="Y2044" i="17"/>
  <c r="W2044" i="17"/>
  <c r="Y2043" i="17"/>
  <c r="W2043" i="17"/>
  <c r="Y2042" i="17"/>
  <c r="Y2041" i="17"/>
  <c r="W2041" i="17"/>
  <c r="Y2040" i="17"/>
  <c r="Y2039" i="17"/>
  <c r="W2039" i="17"/>
  <c r="Z2038" i="17"/>
  <c r="Z2037" i="17"/>
  <c r="C2037" i="17"/>
  <c r="Z2036" i="17"/>
  <c r="Z2035" i="17"/>
  <c r="Y2033" i="17"/>
  <c r="Y2032" i="17"/>
  <c r="W2032" i="17"/>
  <c r="D2032" i="17"/>
  <c r="Y2031" i="17"/>
  <c r="Y2030" i="17"/>
  <c r="W2030" i="17"/>
  <c r="C2030" i="17"/>
  <c r="Y2029" i="17"/>
  <c r="Z2028" i="17"/>
  <c r="Y2026" i="17"/>
  <c r="Y2025" i="17"/>
  <c r="W2025" i="17"/>
  <c r="Y2024" i="17"/>
  <c r="W2024" i="17"/>
  <c r="D2024" i="17"/>
  <c r="Y2023" i="17"/>
  <c r="W2023" i="17"/>
  <c r="Z2022" i="17"/>
  <c r="Z2021" i="17"/>
  <c r="Z2020" i="17"/>
  <c r="Y2019" i="17"/>
  <c r="Y2018" i="17"/>
  <c r="W2018" i="17"/>
  <c r="Z2017" i="17"/>
  <c r="D2017" i="17"/>
  <c r="C2017" i="17"/>
  <c r="Z2016" i="17"/>
  <c r="Y2016" i="17"/>
  <c r="W2016" i="17"/>
  <c r="D2016" i="17"/>
  <c r="C2016" i="17"/>
  <c r="Z2015" i="17"/>
  <c r="Y2015" i="17"/>
  <c r="W2015" i="17"/>
  <c r="D2015" i="17"/>
  <c r="C2015" i="17"/>
  <c r="Z2014" i="17"/>
  <c r="Y2014" i="17"/>
  <c r="W2014" i="17"/>
  <c r="D2014" i="17"/>
  <c r="C2014" i="17"/>
  <c r="Z2013" i="17"/>
  <c r="Y2013" i="17"/>
  <c r="W2013" i="17"/>
  <c r="D2013" i="17"/>
  <c r="C2013" i="17"/>
  <c r="Z2012" i="17"/>
  <c r="Z2011" i="17"/>
  <c r="C2009" i="17"/>
  <c r="Z2008" i="17"/>
  <c r="D2008" i="17"/>
  <c r="Z2007" i="17"/>
  <c r="C2007" i="17"/>
  <c r="Z2006" i="17"/>
  <c r="C2006" i="17"/>
  <c r="Z2005" i="17"/>
  <c r="Y2004" i="17"/>
  <c r="Y2003" i="17"/>
  <c r="D2003" i="17"/>
  <c r="Z2002" i="17"/>
  <c r="Y2001" i="17"/>
  <c r="Y2000" i="17"/>
  <c r="Y1999" i="17"/>
  <c r="W1999" i="17"/>
  <c r="D1999" i="17"/>
  <c r="Z1998" i="17"/>
  <c r="Z1997" i="17"/>
  <c r="Y1996" i="17"/>
  <c r="C1996" i="17"/>
  <c r="Y1995" i="17"/>
  <c r="W1995" i="17"/>
  <c r="Z1994" i="17"/>
  <c r="Y1993" i="17"/>
  <c r="W1993" i="17"/>
  <c r="Y1992" i="17"/>
  <c r="W1992" i="17"/>
  <c r="Z1991" i="17"/>
  <c r="Z1990" i="17"/>
  <c r="Z1989" i="17"/>
  <c r="Y1988" i="17"/>
  <c r="C1988" i="17"/>
  <c r="Z1987" i="17"/>
  <c r="Y1986" i="17"/>
  <c r="C1986" i="17"/>
  <c r="Z1985" i="17"/>
  <c r="D1985" i="17"/>
  <c r="Y1984" i="17"/>
  <c r="Z1983" i="17"/>
  <c r="Z1982" i="17"/>
  <c r="Y1981" i="17"/>
  <c r="Z1980" i="17"/>
  <c r="Y1979" i="17"/>
  <c r="Y1978" i="17"/>
  <c r="Z1977" i="17"/>
  <c r="Y1976" i="17"/>
  <c r="C1976" i="17"/>
  <c r="Z1975" i="17"/>
  <c r="Y1974" i="17"/>
  <c r="Z1973" i="17"/>
  <c r="W1973" i="17"/>
  <c r="Z1972" i="17"/>
  <c r="Y1971" i="17"/>
  <c r="Z1970" i="17"/>
  <c r="C1970" i="17"/>
  <c r="Z1969" i="17"/>
  <c r="Y1968" i="17"/>
  <c r="Y1967" i="17"/>
  <c r="C1967" i="17"/>
  <c r="Z1966" i="17"/>
  <c r="Y1965" i="17"/>
  <c r="D1965" i="17"/>
  <c r="Y1964" i="17"/>
  <c r="Y1963" i="17"/>
  <c r="W1963" i="17"/>
  <c r="Y1962" i="17"/>
  <c r="Z1961" i="17"/>
  <c r="Y1960" i="17"/>
  <c r="Y1959" i="17"/>
  <c r="W1959" i="17"/>
  <c r="Z1958" i="17"/>
  <c r="Y1957" i="17"/>
  <c r="C1957" i="17"/>
  <c r="Z1956" i="17"/>
  <c r="C1956" i="17"/>
  <c r="Z1955" i="17"/>
  <c r="Y1954" i="17"/>
  <c r="Z1953" i="17"/>
  <c r="Y1952" i="17"/>
  <c r="Z1951" i="17"/>
  <c r="Y1950" i="17"/>
  <c r="W1950" i="17"/>
  <c r="Z1949" i="17"/>
  <c r="Y1948" i="17"/>
  <c r="C1948" i="17"/>
  <c r="Z1947" i="17"/>
  <c r="Y1946" i="17"/>
  <c r="W1946" i="17"/>
  <c r="Y1945" i="17"/>
  <c r="Y1944" i="17"/>
  <c r="W1944" i="17"/>
  <c r="Z1943" i="17"/>
  <c r="Y1942" i="17"/>
  <c r="W1942" i="17"/>
  <c r="D1941" i="17"/>
  <c r="Y1940" i="17"/>
  <c r="Z1939" i="17"/>
  <c r="Z1937" i="17"/>
  <c r="Z1936" i="17"/>
  <c r="Y1935" i="17"/>
  <c r="W1935" i="17"/>
  <c r="D1935" i="17"/>
  <c r="Z1934" i="17"/>
  <c r="Y1928" i="17"/>
  <c r="Y1927" i="17"/>
  <c r="Y1926" i="17"/>
  <c r="Y1925" i="17"/>
  <c r="C1925" i="17"/>
  <c r="Z1924" i="17"/>
  <c r="C1924" i="17"/>
  <c r="Z1923" i="17"/>
  <c r="Y1922" i="17"/>
  <c r="W1922" i="17"/>
  <c r="Y1921" i="17"/>
  <c r="W1921" i="17"/>
  <c r="Y1920" i="17"/>
  <c r="W1920" i="17"/>
  <c r="Z1919" i="17"/>
  <c r="Y1918" i="17"/>
  <c r="W1918" i="17"/>
  <c r="D1918" i="17"/>
  <c r="Z1917" i="17"/>
  <c r="Z1916" i="17"/>
  <c r="D1916" i="17"/>
  <c r="C1916" i="17"/>
  <c r="Z1915" i="17"/>
  <c r="Y1915" i="17"/>
  <c r="W1915" i="17"/>
  <c r="D1915" i="17"/>
  <c r="C1915" i="17"/>
  <c r="Z1914" i="17"/>
  <c r="Y1914" i="17"/>
  <c r="W1914" i="17"/>
  <c r="D1914" i="17"/>
  <c r="C1914" i="17"/>
  <c r="Z1913" i="17"/>
  <c r="Y1913" i="17"/>
  <c r="W1913" i="17"/>
  <c r="D1913" i="17"/>
  <c r="C1913" i="17"/>
  <c r="Z1912" i="17"/>
  <c r="Y1912" i="17"/>
  <c r="W1912" i="17"/>
  <c r="D1912" i="17"/>
  <c r="C1912" i="17"/>
  <c r="Z1911" i="17"/>
  <c r="Y1911" i="17"/>
  <c r="W1911" i="17"/>
  <c r="D1911" i="17"/>
  <c r="C1911" i="17"/>
  <c r="Z1910" i="17"/>
  <c r="W1910" i="17"/>
  <c r="D1910" i="17"/>
  <c r="C1910" i="17"/>
  <c r="Y1909" i="17"/>
  <c r="W1909" i="17"/>
  <c r="D1909" i="17"/>
  <c r="D1908" i="17"/>
  <c r="W1907" i="17"/>
  <c r="C1907" i="17"/>
  <c r="Y1906" i="17"/>
  <c r="D1906" i="17"/>
  <c r="Z1905" i="17"/>
  <c r="Y1905" i="17"/>
  <c r="W1905" i="17"/>
  <c r="Y1904" i="17"/>
  <c r="D1904" i="17"/>
  <c r="Y1903" i="17"/>
  <c r="D1903" i="17"/>
  <c r="Y1902" i="17"/>
  <c r="W1902" i="17"/>
  <c r="C1900" i="17"/>
  <c r="W1899" i="17"/>
  <c r="W1896" i="17"/>
  <c r="C1893" i="17"/>
  <c r="Y1890" i="17"/>
  <c r="Y1886" i="17"/>
  <c r="Y1883" i="17"/>
  <c r="D1883" i="17"/>
  <c r="C1882" i="17"/>
  <c r="C1880" i="17"/>
  <c r="W1879" i="17"/>
  <c r="D1878" i="17"/>
  <c r="W1876" i="17"/>
  <c r="D1873" i="17"/>
  <c r="C1871" i="17"/>
  <c r="Y1752" i="17"/>
  <c r="C1752" i="17"/>
  <c r="C1746" i="17"/>
  <c r="Y1744" i="17"/>
  <c r="Y1742" i="17"/>
  <c r="C1741" i="17"/>
  <c r="W1740" i="17"/>
  <c r="D1734" i="17"/>
  <c r="D1730" i="17"/>
  <c r="D1722" i="17"/>
  <c r="Y1720" i="17"/>
  <c r="C1717" i="17"/>
  <c r="C1716" i="17"/>
  <c r="W1703" i="17"/>
  <c r="C1701" i="17"/>
  <c r="Y1697" i="17"/>
  <c r="Y1693" i="17"/>
  <c r="Y1679" i="17"/>
  <c r="D1679" i="17"/>
  <c r="W1678" i="17"/>
  <c r="W1870" i="17"/>
  <c r="A1870" i="17"/>
  <c r="Z1869" i="17"/>
  <c r="W1869" i="17"/>
  <c r="A1869" i="17"/>
  <c r="Z1868" i="17"/>
  <c r="W1868" i="17"/>
  <c r="A1868" i="17"/>
  <c r="Z1867" i="17"/>
  <c r="W1867" i="17"/>
  <c r="A1867" i="17"/>
  <c r="Z1866" i="17"/>
  <c r="W1866" i="17"/>
  <c r="A1866" i="17"/>
  <c r="Z1865" i="17"/>
  <c r="W1865" i="17"/>
  <c r="A1865" i="17"/>
  <c r="Z1864" i="17"/>
  <c r="W1864" i="17"/>
  <c r="A1864" i="17"/>
  <c r="Z1863" i="17"/>
  <c r="W1863" i="17"/>
  <c r="A1863" i="17"/>
  <c r="Z1862" i="17"/>
  <c r="W1862" i="17"/>
  <c r="A1862" i="17"/>
  <c r="Z1861" i="17"/>
  <c r="W1861" i="17"/>
  <c r="A1861" i="17"/>
  <c r="Z1860" i="17"/>
  <c r="W1860" i="17"/>
  <c r="A1860" i="17"/>
  <c r="Z1859" i="17"/>
  <c r="W1859" i="17"/>
  <c r="A1859" i="17"/>
  <c r="Z1858" i="17"/>
  <c r="W1858" i="17"/>
  <c r="A1858" i="17"/>
  <c r="Z1857" i="17"/>
  <c r="W1857" i="17"/>
  <c r="A1857" i="17"/>
  <c r="Z1856" i="17"/>
  <c r="W1856" i="17"/>
  <c r="A1856" i="17"/>
  <c r="Z1855" i="17"/>
  <c r="W1855" i="17"/>
  <c r="A1855" i="17"/>
  <c r="Z1854" i="17"/>
  <c r="Y1854" i="17"/>
  <c r="W1854" i="17"/>
  <c r="D1854" i="17"/>
  <c r="C1854" i="17"/>
  <c r="Z1853" i="17"/>
  <c r="Y1853" i="17"/>
  <c r="W1853" i="17"/>
  <c r="D1853" i="17"/>
  <c r="C1853" i="17"/>
  <c r="Z1852" i="17"/>
  <c r="Y1852" i="17"/>
  <c r="W1852" i="17"/>
  <c r="D1852" i="17"/>
  <c r="C1852" i="17"/>
  <c r="Z1851" i="17"/>
  <c r="Y1851" i="17"/>
  <c r="W1851" i="17"/>
  <c r="D1851" i="17"/>
  <c r="C1851" i="17"/>
  <c r="Z1850" i="17"/>
  <c r="Y1850" i="17"/>
  <c r="W1850" i="17"/>
  <c r="D1850" i="17"/>
  <c r="C1850" i="17"/>
  <c r="Z1849" i="17"/>
  <c r="Y1849" i="17"/>
  <c r="W1849" i="17"/>
  <c r="D1849" i="17"/>
  <c r="C1849" i="17"/>
  <c r="Z1848" i="17"/>
  <c r="Y1848" i="17"/>
  <c r="W1848" i="17"/>
  <c r="D1848" i="17"/>
  <c r="C1848" i="17"/>
  <c r="Z1847" i="17"/>
  <c r="Y1847" i="17"/>
  <c r="W1847" i="17"/>
  <c r="D1847" i="17"/>
  <c r="C1847" i="17"/>
  <c r="Z1846" i="17"/>
  <c r="Y1846" i="17"/>
  <c r="W1846" i="17"/>
  <c r="D1846" i="17"/>
  <c r="C1846" i="17"/>
  <c r="Z1845" i="17"/>
  <c r="Y1845" i="17"/>
  <c r="W1845" i="17"/>
  <c r="D1845" i="17"/>
  <c r="C1845" i="17"/>
  <c r="Z1844" i="17"/>
  <c r="Y1844" i="17"/>
  <c r="W1844" i="17"/>
  <c r="D1844" i="17"/>
  <c r="C1844" i="17"/>
  <c r="Z1843" i="17"/>
  <c r="Y1843" i="17"/>
  <c r="W1843" i="17"/>
  <c r="D1843" i="17"/>
  <c r="C1843" i="17"/>
  <c r="Z1842" i="17"/>
  <c r="Y1842" i="17"/>
  <c r="W1842" i="17"/>
  <c r="D1842" i="17"/>
  <c r="C1842" i="17"/>
  <c r="Z1841" i="17"/>
  <c r="Y1841" i="17"/>
  <c r="W1841" i="17"/>
  <c r="D1841" i="17"/>
  <c r="C1841" i="17"/>
  <c r="Z1840" i="17"/>
  <c r="Y1840" i="17"/>
  <c r="W1840" i="17"/>
  <c r="D1840" i="17"/>
  <c r="C1840" i="17"/>
  <c r="Z1839" i="17"/>
  <c r="Y1839" i="17"/>
  <c r="W1839" i="17"/>
  <c r="D1839" i="17"/>
  <c r="C1839" i="17"/>
  <c r="Z1838" i="17"/>
  <c r="Y1838" i="17"/>
  <c r="W1838" i="17"/>
  <c r="D1838" i="17"/>
  <c r="C1838" i="17"/>
  <c r="Z1837" i="17"/>
  <c r="Y1837" i="17"/>
  <c r="W1837" i="17"/>
  <c r="D1837" i="17"/>
  <c r="C1837" i="17"/>
  <c r="Z1836" i="17"/>
  <c r="Y1836" i="17"/>
  <c r="W1836" i="17"/>
  <c r="D1836" i="17"/>
  <c r="C1836" i="17"/>
  <c r="Z1835" i="17"/>
  <c r="Y1835" i="17"/>
  <c r="W1835" i="17"/>
  <c r="D1835" i="17"/>
  <c r="C1835" i="17"/>
  <c r="Z1834" i="17"/>
  <c r="Y1834" i="17"/>
  <c r="W1834" i="17"/>
  <c r="D1834" i="17"/>
  <c r="C1834" i="17"/>
  <c r="Z1833" i="17"/>
  <c r="Y1833" i="17"/>
  <c r="W1833" i="17"/>
  <c r="D1833" i="17"/>
  <c r="C1833" i="17"/>
  <c r="Z1832" i="17"/>
  <c r="Y1832" i="17"/>
  <c r="AA1832" i="17" s="1"/>
  <c r="W1832" i="17"/>
  <c r="D1832" i="17"/>
  <c r="C1832" i="17"/>
  <c r="Z1831" i="17"/>
  <c r="Y1831" i="17"/>
  <c r="W1831" i="17"/>
  <c r="D1831" i="17"/>
  <c r="C1831" i="17"/>
  <c r="Z1830" i="17"/>
  <c r="Y1830" i="17"/>
  <c r="W1830" i="17"/>
  <c r="D1830" i="17"/>
  <c r="C1830" i="17"/>
  <c r="Z1829" i="17"/>
  <c r="Y1829" i="17"/>
  <c r="W1829" i="17"/>
  <c r="D1829" i="17"/>
  <c r="C1829" i="17"/>
  <c r="Z1828" i="17"/>
  <c r="Y1828" i="17"/>
  <c r="W1828" i="17"/>
  <c r="D1828" i="17"/>
  <c r="C1828" i="17"/>
  <c r="Z1827" i="17"/>
  <c r="Y1827" i="17"/>
  <c r="W1827" i="17"/>
  <c r="D1827" i="17"/>
  <c r="C1827" i="17"/>
  <c r="Z1826" i="17"/>
  <c r="Y1826" i="17"/>
  <c r="W1826" i="17"/>
  <c r="D1826" i="17"/>
  <c r="C1826" i="17"/>
  <c r="Z1825" i="17"/>
  <c r="Y1825" i="17"/>
  <c r="W1825" i="17"/>
  <c r="D1825" i="17"/>
  <c r="C1825" i="17"/>
  <c r="Z1824" i="17"/>
  <c r="Y1824" i="17"/>
  <c r="W1824" i="17"/>
  <c r="D1824" i="17"/>
  <c r="C1824" i="17"/>
  <c r="Z1823" i="17"/>
  <c r="Y1823" i="17"/>
  <c r="W1823" i="17"/>
  <c r="D1823" i="17"/>
  <c r="C1823" i="17"/>
  <c r="Z1822" i="17"/>
  <c r="Y1822" i="17"/>
  <c r="W1822" i="17"/>
  <c r="D1822" i="17"/>
  <c r="C1822" i="17"/>
  <c r="Z1821" i="17"/>
  <c r="Y1821" i="17"/>
  <c r="W1821" i="17"/>
  <c r="D1821" i="17"/>
  <c r="C1821" i="17"/>
  <c r="Z1820" i="17"/>
  <c r="Y1820" i="17"/>
  <c r="W1820" i="17"/>
  <c r="D1820" i="17"/>
  <c r="C1820" i="17"/>
  <c r="Z1819" i="17"/>
  <c r="Y1819" i="17"/>
  <c r="W1819" i="17"/>
  <c r="D1819" i="17"/>
  <c r="C1819" i="17"/>
  <c r="Z1818" i="17"/>
  <c r="Y1818" i="17"/>
  <c r="W1818" i="17"/>
  <c r="D1818" i="17"/>
  <c r="C1818" i="17"/>
  <c r="Z1817" i="17"/>
  <c r="Y1817" i="17"/>
  <c r="W1817" i="17"/>
  <c r="D1817" i="17"/>
  <c r="C1817" i="17"/>
  <c r="Z1816" i="17"/>
  <c r="Y1816" i="17"/>
  <c r="W1816" i="17"/>
  <c r="D1816" i="17"/>
  <c r="C1816" i="17"/>
  <c r="Z1815" i="17"/>
  <c r="Y1815" i="17"/>
  <c r="W1815" i="17"/>
  <c r="D1815" i="17"/>
  <c r="C1815" i="17"/>
  <c r="Z1814" i="17"/>
  <c r="Y1814" i="17"/>
  <c r="W1814" i="17"/>
  <c r="D1814" i="17"/>
  <c r="C1814" i="17"/>
  <c r="Z1813" i="17"/>
  <c r="Y1813" i="17"/>
  <c r="W1813" i="17"/>
  <c r="D1813" i="17"/>
  <c r="C1813" i="17"/>
  <c r="Z1812" i="17"/>
  <c r="Y1812" i="17"/>
  <c r="W1812" i="17"/>
  <c r="D1812" i="17"/>
  <c r="C1812" i="17"/>
  <c r="Z1811" i="17"/>
  <c r="Y1811" i="17"/>
  <c r="W1811" i="17"/>
  <c r="D1811" i="17"/>
  <c r="C1811" i="17"/>
  <c r="Z1810" i="17"/>
  <c r="Y1810" i="17"/>
  <c r="W1810" i="17"/>
  <c r="D1810" i="17"/>
  <c r="C1810" i="17"/>
  <c r="Z1809" i="17"/>
  <c r="Y1809" i="17"/>
  <c r="W1809" i="17"/>
  <c r="D1809" i="17"/>
  <c r="C1809" i="17"/>
  <c r="Z1808" i="17"/>
  <c r="Y1808" i="17"/>
  <c r="W1808" i="17"/>
  <c r="D1808" i="17"/>
  <c r="C1808" i="17"/>
  <c r="Z1807" i="17"/>
  <c r="Y1807" i="17"/>
  <c r="W1807" i="17"/>
  <c r="D1807" i="17"/>
  <c r="C1807" i="17"/>
  <c r="Z1806" i="17"/>
  <c r="Y1806" i="17"/>
  <c r="W1806" i="17"/>
  <c r="D1806" i="17"/>
  <c r="C1806" i="17"/>
  <c r="Z1805" i="17"/>
  <c r="Y1805" i="17"/>
  <c r="W1805" i="17"/>
  <c r="D1805" i="17"/>
  <c r="C1805" i="17"/>
  <c r="Z1804" i="17"/>
  <c r="Y1804" i="17"/>
  <c r="W1804" i="17"/>
  <c r="D1804" i="17"/>
  <c r="C1804" i="17"/>
  <c r="Z1803" i="17"/>
  <c r="Y1803" i="17"/>
  <c r="W1803" i="17"/>
  <c r="D1803" i="17"/>
  <c r="C1803" i="17"/>
  <c r="Z1802" i="17"/>
  <c r="Y1802" i="17"/>
  <c r="W1802" i="17"/>
  <c r="D1802" i="17"/>
  <c r="C1802" i="17"/>
  <c r="Z1801" i="17"/>
  <c r="Y1801" i="17"/>
  <c r="W1801" i="17"/>
  <c r="D1801" i="17"/>
  <c r="C1801" i="17"/>
  <c r="Z1800" i="17"/>
  <c r="Y1800" i="17"/>
  <c r="W1800" i="17"/>
  <c r="D1800" i="17"/>
  <c r="C1800" i="17"/>
  <c r="Z1799" i="17"/>
  <c r="Y1799" i="17"/>
  <c r="W1799" i="17"/>
  <c r="D1799" i="17"/>
  <c r="C1799" i="17"/>
  <c r="Z1798" i="17"/>
  <c r="Y1798" i="17"/>
  <c r="W1798" i="17"/>
  <c r="D1798" i="17"/>
  <c r="C1798" i="17"/>
  <c r="Z1797" i="17"/>
  <c r="Y1797" i="17"/>
  <c r="W1797" i="17"/>
  <c r="D1797" i="17"/>
  <c r="C1797" i="17"/>
  <c r="Z1796" i="17"/>
  <c r="Y1796" i="17"/>
  <c r="W1796" i="17"/>
  <c r="D1796" i="17"/>
  <c r="C1796" i="17"/>
  <c r="Z1795" i="17"/>
  <c r="Y1795" i="17"/>
  <c r="W1795" i="17"/>
  <c r="D1795" i="17"/>
  <c r="C1795" i="17"/>
  <c r="Z1794" i="17"/>
  <c r="Y1794" i="17"/>
  <c r="W1794" i="17"/>
  <c r="D1794" i="17"/>
  <c r="C1794" i="17"/>
  <c r="Z1793" i="17"/>
  <c r="Y1793" i="17"/>
  <c r="W1793" i="17"/>
  <c r="D1793" i="17"/>
  <c r="C1793" i="17"/>
  <c r="Z1792" i="17"/>
  <c r="Y1792" i="17"/>
  <c r="W1792" i="17"/>
  <c r="D1792" i="17"/>
  <c r="C1792" i="17"/>
  <c r="Z1791" i="17"/>
  <c r="Y1791" i="17"/>
  <c r="W1791" i="17"/>
  <c r="D1791" i="17"/>
  <c r="C1791" i="17"/>
  <c r="Z1790" i="17"/>
  <c r="Y1790" i="17"/>
  <c r="W1790" i="17"/>
  <c r="D1790" i="17"/>
  <c r="C1790" i="17"/>
  <c r="Z1789" i="17"/>
  <c r="Y1789" i="17"/>
  <c r="W1789" i="17"/>
  <c r="D1789" i="17"/>
  <c r="C1789" i="17"/>
  <c r="Z1788" i="17"/>
  <c r="Y1788" i="17"/>
  <c r="W1788" i="17"/>
  <c r="D1788" i="17"/>
  <c r="C1788" i="17"/>
  <c r="Z1787" i="17"/>
  <c r="Y1787" i="17"/>
  <c r="W1787" i="17"/>
  <c r="D1787" i="17"/>
  <c r="C1787" i="17"/>
  <c r="Z1786" i="17"/>
  <c r="Y1786" i="17"/>
  <c r="W1786" i="17"/>
  <c r="D1786" i="17"/>
  <c r="C1786" i="17"/>
  <c r="Z1785" i="17"/>
  <c r="Y1785" i="17"/>
  <c r="W1785" i="17"/>
  <c r="D1785" i="17"/>
  <c r="C1785" i="17"/>
  <c r="Z1784" i="17"/>
  <c r="Y1784" i="17"/>
  <c r="W1784" i="17"/>
  <c r="D1784" i="17"/>
  <c r="C1784" i="17"/>
  <c r="Z1783" i="17"/>
  <c r="Y1783" i="17"/>
  <c r="W1783" i="17"/>
  <c r="D1783" i="17"/>
  <c r="C1783" i="17"/>
  <c r="Z1782" i="17"/>
  <c r="Y1782" i="17"/>
  <c r="W1782" i="17"/>
  <c r="D1782" i="17"/>
  <c r="C1782" i="17"/>
  <c r="Z1781" i="17"/>
  <c r="Y1781" i="17"/>
  <c r="W1781" i="17"/>
  <c r="D1781" i="17"/>
  <c r="C1781" i="17"/>
  <c r="Z1780" i="17"/>
  <c r="Y1780" i="17"/>
  <c r="W1780" i="17"/>
  <c r="D1780" i="17"/>
  <c r="C1780" i="17"/>
  <c r="Z1779" i="17"/>
  <c r="Y1779" i="17"/>
  <c r="W1779" i="17"/>
  <c r="D1779" i="17"/>
  <c r="C1779" i="17"/>
  <c r="Z1778" i="17"/>
  <c r="Y1778" i="17"/>
  <c r="W1778" i="17"/>
  <c r="D1778" i="17"/>
  <c r="C1778" i="17"/>
  <c r="Z1777" i="17"/>
  <c r="Y1777" i="17"/>
  <c r="W1777" i="17"/>
  <c r="D1777" i="17"/>
  <c r="C1777" i="17"/>
  <c r="Z1776" i="17"/>
  <c r="Y1776" i="17"/>
  <c r="W1776" i="17"/>
  <c r="D1776" i="17"/>
  <c r="C1776" i="17"/>
  <c r="Z1775" i="17"/>
  <c r="Y1775" i="17"/>
  <c r="W1775" i="17"/>
  <c r="D1775" i="17"/>
  <c r="C1775" i="17"/>
  <c r="Z1774" i="17"/>
  <c r="Y1774" i="17"/>
  <c r="W1774" i="17"/>
  <c r="D1774" i="17"/>
  <c r="C1774" i="17"/>
  <c r="Z1773" i="17"/>
  <c r="Y1773" i="17"/>
  <c r="W1773" i="17"/>
  <c r="D1773" i="17"/>
  <c r="C1773" i="17"/>
  <c r="Z1772" i="17"/>
  <c r="Y1772" i="17"/>
  <c r="W1772" i="17"/>
  <c r="D1772" i="17"/>
  <c r="C1772" i="17"/>
  <c r="Z1771" i="17"/>
  <c r="Y1771" i="17"/>
  <c r="W1771" i="17"/>
  <c r="D1771" i="17"/>
  <c r="C1771" i="17"/>
  <c r="Z1770" i="17"/>
  <c r="Y1770" i="17"/>
  <c r="W1770" i="17"/>
  <c r="D1770" i="17"/>
  <c r="C1770" i="17"/>
  <c r="Z1769" i="17"/>
  <c r="Y1769" i="17"/>
  <c r="W1769" i="17"/>
  <c r="D1769" i="17"/>
  <c r="C1769" i="17"/>
  <c r="Z1768" i="17"/>
  <c r="Y1768" i="17"/>
  <c r="W1768" i="17"/>
  <c r="D1768" i="17"/>
  <c r="C1768" i="17"/>
  <c r="Z1767" i="17"/>
  <c r="Y1767" i="17"/>
  <c r="W1767" i="17"/>
  <c r="D1767" i="17"/>
  <c r="C1767" i="17"/>
  <c r="Z1766" i="17"/>
  <c r="Y1766" i="17"/>
  <c r="W1766" i="17"/>
  <c r="D1766" i="17"/>
  <c r="C1766" i="17"/>
  <c r="Z1765" i="17"/>
  <c r="Y1765" i="17"/>
  <c r="W1765" i="17"/>
  <c r="D1765" i="17"/>
  <c r="C1765" i="17"/>
  <c r="Z1764" i="17"/>
  <c r="Y1764" i="17"/>
  <c r="W1764" i="17"/>
  <c r="D1764" i="17"/>
  <c r="C1764" i="17"/>
  <c r="Z1763" i="17"/>
  <c r="Y1763" i="17"/>
  <c r="W1763" i="17"/>
  <c r="D1763" i="17"/>
  <c r="C1763" i="17"/>
  <c r="Z1762" i="17"/>
  <c r="Y1762" i="17"/>
  <c r="W1762" i="17"/>
  <c r="D1762" i="17"/>
  <c r="C1762" i="17"/>
  <c r="Z1761" i="17"/>
  <c r="Y1761" i="17"/>
  <c r="W1761" i="17"/>
  <c r="D1761" i="17"/>
  <c r="C1761" i="17"/>
  <c r="Z1760" i="17"/>
  <c r="Y1760" i="17"/>
  <c r="W1760" i="17"/>
  <c r="D1760" i="17"/>
  <c r="C1760" i="17"/>
  <c r="Z1759" i="17"/>
  <c r="Y1759" i="17"/>
  <c r="W1759" i="17"/>
  <c r="D1759" i="17"/>
  <c r="C1759" i="17"/>
  <c r="Z1758" i="17"/>
  <c r="Y1758" i="17"/>
  <c r="W1758" i="17"/>
  <c r="D1758" i="17"/>
  <c r="C1758" i="17"/>
  <c r="Z1757" i="17"/>
  <c r="Y1757" i="17"/>
  <c r="W1757" i="17"/>
  <c r="D1757" i="17"/>
  <c r="C1757" i="17"/>
  <c r="Z1756" i="17"/>
  <c r="Y1756" i="17"/>
  <c r="W1756" i="17"/>
  <c r="D1756" i="17"/>
  <c r="C1756" i="17"/>
  <c r="Z1755" i="17"/>
  <c r="Y1755" i="17"/>
  <c r="W1755" i="17"/>
  <c r="D1755" i="17"/>
  <c r="C1755" i="17"/>
  <c r="Z1754" i="17"/>
  <c r="Y1754" i="17"/>
  <c r="W1754" i="17"/>
  <c r="W1661" i="17"/>
  <c r="A1661" i="17"/>
  <c r="Z1660" i="17"/>
  <c r="W1660" i="17"/>
  <c r="A1660" i="17"/>
  <c r="Z1659" i="17"/>
  <c r="W1659" i="17"/>
  <c r="A1659" i="17"/>
  <c r="Z1658" i="17"/>
  <c r="W1658" i="17"/>
  <c r="A1658" i="17"/>
  <c r="Z1657" i="17"/>
  <c r="W1657" i="17"/>
  <c r="A1657" i="17"/>
  <c r="Z1656" i="17"/>
  <c r="W1656" i="17"/>
  <c r="A1656" i="17"/>
  <c r="Z1655" i="17"/>
  <c r="W1655" i="17"/>
  <c r="A1655" i="17"/>
  <c r="Z1654" i="17"/>
  <c r="W1654" i="17"/>
  <c r="A1654" i="17"/>
  <c r="Z1653" i="17"/>
  <c r="W1653" i="17"/>
  <c r="A1653" i="17"/>
  <c r="Z1652" i="17"/>
  <c r="W1652" i="17"/>
  <c r="A1652" i="17"/>
  <c r="Z1651" i="17"/>
  <c r="W1651" i="17"/>
  <c r="A1651" i="17"/>
  <c r="Z1650" i="17"/>
  <c r="W1650" i="17"/>
  <c r="A1650" i="17"/>
  <c r="Z1649" i="17"/>
  <c r="W1649" i="17"/>
  <c r="A1649" i="17"/>
  <c r="Z1648" i="17"/>
  <c r="W1648" i="17"/>
  <c r="A1648" i="17"/>
  <c r="Z1647" i="17"/>
  <c r="W1647" i="17"/>
  <c r="A1647" i="17"/>
  <c r="Z1646" i="17"/>
  <c r="W1646" i="17"/>
  <c r="A1646" i="17"/>
  <c r="Z1645" i="17"/>
  <c r="W1645" i="17"/>
  <c r="A1645" i="17"/>
  <c r="Z1644" i="17"/>
  <c r="W1644" i="17"/>
  <c r="A1644" i="17"/>
  <c r="Z1643" i="17"/>
  <c r="W1643" i="17"/>
  <c r="A1643" i="17"/>
  <c r="Z1642" i="17"/>
  <c r="W1642" i="17"/>
  <c r="A1642" i="17"/>
  <c r="Z1641" i="17"/>
  <c r="W1641" i="17"/>
  <c r="A1641" i="17"/>
  <c r="Z1640" i="17"/>
  <c r="W1640" i="17"/>
  <c r="A1640" i="17"/>
  <c r="Z1639" i="17"/>
  <c r="W1639" i="17"/>
  <c r="A1639" i="17"/>
  <c r="Z1638" i="17"/>
  <c r="W1638" i="17"/>
  <c r="A1638" i="17"/>
  <c r="Z1637" i="17"/>
  <c r="W1637" i="17"/>
  <c r="A1637" i="17"/>
  <c r="Z1636" i="17"/>
  <c r="W1636" i="17"/>
  <c r="A1636" i="17"/>
  <c r="Z1635" i="17"/>
  <c r="W1635" i="17"/>
  <c r="A1635" i="17"/>
  <c r="Z1634" i="17"/>
  <c r="W1634" i="17"/>
  <c r="A1634" i="17"/>
  <c r="Z1633" i="17"/>
  <c r="W1633" i="17"/>
  <c r="A1633" i="17"/>
  <c r="Z1632" i="17"/>
  <c r="W1632" i="17"/>
  <c r="A1632" i="17"/>
  <c r="Z1631" i="17"/>
  <c r="W1631" i="17"/>
  <c r="A1631" i="17"/>
  <c r="Z1630" i="17"/>
  <c r="W1630" i="17"/>
  <c r="A1630" i="17"/>
  <c r="Z1629" i="17"/>
  <c r="W1629" i="17"/>
  <c r="A1629" i="17"/>
  <c r="Z1628" i="17"/>
  <c r="W1628" i="17"/>
  <c r="A1628" i="17"/>
  <c r="Z1627" i="17"/>
  <c r="W1627" i="17"/>
  <c r="A1627" i="17"/>
  <c r="Z1626" i="17"/>
  <c r="W1626" i="17"/>
  <c r="A1626" i="17"/>
  <c r="Z1625" i="17"/>
  <c r="W1625" i="17"/>
  <c r="A1625" i="17"/>
  <c r="Z1624" i="17"/>
  <c r="W1624" i="17"/>
  <c r="A1624" i="17"/>
  <c r="Z1623" i="17"/>
  <c r="W1623" i="17"/>
  <c r="A1623" i="17"/>
  <c r="Z1622" i="17"/>
  <c r="W1622" i="17"/>
  <c r="A1622" i="17"/>
  <c r="Z1621" i="17"/>
  <c r="W1621" i="17"/>
  <c r="A1621" i="17"/>
  <c r="Z1620" i="17"/>
  <c r="W1620" i="17"/>
  <c r="A1620" i="17"/>
  <c r="Z1619" i="17"/>
  <c r="W1619" i="17"/>
  <c r="A1619" i="17"/>
  <c r="Z1618" i="17"/>
  <c r="W1618" i="17"/>
  <c r="A1618" i="17"/>
  <c r="Z1617" i="17"/>
  <c r="W1617" i="17"/>
  <c r="A1617" i="17"/>
  <c r="Z1616" i="17"/>
  <c r="W1616" i="17"/>
  <c r="A1616" i="17"/>
  <c r="Z1615" i="17"/>
  <c r="W1615" i="17"/>
  <c r="A1615" i="17"/>
  <c r="Z1614" i="17"/>
  <c r="W1614" i="17"/>
  <c r="A1614" i="17"/>
  <c r="Z1613" i="17"/>
  <c r="W1613" i="17"/>
  <c r="A1613" i="17"/>
  <c r="Z1612" i="17"/>
  <c r="W1612" i="17"/>
  <c r="A1612" i="17"/>
  <c r="Z1611" i="17"/>
  <c r="W1611" i="17"/>
  <c r="A1611" i="17"/>
  <c r="Z1610" i="17"/>
  <c r="W1610" i="17"/>
  <c r="A1610" i="17"/>
  <c r="Z1609" i="17"/>
  <c r="W1609" i="17"/>
  <c r="A1609" i="17"/>
  <c r="Z1608" i="17"/>
  <c r="W1608" i="17"/>
  <c r="A1608" i="17"/>
  <c r="Z1607" i="17"/>
  <c r="W1607" i="17"/>
  <c r="A1607" i="17"/>
  <c r="Z1606" i="17"/>
  <c r="W1606" i="17"/>
  <c r="A1606" i="17"/>
  <c r="Z1605" i="17"/>
  <c r="W1605" i="17"/>
  <c r="A1605" i="17"/>
  <c r="Z1604" i="17"/>
  <c r="W1604" i="17"/>
  <c r="A1604" i="17"/>
  <c r="Z1603" i="17"/>
  <c r="W1603" i="17"/>
  <c r="A1603" i="17"/>
  <c r="Z1602" i="17"/>
  <c r="W1602" i="17"/>
  <c r="A1602" i="17"/>
  <c r="Z1601" i="17"/>
  <c r="W1601" i="17"/>
  <c r="A1601" i="17"/>
  <c r="Z1600" i="17"/>
  <c r="W1600" i="17"/>
  <c r="A1600" i="17"/>
  <c r="Z1599" i="17"/>
  <c r="W1599" i="17"/>
  <c r="A1599" i="17"/>
  <c r="Z1598" i="17"/>
  <c r="W1598" i="17"/>
  <c r="A1598" i="17"/>
  <c r="Z1597" i="17"/>
  <c r="W1597" i="17"/>
  <c r="A1597" i="17"/>
  <c r="Z1596" i="17"/>
  <c r="W1596" i="17"/>
  <c r="A1596" i="17"/>
  <c r="Z1595" i="17"/>
  <c r="W1595" i="17"/>
  <c r="A1595" i="17"/>
  <c r="Z1594" i="17"/>
  <c r="W1594" i="17"/>
  <c r="A1594" i="17"/>
  <c r="Z1593" i="17"/>
  <c r="W1593" i="17"/>
  <c r="A1593" i="17"/>
  <c r="Z1592" i="17"/>
  <c r="W1592" i="17"/>
  <c r="A1592" i="17"/>
  <c r="Z1591" i="17"/>
  <c r="W1591" i="17"/>
  <c r="A1591" i="17"/>
  <c r="Z1590" i="17"/>
  <c r="W1590" i="17"/>
  <c r="A1590" i="17"/>
  <c r="Z1589" i="17"/>
  <c r="W1589" i="17"/>
  <c r="A1589" i="17"/>
  <c r="Z1588" i="17"/>
  <c r="W1588" i="17"/>
  <c r="A1588" i="17"/>
  <c r="Z1587" i="17"/>
  <c r="W1587" i="17"/>
  <c r="A1587" i="17"/>
  <c r="Z1586" i="17"/>
  <c r="W1586" i="17"/>
  <c r="A1586" i="17"/>
  <c r="Z1585" i="17"/>
  <c r="W1585" i="17"/>
  <c r="A1585" i="17"/>
  <c r="Z1584" i="17"/>
  <c r="W1584" i="17"/>
  <c r="A1584" i="17"/>
  <c r="Z1583" i="17"/>
  <c r="W1583" i="17"/>
  <c r="A1583" i="17"/>
  <c r="Z1582" i="17"/>
  <c r="W1582" i="17"/>
  <c r="A1582" i="17"/>
  <c r="Z1581" i="17"/>
  <c r="W1581" i="17"/>
  <c r="A1581" i="17"/>
  <c r="Z1580" i="17"/>
  <c r="W1580" i="17"/>
  <c r="A1580" i="17"/>
  <c r="Z1579" i="17"/>
  <c r="W1579" i="17"/>
  <c r="A1579" i="17"/>
  <c r="Z1578" i="17"/>
  <c r="W1578" i="17"/>
  <c r="A1578" i="17"/>
  <c r="Z1577" i="17"/>
  <c r="W1577" i="17"/>
  <c r="A1577" i="17"/>
  <c r="Z1576" i="17"/>
  <c r="W1576" i="17"/>
  <c r="A1576" i="17"/>
  <c r="Z1575" i="17"/>
  <c r="W1575" i="17"/>
  <c r="A1575" i="17"/>
  <c r="Z1574" i="17"/>
  <c r="W1574" i="17"/>
  <c r="A1574" i="17"/>
  <c r="Z1573" i="17"/>
  <c r="W1573" i="17"/>
  <c r="A1573" i="17"/>
  <c r="Z1572" i="17"/>
  <c r="W1572" i="17"/>
  <c r="A1572" i="17"/>
  <c r="Z1571" i="17"/>
  <c r="W1571" i="17"/>
  <c r="A1571" i="17"/>
  <c r="Z1570" i="17"/>
  <c r="W1570" i="17"/>
  <c r="A1570" i="17"/>
  <c r="Z1569" i="17"/>
  <c r="W1569" i="17"/>
  <c r="A1569" i="17"/>
  <c r="Z1568" i="17"/>
  <c r="W1568" i="17"/>
  <c r="A1568" i="17"/>
  <c r="Z1567" i="17"/>
  <c r="W1567" i="17"/>
  <c r="A1567" i="17"/>
  <c r="Z1566" i="17"/>
  <c r="W1566" i="17"/>
  <c r="A1566" i="17"/>
  <c r="Z1565" i="17"/>
  <c r="W1565" i="17"/>
  <c r="A1565" i="17"/>
  <c r="Z1564" i="17"/>
  <c r="W1564" i="17"/>
  <c r="A1564" i="17"/>
  <c r="Z1563" i="17"/>
  <c r="W1563" i="17"/>
  <c r="A1563" i="17"/>
  <c r="Z1562" i="17"/>
  <c r="W1562" i="17"/>
  <c r="A1562" i="17"/>
  <c r="Z1561" i="17"/>
  <c r="W1561" i="17"/>
  <c r="A1561" i="17"/>
  <c r="Z1560" i="17"/>
  <c r="W1560" i="17"/>
  <c r="A1560" i="17"/>
  <c r="Z1559" i="17"/>
  <c r="W1559" i="17"/>
  <c r="A1559" i="17"/>
  <c r="Z1558" i="17"/>
  <c r="W1558" i="17"/>
  <c r="A1558" i="17"/>
  <c r="Z1557" i="17"/>
  <c r="W1557" i="17"/>
  <c r="A1557" i="17"/>
  <c r="Z1556" i="17"/>
  <c r="W1556" i="17"/>
  <c r="A1556" i="17"/>
  <c r="Z1555" i="17"/>
  <c r="W1555" i="17"/>
  <c r="A1555" i="17"/>
  <c r="Z1554" i="17"/>
  <c r="W1554" i="17"/>
  <c r="A1554" i="17"/>
  <c r="Z1553" i="17"/>
  <c r="W1553" i="17"/>
  <c r="A1553" i="17"/>
  <c r="Z1552" i="17"/>
  <c r="W1552" i="17"/>
  <c r="A1552" i="17"/>
  <c r="Z1551" i="17"/>
  <c r="W1551" i="17"/>
  <c r="A1551" i="17"/>
  <c r="Z1550" i="17"/>
  <c r="W1550" i="17"/>
  <c r="A1550" i="17"/>
  <c r="Z1549" i="17"/>
  <c r="W1549" i="17"/>
  <c r="A1549" i="17"/>
  <c r="Z1548" i="17"/>
  <c r="W1548" i="17"/>
  <c r="A1548" i="17"/>
  <c r="Z1547" i="17"/>
  <c r="W1547" i="17"/>
  <c r="A1547" i="17"/>
  <c r="Z1546" i="17"/>
  <c r="W1546" i="17"/>
  <c r="A1546" i="17"/>
  <c r="Z1545" i="17"/>
  <c r="W1545" i="17"/>
  <c r="A1545" i="17"/>
  <c r="Z1544" i="17"/>
  <c r="W1544" i="17"/>
  <c r="A1544" i="17"/>
  <c r="Z1543" i="17"/>
  <c r="W1543" i="17"/>
  <c r="A1543" i="17"/>
  <c r="Z1542" i="17"/>
  <c r="W1542" i="17"/>
  <c r="A1542" i="17"/>
  <c r="Z1541" i="17"/>
  <c r="W1541" i="17"/>
  <c r="A1541" i="17"/>
  <c r="Z1540" i="17"/>
  <c r="W1540" i="17"/>
  <c r="A1540" i="17"/>
  <c r="Z1539" i="17"/>
  <c r="W1539" i="17"/>
  <c r="A1539" i="17"/>
  <c r="Z1538" i="17"/>
  <c r="W1538" i="17"/>
  <c r="A1538" i="17"/>
  <c r="Z1537" i="17"/>
  <c r="W1537" i="17"/>
  <c r="A1537" i="17"/>
  <c r="Z1536" i="17"/>
  <c r="W1536" i="17"/>
  <c r="A1536" i="17"/>
  <c r="Z1535" i="17"/>
  <c r="W1535" i="17"/>
  <c r="A1535" i="17"/>
  <c r="Z1534" i="17"/>
  <c r="W1534" i="17"/>
  <c r="A1534" i="17"/>
  <c r="Z1533" i="17"/>
  <c r="W1533" i="17"/>
  <c r="A1533" i="17"/>
  <c r="Z1532" i="17"/>
  <c r="W1532" i="17"/>
  <c r="A1532" i="17"/>
  <c r="Z1531" i="17"/>
  <c r="W1531" i="17"/>
  <c r="A1531" i="17"/>
  <c r="Z1530" i="17"/>
  <c r="W1530" i="17"/>
  <c r="A1530" i="17"/>
  <c r="Z1529" i="17"/>
  <c r="W1529" i="17"/>
  <c r="A1529" i="17"/>
  <c r="Z1528" i="17"/>
  <c r="W1528" i="17"/>
  <c r="A1528" i="17"/>
  <c r="Z1527" i="17"/>
  <c r="W1527" i="17"/>
  <c r="A1527" i="17"/>
  <c r="Z1526" i="17"/>
  <c r="W1526" i="17"/>
  <c r="A1526" i="17"/>
  <c r="Z1525" i="17"/>
  <c r="W1525" i="17"/>
  <c r="A1525" i="17"/>
  <c r="Z1524" i="17"/>
  <c r="W1524" i="17"/>
  <c r="A1524" i="17"/>
  <c r="Z1523" i="17"/>
  <c r="W1523" i="17"/>
  <c r="A1523" i="17"/>
  <c r="Z1522" i="17"/>
  <c r="W1522" i="17"/>
  <c r="A1522" i="17"/>
  <c r="Z1521" i="17"/>
  <c r="W1521" i="17"/>
  <c r="A1521" i="17"/>
  <c r="Z1520" i="17"/>
  <c r="W1520" i="17"/>
  <c r="A1520" i="17"/>
  <c r="Z1519" i="17"/>
  <c r="W1519" i="17"/>
  <c r="A1519" i="17"/>
  <c r="Z1518" i="17"/>
  <c r="W1518" i="17"/>
  <c r="A1518" i="17"/>
  <c r="Z1517" i="17"/>
  <c r="W1517" i="17"/>
  <c r="A1517" i="17"/>
  <c r="Z1516" i="17"/>
  <c r="W1516" i="17"/>
  <c r="A1516" i="17"/>
  <c r="Z1515" i="17"/>
  <c r="W1515" i="17"/>
  <c r="A1515" i="17"/>
  <c r="Z1514" i="17"/>
  <c r="W1514" i="17"/>
  <c r="A1514" i="17"/>
  <c r="Z1513" i="17"/>
  <c r="W1513" i="17"/>
  <c r="A1513" i="17"/>
  <c r="Z1512" i="17"/>
  <c r="W1512" i="17"/>
  <c r="A1512" i="17"/>
  <c r="Z1511" i="17"/>
  <c r="W1511" i="17"/>
  <c r="A1511" i="17"/>
  <c r="Z1510" i="17"/>
  <c r="W1510" i="17"/>
  <c r="A1510" i="17"/>
  <c r="Z1509" i="17"/>
  <c r="W1509" i="17"/>
  <c r="A1509" i="17"/>
  <c r="Z1508" i="17"/>
  <c r="W1508" i="17"/>
  <c r="A1508" i="17"/>
  <c r="Z1507" i="17"/>
  <c r="W1507" i="17"/>
  <c r="A1507" i="17"/>
  <c r="Z1506" i="17"/>
  <c r="W1506" i="17"/>
  <c r="A1506" i="17"/>
  <c r="Z1505" i="17"/>
  <c r="W1505" i="17"/>
  <c r="A1505" i="17"/>
  <c r="Z1504" i="17"/>
  <c r="W1504" i="17"/>
  <c r="A1504" i="17"/>
  <c r="Z1503" i="17"/>
  <c r="W1503" i="17"/>
  <c r="A1503" i="17"/>
  <c r="Z1502" i="17"/>
  <c r="W1502" i="17"/>
  <c r="A1502" i="17"/>
  <c r="Z1501" i="17"/>
  <c r="W1501" i="17"/>
  <c r="A1501" i="17"/>
  <c r="Z1500" i="17"/>
  <c r="W1500" i="17"/>
  <c r="A1500" i="17"/>
  <c r="Z1499" i="17"/>
  <c r="W1499" i="17"/>
  <c r="A1499" i="17"/>
  <c r="Z1498" i="17"/>
  <c r="W1498" i="17"/>
  <c r="A1498" i="17"/>
  <c r="Z1497" i="17"/>
  <c r="W1497" i="17"/>
  <c r="A1497" i="17"/>
  <c r="Z1496" i="17"/>
  <c r="W1496" i="17"/>
  <c r="A1496" i="17"/>
  <c r="Z1495" i="17"/>
  <c r="W1495" i="17"/>
  <c r="A1495" i="17"/>
  <c r="Z1494" i="17"/>
  <c r="W1494" i="17"/>
  <c r="A1494" i="17"/>
  <c r="Z1493" i="17"/>
  <c r="W1493" i="17"/>
  <c r="A1493" i="17"/>
  <c r="Z1492" i="17"/>
  <c r="W1492" i="17"/>
  <c r="A1492" i="17"/>
  <c r="Z1491" i="17"/>
  <c r="W1491" i="17"/>
  <c r="A1491" i="17"/>
  <c r="Z1490" i="17"/>
  <c r="W1490" i="17"/>
  <c r="A1490" i="17"/>
  <c r="Z1489" i="17"/>
  <c r="W1489" i="17"/>
  <c r="A1489" i="17"/>
  <c r="Z1488" i="17"/>
  <c r="W1488" i="17"/>
  <c r="A1488" i="17"/>
  <c r="Z1487" i="17"/>
  <c r="W1487" i="17"/>
  <c r="A1487" i="17"/>
  <c r="Z1486" i="17"/>
  <c r="W1486" i="17"/>
  <c r="A1486" i="17"/>
  <c r="Z1485" i="17"/>
  <c r="W1485" i="17"/>
  <c r="A1485" i="17"/>
  <c r="Z1484" i="17"/>
  <c r="W1484" i="17"/>
  <c r="A1484" i="17"/>
  <c r="Z1483" i="17"/>
  <c r="W1483" i="17"/>
  <c r="A1483" i="17"/>
  <c r="Z1482" i="17"/>
  <c r="W1482" i="17"/>
  <c r="A1482" i="17"/>
  <c r="Z1481" i="17"/>
  <c r="W1481" i="17"/>
  <c r="A1481" i="17"/>
  <c r="Z1480" i="17"/>
  <c r="W1480" i="17"/>
  <c r="A1480" i="17"/>
  <c r="Z1479" i="17"/>
  <c r="W1479" i="17"/>
  <c r="A1479" i="17"/>
  <c r="Z1478" i="17"/>
  <c r="W1478" i="17"/>
  <c r="A1478" i="17"/>
  <c r="Z1477" i="17"/>
  <c r="W1477" i="17"/>
  <c r="A1477" i="17"/>
  <c r="Z1476" i="17"/>
  <c r="W1476" i="17"/>
  <c r="A1476" i="17"/>
  <c r="Z1475" i="17"/>
  <c r="W1475" i="17"/>
  <c r="A1475" i="17"/>
  <c r="Z1474" i="17"/>
  <c r="W1474" i="17"/>
  <c r="A1474" i="17"/>
  <c r="Z1473" i="17"/>
  <c r="W1473" i="17"/>
  <c r="A1473" i="17"/>
  <c r="Z1472" i="17"/>
  <c r="W1472" i="17"/>
  <c r="A1472" i="17"/>
  <c r="Z1471" i="17"/>
  <c r="W1471" i="17"/>
  <c r="A1471" i="17"/>
  <c r="Z1470" i="17"/>
  <c r="W1470" i="17"/>
  <c r="A1470" i="17"/>
  <c r="Z1469" i="17"/>
  <c r="W1469" i="17"/>
  <c r="A1469" i="17"/>
  <c r="Z1468" i="17"/>
  <c r="W1468" i="17"/>
  <c r="A1468" i="17"/>
  <c r="Z1467" i="17"/>
  <c r="W1467" i="17"/>
  <c r="A1467" i="17"/>
  <c r="Z1466" i="17"/>
  <c r="W1466" i="17"/>
  <c r="A1466" i="17"/>
  <c r="Z1465" i="17"/>
  <c r="W1465" i="17"/>
  <c r="A1465" i="17"/>
  <c r="Z1464" i="17"/>
  <c r="W1464" i="17"/>
  <c r="A1464" i="17"/>
  <c r="Z1463" i="17"/>
  <c r="W1463" i="17"/>
  <c r="A1463" i="17"/>
  <c r="Z1462" i="17"/>
  <c r="W1462" i="17"/>
  <c r="A1462" i="17"/>
  <c r="Z1461" i="17"/>
  <c r="W1461" i="17"/>
  <c r="A1461" i="17"/>
  <c r="Z1460" i="17"/>
  <c r="W1460" i="17"/>
  <c r="A1460" i="17"/>
  <c r="Z1459" i="17"/>
  <c r="W1459" i="17"/>
  <c r="A1459" i="17"/>
  <c r="Z1458" i="17"/>
  <c r="W1458" i="17"/>
  <c r="A1458" i="17"/>
  <c r="Z1457" i="17"/>
  <c r="W1457" i="17"/>
  <c r="A1457" i="17"/>
  <c r="Z1456" i="17"/>
  <c r="W1456" i="17"/>
  <c r="A1456" i="17"/>
  <c r="Z1455" i="17"/>
  <c r="W1455" i="17"/>
  <c r="A1455" i="17"/>
  <c r="Z1454" i="17"/>
  <c r="W1454" i="17"/>
  <c r="A1454" i="17"/>
  <c r="Z1453" i="17"/>
  <c r="W1453" i="17"/>
  <c r="A1453" i="17"/>
  <c r="Z1452" i="17"/>
  <c r="A1450" i="17"/>
  <c r="Z1449" i="17"/>
  <c r="W1449" i="17"/>
  <c r="A1449" i="17"/>
  <c r="Z1448" i="17"/>
  <c r="W1448" i="17"/>
  <c r="A1448" i="17"/>
  <c r="Z1447" i="17"/>
  <c r="W1447" i="17"/>
  <c r="A1447" i="17"/>
  <c r="Z1446" i="17"/>
  <c r="W1446" i="17"/>
  <c r="A1446" i="17"/>
  <c r="Z1445" i="17"/>
  <c r="W1445" i="17"/>
  <c r="A1445" i="17"/>
  <c r="Z1444" i="17"/>
  <c r="W1444" i="17"/>
  <c r="A1444" i="17"/>
  <c r="Z1443" i="17"/>
  <c r="W1443" i="17"/>
  <c r="A1443" i="17"/>
  <c r="Z1442" i="17"/>
  <c r="W1442" i="17"/>
  <c r="A1442" i="17"/>
  <c r="Z1441" i="17"/>
  <c r="W1441" i="17"/>
  <c r="A1441" i="17"/>
  <c r="Z1440" i="17"/>
  <c r="W1440" i="17"/>
  <c r="A1440" i="17"/>
  <c r="Z1439" i="17"/>
  <c r="W1439" i="17"/>
  <c r="A1439" i="17"/>
  <c r="Z1438" i="17"/>
  <c r="W1438" i="17"/>
  <c r="A1438" i="17"/>
  <c r="Z1437" i="17"/>
  <c r="W1437" i="17"/>
  <c r="A1437" i="17"/>
  <c r="Z1436" i="17"/>
  <c r="W1436" i="17"/>
  <c r="A1436" i="17"/>
  <c r="Z1435" i="17"/>
  <c r="W1435" i="17"/>
  <c r="A1435" i="17"/>
  <c r="Z1434" i="17"/>
  <c r="W1434" i="17"/>
  <c r="A1434" i="17"/>
  <c r="Z1433" i="17"/>
  <c r="W1433" i="17"/>
  <c r="A1433" i="17"/>
  <c r="Z1432" i="17"/>
  <c r="W1432" i="17"/>
  <c r="A1432" i="17"/>
  <c r="Z1431" i="17"/>
  <c r="W1431" i="17"/>
  <c r="A1431" i="17"/>
  <c r="Z1430" i="17"/>
  <c r="W1430" i="17"/>
  <c r="A1430" i="17"/>
  <c r="Z1429" i="17"/>
  <c r="W1429" i="17"/>
  <c r="A1429" i="17"/>
  <c r="Z1428" i="17"/>
  <c r="W1428" i="17"/>
  <c r="A1428" i="17"/>
  <c r="Z1427" i="17"/>
  <c r="W1427" i="17"/>
  <c r="A1427" i="17"/>
  <c r="Z1426" i="17"/>
  <c r="W1426" i="17"/>
  <c r="A1426" i="17"/>
  <c r="Z1425" i="17"/>
  <c r="W1425" i="17"/>
  <c r="A1425" i="17"/>
  <c r="Z1424" i="17"/>
  <c r="W1424" i="17"/>
  <c r="A1424" i="17"/>
  <c r="Z1423" i="17"/>
  <c r="W1423" i="17"/>
  <c r="A1423" i="17"/>
  <c r="Z1422" i="17"/>
  <c r="W1422" i="17"/>
  <c r="A1422" i="17"/>
  <c r="Z1421" i="17"/>
  <c r="W1421" i="17"/>
  <c r="A1421" i="17"/>
  <c r="Z1420" i="17"/>
  <c r="W1420" i="17"/>
  <c r="A1420" i="17"/>
  <c r="Z1419" i="17"/>
  <c r="W1419" i="17"/>
  <c r="A1419" i="17"/>
  <c r="Z1418" i="17"/>
  <c r="W1418" i="17"/>
  <c r="A1418" i="17"/>
  <c r="Z1417" i="17"/>
  <c r="W1417" i="17"/>
  <c r="A1417" i="17"/>
  <c r="Z1416" i="17"/>
  <c r="W1416" i="17"/>
  <c r="A1416" i="17"/>
  <c r="Z1415" i="17"/>
  <c r="W1415" i="17"/>
  <c r="A1415" i="17"/>
  <c r="Z1414" i="17"/>
  <c r="W1414" i="17"/>
  <c r="A1414" i="17"/>
  <c r="Z1413" i="17"/>
  <c r="W1413" i="17"/>
  <c r="A1413" i="17"/>
  <c r="Z1412" i="17"/>
  <c r="W1412" i="17"/>
  <c r="A1412" i="17"/>
  <c r="Z1411" i="17"/>
  <c r="W1411" i="17"/>
  <c r="A1411" i="17"/>
  <c r="Z1410" i="17"/>
  <c r="W1410" i="17"/>
  <c r="A1410" i="17"/>
  <c r="Z1409" i="17"/>
  <c r="W1409" i="17"/>
  <c r="A1409" i="17"/>
  <c r="Z1408" i="17"/>
  <c r="W1408" i="17"/>
  <c r="A1408" i="17"/>
  <c r="Z1407" i="17"/>
  <c r="W1407" i="17"/>
  <c r="A1407" i="17"/>
  <c r="Z1406" i="17"/>
  <c r="W1406" i="17"/>
  <c r="A1406" i="17"/>
  <c r="Z1405" i="17"/>
  <c r="W1405" i="17"/>
  <c r="A1405" i="17"/>
  <c r="Z1404" i="17"/>
  <c r="W1404" i="17"/>
  <c r="A1404" i="17"/>
  <c r="Z1403" i="17"/>
  <c r="W1403" i="17"/>
  <c r="A1403" i="17"/>
  <c r="Z1402" i="17"/>
  <c r="W1402" i="17"/>
  <c r="A1402" i="17"/>
  <c r="Z1401" i="17"/>
  <c r="W1401" i="17"/>
  <c r="A1401" i="17"/>
  <c r="Z1400" i="17"/>
  <c r="W1400" i="17"/>
  <c r="A1400" i="17"/>
  <c r="Z1399" i="17"/>
  <c r="W1399" i="17"/>
  <c r="A1399" i="17"/>
  <c r="Z1398" i="17"/>
  <c r="W1398" i="17"/>
  <c r="A1398" i="17"/>
  <c r="Z1397" i="17"/>
  <c r="W1397" i="17"/>
  <c r="A1397" i="17"/>
  <c r="Z1396" i="17"/>
  <c r="W1396" i="17"/>
  <c r="A1396" i="17"/>
  <c r="Z1395" i="17"/>
  <c r="W1395" i="17"/>
  <c r="A1395" i="17"/>
  <c r="Z1394" i="17"/>
  <c r="W1394" i="17"/>
  <c r="A1394" i="17"/>
  <c r="Z1393" i="17"/>
  <c r="W1393" i="17"/>
  <c r="A1393" i="17"/>
  <c r="Z1392" i="17"/>
  <c r="W1392" i="17"/>
  <c r="A1392" i="17"/>
  <c r="Z1391" i="17"/>
  <c r="W1391" i="17"/>
  <c r="A1391" i="17"/>
  <c r="Z1390" i="17"/>
  <c r="W1390" i="17"/>
  <c r="A1390" i="17"/>
  <c r="Z1389" i="17"/>
  <c r="W1389" i="17"/>
  <c r="A1389" i="17"/>
  <c r="Z1388" i="17"/>
  <c r="W1388" i="17"/>
  <c r="A1388" i="17"/>
  <c r="Z1387" i="17"/>
  <c r="W1387" i="17"/>
  <c r="A1387" i="17"/>
  <c r="Z1386" i="17"/>
  <c r="W1386" i="17"/>
  <c r="A1386" i="17"/>
  <c r="Z1385" i="17"/>
  <c r="W1385" i="17"/>
  <c r="Z1384" i="17"/>
  <c r="W1384" i="17"/>
  <c r="A1384" i="17"/>
  <c r="Z1383" i="17"/>
  <c r="W1383" i="17"/>
  <c r="A1383" i="17"/>
  <c r="Z1382" i="17"/>
  <c r="W1382" i="17"/>
  <c r="A1382" i="17"/>
  <c r="Z1381" i="17"/>
  <c r="W1381" i="17"/>
  <c r="A1381" i="17"/>
  <c r="Z1380" i="17"/>
  <c r="W1380" i="17"/>
  <c r="A1380" i="17"/>
  <c r="W1379" i="17"/>
  <c r="A1379" i="17"/>
  <c r="W1378" i="17"/>
  <c r="A1378" i="17"/>
  <c r="W1377" i="17"/>
  <c r="A1377" i="17"/>
  <c r="Z1376" i="17"/>
  <c r="W1376" i="17"/>
  <c r="A1376" i="17"/>
  <c r="Z1375" i="17"/>
  <c r="W1375" i="17"/>
  <c r="A1375" i="17"/>
  <c r="Z1374" i="17"/>
  <c r="W1374" i="17"/>
  <c r="A1374" i="17"/>
  <c r="W1373" i="17"/>
  <c r="A1373" i="17"/>
  <c r="A1372" i="17"/>
  <c r="W1371" i="17"/>
  <c r="A1371" i="17"/>
  <c r="W1370" i="17"/>
  <c r="A1370" i="17"/>
  <c r="W1369" i="17"/>
  <c r="A1369" i="17"/>
  <c r="Z1368" i="17"/>
  <c r="W1368" i="17"/>
  <c r="A1368" i="17"/>
  <c r="Z1367" i="17"/>
  <c r="A1367" i="17"/>
  <c r="Z1366" i="17"/>
  <c r="Z1365" i="17"/>
  <c r="W1365" i="17"/>
  <c r="A1365" i="17"/>
  <c r="Z1364" i="17"/>
  <c r="W1364" i="17"/>
  <c r="A1364" i="17"/>
  <c r="Z1363" i="17"/>
  <c r="W1363" i="17"/>
  <c r="A1363" i="17"/>
  <c r="W1362" i="17"/>
  <c r="A1362" i="17"/>
  <c r="W1361" i="17"/>
  <c r="A1361" i="17"/>
  <c r="Z1360" i="17"/>
  <c r="W1360" i="17"/>
  <c r="A1360" i="17"/>
  <c r="W1359" i="17"/>
  <c r="A1359" i="17"/>
  <c r="Z1358" i="17"/>
  <c r="W1358" i="17"/>
  <c r="A1358" i="17"/>
  <c r="Z1357" i="17"/>
  <c r="W1357" i="17"/>
  <c r="A1357" i="17"/>
  <c r="W1356" i="17"/>
  <c r="A1356" i="17"/>
  <c r="Z1355" i="17"/>
  <c r="A1355" i="17"/>
  <c r="W1354" i="17"/>
  <c r="A1354" i="17"/>
  <c r="W1353" i="17"/>
  <c r="A1353" i="17"/>
  <c r="Z1352" i="17"/>
  <c r="A1352" i="17"/>
  <c r="Z1351" i="17"/>
  <c r="A1351" i="17"/>
  <c r="Z1350" i="17"/>
  <c r="W1350" i="17"/>
  <c r="A1350" i="17"/>
  <c r="Z1349" i="17"/>
  <c r="A1349" i="17"/>
  <c r="W1348" i="17"/>
  <c r="Z1347" i="17"/>
  <c r="W1347" i="17"/>
  <c r="A1347" i="17"/>
  <c r="W1346" i="17"/>
  <c r="A1346" i="17"/>
  <c r="W1345" i="17"/>
  <c r="A1345" i="17"/>
  <c r="W1344" i="17"/>
  <c r="A1344" i="17"/>
  <c r="Z1343" i="17"/>
  <c r="W1343" i="17"/>
  <c r="A1343" i="17"/>
  <c r="Z1342" i="17"/>
  <c r="W1342" i="17"/>
  <c r="A1342" i="17"/>
  <c r="Z1341" i="17"/>
  <c r="A1341" i="17"/>
  <c r="Z1340" i="17"/>
  <c r="W1340" i="17"/>
  <c r="A1340" i="17"/>
  <c r="Z1339" i="17"/>
  <c r="W1339" i="17"/>
  <c r="A1339" i="17"/>
  <c r="Z1338" i="17"/>
  <c r="W1338" i="17"/>
  <c r="A1338" i="17"/>
  <c r="W1337" i="17"/>
  <c r="A1337" i="17"/>
  <c r="W1336" i="17"/>
  <c r="A1336" i="17"/>
  <c r="Z1335" i="17"/>
  <c r="A1335" i="17"/>
  <c r="W1334" i="17"/>
  <c r="A1334" i="17"/>
  <c r="Z1333" i="17"/>
  <c r="A1333" i="17"/>
  <c r="Z1332" i="17"/>
  <c r="A1332" i="17"/>
  <c r="Z1331" i="17"/>
  <c r="W1331" i="17"/>
  <c r="A1331" i="17"/>
  <c r="Z1330" i="17"/>
  <c r="W1330" i="17"/>
  <c r="A1330" i="17"/>
  <c r="Z1329" i="17"/>
  <c r="W1329" i="17"/>
  <c r="A1329" i="17"/>
  <c r="Z1328" i="17"/>
  <c r="A1328" i="17"/>
  <c r="W1327" i="17"/>
  <c r="A1327" i="17"/>
  <c r="Z1326" i="17"/>
  <c r="W1326" i="17"/>
  <c r="A1326" i="17"/>
  <c r="W1325" i="17"/>
  <c r="A1325" i="17"/>
  <c r="Y1324" i="17"/>
  <c r="W1324" i="17"/>
  <c r="D1324" i="17"/>
  <c r="C1324" i="17"/>
  <c r="Z1202" i="17"/>
  <c r="Y1191" i="17"/>
  <c r="Y1190" i="17"/>
  <c r="Z1189" i="17"/>
  <c r="Y1188" i="17"/>
  <c r="Y1187" i="17"/>
  <c r="Z1186" i="17"/>
  <c r="Y1185" i="17"/>
  <c r="Y1184" i="17"/>
  <c r="Z1183" i="17"/>
  <c r="Y1181" i="17"/>
  <c r="Y1180" i="17"/>
  <c r="Y1177" i="17"/>
  <c r="Z1175" i="17"/>
  <c r="Y1174" i="17"/>
  <c r="D1174" i="17"/>
  <c r="Z1173" i="17"/>
  <c r="D1173" i="17"/>
  <c r="Y1172" i="17"/>
  <c r="Y1170" i="17"/>
  <c r="Y1169" i="17"/>
  <c r="W1169" i="17"/>
  <c r="Z1168" i="17"/>
  <c r="Y1167" i="17"/>
  <c r="Y1166" i="17"/>
  <c r="W1166" i="17"/>
  <c r="C1166" i="17"/>
  <c r="Y1165" i="17"/>
  <c r="C1164" i="17"/>
  <c r="Y1163" i="17"/>
  <c r="Z1161" i="17"/>
  <c r="C1161" i="17"/>
  <c r="Z1160" i="17"/>
  <c r="D1160" i="17"/>
  <c r="Z1159" i="17"/>
  <c r="D1159" i="17"/>
  <c r="Z1158" i="17"/>
  <c r="C1156" i="17"/>
  <c r="Y1155" i="17"/>
  <c r="D1155" i="17"/>
  <c r="W1153" i="17"/>
  <c r="W1152" i="17"/>
  <c r="Y1151" i="17"/>
  <c r="W1150" i="17"/>
  <c r="C1150" i="17"/>
  <c r="Z1149" i="17"/>
  <c r="Y1148" i="17"/>
  <c r="W1148" i="17"/>
  <c r="C1146" i="17"/>
  <c r="Z1145" i="17"/>
  <c r="C1145" i="17"/>
  <c r="Z1144" i="17"/>
  <c r="W1144" i="17"/>
  <c r="C1144" i="17"/>
  <c r="Z1143" i="17"/>
  <c r="Z1142" i="17"/>
  <c r="Y1141" i="17"/>
  <c r="D1140" i="17"/>
  <c r="C1138" i="17"/>
  <c r="Z1137" i="17"/>
  <c r="W1136" i="17"/>
  <c r="Z1134" i="17"/>
  <c r="Y1133" i="17"/>
  <c r="Z1132" i="17"/>
  <c r="C1132" i="17"/>
  <c r="Z1131" i="17"/>
  <c r="C1131" i="17"/>
  <c r="Z1130" i="17"/>
  <c r="Z1128" i="17"/>
  <c r="Y1127" i="17"/>
  <c r="D1127" i="17"/>
  <c r="Z1126" i="17"/>
  <c r="Y1124" i="17"/>
  <c r="Z1123" i="17"/>
  <c r="C1123" i="17"/>
  <c r="Z1122" i="17"/>
  <c r="D1122" i="17"/>
  <c r="Z1121" i="17"/>
  <c r="Y1120" i="17"/>
  <c r="Z1119" i="17"/>
  <c r="Z1118" i="17"/>
  <c r="W1116" i="17"/>
  <c r="Y1113" i="17"/>
  <c r="Y1112" i="17"/>
  <c r="W1112" i="17"/>
  <c r="W1111" i="17"/>
  <c r="C1110" i="17"/>
  <c r="Z1109" i="17"/>
  <c r="D1108" i="17"/>
  <c r="Y1107" i="17"/>
  <c r="W1107" i="17"/>
  <c r="D1107" i="17"/>
  <c r="Y1106" i="17"/>
  <c r="Z1105" i="17"/>
  <c r="Y1104" i="17"/>
  <c r="C1104" i="17"/>
  <c r="Z1103" i="17"/>
  <c r="C1103" i="17"/>
  <c r="Y1101" i="17"/>
  <c r="Y1099" i="17"/>
  <c r="D1098" i="17"/>
  <c r="Z1097" i="17"/>
  <c r="Z1096" i="17"/>
  <c r="C1095" i="17"/>
  <c r="Z1094" i="17"/>
  <c r="D1094" i="17"/>
  <c r="Z1093" i="17"/>
  <c r="D1093" i="17"/>
  <c r="Y1091" i="17"/>
  <c r="Z1090" i="17"/>
  <c r="W1087" i="17"/>
  <c r="Y1086" i="17"/>
  <c r="Y1085" i="17"/>
  <c r="D1083" i="17"/>
  <c r="Z1082" i="17"/>
  <c r="C1082" i="17"/>
  <c r="Z1081" i="17"/>
  <c r="Z1080" i="17"/>
  <c r="D1080" i="17"/>
  <c r="Z1078" i="17"/>
  <c r="W1077" i="17"/>
  <c r="Y1076" i="17"/>
  <c r="D1076" i="17"/>
  <c r="Z1075" i="17"/>
  <c r="W1072" i="17"/>
  <c r="Z1071" i="17"/>
  <c r="C1071" i="17"/>
  <c r="Z1070" i="17"/>
  <c r="C1070" i="17"/>
  <c r="Z1069" i="17"/>
  <c r="Z1067" i="17"/>
  <c r="Y1066" i="17"/>
  <c r="C1066" i="17"/>
  <c r="Z1065" i="17"/>
  <c r="W1065" i="17"/>
  <c r="C1064" i="17"/>
  <c r="Z1063" i="17"/>
  <c r="Y1062" i="17"/>
  <c r="Z1061" i="17"/>
  <c r="D1061" i="17"/>
  <c r="Y1060" i="17"/>
  <c r="D1060" i="17"/>
  <c r="Z1059" i="17"/>
  <c r="D1059" i="17"/>
  <c r="Z1058" i="17"/>
  <c r="Z1057" i="17"/>
  <c r="W1056" i="17"/>
  <c r="Y1054" i="17"/>
  <c r="D1054" i="17"/>
  <c r="Z1053" i="17"/>
  <c r="W1052" i="17"/>
  <c r="D1052" i="17"/>
  <c r="Z1051" i="17"/>
  <c r="D1051" i="17"/>
  <c r="Z1050" i="17"/>
  <c r="W1049" i="17"/>
  <c r="D1049" i="17"/>
  <c r="C1048" i="17"/>
  <c r="Z1047" i="17"/>
  <c r="Y1046" i="17"/>
  <c r="Z1044" i="17"/>
  <c r="D1044" i="17"/>
  <c r="Z1043" i="17"/>
  <c r="D1043" i="17"/>
  <c r="Y1042" i="17"/>
  <c r="C1042" i="17"/>
  <c r="D1038" i="17"/>
  <c r="Y1037" i="17"/>
  <c r="C1037" i="17"/>
  <c r="Z1036" i="17"/>
  <c r="D1036" i="17"/>
  <c r="Z1035" i="17"/>
  <c r="D1901" i="17"/>
  <c r="W1900" i="17"/>
  <c r="D1900" i="17"/>
  <c r="W1898" i="17"/>
  <c r="D1896" i="17"/>
  <c r="W1895" i="17"/>
  <c r="D1894" i="17"/>
  <c r="Y1893" i="17"/>
  <c r="C1892" i="17"/>
  <c r="Y1887" i="17"/>
  <c r="D1885" i="17"/>
  <c r="W1880" i="17"/>
  <c r="Y1877" i="17"/>
  <c r="Y1876" i="17"/>
  <c r="C1876" i="17"/>
  <c r="C1875" i="17"/>
  <c r="Y1874" i="17"/>
  <c r="W1872" i="17"/>
  <c r="C1872" i="17"/>
  <c r="W1748" i="17"/>
  <c r="W1739" i="17"/>
  <c r="Y1738" i="17"/>
  <c r="C1735" i="17"/>
  <c r="Y1734" i="17"/>
  <c r="AA1734" i="17" s="1"/>
  <c r="C1728" i="17"/>
  <c r="W1727" i="17"/>
  <c r="C1722" i="17"/>
  <c r="W1708" i="17"/>
  <c r="Y1702" i="17"/>
  <c r="D1702" i="17"/>
  <c r="D1696" i="17"/>
  <c r="W1679" i="17"/>
  <c r="D1676" i="17"/>
  <c r="Y1675" i="17"/>
  <c r="W1669" i="17"/>
  <c r="W1668" i="17"/>
  <c r="Y1667" i="17"/>
  <c r="D1667" i="17"/>
  <c r="Y1666" i="17"/>
  <c r="D1666" i="17"/>
  <c r="W1665" i="17"/>
  <c r="C1665" i="17"/>
  <c r="Y1663" i="17"/>
  <c r="A1452" i="17"/>
  <c r="Z1451" i="17"/>
  <c r="W1451" i="17"/>
  <c r="A1451" i="17"/>
  <c r="Z1450" i="17"/>
  <c r="W1450" i="17"/>
  <c r="A1385" i="17"/>
  <c r="Z1379" i="17"/>
  <c r="Z1378" i="17"/>
  <c r="Z1377" i="17"/>
  <c r="Z1373" i="17"/>
  <c r="Z1372" i="17"/>
  <c r="W1372" i="17"/>
  <c r="Z1371" i="17"/>
  <c r="Z1370" i="17"/>
  <c r="Z1369" i="17"/>
  <c r="W1367" i="17"/>
  <c r="W1366" i="17"/>
  <c r="A1366" i="17"/>
  <c r="Z1362" i="17"/>
  <c r="Z1361" i="17"/>
  <c r="Z1359" i="17"/>
  <c r="Z1356" i="17"/>
  <c r="W1355" i="17"/>
  <c r="Z1354" i="17"/>
  <c r="Z1353" i="17"/>
  <c r="W1352" i="17"/>
  <c r="W1351" i="17"/>
  <c r="W1349" i="17"/>
  <c r="Z1348" i="17"/>
  <c r="A1348" i="17"/>
  <c r="Z1346" i="17"/>
  <c r="Z1345" i="17"/>
  <c r="Z1344" i="17"/>
  <c r="W1341" i="17"/>
  <c r="Z1337" i="17"/>
  <c r="Z1336" i="17"/>
  <c r="W1335" i="17"/>
  <c r="Z1334" i="17"/>
  <c r="W1333" i="17"/>
  <c r="W1332" i="17"/>
  <c r="W1328" i="17"/>
  <c r="Z1327" i="17"/>
  <c r="Z1325" i="17"/>
  <c r="Z1324" i="17"/>
  <c r="Z1323" i="17"/>
  <c r="W1323" i="17"/>
  <c r="A1323" i="17"/>
  <c r="Z1322" i="17"/>
  <c r="W1322" i="17"/>
  <c r="A1322" i="17"/>
  <c r="Z1321" i="17"/>
  <c r="W1321" i="17"/>
  <c r="A1321" i="17"/>
  <c r="Z1320" i="17"/>
  <c r="W1320" i="17"/>
  <c r="A1320" i="17"/>
  <c r="Z1319" i="17"/>
  <c r="W1319" i="17"/>
  <c r="A1319" i="17"/>
  <c r="Z1318" i="17"/>
  <c r="W1318" i="17"/>
  <c r="A1318" i="17"/>
  <c r="Z1317" i="17"/>
  <c r="W1317" i="17"/>
  <c r="A1317" i="17"/>
  <c r="Z1316" i="17"/>
  <c r="W1316" i="17"/>
  <c r="A1316" i="17"/>
  <c r="Z1315" i="17"/>
  <c r="W1315" i="17"/>
  <c r="A1315" i="17"/>
  <c r="Z1314" i="17"/>
  <c r="W1314" i="17"/>
  <c r="A1314" i="17"/>
  <c r="Z1313" i="17"/>
  <c r="W1313" i="17"/>
  <c r="A1313" i="17"/>
  <c r="Z1312" i="17"/>
  <c r="W1312" i="17"/>
  <c r="A1312" i="17"/>
  <c r="Z1311" i="17"/>
  <c r="W1311" i="17"/>
  <c r="A1311" i="17"/>
  <c r="Z1310" i="17"/>
  <c r="W1310" i="17"/>
  <c r="A1310" i="17"/>
  <c r="Z1309" i="17"/>
  <c r="W1309" i="17"/>
  <c r="A1309" i="17"/>
  <c r="Z1308" i="17"/>
  <c r="W1308" i="17"/>
  <c r="A1308" i="17"/>
  <c r="Z1307" i="17"/>
  <c r="W1307" i="17"/>
  <c r="A1307" i="17"/>
  <c r="Z1306" i="17"/>
  <c r="W1306" i="17"/>
  <c r="A1306" i="17"/>
  <c r="Z1305" i="17"/>
  <c r="W1305" i="17"/>
  <c r="A1305" i="17"/>
  <c r="Z1304" i="17"/>
  <c r="W1304" i="17"/>
  <c r="A1304" i="17"/>
  <c r="Z1303" i="17"/>
  <c r="W1303" i="17"/>
  <c r="A1303" i="17"/>
  <c r="Z1302" i="17"/>
  <c r="W1302" i="17"/>
  <c r="A1302" i="17"/>
  <c r="Z1301" i="17"/>
  <c r="W1301" i="17"/>
  <c r="A1301" i="17"/>
  <c r="Z1300" i="17"/>
  <c r="W1300" i="17"/>
  <c r="A1300" i="17"/>
  <c r="Z1299" i="17"/>
  <c r="W1299" i="17"/>
  <c r="A1299" i="17"/>
  <c r="Z1298" i="17"/>
  <c r="W1298" i="17"/>
  <c r="A1298" i="17"/>
  <c r="Z1297" i="17"/>
  <c r="W1297" i="17"/>
  <c r="A1297" i="17"/>
  <c r="Z1296" i="17"/>
  <c r="W1296" i="17"/>
  <c r="A1296" i="17"/>
  <c r="Z1295" i="17"/>
  <c r="W1295" i="17"/>
  <c r="A1295" i="17"/>
  <c r="Z1294" i="17"/>
  <c r="W1294" i="17"/>
  <c r="A1294" i="17"/>
  <c r="Z1293" i="17"/>
  <c r="W1293" i="17"/>
  <c r="A1293" i="17"/>
  <c r="Z1292" i="17"/>
  <c r="W1292" i="17"/>
  <c r="A1292" i="17"/>
  <c r="Z1291" i="17"/>
  <c r="W1291" i="17"/>
  <c r="A1291" i="17"/>
  <c r="Z1290" i="17"/>
  <c r="W1290" i="17"/>
  <c r="A1290" i="17"/>
  <c r="Z1289" i="17"/>
  <c r="W1289" i="17"/>
  <c r="A1289" i="17"/>
  <c r="Z1288" i="17"/>
  <c r="W1288" i="17"/>
  <c r="A1288" i="17"/>
  <c r="Z1287" i="17"/>
  <c r="W1287" i="17"/>
  <c r="A1287" i="17"/>
  <c r="Z1286" i="17"/>
  <c r="W1286" i="17"/>
  <c r="A1286" i="17"/>
  <c r="Z1285" i="17"/>
  <c r="W1285" i="17"/>
  <c r="A1285" i="17"/>
  <c r="Z1284" i="17"/>
  <c r="W1284" i="17"/>
  <c r="A1284" i="17"/>
  <c r="Z1283" i="17"/>
  <c r="W1283" i="17"/>
  <c r="A1283" i="17"/>
  <c r="Z1282" i="17"/>
  <c r="W1282" i="17"/>
  <c r="A1282" i="17"/>
  <c r="Z1281" i="17"/>
  <c r="W1281" i="17"/>
  <c r="A1281" i="17"/>
  <c r="Z1280" i="17"/>
  <c r="W1280" i="17"/>
  <c r="A1280" i="17"/>
  <c r="Z1279" i="17"/>
  <c r="W1279" i="17"/>
  <c r="A1279" i="17"/>
  <c r="Z1278" i="17"/>
  <c r="W1278" i="17"/>
  <c r="A1278" i="17"/>
  <c r="Z1277" i="17"/>
  <c r="W1277" i="17"/>
  <c r="A1277" i="17"/>
  <c r="Z1276" i="17"/>
  <c r="W1276" i="17"/>
  <c r="A1276" i="17"/>
  <c r="Z1275" i="17"/>
  <c r="W1275" i="17"/>
  <c r="A1275" i="17"/>
  <c r="Z1274" i="17"/>
  <c r="W1274" i="17"/>
  <c r="A1274" i="17"/>
  <c r="Z1273" i="17"/>
  <c r="W1273" i="17"/>
  <c r="A1273" i="17"/>
  <c r="Z1272" i="17"/>
  <c r="W1272" i="17"/>
  <c r="A1272" i="17"/>
  <c r="Z1271" i="17"/>
  <c r="W1271" i="17"/>
  <c r="A1271" i="17"/>
  <c r="Z1270" i="17"/>
  <c r="W1270" i="17"/>
  <c r="A1270" i="17"/>
  <c r="Z1269" i="17"/>
  <c r="W1269" i="17"/>
  <c r="A1269" i="17"/>
  <c r="Z1268" i="17"/>
  <c r="W1268" i="17"/>
  <c r="A1268" i="17"/>
  <c r="Z1267" i="17"/>
  <c r="W1267" i="17"/>
  <c r="A1267" i="17"/>
  <c r="Z1266" i="17"/>
  <c r="W1266" i="17"/>
  <c r="A1266" i="17"/>
  <c r="Z1265" i="17"/>
  <c r="W1265" i="17"/>
  <c r="A1265" i="17"/>
  <c r="Z1264" i="17"/>
  <c r="W1264" i="17"/>
  <c r="A1264" i="17"/>
  <c r="Z1263" i="17"/>
  <c r="W1263" i="17"/>
  <c r="A1263" i="17"/>
  <c r="Z1262" i="17"/>
  <c r="W1262" i="17"/>
  <c r="A1262" i="17"/>
  <c r="Z1261" i="17"/>
  <c r="W1261" i="17"/>
  <c r="A1261" i="17"/>
  <c r="Z1260" i="17"/>
  <c r="W1260" i="17"/>
  <c r="A1260" i="17"/>
  <c r="Z1259" i="17"/>
  <c r="W1259" i="17"/>
  <c r="A1259" i="17"/>
  <c r="Z1258" i="17"/>
  <c r="W1258" i="17"/>
  <c r="A1258" i="17"/>
  <c r="Z1257" i="17"/>
  <c r="W1257" i="17"/>
  <c r="A1257" i="17"/>
  <c r="Z1256" i="17"/>
  <c r="W1256" i="17"/>
  <c r="A1256" i="17"/>
  <c r="Z1255" i="17"/>
  <c r="W1255" i="17"/>
  <c r="A1255" i="17"/>
  <c r="Z1254" i="17"/>
  <c r="W1254" i="17"/>
  <c r="A1254" i="17"/>
  <c r="Z1253" i="17"/>
  <c r="W1253" i="17"/>
  <c r="A1253" i="17"/>
  <c r="Z1252" i="17"/>
  <c r="W1252" i="17"/>
  <c r="A1252" i="17"/>
  <c r="Z1251" i="17"/>
  <c r="W1251" i="17"/>
  <c r="A1251" i="17"/>
  <c r="Z1250" i="17"/>
  <c r="W1250" i="17"/>
  <c r="A1250" i="17"/>
  <c r="Z1249" i="17"/>
  <c r="W1249" i="17"/>
  <c r="A1249" i="17"/>
  <c r="Z1248" i="17"/>
  <c r="W1248" i="17"/>
  <c r="A1248" i="17"/>
  <c r="Z1247" i="17"/>
  <c r="Y1247" i="17"/>
  <c r="W1247" i="17"/>
  <c r="D1247" i="17"/>
  <c r="C1247" i="17"/>
  <c r="Z1246" i="17"/>
  <c r="Y1246" i="17"/>
  <c r="W1246" i="17"/>
  <c r="D1246" i="17"/>
  <c r="C1246" i="17"/>
  <c r="Z1245" i="17"/>
  <c r="Y1245" i="17"/>
  <c r="W1245" i="17"/>
  <c r="D1245" i="17"/>
  <c r="C1245" i="17"/>
  <c r="Z1244" i="17"/>
  <c r="Y1244" i="17"/>
  <c r="W1244" i="17"/>
  <c r="D1244" i="17"/>
  <c r="C1244" i="17"/>
  <c r="Z1243" i="17"/>
  <c r="D1233" i="17"/>
  <c r="C1233" i="17"/>
  <c r="Z1232" i="17"/>
  <c r="Y1232" i="17"/>
  <c r="W1232" i="17"/>
  <c r="D1232" i="17"/>
  <c r="C1232" i="17"/>
  <c r="Z1231" i="17"/>
  <c r="Y1231" i="17"/>
  <c r="W1231" i="17"/>
  <c r="D1231" i="17"/>
  <c r="C1231" i="17"/>
  <c r="Z1230" i="17"/>
  <c r="Y1230" i="17"/>
  <c r="W1230" i="17"/>
  <c r="D1230" i="17"/>
  <c r="C1230" i="17"/>
  <c r="Z1229" i="17"/>
  <c r="Y1229" i="17"/>
  <c r="W1229" i="17"/>
  <c r="D1229" i="17"/>
  <c r="C1229" i="17"/>
  <c r="Z1228" i="17"/>
  <c r="Y1228" i="17"/>
  <c r="W1228" i="17"/>
  <c r="D1228" i="17"/>
  <c r="C1228" i="17"/>
  <c r="Z1227" i="17"/>
  <c r="Y1227" i="17"/>
  <c r="W1227" i="17"/>
  <c r="D1227" i="17"/>
  <c r="C1227" i="17"/>
  <c r="Z1226" i="17"/>
  <c r="Y1226" i="17"/>
  <c r="W1226" i="17"/>
  <c r="D1226" i="17"/>
  <c r="C1226" i="17"/>
  <c r="Z1225" i="17"/>
  <c r="Y1225" i="17"/>
  <c r="W1225" i="17"/>
  <c r="D1225" i="17"/>
  <c r="C1225" i="17"/>
  <c r="Z1224" i="17"/>
  <c r="Y1224" i="17"/>
  <c r="W1224" i="17"/>
  <c r="C1224" i="17"/>
  <c r="Y1223" i="17"/>
  <c r="W1223" i="17"/>
  <c r="C1223" i="17"/>
  <c r="Z1222" i="17"/>
  <c r="Z1221" i="17"/>
  <c r="Y1220" i="17"/>
  <c r="Z1219" i="17"/>
  <c r="Y1218" i="17"/>
  <c r="C1218" i="17"/>
  <c r="Z1217" i="17"/>
  <c r="Y1216" i="17"/>
  <c r="W1216" i="17"/>
  <c r="D1216" i="17"/>
  <c r="Z1215" i="17"/>
  <c r="Y1214" i="17"/>
  <c r="Y1213" i="17"/>
  <c r="D1213" i="17"/>
  <c r="Y1212" i="17"/>
  <c r="Y1211" i="17"/>
  <c r="Y1210" i="17"/>
  <c r="W1210" i="17"/>
  <c r="Z1209" i="17"/>
  <c r="Y1208" i="17"/>
  <c r="Y1207" i="17"/>
  <c r="W1207" i="17"/>
  <c r="Z1206" i="17"/>
  <c r="Z1205" i="17"/>
  <c r="W1204" i="17"/>
  <c r="Z1203" i="17"/>
  <c r="D1203" i="17"/>
  <c r="Y1202" i="17"/>
  <c r="Y1201" i="17"/>
  <c r="Z1200" i="17"/>
  <c r="Y1199" i="17"/>
  <c r="W1199" i="17"/>
  <c r="Z1198" i="17"/>
  <c r="Y1197" i="17"/>
  <c r="Z1196" i="17"/>
  <c r="C1196" i="17"/>
  <c r="Z1195" i="17"/>
  <c r="D1195" i="17"/>
  <c r="Z1194" i="17"/>
  <c r="D1194" i="17"/>
  <c r="Z1193" i="17"/>
  <c r="Y1192" i="17"/>
  <c r="C1192" i="17"/>
  <c r="D1181" i="17"/>
  <c r="Z1180" i="17"/>
  <c r="Y1178" i="17"/>
  <c r="D1178" i="17"/>
  <c r="Z1177" i="17"/>
  <c r="C1177" i="17"/>
  <c r="Z1176" i="17"/>
  <c r="D1176" i="17"/>
  <c r="Y1173" i="17"/>
  <c r="Z1172" i="17"/>
  <c r="C1172" i="17"/>
  <c r="Z1171" i="17"/>
  <c r="W1165" i="17"/>
  <c r="D1165" i="17"/>
  <c r="Z1164" i="17"/>
  <c r="W1163" i="17"/>
  <c r="D1163" i="17"/>
  <c r="Y1162" i="17"/>
  <c r="C1162" i="17"/>
  <c r="Y1161" i="17"/>
  <c r="Y1160" i="17"/>
  <c r="Y1158" i="17"/>
  <c r="Y1157" i="17"/>
  <c r="Y1156" i="17"/>
  <c r="W1156" i="17"/>
  <c r="Z1155" i="17"/>
  <c r="Z1154" i="17"/>
  <c r="C1154" i="17"/>
  <c r="Y1153" i="17"/>
  <c r="C1153" i="17"/>
  <c r="Y1152" i="17"/>
  <c r="D1152" i="17"/>
  <c r="Z1151" i="17"/>
  <c r="Y1150" i="17"/>
  <c r="D1148" i="17"/>
  <c r="Y1147" i="17"/>
  <c r="W1147" i="17"/>
  <c r="C1147" i="17"/>
  <c r="Z1146" i="17"/>
  <c r="D1145" i="17"/>
  <c r="Y1144" i="17"/>
  <c r="Y1143" i="17"/>
  <c r="D1143" i="17"/>
  <c r="Y1142" i="17"/>
  <c r="D1142" i="17"/>
  <c r="W1141" i="17"/>
  <c r="Y1140" i="17"/>
  <c r="Z1139" i="17"/>
  <c r="Y1138" i="17"/>
  <c r="Y1136" i="17"/>
  <c r="C1136" i="17"/>
  <c r="Z1135" i="17"/>
  <c r="C1135" i="17"/>
  <c r="Y1134" i="17"/>
  <c r="C1133" i="17"/>
  <c r="Y1132" i="17"/>
  <c r="Z1129" i="17"/>
  <c r="C1128" i="17"/>
  <c r="Z1127" i="17"/>
  <c r="C1126" i="17"/>
  <c r="Z1125" i="17"/>
  <c r="W1124" i="17"/>
  <c r="Y1122" i="17"/>
  <c r="W1120" i="17"/>
  <c r="C1120" i="17"/>
  <c r="C1118" i="17"/>
  <c r="Y1117" i="17"/>
  <c r="W1117" i="17"/>
  <c r="C1117" i="17"/>
  <c r="Y1116" i="17"/>
  <c r="Z1115" i="17"/>
  <c r="C1115" i="17"/>
  <c r="Z1114" i="17"/>
  <c r="D1114" i="17"/>
  <c r="Z1113" i="17"/>
  <c r="C1112" i="17"/>
  <c r="Z1111" i="17"/>
  <c r="D1111" i="17"/>
  <c r="Y1110" i="17"/>
  <c r="W1110" i="17"/>
  <c r="D1110" i="17"/>
  <c r="Y1109" i="17"/>
  <c r="Y1108" i="17"/>
  <c r="Z1106" i="17"/>
  <c r="D1106" i="17"/>
  <c r="Y1105" i="17"/>
  <c r="C1105" i="17"/>
  <c r="Z1104" i="17"/>
  <c r="Z1102" i="17"/>
  <c r="D1101" i="17"/>
  <c r="Z1100" i="17"/>
  <c r="C1100" i="17"/>
  <c r="Z1099" i="17"/>
  <c r="Y1098" i="17"/>
  <c r="C1097" i="17"/>
  <c r="Y1096" i="17"/>
  <c r="C1096" i="17"/>
  <c r="Z1095" i="17"/>
  <c r="W1094" i="17"/>
  <c r="Y1093" i="17"/>
  <c r="Y1092" i="17"/>
  <c r="W1092" i="17"/>
  <c r="D1092" i="17"/>
  <c r="Z1091" i="17"/>
  <c r="C1090" i="17"/>
  <c r="Z1089" i="17"/>
  <c r="Z1088" i="17"/>
  <c r="Z1087" i="17"/>
  <c r="C1087" i="17"/>
  <c r="Z1086" i="17"/>
  <c r="D1086" i="17"/>
  <c r="Z1085" i="17"/>
  <c r="D1085" i="17"/>
  <c r="Z1084" i="17"/>
  <c r="C1084" i="17"/>
  <c r="Z1083" i="17"/>
  <c r="Y1082" i="17"/>
  <c r="Y1080" i="17"/>
  <c r="Z1079" i="17"/>
  <c r="Y1078" i="17"/>
  <c r="D1078" i="17"/>
  <c r="Y1077" i="17"/>
  <c r="C1077" i="17"/>
  <c r="Z1076" i="17"/>
  <c r="Y1075" i="17"/>
  <c r="C1075" i="17"/>
  <c r="Z1074" i="17"/>
  <c r="D1074" i="17"/>
  <c r="Y1073" i="17"/>
  <c r="W1073" i="17"/>
  <c r="Y1072" i="17"/>
  <c r="D1071" i="17"/>
  <c r="Y1070" i="17"/>
  <c r="Y1069" i="17"/>
  <c r="D1069" i="17"/>
  <c r="Y1068" i="17"/>
  <c r="D1066" i="17"/>
  <c r="Y1065" i="17"/>
  <c r="Y1064" i="17"/>
  <c r="W1064" i="17"/>
  <c r="Y1063" i="17"/>
  <c r="C1062" i="17"/>
  <c r="Y1059" i="17"/>
  <c r="Y1058" i="17"/>
  <c r="C1058" i="17"/>
  <c r="Y1057" i="17"/>
  <c r="C1057" i="17"/>
  <c r="Z1056" i="17"/>
  <c r="C1056" i="17"/>
  <c r="Z1055" i="17"/>
  <c r="Y1053" i="17"/>
  <c r="C1053" i="17"/>
  <c r="Y1052" i="17"/>
  <c r="Y1051" i="17"/>
  <c r="Y1050" i="17"/>
  <c r="Z1049" i="17"/>
  <c r="C1049" i="17"/>
  <c r="Z1048" i="17"/>
  <c r="D1046" i="17"/>
  <c r="Z1045" i="17"/>
  <c r="Y1044" i="17"/>
  <c r="Y1043" i="17"/>
  <c r="Z1042" i="17"/>
  <c r="Z1041" i="17"/>
  <c r="D1041" i="17"/>
  <c r="Z1040" i="17"/>
  <c r="D1040" i="17"/>
  <c r="Z1039" i="17"/>
  <c r="D1039" i="17"/>
  <c r="Z1038" i="17"/>
  <c r="Z1037" i="17"/>
  <c r="C1036" i="17"/>
  <c r="D1897" i="17"/>
  <c r="C1896" i="17"/>
  <c r="Y1894" i="17"/>
  <c r="D1890" i="17"/>
  <c r="C1889" i="17"/>
  <c r="Y1888" i="17"/>
  <c r="C1888" i="17"/>
  <c r="W1887" i="17"/>
  <c r="W1885" i="17"/>
  <c r="C1885" i="17"/>
  <c r="Y1884" i="17"/>
  <c r="D1884" i="17"/>
  <c r="W1881" i="17"/>
  <c r="D1881" i="17"/>
  <c r="D1880" i="17"/>
  <c r="D1876" i="17"/>
  <c r="W1874" i="17"/>
  <c r="W1873" i="17"/>
  <c r="D1871" i="17"/>
  <c r="D1754" i="17"/>
  <c r="W1752" i="17"/>
  <c r="D1752" i="17"/>
  <c r="D1750" i="17"/>
  <c r="W1746" i="17"/>
  <c r="D1746" i="17"/>
  <c r="C1739" i="17"/>
  <c r="D1736" i="17"/>
  <c r="W1734" i="17"/>
  <c r="W1733" i="17"/>
  <c r="W1731" i="17"/>
  <c r="W1729" i="17"/>
  <c r="W1728" i="17"/>
  <c r="Y1725" i="17"/>
  <c r="C1723" i="17"/>
  <c r="C1721" i="17"/>
  <c r="W1713" i="17"/>
  <c r="D1699" i="17"/>
  <c r="D1695" i="17"/>
  <c r="D1694" i="17"/>
  <c r="D1673" i="17"/>
  <c r="Y1671" i="17"/>
  <c r="W1670" i="17"/>
  <c r="D1670" i="17"/>
  <c r="Y1669" i="17"/>
  <c r="C1669" i="17"/>
  <c r="D1668" i="17"/>
  <c r="W1667" i="17"/>
  <c r="C1666" i="17"/>
  <c r="W1664" i="17"/>
  <c r="W1663" i="17"/>
  <c r="Y1662" i="17"/>
  <c r="A1243" i="17"/>
  <c r="Z1242" i="17"/>
  <c r="W1242" i="17"/>
  <c r="A1242" i="17"/>
  <c r="Z1241" i="17"/>
  <c r="W1241" i="17"/>
  <c r="A1241" i="17"/>
  <c r="Z1240" i="17"/>
  <c r="W1240" i="17"/>
  <c r="A1240" i="17"/>
  <c r="Z1239" i="17"/>
  <c r="W1239" i="17"/>
  <c r="A1239" i="17"/>
  <c r="Z1238" i="17"/>
  <c r="W1238" i="17"/>
  <c r="A1238" i="17"/>
  <c r="Z1237" i="17"/>
  <c r="W1237" i="17"/>
  <c r="A1237" i="17"/>
  <c r="Z1236" i="17"/>
  <c r="W1236" i="17"/>
  <c r="A1236" i="17"/>
  <c r="Z1235" i="17"/>
  <c r="W1235" i="17"/>
  <c r="A1235" i="17"/>
  <c r="Z1234" i="17"/>
  <c r="W1234" i="17"/>
  <c r="A1234" i="17"/>
  <c r="Z1233" i="17"/>
  <c r="Y1233" i="17"/>
  <c r="W1233" i="17"/>
  <c r="D1224" i="17"/>
  <c r="Z1223" i="17"/>
  <c r="D1223" i="17"/>
  <c r="Y1222" i="17"/>
  <c r="W1222" i="17"/>
  <c r="D1222" i="17"/>
  <c r="C1222" i="17"/>
  <c r="Y1221" i="17"/>
  <c r="W1221" i="17"/>
  <c r="D1221" i="17"/>
  <c r="C1221" i="17"/>
  <c r="Z1220" i="17"/>
  <c r="W1220" i="17"/>
  <c r="D1220" i="17"/>
  <c r="C1220" i="17"/>
  <c r="Y1219" i="17"/>
  <c r="W1219" i="17"/>
  <c r="D1219" i="17"/>
  <c r="C1219" i="17"/>
  <c r="Z1218" i="17"/>
  <c r="W1218" i="17"/>
  <c r="D1218" i="17"/>
  <c r="Y1217" i="17"/>
  <c r="W1217" i="17"/>
  <c r="D1217" i="17"/>
  <c r="C1217" i="17"/>
  <c r="Z1216" i="17"/>
  <c r="C1216" i="17"/>
  <c r="Y1215" i="17"/>
  <c r="W1215" i="17"/>
  <c r="D1215" i="17"/>
  <c r="C1215" i="17"/>
  <c r="Z1214" i="17"/>
  <c r="W1214" i="17"/>
  <c r="D1214" i="17"/>
  <c r="C1214" i="17"/>
  <c r="Z1213" i="17"/>
  <c r="W1213" i="17"/>
  <c r="C1213" i="17"/>
  <c r="Z1212" i="17"/>
  <c r="W1212" i="17"/>
  <c r="D1212" i="17"/>
  <c r="C1212" i="17"/>
  <c r="Z1211" i="17"/>
  <c r="W1211" i="17"/>
  <c r="D1211" i="17"/>
  <c r="C1211" i="17"/>
  <c r="Z1210" i="17"/>
  <c r="D1210" i="17"/>
  <c r="C1210" i="17"/>
  <c r="Y1209" i="17"/>
  <c r="W1209" i="17"/>
  <c r="D1209" i="17"/>
  <c r="C1209" i="17"/>
  <c r="Z1208" i="17"/>
  <c r="W1208" i="17"/>
  <c r="D1208" i="17"/>
  <c r="C1208" i="17"/>
  <c r="Z1207" i="17"/>
  <c r="D1207" i="17"/>
  <c r="C1207" i="17"/>
  <c r="Y1206" i="17"/>
  <c r="W1206" i="17"/>
  <c r="D1206" i="17"/>
  <c r="C1206" i="17"/>
  <c r="Y1205" i="17"/>
  <c r="W1205" i="17"/>
  <c r="D1205" i="17"/>
  <c r="C1205" i="17"/>
  <c r="Z1204" i="17"/>
  <c r="D1204" i="17"/>
  <c r="C1204" i="17"/>
  <c r="Y1203" i="17"/>
  <c r="W1203" i="17"/>
  <c r="C1203" i="17"/>
  <c r="W1202" i="17"/>
  <c r="D1202" i="17"/>
  <c r="C1202" i="17"/>
  <c r="Z1201" i="17"/>
  <c r="W1201" i="17"/>
  <c r="C1201" i="17"/>
  <c r="Y1200" i="17"/>
  <c r="W1200" i="17"/>
  <c r="D1200" i="17"/>
  <c r="C1200" i="17"/>
  <c r="Z1199" i="17"/>
  <c r="D1199" i="17"/>
  <c r="C1199" i="17"/>
  <c r="Y1198" i="17"/>
  <c r="W1198" i="17"/>
  <c r="D1198" i="17"/>
  <c r="C1198" i="17"/>
  <c r="Z1197" i="17"/>
  <c r="W1197" i="17"/>
  <c r="D1197" i="17"/>
  <c r="C1197" i="17"/>
  <c r="Y1196" i="17"/>
  <c r="W1196" i="17"/>
  <c r="D1196" i="17"/>
  <c r="Y1195" i="17"/>
  <c r="W1195" i="17"/>
  <c r="C1195" i="17"/>
  <c r="Y1194" i="17"/>
  <c r="W1194" i="17"/>
  <c r="C1194" i="17"/>
  <c r="Y1193" i="17"/>
  <c r="W1193" i="17"/>
  <c r="D1193" i="17"/>
  <c r="C1193" i="17"/>
  <c r="Z1192" i="17"/>
  <c r="W1192" i="17"/>
  <c r="D1192" i="17"/>
  <c r="Z1191" i="17"/>
  <c r="W1191" i="17"/>
  <c r="D1191" i="17"/>
  <c r="C1191" i="17"/>
  <c r="Z1190" i="17"/>
  <c r="W1190" i="17"/>
  <c r="D1190" i="17"/>
  <c r="C1190" i="17"/>
  <c r="Y1189" i="17"/>
  <c r="W1189" i="17"/>
  <c r="D1189" i="17"/>
  <c r="C1189" i="17"/>
  <c r="Z1188" i="17"/>
  <c r="W1188" i="17"/>
  <c r="D1188" i="17"/>
  <c r="C1188" i="17"/>
  <c r="Z1187" i="17"/>
  <c r="W1187" i="17"/>
  <c r="D1187" i="17"/>
  <c r="C1187" i="17"/>
  <c r="Y1186" i="17"/>
  <c r="W1186" i="17"/>
  <c r="D1186" i="17"/>
  <c r="C1186" i="17"/>
  <c r="Z1185" i="17"/>
  <c r="W1185" i="17"/>
  <c r="D1185" i="17"/>
  <c r="C1185" i="17"/>
  <c r="Z1184" i="17"/>
  <c r="W1184" i="17"/>
  <c r="D1184" i="17"/>
  <c r="C1184" i="17"/>
  <c r="Y1183" i="17"/>
  <c r="W1183" i="17"/>
  <c r="D1183" i="17"/>
  <c r="C1183" i="17"/>
  <c r="Z1182" i="17"/>
  <c r="Y1182" i="17"/>
  <c r="W1182" i="17"/>
  <c r="D1182" i="17"/>
  <c r="C1182" i="17"/>
  <c r="Z1181" i="17"/>
  <c r="W1181" i="17"/>
  <c r="C1181" i="17"/>
  <c r="W1180" i="17"/>
  <c r="D1180" i="17"/>
  <c r="C1180" i="17"/>
  <c r="Z1179" i="17"/>
  <c r="Y1179" i="17"/>
  <c r="W1179" i="17"/>
  <c r="D1179" i="17"/>
  <c r="C1179" i="17"/>
  <c r="Z1178" i="17"/>
  <c r="W1178" i="17"/>
  <c r="C1178" i="17"/>
  <c r="W1177" i="17"/>
  <c r="D1177" i="17"/>
  <c r="Y1176" i="17"/>
  <c r="W1176" i="17"/>
  <c r="C1176" i="17"/>
  <c r="Y1175" i="17"/>
  <c r="W1175" i="17"/>
  <c r="D1175" i="17"/>
  <c r="C1175" i="17"/>
  <c r="Z1174" i="17"/>
  <c r="W1174" i="17"/>
  <c r="C1174" i="17"/>
  <c r="W1173" i="17"/>
  <c r="C1173" i="17"/>
  <c r="W1172" i="17"/>
  <c r="D1172" i="17"/>
  <c r="Y1171" i="17"/>
  <c r="W1171" i="17"/>
  <c r="D1171" i="17"/>
  <c r="C1171" i="17"/>
  <c r="Z1170" i="17"/>
  <c r="W1170" i="17"/>
  <c r="D1170" i="17"/>
  <c r="C1170" i="17"/>
  <c r="Z1169" i="17"/>
  <c r="D1169" i="17"/>
  <c r="C1169" i="17"/>
  <c r="Y1168" i="17"/>
  <c r="W1168" i="17"/>
  <c r="D1168" i="17"/>
  <c r="C1168" i="17"/>
  <c r="Z1167" i="17"/>
  <c r="W1167" i="17"/>
  <c r="D1167" i="17"/>
  <c r="C1167" i="17"/>
  <c r="Z1166" i="17"/>
  <c r="D1166" i="17"/>
  <c r="Z1165" i="17"/>
  <c r="C1165" i="17"/>
  <c r="Y1164" i="17"/>
  <c r="W1164" i="17"/>
  <c r="D1164" i="17"/>
  <c r="Z1163" i="17"/>
  <c r="C1163" i="17"/>
  <c r="Z1162" i="17"/>
  <c r="W1162" i="17"/>
  <c r="D1162" i="17"/>
  <c r="W1161" i="17"/>
  <c r="D1161" i="17"/>
  <c r="W1160" i="17"/>
  <c r="C1160" i="17"/>
  <c r="Y1159" i="17"/>
  <c r="W1159" i="17"/>
  <c r="C1159" i="17"/>
  <c r="W1158" i="17"/>
  <c r="D1158" i="17"/>
  <c r="C1158" i="17"/>
  <c r="Z1157" i="17"/>
  <c r="W1157" i="17"/>
  <c r="D1157" i="17"/>
  <c r="C1157" i="17"/>
  <c r="Z1156" i="17"/>
  <c r="D1156" i="17"/>
  <c r="W1155" i="17"/>
  <c r="C1155" i="17"/>
  <c r="Y1154" i="17"/>
  <c r="W1154" i="17"/>
  <c r="D1154" i="17"/>
  <c r="Z1153" i="17"/>
  <c r="D1153" i="17"/>
  <c r="Z1152" i="17"/>
  <c r="C1152" i="17"/>
  <c r="W1151" i="17"/>
  <c r="D1151" i="17"/>
  <c r="C1151" i="17"/>
  <c r="Z1150" i="17"/>
  <c r="D1150" i="17"/>
  <c r="Y1149" i="17"/>
  <c r="W1149" i="17"/>
  <c r="D1149" i="17"/>
  <c r="C1149" i="17"/>
  <c r="Z1148" i="17"/>
  <c r="C1148" i="17"/>
  <c r="Z1147" i="17"/>
  <c r="D1147" i="17"/>
  <c r="Y1146" i="17"/>
  <c r="W1146" i="17"/>
  <c r="D1146" i="17"/>
  <c r="Y1145" i="17"/>
  <c r="W1145" i="17"/>
  <c r="D1144" i="17"/>
  <c r="W1143" i="17"/>
  <c r="C1143" i="17"/>
  <c r="W1142" i="17"/>
  <c r="C1142" i="17"/>
  <c r="Z1141" i="17"/>
  <c r="D1141" i="17"/>
  <c r="C1141" i="17"/>
  <c r="Z1140" i="17"/>
  <c r="W1140" i="17"/>
  <c r="C1140" i="17"/>
  <c r="Y1139" i="17"/>
  <c r="W1139" i="17"/>
  <c r="D1139" i="17"/>
  <c r="C1139" i="17"/>
  <c r="Z1138" i="17"/>
  <c r="W1138" i="17"/>
  <c r="D1138" i="17"/>
  <c r="Y1137" i="17"/>
  <c r="W1137" i="17"/>
  <c r="D1137" i="17"/>
  <c r="C1137" i="17"/>
  <c r="Z1136" i="17"/>
  <c r="D1136" i="17"/>
  <c r="Y1135" i="17"/>
  <c r="W1135" i="17"/>
  <c r="D1135" i="17"/>
  <c r="W1134" i="17"/>
  <c r="D1134" i="17"/>
  <c r="C1134" i="17"/>
  <c r="Z1133" i="17"/>
  <c r="W1133" i="17"/>
  <c r="D1133" i="17"/>
  <c r="W1132" i="17"/>
  <c r="D1132" i="17"/>
  <c r="Y1131" i="17"/>
  <c r="W1131" i="17"/>
  <c r="D1131" i="17"/>
  <c r="Y1130" i="17"/>
  <c r="W1130" i="17"/>
  <c r="D1130" i="17"/>
  <c r="C1130" i="17"/>
  <c r="Y1129" i="17"/>
  <c r="W1129" i="17"/>
  <c r="D1129" i="17"/>
  <c r="C1129" i="17"/>
  <c r="Y1128" i="17"/>
  <c r="W1128" i="17"/>
  <c r="D1128" i="17"/>
  <c r="W1127" i="17"/>
  <c r="C1127" i="17"/>
  <c r="Y1126" i="17"/>
  <c r="W1126" i="17"/>
  <c r="D1126" i="17"/>
  <c r="Y1125" i="17"/>
  <c r="W1125" i="17"/>
  <c r="D1125" i="17"/>
  <c r="C1125" i="17"/>
  <c r="Z1124" i="17"/>
  <c r="D1124" i="17"/>
  <c r="C1124" i="17"/>
  <c r="Y1123" i="17"/>
  <c r="W1123" i="17"/>
  <c r="D1123" i="17"/>
  <c r="W1122" i="17"/>
  <c r="C1122" i="17"/>
  <c r="Y1121" i="17"/>
  <c r="W1121" i="17"/>
  <c r="D1121" i="17"/>
  <c r="C1121" i="17"/>
  <c r="Z1120" i="17"/>
  <c r="D1120" i="17"/>
  <c r="Y1119" i="17"/>
  <c r="W1119" i="17"/>
  <c r="D1119" i="17"/>
  <c r="C1119" i="17"/>
  <c r="Y1118" i="17"/>
  <c r="W1118" i="17"/>
  <c r="D1118" i="17"/>
  <c r="Z1117" i="17"/>
  <c r="D1117" i="17"/>
  <c r="Z1116" i="17"/>
  <c r="D1116" i="17"/>
  <c r="C1116" i="17"/>
  <c r="Y1115" i="17"/>
  <c r="W1115" i="17"/>
  <c r="D1115" i="17"/>
  <c r="Y1114" i="17"/>
  <c r="W1114" i="17"/>
  <c r="C1114" i="17"/>
  <c r="W1113" i="17"/>
  <c r="D1113" i="17"/>
  <c r="C1113" i="17"/>
  <c r="Z1112" i="17"/>
  <c r="D1112" i="17"/>
  <c r="Y1111" i="17"/>
  <c r="C1111" i="17"/>
  <c r="Z1110" i="17"/>
  <c r="W1109" i="17"/>
  <c r="D1109" i="17"/>
  <c r="C1109" i="17"/>
  <c r="Z1108" i="17"/>
  <c r="W1108" i="17"/>
  <c r="C1108" i="17"/>
  <c r="Z1107" i="17"/>
  <c r="C1107" i="17"/>
  <c r="W1106" i="17"/>
  <c r="C1106" i="17"/>
  <c r="W1105" i="17"/>
  <c r="D1105" i="17"/>
  <c r="W1104" i="17"/>
  <c r="D1104" i="17"/>
  <c r="Y1103" i="17"/>
  <c r="W1103" i="17"/>
  <c r="D1103" i="17"/>
  <c r="Y1102" i="17"/>
  <c r="W1102" i="17"/>
  <c r="D1102" i="17"/>
  <c r="C1102" i="17"/>
  <c r="Z1101" i="17"/>
  <c r="W1101" i="17"/>
  <c r="C1101" i="17"/>
  <c r="Y1100" i="17"/>
  <c r="W1100" i="17"/>
  <c r="D1100" i="17"/>
  <c r="W1099" i="17"/>
  <c r="D1099" i="17"/>
  <c r="C1099" i="17"/>
  <c r="Z1098" i="17"/>
  <c r="W1098" i="17"/>
  <c r="C1098" i="17"/>
  <c r="Y1097" i="17"/>
  <c r="W1097" i="17"/>
  <c r="D1097" i="17"/>
  <c r="W1096" i="17"/>
  <c r="D1096" i="17"/>
  <c r="Y1095" i="17"/>
  <c r="W1095" i="17"/>
  <c r="D1095" i="17"/>
  <c r="Y1094" i="17"/>
  <c r="C1094" i="17"/>
  <c r="W1093" i="17"/>
  <c r="C1093" i="17"/>
  <c r="Z1092" i="17"/>
  <c r="C1092" i="17"/>
  <c r="W1091" i="17"/>
  <c r="D1091" i="17"/>
  <c r="C1091" i="17"/>
  <c r="Y1090" i="17"/>
  <c r="W1090" i="17"/>
  <c r="D1090" i="17"/>
  <c r="Y1089" i="17"/>
  <c r="W1089" i="17"/>
  <c r="D1089" i="17"/>
  <c r="C1089" i="17"/>
  <c r="Y1088" i="17"/>
  <c r="W1088" i="17"/>
  <c r="D1088" i="17"/>
  <c r="C1088" i="17"/>
  <c r="Y1087" i="17"/>
  <c r="D1087" i="17"/>
  <c r="W1086" i="17"/>
  <c r="C1086" i="17"/>
  <c r="W1085" i="17"/>
  <c r="C1085" i="17"/>
  <c r="Y1084" i="17"/>
  <c r="W1084" i="17"/>
  <c r="D1084" i="17"/>
  <c r="Y1083" i="17"/>
  <c r="W1083" i="17"/>
  <c r="C1083" i="17"/>
  <c r="W1082" i="17"/>
  <c r="D1082" i="17"/>
  <c r="Y1081" i="17"/>
  <c r="W1081" i="17"/>
  <c r="D1081" i="17"/>
  <c r="C1081" i="17"/>
  <c r="W1080" i="17"/>
  <c r="C1080" i="17"/>
  <c r="Y1079" i="17"/>
  <c r="W1079" i="17"/>
  <c r="D1079" i="17"/>
  <c r="C1079" i="17"/>
  <c r="W1078" i="17"/>
  <c r="C1078" i="17"/>
  <c r="Z1077" i="17"/>
  <c r="D1077" i="17"/>
  <c r="W1076" i="17"/>
  <c r="C1076" i="17"/>
  <c r="W1075" i="17"/>
  <c r="D1075" i="17"/>
  <c r="Y1074" i="17"/>
  <c r="W1074" i="17"/>
  <c r="C1074" i="17"/>
  <c r="Z1073" i="17"/>
  <c r="D1073" i="17"/>
  <c r="C1073" i="17"/>
  <c r="Z1072" i="17"/>
  <c r="D1072" i="17"/>
  <c r="C1072" i="17"/>
  <c r="Y1071" i="17"/>
  <c r="W1071" i="17"/>
  <c r="W1070" i="17"/>
  <c r="D1070" i="17"/>
  <c r="W1069" i="17"/>
  <c r="C1069" i="17"/>
  <c r="Z1068" i="17"/>
  <c r="W1068" i="17"/>
  <c r="D1068" i="17"/>
  <c r="C1068" i="17"/>
  <c r="Y1067" i="17"/>
  <c r="W1067" i="17"/>
  <c r="D1067" i="17"/>
  <c r="C1067" i="17"/>
  <c r="Z1066" i="17"/>
  <c r="W1066" i="17"/>
  <c r="D1065" i="17"/>
  <c r="C1065" i="17"/>
  <c r="Z1064" i="17"/>
  <c r="D1064" i="17"/>
  <c r="W1063" i="17"/>
  <c r="D1063" i="17"/>
  <c r="C1063" i="17"/>
  <c r="Z1062" i="17"/>
  <c r="W1062" i="17"/>
  <c r="D1062" i="17"/>
  <c r="Y1061" i="17"/>
  <c r="W1061" i="17"/>
  <c r="C1061" i="17"/>
  <c r="Z1060" i="17"/>
  <c r="W1060" i="17"/>
  <c r="C1060" i="17"/>
  <c r="W1059" i="17"/>
  <c r="C1059" i="17"/>
  <c r="W1058" i="17"/>
  <c r="D1058" i="17"/>
  <c r="W1057" i="17"/>
  <c r="D1057" i="17"/>
  <c r="Y1056" i="17"/>
  <c r="D1056" i="17"/>
  <c r="Y1055" i="17"/>
  <c r="W1055" i="17"/>
  <c r="D1055" i="17"/>
  <c r="C1055" i="17"/>
  <c r="Z1054" i="17"/>
  <c r="W1054" i="17"/>
  <c r="C1054" i="17"/>
  <c r="W1053" i="17"/>
  <c r="D1053" i="17"/>
  <c r="Z1052" i="17"/>
  <c r="C1052" i="17"/>
  <c r="W1051" i="17"/>
  <c r="C1051" i="17"/>
  <c r="W1050" i="17"/>
  <c r="D1050" i="17"/>
  <c r="C1050" i="17"/>
  <c r="Y1049" i="17"/>
  <c r="Y1048" i="17"/>
  <c r="W1048" i="17"/>
  <c r="D1048" i="17"/>
  <c r="Y1047" i="17"/>
  <c r="W1047" i="17"/>
  <c r="D1047" i="17"/>
  <c r="C1047" i="17"/>
  <c r="Z1046" i="17"/>
  <c r="W1046" i="17"/>
  <c r="C1046" i="17"/>
  <c r="Y1045" i="17"/>
  <c r="W1045" i="17"/>
  <c r="D1045" i="17"/>
  <c r="C1045" i="17"/>
  <c r="W1044" i="17"/>
  <c r="C1044" i="17"/>
  <c r="W1043" i="17"/>
  <c r="C1043" i="17"/>
  <c r="W1042" i="17"/>
  <c r="D1042" i="17"/>
  <c r="Y1041" i="17"/>
  <c r="W1041" i="17"/>
  <c r="C1041" i="17"/>
  <c r="Y1040" i="17"/>
  <c r="W1040" i="17"/>
  <c r="C1040" i="17"/>
  <c r="Y1039" i="17"/>
  <c r="W1039" i="17"/>
  <c r="C1039" i="17"/>
  <c r="Y1038" i="17"/>
  <c r="W1038" i="17"/>
  <c r="C1038" i="17"/>
  <c r="W1037" i="17"/>
  <c r="D1037" i="17"/>
  <c r="Y1036" i="17"/>
  <c r="W1036" i="17"/>
  <c r="Y1035" i="17"/>
  <c r="W1035" i="17"/>
  <c r="D1035" i="17"/>
  <c r="C1035" i="17"/>
  <c r="Z1034" i="17"/>
  <c r="W1751" i="17"/>
  <c r="C1750" i="17"/>
  <c r="D1749" i="17"/>
  <c r="Y1747" i="17"/>
  <c r="D1747" i="17"/>
  <c r="W1745" i="17"/>
  <c r="D1745" i="17"/>
  <c r="W1741" i="17"/>
  <c r="C1740" i="17"/>
  <c r="D1738" i="17"/>
  <c r="C1738" i="17"/>
  <c r="W1737" i="17"/>
  <c r="Y1736" i="17"/>
  <c r="AA1736" i="17" s="1"/>
  <c r="C1734" i="17"/>
  <c r="Y1733" i="17"/>
  <c r="AA1733" i="17" s="1"/>
  <c r="Y1731" i="17"/>
  <c r="AA1731" i="17" s="1"/>
  <c r="C1731" i="17"/>
  <c r="Y1730" i="17"/>
  <c r="AA1730" i="17" s="1"/>
  <c r="C1730" i="17"/>
  <c r="Y1729" i="17"/>
  <c r="AA1729" i="17" s="1"/>
  <c r="C1729" i="17"/>
  <c r="Y1728" i="17"/>
  <c r="AA1728" i="17" s="1"/>
  <c r="Y1726" i="17"/>
  <c r="AA1726" i="17" s="1"/>
  <c r="W1726" i="17"/>
  <c r="C1726" i="17"/>
  <c r="Y1723" i="17"/>
  <c r="AA1723" i="17" s="1"/>
  <c r="C1720" i="17"/>
  <c r="Y1719" i="17"/>
  <c r="AA1719" i="17" s="1"/>
  <c r="D1718" i="17"/>
  <c r="D1717" i="17"/>
  <c r="Y1716" i="17"/>
  <c r="AA1716" i="17" s="1"/>
  <c r="W1716" i="17"/>
  <c r="Y1715" i="17"/>
  <c r="AA1715" i="17" s="1"/>
  <c r="W1715" i="17"/>
  <c r="D1714" i="17"/>
  <c r="Y1713" i="17"/>
  <c r="AA1713" i="17" s="1"/>
  <c r="Y1712" i="17"/>
  <c r="AA1712" i="17" s="1"/>
  <c r="D1712" i="17"/>
  <c r="C1712" i="17"/>
  <c r="C1711" i="17"/>
  <c r="Y1710" i="17"/>
  <c r="AA1710" i="17" s="1"/>
  <c r="W1710" i="17"/>
  <c r="C1710" i="17"/>
  <c r="D1709" i="17"/>
  <c r="C1708" i="17"/>
  <c r="D1707" i="17"/>
  <c r="C1706" i="17"/>
  <c r="D1705" i="17"/>
  <c r="Y1700" i="17"/>
  <c r="AA1700" i="17" s="1"/>
  <c r="W1699" i="17"/>
  <c r="Y1698" i="17"/>
  <c r="AA1698" i="17" s="1"/>
  <c r="D1698" i="17"/>
  <c r="Y1695" i="17"/>
  <c r="C1695" i="17"/>
  <c r="Y1694" i="17"/>
  <c r="W1694" i="17"/>
  <c r="C1694" i="17"/>
  <c r="C1693" i="17"/>
  <c r="Y1692" i="17"/>
  <c r="W1692" i="17"/>
  <c r="C1692" i="17"/>
  <c r="C1690" i="17"/>
  <c r="C1689" i="17"/>
  <c r="D1688" i="17"/>
  <c r="D1687" i="17"/>
  <c r="Y1686" i="17"/>
  <c r="W1686" i="17"/>
  <c r="D1686" i="17"/>
  <c r="C1685" i="17"/>
  <c r="D1684" i="17"/>
  <c r="C1684" i="17"/>
  <c r="Y1682" i="17"/>
  <c r="W1682" i="17"/>
  <c r="Y1681" i="17"/>
  <c r="W1681" i="17"/>
  <c r="D1681" i="17"/>
  <c r="C1681" i="17"/>
  <c r="Y1680" i="17"/>
  <c r="D1680" i="17"/>
  <c r="C1679" i="17"/>
  <c r="C1678" i="17"/>
  <c r="Y1677" i="17"/>
  <c r="W1677" i="17"/>
  <c r="Y1676" i="17"/>
  <c r="W1675" i="17"/>
  <c r="D1675" i="17"/>
  <c r="W1674" i="17"/>
  <c r="D1674" i="17"/>
  <c r="C1674" i="17"/>
  <c r="Y1673" i="17"/>
  <c r="C1673" i="17"/>
  <c r="Y1672" i="17"/>
  <c r="C1672" i="17"/>
  <c r="D1671" i="17"/>
  <c r="Y1670" i="17"/>
  <c r="C1670" i="17"/>
  <c r="Y1668" i="17"/>
  <c r="A1034" i="17"/>
  <c r="Z1033" i="17"/>
  <c r="W1033" i="17"/>
  <c r="A1033" i="17"/>
  <c r="Z1032" i="17"/>
  <c r="W1032" i="17"/>
  <c r="A1032" i="17"/>
  <c r="Z1031" i="17"/>
  <c r="W1031" i="17"/>
  <c r="A1031" i="17"/>
  <c r="Z1030" i="17"/>
  <c r="W1030" i="17"/>
  <c r="A1030" i="17"/>
  <c r="Z1029" i="17"/>
  <c r="W1029" i="17"/>
  <c r="A1029" i="17"/>
  <c r="Z1028" i="17"/>
  <c r="W1028" i="17"/>
  <c r="A1028" i="17"/>
  <c r="Z1027" i="17"/>
  <c r="W1027" i="17"/>
  <c r="A1027" i="17"/>
  <c r="Z1026" i="17"/>
  <c r="W1026" i="17"/>
  <c r="A1026" i="17"/>
  <c r="Z1025" i="17"/>
  <c r="W1025" i="17"/>
  <c r="A1025" i="17"/>
  <c r="Z1024" i="17"/>
  <c r="W1024" i="17"/>
  <c r="A1024" i="17"/>
  <c r="Z1023" i="17"/>
  <c r="W1023" i="17"/>
  <c r="A1023" i="17"/>
  <c r="Z1022" i="17"/>
  <c r="W1022" i="17"/>
  <c r="A1022" i="17"/>
  <c r="Z1021" i="17"/>
  <c r="W1021" i="17"/>
  <c r="A1021" i="17"/>
  <c r="Z1020" i="17"/>
  <c r="W1020" i="17"/>
  <c r="A1020" i="17"/>
  <c r="Z1019" i="17"/>
  <c r="W1019" i="17"/>
  <c r="A1019" i="17"/>
  <c r="Z1018" i="17"/>
  <c r="W1018" i="17"/>
  <c r="A1018" i="17"/>
  <c r="Z1017" i="17"/>
  <c r="W1017" i="17"/>
  <c r="A1017" i="17"/>
  <c r="Z1016" i="17"/>
  <c r="W1016" i="17"/>
  <c r="A1016" i="17"/>
  <c r="Z1015" i="17"/>
  <c r="W1015" i="17"/>
  <c r="A1015" i="17"/>
  <c r="Z1014" i="17"/>
  <c r="W1014" i="17"/>
  <c r="A1014" i="17"/>
  <c r="Z1013" i="17"/>
  <c r="W1013" i="17"/>
  <c r="A1013" i="17"/>
  <c r="Z1012" i="17"/>
  <c r="W1012" i="17"/>
  <c r="A1012" i="17"/>
  <c r="Z1011" i="17"/>
  <c r="W1011" i="17"/>
  <c r="A1011" i="17"/>
  <c r="Z1010" i="17"/>
  <c r="W1010" i="17"/>
  <c r="A1010" i="17"/>
  <c r="Z1009" i="17"/>
  <c r="W1009" i="17"/>
  <c r="A1009" i="17"/>
  <c r="Z1008" i="17"/>
  <c r="W1008" i="17"/>
  <c r="A1008" i="17"/>
  <c r="Z1007" i="17"/>
  <c r="W1007" i="17"/>
  <c r="A1007" i="17"/>
  <c r="Z1006" i="17"/>
  <c r="W1006" i="17"/>
  <c r="A1006" i="17"/>
  <c r="Z1005" i="17"/>
  <c r="W1005" i="17"/>
  <c r="A1005" i="17"/>
  <c r="Z1004" i="17"/>
  <c r="W1004" i="17"/>
  <c r="A1004" i="17"/>
  <c r="Z1003" i="17"/>
  <c r="W1003" i="17"/>
  <c r="A1003" i="17"/>
  <c r="Z1002" i="17"/>
  <c r="W1002" i="17"/>
  <c r="A1002" i="17"/>
  <c r="Z1001" i="17"/>
  <c r="W1001" i="17"/>
  <c r="A1001" i="17"/>
  <c r="Z1000" i="17"/>
  <c r="W1000" i="17"/>
  <c r="A1000" i="17"/>
  <c r="Z999" i="17"/>
  <c r="W999" i="17"/>
  <c r="A999" i="17"/>
  <c r="Z998" i="17"/>
  <c r="W998" i="17"/>
  <c r="A998" i="17"/>
  <c r="Z997" i="17"/>
  <c r="W997" i="17"/>
  <c r="A997" i="17"/>
  <c r="Z996" i="17"/>
  <c r="W996" i="17"/>
  <c r="A996" i="17"/>
  <c r="Z995" i="17"/>
  <c r="W995" i="17"/>
  <c r="A995" i="17"/>
  <c r="Z994" i="17"/>
  <c r="W994" i="17"/>
  <c r="A994" i="17"/>
  <c r="Z993" i="17"/>
  <c r="W993" i="17"/>
  <c r="A993" i="17"/>
  <c r="Z992" i="17"/>
  <c r="W992" i="17"/>
  <c r="A992" i="17"/>
  <c r="Z991" i="17"/>
  <c r="W991" i="17"/>
  <c r="A991" i="17"/>
  <c r="Z990" i="17"/>
  <c r="W990" i="17"/>
  <c r="A990" i="17"/>
  <c r="Z989" i="17"/>
  <c r="W989" i="17"/>
  <c r="A989" i="17"/>
  <c r="Z988" i="17"/>
  <c r="W988" i="17"/>
  <c r="A988" i="17"/>
  <c r="Z987" i="17"/>
  <c r="W987" i="17"/>
  <c r="A987" i="17"/>
  <c r="Z986" i="17"/>
  <c r="W986" i="17"/>
  <c r="A986" i="17"/>
  <c r="Z985" i="17"/>
  <c r="W985" i="17"/>
  <c r="A985" i="17"/>
  <c r="Z984" i="17"/>
  <c r="W984" i="17"/>
  <c r="A984" i="17"/>
  <c r="Z983" i="17"/>
  <c r="W983" i="17"/>
  <c r="A983" i="17"/>
  <c r="Z982" i="17"/>
  <c r="W982" i="17"/>
  <c r="A982" i="17"/>
  <c r="Z981" i="17"/>
  <c r="W981" i="17"/>
  <c r="A981" i="17"/>
  <c r="Z980" i="17"/>
  <c r="W980" i="17"/>
  <c r="A980" i="17"/>
  <c r="Z979" i="17"/>
  <c r="W979" i="17"/>
  <c r="A979" i="17"/>
  <c r="Z978" i="17"/>
  <c r="W978" i="17"/>
  <c r="A978" i="17"/>
  <c r="Z977" i="17"/>
  <c r="W977" i="17"/>
  <c r="A977" i="17"/>
  <c r="Z976" i="17"/>
  <c r="W976" i="17"/>
  <c r="A976" i="17"/>
  <c r="Z975" i="17"/>
  <c r="W975" i="17"/>
  <c r="A975" i="17"/>
  <c r="Z974" i="17"/>
  <c r="W974" i="17"/>
  <c r="A974" i="17"/>
  <c r="Z973" i="17"/>
  <c r="W973" i="17"/>
  <c r="A973" i="17"/>
  <c r="Z972" i="17"/>
  <c r="W972" i="17"/>
  <c r="A972" i="17"/>
  <c r="Z971" i="17"/>
  <c r="W971" i="17"/>
  <c r="A971" i="17"/>
  <c r="Z970" i="17"/>
  <c r="W970" i="17"/>
  <c r="A970" i="17"/>
  <c r="Z969" i="17"/>
  <c r="W969" i="17"/>
  <c r="A969" i="17"/>
  <c r="Z968" i="17"/>
  <c r="W968" i="17"/>
  <c r="A968" i="17"/>
  <c r="Z967" i="17"/>
  <c r="W967" i="17"/>
  <c r="A967" i="17"/>
  <c r="Z966" i="17"/>
  <c r="W966" i="17"/>
  <c r="A966" i="17"/>
  <c r="Z965" i="17"/>
  <c r="W965" i="17"/>
  <c r="A965" i="17"/>
  <c r="Z964" i="17"/>
  <c r="W964" i="17"/>
  <c r="A964" i="17"/>
  <c r="Z963" i="17"/>
  <c r="W963" i="17"/>
  <c r="A963" i="17"/>
  <c r="Z962" i="17"/>
  <c r="W962" i="17"/>
  <c r="A962" i="17"/>
  <c r="Z961" i="17"/>
  <c r="W961" i="17"/>
  <c r="A961" i="17"/>
  <c r="Z960" i="17"/>
  <c r="W960" i="17"/>
  <c r="A960" i="17"/>
  <c r="Z959" i="17"/>
  <c r="W959" i="17"/>
  <c r="A959" i="17"/>
  <c r="Z958" i="17"/>
  <c r="W958" i="17"/>
  <c r="A958" i="17"/>
  <c r="Z957" i="17"/>
  <c r="W957" i="17"/>
  <c r="A957" i="17"/>
  <c r="Z956" i="17"/>
  <c r="W956" i="17"/>
  <c r="A956" i="17"/>
  <c r="Z955" i="17"/>
  <c r="W955" i="17"/>
  <c r="A955" i="17"/>
  <c r="Z954" i="17"/>
  <c r="W954" i="17"/>
  <c r="A954" i="17"/>
  <c r="Z953" i="17"/>
  <c r="W953" i="17"/>
  <c r="A953" i="17"/>
  <c r="Z952" i="17"/>
  <c r="W952" i="17"/>
  <c r="A952" i="17"/>
  <c r="Z951" i="17"/>
  <c r="W951" i="17"/>
  <c r="A951" i="17"/>
  <c r="Z950" i="17"/>
  <c r="W950" i="17"/>
  <c r="A950" i="17"/>
  <c r="Z949" i="17"/>
  <c r="W949" i="17"/>
  <c r="A949" i="17"/>
  <c r="Z948" i="17"/>
  <c r="W948" i="17"/>
  <c r="A948" i="17"/>
  <c r="Z947" i="17"/>
  <c r="W947" i="17"/>
  <c r="A947" i="17"/>
  <c r="Z946" i="17"/>
  <c r="W946" i="17"/>
  <c r="A946" i="17"/>
  <c r="Z945" i="17"/>
  <c r="W945" i="17"/>
  <c r="A945" i="17"/>
  <c r="Z944" i="17"/>
  <c r="W944" i="17"/>
  <c r="A944" i="17"/>
  <c r="Z943" i="17"/>
  <c r="W943" i="17"/>
  <c r="A943" i="17"/>
  <c r="Z942" i="17"/>
  <c r="W942" i="17"/>
  <c r="A942" i="17"/>
  <c r="Z941" i="17"/>
  <c r="W941" i="17"/>
  <c r="A941" i="17"/>
  <c r="Z940" i="17"/>
  <c r="W940" i="17"/>
  <c r="A940" i="17"/>
  <c r="Z939" i="17"/>
  <c r="W939" i="17"/>
  <c r="A939" i="17"/>
  <c r="Z938" i="17"/>
  <c r="W938" i="17"/>
  <c r="A938" i="17"/>
  <c r="Z937" i="17"/>
  <c r="W937" i="17"/>
  <c r="A937" i="17"/>
  <c r="Z936" i="17"/>
  <c r="W936" i="17"/>
  <c r="A936" i="17"/>
  <c r="Z935" i="17"/>
  <c r="W935" i="17"/>
  <c r="A935" i="17"/>
  <c r="Z934" i="17"/>
  <c r="W934" i="17"/>
  <c r="A934" i="17"/>
  <c r="Z933" i="17"/>
  <c r="W933" i="17"/>
  <c r="A933" i="17"/>
  <c r="Z932" i="17"/>
  <c r="W932" i="17"/>
  <c r="A932" i="17"/>
  <c r="Z931" i="17"/>
  <c r="W931" i="17"/>
  <c r="A931" i="17"/>
  <c r="Z930" i="17"/>
  <c r="W930" i="17"/>
  <c r="A930" i="17"/>
  <c r="Z929" i="17"/>
  <c r="W929" i="17"/>
  <c r="A929" i="17"/>
  <c r="Z928" i="17"/>
  <c r="W928" i="17"/>
  <c r="A928" i="17"/>
  <c r="Z927" i="17"/>
  <c r="W927" i="17"/>
  <c r="A927" i="17"/>
  <c r="Z926" i="17"/>
  <c r="W926" i="17"/>
  <c r="A926" i="17"/>
  <c r="Z925" i="17"/>
  <c r="W925" i="17"/>
  <c r="A925" i="17"/>
  <c r="Z924" i="17"/>
  <c r="W924" i="17"/>
  <c r="A924" i="17"/>
  <c r="Z923" i="17"/>
  <c r="W923" i="17"/>
  <c r="A923" i="17"/>
  <c r="Z922" i="17"/>
  <c r="W922" i="17"/>
  <c r="A922" i="17"/>
  <c r="Z921" i="17"/>
  <c r="W921" i="17"/>
  <c r="A921" i="17"/>
  <c r="Z920" i="17"/>
  <c r="W920" i="17"/>
  <c r="A920" i="17"/>
  <c r="Z919" i="17"/>
  <c r="W919" i="17"/>
  <c r="A919" i="17"/>
  <c r="Z918" i="17"/>
  <c r="W918" i="17"/>
  <c r="A918" i="17"/>
  <c r="Z917" i="17"/>
  <c r="W917" i="17"/>
  <c r="A917" i="17"/>
  <c r="Z916" i="17"/>
  <c r="W916" i="17"/>
  <c r="A916" i="17"/>
  <c r="Z915" i="17"/>
  <c r="W915" i="17"/>
  <c r="A915" i="17"/>
  <c r="Z914" i="17"/>
  <c r="W914" i="17"/>
  <c r="A914" i="17"/>
  <c r="Z913" i="17"/>
  <c r="W913" i="17"/>
  <c r="A913" i="17"/>
  <c r="Z912" i="17"/>
  <c r="W912" i="17"/>
  <c r="A912" i="17"/>
  <c r="Z911" i="17"/>
  <c r="W911" i="17"/>
  <c r="A911" i="17"/>
  <c r="Z910" i="17"/>
  <c r="W910" i="17"/>
  <c r="A910" i="17"/>
  <c r="Z909" i="17"/>
  <c r="W909" i="17"/>
  <c r="A909" i="17"/>
  <c r="Z908" i="17"/>
  <c r="W908" i="17"/>
  <c r="A908" i="17"/>
  <c r="Z907" i="17"/>
  <c r="W907" i="17"/>
  <c r="A907" i="17"/>
  <c r="Z906" i="17"/>
  <c r="W906" i="17"/>
  <c r="A906" i="17"/>
  <c r="Z905" i="17"/>
  <c r="W905" i="17"/>
  <c r="A905" i="17"/>
  <c r="Z904" i="17"/>
  <c r="W904" i="17"/>
  <c r="A904" i="17"/>
  <c r="Z903" i="17"/>
  <c r="W903" i="17"/>
  <c r="A903" i="17"/>
  <c r="Z902" i="17"/>
  <c r="W902" i="17"/>
  <c r="A902" i="17"/>
  <c r="Z901" i="17"/>
  <c r="W901" i="17"/>
  <c r="A901" i="17"/>
  <c r="Z900" i="17"/>
  <c r="W900" i="17"/>
  <c r="A900" i="17"/>
  <c r="Z899" i="17"/>
  <c r="W899" i="17"/>
  <c r="A899" i="17"/>
  <c r="Z898" i="17"/>
  <c r="W898" i="17"/>
  <c r="A898" i="17"/>
  <c r="Z897" i="17"/>
  <c r="W897" i="17"/>
  <c r="A897" i="17"/>
  <c r="Z896" i="17"/>
  <c r="W896" i="17"/>
  <c r="A896" i="17"/>
  <c r="Z895" i="17"/>
  <c r="W895" i="17"/>
  <c r="A895" i="17"/>
  <c r="Z894" i="17"/>
  <c r="W894" i="17"/>
  <c r="A894" i="17"/>
  <c r="Z893" i="17"/>
  <c r="W893" i="17"/>
  <c r="A893" i="17"/>
  <c r="Z892" i="17"/>
  <c r="W892" i="17"/>
  <c r="A892" i="17"/>
  <c r="Z891" i="17"/>
  <c r="W891" i="17"/>
  <c r="A891" i="17"/>
  <c r="Z890" i="17"/>
  <c r="W890" i="17"/>
  <c r="A890" i="17"/>
  <c r="Z889" i="17"/>
  <c r="W889" i="17"/>
  <c r="A889" i="17"/>
  <c r="Z888" i="17"/>
  <c r="W888" i="17"/>
  <c r="A888" i="17"/>
  <c r="Z887" i="17"/>
  <c r="W887" i="17"/>
  <c r="A887" i="17"/>
  <c r="Z886" i="17"/>
  <c r="W886" i="17"/>
  <c r="A886" i="17"/>
  <c r="Z885" i="17"/>
  <c r="W885" i="17"/>
  <c r="A885" i="17"/>
  <c r="Z884" i="17"/>
  <c r="W884" i="17"/>
  <c r="A884" i="17"/>
  <c r="Z883" i="17"/>
  <c r="W883" i="17"/>
  <c r="A883" i="17"/>
  <c r="Z882" i="17"/>
  <c r="W882" i="17"/>
  <c r="A882" i="17"/>
  <c r="Z881" i="17"/>
  <c r="W881" i="17"/>
  <c r="A881" i="17"/>
  <c r="Z880" i="17"/>
  <c r="W880" i="17"/>
  <c r="A880" i="17"/>
  <c r="Z879" i="17"/>
  <c r="W879" i="17"/>
  <c r="A879" i="17"/>
  <c r="Z878" i="17"/>
  <c r="W878" i="17"/>
  <c r="A878" i="17"/>
  <c r="Z877" i="17"/>
  <c r="W877" i="17"/>
  <c r="A877" i="17"/>
  <c r="Z876" i="17"/>
  <c r="W876" i="17"/>
  <c r="A876" i="17"/>
  <c r="Z875" i="17"/>
  <c r="W875" i="17"/>
  <c r="A875" i="17"/>
  <c r="Z874" i="17"/>
  <c r="W874" i="17"/>
  <c r="A874" i="17"/>
  <c r="Z873" i="17"/>
  <c r="W873" i="17"/>
  <c r="A873" i="17"/>
  <c r="Z872" i="17"/>
  <c r="W872" i="17"/>
  <c r="A872" i="17"/>
  <c r="Z871" i="17"/>
  <c r="W871" i="17"/>
  <c r="A871" i="17"/>
  <c r="Z870" i="17"/>
  <c r="W870" i="17"/>
  <c r="A870" i="17"/>
  <c r="Z869" i="17"/>
  <c r="W869" i="17"/>
  <c r="A869" i="17"/>
  <c r="Z868" i="17"/>
  <c r="W868" i="17"/>
  <c r="A868" i="17"/>
  <c r="Z867" i="17"/>
  <c r="W867" i="17"/>
  <c r="A867" i="17"/>
  <c r="Z866" i="17"/>
  <c r="W866" i="17"/>
  <c r="A866" i="17"/>
  <c r="Z865" i="17"/>
  <c r="W865" i="17"/>
  <c r="A865" i="17"/>
  <c r="Z864" i="17"/>
  <c r="W864" i="17"/>
  <c r="A864" i="17"/>
  <c r="Z863" i="17"/>
  <c r="W863" i="17"/>
  <c r="A863" i="17"/>
  <c r="Z862" i="17"/>
  <c r="W862" i="17"/>
  <c r="A862" i="17"/>
  <c r="Z861" i="17"/>
  <c r="W861" i="17"/>
  <c r="A861" i="17"/>
  <c r="Z860" i="17"/>
  <c r="W860" i="17"/>
  <c r="A860" i="17"/>
  <c r="Z859" i="17"/>
  <c r="W859" i="17"/>
  <c r="A859" i="17"/>
  <c r="Z858" i="17"/>
  <c r="W858" i="17"/>
  <c r="A858" i="17"/>
  <c r="Z857" i="17"/>
  <c r="W857" i="17"/>
  <c r="A857" i="17"/>
  <c r="Z856" i="17"/>
  <c r="W856" i="17"/>
  <c r="A856" i="17"/>
  <c r="Z855" i="17"/>
  <c r="W855" i="17"/>
  <c r="A855" i="17"/>
  <c r="Z854" i="17"/>
  <c r="W854" i="17"/>
  <c r="A854" i="17"/>
  <c r="Z853" i="17"/>
  <c r="W853" i="17"/>
  <c r="A853" i="17"/>
  <c r="Z852" i="17"/>
  <c r="W852" i="17"/>
  <c r="A852" i="17"/>
  <c r="Z851" i="17"/>
  <c r="W851" i="17"/>
  <c r="A851" i="17"/>
  <c r="Z850" i="17"/>
  <c r="W850" i="17"/>
  <c r="A850" i="17"/>
  <c r="Z849" i="17"/>
  <c r="W849" i="17"/>
  <c r="A849" i="17"/>
  <c r="Z848" i="17"/>
  <c r="W848" i="17"/>
  <c r="A848" i="17"/>
  <c r="Z847" i="17"/>
  <c r="W847" i="17"/>
  <c r="A847" i="17"/>
  <c r="Z846" i="17"/>
  <c r="W846" i="17"/>
  <c r="A846" i="17"/>
  <c r="Z845" i="17"/>
  <c r="W845" i="17"/>
  <c r="A845" i="17"/>
  <c r="Z844" i="17"/>
  <c r="W844" i="17"/>
  <c r="A844" i="17"/>
  <c r="Z843" i="17"/>
  <c r="W843" i="17"/>
  <c r="A843" i="17"/>
  <c r="Z842" i="17"/>
  <c r="W842" i="17"/>
  <c r="A842" i="17"/>
  <c r="Z841" i="17"/>
  <c r="W841" i="17"/>
  <c r="A841" i="17"/>
  <c r="Z840" i="17"/>
  <c r="W840" i="17"/>
  <c r="A840" i="17"/>
  <c r="Z839" i="17"/>
  <c r="W839" i="17"/>
  <c r="A839" i="17"/>
  <c r="Z838" i="17"/>
  <c r="W838" i="17"/>
  <c r="A838" i="17"/>
  <c r="Z837" i="17"/>
  <c r="W837" i="17"/>
  <c r="A837" i="17"/>
  <c r="Z836" i="17"/>
  <c r="W836" i="17"/>
  <c r="A836" i="17"/>
  <c r="Z835" i="17"/>
  <c r="W835" i="17"/>
  <c r="A835" i="17"/>
  <c r="Z834" i="17"/>
  <c r="W834" i="17"/>
  <c r="A834" i="17"/>
  <c r="Z833" i="17"/>
  <c r="W833" i="17"/>
  <c r="A833" i="17"/>
  <c r="Z832" i="17"/>
  <c r="W832" i="17"/>
  <c r="A832" i="17"/>
  <c r="Z831" i="17"/>
  <c r="W831" i="17"/>
  <c r="A831" i="17"/>
  <c r="Z830" i="17"/>
  <c r="W830" i="17"/>
  <c r="A830" i="17"/>
  <c r="Z829" i="17"/>
  <c r="W829" i="17"/>
  <c r="A829" i="17"/>
  <c r="Z828" i="17"/>
  <c r="W828" i="17"/>
  <c r="A828" i="17"/>
  <c r="Z827" i="17"/>
  <c r="W827" i="17"/>
  <c r="A827" i="17"/>
  <c r="Z826" i="17"/>
  <c r="W826" i="17"/>
  <c r="A826" i="17"/>
  <c r="Z825" i="17"/>
  <c r="A711" i="17"/>
  <c r="Z710" i="17"/>
  <c r="W710" i="17"/>
  <c r="A710" i="17"/>
  <c r="Z709" i="17"/>
  <c r="W709" i="17"/>
  <c r="A709" i="17"/>
  <c r="Z708" i="17"/>
  <c r="W708" i="17"/>
  <c r="A708" i="17"/>
  <c r="Z707" i="17"/>
  <c r="W707" i="17"/>
  <c r="A707" i="17"/>
  <c r="Z706" i="17"/>
  <c r="W706" i="17"/>
  <c r="A706" i="17"/>
  <c r="Z705" i="17"/>
  <c r="W705" i="17"/>
  <c r="A705" i="17"/>
  <c r="W704" i="17"/>
  <c r="A704" i="17"/>
  <c r="Z703" i="17"/>
  <c r="W703" i="17"/>
  <c r="A703" i="17"/>
  <c r="Z702" i="17"/>
  <c r="W702" i="17"/>
  <c r="A702" i="17"/>
  <c r="Z701" i="17"/>
  <c r="A701" i="17"/>
  <c r="Z700" i="17"/>
  <c r="W700" i="17"/>
  <c r="A700" i="17"/>
  <c r="Z699" i="17"/>
  <c r="A699" i="17"/>
  <c r="Z698" i="17"/>
  <c r="A698" i="17"/>
  <c r="Z697" i="17"/>
  <c r="A697" i="17"/>
  <c r="Z696" i="17"/>
  <c r="W696" i="17"/>
  <c r="A696" i="17"/>
  <c r="W695" i="17"/>
  <c r="A695" i="17"/>
  <c r="Z694" i="17"/>
  <c r="W694" i="17"/>
  <c r="A694" i="17"/>
  <c r="Z693" i="17"/>
  <c r="A693" i="17"/>
  <c r="W692" i="17"/>
  <c r="A692" i="17"/>
  <c r="Z691" i="17"/>
  <c r="A691" i="17"/>
  <c r="Z690" i="17"/>
  <c r="W690" i="17"/>
  <c r="A690" i="17"/>
  <c r="Z689" i="17"/>
  <c r="A689" i="17"/>
  <c r="W688" i="17"/>
  <c r="A688" i="17"/>
  <c r="W684" i="17"/>
  <c r="A684" i="17"/>
  <c r="W683" i="17"/>
  <c r="A683" i="17"/>
  <c r="Z682" i="17"/>
  <c r="W682" i="17"/>
  <c r="A682" i="17"/>
  <c r="Z681" i="17"/>
  <c r="A681" i="17"/>
  <c r="Z680" i="17"/>
  <c r="A680" i="17"/>
  <c r="W679" i="17"/>
  <c r="A679" i="17"/>
  <c r="W678" i="17"/>
  <c r="A678" i="17"/>
  <c r="W677" i="17"/>
  <c r="A677" i="17"/>
  <c r="W676" i="17"/>
  <c r="A676" i="17"/>
  <c r="Z675" i="17"/>
  <c r="A675" i="17"/>
  <c r="Z674" i="17"/>
  <c r="W674" i="17"/>
  <c r="A674" i="17"/>
  <c r="Z673" i="17"/>
  <c r="W673" i="17"/>
  <c r="A673" i="17"/>
  <c r="Z672" i="17"/>
  <c r="A672" i="17"/>
  <c r="Z671" i="17"/>
  <c r="W671" i="17"/>
  <c r="A671" i="17"/>
  <c r="Z670" i="17"/>
  <c r="A670" i="17"/>
  <c r="Z669" i="17"/>
  <c r="W669" i="17"/>
  <c r="A669" i="17"/>
  <c r="Z668" i="17"/>
  <c r="W668" i="17"/>
  <c r="A668" i="17"/>
  <c r="Z667" i="17"/>
  <c r="W667" i="17"/>
  <c r="A667" i="17"/>
  <c r="Z666" i="17"/>
  <c r="W666" i="17"/>
  <c r="Z665" i="17"/>
  <c r="W665" i="17"/>
  <c r="A665" i="17"/>
  <c r="Z664" i="17"/>
  <c r="A664" i="17"/>
  <c r="Z663" i="17"/>
  <c r="A663" i="17"/>
  <c r="Z662" i="17"/>
  <c r="W662" i="17"/>
  <c r="A662" i="17"/>
  <c r="Z661" i="17"/>
  <c r="W661" i="17"/>
  <c r="A661" i="17"/>
  <c r="Z660" i="17"/>
  <c r="W660" i="17"/>
  <c r="A660" i="17"/>
  <c r="Z659" i="17"/>
  <c r="W659" i="17"/>
  <c r="A659" i="17"/>
  <c r="Z658" i="17"/>
  <c r="W658" i="17"/>
  <c r="A658" i="17"/>
  <c r="Z657" i="17"/>
  <c r="W657" i="17"/>
  <c r="A657" i="17"/>
  <c r="Z656" i="17"/>
  <c r="W656" i="17"/>
  <c r="A656" i="17"/>
  <c r="Z655" i="17"/>
  <c r="A655" i="17"/>
  <c r="W654" i="17"/>
  <c r="A654" i="17"/>
  <c r="Z653" i="17"/>
  <c r="A653" i="17"/>
  <c r="W652" i="17"/>
  <c r="A652" i="17"/>
  <c r="Z651" i="17"/>
  <c r="W651" i="17"/>
  <c r="A651" i="17"/>
  <c r="Z650" i="17"/>
  <c r="W650" i="17"/>
  <c r="A650" i="17"/>
  <c r="W649" i="17"/>
  <c r="A649" i="17"/>
  <c r="Z648" i="17"/>
  <c r="W648" i="17"/>
  <c r="A648" i="17"/>
  <c r="W647" i="17"/>
  <c r="A647" i="17"/>
  <c r="Z646" i="17"/>
  <c r="W646" i="17"/>
  <c r="A646" i="17"/>
  <c r="W645" i="17"/>
  <c r="Z644" i="17"/>
  <c r="W644" i="17"/>
  <c r="A644" i="17"/>
  <c r="Z643" i="17"/>
  <c r="W643" i="17"/>
  <c r="A643" i="17"/>
  <c r="Z642" i="17"/>
  <c r="W642" i="17"/>
  <c r="A642" i="17"/>
  <c r="Z641" i="17"/>
  <c r="A641" i="17"/>
  <c r="Z640" i="17"/>
  <c r="W640" i="17"/>
  <c r="A640" i="17"/>
  <c r="W639" i="17"/>
  <c r="A639" i="17"/>
  <c r="Z638" i="17"/>
  <c r="A638" i="17"/>
  <c r="Z637" i="17"/>
  <c r="W637" i="17"/>
  <c r="A637" i="17"/>
  <c r="Z636" i="17"/>
  <c r="W636" i="17"/>
  <c r="A636" i="17"/>
  <c r="W635" i="17"/>
  <c r="A635" i="17"/>
  <c r="W634" i="17"/>
  <c r="A634" i="17"/>
  <c r="Z633" i="17"/>
  <c r="A633" i="17"/>
  <c r="Z632" i="17"/>
  <c r="W632" i="17"/>
  <c r="A632" i="17"/>
  <c r="Z631" i="17"/>
  <c r="W631" i="17"/>
  <c r="A631" i="17"/>
  <c r="W630" i="17"/>
  <c r="A630" i="17"/>
  <c r="Z629" i="17"/>
  <c r="W629" i="17"/>
  <c r="A629" i="17"/>
  <c r="Z628" i="17"/>
  <c r="W628" i="17"/>
  <c r="A628" i="17"/>
  <c r="Z627" i="17"/>
  <c r="W627" i="17"/>
  <c r="A627" i="17"/>
  <c r="Z626" i="17"/>
  <c r="W626" i="17"/>
  <c r="A626" i="17"/>
  <c r="Z625" i="17"/>
  <c r="W625" i="17"/>
  <c r="A625" i="17"/>
  <c r="Z624" i="17"/>
  <c r="W624" i="17"/>
  <c r="A624" i="17"/>
  <c r="Z623" i="17"/>
  <c r="W623" i="17"/>
  <c r="A623" i="17"/>
  <c r="Z622" i="17"/>
  <c r="W622" i="17"/>
  <c r="A622" i="17"/>
  <c r="Z621" i="17"/>
  <c r="W621" i="17"/>
  <c r="A621" i="17"/>
  <c r="Z620" i="17"/>
  <c r="W620" i="17"/>
  <c r="A620" i="17"/>
  <c r="Z619" i="17"/>
  <c r="W619" i="17"/>
  <c r="A619" i="17"/>
  <c r="Z618" i="17"/>
  <c r="W618" i="17"/>
  <c r="A618" i="17"/>
  <c r="Z617" i="17"/>
  <c r="W617" i="17"/>
  <c r="Z616" i="17"/>
  <c r="W616" i="17"/>
  <c r="A225" i="17"/>
  <c r="W224" i="17"/>
  <c r="A224" i="17"/>
  <c r="A223" i="17"/>
  <c r="Z221" i="17"/>
  <c r="A221" i="17"/>
  <c r="Z219" i="17"/>
  <c r="W218" i="17"/>
  <c r="Z217" i="17"/>
  <c r="W217" i="17"/>
  <c r="Z216" i="17"/>
  <c r="A216" i="17"/>
  <c r="A215" i="17"/>
  <c r="W214" i="17"/>
  <c r="A214" i="17"/>
  <c r="W213" i="17"/>
  <c r="Z212" i="17"/>
  <c r="Z211" i="17"/>
  <c r="W211" i="17"/>
  <c r="A211" i="17"/>
  <c r="W210" i="17"/>
  <c r="Z209" i="17"/>
  <c r="W209" i="17"/>
  <c r="W208" i="17"/>
  <c r="A208" i="17"/>
  <c r="W207" i="17"/>
  <c r="W206" i="17"/>
  <c r="Z205" i="17"/>
  <c r="W205" i="17"/>
  <c r="A205" i="17"/>
  <c r="Z203" i="17"/>
  <c r="A203" i="17"/>
  <c r="W202" i="17"/>
  <c r="A202" i="17"/>
  <c r="W201" i="17"/>
  <c r="A201" i="17"/>
  <c r="W200" i="17"/>
  <c r="A200" i="17"/>
  <c r="Z198" i="17"/>
  <c r="W198" i="17"/>
  <c r="A198" i="17"/>
  <c r="M4" i="16"/>
  <c r="J4" i="16"/>
  <c r="G4" i="16"/>
  <c r="B24" i="15"/>
  <c r="E24" i="15" s="1"/>
  <c r="B22" i="15"/>
  <c r="E22" i="15" s="1"/>
  <c r="D21" i="15"/>
  <c r="D20" i="15"/>
  <c r="D18" i="15"/>
  <c r="D17" i="15"/>
  <c r="D16" i="15"/>
  <c r="B16" i="15"/>
  <c r="D15" i="15"/>
  <c r="B15" i="15"/>
  <c r="F294" i="14"/>
  <c r="F293" i="14"/>
  <c r="F292" i="14"/>
  <c r="F290" i="14"/>
  <c r="F288" i="14"/>
  <c r="F287" i="14"/>
  <c r="F285" i="14"/>
  <c r="F284" i="14"/>
  <c r="F282" i="14"/>
  <c r="F280" i="14"/>
  <c r="F279" i="14"/>
  <c r="F277" i="14"/>
  <c r="F275" i="14"/>
  <c r="F269" i="14"/>
  <c r="F266" i="14"/>
  <c r="F265" i="14"/>
  <c r="F260" i="14"/>
  <c r="F258" i="14"/>
  <c r="F257" i="14"/>
  <c r="F255" i="14"/>
  <c r="F254" i="14"/>
  <c r="F253" i="14"/>
  <c r="F246" i="14"/>
  <c r="F240" i="14"/>
  <c r="F239" i="14"/>
  <c r="F236" i="14"/>
  <c r="F231" i="14"/>
  <c r="F225" i="14"/>
  <c r="F222" i="14"/>
  <c r="F221" i="14"/>
  <c r="F217" i="14"/>
  <c r="F215" i="14"/>
  <c r="F214" i="14"/>
  <c r="F209" i="14"/>
  <c r="F203" i="14"/>
  <c r="F202" i="14"/>
  <c r="F194" i="14"/>
  <c r="Y1901" i="17"/>
  <c r="W1901" i="17"/>
  <c r="Y1900" i="17"/>
  <c r="C1899" i="17"/>
  <c r="Y1898" i="17"/>
  <c r="W1897" i="17"/>
  <c r="C1897" i="17"/>
  <c r="Y1896" i="17"/>
  <c r="Y1895" i="17"/>
  <c r="D1895" i="17"/>
  <c r="C1894" i="17"/>
  <c r="D1893" i="17"/>
  <c r="W1892" i="17"/>
  <c r="W1891" i="17"/>
  <c r="Y1889" i="17"/>
  <c r="D1889" i="17"/>
  <c r="W1886" i="17"/>
  <c r="D1886" i="17"/>
  <c r="W1883" i="17"/>
  <c r="C1883" i="17"/>
  <c r="Y1882" i="17"/>
  <c r="D1882" i="17"/>
  <c r="C1881" i="17"/>
  <c r="Y1880" i="17"/>
  <c r="C1878" i="17"/>
  <c r="C1877" i="17"/>
  <c r="Y1875" i="17"/>
  <c r="W1875" i="17"/>
  <c r="Y1873" i="17"/>
  <c r="Y1872" i="17"/>
  <c r="D1872" i="17"/>
  <c r="Y1753" i="17"/>
  <c r="D1753" i="17"/>
  <c r="C1753" i="17"/>
  <c r="Y1751" i="17"/>
  <c r="C1751" i="17"/>
  <c r="Y1749" i="17"/>
  <c r="W1749" i="17"/>
  <c r="C1749" i="17"/>
  <c r="Y1748" i="17"/>
  <c r="C1748" i="17"/>
  <c r="C1747" i="17"/>
  <c r="C1745" i="17"/>
  <c r="D1744" i="17"/>
  <c r="Y1743" i="17"/>
  <c r="W1743" i="17"/>
  <c r="D1743" i="17"/>
  <c r="Y1741" i="17"/>
  <c r="D1741" i="17"/>
  <c r="Y1740" i="17"/>
  <c r="D1740" i="17"/>
  <c r="Y1739" i="17"/>
  <c r="D1739" i="17"/>
  <c r="W1738" i="17"/>
  <c r="D1737" i="17"/>
  <c r="C1737" i="17"/>
  <c r="W1736" i="17"/>
  <c r="C1736" i="17"/>
  <c r="Y1735" i="17"/>
  <c r="W1735" i="17"/>
  <c r="D1735" i="17"/>
  <c r="D1733" i="17"/>
  <c r="C1733" i="17"/>
  <c r="C1732" i="17"/>
  <c r="D1729" i="17"/>
  <c r="C1727" i="17"/>
  <c r="W1725" i="17"/>
  <c r="D1725" i="17"/>
  <c r="Y1724" i="17"/>
  <c r="C1724" i="17"/>
  <c r="Y1722" i="17"/>
  <c r="W1721" i="17"/>
  <c r="D1721" i="17"/>
  <c r="W1720" i="17"/>
  <c r="W1719" i="17"/>
  <c r="C1719" i="17"/>
  <c r="C1718" i="17"/>
  <c r="Y1717" i="17"/>
  <c r="D1715" i="17"/>
  <c r="W1714" i="17"/>
  <c r="D1713" i="17"/>
  <c r="Y1711" i="17"/>
  <c r="W1711" i="17"/>
  <c r="Y1709" i="17"/>
  <c r="W1709" i="17"/>
  <c r="C1709" i="17"/>
  <c r="Y1708" i="17"/>
  <c r="C1707" i="17"/>
  <c r="W1706" i="17"/>
  <c r="Y1705" i="17"/>
  <c r="W1705" i="17"/>
  <c r="C1705" i="17"/>
  <c r="Y1704" i="17"/>
  <c r="W1704" i="17"/>
  <c r="C1704" i="17"/>
  <c r="Y1703" i="17"/>
  <c r="W1702" i="17"/>
  <c r="C1702" i="17"/>
  <c r="Y1701" i="17"/>
  <c r="W1701" i="17"/>
  <c r="W1700" i="17"/>
  <c r="D1700" i="17"/>
  <c r="C1700" i="17"/>
  <c r="C1697" i="17"/>
  <c r="Y1696" i="17"/>
  <c r="C1696" i="17"/>
  <c r="W1695" i="17"/>
  <c r="W1693" i="17"/>
  <c r="D1693" i="17"/>
  <c r="Y1690" i="17"/>
  <c r="D1690" i="17"/>
  <c r="W1689" i="17"/>
  <c r="W1688" i="17"/>
  <c r="C1688" i="17"/>
  <c r="Y1687" i="17"/>
  <c r="C1687" i="17"/>
  <c r="C1686" i="17"/>
  <c r="Y1685" i="17"/>
  <c r="W1685" i="17"/>
  <c r="W1684" i="17"/>
  <c r="Y1683" i="17"/>
  <c r="D1683" i="17"/>
  <c r="Y1674" i="17"/>
  <c r="W1672" i="17"/>
  <c r="W1671" i="17"/>
  <c r="W1666" i="17"/>
  <c r="Y1665" i="17"/>
  <c r="C1664" i="17"/>
  <c r="D1663" i="17"/>
  <c r="W1662" i="17"/>
  <c r="A825" i="17"/>
  <c r="Z824" i="17"/>
  <c r="W824" i="17"/>
  <c r="A824" i="17"/>
  <c r="Z823" i="17"/>
  <c r="W823" i="17"/>
  <c r="A823" i="17"/>
  <c r="Z822" i="17"/>
  <c r="W822" i="17"/>
  <c r="A822" i="17"/>
  <c r="Z821" i="17"/>
  <c r="W821" i="17"/>
  <c r="A821" i="17"/>
  <c r="Z820" i="17"/>
  <c r="W820" i="17"/>
  <c r="A820" i="17"/>
  <c r="Z819" i="17"/>
  <c r="W819" i="17"/>
  <c r="A819" i="17"/>
  <c r="Z818" i="17"/>
  <c r="W818" i="17"/>
  <c r="A818" i="17"/>
  <c r="Z817" i="17"/>
  <c r="W817" i="17"/>
  <c r="A817" i="17"/>
  <c r="Z816" i="17"/>
  <c r="W816" i="17"/>
  <c r="A816" i="17"/>
  <c r="Z815" i="17"/>
  <c r="W815" i="17"/>
  <c r="A815" i="17"/>
  <c r="Z814" i="17"/>
  <c r="W814" i="17"/>
  <c r="A814" i="17"/>
  <c r="Z813" i="17"/>
  <c r="W813" i="17"/>
  <c r="A813" i="17"/>
  <c r="Z812" i="17"/>
  <c r="W812" i="17"/>
  <c r="A812" i="17"/>
  <c r="Z811" i="17"/>
  <c r="W811" i="17"/>
  <c r="A811" i="17"/>
  <c r="Z810" i="17"/>
  <c r="W810" i="17"/>
  <c r="A810" i="17"/>
  <c r="Z809" i="17"/>
  <c r="W809" i="17"/>
  <c r="A809" i="17"/>
  <c r="Z808" i="17"/>
  <c r="W808" i="17"/>
  <c r="A808" i="17"/>
  <c r="Z807" i="17"/>
  <c r="W807" i="17"/>
  <c r="A807" i="17"/>
  <c r="Z806" i="17"/>
  <c r="W806" i="17"/>
  <c r="A806" i="17"/>
  <c r="Z805" i="17"/>
  <c r="W805" i="17"/>
  <c r="A805" i="17"/>
  <c r="Z804" i="17"/>
  <c r="W804" i="17"/>
  <c r="A804" i="17"/>
  <c r="Z803" i="17"/>
  <c r="W803" i="17"/>
  <c r="A803" i="17"/>
  <c r="Z802" i="17"/>
  <c r="W802" i="17"/>
  <c r="A802" i="17"/>
  <c r="Z801" i="17"/>
  <c r="W801" i="17"/>
  <c r="A801" i="17"/>
  <c r="Z800" i="17"/>
  <c r="W800" i="17"/>
  <c r="A800" i="17"/>
  <c r="Z799" i="17"/>
  <c r="W799" i="17"/>
  <c r="A799" i="17"/>
  <c r="Z798" i="17"/>
  <c r="W798" i="17"/>
  <c r="A798" i="17"/>
  <c r="Z797" i="17"/>
  <c r="W797" i="17"/>
  <c r="A797" i="17"/>
  <c r="Z796" i="17"/>
  <c r="W796" i="17"/>
  <c r="A796" i="17"/>
  <c r="Z795" i="17"/>
  <c r="W795" i="17"/>
  <c r="A795" i="17"/>
  <c r="Z794" i="17"/>
  <c r="W794" i="17"/>
  <c r="A794" i="17"/>
  <c r="Z793" i="17"/>
  <c r="W793" i="17"/>
  <c r="A793" i="17"/>
  <c r="Z792" i="17"/>
  <c r="W792" i="17"/>
  <c r="A792" i="17"/>
  <c r="Z791" i="17"/>
  <c r="W791" i="17"/>
  <c r="A791" i="17"/>
  <c r="Z790" i="17"/>
  <c r="W790" i="17"/>
  <c r="A790" i="17"/>
  <c r="Z789" i="17"/>
  <c r="W789" i="17"/>
  <c r="A789" i="17"/>
  <c r="Z788" i="17"/>
  <c r="W788" i="17"/>
  <c r="A788" i="17"/>
  <c r="Z787" i="17"/>
  <c r="W787" i="17"/>
  <c r="A787" i="17"/>
  <c r="Z786" i="17"/>
  <c r="W786" i="17"/>
  <c r="A786" i="17"/>
  <c r="Z785" i="17"/>
  <c r="W785" i="17"/>
  <c r="A785" i="17"/>
  <c r="Z784" i="17"/>
  <c r="W784" i="17"/>
  <c r="A784" i="17"/>
  <c r="Z783" i="17"/>
  <c r="W783" i="17"/>
  <c r="A783" i="17"/>
  <c r="Z782" i="17"/>
  <c r="W782" i="17"/>
  <c r="A782" i="17"/>
  <c r="Z781" i="17"/>
  <c r="W781" i="17"/>
  <c r="A781" i="17"/>
  <c r="Z780" i="17"/>
  <c r="W780" i="17"/>
  <c r="A780" i="17"/>
  <c r="Z779" i="17"/>
  <c r="W779" i="17"/>
  <c r="A779" i="17"/>
  <c r="Z778" i="17"/>
  <c r="W778" i="17"/>
  <c r="A778" i="17"/>
  <c r="Z777" i="17"/>
  <c r="W777" i="17"/>
  <c r="A777" i="17"/>
  <c r="Z776" i="17"/>
  <c r="W776" i="17"/>
  <c r="A776" i="17"/>
  <c r="Z775" i="17"/>
  <c r="W775" i="17"/>
  <c r="A775" i="17"/>
  <c r="Z774" i="17"/>
  <c r="W774" i="17"/>
  <c r="A774" i="17"/>
  <c r="Z773" i="17"/>
  <c r="W773" i="17"/>
  <c r="A773" i="17"/>
  <c r="Z772" i="17"/>
  <c r="W772" i="17"/>
  <c r="A772" i="17"/>
  <c r="Z771" i="17"/>
  <c r="W771" i="17"/>
  <c r="A771" i="17"/>
  <c r="Z770" i="17"/>
  <c r="W770" i="17"/>
  <c r="A770" i="17"/>
  <c r="Z769" i="17"/>
  <c r="W769" i="17"/>
  <c r="A769" i="17"/>
  <c r="Z768" i="17"/>
  <c r="W768" i="17"/>
  <c r="A768" i="17"/>
  <c r="Z767" i="17"/>
  <c r="W767" i="17"/>
  <c r="A767" i="17"/>
  <c r="Z766" i="17"/>
  <c r="W766" i="17"/>
  <c r="A766" i="17"/>
  <c r="Z765" i="17"/>
  <c r="W765" i="17"/>
  <c r="A765" i="17"/>
  <c r="Z764" i="17"/>
  <c r="W764" i="17"/>
  <c r="A764" i="17"/>
  <c r="Z763" i="17"/>
  <c r="W763" i="17"/>
  <c r="A763" i="17"/>
  <c r="Z762" i="17"/>
  <c r="W762" i="17"/>
  <c r="A762" i="17"/>
  <c r="Z761" i="17"/>
  <c r="W761" i="17"/>
  <c r="A761" i="17"/>
  <c r="Z760" i="17"/>
  <c r="W760" i="17"/>
  <c r="A760" i="17"/>
  <c r="Z759" i="17"/>
  <c r="W759" i="17"/>
  <c r="A759" i="17"/>
  <c r="Z758" i="17"/>
  <c r="W758" i="17"/>
  <c r="A758" i="17"/>
  <c r="Z757" i="17"/>
  <c r="W757" i="17"/>
  <c r="A757" i="17"/>
  <c r="Z756" i="17"/>
  <c r="W756" i="17"/>
  <c r="A756" i="17"/>
  <c r="Z755" i="17"/>
  <c r="W755" i="17"/>
  <c r="A755" i="17"/>
  <c r="Z754" i="17"/>
  <c r="W754" i="17"/>
  <c r="A754" i="17"/>
  <c r="Z753" i="17"/>
  <c r="W753" i="17"/>
  <c r="A753" i="17"/>
  <c r="Z752" i="17"/>
  <c r="W752" i="17"/>
  <c r="A752" i="17"/>
  <c r="Z751" i="17"/>
  <c r="W751" i="17"/>
  <c r="A751" i="17"/>
  <c r="Z750" i="17"/>
  <c r="W750" i="17"/>
  <c r="A750" i="17"/>
  <c r="Z749" i="17"/>
  <c r="W749" i="17"/>
  <c r="A749" i="17"/>
  <c r="Z748" i="17"/>
  <c r="W748" i="17"/>
  <c r="A748" i="17"/>
  <c r="Z747" i="17"/>
  <c r="W747" i="17"/>
  <c r="A747" i="17"/>
  <c r="Z746" i="17"/>
  <c r="W746" i="17"/>
  <c r="A746" i="17"/>
  <c r="Z745" i="17"/>
  <c r="W745" i="17"/>
  <c r="A745" i="17"/>
  <c r="Z744" i="17"/>
  <c r="W744" i="17"/>
  <c r="A744" i="17"/>
  <c r="Z743" i="17"/>
  <c r="W743" i="17"/>
  <c r="A743" i="17"/>
  <c r="Z742" i="17"/>
  <c r="W742" i="17"/>
  <c r="A742" i="17"/>
  <c r="Z741" i="17"/>
  <c r="W741" i="17"/>
  <c r="A741" i="17"/>
  <c r="Z740" i="17"/>
  <c r="W740" i="17"/>
  <c r="A740" i="17"/>
  <c r="Z739" i="17"/>
  <c r="W739" i="17"/>
  <c r="A739" i="17"/>
  <c r="Z738" i="17"/>
  <c r="W738" i="17"/>
  <c r="A738" i="17"/>
  <c r="Z737" i="17"/>
  <c r="W737" i="17"/>
  <c r="A737" i="17"/>
  <c r="Z736" i="17"/>
  <c r="W736" i="17"/>
  <c r="A736" i="17"/>
  <c r="Z735" i="17"/>
  <c r="W735" i="17"/>
  <c r="A735" i="17"/>
  <c r="Z734" i="17"/>
  <c r="W734" i="17"/>
  <c r="A734" i="17"/>
  <c r="Z733" i="17"/>
  <c r="W733" i="17"/>
  <c r="A733" i="17"/>
  <c r="Z732" i="17"/>
  <c r="W732" i="17"/>
  <c r="A732" i="17"/>
  <c r="Z731" i="17"/>
  <c r="W731" i="17"/>
  <c r="A731" i="17"/>
  <c r="Z730" i="17"/>
  <c r="W730" i="17"/>
  <c r="A730" i="17"/>
  <c r="Z729" i="17"/>
  <c r="W729" i="17"/>
  <c r="A729" i="17"/>
  <c r="Z728" i="17"/>
  <c r="W728" i="17"/>
  <c r="A728" i="17"/>
  <c r="Z727" i="17"/>
  <c r="W727" i="17"/>
  <c r="A727" i="17"/>
  <c r="Z726" i="17"/>
  <c r="W726" i="17"/>
  <c r="A726" i="17"/>
  <c r="Z725" i="17"/>
  <c r="W725" i="17"/>
  <c r="A725" i="17"/>
  <c r="Z724" i="17"/>
  <c r="W724" i="17"/>
  <c r="A724" i="17"/>
  <c r="Z723" i="17"/>
  <c r="W723" i="17"/>
  <c r="A723" i="17"/>
  <c r="Z722" i="17"/>
  <c r="W722" i="17"/>
  <c r="A722" i="17"/>
  <c r="Z721" i="17"/>
  <c r="W721" i="17"/>
  <c r="A721" i="17"/>
  <c r="Z720" i="17"/>
  <c r="W720" i="17"/>
  <c r="A720" i="17"/>
  <c r="Z719" i="17"/>
  <c r="W719" i="17"/>
  <c r="A719" i="17"/>
  <c r="Z718" i="17"/>
  <c r="W718" i="17"/>
  <c r="A718" i="17"/>
  <c r="Z717" i="17"/>
  <c r="W717" i="17"/>
  <c r="A717" i="17"/>
  <c r="Z716" i="17"/>
  <c r="W716" i="17"/>
  <c r="A716" i="17"/>
  <c r="Z715" i="17"/>
  <c r="W715" i="17"/>
  <c r="A715" i="17"/>
  <c r="Z714" i="17"/>
  <c r="W714" i="17"/>
  <c r="A714" i="17"/>
  <c r="Z713" i="17"/>
  <c r="W713" i="17"/>
  <c r="A713" i="17"/>
  <c r="Z712" i="17"/>
  <c r="W712" i="17"/>
  <c r="A712" i="17"/>
  <c r="Z711" i="17"/>
  <c r="W711" i="17"/>
  <c r="Z704" i="17"/>
  <c r="W701" i="17"/>
  <c r="W699" i="17"/>
  <c r="W698" i="17"/>
  <c r="W697" i="17"/>
  <c r="Z695" i="17"/>
  <c r="W693" i="17"/>
  <c r="Z692" i="17"/>
  <c r="W691" i="17"/>
  <c r="W689" i="17"/>
  <c r="Z688" i="17"/>
  <c r="Z687" i="17"/>
  <c r="W687" i="17"/>
  <c r="A687" i="17"/>
  <c r="Z686" i="17"/>
  <c r="W686" i="17"/>
  <c r="A686" i="17"/>
  <c r="Z685" i="17"/>
  <c r="W685" i="17"/>
  <c r="A685" i="17"/>
  <c r="Z684" i="17"/>
  <c r="Z683" i="17"/>
  <c r="W681" i="17"/>
  <c r="W680" i="17"/>
  <c r="Z679" i="17"/>
  <c r="Z678" i="17"/>
  <c r="Z677" i="17"/>
  <c r="Z676" i="17"/>
  <c r="W675" i="17"/>
  <c r="W672" i="17"/>
  <c r="W670" i="17"/>
  <c r="A666" i="17"/>
  <c r="W664" i="17"/>
  <c r="W663" i="17"/>
  <c r="W655" i="17"/>
  <c r="Z654" i="17"/>
  <c r="W653" i="17"/>
  <c r="Z652" i="17"/>
  <c r="Z649" i="17"/>
  <c r="Z647" i="17"/>
  <c r="Z645" i="17"/>
  <c r="A645" i="17"/>
  <c r="W641" i="17"/>
  <c r="Z639" i="17"/>
  <c r="W638" i="17"/>
  <c r="Z635" i="17"/>
  <c r="Z634" i="17"/>
  <c r="W633" i="17"/>
  <c r="Z630" i="17"/>
  <c r="A617" i="17"/>
  <c r="Z222" i="17"/>
  <c r="W221" i="17"/>
  <c r="W220" i="17"/>
  <c r="A220" i="17"/>
  <c r="P4" i="16"/>
  <c r="L4" i="16"/>
  <c r="I4" i="16"/>
  <c r="D23" i="15"/>
  <c r="D22" i="15"/>
  <c r="B21" i="15"/>
  <c r="E21" i="15" s="1"/>
  <c r="D19" i="15"/>
  <c r="E17" i="15"/>
  <c r="F274" i="14"/>
  <c r="F273" i="14"/>
  <c r="F270" i="14"/>
  <c r="F262" i="14"/>
  <c r="F261" i="14"/>
  <c r="F245" i="14"/>
  <c r="F244" i="14"/>
  <c r="F238" i="14"/>
  <c r="F237" i="14"/>
  <c r="F232" i="14"/>
  <c r="F227" i="14"/>
  <c r="F226" i="14"/>
  <c r="F208" i="14"/>
  <c r="F197" i="14"/>
  <c r="F196" i="14"/>
  <c r="A616" i="17"/>
  <c r="Z615" i="17"/>
  <c r="W615" i="17"/>
  <c r="A615" i="17"/>
  <c r="Z614" i="17"/>
  <c r="W614" i="17"/>
  <c r="A614" i="17"/>
  <c r="Z613" i="17"/>
  <c r="W613" i="17"/>
  <c r="A613" i="17"/>
  <c r="Z612" i="17"/>
  <c r="W612" i="17"/>
  <c r="A612" i="17"/>
  <c r="Z611" i="17"/>
  <c r="W611" i="17"/>
  <c r="A611" i="17"/>
  <c r="Z610" i="17"/>
  <c r="W610" i="17"/>
  <c r="A610" i="17"/>
  <c r="Z609" i="17"/>
  <c r="W609" i="17"/>
  <c r="A609" i="17"/>
  <c r="Z608" i="17"/>
  <c r="W608" i="17"/>
  <c r="A608" i="17"/>
  <c r="Z607" i="17"/>
  <c r="W607" i="17"/>
  <c r="A607" i="17"/>
  <c r="Z606" i="17"/>
  <c r="W606" i="17"/>
  <c r="A606" i="17"/>
  <c r="Z605" i="17"/>
  <c r="W605" i="17"/>
  <c r="A605" i="17"/>
  <c r="Z604" i="17"/>
  <c r="W604" i="17"/>
  <c r="A604" i="17"/>
  <c r="Z603" i="17"/>
  <c r="W603" i="17"/>
  <c r="A603" i="17"/>
  <c r="Z602" i="17"/>
  <c r="W602" i="17"/>
  <c r="A602" i="17"/>
  <c r="Z601" i="17"/>
  <c r="W601" i="17"/>
  <c r="A601" i="17"/>
  <c r="Z600" i="17"/>
  <c r="W600" i="17"/>
  <c r="A600" i="17"/>
  <c r="Z599" i="17"/>
  <c r="W599" i="17"/>
  <c r="A599" i="17"/>
  <c r="Z598" i="17"/>
  <c r="W598" i="17"/>
  <c r="A598" i="17"/>
  <c r="Z597" i="17"/>
  <c r="W597" i="17"/>
  <c r="A597" i="17"/>
  <c r="Z596" i="17"/>
  <c r="W596" i="17"/>
  <c r="A596" i="17"/>
  <c r="Z595" i="17"/>
  <c r="W595" i="17"/>
  <c r="A595" i="17"/>
  <c r="Z594" i="17"/>
  <c r="W594" i="17"/>
  <c r="A594" i="17"/>
  <c r="Z593" i="17"/>
  <c r="W593" i="17"/>
  <c r="A593" i="17"/>
  <c r="Z592" i="17"/>
  <c r="W592" i="17"/>
  <c r="A592" i="17"/>
  <c r="Z591" i="17"/>
  <c r="W591" i="17"/>
  <c r="A591" i="17"/>
  <c r="Z590" i="17"/>
  <c r="W590" i="17"/>
  <c r="A590" i="17"/>
  <c r="Z589" i="17"/>
  <c r="W589" i="17"/>
  <c r="A589" i="17"/>
  <c r="Z588" i="17"/>
  <c r="W588" i="17"/>
  <c r="A588" i="17"/>
  <c r="Z587" i="17"/>
  <c r="W587" i="17"/>
  <c r="A587" i="17"/>
  <c r="Z586" i="17"/>
  <c r="W586" i="17"/>
  <c r="A586" i="17"/>
  <c r="Z585" i="17"/>
  <c r="W585" i="17"/>
  <c r="A585" i="17"/>
  <c r="Z584" i="17"/>
  <c r="W584" i="17"/>
  <c r="A584" i="17"/>
  <c r="Z583" i="17"/>
  <c r="W583" i="17"/>
  <c r="A583" i="17"/>
  <c r="Z582" i="17"/>
  <c r="W582" i="17"/>
  <c r="A582" i="17"/>
  <c r="Z581" i="17"/>
  <c r="W581" i="17"/>
  <c r="A581" i="17"/>
  <c r="Z580" i="17"/>
  <c r="W580" i="17"/>
  <c r="A580" i="17"/>
  <c r="Z579" i="17"/>
  <c r="W579" i="17"/>
  <c r="A579" i="17"/>
  <c r="Z578" i="17"/>
  <c r="W578" i="17"/>
  <c r="A578" i="17"/>
  <c r="Z577" i="17"/>
  <c r="W577" i="17"/>
  <c r="A577" i="17"/>
  <c r="Z576" i="17"/>
  <c r="W576" i="17"/>
  <c r="A576" i="17"/>
  <c r="Z575" i="17"/>
  <c r="W575" i="17"/>
  <c r="A575" i="17"/>
  <c r="Z574" i="17"/>
  <c r="W574" i="17"/>
  <c r="A574" i="17"/>
  <c r="Z573" i="17"/>
  <c r="W573" i="17"/>
  <c r="A573" i="17"/>
  <c r="Z572" i="17"/>
  <c r="W572" i="17"/>
  <c r="A572" i="17"/>
  <c r="Z571" i="17"/>
  <c r="W571" i="17"/>
  <c r="A571" i="17"/>
  <c r="Z570" i="17"/>
  <c r="W570" i="17"/>
  <c r="A570" i="17"/>
  <c r="Z569" i="17"/>
  <c r="W569" i="17"/>
  <c r="A569" i="17"/>
  <c r="Z568" i="17"/>
  <c r="W568" i="17"/>
  <c r="A568" i="17"/>
  <c r="Z567" i="17"/>
  <c r="W567" i="17"/>
  <c r="A567" i="17"/>
  <c r="Z566" i="17"/>
  <c r="W566" i="17"/>
  <c r="A566" i="17"/>
  <c r="Z565" i="17"/>
  <c r="W565" i="17"/>
  <c r="A565" i="17"/>
  <c r="Z564" i="17"/>
  <c r="W564" i="17"/>
  <c r="A564" i="17"/>
  <c r="Z563" i="17"/>
  <c r="W563" i="17"/>
  <c r="A563" i="17"/>
  <c r="Z562" i="17"/>
  <c r="W562" i="17"/>
  <c r="A562" i="17"/>
  <c r="Z561" i="17"/>
  <c r="W561" i="17"/>
  <c r="A561" i="17"/>
  <c r="Z560" i="17"/>
  <c r="W560" i="17"/>
  <c r="A560" i="17"/>
  <c r="Z559" i="17"/>
  <c r="W559" i="17"/>
  <c r="A559" i="17"/>
  <c r="Z558" i="17"/>
  <c r="W558" i="17"/>
  <c r="A558" i="17"/>
  <c r="Z557" i="17"/>
  <c r="W557" i="17"/>
  <c r="A557" i="17"/>
  <c r="Z556" i="17"/>
  <c r="W556" i="17"/>
  <c r="A556" i="17"/>
  <c r="Z555" i="17"/>
  <c r="W555" i="17"/>
  <c r="A555" i="17"/>
  <c r="Z554" i="17"/>
  <c r="W554" i="17"/>
  <c r="A554" i="17"/>
  <c r="Z553" i="17"/>
  <c r="W553" i="17"/>
  <c r="A553" i="17"/>
  <c r="Z552" i="17"/>
  <c r="W552" i="17"/>
  <c r="A552" i="17"/>
  <c r="Z551" i="17"/>
  <c r="W551" i="17"/>
  <c r="A551" i="17"/>
  <c r="Z550" i="17"/>
  <c r="W550" i="17"/>
  <c r="A550" i="17"/>
  <c r="Z549" i="17"/>
  <c r="W549" i="17"/>
  <c r="A549" i="17"/>
  <c r="Z548" i="17"/>
  <c r="W548" i="17"/>
  <c r="A548" i="17"/>
  <c r="Z547" i="17"/>
  <c r="W547" i="17"/>
  <c r="A547" i="17"/>
  <c r="Z546" i="17"/>
  <c r="W546" i="17"/>
  <c r="A546" i="17"/>
  <c r="Z545" i="17"/>
  <c r="W545" i="17"/>
  <c r="A545" i="17"/>
  <c r="Z544" i="17"/>
  <c r="W544" i="17"/>
  <c r="A544" i="17"/>
  <c r="Z543" i="17"/>
  <c r="W543" i="17"/>
  <c r="A543" i="17"/>
  <c r="Z542" i="17"/>
  <c r="W542" i="17"/>
  <c r="A542" i="17"/>
  <c r="Z541" i="17"/>
  <c r="W541" i="17"/>
  <c r="A541" i="17"/>
  <c r="Z540" i="17"/>
  <c r="W540" i="17"/>
  <c r="A540" i="17"/>
  <c r="Z539" i="17"/>
  <c r="W539" i="17"/>
  <c r="A539" i="17"/>
  <c r="Z538" i="17"/>
  <c r="W538" i="17"/>
  <c r="A538" i="17"/>
  <c r="Z537" i="17"/>
  <c r="W537" i="17"/>
  <c r="A537" i="17"/>
  <c r="Z536" i="17"/>
  <c r="W536" i="17"/>
  <c r="A536" i="17"/>
  <c r="Z535" i="17"/>
  <c r="W535" i="17"/>
  <c r="A535" i="17"/>
  <c r="Z534" i="17"/>
  <c r="W534" i="17"/>
  <c r="A534" i="17"/>
  <c r="Z533" i="17"/>
  <c r="W533" i="17"/>
  <c r="A533" i="17"/>
  <c r="Z532" i="17"/>
  <c r="W532" i="17"/>
  <c r="A532" i="17"/>
  <c r="Z531" i="17"/>
  <c r="W531" i="17"/>
  <c r="A531" i="17"/>
  <c r="Z530" i="17"/>
  <c r="W530" i="17"/>
  <c r="A530" i="17"/>
  <c r="Z529" i="17"/>
  <c r="W529" i="17"/>
  <c r="A529" i="17"/>
  <c r="Z528" i="17"/>
  <c r="W528" i="17"/>
  <c r="A528" i="17"/>
  <c r="Z527" i="17"/>
  <c r="W527" i="17"/>
  <c r="A527" i="17"/>
  <c r="Z526" i="17"/>
  <c r="W526" i="17"/>
  <c r="A526" i="17"/>
  <c r="Z525" i="17"/>
  <c r="W525" i="17"/>
  <c r="A525" i="17"/>
  <c r="Z524" i="17"/>
  <c r="W524" i="17"/>
  <c r="A524" i="17"/>
  <c r="Z523" i="17"/>
  <c r="W523" i="17"/>
  <c r="A523" i="17"/>
  <c r="Z522" i="17"/>
  <c r="W522" i="17"/>
  <c r="A522" i="17"/>
  <c r="Z521" i="17"/>
  <c r="W521" i="17"/>
  <c r="A521" i="17"/>
  <c r="Z520" i="17"/>
  <c r="W520" i="17"/>
  <c r="A520" i="17"/>
  <c r="Z519" i="17"/>
  <c r="W519" i="17"/>
  <c r="A519" i="17"/>
  <c r="Z518" i="17"/>
  <c r="W518" i="17"/>
  <c r="A518" i="17"/>
  <c r="Z517" i="17"/>
  <c r="W517" i="17"/>
  <c r="A517" i="17"/>
  <c r="Z516" i="17"/>
  <c r="W516" i="17"/>
  <c r="A516" i="17"/>
  <c r="Z515" i="17"/>
  <c r="W515" i="17"/>
  <c r="A515" i="17"/>
  <c r="Z514" i="17"/>
  <c r="W514" i="17"/>
  <c r="A514" i="17"/>
  <c r="Z513" i="17"/>
  <c r="W513" i="17"/>
  <c r="A513" i="17"/>
  <c r="Z512" i="17"/>
  <c r="W512" i="17"/>
  <c r="A512" i="17"/>
  <c r="Z511" i="17"/>
  <c r="W511" i="17"/>
  <c r="A511" i="17"/>
  <c r="Z510" i="17"/>
  <c r="W510" i="17"/>
  <c r="A510" i="17"/>
  <c r="Z509" i="17"/>
  <c r="W509" i="17"/>
  <c r="A509" i="17"/>
  <c r="Z508" i="17"/>
  <c r="W508" i="17"/>
  <c r="A508" i="17"/>
  <c r="Z507" i="17"/>
  <c r="W507" i="17"/>
  <c r="A507" i="17"/>
  <c r="Z506" i="17"/>
  <c r="W506" i="17"/>
  <c r="A506" i="17"/>
  <c r="Z505" i="17"/>
  <c r="W505" i="17"/>
  <c r="A505" i="17"/>
  <c r="Z504" i="17"/>
  <c r="W504" i="17"/>
  <c r="A504" i="17"/>
  <c r="Z503" i="17"/>
  <c r="W503" i="17"/>
  <c r="A503" i="17"/>
  <c r="Z502" i="17"/>
  <c r="W502" i="17"/>
  <c r="A502" i="17"/>
  <c r="Z501" i="17"/>
  <c r="W501" i="17"/>
  <c r="A501" i="17"/>
  <c r="Z500" i="17"/>
  <c r="W500" i="17"/>
  <c r="A500" i="17"/>
  <c r="Z499" i="17"/>
  <c r="W499" i="17"/>
  <c r="A499" i="17"/>
  <c r="Z498" i="17"/>
  <c r="W498" i="17"/>
  <c r="A498" i="17"/>
  <c r="Z497" i="17"/>
  <c r="W497" i="17"/>
  <c r="A497" i="17"/>
  <c r="Z496" i="17"/>
  <c r="W496" i="17"/>
  <c r="A496" i="17"/>
  <c r="Z495" i="17"/>
  <c r="W495" i="17"/>
  <c r="A495" i="17"/>
  <c r="Z494" i="17"/>
  <c r="W494" i="17"/>
  <c r="A494" i="17"/>
  <c r="Z493" i="17"/>
  <c r="W493" i="17"/>
  <c r="A493" i="17"/>
  <c r="Z492" i="17"/>
  <c r="W492" i="17"/>
  <c r="A492" i="17"/>
  <c r="Z491" i="17"/>
  <c r="W491" i="17"/>
  <c r="A491" i="17"/>
  <c r="Z490" i="17"/>
  <c r="W490" i="17"/>
  <c r="A490" i="17"/>
  <c r="Z489" i="17"/>
  <c r="W489" i="17"/>
  <c r="A489" i="17"/>
  <c r="Z488" i="17"/>
  <c r="W488" i="17"/>
  <c r="A488" i="17"/>
  <c r="Z487" i="17"/>
  <c r="W487" i="17"/>
  <c r="A487" i="17"/>
  <c r="Z486" i="17"/>
  <c r="W486" i="17"/>
  <c r="A486" i="17"/>
  <c r="Z485" i="17"/>
  <c r="W485" i="17"/>
  <c r="A485" i="17"/>
  <c r="Z484" i="17"/>
  <c r="W484" i="17"/>
  <c r="A484" i="17"/>
  <c r="Z483" i="17"/>
  <c r="W483" i="17"/>
  <c r="A483" i="17"/>
  <c r="Z482" i="17"/>
  <c r="W482" i="17"/>
  <c r="A482" i="17"/>
  <c r="Z481" i="17"/>
  <c r="W481" i="17"/>
  <c r="A481" i="17"/>
  <c r="Z480" i="17"/>
  <c r="W480" i="17"/>
  <c r="A480" i="17"/>
  <c r="Z479" i="17"/>
  <c r="W479" i="17"/>
  <c r="A479" i="17"/>
  <c r="Z478" i="17"/>
  <c r="W478" i="17"/>
  <c r="A478" i="17"/>
  <c r="Z477" i="17"/>
  <c r="W477" i="17"/>
  <c r="A477" i="17"/>
  <c r="Z476" i="17"/>
  <c r="W476" i="17"/>
  <c r="A476" i="17"/>
  <c r="Z475" i="17"/>
  <c r="W475" i="17"/>
  <c r="A475" i="17"/>
  <c r="Z474" i="17"/>
  <c r="W474" i="17"/>
  <c r="A474" i="17"/>
  <c r="Z473" i="17"/>
  <c r="W473" i="17"/>
  <c r="A473" i="17"/>
  <c r="Z472" i="17"/>
  <c r="W472" i="17"/>
  <c r="A472" i="17"/>
  <c r="Z471" i="17"/>
  <c r="W471" i="17"/>
  <c r="A471" i="17"/>
  <c r="Z470" i="17"/>
  <c r="W470" i="17"/>
  <c r="A470" i="17"/>
  <c r="Z469" i="17"/>
  <c r="W469" i="17"/>
  <c r="A469" i="17"/>
  <c r="Z468" i="17"/>
  <c r="W468" i="17"/>
  <c r="A468" i="17"/>
  <c r="Z467" i="17"/>
  <c r="W467" i="17"/>
  <c r="A467" i="17"/>
  <c r="Z466" i="17"/>
  <c r="W466" i="17"/>
  <c r="A466" i="17"/>
  <c r="Z465" i="17"/>
  <c r="W465" i="17"/>
  <c r="A465" i="17"/>
  <c r="Z464" i="17"/>
  <c r="W464" i="17"/>
  <c r="A464" i="17"/>
  <c r="Z463" i="17"/>
  <c r="W463" i="17"/>
  <c r="A463" i="17"/>
  <c r="Z462" i="17"/>
  <c r="W462" i="17"/>
  <c r="A462" i="17"/>
  <c r="Z461" i="17"/>
  <c r="W461" i="17"/>
  <c r="A461" i="17"/>
  <c r="Z460" i="17"/>
  <c r="W460" i="17"/>
  <c r="A460" i="17"/>
  <c r="Z459" i="17"/>
  <c r="W459" i="17"/>
  <c r="A459" i="17"/>
  <c r="Z458" i="17"/>
  <c r="W458" i="17"/>
  <c r="A458" i="17"/>
  <c r="Z457" i="17"/>
  <c r="W457" i="17"/>
  <c r="A457" i="17"/>
  <c r="Z456" i="17"/>
  <c r="W456" i="17"/>
  <c r="A456" i="17"/>
  <c r="Z455" i="17"/>
  <c r="W455" i="17"/>
  <c r="A455" i="17"/>
  <c r="Z454" i="17"/>
  <c r="W454" i="17"/>
  <c r="A454" i="17"/>
  <c r="Z453" i="17"/>
  <c r="W453" i="17"/>
  <c r="A453" i="17"/>
  <c r="Z452" i="17"/>
  <c r="W452" i="17"/>
  <c r="A452" i="17"/>
  <c r="Z451" i="17"/>
  <c r="W451" i="17"/>
  <c r="A451" i="17"/>
  <c r="Z450" i="17"/>
  <c r="W450" i="17"/>
  <c r="A450" i="17"/>
  <c r="Z449" i="17"/>
  <c r="W449" i="17"/>
  <c r="A449" i="17"/>
  <c r="Z448" i="17"/>
  <c r="W448" i="17"/>
  <c r="A448" i="17"/>
  <c r="Z447" i="17"/>
  <c r="W447" i="17"/>
  <c r="A447" i="17"/>
  <c r="Z446" i="17"/>
  <c r="W446" i="17"/>
  <c r="A446" i="17"/>
  <c r="Z445" i="17"/>
  <c r="W445" i="17"/>
  <c r="A445" i="17"/>
  <c r="Z444" i="17"/>
  <c r="W444" i="17"/>
  <c r="A444" i="17"/>
  <c r="Z443" i="17"/>
  <c r="W443" i="17"/>
  <c r="A443" i="17"/>
  <c r="Z442" i="17"/>
  <c r="W442" i="17"/>
  <c r="A442" i="17"/>
  <c r="Z441" i="17"/>
  <c r="W441" i="17"/>
  <c r="A441" i="17"/>
  <c r="Z440" i="17"/>
  <c r="W440" i="17"/>
  <c r="A440" i="17"/>
  <c r="Z439" i="17"/>
  <c r="W439" i="17"/>
  <c r="A439" i="17"/>
  <c r="Z438" i="17"/>
  <c r="W438" i="17"/>
  <c r="A438" i="17"/>
  <c r="Z437" i="17"/>
  <c r="W437" i="17"/>
  <c r="A437" i="17"/>
  <c r="Z436" i="17"/>
  <c r="W436" i="17"/>
  <c r="A436" i="17"/>
  <c r="Z435" i="17"/>
  <c r="W435" i="17"/>
  <c r="A435" i="17"/>
  <c r="Z434" i="17"/>
  <c r="W434" i="17"/>
  <c r="A434" i="17"/>
  <c r="Z433" i="17"/>
  <c r="W433" i="17"/>
  <c r="A433" i="17"/>
  <c r="Z432" i="17"/>
  <c r="W432" i="17"/>
  <c r="A432" i="17"/>
  <c r="Z431" i="17"/>
  <c r="W431" i="17"/>
  <c r="A431" i="17"/>
  <c r="Z430" i="17"/>
  <c r="W430" i="17"/>
  <c r="A430" i="17"/>
  <c r="Z429" i="17"/>
  <c r="W429" i="17"/>
  <c r="A429" i="17"/>
  <c r="Z428" i="17"/>
  <c r="W428" i="17"/>
  <c r="A428" i="17"/>
  <c r="Z427" i="17"/>
  <c r="W427" i="17"/>
  <c r="A427" i="17"/>
  <c r="Z426" i="17"/>
  <c r="W426" i="17"/>
  <c r="A426" i="17"/>
  <c r="Z425" i="17"/>
  <c r="W425" i="17"/>
  <c r="A425" i="17"/>
  <c r="Z424" i="17"/>
  <c r="W424" i="17"/>
  <c r="A424" i="17"/>
  <c r="Z423" i="17"/>
  <c r="W423" i="17"/>
  <c r="A423" i="17"/>
  <c r="Z422" i="17"/>
  <c r="W422" i="17"/>
  <c r="A422" i="17"/>
  <c r="Z421" i="17"/>
  <c r="W421" i="17"/>
  <c r="A421" i="17"/>
  <c r="Z420" i="17"/>
  <c r="W420" i="17"/>
  <c r="A420" i="17"/>
  <c r="Z419" i="17"/>
  <c r="W419" i="17"/>
  <c r="A419" i="17"/>
  <c r="Z418" i="17"/>
  <c r="W418" i="17"/>
  <c r="A418" i="17"/>
  <c r="Z417" i="17"/>
  <c r="W417" i="17"/>
  <c r="A417" i="17"/>
  <c r="Z416" i="17"/>
  <c r="W416" i="17"/>
  <c r="A416" i="17"/>
  <c r="Z415" i="17"/>
  <c r="W415" i="17"/>
  <c r="A415" i="17"/>
  <c r="Z414" i="17"/>
  <c r="W414" i="17"/>
  <c r="A414" i="17"/>
  <c r="Z413" i="17"/>
  <c r="W413" i="17"/>
  <c r="A413" i="17"/>
  <c r="Z412" i="17"/>
  <c r="W412" i="17"/>
  <c r="A412" i="17"/>
  <c r="Z411" i="17"/>
  <c r="W411" i="17"/>
  <c r="A411" i="17"/>
  <c r="Z410" i="17"/>
  <c r="W410" i="17"/>
  <c r="A410" i="17"/>
  <c r="Z409" i="17"/>
  <c r="W409" i="17"/>
  <c r="A409" i="17"/>
  <c r="Z408" i="17"/>
  <c r="W408" i="17"/>
  <c r="A408" i="17"/>
  <c r="Z407" i="17"/>
  <c r="W407" i="17"/>
  <c r="Z240" i="17"/>
  <c r="W240" i="17"/>
  <c r="Z239" i="17"/>
  <c r="W239" i="17"/>
  <c r="A239" i="17"/>
  <c r="W238" i="17"/>
  <c r="A238" i="17"/>
  <c r="Z236" i="17"/>
  <c r="W236" i="17"/>
  <c r="A236" i="17"/>
  <c r="W235" i="17"/>
  <c r="Z234" i="17"/>
  <c r="W234" i="17"/>
  <c r="A234" i="17"/>
  <c r="Z232" i="17"/>
  <c r="W232" i="17"/>
  <c r="Z231" i="17"/>
  <c r="W231" i="17"/>
  <c r="A231" i="17"/>
  <c r="W230" i="17"/>
  <c r="A230" i="17"/>
  <c r="Z228" i="17"/>
  <c r="W228" i="17"/>
  <c r="A228" i="17"/>
  <c r="A227" i="17"/>
  <c r="A226" i="17"/>
  <c r="Z224" i="17"/>
  <c r="Z218" i="17"/>
  <c r="A217" i="17"/>
  <c r="W215" i="17"/>
  <c r="Z214" i="17"/>
  <c r="Z213" i="17"/>
  <c r="A213" i="17"/>
  <c r="A212" i="17"/>
  <c r="A209" i="17"/>
  <c r="Z207" i="17"/>
  <c r="Z206" i="17"/>
  <c r="A204" i="17"/>
  <c r="Z202" i="17"/>
  <c r="Z201" i="17"/>
  <c r="Z200" i="17"/>
  <c r="W199" i="17"/>
  <c r="F230" i="14"/>
  <c r="F216" i="14"/>
  <c r="F213" i="14"/>
  <c r="F207" i="14"/>
  <c r="F201" i="14"/>
  <c r="F198" i="14"/>
  <c r="A407" i="17"/>
  <c r="Z406" i="17"/>
  <c r="W406" i="17"/>
  <c r="A406" i="17"/>
  <c r="Z405" i="17"/>
  <c r="W405" i="17"/>
  <c r="A405" i="17"/>
  <c r="Z404" i="17"/>
  <c r="W404" i="17"/>
  <c r="A404" i="17"/>
  <c r="Z403" i="17"/>
  <c r="W403" i="17"/>
  <c r="A403" i="17"/>
  <c r="Z402" i="17"/>
  <c r="W402" i="17"/>
  <c r="A402" i="17"/>
  <c r="Z401" i="17"/>
  <c r="W401" i="17"/>
  <c r="A401" i="17"/>
  <c r="Z400" i="17"/>
  <c r="W400" i="17"/>
  <c r="A400" i="17"/>
  <c r="Z399" i="17"/>
  <c r="W399" i="17"/>
  <c r="A399" i="17"/>
  <c r="Z398" i="17"/>
  <c r="W398" i="17"/>
  <c r="A398" i="17"/>
  <c r="Z397" i="17"/>
  <c r="W397" i="17"/>
  <c r="A397" i="17"/>
  <c r="Z396" i="17"/>
  <c r="W396" i="17"/>
  <c r="A396" i="17"/>
  <c r="Z395" i="17"/>
  <c r="W395" i="17"/>
  <c r="A395" i="17"/>
  <c r="Z394" i="17"/>
  <c r="W394" i="17"/>
  <c r="A394" i="17"/>
  <c r="Z393" i="17"/>
  <c r="W393" i="17"/>
  <c r="A393" i="17"/>
  <c r="Z392" i="17"/>
  <c r="W392" i="17"/>
  <c r="A392" i="17"/>
  <c r="Z391" i="17"/>
  <c r="W391" i="17"/>
  <c r="A391" i="17"/>
  <c r="Z390" i="17"/>
  <c r="W390" i="17"/>
  <c r="A390" i="17"/>
  <c r="Z389" i="17"/>
  <c r="W389" i="17"/>
  <c r="A389" i="17"/>
  <c r="Z388" i="17"/>
  <c r="W388" i="17"/>
  <c r="A388" i="17"/>
  <c r="Z387" i="17"/>
  <c r="W387" i="17"/>
  <c r="A387" i="17"/>
  <c r="Z386" i="17"/>
  <c r="W386" i="17"/>
  <c r="A386" i="17"/>
  <c r="Z385" i="17"/>
  <c r="W385" i="17"/>
  <c r="A385" i="17"/>
  <c r="Z384" i="17"/>
  <c r="W384" i="17"/>
  <c r="A384" i="17"/>
  <c r="Z383" i="17"/>
  <c r="W383" i="17"/>
  <c r="A383" i="17"/>
  <c r="Z382" i="17"/>
  <c r="W382" i="17"/>
  <c r="A382" i="17"/>
  <c r="Z381" i="17"/>
  <c r="W381" i="17"/>
  <c r="A381" i="17"/>
  <c r="Z380" i="17"/>
  <c r="W380" i="17"/>
  <c r="A380" i="17"/>
  <c r="Z379" i="17"/>
  <c r="W379" i="17"/>
  <c r="A379" i="17"/>
  <c r="Z378" i="17"/>
  <c r="W378" i="17"/>
  <c r="A378" i="17"/>
  <c r="Z377" i="17"/>
  <c r="W377" i="17"/>
  <c r="A377" i="17"/>
  <c r="Z376" i="17"/>
  <c r="W376" i="17"/>
  <c r="A376" i="17"/>
  <c r="Z375" i="17"/>
  <c r="W375" i="17"/>
  <c r="A375" i="17"/>
  <c r="Z374" i="17"/>
  <c r="W374" i="17"/>
  <c r="A374" i="17"/>
  <c r="Z373" i="17"/>
  <c r="W373" i="17"/>
  <c r="A373" i="17"/>
  <c r="Z372" i="17"/>
  <c r="W372" i="17"/>
  <c r="A372" i="17"/>
  <c r="Z371" i="17"/>
  <c r="W371" i="17"/>
  <c r="A371" i="17"/>
  <c r="Z370" i="17"/>
  <c r="W370" i="17"/>
  <c r="A370" i="17"/>
  <c r="Z369" i="17"/>
  <c r="W369" i="17"/>
  <c r="A369" i="17"/>
  <c r="Z368" i="17"/>
  <c r="W368" i="17"/>
  <c r="A368" i="17"/>
  <c r="Z367" i="17"/>
  <c r="W367" i="17"/>
  <c r="A367" i="17"/>
  <c r="Z366" i="17"/>
  <c r="W366" i="17"/>
  <c r="A366" i="17"/>
  <c r="Z365" i="17"/>
  <c r="W365" i="17"/>
  <c r="A365" i="17"/>
  <c r="Z364" i="17"/>
  <c r="W364" i="17"/>
  <c r="A364" i="17"/>
  <c r="Z363" i="17"/>
  <c r="W363" i="17"/>
  <c r="A363" i="17"/>
  <c r="Z362" i="17"/>
  <c r="W362" i="17"/>
  <c r="A362" i="17"/>
  <c r="Z361" i="17"/>
  <c r="W361" i="17"/>
  <c r="A361" i="17"/>
  <c r="Z360" i="17"/>
  <c r="W360" i="17"/>
  <c r="A360" i="17"/>
  <c r="Z359" i="17"/>
  <c r="W359" i="17"/>
  <c r="A359" i="17"/>
  <c r="Z358" i="17"/>
  <c r="W358" i="17"/>
  <c r="A358" i="17"/>
  <c r="Z357" i="17"/>
  <c r="W357" i="17"/>
  <c r="A357" i="17"/>
  <c r="Z356" i="17"/>
  <c r="W356" i="17"/>
  <c r="A356" i="17"/>
  <c r="Z355" i="17"/>
  <c r="W355" i="17"/>
  <c r="A355" i="17"/>
  <c r="Z354" i="17"/>
  <c r="W354" i="17"/>
  <c r="A354" i="17"/>
  <c r="Z353" i="17"/>
  <c r="W353" i="17"/>
  <c r="A353" i="17"/>
  <c r="Z352" i="17"/>
  <c r="W352" i="17"/>
  <c r="A352" i="17"/>
  <c r="Z351" i="17"/>
  <c r="W351" i="17"/>
  <c r="A351" i="17"/>
  <c r="Z350" i="17"/>
  <c r="W350" i="17"/>
  <c r="A350" i="17"/>
  <c r="Z349" i="17"/>
  <c r="W349" i="17"/>
  <c r="A349" i="17"/>
  <c r="Z348" i="17"/>
  <c r="W348" i="17"/>
  <c r="A348" i="17"/>
  <c r="Z347" i="17"/>
  <c r="W347" i="17"/>
  <c r="A347" i="17"/>
  <c r="Z346" i="17"/>
  <c r="W346" i="17"/>
  <c r="A346" i="17"/>
  <c r="Z345" i="17"/>
  <c r="W345" i="17"/>
  <c r="A345" i="17"/>
  <c r="Z344" i="17"/>
  <c r="W344" i="17"/>
  <c r="A344" i="17"/>
  <c r="Z343" i="17"/>
  <c r="W343" i="17"/>
  <c r="A343" i="17"/>
  <c r="Z342" i="17"/>
  <c r="W342" i="17"/>
  <c r="A342" i="17"/>
  <c r="Z341" i="17"/>
  <c r="W341" i="17"/>
  <c r="A341" i="17"/>
  <c r="Z340" i="17"/>
  <c r="W340" i="17"/>
  <c r="A340" i="17"/>
  <c r="Z339" i="17"/>
  <c r="W339" i="17"/>
  <c r="A339" i="17"/>
  <c r="Z338" i="17"/>
  <c r="W338" i="17"/>
  <c r="A338" i="17"/>
  <c r="Z337" i="17"/>
  <c r="W337" i="17"/>
  <c r="A337" i="17"/>
  <c r="Z336" i="17"/>
  <c r="W336" i="17"/>
  <c r="A336" i="17"/>
  <c r="Z335" i="17"/>
  <c r="W335" i="17"/>
  <c r="A335" i="17"/>
  <c r="Z334" i="17"/>
  <c r="W334" i="17"/>
  <c r="A334" i="17"/>
  <c r="Z333" i="17"/>
  <c r="W333" i="17"/>
  <c r="A333" i="17"/>
  <c r="Z332" i="17"/>
  <c r="W332" i="17"/>
  <c r="A332" i="17"/>
  <c r="Z331" i="17"/>
  <c r="W331" i="17"/>
  <c r="A331" i="17"/>
  <c r="Z330" i="17"/>
  <c r="W330" i="17"/>
  <c r="A330" i="17"/>
  <c r="Z329" i="17"/>
  <c r="W329" i="17"/>
  <c r="A329" i="17"/>
  <c r="Z328" i="17"/>
  <c r="W328" i="17"/>
  <c r="A328" i="17"/>
  <c r="Z327" i="17"/>
  <c r="W327" i="17"/>
  <c r="A327" i="17"/>
  <c r="Z326" i="17"/>
  <c r="W326" i="17"/>
  <c r="A326" i="17"/>
  <c r="Z325" i="17"/>
  <c r="W325" i="17"/>
  <c r="A325" i="17"/>
  <c r="Z324" i="17"/>
  <c r="W324" i="17"/>
  <c r="A324" i="17"/>
  <c r="Z323" i="17"/>
  <c r="W323" i="17"/>
  <c r="A323" i="17"/>
  <c r="Z322" i="17"/>
  <c r="W322" i="17"/>
  <c r="A322" i="17"/>
  <c r="Z321" i="17"/>
  <c r="W321" i="17"/>
  <c r="A321" i="17"/>
  <c r="Z320" i="17"/>
  <c r="W320" i="17"/>
  <c r="A320" i="17"/>
  <c r="Z319" i="17"/>
  <c r="W319" i="17"/>
  <c r="A319" i="17"/>
  <c r="Z318" i="17"/>
  <c r="W318" i="17"/>
  <c r="A318" i="17"/>
  <c r="Z317" i="17"/>
  <c r="W317" i="17"/>
  <c r="A317" i="17"/>
  <c r="Z316" i="17"/>
  <c r="W316" i="17"/>
  <c r="A316" i="17"/>
  <c r="Z315" i="17"/>
  <c r="W315" i="17"/>
  <c r="A315" i="17"/>
  <c r="Z314" i="17"/>
  <c r="W314" i="17"/>
  <c r="A314" i="17"/>
  <c r="Z313" i="17"/>
  <c r="W313" i="17"/>
  <c r="A313" i="17"/>
  <c r="Z312" i="17"/>
  <c r="W312" i="17"/>
  <c r="A312" i="17"/>
  <c r="Z311" i="17"/>
  <c r="W311" i="17"/>
  <c r="A311" i="17"/>
  <c r="Z310" i="17"/>
  <c r="W310" i="17"/>
  <c r="A310" i="17"/>
  <c r="Z309" i="17"/>
  <c r="W309" i="17"/>
  <c r="A309" i="17"/>
  <c r="Z308" i="17"/>
  <c r="W308" i="17"/>
  <c r="A308" i="17"/>
  <c r="Z307" i="17"/>
  <c r="W307" i="17"/>
  <c r="A307" i="17"/>
  <c r="Z306" i="17"/>
  <c r="W306" i="17"/>
  <c r="A306" i="17"/>
  <c r="Z305" i="17"/>
  <c r="W305" i="17"/>
  <c r="A305" i="17"/>
  <c r="Z304" i="17"/>
  <c r="W304" i="17"/>
  <c r="A304" i="17"/>
  <c r="Z303" i="17"/>
  <c r="W303" i="17"/>
  <c r="A303" i="17"/>
  <c r="Z302" i="17"/>
  <c r="W302" i="17"/>
  <c r="A302" i="17"/>
  <c r="Z301" i="17"/>
  <c r="W301" i="17"/>
  <c r="A301" i="17"/>
  <c r="Z300" i="17"/>
  <c r="W300" i="17"/>
  <c r="A300" i="17"/>
  <c r="Z299" i="17"/>
  <c r="W299" i="17"/>
  <c r="A299" i="17"/>
  <c r="Z298" i="17"/>
  <c r="W298" i="17"/>
  <c r="A298" i="17"/>
  <c r="Z297" i="17"/>
  <c r="W297" i="17"/>
  <c r="A297" i="17"/>
  <c r="Z296" i="17"/>
  <c r="W296" i="17"/>
  <c r="A296" i="17"/>
  <c r="Z295" i="17"/>
  <c r="W295" i="17"/>
  <c r="A295" i="17"/>
  <c r="Z294" i="17"/>
  <c r="W294" i="17"/>
  <c r="A294" i="17"/>
  <c r="Z293" i="17"/>
  <c r="W293" i="17"/>
  <c r="A293" i="17"/>
  <c r="Z292" i="17"/>
  <c r="W292" i="17"/>
  <c r="A292" i="17"/>
  <c r="Z291" i="17"/>
  <c r="W291" i="17"/>
  <c r="A291" i="17"/>
  <c r="Z290" i="17"/>
  <c r="W290" i="17"/>
  <c r="A290" i="17"/>
  <c r="Z289" i="17"/>
  <c r="W289" i="17"/>
  <c r="A289" i="17"/>
  <c r="Z288" i="17"/>
  <c r="W288" i="17"/>
  <c r="A288" i="17"/>
  <c r="Z287" i="17"/>
  <c r="W287" i="17"/>
  <c r="A287" i="17"/>
  <c r="Z286" i="17"/>
  <c r="W286" i="17"/>
  <c r="A286" i="17"/>
  <c r="Z285" i="17"/>
  <c r="W285" i="17"/>
  <c r="A285" i="17"/>
  <c r="Z284" i="17"/>
  <c r="W284" i="17"/>
  <c r="A284" i="17"/>
  <c r="Z283" i="17"/>
  <c r="W283" i="17"/>
  <c r="A283" i="17"/>
  <c r="Z282" i="17"/>
  <c r="W282" i="17"/>
  <c r="A282" i="17"/>
  <c r="Z281" i="17"/>
  <c r="W281" i="17"/>
  <c r="A281" i="17"/>
  <c r="Z280" i="17"/>
  <c r="W280" i="17"/>
  <c r="A280" i="17"/>
  <c r="Z279" i="17"/>
  <c r="W279" i="17"/>
  <c r="A279" i="17"/>
  <c r="Z278" i="17"/>
  <c r="W278" i="17"/>
  <c r="A278" i="17"/>
  <c r="Z277" i="17"/>
  <c r="W277" i="17"/>
  <c r="A277" i="17"/>
  <c r="Z276" i="17"/>
  <c r="W276" i="17"/>
  <c r="A276" i="17"/>
  <c r="Z275" i="17"/>
  <c r="W275" i="17"/>
  <c r="A275" i="17"/>
  <c r="Z274" i="17"/>
  <c r="W274" i="17"/>
  <c r="A274" i="17"/>
  <c r="Z273" i="17"/>
  <c r="W273" i="17"/>
  <c r="A273" i="17"/>
  <c r="Z272" i="17"/>
  <c r="W272" i="17"/>
  <c r="A272" i="17"/>
  <c r="Z271" i="17"/>
  <c r="W271" i="17"/>
  <c r="A271" i="17"/>
  <c r="Z270" i="17"/>
  <c r="W270" i="17"/>
  <c r="A270" i="17"/>
  <c r="Z269" i="17"/>
  <c r="W269" i="17"/>
  <c r="A269" i="17"/>
  <c r="Z268" i="17"/>
  <c r="W268" i="17"/>
  <c r="A268" i="17"/>
  <c r="Z267" i="17"/>
  <c r="W267" i="17"/>
  <c r="A267" i="17"/>
  <c r="Z266" i="17"/>
  <c r="W266" i="17"/>
  <c r="A266" i="17"/>
  <c r="Z265" i="17"/>
  <c r="W265" i="17"/>
  <c r="A265" i="17"/>
  <c r="Z264" i="17"/>
  <c r="W264" i="17"/>
  <c r="A264" i="17"/>
  <c r="Z263" i="17"/>
  <c r="W263" i="17"/>
  <c r="A263" i="17"/>
  <c r="Z262" i="17"/>
  <c r="W262" i="17"/>
  <c r="A262" i="17"/>
  <c r="Z261" i="17"/>
  <c r="W261" i="17"/>
  <c r="A261" i="17"/>
  <c r="Z260" i="17"/>
  <c r="W260" i="17"/>
  <c r="A260" i="17"/>
  <c r="Z259" i="17"/>
  <c r="W259" i="17"/>
  <c r="A259" i="17"/>
  <c r="Z258" i="17"/>
  <c r="W258" i="17"/>
  <c r="A258" i="17"/>
  <c r="Z257" i="17"/>
  <c r="W257" i="17"/>
  <c r="A257" i="17"/>
  <c r="Z256" i="17"/>
  <c r="W256" i="17"/>
  <c r="A256" i="17"/>
  <c r="Z255" i="17"/>
  <c r="W255" i="17"/>
  <c r="A255" i="17"/>
  <c r="Z254" i="17"/>
  <c r="W254" i="17"/>
  <c r="A254" i="17"/>
  <c r="Z253" i="17"/>
  <c r="W253" i="17"/>
  <c r="A253" i="17"/>
  <c r="Z252" i="17"/>
  <c r="W252" i="17"/>
  <c r="A252" i="17"/>
  <c r="Z251" i="17"/>
  <c r="W251" i="17"/>
  <c r="A251" i="17"/>
  <c r="Z250" i="17"/>
  <c r="W250" i="17"/>
  <c r="A250" i="17"/>
  <c r="Z249" i="17"/>
  <c r="W249" i="17"/>
  <c r="A249" i="17"/>
  <c r="Z248" i="17"/>
  <c r="W248" i="17"/>
  <c r="A248" i="17"/>
  <c r="Z247" i="17"/>
  <c r="W247" i="17"/>
  <c r="A247" i="17"/>
  <c r="Z246" i="17"/>
  <c r="W246" i="17"/>
  <c r="A246" i="17"/>
  <c r="Z245" i="17"/>
  <c r="W245" i="17"/>
  <c r="A245" i="17"/>
  <c r="Z244" i="17"/>
  <c r="W244" i="17"/>
  <c r="A244" i="17"/>
  <c r="Z243" i="17"/>
  <c r="W243" i="17"/>
  <c r="A243" i="17"/>
  <c r="Z242" i="17"/>
  <c r="W242" i="17"/>
  <c r="A242" i="17"/>
  <c r="Z241" i="17"/>
  <c r="W241" i="17"/>
  <c r="A241" i="17"/>
  <c r="A240" i="17"/>
  <c r="Z238" i="17"/>
  <c r="Z237" i="17"/>
  <c r="W237" i="17"/>
  <c r="A237" i="17"/>
  <c r="Z235" i="17"/>
  <c r="A235" i="17"/>
  <c r="Z233" i="17"/>
  <c r="W233" i="17"/>
  <c r="A233" i="17"/>
  <c r="A232" i="17"/>
  <c r="Z230" i="17"/>
  <c r="Z229" i="17"/>
  <c r="W229" i="17"/>
  <c r="A229" i="17"/>
  <c r="Z227" i="17"/>
  <c r="W227" i="17"/>
  <c r="Z226" i="17"/>
  <c r="W226" i="17"/>
  <c r="Z225" i="17"/>
  <c r="W225" i="17"/>
  <c r="Z223" i="17"/>
  <c r="A222" i="17"/>
  <c r="Z220" i="17"/>
  <c r="W219" i="17"/>
  <c r="A219" i="17"/>
  <c r="A218" i="17"/>
  <c r="W216" i="17"/>
  <c r="Z215" i="17"/>
  <c r="W212" i="17"/>
  <c r="Z210" i="17"/>
  <c r="A210" i="17"/>
  <c r="Z208" i="17"/>
  <c r="A207" i="17"/>
  <c r="A206" i="17"/>
  <c r="Z204" i="17"/>
  <c r="Z199" i="17"/>
  <c r="A199" i="17"/>
  <c r="O4" i="16"/>
  <c r="N4" i="16"/>
  <c r="K4" i="16"/>
  <c r="H4" i="16"/>
  <c r="D24" i="15"/>
  <c r="B23" i="15"/>
  <c r="E23" i="15" s="1"/>
  <c r="B20" i="15"/>
  <c r="E20" i="15" s="1"/>
  <c r="B19" i="15"/>
  <c r="E19" i="15" s="1"/>
  <c r="B18" i="15"/>
  <c r="E18" i="15" s="1"/>
  <c r="F289" i="14"/>
  <c r="F286" i="14"/>
  <c r="F281" i="14"/>
  <c r="F278" i="14"/>
  <c r="F268" i="14"/>
  <c r="F264" i="14"/>
  <c r="F263" i="14"/>
  <c r="F256" i="14"/>
  <c r="F251" i="14"/>
  <c r="F250" i="14"/>
  <c r="F249" i="14"/>
  <c r="F242" i="14"/>
  <c r="F241" i="14"/>
  <c r="F234" i="14"/>
  <c r="F233" i="14"/>
  <c r="F229" i="14"/>
  <c r="F220" i="14"/>
  <c r="F218" i="14"/>
  <c r="F212" i="14"/>
  <c r="F210" i="14"/>
  <c r="F206" i="14"/>
  <c r="F205" i="14"/>
  <c r="F193" i="14"/>
  <c r="W1882" i="17"/>
  <c r="D1879" i="17"/>
  <c r="C1874" i="17"/>
  <c r="C1873" i="17"/>
  <c r="W1871" i="17"/>
  <c r="Y1750" i="17"/>
  <c r="D1748" i="17"/>
  <c r="W1747" i="17"/>
  <c r="Y1746" i="17"/>
  <c r="C1744" i="17"/>
  <c r="C1743" i="17"/>
  <c r="C1742" i="17"/>
  <c r="Y1732" i="17"/>
  <c r="D1731" i="17"/>
  <c r="Y1727" i="17"/>
  <c r="Y1721" i="17"/>
  <c r="D1719" i="17"/>
  <c r="W1718" i="17"/>
  <c r="D1716" i="17"/>
  <c r="C1715" i="17"/>
  <c r="C1714" i="17"/>
  <c r="D1711" i="17"/>
  <c r="D1710" i="17"/>
  <c r="W1691" i="17"/>
  <c r="C1691" i="17"/>
  <c r="W1687" i="17"/>
  <c r="Y1684" i="17"/>
  <c r="W1683" i="17"/>
  <c r="W1680" i="17"/>
  <c r="Z197" i="17"/>
  <c r="W197" i="17"/>
  <c r="A197" i="17"/>
  <c r="Z196" i="17"/>
  <c r="W196" i="17"/>
  <c r="A196" i="17"/>
  <c r="Z195" i="17"/>
  <c r="W195" i="17"/>
  <c r="A195" i="17"/>
  <c r="Z194" i="17"/>
  <c r="W194" i="17"/>
  <c r="A194" i="17"/>
  <c r="Z193" i="17"/>
  <c r="W193" i="17"/>
  <c r="A193" i="17"/>
  <c r="Z192" i="17"/>
  <c r="W192" i="17"/>
  <c r="A192" i="17"/>
  <c r="Z191" i="17"/>
  <c r="W191" i="17"/>
  <c r="A191" i="17"/>
  <c r="Z190" i="17"/>
  <c r="W190" i="17"/>
  <c r="A190" i="17"/>
  <c r="Z189" i="17"/>
  <c r="W189" i="17"/>
  <c r="A189" i="17"/>
  <c r="Z188" i="17"/>
  <c r="W188" i="17"/>
  <c r="A188" i="17"/>
  <c r="Z187" i="17"/>
  <c r="W187" i="17"/>
  <c r="A187" i="17"/>
  <c r="Z186" i="17"/>
  <c r="W186" i="17"/>
  <c r="A186" i="17"/>
  <c r="Z185" i="17"/>
  <c r="A185" i="17"/>
  <c r="Z184" i="17"/>
  <c r="A184" i="17"/>
  <c r="Z183" i="17"/>
  <c r="W183" i="17"/>
  <c r="A183" i="17"/>
  <c r="Z182" i="17"/>
  <c r="W182" i="17"/>
  <c r="A182" i="17"/>
  <c r="Z181" i="17"/>
  <c r="W181" i="17"/>
  <c r="A181" i="17"/>
  <c r="Z180" i="17"/>
  <c r="W180" i="17"/>
  <c r="A180" i="17"/>
  <c r="Z179" i="17"/>
  <c r="W179" i="17"/>
  <c r="A179" i="17"/>
  <c r="Z178" i="17"/>
  <c r="W178" i="17"/>
  <c r="A178" i="17"/>
  <c r="Z177" i="17"/>
  <c r="W177" i="17"/>
  <c r="A177" i="17"/>
  <c r="Z176" i="17"/>
  <c r="W176" i="17"/>
  <c r="A176" i="17"/>
  <c r="Z175" i="17"/>
  <c r="W175" i="17"/>
  <c r="A175" i="17"/>
  <c r="Z174" i="17"/>
  <c r="W174" i="17"/>
  <c r="A174" i="17"/>
  <c r="Z173" i="17"/>
  <c r="W173" i="17"/>
  <c r="A173" i="17"/>
  <c r="Z172" i="17"/>
  <c r="W172" i="17"/>
  <c r="A172" i="17"/>
  <c r="Z171" i="17"/>
  <c r="W171" i="17"/>
  <c r="A171" i="17"/>
  <c r="Z170" i="17"/>
  <c r="W170" i="17"/>
  <c r="A170" i="17"/>
  <c r="Z169" i="17"/>
  <c r="W169" i="17"/>
  <c r="A169" i="17"/>
  <c r="Z168" i="17"/>
  <c r="W168" i="17"/>
  <c r="A168" i="17"/>
  <c r="Z167" i="17"/>
  <c r="W167" i="17"/>
  <c r="A167" i="17"/>
  <c r="Z166" i="17"/>
  <c r="A166" i="17"/>
  <c r="Z165" i="17"/>
  <c r="A165" i="17"/>
  <c r="Z164" i="17"/>
  <c r="W164" i="17"/>
  <c r="A164" i="17"/>
  <c r="Z163" i="17"/>
  <c r="W163" i="17"/>
  <c r="A163" i="17"/>
  <c r="Z162" i="17"/>
  <c r="W162" i="17"/>
  <c r="A162" i="17"/>
  <c r="Z161" i="17"/>
  <c r="W161" i="17"/>
  <c r="A161" i="17"/>
  <c r="Z160" i="17"/>
  <c r="W160" i="17"/>
  <c r="A160" i="17"/>
  <c r="Z159" i="17"/>
  <c r="W159" i="17"/>
  <c r="A159" i="17"/>
  <c r="Z158" i="17"/>
  <c r="W158" i="17"/>
  <c r="A158" i="17"/>
  <c r="Z157" i="17"/>
  <c r="W157" i="17"/>
  <c r="A157" i="17"/>
  <c r="Z156" i="17"/>
  <c r="W156" i="17"/>
  <c r="A156" i="17"/>
  <c r="Z155" i="17"/>
  <c r="W155" i="17"/>
  <c r="A155" i="17"/>
  <c r="Z154" i="17"/>
  <c r="W154" i="17"/>
  <c r="A154" i="17"/>
  <c r="Z153" i="17"/>
  <c r="W153" i="17"/>
  <c r="A153" i="17"/>
  <c r="Z152" i="17"/>
  <c r="W152" i="17"/>
  <c r="A152" i="17"/>
  <c r="Z151" i="17"/>
  <c r="W151" i="17"/>
  <c r="A151" i="17"/>
  <c r="Z150" i="17"/>
  <c r="W150" i="17"/>
  <c r="A150" i="17"/>
  <c r="Z149" i="17"/>
  <c r="W149" i="17"/>
  <c r="A149" i="17"/>
  <c r="Z148" i="17"/>
  <c r="W148" i="17"/>
  <c r="A148" i="17"/>
  <c r="Z147" i="17"/>
  <c r="A147" i="17"/>
  <c r="Z146" i="17"/>
  <c r="A146" i="17"/>
  <c r="Z145" i="17"/>
  <c r="W145" i="17"/>
  <c r="A145" i="17"/>
  <c r="Z144" i="17"/>
  <c r="W144" i="17"/>
  <c r="A144" i="17"/>
  <c r="Z143" i="17"/>
  <c r="W143" i="17"/>
  <c r="A143" i="17"/>
  <c r="Z142" i="17"/>
  <c r="W142" i="17"/>
  <c r="A142" i="17"/>
  <c r="Z141" i="17"/>
  <c r="W141" i="17"/>
  <c r="A141" i="17"/>
  <c r="Z140" i="17"/>
  <c r="W140" i="17"/>
  <c r="A140" i="17"/>
  <c r="Z139" i="17"/>
  <c r="W139" i="17"/>
  <c r="A139" i="17"/>
  <c r="Z138" i="17"/>
  <c r="W138" i="17"/>
  <c r="A138" i="17"/>
  <c r="Z137" i="17"/>
  <c r="W137" i="17"/>
  <c r="A137" i="17"/>
  <c r="Z136" i="17"/>
  <c r="W136" i="17"/>
  <c r="A136" i="17"/>
  <c r="Z135" i="17"/>
  <c r="W135" i="17"/>
  <c r="A135" i="17"/>
  <c r="Z134" i="17"/>
  <c r="W134" i="17"/>
  <c r="A134" i="17"/>
  <c r="Z133" i="17"/>
  <c r="W133" i="17"/>
  <c r="A133" i="17"/>
  <c r="Z132" i="17"/>
  <c r="W132" i="17"/>
  <c r="A132" i="17"/>
  <c r="Z131" i="17"/>
  <c r="W131" i="17"/>
  <c r="A131" i="17"/>
  <c r="Z130" i="17"/>
  <c r="W130" i="17"/>
  <c r="A130" i="17"/>
  <c r="Z129" i="17"/>
  <c r="W129" i="17"/>
  <c r="A129" i="17"/>
  <c r="Z128" i="17"/>
  <c r="A128" i="17"/>
  <c r="Z127" i="17"/>
  <c r="A127" i="17"/>
  <c r="Z126" i="17"/>
  <c r="W126" i="17"/>
  <c r="A126" i="17"/>
  <c r="Z125" i="17"/>
  <c r="W125" i="17"/>
  <c r="A125" i="17"/>
  <c r="Z124" i="17"/>
  <c r="W124" i="17"/>
  <c r="A124" i="17"/>
  <c r="Z123" i="17"/>
  <c r="W123" i="17"/>
  <c r="A123" i="17"/>
  <c r="Z122" i="17"/>
  <c r="W122" i="17"/>
  <c r="A122" i="17"/>
  <c r="Z121" i="17"/>
  <c r="W121" i="17"/>
  <c r="A121" i="17"/>
  <c r="Z120" i="17"/>
  <c r="W120" i="17"/>
  <c r="A120" i="17"/>
  <c r="Z119" i="17"/>
  <c r="W119" i="17"/>
  <c r="A119" i="17"/>
  <c r="Z118" i="17"/>
  <c r="W118" i="17"/>
  <c r="A118" i="17"/>
  <c r="Z117" i="17"/>
  <c r="W117" i="17"/>
  <c r="A117" i="17"/>
  <c r="Z116" i="17"/>
  <c r="W116" i="17"/>
  <c r="A116" i="17"/>
  <c r="Z115" i="17"/>
  <c r="W115" i="17"/>
  <c r="A115" i="17"/>
  <c r="Z114" i="17"/>
  <c r="W114" i="17"/>
  <c r="A114" i="17"/>
  <c r="Z113" i="17"/>
  <c r="W113" i="17"/>
  <c r="A113" i="17"/>
  <c r="Z112" i="17"/>
  <c r="W112" i="17"/>
  <c r="A112" i="17"/>
  <c r="Z111" i="17"/>
  <c r="W111" i="17"/>
  <c r="A111" i="17"/>
  <c r="Z110" i="17"/>
  <c r="W110" i="17"/>
  <c r="A110" i="17"/>
  <c r="Z109" i="17"/>
  <c r="A109" i="17"/>
  <c r="Z108" i="17"/>
  <c r="A108" i="17"/>
  <c r="Z107" i="17"/>
  <c r="W107" i="17"/>
  <c r="A107" i="17"/>
  <c r="Z106" i="17"/>
  <c r="W106" i="17"/>
  <c r="A106" i="17"/>
  <c r="Z105" i="17"/>
  <c r="W105" i="17"/>
  <c r="A105" i="17"/>
  <c r="Z104" i="17"/>
  <c r="W104" i="17"/>
  <c r="A104" i="17"/>
  <c r="Z103" i="17"/>
  <c r="W103" i="17"/>
  <c r="A103" i="17"/>
  <c r="Z102" i="17"/>
  <c r="W102" i="17"/>
  <c r="A102" i="17"/>
  <c r="Z101" i="17"/>
  <c r="W101" i="17"/>
  <c r="A101" i="17"/>
  <c r="Z100" i="17"/>
  <c r="W100" i="17"/>
  <c r="A100" i="17"/>
  <c r="Z99" i="17"/>
  <c r="W99" i="17"/>
  <c r="A99" i="17"/>
  <c r="Z98" i="17"/>
  <c r="W98" i="17"/>
  <c r="A98" i="17"/>
  <c r="Z97" i="17"/>
  <c r="W97" i="17"/>
  <c r="A97" i="17"/>
  <c r="Z96" i="17"/>
  <c r="W96" i="17"/>
  <c r="A96" i="17"/>
  <c r="Z95" i="17"/>
  <c r="W95" i="17"/>
  <c r="A95" i="17"/>
  <c r="Z94" i="17"/>
  <c r="W94" i="17"/>
  <c r="A94" i="17"/>
  <c r="Z93" i="17"/>
  <c r="W93" i="17"/>
  <c r="A93" i="17"/>
  <c r="Z92" i="17"/>
  <c r="W92" i="17"/>
  <c r="A92" i="17"/>
  <c r="Z91" i="17"/>
  <c r="W91" i="17"/>
  <c r="A91" i="17"/>
  <c r="Z90" i="17"/>
  <c r="A90" i="17"/>
  <c r="Z89" i="17"/>
  <c r="A89" i="17"/>
  <c r="Z88" i="17"/>
  <c r="W88" i="17"/>
  <c r="A88" i="17"/>
  <c r="Z87" i="17"/>
  <c r="W87" i="17"/>
  <c r="A87" i="17"/>
  <c r="Z86" i="17"/>
  <c r="W86" i="17"/>
  <c r="A86" i="17"/>
  <c r="Z85" i="17"/>
  <c r="W85" i="17"/>
  <c r="A85" i="17"/>
  <c r="Z84" i="17"/>
  <c r="W84" i="17"/>
  <c r="A84" i="17"/>
  <c r="Z83" i="17"/>
  <c r="W83" i="17"/>
  <c r="A83" i="17"/>
  <c r="Z82" i="17"/>
  <c r="W82" i="17"/>
  <c r="A82" i="17"/>
  <c r="Z81" i="17"/>
  <c r="W81" i="17"/>
  <c r="A81" i="17"/>
  <c r="Z80" i="17"/>
  <c r="W80" i="17"/>
  <c r="A80" i="17"/>
  <c r="Z79" i="17"/>
  <c r="W79" i="17"/>
  <c r="A79" i="17"/>
  <c r="Z78" i="17"/>
  <c r="W78" i="17"/>
  <c r="A78" i="17"/>
  <c r="Z77" i="17"/>
  <c r="W77" i="17"/>
  <c r="A77" i="17"/>
  <c r="Z76" i="17"/>
  <c r="W76" i="17"/>
  <c r="A76" i="17"/>
  <c r="Z75" i="17"/>
  <c r="W75" i="17"/>
  <c r="A75" i="17"/>
  <c r="Z74" i="17"/>
  <c r="W74" i="17"/>
  <c r="A74" i="17"/>
  <c r="Z73" i="17"/>
  <c r="W73" i="17"/>
  <c r="A73" i="17"/>
  <c r="Z72" i="17"/>
  <c r="W72" i="17"/>
  <c r="A72" i="17"/>
  <c r="Z71" i="17"/>
  <c r="A71" i="17"/>
  <c r="Z70" i="17"/>
  <c r="A70" i="17"/>
  <c r="Z69" i="17"/>
  <c r="W69" i="17"/>
  <c r="A69" i="17"/>
  <c r="Z68" i="17"/>
  <c r="W68" i="17"/>
  <c r="A68" i="17"/>
  <c r="Z67" i="17"/>
  <c r="W67" i="17"/>
  <c r="A67" i="17"/>
  <c r="Z66" i="17"/>
  <c r="W66" i="17"/>
  <c r="A66" i="17"/>
  <c r="Z65" i="17"/>
  <c r="W65" i="17"/>
  <c r="A65" i="17"/>
  <c r="Z64" i="17"/>
  <c r="W64" i="17"/>
  <c r="A64" i="17"/>
  <c r="Z63" i="17"/>
  <c r="W63" i="17"/>
  <c r="A63" i="17"/>
  <c r="Z62" i="17"/>
  <c r="W62" i="17"/>
  <c r="A62" i="17"/>
  <c r="Z61" i="17"/>
  <c r="W61" i="17"/>
  <c r="A61" i="17"/>
  <c r="Z60" i="17"/>
  <c r="W60" i="17"/>
  <c r="A60" i="17"/>
  <c r="Z59" i="17"/>
  <c r="W59" i="17"/>
  <c r="A59" i="17"/>
  <c r="Z58" i="17"/>
  <c r="W58" i="17"/>
  <c r="A58" i="17"/>
  <c r="Z57" i="17"/>
  <c r="W57" i="17"/>
  <c r="A57" i="17"/>
  <c r="Z56" i="17"/>
  <c r="W56" i="17"/>
  <c r="A56" i="17"/>
  <c r="Z55" i="17"/>
  <c r="W55" i="17"/>
  <c r="A55" i="17"/>
  <c r="Z54" i="17"/>
  <c r="W54" i="17"/>
  <c r="A54" i="17"/>
  <c r="Z53" i="17"/>
  <c r="W53" i="17"/>
  <c r="A53" i="17"/>
  <c r="Z52" i="17"/>
  <c r="A52" i="17"/>
  <c r="Z51" i="17"/>
  <c r="A51" i="17"/>
  <c r="Z50" i="17"/>
  <c r="W50" i="17"/>
  <c r="A50" i="17"/>
  <c r="Z49" i="17"/>
  <c r="W49" i="17"/>
  <c r="A49" i="17"/>
  <c r="Z48" i="17"/>
  <c r="W48" i="17"/>
  <c r="A48" i="17"/>
  <c r="Z47" i="17"/>
  <c r="W47" i="17"/>
  <c r="A47" i="17"/>
  <c r="Z46" i="17"/>
  <c r="W46" i="17"/>
  <c r="A46" i="17"/>
  <c r="Z45" i="17"/>
  <c r="W45" i="17"/>
  <c r="A45" i="17"/>
  <c r="Z44" i="17"/>
  <c r="W44" i="17"/>
  <c r="A44" i="17"/>
  <c r="Z43" i="17"/>
  <c r="W43" i="17"/>
  <c r="A43" i="17"/>
  <c r="Z42" i="17"/>
  <c r="W42" i="17"/>
  <c r="A42" i="17"/>
  <c r="Z41" i="17"/>
  <c r="W41" i="17"/>
  <c r="A41" i="17"/>
  <c r="Z40" i="17"/>
  <c r="W40" i="17"/>
  <c r="A40" i="17"/>
  <c r="Z39" i="17"/>
  <c r="W39" i="17"/>
  <c r="A39" i="17"/>
  <c r="Z38" i="17"/>
  <c r="W38" i="17"/>
  <c r="A38" i="17"/>
  <c r="Z37" i="17"/>
  <c r="W37" i="17"/>
  <c r="A37" i="17"/>
  <c r="Z36" i="17"/>
  <c r="W36" i="17"/>
  <c r="A36" i="17"/>
  <c r="Z35" i="17"/>
  <c r="W35" i="17"/>
  <c r="A35" i="17"/>
  <c r="Z34" i="17"/>
  <c r="W34" i="17"/>
  <c r="A34" i="17"/>
  <c r="Z33" i="17"/>
  <c r="A33" i="17"/>
  <c r="Z32" i="17"/>
  <c r="A32" i="17"/>
  <c r="Z31" i="17"/>
  <c r="W31" i="17"/>
  <c r="A31" i="17"/>
  <c r="Z30" i="17"/>
  <c r="W30" i="17"/>
  <c r="A30" i="17"/>
  <c r="Z29" i="17"/>
  <c r="W29" i="17"/>
  <c r="A29" i="17"/>
  <c r="Z28" i="17"/>
  <c r="W28" i="17"/>
  <c r="A28" i="17"/>
  <c r="Z27" i="17"/>
  <c r="W27" i="17"/>
  <c r="A27" i="17"/>
  <c r="Z26" i="17"/>
  <c r="W26" i="17"/>
  <c r="A26" i="17"/>
  <c r="Z25" i="17"/>
  <c r="W25" i="17"/>
  <c r="A25" i="17"/>
  <c r="Z24" i="17"/>
  <c r="W24" i="17"/>
  <c r="A24" i="17"/>
  <c r="Z23" i="17"/>
  <c r="W23" i="17"/>
  <c r="A23" i="17"/>
  <c r="Z22" i="17"/>
  <c r="W22" i="17"/>
  <c r="A22" i="17"/>
  <c r="Z21" i="17"/>
  <c r="W21" i="17"/>
  <c r="A21" i="17"/>
  <c r="Z20" i="17"/>
  <c r="W20" i="17"/>
  <c r="A20" i="17"/>
  <c r="Z19" i="17"/>
  <c r="W19" i="17"/>
  <c r="A19" i="17"/>
  <c r="Z18" i="17"/>
  <c r="W18" i="17"/>
  <c r="A18" i="17"/>
  <c r="Z17" i="17"/>
  <c r="W17" i="17"/>
  <c r="A17" i="17"/>
  <c r="Z16" i="17"/>
  <c r="W16" i="17"/>
  <c r="A16" i="17"/>
  <c r="Z15" i="17"/>
  <c r="W15" i="17"/>
  <c r="A15" i="17"/>
  <c r="Z14" i="17"/>
  <c r="A14" i="17"/>
  <c r="Z13" i="17"/>
  <c r="A13" i="17"/>
  <c r="Z12" i="17"/>
  <c r="W12" i="17"/>
  <c r="A12" i="17"/>
  <c r="Z11" i="17"/>
  <c r="W11" i="17"/>
  <c r="A11" i="17"/>
  <c r="Z10" i="17"/>
  <c r="W10" i="17"/>
  <c r="A10" i="17"/>
  <c r="Z9" i="17"/>
  <c r="W9" i="17"/>
  <c r="A9" i="17"/>
  <c r="Z8" i="17"/>
  <c r="W8" i="17"/>
  <c r="A8" i="17"/>
  <c r="Z7" i="17"/>
  <c r="W7" i="17"/>
  <c r="A7" i="17"/>
  <c r="Z6" i="17"/>
  <c r="W6" i="17"/>
  <c r="A6" i="17"/>
  <c r="Z5" i="17"/>
  <c r="W5" i="17"/>
  <c r="A5" i="17"/>
  <c r="Z4" i="17"/>
  <c r="W4" i="17"/>
  <c r="A4" i="17"/>
  <c r="Z3" i="17"/>
  <c r="W3" i="17"/>
  <c r="A3" i="17"/>
  <c r="Z2" i="17"/>
  <c r="W2" i="17"/>
  <c r="A2" i="17"/>
  <c r="Y1707" i="17"/>
  <c r="D1697" i="17"/>
  <c r="D1691" i="17"/>
  <c r="Y1689" i="17"/>
  <c r="D1678" i="17"/>
  <c r="D1677" i="17"/>
  <c r="W1676" i="17"/>
  <c r="C1675" i="17"/>
  <c r="D1672" i="17"/>
  <c r="C1668" i="17"/>
  <c r="C1667" i="17"/>
  <c r="D1665" i="17"/>
  <c r="Y1664" i="17"/>
  <c r="D1664" i="17"/>
  <c r="C1663" i="17"/>
  <c r="D1662" i="17"/>
  <c r="C1662" i="17"/>
  <c r="F192" i="14"/>
  <c r="F191" i="14"/>
  <c r="F190" i="14"/>
  <c r="F189" i="14"/>
  <c r="F188" i="14"/>
  <c r="F186" i="14"/>
  <c r="F185" i="14"/>
  <c r="F184" i="14"/>
  <c r="F183" i="14"/>
  <c r="F182" i="14"/>
  <c r="F181" i="14"/>
  <c r="F179" i="14"/>
  <c r="F178" i="14"/>
  <c r="F177" i="14"/>
  <c r="F174" i="14"/>
  <c r="F173" i="14"/>
  <c r="F172" i="14"/>
  <c r="F170" i="14"/>
  <c r="F169" i="14"/>
  <c r="F168" i="14"/>
  <c r="F167" i="14"/>
  <c r="F166" i="14"/>
  <c r="F165" i="14"/>
  <c r="F164" i="14"/>
  <c r="F162" i="14"/>
  <c r="F161" i="14"/>
  <c r="F160" i="14"/>
  <c r="F159" i="14"/>
  <c r="F158" i="14"/>
  <c r="F157" i="14"/>
  <c r="F155" i="14"/>
  <c r="F154" i="14"/>
  <c r="F153" i="14"/>
  <c r="F150" i="14"/>
  <c r="F149" i="14"/>
  <c r="F148" i="14"/>
  <c r="F146" i="14"/>
  <c r="F145" i="14"/>
  <c r="F144" i="14"/>
  <c r="F143" i="14"/>
  <c r="F142" i="14"/>
  <c r="F141" i="14"/>
  <c r="F140" i="14"/>
  <c r="F138" i="14"/>
  <c r="F137" i="14"/>
  <c r="F136" i="14"/>
  <c r="F135" i="14"/>
  <c r="F134" i="14"/>
  <c r="F133" i="14"/>
  <c r="F131" i="14"/>
  <c r="F130" i="14"/>
  <c r="F129" i="14"/>
  <c r="F126" i="14"/>
  <c r="F125" i="14"/>
  <c r="F124" i="14"/>
  <c r="F122" i="14"/>
  <c r="F121" i="14"/>
  <c r="F120" i="14"/>
  <c r="F119" i="14"/>
  <c r="F118" i="14"/>
  <c r="F117" i="14"/>
  <c r="F116" i="14"/>
  <c r="F114" i="14"/>
  <c r="F113" i="14"/>
  <c r="F112" i="14"/>
  <c r="F111" i="14"/>
  <c r="F110" i="14"/>
  <c r="F109" i="14"/>
  <c r="F107" i="14"/>
  <c r="F106" i="14"/>
  <c r="F105" i="14"/>
  <c r="F102" i="14"/>
  <c r="F101" i="14"/>
  <c r="F100" i="14"/>
  <c r="F98" i="14"/>
  <c r="F97" i="14"/>
  <c r="F96" i="14"/>
  <c r="F95" i="14"/>
  <c r="F94" i="14"/>
  <c r="F93" i="14"/>
  <c r="F92" i="14"/>
  <c r="F90" i="14"/>
  <c r="F89" i="14"/>
  <c r="F88" i="14"/>
  <c r="F87" i="14"/>
  <c r="F86" i="14"/>
  <c r="F85" i="14"/>
  <c r="F83" i="14"/>
  <c r="F82" i="14"/>
  <c r="F81" i="14"/>
  <c r="F78" i="14"/>
  <c r="F77" i="14"/>
  <c r="F76" i="14"/>
  <c r="F74" i="14"/>
  <c r="F73" i="14"/>
  <c r="F72" i="14"/>
  <c r="F71" i="14"/>
  <c r="F70" i="14"/>
  <c r="F69" i="14"/>
  <c r="F68" i="14"/>
  <c r="F66" i="14"/>
  <c r="F65" i="14"/>
  <c r="F64" i="14"/>
  <c r="F63" i="14"/>
  <c r="F62" i="14"/>
  <c r="F61" i="14"/>
  <c r="F59" i="14"/>
  <c r="F58" i="14"/>
  <c r="F57" i="14"/>
  <c r="F54" i="14"/>
  <c r="F53" i="14"/>
  <c r="F52" i="14"/>
  <c r="F50" i="14"/>
  <c r="F49" i="14"/>
  <c r="F48" i="14"/>
  <c r="F47" i="14"/>
  <c r="F46" i="14"/>
  <c r="F45" i="14"/>
  <c r="F44" i="14"/>
  <c r="F42" i="14"/>
  <c r="F41" i="14"/>
  <c r="F40" i="14"/>
  <c r="F39" i="14"/>
  <c r="F38" i="14"/>
  <c r="F37" i="14"/>
  <c r="F35" i="14"/>
  <c r="F34" i="14"/>
  <c r="F33" i="14"/>
  <c r="F30" i="14"/>
  <c r="F29" i="14"/>
  <c r="F28" i="14"/>
  <c r="F26" i="14"/>
  <c r="F25" i="14"/>
  <c r="F24" i="14"/>
  <c r="F23" i="14"/>
  <c r="F22" i="14"/>
  <c r="F21" i="14"/>
  <c r="F20" i="14"/>
  <c r="F18" i="14"/>
  <c r="F17" i="14"/>
  <c r="F16" i="14"/>
  <c r="F15" i="14"/>
  <c r="F14" i="14"/>
  <c r="F13" i="14"/>
  <c r="F11" i="14"/>
  <c r="F10" i="14"/>
  <c r="F9" i="14"/>
  <c r="F294" i="13"/>
  <c r="F293" i="13"/>
  <c r="F292" i="13"/>
  <c r="F290" i="13"/>
  <c r="F289" i="13"/>
  <c r="F288" i="13"/>
  <c r="F287" i="13"/>
  <c r="F286" i="13"/>
  <c r="F285" i="13"/>
  <c r="F284" i="13"/>
  <c r="F282" i="13"/>
  <c r="F281" i="13"/>
  <c r="F280" i="13"/>
  <c r="F279" i="13"/>
  <c r="F278" i="13"/>
  <c r="F277" i="13"/>
  <c r="F275" i="13"/>
  <c r="F274" i="13"/>
  <c r="F273" i="13"/>
  <c r="F270" i="13"/>
  <c r="F269" i="13"/>
  <c r="F268" i="13"/>
  <c r="F266" i="13"/>
  <c r="F265" i="13"/>
  <c r="F264" i="13"/>
  <c r="F263" i="13"/>
  <c r="F262" i="13"/>
  <c r="F261" i="13"/>
  <c r="F260" i="13"/>
  <c r="F258" i="13"/>
  <c r="F257" i="13"/>
  <c r="F256" i="13"/>
  <c r="F255" i="13"/>
  <c r="F254" i="13"/>
  <c r="F253" i="13"/>
  <c r="F251" i="13"/>
  <c r="F250" i="13"/>
  <c r="F249" i="13"/>
  <c r="F246" i="13"/>
  <c r="F245" i="13"/>
  <c r="F244" i="13"/>
  <c r="F242" i="13"/>
  <c r="F241" i="13"/>
  <c r="F240" i="13"/>
  <c r="F239" i="13"/>
  <c r="F238" i="13"/>
  <c r="F237" i="13"/>
  <c r="F236" i="13"/>
  <c r="F234" i="13"/>
  <c r="F233" i="13"/>
  <c r="F232" i="13"/>
  <c r="F231" i="13"/>
  <c r="F230" i="13"/>
  <c r="F229" i="13"/>
  <c r="F227" i="13"/>
  <c r="F226" i="13"/>
  <c r="F225" i="13"/>
  <c r="F222" i="13"/>
  <c r="F221" i="13"/>
  <c r="F220" i="13"/>
  <c r="F218" i="13"/>
  <c r="F217" i="13"/>
  <c r="F216" i="13"/>
  <c r="F215" i="13"/>
  <c r="F214" i="13"/>
  <c r="F213" i="13"/>
  <c r="F212" i="13"/>
  <c r="F210" i="13"/>
  <c r="F209" i="13"/>
  <c r="F208" i="13"/>
  <c r="F207" i="13"/>
  <c r="F206" i="13"/>
  <c r="F205" i="13"/>
  <c r="F203" i="13"/>
  <c r="F202" i="13"/>
  <c r="F201" i="13"/>
  <c r="F198" i="13"/>
  <c r="F197" i="13"/>
  <c r="F196" i="13"/>
  <c r="F194" i="13"/>
  <c r="F193" i="13"/>
  <c r="F192" i="13"/>
  <c r="F191" i="13"/>
  <c r="F190" i="13"/>
  <c r="F189" i="13"/>
  <c r="F188" i="13"/>
  <c r="F186" i="13"/>
  <c r="F185" i="13"/>
  <c r="F184" i="13"/>
  <c r="F183" i="13"/>
  <c r="F182" i="13"/>
  <c r="F181" i="13"/>
  <c r="F179" i="13"/>
  <c r="F178" i="13"/>
  <c r="F177" i="13"/>
  <c r="F174" i="13"/>
  <c r="F173" i="13"/>
  <c r="F172" i="13"/>
  <c r="F170" i="13"/>
  <c r="F169" i="13"/>
  <c r="F168" i="13"/>
  <c r="F167" i="13"/>
  <c r="F166" i="13"/>
  <c r="F165" i="13"/>
  <c r="F164" i="13"/>
  <c r="F162" i="13"/>
  <c r="F161" i="13"/>
  <c r="F160" i="13"/>
  <c r="F159" i="13"/>
  <c r="F158" i="13"/>
  <c r="F157" i="13"/>
  <c r="F155" i="13"/>
  <c r="F154" i="13"/>
  <c r="F153" i="13"/>
  <c r="F150" i="13"/>
  <c r="F149" i="13"/>
  <c r="F148" i="13"/>
  <c r="F146" i="13"/>
  <c r="F145" i="13"/>
  <c r="F144" i="13"/>
  <c r="F143" i="13"/>
  <c r="F142" i="13"/>
  <c r="F141" i="13"/>
  <c r="F140" i="13"/>
  <c r="F138" i="13"/>
  <c r="F137" i="13"/>
  <c r="F136" i="13"/>
  <c r="F135" i="13"/>
  <c r="F134" i="13"/>
  <c r="F133" i="13"/>
  <c r="F131" i="13"/>
  <c r="F130" i="13"/>
  <c r="F129" i="13"/>
  <c r="F126" i="13"/>
  <c r="F125" i="13"/>
  <c r="F124" i="13"/>
  <c r="F122" i="13"/>
  <c r="F121" i="13"/>
  <c r="F120" i="13"/>
  <c r="F119" i="13"/>
  <c r="F118" i="13"/>
  <c r="F117" i="13"/>
  <c r="F116" i="13"/>
  <c r="F114" i="13"/>
  <c r="F113" i="13"/>
  <c r="F112" i="13"/>
  <c r="F111" i="13"/>
  <c r="F110" i="13"/>
  <c r="F109" i="13"/>
  <c r="F107" i="13"/>
  <c r="F106" i="13"/>
  <c r="F105" i="13"/>
  <c r="F102" i="13"/>
  <c r="F101" i="13"/>
  <c r="F100" i="13"/>
  <c r="F98" i="13"/>
  <c r="F97" i="13"/>
  <c r="F96" i="13"/>
  <c r="F95" i="13"/>
  <c r="F94" i="13"/>
  <c r="F93" i="13"/>
  <c r="F92" i="13"/>
  <c r="F90" i="13"/>
  <c r="F89" i="13"/>
  <c r="F88" i="13"/>
  <c r="F87" i="13"/>
  <c r="F86" i="13"/>
  <c r="F85" i="13"/>
  <c r="F83" i="13"/>
  <c r="F82" i="13"/>
  <c r="F81" i="13"/>
  <c r="F78" i="13"/>
  <c r="F77" i="13"/>
  <c r="F76" i="13"/>
  <c r="F74" i="13"/>
  <c r="F73" i="13"/>
  <c r="F72" i="13"/>
  <c r="F71" i="13"/>
  <c r="F70" i="13"/>
  <c r="F69" i="13"/>
  <c r="F68" i="13"/>
  <c r="F66" i="13"/>
  <c r="F65" i="13"/>
  <c r="F64" i="13"/>
  <c r="F63" i="13"/>
  <c r="F62" i="13"/>
  <c r="F61" i="13"/>
  <c r="F59" i="13"/>
  <c r="F58" i="13"/>
  <c r="F57" i="13"/>
  <c r="F54" i="13"/>
  <c r="F53" i="13"/>
  <c r="F52" i="13"/>
  <c r="F50" i="13"/>
  <c r="F49" i="13"/>
  <c r="F48" i="13"/>
  <c r="F47" i="13"/>
  <c r="F46" i="13"/>
  <c r="F45" i="13"/>
  <c r="F44" i="13"/>
  <c r="F42" i="13"/>
  <c r="F41" i="13"/>
  <c r="F40" i="13"/>
  <c r="F39" i="13"/>
  <c r="F38" i="13"/>
  <c r="F37" i="13"/>
  <c r="F35" i="13"/>
  <c r="F34" i="13"/>
  <c r="F33" i="13"/>
  <c r="F30" i="13"/>
  <c r="F29" i="13"/>
  <c r="F28" i="13"/>
  <c r="F26" i="13"/>
  <c r="F25" i="13"/>
  <c r="F24" i="13"/>
  <c r="F23" i="13"/>
  <c r="F22" i="13"/>
  <c r="F21" i="13"/>
  <c r="F20" i="13"/>
  <c r="F18" i="13"/>
  <c r="F17" i="13"/>
  <c r="F16" i="13"/>
  <c r="F15" i="13"/>
  <c r="F14" i="13"/>
  <c r="F13" i="13"/>
  <c r="F11" i="13"/>
  <c r="F10" i="13"/>
  <c r="F9" i="13"/>
  <c r="F294" i="12"/>
  <c r="F293" i="12"/>
  <c r="F292" i="12"/>
  <c r="F290" i="12"/>
  <c r="F289" i="12"/>
  <c r="F288" i="12"/>
  <c r="F287" i="12"/>
  <c r="F286" i="12"/>
  <c r="F285" i="12"/>
  <c r="F284" i="12"/>
  <c r="F282" i="12"/>
  <c r="F281" i="12"/>
  <c r="F280" i="12"/>
  <c r="F279" i="12"/>
  <c r="F278" i="12"/>
  <c r="F277" i="12"/>
  <c r="F275" i="12"/>
  <c r="F274" i="12"/>
  <c r="F273" i="12"/>
  <c r="F270" i="12"/>
  <c r="F269" i="12"/>
  <c r="F268" i="12"/>
  <c r="F266" i="12"/>
  <c r="F265" i="12"/>
  <c r="F264" i="12"/>
  <c r="F263" i="12"/>
  <c r="F262" i="12"/>
  <c r="F261" i="12"/>
  <c r="F260" i="12"/>
  <c r="F258" i="12"/>
  <c r="F257" i="12"/>
  <c r="F256" i="12"/>
  <c r="F255" i="12"/>
  <c r="F254" i="12"/>
  <c r="F253" i="12"/>
  <c r="F251" i="12"/>
  <c r="F250" i="12"/>
  <c r="F249" i="12"/>
  <c r="F246" i="12"/>
  <c r="F245" i="12"/>
  <c r="F244" i="12"/>
  <c r="F242" i="12"/>
  <c r="F241" i="12"/>
  <c r="F240" i="12"/>
  <c r="F239" i="12"/>
  <c r="F238" i="12"/>
  <c r="F237" i="12"/>
  <c r="F236" i="12"/>
  <c r="F234" i="12"/>
  <c r="F233" i="12"/>
  <c r="F232" i="12"/>
  <c r="F231" i="12"/>
  <c r="F230" i="12"/>
  <c r="F229" i="12"/>
  <c r="F227" i="12"/>
  <c r="F226" i="12"/>
  <c r="F225" i="12"/>
  <c r="F222" i="12"/>
  <c r="F221" i="12"/>
  <c r="F220" i="12"/>
  <c r="F218" i="12"/>
  <c r="F217" i="12"/>
  <c r="F216" i="12"/>
  <c r="F215" i="12"/>
  <c r="F214" i="12"/>
  <c r="F213" i="12"/>
  <c r="F212" i="12"/>
  <c r="F210" i="12"/>
  <c r="F209" i="12"/>
  <c r="F208" i="12"/>
  <c r="F207" i="12"/>
  <c r="F206" i="12"/>
  <c r="F205" i="12"/>
  <c r="F203" i="12"/>
  <c r="F202" i="12"/>
  <c r="F201" i="12"/>
  <c r="F198" i="12"/>
  <c r="F197" i="12"/>
  <c r="F196" i="12"/>
  <c r="F194" i="12"/>
  <c r="F193" i="12"/>
  <c r="F192" i="12"/>
  <c r="F191" i="12"/>
  <c r="F190" i="12"/>
  <c r="F189" i="12"/>
  <c r="F188" i="12"/>
  <c r="F186" i="12"/>
  <c r="F185" i="12"/>
  <c r="F184" i="12"/>
  <c r="F183" i="12"/>
  <c r="F182" i="12"/>
  <c r="F181" i="12"/>
  <c r="F179" i="12"/>
  <c r="F178" i="12"/>
  <c r="F177" i="12"/>
  <c r="F174" i="12"/>
  <c r="F173" i="12"/>
  <c r="F172" i="12"/>
  <c r="F170" i="12"/>
  <c r="F169" i="12"/>
  <c r="F168" i="12"/>
  <c r="F167" i="12"/>
  <c r="F166" i="12"/>
  <c r="F165" i="12"/>
  <c r="F164" i="12"/>
  <c r="F162" i="12"/>
  <c r="F161" i="12"/>
  <c r="F160" i="12"/>
  <c r="F159" i="12"/>
  <c r="F158" i="12"/>
  <c r="F157" i="12"/>
  <c r="F155" i="12"/>
  <c r="F154" i="12"/>
  <c r="F153" i="12"/>
  <c r="F150" i="12"/>
  <c r="F149" i="12"/>
  <c r="F148" i="12"/>
  <c r="F146" i="12"/>
  <c r="F145" i="12"/>
  <c r="F144" i="12"/>
  <c r="F143" i="12"/>
  <c r="F142" i="12"/>
  <c r="F141" i="12"/>
  <c r="F140" i="12"/>
  <c r="F138" i="12"/>
  <c r="F137" i="12"/>
  <c r="F136" i="12"/>
  <c r="F135" i="12"/>
  <c r="F134" i="12"/>
  <c r="F133" i="12"/>
  <c r="F131" i="12"/>
  <c r="F130" i="12"/>
  <c r="F129" i="12"/>
  <c r="F126" i="12"/>
  <c r="F125" i="12"/>
  <c r="F124" i="12"/>
  <c r="F122" i="12"/>
  <c r="F121" i="12"/>
  <c r="F120" i="12"/>
  <c r="F119" i="12"/>
  <c r="F118" i="12"/>
  <c r="F117" i="12"/>
  <c r="F116" i="12"/>
  <c r="F114" i="12"/>
  <c r="F113" i="12"/>
  <c r="F112" i="12"/>
  <c r="F111" i="12"/>
  <c r="F110" i="12"/>
  <c r="F109" i="12"/>
  <c r="F107" i="12"/>
  <c r="F106" i="12"/>
  <c r="F105" i="12"/>
  <c r="F102" i="12"/>
  <c r="F101" i="12"/>
  <c r="F100" i="12"/>
  <c r="F98" i="12"/>
  <c r="F97" i="12"/>
  <c r="F96" i="12"/>
  <c r="F95" i="12"/>
  <c r="F94" i="12"/>
  <c r="F93" i="12"/>
  <c r="F92" i="12"/>
  <c r="F90" i="12"/>
  <c r="F89" i="12"/>
  <c r="F88" i="12"/>
  <c r="F87" i="12"/>
  <c r="F86" i="12"/>
  <c r="F85" i="12"/>
  <c r="F83" i="12"/>
  <c r="F82" i="12"/>
  <c r="F81" i="12"/>
  <c r="F78" i="12"/>
  <c r="F77" i="12"/>
  <c r="F76" i="12"/>
  <c r="F74" i="12"/>
  <c r="F73" i="12"/>
  <c r="F72" i="12"/>
  <c r="F71" i="12"/>
  <c r="F70" i="12"/>
  <c r="F69" i="12"/>
  <c r="F68" i="12"/>
  <c r="F66" i="12"/>
  <c r="F65" i="12"/>
  <c r="F64" i="12"/>
  <c r="F63" i="12"/>
  <c r="F62" i="12"/>
  <c r="F61" i="12"/>
  <c r="F59" i="12"/>
  <c r="F58" i="12"/>
  <c r="F57" i="12"/>
  <c r="F54" i="12"/>
  <c r="F53" i="12"/>
  <c r="F52" i="12"/>
  <c r="F50" i="12"/>
  <c r="F49" i="12"/>
  <c r="F48" i="12"/>
  <c r="F47" i="12"/>
  <c r="F46" i="12"/>
  <c r="F45" i="12"/>
  <c r="F44" i="12"/>
  <c r="F42" i="12"/>
  <c r="F41" i="12"/>
  <c r="F40" i="12"/>
  <c r="F39" i="12"/>
  <c r="F38" i="12"/>
  <c r="F37" i="12"/>
  <c r="F35" i="12"/>
  <c r="F34" i="12"/>
  <c r="F33" i="12"/>
  <c r="F30" i="12"/>
  <c r="F29" i="12"/>
  <c r="F28" i="12"/>
  <c r="F26" i="12"/>
  <c r="F25" i="12"/>
  <c r="F24" i="12"/>
  <c r="F23" i="12"/>
  <c r="F22" i="12"/>
  <c r="F21" i="12"/>
  <c r="F20" i="12"/>
  <c r="F18" i="12"/>
  <c r="F17" i="12"/>
  <c r="F16" i="12"/>
  <c r="F15" i="12"/>
  <c r="F14" i="12"/>
  <c r="F13" i="12"/>
  <c r="F11" i="12"/>
  <c r="F10" i="12"/>
  <c r="F9" i="12"/>
  <c r="F294" i="11"/>
  <c r="F293" i="11"/>
  <c r="F292" i="11"/>
  <c r="F290" i="11"/>
  <c r="F289" i="11"/>
  <c r="F288" i="11"/>
  <c r="F287" i="11"/>
  <c r="F286" i="11"/>
  <c r="F285" i="11"/>
  <c r="F284" i="11"/>
  <c r="F282" i="11"/>
  <c r="F281" i="11"/>
  <c r="F280" i="11"/>
  <c r="F279" i="11"/>
  <c r="F278" i="11"/>
  <c r="F277" i="11"/>
  <c r="F275" i="11"/>
  <c r="F274" i="11"/>
  <c r="F273" i="11"/>
  <c r="F270" i="11"/>
  <c r="F269" i="11"/>
  <c r="F268" i="11"/>
  <c r="F266" i="11"/>
  <c r="F265" i="11"/>
  <c r="F264" i="11"/>
  <c r="F263" i="11"/>
  <c r="F262" i="11"/>
  <c r="F261" i="11"/>
  <c r="F260" i="11"/>
  <c r="F258" i="11"/>
  <c r="F257" i="11"/>
  <c r="F256" i="11"/>
  <c r="F255" i="11"/>
  <c r="F254" i="11"/>
  <c r="F253" i="11"/>
  <c r="F251" i="11"/>
  <c r="F250" i="11"/>
  <c r="F249" i="11"/>
  <c r="F246" i="11"/>
  <c r="F245" i="11"/>
  <c r="F244" i="11"/>
  <c r="F242" i="11"/>
  <c r="F241" i="11"/>
  <c r="F240" i="11"/>
  <c r="F239" i="11"/>
  <c r="F238" i="11"/>
  <c r="F237" i="11"/>
  <c r="F236" i="11"/>
  <c r="F234" i="11"/>
  <c r="F233" i="11"/>
  <c r="F232" i="11"/>
  <c r="F231" i="11"/>
  <c r="F230" i="11"/>
  <c r="F229" i="11"/>
  <c r="F227" i="11"/>
  <c r="F226" i="11"/>
  <c r="F225" i="11"/>
  <c r="F222" i="11"/>
  <c r="F221" i="11"/>
  <c r="F220" i="11"/>
  <c r="F218" i="11"/>
  <c r="F217" i="11"/>
  <c r="F216" i="11"/>
  <c r="F215" i="11"/>
  <c r="F214" i="11"/>
  <c r="F213" i="11"/>
  <c r="F212" i="11"/>
  <c r="F210" i="11"/>
  <c r="F209" i="11"/>
  <c r="F208" i="11"/>
  <c r="F207" i="11"/>
  <c r="F206" i="11"/>
  <c r="F205" i="11"/>
  <c r="F203" i="11"/>
  <c r="F202" i="11"/>
  <c r="F201" i="11"/>
  <c r="F198" i="11"/>
  <c r="F197" i="11"/>
  <c r="F196" i="11"/>
  <c r="F194" i="11"/>
  <c r="F193" i="11"/>
  <c r="F192" i="11"/>
  <c r="F191" i="11"/>
  <c r="F190" i="11"/>
  <c r="F189" i="11"/>
  <c r="F188" i="11"/>
  <c r="F186" i="11"/>
  <c r="F185" i="11"/>
  <c r="F184" i="11"/>
  <c r="F183" i="11"/>
  <c r="F182" i="11"/>
  <c r="F181" i="11"/>
  <c r="F179" i="11"/>
  <c r="F178" i="11"/>
  <c r="F177" i="11"/>
  <c r="F174" i="11"/>
  <c r="F173" i="11"/>
  <c r="F172" i="11"/>
  <c r="F170" i="11"/>
  <c r="F169" i="11"/>
  <c r="F168" i="11"/>
  <c r="F167" i="11"/>
  <c r="F166" i="11"/>
  <c r="F165" i="11"/>
  <c r="F164" i="11"/>
  <c r="F162" i="11"/>
  <c r="F161" i="11"/>
  <c r="F160" i="11"/>
  <c r="F159" i="11"/>
  <c r="F158" i="11"/>
  <c r="F157" i="11"/>
  <c r="F155" i="11"/>
  <c r="F154" i="11"/>
  <c r="F153" i="11"/>
  <c r="F150" i="11"/>
  <c r="F149" i="11"/>
  <c r="F148" i="11"/>
  <c r="F146" i="11"/>
  <c r="F145" i="11"/>
  <c r="F144" i="11"/>
  <c r="F143" i="11"/>
  <c r="F142" i="11"/>
  <c r="F141" i="11"/>
  <c r="F140" i="11"/>
  <c r="F138" i="11"/>
  <c r="F137" i="11"/>
  <c r="F136" i="11"/>
  <c r="F135" i="11"/>
  <c r="F134" i="11"/>
  <c r="F133" i="11"/>
  <c r="F131" i="11"/>
  <c r="F130" i="11"/>
  <c r="F129" i="11"/>
  <c r="F126" i="11"/>
  <c r="F125" i="11"/>
  <c r="F124" i="11"/>
  <c r="F122" i="11"/>
  <c r="F121" i="11"/>
  <c r="F120" i="11"/>
  <c r="F119" i="11"/>
  <c r="F118" i="11"/>
  <c r="F117" i="11"/>
  <c r="F116" i="11"/>
  <c r="F114" i="11"/>
  <c r="F113" i="11"/>
  <c r="F112" i="11"/>
  <c r="F111" i="11"/>
  <c r="F110" i="11"/>
  <c r="F109" i="11"/>
  <c r="F107" i="11"/>
  <c r="F106" i="11"/>
  <c r="F105" i="11"/>
  <c r="F102" i="11"/>
  <c r="F101" i="11"/>
  <c r="F100" i="11"/>
  <c r="F98" i="11"/>
  <c r="F97" i="11"/>
  <c r="F96" i="11"/>
  <c r="F95" i="11"/>
  <c r="F94" i="11"/>
  <c r="F93" i="11"/>
  <c r="F92" i="11"/>
  <c r="F90" i="11"/>
  <c r="F89" i="11"/>
  <c r="F88" i="11"/>
  <c r="F87" i="11"/>
  <c r="F86" i="11"/>
  <c r="F85" i="11"/>
  <c r="F83" i="11"/>
  <c r="F82" i="11"/>
  <c r="F81" i="11"/>
  <c r="F78" i="11"/>
  <c r="F77" i="11"/>
  <c r="F76" i="11"/>
  <c r="F74" i="11"/>
  <c r="F73" i="11"/>
  <c r="F72" i="11"/>
  <c r="F71" i="11"/>
  <c r="F70" i="11"/>
  <c r="F69" i="11"/>
  <c r="F68" i="11"/>
  <c r="F66" i="11"/>
  <c r="F65" i="11"/>
  <c r="F64" i="11"/>
  <c r="F63" i="11"/>
  <c r="F62" i="11"/>
  <c r="F61" i="11"/>
  <c r="F59" i="11"/>
  <c r="F58" i="11"/>
  <c r="F57" i="11"/>
  <c r="F54" i="11"/>
  <c r="F53" i="11"/>
  <c r="F52" i="11"/>
  <c r="F50" i="11"/>
  <c r="F49" i="11"/>
  <c r="F48" i="11"/>
  <c r="F47" i="11"/>
  <c r="F46" i="11"/>
  <c r="F45" i="11"/>
  <c r="F44" i="11"/>
  <c r="F42" i="11"/>
  <c r="F41" i="11"/>
  <c r="F40" i="11"/>
  <c r="F39" i="11"/>
  <c r="F38" i="11"/>
  <c r="F37" i="11"/>
  <c r="F35" i="11"/>
  <c r="F34" i="11"/>
  <c r="F33" i="11"/>
  <c r="F30" i="11"/>
  <c r="F29" i="11"/>
  <c r="F28" i="11"/>
  <c r="F26" i="11"/>
  <c r="F25" i="11"/>
  <c r="F24" i="11"/>
  <c r="F23" i="11"/>
  <c r="F22" i="11"/>
  <c r="F21" i="11"/>
  <c r="F20" i="11"/>
  <c r="F18" i="11"/>
  <c r="F17" i="11"/>
  <c r="F16" i="11"/>
  <c r="F15" i="11"/>
  <c r="F14" i="11"/>
  <c r="F13" i="11"/>
  <c r="F11" i="11"/>
  <c r="F10" i="11"/>
  <c r="F9" i="11"/>
  <c r="F294" i="10"/>
  <c r="F293" i="10"/>
  <c r="F292" i="10"/>
  <c r="F290" i="10"/>
  <c r="F289" i="10"/>
  <c r="F288" i="10"/>
  <c r="F287" i="10"/>
  <c r="F286" i="10"/>
  <c r="F285" i="10"/>
  <c r="F284" i="10"/>
  <c r="F282" i="10"/>
  <c r="F281" i="10"/>
  <c r="F280" i="10"/>
  <c r="F279" i="10"/>
  <c r="F278" i="10"/>
  <c r="F277" i="10"/>
  <c r="F275" i="10"/>
  <c r="F274" i="10"/>
  <c r="F273" i="10"/>
  <c r="F270" i="10"/>
  <c r="F269" i="10"/>
  <c r="F268" i="10"/>
  <c r="F266" i="10"/>
  <c r="F265" i="10"/>
  <c r="F264" i="10"/>
  <c r="F263" i="10"/>
  <c r="F262" i="10"/>
  <c r="F261" i="10"/>
  <c r="F260" i="10"/>
  <c r="F258" i="10"/>
  <c r="F257" i="10"/>
  <c r="F256" i="10"/>
  <c r="F255" i="10"/>
  <c r="F254" i="10"/>
  <c r="F253" i="10"/>
  <c r="F251" i="10"/>
  <c r="F250" i="10"/>
  <c r="F249" i="10"/>
  <c r="F246" i="10"/>
  <c r="F245" i="10"/>
  <c r="F244" i="10"/>
  <c r="F242" i="10"/>
  <c r="F241" i="10"/>
  <c r="F240" i="10"/>
  <c r="F239" i="10"/>
  <c r="F238" i="10"/>
  <c r="F237" i="10"/>
  <c r="F236" i="10"/>
  <c r="F234" i="10"/>
  <c r="F233" i="10"/>
  <c r="F232" i="10"/>
  <c r="F231" i="10"/>
  <c r="F230" i="10"/>
  <c r="F229" i="10"/>
  <c r="F227" i="10"/>
  <c r="F226" i="10"/>
  <c r="F225" i="10"/>
  <c r="F222" i="10"/>
  <c r="F221" i="10"/>
  <c r="F220" i="10"/>
  <c r="F218" i="10"/>
  <c r="F217" i="10"/>
  <c r="F216" i="10"/>
  <c r="F215" i="10"/>
  <c r="F214" i="10"/>
  <c r="F213" i="10"/>
  <c r="F212" i="10"/>
  <c r="F210" i="10"/>
  <c r="F209" i="10"/>
  <c r="F208" i="10"/>
  <c r="F207" i="10"/>
  <c r="F206" i="10"/>
  <c r="F205" i="10"/>
  <c r="F203" i="10"/>
  <c r="F202" i="10"/>
  <c r="F201" i="10"/>
  <c r="F198" i="10"/>
  <c r="F197" i="10"/>
  <c r="F196" i="10"/>
  <c r="F194" i="10"/>
  <c r="F193" i="10"/>
  <c r="F192" i="10"/>
  <c r="F191" i="10"/>
  <c r="F190" i="10"/>
  <c r="F189" i="10"/>
  <c r="F188" i="10"/>
  <c r="F186" i="10"/>
  <c r="F185" i="10"/>
  <c r="F184" i="10"/>
  <c r="F183" i="10"/>
  <c r="F182" i="10"/>
  <c r="F181" i="10"/>
  <c r="F179" i="10"/>
  <c r="F178" i="10"/>
  <c r="F177" i="10"/>
  <c r="F174" i="10"/>
  <c r="F173" i="10"/>
  <c r="F172" i="10"/>
  <c r="F170" i="10"/>
  <c r="F169" i="10"/>
  <c r="F168" i="10"/>
  <c r="F167" i="10"/>
  <c r="F166" i="10"/>
  <c r="F165" i="10"/>
  <c r="F164" i="10"/>
  <c r="F162" i="10"/>
  <c r="F161" i="10"/>
  <c r="F160" i="10"/>
  <c r="F159" i="10"/>
  <c r="F158" i="10"/>
  <c r="F157" i="10"/>
  <c r="F155" i="10"/>
  <c r="F154" i="10"/>
  <c r="F153" i="10"/>
  <c r="F150" i="10"/>
  <c r="F149" i="10"/>
  <c r="F148" i="10"/>
  <c r="F146" i="10"/>
  <c r="F145" i="10"/>
  <c r="F144" i="10"/>
  <c r="F143" i="10"/>
  <c r="F142" i="10"/>
  <c r="F141" i="10"/>
  <c r="F140" i="10"/>
  <c r="F138" i="10"/>
  <c r="F137" i="10"/>
  <c r="F136" i="10"/>
  <c r="F135" i="10"/>
  <c r="F134" i="10"/>
  <c r="F133" i="10"/>
  <c r="F131" i="10"/>
  <c r="F130" i="10"/>
  <c r="F129" i="10"/>
  <c r="F126" i="10"/>
  <c r="F125" i="10"/>
  <c r="F124" i="10"/>
  <c r="F122" i="10"/>
  <c r="F121" i="10"/>
  <c r="F120" i="10"/>
  <c r="F119" i="10"/>
  <c r="F118" i="10"/>
  <c r="F117" i="10"/>
  <c r="F116" i="10"/>
  <c r="F114" i="10"/>
  <c r="F113" i="10"/>
  <c r="F112" i="10"/>
  <c r="F111" i="10"/>
  <c r="F110" i="10"/>
  <c r="F109" i="10"/>
  <c r="F107" i="10"/>
  <c r="F106" i="10"/>
  <c r="F105" i="10"/>
  <c r="F102" i="10"/>
  <c r="F101" i="10"/>
  <c r="F100" i="10"/>
  <c r="F98" i="10"/>
  <c r="F97" i="10"/>
  <c r="F96" i="10"/>
  <c r="F95" i="10"/>
  <c r="F94" i="10"/>
  <c r="F93" i="10"/>
  <c r="F92" i="10"/>
  <c r="F90" i="10"/>
  <c r="F89" i="10"/>
  <c r="F88" i="10"/>
  <c r="F87" i="10"/>
  <c r="F86" i="10"/>
  <c r="F85" i="10"/>
  <c r="F83" i="10"/>
  <c r="F82" i="10"/>
  <c r="F81" i="10"/>
  <c r="F78" i="10"/>
  <c r="F77" i="10"/>
  <c r="F76" i="10"/>
  <c r="F74" i="10"/>
  <c r="F73" i="10"/>
  <c r="F72" i="10"/>
  <c r="F71" i="10"/>
  <c r="F70" i="10"/>
  <c r="F69" i="10"/>
  <c r="F68" i="10"/>
  <c r="F66" i="10"/>
  <c r="F65" i="10"/>
  <c r="F64" i="10"/>
  <c r="F63" i="10"/>
  <c r="F62" i="10"/>
  <c r="F61" i="10"/>
  <c r="F59" i="10"/>
  <c r="F58" i="10"/>
  <c r="F57" i="10"/>
  <c r="F54" i="10"/>
  <c r="F53" i="10"/>
  <c r="F52" i="10"/>
  <c r="F50" i="10"/>
  <c r="F49" i="10"/>
  <c r="F48" i="10"/>
  <c r="F47" i="10"/>
  <c r="F46" i="10"/>
  <c r="F45" i="10"/>
  <c r="F44" i="10"/>
  <c r="F42" i="10"/>
  <c r="F41" i="10"/>
  <c r="F40" i="10"/>
  <c r="F39" i="10"/>
  <c r="F38" i="10"/>
  <c r="F37" i="10"/>
  <c r="F35" i="10"/>
  <c r="F34" i="10"/>
  <c r="F33" i="10"/>
  <c r="F30" i="10"/>
  <c r="F29" i="10"/>
  <c r="F28" i="10"/>
  <c r="F26" i="10"/>
  <c r="F25" i="10"/>
  <c r="F24" i="10"/>
  <c r="F23" i="10"/>
  <c r="F22" i="10"/>
  <c r="F21" i="10"/>
  <c r="F20" i="10"/>
  <c r="F18" i="10"/>
  <c r="F17" i="10"/>
  <c r="F16" i="10"/>
  <c r="F15" i="10"/>
  <c r="F14" i="10"/>
  <c r="F13" i="10"/>
  <c r="F11" i="10"/>
  <c r="F10" i="10"/>
  <c r="F9" i="10"/>
  <c r="F294" i="9"/>
  <c r="F293" i="9"/>
  <c r="F292" i="9"/>
  <c r="F290" i="9"/>
  <c r="F289" i="9"/>
  <c r="F288" i="9"/>
  <c r="F287" i="9"/>
  <c r="F286" i="9"/>
  <c r="F285" i="9"/>
  <c r="F284" i="9"/>
  <c r="F282" i="9"/>
  <c r="F281" i="9"/>
  <c r="F280" i="9"/>
  <c r="F279" i="9"/>
  <c r="F278" i="9"/>
  <c r="F277" i="9"/>
  <c r="F275" i="9"/>
  <c r="F274" i="9"/>
  <c r="F273" i="9"/>
  <c r="F270" i="9"/>
  <c r="F269" i="9"/>
  <c r="F268" i="9"/>
  <c r="F266" i="9"/>
  <c r="F265" i="9"/>
  <c r="F264" i="9"/>
  <c r="F263" i="9"/>
  <c r="F262" i="9"/>
  <c r="F261" i="9"/>
  <c r="F260" i="9"/>
  <c r="F258" i="9"/>
  <c r="F257" i="9"/>
  <c r="F256" i="9"/>
  <c r="F255" i="9"/>
  <c r="F254" i="9"/>
  <c r="F253" i="9"/>
  <c r="F251" i="9"/>
  <c r="F250" i="9"/>
  <c r="F249" i="9"/>
  <c r="F246" i="9"/>
  <c r="F245" i="9"/>
  <c r="F244" i="9"/>
  <c r="F242" i="9"/>
  <c r="F241" i="9"/>
  <c r="F240" i="9"/>
  <c r="F239" i="9"/>
  <c r="F238" i="9"/>
  <c r="F237" i="9"/>
  <c r="F236" i="9"/>
  <c r="F234" i="9"/>
  <c r="F233" i="9"/>
  <c r="F232" i="9"/>
  <c r="F231" i="9"/>
  <c r="F230" i="9"/>
  <c r="F229" i="9"/>
  <c r="F227" i="9"/>
  <c r="F226" i="9"/>
  <c r="F225" i="9"/>
  <c r="F222" i="9"/>
  <c r="F221" i="9"/>
  <c r="F220" i="9"/>
  <c r="F218" i="9"/>
  <c r="F217" i="9"/>
  <c r="F216" i="9"/>
  <c r="F215" i="9"/>
  <c r="F214" i="9"/>
  <c r="F213" i="9"/>
  <c r="F212" i="9"/>
  <c r="F210" i="9"/>
  <c r="F209" i="9"/>
  <c r="F208" i="9"/>
  <c r="F207" i="9"/>
  <c r="F206" i="9"/>
  <c r="F205" i="9"/>
  <c r="F203" i="9"/>
  <c r="F202" i="9"/>
  <c r="F201" i="9"/>
  <c r="F198" i="9"/>
  <c r="F197" i="9"/>
  <c r="F196" i="9"/>
  <c r="F194" i="9"/>
  <c r="F193" i="9"/>
  <c r="F192" i="9"/>
  <c r="F191" i="9"/>
  <c r="F190" i="9"/>
  <c r="F189" i="9"/>
  <c r="F188" i="9"/>
  <c r="F186" i="9"/>
  <c r="F185" i="9"/>
  <c r="F184" i="9"/>
  <c r="F183" i="9"/>
  <c r="F182" i="9"/>
  <c r="F181" i="9"/>
  <c r="F179" i="9"/>
  <c r="F178" i="9"/>
  <c r="F177" i="9"/>
  <c r="F174" i="9"/>
  <c r="F173" i="9"/>
  <c r="F172" i="9"/>
  <c r="F170" i="9"/>
  <c r="F169" i="9"/>
  <c r="F168" i="9"/>
  <c r="F167" i="9"/>
  <c r="F166" i="9"/>
  <c r="F165" i="9"/>
  <c r="F164" i="9"/>
  <c r="F162" i="9"/>
  <c r="F161" i="9"/>
  <c r="F160" i="9"/>
  <c r="F159" i="9"/>
  <c r="F158" i="9"/>
  <c r="F157" i="9"/>
  <c r="F155" i="9"/>
  <c r="F154" i="9"/>
  <c r="F153" i="9"/>
  <c r="F150" i="9"/>
  <c r="F149" i="9"/>
  <c r="F148" i="9"/>
  <c r="F146" i="9"/>
  <c r="F145" i="9"/>
  <c r="F144" i="9"/>
  <c r="F143" i="9"/>
  <c r="F142" i="9"/>
  <c r="F141" i="9"/>
  <c r="F140" i="9"/>
  <c r="F138" i="9"/>
  <c r="F137" i="9"/>
  <c r="F136" i="9"/>
  <c r="F135" i="9"/>
  <c r="F134" i="9"/>
  <c r="F133" i="9"/>
  <c r="F131" i="9"/>
  <c r="F130" i="9"/>
  <c r="F129" i="9"/>
  <c r="F126" i="9"/>
  <c r="F125" i="9"/>
  <c r="F124" i="9"/>
  <c r="F122" i="9"/>
  <c r="F121" i="9"/>
  <c r="F120" i="9"/>
  <c r="F119" i="9"/>
  <c r="F118" i="9"/>
  <c r="F117" i="9"/>
  <c r="F116" i="9"/>
  <c r="F114" i="9"/>
  <c r="F113" i="9"/>
  <c r="F112" i="9"/>
  <c r="F111" i="9"/>
  <c r="F110" i="9"/>
  <c r="F109" i="9"/>
  <c r="F107" i="9"/>
  <c r="F106" i="9"/>
  <c r="F105" i="9"/>
  <c r="F102" i="9"/>
  <c r="F101" i="9"/>
  <c r="F100" i="9"/>
  <c r="F98" i="9"/>
  <c r="F97" i="9"/>
  <c r="F96" i="9"/>
  <c r="F95" i="9"/>
  <c r="F94" i="9"/>
  <c r="F93" i="9"/>
  <c r="F92" i="9"/>
  <c r="F90" i="9"/>
  <c r="F89" i="9"/>
  <c r="F88" i="9"/>
  <c r="F87" i="9"/>
  <c r="F86" i="9"/>
  <c r="F85" i="9"/>
  <c r="F83" i="9"/>
  <c r="F82" i="9"/>
  <c r="F81" i="9"/>
  <c r="F78" i="9"/>
  <c r="F77" i="9"/>
  <c r="F76" i="9"/>
  <c r="F74" i="9"/>
  <c r="F73" i="9"/>
  <c r="F72" i="9"/>
  <c r="F71" i="9"/>
  <c r="F70" i="9"/>
  <c r="F69" i="9"/>
  <c r="F68" i="9"/>
  <c r="F66" i="9"/>
  <c r="F65" i="9"/>
  <c r="F64" i="9"/>
  <c r="F63" i="9"/>
  <c r="F62" i="9"/>
  <c r="F61" i="9"/>
  <c r="F59" i="9"/>
  <c r="F58" i="9"/>
  <c r="F57" i="9"/>
  <c r="F54" i="9"/>
  <c r="F53" i="9"/>
  <c r="F52" i="9"/>
  <c r="F50" i="9"/>
  <c r="F49" i="9"/>
  <c r="F48" i="9"/>
  <c r="F47" i="9"/>
  <c r="F46" i="9"/>
  <c r="F45" i="9"/>
  <c r="F44" i="9"/>
  <c r="F42" i="9"/>
  <c r="F41" i="9"/>
  <c r="F40" i="9"/>
  <c r="F39" i="9"/>
  <c r="F38" i="9"/>
  <c r="F37" i="9"/>
  <c r="F35" i="9"/>
  <c r="F34" i="9"/>
  <c r="F33" i="9"/>
  <c r="F30" i="9"/>
  <c r="F29" i="9"/>
  <c r="F28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1" i="9"/>
  <c r="F10" i="9"/>
  <c r="F9" i="9"/>
  <c r="F294" i="8"/>
  <c r="F293" i="8"/>
  <c r="F292" i="8"/>
  <c r="F290" i="8"/>
  <c r="F289" i="8"/>
  <c r="F288" i="8"/>
  <c r="F287" i="8"/>
  <c r="F286" i="8"/>
  <c r="F285" i="8"/>
  <c r="F284" i="8"/>
  <c r="F282" i="8"/>
  <c r="F281" i="8"/>
  <c r="F280" i="8"/>
  <c r="F279" i="8"/>
  <c r="F278" i="8"/>
  <c r="F277" i="8"/>
  <c r="F275" i="8"/>
  <c r="F274" i="8"/>
  <c r="F273" i="8"/>
  <c r="F270" i="8"/>
  <c r="F269" i="8"/>
  <c r="F268" i="8"/>
  <c r="F266" i="8"/>
  <c r="F265" i="8"/>
  <c r="F264" i="8"/>
  <c r="F263" i="8"/>
  <c r="F262" i="8"/>
  <c r="F261" i="8"/>
  <c r="F260" i="8"/>
  <c r="F258" i="8"/>
  <c r="F257" i="8"/>
  <c r="F256" i="8"/>
  <c r="F255" i="8"/>
  <c r="F254" i="8"/>
  <c r="F253" i="8"/>
  <c r="F251" i="8"/>
  <c r="F250" i="8"/>
  <c r="F249" i="8"/>
  <c r="F246" i="8"/>
  <c r="F245" i="8"/>
  <c r="F244" i="8"/>
  <c r="F242" i="8"/>
  <c r="F241" i="8"/>
  <c r="F240" i="8"/>
  <c r="F239" i="8"/>
  <c r="F238" i="8"/>
  <c r="F237" i="8"/>
  <c r="F236" i="8"/>
  <c r="F234" i="8"/>
  <c r="F233" i="8"/>
  <c r="F232" i="8"/>
  <c r="F231" i="8"/>
  <c r="F230" i="8"/>
  <c r="F229" i="8"/>
  <c r="F227" i="8"/>
  <c r="F226" i="8"/>
  <c r="F225" i="8"/>
  <c r="F222" i="8"/>
  <c r="F221" i="8"/>
  <c r="F220" i="8"/>
  <c r="F218" i="8"/>
  <c r="F217" i="8"/>
  <c r="F216" i="8"/>
  <c r="F215" i="8"/>
  <c r="F214" i="8"/>
  <c r="F213" i="8"/>
  <c r="F212" i="8"/>
  <c r="F210" i="8"/>
  <c r="F209" i="8"/>
  <c r="F208" i="8"/>
  <c r="F207" i="8"/>
  <c r="F206" i="8"/>
  <c r="F205" i="8"/>
  <c r="F203" i="8"/>
  <c r="F202" i="8"/>
  <c r="F201" i="8"/>
  <c r="F198" i="8"/>
  <c r="F197" i="8"/>
  <c r="F196" i="8"/>
  <c r="F194" i="8"/>
  <c r="F193" i="8"/>
  <c r="F192" i="8"/>
  <c r="F191" i="8"/>
  <c r="F190" i="8"/>
  <c r="F189" i="8"/>
  <c r="F188" i="8"/>
  <c r="F186" i="8"/>
  <c r="F185" i="8"/>
  <c r="F184" i="8"/>
  <c r="F183" i="8"/>
  <c r="F182" i="8"/>
  <c r="F181" i="8"/>
  <c r="F179" i="8"/>
  <c r="F178" i="8"/>
  <c r="F177" i="8"/>
  <c r="F174" i="8"/>
  <c r="F173" i="8"/>
  <c r="F172" i="8"/>
  <c r="F170" i="8"/>
  <c r="F169" i="8"/>
  <c r="F168" i="8"/>
  <c r="F167" i="8"/>
  <c r="F166" i="8"/>
  <c r="F165" i="8"/>
  <c r="F164" i="8"/>
  <c r="F162" i="8"/>
  <c r="F161" i="8"/>
  <c r="F160" i="8"/>
  <c r="F159" i="8"/>
  <c r="F158" i="8"/>
  <c r="F157" i="8"/>
  <c r="F155" i="8"/>
  <c r="F154" i="8"/>
  <c r="F153" i="8"/>
  <c r="F150" i="8"/>
  <c r="F149" i="8"/>
  <c r="F148" i="8"/>
  <c r="F146" i="8"/>
  <c r="F145" i="8"/>
  <c r="F144" i="8"/>
  <c r="F143" i="8"/>
  <c r="F142" i="8"/>
  <c r="F141" i="8"/>
  <c r="F140" i="8"/>
  <c r="F138" i="8"/>
  <c r="F137" i="8"/>
  <c r="F136" i="8"/>
  <c r="F135" i="8"/>
  <c r="F134" i="8"/>
  <c r="F133" i="8"/>
  <c r="F131" i="8"/>
  <c r="F130" i="8"/>
  <c r="F129" i="8"/>
  <c r="F126" i="8"/>
  <c r="F125" i="8"/>
  <c r="F124" i="8"/>
  <c r="F122" i="8"/>
  <c r="F121" i="8"/>
  <c r="F120" i="8"/>
  <c r="F119" i="8"/>
  <c r="F118" i="8"/>
  <c r="F117" i="8"/>
  <c r="F116" i="8"/>
  <c r="F114" i="8"/>
  <c r="F113" i="8"/>
  <c r="F112" i="8"/>
  <c r="F111" i="8"/>
  <c r="F110" i="8"/>
  <c r="F109" i="8"/>
  <c r="F107" i="8"/>
  <c r="F106" i="8"/>
  <c r="F105" i="8"/>
  <c r="F102" i="8"/>
  <c r="F101" i="8"/>
  <c r="F100" i="8"/>
  <c r="F98" i="8"/>
  <c r="F97" i="8"/>
  <c r="F96" i="8"/>
  <c r="F95" i="8"/>
  <c r="F94" i="8"/>
  <c r="F93" i="8"/>
  <c r="F92" i="8"/>
  <c r="F90" i="8"/>
  <c r="F89" i="8"/>
  <c r="F88" i="8"/>
  <c r="F87" i="8"/>
  <c r="F86" i="8"/>
  <c r="F85" i="8"/>
  <c r="F83" i="8"/>
  <c r="F82" i="8"/>
  <c r="F81" i="8"/>
  <c r="F78" i="8"/>
  <c r="F77" i="8"/>
  <c r="F76" i="8"/>
  <c r="F74" i="8"/>
  <c r="F73" i="8"/>
  <c r="F72" i="8"/>
  <c r="F71" i="8"/>
  <c r="F70" i="8"/>
  <c r="F69" i="8"/>
  <c r="F68" i="8"/>
  <c r="F66" i="8"/>
  <c r="F65" i="8"/>
  <c r="F64" i="8"/>
  <c r="F63" i="8"/>
  <c r="F62" i="8"/>
  <c r="F61" i="8"/>
  <c r="F59" i="8"/>
  <c r="F58" i="8"/>
  <c r="F57" i="8"/>
  <c r="F54" i="8"/>
  <c r="F53" i="8"/>
  <c r="F52" i="8"/>
  <c r="F50" i="8"/>
  <c r="F49" i="8"/>
  <c r="F48" i="8"/>
  <c r="F47" i="8"/>
  <c r="F46" i="8"/>
  <c r="F45" i="8"/>
  <c r="F44" i="8"/>
  <c r="F42" i="8"/>
  <c r="F41" i="8"/>
  <c r="F40" i="8"/>
  <c r="F39" i="8"/>
  <c r="F38" i="8"/>
  <c r="F37" i="8"/>
  <c r="F35" i="8"/>
  <c r="F34" i="8"/>
  <c r="F33" i="8"/>
  <c r="F30" i="8"/>
  <c r="F29" i="8"/>
  <c r="F28" i="8"/>
  <c r="F26" i="8"/>
  <c r="F25" i="8"/>
  <c r="F24" i="8"/>
  <c r="F23" i="8"/>
  <c r="F22" i="8"/>
  <c r="F21" i="8"/>
  <c r="F20" i="8"/>
  <c r="F18" i="8"/>
  <c r="F17" i="8"/>
  <c r="F16" i="8"/>
  <c r="F15" i="8"/>
  <c r="F14" i="8"/>
  <c r="F13" i="8"/>
  <c r="F11" i="8"/>
  <c r="F10" i="8"/>
  <c r="F9" i="8"/>
  <c r="F294" i="7"/>
  <c r="F293" i="7"/>
  <c r="F292" i="7"/>
  <c r="F290" i="7"/>
  <c r="F289" i="7"/>
  <c r="F288" i="7"/>
  <c r="F287" i="7"/>
  <c r="F286" i="7"/>
  <c r="F285" i="7"/>
  <c r="F284" i="7"/>
  <c r="F282" i="7"/>
  <c r="F281" i="7"/>
  <c r="F280" i="7"/>
  <c r="F279" i="7"/>
  <c r="F278" i="7"/>
  <c r="F277" i="7"/>
  <c r="F275" i="7"/>
  <c r="F274" i="7"/>
  <c r="F273" i="7"/>
  <c r="F270" i="7"/>
  <c r="F269" i="7"/>
  <c r="F268" i="7"/>
  <c r="F266" i="7"/>
  <c r="F265" i="7"/>
  <c r="F264" i="7"/>
  <c r="F263" i="7"/>
  <c r="F262" i="7"/>
  <c r="F261" i="7"/>
  <c r="F260" i="7"/>
  <c r="F258" i="7"/>
  <c r="F257" i="7"/>
  <c r="F256" i="7"/>
  <c r="F255" i="7"/>
  <c r="F254" i="7"/>
  <c r="F253" i="7"/>
  <c r="F251" i="7"/>
  <c r="F250" i="7"/>
  <c r="F249" i="7"/>
  <c r="F246" i="7"/>
  <c r="F245" i="7"/>
  <c r="F244" i="7"/>
  <c r="F242" i="7"/>
  <c r="F241" i="7"/>
  <c r="F240" i="7"/>
  <c r="F239" i="7"/>
  <c r="F238" i="7"/>
  <c r="F237" i="7"/>
  <c r="F236" i="7"/>
  <c r="F234" i="7"/>
  <c r="F233" i="7"/>
  <c r="F232" i="7"/>
  <c r="F231" i="7"/>
  <c r="F230" i="7"/>
  <c r="F229" i="7"/>
  <c r="F227" i="7"/>
  <c r="F226" i="7"/>
  <c r="F225" i="7"/>
  <c r="F222" i="7"/>
  <c r="F221" i="7"/>
  <c r="F220" i="7"/>
  <c r="F218" i="7"/>
  <c r="F217" i="7"/>
  <c r="F216" i="7"/>
  <c r="F215" i="7"/>
  <c r="F214" i="7"/>
  <c r="F213" i="7"/>
  <c r="F212" i="7"/>
  <c r="F210" i="7"/>
  <c r="F209" i="7"/>
  <c r="F208" i="7"/>
  <c r="F207" i="7"/>
  <c r="F206" i="7"/>
  <c r="F205" i="7"/>
  <c r="F203" i="7"/>
  <c r="F202" i="7"/>
  <c r="F201" i="7"/>
  <c r="F198" i="7"/>
  <c r="F197" i="7"/>
  <c r="F196" i="7"/>
  <c r="F194" i="7"/>
  <c r="F193" i="7"/>
  <c r="F192" i="7"/>
  <c r="F191" i="7"/>
  <c r="F190" i="7"/>
  <c r="F189" i="7"/>
  <c r="F188" i="7"/>
  <c r="F186" i="7"/>
  <c r="F185" i="7"/>
  <c r="F184" i="7"/>
  <c r="F183" i="7"/>
  <c r="F182" i="7"/>
  <c r="F181" i="7"/>
  <c r="F179" i="7"/>
  <c r="F178" i="7"/>
  <c r="F177" i="7"/>
  <c r="F174" i="7"/>
  <c r="F173" i="7"/>
  <c r="F172" i="7"/>
  <c r="F170" i="7"/>
  <c r="F169" i="7"/>
  <c r="F168" i="7"/>
  <c r="F167" i="7"/>
  <c r="F166" i="7"/>
  <c r="F165" i="7"/>
  <c r="F164" i="7"/>
  <c r="F162" i="7"/>
  <c r="F161" i="7"/>
  <c r="F160" i="7"/>
  <c r="F159" i="7"/>
  <c r="F158" i="7"/>
  <c r="F157" i="7"/>
  <c r="F155" i="7"/>
  <c r="F154" i="7"/>
  <c r="F153" i="7"/>
  <c r="F150" i="7"/>
  <c r="F149" i="7"/>
  <c r="F148" i="7"/>
  <c r="F146" i="7"/>
  <c r="F145" i="7"/>
  <c r="F144" i="7"/>
  <c r="F143" i="7"/>
  <c r="F142" i="7"/>
  <c r="F141" i="7"/>
  <c r="F140" i="7"/>
  <c r="F138" i="7"/>
  <c r="F137" i="7"/>
  <c r="F136" i="7"/>
  <c r="F135" i="7"/>
  <c r="F134" i="7"/>
  <c r="F133" i="7"/>
  <c r="F131" i="7"/>
  <c r="F130" i="7"/>
  <c r="F129" i="7"/>
  <c r="F126" i="7"/>
  <c r="F125" i="7"/>
  <c r="F124" i="7"/>
  <c r="F122" i="7"/>
  <c r="F121" i="7"/>
  <c r="F120" i="7"/>
  <c r="F119" i="7"/>
  <c r="F118" i="7"/>
  <c r="F117" i="7"/>
  <c r="F116" i="7"/>
  <c r="F114" i="7"/>
  <c r="F113" i="7"/>
  <c r="F112" i="7"/>
  <c r="F111" i="7"/>
  <c r="F110" i="7"/>
  <c r="F109" i="7"/>
  <c r="F107" i="7"/>
  <c r="F106" i="7"/>
  <c r="F105" i="7"/>
  <c r="F102" i="7"/>
  <c r="F101" i="7"/>
  <c r="F100" i="7"/>
  <c r="F98" i="7"/>
  <c r="F97" i="7"/>
  <c r="F96" i="7"/>
  <c r="F95" i="7"/>
  <c r="F94" i="7"/>
  <c r="F93" i="7"/>
  <c r="F92" i="7"/>
  <c r="F90" i="7"/>
  <c r="F89" i="7"/>
  <c r="F88" i="7"/>
  <c r="F87" i="7"/>
  <c r="F86" i="7"/>
  <c r="F85" i="7"/>
  <c r="F83" i="7"/>
  <c r="F82" i="7"/>
  <c r="F81" i="7"/>
  <c r="F78" i="7"/>
  <c r="F77" i="7"/>
  <c r="F76" i="7"/>
  <c r="F74" i="7"/>
  <c r="F73" i="7"/>
  <c r="F72" i="7"/>
  <c r="F71" i="7"/>
  <c r="F70" i="7"/>
  <c r="F69" i="7"/>
  <c r="F68" i="7"/>
  <c r="F66" i="7"/>
  <c r="F65" i="7"/>
  <c r="F64" i="7"/>
  <c r="F63" i="7"/>
  <c r="F62" i="7"/>
  <c r="F61" i="7"/>
  <c r="F59" i="7"/>
  <c r="F58" i="7"/>
  <c r="F57" i="7"/>
  <c r="F54" i="7"/>
  <c r="F53" i="7"/>
  <c r="F52" i="7"/>
  <c r="F50" i="7"/>
  <c r="F49" i="7"/>
  <c r="F48" i="7"/>
  <c r="F47" i="7"/>
  <c r="F46" i="7"/>
  <c r="F45" i="7"/>
  <c r="F44" i="7"/>
  <c r="F42" i="7"/>
  <c r="F41" i="7"/>
  <c r="F40" i="7"/>
  <c r="F39" i="7"/>
  <c r="F38" i="7"/>
  <c r="F37" i="7"/>
  <c r="F35" i="7"/>
  <c r="F34" i="7"/>
  <c r="F33" i="7"/>
  <c r="F30" i="7"/>
  <c r="F29" i="7"/>
  <c r="F28" i="7"/>
  <c r="F26" i="7"/>
  <c r="F25" i="7"/>
  <c r="F24" i="7"/>
  <c r="F23" i="7"/>
  <c r="F22" i="7"/>
  <c r="F21" i="7"/>
  <c r="F20" i="7"/>
  <c r="F18" i="7"/>
  <c r="F17" i="7"/>
  <c r="F16" i="7"/>
  <c r="F15" i="7"/>
  <c r="F14" i="7"/>
  <c r="F13" i="7"/>
  <c r="F11" i="7"/>
  <c r="F10" i="7"/>
  <c r="F9" i="7"/>
  <c r="A19" i="5"/>
  <c r="A18" i="5"/>
  <c r="A17" i="5"/>
  <c r="A16" i="5"/>
  <c r="A15" i="5"/>
  <c r="A14" i="5"/>
  <c r="A13" i="5"/>
  <c r="A12" i="5"/>
  <c r="A11" i="5"/>
  <c r="A10" i="5"/>
  <c r="D1902" i="17"/>
  <c r="C1901" i="17"/>
  <c r="D1899" i="17"/>
  <c r="C1898" i="17"/>
  <c r="C1895" i="17"/>
  <c r="W1894" i="17"/>
  <c r="W1893" i="17"/>
  <c r="Y1891" i="17"/>
  <c r="C1891" i="17"/>
  <c r="C1890" i="17"/>
  <c r="W1889" i="17"/>
  <c r="W1888" i="17"/>
  <c r="D1888" i="17"/>
  <c r="D1887" i="17"/>
  <c r="Y1885" i="17"/>
  <c r="W1884" i="17"/>
  <c r="C1884" i="17"/>
  <c r="Y1881" i="17"/>
  <c r="C1879" i="17"/>
  <c r="W1878" i="17"/>
  <c r="D1875" i="17"/>
  <c r="D1874" i="17"/>
  <c r="Y1871" i="17"/>
  <c r="C1754" i="17"/>
  <c r="W1744" i="17"/>
  <c r="W1742" i="17"/>
  <c r="D1732" i="17"/>
  <c r="D1727" i="17"/>
  <c r="C1725" i="17"/>
  <c r="D1724" i="17"/>
  <c r="W1717" i="17"/>
  <c r="Y1714" i="17"/>
  <c r="W1707" i="17"/>
  <c r="Y1706" i="17"/>
  <c r="D1706" i="17"/>
  <c r="D1704" i="17"/>
  <c r="D1703" i="17"/>
  <c r="D1682" i="17"/>
  <c r="Y1678" i="17"/>
  <c r="C1676" i="17"/>
  <c r="W1673" i="17"/>
  <c r="C1671" i="17"/>
  <c r="D1669" i="17"/>
  <c r="AA1893" i="17" l="1"/>
  <c r="AA1887" i="17"/>
  <c r="AA1738" i="17"/>
  <c r="AA1702" i="17"/>
  <c r="AA1707" i="17"/>
  <c r="AA1689" i="17"/>
  <c r="AA2048" i="17"/>
  <c r="AA2044" i="17"/>
  <c r="W109" i="17"/>
  <c r="W204" i="17"/>
  <c r="W128" i="17"/>
  <c r="W90" i="17"/>
  <c r="W71" i="17"/>
  <c r="W52" i="17"/>
  <c r="W33" i="17"/>
  <c r="W14" i="17"/>
  <c r="W223" i="17"/>
  <c r="W185" i="17"/>
  <c r="W166" i="17"/>
  <c r="W147" i="17"/>
  <c r="W222" i="17"/>
  <c r="W203" i="17"/>
  <c r="W184" i="17"/>
  <c r="W165" i="17"/>
  <c r="W146" i="17"/>
  <c r="W127" i="17"/>
  <c r="W108" i="17"/>
  <c r="W89" i="17"/>
  <c r="W70" i="17"/>
  <c r="W51" i="17"/>
  <c r="W32" i="17"/>
  <c r="W13" i="17"/>
  <c r="AA1899" i="17"/>
  <c r="AA1897" i="17"/>
  <c r="AA1892" i="17"/>
  <c r="AA1879" i="17"/>
  <c r="AA1745" i="17"/>
  <c r="AA1737" i="17"/>
  <c r="AA1718" i="17"/>
  <c r="AA1699" i="17"/>
  <c r="AA1691" i="17"/>
  <c r="AA1688" i="17"/>
  <c r="AA1752" i="17"/>
  <c r="AA1744" i="17"/>
  <c r="AA1742" i="17"/>
  <c r="AA1720" i="17"/>
  <c r="AA2199" i="17"/>
  <c r="AA1746" i="17"/>
  <c r="AA1732" i="17"/>
  <c r="AA1727" i="17"/>
  <c r="AA1721" i="17"/>
  <c r="AA1664" i="17"/>
  <c r="AA2043" i="17"/>
  <c r="AA1750" i="17"/>
  <c r="AA1684" i="17"/>
  <c r="AA1890" i="17"/>
  <c r="AA1886" i="17"/>
  <c r="AA1883" i="17"/>
  <c r="AA1697" i="17"/>
  <c r="AA1693" i="17"/>
  <c r="AA1679" i="17"/>
  <c r="AA1894" i="17"/>
  <c r="AA1888" i="17"/>
  <c r="AA1884" i="17"/>
  <c r="AA1725" i="17"/>
  <c r="AA1671" i="17"/>
  <c r="AA1669" i="17"/>
  <c r="AA1662" i="17"/>
  <c r="AA1747" i="17"/>
  <c r="AA1695" i="17"/>
  <c r="AA1694" i="17"/>
  <c r="AA1692" i="17"/>
  <c r="AA1686" i="17"/>
  <c r="AA1682" i="17"/>
  <c r="AA1681" i="17"/>
  <c r="AA1680" i="17"/>
  <c r="AA1677" i="17"/>
  <c r="AA1676" i="17"/>
  <c r="AA1673" i="17"/>
  <c r="AA1672" i="17"/>
  <c r="AA1670" i="17"/>
  <c r="AA1668" i="17"/>
  <c r="AA2046" i="17"/>
  <c r="AA1179" i="17"/>
  <c r="AA2034" i="17"/>
  <c r="AA2111" i="17"/>
  <c r="AA2042" i="17"/>
  <c r="AA2041" i="17"/>
  <c r="AA2040" i="17"/>
  <c r="AA2039" i="17"/>
  <c r="AA2033" i="17"/>
  <c r="AA2032" i="17"/>
  <c r="AA2031" i="17"/>
  <c r="AA2030" i="17"/>
  <c r="AA2029" i="17"/>
  <c r="AA2026" i="17"/>
  <c r="AA2025" i="17"/>
  <c r="AA2024" i="17"/>
  <c r="AA2023" i="17"/>
  <c r="AA1885" i="17"/>
  <c r="AA1881" i="17"/>
  <c r="AA1714" i="17"/>
  <c r="AA2178" i="17"/>
  <c r="AA1891" i="17"/>
  <c r="AA1871" i="17"/>
  <c r="AA1706" i="17"/>
  <c r="AA1678" i="17"/>
  <c r="AA2183" i="17"/>
  <c r="AA1938" i="17"/>
  <c r="AA1877" i="17"/>
  <c r="AA1876" i="17"/>
  <c r="AA1874" i="17"/>
  <c r="AA1675" i="17"/>
  <c r="AA1667" i="17"/>
  <c r="AA1666" i="17"/>
  <c r="AA1663" i="17"/>
  <c r="AA1901" i="17"/>
  <c r="AA1900" i="17"/>
  <c r="AA1898" i="17"/>
  <c r="AA1896" i="17"/>
  <c r="AA1895" i="17"/>
  <c r="AA1889" i="17"/>
  <c r="AA1882" i="17"/>
  <c r="AA1880" i="17"/>
  <c r="AA1875" i="17"/>
  <c r="AA1873" i="17"/>
  <c r="AA1872" i="17"/>
  <c r="AA1753" i="17"/>
  <c r="AA1751" i="17"/>
  <c r="AA1749" i="17"/>
  <c r="AA1748" i="17"/>
  <c r="AA1743" i="17"/>
  <c r="AA1741" i="17"/>
  <c r="AA1740" i="17"/>
  <c r="AA1739" i="17"/>
  <c r="AA1735" i="17"/>
  <c r="AA1724" i="17"/>
  <c r="AA1722" i="17"/>
  <c r="AA1717" i="17"/>
  <c r="AA1711" i="17"/>
  <c r="AA1709" i="17"/>
  <c r="AA1708" i="17"/>
  <c r="AA1705" i="17"/>
  <c r="AA1704" i="17"/>
  <c r="AA1703" i="17"/>
  <c r="AA1701" i="17"/>
  <c r="AA1696" i="17"/>
  <c r="AA1690" i="17"/>
  <c r="AA1687" i="17"/>
  <c r="AA1685" i="17"/>
  <c r="AA1683" i="17"/>
  <c r="AA1674" i="17"/>
  <c r="AA1665" i="17"/>
  <c r="AA1878" i="17"/>
  <c r="AA2019" i="17"/>
  <c r="AA2018" i="17"/>
  <c r="AA2013" i="17"/>
  <c r="AA1854" i="17"/>
  <c r="AA1835" i="17"/>
  <c r="AA1818" i="17"/>
  <c r="AA2086" i="17"/>
  <c r="AA1780" i="17"/>
  <c r="AA1247" i="17"/>
  <c r="AA1246" i="17"/>
  <c r="AA1232" i="17"/>
  <c r="AA1245" i="17"/>
  <c r="AA1230" i="17"/>
  <c r="AA2188" i="17"/>
  <c r="AA2179" i="17"/>
  <c r="AA2174" i="17"/>
  <c r="AA2165" i="17"/>
  <c r="AA2144" i="17"/>
  <c r="AA2181" i="17"/>
  <c r="AA2176" i="17"/>
  <c r="AA2121" i="17"/>
  <c r="AA2107" i="17"/>
  <c r="AA2187" i="17"/>
  <c r="AA2177" i="17"/>
  <c r="AA2168" i="17"/>
  <c r="AA2143" i="17"/>
  <c r="AA2182" i="17"/>
  <c r="AA2173" i="17"/>
  <c r="AA2149" i="17"/>
  <c r="AA2147" i="17"/>
  <c r="AA2115" i="17"/>
  <c r="AA2180" i="17"/>
  <c r="AA2175" i="17"/>
  <c r="AA2148" i="17"/>
  <c r="AA2122" i="17"/>
  <c r="AA2118" i="17"/>
  <c r="AA2190" i="17"/>
  <c r="AA1769" i="17"/>
  <c r="AA1758" i="17"/>
  <c r="AA1839" i="17"/>
  <c r="AA1811" i="17"/>
  <c r="AA1795" i="17"/>
  <c r="AA1775" i="17"/>
  <c r="AA1768" i="17"/>
  <c r="AA1766" i="17"/>
  <c r="AA1761" i="17"/>
  <c r="AA1912" i="17"/>
  <c r="AA1853" i="17"/>
  <c r="AA1848" i="17"/>
  <c r="AA1837" i="17"/>
  <c r="AA1813" i="17"/>
  <c r="AA1812" i="17"/>
  <c r="AA1799" i="17"/>
  <c r="AA1792" i="17"/>
  <c r="AA1789" i="17"/>
  <c r="AA1763" i="17"/>
  <c r="AA2197" i="17"/>
  <c r="AA2195" i="17"/>
  <c r="AA2192" i="17"/>
  <c r="AA2185" i="17"/>
  <c r="AA2172" i="17"/>
  <c r="AA2170" i="17"/>
  <c r="AA2160" i="17"/>
  <c r="AA2156" i="17"/>
  <c r="AA2141" i="17"/>
  <c r="AA2138" i="17"/>
  <c r="AA2136" i="17"/>
  <c r="AA2089" i="17"/>
  <c r="AA2088" i="17"/>
  <c r="AA2084" i="17"/>
  <c r="AA2082" i="17"/>
  <c r="AA2080" i="17"/>
  <c r="AA2010" i="17"/>
  <c r="AA2056" i="17"/>
  <c r="AA2055" i="17"/>
  <c r="AA1850" i="17"/>
  <c r="AA1840" i="17"/>
  <c r="AA1803" i="17"/>
  <c r="AA1784" i="17"/>
  <c r="AA2194" i="17"/>
  <c r="AA2171" i="17"/>
  <c r="AA2163" i="17"/>
  <c r="AA2159" i="17"/>
  <c r="AA2155" i="17"/>
  <c r="AA2120" i="17"/>
  <c r="AA2109" i="17"/>
  <c r="AA2081" i="17"/>
  <c r="AA2027" i="17"/>
  <c r="AA2054" i="17"/>
  <c r="AA2016" i="17"/>
  <c r="AA1825" i="17"/>
  <c r="AA1822" i="17"/>
  <c r="AA1817" i="17"/>
  <c r="AA1794" i="17"/>
  <c r="AA1771" i="17"/>
  <c r="AA1762" i="17"/>
  <c r="AA2191" i="17"/>
  <c r="AA2169" i="17"/>
  <c r="AA2164" i="17"/>
  <c r="AA2137" i="17"/>
  <c r="AA2119" i="17"/>
  <c r="AA1810" i="17"/>
  <c r="AA1801" i="17"/>
  <c r="AA1793" i="17"/>
  <c r="AA1778" i="17"/>
  <c r="AA1770" i="17"/>
  <c r="AA1764" i="17"/>
  <c r="AA1814" i="17"/>
  <c r="AA1798" i="17"/>
  <c r="AA1225" i="17"/>
  <c r="AA1215" i="17"/>
  <c r="AA1209" i="17"/>
  <c r="AA1206" i="17"/>
  <c r="AA1205" i="17"/>
  <c r="AA1203" i="17"/>
  <c r="AA1200" i="17"/>
  <c r="AA1198" i="17"/>
  <c r="AA1196" i="17"/>
  <c r="AA1195" i="17"/>
  <c r="AA1194" i="17"/>
  <c r="AA1193" i="17"/>
  <c r="AA1176" i="17"/>
  <c r="AA1171" i="17"/>
  <c r="AA1164" i="17"/>
  <c r="AA1154" i="17"/>
  <c r="AA1146" i="17"/>
  <c r="AA1139" i="17"/>
  <c r="AA1135" i="17"/>
  <c r="AA1129" i="17"/>
  <c r="AA1125" i="17"/>
  <c r="AA1115" i="17"/>
  <c r="AA1114" i="17"/>
  <c r="AA1111" i="17"/>
  <c r="AA1102" i="17"/>
  <c r="AA1100" i="17"/>
  <c r="AA1095" i="17"/>
  <c r="AA1089" i="17"/>
  <c r="AA1088" i="17"/>
  <c r="AA1087" i="17"/>
  <c r="AA1084" i="17"/>
  <c r="AA1083" i="17"/>
  <c r="AA1079" i="17"/>
  <c r="AA1074" i="17"/>
  <c r="AA1056" i="17"/>
  <c r="AA1055" i="17"/>
  <c r="AA1049" i="17"/>
  <c r="AA1048" i="17"/>
  <c r="AA1045" i="17"/>
  <c r="AA1797" i="17"/>
  <c r="AA1791" i="17"/>
  <c r="AA1781" i="17"/>
  <c r="AA1779" i="17"/>
  <c r="AA1244" i="17"/>
  <c r="AA2184" i="17"/>
  <c r="AA2166" i="17"/>
  <c r="AA2161" i="17"/>
  <c r="AA2158" i="17"/>
  <c r="AA2157" i="17"/>
  <c r="AA2154" i="17"/>
  <c r="AA2153" i="17"/>
  <c r="AA2152" i="17"/>
  <c r="AA2145" i="17"/>
  <c r="AA2123" i="17"/>
  <c r="AA2117" i="17"/>
  <c r="AA2113" i="17"/>
  <c r="AA2105" i="17"/>
  <c r="AA2097" i="17"/>
  <c r="AA2094" i="17"/>
  <c r="AA1755" i="17"/>
  <c r="AA1182" i="17"/>
  <c r="AA1754" i="17"/>
  <c r="AA1233" i="17"/>
  <c r="AA2139" i="17"/>
  <c r="AA2114" i="17"/>
  <c r="AA2012" i="17"/>
  <c r="AA2007" i="17"/>
  <c r="AA1998" i="17"/>
  <c r="AA1994" i="17"/>
  <c r="AA1991" i="17"/>
  <c r="AA1977" i="17"/>
  <c r="AA1970" i="17"/>
  <c r="AA1943" i="17"/>
  <c r="AA1937" i="17"/>
  <c r="AA1934" i="17"/>
  <c r="AA1924" i="17"/>
  <c r="AA2079" i="17"/>
  <c r="AA1849" i="17"/>
  <c r="AA1842" i="17"/>
  <c r="AA1776" i="17"/>
  <c r="AA1172" i="17"/>
  <c r="AA1163" i="17"/>
  <c r="AA1148" i="17"/>
  <c r="AA1133" i="17"/>
  <c r="AA1106" i="17"/>
  <c r="AA1914" i="17"/>
  <c r="AA1905" i="17"/>
  <c r="AA1851" i="17"/>
  <c r="AA1846" i="17"/>
  <c r="AA1833" i="17"/>
  <c r="AA1829" i="17"/>
  <c r="AA1828" i="17"/>
  <c r="AA1826" i="17"/>
  <c r="AA1821" i="17"/>
  <c r="AA1816" i="17"/>
  <c r="AA1808" i="17"/>
  <c r="AA1804" i="17"/>
  <c r="AA1802" i="17"/>
  <c r="AA1800" i="17"/>
  <c r="AA1796" i="17"/>
  <c r="AA1787" i="17"/>
  <c r="AA1783" i="17"/>
  <c r="AA1774" i="17"/>
  <c r="AA1759" i="17"/>
  <c r="AA1757" i="17"/>
  <c r="AA1188" i="17"/>
  <c r="AA1167" i="17"/>
  <c r="AA1124" i="17"/>
  <c r="AA1113" i="17"/>
  <c r="AA1104" i="17"/>
  <c r="AA1085" i="17"/>
  <c r="AA1076" i="17"/>
  <c r="AA1066" i="17"/>
  <c r="AA1060" i="17"/>
  <c r="AA1054" i="17"/>
  <c r="AA1231" i="17"/>
  <c r="AA1229" i="17"/>
  <c r="AA1223" i="17"/>
  <c r="AA1809" i="17"/>
  <c r="AA1805" i="17"/>
  <c r="AA1777" i="17"/>
  <c r="AA1191" i="17"/>
  <c r="AA1184" i="17"/>
  <c r="AA1170" i="17"/>
  <c r="AA1099" i="17"/>
  <c r="AA1042" i="17"/>
  <c r="AA1227" i="17"/>
  <c r="AA1218" i="17"/>
  <c r="AA1834" i="17"/>
  <c r="AA1820" i="17"/>
  <c r="AA1786" i="17"/>
  <c r="AA1782" i="17"/>
  <c r="AA1772" i="17"/>
  <c r="AA1190" i="17"/>
  <c r="AA1180" i="17"/>
  <c r="AA1169" i="17"/>
  <c r="AA1120" i="17"/>
  <c r="AA1107" i="17"/>
  <c r="AA1037" i="17"/>
  <c r="AA1830" i="17"/>
  <c r="AA1785" i="17"/>
  <c r="AA1765" i="17"/>
  <c r="AA1756" i="17"/>
  <c r="AA1185" i="17"/>
  <c r="AA1165" i="17"/>
  <c r="AA1127" i="17"/>
  <c r="AA1101" i="17"/>
  <c r="AA1062" i="17"/>
  <c r="AA2140" i="17"/>
  <c r="AA2135" i="17"/>
  <c r="AA2134" i="17"/>
  <c r="AA2133" i="17"/>
  <c r="AA2132" i="17"/>
  <c r="AA2131" i="17"/>
  <c r="AA2130" i="17"/>
  <c r="AA2129" i="17"/>
  <c r="AA2128" i="17"/>
  <c r="AA2127" i="17"/>
  <c r="AA2126" i="17"/>
  <c r="AA2125" i="17"/>
  <c r="AA2124" i="17"/>
  <c r="AA2112" i="17"/>
  <c r="AA2110" i="17"/>
  <c r="AA2108" i="17"/>
  <c r="AA2104" i="17"/>
  <c r="AA2103" i="17"/>
  <c r="AA2102" i="17"/>
  <c r="AA2101" i="17"/>
  <c r="AA2100" i="17"/>
  <c r="AA2099" i="17"/>
  <c r="AA2098" i="17"/>
  <c r="AA2096" i="17"/>
  <c r="AA2091" i="17"/>
  <c r="AA2090" i="17"/>
  <c r="AA2087" i="17"/>
  <c r="AA2085" i="17"/>
  <c r="AA2083" i="17"/>
  <c r="AA2011" i="17"/>
  <c r="AA2008" i="17"/>
  <c r="AA2006" i="17"/>
  <c r="AA1997" i="17"/>
  <c r="AA1990" i="17"/>
  <c r="AA1987" i="17"/>
  <c r="AA1985" i="17"/>
  <c r="AA1983" i="17"/>
  <c r="AA1980" i="17"/>
  <c r="AA1973" i="17"/>
  <c r="AA1969" i="17"/>
  <c r="AA1966" i="17"/>
  <c r="AA1956" i="17"/>
  <c r="AA1953" i="17"/>
  <c r="AA1951" i="17"/>
  <c r="AA1949" i="17"/>
  <c r="AA1947" i="17"/>
  <c r="AA1941" i="17"/>
  <c r="AA1939" i="17"/>
  <c r="AA1931" i="17"/>
  <c r="AA1930" i="17"/>
  <c r="AA1917" i="17"/>
  <c r="AA1910" i="17"/>
  <c r="AA2074" i="17"/>
  <c r="AA2071" i="17"/>
  <c r="AA2069" i="17"/>
  <c r="AA2066" i="17"/>
  <c r="AA2062" i="17"/>
  <c r="AA2059" i="17"/>
  <c r="AA2058" i="17"/>
  <c r="AA2057" i="17"/>
  <c r="AA2015" i="17"/>
  <c r="AA2014" i="17"/>
  <c r="AA1915" i="17"/>
  <c r="AA1913" i="17"/>
  <c r="AA1911" i="17"/>
  <c r="AA1852" i="17"/>
  <c r="AA1847" i="17"/>
  <c r="AA1845" i="17"/>
  <c r="AA1843" i="17"/>
  <c r="AA1841" i="17"/>
  <c r="AA1836" i="17"/>
  <c r="AA1831" i="17"/>
  <c r="AA1827" i="17"/>
  <c r="AA1823" i="17"/>
  <c r="AA1819" i="17"/>
  <c r="AA1815" i="17"/>
  <c r="AA1806" i="17"/>
  <c r="AA1790" i="17"/>
  <c r="AA1788" i="17"/>
  <c r="AA1767" i="17"/>
  <c r="AA1760" i="17"/>
  <c r="AA1187" i="17"/>
  <c r="AA1181" i="17"/>
  <c r="AA1174" i="17"/>
  <c r="AA1151" i="17"/>
  <c r="AA1112" i="17"/>
  <c r="AA1086" i="17"/>
  <c r="AA1228" i="17"/>
  <c r="AA1226" i="17"/>
  <c r="AA1220" i="17"/>
  <c r="AA1216" i="17"/>
  <c r="AA2009" i="17"/>
  <c r="AA2005" i="17"/>
  <c r="AA2002" i="17"/>
  <c r="AA1989" i="17"/>
  <c r="AA1982" i="17"/>
  <c r="AA1975" i="17"/>
  <c r="AA1972" i="17"/>
  <c r="AA1961" i="17"/>
  <c r="AA1958" i="17"/>
  <c r="AA1955" i="17"/>
  <c r="AA1936" i="17"/>
  <c r="AA1923" i="17"/>
  <c r="AA1919" i="17"/>
  <c r="AA1916" i="17"/>
  <c r="AA1838" i="17"/>
  <c r="AA1773" i="17"/>
  <c r="AA1177" i="17"/>
  <c r="AA1166" i="17"/>
  <c r="AA1155" i="17"/>
  <c r="AA1141" i="17"/>
  <c r="AA1091" i="17"/>
  <c r="AA1046" i="17"/>
  <c r="C2281" i="17"/>
  <c r="D2281" i="17"/>
  <c r="Y2281" i="17"/>
  <c r="AA2281" i="17" s="1"/>
  <c r="C2280" i="17"/>
  <c r="D2280" i="17"/>
  <c r="Y2280" i="17"/>
  <c r="AA2280" i="17" s="1"/>
  <c r="C2279" i="17"/>
  <c r="D2279" i="17"/>
  <c r="Y2279" i="17"/>
  <c r="AA2279" i="17" s="1"/>
  <c r="C2278" i="17"/>
  <c r="D2278" i="17"/>
  <c r="Y2278" i="17"/>
  <c r="AA2278" i="17" s="1"/>
  <c r="C2277" i="17"/>
  <c r="D2277" i="17"/>
  <c r="Y2277" i="17"/>
  <c r="AA2277" i="17" s="1"/>
  <c r="C2276" i="17"/>
  <c r="D2276" i="17"/>
  <c r="Y2276" i="17"/>
  <c r="AA2276" i="17" s="1"/>
  <c r="C2275" i="17"/>
  <c r="D2275" i="17"/>
  <c r="Y2275" i="17"/>
  <c r="AA2275" i="17" s="1"/>
  <c r="C2274" i="17"/>
  <c r="D2274" i="17"/>
  <c r="Y2274" i="17"/>
  <c r="AA2274" i="17" s="1"/>
  <c r="C2273" i="17"/>
  <c r="D2273" i="17"/>
  <c r="Y2273" i="17"/>
  <c r="AA2273" i="17" s="1"/>
  <c r="C2272" i="17"/>
  <c r="D2272" i="17"/>
  <c r="Y2272" i="17"/>
  <c r="AA2272" i="17" s="1"/>
  <c r="C2271" i="17"/>
  <c r="D2271" i="17"/>
  <c r="Y2271" i="17"/>
  <c r="AA2271" i="17" s="1"/>
  <c r="C2270" i="17"/>
  <c r="D2270" i="17"/>
  <c r="Y2270" i="17"/>
  <c r="AA2270" i="17" s="1"/>
  <c r="C2269" i="17"/>
  <c r="D2269" i="17"/>
  <c r="Y2269" i="17"/>
  <c r="AA2269" i="17" s="1"/>
  <c r="C2268" i="17"/>
  <c r="D2268" i="17"/>
  <c r="Y2268" i="17"/>
  <c r="AA2268" i="17" s="1"/>
  <c r="C2267" i="17"/>
  <c r="D2267" i="17"/>
  <c r="Y2267" i="17"/>
  <c r="AA2267" i="17" s="1"/>
  <c r="C2266" i="17"/>
  <c r="D2266" i="17"/>
  <c r="Y2266" i="17"/>
  <c r="AA2266" i="17" s="1"/>
  <c r="C2265" i="17"/>
  <c r="D2265" i="17"/>
  <c r="Y2265" i="17"/>
  <c r="AA2265" i="17" s="1"/>
  <c r="C2264" i="17"/>
  <c r="D2264" i="17"/>
  <c r="Y2264" i="17"/>
  <c r="AA2264" i="17" s="1"/>
  <c r="C2263" i="17"/>
  <c r="D2263" i="17"/>
  <c r="Y2263" i="17"/>
  <c r="AA2263" i="17" s="1"/>
  <c r="C2262" i="17"/>
  <c r="D2262" i="17"/>
  <c r="Y2262" i="17"/>
  <c r="AA2262" i="17" s="1"/>
  <c r="C2261" i="17"/>
  <c r="D2261" i="17"/>
  <c r="Y2261" i="17"/>
  <c r="AA2261" i="17" s="1"/>
  <c r="C2260" i="17"/>
  <c r="D2260" i="17"/>
  <c r="Y2260" i="17"/>
  <c r="AA2260" i="17" s="1"/>
  <c r="C2259" i="17"/>
  <c r="D2259" i="17"/>
  <c r="Y2259" i="17"/>
  <c r="AA2259" i="17" s="1"/>
  <c r="C2258" i="17"/>
  <c r="D2258" i="17"/>
  <c r="Y2258" i="17"/>
  <c r="AA2258" i="17" s="1"/>
  <c r="C2257" i="17"/>
  <c r="D2257" i="17"/>
  <c r="Y2257" i="17"/>
  <c r="AA2257" i="17" s="1"/>
  <c r="C2256" i="17"/>
  <c r="D2256" i="17"/>
  <c r="Y2256" i="17"/>
  <c r="AA2256" i="17" s="1"/>
  <c r="C2255" i="17"/>
  <c r="D2255" i="17"/>
  <c r="Y2255" i="17"/>
  <c r="AA2255" i="17" s="1"/>
  <c r="C2254" i="17"/>
  <c r="D2254" i="17"/>
  <c r="Y2254" i="17"/>
  <c r="AA2254" i="17" s="1"/>
  <c r="C2253" i="17"/>
  <c r="D2253" i="17"/>
  <c r="Y2253" i="17"/>
  <c r="AA2253" i="17" s="1"/>
  <c r="C2252" i="17"/>
  <c r="D2252" i="17"/>
  <c r="Y2252" i="17"/>
  <c r="AA2252" i="17" s="1"/>
  <c r="C2251" i="17"/>
  <c r="D2251" i="17"/>
  <c r="Y2251" i="17"/>
  <c r="AA2251" i="17" s="1"/>
  <c r="C2250" i="17"/>
  <c r="D2250" i="17"/>
  <c r="Y2250" i="17"/>
  <c r="AA2250" i="17" s="1"/>
  <c r="C2249" i="17"/>
  <c r="D2249" i="17"/>
  <c r="Y2249" i="17"/>
  <c r="AA2249" i="17" s="1"/>
  <c r="C2248" i="17"/>
  <c r="D2248" i="17"/>
  <c r="Y2248" i="17"/>
  <c r="AA2248" i="17" s="1"/>
  <c r="C2247" i="17"/>
  <c r="D2247" i="17"/>
  <c r="Y2247" i="17"/>
  <c r="AA2247" i="17" s="1"/>
  <c r="C2246" i="17"/>
  <c r="D2246" i="17"/>
  <c r="Y2246" i="17"/>
  <c r="AA2246" i="17" s="1"/>
  <c r="C2245" i="17"/>
  <c r="D2245" i="17"/>
  <c r="Y2245" i="17"/>
  <c r="AA2245" i="17" s="1"/>
  <c r="C2244" i="17"/>
  <c r="D2244" i="17"/>
  <c r="Y2244" i="17"/>
  <c r="AA2244" i="17" s="1"/>
  <c r="C2243" i="17"/>
  <c r="D2243" i="17"/>
  <c r="Y2243" i="17"/>
  <c r="AA2243" i="17" s="1"/>
  <c r="C2242" i="17"/>
  <c r="D2242" i="17"/>
  <c r="Y2242" i="17"/>
  <c r="AA2242" i="17" s="1"/>
  <c r="C2241" i="17"/>
  <c r="D2241" i="17"/>
  <c r="Y2241" i="17"/>
  <c r="AA2241" i="17" s="1"/>
  <c r="C2240" i="17"/>
  <c r="D2240" i="17"/>
  <c r="Y2240" i="17"/>
  <c r="AA2240" i="17" s="1"/>
  <c r="C2239" i="17"/>
  <c r="D2239" i="17"/>
  <c r="Y2239" i="17"/>
  <c r="AA2239" i="17" s="1"/>
  <c r="C2238" i="17"/>
  <c r="D2238" i="17"/>
  <c r="Y2238" i="17"/>
  <c r="AA2238" i="17" s="1"/>
  <c r="C2237" i="17"/>
  <c r="D2237" i="17"/>
  <c r="Y2237" i="17"/>
  <c r="AA2237" i="17" s="1"/>
  <c r="C2236" i="17"/>
  <c r="D2236" i="17"/>
  <c r="Y2236" i="17"/>
  <c r="AA2236" i="17" s="1"/>
  <c r="C2235" i="17"/>
  <c r="D2235" i="17"/>
  <c r="Y2235" i="17"/>
  <c r="AA2235" i="17" s="1"/>
  <c r="C2234" i="17"/>
  <c r="D2234" i="17"/>
  <c r="Y2234" i="17"/>
  <c r="AA2234" i="17" s="1"/>
  <c r="C2233" i="17"/>
  <c r="D2233" i="17"/>
  <c r="Y2233" i="17"/>
  <c r="AA2233" i="17" s="1"/>
  <c r="C2232" i="17"/>
  <c r="D2232" i="17"/>
  <c r="Y2232" i="17"/>
  <c r="AA2232" i="17" s="1"/>
  <c r="C2231" i="17"/>
  <c r="D2231" i="17"/>
  <c r="Y2231" i="17"/>
  <c r="AA2231" i="17" s="1"/>
  <c r="C2230" i="17"/>
  <c r="D2230" i="17"/>
  <c r="Y2230" i="17"/>
  <c r="AA2230" i="17" s="1"/>
  <c r="C2229" i="17"/>
  <c r="D2229" i="17"/>
  <c r="Y2229" i="17"/>
  <c r="AA2229" i="17" s="1"/>
  <c r="C2228" i="17"/>
  <c r="D2228" i="17"/>
  <c r="Y2228" i="17"/>
  <c r="AA2228" i="17" s="1"/>
  <c r="C2227" i="17"/>
  <c r="D2227" i="17"/>
  <c r="Y2227" i="17"/>
  <c r="AA2227" i="17" s="1"/>
  <c r="C2226" i="17"/>
  <c r="D2226" i="17"/>
  <c r="Y2226" i="17"/>
  <c r="AA2226" i="17" s="1"/>
  <c r="C2225" i="17"/>
  <c r="D2225" i="17"/>
  <c r="Y2225" i="17"/>
  <c r="AA2225" i="17" s="1"/>
  <c r="C2224" i="17"/>
  <c r="D2224" i="17"/>
  <c r="Y2224" i="17"/>
  <c r="AA2224" i="17" s="1"/>
  <c r="C2223" i="17"/>
  <c r="D2223" i="17"/>
  <c r="Y2223" i="17"/>
  <c r="AA2223" i="17" s="1"/>
  <c r="C2222" i="17"/>
  <c r="D2222" i="17"/>
  <c r="Y2222" i="17"/>
  <c r="AA2222" i="17" s="1"/>
  <c r="C2221" i="17"/>
  <c r="D2221" i="17"/>
  <c r="Y2221" i="17"/>
  <c r="AA2221" i="17" s="1"/>
  <c r="C2220" i="17"/>
  <c r="D2220" i="17"/>
  <c r="Y2220" i="17"/>
  <c r="AA2220" i="17" s="1"/>
  <c r="C2219" i="17"/>
  <c r="D2219" i="17"/>
  <c r="Y2219" i="17"/>
  <c r="AA2219" i="17" s="1"/>
  <c r="C2218" i="17"/>
  <c r="D2218" i="17"/>
  <c r="Y2218" i="17"/>
  <c r="AA2218" i="17" s="1"/>
  <c r="C2217" i="17"/>
  <c r="D2217" i="17"/>
  <c r="Y2217" i="17"/>
  <c r="AA2217" i="17" s="1"/>
  <c r="C2216" i="17"/>
  <c r="D2216" i="17"/>
  <c r="Y2216" i="17"/>
  <c r="AA2216" i="17" s="1"/>
  <c r="C2215" i="17"/>
  <c r="D2215" i="17"/>
  <c r="Y2215" i="17"/>
  <c r="AA2215" i="17" s="1"/>
  <c r="C2214" i="17"/>
  <c r="D2214" i="17"/>
  <c r="Y2214" i="17"/>
  <c r="AA2214" i="17" s="1"/>
  <c r="C2213" i="17"/>
  <c r="D2213" i="17"/>
  <c r="Y2213" i="17"/>
  <c r="AA2213" i="17" s="1"/>
  <c r="C2212" i="17"/>
  <c r="D2212" i="17"/>
  <c r="Y2212" i="17"/>
  <c r="AA2212" i="17" s="1"/>
  <c r="C2211" i="17"/>
  <c r="D2211" i="17"/>
  <c r="Y2211" i="17"/>
  <c r="AA2211" i="17" s="1"/>
  <c r="C2210" i="17"/>
  <c r="D2210" i="17"/>
  <c r="Y2210" i="17"/>
  <c r="AA2210" i="17" s="1"/>
  <c r="C2209" i="17"/>
  <c r="D2209" i="17"/>
  <c r="Y2209" i="17"/>
  <c r="AA2209" i="17" s="1"/>
  <c r="C2208" i="17"/>
  <c r="D2208" i="17"/>
  <c r="Y2208" i="17"/>
  <c r="AA2208" i="17" s="1"/>
  <c r="C2207" i="17"/>
  <c r="D2207" i="17"/>
  <c r="Y2207" i="17"/>
  <c r="AA2207" i="17" s="1"/>
  <c r="C2206" i="17"/>
  <c r="D2206" i="17"/>
  <c r="Y2206" i="17"/>
  <c r="AA2206" i="17" s="1"/>
  <c r="C2205" i="17"/>
  <c r="D2205" i="17"/>
  <c r="Y2205" i="17"/>
  <c r="AA2205" i="17" s="1"/>
  <c r="C2204" i="17"/>
  <c r="D2204" i="17"/>
  <c r="Y2204" i="17"/>
  <c r="AA2204" i="17" s="1"/>
  <c r="C2203" i="17"/>
  <c r="D2203" i="17"/>
  <c r="Y2203" i="17"/>
  <c r="AA2203" i="17" s="1"/>
  <c r="C2202" i="17"/>
  <c r="D2202" i="17"/>
  <c r="Y2202" i="17"/>
  <c r="AA2202" i="17" s="1"/>
  <c r="C2201" i="17"/>
  <c r="D2201" i="17"/>
  <c r="Y2201" i="17"/>
  <c r="AA2201" i="17" s="1"/>
  <c r="C2200" i="17"/>
  <c r="D2200" i="17"/>
  <c r="Y2200" i="17"/>
  <c r="AA2200" i="17" s="1"/>
  <c r="L2199" i="17"/>
  <c r="X2199" i="17"/>
  <c r="L2198" i="17"/>
  <c r="X2198" i="17"/>
  <c r="L2197" i="17"/>
  <c r="X2197" i="17"/>
  <c r="L2196" i="17"/>
  <c r="X2196" i="17"/>
  <c r="L2195" i="17"/>
  <c r="X2195" i="17"/>
  <c r="L2194" i="17"/>
  <c r="X2194" i="17"/>
  <c r="L2193" i="17"/>
  <c r="X2193" i="17"/>
  <c r="L2192" i="17"/>
  <c r="X2192" i="17"/>
  <c r="L2191" i="17"/>
  <c r="X2191" i="17"/>
  <c r="L2190" i="17"/>
  <c r="X2190" i="17"/>
  <c r="L2189" i="17"/>
  <c r="X2189" i="17"/>
  <c r="L2188" i="17"/>
  <c r="X2188" i="17"/>
  <c r="L2187" i="17"/>
  <c r="X2187" i="17"/>
  <c r="L2186" i="17"/>
  <c r="X2186" i="17"/>
  <c r="L2185" i="17"/>
  <c r="X2185" i="17"/>
  <c r="L2184" i="17"/>
  <c r="X2184" i="17"/>
  <c r="L2183" i="17"/>
  <c r="X2183" i="17"/>
  <c r="L2182" i="17"/>
  <c r="X2182" i="17"/>
  <c r="L2181" i="17"/>
  <c r="X2181" i="17"/>
  <c r="L2180" i="17"/>
  <c r="X2180" i="17"/>
  <c r="L2179" i="17"/>
  <c r="X2179" i="17"/>
  <c r="L2178" i="17"/>
  <c r="X2178" i="17"/>
  <c r="L2177" i="17"/>
  <c r="X2177" i="17"/>
  <c r="L2176" i="17"/>
  <c r="X2176" i="17"/>
  <c r="L2175" i="17"/>
  <c r="X2175" i="17"/>
  <c r="L2174" i="17"/>
  <c r="X2174" i="17"/>
  <c r="L2173" i="17"/>
  <c r="X2173" i="17"/>
  <c r="L2172" i="17"/>
  <c r="X2172" i="17"/>
  <c r="L2171" i="17"/>
  <c r="X2171" i="17"/>
  <c r="L2170" i="17"/>
  <c r="X2170" i="17"/>
  <c r="L2169" i="17"/>
  <c r="X2169" i="17"/>
  <c r="L2168" i="17"/>
  <c r="X2168" i="17"/>
  <c r="L2167" i="17"/>
  <c r="X2167" i="17"/>
  <c r="L2166" i="17"/>
  <c r="X2166" i="17"/>
  <c r="L2165" i="17"/>
  <c r="X2165" i="17"/>
  <c r="L2164" i="17"/>
  <c r="X2164" i="17"/>
  <c r="L2163" i="17"/>
  <c r="X2163" i="17"/>
  <c r="L2162" i="17"/>
  <c r="X2162" i="17"/>
  <c r="L2161" i="17"/>
  <c r="X2161" i="17"/>
  <c r="L2160" i="17"/>
  <c r="X2160" i="17"/>
  <c r="L2159" i="17"/>
  <c r="X2159" i="17"/>
  <c r="L2158" i="17"/>
  <c r="X2158" i="17"/>
  <c r="L2157" i="17"/>
  <c r="X2157" i="17"/>
  <c r="L2156" i="17"/>
  <c r="X2156" i="17"/>
  <c r="L2155" i="17"/>
  <c r="X2155" i="17"/>
  <c r="L2154" i="17"/>
  <c r="X2154" i="17"/>
  <c r="L2153" i="17"/>
  <c r="X2153" i="17"/>
  <c r="L2152" i="17"/>
  <c r="X2152" i="17"/>
  <c r="L2151" i="17"/>
  <c r="X2151" i="17"/>
  <c r="L2150" i="17"/>
  <c r="X2150" i="17"/>
  <c r="L2149" i="17"/>
  <c r="X2149" i="17"/>
  <c r="L2148" i="17"/>
  <c r="X2148" i="17"/>
  <c r="L2147" i="17"/>
  <c r="X2147" i="17"/>
  <c r="L2146" i="17"/>
  <c r="X2146" i="17"/>
  <c r="L2145" i="17"/>
  <c r="X2145" i="17"/>
  <c r="L2144" i="17"/>
  <c r="X2144" i="17"/>
  <c r="L2143" i="17"/>
  <c r="X2143" i="17"/>
  <c r="L2142" i="17"/>
  <c r="X2142" i="17"/>
  <c r="L2141" i="17"/>
  <c r="X2141" i="17"/>
  <c r="L2140" i="17"/>
  <c r="X2140" i="17"/>
  <c r="L2139" i="17"/>
  <c r="X2139" i="17"/>
  <c r="L2138" i="17"/>
  <c r="X2138" i="17"/>
  <c r="L2137" i="17"/>
  <c r="X2137" i="17"/>
  <c r="L2136" i="17"/>
  <c r="X2136" i="17"/>
  <c r="L2135" i="17"/>
  <c r="X2135" i="17"/>
  <c r="L2134" i="17"/>
  <c r="X2134" i="17"/>
  <c r="L2133" i="17"/>
  <c r="X2133" i="17"/>
  <c r="L2132" i="17"/>
  <c r="X2132" i="17"/>
  <c r="L2131" i="17"/>
  <c r="X2131" i="17"/>
  <c r="L2130" i="17"/>
  <c r="X2130" i="17"/>
  <c r="L2129" i="17"/>
  <c r="X2129" i="17"/>
  <c r="L2128" i="17"/>
  <c r="X2128" i="17"/>
  <c r="L2127" i="17"/>
  <c r="X2127" i="17"/>
  <c r="L2126" i="17"/>
  <c r="X2126" i="17"/>
  <c r="L2125" i="17"/>
  <c r="X2125" i="17"/>
  <c r="L2124" i="17"/>
  <c r="X2124" i="17"/>
  <c r="L2123" i="17"/>
  <c r="X2123" i="17"/>
  <c r="L2122" i="17"/>
  <c r="X2122" i="17"/>
  <c r="L2121" i="17"/>
  <c r="X2121" i="17"/>
  <c r="L2120" i="17"/>
  <c r="X2120" i="17"/>
  <c r="L2119" i="17"/>
  <c r="X2119" i="17"/>
  <c r="L2118" i="17"/>
  <c r="X2118" i="17"/>
  <c r="L2117" i="17"/>
  <c r="X2117" i="17"/>
  <c r="L2116" i="17"/>
  <c r="X2116" i="17"/>
  <c r="L2115" i="17"/>
  <c r="X2115" i="17"/>
  <c r="L2114" i="17"/>
  <c r="X2114" i="17"/>
  <c r="L2113" i="17"/>
  <c r="X2113" i="17"/>
  <c r="L2112" i="17"/>
  <c r="X2112" i="17"/>
  <c r="L2111" i="17"/>
  <c r="X2111" i="17"/>
  <c r="L2110" i="17"/>
  <c r="X2110" i="17"/>
  <c r="L2109" i="17"/>
  <c r="X2109" i="17"/>
  <c r="L2108" i="17"/>
  <c r="X2108" i="17"/>
  <c r="L2107" i="17"/>
  <c r="X2107" i="17"/>
  <c r="L2106" i="17"/>
  <c r="X2106" i="17"/>
  <c r="L2105" i="17"/>
  <c r="X2105" i="17"/>
  <c r="L2104" i="17"/>
  <c r="X2104" i="17"/>
  <c r="L2103" i="17"/>
  <c r="X2103" i="17"/>
  <c r="L2102" i="17"/>
  <c r="X2102" i="17"/>
  <c r="L2101" i="17"/>
  <c r="X2101" i="17"/>
  <c r="L2100" i="17"/>
  <c r="X2100" i="17"/>
  <c r="L2099" i="17"/>
  <c r="X2099" i="17"/>
  <c r="L2098" i="17"/>
  <c r="X2098" i="17"/>
  <c r="L2097" i="17"/>
  <c r="X2097" i="17"/>
  <c r="L2096" i="17"/>
  <c r="X2096" i="17"/>
  <c r="L2095" i="17"/>
  <c r="X2095" i="17"/>
  <c r="L2094" i="17"/>
  <c r="X2094" i="17"/>
  <c r="L2093" i="17"/>
  <c r="X2093" i="17"/>
  <c r="L2092" i="17"/>
  <c r="X2092" i="17"/>
  <c r="L2091" i="17"/>
  <c r="X2091" i="17"/>
  <c r="L2090" i="17"/>
  <c r="X2090" i="17"/>
  <c r="L2089" i="17"/>
  <c r="X2089" i="17"/>
  <c r="L2088" i="17"/>
  <c r="X2088" i="17"/>
  <c r="L2087" i="17"/>
  <c r="X2087" i="17"/>
  <c r="L2086" i="17"/>
  <c r="X2086" i="17"/>
  <c r="L2085" i="17"/>
  <c r="X2085" i="17"/>
  <c r="L2084" i="17"/>
  <c r="X2084" i="17"/>
  <c r="L2083" i="17"/>
  <c r="X2083" i="17"/>
  <c r="L2082" i="17"/>
  <c r="X2082" i="17"/>
  <c r="L2081" i="17"/>
  <c r="X2081" i="17"/>
  <c r="L2080" i="17"/>
  <c r="X2080" i="17"/>
  <c r="L2051" i="17"/>
  <c r="X2051" i="17"/>
  <c r="L2050" i="17"/>
  <c r="X2050" i="17"/>
  <c r="L2049" i="17"/>
  <c r="X2049" i="17"/>
  <c r="L2048" i="17"/>
  <c r="X2048" i="17"/>
  <c r="L2047" i="17"/>
  <c r="X2047" i="17"/>
  <c r="L2046" i="17"/>
  <c r="X2046" i="17"/>
  <c r="L2045" i="17"/>
  <c r="X2045" i="17"/>
  <c r="L2044" i="17"/>
  <c r="X2044" i="17"/>
  <c r="L2043" i="17"/>
  <c r="X2043" i="17"/>
  <c r="L2042" i="17"/>
  <c r="X2042" i="17"/>
  <c r="L2041" i="17"/>
  <c r="X2041" i="17"/>
  <c r="L2040" i="17"/>
  <c r="X2040" i="17"/>
  <c r="L2039" i="17"/>
  <c r="X2039" i="17"/>
  <c r="L2038" i="17"/>
  <c r="X2038" i="17"/>
  <c r="L2036" i="17"/>
  <c r="X2036" i="17"/>
  <c r="L2035" i="17"/>
  <c r="X2035" i="17"/>
  <c r="L2034" i="17"/>
  <c r="X2034" i="17"/>
  <c r="L2033" i="17"/>
  <c r="X2033" i="17"/>
  <c r="L2032" i="17"/>
  <c r="X2032" i="17"/>
  <c r="L2031" i="17"/>
  <c r="X2031" i="17"/>
  <c r="L2029" i="17"/>
  <c r="X2029" i="17"/>
  <c r="L2028" i="17"/>
  <c r="X2028" i="17"/>
  <c r="L2027" i="17"/>
  <c r="X2027" i="17"/>
  <c r="L2026" i="17"/>
  <c r="X2026" i="17"/>
  <c r="L2025" i="17"/>
  <c r="X2025" i="17"/>
  <c r="L2024" i="17"/>
  <c r="X2024" i="17"/>
  <c r="L2023" i="17"/>
  <c r="X2023" i="17"/>
  <c r="L2022" i="17"/>
  <c r="X2022" i="17"/>
  <c r="L2021" i="17"/>
  <c r="X2021" i="17"/>
  <c r="L2020" i="17"/>
  <c r="X2020" i="17"/>
  <c r="L2019" i="17"/>
  <c r="X2019" i="17"/>
  <c r="L2018" i="17"/>
  <c r="X2018" i="17"/>
  <c r="L2012" i="17"/>
  <c r="X2012" i="17"/>
  <c r="L2011" i="17"/>
  <c r="X2011" i="17"/>
  <c r="X2010" i="17"/>
  <c r="L2010" i="17"/>
  <c r="L2008" i="17"/>
  <c r="X2008" i="17"/>
  <c r="X2005" i="17"/>
  <c r="L2005" i="17"/>
  <c r="L2004" i="17"/>
  <c r="X2004" i="17"/>
  <c r="L2003" i="17"/>
  <c r="X2003" i="17"/>
  <c r="L2002" i="17"/>
  <c r="X2002" i="17"/>
  <c r="L2001" i="17"/>
  <c r="X2001" i="17"/>
  <c r="L2000" i="17"/>
  <c r="X2000" i="17"/>
  <c r="L1999" i="17"/>
  <c r="X1999" i="17"/>
  <c r="L1998" i="17"/>
  <c r="X1998" i="17"/>
  <c r="L1997" i="17"/>
  <c r="X1997" i="17"/>
  <c r="L1995" i="17"/>
  <c r="X1995" i="17"/>
  <c r="L1994" i="17"/>
  <c r="X1994" i="17"/>
  <c r="L1993" i="17"/>
  <c r="X1993" i="17"/>
  <c r="L1992" i="17"/>
  <c r="X1992" i="17"/>
  <c r="L1991" i="17"/>
  <c r="X1991" i="17"/>
  <c r="L1990" i="17"/>
  <c r="X1990" i="17"/>
  <c r="L1989" i="17"/>
  <c r="X1989" i="17"/>
  <c r="L1987" i="17"/>
  <c r="X1987" i="17"/>
  <c r="L1985" i="17"/>
  <c r="X1985" i="17"/>
  <c r="L1984" i="17"/>
  <c r="X1984" i="17"/>
  <c r="L1983" i="17"/>
  <c r="X1983" i="17"/>
  <c r="L1982" i="17"/>
  <c r="X1982" i="17"/>
  <c r="L1981" i="17"/>
  <c r="X1981" i="17"/>
  <c r="L1980" i="17"/>
  <c r="X1980" i="17"/>
  <c r="L1979" i="17"/>
  <c r="X1979" i="17"/>
  <c r="L1978" i="17"/>
  <c r="X1978" i="17"/>
  <c r="L1977" i="17"/>
  <c r="X1977" i="17"/>
  <c r="L1975" i="17"/>
  <c r="X1975" i="17"/>
  <c r="L1974" i="17"/>
  <c r="X1974" i="17"/>
  <c r="L1973" i="17"/>
  <c r="X1973" i="17"/>
  <c r="L1972" i="17"/>
  <c r="X1972" i="17"/>
  <c r="L1971" i="17"/>
  <c r="X1971" i="17"/>
  <c r="L1969" i="17"/>
  <c r="X1969" i="17"/>
  <c r="L1968" i="17"/>
  <c r="X1968" i="17"/>
  <c r="L1966" i="17"/>
  <c r="X1966" i="17"/>
  <c r="L1965" i="17"/>
  <c r="X1965" i="17"/>
  <c r="L1964" i="17"/>
  <c r="X1964" i="17"/>
  <c r="L1963" i="17"/>
  <c r="X1963" i="17"/>
  <c r="L1962" i="17"/>
  <c r="X1962" i="17"/>
  <c r="L1961" i="17"/>
  <c r="X1961" i="17"/>
  <c r="L1960" i="17"/>
  <c r="X1960" i="17"/>
  <c r="L1959" i="17"/>
  <c r="X1959" i="17"/>
  <c r="L1958" i="17"/>
  <c r="X1958" i="17"/>
  <c r="L1955" i="17"/>
  <c r="X1955" i="17"/>
  <c r="L1954" i="17"/>
  <c r="X1954" i="17"/>
  <c r="L1953" i="17"/>
  <c r="X1953" i="17"/>
  <c r="L1952" i="17"/>
  <c r="X1952" i="17"/>
  <c r="L1951" i="17"/>
  <c r="X1951" i="17"/>
  <c r="L1950" i="17"/>
  <c r="X1950" i="17"/>
  <c r="L1949" i="17"/>
  <c r="X1949" i="17"/>
  <c r="L1947" i="17"/>
  <c r="X1947" i="17"/>
  <c r="L1946" i="17"/>
  <c r="X1946" i="17"/>
  <c r="L1945" i="17"/>
  <c r="X1945" i="17"/>
  <c r="L1944" i="17"/>
  <c r="X1944" i="17"/>
  <c r="L1943" i="17"/>
  <c r="X1943" i="17"/>
  <c r="L1942" i="17"/>
  <c r="X1942" i="17"/>
  <c r="L1941" i="17"/>
  <c r="X1941" i="17"/>
  <c r="L1940" i="17"/>
  <c r="X1940" i="17"/>
  <c r="L1939" i="17"/>
  <c r="X1939" i="17"/>
  <c r="L1938" i="17"/>
  <c r="X1938" i="17"/>
  <c r="L1937" i="17"/>
  <c r="X1937" i="17"/>
  <c r="L1936" i="17"/>
  <c r="X1936" i="17"/>
  <c r="X1935" i="17"/>
  <c r="L1935" i="17"/>
  <c r="L1934" i="17"/>
  <c r="X1934" i="17"/>
  <c r="L1933" i="17"/>
  <c r="X1933" i="17"/>
  <c r="L1932" i="17"/>
  <c r="X1932" i="17"/>
  <c r="L1931" i="17"/>
  <c r="X1931" i="17"/>
  <c r="L1930" i="17"/>
  <c r="X1930" i="17"/>
  <c r="X1929" i="17"/>
  <c r="L1929" i="17"/>
  <c r="L1928" i="17"/>
  <c r="X1928" i="17"/>
  <c r="L1927" i="17"/>
  <c r="X1927" i="17"/>
  <c r="L1926" i="17"/>
  <c r="X1926" i="17"/>
  <c r="L1923" i="17"/>
  <c r="X1923" i="17"/>
  <c r="L1922" i="17"/>
  <c r="X1922" i="17"/>
  <c r="L1921" i="17"/>
  <c r="X1921" i="17"/>
  <c r="L1920" i="17"/>
  <c r="X1920" i="17"/>
  <c r="L1919" i="17"/>
  <c r="X1919" i="17"/>
  <c r="L1918" i="17"/>
  <c r="X1918" i="17"/>
  <c r="L1917" i="17"/>
  <c r="X1917" i="17"/>
  <c r="L1909" i="17"/>
  <c r="X1909" i="17"/>
  <c r="X1908" i="17"/>
  <c r="L1908" i="17"/>
  <c r="X1906" i="17"/>
  <c r="L1906" i="17"/>
  <c r="L1905" i="17"/>
  <c r="X1905" i="17"/>
  <c r="X1904" i="17"/>
  <c r="L1904" i="17"/>
  <c r="X1903" i="17"/>
  <c r="L1903" i="17"/>
  <c r="L1902" i="17"/>
  <c r="X1902" i="17"/>
  <c r="L1887" i="17"/>
  <c r="X1887" i="17"/>
  <c r="L1886" i="17"/>
  <c r="X1886" i="17"/>
  <c r="L1713" i="17"/>
  <c r="X1713" i="17"/>
  <c r="X1703" i="17"/>
  <c r="L1703" i="17"/>
  <c r="L1699" i="17"/>
  <c r="X1699" i="17"/>
  <c r="X1698" i="17"/>
  <c r="L1698" i="17"/>
  <c r="X1683" i="17"/>
  <c r="L1683" i="17"/>
  <c r="X1682" i="17"/>
  <c r="L1682" i="17"/>
  <c r="X1680" i="17"/>
  <c r="L1680" i="17"/>
  <c r="L1677" i="17"/>
  <c r="X1677" i="17"/>
  <c r="L2079" i="17"/>
  <c r="X2079" i="17"/>
  <c r="L2078" i="17"/>
  <c r="X2078" i="17"/>
  <c r="L2077" i="17"/>
  <c r="X2077" i="17"/>
  <c r="L2076" i="17"/>
  <c r="X2076" i="17"/>
  <c r="L2075" i="17"/>
  <c r="X2075" i="17"/>
  <c r="L2074" i="17"/>
  <c r="X2074" i="17"/>
  <c r="L2073" i="17"/>
  <c r="X2073" i="17"/>
  <c r="L2072" i="17"/>
  <c r="X2072" i="17"/>
  <c r="L2071" i="17"/>
  <c r="X2071" i="17"/>
  <c r="L2070" i="17"/>
  <c r="X2070" i="17"/>
  <c r="L2069" i="17"/>
  <c r="X2069" i="17"/>
  <c r="L2068" i="17"/>
  <c r="X2068" i="17"/>
  <c r="L2067" i="17"/>
  <c r="X2067" i="17"/>
  <c r="L2066" i="17"/>
  <c r="X2066" i="17"/>
  <c r="L2065" i="17"/>
  <c r="X2065" i="17"/>
  <c r="L2064" i="17"/>
  <c r="X2064" i="17"/>
  <c r="L2063" i="17"/>
  <c r="X2063" i="17"/>
  <c r="L2062" i="17"/>
  <c r="X2062" i="17"/>
  <c r="L2061" i="17"/>
  <c r="X2061" i="17"/>
  <c r="L2060" i="17"/>
  <c r="X2060" i="17"/>
  <c r="L2059" i="17"/>
  <c r="X2059" i="17"/>
  <c r="L2058" i="17"/>
  <c r="X2058" i="17"/>
  <c r="L2057" i="17"/>
  <c r="X2057" i="17"/>
  <c r="L2056" i="17"/>
  <c r="X2056" i="17"/>
  <c r="L2055" i="17"/>
  <c r="X2055" i="17"/>
  <c r="L2054" i="17"/>
  <c r="X2054" i="17"/>
  <c r="L2053" i="17"/>
  <c r="X2053" i="17"/>
  <c r="L2052" i="17"/>
  <c r="X2052" i="17"/>
  <c r="L2037" i="17"/>
  <c r="X2037" i="17"/>
  <c r="L2030" i="17"/>
  <c r="X2030" i="17"/>
  <c r="L2017" i="17"/>
  <c r="X2017" i="17"/>
  <c r="L2016" i="17"/>
  <c r="X2016" i="17"/>
  <c r="L2015" i="17"/>
  <c r="X2015" i="17"/>
  <c r="L2014" i="17"/>
  <c r="X2014" i="17"/>
  <c r="L2013" i="17"/>
  <c r="X2013" i="17"/>
  <c r="L2009" i="17"/>
  <c r="X2009" i="17"/>
  <c r="L2007" i="17"/>
  <c r="X2007" i="17"/>
  <c r="L2006" i="17"/>
  <c r="X2006" i="17"/>
  <c r="L1996" i="17"/>
  <c r="X1996" i="17"/>
  <c r="X1988" i="17"/>
  <c r="L1988" i="17"/>
  <c r="L1986" i="17"/>
  <c r="X1986" i="17"/>
  <c r="L1976" i="17"/>
  <c r="X1976" i="17"/>
  <c r="L1970" i="17"/>
  <c r="X1970" i="17"/>
  <c r="X1967" i="17"/>
  <c r="L1967" i="17"/>
  <c r="L1957" i="17"/>
  <c r="X1957" i="17"/>
  <c r="L1956" i="17"/>
  <c r="X1956" i="17"/>
  <c r="L1948" i="17"/>
  <c r="X1948" i="17"/>
  <c r="L1925" i="17"/>
  <c r="X1925" i="17"/>
  <c r="L1924" i="17"/>
  <c r="X1924" i="17"/>
  <c r="L1916" i="17"/>
  <c r="X1916" i="17"/>
  <c r="L1915" i="17"/>
  <c r="X1915" i="17"/>
  <c r="L1914" i="17"/>
  <c r="X1914" i="17"/>
  <c r="L1913" i="17"/>
  <c r="X1913" i="17"/>
  <c r="L1912" i="17"/>
  <c r="X1912" i="17"/>
  <c r="L1911" i="17"/>
  <c r="X1911" i="17"/>
  <c r="L1910" i="17"/>
  <c r="X1910" i="17"/>
  <c r="X1907" i="17"/>
  <c r="L1907" i="17"/>
  <c r="L1900" i="17"/>
  <c r="X1900" i="17"/>
  <c r="X1893" i="17"/>
  <c r="L1893" i="17"/>
  <c r="L1882" i="17"/>
  <c r="X1882" i="17"/>
  <c r="L1880" i="17"/>
  <c r="X1880" i="17"/>
  <c r="L1871" i="17"/>
  <c r="X1871" i="17"/>
  <c r="L1752" i="17"/>
  <c r="X1752" i="17"/>
  <c r="L1746" i="17"/>
  <c r="X1746" i="17"/>
  <c r="L1741" i="17"/>
  <c r="X1741" i="17"/>
  <c r="X1717" i="17"/>
  <c r="L1717" i="17"/>
  <c r="X1716" i="17"/>
  <c r="L1716" i="17"/>
  <c r="X1701" i="17"/>
  <c r="L1701" i="17"/>
  <c r="C1870" i="17"/>
  <c r="D1870" i="17"/>
  <c r="Y1870" i="17"/>
  <c r="AA1870" i="17" s="1"/>
  <c r="C1869" i="17"/>
  <c r="D1869" i="17"/>
  <c r="Y1869" i="17"/>
  <c r="AA1869" i="17" s="1"/>
  <c r="C1868" i="17"/>
  <c r="D1868" i="17"/>
  <c r="Y1868" i="17"/>
  <c r="AA1868" i="17" s="1"/>
  <c r="C1867" i="17"/>
  <c r="D1867" i="17"/>
  <c r="Y1867" i="17"/>
  <c r="AA1867" i="17" s="1"/>
  <c r="C1866" i="17"/>
  <c r="D1866" i="17"/>
  <c r="Y1866" i="17"/>
  <c r="AA1866" i="17" s="1"/>
  <c r="C1865" i="17"/>
  <c r="D1865" i="17"/>
  <c r="Y1865" i="17"/>
  <c r="AA1865" i="17" s="1"/>
  <c r="C1864" i="17"/>
  <c r="D1864" i="17"/>
  <c r="Y1864" i="17"/>
  <c r="AA1864" i="17" s="1"/>
  <c r="C1863" i="17"/>
  <c r="D1863" i="17"/>
  <c r="Y1863" i="17"/>
  <c r="AA1863" i="17" s="1"/>
  <c r="C1862" i="17"/>
  <c r="D1862" i="17"/>
  <c r="Y1862" i="17"/>
  <c r="AA1862" i="17" s="1"/>
  <c r="C1861" i="17"/>
  <c r="D1861" i="17"/>
  <c r="Y1861" i="17"/>
  <c r="AA1861" i="17" s="1"/>
  <c r="C1860" i="17"/>
  <c r="D1860" i="17"/>
  <c r="Y1860" i="17"/>
  <c r="AA1860" i="17" s="1"/>
  <c r="C1859" i="17"/>
  <c r="D1859" i="17"/>
  <c r="Y1859" i="17"/>
  <c r="AA1859" i="17" s="1"/>
  <c r="C1858" i="17"/>
  <c r="D1858" i="17"/>
  <c r="Y1858" i="17"/>
  <c r="AA1858" i="17" s="1"/>
  <c r="C1857" i="17"/>
  <c r="D1857" i="17"/>
  <c r="Y1857" i="17"/>
  <c r="AA1857" i="17" s="1"/>
  <c r="C1856" i="17"/>
  <c r="D1856" i="17"/>
  <c r="Y1856" i="17"/>
  <c r="AA1856" i="17" s="1"/>
  <c r="C1855" i="17"/>
  <c r="D1855" i="17"/>
  <c r="Y1855" i="17"/>
  <c r="AA1855" i="17" s="1"/>
  <c r="L1854" i="17"/>
  <c r="X1854" i="17"/>
  <c r="L1853" i="17"/>
  <c r="X1853" i="17"/>
  <c r="L1852" i="17"/>
  <c r="X1852" i="17"/>
  <c r="L1851" i="17"/>
  <c r="X1851" i="17"/>
  <c r="L1850" i="17"/>
  <c r="X1850" i="17"/>
  <c r="L1849" i="17"/>
  <c r="X1849" i="17"/>
  <c r="L1848" i="17"/>
  <c r="X1848" i="17"/>
  <c r="L1847" i="17"/>
  <c r="X1847" i="17"/>
  <c r="L1846" i="17"/>
  <c r="X1846" i="17"/>
  <c r="L1845" i="17"/>
  <c r="X1845" i="17"/>
  <c r="L1844" i="17"/>
  <c r="X1844" i="17"/>
  <c r="L1843" i="17"/>
  <c r="X1843" i="17"/>
  <c r="L1842" i="17"/>
  <c r="X1842" i="17"/>
  <c r="L1841" i="17"/>
  <c r="X1841" i="17"/>
  <c r="L1840" i="17"/>
  <c r="X1840" i="17"/>
  <c r="L1839" i="17"/>
  <c r="X1839" i="17"/>
  <c r="L1838" i="17"/>
  <c r="X1838" i="17"/>
  <c r="L1837" i="17"/>
  <c r="X1837" i="17"/>
  <c r="L1836" i="17"/>
  <c r="X1836" i="17"/>
  <c r="L1835" i="17"/>
  <c r="X1835" i="17"/>
  <c r="L1834" i="17"/>
  <c r="X1834" i="17"/>
  <c r="L1833" i="17"/>
  <c r="X1833" i="17"/>
  <c r="L1832" i="17"/>
  <c r="X1832" i="17"/>
  <c r="L1831" i="17"/>
  <c r="X1831" i="17"/>
  <c r="L1830" i="17"/>
  <c r="X1830" i="17"/>
  <c r="L1829" i="17"/>
  <c r="X1829" i="17"/>
  <c r="L1828" i="17"/>
  <c r="X1828" i="17"/>
  <c r="L1827" i="17"/>
  <c r="X1827" i="17"/>
  <c r="L1826" i="17"/>
  <c r="X1826" i="17"/>
  <c r="L1825" i="17"/>
  <c r="X1825" i="17"/>
  <c r="L1824" i="17"/>
  <c r="X1824" i="17"/>
  <c r="L1823" i="17"/>
  <c r="X1823" i="17"/>
  <c r="L1822" i="17"/>
  <c r="X1822" i="17"/>
  <c r="L1821" i="17"/>
  <c r="X1821" i="17"/>
  <c r="L1820" i="17"/>
  <c r="X1820" i="17"/>
  <c r="L1819" i="17"/>
  <c r="X1819" i="17"/>
  <c r="L1818" i="17"/>
  <c r="X1818" i="17"/>
  <c r="L1817" i="17"/>
  <c r="X1817" i="17"/>
  <c r="L1816" i="17"/>
  <c r="X1816" i="17"/>
  <c r="L1815" i="17"/>
  <c r="X1815" i="17"/>
  <c r="L1814" i="17"/>
  <c r="X1814" i="17"/>
  <c r="L1813" i="17"/>
  <c r="X1813" i="17"/>
  <c r="L1812" i="17"/>
  <c r="X1812" i="17"/>
  <c r="L1811" i="17"/>
  <c r="X1811" i="17"/>
  <c r="L1810" i="17"/>
  <c r="X1810" i="17"/>
  <c r="L1809" i="17"/>
  <c r="X1809" i="17"/>
  <c r="L1808" i="17"/>
  <c r="X1808" i="17"/>
  <c r="L1807" i="17"/>
  <c r="X1807" i="17"/>
  <c r="L1806" i="17"/>
  <c r="X1806" i="17"/>
  <c r="L1805" i="17"/>
  <c r="X1805" i="17"/>
  <c r="L1804" i="17"/>
  <c r="X1804" i="17"/>
  <c r="L1803" i="17"/>
  <c r="X1803" i="17"/>
  <c r="L1802" i="17"/>
  <c r="X1802" i="17"/>
  <c r="L1801" i="17"/>
  <c r="X1801" i="17"/>
  <c r="L1800" i="17"/>
  <c r="X1800" i="17"/>
  <c r="L1799" i="17"/>
  <c r="X1799" i="17"/>
  <c r="L1798" i="17"/>
  <c r="X1798" i="17"/>
  <c r="L1797" i="17"/>
  <c r="X1797" i="17"/>
  <c r="L1796" i="17"/>
  <c r="X1796" i="17"/>
  <c r="L1795" i="17"/>
  <c r="X1795" i="17"/>
  <c r="L1794" i="17"/>
  <c r="X1794" i="17"/>
  <c r="L1793" i="17"/>
  <c r="X1793" i="17"/>
  <c r="L1792" i="17"/>
  <c r="X1792" i="17"/>
  <c r="L1791" i="17"/>
  <c r="X1791" i="17"/>
  <c r="L1790" i="17"/>
  <c r="X1790" i="17"/>
  <c r="L1789" i="17"/>
  <c r="X1789" i="17"/>
  <c r="L1788" i="17"/>
  <c r="X1788" i="17"/>
  <c r="L1787" i="17"/>
  <c r="X1787" i="17"/>
  <c r="L1786" i="17"/>
  <c r="X1786" i="17"/>
  <c r="L1785" i="17"/>
  <c r="X1785" i="17"/>
  <c r="L1784" i="17"/>
  <c r="X1784" i="17"/>
  <c r="L1783" i="17"/>
  <c r="X1783" i="17"/>
  <c r="L1782" i="17"/>
  <c r="X1782" i="17"/>
  <c r="L1781" i="17"/>
  <c r="X1781" i="17"/>
  <c r="L1780" i="17"/>
  <c r="X1780" i="17"/>
  <c r="L1779" i="17"/>
  <c r="X1779" i="17"/>
  <c r="L1778" i="17"/>
  <c r="X1778" i="17"/>
  <c r="L1777" i="17"/>
  <c r="X1777" i="17"/>
  <c r="L1776" i="17"/>
  <c r="X1776" i="17"/>
  <c r="L1775" i="17"/>
  <c r="X1775" i="17"/>
  <c r="L1774" i="17"/>
  <c r="X1774" i="17"/>
  <c r="L1773" i="17"/>
  <c r="X1773" i="17"/>
  <c r="L1772" i="17"/>
  <c r="X1772" i="17"/>
  <c r="L1771" i="17"/>
  <c r="X1771" i="17"/>
  <c r="L1770" i="17"/>
  <c r="X1770" i="17"/>
  <c r="L1769" i="17"/>
  <c r="X1769" i="17"/>
  <c r="L1768" i="17"/>
  <c r="X1768" i="17"/>
  <c r="L1767" i="17"/>
  <c r="X1767" i="17"/>
  <c r="L1766" i="17"/>
  <c r="X1766" i="17"/>
  <c r="L1765" i="17"/>
  <c r="X1765" i="17"/>
  <c r="L1764" i="17"/>
  <c r="X1764" i="17"/>
  <c r="L1763" i="17"/>
  <c r="X1763" i="17"/>
  <c r="L1762" i="17"/>
  <c r="X1762" i="17"/>
  <c r="L1761" i="17"/>
  <c r="X1761" i="17"/>
  <c r="L1760" i="17"/>
  <c r="X1760" i="17"/>
  <c r="L1759" i="17"/>
  <c r="X1759" i="17"/>
  <c r="L1758" i="17"/>
  <c r="X1758" i="17"/>
  <c r="L1757" i="17"/>
  <c r="X1757" i="17"/>
  <c r="L1756" i="17"/>
  <c r="X1756" i="17"/>
  <c r="L1755" i="17"/>
  <c r="X1755" i="17"/>
  <c r="C1661" i="17"/>
  <c r="D1661" i="17"/>
  <c r="Y1661" i="17"/>
  <c r="AA1661" i="17" s="1"/>
  <c r="C1660" i="17"/>
  <c r="D1660" i="17"/>
  <c r="Y1660" i="17"/>
  <c r="AA1660" i="17" s="1"/>
  <c r="C1659" i="17"/>
  <c r="D1659" i="17"/>
  <c r="Y1659" i="17"/>
  <c r="AA1659" i="17" s="1"/>
  <c r="C1658" i="17"/>
  <c r="D1658" i="17"/>
  <c r="Y1658" i="17"/>
  <c r="AA1658" i="17" s="1"/>
  <c r="C1657" i="17"/>
  <c r="D1657" i="17"/>
  <c r="Y1657" i="17"/>
  <c r="AA1657" i="17" s="1"/>
  <c r="C1656" i="17"/>
  <c r="D1656" i="17"/>
  <c r="Y1656" i="17"/>
  <c r="AA1656" i="17" s="1"/>
  <c r="C1655" i="17"/>
  <c r="D1655" i="17"/>
  <c r="Y1655" i="17"/>
  <c r="AA1655" i="17" s="1"/>
  <c r="C1654" i="17"/>
  <c r="D1654" i="17"/>
  <c r="Y1654" i="17"/>
  <c r="AA1654" i="17" s="1"/>
  <c r="C1653" i="17"/>
  <c r="D1653" i="17"/>
  <c r="Y1653" i="17"/>
  <c r="AA1653" i="17" s="1"/>
  <c r="C1652" i="17"/>
  <c r="D1652" i="17"/>
  <c r="Y1652" i="17"/>
  <c r="AA1652" i="17" s="1"/>
  <c r="C1651" i="17"/>
  <c r="D1651" i="17"/>
  <c r="Y1651" i="17"/>
  <c r="AA1651" i="17" s="1"/>
  <c r="C1650" i="17"/>
  <c r="D1650" i="17"/>
  <c r="Y1650" i="17"/>
  <c r="AA1650" i="17" s="1"/>
  <c r="C1649" i="17"/>
  <c r="D1649" i="17"/>
  <c r="Y1649" i="17"/>
  <c r="AA1649" i="17" s="1"/>
  <c r="C1648" i="17"/>
  <c r="D1648" i="17"/>
  <c r="Y1648" i="17"/>
  <c r="AA1648" i="17" s="1"/>
  <c r="C1647" i="17"/>
  <c r="D1647" i="17"/>
  <c r="Y1647" i="17"/>
  <c r="AA1647" i="17" s="1"/>
  <c r="C1646" i="17"/>
  <c r="D1646" i="17"/>
  <c r="Y1646" i="17"/>
  <c r="AA1646" i="17" s="1"/>
  <c r="C1645" i="17"/>
  <c r="D1645" i="17"/>
  <c r="Y1645" i="17"/>
  <c r="AA1645" i="17" s="1"/>
  <c r="C1644" i="17"/>
  <c r="D1644" i="17"/>
  <c r="Y1644" i="17"/>
  <c r="AA1644" i="17" s="1"/>
  <c r="C1643" i="17"/>
  <c r="D1643" i="17"/>
  <c r="Y1643" i="17"/>
  <c r="AA1643" i="17" s="1"/>
  <c r="C1642" i="17"/>
  <c r="D1642" i="17"/>
  <c r="Y1642" i="17"/>
  <c r="AA1642" i="17" s="1"/>
  <c r="C1641" i="17"/>
  <c r="D1641" i="17"/>
  <c r="Y1641" i="17"/>
  <c r="AA1641" i="17" s="1"/>
  <c r="C1640" i="17"/>
  <c r="D1640" i="17"/>
  <c r="Y1640" i="17"/>
  <c r="AA1640" i="17" s="1"/>
  <c r="C1639" i="17"/>
  <c r="D1639" i="17"/>
  <c r="Y1639" i="17"/>
  <c r="AA1639" i="17" s="1"/>
  <c r="C1638" i="17"/>
  <c r="D1638" i="17"/>
  <c r="Y1638" i="17"/>
  <c r="AA1638" i="17" s="1"/>
  <c r="C1637" i="17"/>
  <c r="D1637" i="17"/>
  <c r="Y1637" i="17"/>
  <c r="AA1637" i="17" s="1"/>
  <c r="C1636" i="17"/>
  <c r="D1636" i="17"/>
  <c r="Y1636" i="17"/>
  <c r="AA1636" i="17" s="1"/>
  <c r="C1635" i="17"/>
  <c r="D1635" i="17"/>
  <c r="Y1635" i="17"/>
  <c r="AA1635" i="17" s="1"/>
  <c r="C1634" i="17"/>
  <c r="D1634" i="17"/>
  <c r="Y1634" i="17"/>
  <c r="AA1634" i="17" s="1"/>
  <c r="C1633" i="17"/>
  <c r="D1633" i="17"/>
  <c r="Y1633" i="17"/>
  <c r="AA1633" i="17" s="1"/>
  <c r="C1632" i="17"/>
  <c r="D1632" i="17"/>
  <c r="Y1632" i="17"/>
  <c r="AA1632" i="17" s="1"/>
  <c r="C1631" i="17"/>
  <c r="D1631" i="17"/>
  <c r="Y1631" i="17"/>
  <c r="AA1631" i="17" s="1"/>
  <c r="C1630" i="17"/>
  <c r="D1630" i="17"/>
  <c r="Y1630" i="17"/>
  <c r="AA1630" i="17" s="1"/>
  <c r="C1629" i="17"/>
  <c r="D1629" i="17"/>
  <c r="Y1629" i="17"/>
  <c r="AA1629" i="17" s="1"/>
  <c r="C1628" i="17"/>
  <c r="D1628" i="17"/>
  <c r="Y1628" i="17"/>
  <c r="AA1628" i="17" s="1"/>
  <c r="C1627" i="17"/>
  <c r="D1627" i="17"/>
  <c r="Y1627" i="17"/>
  <c r="AA1627" i="17" s="1"/>
  <c r="C1626" i="17"/>
  <c r="D1626" i="17"/>
  <c r="Y1626" i="17"/>
  <c r="AA1626" i="17" s="1"/>
  <c r="C1625" i="17"/>
  <c r="D1625" i="17"/>
  <c r="Y1625" i="17"/>
  <c r="AA1625" i="17" s="1"/>
  <c r="C1624" i="17"/>
  <c r="D1624" i="17"/>
  <c r="Y1624" i="17"/>
  <c r="AA1624" i="17" s="1"/>
  <c r="C1623" i="17"/>
  <c r="D1623" i="17"/>
  <c r="Y1623" i="17"/>
  <c r="AA1623" i="17" s="1"/>
  <c r="C1622" i="17"/>
  <c r="D1622" i="17"/>
  <c r="Y1622" i="17"/>
  <c r="AA1622" i="17" s="1"/>
  <c r="C1621" i="17"/>
  <c r="D1621" i="17"/>
  <c r="Y1621" i="17"/>
  <c r="AA1621" i="17" s="1"/>
  <c r="C1620" i="17"/>
  <c r="D1620" i="17"/>
  <c r="Y1620" i="17"/>
  <c r="AA1620" i="17" s="1"/>
  <c r="C1619" i="17"/>
  <c r="D1619" i="17"/>
  <c r="Y1619" i="17"/>
  <c r="AA1619" i="17" s="1"/>
  <c r="C1618" i="17"/>
  <c r="D1618" i="17"/>
  <c r="Y1618" i="17"/>
  <c r="AA1618" i="17" s="1"/>
  <c r="C1617" i="17"/>
  <c r="D1617" i="17"/>
  <c r="Y1617" i="17"/>
  <c r="AA1617" i="17" s="1"/>
  <c r="C1616" i="17"/>
  <c r="D1616" i="17"/>
  <c r="Y1616" i="17"/>
  <c r="AA1616" i="17" s="1"/>
  <c r="C1615" i="17"/>
  <c r="D1615" i="17"/>
  <c r="Y1615" i="17"/>
  <c r="AA1615" i="17" s="1"/>
  <c r="C1614" i="17"/>
  <c r="D1614" i="17"/>
  <c r="Y1614" i="17"/>
  <c r="AA1614" i="17" s="1"/>
  <c r="C1613" i="17"/>
  <c r="D1613" i="17"/>
  <c r="Y1613" i="17"/>
  <c r="AA1613" i="17" s="1"/>
  <c r="C1612" i="17"/>
  <c r="D1612" i="17"/>
  <c r="Y1612" i="17"/>
  <c r="AA1612" i="17" s="1"/>
  <c r="C1611" i="17"/>
  <c r="D1611" i="17"/>
  <c r="Y1611" i="17"/>
  <c r="AA1611" i="17" s="1"/>
  <c r="C1610" i="17"/>
  <c r="D1610" i="17"/>
  <c r="Y1610" i="17"/>
  <c r="AA1610" i="17" s="1"/>
  <c r="C1609" i="17"/>
  <c r="D1609" i="17"/>
  <c r="Y1609" i="17"/>
  <c r="AA1609" i="17" s="1"/>
  <c r="C1608" i="17"/>
  <c r="D1608" i="17"/>
  <c r="Y1608" i="17"/>
  <c r="AA1608" i="17" s="1"/>
  <c r="C1607" i="17"/>
  <c r="D1607" i="17"/>
  <c r="Y1607" i="17"/>
  <c r="AA1607" i="17" s="1"/>
  <c r="C1606" i="17"/>
  <c r="D1606" i="17"/>
  <c r="Y1606" i="17"/>
  <c r="AA1606" i="17" s="1"/>
  <c r="C1605" i="17"/>
  <c r="D1605" i="17"/>
  <c r="Y1605" i="17"/>
  <c r="AA1605" i="17" s="1"/>
  <c r="C1604" i="17"/>
  <c r="D1604" i="17"/>
  <c r="Y1604" i="17"/>
  <c r="AA1604" i="17" s="1"/>
  <c r="C1603" i="17"/>
  <c r="D1603" i="17"/>
  <c r="Y1603" i="17"/>
  <c r="AA1603" i="17" s="1"/>
  <c r="C1602" i="17"/>
  <c r="D1602" i="17"/>
  <c r="Y1602" i="17"/>
  <c r="AA1602" i="17" s="1"/>
  <c r="C1601" i="17"/>
  <c r="D1601" i="17"/>
  <c r="Y1601" i="17"/>
  <c r="AA1601" i="17" s="1"/>
  <c r="C1600" i="17"/>
  <c r="D1600" i="17"/>
  <c r="Y1600" i="17"/>
  <c r="AA1600" i="17" s="1"/>
  <c r="C1599" i="17"/>
  <c r="D1599" i="17"/>
  <c r="Y1599" i="17"/>
  <c r="AA1599" i="17" s="1"/>
  <c r="C1598" i="17"/>
  <c r="D1598" i="17"/>
  <c r="Y1598" i="17"/>
  <c r="AA1598" i="17" s="1"/>
  <c r="C1597" i="17"/>
  <c r="D1597" i="17"/>
  <c r="Y1597" i="17"/>
  <c r="AA1597" i="17" s="1"/>
  <c r="C1596" i="17"/>
  <c r="D1596" i="17"/>
  <c r="Y1596" i="17"/>
  <c r="AA1596" i="17" s="1"/>
  <c r="C1595" i="17"/>
  <c r="D1595" i="17"/>
  <c r="Y1595" i="17"/>
  <c r="AA1595" i="17" s="1"/>
  <c r="C1594" i="17"/>
  <c r="D1594" i="17"/>
  <c r="Y1594" i="17"/>
  <c r="AA1594" i="17" s="1"/>
  <c r="C1593" i="17"/>
  <c r="D1593" i="17"/>
  <c r="Y1593" i="17"/>
  <c r="AA1593" i="17" s="1"/>
  <c r="C1592" i="17"/>
  <c r="D1592" i="17"/>
  <c r="Y1592" i="17"/>
  <c r="AA1592" i="17" s="1"/>
  <c r="C1591" i="17"/>
  <c r="D1591" i="17"/>
  <c r="Y1591" i="17"/>
  <c r="AA1591" i="17" s="1"/>
  <c r="C1590" i="17"/>
  <c r="D1590" i="17"/>
  <c r="Y1590" i="17"/>
  <c r="AA1590" i="17" s="1"/>
  <c r="C1589" i="17"/>
  <c r="D1589" i="17"/>
  <c r="Y1589" i="17"/>
  <c r="AA1589" i="17" s="1"/>
  <c r="C1588" i="17"/>
  <c r="D1588" i="17"/>
  <c r="Y1588" i="17"/>
  <c r="AA1588" i="17" s="1"/>
  <c r="C1587" i="17"/>
  <c r="D1587" i="17"/>
  <c r="Y1587" i="17"/>
  <c r="AA1587" i="17" s="1"/>
  <c r="C1586" i="17"/>
  <c r="D1586" i="17"/>
  <c r="Y1586" i="17"/>
  <c r="AA1586" i="17" s="1"/>
  <c r="C1585" i="17"/>
  <c r="D1585" i="17"/>
  <c r="Y1585" i="17"/>
  <c r="AA1585" i="17" s="1"/>
  <c r="C1584" i="17"/>
  <c r="D1584" i="17"/>
  <c r="Y1584" i="17"/>
  <c r="AA1584" i="17" s="1"/>
  <c r="C1583" i="17"/>
  <c r="D1583" i="17"/>
  <c r="Y1583" i="17"/>
  <c r="AA1583" i="17" s="1"/>
  <c r="C1582" i="17"/>
  <c r="D1582" i="17"/>
  <c r="Y1582" i="17"/>
  <c r="AA1582" i="17" s="1"/>
  <c r="C1581" i="17"/>
  <c r="D1581" i="17"/>
  <c r="Y1581" i="17"/>
  <c r="AA1581" i="17" s="1"/>
  <c r="C1580" i="17"/>
  <c r="D1580" i="17"/>
  <c r="Y1580" i="17"/>
  <c r="AA1580" i="17" s="1"/>
  <c r="C1579" i="17"/>
  <c r="D1579" i="17"/>
  <c r="Y1579" i="17"/>
  <c r="AA1579" i="17" s="1"/>
  <c r="C1578" i="17"/>
  <c r="D1578" i="17"/>
  <c r="Y1578" i="17"/>
  <c r="AA1578" i="17" s="1"/>
  <c r="C1577" i="17"/>
  <c r="D1577" i="17"/>
  <c r="Y1577" i="17"/>
  <c r="AA1577" i="17" s="1"/>
  <c r="C1576" i="17"/>
  <c r="D1576" i="17"/>
  <c r="Y1576" i="17"/>
  <c r="AA1576" i="17" s="1"/>
  <c r="C1575" i="17"/>
  <c r="D1575" i="17"/>
  <c r="Y1575" i="17"/>
  <c r="AA1575" i="17" s="1"/>
  <c r="C1574" i="17"/>
  <c r="D1574" i="17"/>
  <c r="Y1574" i="17"/>
  <c r="AA1574" i="17" s="1"/>
  <c r="C1573" i="17"/>
  <c r="D1573" i="17"/>
  <c r="Y1573" i="17"/>
  <c r="AA1573" i="17" s="1"/>
  <c r="C1572" i="17"/>
  <c r="D1572" i="17"/>
  <c r="Y1572" i="17"/>
  <c r="AA1572" i="17" s="1"/>
  <c r="C1571" i="17"/>
  <c r="D1571" i="17"/>
  <c r="Y1571" i="17"/>
  <c r="AA1571" i="17" s="1"/>
  <c r="C1570" i="17"/>
  <c r="D1570" i="17"/>
  <c r="Y1570" i="17"/>
  <c r="AA1570" i="17" s="1"/>
  <c r="C1569" i="17"/>
  <c r="D1569" i="17"/>
  <c r="Y1569" i="17"/>
  <c r="AA1569" i="17" s="1"/>
  <c r="C1568" i="17"/>
  <c r="D1568" i="17"/>
  <c r="Y1568" i="17"/>
  <c r="AA1568" i="17" s="1"/>
  <c r="C1567" i="17"/>
  <c r="D1567" i="17"/>
  <c r="Y1567" i="17"/>
  <c r="AA1567" i="17" s="1"/>
  <c r="C1566" i="17"/>
  <c r="D1566" i="17"/>
  <c r="Y1566" i="17"/>
  <c r="AA1566" i="17" s="1"/>
  <c r="C1565" i="17"/>
  <c r="D1565" i="17"/>
  <c r="Y1565" i="17"/>
  <c r="AA1565" i="17" s="1"/>
  <c r="C1564" i="17"/>
  <c r="D1564" i="17"/>
  <c r="Y1564" i="17"/>
  <c r="AA1564" i="17" s="1"/>
  <c r="C1563" i="17"/>
  <c r="D1563" i="17"/>
  <c r="Y1563" i="17"/>
  <c r="AA1563" i="17" s="1"/>
  <c r="C1562" i="17"/>
  <c r="D1562" i="17"/>
  <c r="Y1562" i="17"/>
  <c r="AA1562" i="17" s="1"/>
  <c r="C1561" i="17"/>
  <c r="D1561" i="17"/>
  <c r="Y1561" i="17"/>
  <c r="AA1561" i="17" s="1"/>
  <c r="C1560" i="17"/>
  <c r="D1560" i="17"/>
  <c r="Y1560" i="17"/>
  <c r="AA1560" i="17" s="1"/>
  <c r="C1559" i="17"/>
  <c r="D1559" i="17"/>
  <c r="Y1559" i="17"/>
  <c r="AA1559" i="17" s="1"/>
  <c r="C1558" i="17"/>
  <c r="D1558" i="17"/>
  <c r="Y1558" i="17"/>
  <c r="AA1558" i="17" s="1"/>
  <c r="C1557" i="17"/>
  <c r="D1557" i="17"/>
  <c r="Y1557" i="17"/>
  <c r="AA1557" i="17" s="1"/>
  <c r="C1556" i="17"/>
  <c r="D1556" i="17"/>
  <c r="Y1556" i="17"/>
  <c r="AA1556" i="17" s="1"/>
  <c r="C1555" i="17"/>
  <c r="D1555" i="17"/>
  <c r="Y1555" i="17"/>
  <c r="AA1555" i="17" s="1"/>
  <c r="C1554" i="17"/>
  <c r="D1554" i="17"/>
  <c r="Y1554" i="17"/>
  <c r="AA1554" i="17" s="1"/>
  <c r="C1553" i="17"/>
  <c r="D1553" i="17"/>
  <c r="Y1553" i="17"/>
  <c r="AA1553" i="17" s="1"/>
  <c r="C1552" i="17"/>
  <c r="D1552" i="17"/>
  <c r="Y1552" i="17"/>
  <c r="AA1552" i="17" s="1"/>
  <c r="C1551" i="17"/>
  <c r="D1551" i="17"/>
  <c r="Y1551" i="17"/>
  <c r="AA1551" i="17" s="1"/>
  <c r="C1550" i="17"/>
  <c r="D1550" i="17"/>
  <c r="Y1550" i="17"/>
  <c r="AA1550" i="17" s="1"/>
  <c r="C1549" i="17"/>
  <c r="D1549" i="17"/>
  <c r="Y1549" i="17"/>
  <c r="AA1549" i="17" s="1"/>
  <c r="C1548" i="17"/>
  <c r="D1548" i="17"/>
  <c r="Y1548" i="17"/>
  <c r="AA1548" i="17" s="1"/>
  <c r="C1547" i="17"/>
  <c r="D1547" i="17"/>
  <c r="Y1547" i="17"/>
  <c r="AA1547" i="17" s="1"/>
  <c r="C1546" i="17"/>
  <c r="D1546" i="17"/>
  <c r="Y1546" i="17"/>
  <c r="AA1546" i="17" s="1"/>
  <c r="C1545" i="17"/>
  <c r="D1545" i="17"/>
  <c r="Y1545" i="17"/>
  <c r="AA1545" i="17" s="1"/>
  <c r="C1544" i="17"/>
  <c r="D1544" i="17"/>
  <c r="Y1544" i="17"/>
  <c r="AA1544" i="17" s="1"/>
  <c r="C1543" i="17"/>
  <c r="D1543" i="17"/>
  <c r="Y1543" i="17"/>
  <c r="AA1543" i="17" s="1"/>
  <c r="C1542" i="17"/>
  <c r="D1542" i="17"/>
  <c r="Y1542" i="17"/>
  <c r="AA1542" i="17" s="1"/>
  <c r="C1541" i="17"/>
  <c r="D1541" i="17"/>
  <c r="Y1541" i="17"/>
  <c r="AA1541" i="17" s="1"/>
  <c r="C1540" i="17"/>
  <c r="D1540" i="17"/>
  <c r="Y1540" i="17"/>
  <c r="AA1540" i="17" s="1"/>
  <c r="C1539" i="17"/>
  <c r="D1539" i="17"/>
  <c r="Y1539" i="17"/>
  <c r="AA1539" i="17" s="1"/>
  <c r="C1538" i="17"/>
  <c r="D1538" i="17"/>
  <c r="Y1538" i="17"/>
  <c r="AA1538" i="17" s="1"/>
  <c r="C1537" i="17"/>
  <c r="D1537" i="17"/>
  <c r="Y1537" i="17"/>
  <c r="AA1537" i="17" s="1"/>
  <c r="C1536" i="17"/>
  <c r="D1536" i="17"/>
  <c r="Y1536" i="17"/>
  <c r="AA1536" i="17" s="1"/>
  <c r="C1535" i="17"/>
  <c r="D1535" i="17"/>
  <c r="Y1535" i="17"/>
  <c r="AA1535" i="17" s="1"/>
  <c r="C1534" i="17"/>
  <c r="D1534" i="17"/>
  <c r="Y1534" i="17"/>
  <c r="AA1534" i="17" s="1"/>
  <c r="C1533" i="17"/>
  <c r="D1533" i="17"/>
  <c r="Y1533" i="17"/>
  <c r="AA1533" i="17" s="1"/>
  <c r="C1532" i="17"/>
  <c r="D1532" i="17"/>
  <c r="Y1532" i="17"/>
  <c r="AA1532" i="17" s="1"/>
  <c r="C1531" i="17"/>
  <c r="D1531" i="17"/>
  <c r="Y1531" i="17"/>
  <c r="AA1531" i="17" s="1"/>
  <c r="C1530" i="17"/>
  <c r="D1530" i="17"/>
  <c r="Y1530" i="17"/>
  <c r="AA1530" i="17" s="1"/>
  <c r="C1529" i="17"/>
  <c r="D1529" i="17"/>
  <c r="Y1529" i="17"/>
  <c r="AA1529" i="17" s="1"/>
  <c r="C1528" i="17"/>
  <c r="D1528" i="17"/>
  <c r="Y1528" i="17"/>
  <c r="AA1528" i="17" s="1"/>
  <c r="C1527" i="17"/>
  <c r="D1527" i="17"/>
  <c r="Y1527" i="17"/>
  <c r="AA1527" i="17" s="1"/>
  <c r="C1526" i="17"/>
  <c r="D1526" i="17"/>
  <c r="Y1526" i="17"/>
  <c r="AA1526" i="17" s="1"/>
  <c r="C1525" i="17"/>
  <c r="D1525" i="17"/>
  <c r="Y1525" i="17"/>
  <c r="AA1525" i="17" s="1"/>
  <c r="C1524" i="17"/>
  <c r="D1524" i="17"/>
  <c r="Y1524" i="17"/>
  <c r="AA1524" i="17" s="1"/>
  <c r="C1523" i="17"/>
  <c r="D1523" i="17"/>
  <c r="Y1523" i="17"/>
  <c r="AA1523" i="17" s="1"/>
  <c r="C1522" i="17"/>
  <c r="D1522" i="17"/>
  <c r="Y1522" i="17"/>
  <c r="AA1522" i="17" s="1"/>
  <c r="C1521" i="17"/>
  <c r="D1521" i="17"/>
  <c r="Y1521" i="17"/>
  <c r="AA1521" i="17" s="1"/>
  <c r="C1520" i="17"/>
  <c r="D1520" i="17"/>
  <c r="Y1520" i="17"/>
  <c r="AA1520" i="17" s="1"/>
  <c r="C1519" i="17"/>
  <c r="D1519" i="17"/>
  <c r="Y1519" i="17"/>
  <c r="AA1519" i="17" s="1"/>
  <c r="C1518" i="17"/>
  <c r="D1518" i="17"/>
  <c r="Y1518" i="17"/>
  <c r="AA1518" i="17" s="1"/>
  <c r="C1517" i="17"/>
  <c r="D1517" i="17"/>
  <c r="Y1517" i="17"/>
  <c r="AA1517" i="17" s="1"/>
  <c r="C1516" i="17"/>
  <c r="D1516" i="17"/>
  <c r="Y1516" i="17"/>
  <c r="AA1516" i="17" s="1"/>
  <c r="C1515" i="17"/>
  <c r="D1515" i="17"/>
  <c r="Y1515" i="17"/>
  <c r="AA1515" i="17" s="1"/>
  <c r="C1514" i="17"/>
  <c r="D1514" i="17"/>
  <c r="Y1514" i="17"/>
  <c r="AA1514" i="17" s="1"/>
  <c r="C1513" i="17"/>
  <c r="D1513" i="17"/>
  <c r="Y1513" i="17"/>
  <c r="AA1513" i="17" s="1"/>
  <c r="C1512" i="17"/>
  <c r="D1512" i="17"/>
  <c r="Y1512" i="17"/>
  <c r="AA1512" i="17" s="1"/>
  <c r="C1511" i="17"/>
  <c r="D1511" i="17"/>
  <c r="Y1511" i="17"/>
  <c r="AA1511" i="17" s="1"/>
  <c r="C1510" i="17"/>
  <c r="D1510" i="17"/>
  <c r="Y1510" i="17"/>
  <c r="AA1510" i="17" s="1"/>
  <c r="C1509" i="17"/>
  <c r="D1509" i="17"/>
  <c r="Y1509" i="17"/>
  <c r="AA1509" i="17" s="1"/>
  <c r="C1508" i="17"/>
  <c r="D1508" i="17"/>
  <c r="Y1508" i="17"/>
  <c r="AA1508" i="17" s="1"/>
  <c r="C1507" i="17"/>
  <c r="D1507" i="17"/>
  <c r="Y1507" i="17"/>
  <c r="AA1507" i="17" s="1"/>
  <c r="C1506" i="17"/>
  <c r="D1506" i="17"/>
  <c r="Y1506" i="17"/>
  <c r="AA1506" i="17" s="1"/>
  <c r="C1505" i="17"/>
  <c r="D1505" i="17"/>
  <c r="Y1505" i="17"/>
  <c r="AA1505" i="17" s="1"/>
  <c r="C1504" i="17"/>
  <c r="D1504" i="17"/>
  <c r="Y1504" i="17"/>
  <c r="AA1504" i="17" s="1"/>
  <c r="C1503" i="17"/>
  <c r="D1503" i="17"/>
  <c r="Y1503" i="17"/>
  <c r="AA1503" i="17" s="1"/>
  <c r="C1502" i="17"/>
  <c r="D1502" i="17"/>
  <c r="Y1502" i="17"/>
  <c r="AA1502" i="17" s="1"/>
  <c r="C1501" i="17"/>
  <c r="D1501" i="17"/>
  <c r="Y1501" i="17"/>
  <c r="AA1501" i="17" s="1"/>
  <c r="C1500" i="17"/>
  <c r="D1500" i="17"/>
  <c r="Y1500" i="17"/>
  <c r="AA1500" i="17" s="1"/>
  <c r="C1499" i="17"/>
  <c r="D1499" i="17"/>
  <c r="Y1499" i="17"/>
  <c r="AA1499" i="17" s="1"/>
  <c r="C1498" i="17"/>
  <c r="D1498" i="17"/>
  <c r="Y1498" i="17"/>
  <c r="AA1498" i="17" s="1"/>
  <c r="C1497" i="17"/>
  <c r="D1497" i="17"/>
  <c r="Y1497" i="17"/>
  <c r="AA1497" i="17" s="1"/>
  <c r="C1496" i="17"/>
  <c r="D1496" i="17"/>
  <c r="Y1496" i="17"/>
  <c r="AA1496" i="17" s="1"/>
  <c r="C1495" i="17"/>
  <c r="D1495" i="17"/>
  <c r="Y1495" i="17"/>
  <c r="AA1495" i="17" s="1"/>
  <c r="C1494" i="17"/>
  <c r="D1494" i="17"/>
  <c r="Y1494" i="17"/>
  <c r="AA1494" i="17" s="1"/>
  <c r="C1493" i="17"/>
  <c r="D1493" i="17"/>
  <c r="Y1493" i="17"/>
  <c r="AA1493" i="17" s="1"/>
  <c r="C1492" i="17"/>
  <c r="D1492" i="17"/>
  <c r="Y1492" i="17"/>
  <c r="AA1492" i="17" s="1"/>
  <c r="C1491" i="17"/>
  <c r="D1491" i="17"/>
  <c r="Y1491" i="17"/>
  <c r="AA1491" i="17" s="1"/>
  <c r="C1490" i="17"/>
  <c r="D1490" i="17"/>
  <c r="Y1490" i="17"/>
  <c r="AA1490" i="17" s="1"/>
  <c r="C1489" i="17"/>
  <c r="D1489" i="17"/>
  <c r="Y1489" i="17"/>
  <c r="AA1489" i="17" s="1"/>
  <c r="C1488" i="17"/>
  <c r="D1488" i="17"/>
  <c r="Y1488" i="17"/>
  <c r="AA1488" i="17" s="1"/>
  <c r="C1487" i="17"/>
  <c r="D1487" i="17"/>
  <c r="Y1487" i="17"/>
  <c r="AA1487" i="17" s="1"/>
  <c r="C1486" i="17"/>
  <c r="D1486" i="17"/>
  <c r="Y1486" i="17"/>
  <c r="AA1486" i="17" s="1"/>
  <c r="C1485" i="17"/>
  <c r="D1485" i="17"/>
  <c r="Y1485" i="17"/>
  <c r="AA1485" i="17" s="1"/>
  <c r="C1484" i="17"/>
  <c r="D1484" i="17"/>
  <c r="Y1484" i="17"/>
  <c r="AA1484" i="17" s="1"/>
  <c r="C1483" i="17"/>
  <c r="D1483" i="17"/>
  <c r="Y1483" i="17"/>
  <c r="AA1483" i="17" s="1"/>
  <c r="C1482" i="17"/>
  <c r="D1482" i="17"/>
  <c r="Y1482" i="17"/>
  <c r="AA1482" i="17" s="1"/>
  <c r="C1481" i="17"/>
  <c r="D1481" i="17"/>
  <c r="Y1481" i="17"/>
  <c r="AA1481" i="17" s="1"/>
  <c r="C1480" i="17"/>
  <c r="D1480" i="17"/>
  <c r="Y1480" i="17"/>
  <c r="AA1480" i="17" s="1"/>
  <c r="C1479" i="17"/>
  <c r="D1479" i="17"/>
  <c r="Y1479" i="17"/>
  <c r="AA1479" i="17" s="1"/>
  <c r="C1478" i="17"/>
  <c r="D1478" i="17"/>
  <c r="Y1478" i="17"/>
  <c r="AA1478" i="17" s="1"/>
  <c r="C1477" i="17"/>
  <c r="D1477" i="17"/>
  <c r="Y1477" i="17"/>
  <c r="AA1477" i="17" s="1"/>
  <c r="C1476" i="17"/>
  <c r="D1476" i="17"/>
  <c r="Y1476" i="17"/>
  <c r="AA1476" i="17" s="1"/>
  <c r="C1475" i="17"/>
  <c r="D1475" i="17"/>
  <c r="Y1475" i="17"/>
  <c r="AA1475" i="17" s="1"/>
  <c r="C1474" i="17"/>
  <c r="D1474" i="17"/>
  <c r="Y1474" i="17"/>
  <c r="AA1474" i="17" s="1"/>
  <c r="C1473" i="17"/>
  <c r="D1473" i="17"/>
  <c r="Y1473" i="17"/>
  <c r="AA1473" i="17" s="1"/>
  <c r="C1472" i="17"/>
  <c r="D1472" i="17"/>
  <c r="Y1472" i="17"/>
  <c r="AA1472" i="17" s="1"/>
  <c r="C1471" i="17"/>
  <c r="D1471" i="17"/>
  <c r="Y1471" i="17"/>
  <c r="AA1471" i="17" s="1"/>
  <c r="C1470" i="17"/>
  <c r="D1470" i="17"/>
  <c r="Y1470" i="17"/>
  <c r="AA1470" i="17" s="1"/>
  <c r="C1469" i="17"/>
  <c r="D1469" i="17"/>
  <c r="Y1469" i="17"/>
  <c r="AA1469" i="17" s="1"/>
  <c r="C1468" i="17"/>
  <c r="D1468" i="17"/>
  <c r="Y1468" i="17"/>
  <c r="AA1468" i="17" s="1"/>
  <c r="C1467" i="17"/>
  <c r="D1467" i="17"/>
  <c r="Y1467" i="17"/>
  <c r="AA1467" i="17" s="1"/>
  <c r="C1466" i="17"/>
  <c r="D1466" i="17"/>
  <c r="Y1466" i="17"/>
  <c r="AA1466" i="17" s="1"/>
  <c r="C1465" i="17"/>
  <c r="D1465" i="17"/>
  <c r="Y1465" i="17"/>
  <c r="AA1465" i="17" s="1"/>
  <c r="C1464" i="17"/>
  <c r="D1464" i="17"/>
  <c r="Y1464" i="17"/>
  <c r="AA1464" i="17" s="1"/>
  <c r="C1463" i="17"/>
  <c r="D1463" i="17"/>
  <c r="Y1463" i="17"/>
  <c r="AA1463" i="17" s="1"/>
  <c r="C1462" i="17"/>
  <c r="D1462" i="17"/>
  <c r="Y1462" i="17"/>
  <c r="AA1462" i="17" s="1"/>
  <c r="C1461" i="17"/>
  <c r="D1461" i="17"/>
  <c r="Y1461" i="17"/>
  <c r="AA1461" i="17" s="1"/>
  <c r="C1460" i="17"/>
  <c r="D1460" i="17"/>
  <c r="Y1460" i="17"/>
  <c r="AA1460" i="17" s="1"/>
  <c r="C1459" i="17"/>
  <c r="D1459" i="17"/>
  <c r="Y1459" i="17"/>
  <c r="AA1459" i="17" s="1"/>
  <c r="C1458" i="17"/>
  <c r="D1458" i="17"/>
  <c r="Y1458" i="17"/>
  <c r="AA1458" i="17" s="1"/>
  <c r="C1457" i="17"/>
  <c r="D1457" i="17"/>
  <c r="Y1457" i="17"/>
  <c r="AA1457" i="17" s="1"/>
  <c r="C1456" i="17"/>
  <c r="D1456" i="17"/>
  <c r="Y1456" i="17"/>
  <c r="AA1456" i="17" s="1"/>
  <c r="C1455" i="17"/>
  <c r="D1455" i="17"/>
  <c r="Y1455" i="17"/>
  <c r="AA1455" i="17" s="1"/>
  <c r="C1454" i="17"/>
  <c r="D1454" i="17"/>
  <c r="Y1454" i="17"/>
  <c r="AA1454" i="17" s="1"/>
  <c r="C1453" i="17"/>
  <c r="D1453" i="17"/>
  <c r="Y1453" i="17"/>
  <c r="AA1453" i="17" s="1"/>
  <c r="C1450" i="17"/>
  <c r="D1450" i="17"/>
  <c r="Y1450" i="17"/>
  <c r="AA1450" i="17" s="1"/>
  <c r="C1449" i="17"/>
  <c r="D1449" i="17"/>
  <c r="Y1449" i="17"/>
  <c r="AA1449" i="17" s="1"/>
  <c r="C1448" i="17"/>
  <c r="D1448" i="17"/>
  <c r="Y1448" i="17"/>
  <c r="AA1448" i="17" s="1"/>
  <c r="C1447" i="17"/>
  <c r="D1447" i="17"/>
  <c r="Y1447" i="17"/>
  <c r="AA1447" i="17" s="1"/>
  <c r="C1446" i="17"/>
  <c r="D1446" i="17"/>
  <c r="Y1446" i="17"/>
  <c r="AA1446" i="17" s="1"/>
  <c r="C1445" i="17"/>
  <c r="D1445" i="17"/>
  <c r="Y1445" i="17"/>
  <c r="AA1445" i="17" s="1"/>
  <c r="C1444" i="17"/>
  <c r="D1444" i="17"/>
  <c r="Y1444" i="17"/>
  <c r="AA1444" i="17" s="1"/>
  <c r="C1443" i="17"/>
  <c r="D1443" i="17"/>
  <c r="Y1443" i="17"/>
  <c r="AA1443" i="17" s="1"/>
  <c r="C1442" i="17"/>
  <c r="D1442" i="17"/>
  <c r="Y1442" i="17"/>
  <c r="AA1442" i="17" s="1"/>
  <c r="C1441" i="17"/>
  <c r="D1441" i="17"/>
  <c r="Y1441" i="17"/>
  <c r="AA1441" i="17" s="1"/>
  <c r="C1440" i="17"/>
  <c r="D1440" i="17"/>
  <c r="Y1440" i="17"/>
  <c r="AA1440" i="17" s="1"/>
  <c r="C1439" i="17"/>
  <c r="D1439" i="17"/>
  <c r="Y1439" i="17"/>
  <c r="AA1439" i="17" s="1"/>
  <c r="C1438" i="17"/>
  <c r="D1438" i="17"/>
  <c r="Y1438" i="17"/>
  <c r="AA1438" i="17" s="1"/>
  <c r="C1437" i="17"/>
  <c r="D1437" i="17"/>
  <c r="Y1437" i="17"/>
  <c r="AA1437" i="17" s="1"/>
  <c r="C1436" i="17"/>
  <c r="D1436" i="17"/>
  <c r="Y1436" i="17"/>
  <c r="AA1436" i="17" s="1"/>
  <c r="C1435" i="17"/>
  <c r="D1435" i="17"/>
  <c r="Y1435" i="17"/>
  <c r="AA1435" i="17" s="1"/>
  <c r="C1434" i="17"/>
  <c r="D1434" i="17"/>
  <c r="Y1434" i="17"/>
  <c r="AA1434" i="17" s="1"/>
  <c r="C1433" i="17"/>
  <c r="D1433" i="17"/>
  <c r="Y1433" i="17"/>
  <c r="AA1433" i="17" s="1"/>
  <c r="C1432" i="17"/>
  <c r="D1432" i="17"/>
  <c r="Y1432" i="17"/>
  <c r="AA1432" i="17" s="1"/>
  <c r="C1431" i="17"/>
  <c r="D1431" i="17"/>
  <c r="Y1431" i="17"/>
  <c r="AA1431" i="17" s="1"/>
  <c r="C1430" i="17"/>
  <c r="D1430" i="17"/>
  <c r="Y1430" i="17"/>
  <c r="AA1430" i="17" s="1"/>
  <c r="C1429" i="17"/>
  <c r="D1429" i="17"/>
  <c r="Y1429" i="17"/>
  <c r="AA1429" i="17" s="1"/>
  <c r="C1428" i="17"/>
  <c r="D1428" i="17"/>
  <c r="Y1428" i="17"/>
  <c r="AA1428" i="17" s="1"/>
  <c r="C1427" i="17"/>
  <c r="D1427" i="17"/>
  <c r="Y1427" i="17"/>
  <c r="AA1427" i="17" s="1"/>
  <c r="C1426" i="17"/>
  <c r="D1426" i="17"/>
  <c r="Y1426" i="17"/>
  <c r="AA1426" i="17" s="1"/>
  <c r="C1425" i="17"/>
  <c r="D1425" i="17"/>
  <c r="Y1425" i="17"/>
  <c r="AA1425" i="17" s="1"/>
  <c r="C1424" i="17"/>
  <c r="D1424" i="17"/>
  <c r="Y1424" i="17"/>
  <c r="AA1424" i="17" s="1"/>
  <c r="C1423" i="17"/>
  <c r="D1423" i="17"/>
  <c r="Y1423" i="17"/>
  <c r="AA1423" i="17" s="1"/>
  <c r="C1422" i="17"/>
  <c r="D1422" i="17"/>
  <c r="Y1422" i="17"/>
  <c r="AA1422" i="17" s="1"/>
  <c r="C1421" i="17"/>
  <c r="D1421" i="17"/>
  <c r="Y1421" i="17"/>
  <c r="AA1421" i="17" s="1"/>
  <c r="C1420" i="17"/>
  <c r="D1420" i="17"/>
  <c r="Y1420" i="17"/>
  <c r="AA1420" i="17" s="1"/>
  <c r="C1419" i="17"/>
  <c r="D1419" i="17"/>
  <c r="Y1419" i="17"/>
  <c r="AA1419" i="17" s="1"/>
  <c r="C1418" i="17"/>
  <c r="D1418" i="17"/>
  <c r="Y1418" i="17"/>
  <c r="AA1418" i="17" s="1"/>
  <c r="C1417" i="17"/>
  <c r="D1417" i="17"/>
  <c r="Y1417" i="17"/>
  <c r="AA1417" i="17" s="1"/>
  <c r="C1416" i="17"/>
  <c r="D1416" i="17"/>
  <c r="Y1416" i="17"/>
  <c r="AA1416" i="17" s="1"/>
  <c r="C1415" i="17"/>
  <c r="D1415" i="17"/>
  <c r="Y1415" i="17"/>
  <c r="AA1415" i="17" s="1"/>
  <c r="C1414" i="17"/>
  <c r="D1414" i="17"/>
  <c r="Y1414" i="17"/>
  <c r="AA1414" i="17" s="1"/>
  <c r="C1413" i="17"/>
  <c r="D1413" i="17"/>
  <c r="Y1413" i="17"/>
  <c r="AA1413" i="17" s="1"/>
  <c r="C1412" i="17"/>
  <c r="D1412" i="17"/>
  <c r="Y1412" i="17"/>
  <c r="AA1412" i="17" s="1"/>
  <c r="C1411" i="17"/>
  <c r="D1411" i="17"/>
  <c r="Y1411" i="17"/>
  <c r="AA1411" i="17" s="1"/>
  <c r="C1410" i="17"/>
  <c r="D1410" i="17"/>
  <c r="Y1410" i="17"/>
  <c r="AA1410" i="17" s="1"/>
  <c r="C1409" i="17"/>
  <c r="D1409" i="17"/>
  <c r="Y1409" i="17"/>
  <c r="AA1409" i="17" s="1"/>
  <c r="C1408" i="17"/>
  <c r="D1408" i="17"/>
  <c r="Y1408" i="17"/>
  <c r="AA1408" i="17" s="1"/>
  <c r="C1407" i="17"/>
  <c r="D1407" i="17"/>
  <c r="Y1407" i="17"/>
  <c r="AA1407" i="17" s="1"/>
  <c r="C1406" i="17"/>
  <c r="D1406" i="17"/>
  <c r="Y1406" i="17"/>
  <c r="AA1406" i="17" s="1"/>
  <c r="C1405" i="17"/>
  <c r="D1405" i="17"/>
  <c r="Y1405" i="17"/>
  <c r="AA1405" i="17" s="1"/>
  <c r="C1404" i="17"/>
  <c r="D1404" i="17"/>
  <c r="Y1404" i="17"/>
  <c r="AA1404" i="17" s="1"/>
  <c r="C1403" i="17"/>
  <c r="D1403" i="17"/>
  <c r="Y1403" i="17"/>
  <c r="AA1403" i="17" s="1"/>
  <c r="C1402" i="17"/>
  <c r="D1402" i="17"/>
  <c r="Y1402" i="17"/>
  <c r="AA1402" i="17" s="1"/>
  <c r="C1401" i="17"/>
  <c r="D1401" i="17"/>
  <c r="Y1401" i="17"/>
  <c r="AA1401" i="17" s="1"/>
  <c r="C1400" i="17"/>
  <c r="D1400" i="17"/>
  <c r="Y1400" i="17"/>
  <c r="AA1400" i="17" s="1"/>
  <c r="C1399" i="17"/>
  <c r="D1399" i="17"/>
  <c r="Y1399" i="17"/>
  <c r="AA1399" i="17" s="1"/>
  <c r="C1398" i="17"/>
  <c r="D1398" i="17"/>
  <c r="Y1398" i="17"/>
  <c r="AA1398" i="17" s="1"/>
  <c r="C1397" i="17"/>
  <c r="D1397" i="17"/>
  <c r="Y1397" i="17"/>
  <c r="AA1397" i="17" s="1"/>
  <c r="C1396" i="17"/>
  <c r="D1396" i="17"/>
  <c r="Y1396" i="17"/>
  <c r="AA1396" i="17" s="1"/>
  <c r="C1395" i="17"/>
  <c r="D1395" i="17"/>
  <c r="Y1395" i="17"/>
  <c r="AA1395" i="17" s="1"/>
  <c r="C1394" i="17"/>
  <c r="D1394" i="17"/>
  <c r="Y1394" i="17"/>
  <c r="AA1394" i="17" s="1"/>
  <c r="C1393" i="17"/>
  <c r="D1393" i="17"/>
  <c r="Y1393" i="17"/>
  <c r="AA1393" i="17" s="1"/>
  <c r="C1392" i="17"/>
  <c r="D1392" i="17"/>
  <c r="Y1392" i="17"/>
  <c r="AA1392" i="17" s="1"/>
  <c r="C1391" i="17"/>
  <c r="D1391" i="17"/>
  <c r="Y1391" i="17"/>
  <c r="AA1391" i="17" s="1"/>
  <c r="C1390" i="17"/>
  <c r="D1390" i="17"/>
  <c r="Y1390" i="17"/>
  <c r="AA1390" i="17" s="1"/>
  <c r="C1389" i="17"/>
  <c r="D1389" i="17"/>
  <c r="Y1389" i="17"/>
  <c r="AA1389" i="17" s="1"/>
  <c r="C1388" i="17"/>
  <c r="D1388" i="17"/>
  <c r="Y1388" i="17"/>
  <c r="AA1388" i="17" s="1"/>
  <c r="C1387" i="17"/>
  <c r="D1387" i="17"/>
  <c r="Y1387" i="17"/>
  <c r="AA1387" i="17" s="1"/>
  <c r="C1386" i="17"/>
  <c r="D1386" i="17"/>
  <c r="Y1386" i="17"/>
  <c r="AA1386" i="17" s="1"/>
  <c r="C1384" i="17"/>
  <c r="D1384" i="17"/>
  <c r="Y1384" i="17"/>
  <c r="AA1384" i="17" s="1"/>
  <c r="C1383" i="17"/>
  <c r="D1383" i="17"/>
  <c r="Y1383" i="17"/>
  <c r="AA1383" i="17" s="1"/>
  <c r="C1382" i="17"/>
  <c r="D1382" i="17"/>
  <c r="Y1382" i="17"/>
  <c r="AA1382" i="17" s="1"/>
  <c r="C1381" i="17"/>
  <c r="D1381" i="17"/>
  <c r="Y1381" i="17"/>
  <c r="AA1381" i="17" s="1"/>
  <c r="D1380" i="17"/>
  <c r="C1380" i="17"/>
  <c r="Y1380" i="17"/>
  <c r="AA1380" i="17" s="1"/>
  <c r="D1379" i="17"/>
  <c r="Y1379" i="17"/>
  <c r="AA1379" i="17" s="1"/>
  <c r="C1379" i="17"/>
  <c r="C1378" i="17"/>
  <c r="D1378" i="17"/>
  <c r="Y1378" i="17"/>
  <c r="AA1378" i="17" s="1"/>
  <c r="C1377" i="17"/>
  <c r="Y1377" i="17"/>
  <c r="AA1377" i="17" s="1"/>
  <c r="D1377" i="17"/>
  <c r="C1376" i="17"/>
  <c r="D1376" i="17"/>
  <c r="Y1376" i="17"/>
  <c r="AA1376" i="17" s="1"/>
  <c r="C1375" i="17"/>
  <c r="D1375" i="17"/>
  <c r="Y1375" i="17"/>
  <c r="AA1375" i="17" s="1"/>
  <c r="C1374" i="17"/>
  <c r="D1374" i="17"/>
  <c r="Y1374" i="17"/>
  <c r="AA1374" i="17" s="1"/>
  <c r="C1373" i="17"/>
  <c r="D1373" i="17"/>
  <c r="Y1373" i="17"/>
  <c r="AA1373" i="17" s="1"/>
  <c r="C1372" i="17"/>
  <c r="D1372" i="17"/>
  <c r="Y1372" i="17"/>
  <c r="AA1372" i="17" s="1"/>
  <c r="D1371" i="17"/>
  <c r="Y1371" i="17"/>
  <c r="AA1371" i="17" s="1"/>
  <c r="C1371" i="17"/>
  <c r="C1370" i="17"/>
  <c r="Y1370" i="17"/>
  <c r="AA1370" i="17" s="1"/>
  <c r="D1370" i="17"/>
  <c r="C1369" i="17"/>
  <c r="D1369" i="17"/>
  <c r="Y1369" i="17"/>
  <c r="AA1369" i="17" s="1"/>
  <c r="C1368" i="17"/>
  <c r="D1368" i="17"/>
  <c r="Y1368" i="17"/>
  <c r="AA1368" i="17" s="1"/>
  <c r="C1367" i="17"/>
  <c r="D1367" i="17"/>
  <c r="Y1367" i="17"/>
  <c r="AA1367" i="17" s="1"/>
  <c r="C1365" i="17"/>
  <c r="D1365" i="17"/>
  <c r="Y1365" i="17"/>
  <c r="AA1365" i="17" s="1"/>
  <c r="C1364" i="17"/>
  <c r="D1364" i="17"/>
  <c r="Y1364" i="17"/>
  <c r="AA1364" i="17" s="1"/>
  <c r="C1363" i="17"/>
  <c r="D1363" i="17"/>
  <c r="Y1363" i="17"/>
  <c r="AA1363" i="17" s="1"/>
  <c r="D1362" i="17"/>
  <c r="Y1362" i="17"/>
  <c r="AA1362" i="17" s="1"/>
  <c r="C1362" i="17"/>
  <c r="C1361" i="17"/>
  <c r="Y1361" i="17"/>
  <c r="AA1361" i="17" s="1"/>
  <c r="D1361" i="17"/>
  <c r="C1360" i="17"/>
  <c r="D1360" i="17"/>
  <c r="Y1360" i="17"/>
  <c r="AA1360" i="17" s="1"/>
  <c r="C1359" i="17"/>
  <c r="Y1359" i="17"/>
  <c r="AA1359" i="17" s="1"/>
  <c r="D1359" i="17"/>
  <c r="C1358" i="17"/>
  <c r="D1358" i="17"/>
  <c r="Y1358" i="17"/>
  <c r="AA1358" i="17" s="1"/>
  <c r="C1357" i="17"/>
  <c r="D1357" i="17"/>
  <c r="Y1357" i="17"/>
  <c r="AA1357" i="17" s="1"/>
  <c r="C1356" i="17"/>
  <c r="D1356" i="17"/>
  <c r="Y1356" i="17"/>
  <c r="AA1356" i="17" s="1"/>
  <c r="C1355" i="17"/>
  <c r="D1355" i="17"/>
  <c r="Y1355" i="17"/>
  <c r="AA1355" i="17" s="1"/>
  <c r="C1354" i="17"/>
  <c r="D1354" i="17"/>
  <c r="Y1354" i="17"/>
  <c r="AA1354" i="17" s="1"/>
  <c r="C1353" i="17"/>
  <c r="D1353" i="17"/>
  <c r="Y1353" i="17"/>
  <c r="AA1353" i="17" s="1"/>
  <c r="C1352" i="17"/>
  <c r="D1352" i="17"/>
  <c r="Y1352" i="17"/>
  <c r="AA1352" i="17" s="1"/>
  <c r="C1351" i="17"/>
  <c r="D1351" i="17"/>
  <c r="Y1351" i="17"/>
  <c r="AA1351" i="17" s="1"/>
  <c r="C1350" i="17"/>
  <c r="D1350" i="17"/>
  <c r="Y1350" i="17"/>
  <c r="AA1350" i="17" s="1"/>
  <c r="C1349" i="17"/>
  <c r="D1349" i="17"/>
  <c r="Y1349" i="17"/>
  <c r="AA1349" i="17" s="1"/>
  <c r="C1347" i="17"/>
  <c r="D1347" i="17"/>
  <c r="Y1347" i="17"/>
  <c r="AA1347" i="17" s="1"/>
  <c r="C1346" i="17"/>
  <c r="D1346" i="17"/>
  <c r="Y1346" i="17"/>
  <c r="AA1346" i="17" s="1"/>
  <c r="C1345" i="17"/>
  <c r="D1345" i="17"/>
  <c r="Y1345" i="17"/>
  <c r="AA1345" i="17" s="1"/>
  <c r="C1344" i="17"/>
  <c r="D1344" i="17"/>
  <c r="Y1344" i="17"/>
  <c r="AA1344" i="17" s="1"/>
  <c r="C1343" i="17"/>
  <c r="D1343" i="17"/>
  <c r="Y1343" i="17"/>
  <c r="AA1343" i="17" s="1"/>
  <c r="C1342" i="17"/>
  <c r="D1342" i="17"/>
  <c r="Y1342" i="17"/>
  <c r="AA1342" i="17" s="1"/>
  <c r="C1341" i="17"/>
  <c r="D1341" i="17"/>
  <c r="Y1341" i="17"/>
  <c r="AA1341" i="17" s="1"/>
  <c r="C1340" i="17"/>
  <c r="D1340" i="17"/>
  <c r="Y1340" i="17"/>
  <c r="AA1340" i="17" s="1"/>
  <c r="C1339" i="17"/>
  <c r="D1339" i="17"/>
  <c r="Y1339" i="17"/>
  <c r="AA1339" i="17" s="1"/>
  <c r="C1338" i="17"/>
  <c r="D1338" i="17"/>
  <c r="Y1338" i="17"/>
  <c r="AA1338" i="17" s="1"/>
  <c r="D1337" i="17"/>
  <c r="Y1337" i="17"/>
  <c r="AA1337" i="17" s="1"/>
  <c r="C1337" i="17"/>
  <c r="C1336" i="17"/>
  <c r="D1336" i="17"/>
  <c r="Y1336" i="17"/>
  <c r="AA1336" i="17" s="1"/>
  <c r="C1335" i="17"/>
  <c r="D1335" i="17"/>
  <c r="Y1335" i="17"/>
  <c r="AA1335" i="17" s="1"/>
  <c r="C1334" i="17"/>
  <c r="Y1334" i="17"/>
  <c r="AA1334" i="17" s="1"/>
  <c r="D1334" i="17"/>
  <c r="C1333" i="17"/>
  <c r="D1333" i="17"/>
  <c r="Y1333" i="17"/>
  <c r="AA1333" i="17" s="1"/>
  <c r="C1332" i="17"/>
  <c r="D1332" i="17"/>
  <c r="Y1332" i="17"/>
  <c r="AA1332" i="17" s="1"/>
  <c r="C1331" i="17"/>
  <c r="D1331" i="17"/>
  <c r="Y1331" i="17"/>
  <c r="AA1331" i="17" s="1"/>
  <c r="C1330" i="17"/>
  <c r="D1330" i="17"/>
  <c r="Y1330" i="17"/>
  <c r="AA1330" i="17" s="1"/>
  <c r="C1329" i="17"/>
  <c r="D1329" i="17"/>
  <c r="Y1329" i="17"/>
  <c r="AA1329" i="17" s="1"/>
  <c r="C1328" i="17"/>
  <c r="D1328" i="17"/>
  <c r="Y1328" i="17"/>
  <c r="AA1328" i="17" s="1"/>
  <c r="C1327" i="17"/>
  <c r="D1327" i="17"/>
  <c r="Y1327" i="17"/>
  <c r="AA1327" i="17" s="1"/>
  <c r="C1326" i="17"/>
  <c r="D1326" i="17"/>
  <c r="Y1326" i="17"/>
  <c r="AA1326" i="17" s="1"/>
  <c r="C1325" i="17"/>
  <c r="D1325" i="17"/>
  <c r="Y1325" i="17"/>
  <c r="AA1325" i="17" s="1"/>
  <c r="L1324" i="17"/>
  <c r="X1324" i="17"/>
  <c r="L1166" i="17"/>
  <c r="X1166" i="17"/>
  <c r="L1164" i="17"/>
  <c r="X1164" i="17"/>
  <c r="L1161" i="17"/>
  <c r="X1161" i="17"/>
  <c r="L1156" i="17"/>
  <c r="X1156" i="17"/>
  <c r="L1150" i="17"/>
  <c r="X1150" i="17"/>
  <c r="L1146" i="17"/>
  <c r="X1146" i="17"/>
  <c r="L1145" i="17"/>
  <c r="X1145" i="17"/>
  <c r="L1144" i="17"/>
  <c r="X1144" i="17"/>
  <c r="L1138" i="17"/>
  <c r="X1138" i="17"/>
  <c r="L1132" i="17"/>
  <c r="X1132" i="17"/>
  <c r="L1131" i="17"/>
  <c r="X1131" i="17"/>
  <c r="L1123" i="17"/>
  <c r="X1123" i="17"/>
  <c r="X1110" i="17"/>
  <c r="L1110" i="17"/>
  <c r="L1104" i="17"/>
  <c r="X1104" i="17"/>
  <c r="L1103" i="17"/>
  <c r="X1103" i="17"/>
  <c r="L1095" i="17"/>
  <c r="X1095" i="17"/>
  <c r="L1082" i="17"/>
  <c r="X1082" i="17"/>
  <c r="L1071" i="17"/>
  <c r="X1071" i="17"/>
  <c r="L1070" i="17"/>
  <c r="X1070" i="17"/>
  <c r="X1066" i="17"/>
  <c r="L1066" i="17"/>
  <c r="L1064" i="17"/>
  <c r="X1064" i="17"/>
  <c r="L1048" i="17"/>
  <c r="X1048" i="17"/>
  <c r="L1042" i="17"/>
  <c r="X1042" i="17"/>
  <c r="L1037" i="17"/>
  <c r="X1037" i="17"/>
  <c r="X1892" i="17"/>
  <c r="L1892" i="17"/>
  <c r="L1876" i="17"/>
  <c r="X1876" i="17"/>
  <c r="X1875" i="17"/>
  <c r="L1875" i="17"/>
  <c r="X1872" i="17"/>
  <c r="L1872" i="17"/>
  <c r="L1735" i="17"/>
  <c r="X1735" i="17"/>
  <c r="L1728" i="17"/>
  <c r="X1728" i="17"/>
  <c r="L1722" i="17"/>
  <c r="X1722" i="17"/>
  <c r="L1665" i="17"/>
  <c r="X1665" i="17"/>
  <c r="C1452" i="17"/>
  <c r="D1452" i="17"/>
  <c r="Y1452" i="17"/>
  <c r="AA1452" i="17" s="1"/>
  <c r="C1451" i="17"/>
  <c r="D1451" i="17"/>
  <c r="Y1451" i="17"/>
  <c r="AA1451" i="17" s="1"/>
  <c r="C1385" i="17"/>
  <c r="D1385" i="17"/>
  <c r="Y1385" i="17"/>
  <c r="AA1385" i="17" s="1"/>
  <c r="Y1366" i="17"/>
  <c r="AA1366" i="17" s="1"/>
  <c r="C1366" i="17"/>
  <c r="D1366" i="17"/>
  <c r="C1348" i="17"/>
  <c r="D1348" i="17"/>
  <c r="Y1348" i="17"/>
  <c r="AA1348" i="17" s="1"/>
  <c r="C1323" i="17"/>
  <c r="D1323" i="17"/>
  <c r="Y1323" i="17"/>
  <c r="AA1323" i="17" s="1"/>
  <c r="C1322" i="17"/>
  <c r="D1322" i="17"/>
  <c r="Y1322" i="17"/>
  <c r="AA1322" i="17" s="1"/>
  <c r="C1321" i="17"/>
  <c r="D1321" i="17"/>
  <c r="Y1321" i="17"/>
  <c r="AA1321" i="17" s="1"/>
  <c r="C1320" i="17"/>
  <c r="D1320" i="17"/>
  <c r="Y1320" i="17"/>
  <c r="AA1320" i="17" s="1"/>
  <c r="C1319" i="17"/>
  <c r="D1319" i="17"/>
  <c r="Y1319" i="17"/>
  <c r="AA1319" i="17" s="1"/>
  <c r="C1318" i="17"/>
  <c r="D1318" i="17"/>
  <c r="Y1318" i="17"/>
  <c r="AA1318" i="17" s="1"/>
  <c r="C1317" i="17"/>
  <c r="D1317" i="17"/>
  <c r="Y1317" i="17"/>
  <c r="AA1317" i="17" s="1"/>
  <c r="C1316" i="17"/>
  <c r="D1316" i="17"/>
  <c r="Y1316" i="17"/>
  <c r="AA1316" i="17" s="1"/>
  <c r="C1315" i="17"/>
  <c r="D1315" i="17"/>
  <c r="Y1315" i="17"/>
  <c r="AA1315" i="17" s="1"/>
  <c r="C1314" i="17"/>
  <c r="D1314" i="17"/>
  <c r="Y1314" i="17"/>
  <c r="AA1314" i="17" s="1"/>
  <c r="C1313" i="17"/>
  <c r="D1313" i="17"/>
  <c r="Y1313" i="17"/>
  <c r="AA1313" i="17" s="1"/>
  <c r="C1312" i="17"/>
  <c r="D1312" i="17"/>
  <c r="Y1312" i="17"/>
  <c r="AA1312" i="17" s="1"/>
  <c r="C1311" i="17"/>
  <c r="D1311" i="17"/>
  <c r="Y1311" i="17"/>
  <c r="AA1311" i="17" s="1"/>
  <c r="C1310" i="17"/>
  <c r="D1310" i="17"/>
  <c r="Y1310" i="17"/>
  <c r="AA1310" i="17" s="1"/>
  <c r="C1309" i="17"/>
  <c r="D1309" i="17"/>
  <c r="Y1309" i="17"/>
  <c r="AA1309" i="17" s="1"/>
  <c r="C1308" i="17"/>
  <c r="D1308" i="17"/>
  <c r="Y1308" i="17"/>
  <c r="AA1308" i="17" s="1"/>
  <c r="C1307" i="17"/>
  <c r="D1307" i="17"/>
  <c r="Y1307" i="17"/>
  <c r="AA1307" i="17" s="1"/>
  <c r="C1306" i="17"/>
  <c r="D1306" i="17"/>
  <c r="Y1306" i="17"/>
  <c r="AA1306" i="17" s="1"/>
  <c r="C1305" i="17"/>
  <c r="D1305" i="17"/>
  <c r="Y1305" i="17"/>
  <c r="AA1305" i="17" s="1"/>
  <c r="C1304" i="17"/>
  <c r="D1304" i="17"/>
  <c r="Y1304" i="17"/>
  <c r="AA1304" i="17" s="1"/>
  <c r="C1303" i="17"/>
  <c r="D1303" i="17"/>
  <c r="Y1303" i="17"/>
  <c r="AA1303" i="17" s="1"/>
  <c r="C1302" i="17"/>
  <c r="D1302" i="17"/>
  <c r="Y1302" i="17"/>
  <c r="AA1302" i="17" s="1"/>
  <c r="C1301" i="17"/>
  <c r="D1301" i="17"/>
  <c r="Y1301" i="17"/>
  <c r="AA1301" i="17" s="1"/>
  <c r="C1300" i="17"/>
  <c r="D1300" i="17"/>
  <c r="Y1300" i="17"/>
  <c r="AA1300" i="17" s="1"/>
  <c r="C1299" i="17"/>
  <c r="D1299" i="17"/>
  <c r="Y1299" i="17"/>
  <c r="AA1299" i="17" s="1"/>
  <c r="C1298" i="17"/>
  <c r="D1298" i="17"/>
  <c r="Y1298" i="17"/>
  <c r="AA1298" i="17" s="1"/>
  <c r="C1297" i="17"/>
  <c r="D1297" i="17"/>
  <c r="Y1297" i="17"/>
  <c r="AA1297" i="17" s="1"/>
  <c r="C1296" i="17"/>
  <c r="D1296" i="17"/>
  <c r="Y1296" i="17"/>
  <c r="AA1296" i="17" s="1"/>
  <c r="C1295" i="17"/>
  <c r="D1295" i="17"/>
  <c r="Y1295" i="17"/>
  <c r="AA1295" i="17" s="1"/>
  <c r="C1294" i="17"/>
  <c r="D1294" i="17"/>
  <c r="Y1294" i="17"/>
  <c r="AA1294" i="17" s="1"/>
  <c r="C1293" i="17"/>
  <c r="D1293" i="17"/>
  <c r="Y1293" i="17"/>
  <c r="AA1293" i="17" s="1"/>
  <c r="C1292" i="17"/>
  <c r="D1292" i="17"/>
  <c r="Y1292" i="17"/>
  <c r="AA1292" i="17" s="1"/>
  <c r="C1291" i="17"/>
  <c r="D1291" i="17"/>
  <c r="Y1291" i="17"/>
  <c r="AA1291" i="17" s="1"/>
  <c r="C1290" i="17"/>
  <c r="D1290" i="17"/>
  <c r="Y1290" i="17"/>
  <c r="AA1290" i="17" s="1"/>
  <c r="C1289" i="17"/>
  <c r="D1289" i="17"/>
  <c r="Y1289" i="17"/>
  <c r="AA1289" i="17" s="1"/>
  <c r="C1288" i="17"/>
  <c r="D1288" i="17"/>
  <c r="Y1288" i="17"/>
  <c r="AA1288" i="17" s="1"/>
  <c r="C1287" i="17"/>
  <c r="D1287" i="17"/>
  <c r="Y1287" i="17"/>
  <c r="AA1287" i="17" s="1"/>
  <c r="C1286" i="17"/>
  <c r="D1286" i="17"/>
  <c r="Y1286" i="17"/>
  <c r="AA1286" i="17" s="1"/>
  <c r="C1285" i="17"/>
  <c r="D1285" i="17"/>
  <c r="Y1285" i="17"/>
  <c r="AA1285" i="17" s="1"/>
  <c r="C1284" i="17"/>
  <c r="D1284" i="17"/>
  <c r="Y1284" i="17"/>
  <c r="AA1284" i="17" s="1"/>
  <c r="C1283" i="17"/>
  <c r="D1283" i="17"/>
  <c r="Y1283" i="17"/>
  <c r="AA1283" i="17" s="1"/>
  <c r="C1282" i="17"/>
  <c r="D1282" i="17"/>
  <c r="Y1282" i="17"/>
  <c r="AA1282" i="17" s="1"/>
  <c r="C1281" i="17"/>
  <c r="D1281" i="17"/>
  <c r="Y1281" i="17"/>
  <c r="AA1281" i="17" s="1"/>
  <c r="C1280" i="17"/>
  <c r="D1280" i="17"/>
  <c r="Y1280" i="17"/>
  <c r="AA1280" i="17" s="1"/>
  <c r="C1279" i="17"/>
  <c r="D1279" i="17"/>
  <c r="Y1279" i="17"/>
  <c r="AA1279" i="17" s="1"/>
  <c r="C1278" i="17"/>
  <c r="D1278" i="17"/>
  <c r="Y1278" i="17"/>
  <c r="AA1278" i="17" s="1"/>
  <c r="C1277" i="17"/>
  <c r="D1277" i="17"/>
  <c r="Y1277" i="17"/>
  <c r="AA1277" i="17" s="1"/>
  <c r="C1276" i="17"/>
  <c r="D1276" i="17"/>
  <c r="Y1276" i="17"/>
  <c r="AA1276" i="17" s="1"/>
  <c r="C1275" i="17"/>
  <c r="D1275" i="17"/>
  <c r="Y1275" i="17"/>
  <c r="AA1275" i="17" s="1"/>
  <c r="C1274" i="17"/>
  <c r="D1274" i="17"/>
  <c r="Y1274" i="17"/>
  <c r="AA1274" i="17" s="1"/>
  <c r="C1273" i="17"/>
  <c r="D1273" i="17"/>
  <c r="Y1273" i="17"/>
  <c r="AA1273" i="17" s="1"/>
  <c r="C1272" i="17"/>
  <c r="D1272" i="17"/>
  <c r="Y1272" i="17"/>
  <c r="AA1272" i="17" s="1"/>
  <c r="C1271" i="17"/>
  <c r="D1271" i="17"/>
  <c r="Y1271" i="17"/>
  <c r="AA1271" i="17" s="1"/>
  <c r="C1270" i="17"/>
  <c r="D1270" i="17"/>
  <c r="Y1270" i="17"/>
  <c r="AA1270" i="17" s="1"/>
  <c r="C1269" i="17"/>
  <c r="D1269" i="17"/>
  <c r="Y1269" i="17"/>
  <c r="AA1269" i="17" s="1"/>
  <c r="C1268" i="17"/>
  <c r="D1268" i="17"/>
  <c r="Y1268" i="17"/>
  <c r="AA1268" i="17" s="1"/>
  <c r="C1267" i="17"/>
  <c r="D1267" i="17"/>
  <c r="Y1267" i="17"/>
  <c r="AA1267" i="17" s="1"/>
  <c r="C1266" i="17"/>
  <c r="D1266" i="17"/>
  <c r="Y1266" i="17"/>
  <c r="AA1266" i="17" s="1"/>
  <c r="C1265" i="17"/>
  <c r="D1265" i="17"/>
  <c r="Y1265" i="17"/>
  <c r="AA1265" i="17" s="1"/>
  <c r="C1264" i="17"/>
  <c r="D1264" i="17"/>
  <c r="Y1264" i="17"/>
  <c r="AA1264" i="17" s="1"/>
  <c r="C1263" i="17"/>
  <c r="D1263" i="17"/>
  <c r="Y1263" i="17"/>
  <c r="AA1263" i="17" s="1"/>
  <c r="C1262" i="17"/>
  <c r="D1262" i="17"/>
  <c r="Y1262" i="17"/>
  <c r="AA1262" i="17" s="1"/>
  <c r="C1261" i="17"/>
  <c r="D1261" i="17"/>
  <c r="Y1261" i="17"/>
  <c r="AA1261" i="17" s="1"/>
  <c r="C1260" i="17"/>
  <c r="D1260" i="17"/>
  <c r="Y1260" i="17"/>
  <c r="AA1260" i="17" s="1"/>
  <c r="C1259" i="17"/>
  <c r="D1259" i="17"/>
  <c r="Y1259" i="17"/>
  <c r="AA1259" i="17" s="1"/>
  <c r="C1258" i="17"/>
  <c r="D1258" i="17"/>
  <c r="Y1258" i="17"/>
  <c r="AA1258" i="17" s="1"/>
  <c r="C1257" i="17"/>
  <c r="D1257" i="17"/>
  <c r="Y1257" i="17"/>
  <c r="AA1257" i="17" s="1"/>
  <c r="C1256" i="17"/>
  <c r="D1256" i="17"/>
  <c r="Y1256" i="17"/>
  <c r="AA1256" i="17" s="1"/>
  <c r="C1255" i="17"/>
  <c r="D1255" i="17"/>
  <c r="Y1255" i="17"/>
  <c r="AA1255" i="17" s="1"/>
  <c r="C1254" i="17"/>
  <c r="D1254" i="17"/>
  <c r="Y1254" i="17"/>
  <c r="AA1254" i="17" s="1"/>
  <c r="C1253" i="17"/>
  <c r="D1253" i="17"/>
  <c r="Y1253" i="17"/>
  <c r="AA1253" i="17" s="1"/>
  <c r="C1252" i="17"/>
  <c r="D1252" i="17"/>
  <c r="Y1252" i="17"/>
  <c r="AA1252" i="17" s="1"/>
  <c r="C1251" i="17"/>
  <c r="D1251" i="17"/>
  <c r="Y1251" i="17"/>
  <c r="AA1251" i="17" s="1"/>
  <c r="C1250" i="17"/>
  <c r="D1250" i="17"/>
  <c r="Y1250" i="17"/>
  <c r="AA1250" i="17" s="1"/>
  <c r="C1249" i="17"/>
  <c r="D1249" i="17"/>
  <c r="Y1249" i="17"/>
  <c r="AA1249" i="17" s="1"/>
  <c r="C1248" i="17"/>
  <c r="D1248" i="17"/>
  <c r="Y1248" i="17"/>
  <c r="AA1248" i="17" s="1"/>
  <c r="L1247" i="17"/>
  <c r="X1247" i="17"/>
  <c r="L1246" i="17"/>
  <c r="X1246" i="17"/>
  <c r="L1245" i="17"/>
  <c r="X1245" i="17"/>
  <c r="L1244" i="17"/>
  <c r="X1244" i="17"/>
  <c r="L1233" i="17"/>
  <c r="X1233" i="17"/>
  <c r="L1232" i="17"/>
  <c r="X1232" i="17"/>
  <c r="L1231" i="17"/>
  <c r="X1231" i="17"/>
  <c r="L1230" i="17"/>
  <c r="X1230" i="17"/>
  <c r="L1229" i="17"/>
  <c r="X1229" i="17"/>
  <c r="L1228" i="17"/>
  <c r="X1228" i="17"/>
  <c r="L1227" i="17"/>
  <c r="X1227" i="17"/>
  <c r="L1226" i="17"/>
  <c r="X1226" i="17"/>
  <c r="L1225" i="17"/>
  <c r="X1225" i="17"/>
  <c r="L1224" i="17"/>
  <c r="X1224" i="17"/>
  <c r="L1223" i="17"/>
  <c r="X1223" i="17"/>
  <c r="L1218" i="17"/>
  <c r="X1218" i="17"/>
  <c r="L1196" i="17"/>
  <c r="X1196" i="17"/>
  <c r="L1192" i="17"/>
  <c r="X1192" i="17"/>
  <c r="L1177" i="17"/>
  <c r="X1177" i="17"/>
  <c r="L1172" i="17"/>
  <c r="X1172" i="17"/>
  <c r="L1162" i="17"/>
  <c r="X1162" i="17"/>
  <c r="L1154" i="17"/>
  <c r="X1154" i="17"/>
  <c r="L1153" i="17"/>
  <c r="X1153" i="17"/>
  <c r="L1147" i="17"/>
  <c r="X1147" i="17"/>
  <c r="L1136" i="17"/>
  <c r="X1136" i="17"/>
  <c r="L1135" i="17"/>
  <c r="X1135" i="17"/>
  <c r="L1133" i="17"/>
  <c r="X1133" i="17"/>
  <c r="L1128" i="17"/>
  <c r="X1128" i="17"/>
  <c r="L1126" i="17"/>
  <c r="X1126" i="17"/>
  <c r="L1120" i="17"/>
  <c r="X1120" i="17"/>
  <c r="L1118" i="17"/>
  <c r="X1118" i="17"/>
  <c r="L1117" i="17"/>
  <c r="X1117" i="17"/>
  <c r="L1115" i="17"/>
  <c r="X1115" i="17"/>
  <c r="L1112" i="17"/>
  <c r="X1112" i="17"/>
  <c r="L1105" i="17"/>
  <c r="X1105" i="17"/>
  <c r="L1100" i="17"/>
  <c r="X1100" i="17"/>
  <c r="L1097" i="17"/>
  <c r="X1097" i="17"/>
  <c r="L1096" i="17"/>
  <c r="X1096" i="17"/>
  <c r="X1090" i="17"/>
  <c r="L1090" i="17"/>
  <c r="L1087" i="17"/>
  <c r="X1087" i="17"/>
  <c r="L1084" i="17"/>
  <c r="X1084" i="17"/>
  <c r="L1077" i="17"/>
  <c r="X1077" i="17"/>
  <c r="L1075" i="17"/>
  <c r="X1075" i="17"/>
  <c r="L1062" i="17"/>
  <c r="X1062" i="17"/>
  <c r="L1058" i="17"/>
  <c r="X1058" i="17"/>
  <c r="L1057" i="17"/>
  <c r="X1057" i="17"/>
  <c r="L1056" i="17"/>
  <c r="X1056" i="17"/>
  <c r="L1053" i="17"/>
  <c r="X1053" i="17"/>
  <c r="L1049" i="17"/>
  <c r="X1049" i="17"/>
  <c r="X1036" i="17"/>
  <c r="L1036" i="17"/>
  <c r="X1896" i="17"/>
  <c r="L1896" i="17"/>
  <c r="X1889" i="17"/>
  <c r="L1889" i="17"/>
  <c r="L1888" i="17"/>
  <c r="X1888" i="17"/>
  <c r="X1885" i="17"/>
  <c r="L1885" i="17"/>
  <c r="X1739" i="17"/>
  <c r="L1739" i="17"/>
  <c r="X1723" i="17"/>
  <c r="L1723" i="17"/>
  <c r="X1721" i="17"/>
  <c r="L1721" i="17"/>
  <c r="X1669" i="17"/>
  <c r="L1669" i="17"/>
  <c r="L1666" i="17"/>
  <c r="X1666" i="17"/>
  <c r="C1243" i="17"/>
  <c r="D1243" i="17"/>
  <c r="Y1243" i="17"/>
  <c r="AA1243" i="17" s="1"/>
  <c r="C1242" i="17"/>
  <c r="D1242" i="17"/>
  <c r="Y1242" i="17"/>
  <c r="AA1242" i="17" s="1"/>
  <c r="C1241" i="17"/>
  <c r="D1241" i="17"/>
  <c r="Y1241" i="17"/>
  <c r="AA1241" i="17" s="1"/>
  <c r="C1240" i="17"/>
  <c r="D1240" i="17"/>
  <c r="Y1240" i="17"/>
  <c r="AA1240" i="17" s="1"/>
  <c r="C1239" i="17"/>
  <c r="D1239" i="17"/>
  <c r="Y1239" i="17"/>
  <c r="AA1239" i="17" s="1"/>
  <c r="C1238" i="17"/>
  <c r="D1238" i="17"/>
  <c r="Y1238" i="17"/>
  <c r="AA1238" i="17" s="1"/>
  <c r="C1237" i="17"/>
  <c r="D1237" i="17"/>
  <c r="Y1237" i="17"/>
  <c r="AA1237" i="17" s="1"/>
  <c r="C1236" i="17"/>
  <c r="D1236" i="17"/>
  <c r="Y1236" i="17"/>
  <c r="AA1236" i="17" s="1"/>
  <c r="C1235" i="17"/>
  <c r="D1235" i="17"/>
  <c r="Y1235" i="17"/>
  <c r="AA1235" i="17" s="1"/>
  <c r="C1234" i="17"/>
  <c r="D1234" i="17"/>
  <c r="Y1234" i="17"/>
  <c r="AA1234" i="17" s="1"/>
  <c r="L1222" i="17"/>
  <c r="X1222" i="17"/>
  <c r="L1221" i="17"/>
  <c r="X1221" i="17"/>
  <c r="L1220" i="17"/>
  <c r="X1220" i="17"/>
  <c r="L1219" i="17"/>
  <c r="X1219" i="17"/>
  <c r="L1217" i="17"/>
  <c r="X1217" i="17"/>
  <c r="L1216" i="17"/>
  <c r="X1216" i="17"/>
  <c r="L1215" i="17"/>
  <c r="X1215" i="17"/>
  <c r="L1214" i="17"/>
  <c r="X1214" i="17"/>
  <c r="L1213" i="17"/>
  <c r="X1213" i="17"/>
  <c r="L1212" i="17"/>
  <c r="X1212" i="17"/>
  <c r="L1211" i="17"/>
  <c r="X1211" i="17"/>
  <c r="L1210" i="17"/>
  <c r="X1210" i="17"/>
  <c r="L1209" i="17"/>
  <c r="X1209" i="17"/>
  <c r="L1208" i="17"/>
  <c r="X1208" i="17"/>
  <c r="L1207" i="17"/>
  <c r="X1207" i="17"/>
  <c r="L1206" i="17"/>
  <c r="X1206" i="17"/>
  <c r="L1205" i="17"/>
  <c r="X1205" i="17"/>
  <c r="L1204" i="17"/>
  <c r="X1204" i="17"/>
  <c r="X1203" i="17"/>
  <c r="L1203" i="17"/>
  <c r="L1202" i="17"/>
  <c r="X1202" i="17"/>
  <c r="L1201" i="17"/>
  <c r="X1201" i="17"/>
  <c r="L1200" i="17"/>
  <c r="X1200" i="17"/>
  <c r="L1199" i="17"/>
  <c r="X1199" i="17"/>
  <c r="L1198" i="17"/>
  <c r="X1198" i="17"/>
  <c r="L1197" i="17"/>
  <c r="X1197" i="17"/>
  <c r="X1195" i="17"/>
  <c r="L1195" i="17"/>
  <c r="X1194" i="17"/>
  <c r="L1194" i="17"/>
  <c r="L1193" i="17"/>
  <c r="X1193" i="17"/>
  <c r="L1191" i="17"/>
  <c r="X1191" i="17"/>
  <c r="L1190" i="17"/>
  <c r="X1190" i="17"/>
  <c r="L1189" i="17"/>
  <c r="X1189" i="17"/>
  <c r="L1188" i="17"/>
  <c r="X1188" i="17"/>
  <c r="L1187" i="17"/>
  <c r="X1187" i="17"/>
  <c r="L1186" i="17"/>
  <c r="X1186" i="17"/>
  <c r="L1185" i="17"/>
  <c r="X1185" i="17"/>
  <c r="L1184" i="17"/>
  <c r="X1184" i="17"/>
  <c r="L1183" i="17"/>
  <c r="X1183" i="17"/>
  <c r="L1182" i="17"/>
  <c r="X1182" i="17"/>
  <c r="X1181" i="17"/>
  <c r="L1181" i="17"/>
  <c r="X1180" i="17"/>
  <c r="L1180" i="17"/>
  <c r="X1179" i="17"/>
  <c r="L1179" i="17"/>
  <c r="X1178" i="17"/>
  <c r="L1178" i="17"/>
  <c r="L1176" i="17"/>
  <c r="X1176" i="17"/>
  <c r="X1175" i="17"/>
  <c r="L1175" i="17"/>
  <c r="X1174" i="17"/>
  <c r="L1174" i="17"/>
  <c r="X1173" i="17"/>
  <c r="L1173" i="17"/>
  <c r="L1171" i="17"/>
  <c r="X1171" i="17"/>
  <c r="L1170" i="17"/>
  <c r="X1170" i="17"/>
  <c r="L1169" i="17"/>
  <c r="X1169" i="17"/>
  <c r="L1168" i="17"/>
  <c r="X1168" i="17"/>
  <c r="L1167" i="17"/>
  <c r="X1167" i="17"/>
  <c r="L1165" i="17"/>
  <c r="X1165" i="17"/>
  <c r="L1163" i="17"/>
  <c r="X1163" i="17"/>
  <c r="X1160" i="17"/>
  <c r="L1160" i="17"/>
  <c r="X1159" i="17"/>
  <c r="L1159" i="17"/>
  <c r="X1158" i="17"/>
  <c r="L1158" i="17"/>
  <c r="L1157" i="17"/>
  <c r="X1157" i="17"/>
  <c r="X1155" i="17"/>
  <c r="L1155" i="17"/>
  <c r="L1152" i="17"/>
  <c r="X1152" i="17"/>
  <c r="L1151" i="17"/>
  <c r="X1151" i="17"/>
  <c r="L1149" i="17"/>
  <c r="X1149" i="17"/>
  <c r="X1148" i="17"/>
  <c r="L1148" i="17"/>
  <c r="X1143" i="17"/>
  <c r="L1143" i="17"/>
  <c r="X1142" i="17"/>
  <c r="L1142" i="17"/>
  <c r="X1141" i="17"/>
  <c r="L1141" i="17"/>
  <c r="X1140" i="17"/>
  <c r="L1140" i="17"/>
  <c r="X1139" i="17"/>
  <c r="L1139" i="17"/>
  <c r="L1137" i="17"/>
  <c r="X1137" i="17"/>
  <c r="X1134" i="17"/>
  <c r="L1134" i="17"/>
  <c r="L1130" i="17"/>
  <c r="X1130" i="17"/>
  <c r="L1129" i="17"/>
  <c r="X1129" i="17"/>
  <c r="X1127" i="17"/>
  <c r="L1127" i="17"/>
  <c r="L1125" i="17"/>
  <c r="X1125" i="17"/>
  <c r="X1124" i="17"/>
  <c r="L1124" i="17"/>
  <c r="X1122" i="17"/>
  <c r="L1122" i="17"/>
  <c r="L1121" i="17"/>
  <c r="X1121" i="17"/>
  <c r="L1119" i="17"/>
  <c r="X1119" i="17"/>
  <c r="L1116" i="17"/>
  <c r="X1116" i="17"/>
  <c r="L1114" i="17"/>
  <c r="X1114" i="17"/>
  <c r="X1113" i="17"/>
  <c r="L1113" i="17"/>
  <c r="L1111" i="17"/>
  <c r="X1111" i="17"/>
  <c r="X1109" i="17"/>
  <c r="L1109" i="17"/>
  <c r="X1108" i="17"/>
  <c r="L1108" i="17"/>
  <c r="X1107" i="17"/>
  <c r="L1107" i="17"/>
  <c r="X1106" i="17"/>
  <c r="L1106" i="17"/>
  <c r="X1102" i="17"/>
  <c r="L1102" i="17"/>
  <c r="X1101" i="17"/>
  <c r="L1101" i="17"/>
  <c r="X1099" i="17"/>
  <c r="L1099" i="17"/>
  <c r="X1098" i="17"/>
  <c r="L1098" i="17"/>
  <c r="X1094" i="17"/>
  <c r="L1094" i="17"/>
  <c r="X1093" i="17"/>
  <c r="L1093" i="17"/>
  <c r="X1092" i="17"/>
  <c r="L1092" i="17"/>
  <c r="X1091" i="17"/>
  <c r="L1091" i="17"/>
  <c r="X1089" i="17"/>
  <c r="L1089" i="17"/>
  <c r="X1088" i="17"/>
  <c r="L1088" i="17"/>
  <c r="X1086" i="17"/>
  <c r="L1086" i="17"/>
  <c r="X1085" i="17"/>
  <c r="L1085" i="17"/>
  <c r="L1083" i="17"/>
  <c r="X1083" i="17"/>
  <c r="L1081" i="17"/>
  <c r="X1081" i="17"/>
  <c r="X1080" i="17"/>
  <c r="L1080" i="17"/>
  <c r="L1079" i="17"/>
  <c r="X1079" i="17"/>
  <c r="L1078" i="17"/>
  <c r="X1078" i="17"/>
  <c r="X1076" i="17"/>
  <c r="L1076" i="17"/>
  <c r="L1074" i="17"/>
  <c r="X1074" i="17"/>
  <c r="L1073" i="17"/>
  <c r="X1073" i="17"/>
  <c r="L1072" i="17"/>
  <c r="X1072" i="17"/>
  <c r="X1069" i="17"/>
  <c r="L1069" i="17"/>
  <c r="L1068" i="17"/>
  <c r="X1068" i="17"/>
  <c r="X1067" i="17"/>
  <c r="L1067" i="17"/>
  <c r="L1065" i="17"/>
  <c r="X1065" i="17"/>
  <c r="L1063" i="17"/>
  <c r="X1063" i="17"/>
  <c r="X1061" i="17"/>
  <c r="L1061" i="17"/>
  <c r="L1060" i="17"/>
  <c r="X1060" i="17"/>
  <c r="X1059" i="17"/>
  <c r="L1059" i="17"/>
  <c r="L1055" i="17"/>
  <c r="X1055" i="17"/>
  <c r="X1054" i="17"/>
  <c r="L1054" i="17"/>
  <c r="L1052" i="17"/>
  <c r="X1052" i="17"/>
  <c r="X1051" i="17"/>
  <c r="L1051" i="17"/>
  <c r="X1050" i="17"/>
  <c r="L1050" i="17"/>
  <c r="L1047" i="17"/>
  <c r="X1047" i="17"/>
  <c r="X1046" i="17"/>
  <c r="L1046" i="17"/>
  <c r="L1045" i="17"/>
  <c r="X1045" i="17"/>
  <c r="X1044" i="17"/>
  <c r="L1044" i="17"/>
  <c r="X1043" i="17"/>
  <c r="L1043" i="17"/>
  <c r="L1041" i="17"/>
  <c r="X1041" i="17"/>
  <c r="X1040" i="17"/>
  <c r="L1040" i="17"/>
  <c r="X1039" i="17"/>
  <c r="L1039" i="17"/>
  <c r="L1038" i="17"/>
  <c r="X1038" i="17"/>
  <c r="X1035" i="17"/>
  <c r="L1035" i="17"/>
  <c r="X1750" i="17"/>
  <c r="L1750" i="17"/>
  <c r="X1740" i="17"/>
  <c r="L1740" i="17"/>
  <c r="X1738" i="17"/>
  <c r="L1738" i="17"/>
  <c r="L1734" i="17"/>
  <c r="X1734" i="17"/>
  <c r="L1731" i="17"/>
  <c r="X1731" i="17"/>
  <c r="L1730" i="17"/>
  <c r="X1730" i="17"/>
  <c r="X1729" i="17"/>
  <c r="L1729" i="17"/>
  <c r="X1726" i="17"/>
  <c r="L1726" i="17"/>
  <c r="L1720" i="17"/>
  <c r="X1720" i="17"/>
  <c r="L1712" i="17"/>
  <c r="X1712" i="17"/>
  <c r="L1711" i="17"/>
  <c r="X1711" i="17"/>
  <c r="X1710" i="17"/>
  <c r="L1710" i="17"/>
  <c r="X1708" i="17"/>
  <c r="L1708" i="17"/>
  <c r="L1706" i="17"/>
  <c r="X1706" i="17"/>
  <c r="L1695" i="17"/>
  <c r="X1695" i="17"/>
  <c r="L1694" i="17"/>
  <c r="X1694" i="17"/>
  <c r="L1693" i="17"/>
  <c r="X1693" i="17"/>
  <c r="L1692" i="17"/>
  <c r="X1692" i="17"/>
  <c r="X1690" i="17"/>
  <c r="L1690" i="17"/>
  <c r="L1689" i="17"/>
  <c r="X1689" i="17"/>
  <c r="X1685" i="17"/>
  <c r="L1685" i="17"/>
  <c r="L1684" i="17"/>
  <c r="X1684" i="17"/>
  <c r="L1681" i="17"/>
  <c r="X1681" i="17"/>
  <c r="L1679" i="17"/>
  <c r="X1679" i="17"/>
  <c r="L1678" i="17"/>
  <c r="X1678" i="17"/>
  <c r="L1674" i="17"/>
  <c r="X1674" i="17"/>
  <c r="L1673" i="17"/>
  <c r="X1673" i="17"/>
  <c r="L1672" i="17"/>
  <c r="X1672" i="17"/>
  <c r="L1670" i="17"/>
  <c r="X1670" i="17"/>
  <c r="C1034" i="17"/>
  <c r="D1034" i="17"/>
  <c r="Y1034" i="17"/>
  <c r="AA1034" i="17" s="1"/>
  <c r="C1033" i="17"/>
  <c r="D1033" i="17"/>
  <c r="Y1033" i="17"/>
  <c r="AA1033" i="17" s="1"/>
  <c r="C1032" i="17"/>
  <c r="D1032" i="17"/>
  <c r="Y1032" i="17"/>
  <c r="AA1032" i="17" s="1"/>
  <c r="C1031" i="17"/>
  <c r="D1031" i="17"/>
  <c r="Y1031" i="17"/>
  <c r="AA1031" i="17" s="1"/>
  <c r="C1030" i="17"/>
  <c r="D1030" i="17"/>
  <c r="Y1030" i="17"/>
  <c r="AA1030" i="17" s="1"/>
  <c r="C1029" i="17"/>
  <c r="D1029" i="17"/>
  <c r="Y1029" i="17"/>
  <c r="AA1029" i="17" s="1"/>
  <c r="C1028" i="17"/>
  <c r="D1028" i="17"/>
  <c r="Y1028" i="17"/>
  <c r="AA1028" i="17" s="1"/>
  <c r="C1027" i="17"/>
  <c r="D1027" i="17"/>
  <c r="Y1027" i="17"/>
  <c r="AA1027" i="17" s="1"/>
  <c r="C1026" i="17"/>
  <c r="D1026" i="17"/>
  <c r="Y1026" i="17"/>
  <c r="AA1026" i="17" s="1"/>
  <c r="C1025" i="17"/>
  <c r="D1025" i="17"/>
  <c r="Y1025" i="17"/>
  <c r="AA1025" i="17" s="1"/>
  <c r="C1024" i="17"/>
  <c r="D1024" i="17"/>
  <c r="Y1024" i="17"/>
  <c r="AA1024" i="17" s="1"/>
  <c r="C1023" i="17"/>
  <c r="D1023" i="17"/>
  <c r="Y1023" i="17"/>
  <c r="AA1023" i="17" s="1"/>
  <c r="C1022" i="17"/>
  <c r="D1022" i="17"/>
  <c r="Y1022" i="17"/>
  <c r="AA1022" i="17" s="1"/>
  <c r="C1021" i="17"/>
  <c r="D1021" i="17"/>
  <c r="Y1021" i="17"/>
  <c r="AA1021" i="17" s="1"/>
  <c r="C1020" i="17"/>
  <c r="D1020" i="17"/>
  <c r="Y1020" i="17"/>
  <c r="AA1020" i="17" s="1"/>
  <c r="C1019" i="17"/>
  <c r="D1019" i="17"/>
  <c r="Y1019" i="17"/>
  <c r="AA1019" i="17" s="1"/>
  <c r="C1018" i="17"/>
  <c r="D1018" i="17"/>
  <c r="Y1018" i="17"/>
  <c r="AA1018" i="17" s="1"/>
  <c r="C1017" i="17"/>
  <c r="D1017" i="17"/>
  <c r="Y1017" i="17"/>
  <c r="AA1017" i="17" s="1"/>
  <c r="C1016" i="17"/>
  <c r="D1016" i="17"/>
  <c r="Y1016" i="17"/>
  <c r="AA1016" i="17" s="1"/>
  <c r="C1015" i="17"/>
  <c r="D1015" i="17"/>
  <c r="Y1015" i="17"/>
  <c r="AA1015" i="17" s="1"/>
  <c r="C1014" i="17"/>
  <c r="D1014" i="17"/>
  <c r="Y1014" i="17"/>
  <c r="AA1014" i="17" s="1"/>
  <c r="C1013" i="17"/>
  <c r="D1013" i="17"/>
  <c r="Y1013" i="17"/>
  <c r="AA1013" i="17" s="1"/>
  <c r="C1012" i="17"/>
  <c r="D1012" i="17"/>
  <c r="Y1012" i="17"/>
  <c r="AA1012" i="17" s="1"/>
  <c r="C1011" i="17"/>
  <c r="D1011" i="17"/>
  <c r="Y1011" i="17"/>
  <c r="AA1011" i="17" s="1"/>
  <c r="C1010" i="17"/>
  <c r="D1010" i="17"/>
  <c r="Y1010" i="17"/>
  <c r="AA1010" i="17" s="1"/>
  <c r="C1009" i="17"/>
  <c r="D1009" i="17"/>
  <c r="Y1009" i="17"/>
  <c r="AA1009" i="17" s="1"/>
  <c r="C1008" i="17"/>
  <c r="D1008" i="17"/>
  <c r="Y1008" i="17"/>
  <c r="AA1008" i="17" s="1"/>
  <c r="C1007" i="17"/>
  <c r="D1007" i="17"/>
  <c r="Y1007" i="17"/>
  <c r="AA1007" i="17" s="1"/>
  <c r="C1006" i="17"/>
  <c r="D1006" i="17"/>
  <c r="Y1006" i="17"/>
  <c r="AA1006" i="17" s="1"/>
  <c r="C1005" i="17"/>
  <c r="D1005" i="17"/>
  <c r="Y1005" i="17"/>
  <c r="AA1005" i="17" s="1"/>
  <c r="C1004" i="17"/>
  <c r="D1004" i="17"/>
  <c r="Y1004" i="17"/>
  <c r="AA1004" i="17" s="1"/>
  <c r="C1003" i="17"/>
  <c r="D1003" i="17"/>
  <c r="Y1003" i="17"/>
  <c r="AA1003" i="17" s="1"/>
  <c r="C1002" i="17"/>
  <c r="D1002" i="17"/>
  <c r="Y1002" i="17"/>
  <c r="AA1002" i="17" s="1"/>
  <c r="C1001" i="17"/>
  <c r="D1001" i="17"/>
  <c r="Y1001" i="17"/>
  <c r="AA1001" i="17" s="1"/>
  <c r="C1000" i="17"/>
  <c r="D1000" i="17"/>
  <c r="Y1000" i="17"/>
  <c r="AA1000" i="17" s="1"/>
  <c r="C999" i="17"/>
  <c r="D999" i="17"/>
  <c r="Y999" i="17"/>
  <c r="AA999" i="17" s="1"/>
  <c r="C998" i="17"/>
  <c r="D998" i="17"/>
  <c r="Y998" i="17"/>
  <c r="AA998" i="17" s="1"/>
  <c r="C997" i="17"/>
  <c r="D997" i="17"/>
  <c r="Y997" i="17"/>
  <c r="AA997" i="17" s="1"/>
  <c r="C996" i="17"/>
  <c r="D996" i="17"/>
  <c r="Y996" i="17"/>
  <c r="AA996" i="17" s="1"/>
  <c r="C995" i="17"/>
  <c r="D995" i="17"/>
  <c r="Y995" i="17"/>
  <c r="AA995" i="17" s="1"/>
  <c r="C994" i="17"/>
  <c r="D994" i="17"/>
  <c r="Y994" i="17"/>
  <c r="AA994" i="17" s="1"/>
  <c r="C993" i="17"/>
  <c r="D993" i="17"/>
  <c r="Y993" i="17"/>
  <c r="AA993" i="17" s="1"/>
  <c r="C992" i="17"/>
  <c r="D992" i="17"/>
  <c r="Y992" i="17"/>
  <c r="AA992" i="17" s="1"/>
  <c r="C991" i="17"/>
  <c r="D991" i="17"/>
  <c r="Y991" i="17"/>
  <c r="AA991" i="17" s="1"/>
  <c r="C990" i="17"/>
  <c r="D990" i="17"/>
  <c r="Y990" i="17"/>
  <c r="AA990" i="17" s="1"/>
  <c r="C989" i="17"/>
  <c r="D989" i="17"/>
  <c r="Y989" i="17"/>
  <c r="AA989" i="17" s="1"/>
  <c r="C988" i="17"/>
  <c r="D988" i="17"/>
  <c r="Y988" i="17"/>
  <c r="AA988" i="17" s="1"/>
  <c r="C987" i="17"/>
  <c r="D987" i="17"/>
  <c r="Y987" i="17"/>
  <c r="AA987" i="17" s="1"/>
  <c r="C986" i="17"/>
  <c r="D986" i="17"/>
  <c r="Y986" i="17"/>
  <c r="AA986" i="17" s="1"/>
  <c r="C985" i="17"/>
  <c r="D985" i="17"/>
  <c r="Y985" i="17"/>
  <c r="AA985" i="17" s="1"/>
  <c r="C984" i="17"/>
  <c r="D984" i="17"/>
  <c r="Y984" i="17"/>
  <c r="AA984" i="17" s="1"/>
  <c r="C983" i="17"/>
  <c r="D983" i="17"/>
  <c r="Y983" i="17"/>
  <c r="AA983" i="17" s="1"/>
  <c r="C982" i="17"/>
  <c r="D982" i="17"/>
  <c r="Y982" i="17"/>
  <c r="AA982" i="17" s="1"/>
  <c r="C981" i="17"/>
  <c r="D981" i="17"/>
  <c r="Y981" i="17"/>
  <c r="AA981" i="17" s="1"/>
  <c r="C980" i="17"/>
  <c r="D980" i="17"/>
  <c r="Y980" i="17"/>
  <c r="AA980" i="17" s="1"/>
  <c r="C979" i="17"/>
  <c r="D979" i="17"/>
  <c r="Y979" i="17"/>
  <c r="AA979" i="17" s="1"/>
  <c r="C978" i="17"/>
  <c r="D978" i="17"/>
  <c r="Y978" i="17"/>
  <c r="AA978" i="17" s="1"/>
  <c r="C977" i="17"/>
  <c r="D977" i="17"/>
  <c r="Y977" i="17"/>
  <c r="AA977" i="17" s="1"/>
  <c r="C976" i="17"/>
  <c r="D976" i="17"/>
  <c r="Y976" i="17"/>
  <c r="AA976" i="17" s="1"/>
  <c r="C975" i="17"/>
  <c r="D975" i="17"/>
  <c r="Y975" i="17"/>
  <c r="AA975" i="17" s="1"/>
  <c r="C974" i="17"/>
  <c r="D974" i="17"/>
  <c r="Y974" i="17"/>
  <c r="AA974" i="17" s="1"/>
  <c r="C973" i="17"/>
  <c r="D973" i="17"/>
  <c r="Y973" i="17"/>
  <c r="AA973" i="17" s="1"/>
  <c r="C972" i="17"/>
  <c r="D972" i="17"/>
  <c r="Y972" i="17"/>
  <c r="AA972" i="17" s="1"/>
  <c r="C971" i="17"/>
  <c r="D971" i="17"/>
  <c r="Y971" i="17"/>
  <c r="AA971" i="17" s="1"/>
  <c r="C970" i="17"/>
  <c r="D970" i="17"/>
  <c r="Y970" i="17"/>
  <c r="AA970" i="17" s="1"/>
  <c r="C969" i="17"/>
  <c r="D969" i="17"/>
  <c r="Y969" i="17"/>
  <c r="AA969" i="17" s="1"/>
  <c r="C968" i="17"/>
  <c r="D968" i="17"/>
  <c r="Y968" i="17"/>
  <c r="AA968" i="17" s="1"/>
  <c r="C967" i="17"/>
  <c r="D967" i="17"/>
  <c r="Y967" i="17"/>
  <c r="AA967" i="17" s="1"/>
  <c r="C966" i="17"/>
  <c r="D966" i="17"/>
  <c r="Y966" i="17"/>
  <c r="AA966" i="17" s="1"/>
  <c r="C965" i="17"/>
  <c r="D965" i="17"/>
  <c r="Y965" i="17"/>
  <c r="AA965" i="17" s="1"/>
  <c r="C964" i="17"/>
  <c r="D964" i="17"/>
  <c r="Y964" i="17"/>
  <c r="AA964" i="17" s="1"/>
  <c r="C963" i="17"/>
  <c r="D963" i="17"/>
  <c r="Y963" i="17"/>
  <c r="AA963" i="17" s="1"/>
  <c r="C962" i="17"/>
  <c r="D962" i="17"/>
  <c r="Y962" i="17"/>
  <c r="AA962" i="17" s="1"/>
  <c r="C961" i="17"/>
  <c r="D961" i="17"/>
  <c r="Y961" i="17"/>
  <c r="AA961" i="17" s="1"/>
  <c r="C960" i="17"/>
  <c r="D960" i="17"/>
  <c r="Y960" i="17"/>
  <c r="AA960" i="17" s="1"/>
  <c r="C959" i="17"/>
  <c r="D959" i="17"/>
  <c r="Y959" i="17"/>
  <c r="AA959" i="17" s="1"/>
  <c r="C958" i="17"/>
  <c r="D958" i="17"/>
  <c r="Y958" i="17"/>
  <c r="AA958" i="17" s="1"/>
  <c r="C957" i="17"/>
  <c r="D957" i="17"/>
  <c r="Y957" i="17"/>
  <c r="AA957" i="17" s="1"/>
  <c r="C956" i="17"/>
  <c r="D956" i="17"/>
  <c r="Y956" i="17"/>
  <c r="AA956" i="17" s="1"/>
  <c r="C955" i="17"/>
  <c r="D955" i="17"/>
  <c r="Y955" i="17"/>
  <c r="AA955" i="17" s="1"/>
  <c r="C954" i="17"/>
  <c r="D954" i="17"/>
  <c r="Y954" i="17"/>
  <c r="AA954" i="17" s="1"/>
  <c r="C953" i="17"/>
  <c r="D953" i="17"/>
  <c r="Y953" i="17"/>
  <c r="AA953" i="17" s="1"/>
  <c r="C952" i="17"/>
  <c r="D952" i="17"/>
  <c r="Y952" i="17"/>
  <c r="AA952" i="17" s="1"/>
  <c r="C951" i="17"/>
  <c r="D951" i="17"/>
  <c r="Y951" i="17"/>
  <c r="AA951" i="17" s="1"/>
  <c r="C950" i="17"/>
  <c r="D950" i="17"/>
  <c r="Y950" i="17"/>
  <c r="AA950" i="17" s="1"/>
  <c r="C949" i="17"/>
  <c r="D949" i="17"/>
  <c r="Y949" i="17"/>
  <c r="AA949" i="17" s="1"/>
  <c r="C948" i="17"/>
  <c r="D948" i="17"/>
  <c r="Y948" i="17"/>
  <c r="AA948" i="17" s="1"/>
  <c r="C947" i="17"/>
  <c r="D947" i="17"/>
  <c r="Y947" i="17"/>
  <c r="AA947" i="17" s="1"/>
  <c r="C946" i="17"/>
  <c r="D946" i="17"/>
  <c r="Y946" i="17"/>
  <c r="AA946" i="17" s="1"/>
  <c r="C945" i="17"/>
  <c r="D945" i="17"/>
  <c r="Y945" i="17"/>
  <c r="AA945" i="17" s="1"/>
  <c r="C944" i="17"/>
  <c r="D944" i="17"/>
  <c r="Y944" i="17"/>
  <c r="AA944" i="17" s="1"/>
  <c r="C943" i="17"/>
  <c r="D943" i="17"/>
  <c r="Y943" i="17"/>
  <c r="AA943" i="17" s="1"/>
  <c r="C942" i="17"/>
  <c r="D942" i="17"/>
  <c r="Y942" i="17"/>
  <c r="AA942" i="17" s="1"/>
  <c r="C941" i="17"/>
  <c r="D941" i="17"/>
  <c r="Y941" i="17"/>
  <c r="AA941" i="17" s="1"/>
  <c r="C940" i="17"/>
  <c r="D940" i="17"/>
  <c r="Y940" i="17"/>
  <c r="AA940" i="17" s="1"/>
  <c r="C939" i="17"/>
  <c r="D939" i="17"/>
  <c r="Y939" i="17"/>
  <c r="AA939" i="17" s="1"/>
  <c r="C938" i="17"/>
  <c r="D938" i="17"/>
  <c r="Y938" i="17"/>
  <c r="AA938" i="17" s="1"/>
  <c r="C937" i="17"/>
  <c r="D937" i="17"/>
  <c r="Y937" i="17"/>
  <c r="AA937" i="17" s="1"/>
  <c r="C936" i="17"/>
  <c r="D936" i="17"/>
  <c r="Y936" i="17"/>
  <c r="AA936" i="17" s="1"/>
  <c r="C935" i="17"/>
  <c r="D935" i="17"/>
  <c r="Y935" i="17"/>
  <c r="AA935" i="17" s="1"/>
  <c r="C934" i="17"/>
  <c r="D934" i="17"/>
  <c r="Y934" i="17"/>
  <c r="AA934" i="17" s="1"/>
  <c r="C933" i="17"/>
  <c r="D933" i="17"/>
  <c r="Y933" i="17"/>
  <c r="AA933" i="17" s="1"/>
  <c r="C932" i="17"/>
  <c r="D932" i="17"/>
  <c r="Y932" i="17"/>
  <c r="AA932" i="17" s="1"/>
  <c r="C931" i="17"/>
  <c r="D931" i="17"/>
  <c r="Y931" i="17"/>
  <c r="AA931" i="17" s="1"/>
  <c r="C930" i="17"/>
  <c r="D930" i="17"/>
  <c r="Y930" i="17"/>
  <c r="AA930" i="17" s="1"/>
  <c r="C929" i="17"/>
  <c r="D929" i="17"/>
  <c r="Y929" i="17"/>
  <c r="AA929" i="17" s="1"/>
  <c r="C928" i="17"/>
  <c r="D928" i="17"/>
  <c r="Y928" i="17"/>
  <c r="AA928" i="17" s="1"/>
  <c r="C927" i="17"/>
  <c r="D927" i="17"/>
  <c r="Y927" i="17"/>
  <c r="AA927" i="17" s="1"/>
  <c r="C926" i="17"/>
  <c r="D926" i="17"/>
  <c r="Y926" i="17"/>
  <c r="AA926" i="17" s="1"/>
  <c r="C925" i="17"/>
  <c r="D925" i="17"/>
  <c r="Y925" i="17"/>
  <c r="AA925" i="17" s="1"/>
  <c r="C924" i="17"/>
  <c r="D924" i="17"/>
  <c r="Y924" i="17"/>
  <c r="AA924" i="17" s="1"/>
  <c r="C923" i="17"/>
  <c r="D923" i="17"/>
  <c r="Y923" i="17"/>
  <c r="AA923" i="17" s="1"/>
  <c r="C922" i="17"/>
  <c r="D922" i="17"/>
  <c r="Y922" i="17"/>
  <c r="AA922" i="17" s="1"/>
  <c r="C921" i="17"/>
  <c r="D921" i="17"/>
  <c r="Y921" i="17"/>
  <c r="AA921" i="17" s="1"/>
  <c r="C920" i="17"/>
  <c r="D920" i="17"/>
  <c r="Y920" i="17"/>
  <c r="AA920" i="17" s="1"/>
  <c r="C919" i="17"/>
  <c r="D919" i="17"/>
  <c r="Y919" i="17"/>
  <c r="AA919" i="17" s="1"/>
  <c r="C918" i="17"/>
  <c r="D918" i="17"/>
  <c r="Y918" i="17"/>
  <c r="AA918" i="17" s="1"/>
  <c r="C917" i="17"/>
  <c r="D917" i="17"/>
  <c r="Y917" i="17"/>
  <c r="AA917" i="17" s="1"/>
  <c r="C916" i="17"/>
  <c r="D916" i="17"/>
  <c r="Y916" i="17"/>
  <c r="AA916" i="17" s="1"/>
  <c r="C915" i="17"/>
  <c r="D915" i="17"/>
  <c r="Y915" i="17"/>
  <c r="AA915" i="17" s="1"/>
  <c r="C914" i="17"/>
  <c r="D914" i="17"/>
  <c r="Y914" i="17"/>
  <c r="AA914" i="17" s="1"/>
  <c r="C913" i="17"/>
  <c r="D913" i="17"/>
  <c r="Y913" i="17"/>
  <c r="AA913" i="17" s="1"/>
  <c r="C912" i="17"/>
  <c r="D912" i="17"/>
  <c r="Y912" i="17"/>
  <c r="AA912" i="17" s="1"/>
  <c r="C911" i="17"/>
  <c r="D911" i="17"/>
  <c r="Y911" i="17"/>
  <c r="AA911" i="17" s="1"/>
  <c r="C910" i="17"/>
  <c r="D910" i="17"/>
  <c r="Y910" i="17"/>
  <c r="AA910" i="17" s="1"/>
  <c r="C909" i="17"/>
  <c r="D909" i="17"/>
  <c r="Y909" i="17"/>
  <c r="AA909" i="17" s="1"/>
  <c r="C908" i="17"/>
  <c r="D908" i="17"/>
  <c r="Y908" i="17"/>
  <c r="AA908" i="17" s="1"/>
  <c r="C907" i="17"/>
  <c r="D907" i="17"/>
  <c r="Y907" i="17"/>
  <c r="AA907" i="17" s="1"/>
  <c r="C906" i="17"/>
  <c r="D906" i="17"/>
  <c r="Y906" i="17"/>
  <c r="AA906" i="17" s="1"/>
  <c r="C905" i="17"/>
  <c r="D905" i="17"/>
  <c r="Y905" i="17"/>
  <c r="AA905" i="17" s="1"/>
  <c r="C904" i="17"/>
  <c r="D904" i="17"/>
  <c r="Y904" i="17"/>
  <c r="AA904" i="17" s="1"/>
  <c r="C903" i="17"/>
  <c r="D903" i="17"/>
  <c r="Y903" i="17"/>
  <c r="AA903" i="17" s="1"/>
  <c r="C902" i="17"/>
  <c r="D902" i="17"/>
  <c r="Y902" i="17"/>
  <c r="AA902" i="17" s="1"/>
  <c r="C901" i="17"/>
  <c r="D901" i="17"/>
  <c r="Y901" i="17"/>
  <c r="AA901" i="17" s="1"/>
  <c r="C900" i="17"/>
  <c r="D900" i="17"/>
  <c r="Y900" i="17"/>
  <c r="AA900" i="17" s="1"/>
  <c r="C899" i="17"/>
  <c r="D899" i="17"/>
  <c r="Y899" i="17"/>
  <c r="AA899" i="17" s="1"/>
  <c r="C898" i="17"/>
  <c r="D898" i="17"/>
  <c r="Y898" i="17"/>
  <c r="AA898" i="17" s="1"/>
  <c r="C897" i="17"/>
  <c r="D897" i="17"/>
  <c r="Y897" i="17"/>
  <c r="AA897" i="17" s="1"/>
  <c r="C896" i="17"/>
  <c r="D896" i="17"/>
  <c r="Y896" i="17"/>
  <c r="AA896" i="17" s="1"/>
  <c r="C895" i="17"/>
  <c r="D895" i="17"/>
  <c r="Y895" i="17"/>
  <c r="AA895" i="17" s="1"/>
  <c r="C894" i="17"/>
  <c r="D894" i="17"/>
  <c r="Y894" i="17"/>
  <c r="AA894" i="17" s="1"/>
  <c r="C893" i="17"/>
  <c r="D893" i="17"/>
  <c r="Y893" i="17"/>
  <c r="AA893" i="17" s="1"/>
  <c r="C892" i="17"/>
  <c r="D892" i="17"/>
  <c r="Y892" i="17"/>
  <c r="AA892" i="17" s="1"/>
  <c r="C891" i="17"/>
  <c r="D891" i="17"/>
  <c r="Y891" i="17"/>
  <c r="AA891" i="17" s="1"/>
  <c r="C890" i="17"/>
  <c r="D890" i="17"/>
  <c r="Y890" i="17"/>
  <c r="AA890" i="17" s="1"/>
  <c r="C889" i="17"/>
  <c r="D889" i="17"/>
  <c r="Y889" i="17"/>
  <c r="AA889" i="17" s="1"/>
  <c r="C888" i="17"/>
  <c r="D888" i="17"/>
  <c r="Y888" i="17"/>
  <c r="AA888" i="17" s="1"/>
  <c r="C887" i="17"/>
  <c r="D887" i="17"/>
  <c r="Y887" i="17"/>
  <c r="AA887" i="17" s="1"/>
  <c r="C886" i="17"/>
  <c r="D886" i="17"/>
  <c r="Y886" i="17"/>
  <c r="AA886" i="17" s="1"/>
  <c r="C885" i="17"/>
  <c r="D885" i="17"/>
  <c r="Y885" i="17"/>
  <c r="AA885" i="17" s="1"/>
  <c r="C884" i="17"/>
  <c r="D884" i="17"/>
  <c r="Y884" i="17"/>
  <c r="AA884" i="17" s="1"/>
  <c r="C883" i="17"/>
  <c r="D883" i="17"/>
  <c r="Y883" i="17"/>
  <c r="AA883" i="17" s="1"/>
  <c r="C882" i="17"/>
  <c r="D882" i="17"/>
  <c r="Y882" i="17"/>
  <c r="AA882" i="17" s="1"/>
  <c r="C881" i="17"/>
  <c r="D881" i="17"/>
  <c r="Y881" i="17"/>
  <c r="AA881" i="17" s="1"/>
  <c r="C880" i="17"/>
  <c r="D880" i="17"/>
  <c r="Y880" i="17"/>
  <c r="AA880" i="17" s="1"/>
  <c r="C879" i="17"/>
  <c r="D879" i="17"/>
  <c r="Y879" i="17"/>
  <c r="AA879" i="17" s="1"/>
  <c r="C878" i="17"/>
  <c r="D878" i="17"/>
  <c r="Y878" i="17"/>
  <c r="AA878" i="17" s="1"/>
  <c r="C877" i="17"/>
  <c r="D877" i="17"/>
  <c r="Y877" i="17"/>
  <c r="AA877" i="17" s="1"/>
  <c r="C876" i="17"/>
  <c r="D876" i="17"/>
  <c r="Y876" i="17"/>
  <c r="AA876" i="17" s="1"/>
  <c r="C875" i="17"/>
  <c r="D875" i="17"/>
  <c r="Y875" i="17"/>
  <c r="AA875" i="17" s="1"/>
  <c r="C874" i="17"/>
  <c r="D874" i="17"/>
  <c r="Y874" i="17"/>
  <c r="AA874" i="17" s="1"/>
  <c r="C873" i="17"/>
  <c r="D873" i="17"/>
  <c r="Y873" i="17"/>
  <c r="AA873" i="17" s="1"/>
  <c r="C872" i="17"/>
  <c r="D872" i="17"/>
  <c r="Y872" i="17"/>
  <c r="AA872" i="17" s="1"/>
  <c r="C871" i="17"/>
  <c r="D871" i="17"/>
  <c r="Y871" i="17"/>
  <c r="AA871" i="17" s="1"/>
  <c r="C870" i="17"/>
  <c r="D870" i="17"/>
  <c r="Y870" i="17"/>
  <c r="AA870" i="17" s="1"/>
  <c r="C869" i="17"/>
  <c r="D869" i="17"/>
  <c r="Y869" i="17"/>
  <c r="AA869" i="17" s="1"/>
  <c r="C868" i="17"/>
  <c r="D868" i="17"/>
  <c r="Y868" i="17"/>
  <c r="AA868" i="17" s="1"/>
  <c r="C867" i="17"/>
  <c r="D867" i="17"/>
  <c r="Y867" i="17"/>
  <c r="AA867" i="17" s="1"/>
  <c r="C866" i="17"/>
  <c r="D866" i="17"/>
  <c r="Y866" i="17"/>
  <c r="AA866" i="17" s="1"/>
  <c r="C865" i="17"/>
  <c r="D865" i="17"/>
  <c r="Y865" i="17"/>
  <c r="AA865" i="17" s="1"/>
  <c r="C864" i="17"/>
  <c r="D864" i="17"/>
  <c r="Y864" i="17"/>
  <c r="AA864" i="17" s="1"/>
  <c r="C863" i="17"/>
  <c r="D863" i="17"/>
  <c r="Y863" i="17"/>
  <c r="AA863" i="17" s="1"/>
  <c r="C862" i="17"/>
  <c r="D862" i="17"/>
  <c r="Y862" i="17"/>
  <c r="AA862" i="17" s="1"/>
  <c r="C861" i="17"/>
  <c r="D861" i="17"/>
  <c r="Y861" i="17"/>
  <c r="AA861" i="17" s="1"/>
  <c r="C860" i="17"/>
  <c r="D860" i="17"/>
  <c r="Y860" i="17"/>
  <c r="AA860" i="17" s="1"/>
  <c r="C859" i="17"/>
  <c r="D859" i="17"/>
  <c r="Y859" i="17"/>
  <c r="AA859" i="17" s="1"/>
  <c r="C858" i="17"/>
  <c r="D858" i="17"/>
  <c r="Y858" i="17"/>
  <c r="AA858" i="17" s="1"/>
  <c r="C857" i="17"/>
  <c r="D857" i="17"/>
  <c r="Y857" i="17"/>
  <c r="AA857" i="17" s="1"/>
  <c r="C856" i="17"/>
  <c r="D856" i="17"/>
  <c r="Y856" i="17"/>
  <c r="AA856" i="17" s="1"/>
  <c r="C855" i="17"/>
  <c r="D855" i="17"/>
  <c r="Y855" i="17"/>
  <c r="AA855" i="17" s="1"/>
  <c r="C854" i="17"/>
  <c r="D854" i="17"/>
  <c r="Y854" i="17"/>
  <c r="AA854" i="17" s="1"/>
  <c r="C853" i="17"/>
  <c r="D853" i="17"/>
  <c r="Y853" i="17"/>
  <c r="AA853" i="17" s="1"/>
  <c r="C852" i="17"/>
  <c r="D852" i="17"/>
  <c r="Y852" i="17"/>
  <c r="AA852" i="17" s="1"/>
  <c r="C851" i="17"/>
  <c r="D851" i="17"/>
  <c r="Y851" i="17"/>
  <c r="AA851" i="17" s="1"/>
  <c r="C850" i="17"/>
  <c r="D850" i="17"/>
  <c r="Y850" i="17"/>
  <c r="AA850" i="17" s="1"/>
  <c r="C849" i="17"/>
  <c r="D849" i="17"/>
  <c r="Y849" i="17"/>
  <c r="AA849" i="17" s="1"/>
  <c r="C848" i="17"/>
  <c r="D848" i="17"/>
  <c r="Y848" i="17"/>
  <c r="AA848" i="17" s="1"/>
  <c r="C847" i="17"/>
  <c r="D847" i="17"/>
  <c r="Y847" i="17"/>
  <c r="AA847" i="17" s="1"/>
  <c r="C846" i="17"/>
  <c r="D846" i="17"/>
  <c r="Y846" i="17"/>
  <c r="AA846" i="17" s="1"/>
  <c r="C845" i="17"/>
  <c r="D845" i="17"/>
  <c r="Y845" i="17"/>
  <c r="AA845" i="17" s="1"/>
  <c r="C844" i="17"/>
  <c r="D844" i="17"/>
  <c r="Y844" i="17"/>
  <c r="AA844" i="17" s="1"/>
  <c r="C843" i="17"/>
  <c r="D843" i="17"/>
  <c r="Y843" i="17"/>
  <c r="AA843" i="17" s="1"/>
  <c r="C842" i="17"/>
  <c r="D842" i="17"/>
  <c r="Y842" i="17"/>
  <c r="AA842" i="17" s="1"/>
  <c r="C841" i="17"/>
  <c r="D841" i="17"/>
  <c r="Y841" i="17"/>
  <c r="AA841" i="17" s="1"/>
  <c r="C840" i="17"/>
  <c r="D840" i="17"/>
  <c r="Y840" i="17"/>
  <c r="AA840" i="17" s="1"/>
  <c r="C839" i="17"/>
  <c r="D839" i="17"/>
  <c r="Y839" i="17"/>
  <c r="AA839" i="17" s="1"/>
  <c r="C838" i="17"/>
  <c r="D838" i="17"/>
  <c r="Y838" i="17"/>
  <c r="AA838" i="17" s="1"/>
  <c r="C837" i="17"/>
  <c r="D837" i="17"/>
  <c r="Y837" i="17"/>
  <c r="AA837" i="17" s="1"/>
  <c r="C836" i="17"/>
  <c r="D836" i="17"/>
  <c r="Y836" i="17"/>
  <c r="AA836" i="17" s="1"/>
  <c r="C835" i="17"/>
  <c r="D835" i="17"/>
  <c r="Y835" i="17"/>
  <c r="AA835" i="17" s="1"/>
  <c r="C834" i="17"/>
  <c r="D834" i="17"/>
  <c r="Y834" i="17"/>
  <c r="AA834" i="17" s="1"/>
  <c r="C833" i="17"/>
  <c r="D833" i="17"/>
  <c r="Y833" i="17"/>
  <c r="AA833" i="17" s="1"/>
  <c r="C832" i="17"/>
  <c r="D832" i="17"/>
  <c r="Y832" i="17"/>
  <c r="AA832" i="17" s="1"/>
  <c r="C831" i="17"/>
  <c r="D831" i="17"/>
  <c r="Y831" i="17"/>
  <c r="AA831" i="17" s="1"/>
  <c r="C830" i="17"/>
  <c r="D830" i="17"/>
  <c r="Y830" i="17"/>
  <c r="AA830" i="17" s="1"/>
  <c r="C829" i="17"/>
  <c r="D829" i="17"/>
  <c r="Y829" i="17"/>
  <c r="AA829" i="17" s="1"/>
  <c r="C828" i="17"/>
  <c r="D828" i="17"/>
  <c r="Y828" i="17"/>
  <c r="AA828" i="17" s="1"/>
  <c r="C827" i="17"/>
  <c r="D827" i="17"/>
  <c r="Y827" i="17"/>
  <c r="AA827" i="17" s="1"/>
  <c r="C826" i="17"/>
  <c r="D826" i="17"/>
  <c r="Y826" i="17"/>
  <c r="AA826" i="17" s="1"/>
  <c r="C711" i="17"/>
  <c r="D711" i="17"/>
  <c r="Y711" i="17"/>
  <c r="AA711" i="17" s="1"/>
  <c r="C710" i="17"/>
  <c r="D710" i="17"/>
  <c r="Y710" i="17"/>
  <c r="AA710" i="17" s="1"/>
  <c r="C709" i="17"/>
  <c r="D709" i="17"/>
  <c r="Y709" i="17"/>
  <c r="AA709" i="17" s="1"/>
  <c r="C708" i="17"/>
  <c r="D708" i="17"/>
  <c r="Y708" i="17"/>
  <c r="AA708" i="17" s="1"/>
  <c r="C707" i="17"/>
  <c r="D707" i="17"/>
  <c r="Y707" i="17"/>
  <c r="AA707" i="17" s="1"/>
  <c r="C706" i="17"/>
  <c r="D706" i="17"/>
  <c r="Y706" i="17"/>
  <c r="AA706" i="17" s="1"/>
  <c r="C705" i="17"/>
  <c r="D705" i="17"/>
  <c r="Y705" i="17"/>
  <c r="AA705" i="17" s="1"/>
  <c r="C704" i="17"/>
  <c r="D704" i="17"/>
  <c r="Y704" i="17"/>
  <c r="AA704" i="17" s="1"/>
  <c r="C703" i="17"/>
  <c r="D703" i="17"/>
  <c r="Y703" i="17"/>
  <c r="AA703" i="17" s="1"/>
  <c r="C702" i="17"/>
  <c r="D702" i="17"/>
  <c r="Y702" i="17"/>
  <c r="AA702" i="17" s="1"/>
  <c r="C701" i="17"/>
  <c r="D701" i="17"/>
  <c r="Y701" i="17"/>
  <c r="AA701" i="17" s="1"/>
  <c r="C700" i="17"/>
  <c r="D700" i="17"/>
  <c r="Y700" i="17"/>
  <c r="AA700" i="17" s="1"/>
  <c r="C699" i="17"/>
  <c r="D699" i="17"/>
  <c r="Y699" i="17"/>
  <c r="AA699" i="17" s="1"/>
  <c r="C698" i="17"/>
  <c r="D698" i="17"/>
  <c r="Y698" i="17"/>
  <c r="AA698" i="17" s="1"/>
  <c r="D697" i="17"/>
  <c r="C697" i="17"/>
  <c r="Y697" i="17"/>
  <c r="AA697" i="17" s="1"/>
  <c r="C696" i="17"/>
  <c r="D696" i="17"/>
  <c r="Y696" i="17"/>
  <c r="AA696" i="17" s="1"/>
  <c r="C695" i="17"/>
  <c r="D695" i="17"/>
  <c r="Y695" i="17"/>
  <c r="AA695" i="17" s="1"/>
  <c r="D694" i="17"/>
  <c r="C694" i="17"/>
  <c r="Y694" i="17"/>
  <c r="AA694" i="17" s="1"/>
  <c r="C693" i="17"/>
  <c r="D693" i="17"/>
  <c r="Y693" i="17"/>
  <c r="AA693" i="17" s="1"/>
  <c r="C692" i="17"/>
  <c r="D692" i="17"/>
  <c r="Y692" i="17"/>
  <c r="AA692" i="17" s="1"/>
  <c r="C691" i="17"/>
  <c r="D691" i="17"/>
  <c r="Y691" i="17"/>
  <c r="AA691" i="17" s="1"/>
  <c r="D690" i="17"/>
  <c r="C690" i="17"/>
  <c r="Y690" i="17"/>
  <c r="AA690" i="17" s="1"/>
  <c r="C689" i="17"/>
  <c r="D689" i="17"/>
  <c r="Y689" i="17"/>
  <c r="AA689" i="17" s="1"/>
  <c r="C688" i="17"/>
  <c r="Y688" i="17"/>
  <c r="AA688" i="17" s="1"/>
  <c r="D688" i="17"/>
  <c r="C684" i="17"/>
  <c r="D684" i="17"/>
  <c r="Y684" i="17"/>
  <c r="AA684" i="17" s="1"/>
  <c r="C683" i="17"/>
  <c r="D683" i="17"/>
  <c r="Y683" i="17"/>
  <c r="AA683" i="17" s="1"/>
  <c r="C682" i="17"/>
  <c r="D682" i="17"/>
  <c r="Y682" i="17"/>
  <c r="AA682" i="17" s="1"/>
  <c r="C681" i="17"/>
  <c r="D681" i="17"/>
  <c r="Y681" i="17"/>
  <c r="AA681" i="17" s="1"/>
  <c r="C680" i="17"/>
  <c r="D680" i="17"/>
  <c r="Y680" i="17"/>
  <c r="AA680" i="17" s="1"/>
  <c r="C679" i="17"/>
  <c r="D679" i="17"/>
  <c r="Y679" i="17"/>
  <c r="AA679" i="17" s="1"/>
  <c r="C678" i="17"/>
  <c r="D678" i="17"/>
  <c r="Y678" i="17"/>
  <c r="AA678" i="17" s="1"/>
  <c r="C677" i="17"/>
  <c r="D677" i="17"/>
  <c r="Y677" i="17"/>
  <c r="AA677" i="17" s="1"/>
  <c r="C676" i="17"/>
  <c r="D676" i="17"/>
  <c r="Y676" i="17"/>
  <c r="AA676" i="17" s="1"/>
  <c r="C675" i="17"/>
  <c r="D675" i="17"/>
  <c r="Y675" i="17"/>
  <c r="AA675" i="17" s="1"/>
  <c r="C674" i="17"/>
  <c r="D674" i="17"/>
  <c r="Y674" i="17"/>
  <c r="AA674" i="17" s="1"/>
  <c r="C673" i="17"/>
  <c r="D673" i="17"/>
  <c r="Y673" i="17"/>
  <c r="AA673" i="17" s="1"/>
  <c r="C672" i="17"/>
  <c r="D672" i="17"/>
  <c r="Y672" i="17"/>
  <c r="AA672" i="17" s="1"/>
  <c r="C671" i="17"/>
  <c r="D671" i="17"/>
  <c r="Y671" i="17"/>
  <c r="AA671" i="17" s="1"/>
  <c r="C670" i="17"/>
  <c r="D670" i="17"/>
  <c r="Y670" i="17"/>
  <c r="AA670" i="17" s="1"/>
  <c r="C669" i="17"/>
  <c r="D669" i="17"/>
  <c r="Y669" i="17"/>
  <c r="AA669" i="17" s="1"/>
  <c r="C668" i="17"/>
  <c r="D668" i="17"/>
  <c r="Y668" i="17"/>
  <c r="AA668" i="17" s="1"/>
  <c r="C667" i="17"/>
  <c r="D667" i="17"/>
  <c r="Y667" i="17"/>
  <c r="AA667" i="17" s="1"/>
  <c r="C665" i="17"/>
  <c r="D665" i="17"/>
  <c r="Y665" i="17"/>
  <c r="AA665" i="17" s="1"/>
  <c r="C664" i="17"/>
  <c r="D664" i="17"/>
  <c r="Y664" i="17"/>
  <c r="AA664" i="17" s="1"/>
  <c r="C663" i="17"/>
  <c r="D663" i="17"/>
  <c r="Y663" i="17"/>
  <c r="AA663" i="17" s="1"/>
  <c r="C662" i="17"/>
  <c r="D662" i="17"/>
  <c r="Y662" i="17"/>
  <c r="AA662" i="17" s="1"/>
  <c r="C661" i="17"/>
  <c r="D661" i="17"/>
  <c r="Y661" i="17"/>
  <c r="AA661" i="17" s="1"/>
  <c r="C660" i="17"/>
  <c r="D660" i="17"/>
  <c r="Y660" i="17"/>
  <c r="AA660" i="17" s="1"/>
  <c r="C659" i="17"/>
  <c r="D659" i="17"/>
  <c r="Y659" i="17"/>
  <c r="AA659" i="17" s="1"/>
  <c r="C658" i="17"/>
  <c r="D658" i="17"/>
  <c r="Y658" i="17"/>
  <c r="AA658" i="17" s="1"/>
  <c r="C657" i="17"/>
  <c r="D657" i="17"/>
  <c r="Y657" i="17"/>
  <c r="AA657" i="17" s="1"/>
  <c r="C656" i="17"/>
  <c r="D656" i="17"/>
  <c r="Y656" i="17"/>
  <c r="AA656" i="17" s="1"/>
  <c r="D655" i="17"/>
  <c r="C655" i="17"/>
  <c r="Y655" i="17"/>
  <c r="AA655" i="17" s="1"/>
  <c r="C654" i="17"/>
  <c r="D654" i="17"/>
  <c r="Y654" i="17"/>
  <c r="AA654" i="17" s="1"/>
  <c r="C653" i="17"/>
  <c r="D653" i="17"/>
  <c r="Y653" i="17"/>
  <c r="AA653" i="17" s="1"/>
  <c r="C652" i="17"/>
  <c r="D652" i="17"/>
  <c r="Y652" i="17"/>
  <c r="AA652" i="17" s="1"/>
  <c r="C651" i="17"/>
  <c r="D651" i="17"/>
  <c r="Y651" i="17"/>
  <c r="AA651" i="17" s="1"/>
  <c r="C650" i="17"/>
  <c r="D650" i="17"/>
  <c r="Y650" i="17"/>
  <c r="AA650" i="17" s="1"/>
  <c r="C649" i="17"/>
  <c r="D649" i="17"/>
  <c r="Y649" i="17"/>
  <c r="AA649" i="17" s="1"/>
  <c r="C648" i="17"/>
  <c r="D648" i="17"/>
  <c r="Y648" i="17"/>
  <c r="AA648" i="17" s="1"/>
  <c r="C647" i="17"/>
  <c r="Y647" i="17"/>
  <c r="AA647" i="17" s="1"/>
  <c r="D647" i="17"/>
  <c r="C646" i="17"/>
  <c r="D646" i="17"/>
  <c r="Y646" i="17"/>
  <c r="AA646" i="17" s="1"/>
  <c r="C644" i="17"/>
  <c r="D644" i="17"/>
  <c r="Y644" i="17"/>
  <c r="AA644" i="17" s="1"/>
  <c r="C643" i="17"/>
  <c r="D643" i="17"/>
  <c r="Y643" i="17"/>
  <c r="AA643" i="17" s="1"/>
  <c r="C642" i="17"/>
  <c r="D642" i="17"/>
  <c r="Y642" i="17"/>
  <c r="AA642" i="17" s="1"/>
  <c r="C641" i="17"/>
  <c r="D641" i="17"/>
  <c r="Y641" i="17"/>
  <c r="AA641" i="17" s="1"/>
  <c r="D640" i="17"/>
  <c r="C640" i="17"/>
  <c r="Y640" i="17"/>
  <c r="AA640" i="17" s="1"/>
  <c r="C639" i="17"/>
  <c r="D639" i="17"/>
  <c r="Y639" i="17"/>
  <c r="AA639" i="17" s="1"/>
  <c r="C638" i="17"/>
  <c r="D638" i="17"/>
  <c r="Y638" i="17"/>
  <c r="AA638" i="17" s="1"/>
  <c r="C637" i="17"/>
  <c r="D637" i="17"/>
  <c r="Y637" i="17"/>
  <c r="AA637" i="17" s="1"/>
  <c r="C636" i="17"/>
  <c r="D636" i="17"/>
  <c r="Y636" i="17"/>
  <c r="AA636" i="17" s="1"/>
  <c r="C635" i="17"/>
  <c r="D635" i="17"/>
  <c r="Y635" i="17"/>
  <c r="AA635" i="17" s="1"/>
  <c r="C634" i="17"/>
  <c r="D634" i="17"/>
  <c r="Y634" i="17"/>
  <c r="AA634" i="17" s="1"/>
  <c r="C633" i="17"/>
  <c r="D633" i="17"/>
  <c r="Y633" i="17"/>
  <c r="AA633" i="17" s="1"/>
  <c r="C632" i="17"/>
  <c r="D632" i="17"/>
  <c r="Y632" i="17"/>
  <c r="AA632" i="17" s="1"/>
  <c r="C631" i="17"/>
  <c r="D631" i="17"/>
  <c r="Y631" i="17"/>
  <c r="AA631" i="17" s="1"/>
  <c r="C630" i="17"/>
  <c r="D630" i="17"/>
  <c r="Y630" i="17"/>
  <c r="AA630" i="17" s="1"/>
  <c r="C629" i="17"/>
  <c r="D629" i="17"/>
  <c r="Y629" i="17"/>
  <c r="AA629" i="17" s="1"/>
  <c r="C628" i="17"/>
  <c r="D628" i="17"/>
  <c r="Y628" i="17"/>
  <c r="AA628" i="17" s="1"/>
  <c r="C627" i="17"/>
  <c r="D627" i="17"/>
  <c r="Y627" i="17"/>
  <c r="AA627" i="17" s="1"/>
  <c r="C626" i="17"/>
  <c r="D626" i="17"/>
  <c r="Y626" i="17"/>
  <c r="AA626" i="17" s="1"/>
  <c r="C625" i="17"/>
  <c r="D625" i="17"/>
  <c r="Y625" i="17"/>
  <c r="AA625" i="17" s="1"/>
  <c r="C624" i="17"/>
  <c r="D624" i="17"/>
  <c r="Y624" i="17"/>
  <c r="AA624" i="17" s="1"/>
  <c r="C623" i="17"/>
  <c r="D623" i="17"/>
  <c r="Y623" i="17"/>
  <c r="AA623" i="17" s="1"/>
  <c r="C622" i="17"/>
  <c r="D622" i="17"/>
  <c r="Y622" i="17"/>
  <c r="AA622" i="17" s="1"/>
  <c r="C621" i="17"/>
  <c r="D621" i="17"/>
  <c r="Y621" i="17"/>
  <c r="AA621" i="17" s="1"/>
  <c r="C620" i="17"/>
  <c r="D620" i="17"/>
  <c r="Y620" i="17"/>
  <c r="AA620" i="17" s="1"/>
  <c r="C619" i="17"/>
  <c r="D619" i="17"/>
  <c r="Y619" i="17"/>
  <c r="AA619" i="17" s="1"/>
  <c r="C618" i="17"/>
  <c r="D618" i="17"/>
  <c r="Y618" i="17"/>
  <c r="AA618" i="17" s="1"/>
  <c r="D225" i="17"/>
  <c r="C225" i="17"/>
  <c r="Y225" i="17"/>
  <c r="AA225" i="17" s="1"/>
  <c r="D224" i="17"/>
  <c r="C224" i="17"/>
  <c r="Y224" i="17"/>
  <c r="AA224" i="17" s="1"/>
  <c r="Y223" i="17"/>
  <c r="AA223" i="17" s="1"/>
  <c r="C223" i="17"/>
  <c r="D223" i="17"/>
  <c r="C221" i="17"/>
  <c r="D221" i="17"/>
  <c r="Y221" i="17"/>
  <c r="AA221" i="17" s="1"/>
  <c r="D216" i="17"/>
  <c r="C216" i="17"/>
  <c r="Y216" i="17"/>
  <c r="AA216" i="17" s="1"/>
  <c r="D215" i="17"/>
  <c r="Y215" i="17"/>
  <c r="AA215" i="17" s="1"/>
  <c r="C215" i="17"/>
  <c r="D214" i="17"/>
  <c r="Y214" i="17"/>
  <c r="AA214" i="17" s="1"/>
  <c r="C214" i="17"/>
  <c r="D211" i="17"/>
  <c r="C211" i="17"/>
  <c r="Y211" i="17"/>
  <c r="AA211" i="17" s="1"/>
  <c r="D208" i="17"/>
  <c r="Y208" i="17"/>
  <c r="AA208" i="17" s="1"/>
  <c r="C208" i="17"/>
  <c r="D205" i="17"/>
  <c r="C205" i="17"/>
  <c r="Y205" i="17"/>
  <c r="AA205" i="17" s="1"/>
  <c r="C203" i="17"/>
  <c r="Y203" i="17"/>
  <c r="AA203" i="17" s="1"/>
  <c r="D203" i="17"/>
  <c r="D202" i="17"/>
  <c r="Y202" i="17"/>
  <c r="AA202" i="17" s="1"/>
  <c r="C202" i="17"/>
  <c r="D201" i="17"/>
  <c r="Y201" i="17"/>
  <c r="AA201" i="17" s="1"/>
  <c r="C201" i="17"/>
  <c r="D200" i="17"/>
  <c r="Y200" i="17"/>
  <c r="AA200" i="17" s="1"/>
  <c r="C200" i="17"/>
  <c r="C198" i="17"/>
  <c r="D198" i="17"/>
  <c r="Y198" i="17"/>
  <c r="AA198" i="17" s="1"/>
  <c r="N6" i="18"/>
  <c r="N8" i="18"/>
  <c r="X1899" i="17"/>
  <c r="L1899" i="17"/>
  <c r="L1897" i="17"/>
  <c r="X1897" i="17"/>
  <c r="X1894" i="17"/>
  <c r="L1894" i="17"/>
  <c r="X1883" i="17"/>
  <c r="L1883" i="17"/>
  <c r="L1881" i="17"/>
  <c r="X1881" i="17"/>
  <c r="X1878" i="17"/>
  <c r="L1878" i="17"/>
  <c r="L1877" i="17"/>
  <c r="X1877" i="17"/>
  <c r="L1753" i="17"/>
  <c r="X1753" i="17"/>
  <c r="L1751" i="17"/>
  <c r="X1751" i="17"/>
  <c r="L1749" i="17"/>
  <c r="X1749" i="17"/>
  <c r="L1748" i="17"/>
  <c r="X1748" i="17"/>
  <c r="X1747" i="17"/>
  <c r="L1747" i="17"/>
  <c r="L1745" i="17"/>
  <c r="X1745" i="17"/>
  <c r="X1737" i="17"/>
  <c r="L1737" i="17"/>
  <c r="X1736" i="17"/>
  <c r="L1736" i="17"/>
  <c r="X1733" i="17"/>
  <c r="L1733" i="17"/>
  <c r="X1732" i="17"/>
  <c r="L1732" i="17"/>
  <c r="L1727" i="17"/>
  <c r="X1727" i="17"/>
  <c r="X1724" i="17"/>
  <c r="L1724" i="17"/>
  <c r="X1719" i="17"/>
  <c r="L1719" i="17"/>
  <c r="L1718" i="17"/>
  <c r="X1718" i="17"/>
  <c r="L1709" i="17"/>
  <c r="X1709" i="17"/>
  <c r="X1707" i="17"/>
  <c r="L1707" i="17"/>
  <c r="L1705" i="17"/>
  <c r="X1705" i="17"/>
  <c r="L1704" i="17"/>
  <c r="X1704" i="17"/>
  <c r="X1702" i="17"/>
  <c r="L1702" i="17"/>
  <c r="X1700" i="17"/>
  <c r="L1700" i="17"/>
  <c r="X1697" i="17"/>
  <c r="L1697" i="17"/>
  <c r="L1696" i="17"/>
  <c r="X1696" i="17"/>
  <c r="L1688" i="17"/>
  <c r="X1688" i="17"/>
  <c r="X1687" i="17"/>
  <c r="L1687" i="17"/>
  <c r="L1686" i="17"/>
  <c r="X1686" i="17"/>
  <c r="L1664" i="17"/>
  <c r="X1664" i="17"/>
  <c r="C825" i="17"/>
  <c r="D825" i="17"/>
  <c r="Y825" i="17"/>
  <c r="AA825" i="17" s="1"/>
  <c r="C824" i="17"/>
  <c r="D824" i="17"/>
  <c r="Y824" i="17"/>
  <c r="AA824" i="17" s="1"/>
  <c r="C823" i="17"/>
  <c r="D823" i="17"/>
  <c r="Y823" i="17"/>
  <c r="AA823" i="17" s="1"/>
  <c r="C822" i="17"/>
  <c r="D822" i="17"/>
  <c r="Y822" i="17"/>
  <c r="AA822" i="17" s="1"/>
  <c r="C821" i="17"/>
  <c r="D821" i="17"/>
  <c r="Y821" i="17"/>
  <c r="AA821" i="17" s="1"/>
  <c r="C820" i="17"/>
  <c r="D820" i="17"/>
  <c r="Y820" i="17"/>
  <c r="AA820" i="17" s="1"/>
  <c r="C819" i="17"/>
  <c r="D819" i="17"/>
  <c r="Y819" i="17"/>
  <c r="AA819" i="17" s="1"/>
  <c r="C818" i="17"/>
  <c r="D818" i="17"/>
  <c r="Y818" i="17"/>
  <c r="AA818" i="17" s="1"/>
  <c r="C817" i="17"/>
  <c r="D817" i="17"/>
  <c r="Y817" i="17"/>
  <c r="AA817" i="17" s="1"/>
  <c r="C816" i="17"/>
  <c r="D816" i="17"/>
  <c r="Y816" i="17"/>
  <c r="AA816" i="17" s="1"/>
  <c r="C815" i="17"/>
  <c r="D815" i="17"/>
  <c r="Y815" i="17"/>
  <c r="AA815" i="17" s="1"/>
  <c r="C814" i="17"/>
  <c r="D814" i="17"/>
  <c r="Y814" i="17"/>
  <c r="AA814" i="17" s="1"/>
  <c r="C813" i="17"/>
  <c r="D813" i="17"/>
  <c r="Y813" i="17"/>
  <c r="AA813" i="17" s="1"/>
  <c r="C812" i="17"/>
  <c r="D812" i="17"/>
  <c r="Y812" i="17"/>
  <c r="AA812" i="17" s="1"/>
  <c r="C811" i="17"/>
  <c r="D811" i="17"/>
  <c r="Y811" i="17"/>
  <c r="AA811" i="17" s="1"/>
  <c r="C810" i="17"/>
  <c r="D810" i="17"/>
  <c r="Y810" i="17"/>
  <c r="AA810" i="17" s="1"/>
  <c r="C809" i="17"/>
  <c r="D809" i="17"/>
  <c r="Y809" i="17"/>
  <c r="AA809" i="17" s="1"/>
  <c r="C808" i="17"/>
  <c r="D808" i="17"/>
  <c r="Y808" i="17"/>
  <c r="AA808" i="17" s="1"/>
  <c r="C807" i="17"/>
  <c r="D807" i="17"/>
  <c r="Y807" i="17"/>
  <c r="AA807" i="17" s="1"/>
  <c r="C806" i="17"/>
  <c r="D806" i="17"/>
  <c r="Y806" i="17"/>
  <c r="AA806" i="17" s="1"/>
  <c r="C805" i="17"/>
  <c r="D805" i="17"/>
  <c r="Y805" i="17"/>
  <c r="AA805" i="17" s="1"/>
  <c r="C804" i="17"/>
  <c r="D804" i="17"/>
  <c r="Y804" i="17"/>
  <c r="AA804" i="17" s="1"/>
  <c r="C803" i="17"/>
  <c r="D803" i="17"/>
  <c r="Y803" i="17"/>
  <c r="AA803" i="17" s="1"/>
  <c r="C802" i="17"/>
  <c r="D802" i="17"/>
  <c r="Y802" i="17"/>
  <c r="AA802" i="17" s="1"/>
  <c r="C801" i="17"/>
  <c r="D801" i="17"/>
  <c r="Y801" i="17"/>
  <c r="AA801" i="17" s="1"/>
  <c r="C800" i="17"/>
  <c r="D800" i="17"/>
  <c r="Y800" i="17"/>
  <c r="AA800" i="17" s="1"/>
  <c r="C799" i="17"/>
  <c r="D799" i="17"/>
  <c r="Y799" i="17"/>
  <c r="AA799" i="17" s="1"/>
  <c r="C798" i="17"/>
  <c r="D798" i="17"/>
  <c r="Y798" i="17"/>
  <c r="AA798" i="17" s="1"/>
  <c r="C797" i="17"/>
  <c r="D797" i="17"/>
  <c r="Y797" i="17"/>
  <c r="AA797" i="17" s="1"/>
  <c r="C796" i="17"/>
  <c r="D796" i="17"/>
  <c r="Y796" i="17"/>
  <c r="AA796" i="17" s="1"/>
  <c r="C795" i="17"/>
  <c r="D795" i="17"/>
  <c r="Y795" i="17"/>
  <c r="AA795" i="17" s="1"/>
  <c r="C794" i="17"/>
  <c r="D794" i="17"/>
  <c r="Y794" i="17"/>
  <c r="AA794" i="17" s="1"/>
  <c r="C793" i="17"/>
  <c r="D793" i="17"/>
  <c r="Y793" i="17"/>
  <c r="AA793" i="17" s="1"/>
  <c r="C792" i="17"/>
  <c r="D792" i="17"/>
  <c r="Y792" i="17"/>
  <c r="AA792" i="17" s="1"/>
  <c r="C791" i="17"/>
  <c r="D791" i="17"/>
  <c r="Y791" i="17"/>
  <c r="AA791" i="17" s="1"/>
  <c r="C790" i="17"/>
  <c r="D790" i="17"/>
  <c r="Y790" i="17"/>
  <c r="AA790" i="17" s="1"/>
  <c r="C789" i="17"/>
  <c r="D789" i="17"/>
  <c r="Y789" i="17"/>
  <c r="AA789" i="17" s="1"/>
  <c r="C788" i="17"/>
  <c r="D788" i="17"/>
  <c r="Y788" i="17"/>
  <c r="AA788" i="17" s="1"/>
  <c r="C787" i="17"/>
  <c r="D787" i="17"/>
  <c r="Y787" i="17"/>
  <c r="AA787" i="17" s="1"/>
  <c r="C786" i="17"/>
  <c r="D786" i="17"/>
  <c r="Y786" i="17"/>
  <c r="AA786" i="17" s="1"/>
  <c r="C785" i="17"/>
  <c r="D785" i="17"/>
  <c r="Y785" i="17"/>
  <c r="AA785" i="17" s="1"/>
  <c r="C784" i="17"/>
  <c r="D784" i="17"/>
  <c r="Y784" i="17"/>
  <c r="AA784" i="17" s="1"/>
  <c r="C783" i="17"/>
  <c r="D783" i="17"/>
  <c r="Y783" i="17"/>
  <c r="AA783" i="17" s="1"/>
  <c r="C782" i="17"/>
  <c r="D782" i="17"/>
  <c r="Y782" i="17"/>
  <c r="AA782" i="17" s="1"/>
  <c r="C781" i="17"/>
  <c r="D781" i="17"/>
  <c r="Y781" i="17"/>
  <c r="AA781" i="17" s="1"/>
  <c r="C780" i="17"/>
  <c r="D780" i="17"/>
  <c r="Y780" i="17"/>
  <c r="AA780" i="17" s="1"/>
  <c r="C779" i="17"/>
  <c r="D779" i="17"/>
  <c r="Y779" i="17"/>
  <c r="AA779" i="17" s="1"/>
  <c r="C778" i="17"/>
  <c r="D778" i="17"/>
  <c r="Y778" i="17"/>
  <c r="AA778" i="17" s="1"/>
  <c r="C777" i="17"/>
  <c r="D777" i="17"/>
  <c r="Y777" i="17"/>
  <c r="AA777" i="17" s="1"/>
  <c r="C776" i="17"/>
  <c r="D776" i="17"/>
  <c r="Y776" i="17"/>
  <c r="AA776" i="17" s="1"/>
  <c r="C775" i="17"/>
  <c r="D775" i="17"/>
  <c r="Y775" i="17"/>
  <c r="AA775" i="17" s="1"/>
  <c r="C774" i="17"/>
  <c r="D774" i="17"/>
  <c r="Y774" i="17"/>
  <c r="AA774" i="17" s="1"/>
  <c r="C773" i="17"/>
  <c r="D773" i="17"/>
  <c r="Y773" i="17"/>
  <c r="AA773" i="17" s="1"/>
  <c r="C772" i="17"/>
  <c r="D772" i="17"/>
  <c r="Y772" i="17"/>
  <c r="AA772" i="17" s="1"/>
  <c r="C771" i="17"/>
  <c r="D771" i="17"/>
  <c r="Y771" i="17"/>
  <c r="AA771" i="17" s="1"/>
  <c r="C770" i="17"/>
  <c r="D770" i="17"/>
  <c r="Y770" i="17"/>
  <c r="AA770" i="17" s="1"/>
  <c r="C769" i="17"/>
  <c r="D769" i="17"/>
  <c r="Y769" i="17"/>
  <c r="AA769" i="17" s="1"/>
  <c r="C768" i="17"/>
  <c r="D768" i="17"/>
  <c r="Y768" i="17"/>
  <c r="AA768" i="17" s="1"/>
  <c r="C767" i="17"/>
  <c r="D767" i="17"/>
  <c r="Y767" i="17"/>
  <c r="AA767" i="17" s="1"/>
  <c r="C766" i="17"/>
  <c r="D766" i="17"/>
  <c r="Y766" i="17"/>
  <c r="AA766" i="17" s="1"/>
  <c r="C765" i="17"/>
  <c r="D765" i="17"/>
  <c r="Y765" i="17"/>
  <c r="AA765" i="17" s="1"/>
  <c r="C764" i="17"/>
  <c r="D764" i="17"/>
  <c r="Y764" i="17"/>
  <c r="AA764" i="17" s="1"/>
  <c r="C763" i="17"/>
  <c r="D763" i="17"/>
  <c r="Y763" i="17"/>
  <c r="AA763" i="17" s="1"/>
  <c r="C762" i="17"/>
  <c r="D762" i="17"/>
  <c r="Y762" i="17"/>
  <c r="AA762" i="17" s="1"/>
  <c r="C761" i="17"/>
  <c r="D761" i="17"/>
  <c r="Y761" i="17"/>
  <c r="AA761" i="17" s="1"/>
  <c r="C760" i="17"/>
  <c r="D760" i="17"/>
  <c r="Y760" i="17"/>
  <c r="AA760" i="17" s="1"/>
  <c r="C759" i="17"/>
  <c r="D759" i="17"/>
  <c r="Y759" i="17"/>
  <c r="AA759" i="17" s="1"/>
  <c r="C758" i="17"/>
  <c r="D758" i="17"/>
  <c r="Y758" i="17"/>
  <c r="AA758" i="17" s="1"/>
  <c r="C757" i="17"/>
  <c r="D757" i="17"/>
  <c r="Y757" i="17"/>
  <c r="AA757" i="17" s="1"/>
  <c r="C756" i="17"/>
  <c r="D756" i="17"/>
  <c r="Y756" i="17"/>
  <c r="AA756" i="17" s="1"/>
  <c r="C755" i="17"/>
  <c r="D755" i="17"/>
  <c r="Y755" i="17"/>
  <c r="AA755" i="17" s="1"/>
  <c r="C754" i="17"/>
  <c r="D754" i="17"/>
  <c r="Y754" i="17"/>
  <c r="AA754" i="17" s="1"/>
  <c r="C753" i="17"/>
  <c r="D753" i="17"/>
  <c r="Y753" i="17"/>
  <c r="AA753" i="17" s="1"/>
  <c r="C752" i="17"/>
  <c r="D752" i="17"/>
  <c r="Y752" i="17"/>
  <c r="AA752" i="17" s="1"/>
  <c r="C751" i="17"/>
  <c r="D751" i="17"/>
  <c r="Y751" i="17"/>
  <c r="AA751" i="17" s="1"/>
  <c r="C750" i="17"/>
  <c r="D750" i="17"/>
  <c r="Y750" i="17"/>
  <c r="AA750" i="17" s="1"/>
  <c r="C749" i="17"/>
  <c r="D749" i="17"/>
  <c r="Y749" i="17"/>
  <c r="AA749" i="17" s="1"/>
  <c r="C748" i="17"/>
  <c r="D748" i="17"/>
  <c r="Y748" i="17"/>
  <c r="AA748" i="17" s="1"/>
  <c r="C747" i="17"/>
  <c r="D747" i="17"/>
  <c r="Y747" i="17"/>
  <c r="AA747" i="17" s="1"/>
  <c r="C746" i="17"/>
  <c r="D746" i="17"/>
  <c r="Y746" i="17"/>
  <c r="AA746" i="17" s="1"/>
  <c r="C745" i="17"/>
  <c r="D745" i="17"/>
  <c r="Y745" i="17"/>
  <c r="AA745" i="17" s="1"/>
  <c r="C744" i="17"/>
  <c r="D744" i="17"/>
  <c r="Y744" i="17"/>
  <c r="AA744" i="17" s="1"/>
  <c r="C743" i="17"/>
  <c r="D743" i="17"/>
  <c r="Y743" i="17"/>
  <c r="AA743" i="17" s="1"/>
  <c r="C742" i="17"/>
  <c r="D742" i="17"/>
  <c r="Y742" i="17"/>
  <c r="AA742" i="17" s="1"/>
  <c r="C741" i="17"/>
  <c r="D741" i="17"/>
  <c r="Y741" i="17"/>
  <c r="AA741" i="17" s="1"/>
  <c r="C740" i="17"/>
  <c r="D740" i="17"/>
  <c r="Y740" i="17"/>
  <c r="AA740" i="17" s="1"/>
  <c r="C739" i="17"/>
  <c r="D739" i="17"/>
  <c r="Y739" i="17"/>
  <c r="AA739" i="17" s="1"/>
  <c r="C738" i="17"/>
  <c r="D738" i="17"/>
  <c r="Y738" i="17"/>
  <c r="AA738" i="17" s="1"/>
  <c r="C737" i="17"/>
  <c r="D737" i="17"/>
  <c r="Y737" i="17"/>
  <c r="AA737" i="17" s="1"/>
  <c r="C736" i="17"/>
  <c r="D736" i="17"/>
  <c r="Y736" i="17"/>
  <c r="AA736" i="17" s="1"/>
  <c r="C735" i="17"/>
  <c r="D735" i="17"/>
  <c r="Y735" i="17"/>
  <c r="AA735" i="17" s="1"/>
  <c r="C734" i="17"/>
  <c r="D734" i="17"/>
  <c r="Y734" i="17"/>
  <c r="AA734" i="17" s="1"/>
  <c r="C733" i="17"/>
  <c r="D733" i="17"/>
  <c r="Y733" i="17"/>
  <c r="AA733" i="17" s="1"/>
  <c r="C732" i="17"/>
  <c r="D732" i="17"/>
  <c r="Y732" i="17"/>
  <c r="AA732" i="17" s="1"/>
  <c r="C731" i="17"/>
  <c r="D731" i="17"/>
  <c r="Y731" i="17"/>
  <c r="AA731" i="17" s="1"/>
  <c r="C730" i="17"/>
  <c r="D730" i="17"/>
  <c r="Y730" i="17"/>
  <c r="AA730" i="17" s="1"/>
  <c r="C729" i="17"/>
  <c r="D729" i="17"/>
  <c r="Y729" i="17"/>
  <c r="AA729" i="17" s="1"/>
  <c r="C728" i="17"/>
  <c r="D728" i="17"/>
  <c r="Y728" i="17"/>
  <c r="AA728" i="17" s="1"/>
  <c r="C727" i="17"/>
  <c r="D727" i="17"/>
  <c r="Y727" i="17"/>
  <c r="AA727" i="17" s="1"/>
  <c r="C726" i="17"/>
  <c r="D726" i="17"/>
  <c r="Y726" i="17"/>
  <c r="AA726" i="17" s="1"/>
  <c r="C725" i="17"/>
  <c r="D725" i="17"/>
  <c r="Y725" i="17"/>
  <c r="AA725" i="17" s="1"/>
  <c r="C724" i="17"/>
  <c r="D724" i="17"/>
  <c r="Y724" i="17"/>
  <c r="AA724" i="17" s="1"/>
  <c r="C723" i="17"/>
  <c r="D723" i="17"/>
  <c r="Y723" i="17"/>
  <c r="AA723" i="17" s="1"/>
  <c r="C722" i="17"/>
  <c r="D722" i="17"/>
  <c r="Y722" i="17"/>
  <c r="AA722" i="17" s="1"/>
  <c r="C721" i="17"/>
  <c r="D721" i="17"/>
  <c r="Y721" i="17"/>
  <c r="AA721" i="17" s="1"/>
  <c r="C720" i="17"/>
  <c r="D720" i="17"/>
  <c r="Y720" i="17"/>
  <c r="AA720" i="17" s="1"/>
  <c r="C719" i="17"/>
  <c r="D719" i="17"/>
  <c r="Y719" i="17"/>
  <c r="AA719" i="17" s="1"/>
  <c r="C718" i="17"/>
  <c r="D718" i="17"/>
  <c r="Y718" i="17"/>
  <c r="AA718" i="17" s="1"/>
  <c r="C717" i="17"/>
  <c r="D717" i="17"/>
  <c r="Y717" i="17"/>
  <c r="AA717" i="17" s="1"/>
  <c r="C716" i="17"/>
  <c r="D716" i="17"/>
  <c r="Y716" i="17"/>
  <c r="AA716" i="17" s="1"/>
  <c r="C715" i="17"/>
  <c r="D715" i="17"/>
  <c r="Y715" i="17"/>
  <c r="AA715" i="17" s="1"/>
  <c r="C714" i="17"/>
  <c r="D714" i="17"/>
  <c r="Y714" i="17"/>
  <c r="AA714" i="17" s="1"/>
  <c r="C713" i="17"/>
  <c r="D713" i="17"/>
  <c r="Y713" i="17"/>
  <c r="AA713" i="17" s="1"/>
  <c r="C712" i="17"/>
  <c r="D712" i="17"/>
  <c r="Y712" i="17"/>
  <c r="AA712" i="17" s="1"/>
  <c r="C687" i="17"/>
  <c r="D687" i="17"/>
  <c r="Y687" i="17"/>
  <c r="AA687" i="17" s="1"/>
  <c r="C686" i="17"/>
  <c r="D686" i="17"/>
  <c r="Y686" i="17"/>
  <c r="AA686" i="17" s="1"/>
  <c r="C685" i="17"/>
  <c r="D685" i="17"/>
  <c r="Y685" i="17"/>
  <c r="AA685" i="17" s="1"/>
  <c r="C666" i="17"/>
  <c r="Y666" i="17"/>
  <c r="AA666" i="17" s="1"/>
  <c r="D666" i="17"/>
  <c r="C645" i="17"/>
  <c r="D645" i="17"/>
  <c r="Y645" i="17"/>
  <c r="AA645" i="17" s="1"/>
  <c r="Y617" i="17"/>
  <c r="AA617" i="17" s="1"/>
  <c r="C617" i="17"/>
  <c r="D617" i="17"/>
  <c r="Y220" i="17"/>
  <c r="AA220" i="17" s="1"/>
  <c r="D220" i="17"/>
  <c r="C220" i="17"/>
  <c r="C616" i="17"/>
  <c r="D616" i="17"/>
  <c r="Y616" i="17"/>
  <c r="AA616" i="17" s="1"/>
  <c r="C615" i="17"/>
  <c r="D615" i="17"/>
  <c r="Y615" i="17"/>
  <c r="AA615" i="17" s="1"/>
  <c r="C614" i="17"/>
  <c r="D614" i="17"/>
  <c r="Y614" i="17"/>
  <c r="AA614" i="17" s="1"/>
  <c r="C613" i="17"/>
  <c r="D613" i="17"/>
  <c r="Y613" i="17"/>
  <c r="AA613" i="17" s="1"/>
  <c r="C612" i="17"/>
  <c r="D612" i="17"/>
  <c r="Y612" i="17"/>
  <c r="AA612" i="17" s="1"/>
  <c r="C611" i="17"/>
  <c r="D611" i="17"/>
  <c r="Y611" i="17"/>
  <c r="AA611" i="17" s="1"/>
  <c r="C610" i="17"/>
  <c r="D610" i="17"/>
  <c r="Y610" i="17"/>
  <c r="AA610" i="17" s="1"/>
  <c r="C609" i="17"/>
  <c r="D609" i="17"/>
  <c r="Y609" i="17"/>
  <c r="AA609" i="17" s="1"/>
  <c r="C608" i="17"/>
  <c r="D608" i="17"/>
  <c r="Y608" i="17"/>
  <c r="AA608" i="17" s="1"/>
  <c r="C607" i="17"/>
  <c r="D607" i="17"/>
  <c r="Y607" i="17"/>
  <c r="AA607" i="17" s="1"/>
  <c r="C606" i="17"/>
  <c r="D606" i="17"/>
  <c r="Y606" i="17"/>
  <c r="AA606" i="17" s="1"/>
  <c r="C605" i="17"/>
  <c r="D605" i="17"/>
  <c r="Y605" i="17"/>
  <c r="AA605" i="17" s="1"/>
  <c r="C604" i="17"/>
  <c r="D604" i="17"/>
  <c r="Y604" i="17"/>
  <c r="AA604" i="17" s="1"/>
  <c r="C603" i="17"/>
  <c r="D603" i="17"/>
  <c r="Y603" i="17"/>
  <c r="AA603" i="17" s="1"/>
  <c r="C602" i="17"/>
  <c r="D602" i="17"/>
  <c r="Y602" i="17"/>
  <c r="AA602" i="17" s="1"/>
  <c r="C601" i="17"/>
  <c r="D601" i="17"/>
  <c r="Y601" i="17"/>
  <c r="AA601" i="17" s="1"/>
  <c r="C600" i="17"/>
  <c r="D600" i="17"/>
  <c r="Y600" i="17"/>
  <c r="AA600" i="17" s="1"/>
  <c r="C599" i="17"/>
  <c r="D599" i="17"/>
  <c r="Y599" i="17"/>
  <c r="AA599" i="17" s="1"/>
  <c r="C598" i="17"/>
  <c r="D598" i="17"/>
  <c r="Y598" i="17"/>
  <c r="AA598" i="17" s="1"/>
  <c r="C597" i="17"/>
  <c r="D597" i="17"/>
  <c r="Y597" i="17"/>
  <c r="AA597" i="17" s="1"/>
  <c r="C596" i="17"/>
  <c r="D596" i="17"/>
  <c r="Y596" i="17"/>
  <c r="AA596" i="17" s="1"/>
  <c r="C595" i="17"/>
  <c r="D595" i="17"/>
  <c r="Y595" i="17"/>
  <c r="AA595" i="17" s="1"/>
  <c r="C594" i="17"/>
  <c r="D594" i="17"/>
  <c r="Y594" i="17"/>
  <c r="AA594" i="17" s="1"/>
  <c r="C593" i="17"/>
  <c r="D593" i="17"/>
  <c r="Y593" i="17"/>
  <c r="AA593" i="17" s="1"/>
  <c r="C592" i="17"/>
  <c r="D592" i="17"/>
  <c r="Y592" i="17"/>
  <c r="AA592" i="17" s="1"/>
  <c r="C591" i="17"/>
  <c r="D591" i="17"/>
  <c r="Y591" i="17"/>
  <c r="AA591" i="17" s="1"/>
  <c r="C590" i="17"/>
  <c r="D590" i="17"/>
  <c r="Y590" i="17"/>
  <c r="AA590" i="17" s="1"/>
  <c r="C589" i="17"/>
  <c r="D589" i="17"/>
  <c r="Y589" i="17"/>
  <c r="AA589" i="17" s="1"/>
  <c r="C588" i="17"/>
  <c r="D588" i="17"/>
  <c r="Y588" i="17"/>
  <c r="AA588" i="17" s="1"/>
  <c r="C587" i="17"/>
  <c r="D587" i="17"/>
  <c r="Y587" i="17"/>
  <c r="AA587" i="17" s="1"/>
  <c r="C586" i="17"/>
  <c r="D586" i="17"/>
  <c r="Y586" i="17"/>
  <c r="AA586" i="17" s="1"/>
  <c r="C585" i="17"/>
  <c r="D585" i="17"/>
  <c r="Y585" i="17"/>
  <c r="AA585" i="17" s="1"/>
  <c r="C584" i="17"/>
  <c r="D584" i="17"/>
  <c r="Y584" i="17"/>
  <c r="AA584" i="17" s="1"/>
  <c r="C583" i="17"/>
  <c r="D583" i="17"/>
  <c r="Y583" i="17"/>
  <c r="AA583" i="17" s="1"/>
  <c r="C582" i="17"/>
  <c r="D582" i="17"/>
  <c r="Y582" i="17"/>
  <c r="AA582" i="17" s="1"/>
  <c r="C581" i="17"/>
  <c r="D581" i="17"/>
  <c r="Y581" i="17"/>
  <c r="AA581" i="17" s="1"/>
  <c r="C580" i="17"/>
  <c r="D580" i="17"/>
  <c r="Y580" i="17"/>
  <c r="AA580" i="17" s="1"/>
  <c r="C579" i="17"/>
  <c r="D579" i="17"/>
  <c r="Y579" i="17"/>
  <c r="AA579" i="17" s="1"/>
  <c r="C578" i="17"/>
  <c r="D578" i="17"/>
  <c r="Y578" i="17"/>
  <c r="AA578" i="17" s="1"/>
  <c r="C577" i="17"/>
  <c r="D577" i="17"/>
  <c r="Y577" i="17"/>
  <c r="AA577" i="17" s="1"/>
  <c r="C576" i="17"/>
  <c r="D576" i="17"/>
  <c r="Y576" i="17"/>
  <c r="AA576" i="17" s="1"/>
  <c r="C575" i="17"/>
  <c r="D575" i="17"/>
  <c r="Y575" i="17"/>
  <c r="AA575" i="17" s="1"/>
  <c r="C574" i="17"/>
  <c r="D574" i="17"/>
  <c r="Y574" i="17"/>
  <c r="AA574" i="17" s="1"/>
  <c r="C573" i="17"/>
  <c r="D573" i="17"/>
  <c r="Y573" i="17"/>
  <c r="AA573" i="17" s="1"/>
  <c r="C572" i="17"/>
  <c r="D572" i="17"/>
  <c r="Y572" i="17"/>
  <c r="AA572" i="17" s="1"/>
  <c r="C571" i="17"/>
  <c r="D571" i="17"/>
  <c r="Y571" i="17"/>
  <c r="AA571" i="17" s="1"/>
  <c r="C570" i="17"/>
  <c r="D570" i="17"/>
  <c r="Y570" i="17"/>
  <c r="AA570" i="17" s="1"/>
  <c r="C569" i="17"/>
  <c r="D569" i="17"/>
  <c r="Y569" i="17"/>
  <c r="AA569" i="17" s="1"/>
  <c r="C568" i="17"/>
  <c r="D568" i="17"/>
  <c r="Y568" i="17"/>
  <c r="AA568" i="17" s="1"/>
  <c r="C567" i="17"/>
  <c r="D567" i="17"/>
  <c r="Y567" i="17"/>
  <c r="AA567" i="17" s="1"/>
  <c r="C566" i="17"/>
  <c r="D566" i="17"/>
  <c r="Y566" i="17"/>
  <c r="AA566" i="17" s="1"/>
  <c r="C565" i="17"/>
  <c r="D565" i="17"/>
  <c r="Y565" i="17"/>
  <c r="AA565" i="17" s="1"/>
  <c r="C564" i="17"/>
  <c r="D564" i="17"/>
  <c r="Y564" i="17"/>
  <c r="AA564" i="17" s="1"/>
  <c r="C563" i="17"/>
  <c r="D563" i="17"/>
  <c r="Y563" i="17"/>
  <c r="AA563" i="17" s="1"/>
  <c r="C562" i="17"/>
  <c r="D562" i="17"/>
  <c r="Y562" i="17"/>
  <c r="AA562" i="17" s="1"/>
  <c r="C561" i="17"/>
  <c r="D561" i="17"/>
  <c r="Y561" i="17"/>
  <c r="AA561" i="17" s="1"/>
  <c r="C560" i="17"/>
  <c r="D560" i="17"/>
  <c r="Y560" i="17"/>
  <c r="AA560" i="17" s="1"/>
  <c r="C559" i="17"/>
  <c r="D559" i="17"/>
  <c r="Y559" i="17"/>
  <c r="AA559" i="17" s="1"/>
  <c r="C558" i="17"/>
  <c r="D558" i="17"/>
  <c r="Y558" i="17"/>
  <c r="AA558" i="17" s="1"/>
  <c r="C557" i="17"/>
  <c r="D557" i="17"/>
  <c r="Y557" i="17"/>
  <c r="AA557" i="17" s="1"/>
  <c r="C556" i="17"/>
  <c r="D556" i="17"/>
  <c r="Y556" i="17"/>
  <c r="AA556" i="17" s="1"/>
  <c r="C555" i="17"/>
  <c r="D555" i="17"/>
  <c r="Y555" i="17"/>
  <c r="AA555" i="17" s="1"/>
  <c r="C554" i="17"/>
  <c r="D554" i="17"/>
  <c r="Y554" i="17"/>
  <c r="AA554" i="17" s="1"/>
  <c r="C553" i="17"/>
  <c r="D553" i="17"/>
  <c r="Y553" i="17"/>
  <c r="AA553" i="17" s="1"/>
  <c r="C552" i="17"/>
  <c r="D552" i="17"/>
  <c r="Y552" i="17"/>
  <c r="AA552" i="17" s="1"/>
  <c r="C551" i="17"/>
  <c r="D551" i="17"/>
  <c r="Y551" i="17"/>
  <c r="AA551" i="17" s="1"/>
  <c r="C550" i="17"/>
  <c r="D550" i="17"/>
  <c r="Y550" i="17"/>
  <c r="AA550" i="17" s="1"/>
  <c r="C549" i="17"/>
  <c r="D549" i="17"/>
  <c r="Y549" i="17"/>
  <c r="AA549" i="17" s="1"/>
  <c r="C548" i="17"/>
  <c r="D548" i="17"/>
  <c r="Y548" i="17"/>
  <c r="AA548" i="17" s="1"/>
  <c r="C547" i="17"/>
  <c r="D547" i="17"/>
  <c r="Y547" i="17"/>
  <c r="AA547" i="17" s="1"/>
  <c r="C546" i="17"/>
  <c r="D546" i="17"/>
  <c r="Y546" i="17"/>
  <c r="AA546" i="17" s="1"/>
  <c r="C545" i="17"/>
  <c r="D545" i="17"/>
  <c r="Y545" i="17"/>
  <c r="AA545" i="17" s="1"/>
  <c r="C544" i="17"/>
  <c r="D544" i="17"/>
  <c r="Y544" i="17"/>
  <c r="AA544" i="17" s="1"/>
  <c r="C543" i="17"/>
  <c r="D543" i="17"/>
  <c r="Y543" i="17"/>
  <c r="AA543" i="17" s="1"/>
  <c r="C542" i="17"/>
  <c r="D542" i="17"/>
  <c r="Y542" i="17"/>
  <c r="AA542" i="17" s="1"/>
  <c r="C541" i="17"/>
  <c r="D541" i="17"/>
  <c r="Y541" i="17"/>
  <c r="AA541" i="17" s="1"/>
  <c r="C540" i="17"/>
  <c r="D540" i="17"/>
  <c r="Y540" i="17"/>
  <c r="AA540" i="17" s="1"/>
  <c r="C539" i="17"/>
  <c r="D539" i="17"/>
  <c r="Y539" i="17"/>
  <c r="AA539" i="17" s="1"/>
  <c r="C538" i="17"/>
  <c r="D538" i="17"/>
  <c r="Y538" i="17"/>
  <c r="AA538" i="17" s="1"/>
  <c r="C537" i="17"/>
  <c r="D537" i="17"/>
  <c r="Y537" i="17"/>
  <c r="AA537" i="17" s="1"/>
  <c r="C536" i="17"/>
  <c r="D536" i="17"/>
  <c r="Y536" i="17"/>
  <c r="AA536" i="17" s="1"/>
  <c r="C535" i="17"/>
  <c r="D535" i="17"/>
  <c r="Y535" i="17"/>
  <c r="AA535" i="17" s="1"/>
  <c r="C534" i="17"/>
  <c r="D534" i="17"/>
  <c r="Y534" i="17"/>
  <c r="AA534" i="17" s="1"/>
  <c r="C533" i="17"/>
  <c r="D533" i="17"/>
  <c r="Y533" i="17"/>
  <c r="AA533" i="17" s="1"/>
  <c r="C532" i="17"/>
  <c r="D532" i="17"/>
  <c r="Y532" i="17"/>
  <c r="AA532" i="17" s="1"/>
  <c r="C531" i="17"/>
  <c r="D531" i="17"/>
  <c r="Y531" i="17"/>
  <c r="AA531" i="17" s="1"/>
  <c r="C530" i="17"/>
  <c r="D530" i="17"/>
  <c r="Y530" i="17"/>
  <c r="AA530" i="17" s="1"/>
  <c r="C529" i="17"/>
  <c r="D529" i="17"/>
  <c r="Y529" i="17"/>
  <c r="AA529" i="17" s="1"/>
  <c r="C528" i="17"/>
  <c r="D528" i="17"/>
  <c r="Y528" i="17"/>
  <c r="AA528" i="17" s="1"/>
  <c r="C527" i="17"/>
  <c r="D527" i="17"/>
  <c r="Y527" i="17"/>
  <c r="AA527" i="17" s="1"/>
  <c r="C526" i="17"/>
  <c r="D526" i="17"/>
  <c r="Y526" i="17"/>
  <c r="AA526" i="17" s="1"/>
  <c r="C525" i="17"/>
  <c r="D525" i="17"/>
  <c r="Y525" i="17"/>
  <c r="AA525" i="17" s="1"/>
  <c r="C524" i="17"/>
  <c r="D524" i="17"/>
  <c r="Y524" i="17"/>
  <c r="AA524" i="17" s="1"/>
  <c r="C523" i="17"/>
  <c r="D523" i="17"/>
  <c r="Y523" i="17"/>
  <c r="AA523" i="17" s="1"/>
  <c r="C522" i="17"/>
  <c r="D522" i="17"/>
  <c r="Y522" i="17"/>
  <c r="AA522" i="17" s="1"/>
  <c r="C521" i="17"/>
  <c r="D521" i="17"/>
  <c r="Y521" i="17"/>
  <c r="AA521" i="17" s="1"/>
  <c r="C520" i="17"/>
  <c r="D520" i="17"/>
  <c r="Y520" i="17"/>
  <c r="AA520" i="17" s="1"/>
  <c r="C519" i="17"/>
  <c r="D519" i="17"/>
  <c r="Y519" i="17"/>
  <c r="AA519" i="17" s="1"/>
  <c r="C518" i="17"/>
  <c r="D518" i="17"/>
  <c r="Y518" i="17"/>
  <c r="AA518" i="17" s="1"/>
  <c r="C517" i="17"/>
  <c r="D517" i="17"/>
  <c r="Y517" i="17"/>
  <c r="AA517" i="17" s="1"/>
  <c r="C516" i="17"/>
  <c r="D516" i="17"/>
  <c r="Y516" i="17"/>
  <c r="AA516" i="17" s="1"/>
  <c r="C515" i="17"/>
  <c r="D515" i="17"/>
  <c r="Y515" i="17"/>
  <c r="AA515" i="17" s="1"/>
  <c r="C514" i="17"/>
  <c r="D514" i="17"/>
  <c r="Y514" i="17"/>
  <c r="AA514" i="17" s="1"/>
  <c r="C513" i="17"/>
  <c r="D513" i="17"/>
  <c r="Y513" i="17"/>
  <c r="AA513" i="17" s="1"/>
  <c r="C512" i="17"/>
  <c r="D512" i="17"/>
  <c r="Y512" i="17"/>
  <c r="AA512" i="17" s="1"/>
  <c r="C511" i="17"/>
  <c r="D511" i="17"/>
  <c r="Y511" i="17"/>
  <c r="AA511" i="17" s="1"/>
  <c r="C510" i="17"/>
  <c r="D510" i="17"/>
  <c r="Y510" i="17"/>
  <c r="AA510" i="17" s="1"/>
  <c r="C509" i="17"/>
  <c r="D509" i="17"/>
  <c r="Y509" i="17"/>
  <c r="AA509" i="17" s="1"/>
  <c r="C508" i="17"/>
  <c r="D508" i="17"/>
  <c r="Y508" i="17"/>
  <c r="AA508" i="17" s="1"/>
  <c r="C507" i="17"/>
  <c r="D507" i="17"/>
  <c r="Y507" i="17"/>
  <c r="AA507" i="17" s="1"/>
  <c r="C506" i="17"/>
  <c r="D506" i="17"/>
  <c r="Y506" i="17"/>
  <c r="AA506" i="17" s="1"/>
  <c r="C505" i="17"/>
  <c r="D505" i="17"/>
  <c r="Y505" i="17"/>
  <c r="AA505" i="17" s="1"/>
  <c r="C504" i="17"/>
  <c r="D504" i="17"/>
  <c r="Y504" i="17"/>
  <c r="AA504" i="17" s="1"/>
  <c r="C503" i="17"/>
  <c r="D503" i="17"/>
  <c r="Y503" i="17"/>
  <c r="AA503" i="17" s="1"/>
  <c r="C502" i="17"/>
  <c r="D502" i="17"/>
  <c r="Y502" i="17"/>
  <c r="AA502" i="17" s="1"/>
  <c r="C501" i="17"/>
  <c r="D501" i="17"/>
  <c r="Y501" i="17"/>
  <c r="AA501" i="17" s="1"/>
  <c r="C500" i="17"/>
  <c r="D500" i="17"/>
  <c r="Y500" i="17"/>
  <c r="AA500" i="17" s="1"/>
  <c r="C499" i="17"/>
  <c r="D499" i="17"/>
  <c r="Y499" i="17"/>
  <c r="AA499" i="17" s="1"/>
  <c r="C498" i="17"/>
  <c r="D498" i="17"/>
  <c r="Y498" i="17"/>
  <c r="AA498" i="17" s="1"/>
  <c r="C497" i="17"/>
  <c r="D497" i="17"/>
  <c r="Y497" i="17"/>
  <c r="AA497" i="17" s="1"/>
  <c r="C496" i="17"/>
  <c r="D496" i="17"/>
  <c r="Y496" i="17"/>
  <c r="AA496" i="17" s="1"/>
  <c r="C495" i="17"/>
  <c r="D495" i="17"/>
  <c r="Y495" i="17"/>
  <c r="AA495" i="17" s="1"/>
  <c r="C494" i="17"/>
  <c r="D494" i="17"/>
  <c r="Y494" i="17"/>
  <c r="AA494" i="17" s="1"/>
  <c r="C493" i="17"/>
  <c r="D493" i="17"/>
  <c r="Y493" i="17"/>
  <c r="AA493" i="17" s="1"/>
  <c r="C492" i="17"/>
  <c r="D492" i="17"/>
  <c r="Y492" i="17"/>
  <c r="AA492" i="17" s="1"/>
  <c r="C491" i="17"/>
  <c r="D491" i="17"/>
  <c r="Y491" i="17"/>
  <c r="AA491" i="17" s="1"/>
  <c r="C490" i="17"/>
  <c r="D490" i="17"/>
  <c r="Y490" i="17"/>
  <c r="AA490" i="17" s="1"/>
  <c r="C489" i="17"/>
  <c r="D489" i="17"/>
  <c r="Y489" i="17"/>
  <c r="AA489" i="17" s="1"/>
  <c r="C488" i="17"/>
  <c r="D488" i="17"/>
  <c r="Y488" i="17"/>
  <c r="AA488" i="17" s="1"/>
  <c r="C487" i="17"/>
  <c r="D487" i="17"/>
  <c r="Y487" i="17"/>
  <c r="AA487" i="17" s="1"/>
  <c r="C486" i="17"/>
  <c r="D486" i="17"/>
  <c r="Y486" i="17"/>
  <c r="AA486" i="17" s="1"/>
  <c r="C485" i="17"/>
  <c r="D485" i="17"/>
  <c r="Y485" i="17"/>
  <c r="AA485" i="17" s="1"/>
  <c r="C484" i="17"/>
  <c r="D484" i="17"/>
  <c r="Y484" i="17"/>
  <c r="AA484" i="17" s="1"/>
  <c r="C483" i="17"/>
  <c r="D483" i="17"/>
  <c r="Y483" i="17"/>
  <c r="AA483" i="17" s="1"/>
  <c r="C482" i="17"/>
  <c r="D482" i="17"/>
  <c r="Y482" i="17"/>
  <c r="AA482" i="17" s="1"/>
  <c r="C481" i="17"/>
  <c r="D481" i="17"/>
  <c r="Y481" i="17"/>
  <c r="AA481" i="17" s="1"/>
  <c r="C480" i="17"/>
  <c r="D480" i="17"/>
  <c r="Y480" i="17"/>
  <c r="AA480" i="17" s="1"/>
  <c r="C479" i="17"/>
  <c r="D479" i="17"/>
  <c r="Y479" i="17"/>
  <c r="AA479" i="17" s="1"/>
  <c r="C478" i="17"/>
  <c r="D478" i="17"/>
  <c r="Y478" i="17"/>
  <c r="AA478" i="17" s="1"/>
  <c r="C477" i="17"/>
  <c r="D477" i="17"/>
  <c r="Y477" i="17"/>
  <c r="AA477" i="17" s="1"/>
  <c r="C476" i="17"/>
  <c r="D476" i="17"/>
  <c r="Y476" i="17"/>
  <c r="AA476" i="17" s="1"/>
  <c r="C475" i="17"/>
  <c r="D475" i="17"/>
  <c r="Y475" i="17"/>
  <c r="AA475" i="17" s="1"/>
  <c r="C474" i="17"/>
  <c r="D474" i="17"/>
  <c r="Y474" i="17"/>
  <c r="AA474" i="17" s="1"/>
  <c r="C473" i="17"/>
  <c r="D473" i="17"/>
  <c r="Y473" i="17"/>
  <c r="AA473" i="17" s="1"/>
  <c r="C472" i="17"/>
  <c r="D472" i="17"/>
  <c r="Y472" i="17"/>
  <c r="AA472" i="17" s="1"/>
  <c r="C471" i="17"/>
  <c r="D471" i="17"/>
  <c r="Y471" i="17"/>
  <c r="AA471" i="17" s="1"/>
  <c r="C470" i="17"/>
  <c r="D470" i="17"/>
  <c r="Y470" i="17"/>
  <c r="AA470" i="17" s="1"/>
  <c r="C469" i="17"/>
  <c r="D469" i="17"/>
  <c r="Y469" i="17"/>
  <c r="AA469" i="17" s="1"/>
  <c r="C468" i="17"/>
  <c r="D468" i="17"/>
  <c r="Y468" i="17"/>
  <c r="AA468" i="17" s="1"/>
  <c r="C467" i="17"/>
  <c r="D467" i="17"/>
  <c r="Y467" i="17"/>
  <c r="AA467" i="17" s="1"/>
  <c r="C466" i="17"/>
  <c r="D466" i="17"/>
  <c r="Y466" i="17"/>
  <c r="AA466" i="17" s="1"/>
  <c r="C465" i="17"/>
  <c r="D465" i="17"/>
  <c r="Y465" i="17"/>
  <c r="AA465" i="17" s="1"/>
  <c r="C464" i="17"/>
  <c r="D464" i="17"/>
  <c r="Y464" i="17"/>
  <c r="AA464" i="17" s="1"/>
  <c r="C463" i="17"/>
  <c r="D463" i="17"/>
  <c r="Y463" i="17"/>
  <c r="AA463" i="17" s="1"/>
  <c r="C462" i="17"/>
  <c r="D462" i="17"/>
  <c r="Y462" i="17"/>
  <c r="AA462" i="17" s="1"/>
  <c r="C461" i="17"/>
  <c r="D461" i="17"/>
  <c r="Y461" i="17"/>
  <c r="AA461" i="17" s="1"/>
  <c r="C460" i="17"/>
  <c r="D460" i="17"/>
  <c r="Y460" i="17"/>
  <c r="AA460" i="17" s="1"/>
  <c r="C459" i="17"/>
  <c r="D459" i="17"/>
  <c r="Y459" i="17"/>
  <c r="AA459" i="17" s="1"/>
  <c r="C458" i="17"/>
  <c r="D458" i="17"/>
  <c r="Y458" i="17"/>
  <c r="AA458" i="17" s="1"/>
  <c r="C457" i="17"/>
  <c r="D457" i="17"/>
  <c r="Y457" i="17"/>
  <c r="AA457" i="17" s="1"/>
  <c r="C456" i="17"/>
  <c r="D456" i="17"/>
  <c r="Y456" i="17"/>
  <c r="AA456" i="17" s="1"/>
  <c r="C455" i="17"/>
  <c r="D455" i="17"/>
  <c r="Y455" i="17"/>
  <c r="AA455" i="17" s="1"/>
  <c r="C454" i="17"/>
  <c r="D454" i="17"/>
  <c r="Y454" i="17"/>
  <c r="AA454" i="17" s="1"/>
  <c r="C453" i="17"/>
  <c r="D453" i="17"/>
  <c r="Y453" i="17"/>
  <c r="AA453" i="17" s="1"/>
  <c r="C452" i="17"/>
  <c r="D452" i="17"/>
  <c r="Y452" i="17"/>
  <c r="AA452" i="17" s="1"/>
  <c r="C451" i="17"/>
  <c r="D451" i="17"/>
  <c r="Y451" i="17"/>
  <c r="AA451" i="17" s="1"/>
  <c r="C450" i="17"/>
  <c r="D450" i="17"/>
  <c r="Y450" i="17"/>
  <c r="AA450" i="17" s="1"/>
  <c r="C449" i="17"/>
  <c r="D449" i="17"/>
  <c r="Y449" i="17"/>
  <c r="AA449" i="17" s="1"/>
  <c r="C448" i="17"/>
  <c r="D448" i="17"/>
  <c r="Y448" i="17"/>
  <c r="AA448" i="17" s="1"/>
  <c r="C447" i="17"/>
  <c r="D447" i="17"/>
  <c r="Y447" i="17"/>
  <c r="AA447" i="17" s="1"/>
  <c r="C446" i="17"/>
  <c r="D446" i="17"/>
  <c r="Y446" i="17"/>
  <c r="AA446" i="17" s="1"/>
  <c r="C445" i="17"/>
  <c r="D445" i="17"/>
  <c r="Y445" i="17"/>
  <c r="AA445" i="17" s="1"/>
  <c r="C444" i="17"/>
  <c r="D444" i="17"/>
  <c r="Y444" i="17"/>
  <c r="AA444" i="17" s="1"/>
  <c r="C443" i="17"/>
  <c r="D443" i="17"/>
  <c r="Y443" i="17"/>
  <c r="AA443" i="17" s="1"/>
  <c r="C442" i="17"/>
  <c r="D442" i="17"/>
  <c r="Y442" i="17"/>
  <c r="AA442" i="17" s="1"/>
  <c r="C441" i="17"/>
  <c r="D441" i="17"/>
  <c r="Y441" i="17"/>
  <c r="AA441" i="17" s="1"/>
  <c r="C440" i="17"/>
  <c r="D440" i="17"/>
  <c r="Y440" i="17"/>
  <c r="AA440" i="17" s="1"/>
  <c r="C439" i="17"/>
  <c r="D439" i="17"/>
  <c r="Y439" i="17"/>
  <c r="AA439" i="17" s="1"/>
  <c r="C438" i="17"/>
  <c r="D438" i="17"/>
  <c r="Y438" i="17"/>
  <c r="AA438" i="17" s="1"/>
  <c r="C437" i="17"/>
  <c r="D437" i="17"/>
  <c r="Y437" i="17"/>
  <c r="AA437" i="17" s="1"/>
  <c r="C436" i="17"/>
  <c r="D436" i="17"/>
  <c r="Y436" i="17"/>
  <c r="AA436" i="17" s="1"/>
  <c r="C435" i="17"/>
  <c r="D435" i="17"/>
  <c r="Y435" i="17"/>
  <c r="AA435" i="17" s="1"/>
  <c r="C434" i="17"/>
  <c r="D434" i="17"/>
  <c r="Y434" i="17"/>
  <c r="AA434" i="17" s="1"/>
  <c r="C433" i="17"/>
  <c r="D433" i="17"/>
  <c r="Y433" i="17"/>
  <c r="AA433" i="17" s="1"/>
  <c r="C432" i="17"/>
  <c r="D432" i="17"/>
  <c r="Y432" i="17"/>
  <c r="AA432" i="17" s="1"/>
  <c r="C431" i="17"/>
  <c r="D431" i="17"/>
  <c r="Y431" i="17"/>
  <c r="AA431" i="17" s="1"/>
  <c r="C430" i="17"/>
  <c r="D430" i="17"/>
  <c r="Y430" i="17"/>
  <c r="AA430" i="17" s="1"/>
  <c r="C429" i="17"/>
  <c r="D429" i="17"/>
  <c r="Y429" i="17"/>
  <c r="AA429" i="17" s="1"/>
  <c r="C428" i="17"/>
  <c r="D428" i="17"/>
  <c r="Y428" i="17"/>
  <c r="AA428" i="17" s="1"/>
  <c r="C427" i="17"/>
  <c r="D427" i="17"/>
  <c r="Y427" i="17"/>
  <c r="AA427" i="17" s="1"/>
  <c r="C426" i="17"/>
  <c r="D426" i="17"/>
  <c r="Y426" i="17"/>
  <c r="AA426" i="17" s="1"/>
  <c r="C425" i="17"/>
  <c r="D425" i="17"/>
  <c r="Y425" i="17"/>
  <c r="AA425" i="17" s="1"/>
  <c r="C424" i="17"/>
  <c r="D424" i="17"/>
  <c r="Y424" i="17"/>
  <c r="AA424" i="17" s="1"/>
  <c r="C423" i="17"/>
  <c r="D423" i="17"/>
  <c r="Y423" i="17"/>
  <c r="AA423" i="17" s="1"/>
  <c r="C422" i="17"/>
  <c r="D422" i="17"/>
  <c r="Y422" i="17"/>
  <c r="AA422" i="17" s="1"/>
  <c r="C421" i="17"/>
  <c r="D421" i="17"/>
  <c r="Y421" i="17"/>
  <c r="AA421" i="17" s="1"/>
  <c r="C420" i="17"/>
  <c r="D420" i="17"/>
  <c r="Y420" i="17"/>
  <c r="AA420" i="17" s="1"/>
  <c r="C419" i="17"/>
  <c r="D419" i="17"/>
  <c r="Y419" i="17"/>
  <c r="AA419" i="17" s="1"/>
  <c r="C418" i="17"/>
  <c r="D418" i="17"/>
  <c r="Y418" i="17"/>
  <c r="AA418" i="17" s="1"/>
  <c r="C417" i="17"/>
  <c r="D417" i="17"/>
  <c r="Y417" i="17"/>
  <c r="AA417" i="17" s="1"/>
  <c r="C416" i="17"/>
  <c r="D416" i="17"/>
  <c r="Y416" i="17"/>
  <c r="AA416" i="17" s="1"/>
  <c r="C415" i="17"/>
  <c r="D415" i="17"/>
  <c r="Y415" i="17"/>
  <c r="AA415" i="17" s="1"/>
  <c r="C414" i="17"/>
  <c r="D414" i="17"/>
  <c r="Y414" i="17"/>
  <c r="AA414" i="17" s="1"/>
  <c r="C413" i="17"/>
  <c r="D413" i="17"/>
  <c r="Y413" i="17"/>
  <c r="AA413" i="17" s="1"/>
  <c r="C412" i="17"/>
  <c r="D412" i="17"/>
  <c r="Y412" i="17"/>
  <c r="AA412" i="17" s="1"/>
  <c r="C411" i="17"/>
  <c r="D411" i="17"/>
  <c r="Y411" i="17"/>
  <c r="AA411" i="17" s="1"/>
  <c r="C410" i="17"/>
  <c r="D410" i="17"/>
  <c r="Y410" i="17"/>
  <c r="AA410" i="17" s="1"/>
  <c r="C409" i="17"/>
  <c r="D409" i="17"/>
  <c r="Y409" i="17"/>
  <c r="AA409" i="17" s="1"/>
  <c r="C408" i="17"/>
  <c r="D408" i="17"/>
  <c r="Y408" i="17"/>
  <c r="AA408" i="17" s="1"/>
  <c r="C239" i="17"/>
  <c r="D239" i="17"/>
  <c r="Y239" i="17"/>
  <c r="AA239" i="17" s="1"/>
  <c r="C238" i="17"/>
  <c r="D238" i="17"/>
  <c r="Y238" i="17"/>
  <c r="AA238" i="17" s="1"/>
  <c r="D236" i="17"/>
  <c r="C236" i="17"/>
  <c r="Y236" i="17"/>
  <c r="AA236" i="17" s="1"/>
  <c r="C234" i="17"/>
  <c r="D234" i="17"/>
  <c r="Y234" i="17"/>
  <c r="AA234" i="17" s="1"/>
  <c r="C231" i="17"/>
  <c r="D231" i="17"/>
  <c r="Y231" i="17"/>
  <c r="AA231" i="17" s="1"/>
  <c r="D230" i="17"/>
  <c r="Y230" i="17"/>
  <c r="AA230" i="17" s="1"/>
  <c r="C230" i="17"/>
  <c r="D228" i="17"/>
  <c r="C228" i="17"/>
  <c r="Y228" i="17"/>
  <c r="AA228" i="17" s="1"/>
  <c r="D227" i="17"/>
  <c r="Y227" i="17"/>
  <c r="AA227" i="17" s="1"/>
  <c r="C227" i="17"/>
  <c r="D226" i="17"/>
  <c r="Y226" i="17"/>
  <c r="AA226" i="17" s="1"/>
  <c r="C226" i="17"/>
  <c r="Y217" i="17"/>
  <c r="AA217" i="17" s="1"/>
  <c r="C217" i="17"/>
  <c r="D217" i="17"/>
  <c r="C213" i="17"/>
  <c r="Y213" i="17"/>
  <c r="AA213" i="17" s="1"/>
  <c r="D213" i="17"/>
  <c r="C212" i="17"/>
  <c r="D212" i="17"/>
  <c r="Y212" i="17"/>
  <c r="AA212" i="17" s="1"/>
  <c r="Y209" i="17"/>
  <c r="AA209" i="17" s="1"/>
  <c r="C209" i="17"/>
  <c r="D209" i="17"/>
  <c r="Y204" i="17"/>
  <c r="AA204" i="17" s="1"/>
  <c r="C204" i="17"/>
  <c r="D204" i="17"/>
  <c r="C407" i="17"/>
  <c r="D407" i="17"/>
  <c r="Y407" i="17"/>
  <c r="AA407" i="17" s="1"/>
  <c r="C406" i="17"/>
  <c r="D406" i="17"/>
  <c r="Y406" i="17"/>
  <c r="AA406" i="17" s="1"/>
  <c r="C405" i="17"/>
  <c r="D405" i="17"/>
  <c r="Y405" i="17"/>
  <c r="AA405" i="17" s="1"/>
  <c r="C404" i="17"/>
  <c r="D404" i="17"/>
  <c r="Y404" i="17"/>
  <c r="AA404" i="17" s="1"/>
  <c r="C403" i="17"/>
  <c r="D403" i="17"/>
  <c r="Y403" i="17"/>
  <c r="AA403" i="17" s="1"/>
  <c r="C402" i="17"/>
  <c r="D402" i="17"/>
  <c r="Y402" i="17"/>
  <c r="AA402" i="17" s="1"/>
  <c r="C401" i="17"/>
  <c r="D401" i="17"/>
  <c r="Y401" i="17"/>
  <c r="AA401" i="17" s="1"/>
  <c r="C400" i="17"/>
  <c r="D400" i="17"/>
  <c r="Y400" i="17"/>
  <c r="AA400" i="17" s="1"/>
  <c r="C399" i="17"/>
  <c r="D399" i="17"/>
  <c r="Y399" i="17"/>
  <c r="AA399" i="17" s="1"/>
  <c r="C398" i="17"/>
  <c r="D398" i="17"/>
  <c r="Y398" i="17"/>
  <c r="AA398" i="17" s="1"/>
  <c r="C397" i="17"/>
  <c r="D397" i="17"/>
  <c r="Y397" i="17"/>
  <c r="AA397" i="17" s="1"/>
  <c r="C396" i="17"/>
  <c r="D396" i="17"/>
  <c r="Y396" i="17"/>
  <c r="AA396" i="17" s="1"/>
  <c r="C395" i="17"/>
  <c r="D395" i="17"/>
  <c r="Y395" i="17"/>
  <c r="AA395" i="17" s="1"/>
  <c r="C394" i="17"/>
  <c r="D394" i="17"/>
  <c r="Y394" i="17"/>
  <c r="AA394" i="17" s="1"/>
  <c r="C393" i="17"/>
  <c r="D393" i="17"/>
  <c r="Y393" i="17"/>
  <c r="AA393" i="17" s="1"/>
  <c r="C392" i="17"/>
  <c r="D392" i="17"/>
  <c r="Y392" i="17"/>
  <c r="AA392" i="17" s="1"/>
  <c r="C391" i="17"/>
  <c r="D391" i="17"/>
  <c r="Y391" i="17"/>
  <c r="AA391" i="17" s="1"/>
  <c r="C390" i="17"/>
  <c r="D390" i="17"/>
  <c r="Y390" i="17"/>
  <c r="AA390" i="17" s="1"/>
  <c r="C389" i="17"/>
  <c r="D389" i="17"/>
  <c r="Y389" i="17"/>
  <c r="AA389" i="17" s="1"/>
  <c r="C388" i="17"/>
  <c r="D388" i="17"/>
  <c r="Y388" i="17"/>
  <c r="AA388" i="17" s="1"/>
  <c r="C387" i="17"/>
  <c r="D387" i="17"/>
  <c r="Y387" i="17"/>
  <c r="AA387" i="17" s="1"/>
  <c r="C386" i="17"/>
  <c r="D386" i="17"/>
  <c r="Y386" i="17"/>
  <c r="AA386" i="17" s="1"/>
  <c r="C385" i="17"/>
  <c r="D385" i="17"/>
  <c r="Y385" i="17"/>
  <c r="AA385" i="17" s="1"/>
  <c r="C384" i="17"/>
  <c r="D384" i="17"/>
  <c r="Y384" i="17"/>
  <c r="AA384" i="17" s="1"/>
  <c r="C383" i="17"/>
  <c r="D383" i="17"/>
  <c r="Y383" i="17"/>
  <c r="AA383" i="17" s="1"/>
  <c r="C382" i="17"/>
  <c r="D382" i="17"/>
  <c r="Y382" i="17"/>
  <c r="AA382" i="17" s="1"/>
  <c r="C381" i="17"/>
  <c r="D381" i="17"/>
  <c r="Y381" i="17"/>
  <c r="AA381" i="17" s="1"/>
  <c r="C380" i="17"/>
  <c r="D380" i="17"/>
  <c r="Y380" i="17"/>
  <c r="AA380" i="17" s="1"/>
  <c r="C379" i="17"/>
  <c r="D379" i="17"/>
  <c r="Y379" i="17"/>
  <c r="AA379" i="17" s="1"/>
  <c r="C378" i="17"/>
  <c r="D378" i="17"/>
  <c r="Y378" i="17"/>
  <c r="AA378" i="17" s="1"/>
  <c r="C377" i="17"/>
  <c r="D377" i="17"/>
  <c r="Y377" i="17"/>
  <c r="AA377" i="17" s="1"/>
  <c r="C376" i="17"/>
  <c r="D376" i="17"/>
  <c r="Y376" i="17"/>
  <c r="AA376" i="17" s="1"/>
  <c r="C375" i="17"/>
  <c r="D375" i="17"/>
  <c r="Y375" i="17"/>
  <c r="AA375" i="17" s="1"/>
  <c r="C374" i="17"/>
  <c r="D374" i="17"/>
  <c r="Y374" i="17"/>
  <c r="AA374" i="17" s="1"/>
  <c r="C373" i="17"/>
  <c r="D373" i="17"/>
  <c r="Y373" i="17"/>
  <c r="AA373" i="17" s="1"/>
  <c r="C372" i="17"/>
  <c r="D372" i="17"/>
  <c r="Y372" i="17"/>
  <c r="AA372" i="17" s="1"/>
  <c r="C371" i="17"/>
  <c r="D371" i="17"/>
  <c r="Y371" i="17"/>
  <c r="AA371" i="17" s="1"/>
  <c r="C370" i="17"/>
  <c r="D370" i="17"/>
  <c r="Y370" i="17"/>
  <c r="AA370" i="17" s="1"/>
  <c r="C369" i="17"/>
  <c r="D369" i="17"/>
  <c r="Y369" i="17"/>
  <c r="AA369" i="17" s="1"/>
  <c r="C368" i="17"/>
  <c r="D368" i="17"/>
  <c r="Y368" i="17"/>
  <c r="AA368" i="17" s="1"/>
  <c r="C367" i="17"/>
  <c r="D367" i="17"/>
  <c r="Y367" i="17"/>
  <c r="AA367" i="17" s="1"/>
  <c r="C366" i="17"/>
  <c r="D366" i="17"/>
  <c r="Y366" i="17"/>
  <c r="AA366" i="17" s="1"/>
  <c r="C365" i="17"/>
  <c r="D365" i="17"/>
  <c r="Y365" i="17"/>
  <c r="AA365" i="17" s="1"/>
  <c r="C364" i="17"/>
  <c r="D364" i="17"/>
  <c r="Y364" i="17"/>
  <c r="AA364" i="17" s="1"/>
  <c r="C363" i="17"/>
  <c r="D363" i="17"/>
  <c r="Y363" i="17"/>
  <c r="AA363" i="17" s="1"/>
  <c r="C362" i="17"/>
  <c r="D362" i="17"/>
  <c r="Y362" i="17"/>
  <c r="AA362" i="17" s="1"/>
  <c r="C361" i="17"/>
  <c r="D361" i="17"/>
  <c r="Y361" i="17"/>
  <c r="AA361" i="17" s="1"/>
  <c r="C360" i="17"/>
  <c r="D360" i="17"/>
  <c r="Y360" i="17"/>
  <c r="AA360" i="17" s="1"/>
  <c r="C359" i="17"/>
  <c r="D359" i="17"/>
  <c r="Y359" i="17"/>
  <c r="AA359" i="17" s="1"/>
  <c r="C358" i="17"/>
  <c r="D358" i="17"/>
  <c r="Y358" i="17"/>
  <c r="AA358" i="17" s="1"/>
  <c r="C357" i="17"/>
  <c r="D357" i="17"/>
  <c r="Y357" i="17"/>
  <c r="AA357" i="17" s="1"/>
  <c r="C356" i="17"/>
  <c r="D356" i="17"/>
  <c r="Y356" i="17"/>
  <c r="AA356" i="17" s="1"/>
  <c r="C355" i="17"/>
  <c r="D355" i="17"/>
  <c r="Y355" i="17"/>
  <c r="AA355" i="17" s="1"/>
  <c r="C354" i="17"/>
  <c r="D354" i="17"/>
  <c r="Y354" i="17"/>
  <c r="AA354" i="17" s="1"/>
  <c r="C353" i="17"/>
  <c r="D353" i="17"/>
  <c r="Y353" i="17"/>
  <c r="AA353" i="17" s="1"/>
  <c r="C352" i="17"/>
  <c r="D352" i="17"/>
  <c r="Y352" i="17"/>
  <c r="AA352" i="17" s="1"/>
  <c r="C351" i="17"/>
  <c r="D351" i="17"/>
  <c r="Y351" i="17"/>
  <c r="AA351" i="17" s="1"/>
  <c r="C350" i="17"/>
  <c r="D350" i="17"/>
  <c r="Y350" i="17"/>
  <c r="AA350" i="17" s="1"/>
  <c r="C349" i="17"/>
  <c r="D349" i="17"/>
  <c r="Y349" i="17"/>
  <c r="AA349" i="17" s="1"/>
  <c r="C348" i="17"/>
  <c r="D348" i="17"/>
  <c r="Y348" i="17"/>
  <c r="AA348" i="17" s="1"/>
  <c r="C347" i="17"/>
  <c r="D347" i="17"/>
  <c r="Y347" i="17"/>
  <c r="AA347" i="17" s="1"/>
  <c r="C346" i="17"/>
  <c r="D346" i="17"/>
  <c r="Y346" i="17"/>
  <c r="AA346" i="17" s="1"/>
  <c r="C345" i="17"/>
  <c r="D345" i="17"/>
  <c r="Y345" i="17"/>
  <c r="AA345" i="17" s="1"/>
  <c r="C344" i="17"/>
  <c r="D344" i="17"/>
  <c r="Y344" i="17"/>
  <c r="AA344" i="17" s="1"/>
  <c r="C343" i="17"/>
  <c r="D343" i="17"/>
  <c r="Y343" i="17"/>
  <c r="AA343" i="17" s="1"/>
  <c r="C342" i="17"/>
  <c r="D342" i="17"/>
  <c r="Y342" i="17"/>
  <c r="AA342" i="17" s="1"/>
  <c r="C341" i="17"/>
  <c r="D341" i="17"/>
  <c r="Y341" i="17"/>
  <c r="AA341" i="17" s="1"/>
  <c r="C340" i="17"/>
  <c r="D340" i="17"/>
  <c r="Y340" i="17"/>
  <c r="AA340" i="17" s="1"/>
  <c r="C339" i="17"/>
  <c r="D339" i="17"/>
  <c r="Y339" i="17"/>
  <c r="AA339" i="17" s="1"/>
  <c r="C338" i="17"/>
  <c r="D338" i="17"/>
  <c r="Y338" i="17"/>
  <c r="AA338" i="17" s="1"/>
  <c r="C337" i="17"/>
  <c r="D337" i="17"/>
  <c r="Y337" i="17"/>
  <c r="AA337" i="17" s="1"/>
  <c r="C336" i="17"/>
  <c r="D336" i="17"/>
  <c r="Y336" i="17"/>
  <c r="AA336" i="17" s="1"/>
  <c r="C335" i="17"/>
  <c r="D335" i="17"/>
  <c r="Y335" i="17"/>
  <c r="AA335" i="17" s="1"/>
  <c r="C334" i="17"/>
  <c r="D334" i="17"/>
  <c r="Y334" i="17"/>
  <c r="AA334" i="17" s="1"/>
  <c r="C333" i="17"/>
  <c r="D333" i="17"/>
  <c r="Y333" i="17"/>
  <c r="AA333" i="17" s="1"/>
  <c r="C332" i="17"/>
  <c r="D332" i="17"/>
  <c r="Y332" i="17"/>
  <c r="AA332" i="17" s="1"/>
  <c r="C331" i="17"/>
  <c r="D331" i="17"/>
  <c r="Y331" i="17"/>
  <c r="AA331" i="17" s="1"/>
  <c r="C330" i="17"/>
  <c r="D330" i="17"/>
  <c r="Y330" i="17"/>
  <c r="AA330" i="17" s="1"/>
  <c r="C329" i="17"/>
  <c r="D329" i="17"/>
  <c r="Y329" i="17"/>
  <c r="AA329" i="17" s="1"/>
  <c r="C328" i="17"/>
  <c r="D328" i="17"/>
  <c r="Y328" i="17"/>
  <c r="AA328" i="17" s="1"/>
  <c r="C327" i="17"/>
  <c r="D327" i="17"/>
  <c r="Y327" i="17"/>
  <c r="AA327" i="17" s="1"/>
  <c r="C326" i="17"/>
  <c r="D326" i="17"/>
  <c r="Y326" i="17"/>
  <c r="AA326" i="17" s="1"/>
  <c r="C325" i="17"/>
  <c r="D325" i="17"/>
  <c r="Y325" i="17"/>
  <c r="AA325" i="17" s="1"/>
  <c r="C324" i="17"/>
  <c r="D324" i="17"/>
  <c r="Y324" i="17"/>
  <c r="AA324" i="17" s="1"/>
  <c r="C323" i="17"/>
  <c r="D323" i="17"/>
  <c r="Y323" i="17"/>
  <c r="AA323" i="17" s="1"/>
  <c r="C322" i="17"/>
  <c r="D322" i="17"/>
  <c r="Y322" i="17"/>
  <c r="AA322" i="17" s="1"/>
  <c r="C321" i="17"/>
  <c r="D321" i="17"/>
  <c r="Y321" i="17"/>
  <c r="AA321" i="17" s="1"/>
  <c r="C320" i="17"/>
  <c r="D320" i="17"/>
  <c r="Y320" i="17"/>
  <c r="AA320" i="17" s="1"/>
  <c r="C319" i="17"/>
  <c r="D319" i="17"/>
  <c r="Y319" i="17"/>
  <c r="AA319" i="17" s="1"/>
  <c r="C318" i="17"/>
  <c r="D318" i="17"/>
  <c r="Y318" i="17"/>
  <c r="AA318" i="17" s="1"/>
  <c r="C317" i="17"/>
  <c r="D317" i="17"/>
  <c r="Y317" i="17"/>
  <c r="AA317" i="17" s="1"/>
  <c r="C316" i="17"/>
  <c r="D316" i="17"/>
  <c r="Y316" i="17"/>
  <c r="AA316" i="17" s="1"/>
  <c r="C315" i="17"/>
  <c r="D315" i="17"/>
  <c r="Y315" i="17"/>
  <c r="AA315" i="17" s="1"/>
  <c r="C314" i="17"/>
  <c r="D314" i="17"/>
  <c r="Y314" i="17"/>
  <c r="AA314" i="17" s="1"/>
  <c r="C313" i="17"/>
  <c r="D313" i="17"/>
  <c r="Y313" i="17"/>
  <c r="AA313" i="17" s="1"/>
  <c r="C312" i="17"/>
  <c r="D312" i="17"/>
  <c r="Y312" i="17"/>
  <c r="AA312" i="17" s="1"/>
  <c r="C311" i="17"/>
  <c r="D311" i="17"/>
  <c r="Y311" i="17"/>
  <c r="AA311" i="17" s="1"/>
  <c r="C310" i="17"/>
  <c r="D310" i="17"/>
  <c r="Y310" i="17"/>
  <c r="AA310" i="17" s="1"/>
  <c r="C309" i="17"/>
  <c r="D309" i="17"/>
  <c r="Y309" i="17"/>
  <c r="AA309" i="17" s="1"/>
  <c r="C308" i="17"/>
  <c r="D308" i="17"/>
  <c r="Y308" i="17"/>
  <c r="AA308" i="17" s="1"/>
  <c r="C307" i="17"/>
  <c r="D307" i="17"/>
  <c r="Y307" i="17"/>
  <c r="AA307" i="17" s="1"/>
  <c r="C306" i="17"/>
  <c r="D306" i="17"/>
  <c r="Y306" i="17"/>
  <c r="AA306" i="17" s="1"/>
  <c r="C305" i="17"/>
  <c r="D305" i="17"/>
  <c r="Y305" i="17"/>
  <c r="AA305" i="17" s="1"/>
  <c r="C304" i="17"/>
  <c r="D304" i="17"/>
  <c r="Y304" i="17"/>
  <c r="AA304" i="17" s="1"/>
  <c r="C303" i="17"/>
  <c r="D303" i="17"/>
  <c r="Y303" i="17"/>
  <c r="AA303" i="17" s="1"/>
  <c r="C302" i="17"/>
  <c r="D302" i="17"/>
  <c r="Y302" i="17"/>
  <c r="AA302" i="17" s="1"/>
  <c r="C301" i="17"/>
  <c r="D301" i="17"/>
  <c r="Y301" i="17"/>
  <c r="AA301" i="17" s="1"/>
  <c r="C300" i="17"/>
  <c r="D300" i="17"/>
  <c r="Y300" i="17"/>
  <c r="AA300" i="17" s="1"/>
  <c r="C299" i="17"/>
  <c r="D299" i="17"/>
  <c r="Y299" i="17"/>
  <c r="AA299" i="17" s="1"/>
  <c r="C298" i="17"/>
  <c r="D298" i="17"/>
  <c r="Y298" i="17"/>
  <c r="AA298" i="17" s="1"/>
  <c r="C297" i="17"/>
  <c r="D297" i="17"/>
  <c r="Y297" i="17"/>
  <c r="AA297" i="17" s="1"/>
  <c r="C296" i="17"/>
  <c r="D296" i="17"/>
  <c r="Y296" i="17"/>
  <c r="AA296" i="17" s="1"/>
  <c r="C295" i="17"/>
  <c r="D295" i="17"/>
  <c r="Y295" i="17"/>
  <c r="AA295" i="17" s="1"/>
  <c r="C294" i="17"/>
  <c r="D294" i="17"/>
  <c r="Y294" i="17"/>
  <c r="AA294" i="17" s="1"/>
  <c r="C293" i="17"/>
  <c r="D293" i="17"/>
  <c r="Y293" i="17"/>
  <c r="AA293" i="17" s="1"/>
  <c r="C292" i="17"/>
  <c r="D292" i="17"/>
  <c r="Y292" i="17"/>
  <c r="AA292" i="17" s="1"/>
  <c r="C291" i="17"/>
  <c r="D291" i="17"/>
  <c r="Y291" i="17"/>
  <c r="AA291" i="17" s="1"/>
  <c r="C290" i="17"/>
  <c r="D290" i="17"/>
  <c r="Y290" i="17"/>
  <c r="AA290" i="17" s="1"/>
  <c r="C289" i="17"/>
  <c r="D289" i="17"/>
  <c r="Y289" i="17"/>
  <c r="AA289" i="17" s="1"/>
  <c r="C288" i="17"/>
  <c r="D288" i="17"/>
  <c r="Y288" i="17"/>
  <c r="AA288" i="17" s="1"/>
  <c r="C287" i="17"/>
  <c r="D287" i="17"/>
  <c r="Y287" i="17"/>
  <c r="AA287" i="17" s="1"/>
  <c r="C286" i="17"/>
  <c r="D286" i="17"/>
  <c r="Y286" i="17"/>
  <c r="AA286" i="17" s="1"/>
  <c r="C285" i="17"/>
  <c r="D285" i="17"/>
  <c r="Y285" i="17"/>
  <c r="AA285" i="17" s="1"/>
  <c r="C284" i="17"/>
  <c r="D284" i="17"/>
  <c r="Y284" i="17"/>
  <c r="AA284" i="17" s="1"/>
  <c r="C283" i="17"/>
  <c r="D283" i="17"/>
  <c r="Y283" i="17"/>
  <c r="AA283" i="17" s="1"/>
  <c r="C282" i="17"/>
  <c r="D282" i="17"/>
  <c r="Y282" i="17"/>
  <c r="AA282" i="17" s="1"/>
  <c r="C281" i="17"/>
  <c r="D281" i="17"/>
  <c r="Y281" i="17"/>
  <c r="AA281" i="17" s="1"/>
  <c r="C280" i="17"/>
  <c r="D280" i="17"/>
  <c r="Y280" i="17"/>
  <c r="AA280" i="17" s="1"/>
  <c r="C279" i="17"/>
  <c r="D279" i="17"/>
  <c r="Y279" i="17"/>
  <c r="AA279" i="17" s="1"/>
  <c r="C278" i="17"/>
  <c r="D278" i="17"/>
  <c r="Y278" i="17"/>
  <c r="AA278" i="17" s="1"/>
  <c r="C277" i="17"/>
  <c r="D277" i="17"/>
  <c r="Y277" i="17"/>
  <c r="AA277" i="17" s="1"/>
  <c r="C276" i="17"/>
  <c r="D276" i="17"/>
  <c r="Y276" i="17"/>
  <c r="AA276" i="17" s="1"/>
  <c r="C275" i="17"/>
  <c r="D275" i="17"/>
  <c r="Y275" i="17"/>
  <c r="AA275" i="17" s="1"/>
  <c r="C274" i="17"/>
  <c r="D274" i="17"/>
  <c r="Y274" i="17"/>
  <c r="AA274" i="17" s="1"/>
  <c r="C273" i="17"/>
  <c r="D273" i="17"/>
  <c r="Y273" i="17"/>
  <c r="AA273" i="17" s="1"/>
  <c r="C272" i="17"/>
  <c r="D272" i="17"/>
  <c r="Y272" i="17"/>
  <c r="AA272" i="17" s="1"/>
  <c r="C271" i="17"/>
  <c r="D271" i="17"/>
  <c r="Y271" i="17"/>
  <c r="AA271" i="17" s="1"/>
  <c r="C270" i="17"/>
  <c r="D270" i="17"/>
  <c r="Y270" i="17"/>
  <c r="AA270" i="17" s="1"/>
  <c r="C269" i="17"/>
  <c r="D269" i="17"/>
  <c r="Y269" i="17"/>
  <c r="AA269" i="17" s="1"/>
  <c r="C268" i="17"/>
  <c r="D268" i="17"/>
  <c r="Y268" i="17"/>
  <c r="AA268" i="17" s="1"/>
  <c r="C267" i="17"/>
  <c r="D267" i="17"/>
  <c r="Y267" i="17"/>
  <c r="AA267" i="17" s="1"/>
  <c r="C266" i="17"/>
  <c r="D266" i="17"/>
  <c r="Y266" i="17"/>
  <c r="AA266" i="17" s="1"/>
  <c r="C265" i="17"/>
  <c r="D265" i="17"/>
  <c r="Y265" i="17"/>
  <c r="AA265" i="17" s="1"/>
  <c r="C264" i="17"/>
  <c r="D264" i="17"/>
  <c r="Y264" i="17"/>
  <c r="AA264" i="17" s="1"/>
  <c r="C263" i="17"/>
  <c r="D263" i="17"/>
  <c r="Y263" i="17"/>
  <c r="AA263" i="17" s="1"/>
  <c r="C262" i="17"/>
  <c r="D262" i="17"/>
  <c r="Y262" i="17"/>
  <c r="AA262" i="17" s="1"/>
  <c r="C261" i="17"/>
  <c r="D261" i="17"/>
  <c r="Y261" i="17"/>
  <c r="AA261" i="17" s="1"/>
  <c r="C260" i="17"/>
  <c r="D260" i="17"/>
  <c r="Y260" i="17"/>
  <c r="AA260" i="17" s="1"/>
  <c r="C259" i="17"/>
  <c r="D259" i="17"/>
  <c r="Y259" i="17"/>
  <c r="AA259" i="17" s="1"/>
  <c r="C258" i="17"/>
  <c r="D258" i="17"/>
  <c r="Y258" i="17"/>
  <c r="AA258" i="17" s="1"/>
  <c r="C257" i="17"/>
  <c r="D257" i="17"/>
  <c r="Y257" i="17"/>
  <c r="AA257" i="17" s="1"/>
  <c r="C256" i="17"/>
  <c r="D256" i="17"/>
  <c r="Y256" i="17"/>
  <c r="AA256" i="17" s="1"/>
  <c r="C255" i="17"/>
  <c r="D255" i="17"/>
  <c r="Y255" i="17"/>
  <c r="AA255" i="17" s="1"/>
  <c r="C254" i="17"/>
  <c r="D254" i="17"/>
  <c r="Y254" i="17"/>
  <c r="AA254" i="17" s="1"/>
  <c r="C253" i="17"/>
  <c r="D253" i="17"/>
  <c r="Y253" i="17"/>
  <c r="AA253" i="17" s="1"/>
  <c r="C252" i="17"/>
  <c r="D252" i="17"/>
  <c r="Y252" i="17"/>
  <c r="AA252" i="17" s="1"/>
  <c r="C251" i="17"/>
  <c r="D251" i="17"/>
  <c r="Y251" i="17"/>
  <c r="AA251" i="17" s="1"/>
  <c r="C250" i="17"/>
  <c r="D250" i="17"/>
  <c r="Y250" i="17"/>
  <c r="AA250" i="17" s="1"/>
  <c r="C249" i="17"/>
  <c r="D249" i="17"/>
  <c r="Y249" i="17"/>
  <c r="AA249" i="17" s="1"/>
  <c r="C248" i="17"/>
  <c r="D248" i="17"/>
  <c r="Y248" i="17"/>
  <c r="AA248" i="17" s="1"/>
  <c r="C247" i="17"/>
  <c r="D247" i="17"/>
  <c r="Y247" i="17"/>
  <c r="AA247" i="17" s="1"/>
  <c r="C246" i="17"/>
  <c r="D246" i="17"/>
  <c r="Y246" i="17"/>
  <c r="AA246" i="17" s="1"/>
  <c r="C245" i="17"/>
  <c r="D245" i="17"/>
  <c r="Y245" i="17"/>
  <c r="AA245" i="17" s="1"/>
  <c r="C244" i="17"/>
  <c r="D244" i="17"/>
  <c r="Y244" i="17"/>
  <c r="AA244" i="17" s="1"/>
  <c r="C243" i="17"/>
  <c r="D243" i="17"/>
  <c r="Y243" i="17"/>
  <c r="AA243" i="17" s="1"/>
  <c r="C242" i="17"/>
  <c r="D242" i="17"/>
  <c r="Y242" i="17"/>
  <c r="AA242" i="17" s="1"/>
  <c r="D241" i="17"/>
  <c r="Y241" i="17"/>
  <c r="AA241" i="17" s="1"/>
  <c r="C241" i="17"/>
  <c r="D240" i="17"/>
  <c r="Y240" i="17"/>
  <c r="AA240" i="17" s="1"/>
  <c r="C240" i="17"/>
  <c r="D237" i="17"/>
  <c r="C237" i="17"/>
  <c r="Y237" i="17"/>
  <c r="AA237" i="17" s="1"/>
  <c r="C235" i="17"/>
  <c r="D235" i="17"/>
  <c r="Y235" i="17"/>
  <c r="AA235" i="17" s="1"/>
  <c r="D233" i="17"/>
  <c r="C233" i="17"/>
  <c r="Y233" i="17"/>
  <c r="AA233" i="17" s="1"/>
  <c r="C232" i="17"/>
  <c r="Y232" i="17"/>
  <c r="AA232" i="17" s="1"/>
  <c r="D232" i="17"/>
  <c r="C229" i="17"/>
  <c r="D229" i="17"/>
  <c r="Y229" i="17"/>
  <c r="AA229" i="17" s="1"/>
  <c r="D222" i="17"/>
  <c r="Y222" i="17"/>
  <c r="AA222" i="17" s="1"/>
  <c r="C222" i="17"/>
  <c r="D219" i="17"/>
  <c r="Y219" i="17"/>
  <c r="AA219" i="17" s="1"/>
  <c r="C219" i="17"/>
  <c r="D218" i="17"/>
  <c r="Y218" i="17"/>
  <c r="AA218" i="17" s="1"/>
  <c r="C218" i="17"/>
  <c r="C210" i="17"/>
  <c r="D210" i="17"/>
  <c r="Y210" i="17"/>
  <c r="AA210" i="17" s="1"/>
  <c r="Y207" i="17"/>
  <c r="AA207" i="17" s="1"/>
  <c r="D207" i="17"/>
  <c r="C207" i="17"/>
  <c r="D206" i="17"/>
  <c r="C206" i="17"/>
  <c r="Y206" i="17"/>
  <c r="AA206" i="17" s="1"/>
  <c r="C199" i="17"/>
  <c r="D199" i="17"/>
  <c r="Y199" i="17"/>
  <c r="AA199" i="17" s="1"/>
  <c r="L1874" i="17"/>
  <c r="X1874" i="17"/>
  <c r="L1873" i="17"/>
  <c r="X1873" i="17"/>
  <c r="X1744" i="17"/>
  <c r="L1744" i="17"/>
  <c r="X1743" i="17"/>
  <c r="L1743" i="17"/>
  <c r="X1742" i="17"/>
  <c r="L1742" i="17"/>
  <c r="L1715" i="17"/>
  <c r="X1715" i="17"/>
  <c r="X1714" i="17"/>
  <c r="L1714" i="17"/>
  <c r="X1691" i="17"/>
  <c r="L1691" i="17"/>
  <c r="C197" i="17"/>
  <c r="D197" i="17"/>
  <c r="Y197" i="17"/>
  <c r="AA197" i="17" s="1"/>
  <c r="C196" i="17"/>
  <c r="D196" i="17"/>
  <c r="Y196" i="17"/>
  <c r="AA196" i="17" s="1"/>
  <c r="C195" i="17"/>
  <c r="D195" i="17"/>
  <c r="Y195" i="17"/>
  <c r="AA195" i="17" s="1"/>
  <c r="C194" i="17"/>
  <c r="D194" i="17"/>
  <c r="Y194" i="17"/>
  <c r="AA194" i="17" s="1"/>
  <c r="C193" i="17"/>
  <c r="D193" i="17"/>
  <c r="Y193" i="17"/>
  <c r="AA193" i="17" s="1"/>
  <c r="C192" i="17"/>
  <c r="D192" i="17"/>
  <c r="Y192" i="17"/>
  <c r="AA192" i="17" s="1"/>
  <c r="C191" i="17"/>
  <c r="D191" i="17"/>
  <c r="Y191" i="17"/>
  <c r="AA191" i="17" s="1"/>
  <c r="C190" i="17"/>
  <c r="D190" i="17"/>
  <c r="Y190" i="17"/>
  <c r="AA190" i="17" s="1"/>
  <c r="C189" i="17"/>
  <c r="D189" i="17"/>
  <c r="Y189" i="17"/>
  <c r="AA189" i="17" s="1"/>
  <c r="C188" i="17"/>
  <c r="D188" i="17"/>
  <c r="Y188" i="17"/>
  <c r="AA188" i="17" s="1"/>
  <c r="C187" i="17"/>
  <c r="D187" i="17"/>
  <c r="Y187" i="17"/>
  <c r="AA187" i="17" s="1"/>
  <c r="C186" i="17"/>
  <c r="D186" i="17"/>
  <c r="Y186" i="17"/>
  <c r="AA186" i="17" s="1"/>
  <c r="C185" i="17"/>
  <c r="D185" i="17"/>
  <c r="Y185" i="17"/>
  <c r="AA185" i="17" s="1"/>
  <c r="C184" i="17"/>
  <c r="D184" i="17"/>
  <c r="Y184" i="17"/>
  <c r="AA184" i="17" s="1"/>
  <c r="C183" i="17"/>
  <c r="D183" i="17"/>
  <c r="Y183" i="17"/>
  <c r="AA183" i="17" s="1"/>
  <c r="C182" i="17"/>
  <c r="D182" i="17"/>
  <c r="Y182" i="17"/>
  <c r="AA182" i="17" s="1"/>
  <c r="C181" i="17"/>
  <c r="D181" i="17"/>
  <c r="Y181" i="17"/>
  <c r="AA181" i="17" s="1"/>
  <c r="C180" i="17"/>
  <c r="D180" i="17"/>
  <c r="Y180" i="17"/>
  <c r="AA180" i="17" s="1"/>
  <c r="C179" i="17"/>
  <c r="D179" i="17"/>
  <c r="Y179" i="17"/>
  <c r="AA179" i="17" s="1"/>
  <c r="C178" i="17"/>
  <c r="D178" i="17"/>
  <c r="Y178" i="17"/>
  <c r="AA178" i="17" s="1"/>
  <c r="C177" i="17"/>
  <c r="D177" i="17"/>
  <c r="Y177" i="17"/>
  <c r="AA177" i="17" s="1"/>
  <c r="C176" i="17"/>
  <c r="D176" i="17"/>
  <c r="Y176" i="17"/>
  <c r="AA176" i="17" s="1"/>
  <c r="C175" i="17"/>
  <c r="D175" i="17"/>
  <c r="Y175" i="17"/>
  <c r="AA175" i="17" s="1"/>
  <c r="C174" i="17"/>
  <c r="D174" i="17"/>
  <c r="Y174" i="17"/>
  <c r="AA174" i="17" s="1"/>
  <c r="C173" i="17"/>
  <c r="D173" i="17"/>
  <c r="Y173" i="17"/>
  <c r="C172" i="17"/>
  <c r="D172" i="17"/>
  <c r="Y172" i="17"/>
  <c r="AA172" i="17" s="1"/>
  <c r="C171" i="17"/>
  <c r="D171" i="17"/>
  <c r="Y171" i="17"/>
  <c r="AA171" i="17" s="1"/>
  <c r="C170" i="17"/>
  <c r="D170" i="17"/>
  <c r="Y170" i="17"/>
  <c r="AA170" i="17" s="1"/>
  <c r="C169" i="17"/>
  <c r="D169" i="17"/>
  <c r="Y169" i="17"/>
  <c r="AA169" i="17" s="1"/>
  <c r="C168" i="17"/>
  <c r="D168" i="17"/>
  <c r="Y168" i="17"/>
  <c r="AA168" i="17" s="1"/>
  <c r="C167" i="17"/>
  <c r="D167" i="17"/>
  <c r="Y167" i="17"/>
  <c r="AA167" i="17" s="1"/>
  <c r="C166" i="17"/>
  <c r="D166" i="17"/>
  <c r="Y166" i="17"/>
  <c r="AA166" i="17" s="1"/>
  <c r="C165" i="17"/>
  <c r="D165" i="17"/>
  <c r="Y165" i="17"/>
  <c r="AA165" i="17" s="1"/>
  <c r="C164" i="17"/>
  <c r="D164" i="17"/>
  <c r="Y164" i="17"/>
  <c r="AA164" i="17" s="1"/>
  <c r="C163" i="17"/>
  <c r="D163" i="17"/>
  <c r="Y163" i="17"/>
  <c r="AA163" i="17" s="1"/>
  <c r="C162" i="17"/>
  <c r="D162" i="17"/>
  <c r="Y162" i="17"/>
  <c r="AA162" i="17" s="1"/>
  <c r="C161" i="17"/>
  <c r="D161" i="17"/>
  <c r="Y161" i="17"/>
  <c r="AA161" i="17" s="1"/>
  <c r="C160" i="17"/>
  <c r="D160" i="17"/>
  <c r="Y160" i="17"/>
  <c r="AA160" i="17" s="1"/>
  <c r="C159" i="17"/>
  <c r="D159" i="17"/>
  <c r="Y159" i="17"/>
  <c r="AA159" i="17" s="1"/>
  <c r="C158" i="17"/>
  <c r="D158" i="17"/>
  <c r="Y158" i="17"/>
  <c r="AA158" i="17" s="1"/>
  <c r="C157" i="17"/>
  <c r="D157" i="17"/>
  <c r="Y157" i="17"/>
  <c r="AA157" i="17" s="1"/>
  <c r="C156" i="17"/>
  <c r="D156" i="17"/>
  <c r="Y156" i="17"/>
  <c r="AA156" i="17" s="1"/>
  <c r="C155" i="17"/>
  <c r="D155" i="17"/>
  <c r="Y155" i="17"/>
  <c r="AA155" i="17" s="1"/>
  <c r="C154" i="17"/>
  <c r="D154" i="17"/>
  <c r="Y154" i="17"/>
  <c r="AA154" i="17" s="1"/>
  <c r="C153" i="17"/>
  <c r="D153" i="17"/>
  <c r="Y153" i="17"/>
  <c r="AA153" i="17" s="1"/>
  <c r="C152" i="17"/>
  <c r="D152" i="17"/>
  <c r="Y152" i="17"/>
  <c r="AA152" i="17" s="1"/>
  <c r="C151" i="17"/>
  <c r="D151" i="17"/>
  <c r="Y151" i="17"/>
  <c r="AA151" i="17" s="1"/>
  <c r="C150" i="17"/>
  <c r="D150" i="17"/>
  <c r="Y150" i="17"/>
  <c r="AA150" i="17" s="1"/>
  <c r="C149" i="17"/>
  <c r="D149" i="17"/>
  <c r="Y149" i="17"/>
  <c r="AA149" i="17" s="1"/>
  <c r="C148" i="17"/>
  <c r="D148" i="17"/>
  <c r="Y148" i="17"/>
  <c r="AA148" i="17" s="1"/>
  <c r="C147" i="17"/>
  <c r="D147" i="17"/>
  <c r="Y147" i="17"/>
  <c r="AA147" i="17" s="1"/>
  <c r="C146" i="17"/>
  <c r="D146" i="17"/>
  <c r="Y146" i="17"/>
  <c r="AA146" i="17" s="1"/>
  <c r="C145" i="17"/>
  <c r="D145" i="17"/>
  <c r="Y145" i="17"/>
  <c r="AA145" i="17" s="1"/>
  <c r="C144" i="17"/>
  <c r="D144" i="17"/>
  <c r="Y144" i="17"/>
  <c r="AA144" i="17" s="1"/>
  <c r="C143" i="17"/>
  <c r="D143" i="17"/>
  <c r="Y143" i="17"/>
  <c r="AA143" i="17" s="1"/>
  <c r="C142" i="17"/>
  <c r="D142" i="17"/>
  <c r="Y142" i="17"/>
  <c r="AA142" i="17" s="1"/>
  <c r="C141" i="17"/>
  <c r="D141" i="17"/>
  <c r="Y141" i="17"/>
  <c r="AA141" i="17" s="1"/>
  <c r="C140" i="17"/>
  <c r="D140" i="17"/>
  <c r="Y140" i="17"/>
  <c r="AA140" i="17" s="1"/>
  <c r="C139" i="17"/>
  <c r="D139" i="17"/>
  <c r="Y139" i="17"/>
  <c r="AA139" i="17" s="1"/>
  <c r="C138" i="17"/>
  <c r="D138" i="17"/>
  <c r="Y138" i="17"/>
  <c r="AA138" i="17" s="1"/>
  <c r="C137" i="17"/>
  <c r="D137" i="17"/>
  <c r="Y137" i="17"/>
  <c r="AA137" i="17" s="1"/>
  <c r="C136" i="17"/>
  <c r="D136" i="17"/>
  <c r="Y136" i="17"/>
  <c r="AA136" i="17" s="1"/>
  <c r="C135" i="17"/>
  <c r="D135" i="17"/>
  <c r="Y135" i="17"/>
  <c r="AA135" i="17" s="1"/>
  <c r="C134" i="17"/>
  <c r="D134" i="17"/>
  <c r="Y134" i="17"/>
  <c r="AA134" i="17" s="1"/>
  <c r="C133" i="17"/>
  <c r="D133" i="17"/>
  <c r="Y133" i="17"/>
  <c r="AA133" i="17" s="1"/>
  <c r="C132" i="17"/>
  <c r="D132" i="17"/>
  <c r="Y132" i="17"/>
  <c r="AA132" i="17" s="1"/>
  <c r="C131" i="17"/>
  <c r="D131" i="17"/>
  <c r="Y131" i="17"/>
  <c r="AA131" i="17" s="1"/>
  <c r="C130" i="17"/>
  <c r="D130" i="17"/>
  <c r="Y130" i="17"/>
  <c r="AA130" i="17" s="1"/>
  <c r="C129" i="17"/>
  <c r="D129" i="17"/>
  <c r="Y129" i="17"/>
  <c r="AA129" i="17" s="1"/>
  <c r="C128" i="17"/>
  <c r="D128" i="17"/>
  <c r="Y128" i="17"/>
  <c r="AA128" i="17" s="1"/>
  <c r="C127" i="17"/>
  <c r="D127" i="17"/>
  <c r="Y127" i="17"/>
  <c r="AA127" i="17" s="1"/>
  <c r="C126" i="17"/>
  <c r="D126" i="17"/>
  <c r="Y126" i="17"/>
  <c r="AA126" i="17" s="1"/>
  <c r="C125" i="17"/>
  <c r="D125" i="17"/>
  <c r="Y125" i="17"/>
  <c r="AA125" i="17" s="1"/>
  <c r="C124" i="17"/>
  <c r="D124" i="17"/>
  <c r="Y124" i="17"/>
  <c r="AA124" i="17" s="1"/>
  <c r="C123" i="17"/>
  <c r="D123" i="17"/>
  <c r="Y123" i="17"/>
  <c r="AA123" i="17" s="1"/>
  <c r="C122" i="17"/>
  <c r="D122" i="17"/>
  <c r="Y122" i="17"/>
  <c r="AA122" i="17" s="1"/>
  <c r="C121" i="17"/>
  <c r="D121" i="17"/>
  <c r="Y121" i="17"/>
  <c r="AA121" i="17" s="1"/>
  <c r="C120" i="17"/>
  <c r="D120" i="17"/>
  <c r="Y120" i="17"/>
  <c r="AA120" i="17" s="1"/>
  <c r="C119" i="17"/>
  <c r="D119" i="17"/>
  <c r="Y119" i="17"/>
  <c r="AA119" i="17" s="1"/>
  <c r="C118" i="17"/>
  <c r="D118" i="17"/>
  <c r="Y118" i="17"/>
  <c r="AA118" i="17" s="1"/>
  <c r="C117" i="17"/>
  <c r="D117" i="17"/>
  <c r="Y117" i="17"/>
  <c r="AA117" i="17" s="1"/>
  <c r="C116" i="17"/>
  <c r="D116" i="17"/>
  <c r="Y116" i="17"/>
  <c r="AA116" i="17" s="1"/>
  <c r="C115" i="17"/>
  <c r="D115" i="17"/>
  <c r="Y115" i="17"/>
  <c r="AA115" i="17" s="1"/>
  <c r="C114" i="17"/>
  <c r="D114" i="17"/>
  <c r="Y114" i="17"/>
  <c r="AA114" i="17" s="1"/>
  <c r="C113" i="17"/>
  <c r="D113" i="17"/>
  <c r="Y113" i="17"/>
  <c r="AA113" i="17" s="1"/>
  <c r="C112" i="17"/>
  <c r="D112" i="17"/>
  <c r="Y112" i="17"/>
  <c r="AA112" i="17" s="1"/>
  <c r="C111" i="17"/>
  <c r="D111" i="17"/>
  <c r="Y111" i="17"/>
  <c r="AA111" i="17" s="1"/>
  <c r="C110" i="17"/>
  <c r="D110" i="17"/>
  <c r="Y110" i="17"/>
  <c r="AA110" i="17" s="1"/>
  <c r="C109" i="17"/>
  <c r="D109" i="17"/>
  <c r="Y109" i="17"/>
  <c r="AA109" i="17" s="1"/>
  <c r="C108" i="17"/>
  <c r="D108" i="17"/>
  <c r="Y108" i="17"/>
  <c r="AA108" i="17" s="1"/>
  <c r="C107" i="17"/>
  <c r="D107" i="17"/>
  <c r="Y107" i="17"/>
  <c r="AA107" i="17" s="1"/>
  <c r="C106" i="17"/>
  <c r="D106" i="17"/>
  <c r="Y106" i="17"/>
  <c r="AA106" i="17" s="1"/>
  <c r="C105" i="17"/>
  <c r="D105" i="17"/>
  <c r="Y105" i="17"/>
  <c r="AA105" i="17" s="1"/>
  <c r="C104" i="17"/>
  <c r="D104" i="17"/>
  <c r="Y104" i="17"/>
  <c r="AA104" i="17" s="1"/>
  <c r="C103" i="17"/>
  <c r="D103" i="17"/>
  <c r="Y103" i="17"/>
  <c r="AA103" i="17" s="1"/>
  <c r="C102" i="17"/>
  <c r="D102" i="17"/>
  <c r="Y102" i="17"/>
  <c r="AA102" i="17" s="1"/>
  <c r="C101" i="17"/>
  <c r="D101" i="17"/>
  <c r="Y101" i="17"/>
  <c r="AA101" i="17" s="1"/>
  <c r="C100" i="17"/>
  <c r="D100" i="17"/>
  <c r="Y100" i="17"/>
  <c r="AA100" i="17" s="1"/>
  <c r="C99" i="17"/>
  <c r="D99" i="17"/>
  <c r="Y99" i="17"/>
  <c r="AA99" i="17" s="1"/>
  <c r="C98" i="17"/>
  <c r="D98" i="17"/>
  <c r="Y98" i="17"/>
  <c r="AA98" i="17" s="1"/>
  <c r="C97" i="17"/>
  <c r="D97" i="17"/>
  <c r="Y97" i="17"/>
  <c r="AA97" i="17" s="1"/>
  <c r="C96" i="17"/>
  <c r="D96" i="17"/>
  <c r="Y96" i="17"/>
  <c r="AA96" i="17" s="1"/>
  <c r="C95" i="17"/>
  <c r="D95" i="17"/>
  <c r="Y95" i="17"/>
  <c r="AA95" i="17" s="1"/>
  <c r="C94" i="17"/>
  <c r="D94" i="17"/>
  <c r="Y94" i="17"/>
  <c r="AA94" i="17" s="1"/>
  <c r="C93" i="17"/>
  <c r="D93" i="17"/>
  <c r="Y93" i="17"/>
  <c r="AA93" i="17" s="1"/>
  <c r="C92" i="17"/>
  <c r="D92" i="17"/>
  <c r="Y92" i="17"/>
  <c r="AA92" i="17" s="1"/>
  <c r="C91" i="17"/>
  <c r="D91" i="17"/>
  <c r="Y91" i="17"/>
  <c r="AA91" i="17" s="1"/>
  <c r="C90" i="17"/>
  <c r="D90" i="17"/>
  <c r="Y90" i="17"/>
  <c r="AA90" i="17" s="1"/>
  <c r="C89" i="17"/>
  <c r="D89" i="17"/>
  <c r="Y89" i="17"/>
  <c r="AA89" i="17" s="1"/>
  <c r="C88" i="17"/>
  <c r="D88" i="17"/>
  <c r="Y88" i="17"/>
  <c r="AA88" i="17" s="1"/>
  <c r="C87" i="17"/>
  <c r="D87" i="17"/>
  <c r="Y87" i="17"/>
  <c r="AA87" i="17" s="1"/>
  <c r="C86" i="17"/>
  <c r="D86" i="17"/>
  <c r="Y86" i="17"/>
  <c r="AA86" i="17" s="1"/>
  <c r="C85" i="17"/>
  <c r="D85" i="17"/>
  <c r="Y85" i="17"/>
  <c r="AA85" i="17" s="1"/>
  <c r="C84" i="17"/>
  <c r="D84" i="17"/>
  <c r="Y84" i="17"/>
  <c r="AA84" i="17" s="1"/>
  <c r="C83" i="17"/>
  <c r="D83" i="17"/>
  <c r="Y83" i="17"/>
  <c r="AA83" i="17" s="1"/>
  <c r="C82" i="17"/>
  <c r="D82" i="17"/>
  <c r="Y82" i="17"/>
  <c r="AA82" i="17" s="1"/>
  <c r="C81" i="17"/>
  <c r="D81" i="17"/>
  <c r="Y81" i="17"/>
  <c r="AA81" i="17" s="1"/>
  <c r="C80" i="17"/>
  <c r="D80" i="17"/>
  <c r="Y80" i="17"/>
  <c r="AA80" i="17" s="1"/>
  <c r="C79" i="17"/>
  <c r="D79" i="17"/>
  <c r="Y79" i="17"/>
  <c r="AA79" i="17" s="1"/>
  <c r="C78" i="17"/>
  <c r="D78" i="17"/>
  <c r="Y78" i="17"/>
  <c r="AA78" i="17" s="1"/>
  <c r="C77" i="17"/>
  <c r="D77" i="17"/>
  <c r="Y77" i="17"/>
  <c r="AA77" i="17" s="1"/>
  <c r="C76" i="17"/>
  <c r="D76" i="17"/>
  <c r="Y76" i="17"/>
  <c r="AA76" i="17" s="1"/>
  <c r="C75" i="17"/>
  <c r="D75" i="17"/>
  <c r="Y75" i="17"/>
  <c r="AA75" i="17" s="1"/>
  <c r="C74" i="17"/>
  <c r="D74" i="17"/>
  <c r="Y74" i="17"/>
  <c r="AA74" i="17" s="1"/>
  <c r="C73" i="17"/>
  <c r="D73" i="17"/>
  <c r="Y73" i="17"/>
  <c r="AA73" i="17" s="1"/>
  <c r="C72" i="17"/>
  <c r="D72" i="17"/>
  <c r="Y72" i="17"/>
  <c r="AA72" i="17" s="1"/>
  <c r="C71" i="17"/>
  <c r="D71" i="17"/>
  <c r="Y71" i="17"/>
  <c r="AA71" i="17" s="1"/>
  <c r="C70" i="17"/>
  <c r="D70" i="17"/>
  <c r="Y70" i="17"/>
  <c r="AA70" i="17" s="1"/>
  <c r="C69" i="17"/>
  <c r="D69" i="17"/>
  <c r="Y69" i="17"/>
  <c r="AA69" i="17" s="1"/>
  <c r="C68" i="17"/>
  <c r="D68" i="17"/>
  <c r="Y68" i="17"/>
  <c r="AA68" i="17" s="1"/>
  <c r="C67" i="17"/>
  <c r="D67" i="17"/>
  <c r="Y67" i="17"/>
  <c r="AA67" i="17" s="1"/>
  <c r="C66" i="17"/>
  <c r="D66" i="17"/>
  <c r="Y66" i="17"/>
  <c r="AA66" i="17" s="1"/>
  <c r="C65" i="17"/>
  <c r="D65" i="17"/>
  <c r="Y65" i="17"/>
  <c r="AA65" i="17" s="1"/>
  <c r="C64" i="17"/>
  <c r="D64" i="17"/>
  <c r="Y64" i="17"/>
  <c r="AA64" i="17" s="1"/>
  <c r="C63" i="17"/>
  <c r="D63" i="17"/>
  <c r="Y63" i="17"/>
  <c r="AA63" i="17" s="1"/>
  <c r="C62" i="17"/>
  <c r="D62" i="17"/>
  <c r="Y62" i="17"/>
  <c r="AA62" i="17" s="1"/>
  <c r="C61" i="17"/>
  <c r="D61" i="17"/>
  <c r="Y61" i="17"/>
  <c r="AA61" i="17" s="1"/>
  <c r="C60" i="17"/>
  <c r="D60" i="17"/>
  <c r="Y60" i="17"/>
  <c r="AA60" i="17" s="1"/>
  <c r="C59" i="17"/>
  <c r="D59" i="17"/>
  <c r="Y59" i="17"/>
  <c r="AA59" i="17" s="1"/>
  <c r="C58" i="17"/>
  <c r="D58" i="17"/>
  <c r="Y58" i="17"/>
  <c r="AA58" i="17" s="1"/>
  <c r="C57" i="17"/>
  <c r="D57" i="17"/>
  <c r="Y57" i="17"/>
  <c r="AA57" i="17" s="1"/>
  <c r="C56" i="17"/>
  <c r="D56" i="17"/>
  <c r="Y56" i="17"/>
  <c r="AA56" i="17" s="1"/>
  <c r="C55" i="17"/>
  <c r="D55" i="17"/>
  <c r="Y55" i="17"/>
  <c r="AA55" i="17" s="1"/>
  <c r="C54" i="17"/>
  <c r="D54" i="17"/>
  <c r="Y54" i="17"/>
  <c r="AA54" i="17" s="1"/>
  <c r="C53" i="17"/>
  <c r="D53" i="17"/>
  <c r="Y53" i="17"/>
  <c r="AA53" i="17" s="1"/>
  <c r="C52" i="17"/>
  <c r="D52" i="17"/>
  <c r="Y52" i="17"/>
  <c r="AA52" i="17" s="1"/>
  <c r="C51" i="17"/>
  <c r="D51" i="17"/>
  <c r="Y51" i="17"/>
  <c r="AA51" i="17" s="1"/>
  <c r="C50" i="17"/>
  <c r="D50" i="17"/>
  <c r="Y50" i="17"/>
  <c r="AA50" i="17" s="1"/>
  <c r="C49" i="17"/>
  <c r="D49" i="17"/>
  <c r="Y49" i="17"/>
  <c r="AA49" i="17" s="1"/>
  <c r="C48" i="17"/>
  <c r="D48" i="17"/>
  <c r="Y48" i="17"/>
  <c r="AA48" i="17" s="1"/>
  <c r="C47" i="17"/>
  <c r="D47" i="17"/>
  <c r="Y47" i="17"/>
  <c r="AA47" i="17" s="1"/>
  <c r="C46" i="17"/>
  <c r="D46" i="17"/>
  <c r="Y46" i="17"/>
  <c r="AA46" i="17" s="1"/>
  <c r="C45" i="17"/>
  <c r="D45" i="17"/>
  <c r="Y45" i="17"/>
  <c r="AA45" i="17" s="1"/>
  <c r="C44" i="17"/>
  <c r="D44" i="17"/>
  <c r="Y44" i="17"/>
  <c r="AA44" i="17" s="1"/>
  <c r="C43" i="17"/>
  <c r="D43" i="17"/>
  <c r="Y43" i="17"/>
  <c r="AA43" i="17" s="1"/>
  <c r="C42" i="17"/>
  <c r="D42" i="17"/>
  <c r="Y42" i="17"/>
  <c r="AA42" i="17" s="1"/>
  <c r="C41" i="17"/>
  <c r="D41" i="17"/>
  <c r="Y41" i="17"/>
  <c r="AA41" i="17" s="1"/>
  <c r="C40" i="17"/>
  <c r="D40" i="17"/>
  <c r="Y40" i="17"/>
  <c r="AA40" i="17" s="1"/>
  <c r="C39" i="17"/>
  <c r="D39" i="17"/>
  <c r="Y39" i="17"/>
  <c r="AA39" i="17" s="1"/>
  <c r="C38" i="17"/>
  <c r="D38" i="17"/>
  <c r="Y38" i="17"/>
  <c r="AA38" i="17" s="1"/>
  <c r="C37" i="17"/>
  <c r="D37" i="17"/>
  <c r="Y37" i="17"/>
  <c r="AA37" i="17" s="1"/>
  <c r="C36" i="17"/>
  <c r="D36" i="17"/>
  <c r="Y36" i="17"/>
  <c r="AA36" i="17" s="1"/>
  <c r="C35" i="17"/>
  <c r="D35" i="17"/>
  <c r="Y35" i="17"/>
  <c r="AA35" i="17" s="1"/>
  <c r="C34" i="17"/>
  <c r="D34" i="17"/>
  <c r="Y34" i="17"/>
  <c r="AA34" i="17" s="1"/>
  <c r="C33" i="17"/>
  <c r="D33" i="17"/>
  <c r="Y33" i="17"/>
  <c r="AA33" i="17" s="1"/>
  <c r="C32" i="17"/>
  <c r="D32" i="17"/>
  <c r="Y32" i="17"/>
  <c r="AA32" i="17" s="1"/>
  <c r="C31" i="17"/>
  <c r="D31" i="17"/>
  <c r="Y31" i="17"/>
  <c r="AA31" i="17" s="1"/>
  <c r="C30" i="17"/>
  <c r="D30" i="17"/>
  <c r="Y30" i="17"/>
  <c r="AA30" i="17" s="1"/>
  <c r="C29" i="17"/>
  <c r="D29" i="17"/>
  <c r="Y29" i="17"/>
  <c r="AA29" i="17" s="1"/>
  <c r="C28" i="17"/>
  <c r="D28" i="17"/>
  <c r="Y28" i="17"/>
  <c r="AA28" i="17" s="1"/>
  <c r="C27" i="17"/>
  <c r="D27" i="17"/>
  <c r="Y27" i="17"/>
  <c r="AA27" i="17" s="1"/>
  <c r="C26" i="17"/>
  <c r="D26" i="17"/>
  <c r="Y26" i="17"/>
  <c r="AA26" i="17" s="1"/>
  <c r="C25" i="17"/>
  <c r="D25" i="17"/>
  <c r="Y25" i="17"/>
  <c r="AA25" i="17" s="1"/>
  <c r="C24" i="17"/>
  <c r="D24" i="17"/>
  <c r="Y24" i="17"/>
  <c r="AA24" i="17" s="1"/>
  <c r="C23" i="17"/>
  <c r="D23" i="17"/>
  <c r="Y23" i="17"/>
  <c r="AA23" i="17" s="1"/>
  <c r="C22" i="17"/>
  <c r="D22" i="17"/>
  <c r="Y22" i="17"/>
  <c r="AA22" i="17" s="1"/>
  <c r="C21" i="17"/>
  <c r="D21" i="17"/>
  <c r="Y21" i="17"/>
  <c r="AA21" i="17" s="1"/>
  <c r="C20" i="17"/>
  <c r="D20" i="17"/>
  <c r="Y20" i="17"/>
  <c r="C19" i="17"/>
  <c r="D19" i="17"/>
  <c r="Y19" i="17"/>
  <c r="C18" i="17"/>
  <c r="D18" i="17"/>
  <c r="Y18" i="17"/>
  <c r="C17" i="17"/>
  <c r="D17" i="17"/>
  <c r="Y17" i="17"/>
  <c r="C16" i="17"/>
  <c r="D16" i="17"/>
  <c r="Y16" i="17"/>
  <c r="C15" i="17"/>
  <c r="D15" i="17"/>
  <c r="Y15" i="17"/>
  <c r="C14" i="17"/>
  <c r="D14" i="17"/>
  <c r="Y14" i="17"/>
  <c r="C13" i="17"/>
  <c r="D13" i="17"/>
  <c r="Y13" i="17"/>
  <c r="C12" i="17"/>
  <c r="D12" i="17"/>
  <c r="Y12" i="17"/>
  <c r="C11" i="17"/>
  <c r="D11" i="17"/>
  <c r="Y11" i="17"/>
  <c r="C10" i="17"/>
  <c r="D10" i="17"/>
  <c r="Y10" i="17"/>
  <c r="C9" i="17"/>
  <c r="D9" i="17"/>
  <c r="Y9" i="17"/>
  <c r="C8" i="17"/>
  <c r="D8" i="17"/>
  <c r="Y8" i="17"/>
  <c r="C7" i="17"/>
  <c r="D7" i="17"/>
  <c r="Y7" i="17"/>
  <c r="C6" i="17"/>
  <c r="D6" i="17"/>
  <c r="Y6" i="17"/>
  <c r="C5" i="17"/>
  <c r="D5" i="17"/>
  <c r="Y5" i="17"/>
  <c r="C4" i="17"/>
  <c r="D4" i="17"/>
  <c r="Y4" i="17"/>
  <c r="C3" i="17"/>
  <c r="D3" i="17"/>
  <c r="Y3" i="17"/>
  <c r="C2" i="17"/>
  <c r="D2" i="17"/>
  <c r="Y2" i="17"/>
  <c r="X1675" i="17"/>
  <c r="L1675" i="17"/>
  <c r="L1668" i="17"/>
  <c r="X1668" i="17"/>
  <c r="L1667" i="17"/>
  <c r="X1667" i="17"/>
  <c r="L1663" i="17"/>
  <c r="X1663" i="17"/>
  <c r="L1662" i="17"/>
  <c r="X1662" i="17"/>
  <c r="B19" i="5"/>
  <c r="C19" i="5"/>
  <c r="C14" i="18" s="1"/>
  <c r="L19" i="5"/>
  <c r="Q19" i="5"/>
  <c r="Q14" i="18" s="1"/>
  <c r="A14" i="18"/>
  <c r="B18" i="5"/>
  <c r="C18" i="5"/>
  <c r="C13" i="18" s="1"/>
  <c r="L18" i="5"/>
  <c r="Q18" i="5"/>
  <c r="Q13" i="18" s="1"/>
  <c r="A13" i="18"/>
  <c r="B17" i="5"/>
  <c r="C17" i="5"/>
  <c r="C12" i="18" s="1"/>
  <c r="L17" i="5"/>
  <c r="Q17" i="5"/>
  <c r="Q12" i="18" s="1"/>
  <c r="A12" i="18"/>
  <c r="B16" i="5"/>
  <c r="C16" i="5"/>
  <c r="C11" i="18" s="1"/>
  <c r="L16" i="5"/>
  <c r="Q16" i="5"/>
  <c r="Q11" i="18" s="1"/>
  <c r="A11" i="18"/>
  <c r="B15" i="5"/>
  <c r="C15" i="5"/>
  <c r="C10" i="18" s="1"/>
  <c r="L15" i="5"/>
  <c r="Q15" i="5"/>
  <c r="Q10" i="18" s="1"/>
  <c r="A10" i="18"/>
  <c r="B14" i="5"/>
  <c r="C14" i="5"/>
  <c r="C9" i="18" s="1"/>
  <c r="L14" i="5"/>
  <c r="Q14" i="5"/>
  <c r="Q9" i="18" s="1"/>
  <c r="A9" i="18"/>
  <c r="B13" i="5"/>
  <c r="C13" i="5"/>
  <c r="C8" i="18" s="1"/>
  <c r="L13" i="5"/>
  <c r="Q13" i="5"/>
  <c r="Q8" i="18" s="1"/>
  <c r="A8" i="18"/>
  <c r="B12" i="5"/>
  <c r="C12" i="5"/>
  <c r="C7" i="18" s="1"/>
  <c r="L12" i="5"/>
  <c r="Q12" i="5"/>
  <c r="Q7" i="18" s="1"/>
  <c r="A7" i="18"/>
  <c r="B11" i="5"/>
  <c r="C11" i="5"/>
  <c r="C6" i="18" s="1"/>
  <c r="L11" i="5"/>
  <c r="Q11" i="5"/>
  <c r="Q6" i="18" s="1"/>
  <c r="A6" i="18"/>
  <c r="B10" i="5"/>
  <c r="C10" i="5"/>
  <c r="C5" i="18" s="1"/>
  <c r="L10" i="5"/>
  <c r="Q10" i="5"/>
  <c r="Q5" i="18" s="1"/>
  <c r="A5" i="18"/>
  <c r="X1901" i="17"/>
  <c r="L1901" i="17"/>
  <c r="X1898" i="17"/>
  <c r="L1898" i="17"/>
  <c r="L1895" i="17"/>
  <c r="X1895" i="17"/>
  <c r="X1891" i="17"/>
  <c r="L1891" i="17"/>
  <c r="X1890" i="17"/>
  <c r="L1890" i="17"/>
  <c r="X1884" i="17"/>
  <c r="L1884" i="17"/>
  <c r="L1879" i="17"/>
  <c r="X1879" i="17"/>
  <c r="X1754" i="17"/>
  <c r="L1754" i="17"/>
  <c r="X1725" i="17"/>
  <c r="L1725" i="17"/>
  <c r="L1676" i="17"/>
  <c r="X1676" i="17"/>
  <c r="L1671" i="17"/>
  <c r="X1671" i="17"/>
  <c r="AA2198" i="17"/>
  <c r="AA2189" i="17"/>
  <c r="AA2186" i="17"/>
  <c r="AA2053" i="17"/>
  <c r="AA2052" i="17"/>
  <c r="AA2051" i="17"/>
  <c r="AA2050" i="17"/>
  <c r="AA2047" i="17"/>
  <c r="AA2045" i="17"/>
  <c r="AA2038" i="17"/>
  <c r="AA2037" i="17"/>
  <c r="AA2036" i="17"/>
  <c r="AA2035" i="17"/>
  <c r="AA2028" i="17"/>
  <c r="AA2022" i="17"/>
  <c r="AA2021" i="17"/>
  <c r="AA2020" i="17"/>
  <c r="AA2017" i="17"/>
  <c r="AA1929" i="17"/>
  <c r="AA1908" i="17"/>
  <c r="AA1907" i="17"/>
  <c r="AA2078" i="17"/>
  <c r="AA2077" i="17"/>
  <c r="AA2076" i="17"/>
  <c r="AA2075" i="17"/>
  <c r="AA2073" i="17"/>
  <c r="AA2072" i="17"/>
  <c r="AA2070" i="17"/>
  <c r="AA2068" i="17"/>
  <c r="AA2067" i="17"/>
  <c r="AA2065" i="17"/>
  <c r="AA2064" i="17"/>
  <c r="AA2063" i="17"/>
  <c r="AA2061" i="17"/>
  <c r="AA2060" i="17"/>
  <c r="AA1844" i="17"/>
  <c r="AA1824" i="17"/>
  <c r="AA1807" i="17"/>
  <c r="AA2004" i="17"/>
  <c r="AA2003" i="17"/>
  <c r="AA2001" i="17"/>
  <c r="AA2000" i="17"/>
  <c r="AA1999" i="17"/>
  <c r="AA1996" i="17"/>
  <c r="AA1995" i="17"/>
  <c r="AA1993" i="17"/>
  <c r="AA1992" i="17"/>
  <c r="AA1988" i="17"/>
  <c r="AA1986" i="17"/>
  <c r="AA1984" i="17"/>
  <c r="AA1981" i="17"/>
  <c r="AA1979" i="17"/>
  <c r="AA1978" i="17"/>
  <c r="AA1976" i="17"/>
  <c r="AA1974" i="17"/>
  <c r="AA1971" i="17"/>
  <c r="AA1968" i="17"/>
  <c r="AA1967" i="17"/>
  <c r="AA1965" i="17"/>
  <c r="AA1964" i="17"/>
  <c r="AA1963" i="17"/>
  <c r="AA1962" i="17"/>
  <c r="AA1960" i="17"/>
  <c r="AA1959" i="17"/>
  <c r="AA1957" i="17"/>
  <c r="AA1954" i="17"/>
  <c r="AA1952" i="17"/>
  <c r="AA1950" i="17"/>
  <c r="AA1948" i="17"/>
  <c r="AA1946" i="17"/>
  <c r="AA1945" i="17"/>
  <c r="AA1944" i="17"/>
  <c r="AA1942" i="17"/>
  <c r="AA1940" i="17"/>
  <c r="AA1935" i="17"/>
  <c r="AA1933" i="17"/>
  <c r="AA1928" i="17"/>
  <c r="AA1927" i="17"/>
  <c r="AA1926" i="17"/>
  <c r="AA1925" i="17"/>
  <c r="AA1922" i="17"/>
  <c r="AA1921" i="17"/>
  <c r="AA1920" i="17"/>
  <c r="AA1918" i="17"/>
  <c r="AA1909" i="17"/>
  <c r="AA1906" i="17"/>
  <c r="AA1904" i="17"/>
  <c r="AA1903" i="17"/>
  <c r="AA1902" i="17"/>
  <c r="AA1224" i="17"/>
  <c r="AA1324" i="17"/>
  <c r="AA1214" i="17"/>
  <c r="AA1213" i="17"/>
  <c r="AA1212" i="17"/>
  <c r="AA1211" i="17"/>
  <c r="AA1210" i="17"/>
  <c r="AA1208" i="17"/>
  <c r="AA1207" i="17"/>
  <c r="AA1204" i="17"/>
  <c r="AA1202" i="17"/>
  <c r="AA1201" i="17"/>
  <c r="AA1199" i="17"/>
  <c r="AA1197" i="17"/>
  <c r="AA1192" i="17"/>
  <c r="AA1178" i="17"/>
  <c r="AA1173" i="17"/>
  <c r="AA1162" i="17"/>
  <c r="AA1161" i="17"/>
  <c r="AA1160" i="17"/>
  <c r="AA1158" i="17"/>
  <c r="AA1157" i="17"/>
  <c r="AA1156" i="17"/>
  <c r="AA1153" i="17"/>
  <c r="AA1152" i="17"/>
  <c r="AA1150" i="17"/>
  <c r="AA1147" i="17"/>
  <c r="AA1144" i="17"/>
  <c r="AA1143" i="17"/>
  <c r="AA1142" i="17"/>
  <c r="AA1140" i="17"/>
  <c r="AA1138" i="17"/>
  <c r="AA1136" i="17"/>
  <c r="AA1134" i="17"/>
  <c r="AA1132" i="17"/>
  <c r="AA1122" i="17"/>
  <c r="AA1117" i="17"/>
  <c r="AA1116" i="17"/>
  <c r="AA1110" i="17"/>
  <c r="AA1109" i="17"/>
  <c r="AA1108" i="17"/>
  <c r="AA1105" i="17"/>
  <c r="AA1098" i="17"/>
  <c r="AA1096" i="17"/>
  <c r="AA1093" i="17"/>
  <c r="AA1092" i="17"/>
  <c r="AA1082" i="17"/>
  <c r="AA1080" i="17"/>
  <c r="AA1078" i="17"/>
  <c r="AA1077" i="17"/>
  <c r="AA1075" i="17"/>
  <c r="AA1073" i="17"/>
  <c r="AA1072" i="17"/>
  <c r="AA1070" i="17"/>
  <c r="AA1069" i="17"/>
  <c r="AA1068" i="17"/>
  <c r="AA1065" i="17"/>
  <c r="AA1064" i="17"/>
  <c r="AA1063" i="17"/>
  <c r="AA1059" i="17"/>
  <c r="AA1058" i="17"/>
  <c r="AA1057" i="17"/>
  <c r="AA1053" i="17"/>
  <c r="AA1052" i="17"/>
  <c r="AA1051" i="17"/>
  <c r="AA1050" i="17"/>
  <c r="AA1044" i="17"/>
  <c r="AA1043" i="17"/>
  <c r="AA1222" i="17"/>
  <c r="AA1221" i="17"/>
  <c r="AA1219" i="17"/>
  <c r="AA1217" i="17"/>
  <c r="AA1189" i="17"/>
  <c r="AA1186" i="17"/>
  <c r="AA1183" i="17"/>
  <c r="AA1175" i="17"/>
  <c r="AA1168" i="17"/>
  <c r="AA1159" i="17"/>
  <c r="AA1149" i="17"/>
  <c r="AA1145" i="17"/>
  <c r="AA1137" i="17"/>
  <c r="AA1131" i="17"/>
  <c r="AA1130" i="17"/>
  <c r="AA1128" i="17"/>
  <c r="AA1126" i="17"/>
  <c r="AA1123" i="17"/>
  <c r="AA1121" i="17"/>
  <c r="AA1119" i="17"/>
  <c r="AA1118" i="17"/>
  <c r="AA1103" i="17"/>
  <c r="AA1097" i="17"/>
  <c r="AA1094" i="17"/>
  <c r="AA1090" i="17"/>
  <c r="AA1081" i="17"/>
  <c r="AA1071" i="17"/>
  <c r="AA1067" i="17"/>
  <c r="AA1061" i="17"/>
  <c r="AA1047" i="17"/>
  <c r="AA1041" i="17"/>
  <c r="AA1040" i="17"/>
  <c r="AA1039" i="17"/>
  <c r="AA1038" i="17"/>
  <c r="AA1036" i="17"/>
  <c r="AA1035" i="17"/>
  <c r="AA2167" i="17"/>
  <c r="AA2146" i="17"/>
  <c r="AA2142" i="17"/>
  <c r="AA2116" i="17"/>
  <c r="AA2095" i="17"/>
  <c r="AA2093" i="17"/>
  <c r="AA2092" i="17"/>
  <c r="AA2196" i="17"/>
  <c r="AA2193" i="17"/>
  <c r="AA2162" i="17"/>
  <c r="AA2151" i="17"/>
  <c r="AA2150" i="17"/>
  <c r="AA2106" i="17"/>
  <c r="Q2199" i="17" l="1"/>
  <c r="P2199" i="17"/>
  <c r="O2199" i="17"/>
  <c r="O2198" i="17"/>
  <c r="Q2198" i="17"/>
  <c r="P2198" i="17"/>
  <c r="Q2197" i="17"/>
  <c r="P2197" i="17"/>
  <c r="O2197" i="17"/>
  <c r="Q2196" i="17"/>
  <c r="P2196" i="17"/>
  <c r="O2196" i="17"/>
  <c r="O2195" i="17"/>
  <c r="Q2195" i="17"/>
  <c r="P2195" i="17"/>
  <c r="Q2194" i="17"/>
  <c r="P2194" i="17"/>
  <c r="O2194" i="17"/>
  <c r="Q2193" i="17"/>
  <c r="P2193" i="17"/>
  <c r="O2193" i="17"/>
  <c r="Q2192" i="17"/>
  <c r="P2192" i="17"/>
  <c r="O2192" i="17"/>
  <c r="P2191" i="17"/>
  <c r="O2191" i="17"/>
  <c r="Q2191" i="17"/>
  <c r="P2190" i="17"/>
  <c r="O2190" i="17"/>
  <c r="Q2190" i="17"/>
  <c r="Q2189" i="17"/>
  <c r="P2189" i="17"/>
  <c r="O2189" i="17"/>
  <c r="Q2188" i="17"/>
  <c r="P2188" i="17"/>
  <c r="O2188" i="17"/>
  <c r="Q2186" i="17"/>
  <c r="P2186" i="17"/>
  <c r="O2186" i="17"/>
  <c r="Q2185" i="17"/>
  <c r="P2185" i="17"/>
  <c r="O2185" i="17"/>
  <c r="Q2184" i="17"/>
  <c r="P2184" i="17"/>
  <c r="O2184" i="17"/>
  <c r="O2183" i="17"/>
  <c r="Q2183" i="17"/>
  <c r="P2183" i="17"/>
  <c r="Q2182" i="17"/>
  <c r="P2182" i="17"/>
  <c r="O2182" i="17"/>
  <c r="Q2181" i="17"/>
  <c r="P2181" i="17"/>
  <c r="O2181" i="17"/>
  <c r="Q2180" i="17"/>
  <c r="P2180" i="17"/>
  <c r="O2180" i="17"/>
  <c r="P2179" i="17"/>
  <c r="O2179" i="17"/>
  <c r="Q2179" i="17"/>
  <c r="P2178" i="17"/>
  <c r="O2178" i="17"/>
  <c r="Q2178" i="17"/>
  <c r="Q2177" i="17"/>
  <c r="P2177" i="17"/>
  <c r="O2177" i="17"/>
  <c r="Q2176" i="17"/>
  <c r="P2176" i="17"/>
  <c r="O2176" i="17"/>
  <c r="Q2175" i="17"/>
  <c r="P2175" i="17"/>
  <c r="O2175" i="17"/>
  <c r="Q2174" i="17"/>
  <c r="P2174" i="17"/>
  <c r="O2174" i="17"/>
  <c r="P2173" i="17"/>
  <c r="O2173" i="17"/>
  <c r="Q2173" i="17"/>
  <c r="Q2172" i="17"/>
  <c r="P2172" i="17"/>
  <c r="O2172" i="17"/>
  <c r="Q2171" i="17"/>
  <c r="P2171" i="17"/>
  <c r="O2171" i="17"/>
  <c r="O2170" i="17"/>
  <c r="Q2170" i="17"/>
  <c r="P2170" i="17"/>
  <c r="O2169" i="17"/>
  <c r="Q2169" i="17"/>
  <c r="P2169" i="17"/>
  <c r="P2167" i="17"/>
  <c r="Q2167" i="17"/>
  <c r="O2167" i="17"/>
  <c r="Q2166" i="17"/>
  <c r="P2166" i="17"/>
  <c r="O2166" i="17"/>
  <c r="Q2165" i="17"/>
  <c r="P2165" i="17"/>
  <c r="O2165" i="17"/>
  <c r="P2164" i="17"/>
  <c r="Q2164" i="17"/>
  <c r="O2164" i="17"/>
  <c r="O2163" i="17"/>
  <c r="P2163" i="17"/>
  <c r="Q2163" i="17"/>
  <c r="P2162" i="17"/>
  <c r="Q2162" i="17"/>
  <c r="O2162" i="17"/>
  <c r="P2161" i="17"/>
  <c r="Q2161" i="17"/>
  <c r="O2161" i="17"/>
  <c r="P2160" i="17"/>
  <c r="Q2160" i="17"/>
  <c r="O2160" i="17"/>
  <c r="P2159" i="17"/>
  <c r="Q2159" i="17"/>
  <c r="O2159" i="17"/>
  <c r="O2158" i="17"/>
  <c r="Q2158" i="17"/>
  <c r="P2158" i="17"/>
  <c r="Q2157" i="17"/>
  <c r="P2157" i="17"/>
  <c r="O2157" i="17"/>
  <c r="Q2156" i="17"/>
  <c r="P2156" i="17"/>
  <c r="O2156" i="17"/>
  <c r="Q2155" i="17"/>
  <c r="P2155" i="17"/>
  <c r="O2155" i="17"/>
  <c r="P2154" i="17"/>
  <c r="Q2154" i="17"/>
  <c r="O2154" i="17"/>
  <c r="O2153" i="17"/>
  <c r="P2153" i="17"/>
  <c r="Q2153" i="17"/>
  <c r="Q2152" i="17"/>
  <c r="P2152" i="17"/>
  <c r="O2152" i="17"/>
  <c r="Q2151" i="17"/>
  <c r="P2151" i="17"/>
  <c r="O2151" i="17"/>
  <c r="O2150" i="17"/>
  <c r="P2150" i="17"/>
  <c r="Q2150" i="17"/>
  <c r="Q2148" i="17"/>
  <c r="O2148" i="17"/>
  <c r="P2148" i="17"/>
  <c r="O2147" i="17"/>
  <c r="P2147" i="17"/>
  <c r="Q2147" i="17"/>
  <c r="Q2146" i="17"/>
  <c r="O2146" i="17"/>
  <c r="P2146" i="17"/>
  <c r="O2145" i="17"/>
  <c r="P2145" i="17"/>
  <c r="Q2145" i="17"/>
  <c r="Q2144" i="17"/>
  <c r="O2144" i="17"/>
  <c r="P2144" i="17"/>
  <c r="O2143" i="17"/>
  <c r="P2143" i="17"/>
  <c r="Q2143" i="17"/>
  <c r="P2142" i="17"/>
  <c r="Q2142" i="17"/>
  <c r="O2142" i="17"/>
  <c r="P2141" i="17"/>
  <c r="O2141" i="17"/>
  <c r="Q2141" i="17"/>
  <c r="O2140" i="17"/>
  <c r="Q2140" i="17"/>
  <c r="P2140" i="17"/>
  <c r="P2139" i="17"/>
  <c r="Q2139" i="17"/>
  <c r="O2139" i="17"/>
  <c r="P2138" i="17"/>
  <c r="O2138" i="17"/>
  <c r="Q2138" i="17"/>
  <c r="P2137" i="17"/>
  <c r="O2137" i="17"/>
  <c r="Q2137" i="17"/>
  <c r="Q2136" i="17"/>
  <c r="P2136" i="17"/>
  <c r="O2136" i="17"/>
  <c r="O2135" i="17"/>
  <c r="P2135" i="17"/>
  <c r="Q2135" i="17"/>
  <c r="O2134" i="17"/>
  <c r="P2134" i="17"/>
  <c r="Q2134" i="17"/>
  <c r="P2133" i="17"/>
  <c r="O2133" i="17"/>
  <c r="Q2133" i="17"/>
  <c r="O2132" i="17"/>
  <c r="P2132" i="17"/>
  <c r="Q2132" i="17"/>
  <c r="P2131" i="17"/>
  <c r="Q2131" i="17"/>
  <c r="O2131" i="17"/>
  <c r="P2129" i="17"/>
  <c r="Q2129" i="17"/>
  <c r="O2129" i="17"/>
  <c r="Q2128" i="17"/>
  <c r="P2128" i="17"/>
  <c r="O2128" i="17"/>
  <c r="Q2127" i="17"/>
  <c r="O2127" i="17"/>
  <c r="P2127" i="17"/>
  <c r="Q2126" i="17"/>
  <c r="O2126" i="17"/>
  <c r="P2126" i="17"/>
  <c r="Q2125" i="17"/>
  <c r="O2125" i="17"/>
  <c r="P2125" i="17"/>
  <c r="P2124" i="17"/>
  <c r="Q2124" i="17"/>
  <c r="O2124" i="17"/>
  <c r="O2123" i="17"/>
  <c r="P2123" i="17"/>
  <c r="Q2123" i="17"/>
  <c r="O2122" i="17"/>
  <c r="P2122" i="17"/>
  <c r="Q2122" i="17"/>
  <c r="O2121" i="17"/>
  <c r="P2121" i="17"/>
  <c r="Q2121" i="17"/>
  <c r="O2120" i="17"/>
  <c r="P2120" i="17"/>
  <c r="Q2120" i="17"/>
  <c r="O2119" i="17"/>
  <c r="Q2119" i="17"/>
  <c r="P2119" i="17"/>
  <c r="P2118" i="17"/>
  <c r="O2118" i="17"/>
  <c r="Q2118" i="17"/>
  <c r="P2117" i="17"/>
  <c r="Q2117" i="17"/>
  <c r="O2117" i="17"/>
  <c r="Q2116" i="17"/>
  <c r="O2116" i="17"/>
  <c r="P2116" i="17"/>
  <c r="Q2115" i="17"/>
  <c r="P2115" i="17"/>
  <c r="O2115" i="17"/>
  <c r="P2114" i="17"/>
  <c r="O2114" i="17"/>
  <c r="Q2114" i="17"/>
  <c r="Q2113" i="17"/>
  <c r="P2113" i="17"/>
  <c r="O2113" i="17"/>
  <c r="Q2112" i="17"/>
  <c r="O2112" i="17"/>
  <c r="P2112" i="17"/>
  <c r="Q2110" i="17"/>
  <c r="P2110" i="17"/>
  <c r="O2110" i="17"/>
  <c r="P2109" i="17"/>
  <c r="Q2109" i="17"/>
  <c r="O2109" i="17"/>
  <c r="P2108" i="17"/>
  <c r="Q2108" i="17"/>
  <c r="O2108" i="17"/>
  <c r="O2107" i="17"/>
  <c r="P2107" i="17"/>
  <c r="Q2107" i="17"/>
  <c r="Q2106" i="17"/>
  <c r="P2106" i="17"/>
  <c r="O2106" i="17"/>
  <c r="Q2105" i="17"/>
  <c r="P2105" i="17"/>
  <c r="O2105" i="17"/>
  <c r="O2104" i="17"/>
  <c r="Q2104" i="17"/>
  <c r="P2104" i="17"/>
  <c r="P2103" i="17"/>
  <c r="Q2103" i="17"/>
  <c r="O2103" i="17"/>
  <c r="O2102" i="17"/>
  <c r="Q2102" i="17"/>
  <c r="P2102" i="17"/>
  <c r="Q2101" i="17"/>
  <c r="O2101" i="17"/>
  <c r="P2101" i="17"/>
  <c r="P2100" i="17"/>
  <c r="Q2100" i="17"/>
  <c r="O2100" i="17"/>
  <c r="O2099" i="17"/>
  <c r="P2099" i="17"/>
  <c r="Q2099" i="17"/>
  <c r="P2098" i="17"/>
  <c r="Q2098" i="17"/>
  <c r="O2098" i="17"/>
  <c r="O2097" i="17"/>
  <c r="P2097" i="17"/>
  <c r="Q2097" i="17"/>
  <c r="P2096" i="17"/>
  <c r="Q2096" i="17"/>
  <c r="O2096" i="17"/>
  <c r="O2095" i="17"/>
  <c r="P2095" i="17"/>
  <c r="Q2095" i="17"/>
  <c r="O2094" i="17"/>
  <c r="P2094" i="17"/>
  <c r="Q2094" i="17"/>
  <c r="O2093" i="17"/>
  <c r="P2093" i="17"/>
  <c r="Q2093" i="17"/>
  <c r="O2091" i="17"/>
  <c r="Q2091" i="17"/>
  <c r="P2091" i="17"/>
  <c r="O2090" i="17"/>
  <c r="P2090" i="17"/>
  <c r="Q2090" i="17"/>
  <c r="O2089" i="17"/>
  <c r="P2089" i="17"/>
  <c r="Q2089" i="17"/>
  <c r="Q2088" i="17"/>
  <c r="P2088" i="17"/>
  <c r="O2088" i="17"/>
  <c r="Q2087" i="17"/>
  <c r="P2087" i="17"/>
  <c r="O2087" i="17"/>
  <c r="Q2086" i="17"/>
  <c r="P2086" i="17"/>
  <c r="O2086" i="17"/>
  <c r="Q2085" i="17"/>
  <c r="P2085" i="17"/>
  <c r="O2085" i="17"/>
  <c r="P2084" i="17"/>
  <c r="Q2084" i="17"/>
  <c r="O2084" i="17"/>
  <c r="O2083" i="17"/>
  <c r="Q2083" i="17"/>
  <c r="P2083" i="17"/>
  <c r="Q2082" i="17"/>
  <c r="P2082" i="17"/>
  <c r="O2082" i="17"/>
  <c r="Q2081" i="17"/>
  <c r="P2081" i="17"/>
  <c r="O2081" i="17"/>
  <c r="Q2080" i="17"/>
  <c r="O2080" i="17"/>
  <c r="P2080" i="17"/>
  <c r="O2051" i="17"/>
  <c r="P2051" i="17"/>
  <c r="Q2051" i="17"/>
  <c r="P2050" i="17"/>
  <c r="O2050" i="17"/>
  <c r="Q2050" i="17"/>
  <c r="O2049" i="17"/>
  <c r="P2049" i="17"/>
  <c r="Q2049" i="17"/>
  <c r="Q2048" i="17"/>
  <c r="O2048" i="17"/>
  <c r="P2048" i="17"/>
  <c r="Q2047" i="17"/>
  <c r="P2047" i="17"/>
  <c r="O2047" i="17"/>
  <c r="Q2046" i="17"/>
  <c r="O2046" i="17"/>
  <c r="P2046" i="17"/>
  <c r="Q2045" i="17"/>
  <c r="O2045" i="17"/>
  <c r="P2045" i="17"/>
  <c r="Q2044" i="17"/>
  <c r="P2044" i="17"/>
  <c r="O2044" i="17"/>
  <c r="O2043" i="17"/>
  <c r="Q2043" i="17"/>
  <c r="P2043" i="17"/>
  <c r="O2042" i="17"/>
  <c r="P2042" i="17"/>
  <c r="Q2042" i="17"/>
  <c r="O2041" i="17"/>
  <c r="Q2041" i="17"/>
  <c r="P2041" i="17"/>
  <c r="O2040" i="17"/>
  <c r="P2040" i="17"/>
  <c r="Q2040" i="17"/>
  <c r="O2039" i="17"/>
  <c r="P2039" i="17"/>
  <c r="Q2039" i="17"/>
  <c r="O2038" i="17"/>
  <c r="P2038" i="17"/>
  <c r="Q2038" i="17"/>
  <c r="O2036" i="17"/>
  <c r="P2036" i="17"/>
  <c r="Q2036" i="17"/>
  <c r="O2034" i="17"/>
  <c r="P2034" i="17"/>
  <c r="Q2034" i="17"/>
  <c r="P2033" i="17"/>
  <c r="Q2033" i="17"/>
  <c r="O2033" i="17"/>
  <c r="Q2032" i="17"/>
  <c r="P2032" i="17"/>
  <c r="O2032" i="17"/>
  <c r="O2031" i="17"/>
  <c r="Q2031" i="17"/>
  <c r="P2031" i="17"/>
  <c r="P2029" i="17"/>
  <c r="O2029" i="17"/>
  <c r="Q2029" i="17"/>
  <c r="O2028" i="17"/>
  <c r="P2028" i="17"/>
  <c r="Q2028" i="17"/>
  <c r="O2027" i="17"/>
  <c r="Q2027" i="17"/>
  <c r="P2027" i="17"/>
  <c r="P2026" i="17"/>
  <c r="O2026" i="17"/>
  <c r="Q2026" i="17"/>
  <c r="P2025" i="17"/>
  <c r="Q2025" i="17"/>
  <c r="O2025" i="17"/>
  <c r="O2024" i="17"/>
  <c r="Q2024" i="17"/>
  <c r="P2024" i="17"/>
  <c r="P2023" i="17"/>
  <c r="Q2023" i="17"/>
  <c r="O2023" i="17"/>
  <c r="Q2022" i="17"/>
  <c r="P2022" i="17"/>
  <c r="O2022" i="17"/>
  <c r="Q2021" i="17"/>
  <c r="P2021" i="17"/>
  <c r="O2021" i="17"/>
  <c r="O2020" i="17"/>
  <c r="Q2020" i="17"/>
  <c r="P2020" i="17"/>
  <c r="P2019" i="17"/>
  <c r="Q2019" i="17"/>
  <c r="O2019" i="17"/>
  <c r="Q2018" i="17"/>
  <c r="O2018" i="17"/>
  <c r="P2018" i="17"/>
  <c r="P2012" i="17"/>
  <c r="O2012" i="17"/>
  <c r="Q2012" i="17"/>
  <c r="O2011" i="17"/>
  <c r="P2011" i="17"/>
  <c r="Q2011" i="17"/>
  <c r="P2010" i="17"/>
  <c r="O2010" i="17"/>
  <c r="Q2010" i="17"/>
  <c r="P2008" i="17"/>
  <c r="O2008" i="17"/>
  <c r="Q2008" i="17"/>
  <c r="O2005" i="17"/>
  <c r="P2005" i="17"/>
  <c r="Q2005" i="17"/>
  <c r="O2004" i="17"/>
  <c r="Q2004" i="17"/>
  <c r="P2004" i="17"/>
  <c r="Q2003" i="17"/>
  <c r="O2003" i="17"/>
  <c r="P2003" i="17"/>
  <c r="O2002" i="17"/>
  <c r="Q2002" i="17"/>
  <c r="P2002" i="17"/>
  <c r="P2001" i="17"/>
  <c r="Q2001" i="17"/>
  <c r="O2001" i="17"/>
  <c r="Q2000" i="17"/>
  <c r="O2000" i="17"/>
  <c r="P2000" i="17"/>
  <c r="O1999" i="17"/>
  <c r="P1999" i="17"/>
  <c r="Q1999" i="17"/>
  <c r="Q1998" i="17"/>
  <c r="O1998" i="17"/>
  <c r="P1998" i="17"/>
  <c r="O1995" i="17"/>
  <c r="P1995" i="17"/>
  <c r="Q1995" i="17"/>
  <c r="O1994" i="17"/>
  <c r="P1994" i="17"/>
  <c r="Q1994" i="17"/>
  <c r="P1993" i="17"/>
  <c r="O1993" i="17"/>
  <c r="Q1993" i="17"/>
  <c r="O1992" i="17"/>
  <c r="P1992" i="17"/>
  <c r="Q1992" i="17"/>
  <c r="O1991" i="17"/>
  <c r="P1991" i="17"/>
  <c r="Q1991" i="17"/>
  <c r="O1990" i="17"/>
  <c r="P1990" i="17"/>
  <c r="Q1990" i="17"/>
  <c r="O1989" i="17"/>
  <c r="P1989" i="17"/>
  <c r="Q1989" i="17"/>
  <c r="O1987" i="17"/>
  <c r="P1987" i="17"/>
  <c r="Q1987" i="17"/>
  <c r="P1985" i="17"/>
  <c r="O1985" i="17"/>
  <c r="Q1985" i="17"/>
  <c r="P1984" i="17"/>
  <c r="Q1984" i="17"/>
  <c r="O1984" i="17"/>
  <c r="Q1983" i="17"/>
  <c r="O1983" i="17"/>
  <c r="P1983" i="17"/>
  <c r="P1982" i="17"/>
  <c r="O1982" i="17"/>
  <c r="Q1982" i="17"/>
  <c r="P1981" i="17"/>
  <c r="O1981" i="17"/>
  <c r="Q1981" i="17"/>
  <c r="O1980" i="17"/>
  <c r="P1980" i="17"/>
  <c r="Q1980" i="17"/>
  <c r="O1979" i="17"/>
  <c r="P1979" i="17"/>
  <c r="Q1979" i="17"/>
  <c r="Q1977" i="17"/>
  <c r="P1977" i="17"/>
  <c r="O1977" i="17"/>
  <c r="Q1975" i="17"/>
  <c r="P1975" i="17"/>
  <c r="O1975" i="17"/>
  <c r="O1974" i="17"/>
  <c r="Q1974" i="17"/>
  <c r="P1974" i="17"/>
  <c r="Q1973" i="17"/>
  <c r="P1973" i="17"/>
  <c r="O1973" i="17"/>
  <c r="Q1972" i="17"/>
  <c r="P1972" i="17"/>
  <c r="O1972" i="17"/>
  <c r="P1971" i="17"/>
  <c r="O1971" i="17"/>
  <c r="Q1971" i="17"/>
  <c r="O1969" i="17"/>
  <c r="Q1969" i="17"/>
  <c r="P1969" i="17"/>
  <c r="P1968" i="17"/>
  <c r="O1968" i="17"/>
  <c r="Q1968" i="17"/>
  <c r="P1966" i="17"/>
  <c r="O1966" i="17"/>
  <c r="Q1966" i="17"/>
  <c r="Q1965" i="17"/>
  <c r="P1965" i="17"/>
  <c r="O1965" i="17"/>
  <c r="P1964" i="17"/>
  <c r="O1964" i="17"/>
  <c r="Q1964" i="17"/>
  <c r="Q1963" i="17"/>
  <c r="P1963" i="17"/>
  <c r="O1963" i="17"/>
  <c r="P1962" i="17"/>
  <c r="O1962" i="17"/>
  <c r="Q1962" i="17"/>
  <c r="Q1961" i="17"/>
  <c r="P1961" i="17"/>
  <c r="O1961" i="17"/>
  <c r="P1960" i="17"/>
  <c r="O1960" i="17"/>
  <c r="Q1960" i="17"/>
  <c r="P1958" i="17"/>
  <c r="O1958" i="17"/>
  <c r="Q1958" i="17"/>
  <c r="O1955" i="17"/>
  <c r="Q1955" i="17"/>
  <c r="P1955" i="17"/>
  <c r="O1954" i="17"/>
  <c r="Q1954" i="17"/>
  <c r="P1954" i="17"/>
  <c r="Q1953" i="17"/>
  <c r="P1953" i="17"/>
  <c r="O1953" i="17"/>
  <c r="P1952" i="17"/>
  <c r="Q1952" i="17"/>
  <c r="O1952" i="17"/>
  <c r="Q1951" i="17"/>
  <c r="P1951" i="17"/>
  <c r="O1951" i="17"/>
  <c r="O1950" i="17"/>
  <c r="P1950" i="17"/>
  <c r="Q1950" i="17"/>
  <c r="O1949" i="17"/>
  <c r="P1949" i="17"/>
  <c r="Q1949" i="17"/>
  <c r="O1947" i="17"/>
  <c r="P1947" i="17"/>
  <c r="Q1947" i="17"/>
  <c r="Q1946" i="17"/>
  <c r="O1946" i="17"/>
  <c r="P1946" i="17"/>
  <c r="Q1945" i="17"/>
  <c r="P1945" i="17"/>
  <c r="O1945" i="17"/>
  <c r="Q1944" i="17"/>
  <c r="P1944" i="17"/>
  <c r="O1944" i="17"/>
  <c r="P1943" i="17"/>
  <c r="Q1943" i="17"/>
  <c r="O1943" i="17"/>
  <c r="O1942" i="17"/>
  <c r="Q1942" i="17"/>
  <c r="P1942" i="17"/>
  <c r="Q1941" i="17"/>
  <c r="P1941" i="17"/>
  <c r="O1941" i="17"/>
  <c r="O1939" i="17"/>
  <c r="P1939" i="17"/>
  <c r="Q1939" i="17"/>
  <c r="Q1938" i="17"/>
  <c r="O1938" i="17"/>
  <c r="P1938" i="17"/>
  <c r="O1937" i="17"/>
  <c r="Q1937" i="17"/>
  <c r="P1937" i="17"/>
  <c r="O1936" i="17"/>
  <c r="P1936" i="17"/>
  <c r="Q1936" i="17"/>
  <c r="O1935" i="17"/>
  <c r="Q1935" i="17"/>
  <c r="P1935" i="17"/>
  <c r="O1934" i="17"/>
  <c r="Q1934" i="17"/>
  <c r="P1934" i="17"/>
  <c r="Q1933" i="17"/>
  <c r="P1933" i="17"/>
  <c r="O1933" i="17"/>
  <c r="Q1932" i="17"/>
  <c r="O1932" i="17"/>
  <c r="P1932" i="17"/>
  <c r="Q1931" i="17"/>
  <c r="P1931" i="17"/>
  <c r="O1931" i="17"/>
  <c r="O1930" i="17"/>
  <c r="P1930" i="17"/>
  <c r="Q1930" i="17"/>
  <c r="O1929" i="17"/>
  <c r="P1929" i="17"/>
  <c r="Q1929" i="17"/>
  <c r="O1928" i="17"/>
  <c r="P1928" i="17"/>
  <c r="Q1928" i="17"/>
  <c r="O1927" i="17"/>
  <c r="Q1927" i="17"/>
  <c r="P1927" i="17"/>
  <c r="O1926" i="17"/>
  <c r="P1926" i="17"/>
  <c r="Q1926" i="17"/>
  <c r="O1923" i="17"/>
  <c r="P1923" i="17"/>
  <c r="Q1923" i="17"/>
  <c r="P1922" i="17"/>
  <c r="Q1922" i="17"/>
  <c r="O1922" i="17"/>
  <c r="O1920" i="17"/>
  <c r="P1920" i="17"/>
  <c r="Q1920" i="17"/>
  <c r="P1919" i="17"/>
  <c r="O1919" i="17"/>
  <c r="Q1919" i="17"/>
  <c r="O1918" i="17"/>
  <c r="P1918" i="17"/>
  <c r="Q1918" i="17"/>
  <c r="P1917" i="17"/>
  <c r="Q1917" i="17"/>
  <c r="O1917" i="17"/>
  <c r="O1909" i="17"/>
  <c r="P1909" i="17"/>
  <c r="Q1909" i="17"/>
  <c r="O1908" i="17"/>
  <c r="P1908" i="17"/>
  <c r="Q1908" i="17"/>
  <c r="O1906" i="17"/>
  <c r="P1906" i="17"/>
  <c r="Q1906" i="17"/>
  <c r="P1905" i="17"/>
  <c r="O1905" i="17"/>
  <c r="Q1905" i="17"/>
  <c r="Q1904" i="17"/>
  <c r="P1904" i="17"/>
  <c r="O1904" i="17"/>
  <c r="Q1903" i="17"/>
  <c r="P1903" i="17"/>
  <c r="O1903" i="17"/>
  <c r="O1887" i="17"/>
  <c r="P1887" i="17"/>
  <c r="Q1887" i="17"/>
  <c r="Q1886" i="17"/>
  <c r="P1886" i="17"/>
  <c r="O1886" i="17"/>
  <c r="O1713" i="17"/>
  <c r="P1713" i="17"/>
  <c r="Q1713" i="17"/>
  <c r="Q1703" i="17"/>
  <c r="O1703" i="17"/>
  <c r="P1703" i="17"/>
  <c r="O1699" i="17"/>
  <c r="Q1699" i="17"/>
  <c r="P1699" i="17"/>
  <c r="O1698" i="17"/>
  <c r="P1698" i="17"/>
  <c r="Q1698" i="17"/>
  <c r="P1683" i="17"/>
  <c r="O1683" i="17"/>
  <c r="Q1683" i="17"/>
  <c r="P1682" i="17"/>
  <c r="Q1682" i="17"/>
  <c r="O1682" i="17"/>
  <c r="Q1680" i="17"/>
  <c r="O1680" i="17"/>
  <c r="P1680" i="17"/>
  <c r="P1677" i="17"/>
  <c r="O1677" i="17"/>
  <c r="Q1677" i="17"/>
  <c r="O2079" i="17"/>
  <c r="P2079" i="17"/>
  <c r="Q2079" i="17"/>
  <c r="P2078" i="17"/>
  <c r="Q2078" i="17"/>
  <c r="O2078" i="17"/>
  <c r="O2077" i="17"/>
  <c r="P2077" i="17"/>
  <c r="Q2077" i="17"/>
  <c r="Q2076" i="17"/>
  <c r="O2076" i="17"/>
  <c r="P2076" i="17"/>
  <c r="O2075" i="17"/>
  <c r="Q2075" i="17"/>
  <c r="P2075" i="17"/>
  <c r="P2074" i="17"/>
  <c r="Q2074" i="17"/>
  <c r="O2074" i="17"/>
  <c r="P2072" i="17"/>
  <c r="O2072" i="17"/>
  <c r="Q2072" i="17"/>
  <c r="Q2071" i="17"/>
  <c r="P2071" i="17"/>
  <c r="O2071" i="17"/>
  <c r="O2070" i="17"/>
  <c r="Q2070" i="17"/>
  <c r="P2070" i="17"/>
  <c r="P2069" i="17"/>
  <c r="O2069" i="17"/>
  <c r="Q2069" i="17"/>
  <c r="Q2068" i="17"/>
  <c r="P2068" i="17"/>
  <c r="O2068" i="17"/>
  <c r="O2067" i="17"/>
  <c r="Q2067" i="17"/>
  <c r="P2067" i="17"/>
  <c r="Q2066" i="17"/>
  <c r="O2066" i="17"/>
  <c r="P2066" i="17"/>
  <c r="Q2065" i="17"/>
  <c r="P2065" i="17"/>
  <c r="O2065" i="17"/>
  <c r="Q2064" i="17"/>
  <c r="O2064" i="17"/>
  <c r="P2064" i="17"/>
  <c r="O2063" i="17"/>
  <c r="P2063" i="17"/>
  <c r="Q2063" i="17"/>
  <c r="P2062" i="17"/>
  <c r="O2062" i="17"/>
  <c r="Q2062" i="17"/>
  <c r="Q2061" i="17"/>
  <c r="O2061" i="17"/>
  <c r="P2061" i="17"/>
  <c r="O2060" i="17"/>
  <c r="P2060" i="17"/>
  <c r="Q2060" i="17"/>
  <c r="P2059" i="17"/>
  <c r="O2059" i="17"/>
  <c r="Q2059" i="17"/>
  <c r="O2058" i="17"/>
  <c r="Q2058" i="17"/>
  <c r="P2058" i="17"/>
  <c r="P2057" i="17"/>
  <c r="Q2057" i="17"/>
  <c r="O2057" i="17"/>
  <c r="O2056" i="17"/>
  <c r="P2056" i="17"/>
  <c r="Q2056" i="17"/>
  <c r="O2055" i="17"/>
  <c r="P2055" i="17"/>
  <c r="Q2055" i="17"/>
  <c r="Q2053" i="17"/>
  <c r="P2053" i="17"/>
  <c r="O2053" i="17"/>
  <c r="P2052" i="17"/>
  <c r="Q2052" i="17"/>
  <c r="O2052" i="17"/>
  <c r="O2037" i="17"/>
  <c r="Q2037" i="17"/>
  <c r="P2037" i="17"/>
  <c r="Q2030" i="17"/>
  <c r="O2030" i="17"/>
  <c r="P2030" i="17"/>
  <c r="Q2017" i="17"/>
  <c r="P2017" i="17"/>
  <c r="O2017" i="17"/>
  <c r="P2015" i="17"/>
  <c r="Q2015" i="17"/>
  <c r="O2015" i="17"/>
  <c r="P2014" i="17"/>
  <c r="Q2014" i="17"/>
  <c r="O2014" i="17"/>
  <c r="P2013" i="17"/>
  <c r="Q2013" i="17"/>
  <c r="O2013" i="17"/>
  <c r="P2009" i="17"/>
  <c r="Q2009" i="17"/>
  <c r="O2009" i="17"/>
  <c r="P2007" i="17"/>
  <c r="O2007" i="17"/>
  <c r="Q2007" i="17"/>
  <c r="P2006" i="17"/>
  <c r="O2006" i="17"/>
  <c r="Q2006" i="17"/>
  <c r="P1996" i="17"/>
  <c r="O1996" i="17"/>
  <c r="Q1996" i="17"/>
  <c r="O1988" i="17"/>
  <c r="P1988" i="17"/>
  <c r="Q1988" i="17"/>
  <c r="Q1986" i="17"/>
  <c r="P1986" i="17"/>
  <c r="O1986" i="17"/>
  <c r="Q1976" i="17"/>
  <c r="P1976" i="17"/>
  <c r="O1976" i="17"/>
  <c r="Q1970" i="17"/>
  <c r="O1970" i="17"/>
  <c r="P1970" i="17"/>
  <c r="O1967" i="17"/>
  <c r="Q1967" i="17"/>
  <c r="P1967" i="17"/>
  <c r="P1957" i="17"/>
  <c r="Q1957" i="17"/>
  <c r="O1957" i="17"/>
  <c r="P1956" i="17"/>
  <c r="Q1956" i="17"/>
  <c r="O1956" i="17"/>
  <c r="O1948" i="17"/>
  <c r="P1948" i="17"/>
  <c r="Q1948" i="17"/>
  <c r="O1925" i="17"/>
  <c r="Q1925" i="17"/>
  <c r="P1925" i="17"/>
  <c r="Q1924" i="17"/>
  <c r="P1924" i="17"/>
  <c r="O1924" i="17"/>
  <c r="Q1916" i="17"/>
  <c r="O1916" i="17"/>
  <c r="P1916" i="17"/>
  <c r="P1915" i="17"/>
  <c r="Q1915" i="17"/>
  <c r="O1915" i="17"/>
  <c r="P1914" i="17"/>
  <c r="O1914" i="17"/>
  <c r="Q1914" i="17"/>
  <c r="Q1913" i="17"/>
  <c r="P1913" i="17"/>
  <c r="O1913" i="17"/>
  <c r="Q1912" i="17"/>
  <c r="O1912" i="17"/>
  <c r="P1912" i="17"/>
  <c r="P1911" i="17"/>
  <c r="O1911" i="17"/>
  <c r="Q1911" i="17"/>
  <c r="Q1910" i="17"/>
  <c r="O1910" i="17"/>
  <c r="P1910" i="17"/>
  <c r="Q1907" i="17"/>
  <c r="O1907" i="17"/>
  <c r="P1907" i="17"/>
  <c r="O1900" i="17"/>
  <c r="Q1900" i="17"/>
  <c r="P1900" i="17"/>
  <c r="O1893" i="17"/>
  <c r="Q1893" i="17"/>
  <c r="P1893" i="17"/>
  <c r="Q1882" i="17"/>
  <c r="P1882" i="17"/>
  <c r="O1882" i="17"/>
  <c r="Q1880" i="17"/>
  <c r="P1880" i="17"/>
  <c r="O1880" i="17"/>
  <c r="O1871" i="17"/>
  <c r="P1871" i="17"/>
  <c r="Q1871" i="17"/>
  <c r="O1752" i="17"/>
  <c r="Q1752" i="17"/>
  <c r="P1752" i="17"/>
  <c r="O1746" i="17"/>
  <c r="P1746" i="17"/>
  <c r="Q1746" i="17"/>
  <c r="O1741" i="17"/>
  <c r="P1741" i="17"/>
  <c r="Q1741" i="17"/>
  <c r="Q1717" i="17"/>
  <c r="O1717" i="17"/>
  <c r="P1717" i="17"/>
  <c r="O1716" i="17"/>
  <c r="Q1716" i="17"/>
  <c r="P1716" i="17"/>
  <c r="Q1701" i="17"/>
  <c r="P1701" i="17"/>
  <c r="O1701" i="17"/>
  <c r="P1854" i="17"/>
  <c r="O1854" i="17"/>
  <c r="Q1854" i="17"/>
  <c r="O1853" i="17"/>
  <c r="Q1853" i="17"/>
  <c r="P1853" i="17"/>
  <c r="O1852" i="17"/>
  <c r="Q1852" i="17"/>
  <c r="P1852" i="17"/>
  <c r="P1851" i="17"/>
  <c r="O1851" i="17"/>
  <c r="Q1851" i="17"/>
  <c r="O1850" i="17"/>
  <c r="P1850" i="17"/>
  <c r="Q1850" i="17"/>
  <c r="P1849" i="17"/>
  <c r="O1849" i="17"/>
  <c r="Q1849" i="17"/>
  <c r="Q1848" i="17"/>
  <c r="P1848" i="17"/>
  <c r="O1848" i="17"/>
  <c r="O1847" i="17"/>
  <c r="Q1847" i="17"/>
  <c r="P1847" i="17"/>
  <c r="O1846" i="17"/>
  <c r="Q1846" i="17"/>
  <c r="P1846" i="17"/>
  <c r="Q1844" i="17"/>
  <c r="P1844" i="17"/>
  <c r="O1844" i="17"/>
  <c r="Q1843" i="17"/>
  <c r="O1843" i="17"/>
  <c r="P1843" i="17"/>
  <c r="P1842" i="17"/>
  <c r="Q1842" i="17"/>
  <c r="O1842" i="17"/>
  <c r="O1841" i="17"/>
  <c r="P1841" i="17"/>
  <c r="Q1841" i="17"/>
  <c r="O1840" i="17"/>
  <c r="Q1840" i="17"/>
  <c r="P1840" i="17"/>
  <c r="Q1839" i="17"/>
  <c r="P1839" i="17"/>
  <c r="O1839" i="17"/>
  <c r="P1838" i="17"/>
  <c r="Q1838" i="17"/>
  <c r="O1838" i="17"/>
  <c r="O1837" i="17"/>
  <c r="P1837" i="17"/>
  <c r="Q1837" i="17"/>
  <c r="O1836" i="17"/>
  <c r="Q1836" i="17"/>
  <c r="P1836" i="17"/>
  <c r="P1835" i="17"/>
  <c r="O1835" i="17"/>
  <c r="Q1835" i="17"/>
  <c r="P1834" i="17"/>
  <c r="O1834" i="17"/>
  <c r="Q1834" i="17"/>
  <c r="Q1833" i="17"/>
  <c r="O1833" i="17"/>
  <c r="P1833" i="17"/>
  <c r="P1832" i="17"/>
  <c r="O1832" i="17"/>
  <c r="Q1832" i="17"/>
  <c r="P1831" i="17"/>
  <c r="Q1831" i="17"/>
  <c r="O1831" i="17"/>
  <c r="P1830" i="17"/>
  <c r="Q1830" i="17"/>
  <c r="O1830" i="17"/>
  <c r="P1829" i="17"/>
  <c r="O1829" i="17"/>
  <c r="Q1829" i="17"/>
  <c r="O1828" i="17"/>
  <c r="P1828" i="17"/>
  <c r="Q1828" i="17"/>
  <c r="O1827" i="17"/>
  <c r="Q1827" i="17"/>
  <c r="P1827" i="17"/>
  <c r="P1825" i="17"/>
  <c r="Q1825" i="17"/>
  <c r="O1825" i="17"/>
  <c r="O1824" i="17"/>
  <c r="P1824" i="17"/>
  <c r="Q1824" i="17"/>
  <c r="O1823" i="17"/>
  <c r="Q1823" i="17"/>
  <c r="P1823" i="17"/>
  <c r="P1822" i="17"/>
  <c r="Q1822" i="17"/>
  <c r="O1822" i="17"/>
  <c r="O1821" i="17"/>
  <c r="Q1821" i="17"/>
  <c r="P1821" i="17"/>
  <c r="P1820" i="17"/>
  <c r="Q1820" i="17"/>
  <c r="O1820" i="17"/>
  <c r="P1819" i="17"/>
  <c r="O1819" i="17"/>
  <c r="Q1819" i="17"/>
  <c r="Q1818" i="17"/>
  <c r="P1818" i="17"/>
  <c r="O1818" i="17"/>
  <c r="P1817" i="17"/>
  <c r="Q1817" i="17"/>
  <c r="O1817" i="17"/>
  <c r="P1816" i="17"/>
  <c r="Q1816" i="17"/>
  <c r="O1816" i="17"/>
  <c r="Q1815" i="17"/>
  <c r="O1815" i="17"/>
  <c r="P1815" i="17"/>
  <c r="P1814" i="17"/>
  <c r="O1814" i="17"/>
  <c r="Q1814" i="17"/>
  <c r="Q1813" i="17"/>
  <c r="O1813" i="17"/>
  <c r="P1813" i="17"/>
  <c r="O1812" i="17"/>
  <c r="P1812" i="17"/>
  <c r="Q1812" i="17"/>
  <c r="P1811" i="17"/>
  <c r="O1811" i="17"/>
  <c r="Q1811" i="17"/>
  <c r="O1810" i="17"/>
  <c r="Q1810" i="17"/>
  <c r="P1810" i="17"/>
  <c r="O1809" i="17"/>
  <c r="Q1809" i="17"/>
  <c r="P1809" i="17"/>
  <c r="Q1808" i="17"/>
  <c r="O1808" i="17"/>
  <c r="P1808" i="17"/>
  <c r="P1806" i="17"/>
  <c r="Q1806" i="17"/>
  <c r="O1806" i="17"/>
  <c r="P1805" i="17"/>
  <c r="O1805" i="17"/>
  <c r="Q1805" i="17"/>
  <c r="Q1804" i="17"/>
  <c r="P1804" i="17"/>
  <c r="O1804" i="17"/>
  <c r="O1803" i="17"/>
  <c r="P1803" i="17"/>
  <c r="Q1803" i="17"/>
  <c r="Q1802" i="17"/>
  <c r="O1802" i="17"/>
  <c r="P1802" i="17"/>
  <c r="O1801" i="17"/>
  <c r="Q1801" i="17"/>
  <c r="P1801" i="17"/>
  <c r="P1800" i="17"/>
  <c r="O1800" i="17"/>
  <c r="Q1800" i="17"/>
  <c r="O1799" i="17"/>
  <c r="Q1799" i="17"/>
  <c r="P1799" i="17"/>
  <c r="Q1798" i="17"/>
  <c r="P1798" i="17"/>
  <c r="O1798" i="17"/>
  <c r="O1797" i="17"/>
  <c r="P1797" i="17"/>
  <c r="Q1797" i="17"/>
  <c r="P1796" i="17"/>
  <c r="Q1796" i="17"/>
  <c r="O1796" i="17"/>
  <c r="O1795" i="17"/>
  <c r="Q1795" i="17"/>
  <c r="P1795" i="17"/>
  <c r="O1794" i="17"/>
  <c r="P1794" i="17"/>
  <c r="Q1794" i="17"/>
  <c r="O1793" i="17"/>
  <c r="Q1793" i="17"/>
  <c r="P1793" i="17"/>
  <c r="O1792" i="17"/>
  <c r="P1792" i="17"/>
  <c r="Q1792" i="17"/>
  <c r="Q1791" i="17"/>
  <c r="P1791" i="17"/>
  <c r="O1791" i="17"/>
  <c r="P1790" i="17"/>
  <c r="O1790" i="17"/>
  <c r="Q1790" i="17"/>
  <c r="P1789" i="17"/>
  <c r="Q1789" i="17"/>
  <c r="O1789" i="17"/>
  <c r="O1787" i="17"/>
  <c r="Q1787" i="17"/>
  <c r="P1787" i="17"/>
  <c r="O1786" i="17"/>
  <c r="Q1786" i="17"/>
  <c r="P1786" i="17"/>
  <c r="O1785" i="17"/>
  <c r="Q1785" i="17"/>
  <c r="P1785" i="17"/>
  <c r="P1784" i="17"/>
  <c r="Q1784" i="17"/>
  <c r="O1784" i="17"/>
  <c r="O1783" i="17"/>
  <c r="P1783" i="17"/>
  <c r="Q1783" i="17"/>
  <c r="Q1782" i="17"/>
  <c r="O1782" i="17"/>
  <c r="P1782" i="17"/>
  <c r="P1781" i="17"/>
  <c r="O1781" i="17"/>
  <c r="Q1781" i="17"/>
  <c r="Q1780" i="17"/>
  <c r="P1780" i="17"/>
  <c r="O1780" i="17"/>
  <c r="O1779" i="17"/>
  <c r="Q1779" i="17"/>
  <c r="P1779" i="17"/>
  <c r="Q1778" i="17"/>
  <c r="P1778" i="17"/>
  <c r="O1778" i="17"/>
  <c r="P1777" i="17"/>
  <c r="Q1777" i="17"/>
  <c r="O1777" i="17"/>
  <c r="O1776" i="17"/>
  <c r="P1776" i="17"/>
  <c r="Q1776" i="17"/>
  <c r="Q1775" i="17"/>
  <c r="P1775" i="17"/>
  <c r="O1775" i="17"/>
  <c r="Q1774" i="17"/>
  <c r="O1774" i="17"/>
  <c r="P1774" i="17"/>
  <c r="O1773" i="17"/>
  <c r="Q1773" i="17"/>
  <c r="P1773" i="17"/>
  <c r="Q1772" i="17"/>
  <c r="O1772" i="17"/>
  <c r="P1772" i="17"/>
  <c r="P1771" i="17"/>
  <c r="Q1771" i="17"/>
  <c r="O1771" i="17"/>
  <c r="P1770" i="17"/>
  <c r="Q1770" i="17"/>
  <c r="O1770" i="17"/>
  <c r="O1768" i="17"/>
  <c r="Q1768" i="17"/>
  <c r="P1768" i="17"/>
  <c r="O1767" i="17"/>
  <c r="Q1767" i="17"/>
  <c r="P1767" i="17"/>
  <c r="O1766" i="17"/>
  <c r="Q1766" i="17"/>
  <c r="P1766" i="17"/>
  <c r="P1765" i="17"/>
  <c r="Q1765" i="17"/>
  <c r="O1765" i="17"/>
  <c r="P1764" i="17"/>
  <c r="Q1764" i="17"/>
  <c r="O1764" i="17"/>
  <c r="Q1763" i="17"/>
  <c r="O1763" i="17"/>
  <c r="P1763" i="17"/>
  <c r="Q1762" i="17"/>
  <c r="O1762" i="17"/>
  <c r="P1762" i="17"/>
  <c r="Q1761" i="17"/>
  <c r="P1761" i="17"/>
  <c r="O1761" i="17"/>
  <c r="O1760" i="17"/>
  <c r="Q1760" i="17"/>
  <c r="P1760" i="17"/>
  <c r="O1759" i="17"/>
  <c r="Q1759" i="17"/>
  <c r="P1759" i="17"/>
  <c r="P1758" i="17"/>
  <c r="O1758" i="17"/>
  <c r="Q1758" i="17"/>
  <c r="Q1757" i="17"/>
  <c r="O1757" i="17"/>
  <c r="P1757" i="17"/>
  <c r="O1756" i="17"/>
  <c r="Q1756" i="17"/>
  <c r="P1756" i="17"/>
  <c r="O1755" i="17"/>
  <c r="Q1755" i="17"/>
  <c r="P1755" i="17"/>
  <c r="O1324" i="17"/>
  <c r="P1324" i="17"/>
  <c r="Q1324" i="17"/>
  <c r="P1166" i="17"/>
  <c r="Q1166" i="17"/>
  <c r="O1166" i="17"/>
  <c r="P1164" i="17"/>
  <c r="O1164" i="17"/>
  <c r="Q1164" i="17"/>
  <c r="Q1156" i="17"/>
  <c r="O1156" i="17"/>
  <c r="P1156" i="17"/>
  <c r="Q1150" i="17"/>
  <c r="O1150" i="17"/>
  <c r="P1150" i="17"/>
  <c r="P1146" i="17"/>
  <c r="Q1146" i="17"/>
  <c r="O1146" i="17"/>
  <c r="Q1145" i="17"/>
  <c r="P1145" i="17"/>
  <c r="O1145" i="17"/>
  <c r="P1144" i="17"/>
  <c r="O1144" i="17"/>
  <c r="Q1144" i="17"/>
  <c r="Q1138" i="17"/>
  <c r="O1138" i="17"/>
  <c r="P1138" i="17"/>
  <c r="O1132" i="17"/>
  <c r="Q1132" i="17"/>
  <c r="P1132" i="17"/>
  <c r="O1131" i="17"/>
  <c r="P1131" i="17"/>
  <c r="Q1131" i="17"/>
  <c r="Q1110" i="17"/>
  <c r="O1110" i="17"/>
  <c r="P1110" i="17"/>
  <c r="O1103" i="17"/>
  <c r="Q1103" i="17"/>
  <c r="P1103" i="17"/>
  <c r="Q1095" i="17"/>
  <c r="P1095" i="17"/>
  <c r="O1095" i="17"/>
  <c r="O1082" i="17"/>
  <c r="Q1082" i="17"/>
  <c r="P1082" i="17"/>
  <c r="O1071" i="17"/>
  <c r="Q1071" i="17"/>
  <c r="P1071" i="17"/>
  <c r="O1070" i="17"/>
  <c r="Q1070" i="17"/>
  <c r="P1070" i="17"/>
  <c r="P1064" i="17"/>
  <c r="Q1064" i="17"/>
  <c r="O1064" i="17"/>
  <c r="P1048" i="17"/>
  <c r="O1048" i="17"/>
  <c r="Q1048" i="17"/>
  <c r="P1042" i="17"/>
  <c r="Q1042" i="17"/>
  <c r="O1042" i="17"/>
  <c r="O1037" i="17"/>
  <c r="P1037" i="17"/>
  <c r="Q1037" i="17"/>
  <c r="O1892" i="17"/>
  <c r="Q1892" i="17"/>
  <c r="P1892" i="17"/>
  <c r="P1876" i="17"/>
  <c r="Q1876" i="17"/>
  <c r="O1876" i="17"/>
  <c r="Q1875" i="17"/>
  <c r="O1875" i="17"/>
  <c r="P1875" i="17"/>
  <c r="Q1872" i="17"/>
  <c r="P1872" i="17"/>
  <c r="O1872" i="17"/>
  <c r="O1735" i="17"/>
  <c r="Q1735" i="17"/>
  <c r="P1735" i="17"/>
  <c r="P1728" i="17"/>
  <c r="Q1728" i="17"/>
  <c r="O1728" i="17"/>
  <c r="Q1722" i="17"/>
  <c r="P1722" i="17"/>
  <c r="O1722" i="17"/>
  <c r="O1665" i="17"/>
  <c r="P1665" i="17"/>
  <c r="Q1665" i="17"/>
  <c r="O1247" i="17"/>
  <c r="P1247" i="17"/>
  <c r="Q1247" i="17"/>
  <c r="P1246" i="17"/>
  <c r="Q1246" i="17"/>
  <c r="O1246" i="17"/>
  <c r="O1245" i="17"/>
  <c r="Q1245" i="17"/>
  <c r="P1245" i="17"/>
  <c r="P1244" i="17"/>
  <c r="O1244" i="17"/>
  <c r="Q1244" i="17"/>
  <c r="O1233" i="17"/>
  <c r="Q1233" i="17"/>
  <c r="P1233" i="17"/>
  <c r="O1232" i="17"/>
  <c r="Q1232" i="17"/>
  <c r="P1232" i="17"/>
  <c r="O1231" i="17"/>
  <c r="P1231" i="17"/>
  <c r="Q1231" i="17"/>
  <c r="Q1230" i="17"/>
  <c r="P1230" i="17"/>
  <c r="O1230" i="17"/>
  <c r="Q1229" i="17"/>
  <c r="O1229" i="17"/>
  <c r="P1229" i="17"/>
  <c r="Q1228" i="17"/>
  <c r="O1228" i="17"/>
  <c r="P1228" i="17"/>
  <c r="O1227" i="17"/>
  <c r="P1227" i="17"/>
  <c r="Q1227" i="17"/>
  <c r="P1226" i="17"/>
  <c r="Q1226" i="17"/>
  <c r="O1226" i="17"/>
  <c r="O1225" i="17"/>
  <c r="Q1225" i="17"/>
  <c r="P1225" i="17"/>
  <c r="Q1224" i="17"/>
  <c r="P1224" i="17"/>
  <c r="O1224" i="17"/>
  <c r="Q1223" i="17"/>
  <c r="P1223" i="17"/>
  <c r="O1223" i="17"/>
  <c r="O1196" i="17"/>
  <c r="Q1196" i="17"/>
  <c r="P1196" i="17"/>
  <c r="O1192" i="17"/>
  <c r="P1192" i="17"/>
  <c r="Q1192" i="17"/>
  <c r="O1177" i="17"/>
  <c r="P1177" i="17"/>
  <c r="Q1177" i="17"/>
  <c r="P1172" i="17"/>
  <c r="O1172" i="17"/>
  <c r="Q1172" i="17"/>
  <c r="P1162" i="17"/>
  <c r="O1162" i="17"/>
  <c r="Q1162" i="17"/>
  <c r="Q1154" i="17"/>
  <c r="O1154" i="17"/>
  <c r="P1154" i="17"/>
  <c r="P1153" i="17"/>
  <c r="Q1153" i="17"/>
  <c r="O1153" i="17"/>
  <c r="Q1147" i="17"/>
  <c r="O1147" i="17"/>
  <c r="P1147" i="17"/>
  <c r="O1136" i="17"/>
  <c r="Q1136" i="17"/>
  <c r="P1136" i="17"/>
  <c r="Q1135" i="17"/>
  <c r="O1135" i="17"/>
  <c r="P1135" i="17"/>
  <c r="P1133" i="17"/>
  <c r="O1133" i="17"/>
  <c r="Q1133" i="17"/>
  <c r="P1128" i="17"/>
  <c r="O1128" i="17"/>
  <c r="Q1128" i="17"/>
  <c r="P1126" i="17"/>
  <c r="Q1126" i="17"/>
  <c r="O1126" i="17"/>
  <c r="O1120" i="17"/>
  <c r="Q1120" i="17"/>
  <c r="P1120" i="17"/>
  <c r="P1118" i="17"/>
  <c r="O1118" i="17"/>
  <c r="Q1118" i="17"/>
  <c r="O1117" i="17"/>
  <c r="P1117" i="17"/>
  <c r="Q1117" i="17"/>
  <c r="P1115" i="17"/>
  <c r="O1115" i="17"/>
  <c r="Q1115" i="17"/>
  <c r="O1112" i="17"/>
  <c r="P1112" i="17"/>
  <c r="Q1112" i="17"/>
  <c r="O1105" i="17"/>
  <c r="Q1105" i="17"/>
  <c r="P1105" i="17"/>
  <c r="O1100" i="17"/>
  <c r="Q1100" i="17"/>
  <c r="P1100" i="17"/>
  <c r="O1097" i="17"/>
  <c r="Q1097" i="17"/>
  <c r="P1097" i="17"/>
  <c r="P1096" i="17"/>
  <c r="Q1096" i="17"/>
  <c r="O1096" i="17"/>
  <c r="Q1090" i="17"/>
  <c r="P1090" i="17"/>
  <c r="O1090" i="17"/>
  <c r="P1087" i="17"/>
  <c r="Q1087" i="17"/>
  <c r="O1087" i="17"/>
  <c r="P1084" i="17"/>
  <c r="O1084" i="17"/>
  <c r="Q1084" i="17"/>
  <c r="O1077" i="17"/>
  <c r="P1077" i="17"/>
  <c r="Q1077" i="17"/>
  <c r="O1075" i="17"/>
  <c r="P1075" i="17"/>
  <c r="Q1075" i="17"/>
  <c r="O1062" i="17"/>
  <c r="Q1062" i="17"/>
  <c r="P1062" i="17"/>
  <c r="P1058" i="17"/>
  <c r="O1058" i="17"/>
  <c r="Q1058" i="17"/>
  <c r="Q1057" i="17"/>
  <c r="O1057" i="17"/>
  <c r="P1057" i="17"/>
  <c r="Q1056" i="17"/>
  <c r="O1056" i="17"/>
  <c r="P1056" i="17"/>
  <c r="O1053" i="17"/>
  <c r="P1053" i="17"/>
  <c r="Q1053" i="17"/>
  <c r="P1049" i="17"/>
  <c r="Q1049" i="17"/>
  <c r="O1049" i="17"/>
  <c r="P1036" i="17"/>
  <c r="O1036" i="17"/>
  <c r="Q1036" i="17"/>
  <c r="P1896" i="17"/>
  <c r="Q1896" i="17"/>
  <c r="O1896" i="17"/>
  <c r="Q1889" i="17"/>
  <c r="O1889" i="17"/>
  <c r="P1889" i="17"/>
  <c r="P1888" i="17"/>
  <c r="O1888" i="17"/>
  <c r="Q1888" i="17"/>
  <c r="O1885" i="17"/>
  <c r="Q1885" i="17"/>
  <c r="P1885" i="17"/>
  <c r="O1739" i="17"/>
  <c r="Q1739" i="17"/>
  <c r="P1739" i="17"/>
  <c r="O1723" i="17"/>
  <c r="Q1723" i="17"/>
  <c r="P1723" i="17"/>
  <c r="P1721" i="17"/>
  <c r="Q1721" i="17"/>
  <c r="O1721" i="17"/>
  <c r="Q1669" i="17"/>
  <c r="O1669" i="17"/>
  <c r="P1669" i="17"/>
  <c r="O1666" i="17"/>
  <c r="P1666" i="17"/>
  <c r="Q1666" i="17"/>
  <c r="P1222" i="17"/>
  <c r="O1222" i="17"/>
  <c r="Q1222" i="17"/>
  <c r="Q1221" i="17"/>
  <c r="P1221" i="17"/>
  <c r="O1221" i="17"/>
  <c r="P1220" i="17"/>
  <c r="Q1220" i="17"/>
  <c r="O1220" i="17"/>
  <c r="O1219" i="17"/>
  <c r="P1219" i="17"/>
  <c r="Q1219" i="17"/>
  <c r="P1217" i="17"/>
  <c r="Q1217" i="17"/>
  <c r="O1217" i="17"/>
  <c r="Q1216" i="17"/>
  <c r="P1216" i="17"/>
  <c r="O1216" i="17"/>
  <c r="Q1215" i="17"/>
  <c r="O1215" i="17"/>
  <c r="P1215" i="17"/>
  <c r="O1214" i="17"/>
  <c r="Q1214" i="17"/>
  <c r="P1214" i="17"/>
  <c r="P1213" i="17"/>
  <c r="Q1213" i="17"/>
  <c r="O1213" i="17"/>
  <c r="Q1212" i="17"/>
  <c r="P1212" i="17"/>
  <c r="O1212" i="17"/>
  <c r="Q1211" i="17"/>
  <c r="O1211" i="17"/>
  <c r="P1211" i="17"/>
  <c r="O1210" i="17"/>
  <c r="Q1210" i="17"/>
  <c r="P1210" i="17"/>
  <c r="O1209" i="17"/>
  <c r="P1209" i="17"/>
  <c r="Q1209" i="17"/>
  <c r="O1208" i="17"/>
  <c r="P1208" i="17"/>
  <c r="Q1208" i="17"/>
  <c r="P1207" i="17"/>
  <c r="Q1207" i="17"/>
  <c r="O1207" i="17"/>
  <c r="Q1206" i="17"/>
  <c r="O1206" i="17"/>
  <c r="P1206" i="17"/>
  <c r="O1205" i="17"/>
  <c r="Q1205" i="17"/>
  <c r="P1205" i="17"/>
  <c r="P1204" i="17"/>
  <c r="Q1204" i="17"/>
  <c r="O1204" i="17"/>
  <c r="O1203" i="17"/>
  <c r="Q1203" i="17"/>
  <c r="P1203" i="17"/>
  <c r="O1202" i="17"/>
  <c r="Q1202" i="17"/>
  <c r="P1202" i="17"/>
  <c r="P1201" i="17"/>
  <c r="O1201" i="17"/>
  <c r="Q1201" i="17"/>
  <c r="P1200" i="17"/>
  <c r="O1200" i="17"/>
  <c r="Q1200" i="17"/>
  <c r="O1198" i="17"/>
  <c r="Q1198" i="17"/>
  <c r="P1198" i="17"/>
  <c r="Q1197" i="17"/>
  <c r="O1197" i="17"/>
  <c r="P1197" i="17"/>
  <c r="Q1195" i="17"/>
  <c r="P1195" i="17"/>
  <c r="O1195" i="17"/>
  <c r="Q1194" i="17"/>
  <c r="P1194" i="17"/>
  <c r="O1194" i="17"/>
  <c r="Q1193" i="17"/>
  <c r="P1193" i="17"/>
  <c r="O1193" i="17"/>
  <c r="O1191" i="17"/>
  <c r="Q1191" i="17"/>
  <c r="P1191" i="17"/>
  <c r="Q1190" i="17"/>
  <c r="P1190" i="17"/>
  <c r="O1190" i="17"/>
  <c r="Q1189" i="17"/>
  <c r="P1189" i="17"/>
  <c r="O1189" i="17"/>
  <c r="Q1188" i="17"/>
  <c r="O1188" i="17"/>
  <c r="P1188" i="17"/>
  <c r="Q1187" i="17"/>
  <c r="O1187" i="17"/>
  <c r="P1187" i="17"/>
  <c r="Q1186" i="17"/>
  <c r="O1186" i="17"/>
  <c r="P1186" i="17"/>
  <c r="O1185" i="17"/>
  <c r="P1185" i="17"/>
  <c r="Q1185" i="17"/>
  <c r="P1184" i="17"/>
  <c r="O1184" i="17"/>
  <c r="Q1184" i="17"/>
  <c r="P1183" i="17"/>
  <c r="Q1183" i="17"/>
  <c r="O1183" i="17"/>
  <c r="Q1182" i="17"/>
  <c r="P1182" i="17"/>
  <c r="O1182" i="17"/>
  <c r="Q1181" i="17"/>
  <c r="P1181" i="17"/>
  <c r="O1181" i="17"/>
  <c r="Q1179" i="17"/>
  <c r="O1179" i="17"/>
  <c r="P1179" i="17"/>
  <c r="O1178" i="17"/>
  <c r="P1178" i="17"/>
  <c r="Q1178" i="17"/>
  <c r="O1176" i="17"/>
  <c r="P1176" i="17"/>
  <c r="Q1176" i="17"/>
  <c r="P1175" i="17"/>
  <c r="Q1175" i="17"/>
  <c r="O1175" i="17"/>
  <c r="O1174" i="17"/>
  <c r="P1174" i="17"/>
  <c r="Q1174" i="17"/>
  <c r="P1173" i="17"/>
  <c r="O1173" i="17"/>
  <c r="Q1173" i="17"/>
  <c r="Q1171" i="17"/>
  <c r="O1171" i="17"/>
  <c r="P1171" i="17"/>
  <c r="O1170" i="17"/>
  <c r="P1170" i="17"/>
  <c r="Q1170" i="17"/>
  <c r="Q1169" i="17"/>
  <c r="O1169" i="17"/>
  <c r="P1169" i="17"/>
  <c r="P1168" i="17"/>
  <c r="Q1168" i="17"/>
  <c r="O1168" i="17"/>
  <c r="Q1167" i="17"/>
  <c r="O1167" i="17"/>
  <c r="P1167" i="17"/>
  <c r="O1165" i="17"/>
  <c r="P1165" i="17"/>
  <c r="Q1165" i="17"/>
  <c r="P1163" i="17"/>
  <c r="O1163" i="17"/>
  <c r="Q1163" i="17"/>
  <c r="Q1160" i="17"/>
  <c r="P1160" i="17"/>
  <c r="O1160" i="17"/>
  <c r="Q1159" i="17"/>
  <c r="O1159" i="17"/>
  <c r="P1159" i="17"/>
  <c r="O1158" i="17"/>
  <c r="P1158" i="17"/>
  <c r="Q1158" i="17"/>
  <c r="P1157" i="17"/>
  <c r="Q1157" i="17"/>
  <c r="O1157" i="17"/>
  <c r="Q1155" i="17"/>
  <c r="O1155" i="17"/>
  <c r="P1155" i="17"/>
  <c r="Q1152" i="17"/>
  <c r="O1152" i="17"/>
  <c r="P1152" i="17"/>
  <c r="P1151" i="17"/>
  <c r="Q1151" i="17"/>
  <c r="O1151" i="17"/>
  <c r="O1149" i="17"/>
  <c r="Q1149" i="17"/>
  <c r="P1149" i="17"/>
  <c r="O1148" i="17"/>
  <c r="Q1148" i="17"/>
  <c r="P1148" i="17"/>
  <c r="Q1143" i="17"/>
  <c r="P1143" i="17"/>
  <c r="O1143" i="17"/>
  <c r="O1141" i="17"/>
  <c r="P1141" i="17"/>
  <c r="Q1141" i="17"/>
  <c r="P1140" i="17"/>
  <c r="Q1140" i="17"/>
  <c r="O1140" i="17"/>
  <c r="Q1139" i="17"/>
  <c r="O1139" i="17"/>
  <c r="P1139" i="17"/>
  <c r="Q1137" i="17"/>
  <c r="O1137" i="17"/>
  <c r="P1137" i="17"/>
  <c r="Q1134" i="17"/>
  <c r="O1134" i="17"/>
  <c r="P1134" i="17"/>
  <c r="O1130" i="17"/>
  <c r="Q1130" i="17"/>
  <c r="P1130" i="17"/>
  <c r="Q1129" i="17"/>
  <c r="P1129" i="17"/>
  <c r="O1129" i="17"/>
  <c r="O1127" i="17"/>
  <c r="P1127" i="17"/>
  <c r="Q1127" i="17"/>
  <c r="O1125" i="17"/>
  <c r="Q1125" i="17"/>
  <c r="P1125" i="17"/>
  <c r="O1124" i="17"/>
  <c r="Q1124" i="17"/>
  <c r="P1124" i="17"/>
  <c r="O1122" i="17"/>
  <c r="P1122" i="17"/>
  <c r="Q1122" i="17"/>
  <c r="O1121" i="17"/>
  <c r="P1121" i="17"/>
  <c r="Q1121" i="17"/>
  <c r="P1119" i="17"/>
  <c r="O1119" i="17"/>
  <c r="Q1119" i="17"/>
  <c r="O1116" i="17"/>
  <c r="Q1116" i="17"/>
  <c r="P1116" i="17"/>
  <c r="O1114" i="17"/>
  <c r="P1114" i="17"/>
  <c r="Q1114" i="17"/>
  <c r="P1113" i="17"/>
  <c r="O1113" i="17"/>
  <c r="Q1113" i="17"/>
  <c r="Q1111" i="17"/>
  <c r="P1111" i="17"/>
  <c r="O1111" i="17"/>
  <c r="P1109" i="17"/>
  <c r="Q1109" i="17"/>
  <c r="O1109" i="17"/>
  <c r="Q1108" i="17"/>
  <c r="P1108" i="17"/>
  <c r="O1108" i="17"/>
  <c r="O1107" i="17"/>
  <c r="P1107" i="17"/>
  <c r="Q1107" i="17"/>
  <c r="O1106" i="17"/>
  <c r="P1106" i="17"/>
  <c r="Q1106" i="17"/>
  <c r="O1102" i="17"/>
  <c r="P1102" i="17"/>
  <c r="Q1102" i="17"/>
  <c r="P1101" i="17"/>
  <c r="O1101" i="17"/>
  <c r="Q1101" i="17"/>
  <c r="P1099" i="17"/>
  <c r="Q1099" i="17"/>
  <c r="O1099" i="17"/>
  <c r="O1098" i="17"/>
  <c r="P1098" i="17"/>
  <c r="Q1098" i="17"/>
  <c r="Q1094" i="17"/>
  <c r="P1094" i="17"/>
  <c r="O1094" i="17"/>
  <c r="O1093" i="17"/>
  <c r="P1093" i="17"/>
  <c r="Q1093" i="17"/>
  <c r="P1092" i="17"/>
  <c r="O1092" i="17"/>
  <c r="Q1092" i="17"/>
  <c r="P1091" i="17"/>
  <c r="Q1091" i="17"/>
  <c r="O1091" i="17"/>
  <c r="Q1089" i="17"/>
  <c r="O1089" i="17"/>
  <c r="P1089" i="17"/>
  <c r="O1088" i="17"/>
  <c r="P1088" i="17"/>
  <c r="Q1088" i="17"/>
  <c r="O1086" i="17"/>
  <c r="Q1086" i="17"/>
  <c r="P1086" i="17"/>
  <c r="Q1083" i="17"/>
  <c r="O1083" i="17"/>
  <c r="P1083" i="17"/>
  <c r="O1081" i="17"/>
  <c r="P1081" i="17"/>
  <c r="Q1081" i="17"/>
  <c r="P1080" i="17"/>
  <c r="O1080" i="17"/>
  <c r="Q1080" i="17"/>
  <c r="Q1079" i="17"/>
  <c r="P1079" i="17"/>
  <c r="O1079" i="17"/>
  <c r="Q1078" i="17"/>
  <c r="P1078" i="17"/>
  <c r="O1078" i="17"/>
  <c r="Q1076" i="17"/>
  <c r="O1076" i="17"/>
  <c r="P1076" i="17"/>
  <c r="P1074" i="17"/>
  <c r="O1074" i="17"/>
  <c r="Q1074" i="17"/>
  <c r="O1073" i="17"/>
  <c r="P1073" i="17"/>
  <c r="Q1073" i="17"/>
  <c r="P1072" i="17"/>
  <c r="Q1072" i="17"/>
  <c r="O1072" i="17"/>
  <c r="P1069" i="17"/>
  <c r="Q1069" i="17"/>
  <c r="O1069" i="17"/>
  <c r="Q1068" i="17"/>
  <c r="O1068" i="17"/>
  <c r="P1068" i="17"/>
  <c r="P1067" i="17"/>
  <c r="Q1067" i="17"/>
  <c r="O1067" i="17"/>
  <c r="P1065" i="17"/>
  <c r="O1065" i="17"/>
  <c r="Q1065" i="17"/>
  <c r="P1063" i="17"/>
  <c r="Q1063" i="17"/>
  <c r="O1063" i="17"/>
  <c r="P1061" i="17"/>
  <c r="O1061" i="17"/>
  <c r="Q1061" i="17"/>
  <c r="O1060" i="17"/>
  <c r="P1060" i="17"/>
  <c r="Q1060" i="17"/>
  <c r="Q1059" i="17"/>
  <c r="O1059" i="17"/>
  <c r="P1059" i="17"/>
  <c r="Q1055" i="17"/>
  <c r="O1055" i="17"/>
  <c r="P1055" i="17"/>
  <c r="Q1054" i="17"/>
  <c r="O1054" i="17"/>
  <c r="P1054" i="17"/>
  <c r="Q1052" i="17"/>
  <c r="O1052" i="17"/>
  <c r="P1052" i="17"/>
  <c r="O1051" i="17"/>
  <c r="Q1051" i="17"/>
  <c r="P1051" i="17"/>
  <c r="P1050" i="17"/>
  <c r="O1050" i="17"/>
  <c r="Q1050" i="17"/>
  <c r="P1046" i="17"/>
  <c r="Q1046" i="17"/>
  <c r="O1046" i="17"/>
  <c r="P1045" i="17"/>
  <c r="O1045" i="17"/>
  <c r="Q1045" i="17"/>
  <c r="Q1044" i="17"/>
  <c r="O1044" i="17"/>
  <c r="P1044" i="17"/>
  <c r="P1043" i="17"/>
  <c r="Q1043" i="17"/>
  <c r="O1043" i="17"/>
  <c r="O1041" i="17"/>
  <c r="Q1041" i="17"/>
  <c r="P1041" i="17"/>
  <c r="P1040" i="17"/>
  <c r="O1040" i="17"/>
  <c r="Q1040" i="17"/>
  <c r="P1039" i="17"/>
  <c r="O1039" i="17"/>
  <c r="Q1039" i="17"/>
  <c r="O1038" i="17"/>
  <c r="Q1038" i="17"/>
  <c r="P1038" i="17"/>
  <c r="P1035" i="17"/>
  <c r="O1035" i="17"/>
  <c r="Q1035" i="17"/>
  <c r="P1740" i="17"/>
  <c r="Q1740" i="17"/>
  <c r="O1740" i="17"/>
  <c r="O1738" i="17"/>
  <c r="P1738" i="17"/>
  <c r="Q1738" i="17"/>
  <c r="Q1734" i="17"/>
  <c r="P1734" i="17"/>
  <c r="O1734" i="17"/>
  <c r="Q1730" i="17"/>
  <c r="P1730" i="17"/>
  <c r="O1730" i="17"/>
  <c r="P1729" i="17"/>
  <c r="O1729" i="17"/>
  <c r="Q1729" i="17"/>
  <c r="P1726" i="17"/>
  <c r="O1726" i="17"/>
  <c r="Q1726" i="17"/>
  <c r="P1720" i="17"/>
  <c r="O1720" i="17"/>
  <c r="Q1720" i="17"/>
  <c r="Q1711" i="17"/>
  <c r="O1711" i="17"/>
  <c r="P1711" i="17"/>
  <c r="P1710" i="17"/>
  <c r="Q1710" i="17"/>
  <c r="O1710" i="17"/>
  <c r="O1708" i="17"/>
  <c r="P1708" i="17"/>
  <c r="Q1708" i="17"/>
  <c r="P1706" i="17"/>
  <c r="O1706" i="17"/>
  <c r="Q1706" i="17"/>
  <c r="O1695" i="17"/>
  <c r="Q1695" i="17"/>
  <c r="P1695" i="17"/>
  <c r="Q1694" i="17"/>
  <c r="P1694" i="17"/>
  <c r="O1694" i="17"/>
  <c r="O1692" i="17"/>
  <c r="Q1692" i="17"/>
  <c r="P1692" i="17"/>
  <c r="Q1690" i="17"/>
  <c r="O1690" i="17"/>
  <c r="P1690" i="17"/>
  <c r="P1689" i="17"/>
  <c r="Q1689" i="17"/>
  <c r="O1689" i="17"/>
  <c r="Q1685" i="17"/>
  <c r="P1685" i="17"/>
  <c r="O1685" i="17"/>
  <c r="Q1684" i="17"/>
  <c r="P1684" i="17"/>
  <c r="O1684" i="17"/>
  <c r="P1681" i="17"/>
  <c r="Q1681" i="17"/>
  <c r="O1681" i="17"/>
  <c r="O1679" i="17"/>
  <c r="Q1679" i="17"/>
  <c r="P1679" i="17"/>
  <c r="O1678" i="17"/>
  <c r="Q1678" i="17"/>
  <c r="P1678" i="17"/>
  <c r="O1673" i="17"/>
  <c r="P1673" i="17"/>
  <c r="Q1673" i="17"/>
  <c r="Q1672" i="17"/>
  <c r="P1672" i="17"/>
  <c r="O1672" i="17"/>
  <c r="O1670" i="17"/>
  <c r="P1670" i="17"/>
  <c r="Q1670" i="17"/>
  <c r="Q1899" i="17"/>
  <c r="O1899" i="17"/>
  <c r="P1899" i="17"/>
  <c r="P1897" i="17"/>
  <c r="O1897" i="17"/>
  <c r="Q1897" i="17"/>
  <c r="O1894" i="17"/>
  <c r="P1894" i="17"/>
  <c r="Q1894" i="17"/>
  <c r="Q1881" i="17"/>
  <c r="P1881" i="17"/>
  <c r="O1881" i="17"/>
  <c r="Q1878" i="17"/>
  <c r="O1878" i="17"/>
  <c r="P1878" i="17"/>
  <c r="P1877" i="17"/>
  <c r="Q1877" i="17"/>
  <c r="O1877" i="17"/>
  <c r="Q1753" i="17"/>
  <c r="O1753" i="17"/>
  <c r="P1753" i="17"/>
  <c r="Q1751" i="17"/>
  <c r="O1751" i="17"/>
  <c r="P1751" i="17"/>
  <c r="P1749" i="17"/>
  <c r="Q1749" i="17"/>
  <c r="O1749" i="17"/>
  <c r="P1748" i="17"/>
  <c r="O1748" i="17"/>
  <c r="Q1748" i="17"/>
  <c r="O1747" i="17"/>
  <c r="Q1747" i="17"/>
  <c r="P1747" i="17"/>
  <c r="O1745" i="17"/>
  <c r="P1745" i="17"/>
  <c r="Q1745" i="17"/>
  <c r="O1737" i="17"/>
  <c r="P1737" i="17"/>
  <c r="Q1737" i="17"/>
  <c r="O1736" i="17"/>
  <c r="Q1736" i="17"/>
  <c r="P1736" i="17"/>
  <c r="O1733" i="17"/>
  <c r="Q1733" i="17"/>
  <c r="P1733" i="17"/>
  <c r="O1732" i="17"/>
  <c r="Q1732" i="17"/>
  <c r="P1732" i="17"/>
  <c r="P1727" i="17"/>
  <c r="O1727" i="17"/>
  <c r="Q1727" i="17"/>
  <c r="Q1724" i="17"/>
  <c r="O1724" i="17"/>
  <c r="P1724" i="17"/>
  <c r="O1719" i="17"/>
  <c r="Q1719" i="17"/>
  <c r="P1719" i="17"/>
  <c r="P1718" i="17"/>
  <c r="Q1718" i="17"/>
  <c r="O1718" i="17"/>
  <c r="O1709" i="17"/>
  <c r="Q1709" i="17"/>
  <c r="P1709" i="17"/>
  <c r="Q1707" i="17"/>
  <c r="P1707" i="17"/>
  <c r="O1707" i="17"/>
  <c r="P1705" i="17"/>
  <c r="O1705" i="17"/>
  <c r="Q1705" i="17"/>
  <c r="O1704" i="17"/>
  <c r="Q1704" i="17"/>
  <c r="P1704" i="17"/>
  <c r="P1702" i="17"/>
  <c r="O1702" i="17"/>
  <c r="Q1702" i="17"/>
  <c r="P1700" i="17"/>
  <c r="O1700" i="17"/>
  <c r="Q1700" i="17"/>
  <c r="P1697" i="17"/>
  <c r="O1697" i="17"/>
  <c r="Q1697" i="17"/>
  <c r="O1696" i="17"/>
  <c r="Q1696" i="17"/>
  <c r="P1696" i="17"/>
  <c r="Q1688" i="17"/>
  <c r="P1688" i="17"/>
  <c r="O1688" i="17"/>
  <c r="Q1687" i="17"/>
  <c r="P1687" i="17"/>
  <c r="O1687" i="17"/>
  <c r="P1686" i="17"/>
  <c r="O1686" i="17"/>
  <c r="Q1686" i="17"/>
  <c r="P1664" i="17"/>
  <c r="O1664" i="17"/>
  <c r="Q1664" i="17"/>
  <c r="O1874" i="17"/>
  <c r="Q1874" i="17"/>
  <c r="P1874" i="17"/>
  <c r="O1873" i="17"/>
  <c r="P1873" i="17"/>
  <c r="Q1873" i="17"/>
  <c r="P1744" i="17"/>
  <c r="Q1744" i="17"/>
  <c r="O1744" i="17"/>
  <c r="P1743" i="17"/>
  <c r="Q1743" i="17"/>
  <c r="O1743" i="17"/>
  <c r="P1742" i="17"/>
  <c r="O1742" i="17"/>
  <c r="Q1742" i="17"/>
  <c r="P1715" i="17"/>
  <c r="Q1715" i="17"/>
  <c r="O1715" i="17"/>
  <c r="O1714" i="17"/>
  <c r="Q1714" i="17"/>
  <c r="P1714" i="17"/>
  <c r="P1691" i="17"/>
  <c r="O1691" i="17"/>
  <c r="Q1691" i="17"/>
  <c r="Q1675" i="17"/>
  <c r="P1675" i="17"/>
  <c r="O1675" i="17"/>
  <c r="Q1668" i="17"/>
  <c r="O1668" i="17"/>
  <c r="P1668" i="17"/>
  <c r="O1667" i="17"/>
  <c r="P1667" i="17"/>
  <c r="Q1667" i="17"/>
  <c r="Q1663" i="17"/>
  <c r="O1663" i="17"/>
  <c r="P1663" i="17"/>
  <c r="O1662" i="17"/>
  <c r="P1662" i="17"/>
  <c r="Q1662" i="17"/>
  <c r="Q1901" i="17"/>
  <c r="P1901" i="17"/>
  <c r="O1901" i="17"/>
  <c r="Q1898" i="17"/>
  <c r="P1898" i="17"/>
  <c r="O1898" i="17"/>
  <c r="O1895" i="17"/>
  <c r="P1895" i="17"/>
  <c r="Q1895" i="17"/>
  <c r="Q1891" i="17"/>
  <c r="O1891" i="17"/>
  <c r="P1891" i="17"/>
  <c r="Q1890" i="17"/>
  <c r="P1890" i="17"/>
  <c r="O1890" i="17"/>
  <c r="P1884" i="17"/>
  <c r="Q1884" i="17"/>
  <c r="O1884" i="17"/>
  <c r="O1879" i="17"/>
  <c r="P1879" i="17"/>
  <c r="Q1879" i="17"/>
  <c r="O1754" i="17"/>
  <c r="Q1754" i="17"/>
  <c r="P1754" i="17"/>
  <c r="Q1725" i="17"/>
  <c r="P1725" i="17"/>
  <c r="O1725" i="17"/>
  <c r="P1676" i="17"/>
  <c r="Q1676" i="17"/>
  <c r="O1676" i="17"/>
  <c r="Q1671" i="17"/>
  <c r="O1671" i="17"/>
  <c r="P1671" i="17"/>
  <c r="Q2187" i="17"/>
  <c r="P2187" i="17"/>
  <c r="O2187" i="17"/>
  <c r="Q2168" i="17"/>
  <c r="P2168" i="17"/>
  <c r="O2168" i="17"/>
  <c r="Q2149" i="17"/>
  <c r="P2149" i="17"/>
  <c r="O2149" i="17"/>
  <c r="Q2130" i="17"/>
  <c r="P2130" i="17"/>
  <c r="O2130" i="17"/>
  <c r="Q2111" i="17"/>
  <c r="P2111" i="17"/>
  <c r="O2111" i="17"/>
  <c r="Q2092" i="17"/>
  <c r="P2092" i="17"/>
  <c r="O2092" i="17"/>
  <c r="P2035" i="17"/>
  <c r="Q2035" i="17"/>
  <c r="O2035" i="17"/>
  <c r="Q1997" i="17"/>
  <c r="P1997" i="17"/>
  <c r="O1997" i="17"/>
  <c r="Q1978" i="17"/>
  <c r="O1978" i="17"/>
  <c r="P1978" i="17"/>
  <c r="P1959" i="17"/>
  <c r="Q1959" i="17"/>
  <c r="O1959" i="17"/>
  <c r="O1940" i="17"/>
  <c r="Q1940" i="17"/>
  <c r="P1940" i="17"/>
  <c r="P1921" i="17"/>
  <c r="Q1921" i="17"/>
  <c r="O1921" i="17"/>
  <c r="P1902" i="17"/>
  <c r="O1902" i="17"/>
  <c r="Q1902" i="17"/>
  <c r="Q2073" i="17"/>
  <c r="O2073" i="17"/>
  <c r="P2073" i="17"/>
  <c r="Q2054" i="17"/>
  <c r="P2054" i="17"/>
  <c r="O2054" i="17"/>
  <c r="P2016" i="17"/>
  <c r="O2016" i="17"/>
  <c r="Q2016" i="17"/>
  <c r="O1845" i="17"/>
  <c r="Q1845" i="17"/>
  <c r="P1845" i="17"/>
  <c r="O1826" i="17"/>
  <c r="Q1826" i="17"/>
  <c r="P1826" i="17"/>
  <c r="P1807" i="17"/>
  <c r="Q1807" i="17"/>
  <c r="O1807" i="17"/>
  <c r="P1788" i="17"/>
  <c r="Q1788" i="17"/>
  <c r="O1788" i="17"/>
  <c r="P1769" i="17"/>
  <c r="Q1769" i="17"/>
  <c r="O1769" i="17"/>
  <c r="P1161" i="17"/>
  <c r="O1161" i="17"/>
  <c r="Q1161" i="17"/>
  <c r="P1123" i="17"/>
  <c r="O1123" i="17"/>
  <c r="Q1123" i="17"/>
  <c r="Q1104" i="17"/>
  <c r="O1104" i="17"/>
  <c r="P1104" i="17"/>
  <c r="O1066" i="17"/>
  <c r="P1066" i="17"/>
  <c r="Q1066" i="17"/>
  <c r="O1218" i="17"/>
  <c r="P1218" i="17"/>
  <c r="Q1218" i="17"/>
  <c r="P1199" i="17"/>
  <c r="Q1199" i="17"/>
  <c r="O1199" i="17"/>
  <c r="P1180" i="17"/>
  <c r="O1180" i="17"/>
  <c r="Q1180" i="17"/>
  <c r="P1142" i="17"/>
  <c r="Q1142" i="17"/>
  <c r="O1142" i="17"/>
  <c r="O1085" i="17"/>
  <c r="Q1085" i="17"/>
  <c r="P1085" i="17"/>
  <c r="P1047" i="17"/>
  <c r="Q1047" i="17"/>
  <c r="O1047" i="17"/>
  <c r="O1750" i="17"/>
  <c r="P1750" i="17"/>
  <c r="Q1750" i="17"/>
  <c r="Q1731" i="17"/>
  <c r="O1731" i="17"/>
  <c r="P1731" i="17"/>
  <c r="O1712" i="17"/>
  <c r="P1712" i="17"/>
  <c r="Q1712" i="17"/>
  <c r="Q1693" i="17"/>
  <c r="O1693" i="17"/>
  <c r="P1693" i="17"/>
  <c r="Q1674" i="17"/>
  <c r="O1674" i="17"/>
  <c r="P1674" i="17"/>
  <c r="O1883" i="17"/>
  <c r="P1883" i="17"/>
  <c r="Q1883" i="17"/>
  <c r="L2281" i="17"/>
  <c r="X2281" i="17"/>
  <c r="L2280" i="17"/>
  <c r="X2280" i="17"/>
  <c r="L2279" i="17"/>
  <c r="X2279" i="17"/>
  <c r="L2278" i="17"/>
  <c r="X2278" i="17"/>
  <c r="L2277" i="17"/>
  <c r="X2277" i="17"/>
  <c r="L2276" i="17"/>
  <c r="X2276" i="17"/>
  <c r="L2275" i="17"/>
  <c r="X2275" i="17"/>
  <c r="L2274" i="17"/>
  <c r="X2274" i="17"/>
  <c r="L2273" i="17"/>
  <c r="X2273" i="17"/>
  <c r="L2272" i="17"/>
  <c r="X2272" i="17"/>
  <c r="L2271" i="17"/>
  <c r="X2271" i="17"/>
  <c r="L2270" i="17"/>
  <c r="X2270" i="17"/>
  <c r="L2269" i="17"/>
  <c r="X2269" i="17"/>
  <c r="L2268" i="17"/>
  <c r="X2268" i="17"/>
  <c r="L2267" i="17"/>
  <c r="X2267" i="17"/>
  <c r="L2266" i="17"/>
  <c r="X2266" i="17"/>
  <c r="L2265" i="17"/>
  <c r="X2265" i="17"/>
  <c r="L2264" i="17"/>
  <c r="X2264" i="17"/>
  <c r="L2263" i="17"/>
  <c r="X2263" i="17"/>
  <c r="L2262" i="17"/>
  <c r="X2262" i="17"/>
  <c r="L2261" i="17"/>
  <c r="X2261" i="17"/>
  <c r="L2260" i="17"/>
  <c r="X2260" i="17"/>
  <c r="L2259" i="17"/>
  <c r="X2259" i="17"/>
  <c r="L2258" i="17"/>
  <c r="X2258" i="17"/>
  <c r="L2257" i="17"/>
  <c r="X2257" i="17"/>
  <c r="L2256" i="17"/>
  <c r="X2256" i="17"/>
  <c r="L2255" i="17"/>
  <c r="X2255" i="17"/>
  <c r="L2254" i="17"/>
  <c r="X2254" i="17"/>
  <c r="L2253" i="17"/>
  <c r="X2253" i="17"/>
  <c r="L2252" i="17"/>
  <c r="X2252" i="17"/>
  <c r="L2251" i="17"/>
  <c r="X2251" i="17"/>
  <c r="L2250" i="17"/>
  <c r="X2250" i="17"/>
  <c r="L2249" i="17"/>
  <c r="X2249" i="17"/>
  <c r="L2248" i="17"/>
  <c r="X2248" i="17"/>
  <c r="L2247" i="17"/>
  <c r="X2247" i="17"/>
  <c r="L2246" i="17"/>
  <c r="X2246" i="17"/>
  <c r="L2245" i="17"/>
  <c r="X2245" i="17"/>
  <c r="L2244" i="17"/>
  <c r="X2244" i="17"/>
  <c r="L2243" i="17"/>
  <c r="X2243" i="17"/>
  <c r="L2242" i="17"/>
  <c r="X2242" i="17"/>
  <c r="L2241" i="17"/>
  <c r="X2241" i="17"/>
  <c r="L2240" i="17"/>
  <c r="X2240" i="17"/>
  <c r="L2239" i="17"/>
  <c r="X2239" i="17"/>
  <c r="L2238" i="17"/>
  <c r="X2238" i="17"/>
  <c r="L2237" i="17"/>
  <c r="X2237" i="17"/>
  <c r="L2236" i="17"/>
  <c r="X2236" i="17"/>
  <c r="L2235" i="17"/>
  <c r="X2235" i="17"/>
  <c r="L2234" i="17"/>
  <c r="X2234" i="17"/>
  <c r="L2233" i="17"/>
  <c r="X2233" i="17"/>
  <c r="L2232" i="17"/>
  <c r="X2232" i="17"/>
  <c r="L2231" i="17"/>
  <c r="X2231" i="17"/>
  <c r="L2230" i="17"/>
  <c r="X2230" i="17"/>
  <c r="L2229" i="17"/>
  <c r="X2229" i="17"/>
  <c r="L2228" i="17"/>
  <c r="X2228" i="17"/>
  <c r="L2227" i="17"/>
  <c r="X2227" i="17"/>
  <c r="L2226" i="17"/>
  <c r="X2226" i="17"/>
  <c r="L2225" i="17"/>
  <c r="X2225" i="17"/>
  <c r="L2224" i="17"/>
  <c r="X2224" i="17"/>
  <c r="L2223" i="17"/>
  <c r="X2223" i="17"/>
  <c r="L2222" i="17"/>
  <c r="X2222" i="17"/>
  <c r="L2221" i="17"/>
  <c r="X2221" i="17"/>
  <c r="L2220" i="17"/>
  <c r="X2220" i="17"/>
  <c r="L2219" i="17"/>
  <c r="X2219" i="17"/>
  <c r="L2218" i="17"/>
  <c r="X2218" i="17"/>
  <c r="L2217" i="17"/>
  <c r="X2217" i="17"/>
  <c r="L2216" i="17"/>
  <c r="X2216" i="17"/>
  <c r="L2215" i="17"/>
  <c r="X2215" i="17"/>
  <c r="L2214" i="17"/>
  <c r="X2214" i="17"/>
  <c r="L2213" i="17"/>
  <c r="X2213" i="17"/>
  <c r="L2212" i="17"/>
  <c r="X2212" i="17"/>
  <c r="L2211" i="17"/>
  <c r="X2211" i="17"/>
  <c r="L2210" i="17"/>
  <c r="X2210" i="17"/>
  <c r="L2209" i="17"/>
  <c r="X2209" i="17"/>
  <c r="L2208" i="17"/>
  <c r="X2208" i="17"/>
  <c r="L2207" i="17"/>
  <c r="X2207" i="17"/>
  <c r="L2206" i="17"/>
  <c r="X2206" i="17"/>
  <c r="L2205" i="17"/>
  <c r="X2205" i="17"/>
  <c r="L2204" i="17"/>
  <c r="X2204" i="17"/>
  <c r="L2203" i="17"/>
  <c r="X2203" i="17"/>
  <c r="L2202" i="17"/>
  <c r="X2202" i="17"/>
  <c r="L2201" i="17"/>
  <c r="X2201" i="17"/>
  <c r="L2200" i="17"/>
  <c r="X2200" i="17"/>
  <c r="L1870" i="17"/>
  <c r="X1870" i="17"/>
  <c r="L1869" i="17"/>
  <c r="X1869" i="17"/>
  <c r="L1868" i="17"/>
  <c r="X1868" i="17"/>
  <c r="L1867" i="17"/>
  <c r="X1867" i="17"/>
  <c r="L1866" i="17"/>
  <c r="X1866" i="17"/>
  <c r="L1865" i="17"/>
  <c r="X1865" i="17"/>
  <c r="L1864" i="17"/>
  <c r="X1864" i="17"/>
  <c r="L1863" i="17"/>
  <c r="X1863" i="17"/>
  <c r="L1862" i="17"/>
  <c r="X1862" i="17"/>
  <c r="L1861" i="17"/>
  <c r="X1861" i="17"/>
  <c r="L1860" i="17"/>
  <c r="X1860" i="17"/>
  <c r="L1859" i="17"/>
  <c r="X1859" i="17"/>
  <c r="L1858" i="17"/>
  <c r="X1858" i="17"/>
  <c r="L1857" i="17"/>
  <c r="X1857" i="17"/>
  <c r="L1856" i="17"/>
  <c r="X1856" i="17"/>
  <c r="L1855" i="17"/>
  <c r="X1855" i="17"/>
  <c r="L1661" i="17"/>
  <c r="X1661" i="17"/>
  <c r="L1660" i="17"/>
  <c r="X1660" i="17"/>
  <c r="L1659" i="17"/>
  <c r="X1659" i="17"/>
  <c r="L1658" i="17"/>
  <c r="X1658" i="17"/>
  <c r="L1657" i="17"/>
  <c r="X1657" i="17"/>
  <c r="L1656" i="17"/>
  <c r="X1656" i="17"/>
  <c r="L1655" i="17"/>
  <c r="X1655" i="17"/>
  <c r="L1654" i="17"/>
  <c r="X1654" i="17"/>
  <c r="L1653" i="17"/>
  <c r="X1653" i="17"/>
  <c r="L1652" i="17"/>
  <c r="X1652" i="17"/>
  <c r="L1651" i="17"/>
  <c r="X1651" i="17"/>
  <c r="L1650" i="17"/>
  <c r="X1650" i="17"/>
  <c r="L1649" i="17"/>
  <c r="X1649" i="17"/>
  <c r="L1648" i="17"/>
  <c r="X1648" i="17"/>
  <c r="L1647" i="17"/>
  <c r="X1647" i="17"/>
  <c r="L1646" i="17"/>
  <c r="X1646" i="17"/>
  <c r="L1645" i="17"/>
  <c r="X1645" i="17"/>
  <c r="L1644" i="17"/>
  <c r="X1644" i="17"/>
  <c r="L1643" i="17"/>
  <c r="X1643" i="17"/>
  <c r="L1642" i="17"/>
  <c r="X1642" i="17"/>
  <c r="L1641" i="17"/>
  <c r="X1641" i="17"/>
  <c r="L1640" i="17"/>
  <c r="X1640" i="17"/>
  <c r="L1639" i="17"/>
  <c r="X1639" i="17"/>
  <c r="L1638" i="17"/>
  <c r="X1638" i="17"/>
  <c r="L1637" i="17"/>
  <c r="X1637" i="17"/>
  <c r="L1636" i="17"/>
  <c r="X1636" i="17"/>
  <c r="L1635" i="17"/>
  <c r="X1635" i="17"/>
  <c r="L1634" i="17"/>
  <c r="X1634" i="17"/>
  <c r="L1633" i="17"/>
  <c r="X1633" i="17"/>
  <c r="L1632" i="17"/>
  <c r="X1632" i="17"/>
  <c r="L1631" i="17"/>
  <c r="X1631" i="17"/>
  <c r="L1630" i="17"/>
  <c r="X1630" i="17"/>
  <c r="L1629" i="17"/>
  <c r="X1629" i="17"/>
  <c r="L1628" i="17"/>
  <c r="X1628" i="17"/>
  <c r="L1627" i="17"/>
  <c r="X1627" i="17"/>
  <c r="L1626" i="17"/>
  <c r="X1626" i="17"/>
  <c r="L1625" i="17"/>
  <c r="X1625" i="17"/>
  <c r="L1624" i="17"/>
  <c r="X1624" i="17"/>
  <c r="L1623" i="17"/>
  <c r="X1623" i="17"/>
  <c r="L1622" i="17"/>
  <c r="X1622" i="17"/>
  <c r="L1621" i="17"/>
  <c r="X1621" i="17"/>
  <c r="L1620" i="17"/>
  <c r="X1620" i="17"/>
  <c r="L1619" i="17"/>
  <c r="X1619" i="17"/>
  <c r="L1618" i="17"/>
  <c r="X1618" i="17"/>
  <c r="L1617" i="17"/>
  <c r="X1617" i="17"/>
  <c r="L1616" i="17"/>
  <c r="X1616" i="17"/>
  <c r="L1615" i="17"/>
  <c r="X1615" i="17"/>
  <c r="L1614" i="17"/>
  <c r="X1614" i="17"/>
  <c r="L1613" i="17"/>
  <c r="X1613" i="17"/>
  <c r="L1612" i="17"/>
  <c r="X1612" i="17"/>
  <c r="L1611" i="17"/>
  <c r="X1611" i="17"/>
  <c r="L1610" i="17"/>
  <c r="X1610" i="17"/>
  <c r="L1609" i="17"/>
  <c r="X1609" i="17"/>
  <c r="L1608" i="17"/>
  <c r="X1608" i="17"/>
  <c r="L1607" i="17"/>
  <c r="X1607" i="17"/>
  <c r="L1606" i="17"/>
  <c r="X1606" i="17"/>
  <c r="L1605" i="17"/>
  <c r="X1605" i="17"/>
  <c r="L1604" i="17"/>
  <c r="X1604" i="17"/>
  <c r="L1603" i="17"/>
  <c r="X1603" i="17"/>
  <c r="L1602" i="17"/>
  <c r="X1602" i="17"/>
  <c r="L1601" i="17"/>
  <c r="X1601" i="17"/>
  <c r="L1600" i="17"/>
  <c r="X1600" i="17"/>
  <c r="L1599" i="17"/>
  <c r="X1599" i="17"/>
  <c r="L1598" i="17"/>
  <c r="X1598" i="17"/>
  <c r="L1597" i="17"/>
  <c r="X1597" i="17"/>
  <c r="L1596" i="17"/>
  <c r="X1596" i="17"/>
  <c r="L1595" i="17"/>
  <c r="X1595" i="17"/>
  <c r="L1594" i="17"/>
  <c r="X1594" i="17"/>
  <c r="L1593" i="17"/>
  <c r="X1593" i="17"/>
  <c r="L1592" i="17"/>
  <c r="X1592" i="17"/>
  <c r="L1591" i="17"/>
  <c r="X1591" i="17"/>
  <c r="L1590" i="17"/>
  <c r="X1590" i="17"/>
  <c r="L1589" i="17"/>
  <c r="X1589" i="17"/>
  <c r="L1588" i="17"/>
  <c r="X1588" i="17"/>
  <c r="L1587" i="17"/>
  <c r="X1587" i="17"/>
  <c r="L1586" i="17"/>
  <c r="X1586" i="17"/>
  <c r="L1585" i="17"/>
  <c r="X1585" i="17"/>
  <c r="L1584" i="17"/>
  <c r="X1584" i="17"/>
  <c r="L1583" i="17"/>
  <c r="X1583" i="17"/>
  <c r="L1582" i="17"/>
  <c r="X1582" i="17"/>
  <c r="L1581" i="17"/>
  <c r="X1581" i="17"/>
  <c r="L1580" i="17"/>
  <c r="X1580" i="17"/>
  <c r="L1579" i="17"/>
  <c r="X1579" i="17"/>
  <c r="L1578" i="17"/>
  <c r="X1578" i="17"/>
  <c r="L1577" i="17"/>
  <c r="X1577" i="17"/>
  <c r="L1576" i="17"/>
  <c r="X1576" i="17"/>
  <c r="L1575" i="17"/>
  <c r="X1575" i="17"/>
  <c r="L1574" i="17"/>
  <c r="X1574" i="17"/>
  <c r="L1573" i="17"/>
  <c r="X1573" i="17"/>
  <c r="L1572" i="17"/>
  <c r="X1572" i="17"/>
  <c r="L1571" i="17"/>
  <c r="X1571" i="17"/>
  <c r="L1570" i="17"/>
  <c r="X1570" i="17"/>
  <c r="L1569" i="17"/>
  <c r="X1569" i="17"/>
  <c r="L1568" i="17"/>
  <c r="X1568" i="17"/>
  <c r="L1567" i="17"/>
  <c r="X1567" i="17"/>
  <c r="L1566" i="17"/>
  <c r="X1566" i="17"/>
  <c r="L1565" i="17"/>
  <c r="X1565" i="17"/>
  <c r="L1564" i="17"/>
  <c r="X1564" i="17"/>
  <c r="L1563" i="17"/>
  <c r="X1563" i="17"/>
  <c r="L1562" i="17"/>
  <c r="X1562" i="17"/>
  <c r="L1561" i="17"/>
  <c r="X1561" i="17"/>
  <c r="L1560" i="17"/>
  <c r="X1560" i="17"/>
  <c r="L1559" i="17"/>
  <c r="X1559" i="17"/>
  <c r="L1558" i="17"/>
  <c r="X1558" i="17"/>
  <c r="L1557" i="17"/>
  <c r="X1557" i="17"/>
  <c r="L1556" i="17"/>
  <c r="X1556" i="17"/>
  <c r="L1555" i="17"/>
  <c r="X1555" i="17"/>
  <c r="L1554" i="17"/>
  <c r="X1554" i="17"/>
  <c r="L1553" i="17"/>
  <c r="X1553" i="17"/>
  <c r="L1552" i="17"/>
  <c r="X1552" i="17"/>
  <c r="L1551" i="17"/>
  <c r="X1551" i="17"/>
  <c r="L1550" i="17"/>
  <c r="X1550" i="17"/>
  <c r="L1549" i="17"/>
  <c r="X1549" i="17"/>
  <c r="L1548" i="17"/>
  <c r="X1548" i="17"/>
  <c r="L1547" i="17"/>
  <c r="X1547" i="17"/>
  <c r="L1546" i="17"/>
  <c r="X1546" i="17"/>
  <c r="L1545" i="17"/>
  <c r="X1545" i="17"/>
  <c r="L1544" i="17"/>
  <c r="X1544" i="17"/>
  <c r="L1543" i="17"/>
  <c r="X1543" i="17"/>
  <c r="L1542" i="17"/>
  <c r="X1542" i="17"/>
  <c r="L1541" i="17"/>
  <c r="X1541" i="17"/>
  <c r="L1540" i="17"/>
  <c r="X1540" i="17"/>
  <c r="L1539" i="17"/>
  <c r="X1539" i="17"/>
  <c r="L1538" i="17"/>
  <c r="X1538" i="17"/>
  <c r="L1537" i="17"/>
  <c r="X1537" i="17"/>
  <c r="L1536" i="17"/>
  <c r="X1536" i="17"/>
  <c r="L1535" i="17"/>
  <c r="X1535" i="17"/>
  <c r="L1534" i="17"/>
  <c r="X1534" i="17"/>
  <c r="L1533" i="17"/>
  <c r="X1533" i="17"/>
  <c r="L1532" i="17"/>
  <c r="X1532" i="17"/>
  <c r="L1531" i="17"/>
  <c r="X1531" i="17"/>
  <c r="L1530" i="17"/>
  <c r="X1530" i="17"/>
  <c r="L1529" i="17"/>
  <c r="X1529" i="17"/>
  <c r="L1528" i="17"/>
  <c r="X1528" i="17"/>
  <c r="L1527" i="17"/>
  <c r="X1527" i="17"/>
  <c r="L1526" i="17"/>
  <c r="X1526" i="17"/>
  <c r="L1525" i="17"/>
  <c r="X1525" i="17"/>
  <c r="L1524" i="17"/>
  <c r="X1524" i="17"/>
  <c r="L1523" i="17"/>
  <c r="X1523" i="17"/>
  <c r="L1522" i="17"/>
  <c r="X1522" i="17"/>
  <c r="L1521" i="17"/>
  <c r="X1521" i="17"/>
  <c r="L1520" i="17"/>
  <c r="X1520" i="17"/>
  <c r="L1519" i="17"/>
  <c r="X1519" i="17"/>
  <c r="L1518" i="17"/>
  <c r="X1518" i="17"/>
  <c r="L1517" i="17"/>
  <c r="X1517" i="17"/>
  <c r="L1516" i="17"/>
  <c r="X1516" i="17"/>
  <c r="L1515" i="17"/>
  <c r="X1515" i="17"/>
  <c r="L1514" i="17"/>
  <c r="X1514" i="17"/>
  <c r="L1513" i="17"/>
  <c r="X1513" i="17"/>
  <c r="L1512" i="17"/>
  <c r="X1512" i="17"/>
  <c r="L1511" i="17"/>
  <c r="X1511" i="17"/>
  <c r="L1510" i="17"/>
  <c r="X1510" i="17"/>
  <c r="L1509" i="17"/>
  <c r="X1509" i="17"/>
  <c r="L1508" i="17"/>
  <c r="X1508" i="17"/>
  <c r="L1507" i="17"/>
  <c r="X1507" i="17"/>
  <c r="L1506" i="17"/>
  <c r="X1506" i="17"/>
  <c r="L1505" i="17"/>
  <c r="X1505" i="17"/>
  <c r="L1504" i="17"/>
  <c r="X1504" i="17"/>
  <c r="L1503" i="17"/>
  <c r="X1503" i="17"/>
  <c r="L1502" i="17"/>
  <c r="X1502" i="17"/>
  <c r="L1501" i="17"/>
  <c r="X1501" i="17"/>
  <c r="L1500" i="17"/>
  <c r="X1500" i="17"/>
  <c r="L1499" i="17"/>
  <c r="X1499" i="17"/>
  <c r="L1498" i="17"/>
  <c r="X1498" i="17"/>
  <c r="L1497" i="17"/>
  <c r="X1497" i="17"/>
  <c r="L1496" i="17"/>
  <c r="X1496" i="17"/>
  <c r="L1495" i="17"/>
  <c r="X1495" i="17"/>
  <c r="L1494" i="17"/>
  <c r="X1494" i="17"/>
  <c r="L1493" i="17"/>
  <c r="X1493" i="17"/>
  <c r="L1492" i="17"/>
  <c r="X1492" i="17"/>
  <c r="L1491" i="17"/>
  <c r="X1491" i="17"/>
  <c r="L1490" i="17"/>
  <c r="X1490" i="17"/>
  <c r="L1489" i="17"/>
  <c r="X1489" i="17"/>
  <c r="L1488" i="17"/>
  <c r="X1488" i="17"/>
  <c r="L1487" i="17"/>
  <c r="X1487" i="17"/>
  <c r="L1486" i="17"/>
  <c r="X1486" i="17"/>
  <c r="L1485" i="17"/>
  <c r="X1485" i="17"/>
  <c r="L1484" i="17"/>
  <c r="X1484" i="17"/>
  <c r="L1483" i="17"/>
  <c r="X1483" i="17"/>
  <c r="L1482" i="17"/>
  <c r="X1482" i="17"/>
  <c r="L1481" i="17"/>
  <c r="X1481" i="17"/>
  <c r="L1480" i="17"/>
  <c r="X1480" i="17"/>
  <c r="L1479" i="17"/>
  <c r="X1479" i="17"/>
  <c r="L1478" i="17"/>
  <c r="X1478" i="17"/>
  <c r="L1477" i="17"/>
  <c r="X1477" i="17"/>
  <c r="L1476" i="17"/>
  <c r="X1476" i="17"/>
  <c r="L1475" i="17"/>
  <c r="X1475" i="17"/>
  <c r="L1474" i="17"/>
  <c r="X1474" i="17"/>
  <c r="L1473" i="17"/>
  <c r="X1473" i="17"/>
  <c r="L1472" i="17"/>
  <c r="X1472" i="17"/>
  <c r="L1471" i="17"/>
  <c r="X1471" i="17"/>
  <c r="L1470" i="17"/>
  <c r="X1470" i="17"/>
  <c r="L1469" i="17"/>
  <c r="X1469" i="17"/>
  <c r="L1468" i="17"/>
  <c r="X1468" i="17"/>
  <c r="L1467" i="17"/>
  <c r="X1467" i="17"/>
  <c r="L1466" i="17"/>
  <c r="X1466" i="17"/>
  <c r="L1465" i="17"/>
  <c r="X1465" i="17"/>
  <c r="L1464" i="17"/>
  <c r="X1464" i="17"/>
  <c r="L1463" i="17"/>
  <c r="X1463" i="17"/>
  <c r="L1462" i="17"/>
  <c r="X1462" i="17"/>
  <c r="L1461" i="17"/>
  <c r="X1461" i="17"/>
  <c r="L1460" i="17"/>
  <c r="X1460" i="17"/>
  <c r="L1459" i="17"/>
  <c r="X1459" i="17"/>
  <c r="L1458" i="17"/>
  <c r="X1458" i="17"/>
  <c r="L1457" i="17"/>
  <c r="X1457" i="17"/>
  <c r="L1456" i="17"/>
  <c r="X1456" i="17"/>
  <c r="L1455" i="17"/>
  <c r="X1455" i="17"/>
  <c r="L1454" i="17"/>
  <c r="X1454" i="17"/>
  <c r="L1453" i="17"/>
  <c r="X1453" i="17"/>
  <c r="L1450" i="17"/>
  <c r="X1450" i="17"/>
  <c r="L1449" i="17"/>
  <c r="X1449" i="17"/>
  <c r="L1448" i="17"/>
  <c r="X1448" i="17"/>
  <c r="L1447" i="17"/>
  <c r="X1447" i="17"/>
  <c r="L1446" i="17"/>
  <c r="X1446" i="17"/>
  <c r="L1445" i="17"/>
  <c r="X1445" i="17"/>
  <c r="L1444" i="17"/>
  <c r="X1444" i="17"/>
  <c r="L1443" i="17"/>
  <c r="X1443" i="17"/>
  <c r="L1442" i="17"/>
  <c r="X1442" i="17"/>
  <c r="L1441" i="17"/>
  <c r="X1441" i="17"/>
  <c r="L1440" i="17"/>
  <c r="X1440" i="17"/>
  <c r="L1439" i="17"/>
  <c r="X1439" i="17"/>
  <c r="L1438" i="17"/>
  <c r="X1438" i="17"/>
  <c r="L1437" i="17"/>
  <c r="X1437" i="17"/>
  <c r="L1436" i="17"/>
  <c r="X1436" i="17"/>
  <c r="L1435" i="17"/>
  <c r="X1435" i="17"/>
  <c r="L1434" i="17"/>
  <c r="X1434" i="17"/>
  <c r="L1433" i="17"/>
  <c r="X1433" i="17"/>
  <c r="L1432" i="17"/>
  <c r="X1432" i="17"/>
  <c r="L1431" i="17"/>
  <c r="X1431" i="17"/>
  <c r="L1430" i="17"/>
  <c r="X1430" i="17"/>
  <c r="L1429" i="17"/>
  <c r="X1429" i="17"/>
  <c r="L1428" i="17"/>
  <c r="X1428" i="17"/>
  <c r="L1427" i="17"/>
  <c r="X1427" i="17"/>
  <c r="L1426" i="17"/>
  <c r="X1426" i="17"/>
  <c r="L1425" i="17"/>
  <c r="X1425" i="17"/>
  <c r="L1424" i="17"/>
  <c r="X1424" i="17"/>
  <c r="L1423" i="17"/>
  <c r="X1423" i="17"/>
  <c r="L1422" i="17"/>
  <c r="X1422" i="17"/>
  <c r="L1421" i="17"/>
  <c r="X1421" i="17"/>
  <c r="L1420" i="17"/>
  <c r="X1420" i="17"/>
  <c r="L1419" i="17"/>
  <c r="X1419" i="17"/>
  <c r="L1418" i="17"/>
  <c r="X1418" i="17"/>
  <c r="L1417" i="17"/>
  <c r="X1417" i="17"/>
  <c r="L1416" i="17"/>
  <c r="X1416" i="17"/>
  <c r="L1415" i="17"/>
  <c r="X1415" i="17"/>
  <c r="L1414" i="17"/>
  <c r="X1414" i="17"/>
  <c r="L1413" i="17"/>
  <c r="X1413" i="17"/>
  <c r="L1412" i="17"/>
  <c r="X1412" i="17"/>
  <c r="L1411" i="17"/>
  <c r="X1411" i="17"/>
  <c r="L1410" i="17"/>
  <c r="X1410" i="17"/>
  <c r="L1409" i="17"/>
  <c r="X1409" i="17"/>
  <c r="L1408" i="17"/>
  <c r="X1408" i="17"/>
  <c r="L1407" i="17"/>
  <c r="X1407" i="17"/>
  <c r="L1406" i="17"/>
  <c r="X1406" i="17"/>
  <c r="L1405" i="17"/>
  <c r="X1405" i="17"/>
  <c r="L1404" i="17"/>
  <c r="X1404" i="17"/>
  <c r="L1403" i="17"/>
  <c r="X1403" i="17"/>
  <c r="L1402" i="17"/>
  <c r="X1402" i="17"/>
  <c r="L1401" i="17"/>
  <c r="X1401" i="17"/>
  <c r="L1400" i="17"/>
  <c r="X1400" i="17"/>
  <c r="L1399" i="17"/>
  <c r="X1399" i="17"/>
  <c r="L1398" i="17"/>
  <c r="X1398" i="17"/>
  <c r="L1397" i="17"/>
  <c r="X1397" i="17"/>
  <c r="L1396" i="17"/>
  <c r="X1396" i="17"/>
  <c r="L1395" i="17"/>
  <c r="X1395" i="17"/>
  <c r="L1394" i="17"/>
  <c r="X1394" i="17"/>
  <c r="L1393" i="17"/>
  <c r="X1393" i="17"/>
  <c r="L1392" i="17"/>
  <c r="X1392" i="17"/>
  <c r="L1391" i="17"/>
  <c r="X1391" i="17"/>
  <c r="L1390" i="17"/>
  <c r="X1390" i="17"/>
  <c r="L1389" i="17"/>
  <c r="X1389" i="17"/>
  <c r="L1388" i="17"/>
  <c r="X1388" i="17"/>
  <c r="L1387" i="17"/>
  <c r="X1387" i="17"/>
  <c r="L1386" i="17"/>
  <c r="X1386" i="17"/>
  <c r="L1384" i="17"/>
  <c r="X1384" i="17"/>
  <c r="L1383" i="17"/>
  <c r="X1383" i="17"/>
  <c r="L1382" i="17"/>
  <c r="X1382" i="17"/>
  <c r="L1381" i="17"/>
  <c r="X1381" i="17"/>
  <c r="L1380" i="17"/>
  <c r="X1380" i="17"/>
  <c r="L1379" i="17"/>
  <c r="X1379" i="17"/>
  <c r="L1378" i="17"/>
  <c r="X1378" i="17"/>
  <c r="L1377" i="17"/>
  <c r="X1377" i="17"/>
  <c r="L1376" i="17"/>
  <c r="X1376" i="17"/>
  <c r="L1375" i="17"/>
  <c r="X1375" i="17"/>
  <c r="L1374" i="17"/>
  <c r="X1374" i="17"/>
  <c r="L1373" i="17"/>
  <c r="X1373" i="17"/>
  <c r="L1372" i="17"/>
  <c r="X1372" i="17"/>
  <c r="L1371" i="17"/>
  <c r="X1371" i="17"/>
  <c r="X1370" i="17"/>
  <c r="L1370" i="17"/>
  <c r="L1369" i="17"/>
  <c r="X1369" i="17"/>
  <c r="L1368" i="17"/>
  <c r="X1368" i="17"/>
  <c r="L1367" i="17"/>
  <c r="X1367" i="17"/>
  <c r="L1365" i="17"/>
  <c r="X1365" i="17"/>
  <c r="L1364" i="17"/>
  <c r="X1364" i="17"/>
  <c r="L1363" i="17"/>
  <c r="X1363" i="17"/>
  <c r="L1362" i="17"/>
  <c r="X1362" i="17"/>
  <c r="X1361" i="17"/>
  <c r="L1361" i="17"/>
  <c r="L1360" i="17"/>
  <c r="X1360" i="17"/>
  <c r="X1359" i="17"/>
  <c r="L1359" i="17"/>
  <c r="L1358" i="17"/>
  <c r="X1358" i="17"/>
  <c r="X1357" i="17"/>
  <c r="L1357" i="17"/>
  <c r="L1356" i="17"/>
  <c r="X1356" i="17"/>
  <c r="X1355" i="17"/>
  <c r="L1355" i="17"/>
  <c r="L1354" i="17"/>
  <c r="X1354" i="17"/>
  <c r="L1353" i="17"/>
  <c r="X1353" i="17"/>
  <c r="L1352" i="17"/>
  <c r="X1352" i="17"/>
  <c r="L1351" i="17"/>
  <c r="X1351" i="17"/>
  <c r="L1350" i="17"/>
  <c r="X1350" i="17"/>
  <c r="L1349" i="17"/>
  <c r="X1349" i="17"/>
  <c r="L1347" i="17"/>
  <c r="X1347" i="17"/>
  <c r="L1346" i="17"/>
  <c r="X1346" i="17"/>
  <c r="L1345" i="17"/>
  <c r="X1345" i="17"/>
  <c r="L1344" i="17"/>
  <c r="X1344" i="17"/>
  <c r="L1343" i="17"/>
  <c r="X1343" i="17"/>
  <c r="L1342" i="17"/>
  <c r="X1342" i="17"/>
  <c r="L1341" i="17"/>
  <c r="X1341" i="17"/>
  <c r="L1340" i="17"/>
  <c r="X1340" i="17"/>
  <c r="L1339" i="17"/>
  <c r="X1339" i="17"/>
  <c r="L1338" i="17"/>
  <c r="X1338" i="17"/>
  <c r="L1337" i="17"/>
  <c r="X1337" i="17"/>
  <c r="L1336" i="17"/>
  <c r="X1336" i="17"/>
  <c r="L1335" i="17"/>
  <c r="X1335" i="17"/>
  <c r="X1334" i="17"/>
  <c r="L1334" i="17"/>
  <c r="L1333" i="17"/>
  <c r="X1333" i="17"/>
  <c r="L1332" i="17"/>
  <c r="X1332" i="17"/>
  <c r="L1331" i="17"/>
  <c r="X1331" i="17"/>
  <c r="L1330" i="17"/>
  <c r="X1330" i="17"/>
  <c r="L1329" i="17"/>
  <c r="X1329" i="17"/>
  <c r="L1328" i="17"/>
  <c r="X1328" i="17"/>
  <c r="L1327" i="17"/>
  <c r="X1327" i="17"/>
  <c r="L1326" i="17"/>
  <c r="X1326" i="17"/>
  <c r="L1325" i="17"/>
  <c r="X1325" i="17"/>
  <c r="L1452" i="17"/>
  <c r="X1452" i="17"/>
  <c r="L1451" i="17"/>
  <c r="X1451" i="17"/>
  <c r="L1385" i="17"/>
  <c r="X1385" i="17"/>
  <c r="X1366" i="17"/>
  <c r="L1366" i="17"/>
  <c r="L1348" i="17"/>
  <c r="X1348" i="17"/>
  <c r="L1323" i="17"/>
  <c r="X1323" i="17"/>
  <c r="L1322" i="17"/>
  <c r="X1322" i="17"/>
  <c r="L1321" i="17"/>
  <c r="X1321" i="17"/>
  <c r="L1320" i="17"/>
  <c r="X1320" i="17"/>
  <c r="L1319" i="17"/>
  <c r="X1319" i="17"/>
  <c r="L1318" i="17"/>
  <c r="X1318" i="17"/>
  <c r="L1317" i="17"/>
  <c r="X1317" i="17"/>
  <c r="L1316" i="17"/>
  <c r="X1316" i="17"/>
  <c r="L1315" i="17"/>
  <c r="X1315" i="17"/>
  <c r="L1314" i="17"/>
  <c r="X1314" i="17"/>
  <c r="L1313" i="17"/>
  <c r="X1313" i="17"/>
  <c r="L1312" i="17"/>
  <c r="X1312" i="17"/>
  <c r="L1311" i="17"/>
  <c r="X1311" i="17"/>
  <c r="L1310" i="17"/>
  <c r="X1310" i="17"/>
  <c r="L1309" i="17"/>
  <c r="X1309" i="17"/>
  <c r="L1308" i="17"/>
  <c r="X1308" i="17"/>
  <c r="L1307" i="17"/>
  <c r="X1307" i="17"/>
  <c r="L1306" i="17"/>
  <c r="X1306" i="17"/>
  <c r="L1305" i="17"/>
  <c r="X1305" i="17"/>
  <c r="L1304" i="17"/>
  <c r="X1304" i="17"/>
  <c r="L1303" i="17"/>
  <c r="X1303" i="17"/>
  <c r="L1302" i="17"/>
  <c r="X1302" i="17"/>
  <c r="L1301" i="17"/>
  <c r="X1301" i="17"/>
  <c r="L1300" i="17"/>
  <c r="X1300" i="17"/>
  <c r="L1299" i="17"/>
  <c r="X1299" i="17"/>
  <c r="L1298" i="17"/>
  <c r="X1298" i="17"/>
  <c r="L1297" i="17"/>
  <c r="X1297" i="17"/>
  <c r="L1296" i="17"/>
  <c r="X1296" i="17"/>
  <c r="L1295" i="17"/>
  <c r="X1295" i="17"/>
  <c r="L1294" i="17"/>
  <c r="X1294" i="17"/>
  <c r="L1293" i="17"/>
  <c r="X1293" i="17"/>
  <c r="L1292" i="17"/>
  <c r="X1292" i="17"/>
  <c r="L1291" i="17"/>
  <c r="X1291" i="17"/>
  <c r="L1290" i="17"/>
  <c r="X1290" i="17"/>
  <c r="L1289" i="17"/>
  <c r="X1289" i="17"/>
  <c r="L1288" i="17"/>
  <c r="X1288" i="17"/>
  <c r="L1287" i="17"/>
  <c r="X1287" i="17"/>
  <c r="L1286" i="17"/>
  <c r="X1286" i="17"/>
  <c r="L1285" i="17"/>
  <c r="X1285" i="17"/>
  <c r="L1284" i="17"/>
  <c r="X1284" i="17"/>
  <c r="L1283" i="17"/>
  <c r="X1283" i="17"/>
  <c r="L1282" i="17"/>
  <c r="X1282" i="17"/>
  <c r="L1281" i="17"/>
  <c r="X1281" i="17"/>
  <c r="L1280" i="17"/>
  <c r="X1280" i="17"/>
  <c r="L1279" i="17"/>
  <c r="X1279" i="17"/>
  <c r="L1278" i="17"/>
  <c r="X1278" i="17"/>
  <c r="L1277" i="17"/>
  <c r="X1277" i="17"/>
  <c r="L1276" i="17"/>
  <c r="X1276" i="17"/>
  <c r="L1275" i="17"/>
  <c r="X1275" i="17"/>
  <c r="L1274" i="17"/>
  <c r="X1274" i="17"/>
  <c r="L1273" i="17"/>
  <c r="X1273" i="17"/>
  <c r="L1272" i="17"/>
  <c r="X1272" i="17"/>
  <c r="L1271" i="17"/>
  <c r="X1271" i="17"/>
  <c r="L1270" i="17"/>
  <c r="X1270" i="17"/>
  <c r="L1269" i="17"/>
  <c r="X1269" i="17"/>
  <c r="L1268" i="17"/>
  <c r="X1268" i="17"/>
  <c r="L1267" i="17"/>
  <c r="X1267" i="17"/>
  <c r="L1266" i="17"/>
  <c r="X1266" i="17"/>
  <c r="L1265" i="17"/>
  <c r="X1265" i="17"/>
  <c r="L1264" i="17"/>
  <c r="X1264" i="17"/>
  <c r="L1263" i="17"/>
  <c r="X1263" i="17"/>
  <c r="L1262" i="17"/>
  <c r="X1262" i="17"/>
  <c r="L1261" i="17"/>
  <c r="X1261" i="17"/>
  <c r="L1260" i="17"/>
  <c r="X1260" i="17"/>
  <c r="L1259" i="17"/>
  <c r="X1259" i="17"/>
  <c r="L1258" i="17"/>
  <c r="X1258" i="17"/>
  <c r="L1257" i="17"/>
  <c r="X1257" i="17"/>
  <c r="L1256" i="17"/>
  <c r="X1256" i="17"/>
  <c r="L1255" i="17"/>
  <c r="X1255" i="17"/>
  <c r="L1254" i="17"/>
  <c r="X1254" i="17"/>
  <c r="L1253" i="17"/>
  <c r="X1253" i="17"/>
  <c r="L1252" i="17"/>
  <c r="X1252" i="17"/>
  <c r="L1251" i="17"/>
  <c r="X1251" i="17"/>
  <c r="L1250" i="17"/>
  <c r="X1250" i="17"/>
  <c r="L1249" i="17"/>
  <c r="X1249" i="17"/>
  <c r="L1248" i="17"/>
  <c r="X1248" i="17"/>
  <c r="L1243" i="17"/>
  <c r="X1243" i="17"/>
  <c r="L1242" i="17"/>
  <c r="X1242" i="17"/>
  <c r="L1241" i="17"/>
  <c r="X1241" i="17"/>
  <c r="L1240" i="17"/>
  <c r="X1240" i="17"/>
  <c r="L1239" i="17"/>
  <c r="X1239" i="17"/>
  <c r="L1238" i="17"/>
  <c r="X1238" i="17"/>
  <c r="L1237" i="17"/>
  <c r="X1237" i="17"/>
  <c r="L1236" i="17"/>
  <c r="X1236" i="17"/>
  <c r="L1235" i="17"/>
  <c r="X1235" i="17"/>
  <c r="L1234" i="17"/>
  <c r="X1234" i="17"/>
  <c r="L1034" i="17"/>
  <c r="X1034" i="17"/>
  <c r="L1033" i="17"/>
  <c r="X1033" i="17"/>
  <c r="L1032" i="17"/>
  <c r="X1032" i="17"/>
  <c r="L1031" i="17"/>
  <c r="X1031" i="17"/>
  <c r="L1030" i="17"/>
  <c r="X1030" i="17"/>
  <c r="L1029" i="17"/>
  <c r="X1029" i="17"/>
  <c r="L1028" i="17"/>
  <c r="X1028" i="17"/>
  <c r="L1027" i="17"/>
  <c r="X1027" i="17"/>
  <c r="L1026" i="17"/>
  <c r="X1026" i="17"/>
  <c r="L1025" i="17"/>
  <c r="X1025" i="17"/>
  <c r="L1024" i="17"/>
  <c r="X1024" i="17"/>
  <c r="L1023" i="17"/>
  <c r="X1023" i="17"/>
  <c r="L1022" i="17"/>
  <c r="X1022" i="17"/>
  <c r="L1021" i="17"/>
  <c r="X1021" i="17"/>
  <c r="L1020" i="17"/>
  <c r="X1020" i="17"/>
  <c r="L1019" i="17"/>
  <c r="X1019" i="17"/>
  <c r="L1018" i="17"/>
  <c r="X1018" i="17"/>
  <c r="L1017" i="17"/>
  <c r="X1017" i="17"/>
  <c r="L1016" i="17"/>
  <c r="X1016" i="17"/>
  <c r="L1015" i="17"/>
  <c r="X1015" i="17"/>
  <c r="L1014" i="17"/>
  <c r="X1014" i="17"/>
  <c r="L1013" i="17"/>
  <c r="X1013" i="17"/>
  <c r="L1012" i="17"/>
  <c r="X1012" i="17"/>
  <c r="L1011" i="17"/>
  <c r="X1011" i="17"/>
  <c r="L1010" i="17"/>
  <c r="X1010" i="17"/>
  <c r="L1009" i="17"/>
  <c r="X1009" i="17"/>
  <c r="L1008" i="17"/>
  <c r="X1008" i="17"/>
  <c r="L1007" i="17"/>
  <c r="X1007" i="17"/>
  <c r="L1006" i="17"/>
  <c r="X1006" i="17"/>
  <c r="L1005" i="17"/>
  <c r="X1005" i="17"/>
  <c r="L1004" i="17"/>
  <c r="X1004" i="17"/>
  <c r="L1003" i="17"/>
  <c r="X1003" i="17"/>
  <c r="L1002" i="17"/>
  <c r="X1002" i="17"/>
  <c r="L1001" i="17"/>
  <c r="X1001" i="17"/>
  <c r="L1000" i="17"/>
  <c r="X1000" i="17"/>
  <c r="L999" i="17"/>
  <c r="X999" i="17"/>
  <c r="L998" i="17"/>
  <c r="X998" i="17"/>
  <c r="L997" i="17"/>
  <c r="X997" i="17"/>
  <c r="L996" i="17"/>
  <c r="X996" i="17"/>
  <c r="L995" i="17"/>
  <c r="X995" i="17"/>
  <c r="L994" i="17"/>
  <c r="X994" i="17"/>
  <c r="L993" i="17"/>
  <c r="X993" i="17"/>
  <c r="L992" i="17"/>
  <c r="X992" i="17"/>
  <c r="L991" i="17"/>
  <c r="X991" i="17"/>
  <c r="L990" i="17"/>
  <c r="X990" i="17"/>
  <c r="L989" i="17"/>
  <c r="X989" i="17"/>
  <c r="L988" i="17"/>
  <c r="X988" i="17"/>
  <c r="L987" i="17"/>
  <c r="X987" i="17"/>
  <c r="L986" i="17"/>
  <c r="X986" i="17"/>
  <c r="L985" i="17"/>
  <c r="X985" i="17"/>
  <c r="L984" i="17"/>
  <c r="X984" i="17"/>
  <c r="L983" i="17"/>
  <c r="X983" i="17"/>
  <c r="L982" i="17"/>
  <c r="X982" i="17"/>
  <c r="L981" i="17"/>
  <c r="X981" i="17"/>
  <c r="L980" i="17"/>
  <c r="X980" i="17"/>
  <c r="L979" i="17"/>
  <c r="X979" i="17"/>
  <c r="L978" i="17"/>
  <c r="X978" i="17"/>
  <c r="L977" i="17"/>
  <c r="X977" i="17"/>
  <c r="L976" i="17"/>
  <c r="X976" i="17"/>
  <c r="L975" i="17"/>
  <c r="X975" i="17"/>
  <c r="L974" i="17"/>
  <c r="X974" i="17"/>
  <c r="L973" i="17"/>
  <c r="X973" i="17"/>
  <c r="L972" i="17"/>
  <c r="X972" i="17"/>
  <c r="L971" i="17"/>
  <c r="X971" i="17"/>
  <c r="L970" i="17"/>
  <c r="X970" i="17"/>
  <c r="L969" i="17"/>
  <c r="X969" i="17"/>
  <c r="L968" i="17"/>
  <c r="X968" i="17"/>
  <c r="L967" i="17"/>
  <c r="X967" i="17"/>
  <c r="L966" i="17"/>
  <c r="X966" i="17"/>
  <c r="L965" i="17"/>
  <c r="X965" i="17"/>
  <c r="L964" i="17"/>
  <c r="X964" i="17"/>
  <c r="L963" i="17"/>
  <c r="X963" i="17"/>
  <c r="L962" i="17"/>
  <c r="X962" i="17"/>
  <c r="L961" i="17"/>
  <c r="X961" i="17"/>
  <c r="L960" i="17"/>
  <c r="X960" i="17"/>
  <c r="L959" i="17"/>
  <c r="X959" i="17"/>
  <c r="L958" i="17"/>
  <c r="X958" i="17"/>
  <c r="L957" i="17"/>
  <c r="X957" i="17"/>
  <c r="L956" i="17"/>
  <c r="X956" i="17"/>
  <c r="L955" i="17"/>
  <c r="X955" i="17"/>
  <c r="L954" i="17"/>
  <c r="X954" i="17"/>
  <c r="L953" i="17"/>
  <c r="X953" i="17"/>
  <c r="L952" i="17"/>
  <c r="X952" i="17"/>
  <c r="L951" i="17"/>
  <c r="X951" i="17"/>
  <c r="L950" i="17"/>
  <c r="X950" i="17"/>
  <c r="L949" i="17"/>
  <c r="X949" i="17"/>
  <c r="L948" i="17"/>
  <c r="X948" i="17"/>
  <c r="L947" i="17"/>
  <c r="X947" i="17"/>
  <c r="L946" i="17"/>
  <c r="X946" i="17"/>
  <c r="L945" i="17"/>
  <c r="X945" i="17"/>
  <c r="L944" i="17"/>
  <c r="X944" i="17"/>
  <c r="L943" i="17"/>
  <c r="X943" i="17"/>
  <c r="L942" i="17"/>
  <c r="X942" i="17"/>
  <c r="L941" i="17"/>
  <c r="X941" i="17"/>
  <c r="L940" i="17"/>
  <c r="X940" i="17"/>
  <c r="L939" i="17"/>
  <c r="X939" i="17"/>
  <c r="L938" i="17"/>
  <c r="X938" i="17"/>
  <c r="L937" i="17"/>
  <c r="X937" i="17"/>
  <c r="L936" i="17"/>
  <c r="X936" i="17"/>
  <c r="L935" i="17"/>
  <c r="X935" i="17"/>
  <c r="L934" i="17"/>
  <c r="X934" i="17"/>
  <c r="L933" i="17"/>
  <c r="X933" i="17"/>
  <c r="L932" i="17"/>
  <c r="X932" i="17"/>
  <c r="L931" i="17"/>
  <c r="X931" i="17"/>
  <c r="L930" i="17"/>
  <c r="X930" i="17"/>
  <c r="L929" i="17"/>
  <c r="X929" i="17"/>
  <c r="L928" i="17"/>
  <c r="X928" i="17"/>
  <c r="L927" i="17"/>
  <c r="X927" i="17"/>
  <c r="L926" i="17"/>
  <c r="X926" i="17"/>
  <c r="L925" i="17"/>
  <c r="X925" i="17"/>
  <c r="L924" i="17"/>
  <c r="X924" i="17"/>
  <c r="L923" i="17"/>
  <c r="X923" i="17"/>
  <c r="L922" i="17"/>
  <c r="X922" i="17"/>
  <c r="L921" i="17"/>
  <c r="X921" i="17"/>
  <c r="L920" i="17"/>
  <c r="X920" i="17"/>
  <c r="L919" i="17"/>
  <c r="X919" i="17"/>
  <c r="L918" i="17"/>
  <c r="X918" i="17"/>
  <c r="L917" i="17"/>
  <c r="X917" i="17"/>
  <c r="L916" i="17"/>
  <c r="X916" i="17"/>
  <c r="L915" i="17"/>
  <c r="X915" i="17"/>
  <c r="L914" i="17"/>
  <c r="X914" i="17"/>
  <c r="L913" i="17"/>
  <c r="X913" i="17"/>
  <c r="L912" i="17"/>
  <c r="X912" i="17"/>
  <c r="L911" i="17"/>
  <c r="X911" i="17"/>
  <c r="L910" i="17"/>
  <c r="X910" i="17"/>
  <c r="L909" i="17"/>
  <c r="X909" i="17"/>
  <c r="L908" i="17"/>
  <c r="X908" i="17"/>
  <c r="L907" i="17"/>
  <c r="X907" i="17"/>
  <c r="L906" i="17"/>
  <c r="X906" i="17"/>
  <c r="L905" i="17"/>
  <c r="X905" i="17"/>
  <c r="L904" i="17"/>
  <c r="X904" i="17"/>
  <c r="L903" i="17"/>
  <c r="X903" i="17"/>
  <c r="L902" i="17"/>
  <c r="X902" i="17"/>
  <c r="L901" i="17"/>
  <c r="X901" i="17"/>
  <c r="L900" i="17"/>
  <c r="X900" i="17"/>
  <c r="L899" i="17"/>
  <c r="X899" i="17"/>
  <c r="L898" i="17"/>
  <c r="X898" i="17"/>
  <c r="L897" i="17"/>
  <c r="X897" i="17"/>
  <c r="L896" i="17"/>
  <c r="X896" i="17"/>
  <c r="L895" i="17"/>
  <c r="X895" i="17"/>
  <c r="L894" i="17"/>
  <c r="X894" i="17"/>
  <c r="L893" i="17"/>
  <c r="X893" i="17"/>
  <c r="L892" i="17"/>
  <c r="X892" i="17"/>
  <c r="L891" i="17"/>
  <c r="X891" i="17"/>
  <c r="L890" i="17"/>
  <c r="X890" i="17"/>
  <c r="L889" i="17"/>
  <c r="X889" i="17"/>
  <c r="L888" i="17"/>
  <c r="X888" i="17"/>
  <c r="L887" i="17"/>
  <c r="X887" i="17"/>
  <c r="L886" i="17"/>
  <c r="X886" i="17"/>
  <c r="L885" i="17"/>
  <c r="X885" i="17"/>
  <c r="L884" i="17"/>
  <c r="X884" i="17"/>
  <c r="L883" i="17"/>
  <c r="X883" i="17"/>
  <c r="L882" i="17"/>
  <c r="X882" i="17"/>
  <c r="L881" i="17"/>
  <c r="X881" i="17"/>
  <c r="L880" i="17"/>
  <c r="X880" i="17"/>
  <c r="L879" i="17"/>
  <c r="X879" i="17"/>
  <c r="L878" i="17"/>
  <c r="X878" i="17"/>
  <c r="L877" i="17"/>
  <c r="X877" i="17"/>
  <c r="L876" i="17"/>
  <c r="X876" i="17"/>
  <c r="L875" i="17"/>
  <c r="X875" i="17"/>
  <c r="L874" i="17"/>
  <c r="X874" i="17"/>
  <c r="L873" i="17"/>
  <c r="X873" i="17"/>
  <c r="L872" i="17"/>
  <c r="X872" i="17"/>
  <c r="L871" i="17"/>
  <c r="X871" i="17"/>
  <c r="L870" i="17"/>
  <c r="X870" i="17"/>
  <c r="L869" i="17"/>
  <c r="X869" i="17"/>
  <c r="L868" i="17"/>
  <c r="X868" i="17"/>
  <c r="L867" i="17"/>
  <c r="X867" i="17"/>
  <c r="L866" i="17"/>
  <c r="X866" i="17"/>
  <c r="L865" i="17"/>
  <c r="X865" i="17"/>
  <c r="L864" i="17"/>
  <c r="X864" i="17"/>
  <c r="L863" i="17"/>
  <c r="X863" i="17"/>
  <c r="L862" i="17"/>
  <c r="X862" i="17"/>
  <c r="L861" i="17"/>
  <c r="X861" i="17"/>
  <c r="L860" i="17"/>
  <c r="X860" i="17"/>
  <c r="L859" i="17"/>
  <c r="X859" i="17"/>
  <c r="L858" i="17"/>
  <c r="X858" i="17"/>
  <c r="L857" i="17"/>
  <c r="X857" i="17"/>
  <c r="L856" i="17"/>
  <c r="X856" i="17"/>
  <c r="L855" i="17"/>
  <c r="X855" i="17"/>
  <c r="L854" i="17"/>
  <c r="X854" i="17"/>
  <c r="L853" i="17"/>
  <c r="X853" i="17"/>
  <c r="L852" i="17"/>
  <c r="X852" i="17"/>
  <c r="L851" i="17"/>
  <c r="X851" i="17"/>
  <c r="L850" i="17"/>
  <c r="X850" i="17"/>
  <c r="L849" i="17"/>
  <c r="X849" i="17"/>
  <c r="L848" i="17"/>
  <c r="X848" i="17"/>
  <c r="L847" i="17"/>
  <c r="X847" i="17"/>
  <c r="L846" i="17"/>
  <c r="X846" i="17"/>
  <c r="L845" i="17"/>
  <c r="X845" i="17"/>
  <c r="L844" i="17"/>
  <c r="X844" i="17"/>
  <c r="L843" i="17"/>
  <c r="X843" i="17"/>
  <c r="L842" i="17"/>
  <c r="X842" i="17"/>
  <c r="L841" i="17"/>
  <c r="X841" i="17"/>
  <c r="L840" i="17"/>
  <c r="X840" i="17"/>
  <c r="L839" i="17"/>
  <c r="X839" i="17"/>
  <c r="L838" i="17"/>
  <c r="X838" i="17"/>
  <c r="L837" i="17"/>
  <c r="X837" i="17"/>
  <c r="L836" i="17"/>
  <c r="X836" i="17"/>
  <c r="L835" i="17"/>
  <c r="X835" i="17"/>
  <c r="L834" i="17"/>
  <c r="X834" i="17"/>
  <c r="L833" i="17"/>
  <c r="X833" i="17"/>
  <c r="L832" i="17"/>
  <c r="X832" i="17"/>
  <c r="L831" i="17"/>
  <c r="X831" i="17"/>
  <c r="L830" i="17"/>
  <c r="X830" i="17"/>
  <c r="L829" i="17"/>
  <c r="X829" i="17"/>
  <c r="L828" i="17"/>
  <c r="X828" i="17"/>
  <c r="L827" i="17"/>
  <c r="X827" i="17"/>
  <c r="L826" i="17"/>
  <c r="X826" i="17"/>
  <c r="L711" i="17"/>
  <c r="X711" i="17"/>
  <c r="L710" i="17"/>
  <c r="X710" i="17"/>
  <c r="L709" i="17"/>
  <c r="X709" i="17"/>
  <c r="L708" i="17"/>
  <c r="X708" i="17"/>
  <c r="L707" i="17"/>
  <c r="X707" i="17"/>
  <c r="X706" i="17"/>
  <c r="L706" i="17"/>
  <c r="L705" i="17"/>
  <c r="X705" i="17"/>
  <c r="L704" i="17"/>
  <c r="X704" i="17"/>
  <c r="L703" i="17"/>
  <c r="X703" i="17"/>
  <c r="L702" i="17"/>
  <c r="X702" i="17"/>
  <c r="L701" i="17"/>
  <c r="X701" i="17"/>
  <c r="L700" i="17"/>
  <c r="X700" i="17"/>
  <c r="L699" i="17"/>
  <c r="X699" i="17"/>
  <c r="L698" i="17"/>
  <c r="X698" i="17"/>
  <c r="L697" i="17"/>
  <c r="X697" i="17"/>
  <c r="L696" i="17"/>
  <c r="X696" i="17"/>
  <c r="L695" i="17"/>
  <c r="X695" i="17"/>
  <c r="L694" i="17"/>
  <c r="X694" i="17"/>
  <c r="L693" i="17"/>
  <c r="X693" i="17"/>
  <c r="L692" i="17"/>
  <c r="X692" i="17"/>
  <c r="L691" i="17"/>
  <c r="X691" i="17"/>
  <c r="L690" i="17"/>
  <c r="X690" i="17"/>
  <c r="L689" i="17"/>
  <c r="X689" i="17"/>
  <c r="X688" i="17"/>
  <c r="L688" i="17"/>
  <c r="L684" i="17"/>
  <c r="X684" i="17"/>
  <c r="L683" i="17"/>
  <c r="X683" i="17"/>
  <c r="L682" i="17"/>
  <c r="X682" i="17"/>
  <c r="L681" i="17"/>
  <c r="X681" i="17"/>
  <c r="L680" i="17"/>
  <c r="X680" i="17"/>
  <c r="L679" i="17"/>
  <c r="X679" i="17"/>
  <c r="L678" i="17"/>
  <c r="X678" i="17"/>
  <c r="L677" i="17"/>
  <c r="X677" i="17"/>
  <c r="L676" i="17"/>
  <c r="X676" i="17"/>
  <c r="L675" i="17"/>
  <c r="X675" i="17"/>
  <c r="L674" i="17"/>
  <c r="X674" i="17"/>
  <c r="X673" i="17"/>
  <c r="L673" i="17"/>
  <c r="L672" i="17"/>
  <c r="X672" i="17"/>
  <c r="L671" i="17"/>
  <c r="X671" i="17"/>
  <c r="L670" i="17"/>
  <c r="X670" i="17"/>
  <c r="L669" i="17"/>
  <c r="X669" i="17"/>
  <c r="L668" i="17"/>
  <c r="X668" i="17"/>
  <c r="L667" i="17"/>
  <c r="X667" i="17"/>
  <c r="L665" i="17"/>
  <c r="X665" i="17"/>
  <c r="L664" i="17"/>
  <c r="X664" i="17"/>
  <c r="L663" i="17"/>
  <c r="X663" i="17"/>
  <c r="L662" i="17"/>
  <c r="X662" i="17"/>
  <c r="L661" i="17"/>
  <c r="X661" i="17"/>
  <c r="L660" i="17"/>
  <c r="X660" i="17"/>
  <c r="L659" i="17"/>
  <c r="X659" i="17"/>
  <c r="L658" i="17"/>
  <c r="X658" i="17"/>
  <c r="L657" i="17"/>
  <c r="X657" i="17"/>
  <c r="L656" i="17"/>
  <c r="X656" i="17"/>
  <c r="L655" i="17"/>
  <c r="X655" i="17"/>
  <c r="L654" i="17"/>
  <c r="X654" i="17"/>
  <c r="L653" i="17"/>
  <c r="X653" i="17"/>
  <c r="L652" i="17"/>
  <c r="X652" i="17"/>
  <c r="L651" i="17"/>
  <c r="X651" i="17"/>
  <c r="L650" i="17"/>
  <c r="X650" i="17"/>
  <c r="L649" i="17"/>
  <c r="X649" i="17"/>
  <c r="L648" i="17"/>
  <c r="X648" i="17"/>
  <c r="L647" i="17"/>
  <c r="X647" i="17"/>
  <c r="L646" i="17"/>
  <c r="X646" i="17"/>
  <c r="L644" i="17"/>
  <c r="X644" i="17"/>
  <c r="L643" i="17"/>
  <c r="X643" i="17"/>
  <c r="L642" i="17"/>
  <c r="X642" i="17"/>
  <c r="L641" i="17"/>
  <c r="X641" i="17"/>
  <c r="X640" i="17"/>
  <c r="L640" i="17"/>
  <c r="L639" i="17"/>
  <c r="X639" i="17"/>
  <c r="L638" i="17"/>
  <c r="X638" i="17"/>
  <c r="L637" i="17"/>
  <c r="X637" i="17"/>
  <c r="L636" i="17"/>
  <c r="X636" i="17"/>
  <c r="L635" i="17"/>
  <c r="X635" i="17"/>
  <c r="L634" i="17"/>
  <c r="X634" i="17"/>
  <c r="L633" i="17"/>
  <c r="X633" i="17"/>
  <c r="L632" i="17"/>
  <c r="X632" i="17"/>
  <c r="L631" i="17"/>
  <c r="X631" i="17"/>
  <c r="L630" i="17"/>
  <c r="X630" i="17"/>
  <c r="L629" i="17"/>
  <c r="X629" i="17"/>
  <c r="L628" i="17"/>
  <c r="X628" i="17"/>
  <c r="L627" i="17"/>
  <c r="X627" i="17"/>
  <c r="L626" i="17"/>
  <c r="X626" i="17"/>
  <c r="L625" i="17"/>
  <c r="X625" i="17"/>
  <c r="L624" i="17"/>
  <c r="X624" i="17"/>
  <c r="L623" i="17"/>
  <c r="X623" i="17"/>
  <c r="L622" i="17"/>
  <c r="X622" i="17"/>
  <c r="L621" i="17"/>
  <c r="X621" i="17"/>
  <c r="L620" i="17"/>
  <c r="X620" i="17"/>
  <c r="L619" i="17"/>
  <c r="X619" i="17"/>
  <c r="L618" i="17"/>
  <c r="X618" i="17"/>
  <c r="X225" i="17"/>
  <c r="L225" i="17"/>
  <c r="L224" i="17"/>
  <c r="X224" i="17"/>
  <c r="L223" i="17"/>
  <c r="X223" i="17"/>
  <c r="L221" i="17"/>
  <c r="X221" i="17"/>
  <c r="L216" i="17"/>
  <c r="X216" i="17"/>
  <c r="L215" i="17"/>
  <c r="X215" i="17"/>
  <c r="L214" i="17"/>
  <c r="X214" i="17"/>
  <c r="L211" i="17"/>
  <c r="X211" i="17"/>
  <c r="L208" i="17"/>
  <c r="X208" i="17"/>
  <c r="L205" i="17"/>
  <c r="X205" i="17"/>
  <c r="X203" i="17"/>
  <c r="L203" i="17"/>
  <c r="L202" i="17"/>
  <c r="X202" i="17"/>
  <c r="L201" i="17"/>
  <c r="X201" i="17"/>
  <c r="L200" i="17"/>
  <c r="X200" i="17"/>
  <c r="L198" i="17"/>
  <c r="X198" i="17"/>
  <c r="L825" i="17"/>
  <c r="X825" i="17"/>
  <c r="L824" i="17"/>
  <c r="X824" i="17"/>
  <c r="L823" i="17"/>
  <c r="X823" i="17"/>
  <c r="L822" i="17"/>
  <c r="X822" i="17"/>
  <c r="L821" i="17"/>
  <c r="X821" i="17"/>
  <c r="L820" i="17"/>
  <c r="X820" i="17"/>
  <c r="L819" i="17"/>
  <c r="X819" i="17"/>
  <c r="L818" i="17"/>
  <c r="X818" i="17"/>
  <c r="L817" i="17"/>
  <c r="X817" i="17"/>
  <c r="L816" i="17"/>
  <c r="X816" i="17"/>
  <c r="L815" i="17"/>
  <c r="X815" i="17"/>
  <c r="L814" i="17"/>
  <c r="X814" i="17"/>
  <c r="L813" i="17"/>
  <c r="X813" i="17"/>
  <c r="L812" i="17"/>
  <c r="X812" i="17"/>
  <c r="L811" i="17"/>
  <c r="X811" i="17"/>
  <c r="L810" i="17"/>
  <c r="X810" i="17"/>
  <c r="L809" i="17"/>
  <c r="X809" i="17"/>
  <c r="L808" i="17"/>
  <c r="X808" i="17"/>
  <c r="L807" i="17"/>
  <c r="X807" i="17"/>
  <c r="L806" i="17"/>
  <c r="X806" i="17"/>
  <c r="L805" i="17"/>
  <c r="X805" i="17"/>
  <c r="L804" i="17"/>
  <c r="X804" i="17"/>
  <c r="L803" i="17"/>
  <c r="X803" i="17"/>
  <c r="L802" i="17"/>
  <c r="X802" i="17"/>
  <c r="L801" i="17"/>
  <c r="X801" i="17"/>
  <c r="L800" i="17"/>
  <c r="X800" i="17"/>
  <c r="L799" i="17"/>
  <c r="X799" i="17"/>
  <c r="L798" i="17"/>
  <c r="X798" i="17"/>
  <c r="L797" i="17"/>
  <c r="X797" i="17"/>
  <c r="L796" i="17"/>
  <c r="X796" i="17"/>
  <c r="L795" i="17"/>
  <c r="X795" i="17"/>
  <c r="L794" i="17"/>
  <c r="X794" i="17"/>
  <c r="L793" i="17"/>
  <c r="X793" i="17"/>
  <c r="L792" i="17"/>
  <c r="X792" i="17"/>
  <c r="L791" i="17"/>
  <c r="X791" i="17"/>
  <c r="L790" i="17"/>
  <c r="X790" i="17"/>
  <c r="L789" i="17"/>
  <c r="X789" i="17"/>
  <c r="L788" i="17"/>
  <c r="X788" i="17"/>
  <c r="L787" i="17"/>
  <c r="X787" i="17"/>
  <c r="L786" i="17"/>
  <c r="X786" i="17"/>
  <c r="L785" i="17"/>
  <c r="X785" i="17"/>
  <c r="L784" i="17"/>
  <c r="X784" i="17"/>
  <c r="L783" i="17"/>
  <c r="X783" i="17"/>
  <c r="L782" i="17"/>
  <c r="X782" i="17"/>
  <c r="L781" i="17"/>
  <c r="X781" i="17"/>
  <c r="L780" i="17"/>
  <c r="X780" i="17"/>
  <c r="L779" i="17"/>
  <c r="X779" i="17"/>
  <c r="L778" i="17"/>
  <c r="X778" i="17"/>
  <c r="L777" i="17"/>
  <c r="X777" i="17"/>
  <c r="L776" i="17"/>
  <c r="X776" i="17"/>
  <c r="L775" i="17"/>
  <c r="X775" i="17"/>
  <c r="L774" i="17"/>
  <c r="X774" i="17"/>
  <c r="L773" i="17"/>
  <c r="X773" i="17"/>
  <c r="L772" i="17"/>
  <c r="X772" i="17"/>
  <c r="L771" i="17"/>
  <c r="X771" i="17"/>
  <c r="L770" i="17"/>
  <c r="X770" i="17"/>
  <c r="L769" i="17"/>
  <c r="X769" i="17"/>
  <c r="L768" i="17"/>
  <c r="X768" i="17"/>
  <c r="L767" i="17"/>
  <c r="X767" i="17"/>
  <c r="L766" i="17"/>
  <c r="X766" i="17"/>
  <c r="L765" i="17"/>
  <c r="X765" i="17"/>
  <c r="L764" i="17"/>
  <c r="X764" i="17"/>
  <c r="L763" i="17"/>
  <c r="X763" i="17"/>
  <c r="L762" i="17"/>
  <c r="X762" i="17"/>
  <c r="L761" i="17"/>
  <c r="X761" i="17"/>
  <c r="L760" i="17"/>
  <c r="X760" i="17"/>
  <c r="L759" i="17"/>
  <c r="X759" i="17"/>
  <c r="L758" i="17"/>
  <c r="X758" i="17"/>
  <c r="L757" i="17"/>
  <c r="X757" i="17"/>
  <c r="L756" i="17"/>
  <c r="X756" i="17"/>
  <c r="L755" i="17"/>
  <c r="X755" i="17"/>
  <c r="L754" i="17"/>
  <c r="X754" i="17"/>
  <c r="L753" i="17"/>
  <c r="X753" i="17"/>
  <c r="L752" i="17"/>
  <c r="X752" i="17"/>
  <c r="L751" i="17"/>
  <c r="X751" i="17"/>
  <c r="L750" i="17"/>
  <c r="X750" i="17"/>
  <c r="L749" i="17"/>
  <c r="X749" i="17"/>
  <c r="L748" i="17"/>
  <c r="X748" i="17"/>
  <c r="L747" i="17"/>
  <c r="X747" i="17"/>
  <c r="L746" i="17"/>
  <c r="X746" i="17"/>
  <c r="L745" i="17"/>
  <c r="X745" i="17"/>
  <c r="L744" i="17"/>
  <c r="X744" i="17"/>
  <c r="L743" i="17"/>
  <c r="X743" i="17"/>
  <c r="L742" i="17"/>
  <c r="X742" i="17"/>
  <c r="L741" i="17"/>
  <c r="X741" i="17"/>
  <c r="L740" i="17"/>
  <c r="X740" i="17"/>
  <c r="L739" i="17"/>
  <c r="X739" i="17"/>
  <c r="L738" i="17"/>
  <c r="X738" i="17"/>
  <c r="L737" i="17"/>
  <c r="X737" i="17"/>
  <c r="L736" i="17"/>
  <c r="X736" i="17"/>
  <c r="L735" i="17"/>
  <c r="X735" i="17"/>
  <c r="L734" i="17"/>
  <c r="X734" i="17"/>
  <c r="L733" i="17"/>
  <c r="X733" i="17"/>
  <c r="L732" i="17"/>
  <c r="X732" i="17"/>
  <c r="L731" i="17"/>
  <c r="X731" i="17"/>
  <c r="L730" i="17"/>
  <c r="X730" i="17"/>
  <c r="L729" i="17"/>
  <c r="X729" i="17"/>
  <c r="L728" i="17"/>
  <c r="X728" i="17"/>
  <c r="L727" i="17"/>
  <c r="X727" i="17"/>
  <c r="L726" i="17"/>
  <c r="X726" i="17"/>
  <c r="L725" i="17"/>
  <c r="X725" i="17"/>
  <c r="L724" i="17"/>
  <c r="X724" i="17"/>
  <c r="L723" i="17"/>
  <c r="X723" i="17"/>
  <c r="L722" i="17"/>
  <c r="X722" i="17"/>
  <c r="L721" i="17"/>
  <c r="X721" i="17"/>
  <c r="L720" i="17"/>
  <c r="X720" i="17"/>
  <c r="L719" i="17"/>
  <c r="X719" i="17"/>
  <c r="L718" i="17"/>
  <c r="X718" i="17"/>
  <c r="L717" i="17"/>
  <c r="X717" i="17"/>
  <c r="L716" i="17"/>
  <c r="X716" i="17"/>
  <c r="L715" i="17"/>
  <c r="X715" i="17"/>
  <c r="L714" i="17"/>
  <c r="X714" i="17"/>
  <c r="L713" i="17"/>
  <c r="X713" i="17"/>
  <c r="L712" i="17"/>
  <c r="X712" i="17"/>
  <c r="L687" i="17"/>
  <c r="X687" i="17"/>
  <c r="L686" i="17"/>
  <c r="X686" i="17"/>
  <c r="L685" i="17"/>
  <c r="X685" i="17"/>
  <c r="L666" i="17"/>
  <c r="X666" i="17"/>
  <c r="L645" i="17"/>
  <c r="X645" i="17"/>
  <c r="L617" i="17"/>
  <c r="X617" i="17"/>
  <c r="X220" i="17"/>
  <c r="L220" i="17"/>
  <c r="L616" i="17"/>
  <c r="X616" i="17"/>
  <c r="L615" i="17"/>
  <c r="X615" i="17"/>
  <c r="L614" i="17"/>
  <c r="X614" i="17"/>
  <c r="L613" i="17"/>
  <c r="X613" i="17"/>
  <c r="L612" i="17"/>
  <c r="X612" i="17"/>
  <c r="L611" i="17"/>
  <c r="X611" i="17"/>
  <c r="L610" i="17"/>
  <c r="X610" i="17"/>
  <c r="L609" i="17"/>
  <c r="X609" i="17"/>
  <c r="L608" i="17"/>
  <c r="X608" i="17"/>
  <c r="L607" i="17"/>
  <c r="X607" i="17"/>
  <c r="L606" i="17"/>
  <c r="X606" i="17"/>
  <c r="L605" i="17"/>
  <c r="X605" i="17"/>
  <c r="L604" i="17"/>
  <c r="X604" i="17"/>
  <c r="L603" i="17"/>
  <c r="X603" i="17"/>
  <c r="L602" i="17"/>
  <c r="X602" i="17"/>
  <c r="L601" i="17"/>
  <c r="X601" i="17"/>
  <c r="L600" i="17"/>
  <c r="X600" i="17"/>
  <c r="L599" i="17"/>
  <c r="X599" i="17"/>
  <c r="L598" i="17"/>
  <c r="X598" i="17"/>
  <c r="L597" i="17"/>
  <c r="X597" i="17"/>
  <c r="L596" i="17"/>
  <c r="X596" i="17"/>
  <c r="L595" i="17"/>
  <c r="X595" i="17"/>
  <c r="L594" i="17"/>
  <c r="X594" i="17"/>
  <c r="L593" i="17"/>
  <c r="X593" i="17"/>
  <c r="L592" i="17"/>
  <c r="X592" i="17"/>
  <c r="L591" i="17"/>
  <c r="X591" i="17"/>
  <c r="L590" i="17"/>
  <c r="X590" i="17"/>
  <c r="L589" i="17"/>
  <c r="X589" i="17"/>
  <c r="L588" i="17"/>
  <c r="X588" i="17"/>
  <c r="L587" i="17"/>
  <c r="X587" i="17"/>
  <c r="L586" i="17"/>
  <c r="X586" i="17"/>
  <c r="L585" i="17"/>
  <c r="X585" i="17"/>
  <c r="L584" i="17"/>
  <c r="X584" i="17"/>
  <c r="L583" i="17"/>
  <c r="X583" i="17"/>
  <c r="L582" i="17"/>
  <c r="X582" i="17"/>
  <c r="L581" i="17"/>
  <c r="X581" i="17"/>
  <c r="L580" i="17"/>
  <c r="X580" i="17"/>
  <c r="L579" i="17"/>
  <c r="X579" i="17"/>
  <c r="L578" i="17"/>
  <c r="X578" i="17"/>
  <c r="L577" i="17"/>
  <c r="X577" i="17"/>
  <c r="L576" i="17"/>
  <c r="X576" i="17"/>
  <c r="L575" i="17"/>
  <c r="X575" i="17"/>
  <c r="L574" i="17"/>
  <c r="X574" i="17"/>
  <c r="L573" i="17"/>
  <c r="X573" i="17"/>
  <c r="L572" i="17"/>
  <c r="X572" i="17"/>
  <c r="L571" i="17"/>
  <c r="X571" i="17"/>
  <c r="L570" i="17"/>
  <c r="X570" i="17"/>
  <c r="L569" i="17"/>
  <c r="X569" i="17"/>
  <c r="L568" i="17"/>
  <c r="X568" i="17"/>
  <c r="L567" i="17"/>
  <c r="X567" i="17"/>
  <c r="L566" i="17"/>
  <c r="X566" i="17"/>
  <c r="L565" i="17"/>
  <c r="X565" i="17"/>
  <c r="L564" i="17"/>
  <c r="X564" i="17"/>
  <c r="L563" i="17"/>
  <c r="X563" i="17"/>
  <c r="L562" i="17"/>
  <c r="X562" i="17"/>
  <c r="L561" i="17"/>
  <c r="X561" i="17"/>
  <c r="L560" i="17"/>
  <c r="X560" i="17"/>
  <c r="L559" i="17"/>
  <c r="X559" i="17"/>
  <c r="L558" i="17"/>
  <c r="X558" i="17"/>
  <c r="L557" i="17"/>
  <c r="X557" i="17"/>
  <c r="L556" i="17"/>
  <c r="X556" i="17"/>
  <c r="L555" i="17"/>
  <c r="X555" i="17"/>
  <c r="L554" i="17"/>
  <c r="X554" i="17"/>
  <c r="L553" i="17"/>
  <c r="X553" i="17"/>
  <c r="L552" i="17"/>
  <c r="X552" i="17"/>
  <c r="L551" i="17"/>
  <c r="X551" i="17"/>
  <c r="L550" i="17"/>
  <c r="X550" i="17"/>
  <c r="L549" i="17"/>
  <c r="X549" i="17"/>
  <c r="L548" i="17"/>
  <c r="X548" i="17"/>
  <c r="L547" i="17"/>
  <c r="X547" i="17"/>
  <c r="L546" i="17"/>
  <c r="X546" i="17"/>
  <c r="L545" i="17"/>
  <c r="X545" i="17"/>
  <c r="L544" i="17"/>
  <c r="X544" i="17"/>
  <c r="L543" i="17"/>
  <c r="X543" i="17"/>
  <c r="L542" i="17"/>
  <c r="X542" i="17"/>
  <c r="L541" i="17"/>
  <c r="X541" i="17"/>
  <c r="L540" i="17"/>
  <c r="X540" i="17"/>
  <c r="L539" i="17"/>
  <c r="X539" i="17"/>
  <c r="L538" i="17"/>
  <c r="X538" i="17"/>
  <c r="L537" i="17"/>
  <c r="X537" i="17"/>
  <c r="L536" i="17"/>
  <c r="X536" i="17"/>
  <c r="L535" i="17"/>
  <c r="X535" i="17"/>
  <c r="L534" i="17"/>
  <c r="X534" i="17"/>
  <c r="L533" i="17"/>
  <c r="X533" i="17"/>
  <c r="L532" i="17"/>
  <c r="X532" i="17"/>
  <c r="L531" i="17"/>
  <c r="X531" i="17"/>
  <c r="L530" i="17"/>
  <c r="X530" i="17"/>
  <c r="L529" i="17"/>
  <c r="X529" i="17"/>
  <c r="L528" i="17"/>
  <c r="X528" i="17"/>
  <c r="L527" i="17"/>
  <c r="X527" i="17"/>
  <c r="L526" i="17"/>
  <c r="X526" i="17"/>
  <c r="L525" i="17"/>
  <c r="X525" i="17"/>
  <c r="L524" i="17"/>
  <c r="X524" i="17"/>
  <c r="L523" i="17"/>
  <c r="X523" i="17"/>
  <c r="L522" i="17"/>
  <c r="X522" i="17"/>
  <c r="L521" i="17"/>
  <c r="X521" i="17"/>
  <c r="L520" i="17"/>
  <c r="X520" i="17"/>
  <c r="L519" i="17"/>
  <c r="X519" i="17"/>
  <c r="L518" i="17"/>
  <c r="X518" i="17"/>
  <c r="L517" i="17"/>
  <c r="X517" i="17"/>
  <c r="L516" i="17"/>
  <c r="X516" i="17"/>
  <c r="L515" i="17"/>
  <c r="X515" i="17"/>
  <c r="L514" i="17"/>
  <c r="X514" i="17"/>
  <c r="L513" i="17"/>
  <c r="X513" i="17"/>
  <c r="L512" i="17"/>
  <c r="X512" i="17"/>
  <c r="L511" i="17"/>
  <c r="X511" i="17"/>
  <c r="L510" i="17"/>
  <c r="X510" i="17"/>
  <c r="L509" i="17"/>
  <c r="X509" i="17"/>
  <c r="L508" i="17"/>
  <c r="X508" i="17"/>
  <c r="L507" i="17"/>
  <c r="X507" i="17"/>
  <c r="L506" i="17"/>
  <c r="X506" i="17"/>
  <c r="L505" i="17"/>
  <c r="X505" i="17"/>
  <c r="L504" i="17"/>
  <c r="X504" i="17"/>
  <c r="L503" i="17"/>
  <c r="X503" i="17"/>
  <c r="L502" i="17"/>
  <c r="X502" i="17"/>
  <c r="L501" i="17"/>
  <c r="X501" i="17"/>
  <c r="L500" i="17"/>
  <c r="X500" i="17"/>
  <c r="L499" i="17"/>
  <c r="X499" i="17"/>
  <c r="L498" i="17"/>
  <c r="X498" i="17"/>
  <c r="L497" i="17"/>
  <c r="X497" i="17"/>
  <c r="L496" i="17"/>
  <c r="X496" i="17"/>
  <c r="L495" i="17"/>
  <c r="X495" i="17"/>
  <c r="L494" i="17"/>
  <c r="X494" i="17"/>
  <c r="L493" i="17"/>
  <c r="X493" i="17"/>
  <c r="L492" i="17"/>
  <c r="X492" i="17"/>
  <c r="L491" i="17"/>
  <c r="X491" i="17"/>
  <c r="L490" i="17"/>
  <c r="X490" i="17"/>
  <c r="L489" i="17"/>
  <c r="X489" i="17"/>
  <c r="L488" i="17"/>
  <c r="X488" i="17"/>
  <c r="L487" i="17"/>
  <c r="X487" i="17"/>
  <c r="L486" i="17"/>
  <c r="X486" i="17"/>
  <c r="L485" i="17"/>
  <c r="X485" i="17"/>
  <c r="L484" i="17"/>
  <c r="X484" i="17"/>
  <c r="L483" i="17"/>
  <c r="X483" i="17"/>
  <c r="L482" i="17"/>
  <c r="X482" i="17"/>
  <c r="L481" i="17"/>
  <c r="X481" i="17"/>
  <c r="L480" i="17"/>
  <c r="X480" i="17"/>
  <c r="L479" i="17"/>
  <c r="X479" i="17"/>
  <c r="L478" i="17"/>
  <c r="X478" i="17"/>
  <c r="L477" i="17"/>
  <c r="X477" i="17"/>
  <c r="L476" i="17"/>
  <c r="X476" i="17"/>
  <c r="L475" i="17"/>
  <c r="X475" i="17"/>
  <c r="L474" i="17"/>
  <c r="X474" i="17"/>
  <c r="L473" i="17"/>
  <c r="X473" i="17"/>
  <c r="L472" i="17"/>
  <c r="X472" i="17"/>
  <c r="L471" i="17"/>
  <c r="X471" i="17"/>
  <c r="L470" i="17"/>
  <c r="X470" i="17"/>
  <c r="L469" i="17"/>
  <c r="X469" i="17"/>
  <c r="L468" i="17"/>
  <c r="X468" i="17"/>
  <c r="L467" i="17"/>
  <c r="X467" i="17"/>
  <c r="L466" i="17"/>
  <c r="X466" i="17"/>
  <c r="L465" i="17"/>
  <c r="X465" i="17"/>
  <c r="L464" i="17"/>
  <c r="X464" i="17"/>
  <c r="L463" i="17"/>
  <c r="X463" i="17"/>
  <c r="L462" i="17"/>
  <c r="X462" i="17"/>
  <c r="L461" i="17"/>
  <c r="X461" i="17"/>
  <c r="L460" i="17"/>
  <c r="X460" i="17"/>
  <c r="L459" i="17"/>
  <c r="X459" i="17"/>
  <c r="L458" i="17"/>
  <c r="X458" i="17"/>
  <c r="L457" i="17"/>
  <c r="X457" i="17"/>
  <c r="L456" i="17"/>
  <c r="X456" i="17"/>
  <c r="L455" i="17"/>
  <c r="X455" i="17"/>
  <c r="L454" i="17"/>
  <c r="X454" i="17"/>
  <c r="L453" i="17"/>
  <c r="X453" i="17"/>
  <c r="L452" i="17"/>
  <c r="X452" i="17"/>
  <c r="L451" i="17"/>
  <c r="X451" i="17"/>
  <c r="L450" i="17"/>
  <c r="X450" i="17"/>
  <c r="L449" i="17"/>
  <c r="X449" i="17"/>
  <c r="L448" i="17"/>
  <c r="X448" i="17"/>
  <c r="L447" i="17"/>
  <c r="X447" i="17"/>
  <c r="L446" i="17"/>
  <c r="X446" i="17"/>
  <c r="L445" i="17"/>
  <c r="X445" i="17"/>
  <c r="L444" i="17"/>
  <c r="X444" i="17"/>
  <c r="L443" i="17"/>
  <c r="X443" i="17"/>
  <c r="L442" i="17"/>
  <c r="X442" i="17"/>
  <c r="L441" i="17"/>
  <c r="X441" i="17"/>
  <c r="L440" i="17"/>
  <c r="X440" i="17"/>
  <c r="L439" i="17"/>
  <c r="X439" i="17"/>
  <c r="L438" i="17"/>
  <c r="X438" i="17"/>
  <c r="L437" i="17"/>
  <c r="X437" i="17"/>
  <c r="L436" i="17"/>
  <c r="X436" i="17"/>
  <c r="L435" i="17"/>
  <c r="X435" i="17"/>
  <c r="L434" i="17"/>
  <c r="X434" i="17"/>
  <c r="L433" i="17"/>
  <c r="X433" i="17"/>
  <c r="L432" i="17"/>
  <c r="X432" i="17"/>
  <c r="L431" i="17"/>
  <c r="X431" i="17"/>
  <c r="L430" i="17"/>
  <c r="X430" i="17"/>
  <c r="L429" i="17"/>
  <c r="X429" i="17"/>
  <c r="L428" i="17"/>
  <c r="X428" i="17"/>
  <c r="L427" i="17"/>
  <c r="X427" i="17"/>
  <c r="L426" i="17"/>
  <c r="X426" i="17"/>
  <c r="L425" i="17"/>
  <c r="X425" i="17"/>
  <c r="L424" i="17"/>
  <c r="X424" i="17"/>
  <c r="L423" i="17"/>
  <c r="X423" i="17"/>
  <c r="L422" i="17"/>
  <c r="X422" i="17"/>
  <c r="L421" i="17"/>
  <c r="X421" i="17"/>
  <c r="L420" i="17"/>
  <c r="X420" i="17"/>
  <c r="L419" i="17"/>
  <c r="X419" i="17"/>
  <c r="L418" i="17"/>
  <c r="X418" i="17"/>
  <c r="L417" i="17"/>
  <c r="X417" i="17"/>
  <c r="L416" i="17"/>
  <c r="X416" i="17"/>
  <c r="L415" i="17"/>
  <c r="X415" i="17"/>
  <c r="L414" i="17"/>
  <c r="X414" i="17"/>
  <c r="L413" i="17"/>
  <c r="X413" i="17"/>
  <c r="L412" i="17"/>
  <c r="X412" i="17"/>
  <c r="L411" i="17"/>
  <c r="X411" i="17"/>
  <c r="L410" i="17"/>
  <c r="X410" i="17"/>
  <c r="L409" i="17"/>
  <c r="X409" i="17"/>
  <c r="L408" i="17"/>
  <c r="X408" i="17"/>
  <c r="X239" i="17"/>
  <c r="L239" i="17"/>
  <c r="X238" i="17"/>
  <c r="L238" i="17"/>
  <c r="X236" i="17"/>
  <c r="L236" i="17"/>
  <c r="X234" i="17"/>
  <c r="L234" i="17"/>
  <c r="L231" i="17"/>
  <c r="X231" i="17"/>
  <c r="X230" i="17"/>
  <c r="L230" i="17"/>
  <c r="L228" i="17"/>
  <c r="X228" i="17"/>
  <c r="X227" i="17"/>
  <c r="L227" i="17"/>
  <c r="X226" i="17"/>
  <c r="L226" i="17"/>
  <c r="L217" i="17"/>
  <c r="X217" i="17"/>
  <c r="L213" i="17"/>
  <c r="X213" i="17"/>
  <c r="L212" i="17"/>
  <c r="X212" i="17"/>
  <c r="X209" i="17"/>
  <c r="L209" i="17"/>
  <c r="X204" i="17"/>
  <c r="L204" i="17"/>
  <c r="L407" i="17"/>
  <c r="X407" i="17"/>
  <c r="L406" i="17"/>
  <c r="X406" i="17"/>
  <c r="L405" i="17"/>
  <c r="X405" i="17"/>
  <c r="L404" i="17"/>
  <c r="X404" i="17"/>
  <c r="L403" i="17"/>
  <c r="X403" i="17"/>
  <c r="L402" i="17"/>
  <c r="X402" i="17"/>
  <c r="L401" i="17"/>
  <c r="X401" i="17"/>
  <c r="L400" i="17"/>
  <c r="X400" i="17"/>
  <c r="L399" i="17"/>
  <c r="X399" i="17"/>
  <c r="L398" i="17"/>
  <c r="X398" i="17"/>
  <c r="L397" i="17"/>
  <c r="X397" i="17"/>
  <c r="L396" i="17"/>
  <c r="X396" i="17"/>
  <c r="L395" i="17"/>
  <c r="X395" i="17"/>
  <c r="L394" i="17"/>
  <c r="X394" i="17"/>
  <c r="L393" i="17"/>
  <c r="X393" i="17"/>
  <c r="L392" i="17"/>
  <c r="X392" i="17"/>
  <c r="L391" i="17"/>
  <c r="X391" i="17"/>
  <c r="L390" i="17"/>
  <c r="X390" i="17"/>
  <c r="L389" i="17"/>
  <c r="X389" i="17"/>
  <c r="L388" i="17"/>
  <c r="X388" i="17"/>
  <c r="L387" i="17"/>
  <c r="X387" i="17"/>
  <c r="L386" i="17"/>
  <c r="X386" i="17"/>
  <c r="L385" i="17"/>
  <c r="X385" i="17"/>
  <c r="L384" i="17"/>
  <c r="X384" i="17"/>
  <c r="L383" i="17"/>
  <c r="X383" i="17"/>
  <c r="L382" i="17"/>
  <c r="X382" i="17"/>
  <c r="L381" i="17"/>
  <c r="X381" i="17"/>
  <c r="L380" i="17"/>
  <c r="X380" i="17"/>
  <c r="L379" i="17"/>
  <c r="X379" i="17"/>
  <c r="L378" i="17"/>
  <c r="X378" i="17"/>
  <c r="L377" i="17"/>
  <c r="X377" i="17"/>
  <c r="L376" i="17"/>
  <c r="X376" i="17"/>
  <c r="L375" i="17"/>
  <c r="X375" i="17"/>
  <c r="L374" i="17"/>
  <c r="X374" i="17"/>
  <c r="L373" i="17"/>
  <c r="X373" i="17"/>
  <c r="L372" i="17"/>
  <c r="X372" i="17"/>
  <c r="L371" i="17"/>
  <c r="X371" i="17"/>
  <c r="L370" i="17"/>
  <c r="X370" i="17"/>
  <c r="L369" i="17"/>
  <c r="X369" i="17"/>
  <c r="L368" i="17"/>
  <c r="X368" i="17"/>
  <c r="L367" i="17"/>
  <c r="X367" i="17"/>
  <c r="L366" i="17"/>
  <c r="X366" i="17"/>
  <c r="L365" i="17"/>
  <c r="X365" i="17"/>
  <c r="L364" i="17"/>
  <c r="X364" i="17"/>
  <c r="L363" i="17"/>
  <c r="X363" i="17"/>
  <c r="L362" i="17"/>
  <c r="X362" i="17"/>
  <c r="L361" i="17"/>
  <c r="X361" i="17"/>
  <c r="L360" i="17"/>
  <c r="X360" i="17"/>
  <c r="L359" i="17"/>
  <c r="X359" i="17"/>
  <c r="L358" i="17"/>
  <c r="X358" i="17"/>
  <c r="L357" i="17"/>
  <c r="X357" i="17"/>
  <c r="L356" i="17"/>
  <c r="X356" i="17"/>
  <c r="L355" i="17"/>
  <c r="X355" i="17"/>
  <c r="L354" i="17"/>
  <c r="X354" i="17"/>
  <c r="L353" i="17"/>
  <c r="X353" i="17"/>
  <c r="L352" i="17"/>
  <c r="X352" i="17"/>
  <c r="L351" i="17"/>
  <c r="X351" i="17"/>
  <c r="L350" i="17"/>
  <c r="X350" i="17"/>
  <c r="L349" i="17"/>
  <c r="X349" i="17"/>
  <c r="L348" i="17"/>
  <c r="X348" i="17"/>
  <c r="L347" i="17"/>
  <c r="X347" i="17"/>
  <c r="L346" i="17"/>
  <c r="X346" i="17"/>
  <c r="L345" i="17"/>
  <c r="X345" i="17"/>
  <c r="L344" i="17"/>
  <c r="X344" i="17"/>
  <c r="L343" i="17"/>
  <c r="X343" i="17"/>
  <c r="L342" i="17"/>
  <c r="X342" i="17"/>
  <c r="L341" i="17"/>
  <c r="X341" i="17"/>
  <c r="L340" i="17"/>
  <c r="X340" i="17"/>
  <c r="L339" i="17"/>
  <c r="X339" i="17"/>
  <c r="L338" i="17"/>
  <c r="X338" i="17"/>
  <c r="L337" i="17"/>
  <c r="X337" i="17"/>
  <c r="L336" i="17"/>
  <c r="X336" i="17"/>
  <c r="L335" i="17"/>
  <c r="X335" i="17"/>
  <c r="L334" i="17"/>
  <c r="X334" i="17"/>
  <c r="L333" i="17"/>
  <c r="X333" i="17"/>
  <c r="L332" i="17"/>
  <c r="X332" i="17"/>
  <c r="L331" i="17"/>
  <c r="X331" i="17"/>
  <c r="L330" i="17"/>
  <c r="X330" i="17"/>
  <c r="L329" i="17"/>
  <c r="X329" i="17"/>
  <c r="L328" i="17"/>
  <c r="X328" i="17"/>
  <c r="L327" i="17"/>
  <c r="X327" i="17"/>
  <c r="L326" i="17"/>
  <c r="X326" i="17"/>
  <c r="L325" i="17"/>
  <c r="X325" i="17"/>
  <c r="L324" i="17"/>
  <c r="X324" i="17"/>
  <c r="L323" i="17"/>
  <c r="X323" i="17"/>
  <c r="L322" i="17"/>
  <c r="X322" i="17"/>
  <c r="L321" i="17"/>
  <c r="X321" i="17"/>
  <c r="L320" i="17"/>
  <c r="X320" i="17"/>
  <c r="L319" i="17"/>
  <c r="X319" i="17"/>
  <c r="L318" i="17"/>
  <c r="X318" i="17"/>
  <c r="L317" i="17"/>
  <c r="X317" i="17"/>
  <c r="L316" i="17"/>
  <c r="X316" i="17"/>
  <c r="L315" i="17"/>
  <c r="X315" i="17"/>
  <c r="L314" i="17"/>
  <c r="X314" i="17"/>
  <c r="L313" i="17"/>
  <c r="X313" i="17"/>
  <c r="L312" i="17"/>
  <c r="X312" i="17"/>
  <c r="L311" i="17"/>
  <c r="X311" i="17"/>
  <c r="L310" i="17"/>
  <c r="X310" i="17"/>
  <c r="L309" i="17"/>
  <c r="X309" i="17"/>
  <c r="L308" i="17"/>
  <c r="X308" i="17"/>
  <c r="L307" i="17"/>
  <c r="X307" i="17"/>
  <c r="L306" i="17"/>
  <c r="X306" i="17"/>
  <c r="L305" i="17"/>
  <c r="X305" i="17"/>
  <c r="L304" i="17"/>
  <c r="X304" i="17"/>
  <c r="L303" i="17"/>
  <c r="X303" i="17"/>
  <c r="L302" i="17"/>
  <c r="X302" i="17"/>
  <c r="L301" i="17"/>
  <c r="X301" i="17"/>
  <c r="L300" i="17"/>
  <c r="X300" i="17"/>
  <c r="L299" i="17"/>
  <c r="X299" i="17"/>
  <c r="L298" i="17"/>
  <c r="X298" i="17"/>
  <c r="L297" i="17"/>
  <c r="X297" i="17"/>
  <c r="L296" i="17"/>
  <c r="X296" i="17"/>
  <c r="L295" i="17"/>
  <c r="X295" i="17"/>
  <c r="L294" i="17"/>
  <c r="X294" i="17"/>
  <c r="L293" i="17"/>
  <c r="X293" i="17"/>
  <c r="L292" i="17"/>
  <c r="X292" i="17"/>
  <c r="L291" i="17"/>
  <c r="X291" i="17"/>
  <c r="L290" i="17"/>
  <c r="X290" i="17"/>
  <c r="L289" i="17"/>
  <c r="X289" i="17"/>
  <c r="L288" i="17"/>
  <c r="X288" i="17"/>
  <c r="L287" i="17"/>
  <c r="X287" i="17"/>
  <c r="L286" i="17"/>
  <c r="X286" i="17"/>
  <c r="L285" i="17"/>
  <c r="X285" i="17"/>
  <c r="L284" i="17"/>
  <c r="X284" i="17"/>
  <c r="L283" i="17"/>
  <c r="X283" i="17"/>
  <c r="L282" i="17"/>
  <c r="X282" i="17"/>
  <c r="L281" i="17"/>
  <c r="X281" i="17"/>
  <c r="L280" i="17"/>
  <c r="X280" i="17"/>
  <c r="L279" i="17"/>
  <c r="X279" i="17"/>
  <c r="L278" i="17"/>
  <c r="X278" i="17"/>
  <c r="L277" i="17"/>
  <c r="X277" i="17"/>
  <c r="L276" i="17"/>
  <c r="X276" i="17"/>
  <c r="L275" i="17"/>
  <c r="X275" i="17"/>
  <c r="L274" i="17"/>
  <c r="X274" i="17"/>
  <c r="L273" i="17"/>
  <c r="X273" i="17"/>
  <c r="L272" i="17"/>
  <c r="X272" i="17"/>
  <c r="L271" i="17"/>
  <c r="X271" i="17"/>
  <c r="L270" i="17"/>
  <c r="X270" i="17"/>
  <c r="L269" i="17"/>
  <c r="X269" i="17"/>
  <c r="L268" i="17"/>
  <c r="X268" i="17"/>
  <c r="L267" i="17"/>
  <c r="X267" i="17"/>
  <c r="L266" i="17"/>
  <c r="X266" i="17"/>
  <c r="L265" i="17"/>
  <c r="X265" i="17"/>
  <c r="L264" i="17"/>
  <c r="X264" i="17"/>
  <c r="L263" i="17"/>
  <c r="X263" i="17"/>
  <c r="L262" i="17"/>
  <c r="X262" i="17"/>
  <c r="L261" i="17"/>
  <c r="X261" i="17"/>
  <c r="L260" i="17"/>
  <c r="X260" i="17"/>
  <c r="L259" i="17"/>
  <c r="X259" i="17"/>
  <c r="L258" i="17"/>
  <c r="X258" i="17"/>
  <c r="L257" i="17"/>
  <c r="X257" i="17"/>
  <c r="L256" i="17"/>
  <c r="X256" i="17"/>
  <c r="L255" i="17"/>
  <c r="X255" i="17"/>
  <c r="L254" i="17"/>
  <c r="X254" i="17"/>
  <c r="L253" i="17"/>
  <c r="X253" i="17"/>
  <c r="L252" i="17"/>
  <c r="X252" i="17"/>
  <c r="L251" i="17"/>
  <c r="X251" i="17"/>
  <c r="L250" i="17"/>
  <c r="X250" i="17"/>
  <c r="L249" i="17"/>
  <c r="X249" i="17"/>
  <c r="L248" i="17"/>
  <c r="X248" i="17"/>
  <c r="L247" i="17"/>
  <c r="X247" i="17"/>
  <c r="L246" i="17"/>
  <c r="X246" i="17"/>
  <c r="L245" i="17"/>
  <c r="X245" i="17"/>
  <c r="L244" i="17"/>
  <c r="X244" i="17"/>
  <c r="L243" i="17"/>
  <c r="X243" i="17"/>
  <c r="L242" i="17"/>
  <c r="X242" i="17"/>
  <c r="L241" i="17"/>
  <c r="X241" i="17"/>
  <c r="L240" i="17"/>
  <c r="X240" i="17"/>
  <c r="L237" i="17"/>
  <c r="X237" i="17"/>
  <c r="X235" i="17"/>
  <c r="L235" i="17"/>
  <c r="L233" i="17"/>
  <c r="X233" i="17"/>
  <c r="L232" i="17"/>
  <c r="X232" i="17"/>
  <c r="L229" i="17"/>
  <c r="X229" i="17"/>
  <c r="L222" i="17"/>
  <c r="X222" i="17"/>
  <c r="L219" i="17"/>
  <c r="X219" i="17"/>
  <c r="X218" i="17"/>
  <c r="L218" i="17"/>
  <c r="L210" i="17"/>
  <c r="X210" i="17"/>
  <c r="X207" i="17"/>
  <c r="L207" i="17"/>
  <c r="X206" i="17"/>
  <c r="L206" i="17"/>
  <c r="X199" i="17"/>
  <c r="L199" i="17"/>
  <c r="L197" i="17"/>
  <c r="X197" i="17"/>
  <c r="L196" i="17"/>
  <c r="X196" i="17"/>
  <c r="L195" i="17"/>
  <c r="X195" i="17"/>
  <c r="L194" i="17"/>
  <c r="X194" i="17"/>
  <c r="L193" i="17"/>
  <c r="X193" i="17"/>
  <c r="L192" i="17"/>
  <c r="X192" i="17"/>
  <c r="L191" i="17"/>
  <c r="X191" i="17"/>
  <c r="L190" i="17"/>
  <c r="X190" i="17"/>
  <c r="L189" i="17"/>
  <c r="X189" i="17"/>
  <c r="L188" i="17"/>
  <c r="X188" i="17"/>
  <c r="L187" i="17"/>
  <c r="X187" i="17"/>
  <c r="L186" i="17"/>
  <c r="X186" i="17"/>
  <c r="L185" i="17"/>
  <c r="X185" i="17"/>
  <c r="L184" i="17"/>
  <c r="X184" i="17"/>
  <c r="L183" i="17"/>
  <c r="X183" i="17"/>
  <c r="L182" i="17"/>
  <c r="X182" i="17"/>
  <c r="L181" i="17"/>
  <c r="X181" i="17"/>
  <c r="L180" i="17"/>
  <c r="X180" i="17"/>
  <c r="L179" i="17"/>
  <c r="X179" i="17"/>
  <c r="L178" i="17"/>
  <c r="X178" i="17"/>
  <c r="L177" i="17"/>
  <c r="X177" i="17"/>
  <c r="L176" i="17"/>
  <c r="X176" i="17"/>
  <c r="L175" i="17"/>
  <c r="X175" i="17"/>
  <c r="L174" i="17"/>
  <c r="X174" i="17"/>
  <c r="L173" i="17"/>
  <c r="X173" i="17"/>
  <c r="AA173" i="17"/>
  <c r="L172" i="17"/>
  <c r="X172" i="17"/>
  <c r="L171" i="17"/>
  <c r="X171" i="17"/>
  <c r="L170" i="17"/>
  <c r="X170" i="17"/>
  <c r="L169" i="17"/>
  <c r="X169" i="17"/>
  <c r="L168" i="17"/>
  <c r="X168" i="17"/>
  <c r="L167" i="17"/>
  <c r="X167" i="17"/>
  <c r="L166" i="17"/>
  <c r="X166" i="17"/>
  <c r="L165" i="17"/>
  <c r="X165" i="17"/>
  <c r="L164" i="17"/>
  <c r="X164" i="17"/>
  <c r="L163" i="17"/>
  <c r="X163" i="17"/>
  <c r="L162" i="17"/>
  <c r="X162" i="17"/>
  <c r="L161" i="17"/>
  <c r="X161" i="17"/>
  <c r="L160" i="17"/>
  <c r="X160" i="17"/>
  <c r="L159" i="17"/>
  <c r="X159" i="17"/>
  <c r="L158" i="17"/>
  <c r="X158" i="17"/>
  <c r="L157" i="17"/>
  <c r="X157" i="17"/>
  <c r="L156" i="17"/>
  <c r="X156" i="17"/>
  <c r="L155" i="17"/>
  <c r="X155" i="17"/>
  <c r="L154" i="17"/>
  <c r="X154" i="17"/>
  <c r="L153" i="17"/>
  <c r="X153" i="17"/>
  <c r="L152" i="17"/>
  <c r="X152" i="17"/>
  <c r="L151" i="17"/>
  <c r="X151" i="17"/>
  <c r="L150" i="17"/>
  <c r="X150" i="17"/>
  <c r="L149" i="17"/>
  <c r="X149" i="17"/>
  <c r="L148" i="17"/>
  <c r="X148" i="17"/>
  <c r="L147" i="17"/>
  <c r="X147" i="17"/>
  <c r="L146" i="17"/>
  <c r="X146" i="17"/>
  <c r="L145" i="17"/>
  <c r="X145" i="17"/>
  <c r="L144" i="17"/>
  <c r="X144" i="17"/>
  <c r="L143" i="17"/>
  <c r="X143" i="17"/>
  <c r="L142" i="17"/>
  <c r="X142" i="17"/>
  <c r="L141" i="17"/>
  <c r="X141" i="17"/>
  <c r="L140" i="17"/>
  <c r="X140" i="17"/>
  <c r="L139" i="17"/>
  <c r="X139" i="17"/>
  <c r="L138" i="17"/>
  <c r="X138" i="17"/>
  <c r="L137" i="17"/>
  <c r="X137" i="17"/>
  <c r="L136" i="17"/>
  <c r="X136" i="17"/>
  <c r="L135" i="17"/>
  <c r="X135" i="17"/>
  <c r="L134" i="17"/>
  <c r="X134" i="17"/>
  <c r="L133" i="17"/>
  <c r="X133" i="17"/>
  <c r="L132" i="17"/>
  <c r="X132" i="17"/>
  <c r="L131" i="17"/>
  <c r="X131" i="17"/>
  <c r="L130" i="17"/>
  <c r="X130" i="17"/>
  <c r="L129" i="17"/>
  <c r="X129" i="17"/>
  <c r="L128" i="17"/>
  <c r="X128" i="17"/>
  <c r="L127" i="17"/>
  <c r="X127" i="17"/>
  <c r="L126" i="17"/>
  <c r="X126" i="17"/>
  <c r="L125" i="17"/>
  <c r="X125" i="17"/>
  <c r="L124" i="17"/>
  <c r="X124" i="17"/>
  <c r="L123" i="17"/>
  <c r="X123" i="17"/>
  <c r="L122" i="17"/>
  <c r="X122" i="17"/>
  <c r="L121" i="17"/>
  <c r="X121" i="17"/>
  <c r="L120" i="17"/>
  <c r="X120" i="17"/>
  <c r="L119" i="17"/>
  <c r="X119" i="17"/>
  <c r="L118" i="17"/>
  <c r="X118" i="17"/>
  <c r="L117" i="17"/>
  <c r="X117" i="17"/>
  <c r="L116" i="17"/>
  <c r="X116" i="17"/>
  <c r="L115" i="17"/>
  <c r="X115" i="17"/>
  <c r="L114" i="17"/>
  <c r="X114" i="17"/>
  <c r="L113" i="17"/>
  <c r="X113" i="17"/>
  <c r="L112" i="17"/>
  <c r="X112" i="17"/>
  <c r="L111" i="17"/>
  <c r="X111" i="17"/>
  <c r="L110" i="17"/>
  <c r="X110" i="17"/>
  <c r="L109" i="17"/>
  <c r="X109" i="17"/>
  <c r="L108" i="17"/>
  <c r="X108" i="17"/>
  <c r="L107" i="17"/>
  <c r="X107" i="17"/>
  <c r="L106" i="17"/>
  <c r="X106" i="17"/>
  <c r="L105" i="17"/>
  <c r="X105" i="17"/>
  <c r="L104" i="17"/>
  <c r="X104" i="17"/>
  <c r="L103" i="17"/>
  <c r="X103" i="17"/>
  <c r="L102" i="17"/>
  <c r="X102" i="17"/>
  <c r="L101" i="17"/>
  <c r="X101" i="17"/>
  <c r="L100" i="17"/>
  <c r="X100" i="17"/>
  <c r="L99" i="17"/>
  <c r="X99" i="17"/>
  <c r="L98" i="17"/>
  <c r="X98" i="17"/>
  <c r="L97" i="17"/>
  <c r="X97" i="17"/>
  <c r="L96" i="17"/>
  <c r="X96" i="17"/>
  <c r="L95" i="17"/>
  <c r="X95" i="17"/>
  <c r="L94" i="17"/>
  <c r="X94" i="17"/>
  <c r="L93" i="17"/>
  <c r="X93" i="17"/>
  <c r="L92" i="17"/>
  <c r="X92" i="17"/>
  <c r="L91" i="17"/>
  <c r="X91" i="17"/>
  <c r="L90" i="17"/>
  <c r="X90" i="17"/>
  <c r="L89" i="17"/>
  <c r="X89" i="17"/>
  <c r="L88" i="17"/>
  <c r="X88" i="17"/>
  <c r="L87" i="17"/>
  <c r="X87" i="17"/>
  <c r="L86" i="17"/>
  <c r="X86" i="17"/>
  <c r="L85" i="17"/>
  <c r="X85" i="17"/>
  <c r="L84" i="17"/>
  <c r="X84" i="17"/>
  <c r="L83" i="17"/>
  <c r="X83" i="17"/>
  <c r="L82" i="17"/>
  <c r="X82" i="17"/>
  <c r="L81" i="17"/>
  <c r="X81" i="17"/>
  <c r="L80" i="17"/>
  <c r="X80" i="17"/>
  <c r="L79" i="17"/>
  <c r="X79" i="17"/>
  <c r="L78" i="17"/>
  <c r="X78" i="17"/>
  <c r="L77" i="17"/>
  <c r="X77" i="17"/>
  <c r="L76" i="17"/>
  <c r="X76" i="17"/>
  <c r="L75" i="17"/>
  <c r="X75" i="17"/>
  <c r="L74" i="17"/>
  <c r="X74" i="17"/>
  <c r="L73" i="17"/>
  <c r="X73" i="17"/>
  <c r="L72" i="17"/>
  <c r="X72" i="17"/>
  <c r="L71" i="17"/>
  <c r="X71" i="17"/>
  <c r="L70" i="17"/>
  <c r="X70" i="17"/>
  <c r="L69" i="17"/>
  <c r="X69" i="17"/>
  <c r="L68" i="17"/>
  <c r="X68" i="17"/>
  <c r="L67" i="17"/>
  <c r="X67" i="17"/>
  <c r="L66" i="17"/>
  <c r="X66" i="17"/>
  <c r="L65" i="17"/>
  <c r="X65" i="17"/>
  <c r="L64" i="17"/>
  <c r="X64" i="17"/>
  <c r="L63" i="17"/>
  <c r="X63" i="17"/>
  <c r="L62" i="17"/>
  <c r="X62" i="17"/>
  <c r="L61" i="17"/>
  <c r="X61" i="17"/>
  <c r="L60" i="17"/>
  <c r="X60" i="17"/>
  <c r="L59" i="17"/>
  <c r="X59" i="17"/>
  <c r="L58" i="17"/>
  <c r="X58" i="17"/>
  <c r="L57" i="17"/>
  <c r="X57" i="17"/>
  <c r="L56" i="17"/>
  <c r="X56" i="17"/>
  <c r="L55" i="17"/>
  <c r="X55" i="17"/>
  <c r="L54" i="17"/>
  <c r="X54" i="17"/>
  <c r="L53" i="17"/>
  <c r="X53" i="17"/>
  <c r="L52" i="17"/>
  <c r="X52" i="17"/>
  <c r="L51" i="17"/>
  <c r="X51" i="17"/>
  <c r="L50" i="17"/>
  <c r="X50" i="17"/>
  <c r="L49" i="17"/>
  <c r="X49" i="17"/>
  <c r="L48" i="17"/>
  <c r="X48" i="17"/>
  <c r="L47" i="17"/>
  <c r="X47" i="17"/>
  <c r="L46" i="17"/>
  <c r="X46" i="17"/>
  <c r="L45" i="17"/>
  <c r="X45" i="17"/>
  <c r="L44" i="17"/>
  <c r="X44" i="17"/>
  <c r="L43" i="17"/>
  <c r="X43" i="17"/>
  <c r="L42" i="17"/>
  <c r="X42" i="17"/>
  <c r="L41" i="17"/>
  <c r="X41" i="17"/>
  <c r="L40" i="17"/>
  <c r="X40" i="17"/>
  <c r="L39" i="17"/>
  <c r="X39" i="17"/>
  <c r="L38" i="17"/>
  <c r="X38" i="17"/>
  <c r="L37" i="17"/>
  <c r="X37" i="17"/>
  <c r="L36" i="17"/>
  <c r="X36" i="17"/>
  <c r="L35" i="17"/>
  <c r="X35" i="17"/>
  <c r="L34" i="17"/>
  <c r="X34" i="17"/>
  <c r="L33" i="17"/>
  <c r="X33" i="17"/>
  <c r="L32" i="17"/>
  <c r="X32" i="17"/>
  <c r="L31" i="17"/>
  <c r="X31" i="17"/>
  <c r="L30" i="17"/>
  <c r="X30" i="17"/>
  <c r="L29" i="17"/>
  <c r="X29" i="17"/>
  <c r="L28" i="17"/>
  <c r="X28" i="17"/>
  <c r="L27" i="17"/>
  <c r="X27" i="17"/>
  <c r="L26" i="17"/>
  <c r="X26" i="17"/>
  <c r="L25" i="17"/>
  <c r="X25" i="17"/>
  <c r="L24" i="17"/>
  <c r="X24" i="17"/>
  <c r="L23" i="17"/>
  <c r="X23" i="17"/>
  <c r="L22" i="17"/>
  <c r="X22" i="17"/>
  <c r="L21" i="17"/>
  <c r="X21" i="17"/>
  <c r="L20" i="17"/>
  <c r="X20" i="17"/>
  <c r="AA20" i="17"/>
  <c r="L19" i="17"/>
  <c r="X19" i="17"/>
  <c r="AA19" i="17"/>
  <c r="L18" i="17"/>
  <c r="X18" i="17"/>
  <c r="AA18" i="17"/>
  <c r="L17" i="17"/>
  <c r="X17" i="17"/>
  <c r="AA17" i="17"/>
  <c r="L16" i="17"/>
  <c r="X16" i="17"/>
  <c r="AA16" i="17"/>
  <c r="L15" i="17"/>
  <c r="X15" i="17"/>
  <c r="AA15" i="17"/>
  <c r="L14" i="17"/>
  <c r="X14" i="17"/>
  <c r="AA14" i="17"/>
  <c r="L13" i="17"/>
  <c r="X13" i="17"/>
  <c r="AA13" i="17"/>
  <c r="L12" i="17"/>
  <c r="X12" i="17"/>
  <c r="AA12" i="17"/>
  <c r="L11" i="17"/>
  <c r="X11" i="17"/>
  <c r="AA11" i="17"/>
  <c r="L10" i="17"/>
  <c r="X10" i="17"/>
  <c r="AA10" i="17"/>
  <c r="L9" i="17"/>
  <c r="X9" i="17"/>
  <c r="AA9" i="17"/>
  <c r="L8" i="17"/>
  <c r="X8" i="17"/>
  <c r="AA8" i="17"/>
  <c r="L7" i="17"/>
  <c r="X7" i="17"/>
  <c r="AA7" i="17"/>
  <c r="L6" i="17"/>
  <c r="X6" i="17"/>
  <c r="AA6" i="17"/>
  <c r="L5" i="17"/>
  <c r="X5" i="17"/>
  <c r="AA5" i="17"/>
  <c r="L4" i="17"/>
  <c r="X4" i="17"/>
  <c r="AA4" i="17"/>
  <c r="L3" i="17"/>
  <c r="X3" i="17"/>
  <c r="AA3" i="17"/>
  <c r="L2" i="17"/>
  <c r="X2" i="17"/>
  <c r="N5" i="18"/>
  <c r="P4" i="5"/>
  <c r="AA2" i="17"/>
  <c r="X12" i="1"/>
  <c r="AC12" i="1"/>
  <c r="X13" i="1"/>
  <c r="Z13" i="1"/>
  <c r="AC13" i="1"/>
  <c r="X14" i="1"/>
  <c r="AD14" i="1"/>
  <c r="X15" i="1"/>
  <c r="X16" i="1"/>
  <c r="Z16" i="1"/>
  <c r="Y12" i="1"/>
  <c r="Y13" i="1"/>
  <c r="Y16" i="1"/>
  <c r="AC16" i="1"/>
  <c r="AD16" i="1"/>
  <c r="AC14" i="1"/>
  <c r="Y15" i="1"/>
  <c r="Z15" i="1"/>
  <c r="Z12" i="1"/>
  <c r="AD13" i="1"/>
  <c r="AC15" i="1"/>
  <c r="Z11" i="1"/>
  <c r="AD12" i="1"/>
  <c r="Z14" i="1"/>
  <c r="AD15" i="1"/>
  <c r="D19" i="5"/>
  <c r="E19" i="5"/>
  <c r="E14" i="18" s="1"/>
  <c r="F19" i="5"/>
  <c r="G19" i="5"/>
  <c r="H19" i="5"/>
  <c r="I19" i="5"/>
  <c r="B14" i="18"/>
  <c r="D18" i="5"/>
  <c r="E18" i="5"/>
  <c r="E13" i="18" s="1"/>
  <c r="F18" i="5"/>
  <c r="G18" i="5"/>
  <c r="H18" i="5"/>
  <c r="I18" i="5"/>
  <c r="B13" i="18"/>
  <c r="D17" i="5"/>
  <c r="E17" i="5"/>
  <c r="E12" i="18" s="1"/>
  <c r="F17" i="5"/>
  <c r="G17" i="5"/>
  <c r="H17" i="5"/>
  <c r="I17" i="5"/>
  <c r="B12" i="18"/>
  <c r="D16" i="5"/>
  <c r="E16" i="5"/>
  <c r="E11" i="18" s="1"/>
  <c r="F16" i="5"/>
  <c r="G16" i="5"/>
  <c r="H16" i="5"/>
  <c r="I16" i="5"/>
  <c r="B11" i="18"/>
  <c r="D15" i="5"/>
  <c r="E15" i="5"/>
  <c r="E10" i="18" s="1"/>
  <c r="F15" i="5"/>
  <c r="G15" i="5"/>
  <c r="H15" i="5"/>
  <c r="I15" i="5"/>
  <c r="B10" i="18"/>
  <c r="D14" i="5"/>
  <c r="E14" i="5"/>
  <c r="E9" i="18" s="1"/>
  <c r="F14" i="5"/>
  <c r="G14" i="5"/>
  <c r="H14" i="5"/>
  <c r="I14" i="5"/>
  <c r="B9" i="18"/>
  <c r="D13" i="5"/>
  <c r="E13" i="5"/>
  <c r="E8" i="18" s="1"/>
  <c r="F13" i="5"/>
  <c r="G13" i="5"/>
  <c r="H13" i="5"/>
  <c r="I13" i="5"/>
  <c r="B8" i="18"/>
  <c r="D12" i="5"/>
  <c r="E12" i="5"/>
  <c r="E7" i="18" s="1"/>
  <c r="F12" i="5"/>
  <c r="G12" i="5"/>
  <c r="H12" i="5"/>
  <c r="I12" i="5"/>
  <c r="B7" i="18"/>
  <c r="D11" i="5"/>
  <c r="E11" i="5"/>
  <c r="E6" i="18" s="1"/>
  <c r="F11" i="5"/>
  <c r="G11" i="5"/>
  <c r="H11" i="5"/>
  <c r="I11" i="5"/>
  <c r="B6" i="18"/>
  <c r="D10" i="5"/>
  <c r="E10" i="5"/>
  <c r="E5" i="18" s="1"/>
  <c r="H10" i="5"/>
  <c r="B5" i="18"/>
  <c r="AC11" i="1" l="1"/>
  <c r="Q2281" i="17"/>
  <c r="P2281" i="17"/>
  <c r="O2281" i="17"/>
  <c r="Q2280" i="17"/>
  <c r="P2280" i="17"/>
  <c r="O2280" i="17"/>
  <c r="P2279" i="17"/>
  <c r="Q2279" i="17"/>
  <c r="O2279" i="17"/>
  <c r="O2278" i="17"/>
  <c r="Q2278" i="17"/>
  <c r="P2278" i="17"/>
  <c r="Q2277" i="17"/>
  <c r="P2277" i="17"/>
  <c r="O2277" i="17"/>
  <c r="O2276" i="17"/>
  <c r="Q2276" i="17"/>
  <c r="P2276" i="17"/>
  <c r="P2275" i="17"/>
  <c r="Q2275" i="17"/>
  <c r="O2275" i="17"/>
  <c r="Q2274" i="17"/>
  <c r="P2274" i="17"/>
  <c r="O2274" i="17"/>
  <c r="Q2273" i="17"/>
  <c r="P2273" i="17"/>
  <c r="O2273" i="17"/>
  <c r="Q2272" i="17"/>
  <c r="P2272" i="17"/>
  <c r="O2272" i="17"/>
  <c r="Q2271" i="17"/>
  <c r="P2271" i="17"/>
  <c r="O2271" i="17"/>
  <c r="O2270" i="17"/>
  <c r="Q2270" i="17"/>
  <c r="P2270" i="17"/>
  <c r="Q2269" i="17"/>
  <c r="P2269" i="17"/>
  <c r="O2269" i="17"/>
  <c r="O2268" i="17"/>
  <c r="Q2268" i="17"/>
  <c r="P2268" i="17"/>
  <c r="O2267" i="17"/>
  <c r="Q2267" i="17"/>
  <c r="P2267" i="17"/>
  <c r="Q2266" i="17"/>
  <c r="P2266" i="17"/>
  <c r="O2266" i="17"/>
  <c r="O2265" i="17"/>
  <c r="Q2265" i="17"/>
  <c r="P2265" i="17"/>
  <c r="Q2264" i="17"/>
  <c r="P2264" i="17"/>
  <c r="O2264" i="17"/>
  <c r="Q2262" i="17"/>
  <c r="P2262" i="17"/>
  <c r="O2262" i="17"/>
  <c r="Q2261" i="17"/>
  <c r="P2261" i="17"/>
  <c r="O2261" i="17"/>
  <c r="O2260" i="17"/>
  <c r="Q2260" i="17"/>
  <c r="P2260" i="17"/>
  <c r="O2259" i="17"/>
  <c r="P2259" i="17"/>
  <c r="Q2259" i="17"/>
  <c r="Q2258" i="17"/>
  <c r="P2258" i="17"/>
  <c r="O2258" i="17"/>
  <c r="Q2257" i="17"/>
  <c r="P2257" i="17"/>
  <c r="O2257" i="17"/>
  <c r="O2256" i="17"/>
  <c r="Q2256" i="17"/>
  <c r="P2256" i="17"/>
  <c r="Q2255" i="17"/>
  <c r="P2255" i="17"/>
  <c r="O2255" i="17"/>
  <c r="Q2254" i="17"/>
  <c r="P2254" i="17"/>
  <c r="O2254" i="17"/>
  <c r="Q2253" i="17"/>
  <c r="P2253" i="17"/>
  <c r="O2253" i="17"/>
  <c r="O2252" i="17"/>
  <c r="P2252" i="17"/>
  <c r="Q2252" i="17"/>
  <c r="Q2251" i="17"/>
  <c r="P2251" i="17"/>
  <c r="O2251" i="17"/>
  <c r="O2250" i="17"/>
  <c r="Q2250" i="17"/>
  <c r="P2250" i="17"/>
  <c r="P2249" i="17"/>
  <c r="Q2249" i="17"/>
  <c r="O2249" i="17"/>
  <c r="Q2248" i="17"/>
  <c r="P2248" i="17"/>
  <c r="O2248" i="17"/>
  <c r="O2247" i="17"/>
  <c r="Q2247" i="17"/>
  <c r="P2247" i="17"/>
  <c r="O2246" i="17"/>
  <c r="Q2246" i="17"/>
  <c r="P2246" i="17"/>
  <c r="Q2245" i="17"/>
  <c r="P2245" i="17"/>
  <c r="O2245" i="17"/>
  <c r="O2243" i="17"/>
  <c r="Q2243" i="17"/>
  <c r="P2243" i="17"/>
  <c r="O2242" i="17"/>
  <c r="Q2242" i="17"/>
  <c r="P2242" i="17"/>
  <c r="Q2241" i="17"/>
  <c r="P2241" i="17"/>
  <c r="O2241" i="17"/>
  <c r="Q2240" i="17"/>
  <c r="P2240" i="17"/>
  <c r="O2240" i="17"/>
  <c r="Q2239" i="17"/>
  <c r="P2239" i="17"/>
  <c r="O2239" i="17"/>
  <c r="Q2238" i="17"/>
  <c r="P2238" i="17"/>
  <c r="O2238" i="17"/>
  <c r="Q2237" i="17"/>
  <c r="P2237" i="17"/>
  <c r="O2237" i="17"/>
  <c r="O2236" i="17"/>
  <c r="Q2236" i="17"/>
  <c r="P2236" i="17"/>
  <c r="Q2235" i="17"/>
  <c r="P2235" i="17"/>
  <c r="O2235" i="17"/>
  <c r="O2234" i="17"/>
  <c r="Q2234" i="17"/>
  <c r="P2234" i="17"/>
  <c r="O2233" i="17"/>
  <c r="Q2233" i="17"/>
  <c r="P2233" i="17"/>
  <c r="Q2232" i="17"/>
  <c r="P2232" i="17"/>
  <c r="O2232" i="17"/>
  <c r="O2231" i="17"/>
  <c r="Q2231" i="17"/>
  <c r="P2231" i="17"/>
  <c r="Q2230" i="17"/>
  <c r="P2230" i="17"/>
  <c r="O2230" i="17"/>
  <c r="O2229" i="17"/>
  <c r="Q2229" i="17"/>
  <c r="P2229" i="17"/>
  <c r="O2228" i="17"/>
  <c r="Q2228" i="17"/>
  <c r="P2228" i="17"/>
  <c r="Q2227" i="17"/>
  <c r="P2227" i="17"/>
  <c r="O2227" i="17"/>
  <c r="O2226" i="17"/>
  <c r="Q2226" i="17"/>
  <c r="P2226" i="17"/>
  <c r="Q2224" i="17"/>
  <c r="P2224" i="17"/>
  <c r="O2224" i="17"/>
  <c r="Q2223" i="17"/>
  <c r="P2223" i="17"/>
  <c r="O2223" i="17"/>
  <c r="Q2222" i="17"/>
  <c r="P2222" i="17"/>
  <c r="O2222" i="17"/>
  <c r="Q2221" i="17"/>
  <c r="P2221" i="17"/>
  <c r="O2221" i="17"/>
  <c r="Q2220" i="17"/>
  <c r="P2220" i="17"/>
  <c r="O2220" i="17"/>
  <c r="Q2219" i="17"/>
  <c r="P2219" i="17"/>
  <c r="O2219" i="17"/>
  <c r="Q2218" i="17"/>
  <c r="P2218" i="17"/>
  <c r="O2218" i="17"/>
  <c r="O2217" i="17"/>
  <c r="Q2217" i="17"/>
  <c r="P2217" i="17"/>
  <c r="P2216" i="17"/>
  <c r="Q2216" i="17"/>
  <c r="O2216" i="17"/>
  <c r="O2215" i="17"/>
  <c r="Q2215" i="17"/>
  <c r="P2215" i="17"/>
  <c r="Q2214" i="17"/>
  <c r="P2214" i="17"/>
  <c r="O2214" i="17"/>
  <c r="Q2213" i="17"/>
  <c r="P2213" i="17"/>
  <c r="O2213" i="17"/>
  <c r="O2212" i="17"/>
  <c r="Q2212" i="17"/>
  <c r="P2212" i="17"/>
  <c r="Q2211" i="17"/>
  <c r="P2211" i="17"/>
  <c r="O2211" i="17"/>
  <c r="O2210" i="17"/>
  <c r="Q2210" i="17"/>
  <c r="P2210" i="17"/>
  <c r="Q2209" i="17"/>
  <c r="P2209" i="17"/>
  <c r="O2209" i="17"/>
  <c r="O2208" i="17"/>
  <c r="Q2208" i="17"/>
  <c r="P2208" i="17"/>
  <c r="O2207" i="17"/>
  <c r="Q2207" i="17"/>
  <c r="P2207" i="17"/>
  <c r="O2205" i="17"/>
  <c r="Q2205" i="17"/>
  <c r="P2205" i="17"/>
  <c r="Q2204" i="17"/>
  <c r="P2204" i="17"/>
  <c r="O2204" i="17"/>
  <c r="Q2203" i="17"/>
  <c r="P2203" i="17"/>
  <c r="O2203" i="17"/>
  <c r="Q2202" i="17"/>
  <c r="P2202" i="17"/>
  <c r="O2202" i="17"/>
  <c r="O2201" i="17"/>
  <c r="Q2201" i="17"/>
  <c r="P2201" i="17"/>
  <c r="Q2200" i="17"/>
  <c r="P2200" i="17"/>
  <c r="O2200" i="17"/>
  <c r="O1870" i="17"/>
  <c r="Q1870" i="17"/>
  <c r="P1870" i="17"/>
  <c r="Q1869" i="17"/>
  <c r="P1869" i="17"/>
  <c r="O1869" i="17"/>
  <c r="Q1868" i="17"/>
  <c r="O1868" i="17"/>
  <c r="P1868" i="17"/>
  <c r="O1867" i="17"/>
  <c r="P1867" i="17"/>
  <c r="Q1867" i="17"/>
  <c r="Q1866" i="17"/>
  <c r="O1866" i="17"/>
  <c r="P1866" i="17"/>
  <c r="Q1865" i="17"/>
  <c r="O1865" i="17"/>
  <c r="P1865" i="17"/>
  <c r="Q1863" i="17"/>
  <c r="P1863" i="17"/>
  <c r="O1863" i="17"/>
  <c r="Q1862" i="17"/>
  <c r="P1862" i="17"/>
  <c r="O1862" i="17"/>
  <c r="Q1861" i="17"/>
  <c r="P1861" i="17"/>
  <c r="O1861" i="17"/>
  <c r="Q1860" i="17"/>
  <c r="P1860" i="17"/>
  <c r="O1860" i="17"/>
  <c r="P1859" i="17"/>
  <c r="Q1859" i="17"/>
  <c r="O1859" i="17"/>
  <c r="O1858" i="17"/>
  <c r="P1858" i="17"/>
  <c r="Q1858" i="17"/>
  <c r="Q1857" i="17"/>
  <c r="P1857" i="17"/>
  <c r="O1857" i="17"/>
  <c r="Q1856" i="17"/>
  <c r="P1856" i="17"/>
  <c r="O1856" i="17"/>
  <c r="Q1855" i="17"/>
  <c r="P1855" i="17"/>
  <c r="O1855" i="17"/>
  <c r="O1661" i="17"/>
  <c r="Q1661" i="17"/>
  <c r="P1661" i="17"/>
  <c r="P1660" i="17"/>
  <c r="Q1660" i="17"/>
  <c r="O1660" i="17"/>
  <c r="P1659" i="17"/>
  <c r="Q1659" i="17"/>
  <c r="O1659" i="17"/>
  <c r="P1658" i="17"/>
  <c r="Q1658" i="17"/>
  <c r="O1658" i="17"/>
  <c r="P1657" i="17"/>
  <c r="Q1657" i="17"/>
  <c r="O1657" i="17"/>
  <c r="P1656" i="17"/>
  <c r="Q1656" i="17"/>
  <c r="O1656" i="17"/>
  <c r="O1654" i="17"/>
  <c r="Q1654" i="17"/>
  <c r="P1654" i="17"/>
  <c r="P1653" i="17"/>
  <c r="O1653" i="17"/>
  <c r="Q1653" i="17"/>
  <c r="Q1652" i="17"/>
  <c r="O1652" i="17"/>
  <c r="P1652" i="17"/>
  <c r="P1651" i="17"/>
  <c r="O1651" i="17"/>
  <c r="Q1651" i="17"/>
  <c r="O1650" i="17"/>
  <c r="Q1650" i="17"/>
  <c r="P1650" i="17"/>
  <c r="O1649" i="17"/>
  <c r="Q1649" i="17"/>
  <c r="P1649" i="17"/>
  <c r="P1648" i="17"/>
  <c r="Q1648" i="17"/>
  <c r="O1648" i="17"/>
  <c r="Q1647" i="17"/>
  <c r="P1647" i="17"/>
  <c r="O1647" i="17"/>
  <c r="Q1646" i="17"/>
  <c r="P1646" i="17"/>
  <c r="O1646" i="17"/>
  <c r="Q1645" i="17"/>
  <c r="P1645" i="17"/>
  <c r="O1645" i="17"/>
  <c r="P1644" i="17"/>
  <c r="Q1644" i="17"/>
  <c r="O1644" i="17"/>
  <c r="O1643" i="17"/>
  <c r="Q1643" i="17"/>
  <c r="P1643" i="17"/>
  <c r="O1642" i="17"/>
  <c r="Q1642" i="17"/>
  <c r="P1642" i="17"/>
  <c r="Q1641" i="17"/>
  <c r="O1641" i="17"/>
  <c r="P1641" i="17"/>
  <c r="P1640" i="17"/>
  <c r="Q1640" i="17"/>
  <c r="O1640" i="17"/>
  <c r="Q1639" i="17"/>
  <c r="P1639" i="17"/>
  <c r="O1639" i="17"/>
  <c r="Q1638" i="17"/>
  <c r="P1638" i="17"/>
  <c r="O1638" i="17"/>
  <c r="O1637" i="17"/>
  <c r="Q1637" i="17"/>
  <c r="P1637" i="17"/>
  <c r="Q1635" i="17"/>
  <c r="P1635" i="17"/>
  <c r="O1635" i="17"/>
  <c r="P1634" i="17"/>
  <c r="Q1634" i="17"/>
  <c r="O1634" i="17"/>
  <c r="Q1633" i="17"/>
  <c r="P1633" i="17"/>
  <c r="O1633" i="17"/>
  <c r="P1632" i="17"/>
  <c r="Q1632" i="17"/>
  <c r="O1632" i="17"/>
  <c r="Q1631" i="17"/>
  <c r="P1631" i="17"/>
  <c r="O1631" i="17"/>
  <c r="Q1630" i="17"/>
  <c r="P1630" i="17"/>
  <c r="O1630" i="17"/>
  <c r="O1629" i="17"/>
  <c r="Q1629" i="17"/>
  <c r="P1629" i="17"/>
  <c r="Q1628" i="17"/>
  <c r="P1628" i="17"/>
  <c r="O1628" i="17"/>
  <c r="Q1627" i="17"/>
  <c r="O1627" i="17"/>
  <c r="P1627" i="17"/>
  <c r="O1626" i="17"/>
  <c r="P1626" i="17"/>
  <c r="Q1626" i="17"/>
  <c r="O1625" i="17"/>
  <c r="P1625" i="17"/>
  <c r="Q1625" i="17"/>
  <c r="O1624" i="17"/>
  <c r="P1624" i="17"/>
  <c r="Q1624" i="17"/>
  <c r="P1623" i="17"/>
  <c r="O1623" i="17"/>
  <c r="Q1623" i="17"/>
  <c r="P1622" i="17"/>
  <c r="O1622" i="17"/>
  <c r="Q1622" i="17"/>
  <c r="Q1621" i="17"/>
  <c r="P1621" i="17"/>
  <c r="O1621" i="17"/>
  <c r="O1620" i="17"/>
  <c r="Q1620" i="17"/>
  <c r="P1620" i="17"/>
  <c r="Q1619" i="17"/>
  <c r="P1619" i="17"/>
  <c r="O1619" i="17"/>
  <c r="Q1618" i="17"/>
  <c r="P1618" i="17"/>
  <c r="O1618" i="17"/>
  <c r="Q1616" i="17"/>
  <c r="O1616" i="17"/>
  <c r="P1616" i="17"/>
  <c r="P1615" i="17"/>
  <c r="O1615" i="17"/>
  <c r="Q1615" i="17"/>
  <c r="Q1614" i="17"/>
  <c r="O1614" i="17"/>
  <c r="P1614" i="17"/>
  <c r="P1613" i="17"/>
  <c r="O1613" i="17"/>
  <c r="Q1613" i="17"/>
  <c r="Q1612" i="17"/>
  <c r="P1612" i="17"/>
  <c r="O1612" i="17"/>
  <c r="P1611" i="17"/>
  <c r="Q1611" i="17"/>
  <c r="O1611" i="17"/>
  <c r="Q1610" i="17"/>
  <c r="O1610" i="17"/>
  <c r="P1610" i="17"/>
  <c r="Q1609" i="17"/>
  <c r="P1609" i="17"/>
  <c r="O1609" i="17"/>
  <c r="Q1608" i="17"/>
  <c r="P1608" i="17"/>
  <c r="O1608" i="17"/>
  <c r="P1607" i="17"/>
  <c r="Q1607" i="17"/>
  <c r="O1607" i="17"/>
  <c r="O1606" i="17"/>
  <c r="Q1606" i="17"/>
  <c r="P1606" i="17"/>
  <c r="O1605" i="17"/>
  <c r="Q1605" i="17"/>
  <c r="P1605" i="17"/>
  <c r="O1604" i="17"/>
  <c r="Q1604" i="17"/>
  <c r="P1604" i="17"/>
  <c r="Q1603" i="17"/>
  <c r="P1603" i="17"/>
  <c r="O1603" i="17"/>
  <c r="P1602" i="17"/>
  <c r="O1602" i="17"/>
  <c r="Q1602" i="17"/>
  <c r="O1601" i="17"/>
  <c r="Q1601" i="17"/>
  <c r="P1601" i="17"/>
  <c r="P1600" i="17"/>
  <c r="O1600" i="17"/>
  <c r="Q1600" i="17"/>
  <c r="P1599" i="17"/>
  <c r="O1599" i="17"/>
  <c r="Q1599" i="17"/>
  <c r="P1597" i="17"/>
  <c r="Q1597" i="17"/>
  <c r="O1597" i="17"/>
  <c r="P1596" i="17"/>
  <c r="Q1596" i="17"/>
  <c r="O1596" i="17"/>
  <c r="P1595" i="17"/>
  <c r="Q1595" i="17"/>
  <c r="O1595" i="17"/>
  <c r="O1594" i="17"/>
  <c r="Q1594" i="17"/>
  <c r="P1594" i="17"/>
  <c r="O1593" i="17"/>
  <c r="P1593" i="17"/>
  <c r="Q1593" i="17"/>
  <c r="Q1592" i="17"/>
  <c r="O1592" i="17"/>
  <c r="P1592" i="17"/>
  <c r="P1591" i="17"/>
  <c r="Q1591" i="17"/>
  <c r="O1591" i="17"/>
  <c r="Q1590" i="17"/>
  <c r="P1590" i="17"/>
  <c r="O1590" i="17"/>
  <c r="P1589" i="17"/>
  <c r="O1589" i="17"/>
  <c r="Q1589" i="17"/>
  <c r="O1588" i="17"/>
  <c r="Q1588" i="17"/>
  <c r="P1588" i="17"/>
  <c r="Q1587" i="17"/>
  <c r="O1587" i="17"/>
  <c r="P1587" i="17"/>
  <c r="P1586" i="17"/>
  <c r="Q1586" i="17"/>
  <c r="O1586" i="17"/>
  <c r="P1585" i="17"/>
  <c r="Q1585" i="17"/>
  <c r="O1585" i="17"/>
  <c r="Q1584" i="17"/>
  <c r="O1584" i="17"/>
  <c r="P1584" i="17"/>
  <c r="Q1583" i="17"/>
  <c r="P1583" i="17"/>
  <c r="O1583" i="17"/>
  <c r="Q1582" i="17"/>
  <c r="O1582" i="17"/>
  <c r="P1582" i="17"/>
  <c r="Q1581" i="17"/>
  <c r="O1581" i="17"/>
  <c r="P1581" i="17"/>
  <c r="P1580" i="17"/>
  <c r="Q1580" i="17"/>
  <c r="O1580" i="17"/>
  <c r="O1578" i="17"/>
  <c r="Q1578" i="17"/>
  <c r="P1578" i="17"/>
  <c r="Q1577" i="17"/>
  <c r="O1577" i="17"/>
  <c r="P1577" i="17"/>
  <c r="Q1576" i="17"/>
  <c r="O1576" i="17"/>
  <c r="P1576" i="17"/>
  <c r="O1575" i="17"/>
  <c r="Q1575" i="17"/>
  <c r="P1575" i="17"/>
  <c r="P1574" i="17"/>
  <c r="O1574" i="17"/>
  <c r="Q1574" i="17"/>
  <c r="P1573" i="17"/>
  <c r="Q1573" i="17"/>
  <c r="O1573" i="17"/>
  <c r="P1572" i="17"/>
  <c r="O1572" i="17"/>
  <c r="Q1572" i="17"/>
  <c r="P1571" i="17"/>
  <c r="O1571" i="17"/>
  <c r="Q1571" i="17"/>
  <c r="Q1570" i="17"/>
  <c r="P1570" i="17"/>
  <c r="O1570" i="17"/>
  <c r="Q1569" i="17"/>
  <c r="P1569" i="17"/>
  <c r="O1569" i="17"/>
  <c r="Q1568" i="17"/>
  <c r="P1568" i="17"/>
  <c r="O1568" i="17"/>
  <c r="Q1567" i="17"/>
  <c r="O1567" i="17"/>
  <c r="P1567" i="17"/>
  <c r="O1566" i="17"/>
  <c r="Q1566" i="17"/>
  <c r="P1566" i="17"/>
  <c r="Q1565" i="17"/>
  <c r="P1565" i="17"/>
  <c r="O1565" i="17"/>
  <c r="P1564" i="17"/>
  <c r="Q1564" i="17"/>
  <c r="O1564" i="17"/>
  <c r="O1563" i="17"/>
  <c r="P1563" i="17"/>
  <c r="Q1563" i="17"/>
  <c r="P1562" i="17"/>
  <c r="O1562" i="17"/>
  <c r="Q1562" i="17"/>
  <c r="O1561" i="17"/>
  <c r="P1561" i="17"/>
  <c r="Q1561" i="17"/>
  <c r="O1559" i="17"/>
  <c r="Q1559" i="17"/>
  <c r="P1559" i="17"/>
  <c r="P1558" i="17"/>
  <c r="O1558" i="17"/>
  <c r="Q1558" i="17"/>
  <c r="O1557" i="17"/>
  <c r="P1557" i="17"/>
  <c r="Q1557" i="17"/>
  <c r="O1556" i="17"/>
  <c r="Q1556" i="17"/>
  <c r="P1556" i="17"/>
  <c r="Q1555" i="17"/>
  <c r="O1555" i="17"/>
  <c r="P1555" i="17"/>
  <c r="Q1554" i="17"/>
  <c r="O1554" i="17"/>
  <c r="P1554" i="17"/>
  <c r="Q1553" i="17"/>
  <c r="O1553" i="17"/>
  <c r="P1553" i="17"/>
  <c r="P1552" i="17"/>
  <c r="O1552" i="17"/>
  <c r="Q1552" i="17"/>
  <c r="O1551" i="17"/>
  <c r="Q1551" i="17"/>
  <c r="P1551" i="17"/>
  <c r="P1550" i="17"/>
  <c r="O1550" i="17"/>
  <c r="Q1550" i="17"/>
  <c r="P1549" i="17"/>
  <c r="Q1549" i="17"/>
  <c r="O1549" i="17"/>
  <c r="P1548" i="17"/>
  <c r="Q1548" i="17"/>
  <c r="O1548" i="17"/>
  <c r="O1547" i="17"/>
  <c r="P1547" i="17"/>
  <c r="Q1547" i="17"/>
  <c r="O1546" i="17"/>
  <c r="Q1546" i="17"/>
  <c r="P1546" i="17"/>
  <c r="O1545" i="17"/>
  <c r="P1545" i="17"/>
  <c r="Q1545" i="17"/>
  <c r="O1544" i="17"/>
  <c r="Q1544" i="17"/>
  <c r="P1544" i="17"/>
  <c r="Q1543" i="17"/>
  <c r="P1543" i="17"/>
  <c r="O1543" i="17"/>
  <c r="P1542" i="17"/>
  <c r="Q1542" i="17"/>
  <c r="O1542" i="17"/>
  <c r="Q1540" i="17"/>
  <c r="O1540" i="17"/>
  <c r="P1540" i="17"/>
  <c r="O1539" i="17"/>
  <c r="Q1539" i="17"/>
  <c r="P1539" i="17"/>
  <c r="Q1538" i="17"/>
  <c r="P1538" i="17"/>
  <c r="O1538" i="17"/>
  <c r="P1537" i="17"/>
  <c r="O1537" i="17"/>
  <c r="Q1537" i="17"/>
  <c r="P1536" i="17"/>
  <c r="O1536" i="17"/>
  <c r="Q1536" i="17"/>
  <c r="Q1535" i="17"/>
  <c r="P1535" i="17"/>
  <c r="O1535" i="17"/>
  <c r="Q1534" i="17"/>
  <c r="P1534" i="17"/>
  <c r="O1534" i="17"/>
  <c r="Q1533" i="17"/>
  <c r="O1533" i="17"/>
  <c r="P1533" i="17"/>
  <c r="O1532" i="17"/>
  <c r="Q1532" i="17"/>
  <c r="P1532" i="17"/>
  <c r="O1531" i="17"/>
  <c r="P1531" i="17"/>
  <c r="Q1531" i="17"/>
  <c r="P1530" i="17"/>
  <c r="O1530" i="17"/>
  <c r="Q1530" i="17"/>
  <c r="P1529" i="17"/>
  <c r="O1529" i="17"/>
  <c r="Q1529" i="17"/>
  <c r="P1528" i="17"/>
  <c r="Q1528" i="17"/>
  <c r="O1528" i="17"/>
  <c r="Q1527" i="17"/>
  <c r="P1527" i="17"/>
  <c r="O1527" i="17"/>
  <c r="P1526" i="17"/>
  <c r="O1526" i="17"/>
  <c r="Q1526" i="17"/>
  <c r="O1525" i="17"/>
  <c r="Q1525" i="17"/>
  <c r="P1525" i="17"/>
  <c r="Q1524" i="17"/>
  <c r="O1524" i="17"/>
  <c r="P1524" i="17"/>
  <c r="O1523" i="17"/>
  <c r="P1523" i="17"/>
  <c r="Q1523" i="17"/>
  <c r="Q1521" i="17"/>
  <c r="O1521" i="17"/>
  <c r="P1521" i="17"/>
  <c r="O1520" i="17"/>
  <c r="Q1520" i="17"/>
  <c r="P1520" i="17"/>
  <c r="P1519" i="17"/>
  <c r="O1519" i="17"/>
  <c r="Q1519" i="17"/>
  <c r="O1518" i="17"/>
  <c r="P1518" i="17"/>
  <c r="Q1518" i="17"/>
  <c r="Q1517" i="17"/>
  <c r="P1517" i="17"/>
  <c r="O1517" i="17"/>
  <c r="P1516" i="17"/>
  <c r="Q1516" i="17"/>
  <c r="O1516" i="17"/>
  <c r="P1515" i="17"/>
  <c r="O1515" i="17"/>
  <c r="Q1515" i="17"/>
  <c r="P1514" i="17"/>
  <c r="O1514" i="17"/>
  <c r="Q1514" i="17"/>
  <c r="P1513" i="17"/>
  <c r="O1513" i="17"/>
  <c r="Q1513" i="17"/>
  <c r="O1512" i="17"/>
  <c r="P1512" i="17"/>
  <c r="Q1512" i="17"/>
  <c r="Q1511" i="17"/>
  <c r="P1511" i="17"/>
  <c r="O1511" i="17"/>
  <c r="P1510" i="17"/>
  <c r="O1510" i="17"/>
  <c r="Q1510" i="17"/>
  <c r="O1509" i="17"/>
  <c r="Q1509" i="17"/>
  <c r="P1509" i="17"/>
  <c r="O1508" i="17"/>
  <c r="Q1508" i="17"/>
  <c r="P1508" i="17"/>
  <c r="O1507" i="17"/>
  <c r="P1507" i="17"/>
  <c r="Q1507" i="17"/>
  <c r="P1506" i="17"/>
  <c r="Q1506" i="17"/>
  <c r="O1506" i="17"/>
  <c r="P1505" i="17"/>
  <c r="Q1505" i="17"/>
  <c r="O1505" i="17"/>
  <c r="O1504" i="17"/>
  <c r="Q1504" i="17"/>
  <c r="P1504" i="17"/>
  <c r="O1502" i="17"/>
  <c r="P1502" i="17"/>
  <c r="Q1502" i="17"/>
  <c r="Q1501" i="17"/>
  <c r="P1501" i="17"/>
  <c r="O1501" i="17"/>
  <c r="Q1500" i="17"/>
  <c r="O1500" i="17"/>
  <c r="P1500" i="17"/>
  <c r="Q1499" i="17"/>
  <c r="O1499" i="17"/>
  <c r="P1499" i="17"/>
  <c r="P1498" i="17"/>
  <c r="O1498" i="17"/>
  <c r="Q1498" i="17"/>
  <c r="P1497" i="17"/>
  <c r="O1497" i="17"/>
  <c r="Q1497" i="17"/>
  <c r="O1496" i="17"/>
  <c r="Q1496" i="17"/>
  <c r="P1496" i="17"/>
  <c r="O1495" i="17"/>
  <c r="Q1495" i="17"/>
  <c r="P1495" i="17"/>
  <c r="Q1494" i="17"/>
  <c r="P1494" i="17"/>
  <c r="O1494" i="17"/>
  <c r="Q1493" i="17"/>
  <c r="O1493" i="17"/>
  <c r="P1493" i="17"/>
  <c r="O1492" i="17"/>
  <c r="P1492" i="17"/>
  <c r="Q1492" i="17"/>
  <c r="P1491" i="17"/>
  <c r="O1491" i="17"/>
  <c r="Q1491" i="17"/>
  <c r="O1490" i="17"/>
  <c r="Q1490" i="17"/>
  <c r="P1490" i="17"/>
  <c r="Q1489" i="17"/>
  <c r="P1489" i="17"/>
  <c r="O1489" i="17"/>
  <c r="P1488" i="17"/>
  <c r="Q1488" i="17"/>
  <c r="O1488" i="17"/>
  <c r="Q1487" i="17"/>
  <c r="P1487" i="17"/>
  <c r="O1487" i="17"/>
  <c r="P1486" i="17"/>
  <c r="Q1486" i="17"/>
  <c r="O1486" i="17"/>
  <c r="Q1485" i="17"/>
  <c r="O1485" i="17"/>
  <c r="P1485" i="17"/>
  <c r="O1483" i="17"/>
  <c r="Q1483" i="17"/>
  <c r="P1483" i="17"/>
  <c r="O1482" i="17"/>
  <c r="Q1482" i="17"/>
  <c r="P1482" i="17"/>
  <c r="O1481" i="17"/>
  <c r="P1481" i="17"/>
  <c r="Q1481" i="17"/>
  <c r="O1480" i="17"/>
  <c r="P1480" i="17"/>
  <c r="Q1480" i="17"/>
  <c r="Q1479" i="17"/>
  <c r="O1479" i="17"/>
  <c r="P1479" i="17"/>
  <c r="P1478" i="17"/>
  <c r="Q1478" i="17"/>
  <c r="O1478" i="17"/>
  <c r="P1477" i="17"/>
  <c r="O1477" i="17"/>
  <c r="Q1477" i="17"/>
  <c r="O1476" i="17"/>
  <c r="Q1476" i="17"/>
  <c r="P1476" i="17"/>
  <c r="O1475" i="17"/>
  <c r="Q1475" i="17"/>
  <c r="P1475" i="17"/>
  <c r="P1474" i="17"/>
  <c r="O1474" i="17"/>
  <c r="Q1474" i="17"/>
  <c r="O1473" i="17"/>
  <c r="Q1473" i="17"/>
  <c r="P1473" i="17"/>
  <c r="O1472" i="17"/>
  <c r="P1472" i="17"/>
  <c r="Q1472" i="17"/>
  <c r="Q1471" i="17"/>
  <c r="O1471" i="17"/>
  <c r="P1471" i="17"/>
  <c r="P1470" i="17"/>
  <c r="O1470" i="17"/>
  <c r="Q1470" i="17"/>
  <c r="Q1469" i="17"/>
  <c r="O1469" i="17"/>
  <c r="P1469" i="17"/>
  <c r="Q1468" i="17"/>
  <c r="O1468" i="17"/>
  <c r="P1468" i="17"/>
  <c r="O1467" i="17"/>
  <c r="Q1467" i="17"/>
  <c r="P1467" i="17"/>
  <c r="Q1466" i="17"/>
  <c r="O1466" i="17"/>
  <c r="P1466" i="17"/>
  <c r="P1464" i="17"/>
  <c r="O1464" i="17"/>
  <c r="Q1464" i="17"/>
  <c r="Q1463" i="17"/>
  <c r="O1463" i="17"/>
  <c r="P1463" i="17"/>
  <c r="Q1462" i="17"/>
  <c r="P1462" i="17"/>
  <c r="O1462" i="17"/>
  <c r="Q1461" i="17"/>
  <c r="P1461" i="17"/>
  <c r="O1461" i="17"/>
  <c r="Q1460" i="17"/>
  <c r="P1460" i="17"/>
  <c r="O1460" i="17"/>
  <c r="Q1459" i="17"/>
  <c r="O1459" i="17"/>
  <c r="P1459" i="17"/>
  <c r="Q1458" i="17"/>
  <c r="P1458" i="17"/>
  <c r="O1458" i="17"/>
  <c r="Q1457" i="17"/>
  <c r="O1457" i="17"/>
  <c r="P1457" i="17"/>
  <c r="Q1456" i="17"/>
  <c r="O1456" i="17"/>
  <c r="P1456" i="17"/>
  <c r="Q1455" i="17"/>
  <c r="P1455" i="17"/>
  <c r="O1455" i="17"/>
  <c r="P1454" i="17"/>
  <c r="Q1454" i="17"/>
  <c r="O1454" i="17"/>
  <c r="Q1453" i="17"/>
  <c r="P1453" i="17"/>
  <c r="O1453" i="17"/>
  <c r="Q1450" i="17"/>
  <c r="O1450" i="17"/>
  <c r="P1450" i="17"/>
  <c r="O1449" i="17"/>
  <c r="P1449" i="17"/>
  <c r="Q1449" i="17"/>
  <c r="P1448" i="17"/>
  <c r="O1448" i="17"/>
  <c r="Q1448" i="17"/>
  <c r="Q1447" i="17"/>
  <c r="P1447" i="17"/>
  <c r="O1447" i="17"/>
  <c r="Q1445" i="17"/>
  <c r="O1445" i="17"/>
  <c r="P1445" i="17"/>
  <c r="P1444" i="17"/>
  <c r="O1444" i="17"/>
  <c r="Q1444" i="17"/>
  <c r="P1443" i="17"/>
  <c r="O1443" i="17"/>
  <c r="Q1443" i="17"/>
  <c r="O1442" i="17"/>
  <c r="P1442" i="17"/>
  <c r="Q1442" i="17"/>
  <c r="P1441" i="17"/>
  <c r="O1441" i="17"/>
  <c r="Q1441" i="17"/>
  <c r="Q1440" i="17"/>
  <c r="P1440" i="17"/>
  <c r="O1440" i="17"/>
  <c r="Q1439" i="17"/>
  <c r="O1439" i="17"/>
  <c r="P1439" i="17"/>
  <c r="P1438" i="17"/>
  <c r="Q1438" i="17"/>
  <c r="O1438" i="17"/>
  <c r="Q1437" i="17"/>
  <c r="O1437" i="17"/>
  <c r="P1437" i="17"/>
  <c r="P1436" i="17"/>
  <c r="Q1436" i="17"/>
  <c r="O1436" i="17"/>
  <c r="Q1435" i="17"/>
  <c r="O1435" i="17"/>
  <c r="P1435" i="17"/>
  <c r="P1434" i="17"/>
  <c r="Q1434" i="17"/>
  <c r="O1434" i="17"/>
  <c r="Q1433" i="17"/>
  <c r="P1433" i="17"/>
  <c r="O1433" i="17"/>
  <c r="P1432" i="17"/>
  <c r="Q1432" i="17"/>
  <c r="O1432" i="17"/>
  <c r="Q1431" i="17"/>
  <c r="O1431" i="17"/>
  <c r="P1431" i="17"/>
  <c r="P1430" i="17"/>
  <c r="O1430" i="17"/>
  <c r="Q1430" i="17"/>
  <c r="O1429" i="17"/>
  <c r="P1429" i="17"/>
  <c r="Q1429" i="17"/>
  <c r="P1428" i="17"/>
  <c r="Q1428" i="17"/>
  <c r="O1428" i="17"/>
  <c r="P1426" i="17"/>
  <c r="O1426" i="17"/>
  <c r="Q1426" i="17"/>
  <c r="Q1425" i="17"/>
  <c r="P1425" i="17"/>
  <c r="O1425" i="17"/>
  <c r="O1424" i="17"/>
  <c r="Q1424" i="17"/>
  <c r="P1424" i="17"/>
  <c r="Q1423" i="17"/>
  <c r="P1423" i="17"/>
  <c r="O1423" i="17"/>
  <c r="O1422" i="17"/>
  <c r="Q1422" i="17"/>
  <c r="P1422" i="17"/>
  <c r="O1421" i="17"/>
  <c r="P1421" i="17"/>
  <c r="Q1421" i="17"/>
  <c r="O1420" i="17"/>
  <c r="P1420" i="17"/>
  <c r="Q1420" i="17"/>
  <c r="P1419" i="17"/>
  <c r="O1419" i="17"/>
  <c r="Q1419" i="17"/>
  <c r="O1418" i="17"/>
  <c r="P1418" i="17"/>
  <c r="Q1418" i="17"/>
  <c r="P1417" i="17"/>
  <c r="O1417" i="17"/>
  <c r="Q1417" i="17"/>
  <c r="O1416" i="17"/>
  <c r="P1416" i="17"/>
  <c r="Q1416" i="17"/>
  <c r="O1415" i="17"/>
  <c r="Q1415" i="17"/>
  <c r="P1415" i="17"/>
  <c r="O1414" i="17"/>
  <c r="P1414" i="17"/>
  <c r="Q1414" i="17"/>
  <c r="Q1413" i="17"/>
  <c r="P1413" i="17"/>
  <c r="O1413" i="17"/>
  <c r="Q1412" i="17"/>
  <c r="P1412" i="17"/>
  <c r="O1412" i="17"/>
  <c r="Q1411" i="17"/>
  <c r="P1411" i="17"/>
  <c r="O1411" i="17"/>
  <c r="Q1410" i="17"/>
  <c r="P1410" i="17"/>
  <c r="O1410" i="17"/>
  <c r="Q1409" i="17"/>
  <c r="P1409" i="17"/>
  <c r="O1409" i="17"/>
  <c r="Q1407" i="17"/>
  <c r="P1407" i="17"/>
  <c r="O1407" i="17"/>
  <c r="P1406" i="17"/>
  <c r="Q1406" i="17"/>
  <c r="O1406" i="17"/>
  <c r="O1405" i="17"/>
  <c r="Q1405" i="17"/>
  <c r="P1405" i="17"/>
  <c r="Q1404" i="17"/>
  <c r="O1404" i="17"/>
  <c r="P1404" i="17"/>
  <c r="P1403" i="17"/>
  <c r="O1403" i="17"/>
  <c r="Q1403" i="17"/>
  <c r="P1402" i="17"/>
  <c r="O1402" i="17"/>
  <c r="Q1402" i="17"/>
  <c r="Q1401" i="17"/>
  <c r="P1401" i="17"/>
  <c r="O1401" i="17"/>
  <c r="Q1400" i="17"/>
  <c r="P1400" i="17"/>
  <c r="O1400" i="17"/>
  <c r="O1399" i="17"/>
  <c r="Q1399" i="17"/>
  <c r="P1399" i="17"/>
  <c r="Q1398" i="17"/>
  <c r="O1398" i="17"/>
  <c r="P1398" i="17"/>
  <c r="O1397" i="17"/>
  <c r="P1397" i="17"/>
  <c r="Q1397" i="17"/>
  <c r="O1396" i="17"/>
  <c r="P1396" i="17"/>
  <c r="Q1396" i="17"/>
  <c r="Q1395" i="17"/>
  <c r="O1395" i="17"/>
  <c r="P1395" i="17"/>
  <c r="Q1394" i="17"/>
  <c r="P1394" i="17"/>
  <c r="O1394" i="17"/>
  <c r="O1393" i="17"/>
  <c r="Q1393" i="17"/>
  <c r="P1393" i="17"/>
  <c r="O1392" i="17"/>
  <c r="P1392" i="17"/>
  <c r="Q1392" i="17"/>
  <c r="P1391" i="17"/>
  <c r="Q1391" i="17"/>
  <c r="O1391" i="17"/>
  <c r="O1390" i="17"/>
  <c r="P1390" i="17"/>
  <c r="Q1390" i="17"/>
  <c r="P1388" i="17"/>
  <c r="Q1388" i="17"/>
  <c r="O1388" i="17"/>
  <c r="Q1387" i="17"/>
  <c r="O1387" i="17"/>
  <c r="P1387" i="17"/>
  <c r="O1386" i="17"/>
  <c r="P1386" i="17"/>
  <c r="Q1386" i="17"/>
  <c r="Q1384" i="17"/>
  <c r="P1384" i="17"/>
  <c r="O1384" i="17"/>
  <c r="Q1383" i="17"/>
  <c r="P1383" i="17"/>
  <c r="O1383" i="17"/>
  <c r="Q1382" i="17"/>
  <c r="P1382" i="17"/>
  <c r="O1382" i="17"/>
  <c r="Q1381" i="17"/>
  <c r="O1381" i="17"/>
  <c r="P1381" i="17"/>
  <c r="O1380" i="17"/>
  <c r="P1380" i="17"/>
  <c r="Q1380" i="17"/>
  <c r="P1379" i="17"/>
  <c r="Q1379" i="17"/>
  <c r="O1379" i="17"/>
  <c r="P1378" i="17"/>
  <c r="Q1378" i="17"/>
  <c r="O1378" i="17"/>
  <c r="Q1377" i="17"/>
  <c r="P1377" i="17"/>
  <c r="O1377" i="17"/>
  <c r="O1376" i="17"/>
  <c r="Q1376" i="17"/>
  <c r="P1376" i="17"/>
  <c r="Q1375" i="17"/>
  <c r="P1375" i="17"/>
  <c r="O1375" i="17"/>
  <c r="Q1374" i="17"/>
  <c r="P1374" i="17"/>
  <c r="O1374" i="17"/>
  <c r="Q1373" i="17"/>
  <c r="P1373" i="17"/>
  <c r="O1373" i="17"/>
  <c r="O1372" i="17"/>
  <c r="Q1372" i="17"/>
  <c r="P1372" i="17"/>
  <c r="P1371" i="17"/>
  <c r="Q1371" i="17"/>
  <c r="O1371" i="17"/>
  <c r="P1369" i="17"/>
  <c r="O1369" i="17"/>
  <c r="Q1369" i="17"/>
  <c r="Q1368" i="17"/>
  <c r="O1368" i="17"/>
  <c r="P1368" i="17"/>
  <c r="Q1367" i="17"/>
  <c r="O1367" i="17"/>
  <c r="P1367" i="17"/>
  <c r="P1365" i="17"/>
  <c r="O1365" i="17"/>
  <c r="Q1365" i="17"/>
  <c r="P1364" i="17"/>
  <c r="O1364" i="17"/>
  <c r="Q1364" i="17"/>
  <c r="Q1363" i="17"/>
  <c r="P1363" i="17"/>
  <c r="O1363" i="17"/>
  <c r="Q1362" i="17"/>
  <c r="O1362" i="17"/>
  <c r="P1362" i="17"/>
  <c r="O1361" i="17"/>
  <c r="P1361" i="17"/>
  <c r="Q1361" i="17"/>
  <c r="O1360" i="17"/>
  <c r="Q1360" i="17"/>
  <c r="P1360" i="17"/>
  <c r="Q1359" i="17"/>
  <c r="P1359" i="17"/>
  <c r="O1359" i="17"/>
  <c r="P1358" i="17"/>
  <c r="Q1358" i="17"/>
  <c r="O1358" i="17"/>
  <c r="Q1357" i="17"/>
  <c r="O1357" i="17"/>
  <c r="P1357" i="17"/>
  <c r="O1356" i="17"/>
  <c r="P1356" i="17"/>
  <c r="Q1356" i="17"/>
  <c r="P1355" i="17"/>
  <c r="O1355" i="17"/>
  <c r="Q1355" i="17"/>
  <c r="O1354" i="17"/>
  <c r="P1354" i="17"/>
  <c r="Q1354" i="17"/>
  <c r="P1353" i="17"/>
  <c r="Q1353" i="17"/>
  <c r="O1353" i="17"/>
  <c r="Q1352" i="17"/>
  <c r="O1352" i="17"/>
  <c r="P1352" i="17"/>
  <c r="Q1350" i="17"/>
  <c r="P1350" i="17"/>
  <c r="O1350" i="17"/>
  <c r="P1349" i="17"/>
  <c r="O1349" i="17"/>
  <c r="Q1349" i="17"/>
  <c r="Q1347" i="17"/>
  <c r="P1347" i="17"/>
  <c r="O1347" i="17"/>
  <c r="Q1346" i="17"/>
  <c r="O1346" i="17"/>
  <c r="P1346" i="17"/>
  <c r="Q1345" i="17"/>
  <c r="P1345" i="17"/>
  <c r="O1345" i="17"/>
  <c r="Q1344" i="17"/>
  <c r="P1344" i="17"/>
  <c r="O1344" i="17"/>
  <c r="P1343" i="17"/>
  <c r="O1343" i="17"/>
  <c r="Q1343" i="17"/>
  <c r="P1342" i="17"/>
  <c r="O1342" i="17"/>
  <c r="Q1342" i="17"/>
  <c r="Q1341" i="17"/>
  <c r="P1341" i="17"/>
  <c r="O1341" i="17"/>
  <c r="Q1340" i="17"/>
  <c r="P1340" i="17"/>
  <c r="O1340" i="17"/>
  <c r="Q1339" i="17"/>
  <c r="P1339" i="17"/>
  <c r="O1339" i="17"/>
  <c r="O1338" i="17"/>
  <c r="P1338" i="17"/>
  <c r="Q1338" i="17"/>
  <c r="O1337" i="17"/>
  <c r="P1337" i="17"/>
  <c r="Q1337" i="17"/>
  <c r="Q1336" i="17"/>
  <c r="O1336" i="17"/>
  <c r="P1336" i="17"/>
  <c r="O1335" i="17"/>
  <c r="Q1335" i="17"/>
  <c r="P1335" i="17"/>
  <c r="P1334" i="17"/>
  <c r="O1334" i="17"/>
  <c r="Q1334" i="17"/>
  <c r="P1333" i="17"/>
  <c r="O1333" i="17"/>
  <c r="Q1333" i="17"/>
  <c r="Q1331" i="17"/>
  <c r="P1331" i="17"/>
  <c r="O1331" i="17"/>
  <c r="P1330" i="17"/>
  <c r="Q1330" i="17"/>
  <c r="O1330" i="17"/>
  <c r="O1329" i="17"/>
  <c r="P1329" i="17"/>
  <c r="Q1329" i="17"/>
  <c r="P1328" i="17"/>
  <c r="O1328" i="17"/>
  <c r="Q1328" i="17"/>
  <c r="Q1327" i="17"/>
  <c r="O1327" i="17"/>
  <c r="P1327" i="17"/>
  <c r="Q1326" i="17"/>
  <c r="O1326" i="17"/>
  <c r="P1326" i="17"/>
  <c r="P1325" i="17"/>
  <c r="O1325" i="17"/>
  <c r="Q1325" i="17"/>
  <c r="Q1452" i="17"/>
  <c r="P1452" i="17"/>
  <c r="O1452" i="17"/>
  <c r="O1451" i="17"/>
  <c r="Q1451" i="17"/>
  <c r="P1451" i="17"/>
  <c r="O1385" i="17"/>
  <c r="P1385" i="17"/>
  <c r="Q1385" i="17"/>
  <c r="O1366" i="17"/>
  <c r="Q1366" i="17"/>
  <c r="P1366" i="17"/>
  <c r="P1348" i="17"/>
  <c r="Q1348" i="17"/>
  <c r="O1348" i="17"/>
  <c r="Q1323" i="17"/>
  <c r="P1323" i="17"/>
  <c r="O1323" i="17"/>
  <c r="P1322" i="17"/>
  <c r="O1322" i="17"/>
  <c r="Q1322" i="17"/>
  <c r="O1321" i="17"/>
  <c r="Q1321" i="17"/>
  <c r="P1321" i="17"/>
  <c r="O1320" i="17"/>
  <c r="P1320" i="17"/>
  <c r="Q1320" i="17"/>
  <c r="P1319" i="17"/>
  <c r="Q1319" i="17"/>
  <c r="O1319" i="17"/>
  <c r="Q1318" i="17"/>
  <c r="P1318" i="17"/>
  <c r="O1318" i="17"/>
  <c r="O1317" i="17"/>
  <c r="P1317" i="17"/>
  <c r="Q1317" i="17"/>
  <c r="O1316" i="17"/>
  <c r="Q1316" i="17"/>
  <c r="P1316" i="17"/>
  <c r="P1315" i="17"/>
  <c r="O1315" i="17"/>
  <c r="Q1315" i="17"/>
  <c r="O1314" i="17"/>
  <c r="P1314" i="17"/>
  <c r="Q1314" i="17"/>
  <c r="Q1312" i="17"/>
  <c r="O1312" i="17"/>
  <c r="P1312" i="17"/>
  <c r="O1311" i="17"/>
  <c r="P1311" i="17"/>
  <c r="Q1311" i="17"/>
  <c r="Q1310" i="17"/>
  <c r="O1310" i="17"/>
  <c r="P1310" i="17"/>
  <c r="Q1309" i="17"/>
  <c r="P1309" i="17"/>
  <c r="O1309" i="17"/>
  <c r="Q1308" i="17"/>
  <c r="P1308" i="17"/>
  <c r="O1308" i="17"/>
  <c r="O1307" i="17"/>
  <c r="P1307" i="17"/>
  <c r="Q1307" i="17"/>
  <c r="O1306" i="17"/>
  <c r="Q1306" i="17"/>
  <c r="P1306" i="17"/>
  <c r="P1305" i="17"/>
  <c r="O1305" i="17"/>
  <c r="Q1305" i="17"/>
  <c r="O1304" i="17"/>
  <c r="P1304" i="17"/>
  <c r="Q1304" i="17"/>
  <c r="O1303" i="17"/>
  <c r="P1303" i="17"/>
  <c r="Q1303" i="17"/>
  <c r="P1302" i="17"/>
  <c r="O1302" i="17"/>
  <c r="Q1302" i="17"/>
  <c r="P1301" i="17"/>
  <c r="O1301" i="17"/>
  <c r="Q1301" i="17"/>
  <c r="Q1300" i="17"/>
  <c r="P1300" i="17"/>
  <c r="O1300" i="17"/>
  <c r="Q1299" i="17"/>
  <c r="P1299" i="17"/>
  <c r="O1299" i="17"/>
  <c r="O1298" i="17"/>
  <c r="P1298" i="17"/>
  <c r="Q1298" i="17"/>
  <c r="P1297" i="17"/>
  <c r="Q1297" i="17"/>
  <c r="O1297" i="17"/>
  <c r="O1296" i="17"/>
  <c r="P1296" i="17"/>
  <c r="Q1296" i="17"/>
  <c r="P1295" i="17"/>
  <c r="O1295" i="17"/>
  <c r="Q1295" i="17"/>
  <c r="O1293" i="17"/>
  <c r="P1293" i="17"/>
  <c r="Q1293" i="17"/>
  <c r="P1292" i="17"/>
  <c r="Q1292" i="17"/>
  <c r="O1292" i="17"/>
  <c r="O1291" i="17"/>
  <c r="P1291" i="17"/>
  <c r="Q1291" i="17"/>
  <c r="Q1290" i="17"/>
  <c r="O1290" i="17"/>
  <c r="P1290" i="17"/>
  <c r="O1289" i="17"/>
  <c r="Q1289" i="17"/>
  <c r="P1289" i="17"/>
  <c r="Q1288" i="17"/>
  <c r="O1288" i="17"/>
  <c r="P1288" i="17"/>
  <c r="O1287" i="17"/>
  <c r="P1287" i="17"/>
  <c r="Q1287" i="17"/>
  <c r="O1286" i="17"/>
  <c r="Q1286" i="17"/>
  <c r="P1286" i="17"/>
  <c r="P1285" i="17"/>
  <c r="O1285" i="17"/>
  <c r="Q1285" i="17"/>
  <c r="O1284" i="17"/>
  <c r="P1284" i="17"/>
  <c r="Q1284" i="17"/>
  <c r="Q1283" i="17"/>
  <c r="P1283" i="17"/>
  <c r="O1283" i="17"/>
  <c r="Q1282" i="17"/>
  <c r="O1282" i="17"/>
  <c r="P1282" i="17"/>
  <c r="O1281" i="17"/>
  <c r="P1281" i="17"/>
  <c r="Q1281" i="17"/>
  <c r="P1280" i="17"/>
  <c r="O1280" i="17"/>
  <c r="Q1280" i="17"/>
  <c r="Q1279" i="17"/>
  <c r="O1279" i="17"/>
  <c r="P1279" i="17"/>
  <c r="Q1278" i="17"/>
  <c r="P1278" i="17"/>
  <c r="O1278" i="17"/>
  <c r="Q1277" i="17"/>
  <c r="P1277" i="17"/>
  <c r="O1277" i="17"/>
  <c r="Q1276" i="17"/>
  <c r="P1276" i="17"/>
  <c r="O1276" i="17"/>
  <c r="O1274" i="17"/>
  <c r="Q1274" i="17"/>
  <c r="P1274" i="17"/>
  <c r="P1273" i="17"/>
  <c r="O1273" i="17"/>
  <c r="Q1273" i="17"/>
  <c r="Q1272" i="17"/>
  <c r="P1272" i="17"/>
  <c r="O1272" i="17"/>
  <c r="P1271" i="17"/>
  <c r="Q1271" i="17"/>
  <c r="O1271" i="17"/>
  <c r="Q1270" i="17"/>
  <c r="O1270" i="17"/>
  <c r="P1270" i="17"/>
  <c r="P1269" i="17"/>
  <c r="Q1269" i="17"/>
  <c r="O1269" i="17"/>
  <c r="O1268" i="17"/>
  <c r="P1268" i="17"/>
  <c r="Q1268" i="17"/>
  <c r="O1267" i="17"/>
  <c r="Q1267" i="17"/>
  <c r="P1267" i="17"/>
  <c r="O1266" i="17"/>
  <c r="Q1266" i="17"/>
  <c r="P1266" i="17"/>
  <c r="O1265" i="17"/>
  <c r="Q1265" i="17"/>
  <c r="P1265" i="17"/>
  <c r="P1264" i="17"/>
  <c r="Q1264" i="17"/>
  <c r="O1264" i="17"/>
  <c r="P1263" i="17"/>
  <c r="Q1263" i="17"/>
  <c r="O1263" i="17"/>
  <c r="O1262" i="17"/>
  <c r="P1262" i="17"/>
  <c r="Q1262" i="17"/>
  <c r="O1261" i="17"/>
  <c r="Q1261" i="17"/>
  <c r="P1261" i="17"/>
  <c r="P1260" i="17"/>
  <c r="O1260" i="17"/>
  <c r="Q1260" i="17"/>
  <c r="Q1259" i="17"/>
  <c r="P1259" i="17"/>
  <c r="O1259" i="17"/>
  <c r="P1258" i="17"/>
  <c r="Q1258" i="17"/>
  <c r="O1258" i="17"/>
  <c r="Q1257" i="17"/>
  <c r="P1257" i="17"/>
  <c r="O1257" i="17"/>
  <c r="Q1255" i="17"/>
  <c r="P1255" i="17"/>
  <c r="O1255" i="17"/>
  <c r="Q1254" i="17"/>
  <c r="P1254" i="17"/>
  <c r="O1254" i="17"/>
  <c r="Q1253" i="17"/>
  <c r="O1253" i="17"/>
  <c r="P1253" i="17"/>
  <c r="O1252" i="17"/>
  <c r="Q1252" i="17"/>
  <c r="P1252" i="17"/>
  <c r="Q1251" i="17"/>
  <c r="P1251" i="17"/>
  <c r="O1251" i="17"/>
  <c r="O1250" i="17"/>
  <c r="P1250" i="17"/>
  <c r="Q1250" i="17"/>
  <c r="Q1249" i="17"/>
  <c r="O1249" i="17"/>
  <c r="P1249" i="17"/>
  <c r="Q1248" i="17"/>
  <c r="P1248" i="17"/>
  <c r="O1248" i="17"/>
  <c r="O1243" i="17"/>
  <c r="Q1243" i="17"/>
  <c r="P1243" i="17"/>
  <c r="Q1242" i="17"/>
  <c r="P1242" i="17"/>
  <c r="O1242" i="17"/>
  <c r="Q1241" i="17"/>
  <c r="O1241" i="17"/>
  <c r="P1241" i="17"/>
  <c r="P1240" i="17"/>
  <c r="Q1240" i="17"/>
  <c r="O1240" i="17"/>
  <c r="P1239" i="17"/>
  <c r="Q1239" i="17"/>
  <c r="O1239" i="17"/>
  <c r="Q1238" i="17"/>
  <c r="O1238" i="17"/>
  <c r="P1238" i="17"/>
  <c r="Q1236" i="17"/>
  <c r="P1236" i="17"/>
  <c r="O1236" i="17"/>
  <c r="Q1235" i="17"/>
  <c r="P1235" i="17"/>
  <c r="O1235" i="17"/>
  <c r="Q1234" i="17"/>
  <c r="P1234" i="17"/>
  <c r="O1234" i="17"/>
  <c r="O1034" i="17"/>
  <c r="Q1034" i="17"/>
  <c r="P1034" i="17"/>
  <c r="P1033" i="17"/>
  <c r="O1033" i="17"/>
  <c r="Q1033" i="17"/>
  <c r="Q1032" i="17"/>
  <c r="O1032" i="17"/>
  <c r="P1032" i="17"/>
  <c r="Q1031" i="17"/>
  <c r="O1031" i="17"/>
  <c r="P1031" i="17"/>
  <c r="Q1030" i="17"/>
  <c r="P1030" i="17"/>
  <c r="O1030" i="17"/>
  <c r="O1029" i="17"/>
  <c r="P1029" i="17"/>
  <c r="Q1029" i="17"/>
  <c r="O1027" i="17"/>
  <c r="Q1027" i="17"/>
  <c r="P1027" i="17"/>
  <c r="Q1026" i="17"/>
  <c r="O1026" i="17"/>
  <c r="P1026" i="17"/>
  <c r="P1025" i="17"/>
  <c r="O1025" i="17"/>
  <c r="Q1025" i="17"/>
  <c r="Q1024" i="17"/>
  <c r="O1024" i="17"/>
  <c r="P1024" i="17"/>
  <c r="O1023" i="17"/>
  <c r="P1023" i="17"/>
  <c r="Q1023" i="17"/>
  <c r="P1022" i="17"/>
  <c r="O1022" i="17"/>
  <c r="Q1022" i="17"/>
  <c r="O1021" i="17"/>
  <c r="Q1021" i="17"/>
  <c r="P1021" i="17"/>
  <c r="P1020" i="17"/>
  <c r="Q1020" i="17"/>
  <c r="O1020" i="17"/>
  <c r="O1019" i="17"/>
  <c r="Q1019" i="17"/>
  <c r="P1019" i="17"/>
  <c r="O1018" i="17"/>
  <c r="Q1018" i="17"/>
  <c r="P1018" i="17"/>
  <c r="P1017" i="17"/>
  <c r="Q1017" i="17"/>
  <c r="O1017" i="17"/>
  <c r="P1016" i="17"/>
  <c r="O1016" i="17"/>
  <c r="Q1016" i="17"/>
  <c r="Q1015" i="17"/>
  <c r="O1015" i="17"/>
  <c r="P1015" i="17"/>
  <c r="Q1014" i="17"/>
  <c r="O1014" i="17"/>
  <c r="P1014" i="17"/>
  <c r="O1013" i="17"/>
  <c r="Q1013" i="17"/>
  <c r="P1013" i="17"/>
  <c r="Q1012" i="17"/>
  <c r="O1012" i="17"/>
  <c r="P1012" i="17"/>
  <c r="Q1011" i="17"/>
  <c r="P1011" i="17"/>
  <c r="O1011" i="17"/>
  <c r="P1010" i="17"/>
  <c r="O1010" i="17"/>
  <c r="Q1010" i="17"/>
  <c r="Q1008" i="17"/>
  <c r="P1008" i="17"/>
  <c r="O1008" i="17"/>
  <c r="Q1007" i="17"/>
  <c r="O1007" i="17"/>
  <c r="P1007" i="17"/>
  <c r="Q1006" i="17"/>
  <c r="O1006" i="17"/>
  <c r="P1006" i="17"/>
  <c r="O1005" i="17"/>
  <c r="P1005" i="17"/>
  <c r="Q1005" i="17"/>
  <c r="Q1004" i="17"/>
  <c r="P1004" i="17"/>
  <c r="O1004" i="17"/>
  <c r="P1003" i="17"/>
  <c r="O1003" i="17"/>
  <c r="Q1003" i="17"/>
  <c r="P1002" i="17"/>
  <c r="Q1002" i="17"/>
  <c r="O1002" i="17"/>
  <c r="Q1001" i="17"/>
  <c r="O1001" i="17"/>
  <c r="P1001" i="17"/>
  <c r="Q1000" i="17"/>
  <c r="O1000" i="17"/>
  <c r="P1000" i="17"/>
  <c r="O999" i="17"/>
  <c r="Q999" i="17"/>
  <c r="P999" i="17"/>
  <c r="P998" i="17"/>
  <c r="O998" i="17"/>
  <c r="Q998" i="17"/>
  <c r="O997" i="17"/>
  <c r="Q997" i="17"/>
  <c r="P997" i="17"/>
  <c r="P996" i="17"/>
  <c r="Q996" i="17"/>
  <c r="O996" i="17"/>
  <c r="O995" i="17"/>
  <c r="P995" i="17"/>
  <c r="Q995" i="17"/>
  <c r="Q994" i="17"/>
  <c r="P994" i="17"/>
  <c r="O994" i="17"/>
  <c r="Q993" i="17"/>
  <c r="O993" i="17"/>
  <c r="P993" i="17"/>
  <c r="P992" i="17"/>
  <c r="O992" i="17"/>
  <c r="Q992" i="17"/>
  <c r="Q991" i="17"/>
  <c r="P991" i="17"/>
  <c r="O991" i="17"/>
  <c r="Q989" i="17"/>
  <c r="O989" i="17"/>
  <c r="P989" i="17"/>
  <c r="P988" i="17"/>
  <c r="Q988" i="17"/>
  <c r="O988" i="17"/>
  <c r="P987" i="17"/>
  <c r="O987" i="17"/>
  <c r="Q987" i="17"/>
  <c r="Q986" i="17"/>
  <c r="P986" i="17"/>
  <c r="O986" i="17"/>
  <c r="Q985" i="17"/>
  <c r="O985" i="17"/>
  <c r="P985" i="17"/>
  <c r="Q984" i="17"/>
  <c r="P984" i="17"/>
  <c r="O984" i="17"/>
  <c r="P983" i="17"/>
  <c r="Q983" i="17"/>
  <c r="O983" i="17"/>
  <c r="O982" i="17"/>
  <c r="Q982" i="17"/>
  <c r="P982" i="17"/>
  <c r="O981" i="17"/>
  <c r="P981" i="17"/>
  <c r="Q981" i="17"/>
  <c r="O980" i="17"/>
  <c r="P980" i="17"/>
  <c r="Q980" i="17"/>
  <c r="O979" i="17"/>
  <c r="Q979" i="17"/>
  <c r="P979" i="17"/>
  <c r="P978" i="17"/>
  <c r="O978" i="17"/>
  <c r="Q978" i="17"/>
  <c r="Q977" i="17"/>
  <c r="P977" i="17"/>
  <c r="O977" i="17"/>
  <c r="O976" i="17"/>
  <c r="P976" i="17"/>
  <c r="Q976" i="17"/>
  <c r="Q975" i="17"/>
  <c r="P975" i="17"/>
  <c r="O975" i="17"/>
  <c r="Q974" i="17"/>
  <c r="O974" i="17"/>
  <c r="P974" i="17"/>
  <c r="Q973" i="17"/>
  <c r="P973" i="17"/>
  <c r="O973" i="17"/>
  <c r="P972" i="17"/>
  <c r="O972" i="17"/>
  <c r="Q972" i="17"/>
  <c r="O970" i="17"/>
  <c r="Q970" i="17"/>
  <c r="P970" i="17"/>
  <c r="Q969" i="17"/>
  <c r="P969" i="17"/>
  <c r="O969" i="17"/>
  <c r="P968" i="17"/>
  <c r="Q968" i="17"/>
  <c r="O968" i="17"/>
  <c r="P967" i="17"/>
  <c r="Q967" i="17"/>
  <c r="O967" i="17"/>
  <c r="O966" i="17"/>
  <c r="P966" i="17"/>
  <c r="Q966" i="17"/>
  <c r="O965" i="17"/>
  <c r="Q965" i="17"/>
  <c r="P965" i="17"/>
  <c r="O964" i="17"/>
  <c r="Q964" i="17"/>
  <c r="P964" i="17"/>
  <c r="P963" i="17"/>
  <c r="O963" i="17"/>
  <c r="Q963" i="17"/>
  <c r="P962" i="17"/>
  <c r="Q962" i="17"/>
  <c r="O962" i="17"/>
  <c r="P961" i="17"/>
  <c r="O961" i="17"/>
  <c r="Q961" i="17"/>
  <c r="P960" i="17"/>
  <c r="O960" i="17"/>
  <c r="Q960" i="17"/>
  <c r="O959" i="17"/>
  <c r="Q959" i="17"/>
  <c r="P959" i="17"/>
  <c r="P958" i="17"/>
  <c r="Q958" i="17"/>
  <c r="O958" i="17"/>
  <c r="P957" i="17"/>
  <c r="Q957" i="17"/>
  <c r="O957" i="17"/>
  <c r="O956" i="17"/>
  <c r="P956" i="17"/>
  <c r="Q956" i="17"/>
  <c r="O955" i="17"/>
  <c r="P955" i="17"/>
  <c r="Q955" i="17"/>
  <c r="P954" i="17"/>
  <c r="O954" i="17"/>
  <c r="Q954" i="17"/>
  <c r="O953" i="17"/>
  <c r="P953" i="17"/>
  <c r="Q953" i="17"/>
  <c r="Q951" i="17"/>
  <c r="P951" i="17"/>
  <c r="O951" i="17"/>
  <c r="O950" i="17"/>
  <c r="Q950" i="17"/>
  <c r="P950" i="17"/>
  <c r="Q949" i="17"/>
  <c r="P949" i="17"/>
  <c r="O949" i="17"/>
  <c r="Q948" i="17"/>
  <c r="P948" i="17"/>
  <c r="O948" i="17"/>
  <c r="O947" i="17"/>
  <c r="P947" i="17"/>
  <c r="Q947" i="17"/>
  <c r="O946" i="17"/>
  <c r="P946" i="17"/>
  <c r="Q946" i="17"/>
  <c r="Q945" i="17"/>
  <c r="P945" i="17"/>
  <c r="O945" i="17"/>
  <c r="Q944" i="17"/>
  <c r="P944" i="17"/>
  <c r="O944" i="17"/>
  <c r="O943" i="17"/>
  <c r="P943" i="17"/>
  <c r="Q943" i="17"/>
  <c r="P942" i="17"/>
  <c r="Q942" i="17"/>
  <c r="O942" i="17"/>
  <c r="O941" i="17"/>
  <c r="P941" i="17"/>
  <c r="Q941" i="17"/>
  <c r="P940" i="17"/>
  <c r="Q940" i="17"/>
  <c r="O940" i="17"/>
  <c r="O939" i="17"/>
  <c r="P939" i="17"/>
  <c r="Q939" i="17"/>
  <c r="P938" i="17"/>
  <c r="Q938" i="17"/>
  <c r="O938" i="17"/>
  <c r="Q937" i="17"/>
  <c r="O937" i="17"/>
  <c r="P937" i="17"/>
  <c r="O936" i="17"/>
  <c r="P936" i="17"/>
  <c r="Q936" i="17"/>
  <c r="P935" i="17"/>
  <c r="O935" i="17"/>
  <c r="Q935" i="17"/>
  <c r="Q934" i="17"/>
  <c r="O934" i="17"/>
  <c r="P934" i="17"/>
  <c r="Q932" i="17"/>
  <c r="P932" i="17"/>
  <c r="O932" i="17"/>
  <c r="P931" i="17"/>
  <c r="O931" i="17"/>
  <c r="Q931" i="17"/>
  <c r="P930" i="17"/>
  <c r="Q930" i="17"/>
  <c r="O930" i="17"/>
  <c r="O929" i="17"/>
  <c r="P929" i="17"/>
  <c r="Q929" i="17"/>
  <c r="O928" i="17"/>
  <c r="P928" i="17"/>
  <c r="Q928" i="17"/>
  <c r="Q927" i="17"/>
  <c r="O927" i="17"/>
  <c r="P927" i="17"/>
  <c r="P926" i="17"/>
  <c r="Q926" i="17"/>
  <c r="O926" i="17"/>
  <c r="Q925" i="17"/>
  <c r="P925" i="17"/>
  <c r="O925" i="17"/>
  <c r="Q924" i="17"/>
  <c r="P924" i="17"/>
  <c r="O924" i="17"/>
  <c r="Q923" i="17"/>
  <c r="O923" i="17"/>
  <c r="P923" i="17"/>
  <c r="P922" i="17"/>
  <c r="Q922" i="17"/>
  <c r="O922" i="17"/>
  <c r="P921" i="17"/>
  <c r="Q921" i="17"/>
  <c r="O921" i="17"/>
  <c r="P920" i="17"/>
  <c r="Q920" i="17"/>
  <c r="O920" i="17"/>
  <c r="P919" i="17"/>
  <c r="Q919" i="17"/>
  <c r="O919" i="17"/>
  <c r="P918" i="17"/>
  <c r="Q918" i="17"/>
  <c r="O918" i="17"/>
  <c r="O917" i="17"/>
  <c r="Q917" i="17"/>
  <c r="P917" i="17"/>
  <c r="P916" i="17"/>
  <c r="Q916" i="17"/>
  <c r="O916" i="17"/>
  <c r="P915" i="17"/>
  <c r="Q915" i="17"/>
  <c r="O915" i="17"/>
  <c r="P913" i="17"/>
  <c r="O913" i="17"/>
  <c r="Q913" i="17"/>
  <c r="P912" i="17"/>
  <c r="O912" i="17"/>
  <c r="Q912" i="17"/>
  <c r="Q911" i="17"/>
  <c r="P911" i="17"/>
  <c r="O911" i="17"/>
  <c r="P910" i="17"/>
  <c r="Q910" i="17"/>
  <c r="O910" i="17"/>
  <c r="O909" i="17"/>
  <c r="P909" i="17"/>
  <c r="Q909" i="17"/>
  <c r="O908" i="17"/>
  <c r="Q908" i="17"/>
  <c r="P908" i="17"/>
  <c r="P907" i="17"/>
  <c r="Q907" i="17"/>
  <c r="O907" i="17"/>
  <c r="P906" i="17"/>
  <c r="Q906" i="17"/>
  <c r="O906" i="17"/>
  <c r="P905" i="17"/>
  <c r="O905" i="17"/>
  <c r="Q905" i="17"/>
  <c r="O904" i="17"/>
  <c r="Q904" i="17"/>
  <c r="P904" i="17"/>
  <c r="P903" i="17"/>
  <c r="Q903" i="17"/>
  <c r="O903" i="17"/>
  <c r="P902" i="17"/>
  <c r="O902" i="17"/>
  <c r="Q902" i="17"/>
  <c r="P901" i="17"/>
  <c r="Q901" i="17"/>
  <c r="O901" i="17"/>
  <c r="O900" i="17"/>
  <c r="P900" i="17"/>
  <c r="Q900" i="17"/>
  <c r="Q899" i="17"/>
  <c r="P899" i="17"/>
  <c r="O899" i="17"/>
  <c r="Q898" i="17"/>
  <c r="P898" i="17"/>
  <c r="O898" i="17"/>
  <c r="P897" i="17"/>
  <c r="O897" i="17"/>
  <c r="Q897" i="17"/>
  <c r="O896" i="17"/>
  <c r="Q896" i="17"/>
  <c r="P896" i="17"/>
  <c r="P894" i="17"/>
  <c r="O894" i="17"/>
  <c r="Q894" i="17"/>
  <c r="P893" i="17"/>
  <c r="O893" i="17"/>
  <c r="Q893" i="17"/>
  <c r="Q892" i="17"/>
  <c r="P892" i="17"/>
  <c r="O892" i="17"/>
  <c r="P891" i="17"/>
  <c r="Q891" i="17"/>
  <c r="O891" i="17"/>
  <c r="O890" i="17"/>
  <c r="Q890" i="17"/>
  <c r="P890" i="17"/>
  <c r="O889" i="17"/>
  <c r="Q889" i="17"/>
  <c r="P889" i="17"/>
  <c r="O888" i="17"/>
  <c r="Q888" i="17"/>
  <c r="P888" i="17"/>
  <c r="P887" i="17"/>
  <c r="Q887" i="17"/>
  <c r="O887" i="17"/>
  <c r="Q886" i="17"/>
  <c r="O886" i="17"/>
  <c r="P886" i="17"/>
  <c r="Q885" i="17"/>
  <c r="O885" i="17"/>
  <c r="P885" i="17"/>
  <c r="O884" i="17"/>
  <c r="P884" i="17"/>
  <c r="Q884" i="17"/>
  <c r="P883" i="17"/>
  <c r="O883" i="17"/>
  <c r="Q883" i="17"/>
  <c r="P882" i="17"/>
  <c r="O882" i="17"/>
  <c r="Q882" i="17"/>
  <c r="Q881" i="17"/>
  <c r="O881" i="17"/>
  <c r="P881" i="17"/>
  <c r="Q880" i="17"/>
  <c r="P880" i="17"/>
  <c r="O880" i="17"/>
  <c r="O879" i="17"/>
  <c r="Q879" i="17"/>
  <c r="P879" i="17"/>
  <c r="Q878" i="17"/>
  <c r="O878" i="17"/>
  <c r="P878" i="17"/>
  <c r="P877" i="17"/>
  <c r="Q877" i="17"/>
  <c r="O877" i="17"/>
  <c r="Q875" i="17"/>
  <c r="O875" i="17"/>
  <c r="P875" i="17"/>
  <c r="P874" i="17"/>
  <c r="O874" i="17"/>
  <c r="Q874" i="17"/>
  <c r="O873" i="17"/>
  <c r="Q873" i="17"/>
  <c r="P873" i="17"/>
  <c r="P872" i="17"/>
  <c r="O872" i="17"/>
  <c r="Q872" i="17"/>
  <c r="P871" i="17"/>
  <c r="O871" i="17"/>
  <c r="Q871" i="17"/>
  <c r="O870" i="17"/>
  <c r="P870" i="17"/>
  <c r="Q870" i="17"/>
  <c r="Q869" i="17"/>
  <c r="O869" i="17"/>
  <c r="P869" i="17"/>
  <c r="P868" i="17"/>
  <c r="Q868" i="17"/>
  <c r="O868" i="17"/>
  <c r="O867" i="17"/>
  <c r="Q867" i="17"/>
  <c r="P867" i="17"/>
  <c r="O866" i="17"/>
  <c r="Q866" i="17"/>
  <c r="P866" i="17"/>
  <c r="Q865" i="17"/>
  <c r="P865" i="17"/>
  <c r="O865" i="17"/>
  <c r="O864" i="17"/>
  <c r="Q864" i="17"/>
  <c r="P864" i="17"/>
  <c r="Q863" i="17"/>
  <c r="P863" i="17"/>
  <c r="O863" i="17"/>
  <c r="P862" i="17"/>
  <c r="O862" i="17"/>
  <c r="Q862" i="17"/>
  <c r="P861" i="17"/>
  <c r="Q861" i="17"/>
  <c r="O861" i="17"/>
  <c r="P860" i="17"/>
  <c r="O860" i="17"/>
  <c r="Q860" i="17"/>
  <c r="O859" i="17"/>
  <c r="Q859" i="17"/>
  <c r="P859" i="17"/>
  <c r="O858" i="17"/>
  <c r="P858" i="17"/>
  <c r="Q858" i="17"/>
  <c r="O856" i="17"/>
  <c r="P856" i="17"/>
  <c r="Q856" i="17"/>
  <c r="O855" i="17"/>
  <c r="Q855" i="17"/>
  <c r="P855" i="17"/>
  <c r="O854" i="17"/>
  <c r="Q854" i="17"/>
  <c r="P854" i="17"/>
  <c r="Q853" i="17"/>
  <c r="O853" i="17"/>
  <c r="P853" i="17"/>
  <c r="P852" i="17"/>
  <c r="O852" i="17"/>
  <c r="Q852" i="17"/>
  <c r="Q851" i="17"/>
  <c r="P851" i="17"/>
  <c r="O851" i="17"/>
  <c r="P850" i="17"/>
  <c r="O850" i="17"/>
  <c r="Q850" i="17"/>
  <c r="O849" i="17"/>
  <c r="Q849" i="17"/>
  <c r="P849" i="17"/>
  <c r="O848" i="17"/>
  <c r="Q848" i="17"/>
  <c r="P848" i="17"/>
  <c r="O847" i="17"/>
  <c r="P847" i="17"/>
  <c r="Q847" i="17"/>
  <c r="O846" i="17"/>
  <c r="Q846" i="17"/>
  <c r="P846" i="17"/>
  <c r="Q845" i="17"/>
  <c r="P845" i="17"/>
  <c r="O845" i="17"/>
  <c r="Q844" i="17"/>
  <c r="P844" i="17"/>
  <c r="O844" i="17"/>
  <c r="Q843" i="17"/>
  <c r="P843" i="17"/>
  <c r="O843" i="17"/>
  <c r="P842" i="17"/>
  <c r="O842" i="17"/>
  <c r="Q842" i="17"/>
  <c r="P841" i="17"/>
  <c r="Q841" i="17"/>
  <c r="O841" i="17"/>
  <c r="O840" i="17"/>
  <c r="Q840" i="17"/>
  <c r="P840" i="17"/>
  <c r="O839" i="17"/>
  <c r="Q839" i="17"/>
  <c r="P839" i="17"/>
  <c r="P837" i="17"/>
  <c r="O837" i="17"/>
  <c r="Q837" i="17"/>
  <c r="P836" i="17"/>
  <c r="O836" i="17"/>
  <c r="Q836" i="17"/>
  <c r="P835" i="17"/>
  <c r="O835" i="17"/>
  <c r="Q835" i="17"/>
  <c r="P834" i="17"/>
  <c r="Q834" i="17"/>
  <c r="O834" i="17"/>
  <c r="Q833" i="17"/>
  <c r="O833" i="17"/>
  <c r="P833" i="17"/>
  <c r="O832" i="17"/>
  <c r="P832" i="17"/>
  <c r="Q832" i="17"/>
  <c r="Q831" i="17"/>
  <c r="O831" i="17"/>
  <c r="P831" i="17"/>
  <c r="Q830" i="17"/>
  <c r="P830" i="17"/>
  <c r="O830" i="17"/>
  <c r="Q829" i="17"/>
  <c r="O829" i="17"/>
  <c r="P829" i="17"/>
  <c r="O828" i="17"/>
  <c r="Q828" i="17"/>
  <c r="P828" i="17"/>
  <c r="P827" i="17"/>
  <c r="Q827" i="17"/>
  <c r="O827" i="17"/>
  <c r="P826" i="17"/>
  <c r="O826" i="17"/>
  <c r="Q826" i="17"/>
  <c r="P711" i="17"/>
  <c r="Q711" i="17"/>
  <c r="O711" i="17"/>
  <c r="Q710" i="17"/>
  <c r="O710" i="17"/>
  <c r="P710" i="17"/>
  <c r="P709" i="17"/>
  <c r="Q709" i="17"/>
  <c r="O709" i="17"/>
  <c r="P708" i="17"/>
  <c r="Q708" i="17"/>
  <c r="O708" i="17"/>
  <c r="P707" i="17"/>
  <c r="Q707" i="17"/>
  <c r="O707" i="17"/>
  <c r="P706" i="17"/>
  <c r="O706" i="17"/>
  <c r="Q706" i="17"/>
  <c r="P704" i="17"/>
  <c r="Q704" i="17"/>
  <c r="O704" i="17"/>
  <c r="O703" i="17"/>
  <c r="Q703" i="17"/>
  <c r="P703" i="17"/>
  <c r="Q702" i="17"/>
  <c r="P702" i="17"/>
  <c r="O702" i="17"/>
  <c r="P701" i="17"/>
  <c r="O701" i="17"/>
  <c r="Q701" i="17"/>
  <c r="Q700" i="17"/>
  <c r="O700" i="17"/>
  <c r="P700" i="17"/>
  <c r="O699" i="17"/>
  <c r="Q699" i="17"/>
  <c r="P699" i="17"/>
  <c r="O698" i="17"/>
  <c r="P698" i="17"/>
  <c r="Q698" i="17"/>
  <c r="P697" i="17"/>
  <c r="O697" i="17"/>
  <c r="Q697" i="17"/>
  <c r="Q696" i="17"/>
  <c r="O696" i="17"/>
  <c r="P696" i="17"/>
  <c r="Q695" i="17"/>
  <c r="O695" i="17"/>
  <c r="P695" i="17"/>
  <c r="P694" i="17"/>
  <c r="Q694" i="17"/>
  <c r="O694" i="17"/>
  <c r="Q693" i="17"/>
  <c r="P693" i="17"/>
  <c r="O693" i="17"/>
  <c r="P692" i="17"/>
  <c r="Q692" i="17"/>
  <c r="O692" i="17"/>
  <c r="Q691" i="17"/>
  <c r="O691" i="17"/>
  <c r="P691" i="17"/>
  <c r="O690" i="17"/>
  <c r="P690" i="17"/>
  <c r="Q690" i="17"/>
  <c r="P689" i="17"/>
  <c r="Q689" i="17"/>
  <c r="O689" i="17"/>
  <c r="P688" i="17"/>
  <c r="O688" i="17"/>
  <c r="Q688" i="17"/>
  <c r="O684" i="17"/>
  <c r="P684" i="17"/>
  <c r="Q684" i="17"/>
  <c r="P683" i="17"/>
  <c r="Q683" i="17"/>
  <c r="O683" i="17"/>
  <c r="O682" i="17"/>
  <c r="P682" i="17"/>
  <c r="Q682" i="17"/>
  <c r="O681" i="17"/>
  <c r="Q681" i="17"/>
  <c r="P681" i="17"/>
  <c r="Q680" i="17"/>
  <c r="P680" i="17"/>
  <c r="O680" i="17"/>
  <c r="P679" i="17"/>
  <c r="O679" i="17"/>
  <c r="Q679" i="17"/>
  <c r="O678" i="17"/>
  <c r="Q678" i="17"/>
  <c r="P678" i="17"/>
  <c r="P677" i="17"/>
  <c r="Q677" i="17"/>
  <c r="O677" i="17"/>
  <c r="P676" i="17"/>
  <c r="Q676" i="17"/>
  <c r="O676" i="17"/>
  <c r="O675" i="17"/>
  <c r="P675" i="17"/>
  <c r="Q675" i="17"/>
  <c r="Q674" i="17"/>
  <c r="O674" i="17"/>
  <c r="P674" i="17"/>
  <c r="Q673" i="17"/>
  <c r="P673" i="17"/>
  <c r="O673" i="17"/>
  <c r="P672" i="17"/>
  <c r="Q672" i="17"/>
  <c r="O672" i="17"/>
  <c r="Q671" i="17"/>
  <c r="P671" i="17"/>
  <c r="O671" i="17"/>
  <c r="O670" i="17"/>
  <c r="P670" i="17"/>
  <c r="Q670" i="17"/>
  <c r="Q669" i="17"/>
  <c r="O669" i="17"/>
  <c r="P669" i="17"/>
  <c r="O668" i="17"/>
  <c r="P668" i="17"/>
  <c r="Q668" i="17"/>
  <c r="Q665" i="17"/>
  <c r="P665" i="17"/>
  <c r="O665" i="17"/>
  <c r="Q664" i="17"/>
  <c r="O664" i="17"/>
  <c r="P664" i="17"/>
  <c r="P663" i="17"/>
  <c r="Q663" i="17"/>
  <c r="O663" i="17"/>
  <c r="Q662" i="17"/>
  <c r="O662" i="17"/>
  <c r="P662" i="17"/>
  <c r="Q661" i="17"/>
  <c r="P661" i="17"/>
  <c r="O661" i="17"/>
  <c r="Q660" i="17"/>
  <c r="P660" i="17"/>
  <c r="O660" i="17"/>
  <c r="P659" i="17"/>
  <c r="O659" i="17"/>
  <c r="Q659" i="17"/>
  <c r="O658" i="17"/>
  <c r="P658" i="17"/>
  <c r="Q658" i="17"/>
  <c r="O657" i="17"/>
  <c r="P657" i="17"/>
  <c r="Q657" i="17"/>
  <c r="P656" i="17"/>
  <c r="Q656" i="17"/>
  <c r="O656" i="17"/>
  <c r="P655" i="17"/>
  <c r="O655" i="17"/>
  <c r="Q655" i="17"/>
  <c r="O654" i="17"/>
  <c r="Q654" i="17"/>
  <c r="P654" i="17"/>
  <c r="Q653" i="17"/>
  <c r="P653" i="17"/>
  <c r="O653" i="17"/>
  <c r="O652" i="17"/>
  <c r="Q652" i="17"/>
  <c r="P652" i="17"/>
  <c r="Q651" i="17"/>
  <c r="P651" i="17"/>
  <c r="O651" i="17"/>
  <c r="O650" i="17"/>
  <c r="Q650" i="17"/>
  <c r="P650" i="17"/>
  <c r="P649" i="17"/>
  <c r="O649" i="17"/>
  <c r="Q649" i="17"/>
  <c r="O647" i="17"/>
  <c r="Q647" i="17"/>
  <c r="P647" i="17"/>
  <c r="Q646" i="17"/>
  <c r="P646" i="17"/>
  <c r="O646" i="17"/>
  <c r="Q644" i="17"/>
  <c r="P644" i="17"/>
  <c r="O644" i="17"/>
  <c r="Q643" i="17"/>
  <c r="O643" i="17"/>
  <c r="P643" i="17"/>
  <c r="Q642" i="17"/>
  <c r="O642" i="17"/>
  <c r="P642" i="17"/>
  <c r="O641" i="17"/>
  <c r="P641" i="17"/>
  <c r="Q641" i="17"/>
  <c r="O640" i="17"/>
  <c r="P640" i="17"/>
  <c r="Q640" i="17"/>
  <c r="Q639" i="17"/>
  <c r="P639" i="17"/>
  <c r="O639" i="17"/>
  <c r="P638" i="17"/>
  <c r="O638" i="17"/>
  <c r="Q638" i="17"/>
  <c r="O637" i="17"/>
  <c r="P637" i="17"/>
  <c r="Q637" i="17"/>
  <c r="Q636" i="17"/>
  <c r="P636" i="17"/>
  <c r="O636" i="17"/>
  <c r="O635" i="17"/>
  <c r="Q635" i="17"/>
  <c r="P635" i="17"/>
  <c r="Q634" i="17"/>
  <c r="O634" i="17"/>
  <c r="P634" i="17"/>
  <c r="P633" i="17"/>
  <c r="O633" i="17"/>
  <c r="Q633" i="17"/>
  <c r="P632" i="17"/>
  <c r="Q632" i="17"/>
  <c r="O632" i="17"/>
  <c r="O631" i="17"/>
  <c r="P631" i="17"/>
  <c r="Q631" i="17"/>
  <c r="Q630" i="17"/>
  <c r="P630" i="17"/>
  <c r="O630" i="17"/>
  <c r="O628" i="17"/>
  <c r="Q628" i="17"/>
  <c r="P628" i="17"/>
  <c r="P627" i="17"/>
  <c r="O627" i="17"/>
  <c r="Q627" i="17"/>
  <c r="O626" i="17"/>
  <c r="Q626" i="17"/>
  <c r="P626" i="17"/>
  <c r="P625" i="17"/>
  <c r="Q625" i="17"/>
  <c r="O625" i="17"/>
  <c r="O624" i="17"/>
  <c r="P624" i="17"/>
  <c r="Q624" i="17"/>
  <c r="Q623" i="17"/>
  <c r="P623" i="17"/>
  <c r="O623" i="17"/>
  <c r="P622" i="17"/>
  <c r="Q622" i="17"/>
  <c r="O622" i="17"/>
  <c r="P621" i="17"/>
  <c r="Q621" i="17"/>
  <c r="O621" i="17"/>
  <c r="P620" i="17"/>
  <c r="O620" i="17"/>
  <c r="Q620" i="17"/>
  <c r="O619" i="17"/>
  <c r="Q619" i="17"/>
  <c r="P619" i="17"/>
  <c r="O618" i="17"/>
  <c r="P618" i="17"/>
  <c r="Q618" i="17"/>
  <c r="O825" i="17"/>
  <c r="P825" i="17"/>
  <c r="Q825" i="17"/>
  <c r="O824" i="17"/>
  <c r="P824" i="17"/>
  <c r="Q824" i="17"/>
  <c r="Q823" i="17"/>
  <c r="O823" i="17"/>
  <c r="P823" i="17"/>
  <c r="Q822" i="17"/>
  <c r="P822" i="17"/>
  <c r="O822" i="17"/>
  <c r="Q821" i="17"/>
  <c r="O821" i="17"/>
  <c r="P821" i="17"/>
  <c r="O820" i="17"/>
  <c r="P820" i="17"/>
  <c r="Q820" i="17"/>
  <c r="Q818" i="17"/>
  <c r="O818" i="17"/>
  <c r="P818" i="17"/>
  <c r="Q817" i="17"/>
  <c r="O817" i="17"/>
  <c r="P817" i="17"/>
  <c r="Q816" i="17"/>
  <c r="P816" i="17"/>
  <c r="O816" i="17"/>
  <c r="Q815" i="17"/>
  <c r="P815" i="17"/>
  <c r="O815" i="17"/>
  <c r="P814" i="17"/>
  <c r="Q814" i="17"/>
  <c r="O814" i="17"/>
  <c r="Q813" i="17"/>
  <c r="O813" i="17"/>
  <c r="P813" i="17"/>
  <c r="Q812" i="17"/>
  <c r="P812" i="17"/>
  <c r="O812" i="17"/>
  <c r="O811" i="17"/>
  <c r="Q811" i="17"/>
  <c r="P811" i="17"/>
  <c r="O810" i="17"/>
  <c r="P810" i="17"/>
  <c r="Q810" i="17"/>
  <c r="P809" i="17"/>
  <c r="Q809" i="17"/>
  <c r="O809" i="17"/>
  <c r="P808" i="17"/>
  <c r="Q808" i="17"/>
  <c r="O808" i="17"/>
  <c r="O807" i="17"/>
  <c r="P807" i="17"/>
  <c r="Q807" i="17"/>
  <c r="Q806" i="17"/>
  <c r="P806" i="17"/>
  <c r="O806" i="17"/>
  <c r="Q805" i="17"/>
  <c r="P805" i="17"/>
  <c r="O805" i="17"/>
  <c r="O804" i="17"/>
  <c r="Q804" i="17"/>
  <c r="P804" i="17"/>
  <c r="O803" i="17"/>
  <c r="Q803" i="17"/>
  <c r="P803" i="17"/>
  <c r="P802" i="17"/>
  <c r="Q802" i="17"/>
  <c r="O802" i="17"/>
  <c r="Q801" i="17"/>
  <c r="O801" i="17"/>
  <c r="P801" i="17"/>
  <c r="P799" i="17"/>
  <c r="O799" i="17"/>
  <c r="Q799" i="17"/>
  <c r="P798" i="17"/>
  <c r="O798" i="17"/>
  <c r="Q798" i="17"/>
  <c r="P797" i="17"/>
  <c r="Q797" i="17"/>
  <c r="O797" i="17"/>
  <c r="P796" i="17"/>
  <c r="Q796" i="17"/>
  <c r="O796" i="17"/>
  <c r="O795" i="17"/>
  <c r="Q795" i="17"/>
  <c r="P795" i="17"/>
  <c r="P794" i="17"/>
  <c r="Q794" i="17"/>
  <c r="O794" i="17"/>
  <c r="O793" i="17"/>
  <c r="Q793" i="17"/>
  <c r="P793" i="17"/>
  <c r="P792" i="17"/>
  <c r="O792" i="17"/>
  <c r="Q792" i="17"/>
  <c r="P791" i="17"/>
  <c r="O791" i="17"/>
  <c r="Q791" i="17"/>
  <c r="O790" i="17"/>
  <c r="Q790" i="17"/>
  <c r="P790" i="17"/>
  <c r="O789" i="17"/>
  <c r="Q789" i="17"/>
  <c r="P789" i="17"/>
  <c r="O788" i="17"/>
  <c r="P788" i="17"/>
  <c r="Q788" i="17"/>
  <c r="P787" i="17"/>
  <c r="O787" i="17"/>
  <c r="Q787" i="17"/>
  <c r="P786" i="17"/>
  <c r="Q786" i="17"/>
  <c r="O786" i="17"/>
  <c r="P785" i="17"/>
  <c r="O785" i="17"/>
  <c r="Q785" i="17"/>
  <c r="O784" i="17"/>
  <c r="Q784" i="17"/>
  <c r="P784" i="17"/>
  <c r="O783" i="17"/>
  <c r="Q783" i="17"/>
  <c r="P783" i="17"/>
  <c r="P782" i="17"/>
  <c r="O782" i="17"/>
  <c r="Q782" i="17"/>
  <c r="Q780" i="17"/>
  <c r="O780" i="17"/>
  <c r="P780" i="17"/>
  <c r="O779" i="17"/>
  <c r="Q779" i="17"/>
  <c r="P779" i="17"/>
  <c r="Q778" i="17"/>
  <c r="O778" i="17"/>
  <c r="P778" i="17"/>
  <c r="Q777" i="17"/>
  <c r="O777" i="17"/>
  <c r="P777" i="17"/>
  <c r="Q776" i="17"/>
  <c r="O776" i="17"/>
  <c r="P776" i="17"/>
  <c r="P775" i="17"/>
  <c r="Q775" i="17"/>
  <c r="O775" i="17"/>
  <c r="O774" i="17"/>
  <c r="P774" i="17"/>
  <c r="Q774" i="17"/>
  <c r="Q773" i="17"/>
  <c r="O773" i="17"/>
  <c r="P773" i="17"/>
  <c r="O772" i="17"/>
  <c r="Q772" i="17"/>
  <c r="P772" i="17"/>
  <c r="O771" i="17"/>
  <c r="P771" i="17"/>
  <c r="Q771" i="17"/>
  <c r="P770" i="17"/>
  <c r="O770" i="17"/>
  <c r="Q770" i="17"/>
  <c r="O769" i="17"/>
  <c r="P769" i="17"/>
  <c r="Q769" i="17"/>
  <c r="P768" i="17"/>
  <c r="Q768" i="17"/>
  <c r="O768" i="17"/>
  <c r="O767" i="17"/>
  <c r="P767" i="17"/>
  <c r="Q767" i="17"/>
  <c r="P766" i="17"/>
  <c r="Q766" i="17"/>
  <c r="O766" i="17"/>
  <c r="Q765" i="17"/>
  <c r="P765" i="17"/>
  <c r="O765" i="17"/>
  <c r="O764" i="17"/>
  <c r="P764" i="17"/>
  <c r="Q764" i="17"/>
  <c r="P763" i="17"/>
  <c r="O763" i="17"/>
  <c r="Q763" i="17"/>
  <c r="O761" i="17"/>
  <c r="P761" i="17"/>
  <c r="Q761" i="17"/>
  <c r="Q760" i="17"/>
  <c r="O760" i="17"/>
  <c r="P760" i="17"/>
  <c r="Q759" i="17"/>
  <c r="P759" i="17"/>
  <c r="O759" i="17"/>
  <c r="O758" i="17"/>
  <c r="Q758" i="17"/>
  <c r="P758" i="17"/>
  <c r="Q757" i="17"/>
  <c r="P757" i="17"/>
  <c r="O757" i="17"/>
  <c r="O756" i="17"/>
  <c r="P756" i="17"/>
  <c r="Q756" i="17"/>
  <c r="P755" i="17"/>
  <c r="Q755" i="17"/>
  <c r="O755" i="17"/>
  <c r="Q754" i="17"/>
  <c r="P754" i="17"/>
  <c r="O754" i="17"/>
  <c r="Q753" i="17"/>
  <c r="O753" i="17"/>
  <c r="P753" i="17"/>
  <c r="Q752" i="17"/>
  <c r="O752" i="17"/>
  <c r="P752" i="17"/>
  <c r="O751" i="17"/>
  <c r="Q751" i="17"/>
  <c r="P751" i="17"/>
  <c r="P750" i="17"/>
  <c r="Q750" i="17"/>
  <c r="O750" i="17"/>
  <c r="O749" i="17"/>
  <c r="Q749" i="17"/>
  <c r="P749" i="17"/>
  <c r="O748" i="17"/>
  <c r="Q748" i="17"/>
  <c r="P748" i="17"/>
  <c r="P747" i="17"/>
  <c r="Q747" i="17"/>
  <c r="O747" i="17"/>
  <c r="O746" i="17"/>
  <c r="P746" i="17"/>
  <c r="Q746" i="17"/>
  <c r="Q745" i="17"/>
  <c r="P745" i="17"/>
  <c r="O745" i="17"/>
  <c r="Q744" i="17"/>
  <c r="O744" i="17"/>
  <c r="P744" i="17"/>
  <c r="Q742" i="17"/>
  <c r="O742" i="17"/>
  <c r="P742" i="17"/>
  <c r="P741" i="17"/>
  <c r="Q741" i="17"/>
  <c r="O741" i="17"/>
  <c r="O740" i="17"/>
  <c r="P740" i="17"/>
  <c r="Q740" i="17"/>
  <c r="O739" i="17"/>
  <c r="P739" i="17"/>
  <c r="Q739" i="17"/>
  <c r="O738" i="17"/>
  <c r="Q738" i="17"/>
  <c r="P738" i="17"/>
  <c r="Q737" i="17"/>
  <c r="P737" i="17"/>
  <c r="O737" i="17"/>
  <c r="P736" i="17"/>
  <c r="Q736" i="17"/>
  <c r="O736" i="17"/>
  <c r="O735" i="17"/>
  <c r="Q735" i="17"/>
  <c r="P735" i="17"/>
  <c r="O734" i="17"/>
  <c r="P734" i="17"/>
  <c r="Q734" i="17"/>
  <c r="O733" i="17"/>
  <c r="P733" i="17"/>
  <c r="Q733" i="17"/>
  <c r="O732" i="17"/>
  <c r="Q732" i="17"/>
  <c r="P732" i="17"/>
  <c r="O731" i="17"/>
  <c r="Q731" i="17"/>
  <c r="P731" i="17"/>
  <c r="P730" i="17"/>
  <c r="O730" i="17"/>
  <c r="Q730" i="17"/>
  <c r="Q729" i="17"/>
  <c r="O729" i="17"/>
  <c r="P729" i="17"/>
  <c r="Q728" i="17"/>
  <c r="O728" i="17"/>
  <c r="P728" i="17"/>
  <c r="P727" i="17"/>
  <c r="Q727" i="17"/>
  <c r="O727" i="17"/>
  <c r="Q726" i="17"/>
  <c r="O726" i="17"/>
  <c r="P726" i="17"/>
  <c r="P725" i="17"/>
  <c r="O725" i="17"/>
  <c r="Q725" i="17"/>
  <c r="Q723" i="17"/>
  <c r="P723" i="17"/>
  <c r="O723" i="17"/>
  <c r="P722" i="17"/>
  <c r="Q722" i="17"/>
  <c r="O722" i="17"/>
  <c r="O721" i="17"/>
  <c r="Q721" i="17"/>
  <c r="P721" i="17"/>
  <c r="Q720" i="17"/>
  <c r="P720" i="17"/>
  <c r="O720" i="17"/>
  <c r="Q719" i="17"/>
  <c r="O719" i="17"/>
  <c r="P719" i="17"/>
  <c r="Q718" i="17"/>
  <c r="P718" i="17"/>
  <c r="O718" i="17"/>
  <c r="Q717" i="17"/>
  <c r="O717" i="17"/>
  <c r="P717" i="17"/>
  <c r="O716" i="17"/>
  <c r="Q716" i="17"/>
  <c r="P716" i="17"/>
  <c r="O715" i="17"/>
  <c r="Q715" i="17"/>
  <c r="P715" i="17"/>
  <c r="O714" i="17"/>
  <c r="Q714" i="17"/>
  <c r="P714" i="17"/>
  <c r="Q713" i="17"/>
  <c r="P713" i="17"/>
  <c r="O713" i="17"/>
  <c r="P712" i="17"/>
  <c r="Q712" i="17"/>
  <c r="O712" i="17"/>
  <c r="O687" i="17"/>
  <c r="P687" i="17"/>
  <c r="Q687" i="17"/>
  <c r="Q685" i="17"/>
  <c r="O685" i="17"/>
  <c r="P685" i="17"/>
  <c r="P666" i="17"/>
  <c r="O666" i="17"/>
  <c r="Q666" i="17"/>
  <c r="P645" i="17"/>
  <c r="Q645" i="17"/>
  <c r="O645" i="17"/>
  <c r="O617" i="17"/>
  <c r="Q617" i="17"/>
  <c r="P617" i="17"/>
  <c r="O616" i="17"/>
  <c r="P616" i="17"/>
  <c r="Q616" i="17"/>
  <c r="O615" i="17"/>
  <c r="Q615" i="17"/>
  <c r="P615" i="17"/>
  <c r="P614" i="17"/>
  <c r="Q614" i="17"/>
  <c r="O614" i="17"/>
  <c r="P613" i="17"/>
  <c r="O613" i="17"/>
  <c r="Q613" i="17"/>
  <c r="P612" i="17"/>
  <c r="Q612" i="17"/>
  <c r="O612" i="17"/>
  <c r="O611" i="17"/>
  <c r="Q611" i="17"/>
  <c r="P611" i="17"/>
  <c r="Q609" i="17"/>
  <c r="P609" i="17"/>
  <c r="O609" i="17"/>
  <c r="Q608" i="17"/>
  <c r="O608" i="17"/>
  <c r="P608" i="17"/>
  <c r="O607" i="17"/>
  <c r="P607" i="17"/>
  <c r="Q607" i="17"/>
  <c r="O606" i="17"/>
  <c r="P606" i="17"/>
  <c r="Q606" i="17"/>
  <c r="P605" i="17"/>
  <c r="O605" i="17"/>
  <c r="Q605" i="17"/>
  <c r="P604" i="17"/>
  <c r="Q604" i="17"/>
  <c r="O604" i="17"/>
  <c r="O603" i="17"/>
  <c r="Q603" i="17"/>
  <c r="P603" i="17"/>
  <c r="O602" i="17"/>
  <c r="P602" i="17"/>
  <c r="Q602" i="17"/>
  <c r="Q601" i="17"/>
  <c r="P601" i="17"/>
  <c r="O601" i="17"/>
  <c r="Q600" i="17"/>
  <c r="P600" i="17"/>
  <c r="O600" i="17"/>
  <c r="P599" i="17"/>
  <c r="Q599" i="17"/>
  <c r="O599" i="17"/>
  <c r="Q598" i="17"/>
  <c r="O598" i="17"/>
  <c r="P598" i="17"/>
  <c r="Q597" i="17"/>
  <c r="P597" i="17"/>
  <c r="O597" i="17"/>
  <c r="O596" i="17"/>
  <c r="Q596" i="17"/>
  <c r="P596" i="17"/>
  <c r="P595" i="17"/>
  <c r="Q595" i="17"/>
  <c r="O595" i="17"/>
  <c r="Q594" i="17"/>
  <c r="O594" i="17"/>
  <c r="P594" i="17"/>
  <c r="Q593" i="17"/>
  <c r="P593" i="17"/>
  <c r="O593" i="17"/>
  <c r="Q592" i="17"/>
  <c r="O592" i="17"/>
  <c r="P592" i="17"/>
  <c r="Q590" i="17"/>
  <c r="P590" i="17"/>
  <c r="O590" i="17"/>
  <c r="Q589" i="17"/>
  <c r="O589" i="17"/>
  <c r="P589" i="17"/>
  <c r="O588" i="17"/>
  <c r="P588" i="17"/>
  <c r="Q588" i="17"/>
  <c r="O587" i="17"/>
  <c r="Q587" i="17"/>
  <c r="P587" i="17"/>
  <c r="P586" i="17"/>
  <c r="Q586" i="17"/>
  <c r="O586" i="17"/>
  <c r="Q585" i="17"/>
  <c r="P585" i="17"/>
  <c r="O585" i="17"/>
  <c r="Q584" i="17"/>
  <c r="O584" i="17"/>
  <c r="P584" i="17"/>
  <c r="Q583" i="17"/>
  <c r="O583" i="17"/>
  <c r="P583" i="17"/>
  <c r="O582" i="17"/>
  <c r="Q582" i="17"/>
  <c r="P582" i="17"/>
  <c r="Q581" i="17"/>
  <c r="P581" i="17"/>
  <c r="O581" i="17"/>
  <c r="O580" i="17"/>
  <c r="Q580" i="17"/>
  <c r="P580" i="17"/>
  <c r="O579" i="17"/>
  <c r="P579" i="17"/>
  <c r="Q579" i="17"/>
  <c r="P578" i="17"/>
  <c r="Q578" i="17"/>
  <c r="O578" i="17"/>
  <c r="P577" i="17"/>
  <c r="O577" i="17"/>
  <c r="Q577" i="17"/>
  <c r="Q576" i="17"/>
  <c r="P576" i="17"/>
  <c r="O576" i="17"/>
  <c r="O575" i="17"/>
  <c r="Q575" i="17"/>
  <c r="P575" i="17"/>
  <c r="P574" i="17"/>
  <c r="O574" i="17"/>
  <c r="Q574" i="17"/>
  <c r="P573" i="17"/>
  <c r="O573" i="17"/>
  <c r="Q573" i="17"/>
  <c r="O571" i="17"/>
  <c r="P571" i="17"/>
  <c r="Q571" i="17"/>
  <c r="Q570" i="17"/>
  <c r="P570" i="17"/>
  <c r="O570" i="17"/>
  <c r="Q569" i="17"/>
  <c r="O569" i="17"/>
  <c r="P569" i="17"/>
  <c r="Q568" i="17"/>
  <c r="P568" i="17"/>
  <c r="O568" i="17"/>
  <c r="O567" i="17"/>
  <c r="Q567" i="17"/>
  <c r="P567" i="17"/>
  <c r="P566" i="17"/>
  <c r="Q566" i="17"/>
  <c r="O566" i="17"/>
  <c r="O565" i="17"/>
  <c r="P565" i="17"/>
  <c r="Q565" i="17"/>
  <c r="O564" i="17"/>
  <c r="P564" i="17"/>
  <c r="Q564" i="17"/>
  <c r="Q563" i="17"/>
  <c r="P563" i="17"/>
  <c r="O563" i="17"/>
  <c r="O562" i="17"/>
  <c r="Q562" i="17"/>
  <c r="P562" i="17"/>
  <c r="Q561" i="17"/>
  <c r="P561" i="17"/>
  <c r="O561" i="17"/>
  <c r="O560" i="17"/>
  <c r="P560" i="17"/>
  <c r="Q560" i="17"/>
  <c r="Q559" i="17"/>
  <c r="P559" i="17"/>
  <c r="O559" i="17"/>
  <c r="Q558" i="17"/>
  <c r="P558" i="17"/>
  <c r="O558" i="17"/>
  <c r="Q557" i="17"/>
  <c r="P557" i="17"/>
  <c r="O557" i="17"/>
  <c r="Q556" i="17"/>
  <c r="O556" i="17"/>
  <c r="P556" i="17"/>
  <c r="P555" i="17"/>
  <c r="O555" i="17"/>
  <c r="Q555" i="17"/>
  <c r="Q554" i="17"/>
  <c r="P554" i="17"/>
  <c r="O554" i="17"/>
  <c r="O552" i="17"/>
  <c r="P552" i="17"/>
  <c r="Q552" i="17"/>
  <c r="P551" i="17"/>
  <c r="Q551" i="17"/>
  <c r="O551" i="17"/>
  <c r="O550" i="17"/>
  <c r="Q550" i="17"/>
  <c r="P550" i="17"/>
  <c r="Q549" i="17"/>
  <c r="P549" i="17"/>
  <c r="O549" i="17"/>
  <c r="Q548" i="17"/>
  <c r="P548" i="17"/>
  <c r="O548" i="17"/>
  <c r="Q547" i="17"/>
  <c r="P547" i="17"/>
  <c r="O547" i="17"/>
  <c r="P546" i="17"/>
  <c r="Q546" i="17"/>
  <c r="O546" i="17"/>
  <c r="Q545" i="17"/>
  <c r="O545" i="17"/>
  <c r="P545" i="17"/>
  <c r="P544" i="17"/>
  <c r="O544" i="17"/>
  <c r="Q544" i="17"/>
  <c r="O543" i="17"/>
  <c r="P543" i="17"/>
  <c r="Q543" i="17"/>
  <c r="P542" i="17"/>
  <c r="Q542" i="17"/>
  <c r="O542" i="17"/>
  <c r="O541" i="17"/>
  <c r="Q541" i="17"/>
  <c r="P541" i="17"/>
  <c r="Q540" i="17"/>
  <c r="O540" i="17"/>
  <c r="P540" i="17"/>
  <c r="O539" i="17"/>
  <c r="Q539" i="17"/>
  <c r="P539" i="17"/>
  <c r="O538" i="17"/>
  <c r="P538" i="17"/>
  <c r="Q538" i="17"/>
  <c r="O537" i="17"/>
  <c r="Q537" i="17"/>
  <c r="P537" i="17"/>
  <c r="Q536" i="17"/>
  <c r="P536" i="17"/>
  <c r="O536" i="17"/>
  <c r="Q535" i="17"/>
  <c r="O535" i="17"/>
  <c r="P535" i="17"/>
  <c r="O533" i="17"/>
  <c r="Q533" i="17"/>
  <c r="P533" i="17"/>
  <c r="O532" i="17"/>
  <c r="Q532" i="17"/>
  <c r="P532" i="17"/>
  <c r="Q531" i="17"/>
  <c r="P531" i="17"/>
  <c r="O531" i="17"/>
  <c r="P530" i="17"/>
  <c r="Q530" i="17"/>
  <c r="O530" i="17"/>
  <c r="P529" i="17"/>
  <c r="Q529" i="17"/>
  <c r="O529" i="17"/>
  <c r="P528" i="17"/>
  <c r="Q528" i="17"/>
  <c r="O528" i="17"/>
  <c r="Q527" i="17"/>
  <c r="O527" i="17"/>
  <c r="P527" i="17"/>
  <c r="Q526" i="17"/>
  <c r="P526" i="17"/>
  <c r="O526" i="17"/>
  <c r="O525" i="17"/>
  <c r="Q525" i="17"/>
  <c r="P525" i="17"/>
  <c r="Q524" i="17"/>
  <c r="O524" i="17"/>
  <c r="P524" i="17"/>
  <c r="O523" i="17"/>
  <c r="Q523" i="17"/>
  <c r="P523" i="17"/>
  <c r="P522" i="17"/>
  <c r="O522" i="17"/>
  <c r="Q522" i="17"/>
  <c r="O521" i="17"/>
  <c r="P521" i="17"/>
  <c r="Q521" i="17"/>
  <c r="P520" i="17"/>
  <c r="Q520" i="17"/>
  <c r="O520" i="17"/>
  <c r="O519" i="17"/>
  <c r="P519" i="17"/>
  <c r="Q519" i="17"/>
  <c r="O518" i="17"/>
  <c r="P518" i="17"/>
  <c r="Q518" i="17"/>
  <c r="Q517" i="17"/>
  <c r="P517" i="17"/>
  <c r="O517" i="17"/>
  <c r="Q516" i="17"/>
  <c r="P516" i="17"/>
  <c r="O516" i="17"/>
  <c r="O514" i="17"/>
  <c r="Q514" i="17"/>
  <c r="P514" i="17"/>
  <c r="O513" i="17"/>
  <c r="Q513" i="17"/>
  <c r="P513" i="17"/>
  <c r="P512" i="17"/>
  <c r="O512" i="17"/>
  <c r="Q512" i="17"/>
  <c r="O511" i="17"/>
  <c r="P511" i="17"/>
  <c r="Q511" i="17"/>
  <c r="P510" i="17"/>
  <c r="Q510" i="17"/>
  <c r="O510" i="17"/>
  <c r="Q509" i="17"/>
  <c r="O509" i="17"/>
  <c r="P509" i="17"/>
  <c r="O508" i="17"/>
  <c r="P508" i="17"/>
  <c r="Q508" i="17"/>
  <c r="P507" i="17"/>
  <c r="Q507" i="17"/>
  <c r="O507" i="17"/>
  <c r="O506" i="17"/>
  <c r="P506" i="17"/>
  <c r="Q506" i="17"/>
  <c r="Q505" i="17"/>
  <c r="O505" i="17"/>
  <c r="P505" i="17"/>
  <c r="O504" i="17"/>
  <c r="P504" i="17"/>
  <c r="Q504" i="17"/>
  <c r="O503" i="17"/>
  <c r="P503" i="17"/>
  <c r="Q503" i="17"/>
  <c r="O502" i="17"/>
  <c r="P502" i="17"/>
  <c r="Q502" i="17"/>
  <c r="P501" i="17"/>
  <c r="Q501" i="17"/>
  <c r="O501" i="17"/>
  <c r="Q500" i="17"/>
  <c r="O500" i="17"/>
  <c r="P500" i="17"/>
  <c r="P499" i="17"/>
  <c r="Q499" i="17"/>
  <c r="O499" i="17"/>
  <c r="Q498" i="17"/>
  <c r="P498" i="17"/>
  <c r="O498" i="17"/>
  <c r="P497" i="17"/>
  <c r="Q497" i="17"/>
  <c r="O497" i="17"/>
  <c r="O495" i="17"/>
  <c r="Q495" i="17"/>
  <c r="P495" i="17"/>
  <c r="Q494" i="17"/>
  <c r="O494" i="17"/>
  <c r="P494" i="17"/>
  <c r="O493" i="17"/>
  <c r="P493" i="17"/>
  <c r="Q493" i="17"/>
  <c r="P492" i="17"/>
  <c r="Q492" i="17"/>
  <c r="O492" i="17"/>
  <c r="Q491" i="17"/>
  <c r="O491" i="17"/>
  <c r="P491" i="17"/>
  <c r="P490" i="17"/>
  <c r="O490" i="17"/>
  <c r="Q490" i="17"/>
  <c r="Q489" i="17"/>
  <c r="P489" i="17"/>
  <c r="O489" i="17"/>
  <c r="O488" i="17"/>
  <c r="Q488" i="17"/>
  <c r="P488" i="17"/>
  <c r="Q487" i="17"/>
  <c r="O487" i="17"/>
  <c r="P487" i="17"/>
  <c r="O486" i="17"/>
  <c r="Q486" i="17"/>
  <c r="P486" i="17"/>
  <c r="O485" i="17"/>
  <c r="Q485" i="17"/>
  <c r="P485" i="17"/>
  <c r="O484" i="17"/>
  <c r="Q484" i="17"/>
  <c r="P484" i="17"/>
  <c r="O483" i="17"/>
  <c r="Q483" i="17"/>
  <c r="P483" i="17"/>
  <c r="P482" i="17"/>
  <c r="Q482" i="17"/>
  <c r="O482" i="17"/>
  <c r="P481" i="17"/>
  <c r="O481" i="17"/>
  <c r="Q481" i="17"/>
  <c r="Q480" i="17"/>
  <c r="P480" i="17"/>
  <c r="O480" i="17"/>
  <c r="O479" i="17"/>
  <c r="P479" i="17"/>
  <c r="Q479" i="17"/>
  <c r="Q478" i="17"/>
  <c r="P478" i="17"/>
  <c r="O478" i="17"/>
  <c r="O476" i="17"/>
  <c r="Q476" i="17"/>
  <c r="P476" i="17"/>
  <c r="O475" i="17"/>
  <c r="Q475" i="17"/>
  <c r="P475" i="17"/>
  <c r="O474" i="17"/>
  <c r="Q474" i="17"/>
  <c r="P474" i="17"/>
  <c r="Q473" i="17"/>
  <c r="P473" i="17"/>
  <c r="O473" i="17"/>
  <c r="P472" i="17"/>
  <c r="O472" i="17"/>
  <c r="Q472" i="17"/>
  <c r="Q471" i="17"/>
  <c r="P471" i="17"/>
  <c r="O471" i="17"/>
  <c r="P470" i="17"/>
  <c r="O470" i="17"/>
  <c r="Q470" i="17"/>
  <c r="P469" i="17"/>
  <c r="O469" i="17"/>
  <c r="Q469" i="17"/>
  <c r="Q468" i="17"/>
  <c r="P468" i="17"/>
  <c r="O468" i="17"/>
  <c r="Q467" i="17"/>
  <c r="P467" i="17"/>
  <c r="O467" i="17"/>
  <c r="O466" i="17"/>
  <c r="P466" i="17"/>
  <c r="Q466" i="17"/>
  <c r="Q465" i="17"/>
  <c r="P465" i="17"/>
  <c r="O465" i="17"/>
  <c r="O464" i="17"/>
  <c r="P464" i="17"/>
  <c r="Q464" i="17"/>
  <c r="P463" i="17"/>
  <c r="Q463" i="17"/>
  <c r="O463" i="17"/>
  <c r="P462" i="17"/>
  <c r="Q462" i="17"/>
  <c r="O462" i="17"/>
  <c r="O461" i="17"/>
  <c r="Q461" i="17"/>
  <c r="P461" i="17"/>
  <c r="O460" i="17"/>
  <c r="P460" i="17"/>
  <c r="Q460" i="17"/>
  <c r="O459" i="17"/>
  <c r="P459" i="17"/>
  <c r="Q459" i="17"/>
  <c r="O457" i="17"/>
  <c r="P457" i="17"/>
  <c r="Q457" i="17"/>
  <c r="Q456" i="17"/>
  <c r="P456" i="17"/>
  <c r="O456" i="17"/>
  <c r="P455" i="17"/>
  <c r="O455" i="17"/>
  <c r="Q455" i="17"/>
  <c r="P454" i="17"/>
  <c r="Q454" i="17"/>
  <c r="O454" i="17"/>
  <c r="Q453" i="17"/>
  <c r="P453" i="17"/>
  <c r="O453" i="17"/>
  <c r="Q452" i="17"/>
  <c r="P452" i="17"/>
  <c r="O452" i="17"/>
  <c r="P451" i="17"/>
  <c r="O451" i="17"/>
  <c r="Q451" i="17"/>
  <c r="O450" i="17"/>
  <c r="P450" i="17"/>
  <c r="Q450" i="17"/>
  <c r="O449" i="17"/>
  <c r="P449" i="17"/>
  <c r="Q449" i="17"/>
  <c r="O448" i="17"/>
  <c r="P448" i="17"/>
  <c r="Q448" i="17"/>
  <c r="P447" i="17"/>
  <c r="Q447" i="17"/>
  <c r="O447" i="17"/>
  <c r="P446" i="17"/>
  <c r="Q446" i="17"/>
  <c r="O446" i="17"/>
  <c r="P445" i="17"/>
  <c r="O445" i="17"/>
  <c r="Q445" i="17"/>
  <c r="O444" i="17"/>
  <c r="P444" i="17"/>
  <c r="Q444" i="17"/>
  <c r="O443" i="17"/>
  <c r="P443" i="17"/>
  <c r="Q443" i="17"/>
  <c r="O442" i="17"/>
  <c r="Q442" i="17"/>
  <c r="P442" i="17"/>
  <c r="P441" i="17"/>
  <c r="Q441" i="17"/>
  <c r="O441" i="17"/>
  <c r="O440" i="17"/>
  <c r="P440" i="17"/>
  <c r="Q440" i="17"/>
  <c r="O438" i="17"/>
  <c r="P438" i="17"/>
  <c r="Q438" i="17"/>
  <c r="O437" i="17"/>
  <c r="Q437" i="17"/>
  <c r="P437" i="17"/>
  <c r="O436" i="17"/>
  <c r="P436" i="17"/>
  <c r="Q436" i="17"/>
  <c r="P435" i="17"/>
  <c r="O435" i="17"/>
  <c r="Q435" i="17"/>
  <c r="Q434" i="17"/>
  <c r="P434" i="17"/>
  <c r="O434" i="17"/>
  <c r="P433" i="17"/>
  <c r="O433" i="17"/>
  <c r="Q433" i="17"/>
  <c r="Q432" i="17"/>
  <c r="P432" i="17"/>
  <c r="O432" i="17"/>
  <c r="Q431" i="17"/>
  <c r="P431" i="17"/>
  <c r="O431" i="17"/>
  <c r="Q430" i="17"/>
  <c r="P430" i="17"/>
  <c r="O430" i="17"/>
  <c r="O429" i="17"/>
  <c r="P429" i="17"/>
  <c r="Q429" i="17"/>
  <c r="O428" i="17"/>
  <c r="Q428" i="17"/>
  <c r="P428" i="17"/>
  <c r="Q427" i="17"/>
  <c r="P427" i="17"/>
  <c r="O427" i="17"/>
  <c r="Q426" i="17"/>
  <c r="P426" i="17"/>
  <c r="O426" i="17"/>
  <c r="Q425" i="17"/>
  <c r="P425" i="17"/>
  <c r="O425" i="17"/>
  <c r="Q424" i="17"/>
  <c r="P424" i="17"/>
  <c r="O424" i="17"/>
  <c r="Q423" i="17"/>
  <c r="P423" i="17"/>
  <c r="O423" i="17"/>
  <c r="Q422" i="17"/>
  <c r="P422" i="17"/>
  <c r="O422" i="17"/>
  <c r="Q421" i="17"/>
  <c r="P421" i="17"/>
  <c r="O421" i="17"/>
  <c r="P419" i="17"/>
  <c r="O419" i="17"/>
  <c r="Q419" i="17"/>
  <c r="Q418" i="17"/>
  <c r="O418" i="17"/>
  <c r="P418" i="17"/>
  <c r="O417" i="17"/>
  <c r="P417" i="17"/>
  <c r="Q417" i="17"/>
  <c r="P416" i="17"/>
  <c r="Q416" i="17"/>
  <c r="O416" i="17"/>
  <c r="O415" i="17"/>
  <c r="P415" i="17"/>
  <c r="Q415" i="17"/>
  <c r="Q414" i="17"/>
  <c r="P414" i="17"/>
  <c r="O414" i="17"/>
  <c r="O413" i="17"/>
  <c r="P413" i="17"/>
  <c r="Q413" i="17"/>
  <c r="O412" i="17"/>
  <c r="P412" i="17"/>
  <c r="Q412" i="17"/>
  <c r="Q411" i="17"/>
  <c r="P411" i="17"/>
  <c r="O411" i="17"/>
  <c r="Q410" i="17"/>
  <c r="P410" i="17"/>
  <c r="O410" i="17"/>
  <c r="Q409" i="17"/>
  <c r="P409" i="17"/>
  <c r="O409" i="17"/>
  <c r="O408" i="17"/>
  <c r="Q408" i="17"/>
  <c r="P408" i="17"/>
  <c r="Q239" i="17"/>
  <c r="O239" i="17"/>
  <c r="P239" i="17"/>
  <c r="Q238" i="17"/>
  <c r="O238" i="17"/>
  <c r="P238" i="17"/>
  <c r="O236" i="17"/>
  <c r="Q236" i="17"/>
  <c r="P236" i="17"/>
  <c r="O234" i="17"/>
  <c r="P234" i="17"/>
  <c r="Q234" i="17"/>
  <c r="O231" i="17"/>
  <c r="P231" i="17"/>
  <c r="Q231" i="17"/>
  <c r="Q407" i="17"/>
  <c r="O407" i="17"/>
  <c r="P407" i="17"/>
  <c r="Q406" i="17"/>
  <c r="P406" i="17"/>
  <c r="O406" i="17"/>
  <c r="O405" i="17"/>
  <c r="Q405" i="17"/>
  <c r="P405" i="17"/>
  <c r="Q404" i="17"/>
  <c r="P404" i="17"/>
  <c r="O404" i="17"/>
  <c r="O403" i="17"/>
  <c r="Q403" i="17"/>
  <c r="P403" i="17"/>
  <c r="Q402" i="17"/>
  <c r="O402" i="17"/>
  <c r="P402" i="17"/>
  <c r="P400" i="17"/>
  <c r="O400" i="17"/>
  <c r="Q400" i="17"/>
  <c r="Q399" i="17"/>
  <c r="O399" i="17"/>
  <c r="P399" i="17"/>
  <c r="O398" i="17"/>
  <c r="P398" i="17"/>
  <c r="Q398" i="17"/>
  <c r="Q397" i="17"/>
  <c r="P397" i="17"/>
  <c r="O397" i="17"/>
  <c r="P396" i="17"/>
  <c r="O396" i="17"/>
  <c r="Q396" i="17"/>
  <c r="Q395" i="17"/>
  <c r="O395" i="17"/>
  <c r="P395" i="17"/>
  <c r="O394" i="17"/>
  <c r="P394" i="17"/>
  <c r="Q394" i="17"/>
  <c r="P393" i="17"/>
  <c r="Q393" i="17"/>
  <c r="O393" i="17"/>
  <c r="Q392" i="17"/>
  <c r="P392" i="17"/>
  <c r="O392" i="17"/>
  <c r="Q391" i="17"/>
  <c r="O391" i="17"/>
  <c r="P391" i="17"/>
  <c r="O390" i="17"/>
  <c r="P390" i="17"/>
  <c r="Q390" i="17"/>
  <c r="Q389" i="17"/>
  <c r="O389" i="17"/>
  <c r="P389" i="17"/>
  <c r="P388" i="17"/>
  <c r="Q388" i="17"/>
  <c r="O388" i="17"/>
  <c r="O387" i="17"/>
  <c r="P387" i="17"/>
  <c r="Q387" i="17"/>
  <c r="O386" i="17"/>
  <c r="P386" i="17"/>
  <c r="Q386" i="17"/>
  <c r="Q385" i="17"/>
  <c r="P385" i="17"/>
  <c r="O385" i="17"/>
  <c r="Q384" i="17"/>
  <c r="P384" i="17"/>
  <c r="O384" i="17"/>
  <c r="Q383" i="17"/>
  <c r="P383" i="17"/>
  <c r="O383" i="17"/>
  <c r="Q381" i="17"/>
  <c r="P381" i="17"/>
  <c r="O381" i="17"/>
  <c r="Q380" i="17"/>
  <c r="P380" i="17"/>
  <c r="O380" i="17"/>
  <c r="Q379" i="17"/>
  <c r="P379" i="17"/>
  <c r="O379" i="17"/>
  <c r="Q378" i="17"/>
  <c r="P378" i="17"/>
  <c r="O378" i="17"/>
  <c r="O377" i="17"/>
  <c r="Q377" i="17"/>
  <c r="P377" i="17"/>
  <c r="Q376" i="17"/>
  <c r="O376" i="17"/>
  <c r="P376" i="17"/>
  <c r="O375" i="17"/>
  <c r="P375" i="17"/>
  <c r="Q375" i="17"/>
  <c r="O374" i="17"/>
  <c r="P374" i="17"/>
  <c r="Q374" i="17"/>
  <c r="Q373" i="17"/>
  <c r="O373" i="17"/>
  <c r="P373" i="17"/>
  <c r="O372" i="17"/>
  <c r="P372" i="17"/>
  <c r="Q372" i="17"/>
  <c r="Q371" i="17"/>
  <c r="O371" i="17"/>
  <c r="P371" i="17"/>
  <c r="O370" i="17"/>
  <c r="P370" i="17"/>
  <c r="Q370" i="17"/>
  <c r="O369" i="17"/>
  <c r="Q369" i="17"/>
  <c r="P369" i="17"/>
  <c r="Q368" i="17"/>
  <c r="O368" i="17"/>
  <c r="P368" i="17"/>
  <c r="O367" i="17"/>
  <c r="P367" i="17"/>
  <c r="Q367" i="17"/>
  <c r="O366" i="17"/>
  <c r="P366" i="17"/>
  <c r="Q366" i="17"/>
  <c r="Q365" i="17"/>
  <c r="P365" i="17"/>
  <c r="O365" i="17"/>
  <c r="Q364" i="17"/>
  <c r="P364" i="17"/>
  <c r="O364" i="17"/>
  <c r="Q362" i="17"/>
  <c r="P362" i="17"/>
  <c r="O362" i="17"/>
  <c r="P361" i="17"/>
  <c r="Q361" i="17"/>
  <c r="O361" i="17"/>
  <c r="Q360" i="17"/>
  <c r="P360" i="17"/>
  <c r="O360" i="17"/>
  <c r="P359" i="17"/>
  <c r="O359" i="17"/>
  <c r="Q359" i="17"/>
  <c r="O358" i="17"/>
  <c r="P358" i="17"/>
  <c r="Q358" i="17"/>
  <c r="P357" i="17"/>
  <c r="Q357" i="17"/>
  <c r="O357" i="17"/>
  <c r="O356" i="17"/>
  <c r="Q356" i="17"/>
  <c r="P356" i="17"/>
  <c r="Q355" i="17"/>
  <c r="P355" i="17"/>
  <c r="O355" i="17"/>
  <c r="O354" i="17"/>
  <c r="Q354" i="17"/>
  <c r="P354" i="17"/>
  <c r="Q353" i="17"/>
  <c r="O353" i="17"/>
  <c r="P353" i="17"/>
  <c r="Q352" i="17"/>
  <c r="P352" i="17"/>
  <c r="O352" i="17"/>
  <c r="O351" i="17"/>
  <c r="P351" i="17"/>
  <c r="Q351" i="17"/>
  <c r="O350" i="17"/>
  <c r="P350" i="17"/>
  <c r="Q350" i="17"/>
  <c r="O349" i="17"/>
  <c r="P349" i="17"/>
  <c r="Q349" i="17"/>
  <c r="P348" i="17"/>
  <c r="Q348" i="17"/>
  <c r="O348" i="17"/>
  <c r="O347" i="17"/>
  <c r="P347" i="17"/>
  <c r="Q347" i="17"/>
  <c r="O346" i="17"/>
  <c r="P346" i="17"/>
  <c r="Q346" i="17"/>
  <c r="P345" i="17"/>
  <c r="Q345" i="17"/>
  <c r="O345" i="17"/>
  <c r="O343" i="17"/>
  <c r="P343" i="17"/>
  <c r="Q343" i="17"/>
  <c r="Q342" i="17"/>
  <c r="O342" i="17"/>
  <c r="P342" i="17"/>
  <c r="Q341" i="17"/>
  <c r="P341" i="17"/>
  <c r="O341" i="17"/>
  <c r="P340" i="17"/>
  <c r="O340" i="17"/>
  <c r="Q340" i="17"/>
  <c r="Q339" i="17"/>
  <c r="P339" i="17"/>
  <c r="O339" i="17"/>
  <c r="Q338" i="17"/>
  <c r="P338" i="17"/>
  <c r="O338" i="17"/>
  <c r="Q337" i="17"/>
  <c r="P337" i="17"/>
  <c r="O337" i="17"/>
  <c r="Q336" i="17"/>
  <c r="P336" i="17"/>
  <c r="O336" i="17"/>
  <c r="O335" i="17"/>
  <c r="P335" i="17"/>
  <c r="Q335" i="17"/>
  <c r="Q334" i="17"/>
  <c r="O334" i="17"/>
  <c r="P334" i="17"/>
  <c r="O333" i="17"/>
  <c r="P333" i="17"/>
  <c r="Q333" i="17"/>
  <c r="O332" i="17"/>
  <c r="Q332" i="17"/>
  <c r="P332" i="17"/>
  <c r="Q331" i="17"/>
  <c r="O331" i="17"/>
  <c r="P331" i="17"/>
  <c r="O330" i="17"/>
  <c r="P330" i="17"/>
  <c r="Q330" i="17"/>
  <c r="Q329" i="17"/>
  <c r="P329" i="17"/>
  <c r="O329" i="17"/>
  <c r="Q328" i="17"/>
  <c r="P328" i="17"/>
  <c r="O328" i="17"/>
  <c r="Q327" i="17"/>
  <c r="P327" i="17"/>
  <c r="O327" i="17"/>
  <c r="P326" i="17"/>
  <c r="O326" i="17"/>
  <c r="Q326" i="17"/>
  <c r="P324" i="17"/>
  <c r="Q324" i="17"/>
  <c r="O324" i="17"/>
  <c r="P323" i="17"/>
  <c r="Q323" i="17"/>
  <c r="O323" i="17"/>
  <c r="Q322" i="17"/>
  <c r="P322" i="17"/>
  <c r="O322" i="17"/>
  <c r="O321" i="17"/>
  <c r="Q321" i="17"/>
  <c r="P321" i="17"/>
  <c r="Q320" i="17"/>
  <c r="P320" i="17"/>
  <c r="O320" i="17"/>
  <c r="Q319" i="17"/>
  <c r="P319" i="17"/>
  <c r="O319" i="17"/>
  <c r="Q318" i="17"/>
  <c r="P318" i="17"/>
  <c r="O318" i="17"/>
  <c r="Q317" i="17"/>
  <c r="O317" i="17"/>
  <c r="P317" i="17"/>
  <c r="P316" i="17"/>
  <c r="O316" i="17"/>
  <c r="Q316" i="17"/>
  <c r="Q315" i="17"/>
  <c r="P315" i="17"/>
  <c r="O315" i="17"/>
  <c r="Q314" i="17"/>
  <c r="P314" i="17"/>
  <c r="O314" i="17"/>
  <c r="Q313" i="17"/>
  <c r="P313" i="17"/>
  <c r="O313" i="17"/>
  <c r="O312" i="17"/>
  <c r="P312" i="17"/>
  <c r="Q312" i="17"/>
  <c r="P311" i="17"/>
  <c r="Q311" i="17"/>
  <c r="O311" i="17"/>
  <c r="O310" i="17"/>
  <c r="P310" i="17"/>
  <c r="Q310" i="17"/>
  <c r="P309" i="17"/>
  <c r="O309" i="17"/>
  <c r="Q309" i="17"/>
  <c r="Q308" i="17"/>
  <c r="O308" i="17"/>
  <c r="P308" i="17"/>
  <c r="O307" i="17"/>
  <c r="P307" i="17"/>
  <c r="Q307" i="17"/>
  <c r="Q305" i="17"/>
  <c r="P305" i="17"/>
  <c r="O305" i="17"/>
  <c r="Q304" i="17"/>
  <c r="P304" i="17"/>
  <c r="O304" i="17"/>
  <c r="P303" i="17"/>
  <c r="O303" i="17"/>
  <c r="Q303" i="17"/>
  <c r="Q302" i="17"/>
  <c r="O302" i="17"/>
  <c r="P302" i="17"/>
  <c r="Q301" i="17"/>
  <c r="P301" i="17"/>
  <c r="O301" i="17"/>
  <c r="Q300" i="17"/>
  <c r="O300" i="17"/>
  <c r="P300" i="17"/>
  <c r="Q299" i="17"/>
  <c r="O299" i="17"/>
  <c r="P299" i="17"/>
  <c r="Q298" i="17"/>
  <c r="O298" i="17"/>
  <c r="P298" i="17"/>
  <c r="O297" i="17"/>
  <c r="Q297" i="17"/>
  <c r="P297" i="17"/>
  <c r="Q296" i="17"/>
  <c r="P296" i="17"/>
  <c r="O296" i="17"/>
  <c r="P295" i="17"/>
  <c r="O295" i="17"/>
  <c r="Q295" i="17"/>
  <c r="Q294" i="17"/>
  <c r="O294" i="17"/>
  <c r="P294" i="17"/>
  <c r="O293" i="17"/>
  <c r="Q293" i="17"/>
  <c r="P293" i="17"/>
  <c r="P292" i="17"/>
  <c r="O292" i="17"/>
  <c r="Q292" i="17"/>
  <c r="O291" i="17"/>
  <c r="P291" i="17"/>
  <c r="Q291" i="17"/>
  <c r="Q290" i="17"/>
  <c r="O290" i="17"/>
  <c r="P290" i="17"/>
  <c r="P289" i="17"/>
  <c r="O289" i="17"/>
  <c r="Q289" i="17"/>
  <c r="Q288" i="17"/>
  <c r="O288" i="17"/>
  <c r="P288" i="17"/>
  <c r="P286" i="17"/>
  <c r="O286" i="17"/>
  <c r="Q286" i="17"/>
  <c r="Q285" i="17"/>
  <c r="P285" i="17"/>
  <c r="O285" i="17"/>
  <c r="P284" i="17"/>
  <c r="O284" i="17"/>
  <c r="Q284" i="17"/>
  <c r="Q283" i="17"/>
  <c r="P283" i="17"/>
  <c r="O283" i="17"/>
  <c r="P282" i="17"/>
  <c r="Q282" i="17"/>
  <c r="O282" i="17"/>
  <c r="Q281" i="17"/>
  <c r="O281" i="17"/>
  <c r="P281" i="17"/>
  <c r="Q280" i="17"/>
  <c r="O280" i="17"/>
  <c r="P280" i="17"/>
  <c r="P279" i="17"/>
  <c r="O279" i="17"/>
  <c r="Q279" i="17"/>
  <c r="P278" i="17"/>
  <c r="O278" i="17"/>
  <c r="Q278" i="17"/>
  <c r="P277" i="17"/>
  <c r="Q277" i="17"/>
  <c r="O277" i="17"/>
  <c r="O276" i="17"/>
  <c r="P276" i="17"/>
  <c r="Q276" i="17"/>
  <c r="O275" i="17"/>
  <c r="Q275" i="17"/>
  <c r="P275" i="17"/>
  <c r="P274" i="17"/>
  <c r="O274" i="17"/>
  <c r="Q274" i="17"/>
  <c r="P273" i="17"/>
  <c r="Q273" i="17"/>
  <c r="O273" i="17"/>
  <c r="O272" i="17"/>
  <c r="P272" i="17"/>
  <c r="Q272" i="17"/>
  <c r="Q271" i="17"/>
  <c r="O271" i="17"/>
  <c r="P271" i="17"/>
  <c r="P270" i="17"/>
  <c r="Q270" i="17"/>
  <c r="O270" i="17"/>
  <c r="P269" i="17"/>
  <c r="O269" i="17"/>
  <c r="Q269" i="17"/>
  <c r="P267" i="17"/>
  <c r="Q267" i="17"/>
  <c r="O267" i="17"/>
  <c r="P266" i="17"/>
  <c r="O266" i="17"/>
  <c r="Q266" i="17"/>
  <c r="O265" i="17"/>
  <c r="P265" i="17"/>
  <c r="Q265" i="17"/>
  <c r="O264" i="17"/>
  <c r="Q264" i="17"/>
  <c r="P264" i="17"/>
  <c r="P263" i="17"/>
  <c r="Q263" i="17"/>
  <c r="O263" i="17"/>
  <c r="Q262" i="17"/>
  <c r="P262" i="17"/>
  <c r="O262" i="17"/>
  <c r="P261" i="17"/>
  <c r="O261" i="17"/>
  <c r="Q261" i="17"/>
  <c r="Q260" i="17"/>
  <c r="P260" i="17"/>
  <c r="O260" i="17"/>
  <c r="Q259" i="17"/>
  <c r="P259" i="17"/>
  <c r="O259" i="17"/>
  <c r="O258" i="17"/>
  <c r="Q258" i="17"/>
  <c r="P258" i="17"/>
  <c r="Q257" i="17"/>
  <c r="P257" i="17"/>
  <c r="O257" i="17"/>
  <c r="Q256" i="17"/>
  <c r="P256" i="17"/>
  <c r="O256" i="17"/>
  <c r="Q255" i="17"/>
  <c r="P255" i="17"/>
  <c r="O255" i="17"/>
  <c r="O254" i="17"/>
  <c r="P254" i="17"/>
  <c r="Q254" i="17"/>
  <c r="Q253" i="17"/>
  <c r="P253" i="17"/>
  <c r="O253" i="17"/>
  <c r="Q252" i="17"/>
  <c r="O252" i="17"/>
  <c r="P252" i="17"/>
  <c r="O251" i="17"/>
  <c r="P251" i="17"/>
  <c r="Q251" i="17"/>
  <c r="P250" i="17"/>
  <c r="O250" i="17"/>
  <c r="Q250" i="17"/>
  <c r="O248" i="17"/>
  <c r="P248" i="17"/>
  <c r="Q248" i="17"/>
  <c r="P247" i="17"/>
  <c r="Q247" i="17"/>
  <c r="O247" i="17"/>
  <c r="Q246" i="17"/>
  <c r="P246" i="17"/>
  <c r="O246" i="17"/>
  <c r="Q245" i="17"/>
  <c r="P245" i="17"/>
  <c r="O245" i="17"/>
  <c r="Q244" i="17"/>
  <c r="P244" i="17"/>
  <c r="O244" i="17"/>
  <c r="O243" i="17"/>
  <c r="P243" i="17"/>
  <c r="Q243" i="17"/>
  <c r="P242" i="17"/>
  <c r="Q242" i="17"/>
  <c r="O242" i="17"/>
  <c r="P241" i="17"/>
  <c r="O241" i="17"/>
  <c r="Q241" i="17"/>
  <c r="P240" i="17"/>
  <c r="Q240" i="17"/>
  <c r="O240" i="17"/>
  <c r="Q237" i="17"/>
  <c r="O237" i="17"/>
  <c r="P237" i="17"/>
  <c r="Q235" i="17"/>
  <c r="O235" i="17"/>
  <c r="P235" i="17"/>
  <c r="O233" i="17"/>
  <c r="P233" i="17"/>
  <c r="Q233" i="17"/>
  <c r="P232" i="17"/>
  <c r="Q232" i="17"/>
  <c r="O232" i="17"/>
  <c r="Q229" i="17"/>
  <c r="O229" i="17"/>
  <c r="P229" i="17"/>
  <c r="P210" i="17"/>
  <c r="Q210" i="17"/>
  <c r="O210" i="17"/>
  <c r="P191" i="17"/>
  <c r="O191" i="17"/>
  <c r="Q191" i="17"/>
  <c r="P172" i="17"/>
  <c r="Q172" i="17"/>
  <c r="O172" i="17"/>
  <c r="Q153" i="17"/>
  <c r="O153" i="17"/>
  <c r="P153" i="17"/>
  <c r="Q134" i="17"/>
  <c r="O134" i="17"/>
  <c r="P134" i="17"/>
  <c r="P115" i="17"/>
  <c r="O115" i="17"/>
  <c r="Q115" i="17"/>
  <c r="P96" i="17"/>
  <c r="Q96" i="17"/>
  <c r="O96" i="17"/>
  <c r="O77" i="17"/>
  <c r="Q77" i="17"/>
  <c r="P77" i="17"/>
  <c r="P58" i="17"/>
  <c r="O58" i="17"/>
  <c r="Q58" i="17"/>
  <c r="O39" i="17"/>
  <c r="P39" i="17"/>
  <c r="Q39" i="17"/>
  <c r="P20" i="17"/>
  <c r="Q20" i="17"/>
  <c r="O20" i="17"/>
  <c r="P228" i="17"/>
  <c r="Q228" i="17"/>
  <c r="O228" i="17"/>
  <c r="P209" i="17"/>
  <c r="O209" i="17"/>
  <c r="Q209" i="17"/>
  <c r="O190" i="17"/>
  <c r="P190" i="17"/>
  <c r="Q190" i="17"/>
  <c r="O171" i="17"/>
  <c r="P171" i="17"/>
  <c r="Q171" i="17"/>
  <c r="P152" i="17"/>
  <c r="Q152" i="17"/>
  <c r="O152" i="17"/>
  <c r="O133" i="17"/>
  <c r="Q133" i="17"/>
  <c r="P133" i="17"/>
  <c r="P114" i="17"/>
  <c r="Q114" i="17"/>
  <c r="O114" i="17"/>
  <c r="Q95" i="17"/>
  <c r="O95" i="17"/>
  <c r="P95" i="17"/>
  <c r="Q76" i="17"/>
  <c r="P76" i="17"/>
  <c r="O76" i="17"/>
  <c r="Q57" i="17"/>
  <c r="O57" i="17"/>
  <c r="P57" i="17"/>
  <c r="O38" i="17"/>
  <c r="Q38" i="17"/>
  <c r="P38" i="17"/>
  <c r="O19" i="17"/>
  <c r="P19" i="17"/>
  <c r="Q19" i="17"/>
  <c r="O208" i="17"/>
  <c r="Q208" i="17"/>
  <c r="P208" i="17"/>
  <c r="O227" i="17"/>
  <c r="Q227" i="17"/>
  <c r="P227" i="17"/>
  <c r="O189" i="17"/>
  <c r="P189" i="17"/>
  <c r="Q189" i="17"/>
  <c r="O170" i="17"/>
  <c r="Q170" i="17"/>
  <c r="P170" i="17"/>
  <c r="Q151" i="17"/>
  <c r="O151" i="17"/>
  <c r="P151" i="17"/>
  <c r="Q132" i="17"/>
  <c r="O132" i="17"/>
  <c r="P132" i="17"/>
  <c r="P113" i="17"/>
  <c r="Q113" i="17"/>
  <c r="O113" i="17"/>
  <c r="O94" i="17"/>
  <c r="P94" i="17"/>
  <c r="Q94" i="17"/>
  <c r="O75" i="17"/>
  <c r="P75" i="17"/>
  <c r="Q75" i="17"/>
  <c r="Q56" i="17"/>
  <c r="O56" i="17"/>
  <c r="P56" i="17"/>
  <c r="Q37" i="17"/>
  <c r="O37" i="17"/>
  <c r="P37" i="17"/>
  <c r="Q18" i="17"/>
  <c r="O18" i="17"/>
  <c r="P18" i="17"/>
  <c r="O226" i="17"/>
  <c r="Q226" i="17"/>
  <c r="P226" i="17"/>
  <c r="P207" i="17"/>
  <c r="O207" i="17"/>
  <c r="Q207" i="17"/>
  <c r="O188" i="17"/>
  <c r="P188" i="17"/>
  <c r="Q188" i="17"/>
  <c r="P169" i="17"/>
  <c r="Q169" i="17"/>
  <c r="O169" i="17"/>
  <c r="Q150" i="17"/>
  <c r="O150" i="17"/>
  <c r="P150" i="17"/>
  <c r="Q131" i="17"/>
  <c r="P131" i="17"/>
  <c r="O131" i="17"/>
  <c r="Q112" i="17"/>
  <c r="P112" i="17"/>
  <c r="O112" i="17"/>
  <c r="P93" i="17"/>
  <c r="O93" i="17"/>
  <c r="Q93" i="17"/>
  <c r="P74" i="17"/>
  <c r="Q74" i="17"/>
  <c r="O74" i="17"/>
  <c r="O55" i="17"/>
  <c r="Q55" i="17"/>
  <c r="P55" i="17"/>
  <c r="P36" i="17"/>
  <c r="O36" i="17"/>
  <c r="Q36" i="17"/>
  <c r="Q17" i="17"/>
  <c r="P17" i="17"/>
  <c r="O17" i="17"/>
  <c r="O225" i="17"/>
  <c r="Q225" i="17"/>
  <c r="P225" i="17"/>
  <c r="Q206" i="17"/>
  <c r="P206" i="17"/>
  <c r="O206" i="17"/>
  <c r="Q187" i="17"/>
  <c r="P187" i="17"/>
  <c r="O187" i="17"/>
  <c r="Q168" i="17"/>
  <c r="P168" i="17"/>
  <c r="O168" i="17"/>
  <c r="Q149" i="17"/>
  <c r="P149" i="17"/>
  <c r="O149" i="17"/>
  <c r="Q130" i="17"/>
  <c r="P130" i="17"/>
  <c r="O130" i="17"/>
  <c r="Q111" i="17"/>
  <c r="P111" i="17"/>
  <c r="O111" i="17"/>
  <c r="Q92" i="17"/>
  <c r="P92" i="17"/>
  <c r="O92" i="17"/>
  <c r="Q73" i="17"/>
  <c r="P73" i="17"/>
  <c r="O73" i="17"/>
  <c r="O54" i="17"/>
  <c r="Q54" i="17"/>
  <c r="P54" i="17"/>
  <c r="Q35" i="17"/>
  <c r="P35" i="17"/>
  <c r="O35" i="17"/>
  <c r="O16" i="17"/>
  <c r="Q16" i="17"/>
  <c r="P16" i="17"/>
  <c r="Q224" i="17"/>
  <c r="O224" i="17"/>
  <c r="P224" i="17"/>
  <c r="P205" i="17"/>
  <c r="Q205" i="17"/>
  <c r="O205" i="17"/>
  <c r="Q186" i="17"/>
  <c r="P186" i="17"/>
  <c r="O186" i="17"/>
  <c r="Q167" i="17"/>
  <c r="O167" i="17"/>
  <c r="P167" i="17"/>
  <c r="P148" i="17"/>
  <c r="O148" i="17"/>
  <c r="Q148" i="17"/>
  <c r="Q129" i="17"/>
  <c r="O129" i="17"/>
  <c r="P129" i="17"/>
  <c r="O110" i="17"/>
  <c r="Q110" i="17"/>
  <c r="P110" i="17"/>
  <c r="O91" i="17"/>
  <c r="P91" i="17"/>
  <c r="Q91" i="17"/>
  <c r="O72" i="17"/>
  <c r="Q72" i="17"/>
  <c r="P72" i="17"/>
  <c r="Q53" i="17"/>
  <c r="O53" i="17"/>
  <c r="P53" i="17"/>
  <c r="Q34" i="17"/>
  <c r="O34" i="17"/>
  <c r="P34" i="17"/>
  <c r="P15" i="17"/>
  <c r="O15" i="17"/>
  <c r="Q15" i="17"/>
  <c r="P223" i="17"/>
  <c r="Q223" i="17"/>
  <c r="O223" i="17"/>
  <c r="P204" i="17"/>
  <c r="O204" i="17"/>
  <c r="Q204" i="17"/>
  <c r="P185" i="17"/>
  <c r="O185" i="17"/>
  <c r="Q185" i="17"/>
  <c r="P166" i="17"/>
  <c r="O166" i="17"/>
  <c r="Q166" i="17"/>
  <c r="O147" i="17"/>
  <c r="P147" i="17"/>
  <c r="Q147" i="17"/>
  <c r="P128" i="17"/>
  <c r="Q128" i="17"/>
  <c r="O128" i="17"/>
  <c r="O109" i="17"/>
  <c r="P109" i="17"/>
  <c r="Q109" i="17"/>
  <c r="Q90" i="17"/>
  <c r="O90" i="17"/>
  <c r="P90" i="17"/>
  <c r="O71" i="17"/>
  <c r="P71" i="17"/>
  <c r="Q71" i="17"/>
  <c r="O52" i="17"/>
  <c r="Q52" i="17"/>
  <c r="P52" i="17"/>
  <c r="P33" i="17"/>
  <c r="Q33" i="17"/>
  <c r="O33" i="17"/>
  <c r="P14" i="17"/>
  <c r="Q14" i="17"/>
  <c r="O14" i="17"/>
  <c r="Q203" i="17"/>
  <c r="P203" i="17"/>
  <c r="O203" i="17"/>
  <c r="O222" i="17"/>
  <c r="Q222" i="17"/>
  <c r="P222" i="17"/>
  <c r="P184" i="17"/>
  <c r="O184" i="17"/>
  <c r="Q184" i="17"/>
  <c r="O165" i="17"/>
  <c r="Q165" i="17"/>
  <c r="P165" i="17"/>
  <c r="O146" i="17"/>
  <c r="Q146" i="17"/>
  <c r="P146" i="17"/>
  <c r="Q127" i="17"/>
  <c r="P127" i="17"/>
  <c r="O127" i="17"/>
  <c r="Q108" i="17"/>
  <c r="P108" i="17"/>
  <c r="O108" i="17"/>
  <c r="O89" i="17"/>
  <c r="Q89" i="17"/>
  <c r="P89" i="17"/>
  <c r="Q70" i="17"/>
  <c r="P70" i="17"/>
  <c r="O70" i="17"/>
  <c r="P51" i="17"/>
  <c r="O51" i="17"/>
  <c r="Q51" i="17"/>
  <c r="O32" i="17"/>
  <c r="P32" i="17"/>
  <c r="Q32" i="17"/>
  <c r="O13" i="17"/>
  <c r="Q13" i="17"/>
  <c r="P13" i="17"/>
  <c r="P221" i="17"/>
  <c r="Q221" i="17"/>
  <c r="O221" i="17"/>
  <c r="P202" i="17"/>
  <c r="O202" i="17"/>
  <c r="Q202" i="17"/>
  <c r="P183" i="17"/>
  <c r="O183" i="17"/>
  <c r="Q183" i="17"/>
  <c r="Q164" i="17"/>
  <c r="P164" i="17"/>
  <c r="O164" i="17"/>
  <c r="O145" i="17"/>
  <c r="Q145" i="17"/>
  <c r="P145" i="17"/>
  <c r="Q126" i="17"/>
  <c r="P126" i="17"/>
  <c r="O126" i="17"/>
  <c r="P107" i="17"/>
  <c r="Q107" i="17"/>
  <c r="O107" i="17"/>
  <c r="Q88" i="17"/>
  <c r="P88" i="17"/>
  <c r="O88" i="17"/>
  <c r="P69" i="17"/>
  <c r="O69" i="17"/>
  <c r="Q69" i="17"/>
  <c r="P50" i="17"/>
  <c r="Q50" i="17"/>
  <c r="O50" i="17"/>
  <c r="P31" i="17"/>
  <c r="Q31" i="17"/>
  <c r="O31" i="17"/>
  <c r="Q12" i="17"/>
  <c r="O12" i="17"/>
  <c r="P12" i="17"/>
  <c r="P201" i="17"/>
  <c r="Q201" i="17"/>
  <c r="O201" i="17"/>
  <c r="Q220" i="17"/>
  <c r="O220" i="17"/>
  <c r="P220" i="17"/>
  <c r="Q182" i="17"/>
  <c r="P182" i="17"/>
  <c r="O182" i="17"/>
  <c r="Q163" i="17"/>
  <c r="P163" i="17"/>
  <c r="O163" i="17"/>
  <c r="Q144" i="17"/>
  <c r="P144" i="17"/>
  <c r="O144" i="17"/>
  <c r="Q125" i="17"/>
  <c r="P125" i="17"/>
  <c r="O125" i="17"/>
  <c r="Q106" i="17"/>
  <c r="P106" i="17"/>
  <c r="O106" i="17"/>
  <c r="Q87" i="17"/>
  <c r="P87" i="17"/>
  <c r="O87" i="17"/>
  <c r="Q68" i="17"/>
  <c r="P68" i="17"/>
  <c r="O68" i="17"/>
  <c r="Q49" i="17"/>
  <c r="P49" i="17"/>
  <c r="O49" i="17"/>
  <c r="O30" i="17"/>
  <c r="Q30" i="17"/>
  <c r="P30" i="17"/>
  <c r="O11" i="17"/>
  <c r="Q11" i="17"/>
  <c r="P11" i="17"/>
  <c r="P200" i="17"/>
  <c r="Q200" i="17"/>
  <c r="O200" i="17"/>
  <c r="P219" i="17"/>
  <c r="Q219" i="17"/>
  <c r="O219" i="17"/>
  <c r="Q181" i="17"/>
  <c r="P181" i="17"/>
  <c r="O181" i="17"/>
  <c r="Q162" i="17"/>
  <c r="P162" i="17"/>
  <c r="O162" i="17"/>
  <c r="Q143" i="17"/>
  <c r="P143" i="17"/>
  <c r="O143" i="17"/>
  <c r="P124" i="17"/>
  <c r="O124" i="17"/>
  <c r="Q124" i="17"/>
  <c r="Q105" i="17"/>
  <c r="P105" i="17"/>
  <c r="O105" i="17"/>
  <c r="P86" i="17"/>
  <c r="Q86" i="17"/>
  <c r="O86" i="17"/>
  <c r="Q67" i="17"/>
  <c r="P67" i="17"/>
  <c r="O67" i="17"/>
  <c r="P48" i="17"/>
  <c r="Q48" i="17"/>
  <c r="O48" i="17"/>
  <c r="O29" i="17"/>
  <c r="Q29" i="17"/>
  <c r="P29" i="17"/>
  <c r="O10" i="17"/>
  <c r="Q10" i="17"/>
  <c r="P10" i="17"/>
  <c r="Q218" i="17"/>
  <c r="P218" i="17"/>
  <c r="O218" i="17"/>
  <c r="P199" i="17"/>
  <c r="Q199" i="17"/>
  <c r="O199" i="17"/>
  <c r="Q180" i="17"/>
  <c r="O180" i="17"/>
  <c r="P180" i="17"/>
  <c r="O161" i="17"/>
  <c r="P161" i="17"/>
  <c r="Q161" i="17"/>
  <c r="Q142" i="17"/>
  <c r="P142" i="17"/>
  <c r="O142" i="17"/>
  <c r="Q123" i="17"/>
  <c r="P123" i="17"/>
  <c r="O123" i="17"/>
  <c r="O104" i="17"/>
  <c r="Q104" i="17"/>
  <c r="P104" i="17"/>
  <c r="Q85" i="17"/>
  <c r="O85" i="17"/>
  <c r="P85" i="17"/>
  <c r="Q66" i="17"/>
  <c r="O66" i="17"/>
  <c r="P66" i="17"/>
  <c r="P47" i="17"/>
  <c r="Q47" i="17"/>
  <c r="O47" i="17"/>
  <c r="O28" i="17"/>
  <c r="Q28" i="17"/>
  <c r="P28" i="17"/>
  <c r="P9" i="17"/>
  <c r="O9" i="17"/>
  <c r="Q9" i="17"/>
  <c r="O198" i="17"/>
  <c r="Q198" i="17"/>
  <c r="P198" i="17"/>
  <c r="P217" i="17"/>
  <c r="Q217" i="17"/>
  <c r="O217" i="17"/>
  <c r="O179" i="17"/>
  <c r="Q179" i="17"/>
  <c r="P179" i="17"/>
  <c r="Q160" i="17"/>
  <c r="O160" i="17"/>
  <c r="P160" i="17"/>
  <c r="P141" i="17"/>
  <c r="O141" i="17"/>
  <c r="Q141" i="17"/>
  <c r="Q122" i="17"/>
  <c r="O122" i="17"/>
  <c r="P122" i="17"/>
  <c r="O103" i="17"/>
  <c r="P103" i="17"/>
  <c r="Q103" i="17"/>
  <c r="P84" i="17"/>
  <c r="Q84" i="17"/>
  <c r="O84" i="17"/>
  <c r="Q65" i="17"/>
  <c r="O65" i="17"/>
  <c r="P65" i="17"/>
  <c r="Q46" i="17"/>
  <c r="O46" i="17"/>
  <c r="P46" i="17"/>
  <c r="Q27" i="17"/>
  <c r="O27" i="17"/>
  <c r="P27" i="17"/>
  <c r="Q8" i="17"/>
  <c r="O8" i="17"/>
  <c r="P8" i="17"/>
  <c r="P216" i="17"/>
  <c r="Q216" i="17"/>
  <c r="O216" i="17"/>
  <c r="Q197" i="17"/>
  <c r="P197" i="17"/>
  <c r="O197" i="17"/>
  <c r="O178" i="17"/>
  <c r="Q178" i="17"/>
  <c r="P178" i="17"/>
  <c r="O159" i="17"/>
  <c r="P159" i="17"/>
  <c r="Q159" i="17"/>
  <c r="O140" i="17"/>
  <c r="Q140" i="17"/>
  <c r="P140" i="17"/>
  <c r="P121" i="17"/>
  <c r="Q121" i="17"/>
  <c r="O121" i="17"/>
  <c r="Q102" i="17"/>
  <c r="P102" i="17"/>
  <c r="O102" i="17"/>
  <c r="Q83" i="17"/>
  <c r="P83" i="17"/>
  <c r="O83" i="17"/>
  <c r="Q64" i="17"/>
  <c r="P64" i="17"/>
  <c r="O64" i="17"/>
  <c r="P45" i="17"/>
  <c r="Q45" i="17"/>
  <c r="O45" i="17"/>
  <c r="O26" i="17"/>
  <c r="Q26" i="17"/>
  <c r="P26" i="17"/>
  <c r="O7" i="17"/>
  <c r="Q7" i="17"/>
  <c r="P7" i="17"/>
  <c r="Q215" i="17"/>
  <c r="O215" i="17"/>
  <c r="P215" i="17"/>
  <c r="P196" i="17"/>
  <c r="O196" i="17"/>
  <c r="Q196" i="17"/>
  <c r="P177" i="17"/>
  <c r="Q177" i="17"/>
  <c r="O177" i="17"/>
  <c r="Q158" i="17"/>
  <c r="P158" i="17"/>
  <c r="O158" i="17"/>
  <c r="Q139" i="17"/>
  <c r="P139" i="17"/>
  <c r="O139" i="17"/>
  <c r="Q120" i="17"/>
  <c r="P120" i="17"/>
  <c r="O120" i="17"/>
  <c r="Q101" i="17"/>
  <c r="P101" i="17"/>
  <c r="O101" i="17"/>
  <c r="O82" i="17"/>
  <c r="P82" i="17"/>
  <c r="Q82" i="17"/>
  <c r="Q63" i="17"/>
  <c r="P63" i="17"/>
  <c r="O63" i="17"/>
  <c r="Q44" i="17"/>
  <c r="P44" i="17"/>
  <c r="O44" i="17"/>
  <c r="Q25" i="17"/>
  <c r="P25" i="17"/>
  <c r="O25" i="17"/>
  <c r="Q6" i="17"/>
  <c r="P6" i="17"/>
  <c r="O6" i="17"/>
  <c r="L24" i="1"/>
  <c r="L22" i="1"/>
  <c r="L17" i="1"/>
  <c r="L15" i="1"/>
  <c r="L14" i="1"/>
  <c r="J13" i="1"/>
  <c r="J12" i="1"/>
  <c r="Y11" i="1"/>
  <c r="Y5" i="1"/>
  <c r="AD5" i="1"/>
  <c r="X6" i="1"/>
  <c r="Z6" i="1"/>
  <c r="AD7" i="1"/>
  <c r="AD8" i="1"/>
  <c r="X9" i="1"/>
  <c r="Z9" i="1"/>
  <c r="Z10" i="1"/>
  <c r="X11" i="1"/>
  <c r="X5" i="1"/>
  <c r="Y6" i="1"/>
  <c r="AD6" i="1"/>
  <c r="X7" i="1"/>
  <c r="Y7" i="1"/>
  <c r="AC7" i="1"/>
  <c r="X8" i="1"/>
  <c r="Z8" i="1"/>
  <c r="AD9" i="1"/>
  <c r="Y10" i="1"/>
  <c r="AC10" i="1"/>
  <c r="AD11" i="1"/>
  <c r="Z5" i="1"/>
  <c r="Z7" i="1"/>
  <c r="Y8" i="1"/>
  <c r="AC8" i="1"/>
  <c r="Y9" i="1"/>
  <c r="AC9" i="1"/>
  <c r="X10" i="1"/>
  <c r="AC5" i="1"/>
  <c r="AC6" i="1"/>
  <c r="F10" i="5"/>
  <c r="G10" i="5"/>
  <c r="I10" i="5"/>
  <c r="Q214" i="17"/>
  <c r="O214" i="17"/>
  <c r="P214" i="17"/>
  <c r="Q195" i="17"/>
  <c r="P195" i="17"/>
  <c r="O195" i="17"/>
  <c r="Q176" i="17"/>
  <c r="O176" i="17"/>
  <c r="P176" i="17"/>
  <c r="P157" i="17"/>
  <c r="Q157" i="17"/>
  <c r="O157" i="17"/>
  <c r="O138" i="17"/>
  <c r="Q138" i="17"/>
  <c r="P138" i="17"/>
  <c r="Q119" i="17"/>
  <c r="O119" i="17"/>
  <c r="P119" i="17"/>
  <c r="Q100" i="17"/>
  <c r="P100" i="17"/>
  <c r="O100" i="17"/>
  <c r="P81" i="17"/>
  <c r="O81" i="17"/>
  <c r="Q81" i="17"/>
  <c r="P62" i="17"/>
  <c r="O62" i="17"/>
  <c r="Q62" i="17"/>
  <c r="O43" i="17"/>
  <c r="P43" i="17"/>
  <c r="Q43" i="17"/>
  <c r="Q24" i="17"/>
  <c r="O24" i="17"/>
  <c r="P24" i="17"/>
  <c r="P5" i="17"/>
  <c r="Q5" i="17"/>
  <c r="O5" i="17"/>
  <c r="P213" i="17"/>
  <c r="Q213" i="17"/>
  <c r="O213" i="17"/>
  <c r="O194" i="17"/>
  <c r="P194" i="17"/>
  <c r="Q194" i="17"/>
  <c r="P175" i="17"/>
  <c r="O175" i="17"/>
  <c r="Q175" i="17"/>
  <c r="P156" i="17"/>
  <c r="Q156" i="17"/>
  <c r="O156" i="17"/>
  <c r="P137" i="17"/>
  <c r="Q137" i="17"/>
  <c r="O137" i="17"/>
  <c r="P118" i="17"/>
  <c r="O118" i="17"/>
  <c r="Q118" i="17"/>
  <c r="Q99" i="17"/>
  <c r="O99" i="17"/>
  <c r="P99" i="17"/>
  <c r="P80" i="17"/>
  <c r="Q80" i="17"/>
  <c r="O80" i="17"/>
  <c r="O61" i="17"/>
  <c r="Q61" i="17"/>
  <c r="P61" i="17"/>
  <c r="P42" i="17"/>
  <c r="Q42" i="17"/>
  <c r="O42" i="17"/>
  <c r="Q23" i="17"/>
  <c r="P23" i="17"/>
  <c r="O23" i="17"/>
  <c r="O4" i="17"/>
  <c r="P4" i="17"/>
  <c r="Q4" i="17"/>
  <c r="O212" i="17"/>
  <c r="Q212" i="17"/>
  <c r="P212" i="17"/>
  <c r="Q193" i="17"/>
  <c r="P193" i="17"/>
  <c r="O193" i="17"/>
  <c r="Q174" i="17"/>
  <c r="P174" i="17"/>
  <c r="O174" i="17"/>
  <c r="P155" i="17"/>
  <c r="Q155" i="17"/>
  <c r="O155" i="17"/>
  <c r="Q136" i="17"/>
  <c r="O136" i="17"/>
  <c r="P136" i="17"/>
  <c r="Q117" i="17"/>
  <c r="O117" i="17"/>
  <c r="P117" i="17"/>
  <c r="Q98" i="17"/>
  <c r="O98" i="17"/>
  <c r="P98" i="17"/>
  <c r="Q79" i="17"/>
  <c r="P79" i="17"/>
  <c r="O79" i="17"/>
  <c r="P60" i="17"/>
  <c r="Q60" i="17"/>
  <c r="O60" i="17"/>
  <c r="P41" i="17"/>
  <c r="O41" i="17"/>
  <c r="Q41" i="17"/>
  <c r="Q22" i="17"/>
  <c r="O22" i="17"/>
  <c r="P22" i="17"/>
  <c r="P3" i="17"/>
  <c r="O3" i="17"/>
  <c r="Q3" i="17"/>
  <c r="L25" i="1"/>
  <c r="J16" i="1"/>
  <c r="Q2263" i="17"/>
  <c r="P2263" i="17"/>
  <c r="O2263" i="17"/>
  <c r="Q2244" i="17"/>
  <c r="P2244" i="17"/>
  <c r="O2244" i="17"/>
  <c r="Q2225" i="17"/>
  <c r="P2225" i="17"/>
  <c r="O2225" i="17"/>
  <c r="Q2206" i="17"/>
  <c r="P2206" i="17"/>
  <c r="O2206" i="17"/>
  <c r="Q1864" i="17"/>
  <c r="O1864" i="17"/>
  <c r="P1864" i="17"/>
  <c r="P1655" i="17"/>
  <c r="Q1655" i="17"/>
  <c r="O1655" i="17"/>
  <c r="P1636" i="17"/>
  <c r="O1636" i="17"/>
  <c r="Q1636" i="17"/>
  <c r="P1617" i="17"/>
  <c r="Q1617" i="17"/>
  <c r="O1617" i="17"/>
  <c r="P1598" i="17"/>
  <c r="O1598" i="17"/>
  <c r="Q1598" i="17"/>
  <c r="Q1579" i="17"/>
  <c r="O1579" i="17"/>
  <c r="P1579" i="17"/>
  <c r="O1560" i="17"/>
  <c r="Q1560" i="17"/>
  <c r="P1560" i="17"/>
  <c r="Q1541" i="17"/>
  <c r="P1541" i="17"/>
  <c r="O1541" i="17"/>
  <c r="O1522" i="17"/>
  <c r="Q1522" i="17"/>
  <c r="P1522" i="17"/>
  <c r="P1503" i="17"/>
  <c r="O1503" i="17"/>
  <c r="Q1503" i="17"/>
  <c r="P1484" i="17"/>
  <c r="Q1484" i="17"/>
  <c r="O1484" i="17"/>
  <c r="Q1465" i="17"/>
  <c r="O1465" i="17"/>
  <c r="P1465" i="17"/>
  <c r="O1446" i="17"/>
  <c r="P1446" i="17"/>
  <c r="Q1446" i="17"/>
  <c r="Q1427" i="17"/>
  <c r="P1427" i="17"/>
  <c r="O1427" i="17"/>
  <c r="P1408" i="17"/>
  <c r="Q1408" i="17"/>
  <c r="O1408" i="17"/>
  <c r="Q1389" i="17"/>
  <c r="P1389" i="17"/>
  <c r="O1389" i="17"/>
  <c r="Q1370" i="17"/>
  <c r="P1370" i="17"/>
  <c r="O1370" i="17"/>
  <c r="O1351" i="17"/>
  <c r="Q1351" i="17"/>
  <c r="P1351" i="17"/>
  <c r="O1332" i="17"/>
  <c r="Q1332" i="17"/>
  <c r="P1332" i="17"/>
  <c r="O1313" i="17"/>
  <c r="Q1313" i="17"/>
  <c r="P1313" i="17"/>
  <c r="Q1294" i="17"/>
  <c r="P1294" i="17"/>
  <c r="O1294" i="17"/>
  <c r="O1275" i="17"/>
  <c r="Q1275" i="17"/>
  <c r="P1275" i="17"/>
  <c r="Q1256" i="17"/>
  <c r="O1256" i="17"/>
  <c r="P1256" i="17"/>
  <c r="Q1237" i="17"/>
  <c r="P1237" i="17"/>
  <c r="O1237" i="17"/>
  <c r="O1028" i="17"/>
  <c r="Q1028" i="17"/>
  <c r="P1028" i="17"/>
  <c r="P1009" i="17"/>
  <c r="Q1009" i="17"/>
  <c r="O1009" i="17"/>
  <c r="O990" i="17"/>
  <c r="P990" i="17"/>
  <c r="Q990" i="17"/>
  <c r="O971" i="17"/>
  <c r="Q971" i="17"/>
  <c r="P971" i="17"/>
  <c r="O952" i="17"/>
  <c r="Q952" i="17"/>
  <c r="P952" i="17"/>
  <c r="O933" i="17"/>
  <c r="Q933" i="17"/>
  <c r="P933" i="17"/>
  <c r="P914" i="17"/>
  <c r="Q914" i="17"/>
  <c r="O914" i="17"/>
  <c r="O895" i="17"/>
  <c r="Q895" i="17"/>
  <c r="P895" i="17"/>
  <c r="P876" i="17"/>
  <c r="O876" i="17"/>
  <c r="Q876" i="17"/>
  <c r="P857" i="17"/>
  <c r="O857" i="17"/>
  <c r="Q857" i="17"/>
  <c r="P838" i="17"/>
  <c r="Q838" i="17"/>
  <c r="O838" i="17"/>
  <c r="Q705" i="17"/>
  <c r="O705" i="17"/>
  <c r="P705" i="17"/>
  <c r="Q667" i="17"/>
  <c r="P667" i="17"/>
  <c r="O667" i="17"/>
  <c r="Q648" i="17"/>
  <c r="O648" i="17"/>
  <c r="P648" i="17"/>
  <c r="Q629" i="17"/>
  <c r="O629" i="17"/>
  <c r="P629" i="17"/>
  <c r="Q819" i="17"/>
  <c r="P819" i="17"/>
  <c r="O819" i="17"/>
  <c r="Q800" i="17"/>
  <c r="P800" i="17"/>
  <c r="O800" i="17"/>
  <c r="P781" i="17"/>
  <c r="O781" i="17"/>
  <c r="Q781" i="17"/>
  <c r="O762" i="17"/>
  <c r="P762" i="17"/>
  <c r="Q762" i="17"/>
  <c r="O743" i="17"/>
  <c r="P743" i="17"/>
  <c r="Q743" i="17"/>
  <c r="P724" i="17"/>
  <c r="O724" i="17"/>
  <c r="Q724" i="17"/>
  <c r="O686" i="17"/>
  <c r="P686" i="17"/>
  <c r="Q686" i="17"/>
  <c r="Q610" i="17"/>
  <c r="P610" i="17"/>
  <c r="O610" i="17"/>
  <c r="Q591" i="17"/>
  <c r="P591" i="17"/>
  <c r="O591" i="17"/>
  <c r="Q572" i="17"/>
  <c r="P572" i="17"/>
  <c r="O572" i="17"/>
  <c r="Q553" i="17"/>
  <c r="P553" i="17"/>
  <c r="O553" i="17"/>
  <c r="O534" i="17"/>
  <c r="P534" i="17"/>
  <c r="Q534" i="17"/>
  <c r="P515" i="17"/>
  <c r="O515" i="17"/>
  <c r="Q515" i="17"/>
  <c r="P496" i="17"/>
  <c r="O496" i="17"/>
  <c r="Q496" i="17"/>
  <c r="P477" i="17"/>
  <c r="O477" i="17"/>
  <c r="Q477" i="17"/>
  <c r="P458" i="17"/>
  <c r="O458" i="17"/>
  <c r="Q458" i="17"/>
  <c r="P439" i="17"/>
  <c r="O439" i="17"/>
  <c r="Q439" i="17"/>
  <c r="P420" i="17"/>
  <c r="Q420" i="17"/>
  <c r="O420" i="17"/>
  <c r="O230" i="17"/>
  <c r="Q230" i="17"/>
  <c r="P230" i="17"/>
  <c r="P401" i="17"/>
  <c r="Q401" i="17"/>
  <c r="O401" i="17"/>
  <c r="P382" i="17"/>
  <c r="Q382" i="17"/>
  <c r="O382" i="17"/>
  <c r="P363" i="17"/>
  <c r="Q363" i="17"/>
  <c r="O363" i="17"/>
  <c r="Q344" i="17"/>
  <c r="P344" i="17"/>
  <c r="O344" i="17"/>
  <c r="O325" i="17"/>
  <c r="Q325" i="17"/>
  <c r="P325" i="17"/>
  <c r="P306" i="17"/>
  <c r="Q306" i="17"/>
  <c r="O306" i="17"/>
  <c r="Q287" i="17"/>
  <c r="P287" i="17"/>
  <c r="O287" i="17"/>
  <c r="Q268" i="17"/>
  <c r="P268" i="17"/>
  <c r="O268" i="17"/>
  <c r="Q249" i="17"/>
  <c r="O249" i="17"/>
  <c r="P249" i="17"/>
  <c r="AD10" i="1"/>
  <c r="K12" i="1"/>
  <c r="O211" i="17"/>
  <c r="P211" i="17"/>
  <c r="Q211" i="17"/>
  <c r="Q192" i="17"/>
  <c r="O192" i="17"/>
  <c r="P192" i="17"/>
  <c r="P173" i="17"/>
  <c r="Q173" i="17"/>
  <c r="O173" i="17"/>
  <c r="Q154" i="17"/>
  <c r="P154" i="17"/>
  <c r="O154" i="17"/>
  <c r="Q135" i="17"/>
  <c r="P135" i="17"/>
  <c r="O135" i="17"/>
  <c r="Q116" i="17"/>
  <c r="P116" i="17"/>
  <c r="O116" i="17"/>
  <c r="Q97" i="17"/>
  <c r="P97" i="17"/>
  <c r="O97" i="17"/>
  <c r="P78" i="17"/>
  <c r="Q78" i="17"/>
  <c r="O78" i="17"/>
  <c r="P59" i="17"/>
  <c r="O59" i="17"/>
  <c r="Q59" i="17"/>
  <c r="Q40" i="17"/>
  <c r="P40" i="17"/>
  <c r="O40" i="17"/>
  <c r="Q21" i="17"/>
  <c r="P21" i="17"/>
  <c r="O21" i="17"/>
  <c r="Q2" i="17"/>
  <c r="P2" i="17"/>
  <c r="O2" i="17"/>
  <c r="L27" i="1"/>
  <c r="L26" i="1"/>
  <c r="L21" i="1"/>
  <c r="L28" i="1"/>
  <c r="J18" i="1"/>
  <c r="J21" i="1"/>
  <c r="K13" i="1"/>
  <c r="L16" i="1"/>
  <c r="J30" i="1"/>
  <c r="J29" i="1"/>
  <c r="J28" i="1"/>
  <c r="J27" i="1"/>
  <c r="J26" i="1"/>
  <c r="J25" i="1"/>
  <c r="J24" i="1"/>
  <c r="J23" i="1"/>
  <c r="J22" i="1"/>
  <c r="K21" i="1"/>
  <c r="K20" i="1"/>
  <c r="J20" i="1"/>
  <c r="G4" i="5"/>
  <c r="K19" i="1"/>
  <c r="J19" i="1"/>
  <c r="K18" i="1"/>
  <c r="K17" i="1"/>
  <c r="J17" i="1"/>
  <c r="K16" i="1"/>
  <c r="J4" i="5"/>
  <c r="K15" i="1"/>
  <c r="J15" i="1"/>
  <c r="D4" i="5"/>
  <c r="K14" i="1"/>
  <c r="J14" i="1"/>
  <c r="A4" i="5"/>
  <c r="L29" i="1"/>
  <c r="Y14" i="1"/>
  <c r="Q7" i="16"/>
  <c r="Q9" i="16"/>
  <c r="L13" i="1"/>
  <c r="K28" i="1"/>
  <c r="K26" i="1"/>
  <c r="Q18" i="16"/>
  <c r="K23" i="1"/>
  <c r="K30" i="1"/>
  <c r="K29" i="1"/>
  <c r="K27" i="1"/>
  <c r="K25" i="1"/>
  <c r="K24" i="1"/>
  <c r="K22" i="1"/>
  <c r="Q23" i="16"/>
  <c r="Q20" i="16"/>
  <c r="Q19" i="16"/>
  <c r="Q17" i="16"/>
  <c r="Q15" i="16"/>
  <c r="Q16" i="16"/>
  <c r="Q22" i="16"/>
  <c r="Q14" i="16"/>
  <c r="L19" i="1"/>
  <c r="L18" i="1"/>
  <c r="E16" i="15"/>
  <c r="L12" i="1"/>
  <c r="D30" i="1"/>
  <c r="E30" i="1"/>
  <c r="D29" i="1"/>
  <c r="E29" i="1"/>
  <c r="D28" i="1"/>
  <c r="E28" i="1"/>
  <c r="D27" i="1"/>
  <c r="E27" i="1"/>
  <c r="D26" i="1"/>
  <c r="E26" i="1"/>
  <c r="E25" i="1"/>
  <c r="D25" i="1"/>
  <c r="D24" i="1"/>
  <c r="E24" i="1"/>
  <c r="E23" i="1"/>
  <c r="D23" i="1"/>
  <c r="D22" i="1"/>
  <c r="E22" i="1"/>
  <c r="D21" i="1"/>
  <c r="E21" i="1"/>
  <c r="D20" i="1"/>
  <c r="E20" i="1"/>
  <c r="D19" i="1"/>
  <c r="E19" i="1"/>
  <c r="G6" i="1"/>
  <c r="E18" i="1"/>
  <c r="D18" i="1"/>
  <c r="D17" i="1"/>
  <c r="E17" i="1"/>
  <c r="D16" i="1"/>
  <c r="E16" i="1"/>
  <c r="J6" i="1"/>
  <c r="D15" i="1"/>
  <c r="E15" i="1"/>
  <c r="D14" i="1"/>
  <c r="D6" i="1"/>
  <c r="E14" i="1"/>
  <c r="N9" i="18"/>
  <c r="S4" i="5"/>
  <c r="Q6" i="16"/>
  <c r="N3" i="1"/>
  <c r="A7" i="1" s="1"/>
  <c r="E13" i="1"/>
  <c r="D13" i="1"/>
  <c r="A6" i="1"/>
  <c r="E15" i="15"/>
  <c r="Q5" i="16"/>
  <c r="P6" i="1"/>
  <c r="D70" i="1" s="1"/>
  <c r="D12" i="1"/>
  <c r="E12" i="1"/>
  <c r="M19" i="5"/>
  <c r="D14" i="18"/>
  <c r="N19" i="5"/>
  <c r="F14" i="18"/>
  <c r="O19" i="5"/>
  <c r="G14" i="18"/>
  <c r="J19" i="5"/>
  <c r="H14" i="18"/>
  <c r="S19" i="5"/>
  <c r="S14" i="18" s="1"/>
  <c r="I14" i="18"/>
  <c r="M18" i="5"/>
  <c r="D13" i="18"/>
  <c r="N18" i="5"/>
  <c r="F13" i="18"/>
  <c r="O18" i="5"/>
  <c r="G13" i="18"/>
  <c r="J18" i="5"/>
  <c r="H13" i="18"/>
  <c r="S18" i="5"/>
  <c r="S13" i="18" s="1"/>
  <c r="I13" i="18"/>
  <c r="M17" i="5"/>
  <c r="D12" i="18"/>
  <c r="N17" i="5"/>
  <c r="F12" i="18"/>
  <c r="O17" i="5"/>
  <c r="G12" i="18"/>
  <c r="J17" i="5"/>
  <c r="H12" i="18"/>
  <c r="S17" i="5"/>
  <c r="S12" i="18" s="1"/>
  <c r="I12" i="18"/>
  <c r="M16" i="5"/>
  <c r="D11" i="18"/>
  <c r="N16" i="5"/>
  <c r="F11" i="18"/>
  <c r="O16" i="5"/>
  <c r="G11" i="18"/>
  <c r="J16" i="5"/>
  <c r="H11" i="18"/>
  <c r="S16" i="5"/>
  <c r="S11" i="18" s="1"/>
  <c r="I11" i="18"/>
  <c r="M15" i="5"/>
  <c r="D10" i="18"/>
  <c r="N15" i="5"/>
  <c r="F10" i="18"/>
  <c r="O15" i="5"/>
  <c r="G10" i="18"/>
  <c r="J15" i="5"/>
  <c r="H10" i="18"/>
  <c r="S15" i="5"/>
  <c r="S10" i="18" s="1"/>
  <c r="I10" i="18"/>
  <c r="M14" i="5"/>
  <c r="D9" i="18"/>
  <c r="N14" i="5"/>
  <c r="F9" i="18"/>
  <c r="O14" i="5"/>
  <c r="G9" i="18"/>
  <c r="J14" i="5"/>
  <c r="H9" i="18"/>
  <c r="S14" i="5"/>
  <c r="S9" i="18" s="1"/>
  <c r="I9" i="18"/>
  <c r="M13" i="5"/>
  <c r="D8" i="18"/>
  <c r="N13" i="5"/>
  <c r="F8" i="18"/>
  <c r="O13" i="5"/>
  <c r="G8" i="18"/>
  <c r="J13" i="5"/>
  <c r="H8" i="18"/>
  <c r="S13" i="5"/>
  <c r="S8" i="18" s="1"/>
  <c r="I8" i="18"/>
  <c r="M12" i="5"/>
  <c r="D7" i="18"/>
  <c r="N12" i="5"/>
  <c r="F7" i="18"/>
  <c r="O12" i="5"/>
  <c r="G7" i="18"/>
  <c r="J12" i="5"/>
  <c r="H7" i="18"/>
  <c r="S12" i="5"/>
  <c r="S7" i="18" s="1"/>
  <c r="I7" i="18"/>
  <c r="M11" i="5"/>
  <c r="D6" i="18"/>
  <c r="N11" i="5"/>
  <c r="F6" i="18"/>
  <c r="O11" i="5"/>
  <c r="G6" i="18"/>
  <c r="J11" i="5"/>
  <c r="H6" i="18"/>
  <c r="S11" i="5"/>
  <c r="S6" i="18" s="1"/>
  <c r="I6" i="18"/>
  <c r="M10" i="5"/>
  <c r="D5" i="18"/>
  <c r="J10" i="5"/>
  <c r="H5" i="18"/>
  <c r="L23" i="1"/>
  <c r="L20" i="1"/>
  <c r="L30" i="1"/>
  <c r="N10" i="5" l="1"/>
  <c r="F5" i="18"/>
  <c r="O10" i="5"/>
  <c r="G5" i="18"/>
  <c r="S10" i="5"/>
  <c r="S5" i="18" s="1"/>
  <c r="I5" i="18"/>
  <c r="D68" i="1"/>
  <c r="M4" i="5"/>
  <c r="D69" i="1"/>
  <c r="D65" i="1"/>
  <c r="D66" i="1"/>
  <c r="G30" i="1"/>
  <c r="H30" i="1"/>
  <c r="I30" i="1"/>
  <c r="G29" i="1"/>
  <c r="H29" i="1"/>
  <c r="I29" i="1"/>
  <c r="G28" i="1"/>
  <c r="H28" i="1"/>
  <c r="I28" i="1"/>
  <c r="G27" i="1"/>
  <c r="H27" i="1"/>
  <c r="I27" i="1"/>
  <c r="G26" i="1"/>
  <c r="H26" i="1"/>
  <c r="I26" i="1"/>
  <c r="G25" i="1"/>
  <c r="H25" i="1"/>
  <c r="I25" i="1"/>
  <c r="G24" i="1"/>
  <c r="H24" i="1"/>
  <c r="I24" i="1"/>
  <c r="G23" i="1"/>
  <c r="H23" i="1"/>
  <c r="I23" i="1"/>
  <c r="G22" i="1"/>
  <c r="H22" i="1"/>
  <c r="I22" i="1"/>
  <c r="G21" i="1"/>
  <c r="H21" i="1"/>
  <c r="I21" i="1"/>
  <c r="G20" i="1"/>
  <c r="H20" i="1"/>
  <c r="I20" i="1"/>
  <c r="G19" i="1"/>
  <c r="H19" i="1"/>
  <c r="I19" i="1"/>
  <c r="G7" i="1"/>
  <c r="D63" i="1"/>
  <c r="G18" i="1"/>
  <c r="H18" i="1"/>
  <c r="I18" i="1"/>
  <c r="G17" i="1"/>
  <c r="H17" i="1"/>
  <c r="I17" i="1"/>
  <c r="G16" i="1"/>
  <c r="H16" i="1"/>
  <c r="I16" i="1"/>
  <c r="J7" i="1"/>
  <c r="D64" i="1"/>
  <c r="M15" i="1"/>
  <c r="D67" i="1"/>
  <c r="G15" i="1"/>
  <c r="H15" i="1"/>
  <c r="I15" i="1"/>
  <c r="G14" i="1"/>
  <c r="H14" i="1"/>
  <c r="I14" i="1"/>
  <c r="G13" i="1"/>
  <c r="H13" i="1"/>
  <c r="I13" i="1"/>
  <c r="G12" i="1"/>
  <c r="H12" i="1"/>
  <c r="I12" i="1"/>
  <c r="R19" i="5"/>
  <c r="R14" i="18" s="1"/>
  <c r="J14" i="18"/>
  <c r="R18" i="5"/>
  <c r="R13" i="18" s="1"/>
  <c r="J13" i="18"/>
  <c r="R17" i="5"/>
  <c r="R12" i="18" s="1"/>
  <c r="J12" i="18"/>
  <c r="R16" i="5"/>
  <c r="R11" i="18" s="1"/>
  <c r="J11" i="18"/>
  <c r="R15" i="5"/>
  <c r="R10" i="18" s="1"/>
  <c r="J10" i="18"/>
  <c r="R14" i="5"/>
  <c r="R9" i="18" s="1"/>
  <c r="J9" i="18"/>
  <c r="R13" i="5"/>
  <c r="R8" i="18" s="1"/>
  <c r="J8" i="18"/>
  <c r="R12" i="5"/>
  <c r="R7" i="18" s="1"/>
  <c r="J7" i="18"/>
  <c r="R11" i="5"/>
  <c r="R6" i="18" s="1"/>
  <c r="J6" i="18"/>
  <c r="R10" i="5"/>
  <c r="R5" i="18" s="1"/>
  <c r="J5" i="18"/>
  <c r="M18" i="1"/>
  <c r="M17" i="1"/>
  <c r="M16" i="1"/>
  <c r="M20" i="1"/>
  <c r="M19" i="1"/>
  <c r="D62" i="1" l="1"/>
  <c r="U7" i="1"/>
  <c r="M6" i="1"/>
  <c r="U6" i="1"/>
  <c r="D58" i="1"/>
  <c r="D59" i="1"/>
  <c r="D60" i="1"/>
  <c r="D61" i="1"/>
  <c r="U5" i="1"/>
  <c r="M7" i="1"/>
  <c r="U8" i="1"/>
</calcChain>
</file>

<file path=xl/sharedStrings.xml><?xml version="1.0" encoding="utf-8"?>
<sst xmlns="http://schemas.openxmlformats.org/spreadsheetml/2006/main" count="20372" uniqueCount="287">
  <si>
    <t>Year</t>
  </si>
  <si>
    <t>Reporting Month</t>
  </si>
  <si>
    <t>January</t>
  </si>
  <si>
    <t>No.</t>
  </si>
  <si>
    <t>Parameter</t>
  </si>
  <si>
    <t>Unit</t>
  </si>
  <si>
    <t>Monthly Actual</t>
  </si>
  <si>
    <t>YTD</t>
  </si>
  <si>
    <t>Project to Date</t>
  </si>
  <si>
    <t>Remark</t>
  </si>
  <si>
    <t>Exposure Hours / Vehicles</t>
  </si>
  <si>
    <t>No. of Hours Worked [Exposure Hours]</t>
  </si>
  <si>
    <t>Hours</t>
  </si>
  <si>
    <t>No. of Kilometres Driven</t>
  </si>
  <si>
    <t>Km</t>
  </si>
  <si>
    <t>Lagging Indicators</t>
  </si>
  <si>
    <t>Incidents / Accidents (Per Occurrence)</t>
  </si>
  <si>
    <t>Number of Near-Misses</t>
  </si>
  <si>
    <t>High Potential Incidents</t>
  </si>
  <si>
    <t>Life Saving Rule (LSR) Violations</t>
  </si>
  <si>
    <t>Number of TRCs (LTI / RWC / MTC / FAT)</t>
  </si>
  <si>
    <t>Severe Motor Vehicle Incidents (MVI)</t>
  </si>
  <si>
    <t>Leading Indicators</t>
  </si>
  <si>
    <t>Site Observations / Unsafe Acts / Conditions</t>
  </si>
  <si>
    <t>Site Inspections</t>
  </si>
  <si>
    <t>Site HSE Meetings</t>
  </si>
  <si>
    <t>Site Toolbox Talks</t>
  </si>
  <si>
    <t>Management Visits / Walk-around</t>
  </si>
  <si>
    <t>HSE Training (No. and Participants)</t>
  </si>
  <si>
    <t>Site HSE Reward / Recognition</t>
  </si>
  <si>
    <t>Others</t>
  </si>
  <si>
    <t>Community / Public Complaints Received</t>
  </si>
  <si>
    <t>Learning from Incidents (LFI) shared</t>
  </si>
  <si>
    <t>GCP / AIP and close open actions</t>
  </si>
  <si>
    <t>Quarterly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</si>
  <si>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</si>
  <si>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</si>
  <si>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</si>
  <si>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</si>
  <si>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</si>
  <si>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</si>
  <si>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</si>
  <si>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</si>
  <si>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</si>
  <si>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</si>
  <si>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</si>
  <si>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HSE KPI Dashboard</t>
  </si>
  <si>
    <t>Use the dropdowns to switch between one year, selected years, all active years, one month, all months, YTD, full-year, or project-to-date.</t>
  </si>
  <si>
    <t>Month</t>
  </si>
  <si>
    <t>View</t>
  </si>
  <si>
    <t>Monthly</t>
  </si>
  <si>
    <t>Year Scope</t>
  </si>
  <si>
    <t>Selected Year</t>
  </si>
  <si>
    <t>Category</t>
  </si>
  <si>
    <t>All</t>
  </si>
  <si>
    <t>Month No.</t>
  </si>
  <si>
    <t>Period Months</t>
  </si>
  <si>
    <t>Status</t>
  </si>
  <si>
    <t>Count</t>
  </si>
  <si>
    <t>Near Misses</t>
  </si>
  <si>
    <t>TRCs</t>
  </si>
  <si>
    <t>Leading Total</t>
  </si>
  <si>
    <t>Lagging Total</t>
  </si>
  <si>
    <t>Total Hours</t>
  </si>
  <si>
    <t>Kilometres Driven</t>
  </si>
  <si>
    <t>TRC Count</t>
  </si>
  <si>
    <t>Status Score</t>
  </si>
  <si>
    <t>Targets Covered</t>
  </si>
  <si>
    <t>Green</t>
  </si>
  <si>
    <t>Jan</t>
  </si>
  <si>
    <t>Amber</t>
  </si>
  <si>
    <t>Feb</t>
  </si>
  <si>
    <t>Red</t>
  </si>
  <si>
    <t>Mar</t>
  </si>
  <si>
    <t>Target Needed</t>
  </si>
  <si>
    <t>Apr</t>
  </si>
  <si>
    <t>Selected KPI Performance</t>
  </si>
  <si>
    <t>Jun</t>
  </si>
  <si>
    <t>KPI</t>
  </si>
  <si>
    <t>Actual</t>
  </si>
  <si>
    <t>Period Target</t>
  </si>
  <si>
    <t>Direction</t>
  </si>
  <si>
    <t>Achievement %</t>
  </si>
  <si>
    <t>Favorable Variance</t>
  </si>
  <si>
    <t>YTD / Scope Total</t>
  </si>
  <si>
    <t>MoM Change</t>
  </si>
  <si>
    <t>Rate / 1M Hrs</t>
  </si>
  <si>
    <t>Jul</t>
  </si>
  <si>
    <t>1</t>
  </si>
  <si>
    <t>Exposure</t>
  </si>
  <si>
    <t>Aug</t>
  </si>
  <si>
    <t>1.1</t>
  </si>
  <si>
    <t>Sep</t>
  </si>
  <si>
    <t>1.2</t>
  </si>
  <si>
    <t>Oct</t>
  </si>
  <si>
    <t>2.1</t>
  </si>
  <si>
    <t>Nov</t>
  </si>
  <si>
    <t>2.2</t>
  </si>
  <si>
    <t>Dec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</si>
  <si>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</si>
  <si>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</si>
  <si>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</si>
  <si>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</si>
  <si>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</si>
  <si>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</si>
  <si>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</si>
  <si>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</si>
  <si>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</si>
  <si>
    <t>3.6</t>
  </si>
  <si>
    <t>3.7</t>
  </si>
  <si>
    <t>4.1</t>
  </si>
  <si>
    <t>4.2</t>
  </si>
  <si>
    <t>4.3</t>
  </si>
  <si>
    <t>Overall Statistics</t>
  </si>
  <si>
    <t>Statistic</t>
  </si>
  <si>
    <t>Value</t>
  </si>
  <si>
    <t>Scope</t>
  </si>
  <si>
    <t>Period</t>
  </si>
  <si>
    <t>Green KPIs</t>
  </si>
  <si>
    <t>Amber KPIs</t>
  </si>
  <si>
    <t>Red KPIs</t>
  </si>
  <si>
    <t>Leading Avg Achievement</t>
  </si>
  <si>
    <t>TRIR / 1M hrs</t>
  </si>
  <si>
    <t>Near Miss Rate / 1M hrs</t>
  </si>
  <si>
    <t>LSR Rate / 1M hrs</t>
  </si>
  <si>
    <t>Total Leading Activities</t>
  </si>
  <si>
    <t>Total Lagging Events</t>
  </si>
  <si>
    <t>Highest Hours Month</t>
  </si>
  <si>
    <t>Highest Near Miss Month</t>
  </si>
  <si>
    <t>Dashboard Category</t>
  </si>
  <si>
    <t>Yes/No</t>
  </si>
  <si>
    <t>Data Flag</t>
  </si>
  <si>
    <t>Yes</t>
  </si>
  <si>
    <t>Higher is better</t>
  </si>
  <si>
    <t>OK</t>
  </si>
  <si>
    <t>No</t>
  </si>
  <si>
    <t>Included Years</t>
  </si>
  <si>
    <t>Lower is better</t>
  </si>
  <si>
    <t>Missing target</t>
  </si>
  <si>
    <t>Full Year</t>
  </si>
  <si>
    <t>All Active Years</t>
  </si>
  <si>
    <t>Inactive</t>
  </si>
  <si>
    <t>Project HSE Statistics</t>
  </si>
  <si>
    <t>Project-wide totals use SETTINGS Start Year and Finish Year. Multi-year charts compare all active years.</t>
  </si>
  <si>
    <t>Project Hours</t>
  </si>
  <si>
    <t>Project TRIR</t>
  </si>
  <si>
    <t>Months With Hours</t>
  </si>
  <si>
    <t>Active</t>
  </si>
  <si>
    <t>Included</t>
  </si>
  <si>
    <t>Leading</t>
  </si>
  <si>
    <t>Lagging</t>
  </si>
  <si>
    <t>TRC</t>
  </si>
  <si>
    <t>Near Miss</t>
  </si>
  <si>
    <t>TRIR</t>
  </si>
  <si>
    <t>Near Miss Rate</t>
  </si>
  <si>
    <t>How to Use the Automated HSE KPI Workbook</t>
  </si>
  <si>
    <t>The workbook is standardized for 10 years and can aggregate one year, selected years, all active years, all months, full year, and project-to-date.</t>
  </si>
  <si>
    <t>Area</t>
  </si>
  <si>
    <t>What to Use</t>
  </si>
  <si>
    <t>What Is Automated</t>
  </si>
  <si>
    <t>Manual Input</t>
  </si>
  <si>
    <t>SETTINGS</t>
  </si>
  <si>
    <t>Start Year, Finish Year, Include in Multi-Year View</t>
  </si>
  <si>
    <t>The 10-year year list, active year status, and multi-year scope controls</t>
  </si>
  <si>
    <t>Start/finish years and include flags as needed</t>
  </si>
  <si>
    <t>MAIN</t>
  </si>
  <si>
    <t>Year / Month / View / Year Scope / Category dropdowns</t>
  </si>
  <si>
    <t>Cards, table, status, charts, month-all, full-year, selected-years, all-active-years and project-to-date views</t>
  </si>
  <si>
    <t>None</t>
  </si>
  <si>
    <t>DASHBOARD</t>
  </si>
  <si>
    <t>Project-wide totals, rates, target completeness, yearly table, and comparison charts</t>
  </si>
  <si>
    <t>YEAR_COMPARISON</t>
  </si>
  <si>
    <t>Year-by-year review</t>
  </si>
  <si>
    <t>Cross-year comparison table, rates, and quality checks</t>
  </si>
  <si>
    <t>KPI_TARGETS</t>
  </si>
  <si>
    <t>Default target plus yearly target columns</t>
  </si>
  <si>
    <t>Suggested target, target readiness, achievement logic and status logic</t>
  </si>
  <si>
    <t>Targets only</t>
  </si>
  <si>
    <t>2025 to 2034</t>
  </si>
  <si>
    <t>Monthly HSE KPI source sheets</t>
  </si>
  <si>
    <t>Existing 2025/2026 sheets are preserved; future-year tabs are ready for monthly actuals</t>
  </si>
  <si>
    <t>Monthly Actual values when new data is available</t>
  </si>
  <si>
    <t>Adding a year</t>
  </si>
  <si>
    <t>Copy a source year tab and name it the year, e.g. 2035</t>
  </si>
  <si>
    <t>KPI_DATA reads any sheet whose name matches a year in SETTINGS</t>
  </si>
  <si>
    <t>Source monthly actuals for that new year</t>
  </si>
  <si>
    <t>All months</t>
  </si>
  <si>
    <t>Choose Month = All or View = Full Year</t>
  </si>
  <si>
    <t>The dashboard aggregates all 12 months for the selected year scope</t>
  </si>
  <si>
    <t>Multiple years</t>
  </si>
  <si>
    <t>Set Year Scope = Included Years and mark years Yes in SETTINGS</t>
  </si>
  <si>
    <t>MAIN and trend charts aggregate only the included years</t>
  </si>
  <si>
    <t>Include flags</t>
  </si>
  <si>
    <t>All project</t>
  </si>
  <si>
    <t>Set Year Scope = All Active Years or use DASHBOARD</t>
  </si>
  <si>
    <t>All active years between Start Year and Finish Year are included</t>
  </si>
  <si>
    <t>Start/finish years</t>
  </si>
  <si>
    <t>Rates</t>
  </si>
  <si>
    <t>TRIR, near miss rate, LSR rate</t>
  </si>
  <si>
    <t>Counts are normalized per 1,000,000 exposure hours</t>
  </si>
  <si>
    <t>Status Logic</t>
  </si>
  <si>
    <t>Green / Amber / Red / Target Needed</t>
  </si>
  <si>
    <t>Higher-better KPIs compare actual to the year-specific or default target; lower-better KPIs compare actual to the maximum acceptable target</t>
  </si>
  <si>
    <t>Data Quality</t>
  </si>
  <si>
    <t>Missing target and inactive flags</t>
  </si>
  <si>
    <t>Flags every KPI/month without a usable year/default target and excludes inactive years from project stats</t>
  </si>
  <si>
    <t>Preserved Source</t>
  </si>
  <si>
    <t>Original year sheets</t>
  </si>
  <si>
    <t>Source monthly actual values are not replaced by dashboard formulas</t>
  </si>
  <si>
    <t>Monthly Actual as needed</t>
  </si>
  <si>
    <t>Source YTD</t>
  </si>
  <si>
    <t>Future-year templates</t>
  </si>
  <si>
    <t>Future-year templates calculate YTD inside each year tab</t>
  </si>
  <si>
    <t>Monthly Actual values</t>
  </si>
  <si>
    <t>10-year limit</t>
  </si>
  <si>
    <t>SETTINGS year slots</t>
  </si>
  <si>
    <t>The model supports 10 active slots at a time; shift the Start Year to roll the standard window forward</t>
  </si>
  <si>
    <t>HSE KPI</t>
  </si>
  <si>
    <t>Monthly HSE KPI source sheet for 2027</t>
  </si>
  <si>
    <t>2</t>
  </si>
  <si>
    <t>3</t>
  </si>
  <si>
    <t>4</t>
  </si>
  <si>
    <t>Monthly HSE KPI source sheet for 2028</t>
  </si>
  <si>
    <t>Monthly HSE KPI source sheet for 2029</t>
  </si>
  <si>
    <t>Monthly HSE KPI source sheet for 2030</t>
  </si>
  <si>
    <t>Monthly HSE KPI source sheet for 2031</t>
  </si>
  <si>
    <t>Monthly HSE KPI source sheet for 2032</t>
  </si>
  <si>
    <t>Monthly HSE KPI source sheet for 2033</t>
  </si>
  <si>
    <t>Monthly HSE KPI source sheet for 2034</t>
  </si>
  <si>
    <t>Workbook Settings</t>
  </si>
  <si>
    <t>Change the project year range and choose which years are included in multi-year views.</t>
  </si>
  <si>
    <t>Start Year</t>
  </si>
  <si>
    <t>How this works</t>
  </si>
  <si>
    <t>Finish Year</t>
  </si>
  <si>
    <t>The workbook has 10 formula slots starting from Start Year.</t>
  </si>
  <si>
    <t>Default Report Year</t>
  </si>
  <si>
    <t>Finish Year controls which of those slots are active.</t>
  </si>
  <si>
    <t>Default Report Month</t>
  </si>
  <si>
    <t>Use Include in Multi-Year View to pick several years at once.</t>
  </si>
  <si>
    <t>Default View</t>
  </si>
  <si>
    <t>For a new year, add/copy a source sheet named exactly as that year.</t>
  </si>
  <si>
    <t>Default Year Scope</t>
  </si>
  <si>
    <t>Examples: 2027, 2028, 2029. The data model will read them automatically.</t>
  </si>
  <si>
    <t>Default Category</t>
  </si>
  <si>
    <t>Targets remain manual in KPI_TARGETS; use the default column or year-specific target columns.</t>
  </si>
  <si>
    <t>Include in Multi-Year View</t>
  </si>
  <si>
    <t>Source Sheet</t>
  </si>
  <si>
    <t>Data Status</t>
  </si>
  <si>
    <t>KPI Targets</t>
  </si>
  <si>
    <t>Enter default monthly targets or year-specific monthly targets in the blue cells; all achievement, status and variance logic updates automatically.</t>
  </si>
  <si>
    <t>Default Monthly Target</t>
  </si>
  <si>
    <t>Suggested Monthly Target</t>
  </si>
  <si>
    <t>Target Status</t>
  </si>
  <si>
    <t>Notes</t>
  </si>
  <si>
    <t>Default applies to every year unless a year column is filled. Target is the expected minimum monthly value.</t>
  </si>
  <si>
    <t>Default applies to every year unless a year column is filled. Target is the maximum acceptable monthly value.</t>
  </si>
  <si>
    <t>Slot</t>
  </si>
  <si>
    <t>Active Year</t>
  </si>
  <si>
    <t>Included Year</t>
  </si>
  <si>
    <t>Source Row</t>
  </si>
  <si>
    <t>Monthly Target</t>
  </si>
  <si>
    <t>Computed YTD</t>
  </si>
  <si>
    <t>Prior Month Actual</t>
  </si>
  <si>
    <t>Rate per 1M Hours</t>
  </si>
  <si>
    <t>Target Available</t>
  </si>
  <si>
    <t>Data Quality Flag</t>
  </si>
  <si>
    <t>Main Year Scope</t>
  </si>
  <si>
    <t>Main Period</t>
  </si>
  <si>
    <t>Main Selected</t>
  </si>
  <si>
    <t>Year Comparison</t>
  </si>
  <si>
    <t>Use SETTINGS to choose the active project years and the years included in multi-year dashboard views.</t>
  </si>
  <si>
    <t>Check</t>
  </si>
  <si>
    <t>Formula</t>
  </si>
  <si>
    <t>Result</t>
  </si>
  <si>
    <t>Target completeness</t>
  </si>
  <si>
    <t>Targeted active KPI-months / active KPI-months</t>
  </si>
  <si>
    <t>Active years</t>
  </si>
  <si>
    <t>Count of SETTINGS active years</t>
  </si>
  <si>
    <t>Included years</t>
  </si>
  <si>
    <t>Count of SETTINGS included years</t>
  </si>
  <si>
    <t>Total project months</t>
  </si>
  <si>
    <t>Active years * 12</t>
  </si>
  <si>
    <t>Data months with hours</t>
  </si>
  <si>
    <t>Months where exposure hours &gt; 0</t>
  </si>
  <si>
    <t>Monthly HSE KPI source sheet for 2026</t>
  </si>
  <si>
    <t>Monthly HSE KPI source sheet for 2025</t>
  </si>
  <si>
    <t>Input values in MA, YTD, &amp; PTD cells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</si>
</sst>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0"/>
      <color rgb="FF172033"/>
      <name val="Calibri"/>
    </font>
    <font>
      <b/>
      <sz val="11"/>
      <color rgb="FF172033"/>
      <name val="Calibri"/>
    </font>
    <font>
      <b/>
      <sz val="11"/>
      <color rgb="FF16324F"/>
      <name val="Calibri"/>
    </font>
    <font>
      <sz val="11"/>
      <color rgb="FF1E3A8A"/>
      <name val="Calibri"/>
    </font>
    <font>
      <b/>
      <sz val="11"/>
      <color rgb="FF1E3A8A"/>
      <name val="Calibri"/>
    </font>
    <font>
      <sz val="11"/>
      <color rgb="FF172033"/>
      <name val="Calibri"/>
    </font>
    <font>
      <b/>
      <sz val="18"/>
      <color rgb="FF16324F"/>
      <name val="Calibri"/>
    </font>
    <font>
      <sz val="9"/>
      <color rgb="FF64748B"/>
      <name val="Calibri"/>
    </font>
    <font>
      <sz val="8"/>
      <color rgb="FF64748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4" borderId="0" xfId="0" applyFont="1" applyFill="1"/>
    <xf numFmtId="0" fontId="4" fillId="3" borderId="0" xfId="0" applyFont="1" applyFill="1"/>
    <xf numFmtId="0" fontId="1" fillId="5" borderId="0" xfId="0" applyFont="1" applyFill="1" applyAlignment="1">
      <alignment horizontal="center"/>
    </xf>
    <xf numFmtId="0" fontId="5" fillId="6" borderId="0" xfId="0" applyFont="1" applyFill="1"/>
    <xf numFmtId="0" fontId="6" fillId="7" borderId="0" xfId="0" applyFont="1" applyFill="1"/>
    <xf numFmtId="0" fontId="7" fillId="7" borderId="0" xfId="0" applyFont="1" applyFill="1"/>
    <xf numFmtId="0" fontId="4" fillId="6" borderId="4" xfId="0" applyFont="1" applyFill="1" applyBorder="1"/>
    <xf numFmtId="0" fontId="7" fillId="7" borderId="5" xfId="0" applyFont="1" applyFill="1" applyBorder="1" applyAlignment="1">
      <alignment horizontal="center"/>
    </xf>
    <xf numFmtId="0" fontId="4" fillId="6" borderId="6" xfId="0" applyFont="1" applyFill="1" applyBorder="1"/>
    <xf numFmtId="0" fontId="7" fillId="7" borderId="7" xfId="0" applyFont="1" applyFill="1" applyBorder="1" applyAlignment="1">
      <alignment horizontal="center"/>
    </xf>
    <xf numFmtId="0" fontId="4" fillId="6" borderId="8" xfId="0" applyFont="1" applyFill="1" applyBorder="1"/>
    <xf numFmtId="0" fontId="7" fillId="7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 wrapText="1"/>
    </xf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9" xfId="0" applyBorder="1" applyAlignment="1">
      <alignment wrapText="1"/>
    </xf>
    <xf numFmtId="4" fontId="7" fillId="7" borderId="10" xfId="0" applyNumberFormat="1" applyFont="1" applyFill="1" applyBorder="1" applyAlignment="1">
      <alignment wrapText="1"/>
    </xf>
    <xf numFmtId="4" fontId="0" fillId="0" borderId="10" xfId="0" applyNumberFormat="1" applyBorder="1" applyAlignment="1">
      <alignment wrapText="1"/>
    </xf>
    <xf numFmtId="4" fontId="7" fillId="7" borderId="11" xfId="0" applyNumberFormat="1" applyFont="1" applyFill="1" applyBorder="1" applyAlignment="1">
      <alignment wrapText="1"/>
    </xf>
    <xf numFmtId="4" fontId="0" fillId="0" borderId="11" xfId="0" applyNumberFormat="1" applyBorder="1" applyAlignment="1">
      <alignment wrapText="1"/>
    </xf>
    <xf numFmtId="4" fontId="7" fillId="7" borderId="12" xfId="0" applyNumberFormat="1" applyFont="1" applyFill="1" applyBorder="1" applyAlignment="1">
      <alignment wrapText="1"/>
    </xf>
    <xf numFmtId="4" fontId="0" fillId="0" borderId="12" xfId="0" applyNumberFormat="1" applyBorder="1" applyAlignment="1">
      <alignment wrapText="1"/>
    </xf>
    <xf numFmtId="0" fontId="1" fillId="2" borderId="13" xfId="0" applyFont="1" applyFill="1" applyBorder="1" applyAlignment="1">
      <alignment horizontal="center" wrapText="1"/>
    </xf>
    <xf numFmtId="4" fontId="0" fillId="0" borderId="0" xfId="0" applyNumberFormat="1"/>
    <xf numFmtId="164" fontId="0" fillId="0" borderId="0" xfId="0" applyNumberFormat="1"/>
    <xf numFmtId="0" fontId="4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164" fontId="0" fillId="0" borderId="11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4" fontId="0" fillId="0" borderId="7" xfId="0" applyNumberFormat="1" applyBorder="1" applyAlignment="1">
      <alignment wrapText="1"/>
    </xf>
    <xf numFmtId="4" fontId="0" fillId="0" borderId="9" xfId="0" applyNumberFormat="1" applyBorder="1" applyAlignment="1">
      <alignment wrapText="1"/>
    </xf>
    <xf numFmtId="0" fontId="11" fillId="6" borderId="0" xfId="0" applyFont="1" applyFill="1"/>
    <xf numFmtId="0" fontId="4" fillId="6" borderId="5" xfId="0" applyFont="1" applyFill="1" applyBorder="1"/>
    <xf numFmtId="164" fontId="0" fillId="0" borderId="7" xfId="0" applyNumberFormat="1" applyBorder="1"/>
    <xf numFmtId="4" fontId="0" fillId="0" borderId="7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4" fontId="0" fillId="0" borderId="9" xfId="0" applyNumberFormat="1" applyBorder="1"/>
    <xf numFmtId="0" fontId="1" fillId="5" borderId="4" xfId="0" applyFont="1" applyFill="1" applyBorder="1"/>
    <xf numFmtId="0" fontId="1" fillId="5" borderId="10" xfId="0" applyFont="1" applyFill="1" applyBorder="1"/>
    <xf numFmtId="0" fontId="1" fillId="5" borderId="5" xfId="0" applyFont="1" applyFill="1" applyBorder="1"/>
    <xf numFmtId="0" fontId="1" fillId="2" borderId="0" xfId="0" applyFont="1" applyFill="1"/>
    <xf numFmtId="0" fontId="10" fillId="8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49" fontId="9" fillId="8" borderId="11" xfId="0" applyNumberFormat="1" applyFont="1" applyFill="1" applyBorder="1" applyAlignment="1">
      <alignment horizontal="center"/>
    </xf>
    <xf numFmtId="49" fontId="9" fillId="8" borderId="7" xfId="0" applyNumberFormat="1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4" fontId="9" fillId="8" borderId="6" xfId="0" applyNumberFormat="1" applyFont="1" applyFill="1" applyBorder="1" applyAlignment="1">
      <alignment horizontal="center"/>
    </xf>
    <xf numFmtId="4" fontId="9" fillId="8" borderId="11" xfId="0" applyNumberFormat="1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164" fontId="9" fillId="8" borderId="11" xfId="0" applyNumberFormat="1" applyFont="1" applyFill="1" applyBorder="1" applyAlignment="1">
      <alignment horizontal="center"/>
    </xf>
    <xf numFmtId="3" fontId="9" fillId="8" borderId="6" xfId="0" applyNumberFormat="1" applyFont="1" applyFill="1" applyBorder="1" applyAlignment="1">
      <alignment horizontal="center" vertical="center"/>
    </xf>
    <xf numFmtId="3" fontId="9" fillId="8" borderId="11" xfId="0" applyNumberFormat="1" applyFont="1" applyFill="1" applyBorder="1" applyAlignment="1">
      <alignment horizontal="center" vertical="center"/>
    </xf>
    <xf numFmtId="3" fontId="9" fillId="8" borderId="8" xfId="0" applyNumberFormat="1" applyFont="1" applyFill="1" applyBorder="1" applyAlignment="1">
      <alignment horizontal="center" vertical="center"/>
    </xf>
    <xf numFmtId="3" fontId="9" fillId="8" borderId="12" xfId="0" applyNumberFormat="1" applyFont="1" applyFill="1" applyBorder="1" applyAlignment="1">
      <alignment horizontal="center" vertical="center"/>
    </xf>
    <xf numFmtId="4" fontId="9" fillId="8" borderId="11" xfId="0" applyNumberFormat="1" applyFont="1" applyFill="1" applyBorder="1" applyAlignment="1">
      <alignment horizontal="center" vertical="center"/>
    </xf>
    <xf numFmtId="4" fontId="9" fillId="8" borderId="12" xfId="0" applyNumberFormat="1" applyFont="1" applyFill="1" applyBorder="1" applyAlignment="1">
      <alignment horizontal="center" vertical="center"/>
    </xf>
    <xf numFmtId="2" fontId="9" fillId="8" borderId="11" xfId="0" applyNumberFormat="1" applyFont="1" applyFill="1" applyBorder="1" applyAlignment="1">
      <alignment horizontal="center" vertical="center"/>
    </xf>
    <xf numFmtId="2" fontId="9" fillId="8" borderId="12" xfId="0" applyNumberFormat="1" applyFont="1" applyFill="1" applyBorder="1" applyAlignment="1">
      <alignment horizontal="center" vertical="center"/>
    </xf>
    <xf numFmtId="49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" fontId="9" fillId="8" borderId="7" xfId="0" applyNumberFormat="1" applyFont="1" applyFill="1" applyBorder="1" applyAlignment="1">
      <alignment horizontal="center" vertical="center"/>
    </xf>
    <xf numFmtId="1" fontId="9" fillId="8" borderId="12" xfId="0" applyNumberFormat="1" applyFont="1" applyFill="1" applyBorder="1" applyAlignment="1">
      <alignment horizontal="center" vertical="center"/>
    </xf>
    <xf numFmtId="1" fontId="9" fillId="8" borderId="9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8" fillId="4" borderId="0" xfId="0" applyFont="1" applyFill="1" applyAlignment="1">
      <alignment wrapText="1"/>
    </xf>
  </cellXfs>
  <cellStyles count="1">
    <cellStyle name="Normal" xfId="0" builtinId="0"/>
  </cellStyles>
  <dxfs count="28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Selected KPI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MAIN!$T$5:$T$8</c:f>
              <c:strCache>
                <c:ptCount val="4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  <c:pt idx="3">
                  <c:v>Target Needed</c:v>
                </c:pt>
              </c:strCache>
            </c:strRef>
          </c:cat>
          <c:val>
            <c:numRef>
              <c:f>MAIN!$U$5:$U$8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B-420E-A9D1-8D3C1FEDF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HSE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Hours</c:v>
          </c:tx>
          <c:cat>
            <c:strRef>
              <c:f>MAIN!$W$5:$W$16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MAIN!$X$5:$X$16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2119.75</c:v>
                </c:pt>
                <c:pt idx="6">
                  <c:v>4827.75</c:v>
                </c:pt>
                <c:pt idx="7">
                  <c:v>6904</c:v>
                </c:pt>
                <c:pt idx="8">
                  <c:v>4880</c:v>
                </c:pt>
                <c:pt idx="9">
                  <c:v>14779.5</c:v>
                </c:pt>
                <c:pt idx="10">
                  <c:v>5507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E-402C-A108-34EDAB7739FB}"/>
            </c:ext>
          </c:extLst>
        </c:ser>
        <c:ser>
          <c:idx val="1"/>
          <c:order val="1"/>
          <c:tx>
            <c:v>Near Misses</c:v>
          </c:tx>
          <c:cat>
            <c:strRef>
              <c:f>MAIN!$W$5:$W$16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MAIN!$Y$5:$Y$16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E-402C-A108-34EDAB7739FB}"/>
            </c:ext>
          </c:extLst>
        </c:ser>
        <c:ser>
          <c:idx val="2"/>
          <c:order val="2"/>
          <c:tx>
            <c:v>TRCs</c:v>
          </c:tx>
          <c:cat>
            <c:strRef>
              <c:f>MAIN!$W$5:$W$16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MAIN!$Z$5:$Z$16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E-402C-A108-34EDAB77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Leading vs Lagging Activity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Leading Total</c:v>
          </c:tx>
          <c:cat>
            <c:strRef>
              <c:f>MAIN!$AB$5:$AB$16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MAIN!$AC$5:$AC$16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58</c:v>
                </c:pt>
                <c:pt idx="6">
                  <c:v>82</c:v>
                </c:pt>
                <c:pt idx="7">
                  <c:v>97</c:v>
                </c:pt>
                <c:pt idx="8">
                  <c:v>84</c:v>
                </c:pt>
                <c:pt idx="9">
                  <c:v>82</c:v>
                </c:pt>
                <c:pt idx="10">
                  <c:v>66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4-4294-A1D0-DDC101A2CA81}"/>
            </c:ext>
          </c:extLst>
        </c:ser>
        <c:ser>
          <c:idx val="1"/>
          <c:order val="1"/>
          <c:tx>
            <c:v>Lagging Total</c:v>
          </c:tx>
          <c:cat>
            <c:strRef>
              <c:f>MAIN!$AB$5:$AB$16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MAIN!$AD$5:$AD$16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4-4294-A1D0-DDC101A2C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Year Comparison: Exposure and Activity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Hours</c:v>
          </c:tx>
          <c:invertIfNegative val="1"/>
          <c:cat>
            <c:numRef>
              <c:f>DASHBOARD!$L$10:$L$19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DASHBOARD!$M$10:$M$19</c:f>
              <c:numCache>
                <c:formatCode>General</c:formatCode>
                <c:ptCount val="10"/>
                <c:pt idx="0">
                  <c:v>39018</c:v>
                </c:pt>
                <c:pt idx="1">
                  <c:v>13301.95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4-4B8C-B16C-D13E6158BA47}"/>
            </c:ext>
          </c:extLst>
        </c:ser>
        <c:ser>
          <c:idx val="1"/>
          <c:order val="1"/>
          <c:tx>
            <c:v>Leading</c:v>
          </c:tx>
          <c:invertIfNegative val="1"/>
          <c:cat>
            <c:numRef>
              <c:f>DASHBOARD!$L$10:$L$19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DASHBOARD!$N$10:$N$19</c:f>
              <c:numCache>
                <c:formatCode>General</c:formatCode>
                <c:ptCount val="10"/>
                <c:pt idx="0">
                  <c:v>510</c:v>
                </c:pt>
                <c:pt idx="1">
                  <c:v>1027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4-4B8C-B16C-D13E6158BA47}"/>
            </c:ext>
          </c:extLst>
        </c:ser>
        <c:ser>
          <c:idx val="2"/>
          <c:order val="2"/>
          <c:tx>
            <c:v>Lagging</c:v>
          </c:tx>
          <c:invertIfNegative val="1"/>
          <c:cat>
            <c:numRef>
              <c:f>DASHBOARD!$L$10:$L$19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DASHBOARD!$O$10:$O$19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4-4B8C-B16C-D13E6158B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Year Comparison: HSE Rates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TRIR</c:v>
          </c:tx>
          <c:cat>
            <c:numRef>
              <c:f>DASHBOARD!$Q$10:$Q$19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DASHBOARD!$R$10:$R$19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1-4402-8E22-48FC04F42B43}"/>
            </c:ext>
          </c:extLst>
        </c:ser>
        <c:ser>
          <c:idx val="1"/>
          <c:order val="1"/>
          <c:tx>
            <c:v>Near Miss Rate</c:v>
          </c:tx>
          <c:cat>
            <c:numRef>
              <c:f>DASHBOARD!$Q$10:$Q$19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DASHBOARD!$S$10:$S$19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1-4402-8E22-48FC04F42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Yearly KPI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Active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YEAR_COMPARISON!$B$5:$B$14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A-43B3-81C8-061A59F3EBC7}"/>
            </c:ext>
          </c:extLst>
        </c:ser>
        <c:ser>
          <c:idx val="1"/>
          <c:order val="1"/>
          <c:tx>
            <c:v>Included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YEAR_COMPARISON!$C$5:$C$14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A-43B3-81C8-061A59F3EBC7}"/>
            </c:ext>
          </c:extLst>
        </c:ser>
        <c:ser>
          <c:idx val="2"/>
          <c:order val="2"/>
          <c:tx>
            <c:v>Hours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YEAR_COMPARISON!$D$5:$D$14</c:f>
              <c:numCache>
                <c:formatCode>#,##0.00</c:formatCode>
                <c:ptCount val="10"/>
                <c:pt idx="0">
                  <c:v>39018</c:v>
                </c:pt>
                <c:pt idx="1">
                  <c:v>13301.95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6A-43B3-81C8-061A59F3EBC7}"/>
            </c:ext>
          </c:extLst>
        </c:ser>
        <c:ser>
          <c:idx val="3"/>
          <c:order val="3"/>
          <c:tx>
            <c:v>Km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YEAR_COMPARISON!$E$5:$E$14</c:f>
              <c:numCache>
                <c:formatCode>#,##0.00</c:formatCode>
                <c:ptCount val="10"/>
                <c:pt idx="0">
                  <c:v>8000</c:v>
                </c:pt>
                <c:pt idx="1">
                  <c:v>8000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6A-43B3-81C8-061A59F3EBC7}"/>
            </c:ext>
          </c:extLst>
        </c:ser>
        <c:ser>
          <c:idx val="4"/>
          <c:order val="4"/>
          <c:tx>
            <c:v>Leading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YEAR_COMPARISON!$F$5:$F$14</c:f>
              <c:numCache>
                <c:formatCode>#,##0.00</c:formatCode>
                <c:ptCount val="10"/>
                <c:pt idx="0">
                  <c:v>510</c:v>
                </c:pt>
                <c:pt idx="1">
                  <c:v>1027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6A-43B3-81C8-061A59F3EBC7}"/>
            </c:ext>
          </c:extLst>
        </c:ser>
        <c:ser>
          <c:idx val="5"/>
          <c:order val="5"/>
          <c:tx>
            <c:v>Lagging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YEAR_COMPARISON!$G$5:$G$14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6A-43B3-81C8-061A59F3EBC7}"/>
            </c:ext>
          </c:extLst>
        </c:ser>
        <c:ser>
          <c:idx val="6"/>
          <c:order val="6"/>
          <c:tx>
            <c:v>TRC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YEAR_COMPARISON!$H$5:$H$14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A-43B3-81C8-061A59F3EBC7}"/>
            </c:ext>
          </c:extLst>
        </c:ser>
        <c:ser>
          <c:idx val="7"/>
          <c:order val="7"/>
          <c:tx>
            <c:v>Near Miss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YEAR_COMPARISON!$I$5:$I$14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6A-43B3-81C8-061A59F3EBC7}"/>
            </c:ext>
          </c:extLst>
        </c:ser>
        <c:ser>
          <c:idx val="8"/>
          <c:order val="8"/>
          <c:tx>
            <c:v>TRIR</c:v>
          </c:tx>
          <c:invertIfNegative val="1"/>
          <c:cat>
            <c:numRef>
              <c:f>YEAR_COMPARISON!$A$5:$A$14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YEAR_COMPARISON!$J$5:$J$14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6A-43B3-81C8-061A59F3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Yearly Rate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TRIR</c:v>
          </c:tx>
          <c:cat>
            <c:numRef>
              <c:f>YEAR_COMPARISON!$Q$5:$Q$14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YEAR_COMPARISON!$R$5:$R$14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4-470B-93A1-8B9375124C89}"/>
            </c:ext>
          </c:extLst>
        </c:ser>
        <c:ser>
          <c:idx val="1"/>
          <c:order val="1"/>
          <c:tx>
            <c:v>Near Miss Rate</c:v>
          </c:tx>
          <c:cat>
            <c:numRef>
              <c:f>YEAR_COMPARISON!$Q$5:$Q$14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YEAR_COMPARISON!$S$5:$S$14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4-470B-93A1-8B9375124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9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21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21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D70"/>
  <sheetViews>
    <sheetView showGridLines="0" tabSelected="1" zoomScale="85" zoomScaleNormal="85" workbookViewId="0">
      <selection activeCell="K8" sqref="K8"/>
    </sheetView>
  </sheetViews>
  <sheetFormatPr defaultRowHeight="14.4" x14ac:dyDescent="0.3"/>
  <cols>
    <col min="1" max="1" width="14.109375" customWidth="1"/>
    <col min="2" max="2" width="16.77734375" customWidth="1"/>
    <col min="3" max="3" width="39.6640625" customWidth="1"/>
    <col min="4" max="5" width="14.44140625" customWidth="1"/>
    <col min="6" max="6" width="16.77734375" customWidth="1"/>
    <col min="7" max="7" width="14.44140625" customWidth="1"/>
    <col min="8" max="8" width="18.21875" customWidth="1"/>
    <col min="9" max="9" width="14.44140625" customWidth="1"/>
    <col min="10" max="10" width="16.77734375" customWidth="1"/>
    <col min="11" max="18" width="14.44140625" customWidth="1"/>
    <col min="20" max="30" width="9.77734375" customWidth="1"/>
  </cols>
  <sheetData>
    <row r="1" spans="1:30" ht="24" customHeight="1" x14ac:dyDescent="0.3">
      <c r="A1" s="67" t="s">
        <v>46</v>
      </c>
      <c r="B1" s="67" t="s">
        <v>46</v>
      </c>
      <c r="C1" s="67" t="s">
        <v>46</v>
      </c>
      <c r="D1" s="67" t="s">
        <v>46</v>
      </c>
      <c r="E1" s="67" t="s">
        <v>46</v>
      </c>
      <c r="F1" s="67" t="s">
        <v>46</v>
      </c>
      <c r="G1" s="67" t="s">
        <v>46</v>
      </c>
      <c r="H1" s="67" t="s">
        <v>46</v>
      </c>
      <c r="I1" s="67" t="s">
        <v>46</v>
      </c>
      <c r="J1" s="67" t="s">
        <v>46</v>
      </c>
      <c r="K1" s="67" t="s">
        <v>46</v>
      </c>
      <c r="L1" s="67" t="s">
        <v>46</v>
      </c>
      <c r="M1" s="67" t="s">
        <v>46</v>
      </c>
      <c r="N1" s="67" t="s">
        <v>46</v>
      </c>
      <c r="O1" s="67" t="s">
        <v>46</v>
      </c>
      <c r="P1" s="67" t="s">
        <v>46</v>
      </c>
      <c r="Q1" s="67" t="s">
        <v>46</v>
      </c>
      <c r="R1" s="67" t="s">
        <v>46</v>
      </c>
    </row>
    <row r="2" spans="1:30" ht="19.95" customHeight="1" x14ac:dyDescent="0.3">
      <c r="A2" s="68" t="s">
        <v>47</v>
      </c>
      <c r="B2" s="68" t="s">
        <v>47</v>
      </c>
      <c r="C2" s="68" t="s">
        <v>47</v>
      </c>
      <c r="D2" s="68" t="s">
        <v>47</v>
      </c>
      <c r="E2" s="68" t="s">
        <v>47</v>
      </c>
      <c r="F2" s="68" t="s">
        <v>47</v>
      </c>
      <c r="G2" s="68" t="s">
        <v>47</v>
      </c>
      <c r="H2" s="68" t="s">
        <v>47</v>
      </c>
      <c r="I2" s="68" t="s">
        <v>47</v>
      </c>
      <c r="J2" s="68" t="s">
        <v>47</v>
      </c>
      <c r="K2" s="68" t="s">
        <v>47</v>
      </c>
      <c r="L2" s="68" t="s">
        <v>47</v>
      </c>
      <c r="M2" s="68" t="s">
        <v>47</v>
      </c>
      <c r="N2" s="68" t="s">
        <v>47</v>
      </c>
      <c r="O2" s="68" t="s">
        <v>47</v>
      </c>
      <c r="P2" s="68" t="s">
        <v>47</v>
      </c>
      <c r="Q2" s="68" t="s">
        <v>47</v>
      </c>
      <c r="R2" s="68" t="s">
        <v>47</v>
      </c>
    </row>
    <row r="3" spans="1:30" ht="23.4" customHeight="1" x14ac:dyDescent="0.3">
      <c r="A3" s="38" t="s">
        <v>0</v>
      </c>
      <c r="B3" s="39">
        <v>2025</v>
      </c>
      <c r="C3" s="38" t="s">
        <v>48</v>
      </c>
      <c r="D3" s="39" t="s">
        <v>54</v>
      </c>
      <c r="E3" s="38" t="s">
        <v>49</v>
      </c>
      <c r="F3" s="39" t="s">
        <v>7</v>
      </c>
      <c r="G3" s="38" t="s">
        <v>51</v>
      </c>
      <c r="H3" s="39" t="s">
        <v>52</v>
      </c>
      <c r="I3" s="38" t="s">
        <v>53</v>
      </c>
      <c r="J3" s="39" t="s">
        <v>54</v>
      </c>
      <c r="K3" s="38" t="s">
        <v>55</v>
      </c>
      <c r="L3" s="38">
        <f>IF($D$3="All",12,MATCH($D$3,LISTS!$B$3:$B$14,0))</f>
        <v>12</v>
      </c>
      <c r="M3" s="38" t="s">
        <v>56</v>
      </c>
      <c r="N3" s="38">
        <f>COUNTIFS(KPI_DATA!$J$2:$J$2281,"No. of Hours Worked [Exposure Hours]",KPI_DATA!$AA$2:$AA$2281,"Yes")</f>
        <v>12</v>
      </c>
    </row>
    <row r="4" spans="1:30" ht="33.6" customHeight="1" x14ac:dyDescent="0.3">
      <c r="T4" s="50" t="s">
        <v>57</v>
      </c>
      <c r="U4" s="50" t="s">
        <v>58</v>
      </c>
      <c r="V4" s="50"/>
      <c r="W4" s="50" t="s">
        <v>48</v>
      </c>
      <c r="X4" s="50" t="s">
        <v>12</v>
      </c>
      <c r="Y4" s="50" t="s">
        <v>59</v>
      </c>
      <c r="Z4" s="50" t="s">
        <v>60</v>
      </c>
      <c r="AA4" s="50"/>
      <c r="AB4" s="50" t="s">
        <v>48</v>
      </c>
      <c r="AC4" s="50" t="s">
        <v>61</v>
      </c>
      <c r="AD4" s="50" t="s">
        <v>62</v>
      </c>
    </row>
    <row r="5" spans="1:30" ht="28.95" customHeight="1" x14ac:dyDescent="0.3">
      <c r="A5" s="69" t="s">
        <v>63</v>
      </c>
      <c r="B5" s="62" t="s">
        <v>63</v>
      </c>
      <c r="C5" s="62" t="s">
        <v>63</v>
      </c>
      <c r="D5" s="62" t="s">
        <v>64</v>
      </c>
      <c r="E5" s="62" t="s">
        <v>64</v>
      </c>
      <c r="F5" s="62" t="s">
        <v>64</v>
      </c>
      <c r="G5" s="62" t="s">
        <v>65</v>
      </c>
      <c r="H5" s="62" t="s">
        <v>65</v>
      </c>
      <c r="I5" s="62" t="s">
        <v>65</v>
      </c>
      <c r="J5" s="62" t="s">
        <v>59</v>
      </c>
      <c r="K5" s="62" t="s">
        <v>59</v>
      </c>
      <c r="L5" s="62" t="s">
        <v>59</v>
      </c>
      <c r="M5" s="62" t="s">
        <v>66</v>
      </c>
      <c r="N5" s="62" t="s">
        <v>66</v>
      </c>
      <c r="O5" s="62" t="s">
        <v>66</v>
      </c>
      <c r="P5" s="62" t="s">
        <v>67</v>
      </c>
      <c r="Q5" s="62" t="s">
        <v>67</v>
      </c>
      <c r="R5" s="63" t="s">
        <v>67</v>
      </c>
      <c r="T5" s="50" t="s">
        <v>68</v>
      </c>
      <c r="U5" s="50">
        <f ca="1">COUNTIFS($H$12:$H$30,T5,$B$12:$B$30,IF($J$3="All","*",$J$3))</f>
        <v>7</v>
      </c>
      <c r="V5" s="50"/>
      <c r="W5" s="50" t="s">
        <v>69</v>
      </c>
      <c r="X5" s="50">
        <f ca="1">SUMIFS(KPI_DATA!$L$2:$L$2281,KPI_DATA!$Y$2:$Y$2281,"Yes",KPI_DATA!$E$2:$E$2281,1,KPI_DATA!$J$2:$J$2281,"No. of Hours Worked [Exposure Hours]")</f>
        <v>0</v>
      </c>
      <c r="Y5" s="50">
        <f ca="1">SUMIFS(KPI_DATA!$L$2:$L$2281,KPI_DATA!$Y$2:$Y$2281,"Yes",KPI_DATA!$E$2:$E$2281,1,KPI_DATA!$J$2:$J$2281,"Number of Near-Misses")</f>
        <v>0</v>
      </c>
      <c r="Z5" s="50">
        <f ca="1">SUMIFS(KPI_DATA!$L$2:$L$2281,KPI_DATA!$Y$2:$Y$2281,"Yes",KPI_DATA!$E$2:$E$2281,1,KPI_DATA!$J$2:$J$2281,"Number of TRCs (LTI / RWC / MTC / FAT)")</f>
        <v>0</v>
      </c>
      <c r="AA5" s="50"/>
      <c r="AB5" s="50" t="s">
        <v>69</v>
      </c>
      <c r="AC5" s="50">
        <f ca="1">SUMIFS(KPI_DATA!$L$2:$L$2281,KPI_DATA!$Y$2:$Y$2281,"Yes",KPI_DATA!$E$2:$E$2281,1,KPI_DATA!$I$2:$I$2281,"Leading Indicators")</f>
        <v>0</v>
      </c>
      <c r="AD5" s="50">
        <f ca="1">SUMIFS(KPI_DATA!$L$2:$L$2281,KPI_DATA!$Y$2:$Y$2281,"Yes",KPI_DATA!$E$2:$E$2281,1,KPI_DATA!$I$2:$I$2281,"Lagging Indicators")</f>
        <v>0</v>
      </c>
    </row>
    <row r="6" spans="1:30" ht="30.6" customHeight="1" x14ac:dyDescent="0.45">
      <c r="A6" s="70">
        <f ca="1">SUMIFS(KPI_DATA!$L$2:$L$2281,KPI_DATA!$J$2:$J$2281,"No. of Hours Worked [Exposure Hours]",KPI_DATA!$AA$2:$AA$2281,"Yes")</f>
        <v>39018</v>
      </c>
      <c r="B6" s="71"/>
      <c r="C6" s="71"/>
      <c r="D6" s="71">
        <f ca="1">SUMIFS(KPI_DATA!$L$2:$L$2281,KPI_DATA!$J$2:$J$2281,"No. of Kilometres Driven",KPI_DATA!$AA$2:$AA$2281,"Yes")</f>
        <v>8000</v>
      </c>
      <c r="E6" s="71"/>
      <c r="F6" s="71"/>
      <c r="G6" s="71">
        <f ca="1">SUMIFS(KPI_DATA!$L$2:$L$2281,KPI_DATA!$J$2:$J$2281,"Number of TRCs (LTI / RWC / MTC / FAT)",KPI_DATA!$AA$2:$AA$2281,"Yes")</f>
        <v>0</v>
      </c>
      <c r="H6" s="71"/>
      <c r="I6" s="71"/>
      <c r="J6" s="71">
        <f ca="1">SUMIFS(KPI_DATA!$L$2:$L$2281,KPI_DATA!$J$2:$J$2281,"Number of Near-Misses",KPI_DATA!$AA$2:$AA$2281,"Yes")</f>
        <v>0</v>
      </c>
      <c r="K6" s="71"/>
      <c r="L6" s="71"/>
      <c r="M6" s="73">
        <f ca="1">IFERROR(COUNTIF($H$12:$H$30,"Green")/(COUNTIF($H$12:$H$30,"Green")+COUNTIF($H$12:$H$30,"Amber")+COUNTIF($H$12:$H$30,"Red")),0)</f>
        <v>0.36842105263157893</v>
      </c>
      <c r="N6" s="73"/>
      <c r="O6" s="73"/>
      <c r="P6" s="64" t="str">
        <f>SUMIFS(KPI_DATA!$W$2:$W$2281,KPI_DATA!$AA$2:$AA$2281,"Yes")&amp;" / "&amp;COUNTIFS(KPI_DATA!$AA$2:$AA$2281,"Yes")</f>
        <v>228 / 228</v>
      </c>
      <c r="Q6" s="64"/>
      <c r="R6" s="65"/>
      <c r="T6" s="50" t="s">
        <v>70</v>
      </c>
      <c r="U6" s="50">
        <f ca="1">COUNTIFS($H$12:$H$30,T6,$B$12:$B$30,IF($J$3="All","*",$J$3))</f>
        <v>2</v>
      </c>
      <c r="V6" s="50"/>
      <c r="W6" s="50" t="s">
        <v>71</v>
      </c>
      <c r="X6" s="50">
        <f ca="1">SUMIFS(KPI_DATA!$L$2:$L$2281,KPI_DATA!$Y$2:$Y$2281,"Yes",KPI_DATA!$E$2:$E$2281,2,KPI_DATA!$J$2:$J$2281,"No. of Hours Worked [Exposure Hours]")</f>
        <v>0</v>
      </c>
      <c r="Y6" s="50">
        <f ca="1">SUMIFS(KPI_DATA!$L$2:$L$2281,KPI_DATA!$Y$2:$Y$2281,"Yes",KPI_DATA!$E$2:$E$2281,2,KPI_DATA!$J$2:$J$2281,"Number of Near-Misses")</f>
        <v>0</v>
      </c>
      <c r="Z6" s="50">
        <f ca="1">SUMIFS(KPI_DATA!$L$2:$L$2281,KPI_DATA!$Y$2:$Y$2281,"Yes",KPI_DATA!$E$2:$E$2281,2,KPI_DATA!$J$2:$J$2281,"Number of TRCs (LTI / RWC / MTC / FAT)")</f>
        <v>0</v>
      </c>
      <c r="AA6" s="50"/>
      <c r="AB6" s="50" t="s">
        <v>71</v>
      </c>
      <c r="AC6" s="50">
        <f ca="1">SUMIFS(KPI_DATA!$L$2:$L$2281,KPI_DATA!$Y$2:$Y$2281,"Yes",KPI_DATA!$E$2:$E$2281,2,KPI_DATA!$I$2:$I$2281,"Leading Indicators")</f>
        <v>0</v>
      </c>
      <c r="AD6" s="50">
        <f ca="1">SUMIFS(KPI_DATA!$L$2:$L$2281,KPI_DATA!$Y$2:$Y$2281,"Yes",KPI_DATA!$E$2:$E$2281,2,KPI_DATA!$I$2:$I$2281,"Lagging Indicators")</f>
        <v>0</v>
      </c>
    </row>
    <row r="7" spans="1:30" ht="30.6" customHeight="1" x14ac:dyDescent="0.3">
      <c r="A7" s="72" t="str">
        <f>"Period months: "&amp;TEXT($N$3,"0")</f>
        <v>Period months: 12</v>
      </c>
      <c r="B7" s="61"/>
      <c r="C7" s="61"/>
      <c r="D7" s="61" t="str">
        <f>"Year scope: "&amp;$H$3</f>
        <v>Year scope: Selected Year</v>
      </c>
      <c r="E7" s="61"/>
      <c r="F7" s="61"/>
      <c r="G7" s="61" t="str">
        <f ca="1">"TRIR "&amp;TEXT(IFERROR(G6*1000000/A6,0),"0.00")&amp;" /1M hrs"</f>
        <v>TRIR 0.00 /1M hrs</v>
      </c>
      <c r="H7" s="61"/>
      <c r="I7" s="61"/>
      <c r="J7" s="61" t="str">
        <f ca="1">"Rate "&amp;TEXT(IFERROR(J6*1000000/A6,0),"0.00")&amp;" /1M hrs"</f>
        <v>Rate 0.00 /1M hrs</v>
      </c>
      <c r="K7" s="61"/>
      <c r="L7" s="61"/>
      <c r="M7" s="61" t="str">
        <f ca="1">TEXT(COUNTIF($H$12:$H$30,"Green"),"0")&amp;" Green / "&amp;TEXT(COUNTIF($H$12:$H$30,"Red"),"0")&amp;" Red"</f>
        <v>7 Green / 10 Red</v>
      </c>
      <c r="N7" s="61"/>
      <c r="O7" s="61"/>
      <c r="P7" s="61" t="str">
        <f>"Year entries: "&amp;TEXT(COUNT(KPI_TARGETS!$G$5:$P$23),"0")&amp;" | Defaults: "&amp;TEXT(COUNT(KPI_TARGETS!$F$5:$F$23),"0")</f>
        <v>Year entries: 38 | Defaults: 19</v>
      </c>
      <c r="Q7" s="61"/>
      <c r="R7" s="66"/>
      <c r="T7" s="50" t="s">
        <v>72</v>
      </c>
      <c r="U7" s="50">
        <f ca="1">COUNTIFS($H$12:$H$30,T7,$B$12:$B$30,IF($J$3="All","*",$J$3))</f>
        <v>10</v>
      </c>
      <c r="V7" s="50"/>
      <c r="W7" s="50" t="s">
        <v>73</v>
      </c>
      <c r="X7" s="50">
        <f ca="1">SUMIFS(KPI_DATA!$L$2:$L$2281,KPI_DATA!$Y$2:$Y$2281,"Yes",KPI_DATA!$E$2:$E$2281,3,KPI_DATA!$J$2:$J$2281,"No. of Hours Worked [Exposure Hours]")</f>
        <v>0</v>
      </c>
      <c r="Y7" s="50">
        <f ca="1">SUMIFS(KPI_DATA!$L$2:$L$2281,KPI_DATA!$Y$2:$Y$2281,"Yes",KPI_DATA!$E$2:$E$2281,3,KPI_DATA!$J$2:$J$2281,"Number of Near-Misses")</f>
        <v>0</v>
      </c>
      <c r="Z7" s="50">
        <f ca="1">SUMIFS(KPI_DATA!$L$2:$L$2281,KPI_DATA!$Y$2:$Y$2281,"Yes",KPI_DATA!$E$2:$E$2281,3,KPI_DATA!$J$2:$J$2281,"Number of TRCs (LTI / RWC / MTC / FAT)")</f>
        <v>0</v>
      </c>
      <c r="AA7" s="50"/>
      <c r="AB7" s="50" t="s">
        <v>73</v>
      </c>
      <c r="AC7" s="50">
        <f ca="1">SUMIFS(KPI_DATA!$L$2:$L$2281,KPI_DATA!$Y$2:$Y$2281,"Yes",KPI_DATA!$E$2:$E$2281,3,KPI_DATA!$I$2:$I$2281,"Leading Indicators")</f>
        <v>0</v>
      </c>
      <c r="AD7" s="50">
        <f ca="1">SUMIFS(KPI_DATA!$L$2:$L$2281,KPI_DATA!$Y$2:$Y$2281,"Yes",KPI_DATA!$E$2:$E$2281,3,KPI_DATA!$I$2:$I$2281,"Lagging Indicators")</f>
        <v>0</v>
      </c>
    </row>
    <row r="8" spans="1:30" ht="19.95" customHeight="1" x14ac:dyDescent="0.3">
      <c r="T8" s="50" t="s">
        <v>74</v>
      </c>
      <c r="U8" s="50">
        <f ca="1">COUNTIFS($H$12:$H$30,T8,$B$12:$B$30,IF($J$3="All","*",$J$3))</f>
        <v>0</v>
      </c>
      <c r="V8" s="50"/>
      <c r="W8" s="50" t="s">
        <v>75</v>
      </c>
      <c r="X8" s="50">
        <f ca="1">SUMIFS(KPI_DATA!$L$2:$L$2281,KPI_DATA!$Y$2:$Y$2281,"Yes",KPI_DATA!$E$2:$E$2281,4,KPI_DATA!$J$2:$J$2281,"No. of Hours Worked [Exposure Hours]")</f>
        <v>0</v>
      </c>
      <c r="Y8" s="50">
        <f ca="1">SUMIFS(KPI_DATA!$L$2:$L$2281,KPI_DATA!$Y$2:$Y$2281,"Yes",KPI_DATA!$E$2:$E$2281,4,KPI_DATA!$J$2:$J$2281,"Number of Near-Misses")</f>
        <v>0</v>
      </c>
      <c r="Z8" s="50">
        <f ca="1">SUMIFS(KPI_DATA!$L$2:$L$2281,KPI_DATA!$Y$2:$Y$2281,"Yes",KPI_DATA!$E$2:$E$2281,4,KPI_DATA!$J$2:$J$2281,"Number of TRCs (LTI / RWC / MTC / FAT)")</f>
        <v>0</v>
      </c>
      <c r="AA8" s="50"/>
      <c r="AB8" s="50" t="s">
        <v>75</v>
      </c>
      <c r="AC8" s="50">
        <f ca="1">SUMIFS(KPI_DATA!$L$2:$L$2281,KPI_DATA!$Y$2:$Y$2281,"Yes",KPI_DATA!$E$2:$E$2281,4,KPI_DATA!$I$2:$I$2281,"Leading Indicators")</f>
        <v>0</v>
      </c>
      <c r="AD8" s="50">
        <f ca="1">SUMIFS(KPI_DATA!$L$2:$L$2281,KPI_DATA!$Y$2:$Y$2281,"Yes",KPI_DATA!$E$2:$E$2281,4,KPI_DATA!$I$2:$I$2281,"Lagging Indicators")</f>
        <v>0</v>
      </c>
    </row>
    <row r="9" spans="1:30" ht="42" customHeight="1" x14ac:dyDescent="0.3">
      <c r="T9" s="50"/>
      <c r="U9" s="50"/>
      <c r="V9" s="50"/>
      <c r="W9" s="50" t="s">
        <v>38</v>
      </c>
      <c r="X9" s="50">
        <f ca="1">SUMIFS(KPI_DATA!$L$2:$L$2281,KPI_DATA!$Y$2:$Y$2281,"Yes",KPI_DATA!$E$2:$E$2281,5,KPI_DATA!$J$2:$J$2281,"No. of Hours Worked [Exposure Hours]")</f>
        <v>0</v>
      </c>
      <c r="Y9" s="50">
        <f ca="1">SUMIFS(KPI_DATA!$L$2:$L$2281,KPI_DATA!$Y$2:$Y$2281,"Yes",KPI_DATA!$E$2:$E$2281,5,KPI_DATA!$J$2:$J$2281,"Number of Near-Misses")</f>
        <v>0</v>
      </c>
      <c r="Z9" s="50">
        <f ca="1">SUMIFS(KPI_DATA!$L$2:$L$2281,KPI_DATA!$Y$2:$Y$2281,"Yes",KPI_DATA!$E$2:$E$2281,5,KPI_DATA!$J$2:$J$2281,"Number of TRCs (LTI / RWC / MTC / FAT)")</f>
        <v>0</v>
      </c>
      <c r="AA9" s="50"/>
      <c r="AB9" s="50" t="s">
        <v>38</v>
      </c>
      <c r="AC9" s="50">
        <f ca="1">SUMIFS(KPI_DATA!$L$2:$L$2281,KPI_DATA!$Y$2:$Y$2281,"Yes",KPI_DATA!$E$2:$E$2281,5,KPI_DATA!$I$2:$I$2281,"Leading Indicators")</f>
        <v>0</v>
      </c>
      <c r="AD9" s="50">
        <f ca="1">SUMIFS(KPI_DATA!$L$2:$L$2281,KPI_DATA!$Y$2:$Y$2281,"Yes",KPI_DATA!$E$2:$E$2281,5,KPI_DATA!$I$2:$I$2281,"Lagging Indicators")</f>
        <v>0</v>
      </c>
    </row>
    <row r="10" spans="1:30" ht="28.2" customHeight="1" x14ac:dyDescent="0.3">
      <c r="A10" s="60" t="s">
        <v>76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T10" s="50"/>
      <c r="U10" s="50"/>
      <c r="V10" s="50"/>
      <c r="W10" s="50" t="s">
        <v>77</v>
      </c>
      <c r="X10" s="50">
        <f ca="1">SUMIFS(KPI_DATA!$L$2:$L$2281,KPI_DATA!$Y$2:$Y$2281,"Yes",KPI_DATA!$E$2:$E$2281,6,KPI_DATA!$J$2:$J$2281,"No. of Hours Worked [Exposure Hours]")</f>
        <v>2119.75</v>
      </c>
      <c r="Y10" s="50">
        <f ca="1">SUMIFS(KPI_DATA!$L$2:$L$2281,KPI_DATA!$Y$2:$Y$2281,"Yes",KPI_DATA!$E$2:$E$2281,6,KPI_DATA!$J$2:$J$2281,"Number of Near-Misses")</f>
        <v>0</v>
      </c>
      <c r="Z10" s="50">
        <f ca="1">SUMIFS(KPI_DATA!$L$2:$L$2281,KPI_DATA!$Y$2:$Y$2281,"Yes",KPI_DATA!$E$2:$E$2281,6,KPI_DATA!$J$2:$J$2281,"Number of TRCs (LTI / RWC / MTC / FAT)")</f>
        <v>0</v>
      </c>
      <c r="AA10" s="50"/>
      <c r="AB10" s="50" t="s">
        <v>77</v>
      </c>
      <c r="AC10" s="50">
        <f ca="1">SUMIFS(KPI_DATA!$L$2:$L$2281,KPI_DATA!$Y$2:$Y$2281,"Yes",KPI_DATA!$E$2:$E$2281,6,KPI_DATA!$I$2:$I$2281,"Leading Indicators")</f>
        <v>58</v>
      </c>
      <c r="AD10" s="50">
        <f ca="1">SUMIFS(KPI_DATA!$L$2:$L$2281,KPI_DATA!$Y$2:$Y$2281,"Yes",KPI_DATA!$E$2:$E$2281,6,KPI_DATA!$I$2:$I$2281,"Lagging Indicators")</f>
        <v>0</v>
      </c>
    </row>
    <row r="11" spans="1:30" ht="19.95" customHeight="1" x14ac:dyDescent="0.3">
      <c r="A11" s="43" t="s">
        <v>3</v>
      </c>
      <c r="B11" s="44" t="s">
        <v>53</v>
      </c>
      <c r="C11" s="44" t="s">
        <v>78</v>
      </c>
      <c r="D11" s="44" t="s">
        <v>79</v>
      </c>
      <c r="E11" s="44" t="s">
        <v>80</v>
      </c>
      <c r="F11" s="44" t="s">
        <v>81</v>
      </c>
      <c r="G11" s="44" t="s">
        <v>82</v>
      </c>
      <c r="H11" s="44" t="s">
        <v>57</v>
      </c>
      <c r="I11" s="44" t="s">
        <v>83</v>
      </c>
      <c r="J11" s="44" t="s">
        <v>84</v>
      </c>
      <c r="K11" s="44" t="s">
        <v>8</v>
      </c>
      <c r="L11" s="44" t="s">
        <v>85</v>
      </c>
      <c r="M11" s="45" t="s">
        <v>86</v>
      </c>
      <c r="T11" s="50"/>
      <c r="U11" s="50"/>
      <c r="V11" s="50"/>
      <c r="W11" s="50" t="s">
        <v>87</v>
      </c>
      <c r="X11" s="50">
        <f ca="1">SUMIFS(KPI_DATA!$L$2:$L$2281,KPI_DATA!$Y$2:$Y$2281,"Yes",KPI_DATA!$E$2:$E$2281,7,KPI_DATA!$J$2:$J$2281,"No. of Hours Worked [Exposure Hours]")</f>
        <v>4827.75</v>
      </c>
      <c r="Y11" s="50">
        <f ca="1">SUMIFS(KPI_DATA!$L$2:$L$2281,KPI_DATA!$Y$2:$Y$2281,"Yes",KPI_DATA!$E$2:$E$2281,7,KPI_DATA!$J$2:$J$2281,"Number of Near-Misses")</f>
        <v>0</v>
      </c>
      <c r="Z11" s="50">
        <f ca="1">SUMIFS(KPI_DATA!$L$2:$L$2281,KPI_DATA!$Y$2:$Y$2281,"Yes",KPI_DATA!$E$2:$E$2281,7,KPI_DATA!$J$2:$J$2281,"Number of TRCs (LTI / RWC / MTC / FAT)")</f>
        <v>0</v>
      </c>
      <c r="AA11" s="50"/>
      <c r="AB11" s="50" t="s">
        <v>87</v>
      </c>
      <c r="AC11" s="50">
        <f ca="1">SUMIFS(KPI_DATA!$L$2:$L$2281,KPI_DATA!$Y$2:$Y$2281,"Yes",KPI_DATA!$E$2:$E$2281,7,KPI_DATA!$I$2:$I$2281,"Leading Indicators")</f>
        <v>82</v>
      </c>
      <c r="AD11" s="50">
        <f ca="1">SUMIFS(KPI_DATA!$L$2:$L$2281,KPI_DATA!$Y$2:$Y$2281,"Yes",KPI_DATA!$E$2:$E$2281,7,KPI_DATA!$I$2:$I$2281,"Lagging Indicators")</f>
        <v>0</v>
      </c>
    </row>
    <row r="12" spans="1:30" ht="19.95" customHeight="1" x14ac:dyDescent="0.3">
      <c r="A12" s="23" t="s">
        <v>88</v>
      </c>
      <c r="B12" s="24" t="s">
        <v>89</v>
      </c>
      <c r="C12" s="24" t="s">
        <v>10</v>
      </c>
      <c r="D12" s="32">
        <f ca="1">IF(OR($J$3="All",$B12=$J$3),SUMIFS(KPI_DATA!$L$2:$L$2281,KPI_DATA!$J$2:$J$2281,"Exposure Hours / Vehicles",KPI_DATA!$AA$2:$AA$2281,"Yes"),"")</f>
        <v>0</v>
      </c>
      <c r="E12" s="32">
        <f>IF(OR($J$3="All",$B12=$J$3),IF(SUMIFS(KPI_DATA!$W$2:$W$2281,KPI_DATA!$J$2:$J$2281,$C12,KPI_DATA!$AA$2:$AA$2281,"Yes")=0,"",SUMIFS(KPI_DATA!$M$2:$M$2281,KPI_DATA!$J$2:$J$2281,$C12,KPI_DATA!$AA$2:$AA$2281,"Yes")),"")</f>
        <v>1248</v>
      </c>
      <c r="F12" s="24" t="str">
        <f>IF(OR($J$3="All",$B12=$J$3),IFERROR(INDEX(KPI_TARGETS!$E$5:$E$23,MATCH($C12,KPI_TARGETS!$C$5:$C$23,0)),"Higher is better"),"")</f>
        <v>Higher is better</v>
      </c>
      <c r="G12" s="46">
        <f t="shared" ref="G12:G30" ca="1" si="0">IF($E12="","",IF($F12="Higher is better",IFERROR($D12/$E12,""),IF($D12=0,1,IFERROR($E12/$D12,""))))</f>
        <v>0</v>
      </c>
      <c r="H12" s="24" t="str">
        <f t="shared" ref="H12:H30" ca="1" si="1">IF(NOT(OR($J$3="All",$B12=$J$3)),"",IF($E12="","Target Needed",IF($F12="Higher is better",IF($D12&gt;=$E12,"Green",IF($D12&gt;=0.8*$E12,"Amber","Red")),IF($E12=0,IF($D12=0,"Green","Red"),IF($D12&lt;=$E12,"Green",IF($D12&lt;=1.25*$E12,"Amber","Red"))))))</f>
        <v>Red</v>
      </c>
      <c r="I12" s="32">
        <f t="shared" ref="I12:I30" ca="1" si="2">IF($E12="","",IF($F12="Higher is better",$D12-$E12,$E12-$D12))</f>
        <v>-1248</v>
      </c>
      <c r="J12" s="32">
        <f ca="1">IF(OR($J$3="All",$B12=$J$3),SUMIFS(KPI_DATA!$L$2:$L$2281,KPI_DATA!$J$2:$J$2281,"Exposure Hours / Vehicles",KPI_DATA!$Y$2:$Y$2281,"Yes",KPI_DATA!$E$2:$E$2281,"&lt;="&amp;$L$3),"")</f>
        <v>0</v>
      </c>
      <c r="K12" s="32">
        <f ca="1">IF(OR($J$3="All",$B12=$J$3),SUMIFS(KPI_DATA!$L$2:$L$2281,KPI_DATA!$J$2:$J$2281,"Exposure Hours / Vehicles",KPI_DATA!$C$2:$C$2281,"Yes",KPI_DATA!$A$2:$A$2281,"&lt;"&amp;$B$3)+SUMIFS(KPI_DATA!$L$2:$L$2281,KPI_DATA!$J$2:$J$2281,"Exposure Hours / Vehicles",KPI_DATA!$C$2:$C$2281,"Yes",KPI_DATA!$A$2:$A$2281,$B$3,KPI_DATA!$E$2:$E$2281,"&lt;="&amp;$L$3),"")</f>
        <v>0</v>
      </c>
      <c r="L12" s="32" t="str">
        <f>IF(OR($D$3="All",$H$3&lt;&gt;"Selected Year"),"",SUMIFS(KPI_DATA!$L$2:$L$2281,KPI_DATA!$J$2:$J$2281,"Exposure Hours / Vehicles",KPI_DATA!$A$2:$A$2281,$B$3,KPI_DATA!$E$2:$E$2281,$L$3)-SUMIFS(KPI_DATA!$L$2:$L$2281,KPI_DATA!$J$2:$J$2281,"Exposure Hours / Vehicles",KPI_DATA!$A$2:$A$2281,IF($L$3=1,$B$3-1,$B$3),KPI_DATA!$E$2:$E$2281,IF($L$3=1,12,$L$3-1)))</f>
        <v/>
      </c>
      <c r="M12" s="48" t="str">
        <f t="shared" ref="M12:M30" si="3">IF($B12&lt;&gt;"Lagging Indicators","",IFERROR($D12*1000000/INDEX($D$12:$D$30,MATCH("No. of Hours Worked [Exposure Hours]",$C$12:$C$30,0)),""))</f>
        <v/>
      </c>
      <c r="T12" s="50"/>
      <c r="U12" s="50"/>
      <c r="V12" s="50"/>
      <c r="W12" s="50" t="s">
        <v>90</v>
      </c>
      <c r="X12" s="50">
        <f ca="1">SUMIFS(KPI_DATA!$L$2:$L$2281,KPI_DATA!$Y$2:$Y$2281,"Yes",KPI_DATA!$E$2:$E$2281,8,KPI_DATA!$J$2:$J$2281,"No. of Hours Worked [Exposure Hours]")</f>
        <v>6904</v>
      </c>
      <c r="Y12" s="50">
        <f ca="1">SUMIFS(KPI_DATA!$L$2:$L$2281,KPI_DATA!$Y$2:$Y$2281,"Yes",KPI_DATA!$E$2:$E$2281,8,KPI_DATA!$J$2:$J$2281,"Number of Near-Misses")</f>
        <v>0</v>
      </c>
      <c r="Z12" s="50">
        <f ca="1">SUMIFS(KPI_DATA!$L$2:$L$2281,KPI_DATA!$Y$2:$Y$2281,"Yes",KPI_DATA!$E$2:$E$2281,8,KPI_DATA!$J$2:$J$2281,"Number of TRCs (LTI / RWC / MTC / FAT)")</f>
        <v>0</v>
      </c>
      <c r="AA12" s="50"/>
      <c r="AB12" s="50" t="s">
        <v>90</v>
      </c>
      <c r="AC12" s="50">
        <f ca="1">SUMIFS(KPI_DATA!$L$2:$L$2281,KPI_DATA!$Y$2:$Y$2281,"Yes",KPI_DATA!$E$2:$E$2281,8,KPI_DATA!$I$2:$I$2281,"Leading Indicators")</f>
        <v>97</v>
      </c>
      <c r="AD12" s="50">
        <f ca="1">SUMIFS(KPI_DATA!$L$2:$L$2281,KPI_DATA!$Y$2:$Y$2281,"Yes",KPI_DATA!$E$2:$E$2281,8,KPI_DATA!$I$2:$I$2281,"Lagging Indicators")</f>
        <v>0</v>
      </c>
    </row>
    <row r="13" spans="1:30" ht="19.95" customHeight="1" x14ac:dyDescent="0.3">
      <c r="A13" s="23" t="s">
        <v>91</v>
      </c>
      <c r="B13" s="24" t="s">
        <v>89</v>
      </c>
      <c r="C13" s="24" t="s">
        <v>11</v>
      </c>
      <c r="D13" s="32">
        <f ca="1">IF(OR($J$3="All",$B13=$J$3),SUMIFS(KPI_DATA!$L$2:$L$2281,KPI_DATA!$J$2:$J$2281,"No. of Hours Worked [Exposure Hours]",KPI_DATA!$AA$2:$AA$2281,"Yes"),"")</f>
        <v>39018</v>
      </c>
      <c r="E13" s="32">
        <f>IF(OR($J$3="All",$B13=$J$3),IF(SUMIFS(KPI_DATA!$W$2:$W$2281,KPI_DATA!$J$2:$J$2281,$C13,KPI_DATA!$AA$2:$AA$2281,"Yes")=0,"",SUMIFS(KPI_DATA!$M$2:$M$2281,KPI_DATA!$J$2:$J$2281,$C13,KPI_DATA!$AA$2:$AA$2281,"Yes")),"")</f>
        <v>48000</v>
      </c>
      <c r="F13" s="24" t="str">
        <f>IF(OR($J$3="All",$B13=$J$3),IFERROR(INDEX(KPI_TARGETS!$E$5:$E$23,MATCH($C13,KPI_TARGETS!$C$5:$C$23,0)),"Higher is better"),"")</f>
        <v>Higher is better</v>
      </c>
      <c r="G13" s="46">
        <f t="shared" ca="1" si="0"/>
        <v>0.81287500000000001</v>
      </c>
      <c r="H13" s="24" t="str">
        <f t="shared" ca="1" si="1"/>
        <v>Amber</v>
      </c>
      <c r="I13" s="32">
        <f t="shared" ca="1" si="2"/>
        <v>-8982</v>
      </c>
      <c r="J13" s="32">
        <f ca="1">IF(OR($J$3="All",$B13=$J$3),SUMIFS(KPI_DATA!$L$2:$L$2281,KPI_DATA!$J$2:$J$2281,"No. of Hours Worked [Exposure Hours]",KPI_DATA!$Y$2:$Y$2281,"Yes",KPI_DATA!$E$2:$E$2281,"&lt;="&amp;$L$3),"")</f>
        <v>39018</v>
      </c>
      <c r="K13" s="32">
        <f ca="1">IF(OR($J$3="All",$B13=$J$3),SUMIFS(KPI_DATA!$L$2:$L$2281,KPI_DATA!$J$2:$J$2281,"No. of Hours Worked [Exposure Hours]",KPI_DATA!$C$2:$C$2281,"Yes",KPI_DATA!$A$2:$A$2281,"&lt;"&amp;$B$3)+SUMIFS(KPI_DATA!$L$2:$L$2281,KPI_DATA!$J$2:$J$2281,"No. of Hours Worked [Exposure Hours]",KPI_DATA!$C$2:$C$2281,"Yes",KPI_DATA!$A$2:$A$2281,$B$3,KPI_DATA!$E$2:$E$2281,"&lt;="&amp;$L$3),"")</f>
        <v>39018</v>
      </c>
      <c r="L13" s="32" t="str">
        <f>IF(OR($D$3="All",$H$3&lt;&gt;"Selected Year"),"",SUMIFS(KPI_DATA!$L$2:$L$2281,KPI_DATA!$J$2:$J$2281,"No. of Hours Worked [Exposure Hours]",KPI_DATA!$A$2:$A$2281,$B$3,KPI_DATA!$E$2:$E$2281,$L$3)-SUMIFS(KPI_DATA!$L$2:$L$2281,KPI_DATA!$J$2:$J$2281,"No. of Hours Worked [Exposure Hours]",KPI_DATA!$A$2:$A$2281,IF($L$3=1,$B$3-1,$B$3),KPI_DATA!$E$2:$E$2281,IF($L$3=1,12,$L$3-1)))</f>
        <v/>
      </c>
      <c r="M13" s="48" t="str">
        <f t="shared" si="3"/>
        <v/>
      </c>
      <c r="T13" s="50"/>
      <c r="U13" s="50"/>
      <c r="V13" s="50"/>
      <c r="W13" s="50" t="s">
        <v>92</v>
      </c>
      <c r="X13" s="50">
        <f ca="1">SUMIFS(KPI_DATA!$L$2:$L$2281,KPI_DATA!$Y$2:$Y$2281,"Yes",KPI_DATA!$E$2:$E$2281,9,KPI_DATA!$J$2:$J$2281,"No. of Hours Worked [Exposure Hours]")</f>
        <v>4880</v>
      </c>
      <c r="Y13" s="50">
        <f ca="1">SUMIFS(KPI_DATA!$L$2:$L$2281,KPI_DATA!$Y$2:$Y$2281,"Yes",KPI_DATA!$E$2:$E$2281,9,KPI_DATA!$J$2:$J$2281,"Number of Near-Misses")</f>
        <v>0</v>
      </c>
      <c r="Z13" s="50">
        <f ca="1">SUMIFS(KPI_DATA!$L$2:$L$2281,KPI_DATA!$Y$2:$Y$2281,"Yes",KPI_DATA!$E$2:$E$2281,9,KPI_DATA!$J$2:$J$2281,"Number of TRCs (LTI / RWC / MTC / FAT)")</f>
        <v>0</v>
      </c>
      <c r="AA13" s="50"/>
      <c r="AB13" s="50" t="s">
        <v>92</v>
      </c>
      <c r="AC13" s="50">
        <f ca="1">SUMIFS(KPI_DATA!$L$2:$L$2281,KPI_DATA!$Y$2:$Y$2281,"Yes",KPI_DATA!$E$2:$E$2281,9,KPI_DATA!$I$2:$I$2281,"Leading Indicators")</f>
        <v>84</v>
      </c>
      <c r="AD13" s="50">
        <f ca="1">SUMIFS(KPI_DATA!$L$2:$L$2281,KPI_DATA!$Y$2:$Y$2281,"Yes",KPI_DATA!$E$2:$E$2281,9,KPI_DATA!$I$2:$I$2281,"Lagging Indicators")</f>
        <v>0</v>
      </c>
    </row>
    <row r="14" spans="1:30" x14ac:dyDescent="0.3">
      <c r="A14" s="23" t="s">
        <v>93</v>
      </c>
      <c r="B14" s="24" t="s">
        <v>89</v>
      </c>
      <c r="C14" s="24" t="s">
        <v>13</v>
      </c>
      <c r="D14" s="32">
        <f ca="1">IF(OR($J$3="All",$B14=$J$3),SUMIFS(KPI_DATA!$L$2:$L$2281,KPI_DATA!$J$2:$J$2281,"No. of Kilometres Driven",KPI_DATA!$AA$2:$AA$2281,"Yes"),"")</f>
        <v>8000</v>
      </c>
      <c r="E14" s="32">
        <f>IF(OR($J$3="All",$B14=$J$3),IF(SUMIFS(KPI_DATA!$W$2:$W$2281,KPI_DATA!$J$2:$J$2281,$C14,KPI_DATA!$AA$2:$AA$2281,"Yes")=0,"",SUMIFS(KPI_DATA!$M$2:$M$2281,KPI_DATA!$J$2:$J$2281,$C14,KPI_DATA!$AA$2:$AA$2281,"Yes")),"")</f>
        <v>96000</v>
      </c>
      <c r="F14" s="24" t="str">
        <f>IF(OR($J$3="All",$B14=$J$3),IFERROR(INDEX(KPI_TARGETS!$E$5:$E$23,MATCH($C14,KPI_TARGETS!$C$5:$C$23,0)),"Higher is better"),"")</f>
        <v>Higher is better</v>
      </c>
      <c r="G14" s="46">
        <f t="shared" ca="1" si="0"/>
        <v>8.3333333333333329E-2</v>
      </c>
      <c r="H14" s="24" t="str">
        <f t="shared" ca="1" si="1"/>
        <v>Red</v>
      </c>
      <c r="I14" s="32">
        <f t="shared" ca="1" si="2"/>
        <v>-88000</v>
      </c>
      <c r="J14" s="32">
        <f ca="1">IF(OR($J$3="All",$B14=$J$3),SUMIFS(KPI_DATA!$L$2:$L$2281,KPI_DATA!$J$2:$J$2281,"No. of Kilometres Driven",KPI_DATA!$Y$2:$Y$2281,"Yes",KPI_DATA!$E$2:$E$2281,"&lt;="&amp;$L$3),"")</f>
        <v>8000</v>
      </c>
      <c r="K14" s="32">
        <f ca="1">IF(OR($J$3="All",$B14=$J$3),SUMIFS(KPI_DATA!$L$2:$L$2281,KPI_DATA!$J$2:$J$2281,"No. of Kilometres Driven",KPI_DATA!$C$2:$C$2281,"Yes",KPI_DATA!$A$2:$A$2281,"&lt;"&amp;$B$3)+SUMIFS(KPI_DATA!$L$2:$L$2281,KPI_DATA!$J$2:$J$2281,"No. of Kilometres Driven",KPI_DATA!$C$2:$C$2281,"Yes",KPI_DATA!$A$2:$A$2281,$B$3,KPI_DATA!$E$2:$E$2281,"&lt;="&amp;$L$3),"")</f>
        <v>8000</v>
      </c>
      <c r="L14" s="32" t="str">
        <f>IF(OR($D$3="All",$H$3&lt;&gt;"Selected Year"),"",SUMIFS(KPI_DATA!$L$2:$L$2281,KPI_DATA!$J$2:$J$2281,"No. of Kilometres Driven",KPI_DATA!$A$2:$A$2281,$B$3,KPI_DATA!$E$2:$E$2281,$L$3)-SUMIFS(KPI_DATA!$L$2:$L$2281,KPI_DATA!$J$2:$J$2281,"No. of Kilometres Driven",KPI_DATA!$A$2:$A$2281,IF($L$3=1,$B$3-1,$B$3),KPI_DATA!$E$2:$E$2281,IF($L$3=1,12,$L$3-1)))</f>
        <v/>
      </c>
      <c r="M14" s="48" t="str">
        <f t="shared" si="3"/>
        <v/>
      </c>
      <c r="T14" s="50"/>
      <c r="U14" s="50"/>
      <c r="V14" s="50"/>
      <c r="W14" s="50" t="s">
        <v>94</v>
      </c>
      <c r="X14" s="50">
        <f ca="1">SUMIFS(KPI_DATA!$L$2:$L$2281,KPI_DATA!$Y$2:$Y$2281,"Yes",KPI_DATA!$E$2:$E$2281,10,KPI_DATA!$J$2:$J$2281,"No. of Hours Worked [Exposure Hours]")</f>
        <v>14779.5</v>
      </c>
      <c r="Y14" s="50">
        <f ca="1">SUMIFS(KPI_DATA!$L$2:$L$2281,KPI_DATA!$Y$2:$Y$2281,"Yes",KPI_DATA!$E$2:$E$2281,10,KPI_DATA!$J$2:$J$2281,"Number of Near-Misses")</f>
        <v>0</v>
      </c>
      <c r="Z14" s="50">
        <f ca="1">SUMIFS(KPI_DATA!$L$2:$L$2281,KPI_DATA!$Y$2:$Y$2281,"Yes",KPI_DATA!$E$2:$E$2281,10,KPI_DATA!$J$2:$J$2281,"Number of TRCs (LTI / RWC / MTC / FAT)")</f>
        <v>0</v>
      </c>
      <c r="AA14" s="50"/>
      <c r="AB14" s="50" t="s">
        <v>94</v>
      </c>
      <c r="AC14" s="50">
        <f ca="1">SUMIFS(KPI_DATA!$L$2:$L$2281,KPI_DATA!$Y$2:$Y$2281,"Yes",KPI_DATA!$E$2:$E$2281,10,KPI_DATA!$I$2:$I$2281,"Leading Indicators")</f>
        <v>82</v>
      </c>
      <c r="AD14" s="50">
        <f ca="1">SUMIFS(KPI_DATA!$L$2:$L$2281,KPI_DATA!$Y$2:$Y$2281,"Yes",KPI_DATA!$E$2:$E$2281,10,KPI_DATA!$I$2:$I$2281,"Lagging Indicators")</f>
        <v>0</v>
      </c>
    </row>
    <row r="15" spans="1:30" ht="19.95" customHeight="1" x14ac:dyDescent="0.3">
      <c r="A15" s="23" t="s">
        <v>95</v>
      </c>
      <c r="B15" s="24" t="s">
        <v>15</v>
      </c>
      <c r="C15" s="24" t="s">
        <v>16</v>
      </c>
      <c r="D15" s="32">
        <f ca="1">IF(OR($J$3="All",$B15=$J$3),SUMIFS(KPI_DATA!$L$2:$L$2281,KPI_DATA!$J$2:$J$2281,"Incidents / Accidents (Per Occurrence)",KPI_DATA!$AA$2:$AA$2281,"Yes"),"")</f>
        <v>0</v>
      </c>
      <c r="E15" s="32">
        <f>IF(OR($J$3="All",$B15=$J$3),IF(SUMIFS(KPI_DATA!$W$2:$W$2281,KPI_DATA!$J$2:$J$2281,$C15,KPI_DATA!$AA$2:$AA$2281,"Yes")=0,"",SUMIFS(KPI_DATA!$M$2:$M$2281,KPI_DATA!$J$2:$J$2281,$C15,KPI_DATA!$AA$2:$AA$2281,"Yes")),"")</f>
        <v>0</v>
      </c>
      <c r="F15" s="24" t="str">
        <f>IF(OR($J$3="All",$B15=$J$3),IFERROR(INDEX(KPI_TARGETS!$E$5:$E$23,MATCH($C15,KPI_TARGETS!$C$5:$C$23,0)),"Higher is better"),"")</f>
        <v>Lower is better</v>
      </c>
      <c r="G15" s="46">
        <f t="shared" ca="1" si="0"/>
        <v>1</v>
      </c>
      <c r="H15" s="24" t="str">
        <f t="shared" ca="1" si="1"/>
        <v>Green</v>
      </c>
      <c r="I15" s="32">
        <f t="shared" ca="1" si="2"/>
        <v>0</v>
      </c>
      <c r="J15" s="32">
        <f ca="1">IF(OR($J$3="All",$B15=$J$3),SUMIFS(KPI_DATA!$L$2:$L$2281,KPI_DATA!$J$2:$J$2281,"Incidents / Accidents (Per Occurrence)",KPI_DATA!$Y$2:$Y$2281,"Yes",KPI_DATA!$E$2:$E$2281,"&lt;="&amp;$L$3),"")</f>
        <v>0</v>
      </c>
      <c r="K15" s="32">
        <f ca="1">IF(OR($J$3="All",$B15=$J$3),SUMIFS(KPI_DATA!$L$2:$L$2281,KPI_DATA!$J$2:$J$2281,"Incidents / Accidents (Per Occurrence)",KPI_DATA!$C$2:$C$2281,"Yes",KPI_DATA!$A$2:$A$2281,"&lt;"&amp;$B$3)+SUMIFS(KPI_DATA!$L$2:$L$2281,KPI_DATA!$J$2:$J$2281,"Incidents / Accidents (Per Occurrence)",KPI_DATA!$C$2:$C$2281,"Yes",KPI_DATA!$A$2:$A$2281,$B$3,KPI_DATA!$E$2:$E$2281,"&lt;="&amp;$L$3),"")</f>
        <v>0</v>
      </c>
      <c r="L15" s="32" t="str">
        <f>IF(OR($D$3="All",$H$3&lt;&gt;"Selected Year"),"",SUMIFS(KPI_DATA!$L$2:$L$2281,KPI_DATA!$J$2:$J$2281,"Incidents / Accidents (Per Occurrence)",KPI_DATA!$A$2:$A$2281,$B$3,KPI_DATA!$E$2:$E$2281,$L$3)-SUMIFS(KPI_DATA!$L$2:$L$2281,KPI_DATA!$J$2:$J$2281,"Incidents / Accidents (Per Occurrence)",KPI_DATA!$A$2:$A$2281,IF($L$3=1,$B$3-1,$B$3),KPI_DATA!$E$2:$E$2281,IF($L$3=1,12,$L$3-1)))</f>
        <v/>
      </c>
      <c r="M15" s="48">
        <f t="shared" ca="1" si="3"/>
        <v>0</v>
      </c>
      <c r="T15" s="50"/>
      <c r="U15" s="50"/>
      <c r="V15" s="50"/>
      <c r="W15" s="50" t="s">
        <v>96</v>
      </c>
      <c r="X15" s="50">
        <f ca="1">SUMIFS(KPI_DATA!$L$2:$L$2281,KPI_DATA!$Y$2:$Y$2281,"Yes",KPI_DATA!$E$2:$E$2281,11,KPI_DATA!$J$2:$J$2281,"No. of Hours Worked [Exposure Hours]")</f>
        <v>5507</v>
      </c>
      <c r="Y15" s="50">
        <f ca="1">SUMIFS(KPI_DATA!$L$2:$L$2281,KPI_DATA!$Y$2:$Y$2281,"Yes",KPI_DATA!$E$2:$E$2281,11,KPI_DATA!$J$2:$J$2281,"Number of Near-Misses")</f>
        <v>0</v>
      </c>
      <c r="Z15" s="50">
        <f ca="1">SUMIFS(KPI_DATA!$L$2:$L$2281,KPI_DATA!$Y$2:$Y$2281,"Yes",KPI_DATA!$E$2:$E$2281,11,KPI_DATA!$J$2:$J$2281,"Number of TRCs (LTI / RWC / MTC / FAT)")</f>
        <v>0</v>
      </c>
      <c r="AA15" s="50"/>
      <c r="AB15" s="50" t="s">
        <v>96</v>
      </c>
      <c r="AC15" s="50">
        <f ca="1">SUMIFS(KPI_DATA!$L$2:$L$2281,KPI_DATA!$Y$2:$Y$2281,"Yes",KPI_DATA!$E$2:$E$2281,11,KPI_DATA!$I$2:$I$2281,"Leading Indicators")</f>
        <v>66</v>
      </c>
      <c r="AD15" s="50">
        <f ca="1">SUMIFS(KPI_DATA!$L$2:$L$2281,KPI_DATA!$Y$2:$Y$2281,"Yes",KPI_DATA!$E$2:$E$2281,11,KPI_DATA!$I$2:$I$2281,"Lagging Indicators")</f>
        <v>0</v>
      </c>
    </row>
    <row r="16" spans="1:30" ht="19.95" customHeight="1" x14ac:dyDescent="0.3">
      <c r="A16" s="23" t="s">
        <v>97</v>
      </c>
      <c r="B16" s="24" t="s">
        <v>15</v>
      </c>
      <c r="C16" s="24" t="s">
        <v>17</v>
      </c>
      <c r="D16" s="32">
        <f ca="1">IF(OR($J$3="All",$B16=$J$3),SUMIFS(KPI_DATA!$L$2:$L$2281,KPI_DATA!$J$2:$J$2281,"Number of Near-Misses",KPI_DATA!$AA$2:$AA$2281,"Yes"),"")</f>
        <v>0</v>
      </c>
      <c r="E16" s="32">
        <f>IF(OR($J$3="All",$B16=$J$3),IF(SUMIFS(KPI_DATA!$W$2:$W$2281,KPI_DATA!$J$2:$J$2281,$C16,KPI_DATA!$AA$2:$AA$2281,"Yes")=0,"",SUMIFS(KPI_DATA!$M$2:$M$2281,KPI_DATA!$J$2:$J$2281,$C16,KPI_DATA!$AA$2:$AA$2281,"Yes")),"")</f>
        <v>0</v>
      </c>
      <c r="F16" s="24" t="str">
        <f>IF(OR($J$3="All",$B16=$J$3),IFERROR(INDEX(KPI_TARGETS!$E$5:$E$23,MATCH($C16,KPI_TARGETS!$C$5:$C$23,0)),"Higher is better"),"")</f>
        <v>Higher is better</v>
      </c>
      <c r="G16" s="46" t="str">
        <f t="shared" ca="1" si="0"/>
        <v/>
      </c>
      <c r="H16" s="24" t="str">
        <f t="shared" ca="1" si="1"/>
        <v>Green</v>
      </c>
      <c r="I16" s="32">
        <f t="shared" ca="1" si="2"/>
        <v>0</v>
      </c>
      <c r="J16" s="32">
        <f ca="1">IF(OR($J$3="All",$B16=$J$3),SUMIFS(KPI_DATA!$L$2:$L$2281,KPI_DATA!$J$2:$J$2281,"Number of Near-Misses",KPI_DATA!$Y$2:$Y$2281,"Yes",KPI_DATA!$E$2:$E$2281,"&lt;="&amp;$L$3),"")</f>
        <v>0</v>
      </c>
      <c r="K16" s="32">
        <f ca="1">IF(OR($J$3="All",$B16=$J$3),SUMIFS(KPI_DATA!$L$2:$L$2281,KPI_DATA!$J$2:$J$2281,"Number of Near-Misses",KPI_DATA!$C$2:$C$2281,"Yes",KPI_DATA!$A$2:$A$2281,"&lt;"&amp;$B$3)+SUMIFS(KPI_DATA!$L$2:$L$2281,KPI_DATA!$J$2:$J$2281,"Number of Near-Misses",KPI_DATA!$C$2:$C$2281,"Yes",KPI_DATA!$A$2:$A$2281,$B$3,KPI_DATA!$E$2:$E$2281,"&lt;="&amp;$L$3),"")</f>
        <v>0</v>
      </c>
      <c r="L16" s="32" t="str">
        <f>IF(OR($D$3="All",$H$3&lt;&gt;"Selected Year"),"",SUMIFS(KPI_DATA!$L$2:$L$2281,KPI_DATA!$J$2:$J$2281,"Number of Near-Misses",KPI_DATA!$A$2:$A$2281,$B$3,KPI_DATA!$E$2:$E$2281,$L$3)-SUMIFS(KPI_DATA!$L$2:$L$2281,KPI_DATA!$J$2:$J$2281,"Number of Near-Misses",KPI_DATA!$A$2:$A$2281,IF($L$3=1,$B$3-1,$B$3),KPI_DATA!$E$2:$E$2281,IF($L$3=1,12,$L$3-1)))</f>
        <v/>
      </c>
      <c r="M16" s="48">
        <f t="shared" ca="1" si="3"/>
        <v>0</v>
      </c>
      <c r="T16" s="50"/>
      <c r="U16" s="50"/>
      <c r="V16" s="50"/>
      <c r="W16" s="50" t="s">
        <v>98</v>
      </c>
      <c r="X16" s="50">
        <f ca="1">SUMIFS(KPI_DATA!$L$2:$L$2281,KPI_DATA!$Y$2:$Y$2281,"Yes",KPI_DATA!$E$2:$E$2281,12,KPI_DATA!$J$2:$J$2281,"No. of Hours Worked [Exposure Hours]")</f>
        <v>0</v>
      </c>
      <c r="Y16" s="50">
        <f ca="1">SUMIFS(KPI_DATA!$L$2:$L$2281,KPI_DATA!$Y$2:$Y$2281,"Yes",KPI_DATA!$E$2:$E$2281,12,KPI_DATA!$J$2:$J$2281,"Number of Near-Misses")</f>
        <v>0</v>
      </c>
      <c r="Z16" s="50">
        <f ca="1">SUMIFS(KPI_DATA!$L$2:$L$2281,KPI_DATA!$Y$2:$Y$2281,"Yes",KPI_DATA!$E$2:$E$2281,12,KPI_DATA!$J$2:$J$2281,"Number of TRCs (LTI / RWC / MTC / FAT)")</f>
        <v>0</v>
      </c>
      <c r="AA16" s="50"/>
      <c r="AB16" s="50" t="s">
        <v>98</v>
      </c>
      <c r="AC16" s="50">
        <f ca="1">SUMIFS(KPI_DATA!$L$2:$L$2281,KPI_DATA!$Y$2:$Y$2281,"Yes",KPI_DATA!$E$2:$E$2281,12,KPI_DATA!$I$2:$I$2281,"Leading Indicators")</f>
        <v>41</v>
      </c>
      <c r="AD16" s="50">
        <f ca="1">SUMIFS(KPI_DATA!$L$2:$L$2281,KPI_DATA!$Y$2:$Y$2281,"Yes",KPI_DATA!$E$2:$E$2281,12,KPI_DATA!$I$2:$I$2281,"Lagging Indicators")</f>
        <v>0</v>
      </c>
    </row>
    <row r="17" spans="1:13" x14ac:dyDescent="0.3">
      <c r="A17" s="23" t="s">
        <v>99</v>
      </c>
      <c r="B17" s="24" t="s">
        <v>15</v>
      </c>
      <c r="C17" s="24" t="s">
        <v>18</v>
      </c>
      <c r="D17" s="32">
        <f ca="1">IF(OR($J$3="All",$B17=$J$3),SUMIFS(KPI_DATA!$L$2:$L$2281,KPI_DATA!$J$2:$J$2281,"High Potential Incidents",KPI_DATA!$AA$2:$AA$2281,"Yes"),"")</f>
        <v>0</v>
      </c>
      <c r="E17" s="32">
        <f>IF(OR($J$3="All",$B17=$J$3),IF(SUMIFS(KPI_DATA!$W$2:$W$2281,KPI_DATA!$J$2:$J$2281,$C17,KPI_DATA!$AA$2:$AA$2281,"Yes")=0,"",SUMIFS(KPI_DATA!$M$2:$M$2281,KPI_DATA!$J$2:$J$2281,$C17,KPI_DATA!$AA$2:$AA$2281,"Yes")),"")</f>
        <v>0</v>
      </c>
      <c r="F17" s="24" t="str">
        <f>IF(OR($J$3="All",$B17=$J$3),IFERROR(INDEX(KPI_TARGETS!$E$5:$E$23,MATCH($C17,KPI_TARGETS!$C$5:$C$23,0)),"Higher is better"),"")</f>
        <v>Lower is better</v>
      </c>
      <c r="G17" s="46">
        <f t="shared" ca="1" si="0"/>
        <v>1</v>
      </c>
      <c r="H17" s="24" t="str">
        <f t="shared" ca="1" si="1"/>
        <v>Green</v>
      </c>
      <c r="I17" s="32">
        <f t="shared" ca="1" si="2"/>
        <v>0</v>
      </c>
      <c r="J17" s="32">
        <f ca="1">IF(OR($J$3="All",$B17=$J$3),SUMIFS(KPI_DATA!$L$2:$L$2281,KPI_DATA!$J$2:$J$2281,"High Potential Incidents",KPI_DATA!$Y$2:$Y$2281,"Yes",KPI_DATA!$E$2:$E$2281,"&lt;="&amp;$L$3),"")</f>
        <v>0</v>
      </c>
      <c r="K17" s="32">
        <f ca="1">IF(OR($J$3="All",$B17=$J$3),SUMIFS(KPI_DATA!$L$2:$L$2281,KPI_DATA!$J$2:$J$2281,"High Potential Incidents",KPI_DATA!$C$2:$C$2281,"Yes",KPI_DATA!$A$2:$A$2281,"&lt;"&amp;$B$3)+SUMIFS(KPI_DATA!$L$2:$L$2281,KPI_DATA!$J$2:$J$2281,"High Potential Incidents",KPI_DATA!$C$2:$C$2281,"Yes",KPI_DATA!$A$2:$A$2281,$B$3,KPI_DATA!$E$2:$E$2281,"&lt;="&amp;$L$3),"")</f>
        <v>0</v>
      </c>
      <c r="L17" s="32" t="str">
        <f>IF(OR($D$3="All",$H$3&lt;&gt;"Selected Year"),"",SUMIFS(KPI_DATA!$L$2:$L$2281,KPI_DATA!$J$2:$J$2281,"High Potential Incidents",KPI_DATA!$A$2:$A$2281,$B$3,KPI_DATA!$E$2:$E$2281,$L$3)-SUMIFS(KPI_DATA!$L$2:$L$2281,KPI_DATA!$J$2:$J$2281,"High Potential Incidents",KPI_DATA!$A$2:$A$2281,IF($L$3=1,$B$3-1,$B$3),KPI_DATA!$E$2:$E$2281,IF($L$3=1,12,$L$3-1)))</f>
        <v/>
      </c>
      <c r="M17" s="48">
        <f t="shared" ca="1" si="3"/>
        <v>0</v>
      </c>
    </row>
    <row r="18" spans="1:13" x14ac:dyDescent="0.3">
      <c r="A18" s="23" t="s">
        <v>100</v>
      </c>
      <c r="B18" s="24" t="s">
        <v>15</v>
      </c>
      <c r="C18" s="24" t="s">
        <v>19</v>
      </c>
      <c r="D18" s="32">
        <f ca="1">IF(OR($J$3="All",$B18=$J$3),SUMIFS(KPI_DATA!$L$2:$L$2281,KPI_DATA!$J$2:$J$2281,"Life Saving Rule (LSR) Violations",KPI_DATA!$AA$2:$AA$2281,"Yes"),"")</f>
        <v>0</v>
      </c>
      <c r="E18" s="32">
        <f>IF(OR($J$3="All",$B18=$J$3),IF(SUMIFS(KPI_DATA!$W$2:$W$2281,KPI_DATA!$J$2:$J$2281,$C18,KPI_DATA!$AA$2:$AA$2281,"Yes")=0,"",SUMIFS(KPI_DATA!$M$2:$M$2281,KPI_DATA!$J$2:$J$2281,$C18,KPI_DATA!$AA$2:$AA$2281,"Yes")),"")</f>
        <v>0</v>
      </c>
      <c r="F18" s="24" t="str">
        <f>IF(OR($J$3="All",$B18=$J$3),IFERROR(INDEX(KPI_TARGETS!$E$5:$E$23,MATCH($C18,KPI_TARGETS!$C$5:$C$23,0)),"Higher is better"),"")</f>
        <v>Lower is better</v>
      </c>
      <c r="G18" s="46">
        <f t="shared" ca="1" si="0"/>
        <v>1</v>
      </c>
      <c r="H18" s="24" t="str">
        <f t="shared" ca="1" si="1"/>
        <v>Green</v>
      </c>
      <c r="I18" s="32">
        <f t="shared" ca="1" si="2"/>
        <v>0</v>
      </c>
      <c r="J18" s="32">
        <f ca="1">IF(OR($J$3="All",$B18=$J$3),SUMIFS(KPI_DATA!$L$2:$L$2281,KPI_DATA!$J$2:$J$2281,"Life Saving Rule (LSR) Violations",KPI_DATA!$Y$2:$Y$2281,"Yes",KPI_DATA!$E$2:$E$2281,"&lt;="&amp;$L$3),"")</f>
        <v>0</v>
      </c>
      <c r="K18" s="32">
        <f ca="1">IF(OR($J$3="All",$B18=$J$3),SUMIFS(KPI_DATA!$L$2:$L$2281,KPI_DATA!$J$2:$J$2281,"Life Saving Rule (LSR) Violations",KPI_DATA!$C$2:$C$2281,"Yes",KPI_DATA!$A$2:$A$2281,"&lt;"&amp;$B$3)+SUMIFS(KPI_DATA!$L$2:$L$2281,KPI_DATA!$J$2:$J$2281,"Life Saving Rule (LSR) Violations",KPI_DATA!$C$2:$C$2281,"Yes",KPI_DATA!$A$2:$A$2281,$B$3,KPI_DATA!$E$2:$E$2281,"&lt;="&amp;$L$3),"")</f>
        <v>0</v>
      </c>
      <c r="L18" s="32" t="str">
        <f>IF(OR($D$3="All",$H$3&lt;&gt;"Selected Year"),"",SUMIFS(KPI_DATA!$L$2:$L$2281,KPI_DATA!$J$2:$J$2281,"Life Saving Rule (LSR) Violations",KPI_DATA!$A$2:$A$2281,$B$3,KPI_DATA!$E$2:$E$2281,$L$3)-SUMIFS(KPI_DATA!$L$2:$L$2281,KPI_DATA!$J$2:$J$2281,"Life Saving Rule (LSR) Violations",KPI_DATA!$A$2:$A$2281,IF($L$3=1,$B$3-1,$B$3),KPI_DATA!$E$2:$E$2281,IF($L$3=1,12,$L$3-1)))</f>
        <v/>
      </c>
      <c r="M18" s="48">
        <f t="shared" ca="1" si="3"/>
        <v>0</v>
      </c>
    </row>
    <row r="19" spans="1:13" x14ac:dyDescent="0.3">
      <c r="A19" s="23" t="s">
        <v>101</v>
      </c>
      <c r="B19" s="24" t="s">
        <v>15</v>
      </c>
      <c r="C19" s="24" t="s">
        <v>20</v>
      </c>
      <c r="D19" s="32">
        <f ca="1">IF(OR($J$3="All",$B19=$J$3),SUMIFS(KPI_DATA!$L$2:$L$2281,KPI_DATA!$J$2:$J$2281,"Number of TRCs (LTI / RWC / MTC / FAT)",KPI_DATA!$AA$2:$AA$2281,"Yes"),"")</f>
        <v>0</v>
      </c>
      <c r="E19" s="32">
        <f>IF(OR($J$3="All",$B19=$J$3),IF(SUMIFS(KPI_DATA!$W$2:$W$2281,KPI_DATA!$J$2:$J$2281,$C19,KPI_DATA!$AA$2:$AA$2281,"Yes")=0,"",SUMIFS(KPI_DATA!$M$2:$M$2281,KPI_DATA!$J$2:$J$2281,$C19,KPI_DATA!$AA$2:$AA$2281,"Yes")),"")</f>
        <v>0</v>
      </c>
      <c r="F19" s="24" t="str">
        <f>IF(OR($J$3="All",$B19=$J$3),IFERROR(INDEX(KPI_TARGETS!$E$5:$E$23,MATCH($C19,KPI_TARGETS!$C$5:$C$23,0)),"Higher is better"),"")</f>
        <v>Lower is better</v>
      </c>
      <c r="G19" s="46">
        <f t="shared" ca="1" si="0"/>
        <v>1</v>
      </c>
      <c r="H19" s="24" t="str">
        <f t="shared" ca="1" si="1"/>
        <v>Green</v>
      </c>
      <c r="I19" s="32">
        <f t="shared" ca="1" si="2"/>
        <v>0</v>
      </c>
      <c r="J19" s="32">
        <f ca="1">IF(OR($J$3="All",$B19=$J$3),SUMIFS(KPI_DATA!$L$2:$L$2281,KPI_DATA!$J$2:$J$2281,"Number of TRCs (LTI / RWC / MTC / FAT)",KPI_DATA!$Y$2:$Y$2281,"Yes",KPI_DATA!$E$2:$E$2281,"&lt;="&amp;$L$3),"")</f>
        <v>0</v>
      </c>
      <c r="K19" s="32">
        <f ca="1">IF(OR($J$3="All",$B19=$J$3),SUMIFS(KPI_DATA!$L$2:$L$2281,KPI_DATA!$J$2:$J$2281,"Number of TRCs (LTI / RWC / MTC / FAT)",KPI_DATA!$C$2:$C$2281,"Yes",KPI_DATA!$A$2:$A$2281,"&lt;"&amp;$B$3)+SUMIFS(KPI_DATA!$L$2:$L$2281,KPI_DATA!$J$2:$J$2281,"Number of TRCs (LTI / RWC / MTC / FAT)",KPI_DATA!$C$2:$C$2281,"Yes",KPI_DATA!$A$2:$A$2281,$B$3,KPI_DATA!$E$2:$E$2281,"&lt;="&amp;$L$3),"")</f>
        <v>0</v>
      </c>
      <c r="L19" s="32" t="str">
        <f>IF(OR($D$3="All",$H$3&lt;&gt;"Selected Year"),"",SUMIFS(KPI_DATA!$L$2:$L$2281,KPI_DATA!$J$2:$J$2281,"Number of TRCs (LTI / RWC / MTC / FAT)",KPI_DATA!$A$2:$A$2281,$B$3,KPI_DATA!$E$2:$E$2281,$L$3)-SUMIFS(KPI_DATA!$L$2:$L$2281,KPI_DATA!$J$2:$J$2281,"Number of TRCs (LTI / RWC / MTC / FAT)",KPI_DATA!$A$2:$A$2281,IF($L$3=1,$B$3-1,$B$3),KPI_DATA!$E$2:$E$2281,IF($L$3=1,12,$L$3-1)))</f>
        <v/>
      </c>
      <c r="M19" s="48">
        <f t="shared" ca="1" si="3"/>
        <v>0</v>
      </c>
    </row>
    <row r="20" spans="1:13" x14ac:dyDescent="0.3">
      <c r="A20" s="23" t="s">
        <v>102</v>
      </c>
      <c r="B20" s="24" t="s">
        <v>15</v>
      </c>
      <c r="C20" s="24" t="s">
        <v>21</v>
      </c>
      <c r="D20" s="32">
        <f ca="1">IF(OR($J$3="All",$B20=$J$3),SUMIFS(KPI_DATA!$L$2:$L$2281,KPI_DATA!$J$2:$J$2281,"Severe Motor Vehicle Incidents (MVI)",KPI_DATA!$AA$2:$AA$2281,"Yes"),"")</f>
        <v>0</v>
      </c>
      <c r="E20" s="32">
        <f>IF(OR($J$3="All",$B20=$J$3),IF(SUMIFS(KPI_DATA!$W$2:$W$2281,KPI_DATA!$J$2:$J$2281,$C20,KPI_DATA!$AA$2:$AA$2281,"Yes")=0,"",SUMIFS(KPI_DATA!$M$2:$M$2281,KPI_DATA!$J$2:$J$2281,$C20,KPI_DATA!$AA$2:$AA$2281,"Yes")),"")</f>
        <v>0</v>
      </c>
      <c r="F20" s="24" t="str">
        <f>IF(OR($J$3="All",$B20=$J$3),IFERROR(INDEX(KPI_TARGETS!$E$5:$E$23,MATCH($C20,KPI_TARGETS!$C$5:$C$23,0)),"Higher is better"),"")</f>
        <v>Lower is better</v>
      </c>
      <c r="G20" s="46">
        <f t="shared" ca="1" si="0"/>
        <v>1</v>
      </c>
      <c r="H20" s="24" t="str">
        <f t="shared" ca="1" si="1"/>
        <v>Green</v>
      </c>
      <c r="I20" s="32">
        <f t="shared" ca="1" si="2"/>
        <v>0</v>
      </c>
      <c r="J20" s="32">
        <f ca="1">IF(OR($J$3="All",$B20=$J$3),SUMIFS(KPI_DATA!$L$2:$L$2281,KPI_DATA!$J$2:$J$2281,"Severe Motor Vehicle Incidents (MVI)",KPI_DATA!$Y$2:$Y$2281,"Yes",KPI_DATA!$E$2:$E$2281,"&lt;="&amp;$L$3),"")</f>
        <v>0</v>
      </c>
      <c r="K20" s="32">
        <f ca="1">IF(OR($J$3="All",$B20=$J$3),SUMIFS(KPI_DATA!$L$2:$L$2281,KPI_DATA!$J$2:$J$2281,"Severe Motor Vehicle Incidents (MVI)",KPI_DATA!$C$2:$C$2281,"Yes",KPI_DATA!$A$2:$A$2281,"&lt;"&amp;$B$3)+SUMIFS(KPI_DATA!$L$2:$L$2281,KPI_DATA!$J$2:$J$2281,"Severe Motor Vehicle Incidents (MVI)",KPI_DATA!$C$2:$C$2281,"Yes",KPI_DATA!$A$2:$A$2281,$B$3,KPI_DATA!$E$2:$E$2281,"&lt;="&amp;$L$3),"")</f>
        <v>0</v>
      </c>
      <c r="L20" s="32" t="str">
        <f>IF(OR($D$3="All",$H$3&lt;&gt;"Selected Year"),"",SUMIFS(KPI_DATA!$L$2:$L$2281,KPI_DATA!$J$2:$J$2281,"Severe Motor Vehicle Incidents (MVI)",KPI_DATA!$A$2:$A$2281,$B$3,KPI_DATA!$E$2:$E$2281,$L$3)-SUMIFS(KPI_DATA!$L$2:$L$2281,KPI_DATA!$J$2:$J$2281,"Severe Motor Vehicle Incidents (MVI)",KPI_DATA!$A$2:$A$2281,IF($L$3=1,$B$3-1,$B$3),KPI_DATA!$E$2:$E$2281,IF($L$3=1,12,$L$3-1)))</f>
        <v/>
      </c>
      <c r="M20" s="48">
        <f t="shared" ca="1" si="3"/>
        <v>0</v>
      </c>
    </row>
    <row r="21" spans="1:13" x14ac:dyDescent="0.3">
      <c r="A21" s="23" t="s">
        <v>103</v>
      </c>
      <c r="B21" s="24" t="s">
        <v>22</v>
      </c>
      <c r="C21" s="24" t="s">
        <v>23</v>
      </c>
      <c r="D21" s="32">
        <f ca="1">IF(OR($J$3="All",$B21=$J$3),SUMIFS(KPI_DATA!$L$2:$L$2281,KPI_DATA!$J$2:$J$2281,"Site Observations / Unsafe Acts / Conditions",KPI_DATA!$AA$2:$AA$2281,"Yes"),"")</f>
        <v>223</v>
      </c>
      <c r="E21" s="32">
        <f>IF(OR($J$3="All",$B21=$J$3),IF(SUMIFS(KPI_DATA!$W$2:$W$2281,KPI_DATA!$J$2:$J$2281,$C21,KPI_DATA!$AA$2:$AA$2281,"Yes")=0,"",SUMIFS(KPI_DATA!$M$2:$M$2281,KPI_DATA!$J$2:$J$2281,$C21,KPI_DATA!$AA$2:$AA$2281,"Yes")),"")</f>
        <v>420</v>
      </c>
      <c r="F21" s="24" t="str">
        <f>IF(OR($J$3="All",$B21=$J$3),IFERROR(INDEX(KPI_TARGETS!$E$5:$E$23,MATCH($C21,KPI_TARGETS!$C$5:$C$23,0)),"Higher is better"),"")</f>
        <v>Higher is better</v>
      </c>
      <c r="G21" s="46">
        <f t="shared" ca="1" si="0"/>
        <v>0.53095238095238095</v>
      </c>
      <c r="H21" s="24" t="str">
        <f t="shared" ca="1" si="1"/>
        <v>Red</v>
      </c>
      <c r="I21" s="32">
        <f t="shared" ca="1" si="2"/>
        <v>-197</v>
      </c>
      <c r="J21" s="32">
        <f ca="1">IF(OR($J$3="All",$B21=$J$3),SUMIFS(KPI_DATA!$L$2:$L$2281,KPI_DATA!$J$2:$J$2281,"Site Observations / Unsafe Acts / Conditions",KPI_DATA!$Y$2:$Y$2281,"Yes",KPI_DATA!$E$2:$E$2281,"&lt;="&amp;$L$3),"")</f>
        <v>223</v>
      </c>
      <c r="K21" s="32">
        <f ca="1">IF(OR($J$3="All",$B21=$J$3),SUMIFS(KPI_DATA!$L$2:$L$2281,KPI_DATA!$J$2:$J$2281,"Site Observations / Unsafe Acts / Conditions",KPI_DATA!$C$2:$C$2281,"Yes",KPI_DATA!$A$2:$A$2281,"&lt;"&amp;$B$3)+SUMIFS(KPI_DATA!$L$2:$L$2281,KPI_DATA!$J$2:$J$2281,"Site Observations / Unsafe Acts / Conditions",KPI_DATA!$C$2:$C$2281,"Yes",KPI_DATA!$A$2:$A$2281,$B$3,KPI_DATA!$E$2:$E$2281,"&lt;="&amp;$L$3),"")</f>
        <v>223</v>
      </c>
      <c r="L21" s="32" t="str">
        <f>IF(OR($D$3="All",$H$3&lt;&gt;"Selected Year"),"",SUMIFS(KPI_DATA!$L$2:$L$2281,KPI_DATA!$J$2:$J$2281,"Site Observations / Unsafe Acts / Conditions",KPI_DATA!$A$2:$A$2281,$B$3,KPI_DATA!$E$2:$E$2281,$L$3)-SUMIFS(KPI_DATA!$L$2:$L$2281,KPI_DATA!$J$2:$J$2281,"Site Observations / Unsafe Acts / Conditions",KPI_DATA!$A$2:$A$2281,IF($L$3=1,$B$3-1,$B$3),KPI_DATA!$E$2:$E$2281,IF($L$3=1,12,$L$3-1)))</f>
        <v/>
      </c>
      <c r="M21" s="48" t="str">
        <f t="shared" si="3"/>
        <v/>
      </c>
    </row>
    <row r="22" spans="1:13" x14ac:dyDescent="0.3">
      <c r="A22" s="23" t="s">
        <v>104</v>
      </c>
      <c r="B22" s="24" t="s">
        <v>22</v>
      </c>
      <c r="C22" s="24" t="s">
        <v>24</v>
      </c>
      <c r="D22" s="32">
        <f ca="1">IF(OR($J$3="All",$B22=$J$3),SUMIFS(KPI_DATA!$L$2:$L$2281,KPI_DATA!$J$2:$J$2281,"Site Inspections",KPI_DATA!$AA$2:$AA$2281,"Yes"),"")</f>
        <v>28</v>
      </c>
      <c r="E22" s="32">
        <f>IF(OR($J$3="All",$B22=$J$3),IF(SUMIFS(KPI_DATA!$W$2:$W$2281,KPI_DATA!$J$2:$J$2281,$C22,KPI_DATA!$AA$2:$AA$2281,"Yes")=0,"",SUMIFS(KPI_DATA!$M$2:$M$2281,KPI_DATA!$J$2:$J$2281,$C22,KPI_DATA!$AA$2:$AA$2281,"Yes")),"")</f>
        <v>60</v>
      </c>
      <c r="F22" s="24" t="str">
        <f>IF(OR($J$3="All",$B22=$J$3),IFERROR(INDEX(KPI_TARGETS!$E$5:$E$23,MATCH($C22,KPI_TARGETS!$C$5:$C$23,0)),"Higher is better"),"")</f>
        <v>Higher is better</v>
      </c>
      <c r="G22" s="46">
        <f t="shared" ca="1" si="0"/>
        <v>0.46666666666666667</v>
      </c>
      <c r="H22" s="24" t="str">
        <f t="shared" ca="1" si="1"/>
        <v>Red</v>
      </c>
      <c r="I22" s="32">
        <f t="shared" ca="1" si="2"/>
        <v>-32</v>
      </c>
      <c r="J22" s="32">
        <f ca="1">IF(OR($J$3="All",$B22=$J$3),SUMIFS(KPI_DATA!$L$2:$L$2281,KPI_DATA!$J$2:$J$2281,"Site Inspections",KPI_DATA!$Y$2:$Y$2281,"Yes",KPI_DATA!$E$2:$E$2281,"&lt;="&amp;$L$3),"")</f>
        <v>28</v>
      </c>
      <c r="K22" s="32">
        <f ca="1">IF(OR($J$3="All",$B22=$J$3),SUMIFS(KPI_DATA!$L$2:$L$2281,KPI_DATA!$J$2:$J$2281,"Site Inspections",KPI_DATA!$C$2:$C$2281,"Yes",KPI_DATA!$A$2:$A$2281,"&lt;"&amp;$B$3)+SUMIFS(KPI_DATA!$L$2:$L$2281,KPI_DATA!$J$2:$J$2281,"Site Inspections",KPI_DATA!$C$2:$C$2281,"Yes",KPI_DATA!$A$2:$A$2281,$B$3,KPI_DATA!$E$2:$E$2281,"&lt;="&amp;$L$3),"")</f>
        <v>28</v>
      </c>
      <c r="L22" s="32" t="str">
        <f>IF(OR($D$3="All",$H$3&lt;&gt;"Selected Year"),"",SUMIFS(KPI_DATA!$L$2:$L$2281,KPI_DATA!$J$2:$J$2281,"Site Inspections",KPI_DATA!$A$2:$A$2281,$B$3,KPI_DATA!$E$2:$E$2281,$L$3)-SUMIFS(KPI_DATA!$L$2:$L$2281,KPI_DATA!$J$2:$J$2281,"Site Inspections",KPI_DATA!$A$2:$A$2281,IF($L$3=1,$B$3-1,$B$3),KPI_DATA!$E$2:$E$2281,IF($L$3=1,12,$L$3-1)))</f>
        <v/>
      </c>
      <c r="M22" s="48" t="str">
        <f t="shared" si="3"/>
        <v/>
      </c>
    </row>
    <row r="23" spans="1:13" x14ac:dyDescent="0.3">
      <c r="A23" s="23" t="s">
        <v>105</v>
      </c>
      <c r="B23" s="24" t="s">
        <v>22</v>
      </c>
      <c r="C23" s="24" t="s">
        <v>25</v>
      </c>
      <c r="D23" s="32">
        <f ca="1">IF(OR($J$3="All",$B23=$J$3),SUMIFS(KPI_DATA!$L$2:$L$2281,KPI_DATA!$J$2:$J$2281,"Site HSE Meetings",KPI_DATA!$AA$2:$AA$2281,"Yes"),"")</f>
        <v>28</v>
      </c>
      <c r="E23" s="32">
        <f>IF(OR($J$3="All",$B23=$J$3),IF(SUMIFS(KPI_DATA!$W$2:$W$2281,KPI_DATA!$J$2:$J$2281,$C23,KPI_DATA!$AA$2:$AA$2281,"Yes")=0,"",SUMIFS(KPI_DATA!$M$2:$M$2281,KPI_DATA!$J$2:$J$2281,$C23,KPI_DATA!$AA$2:$AA$2281,"Yes")),"")</f>
        <v>48</v>
      </c>
      <c r="F23" s="24" t="str">
        <f>IF(OR($J$3="All",$B23=$J$3),IFERROR(INDEX(KPI_TARGETS!$E$5:$E$23,MATCH($C23,KPI_TARGETS!$C$5:$C$23,0)),"Higher is better"),"")</f>
        <v>Higher is better</v>
      </c>
      <c r="G23" s="46">
        <f t="shared" ca="1" si="0"/>
        <v>0.58333333333333337</v>
      </c>
      <c r="H23" s="24" t="str">
        <f t="shared" ca="1" si="1"/>
        <v>Red</v>
      </c>
      <c r="I23" s="32">
        <f t="shared" ca="1" si="2"/>
        <v>-20</v>
      </c>
      <c r="J23" s="32">
        <f ca="1">IF(OR($J$3="All",$B23=$J$3),SUMIFS(KPI_DATA!$L$2:$L$2281,KPI_DATA!$J$2:$J$2281,"Site HSE Meetings",KPI_DATA!$Y$2:$Y$2281,"Yes",KPI_DATA!$E$2:$E$2281,"&lt;="&amp;$L$3),"")</f>
        <v>28</v>
      </c>
      <c r="K23" s="32">
        <f ca="1">IF(OR($J$3="All",$B23=$J$3),SUMIFS(KPI_DATA!$L$2:$L$2281,KPI_DATA!$J$2:$J$2281,"Site HSE Meetings",KPI_DATA!$C$2:$C$2281,"Yes",KPI_DATA!$A$2:$A$2281,"&lt;"&amp;$B$3)+SUMIFS(KPI_DATA!$L$2:$L$2281,KPI_DATA!$J$2:$J$2281,"Site HSE Meetings",KPI_DATA!$C$2:$C$2281,"Yes",KPI_DATA!$A$2:$A$2281,$B$3,KPI_DATA!$E$2:$E$2281,"&lt;="&amp;$L$3),"")</f>
        <v>28</v>
      </c>
      <c r="L23" s="32" t="str">
        <f>IF(OR($D$3="All",$H$3&lt;&gt;"Selected Year"),"",SUMIFS(KPI_DATA!$L$2:$L$2281,KPI_DATA!$J$2:$J$2281,"Site HSE Meetings",KPI_DATA!$A$2:$A$2281,$B$3,KPI_DATA!$E$2:$E$2281,$L$3)-SUMIFS(KPI_DATA!$L$2:$L$2281,KPI_DATA!$J$2:$J$2281,"Site HSE Meetings",KPI_DATA!$A$2:$A$2281,IF($L$3=1,$B$3-1,$B$3),KPI_DATA!$E$2:$E$2281,IF($L$3=1,12,$L$3-1)))</f>
        <v/>
      </c>
      <c r="M23" s="48" t="str">
        <f t="shared" si="3"/>
        <v/>
      </c>
    </row>
    <row r="24" spans="1:13" x14ac:dyDescent="0.3">
      <c r="A24" s="23" t="s">
        <v>106</v>
      </c>
      <c r="B24" s="24" t="s">
        <v>22</v>
      </c>
      <c r="C24" s="24" t="s">
        <v>26</v>
      </c>
      <c r="D24" s="32">
        <f ca="1">IF(OR($J$3="All",$B24=$J$3),SUMIFS(KPI_DATA!$L$2:$L$2281,KPI_DATA!$J$2:$J$2281,"Site Toolbox Talks",KPI_DATA!$AA$2:$AA$2281,"Yes"),"")</f>
        <v>140</v>
      </c>
      <c r="E24" s="32">
        <f>IF(OR($J$3="All",$B24=$J$3),IF(SUMIFS(KPI_DATA!$W$2:$W$2281,KPI_DATA!$J$2:$J$2281,$C24,KPI_DATA!$AA$2:$AA$2281,"Yes")=0,"",SUMIFS(KPI_DATA!$M$2:$M$2281,KPI_DATA!$J$2:$J$2281,$C24,KPI_DATA!$AA$2:$AA$2281,"Yes")),"")</f>
        <v>144</v>
      </c>
      <c r="F24" s="24" t="str">
        <f>IF(OR($J$3="All",$B24=$J$3),IFERROR(INDEX(KPI_TARGETS!$E$5:$E$23,MATCH($C24,KPI_TARGETS!$C$5:$C$23,0)),"Higher is better"),"")</f>
        <v>Higher is better</v>
      </c>
      <c r="G24" s="46">
        <f t="shared" ca="1" si="0"/>
        <v>0.97222222222222221</v>
      </c>
      <c r="H24" s="24" t="str">
        <f t="shared" ca="1" si="1"/>
        <v>Amber</v>
      </c>
      <c r="I24" s="32">
        <f t="shared" ca="1" si="2"/>
        <v>-4</v>
      </c>
      <c r="J24" s="32">
        <f ca="1">IF(OR($J$3="All",$B24=$J$3),SUMIFS(KPI_DATA!$L$2:$L$2281,KPI_DATA!$J$2:$J$2281,"Site Toolbox Talks",KPI_DATA!$Y$2:$Y$2281,"Yes",KPI_DATA!$E$2:$E$2281,"&lt;="&amp;$L$3),"")</f>
        <v>140</v>
      </c>
      <c r="K24" s="32">
        <f ca="1">IF(OR($J$3="All",$B24=$J$3),SUMIFS(KPI_DATA!$L$2:$L$2281,KPI_DATA!$J$2:$J$2281,"Site Toolbox Talks",KPI_DATA!$C$2:$C$2281,"Yes",KPI_DATA!$A$2:$A$2281,"&lt;"&amp;$B$3)+SUMIFS(KPI_DATA!$L$2:$L$2281,KPI_DATA!$J$2:$J$2281,"Site Toolbox Talks",KPI_DATA!$C$2:$C$2281,"Yes",KPI_DATA!$A$2:$A$2281,$B$3,KPI_DATA!$E$2:$E$2281,"&lt;="&amp;$L$3),"")</f>
        <v>140</v>
      </c>
      <c r="L24" s="32" t="str">
        <f>IF(OR($D$3="All",$H$3&lt;&gt;"Selected Year"),"",SUMIFS(KPI_DATA!$L$2:$L$2281,KPI_DATA!$J$2:$J$2281,"Site Toolbox Talks",KPI_DATA!$A$2:$A$2281,$B$3,KPI_DATA!$E$2:$E$2281,$L$3)-SUMIFS(KPI_DATA!$L$2:$L$2281,KPI_DATA!$J$2:$J$2281,"Site Toolbox Talks",KPI_DATA!$A$2:$A$2281,IF($L$3=1,$B$3-1,$B$3),KPI_DATA!$E$2:$E$2281,IF($L$3=1,12,$L$3-1)))</f>
        <v/>
      </c>
      <c r="M24" s="48" t="str">
        <f t="shared" si="3"/>
        <v/>
      </c>
    </row>
    <row r="25" spans="1:13" x14ac:dyDescent="0.3">
      <c r="A25" s="23" t="s">
        <v>107</v>
      </c>
      <c r="B25" s="24" t="s">
        <v>22</v>
      </c>
      <c r="C25" s="24" t="s">
        <v>27</v>
      </c>
      <c r="D25" s="32">
        <f ca="1">IF(OR($J$3="All",$B25=$J$3),SUMIFS(KPI_DATA!$L$2:$L$2281,KPI_DATA!$J$2:$J$2281,"Management Visits / Walk-around",KPI_DATA!$AA$2:$AA$2281,"Yes"),"")</f>
        <v>28</v>
      </c>
      <c r="E25" s="32">
        <f>IF(OR($J$3="All",$B25=$J$3),IF(SUMIFS(KPI_DATA!$W$2:$W$2281,KPI_DATA!$J$2:$J$2281,$C25,KPI_DATA!$AA$2:$AA$2281,"Yes")=0,"",SUMIFS(KPI_DATA!$M$2:$M$2281,KPI_DATA!$J$2:$J$2281,$C25,KPI_DATA!$AA$2:$AA$2281,"Yes")),"")</f>
        <v>48</v>
      </c>
      <c r="F25" s="24" t="str">
        <f>IF(OR($J$3="All",$B25=$J$3),IFERROR(INDEX(KPI_TARGETS!$E$5:$E$23,MATCH($C25,KPI_TARGETS!$C$5:$C$23,0)),"Higher is better"),"")</f>
        <v>Higher is better</v>
      </c>
      <c r="G25" s="46">
        <f t="shared" ca="1" si="0"/>
        <v>0.58333333333333337</v>
      </c>
      <c r="H25" s="24" t="str">
        <f t="shared" ca="1" si="1"/>
        <v>Red</v>
      </c>
      <c r="I25" s="32">
        <f t="shared" ca="1" si="2"/>
        <v>-20</v>
      </c>
      <c r="J25" s="32">
        <f ca="1">IF(OR($J$3="All",$B25=$J$3),SUMIFS(KPI_DATA!$L$2:$L$2281,KPI_DATA!$J$2:$J$2281,"Management Visits / Walk-around",KPI_DATA!$Y$2:$Y$2281,"Yes",KPI_DATA!$E$2:$E$2281,"&lt;="&amp;$L$3),"")</f>
        <v>28</v>
      </c>
      <c r="K25" s="32">
        <f ca="1">IF(OR($J$3="All",$B25=$J$3),SUMIFS(KPI_DATA!$L$2:$L$2281,KPI_DATA!$J$2:$J$2281,"Management Visits / Walk-around",KPI_DATA!$C$2:$C$2281,"Yes",KPI_DATA!$A$2:$A$2281,"&lt;"&amp;$B$3)+SUMIFS(KPI_DATA!$L$2:$L$2281,KPI_DATA!$J$2:$J$2281,"Management Visits / Walk-around",KPI_DATA!$C$2:$C$2281,"Yes",KPI_DATA!$A$2:$A$2281,$B$3,KPI_DATA!$E$2:$E$2281,"&lt;="&amp;$L$3),"")</f>
        <v>28</v>
      </c>
      <c r="L25" s="32" t="str">
        <f>IF(OR($D$3="All",$H$3&lt;&gt;"Selected Year"),"",SUMIFS(KPI_DATA!$L$2:$L$2281,KPI_DATA!$J$2:$J$2281,"Management Visits / Walk-around",KPI_DATA!$A$2:$A$2281,$B$3,KPI_DATA!$E$2:$E$2281,$L$3)-SUMIFS(KPI_DATA!$L$2:$L$2281,KPI_DATA!$J$2:$J$2281,"Management Visits / Walk-around",KPI_DATA!$A$2:$A$2281,IF($L$3=1,$B$3-1,$B$3),KPI_DATA!$E$2:$E$2281,IF($L$3=1,12,$L$3-1)))</f>
        <v/>
      </c>
      <c r="M25" s="48" t="str">
        <f t="shared" si="3"/>
        <v/>
      </c>
    </row>
    <row r="26" spans="1:13" x14ac:dyDescent="0.3">
      <c r="A26" s="23" t="s">
        <v>108</v>
      </c>
      <c r="B26" s="24" t="s">
        <v>22</v>
      </c>
      <c r="C26" s="24" t="s">
        <v>28</v>
      </c>
      <c r="D26" s="32">
        <f ca="1">IF(OR($J$3="All",$B26=$J$3),SUMIFS(KPI_DATA!$L$2:$L$2281,KPI_DATA!$J$2:$J$2281,"HSE Training (No. and Participants)",KPI_DATA!$AA$2:$AA$2281,"Yes"),"")</f>
        <v>56</v>
      </c>
      <c r="E26" s="32">
        <f>IF(OR($J$3="All",$B26=$J$3),IF(SUMIFS(KPI_DATA!$W$2:$W$2281,KPI_DATA!$J$2:$J$2281,$C26,KPI_DATA!$AA$2:$AA$2281,"Yes")=0,"",SUMIFS(KPI_DATA!$M$2:$M$2281,KPI_DATA!$J$2:$J$2281,$C26,KPI_DATA!$AA$2:$AA$2281,"Yes")),"")</f>
        <v>192</v>
      </c>
      <c r="F26" s="24" t="str">
        <f>IF(OR($J$3="All",$B26=$J$3),IFERROR(INDEX(KPI_TARGETS!$E$5:$E$23,MATCH($C26,KPI_TARGETS!$C$5:$C$23,0)),"Higher is better"),"")</f>
        <v>Higher is better</v>
      </c>
      <c r="G26" s="46">
        <f t="shared" ca="1" si="0"/>
        <v>0.29166666666666669</v>
      </c>
      <c r="H26" s="24" t="str">
        <f t="shared" ca="1" si="1"/>
        <v>Red</v>
      </c>
      <c r="I26" s="32">
        <f t="shared" ca="1" si="2"/>
        <v>-136</v>
      </c>
      <c r="J26" s="32">
        <f ca="1">IF(OR($J$3="All",$B26=$J$3),SUMIFS(KPI_DATA!$L$2:$L$2281,KPI_DATA!$J$2:$J$2281,"HSE Training (No. and Participants)",KPI_DATA!$Y$2:$Y$2281,"Yes",KPI_DATA!$E$2:$E$2281,"&lt;="&amp;$L$3),"")</f>
        <v>56</v>
      </c>
      <c r="K26" s="32">
        <f ca="1">IF(OR($J$3="All",$B26=$J$3),SUMIFS(KPI_DATA!$L$2:$L$2281,KPI_DATA!$J$2:$J$2281,"HSE Training (No. and Participants)",KPI_DATA!$C$2:$C$2281,"Yes",KPI_DATA!$A$2:$A$2281,"&lt;"&amp;$B$3)+SUMIFS(KPI_DATA!$L$2:$L$2281,KPI_DATA!$J$2:$J$2281,"HSE Training (No. and Participants)",KPI_DATA!$C$2:$C$2281,"Yes",KPI_DATA!$A$2:$A$2281,$B$3,KPI_DATA!$E$2:$E$2281,"&lt;="&amp;$L$3),"")</f>
        <v>56</v>
      </c>
      <c r="L26" s="32" t="str">
        <f>IF(OR($D$3="All",$H$3&lt;&gt;"Selected Year"),"",SUMIFS(KPI_DATA!$L$2:$L$2281,KPI_DATA!$J$2:$J$2281,"HSE Training (No. and Participants)",KPI_DATA!$A$2:$A$2281,$B$3,KPI_DATA!$E$2:$E$2281,$L$3)-SUMIFS(KPI_DATA!$L$2:$L$2281,KPI_DATA!$J$2:$J$2281,"HSE Training (No. and Participants)",KPI_DATA!$A$2:$A$2281,IF($L$3=1,$B$3-1,$B$3),KPI_DATA!$E$2:$E$2281,IF($L$3=1,12,$L$3-1)))</f>
        <v/>
      </c>
      <c r="M26" s="48" t="str">
        <f t="shared" si="3"/>
        <v/>
      </c>
    </row>
    <row r="27" spans="1:13" x14ac:dyDescent="0.3">
      <c r="A27" s="23" t="s">
        <v>109</v>
      </c>
      <c r="B27" s="24" t="s">
        <v>22</v>
      </c>
      <c r="C27" s="24" t="s">
        <v>29</v>
      </c>
      <c r="D27" s="32">
        <f ca="1">IF(OR($J$3="All",$B27=$J$3),SUMIFS(KPI_DATA!$L$2:$L$2281,KPI_DATA!$J$2:$J$2281,"Site HSE Reward / Recognition",KPI_DATA!$AA$2:$AA$2281,"Yes"),"")</f>
        <v>7</v>
      </c>
      <c r="E27" s="32">
        <f>IF(OR($J$3="All",$B27=$J$3),IF(SUMIFS(KPI_DATA!$W$2:$W$2281,KPI_DATA!$J$2:$J$2281,$C27,KPI_DATA!$AA$2:$AA$2281,"Yes")=0,"",SUMIFS(KPI_DATA!$M$2:$M$2281,KPI_DATA!$J$2:$J$2281,$C27,KPI_DATA!$AA$2:$AA$2281,"Yes")),"")</f>
        <v>12</v>
      </c>
      <c r="F27" s="24" t="str">
        <f>IF(OR($J$3="All",$B27=$J$3),IFERROR(INDEX(KPI_TARGETS!$E$5:$E$23,MATCH($C27,KPI_TARGETS!$C$5:$C$23,0)),"Higher is better"),"")</f>
        <v>Higher is better</v>
      </c>
      <c r="G27" s="46">
        <f t="shared" ca="1" si="0"/>
        <v>0.58333333333333337</v>
      </c>
      <c r="H27" s="24" t="str">
        <f t="shared" ca="1" si="1"/>
        <v>Red</v>
      </c>
      <c r="I27" s="32">
        <f t="shared" ca="1" si="2"/>
        <v>-5</v>
      </c>
      <c r="J27" s="32">
        <f ca="1">IF(OR($J$3="All",$B27=$J$3),SUMIFS(KPI_DATA!$L$2:$L$2281,KPI_DATA!$J$2:$J$2281,"Site HSE Reward / Recognition",KPI_DATA!$Y$2:$Y$2281,"Yes",KPI_DATA!$E$2:$E$2281,"&lt;="&amp;$L$3),"")</f>
        <v>7</v>
      </c>
      <c r="K27" s="32">
        <f ca="1">IF(OR($J$3="All",$B27=$J$3),SUMIFS(KPI_DATA!$L$2:$L$2281,KPI_DATA!$J$2:$J$2281,"Site HSE Reward / Recognition",KPI_DATA!$C$2:$C$2281,"Yes",KPI_DATA!$A$2:$A$2281,"&lt;"&amp;$B$3)+SUMIFS(KPI_DATA!$L$2:$L$2281,KPI_DATA!$J$2:$J$2281,"Site HSE Reward / Recognition",KPI_DATA!$C$2:$C$2281,"Yes",KPI_DATA!$A$2:$A$2281,$B$3,KPI_DATA!$E$2:$E$2281,"&lt;="&amp;$L$3),"")</f>
        <v>7</v>
      </c>
      <c r="L27" s="32" t="str">
        <f>IF(OR($D$3="All",$H$3&lt;&gt;"Selected Year"),"",SUMIFS(KPI_DATA!$L$2:$L$2281,KPI_DATA!$J$2:$J$2281,"Site HSE Reward / Recognition",KPI_DATA!$A$2:$A$2281,$B$3,KPI_DATA!$E$2:$E$2281,$L$3)-SUMIFS(KPI_DATA!$L$2:$L$2281,KPI_DATA!$J$2:$J$2281,"Site HSE Reward / Recognition",KPI_DATA!$A$2:$A$2281,IF($L$3=1,$B$3-1,$B$3),KPI_DATA!$E$2:$E$2281,IF($L$3=1,12,$L$3-1)))</f>
        <v/>
      </c>
      <c r="M27" s="48" t="str">
        <f t="shared" si="3"/>
        <v/>
      </c>
    </row>
    <row r="28" spans="1:13" x14ac:dyDescent="0.3">
      <c r="A28" s="23" t="s">
        <v>110</v>
      </c>
      <c r="B28" s="24" t="s">
        <v>30</v>
      </c>
      <c r="C28" s="24" t="s">
        <v>31</v>
      </c>
      <c r="D28" s="32">
        <f ca="1">IF(OR($J$3="All",$B28=$J$3),SUMIFS(KPI_DATA!$L$2:$L$2281,KPI_DATA!$J$2:$J$2281,"Community / Public Complaints Received",KPI_DATA!$AA$2:$AA$2281,"Yes"),"")</f>
        <v>0</v>
      </c>
      <c r="E28" s="32">
        <f>IF(OR($J$3="All",$B28=$J$3),IF(SUMIFS(KPI_DATA!$W$2:$W$2281,KPI_DATA!$J$2:$J$2281,$C28,KPI_DATA!$AA$2:$AA$2281,"Yes")=0,"",SUMIFS(KPI_DATA!$M$2:$M$2281,KPI_DATA!$J$2:$J$2281,$C28,KPI_DATA!$AA$2:$AA$2281,"Yes")),"")</f>
        <v>0</v>
      </c>
      <c r="F28" s="24" t="str">
        <f>IF(OR($J$3="All",$B28=$J$3),IFERROR(INDEX(KPI_TARGETS!$E$5:$E$23,MATCH($C28,KPI_TARGETS!$C$5:$C$23,0)),"Higher is better"),"")</f>
        <v>Lower is better</v>
      </c>
      <c r="G28" s="46">
        <f t="shared" ca="1" si="0"/>
        <v>1</v>
      </c>
      <c r="H28" s="24" t="str">
        <f t="shared" ca="1" si="1"/>
        <v>Green</v>
      </c>
      <c r="I28" s="32">
        <f t="shared" ca="1" si="2"/>
        <v>0</v>
      </c>
      <c r="J28" s="32">
        <f ca="1">IF(OR($J$3="All",$B28=$J$3),SUMIFS(KPI_DATA!$L$2:$L$2281,KPI_DATA!$J$2:$J$2281,"Community / Public Complaints Received",KPI_DATA!$Y$2:$Y$2281,"Yes",KPI_DATA!$E$2:$E$2281,"&lt;="&amp;$L$3),"")</f>
        <v>0</v>
      </c>
      <c r="K28" s="32">
        <f ca="1">IF(OR($J$3="All",$B28=$J$3),SUMIFS(KPI_DATA!$L$2:$L$2281,KPI_DATA!$J$2:$J$2281,"Community / Public Complaints Received",KPI_DATA!$C$2:$C$2281,"Yes",KPI_DATA!$A$2:$A$2281,"&lt;"&amp;$B$3)+SUMIFS(KPI_DATA!$L$2:$L$2281,KPI_DATA!$J$2:$J$2281,"Community / Public Complaints Received",KPI_DATA!$C$2:$C$2281,"Yes",KPI_DATA!$A$2:$A$2281,$B$3,KPI_DATA!$E$2:$E$2281,"&lt;="&amp;$L$3),"")</f>
        <v>0</v>
      </c>
      <c r="L28" s="32" t="str">
        <f>IF(OR($D$3="All",$H$3&lt;&gt;"Selected Year"),"",SUMIFS(KPI_DATA!$L$2:$L$2281,KPI_DATA!$J$2:$J$2281,"Community / Public Complaints Received",KPI_DATA!$A$2:$A$2281,$B$3,KPI_DATA!$E$2:$E$2281,$L$3)-SUMIFS(KPI_DATA!$L$2:$L$2281,KPI_DATA!$J$2:$J$2281,"Community / Public Complaints Received",KPI_DATA!$A$2:$A$2281,IF($L$3=1,$B$3-1,$B$3),KPI_DATA!$E$2:$E$2281,IF($L$3=1,12,$L$3-1)))</f>
        <v/>
      </c>
      <c r="M28" s="48" t="str">
        <f t="shared" si="3"/>
        <v/>
      </c>
    </row>
    <row r="29" spans="1:13" x14ac:dyDescent="0.3">
      <c r="A29" s="23" t="s">
        <v>111</v>
      </c>
      <c r="B29" s="24" t="s">
        <v>30</v>
      </c>
      <c r="C29" s="24" t="s">
        <v>32</v>
      </c>
      <c r="D29" s="32">
        <f ca="1">IF(OR($J$3="All",$B29=$J$3),SUMIFS(KPI_DATA!$L$2:$L$2281,KPI_DATA!$J$2:$J$2281,"Learning from Incidents (LFI) shared",KPI_DATA!$AA$2:$AA$2281,"Yes"),"")</f>
        <v>7</v>
      </c>
      <c r="E29" s="32">
        <f>IF(OR($J$3="All",$B29=$J$3),IF(SUMIFS(KPI_DATA!$W$2:$W$2281,KPI_DATA!$J$2:$J$2281,$C29,KPI_DATA!$AA$2:$AA$2281,"Yes")=0,"",SUMIFS(KPI_DATA!$M$2:$M$2281,KPI_DATA!$J$2:$J$2281,$C29,KPI_DATA!$AA$2:$AA$2281,"Yes")),"")</f>
        <v>12</v>
      </c>
      <c r="F29" s="24" t="str">
        <f>IF(OR($J$3="All",$B29=$J$3),IFERROR(INDEX(KPI_TARGETS!$E$5:$E$23,MATCH($C29,KPI_TARGETS!$C$5:$C$23,0)),"Higher is better"),"")</f>
        <v>Higher is better</v>
      </c>
      <c r="G29" s="46">
        <f t="shared" ca="1" si="0"/>
        <v>0.58333333333333337</v>
      </c>
      <c r="H29" s="24" t="str">
        <f t="shared" ca="1" si="1"/>
        <v>Red</v>
      </c>
      <c r="I29" s="32">
        <f t="shared" ca="1" si="2"/>
        <v>-5</v>
      </c>
      <c r="J29" s="32">
        <f ca="1">IF(OR($J$3="All",$B29=$J$3),SUMIFS(KPI_DATA!$L$2:$L$2281,KPI_DATA!$J$2:$J$2281,"Learning from Incidents (LFI) shared",KPI_DATA!$Y$2:$Y$2281,"Yes",KPI_DATA!$E$2:$E$2281,"&lt;="&amp;$L$3),"")</f>
        <v>7</v>
      </c>
      <c r="K29" s="32">
        <f ca="1">IF(OR($J$3="All",$B29=$J$3),SUMIFS(KPI_DATA!$L$2:$L$2281,KPI_DATA!$J$2:$J$2281,"Learning from Incidents (LFI) shared",KPI_DATA!$C$2:$C$2281,"Yes",KPI_DATA!$A$2:$A$2281,"&lt;"&amp;$B$3)+SUMIFS(KPI_DATA!$L$2:$L$2281,KPI_DATA!$J$2:$J$2281,"Learning from Incidents (LFI) shared",KPI_DATA!$C$2:$C$2281,"Yes",KPI_DATA!$A$2:$A$2281,$B$3,KPI_DATA!$E$2:$E$2281,"&lt;="&amp;$L$3),"")</f>
        <v>7</v>
      </c>
      <c r="L29" s="32" t="str">
        <f>IF(OR($D$3="All",$H$3&lt;&gt;"Selected Year"),"",SUMIFS(KPI_DATA!$L$2:$L$2281,KPI_DATA!$J$2:$J$2281,"Learning from Incidents (LFI) shared",KPI_DATA!$A$2:$A$2281,$B$3,KPI_DATA!$E$2:$E$2281,$L$3)-SUMIFS(KPI_DATA!$L$2:$L$2281,KPI_DATA!$J$2:$J$2281,"Learning from Incidents (LFI) shared",KPI_DATA!$A$2:$A$2281,IF($L$3=1,$B$3-1,$B$3),KPI_DATA!$E$2:$E$2281,IF($L$3=1,12,$L$3-1)))</f>
        <v/>
      </c>
      <c r="M29" s="48" t="str">
        <f t="shared" si="3"/>
        <v/>
      </c>
    </row>
    <row r="30" spans="1:13" x14ac:dyDescent="0.3">
      <c r="A30" s="26" t="s">
        <v>112</v>
      </c>
      <c r="B30" s="27" t="s">
        <v>30</v>
      </c>
      <c r="C30" s="27" t="s">
        <v>33</v>
      </c>
      <c r="D30" s="34">
        <f ca="1">IF(OR($J$3="All",$B30=$J$3),SUMIFS(KPI_DATA!$L$2:$L$2281,KPI_DATA!$J$2:$J$2281,"GCP / AIP and close open actions",KPI_DATA!$AA$2:$AA$2281,"Yes"),"")</f>
        <v>7</v>
      </c>
      <c r="E30" s="34">
        <f>IF(OR($J$3="All",$B30=$J$3),IF(SUMIFS(KPI_DATA!$W$2:$W$2281,KPI_DATA!$J$2:$J$2281,$C30,KPI_DATA!$AA$2:$AA$2281,"Yes")=0,"",SUMIFS(KPI_DATA!$M$2:$M$2281,KPI_DATA!$J$2:$J$2281,$C30,KPI_DATA!$AA$2:$AA$2281,"Yes")),"")</f>
        <v>12</v>
      </c>
      <c r="F30" s="27" t="str">
        <f>IF(OR($J$3="All",$B30=$J$3),IFERROR(INDEX(KPI_TARGETS!$E$5:$E$23,MATCH($C30,KPI_TARGETS!$C$5:$C$23,0)),"Higher is better"),"")</f>
        <v>Higher is better</v>
      </c>
      <c r="G30" s="47">
        <f t="shared" ca="1" si="0"/>
        <v>0.58333333333333337</v>
      </c>
      <c r="H30" s="27" t="str">
        <f t="shared" ca="1" si="1"/>
        <v>Red</v>
      </c>
      <c r="I30" s="34">
        <f t="shared" ca="1" si="2"/>
        <v>-5</v>
      </c>
      <c r="J30" s="34">
        <f ca="1">IF(OR($J$3="All",$B30=$J$3),SUMIFS(KPI_DATA!$L$2:$L$2281,KPI_DATA!$J$2:$J$2281,"GCP / AIP and close open actions",KPI_DATA!$Y$2:$Y$2281,"Yes",KPI_DATA!$E$2:$E$2281,"&lt;="&amp;$L$3),"")</f>
        <v>7</v>
      </c>
      <c r="K30" s="34">
        <f ca="1">IF(OR($J$3="All",$B30=$J$3),SUMIFS(KPI_DATA!$L$2:$L$2281,KPI_DATA!$J$2:$J$2281,"GCP / AIP and close open actions",KPI_DATA!$C$2:$C$2281,"Yes",KPI_DATA!$A$2:$A$2281,"&lt;"&amp;$B$3)+SUMIFS(KPI_DATA!$L$2:$L$2281,KPI_DATA!$J$2:$J$2281,"GCP / AIP and close open actions",KPI_DATA!$C$2:$C$2281,"Yes",KPI_DATA!$A$2:$A$2281,$B$3,KPI_DATA!$E$2:$E$2281,"&lt;="&amp;$L$3),"")</f>
        <v>7</v>
      </c>
      <c r="L30" s="34" t="str">
        <f>IF(OR($D$3="All",$H$3&lt;&gt;"Selected Year"),"",SUMIFS(KPI_DATA!$L$2:$L$2281,KPI_DATA!$J$2:$J$2281,"GCP / AIP and close open actions",KPI_DATA!$A$2:$A$2281,$B$3,KPI_DATA!$E$2:$E$2281,$L$3)-SUMIFS(KPI_DATA!$L$2:$L$2281,KPI_DATA!$J$2:$J$2281,"GCP / AIP and close open actions",KPI_DATA!$A$2:$A$2281,IF($L$3=1,$B$3-1,$B$3),KPI_DATA!$E$2:$E$2281,IF($L$3=1,12,$L$3-1)))</f>
        <v/>
      </c>
      <c r="M30" s="49" t="str">
        <f t="shared" si="3"/>
        <v/>
      </c>
    </row>
    <row r="33" ht="19.95" customHeight="1" x14ac:dyDescent="0.3"/>
    <row r="54" spans="3:4" x14ac:dyDescent="0.3">
      <c r="C54" s="60" t="s">
        <v>113</v>
      </c>
      <c r="D54" s="60"/>
    </row>
    <row r="55" spans="3:4" x14ac:dyDescent="0.3">
      <c r="C55" s="7" t="s">
        <v>114</v>
      </c>
      <c r="D55" s="51" t="s">
        <v>115</v>
      </c>
    </row>
    <row r="56" spans="3:4" x14ac:dyDescent="0.3">
      <c r="C56" s="14" t="s">
        <v>116</v>
      </c>
      <c r="D56" s="16" t="str">
        <f>$H$3</f>
        <v>Selected Year</v>
      </c>
    </row>
    <row r="57" spans="3:4" x14ac:dyDescent="0.3">
      <c r="C57" s="14" t="s">
        <v>117</v>
      </c>
      <c r="D57" s="16" t="str">
        <f>$F$3&amp;" / "&amp;$D$3</f>
        <v>YTD / All</v>
      </c>
    </row>
    <row r="58" spans="3:4" x14ac:dyDescent="0.3">
      <c r="C58" s="14" t="s">
        <v>118</v>
      </c>
      <c r="D58" s="16">
        <f ca="1">COUNTIFS($H$12:$H$30,"Green",$B$12:$B$30,IF($J$3="All","*",$J$3))</f>
        <v>7</v>
      </c>
    </row>
    <row r="59" spans="3:4" x14ac:dyDescent="0.3">
      <c r="C59" s="14" t="s">
        <v>119</v>
      </c>
      <c r="D59" s="16">
        <f ca="1">COUNTIFS($H$12:$H$30,"Amber",$B$12:$B$30,IF($J$3="All","*",$J$3))</f>
        <v>2</v>
      </c>
    </row>
    <row r="60" spans="3:4" x14ac:dyDescent="0.3">
      <c r="C60" s="14" t="s">
        <v>120</v>
      </c>
      <c r="D60" s="16">
        <f ca="1">COUNTIFS($H$12:$H$30,"Red",$B$12:$B$30,IF($J$3="All","*",$J$3))</f>
        <v>10</v>
      </c>
    </row>
    <row r="61" spans="3:4" x14ac:dyDescent="0.3">
      <c r="C61" s="14" t="s">
        <v>74</v>
      </c>
      <c r="D61" s="16">
        <f ca="1">COUNTIFS($H$12:$H$30,"Target Needed",$B$12:$B$30,IF($J$3="All","*",$J$3))</f>
        <v>0</v>
      </c>
    </row>
    <row r="62" spans="3:4" x14ac:dyDescent="0.3">
      <c r="C62" s="14" t="s">
        <v>121</v>
      </c>
      <c r="D62" s="52">
        <f ca="1">IFERROR(AVERAGEIFS($G$12:$G$30,$B$12:$B$30,"Leading Indicators",$G$12:$G$30,"&gt;0"),"")</f>
        <v>0.57307256235827675</v>
      </c>
    </row>
    <row r="63" spans="3:4" x14ac:dyDescent="0.3">
      <c r="C63" s="14" t="s">
        <v>122</v>
      </c>
      <c r="D63" s="53">
        <f ca="1">IFERROR(G6*1000000/A6,"")</f>
        <v>0</v>
      </c>
    </row>
    <row r="64" spans="3:4" x14ac:dyDescent="0.3">
      <c r="C64" s="14" t="s">
        <v>123</v>
      </c>
      <c r="D64" s="53">
        <f ca="1">IFERROR(J6*1000000/A6,"")</f>
        <v>0</v>
      </c>
    </row>
    <row r="65" spans="3:4" x14ac:dyDescent="0.3">
      <c r="C65" s="14" t="s">
        <v>124</v>
      </c>
      <c r="D65" s="53">
        <f ca="1">IFERROR(INDEX($D$12:$D$30,MATCH("Life Saving Rule (LSR) Violations",$C$12:$C$30,0))*1000000/A6,"")</f>
        <v>0</v>
      </c>
    </row>
    <row r="66" spans="3:4" x14ac:dyDescent="0.3">
      <c r="C66" s="14" t="s">
        <v>125</v>
      </c>
      <c r="D66" s="53">
        <f ca="1">SUMIFS($D$12:$D$30,$B$12:$B$30,"Leading Indicators")</f>
        <v>510</v>
      </c>
    </row>
    <row r="67" spans="3:4" x14ac:dyDescent="0.3">
      <c r="C67" s="14" t="s">
        <v>126</v>
      </c>
      <c r="D67" s="16">
        <f ca="1">SUMIFS($D$12:$D$30,$B$12:$B$30,"Lagging Indicators")</f>
        <v>0</v>
      </c>
    </row>
    <row r="68" spans="3:4" x14ac:dyDescent="0.3">
      <c r="C68" s="14" t="s">
        <v>127</v>
      </c>
      <c r="D68" s="16" t="str">
        <f ca="1">INDEX($W$5:$W$16,MATCH(MAX($X$5:$X$16),$X$5:$X$16,0))</f>
        <v>Oct</v>
      </c>
    </row>
    <row r="69" spans="3:4" x14ac:dyDescent="0.3">
      <c r="C69" s="14" t="s">
        <v>128</v>
      </c>
      <c r="D69" s="16" t="str">
        <f ca="1">INDEX($W$5:$W$16,MATCH(MAX($Y$5:$Y$16),$Y$5:$Y$16,0))</f>
        <v>Jan</v>
      </c>
    </row>
    <row r="70" spans="3:4" x14ac:dyDescent="0.3">
      <c r="C70" s="17" t="s">
        <v>67</v>
      </c>
      <c r="D70" s="19" t="str">
        <f>P6</f>
        <v>228 / 228</v>
      </c>
    </row>
  </sheetData>
  <mergeCells count="22">
    <mergeCell ref="A1:R1"/>
    <mergeCell ref="A2:R2"/>
    <mergeCell ref="A5:C5"/>
    <mergeCell ref="A6:C6"/>
    <mergeCell ref="A7:C7"/>
    <mergeCell ref="D5:F5"/>
    <mergeCell ref="D6:F6"/>
    <mergeCell ref="D7:F7"/>
    <mergeCell ref="G5:I5"/>
    <mergeCell ref="G6:I6"/>
    <mergeCell ref="G7:I7"/>
    <mergeCell ref="J5:L5"/>
    <mergeCell ref="J6:L6"/>
    <mergeCell ref="J7:L7"/>
    <mergeCell ref="M5:O5"/>
    <mergeCell ref="M6:O6"/>
    <mergeCell ref="C54:D54"/>
    <mergeCell ref="M7:O7"/>
    <mergeCell ref="P5:R5"/>
    <mergeCell ref="P6:R6"/>
    <mergeCell ref="P7:R7"/>
    <mergeCell ref="A10:M10"/>
  </mergeCells>
  <conditionalFormatting sqref="H12:H30">
    <cfRule type="containsText" dxfId="27" priority="1" operator="containsText" text="Green"/>
    <cfRule type="containsText" dxfId="26" priority="2" operator="containsText" text="Amber"/>
    <cfRule type="containsText" dxfId="25" priority="3" operator="containsText" text="Red"/>
    <cfRule type="containsText" dxfId="24" priority="4" operator="containsText" text="Target Needed"/>
    <cfRule type="containsText" dxfId="23" priority="5" operator="containsText" text="Ready"/>
    <cfRule type="containsText" dxfId="22" priority="6" operator="containsText" text="Default Only"/>
    <cfRule type="containsText" dxfId="21" priority="7" operator="containsText" text="Missing target"/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xr:uid="{00000000-0002-0000-0000-000000000000}">
          <x14:formula1>
            <xm:f>SETTINGS!$A$15:$A$24</xm:f>
          </x14:formula1>
          <xm:sqref>B3</xm:sqref>
        </x14:dataValidation>
        <x14:dataValidation type="list" xr:uid="{00000000-0002-0000-0000-000001000000}">
          <x14:formula1>
            <xm:f>LISTS!$B$2:$B$14</xm:f>
          </x14:formula1>
          <xm:sqref>D3</xm:sqref>
        </x14:dataValidation>
        <x14:dataValidation type="list" xr:uid="{00000000-0002-0000-0000-000002000000}">
          <x14:formula1>
            <xm:f>LISTS!$E$2:$E$5</xm:f>
          </x14:formula1>
          <xm:sqref>F3</xm:sqref>
        </x14:dataValidation>
        <x14:dataValidation type="list" xr:uid="{00000000-0002-0000-0000-000003000000}">
          <x14:formula1>
            <xm:f>LISTS!$F$2:$F$4</xm:f>
          </x14:formula1>
          <xm:sqref>H3</xm:sqref>
        </x14:dataValidation>
        <x14:dataValidation type="list" xr:uid="{00000000-0002-0000-0000-000004000000}">
          <x14:formula1>
            <xm:f>LISTS!$C$2:$C$6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U23"/>
  <sheetViews>
    <sheetView showGridLines="0" zoomScale="70" zoomScaleNormal="70" workbookViewId="0">
      <selection activeCell="K11" sqref="K11"/>
    </sheetView>
  </sheetViews>
  <sheetFormatPr defaultRowHeight="14.4" x14ac:dyDescent="0.3"/>
  <cols>
    <col min="1" max="1" width="10.33203125" customWidth="1"/>
    <col min="2" max="11" width="14.109375" customWidth="1"/>
    <col min="12" max="19" width="12.21875" customWidth="1"/>
    <col min="20" max="21" width="14.109375" customWidth="1"/>
  </cols>
  <sheetData>
    <row r="1" spans="1:21" ht="23.4" x14ac:dyDescent="0.3">
      <c r="A1" s="67" t="s">
        <v>142</v>
      </c>
      <c r="B1" s="67" t="s">
        <v>142</v>
      </c>
      <c r="C1" s="67" t="s">
        <v>142</v>
      </c>
      <c r="D1" s="67" t="s">
        <v>142</v>
      </c>
      <c r="E1" s="67" t="s">
        <v>142</v>
      </c>
      <c r="F1" s="67" t="s">
        <v>142</v>
      </c>
      <c r="G1" s="67" t="s">
        <v>142</v>
      </c>
      <c r="H1" s="67" t="s">
        <v>142</v>
      </c>
      <c r="I1" s="67" t="s">
        <v>142</v>
      </c>
      <c r="J1" s="67" t="s">
        <v>142</v>
      </c>
      <c r="K1" s="67" t="s">
        <v>142</v>
      </c>
      <c r="L1" s="67" t="s">
        <v>142</v>
      </c>
      <c r="M1" s="67" t="s">
        <v>142</v>
      </c>
      <c r="N1" s="67" t="s">
        <v>142</v>
      </c>
      <c r="O1" s="67" t="s">
        <v>142</v>
      </c>
      <c r="P1" s="67" t="s">
        <v>142</v>
      </c>
      <c r="Q1" s="67" t="s">
        <v>142</v>
      </c>
      <c r="R1" s="67" t="s">
        <v>142</v>
      </c>
      <c r="S1" s="67" t="s">
        <v>142</v>
      </c>
      <c r="T1" s="67" t="s">
        <v>142</v>
      </c>
      <c r="U1" s="67" t="s">
        <v>142</v>
      </c>
    </row>
    <row r="2" spans="1:21" x14ac:dyDescent="0.3">
      <c r="A2" s="68" t="s">
        <v>143</v>
      </c>
      <c r="B2" s="68" t="s">
        <v>143</v>
      </c>
      <c r="C2" s="68" t="s">
        <v>143</v>
      </c>
      <c r="D2" s="68" t="s">
        <v>143</v>
      </c>
      <c r="E2" s="68" t="s">
        <v>143</v>
      </c>
      <c r="F2" s="68" t="s">
        <v>143</v>
      </c>
      <c r="G2" s="68" t="s">
        <v>143</v>
      </c>
      <c r="H2" s="68" t="s">
        <v>143</v>
      </c>
      <c r="I2" s="68" t="s">
        <v>143</v>
      </c>
      <c r="J2" s="68" t="s">
        <v>143</v>
      </c>
      <c r="K2" s="68" t="s">
        <v>143</v>
      </c>
      <c r="L2" s="68" t="s">
        <v>143</v>
      </c>
      <c r="M2" s="68" t="s">
        <v>143</v>
      </c>
      <c r="N2" s="68" t="s">
        <v>143</v>
      </c>
      <c r="O2" s="68" t="s">
        <v>143</v>
      </c>
      <c r="P2" s="68" t="s">
        <v>143</v>
      </c>
      <c r="Q2" s="68" t="s">
        <v>143</v>
      </c>
      <c r="R2" s="68" t="s">
        <v>143</v>
      </c>
      <c r="S2" s="68" t="s">
        <v>143</v>
      </c>
      <c r="T2" s="68" t="s">
        <v>143</v>
      </c>
      <c r="U2" s="68" t="s">
        <v>143</v>
      </c>
    </row>
    <row r="3" spans="1:21" x14ac:dyDescent="0.3">
      <c r="A3" s="69" t="s">
        <v>144</v>
      </c>
      <c r="B3" s="62" t="s">
        <v>144</v>
      </c>
      <c r="C3" s="62" t="s">
        <v>144</v>
      </c>
      <c r="D3" s="62" t="s">
        <v>64</v>
      </c>
      <c r="E3" s="62" t="s">
        <v>64</v>
      </c>
      <c r="F3" s="62" t="s">
        <v>64</v>
      </c>
      <c r="G3" s="62" t="s">
        <v>65</v>
      </c>
      <c r="H3" s="62" t="s">
        <v>65</v>
      </c>
      <c r="I3" s="62" t="s">
        <v>65</v>
      </c>
      <c r="J3" s="62" t="s">
        <v>59</v>
      </c>
      <c r="K3" s="62" t="s">
        <v>59</v>
      </c>
      <c r="L3" s="62" t="s">
        <v>59</v>
      </c>
      <c r="M3" s="62" t="s">
        <v>145</v>
      </c>
      <c r="N3" s="62" t="s">
        <v>145</v>
      </c>
      <c r="O3" s="62" t="s">
        <v>145</v>
      </c>
      <c r="P3" s="62" t="s">
        <v>67</v>
      </c>
      <c r="Q3" s="62" t="s">
        <v>67</v>
      </c>
      <c r="R3" s="62" t="s">
        <v>67</v>
      </c>
      <c r="S3" s="62" t="s">
        <v>146</v>
      </c>
      <c r="T3" s="62" t="s">
        <v>146</v>
      </c>
      <c r="U3" s="63" t="s">
        <v>146</v>
      </c>
    </row>
    <row r="4" spans="1:21" ht="19.95" customHeight="1" x14ac:dyDescent="0.3">
      <c r="A4" s="74">
        <f ca="1">SUMIFS(KPI_DATA!$L$2:$L$2281,KPI_DATA!$J$2:$J$2281,"No. of Hours Worked [Exposure Hours]",KPI_DATA!$C$2:$C$2281,"Yes")</f>
        <v>52319.95</v>
      </c>
      <c r="B4" s="75"/>
      <c r="C4" s="75"/>
      <c r="D4" s="75">
        <f ca="1">SUMIFS(KPI_DATA!$L$2:$L$2281,KPI_DATA!$J$2:$J$2281,"No. of Kilometres Driven",KPI_DATA!$C$2:$C$2281,"Yes")</f>
        <v>16000</v>
      </c>
      <c r="E4" s="75"/>
      <c r="F4" s="75"/>
      <c r="G4" s="78">
        <f ca="1">SUMIFS(KPI_DATA!$L$2:$L$2281,KPI_DATA!$J$2:$J$2281,"Number of TRCs (LTI / RWC / MTC / FAT)",KPI_DATA!$C$2:$C$2281,"Yes")</f>
        <v>0</v>
      </c>
      <c r="H4" s="78"/>
      <c r="I4" s="78"/>
      <c r="J4" s="78">
        <f ca="1">SUMIFS(KPI_DATA!$L$2:$L$2281,KPI_DATA!$J$2:$J$2281,"Number of Near-Misses",KPI_DATA!$C$2:$C$2281,"Yes")</f>
        <v>0</v>
      </c>
      <c r="K4" s="78"/>
      <c r="L4" s="78"/>
      <c r="M4" s="80">
        <f ca="1">IFERROR(G4*1000000/A4,0)</f>
        <v>0</v>
      </c>
      <c r="N4" s="80"/>
      <c r="O4" s="80"/>
      <c r="P4" s="82" t="str">
        <f>SUMIFS(KPI_DATA!$W$2:$W$2281,KPI_DATA!$C$2:$C$2281,"Yes")&amp;" / "&amp;COUNTIFS(KPI_DATA!$C$2:$C$2281,"Yes")</f>
        <v>456 / 456</v>
      </c>
      <c r="Q4" s="82"/>
      <c r="R4" s="82"/>
      <c r="S4" s="84">
        <f ca="1">COUNTIFS(KPI_DATA!$J$2:$J$2281,"No. of Hours Worked [Exposure Hours]",KPI_DATA!$L$2:$L$2281,"&gt;0",KPI_DATA!$C$2:$C$2281,"Yes")</f>
        <v>9</v>
      </c>
      <c r="T4" s="84"/>
      <c r="U4" s="85"/>
    </row>
    <row r="5" spans="1:21" ht="25.95" customHeight="1" x14ac:dyDescent="0.3">
      <c r="A5" s="76"/>
      <c r="B5" s="77"/>
      <c r="C5" s="77"/>
      <c r="D5" s="77"/>
      <c r="E5" s="77"/>
      <c r="F5" s="77"/>
      <c r="G5" s="79"/>
      <c r="H5" s="79"/>
      <c r="I5" s="79"/>
      <c r="J5" s="79"/>
      <c r="K5" s="79"/>
      <c r="L5" s="79"/>
      <c r="M5" s="81"/>
      <c r="N5" s="81"/>
      <c r="O5" s="81"/>
      <c r="P5" s="83"/>
      <c r="Q5" s="83"/>
      <c r="R5" s="83"/>
      <c r="S5" s="86"/>
      <c r="T5" s="86"/>
      <c r="U5" s="87"/>
    </row>
    <row r="8" spans="1:21" ht="19.95" customHeight="1" x14ac:dyDescent="0.3"/>
    <row r="9" spans="1:21" ht="25.95" customHeight="1" x14ac:dyDescent="0.3">
      <c r="A9" s="40" t="s">
        <v>0</v>
      </c>
      <c r="B9" s="41" t="s">
        <v>147</v>
      </c>
      <c r="C9" s="41" t="s">
        <v>148</v>
      </c>
      <c r="D9" s="41" t="s">
        <v>12</v>
      </c>
      <c r="E9" s="41" t="s">
        <v>14</v>
      </c>
      <c r="F9" s="41" t="s">
        <v>149</v>
      </c>
      <c r="G9" s="41" t="s">
        <v>150</v>
      </c>
      <c r="H9" s="41" t="s">
        <v>151</v>
      </c>
      <c r="I9" s="41" t="s">
        <v>152</v>
      </c>
      <c r="J9" s="42" t="s">
        <v>153</v>
      </c>
      <c r="L9" t="s">
        <v>0</v>
      </c>
      <c r="M9" t="s">
        <v>12</v>
      </c>
      <c r="N9" t="s">
        <v>149</v>
      </c>
      <c r="O9" t="s">
        <v>150</v>
      </c>
      <c r="Q9" t="s">
        <v>0</v>
      </c>
      <c r="R9" t="s">
        <v>153</v>
      </c>
      <c r="S9" t="s">
        <v>154</v>
      </c>
    </row>
    <row r="10" spans="1:21" x14ac:dyDescent="0.3">
      <c r="A10" s="14">
        <f>SETTINGS!A15</f>
        <v>2025</v>
      </c>
      <c r="B10" s="15" t="str">
        <f>INDEX(SETTINGS!$B$15:$B$24,MATCH(A10,SETTINGS!$A$15:$A$24,0))</f>
        <v>Yes</v>
      </c>
      <c r="C10" s="15" t="str">
        <f>INDEX(SETTINGS!$C$15:$C$24,MATCH(A10,SETTINGS!$A$15:$A$24,0))</f>
        <v>Yes</v>
      </c>
      <c r="D10" s="54">
        <f ca="1">IF($B10&lt;&gt;"Yes","",SUMIFS(KPI_DATA!$L$2:$L$2281,KPI_DATA!$A$2:$A$2281,A10,KPI_DATA!$J$2:$J$2281,"No. of Hours Worked [Exposure Hours]",KPI_DATA!$C$2:$C$2281,"Yes"))</f>
        <v>39018</v>
      </c>
      <c r="E10" s="54">
        <f ca="1">IF($B10&lt;&gt;"Yes","",SUMIFS(KPI_DATA!$L$2:$L$2281,KPI_DATA!$A$2:$A$2281,A10,KPI_DATA!$J$2:$J$2281,"No. of Kilometres Driven",KPI_DATA!$C$2:$C$2281,"Yes"))</f>
        <v>8000</v>
      </c>
      <c r="F10" s="54">
        <f ca="1">IF($B10&lt;&gt;"Yes","",SUMIFS(KPI_DATA!$L$2:$L$2281,KPI_DATA!$A$2:$A$2281,A10,KPI_DATA!$I$2:$I$2281,"Leading Indicators",KPI_DATA!$C$2:$C$2281,"Yes"))</f>
        <v>510</v>
      </c>
      <c r="G10" s="54">
        <f ca="1">IF($B10&lt;&gt;"Yes","",SUMIFS(KPI_DATA!$L$2:$L$2281,KPI_DATA!$A$2:$A$2281,A10,KPI_DATA!$I$2:$I$2281,"Lagging Indicators",KPI_DATA!$C$2:$C$2281,"Yes"))</f>
        <v>0</v>
      </c>
      <c r="H10" s="54">
        <f ca="1">IF($B10&lt;&gt;"Yes","",SUMIFS(KPI_DATA!$L$2:$L$2281,KPI_DATA!$A$2:$A$2281,A10,KPI_DATA!$J$2:$J$2281,"Number of TRCs (LTI / RWC / MTC / FAT)",KPI_DATA!$C$2:$C$2281,"Yes"))</f>
        <v>0</v>
      </c>
      <c r="I10" s="54">
        <f ca="1">IF($B10&lt;&gt;"Yes","",SUMIFS(KPI_DATA!$L$2:$L$2281,KPI_DATA!$A$2:$A$2281,A10,KPI_DATA!$J$2:$J$2281,"Number of Near-Misses",KPI_DATA!$C$2:$C$2281,"Yes"))</f>
        <v>0</v>
      </c>
      <c r="J10" s="53">
        <f t="shared" ref="J10:J19" ca="1" si="0">IFERROR(H10*1000000/D10,"")</f>
        <v>0</v>
      </c>
      <c r="L10">
        <f t="shared" ref="L10:L19" si="1">A10</f>
        <v>2025</v>
      </c>
      <c r="M10">
        <f t="shared" ref="M10:M19" ca="1" si="2">D10</f>
        <v>39018</v>
      </c>
      <c r="N10">
        <f t="shared" ref="N10:N19" ca="1" si="3">F10</f>
        <v>510</v>
      </c>
      <c r="O10">
        <f t="shared" ref="O10:O19" ca="1" si="4">G10</f>
        <v>0</v>
      </c>
      <c r="Q10">
        <f t="shared" ref="Q10:Q19" si="5">A10</f>
        <v>2025</v>
      </c>
      <c r="R10">
        <f t="shared" ref="R10:R19" ca="1" si="6">J10</f>
        <v>0</v>
      </c>
      <c r="S10">
        <f t="shared" ref="S10:S19" ca="1" si="7">IFERROR(I10*1000000/D10,"")</f>
        <v>0</v>
      </c>
    </row>
    <row r="11" spans="1:21" ht="28.8" customHeight="1" x14ac:dyDescent="0.3">
      <c r="A11" s="14">
        <f>SETTINGS!A16</f>
        <v>2026</v>
      </c>
      <c r="B11" s="15" t="str">
        <f>INDEX(SETTINGS!$B$15:$B$24,MATCH(A11,SETTINGS!$A$15:$A$24,0))</f>
        <v>Yes</v>
      </c>
      <c r="C11" s="15" t="str">
        <f>INDEX(SETTINGS!$C$15:$C$24,MATCH(A11,SETTINGS!$A$15:$A$24,0))</f>
        <v>Yes</v>
      </c>
      <c r="D11" s="54">
        <f ca="1">IF($B11&lt;&gt;"Yes","",SUMIFS(KPI_DATA!$L$2:$L$2281,KPI_DATA!$A$2:$A$2281,A11,KPI_DATA!$J$2:$J$2281,"No. of Hours Worked [Exposure Hours]",KPI_DATA!$C$2:$C$2281,"Yes"))</f>
        <v>13301.95</v>
      </c>
      <c r="E11" s="54">
        <f ca="1">IF($B11&lt;&gt;"Yes","",SUMIFS(KPI_DATA!$L$2:$L$2281,KPI_DATA!$A$2:$A$2281,A11,KPI_DATA!$J$2:$J$2281,"No. of Kilometres Driven",KPI_DATA!$C$2:$C$2281,"Yes"))</f>
        <v>8000</v>
      </c>
      <c r="F11" s="54">
        <f ca="1">IF($B11&lt;&gt;"Yes","",SUMIFS(KPI_DATA!$L$2:$L$2281,KPI_DATA!$A$2:$A$2281,A11,KPI_DATA!$I$2:$I$2281,"Leading Indicators",KPI_DATA!$C$2:$C$2281,"Yes"))</f>
        <v>1027</v>
      </c>
      <c r="G11" s="54">
        <f ca="1">IF($B11&lt;&gt;"Yes","",SUMIFS(KPI_DATA!$L$2:$L$2281,KPI_DATA!$A$2:$A$2281,A11,KPI_DATA!$I$2:$I$2281,"Lagging Indicators",KPI_DATA!$C$2:$C$2281,"Yes"))</f>
        <v>0</v>
      </c>
      <c r="H11" s="54">
        <f ca="1">IF($B11&lt;&gt;"Yes","",SUMIFS(KPI_DATA!$L$2:$L$2281,KPI_DATA!$A$2:$A$2281,A11,KPI_DATA!$J$2:$J$2281,"Number of TRCs (LTI / RWC / MTC / FAT)",KPI_DATA!$C$2:$C$2281,"Yes"))</f>
        <v>0</v>
      </c>
      <c r="I11" s="54">
        <f ca="1">IF($B11&lt;&gt;"Yes","",SUMIFS(KPI_DATA!$L$2:$L$2281,KPI_DATA!$A$2:$A$2281,A11,KPI_DATA!$J$2:$J$2281,"Number of Near-Misses",KPI_DATA!$C$2:$C$2281,"Yes"))</f>
        <v>0</v>
      </c>
      <c r="J11" s="53">
        <f t="shared" ca="1" si="0"/>
        <v>0</v>
      </c>
      <c r="L11">
        <f t="shared" si="1"/>
        <v>2026</v>
      </c>
      <c r="M11">
        <f t="shared" ca="1" si="2"/>
        <v>13301.95</v>
      </c>
      <c r="N11">
        <f t="shared" ca="1" si="3"/>
        <v>1027</v>
      </c>
      <c r="O11">
        <f t="shared" ca="1" si="4"/>
        <v>0</v>
      </c>
      <c r="Q11">
        <f t="shared" si="5"/>
        <v>2026</v>
      </c>
      <c r="R11">
        <f t="shared" ca="1" si="6"/>
        <v>0</v>
      </c>
      <c r="S11">
        <f t="shared" ca="1" si="7"/>
        <v>0</v>
      </c>
    </row>
    <row r="12" spans="1:21" x14ac:dyDescent="0.3">
      <c r="A12" s="14">
        <f>SETTINGS!A17</f>
        <v>2027</v>
      </c>
      <c r="B12" s="15" t="str">
        <f>INDEX(SETTINGS!$B$15:$B$24,MATCH(A12,SETTINGS!$A$15:$A$24,0))</f>
        <v>No</v>
      </c>
      <c r="C12" s="15" t="str">
        <f>INDEX(SETTINGS!$C$15:$C$24,MATCH(A12,SETTINGS!$A$15:$A$24,0))</f>
        <v>No</v>
      </c>
      <c r="D12" s="54" t="str">
        <f>IF($B12&lt;&gt;"Yes","",SUMIFS(KPI_DATA!$L$2:$L$2281,KPI_DATA!$A$2:$A$2281,A12,KPI_DATA!$J$2:$J$2281,"No. of Hours Worked [Exposure Hours]",KPI_DATA!$C$2:$C$2281,"Yes"))</f>
        <v/>
      </c>
      <c r="E12" s="54" t="str">
        <f>IF($B12&lt;&gt;"Yes","",SUMIFS(KPI_DATA!$L$2:$L$2281,KPI_DATA!$A$2:$A$2281,A12,KPI_DATA!$J$2:$J$2281,"No. of Kilometres Driven",KPI_DATA!$C$2:$C$2281,"Yes"))</f>
        <v/>
      </c>
      <c r="F12" s="54" t="str">
        <f>IF($B12&lt;&gt;"Yes","",SUMIFS(KPI_DATA!$L$2:$L$2281,KPI_DATA!$A$2:$A$2281,A12,KPI_DATA!$I$2:$I$2281,"Leading Indicators",KPI_DATA!$C$2:$C$2281,"Yes"))</f>
        <v/>
      </c>
      <c r="G12" s="54" t="str">
        <f>IF($B12&lt;&gt;"Yes","",SUMIFS(KPI_DATA!$L$2:$L$2281,KPI_DATA!$A$2:$A$2281,A12,KPI_DATA!$I$2:$I$2281,"Lagging Indicators",KPI_DATA!$C$2:$C$2281,"Yes"))</f>
        <v/>
      </c>
      <c r="H12" s="54" t="str">
        <f>IF($B12&lt;&gt;"Yes","",SUMIFS(KPI_DATA!$L$2:$L$2281,KPI_DATA!$A$2:$A$2281,A12,KPI_DATA!$J$2:$J$2281,"Number of TRCs (LTI / RWC / MTC / FAT)",KPI_DATA!$C$2:$C$2281,"Yes"))</f>
        <v/>
      </c>
      <c r="I12" s="54" t="str">
        <f>IF($B12&lt;&gt;"Yes","",SUMIFS(KPI_DATA!$L$2:$L$2281,KPI_DATA!$A$2:$A$2281,A12,KPI_DATA!$J$2:$J$2281,"Number of Near-Misses",KPI_DATA!$C$2:$C$2281,"Yes"))</f>
        <v/>
      </c>
      <c r="J12" s="53" t="str">
        <f t="shared" si="0"/>
        <v/>
      </c>
      <c r="L12">
        <f t="shared" si="1"/>
        <v>2027</v>
      </c>
      <c r="M12" t="str">
        <f t="shared" si="2"/>
        <v/>
      </c>
      <c r="N12" t="str">
        <f t="shared" si="3"/>
        <v/>
      </c>
      <c r="O12" t="str">
        <f t="shared" si="4"/>
        <v/>
      </c>
      <c r="Q12">
        <f t="shared" si="5"/>
        <v>2027</v>
      </c>
      <c r="R12" t="str">
        <f t="shared" si="6"/>
        <v/>
      </c>
      <c r="S12" t="str">
        <f t="shared" si="7"/>
        <v/>
      </c>
    </row>
    <row r="13" spans="1:21" x14ac:dyDescent="0.3">
      <c r="A13" s="14">
        <f>SETTINGS!A18</f>
        <v>2028</v>
      </c>
      <c r="B13" s="15" t="str">
        <f>INDEX(SETTINGS!$B$15:$B$24,MATCH(A13,SETTINGS!$A$15:$A$24,0))</f>
        <v>No</v>
      </c>
      <c r="C13" s="15" t="str">
        <f>INDEX(SETTINGS!$C$15:$C$24,MATCH(A13,SETTINGS!$A$15:$A$24,0))</f>
        <v>No</v>
      </c>
      <c r="D13" s="54" t="str">
        <f>IF($B13&lt;&gt;"Yes","",SUMIFS(KPI_DATA!$L$2:$L$2281,KPI_DATA!$A$2:$A$2281,A13,KPI_DATA!$J$2:$J$2281,"No. of Hours Worked [Exposure Hours]",KPI_DATA!$C$2:$C$2281,"Yes"))</f>
        <v/>
      </c>
      <c r="E13" s="54" t="str">
        <f>IF($B13&lt;&gt;"Yes","",SUMIFS(KPI_DATA!$L$2:$L$2281,KPI_DATA!$A$2:$A$2281,A13,KPI_DATA!$J$2:$J$2281,"No. of Kilometres Driven",KPI_DATA!$C$2:$C$2281,"Yes"))</f>
        <v/>
      </c>
      <c r="F13" s="54" t="str">
        <f>IF($B13&lt;&gt;"Yes","",SUMIFS(KPI_DATA!$L$2:$L$2281,KPI_DATA!$A$2:$A$2281,A13,KPI_DATA!$I$2:$I$2281,"Leading Indicators",KPI_DATA!$C$2:$C$2281,"Yes"))</f>
        <v/>
      </c>
      <c r="G13" s="54" t="str">
        <f>IF($B13&lt;&gt;"Yes","",SUMIFS(KPI_DATA!$L$2:$L$2281,KPI_DATA!$A$2:$A$2281,A13,KPI_DATA!$I$2:$I$2281,"Lagging Indicators",KPI_DATA!$C$2:$C$2281,"Yes"))</f>
        <v/>
      </c>
      <c r="H13" s="54" t="str">
        <f>IF($B13&lt;&gt;"Yes","",SUMIFS(KPI_DATA!$L$2:$L$2281,KPI_DATA!$A$2:$A$2281,A13,KPI_DATA!$J$2:$J$2281,"Number of TRCs (LTI / RWC / MTC / FAT)",KPI_DATA!$C$2:$C$2281,"Yes"))</f>
        <v/>
      </c>
      <c r="I13" s="54" t="str">
        <f>IF($B13&lt;&gt;"Yes","",SUMIFS(KPI_DATA!$L$2:$L$2281,KPI_DATA!$A$2:$A$2281,A13,KPI_DATA!$J$2:$J$2281,"Number of Near-Misses",KPI_DATA!$C$2:$C$2281,"Yes"))</f>
        <v/>
      </c>
      <c r="J13" s="53" t="str">
        <f t="shared" si="0"/>
        <v/>
      </c>
      <c r="L13">
        <f t="shared" si="1"/>
        <v>2028</v>
      </c>
      <c r="M13" t="str">
        <f t="shared" si="2"/>
        <v/>
      </c>
      <c r="N13" t="str">
        <f t="shared" si="3"/>
        <v/>
      </c>
      <c r="O13" t="str">
        <f t="shared" si="4"/>
        <v/>
      </c>
      <c r="Q13">
        <f t="shared" si="5"/>
        <v>2028</v>
      </c>
      <c r="R13" t="str">
        <f t="shared" si="6"/>
        <v/>
      </c>
      <c r="S13" t="str">
        <f t="shared" si="7"/>
        <v/>
      </c>
    </row>
    <row r="14" spans="1:21" x14ac:dyDescent="0.3">
      <c r="A14" s="14">
        <f>SETTINGS!A19</f>
        <v>2029</v>
      </c>
      <c r="B14" s="15" t="str">
        <f>INDEX(SETTINGS!$B$15:$B$24,MATCH(A14,SETTINGS!$A$15:$A$24,0))</f>
        <v>No</v>
      </c>
      <c r="C14" s="15" t="str">
        <f>INDEX(SETTINGS!$C$15:$C$24,MATCH(A14,SETTINGS!$A$15:$A$24,0))</f>
        <v>No</v>
      </c>
      <c r="D14" s="54" t="str">
        <f>IF($B14&lt;&gt;"Yes","",SUMIFS(KPI_DATA!$L$2:$L$2281,KPI_DATA!$A$2:$A$2281,A14,KPI_DATA!$J$2:$J$2281,"No. of Hours Worked [Exposure Hours]",KPI_DATA!$C$2:$C$2281,"Yes"))</f>
        <v/>
      </c>
      <c r="E14" s="54" t="str">
        <f>IF($B14&lt;&gt;"Yes","",SUMIFS(KPI_DATA!$L$2:$L$2281,KPI_DATA!$A$2:$A$2281,A14,KPI_DATA!$J$2:$J$2281,"No. of Kilometres Driven",KPI_DATA!$C$2:$C$2281,"Yes"))</f>
        <v/>
      </c>
      <c r="F14" s="54" t="str">
        <f>IF($B14&lt;&gt;"Yes","",SUMIFS(KPI_DATA!$L$2:$L$2281,KPI_DATA!$A$2:$A$2281,A14,KPI_DATA!$I$2:$I$2281,"Leading Indicators",KPI_DATA!$C$2:$C$2281,"Yes"))</f>
        <v/>
      </c>
      <c r="G14" s="54" t="str">
        <f>IF($B14&lt;&gt;"Yes","",SUMIFS(KPI_DATA!$L$2:$L$2281,KPI_DATA!$A$2:$A$2281,A14,KPI_DATA!$I$2:$I$2281,"Lagging Indicators",KPI_DATA!$C$2:$C$2281,"Yes"))</f>
        <v/>
      </c>
      <c r="H14" s="54" t="str">
        <f>IF($B14&lt;&gt;"Yes","",SUMIFS(KPI_DATA!$L$2:$L$2281,KPI_DATA!$A$2:$A$2281,A14,KPI_DATA!$J$2:$J$2281,"Number of TRCs (LTI / RWC / MTC / FAT)",KPI_DATA!$C$2:$C$2281,"Yes"))</f>
        <v/>
      </c>
      <c r="I14" s="54" t="str">
        <f>IF($B14&lt;&gt;"Yes","",SUMIFS(KPI_DATA!$L$2:$L$2281,KPI_DATA!$A$2:$A$2281,A14,KPI_DATA!$J$2:$J$2281,"Number of Near-Misses",KPI_DATA!$C$2:$C$2281,"Yes"))</f>
        <v/>
      </c>
      <c r="J14" s="53" t="str">
        <f t="shared" si="0"/>
        <v/>
      </c>
      <c r="L14">
        <f t="shared" si="1"/>
        <v>2029</v>
      </c>
      <c r="M14" t="str">
        <f t="shared" si="2"/>
        <v/>
      </c>
      <c r="N14" t="str">
        <f t="shared" si="3"/>
        <v/>
      </c>
      <c r="O14" t="str">
        <f t="shared" si="4"/>
        <v/>
      </c>
      <c r="Q14">
        <f t="shared" si="5"/>
        <v>2029</v>
      </c>
      <c r="R14" t="str">
        <f t="shared" si="6"/>
        <v/>
      </c>
      <c r="S14" t="str">
        <f t="shared" si="7"/>
        <v/>
      </c>
    </row>
    <row r="15" spans="1:21" ht="28.8" customHeight="1" x14ac:dyDescent="0.3">
      <c r="A15" s="14">
        <f>SETTINGS!A20</f>
        <v>2030</v>
      </c>
      <c r="B15" s="15" t="str">
        <f>INDEX(SETTINGS!$B$15:$B$24,MATCH(A15,SETTINGS!$A$15:$A$24,0))</f>
        <v>No</v>
      </c>
      <c r="C15" s="15" t="str">
        <f>INDEX(SETTINGS!$C$15:$C$24,MATCH(A15,SETTINGS!$A$15:$A$24,0))</f>
        <v>No</v>
      </c>
      <c r="D15" s="54" t="str">
        <f>IF($B15&lt;&gt;"Yes","",SUMIFS(KPI_DATA!$L$2:$L$2281,KPI_DATA!$A$2:$A$2281,A15,KPI_DATA!$J$2:$J$2281,"No. of Hours Worked [Exposure Hours]",KPI_DATA!$C$2:$C$2281,"Yes"))</f>
        <v/>
      </c>
      <c r="E15" s="54" t="str">
        <f>IF($B15&lt;&gt;"Yes","",SUMIFS(KPI_DATA!$L$2:$L$2281,KPI_DATA!$A$2:$A$2281,A15,KPI_DATA!$J$2:$J$2281,"No. of Kilometres Driven",KPI_DATA!$C$2:$C$2281,"Yes"))</f>
        <v/>
      </c>
      <c r="F15" s="54" t="str">
        <f>IF($B15&lt;&gt;"Yes","",SUMIFS(KPI_DATA!$L$2:$L$2281,KPI_DATA!$A$2:$A$2281,A15,KPI_DATA!$I$2:$I$2281,"Leading Indicators",KPI_DATA!$C$2:$C$2281,"Yes"))</f>
        <v/>
      </c>
      <c r="G15" s="54" t="str">
        <f>IF($B15&lt;&gt;"Yes","",SUMIFS(KPI_DATA!$L$2:$L$2281,KPI_DATA!$A$2:$A$2281,A15,KPI_DATA!$I$2:$I$2281,"Lagging Indicators",KPI_DATA!$C$2:$C$2281,"Yes"))</f>
        <v/>
      </c>
      <c r="H15" s="54" t="str">
        <f>IF($B15&lt;&gt;"Yes","",SUMIFS(KPI_DATA!$L$2:$L$2281,KPI_DATA!$A$2:$A$2281,A15,KPI_DATA!$J$2:$J$2281,"Number of TRCs (LTI / RWC / MTC / FAT)",KPI_DATA!$C$2:$C$2281,"Yes"))</f>
        <v/>
      </c>
      <c r="I15" s="54" t="str">
        <f>IF($B15&lt;&gt;"Yes","",SUMIFS(KPI_DATA!$L$2:$L$2281,KPI_DATA!$A$2:$A$2281,A15,KPI_DATA!$J$2:$J$2281,"Number of Near-Misses",KPI_DATA!$C$2:$C$2281,"Yes"))</f>
        <v/>
      </c>
      <c r="J15" s="53" t="str">
        <f t="shared" si="0"/>
        <v/>
      </c>
      <c r="L15">
        <f t="shared" si="1"/>
        <v>2030</v>
      </c>
      <c r="M15" t="str">
        <f t="shared" si="2"/>
        <v/>
      </c>
      <c r="N15" t="str">
        <f t="shared" si="3"/>
        <v/>
      </c>
      <c r="O15" t="str">
        <f t="shared" si="4"/>
        <v/>
      </c>
      <c r="Q15">
        <f t="shared" si="5"/>
        <v>2030</v>
      </c>
      <c r="R15" t="str">
        <f t="shared" si="6"/>
        <v/>
      </c>
      <c r="S15" t="str">
        <f t="shared" si="7"/>
        <v/>
      </c>
    </row>
    <row r="16" spans="1:21" ht="28.8" customHeight="1" x14ac:dyDescent="0.3">
      <c r="A16" s="14">
        <f>SETTINGS!A21</f>
        <v>2031</v>
      </c>
      <c r="B16" s="15" t="str">
        <f>INDEX(SETTINGS!$B$15:$B$24,MATCH(A16,SETTINGS!$A$15:$A$24,0))</f>
        <v>No</v>
      </c>
      <c r="C16" s="15" t="str">
        <f>INDEX(SETTINGS!$C$15:$C$24,MATCH(A16,SETTINGS!$A$15:$A$24,0))</f>
        <v>No</v>
      </c>
      <c r="D16" s="54" t="str">
        <f>IF($B16&lt;&gt;"Yes","",SUMIFS(KPI_DATA!$L$2:$L$2281,KPI_DATA!$A$2:$A$2281,A16,KPI_DATA!$J$2:$J$2281,"No. of Hours Worked [Exposure Hours]",KPI_DATA!$C$2:$C$2281,"Yes"))</f>
        <v/>
      </c>
      <c r="E16" s="54" t="str">
        <f>IF($B16&lt;&gt;"Yes","",SUMIFS(KPI_DATA!$L$2:$L$2281,KPI_DATA!$A$2:$A$2281,A16,KPI_DATA!$J$2:$J$2281,"No. of Kilometres Driven",KPI_DATA!$C$2:$C$2281,"Yes"))</f>
        <v/>
      </c>
      <c r="F16" s="54" t="str">
        <f>IF($B16&lt;&gt;"Yes","",SUMIFS(KPI_DATA!$L$2:$L$2281,KPI_DATA!$A$2:$A$2281,A16,KPI_DATA!$I$2:$I$2281,"Leading Indicators",KPI_DATA!$C$2:$C$2281,"Yes"))</f>
        <v/>
      </c>
      <c r="G16" s="54" t="str">
        <f>IF($B16&lt;&gt;"Yes","",SUMIFS(KPI_DATA!$L$2:$L$2281,KPI_DATA!$A$2:$A$2281,A16,KPI_DATA!$I$2:$I$2281,"Lagging Indicators",KPI_DATA!$C$2:$C$2281,"Yes"))</f>
        <v/>
      </c>
      <c r="H16" s="54" t="str">
        <f>IF($B16&lt;&gt;"Yes","",SUMIFS(KPI_DATA!$L$2:$L$2281,KPI_DATA!$A$2:$A$2281,A16,KPI_DATA!$J$2:$J$2281,"Number of TRCs (LTI / RWC / MTC / FAT)",KPI_DATA!$C$2:$C$2281,"Yes"))</f>
        <v/>
      </c>
      <c r="I16" s="54" t="str">
        <f>IF($B16&lt;&gt;"Yes","",SUMIFS(KPI_DATA!$L$2:$L$2281,KPI_DATA!$A$2:$A$2281,A16,KPI_DATA!$J$2:$J$2281,"Number of Near-Misses",KPI_DATA!$C$2:$C$2281,"Yes"))</f>
        <v/>
      </c>
      <c r="J16" s="53" t="str">
        <f t="shared" si="0"/>
        <v/>
      </c>
      <c r="L16">
        <f t="shared" si="1"/>
        <v>2031</v>
      </c>
      <c r="M16" t="str">
        <f t="shared" si="2"/>
        <v/>
      </c>
      <c r="N16" t="str">
        <f t="shared" si="3"/>
        <v/>
      </c>
      <c r="O16" t="str">
        <f t="shared" si="4"/>
        <v/>
      </c>
      <c r="Q16">
        <f t="shared" si="5"/>
        <v>2031</v>
      </c>
      <c r="R16" t="str">
        <f t="shared" si="6"/>
        <v/>
      </c>
      <c r="S16" t="str">
        <f t="shared" si="7"/>
        <v/>
      </c>
    </row>
    <row r="17" spans="1:19" ht="28.8" customHeight="1" x14ac:dyDescent="0.3">
      <c r="A17" s="14">
        <f>SETTINGS!A22</f>
        <v>2032</v>
      </c>
      <c r="B17" s="15" t="str">
        <f>INDEX(SETTINGS!$B$15:$B$24,MATCH(A17,SETTINGS!$A$15:$A$24,0))</f>
        <v>No</v>
      </c>
      <c r="C17" s="15" t="str">
        <f>INDEX(SETTINGS!$C$15:$C$24,MATCH(A17,SETTINGS!$A$15:$A$24,0))</f>
        <v>No</v>
      </c>
      <c r="D17" s="54" t="str">
        <f>IF($B17&lt;&gt;"Yes","",SUMIFS(KPI_DATA!$L$2:$L$2281,KPI_DATA!$A$2:$A$2281,A17,KPI_DATA!$J$2:$J$2281,"No. of Hours Worked [Exposure Hours]",KPI_DATA!$C$2:$C$2281,"Yes"))</f>
        <v/>
      </c>
      <c r="E17" s="54" t="str">
        <f>IF($B17&lt;&gt;"Yes","",SUMIFS(KPI_DATA!$L$2:$L$2281,KPI_DATA!$A$2:$A$2281,A17,KPI_DATA!$J$2:$J$2281,"No. of Kilometres Driven",KPI_DATA!$C$2:$C$2281,"Yes"))</f>
        <v/>
      </c>
      <c r="F17" s="54" t="str">
        <f>IF($B17&lt;&gt;"Yes","",SUMIFS(KPI_DATA!$L$2:$L$2281,KPI_DATA!$A$2:$A$2281,A17,KPI_DATA!$I$2:$I$2281,"Leading Indicators",KPI_DATA!$C$2:$C$2281,"Yes"))</f>
        <v/>
      </c>
      <c r="G17" s="54" t="str">
        <f>IF($B17&lt;&gt;"Yes","",SUMIFS(KPI_DATA!$L$2:$L$2281,KPI_DATA!$A$2:$A$2281,A17,KPI_DATA!$I$2:$I$2281,"Lagging Indicators",KPI_DATA!$C$2:$C$2281,"Yes"))</f>
        <v/>
      </c>
      <c r="H17" s="54" t="str">
        <f>IF($B17&lt;&gt;"Yes","",SUMIFS(KPI_DATA!$L$2:$L$2281,KPI_DATA!$A$2:$A$2281,A17,KPI_DATA!$J$2:$J$2281,"Number of TRCs (LTI / RWC / MTC / FAT)",KPI_DATA!$C$2:$C$2281,"Yes"))</f>
        <v/>
      </c>
      <c r="I17" s="54" t="str">
        <f>IF($B17&lt;&gt;"Yes","",SUMIFS(KPI_DATA!$L$2:$L$2281,KPI_DATA!$A$2:$A$2281,A17,KPI_DATA!$J$2:$J$2281,"Number of Near-Misses",KPI_DATA!$C$2:$C$2281,"Yes"))</f>
        <v/>
      </c>
      <c r="J17" s="53" t="str">
        <f t="shared" si="0"/>
        <v/>
      </c>
      <c r="L17">
        <f t="shared" si="1"/>
        <v>2032</v>
      </c>
      <c r="M17" t="str">
        <f t="shared" si="2"/>
        <v/>
      </c>
      <c r="N17" t="str">
        <f t="shared" si="3"/>
        <v/>
      </c>
      <c r="O17" t="str">
        <f t="shared" si="4"/>
        <v/>
      </c>
      <c r="Q17">
        <f t="shared" si="5"/>
        <v>2032</v>
      </c>
      <c r="R17" t="str">
        <f t="shared" si="6"/>
        <v/>
      </c>
      <c r="S17" t="str">
        <f t="shared" si="7"/>
        <v/>
      </c>
    </row>
    <row r="18" spans="1:19" ht="28.8" customHeight="1" x14ac:dyDescent="0.3">
      <c r="A18" s="14">
        <f>SETTINGS!A23</f>
        <v>2033</v>
      </c>
      <c r="B18" s="15" t="str">
        <f>INDEX(SETTINGS!$B$15:$B$24,MATCH(A18,SETTINGS!$A$15:$A$24,0))</f>
        <v>No</v>
      </c>
      <c r="C18" s="15" t="str">
        <f>INDEX(SETTINGS!$C$15:$C$24,MATCH(A18,SETTINGS!$A$15:$A$24,0))</f>
        <v>No</v>
      </c>
      <c r="D18" s="54" t="str">
        <f>IF($B18&lt;&gt;"Yes","",SUMIFS(KPI_DATA!$L$2:$L$2281,KPI_DATA!$A$2:$A$2281,A18,KPI_DATA!$J$2:$J$2281,"No. of Hours Worked [Exposure Hours]",KPI_DATA!$C$2:$C$2281,"Yes"))</f>
        <v/>
      </c>
      <c r="E18" s="54" t="str">
        <f>IF($B18&lt;&gt;"Yes","",SUMIFS(KPI_DATA!$L$2:$L$2281,KPI_DATA!$A$2:$A$2281,A18,KPI_DATA!$J$2:$J$2281,"No. of Kilometres Driven",KPI_DATA!$C$2:$C$2281,"Yes"))</f>
        <v/>
      </c>
      <c r="F18" s="54" t="str">
        <f>IF($B18&lt;&gt;"Yes","",SUMIFS(KPI_DATA!$L$2:$L$2281,KPI_DATA!$A$2:$A$2281,A18,KPI_DATA!$I$2:$I$2281,"Leading Indicators",KPI_DATA!$C$2:$C$2281,"Yes"))</f>
        <v/>
      </c>
      <c r="G18" s="54" t="str">
        <f>IF($B18&lt;&gt;"Yes","",SUMIFS(KPI_DATA!$L$2:$L$2281,KPI_DATA!$A$2:$A$2281,A18,KPI_DATA!$I$2:$I$2281,"Lagging Indicators",KPI_DATA!$C$2:$C$2281,"Yes"))</f>
        <v/>
      </c>
      <c r="H18" s="54" t="str">
        <f>IF($B18&lt;&gt;"Yes","",SUMIFS(KPI_DATA!$L$2:$L$2281,KPI_DATA!$A$2:$A$2281,A18,KPI_DATA!$J$2:$J$2281,"Number of TRCs (LTI / RWC / MTC / FAT)",KPI_DATA!$C$2:$C$2281,"Yes"))</f>
        <v/>
      </c>
      <c r="I18" s="54" t="str">
        <f>IF($B18&lt;&gt;"Yes","",SUMIFS(KPI_DATA!$L$2:$L$2281,KPI_DATA!$A$2:$A$2281,A18,KPI_DATA!$J$2:$J$2281,"Number of Near-Misses",KPI_DATA!$C$2:$C$2281,"Yes"))</f>
        <v/>
      </c>
      <c r="J18" s="53" t="str">
        <f t="shared" si="0"/>
        <v/>
      </c>
      <c r="L18">
        <f t="shared" si="1"/>
        <v>2033</v>
      </c>
      <c r="M18" t="str">
        <f t="shared" si="2"/>
        <v/>
      </c>
      <c r="N18" t="str">
        <f t="shared" si="3"/>
        <v/>
      </c>
      <c r="O18" t="str">
        <f t="shared" si="4"/>
        <v/>
      </c>
      <c r="Q18">
        <f t="shared" si="5"/>
        <v>2033</v>
      </c>
      <c r="R18" t="str">
        <f t="shared" si="6"/>
        <v/>
      </c>
      <c r="S18" t="str">
        <f t="shared" si="7"/>
        <v/>
      </c>
    </row>
    <row r="19" spans="1:19" ht="28.8" customHeight="1" x14ac:dyDescent="0.3">
      <c r="A19" s="17">
        <f>SETTINGS!A24</f>
        <v>2034</v>
      </c>
      <c r="B19" s="18" t="str">
        <f>INDEX(SETTINGS!$B$15:$B$24,MATCH(A19,SETTINGS!$A$15:$A$24,0))</f>
        <v>No</v>
      </c>
      <c r="C19" s="18" t="str">
        <f>INDEX(SETTINGS!$C$15:$C$24,MATCH(A19,SETTINGS!$A$15:$A$24,0))</f>
        <v>No</v>
      </c>
      <c r="D19" s="55" t="str">
        <f>IF($B19&lt;&gt;"Yes","",SUMIFS(KPI_DATA!$L$2:$L$2281,KPI_DATA!$A$2:$A$2281,A19,KPI_DATA!$J$2:$J$2281,"No. of Hours Worked [Exposure Hours]",KPI_DATA!$C$2:$C$2281,"Yes"))</f>
        <v/>
      </c>
      <c r="E19" s="55" t="str">
        <f>IF($B19&lt;&gt;"Yes","",SUMIFS(KPI_DATA!$L$2:$L$2281,KPI_DATA!$A$2:$A$2281,A19,KPI_DATA!$J$2:$J$2281,"No. of Kilometres Driven",KPI_DATA!$C$2:$C$2281,"Yes"))</f>
        <v/>
      </c>
      <c r="F19" s="55" t="str">
        <f>IF($B19&lt;&gt;"Yes","",SUMIFS(KPI_DATA!$L$2:$L$2281,KPI_DATA!$A$2:$A$2281,A19,KPI_DATA!$I$2:$I$2281,"Leading Indicators",KPI_DATA!$C$2:$C$2281,"Yes"))</f>
        <v/>
      </c>
      <c r="G19" s="55" t="str">
        <f>IF($B19&lt;&gt;"Yes","",SUMIFS(KPI_DATA!$L$2:$L$2281,KPI_DATA!$A$2:$A$2281,A19,KPI_DATA!$I$2:$I$2281,"Lagging Indicators",KPI_DATA!$C$2:$C$2281,"Yes"))</f>
        <v/>
      </c>
      <c r="H19" s="55" t="str">
        <f>IF($B19&lt;&gt;"Yes","",SUMIFS(KPI_DATA!$L$2:$L$2281,KPI_DATA!$A$2:$A$2281,A19,KPI_DATA!$J$2:$J$2281,"Number of TRCs (LTI / RWC / MTC / FAT)",KPI_DATA!$C$2:$C$2281,"Yes"))</f>
        <v/>
      </c>
      <c r="I19" s="55" t="str">
        <f>IF($B19&lt;&gt;"Yes","",SUMIFS(KPI_DATA!$L$2:$L$2281,KPI_DATA!$A$2:$A$2281,A19,KPI_DATA!$J$2:$J$2281,"Number of Near-Misses",KPI_DATA!$C$2:$C$2281,"Yes"))</f>
        <v/>
      </c>
      <c r="J19" s="56" t="str">
        <f t="shared" si="0"/>
        <v/>
      </c>
      <c r="L19">
        <f t="shared" si="1"/>
        <v>2034</v>
      </c>
      <c r="M19" t="str">
        <f t="shared" si="2"/>
        <v/>
      </c>
      <c r="N19" t="str">
        <f t="shared" si="3"/>
        <v/>
      </c>
      <c r="O19" t="str">
        <f t="shared" si="4"/>
        <v/>
      </c>
      <c r="Q19">
        <f t="shared" si="5"/>
        <v>2034</v>
      </c>
      <c r="R19" t="str">
        <f t="shared" si="6"/>
        <v/>
      </c>
      <c r="S19" t="str">
        <f t="shared" si="7"/>
        <v/>
      </c>
    </row>
    <row r="22" spans="1:19" ht="15" customHeight="1" x14ac:dyDescent="0.3"/>
    <row r="23" spans="1:19" ht="28.8" customHeight="1" x14ac:dyDescent="0.3"/>
  </sheetData>
  <mergeCells count="16">
    <mergeCell ref="A1:U1"/>
    <mergeCell ref="A2:U2"/>
    <mergeCell ref="A3:C3"/>
    <mergeCell ref="A4:C5"/>
    <mergeCell ref="D3:F3"/>
    <mergeCell ref="D4:F5"/>
    <mergeCell ref="G3:I3"/>
    <mergeCell ref="G4:I5"/>
    <mergeCell ref="J3:L3"/>
    <mergeCell ref="J4:L5"/>
    <mergeCell ref="M3:O3"/>
    <mergeCell ref="M4:O5"/>
    <mergeCell ref="P3:R3"/>
    <mergeCell ref="P4:R5"/>
    <mergeCell ref="S3:U3"/>
    <mergeCell ref="S4:U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U14"/>
  <sheetViews>
    <sheetView showGridLines="0" zoomScale="85" zoomScaleNormal="85" workbookViewId="0">
      <selection activeCell="H8" sqref="H8"/>
    </sheetView>
  </sheetViews>
  <sheetFormatPr defaultRowHeight="14.4" x14ac:dyDescent="0.3"/>
  <cols>
    <col min="1" max="11" width="14.109375" customWidth="1"/>
    <col min="12" max="14" width="20.88671875" customWidth="1"/>
    <col min="15" max="21" width="14.109375" customWidth="1"/>
  </cols>
  <sheetData>
    <row r="1" spans="1:21" ht="23.4" x14ac:dyDescent="0.3">
      <c r="A1" s="67" t="s">
        <v>269</v>
      </c>
      <c r="B1" s="67" t="s">
        <v>269</v>
      </c>
      <c r="C1" s="67" t="s">
        <v>269</v>
      </c>
      <c r="D1" s="67" t="s">
        <v>269</v>
      </c>
      <c r="E1" s="67" t="s">
        <v>269</v>
      </c>
      <c r="F1" s="67" t="s">
        <v>269</v>
      </c>
      <c r="G1" s="67" t="s">
        <v>269</v>
      </c>
      <c r="H1" s="67" t="s">
        <v>269</v>
      </c>
      <c r="I1" s="67" t="s">
        <v>269</v>
      </c>
      <c r="J1" s="67" t="s">
        <v>269</v>
      </c>
      <c r="K1" s="67" t="s">
        <v>269</v>
      </c>
      <c r="L1" s="67" t="s">
        <v>269</v>
      </c>
      <c r="M1" s="67" t="s">
        <v>269</v>
      </c>
      <c r="N1" s="67" t="s">
        <v>269</v>
      </c>
      <c r="O1" s="67" t="s">
        <v>269</v>
      </c>
      <c r="P1" s="67" t="s">
        <v>269</v>
      </c>
      <c r="Q1" s="67" t="s">
        <v>269</v>
      </c>
      <c r="R1" s="67" t="s">
        <v>269</v>
      </c>
      <c r="S1" s="67" t="s">
        <v>269</v>
      </c>
      <c r="T1" s="67" t="s">
        <v>269</v>
      </c>
      <c r="U1" s="67" t="s">
        <v>269</v>
      </c>
    </row>
    <row r="2" spans="1:21" x14ac:dyDescent="0.3">
      <c r="A2" s="68" t="s">
        <v>270</v>
      </c>
      <c r="B2" s="68" t="s">
        <v>270</v>
      </c>
      <c r="C2" s="68" t="s">
        <v>270</v>
      </c>
      <c r="D2" s="68" t="s">
        <v>270</v>
      </c>
      <c r="E2" s="68" t="s">
        <v>270</v>
      </c>
      <c r="F2" s="68" t="s">
        <v>270</v>
      </c>
      <c r="G2" s="68" t="s">
        <v>270</v>
      </c>
      <c r="H2" s="68" t="s">
        <v>270</v>
      </c>
      <c r="I2" s="68" t="s">
        <v>270</v>
      </c>
      <c r="J2" s="68" t="s">
        <v>270</v>
      </c>
      <c r="K2" s="68" t="s">
        <v>270</v>
      </c>
      <c r="L2" s="68" t="s">
        <v>270</v>
      </c>
      <c r="M2" s="68" t="s">
        <v>270</v>
      </c>
      <c r="N2" s="68" t="s">
        <v>270</v>
      </c>
      <c r="O2" s="68" t="s">
        <v>270</v>
      </c>
      <c r="P2" s="68" t="s">
        <v>270</v>
      </c>
      <c r="Q2" s="68" t="s">
        <v>270</v>
      </c>
      <c r="R2" s="68" t="s">
        <v>270</v>
      </c>
      <c r="S2" s="68" t="s">
        <v>270</v>
      </c>
      <c r="T2" s="68" t="s">
        <v>270</v>
      </c>
      <c r="U2" s="68" t="s">
        <v>270</v>
      </c>
    </row>
    <row r="4" spans="1:21" x14ac:dyDescent="0.3">
      <c r="A4" s="40" t="s">
        <v>0</v>
      </c>
      <c r="B4" s="41" t="s">
        <v>147</v>
      </c>
      <c r="C4" s="41" t="s">
        <v>148</v>
      </c>
      <c r="D4" s="41" t="s">
        <v>12</v>
      </c>
      <c r="E4" s="41" t="s">
        <v>14</v>
      </c>
      <c r="F4" s="41" t="s">
        <v>149</v>
      </c>
      <c r="G4" s="41" t="s">
        <v>150</v>
      </c>
      <c r="H4" s="41" t="s">
        <v>151</v>
      </c>
      <c r="I4" s="41" t="s">
        <v>152</v>
      </c>
      <c r="J4" s="42" t="s">
        <v>153</v>
      </c>
      <c r="L4" s="57" t="s">
        <v>271</v>
      </c>
      <c r="M4" s="58" t="s">
        <v>272</v>
      </c>
      <c r="N4" s="59" t="s">
        <v>273</v>
      </c>
      <c r="Q4" t="s">
        <v>0</v>
      </c>
      <c r="R4" t="s">
        <v>153</v>
      </c>
      <c r="S4" t="s">
        <v>154</v>
      </c>
    </row>
    <row r="5" spans="1:21" x14ac:dyDescent="0.3">
      <c r="A5" s="14">
        <f>DASHBOARD!A10</f>
        <v>2025</v>
      </c>
      <c r="B5" s="15" t="str">
        <f>DASHBOARD!B10</f>
        <v>Yes</v>
      </c>
      <c r="C5" s="15" t="str">
        <f>DASHBOARD!C10</f>
        <v>Yes</v>
      </c>
      <c r="D5" s="54">
        <f ca="1">DASHBOARD!D10</f>
        <v>39018</v>
      </c>
      <c r="E5" s="54">
        <f ca="1">DASHBOARD!E10</f>
        <v>8000</v>
      </c>
      <c r="F5" s="54">
        <f ca="1">DASHBOARD!F10</f>
        <v>510</v>
      </c>
      <c r="G5" s="54">
        <f ca="1">DASHBOARD!G10</f>
        <v>0</v>
      </c>
      <c r="H5" s="54">
        <f ca="1">DASHBOARD!H10</f>
        <v>0</v>
      </c>
      <c r="I5" s="54">
        <f ca="1">DASHBOARD!I10</f>
        <v>0</v>
      </c>
      <c r="J5" s="53">
        <f ca="1">DASHBOARD!J10</f>
        <v>0</v>
      </c>
      <c r="L5" s="14" t="s">
        <v>274</v>
      </c>
      <c r="M5" s="15" t="s">
        <v>275</v>
      </c>
      <c r="N5" s="16" t="str">
        <f>SUMIFS(KPI_DATA!$W$2:$W$2281,KPI_DATA!$C$2:$C$2281,"Yes")&amp;" / "&amp;COUNTIFS(KPI_DATA!$C$2:$C$2281,"Yes")</f>
        <v>456 / 456</v>
      </c>
      <c r="Q5">
        <f>DASHBOARD!Q10</f>
        <v>2025</v>
      </c>
      <c r="R5">
        <f ca="1">DASHBOARD!R10</f>
        <v>0</v>
      </c>
      <c r="S5">
        <f ca="1">DASHBOARD!S10</f>
        <v>0</v>
      </c>
    </row>
    <row r="6" spans="1:21" x14ac:dyDescent="0.3">
      <c r="A6" s="14">
        <f>DASHBOARD!A11</f>
        <v>2026</v>
      </c>
      <c r="B6" s="15" t="str">
        <f>DASHBOARD!B11</f>
        <v>Yes</v>
      </c>
      <c r="C6" s="15" t="str">
        <f>DASHBOARD!C11</f>
        <v>Yes</v>
      </c>
      <c r="D6" s="54">
        <f ca="1">DASHBOARD!D11</f>
        <v>13301.95</v>
      </c>
      <c r="E6" s="54">
        <f ca="1">DASHBOARD!E11</f>
        <v>8000</v>
      </c>
      <c r="F6" s="54">
        <f ca="1">DASHBOARD!F11</f>
        <v>1027</v>
      </c>
      <c r="G6" s="54">
        <f ca="1">DASHBOARD!G11</f>
        <v>0</v>
      </c>
      <c r="H6" s="54">
        <f ca="1">DASHBOARD!H11</f>
        <v>0</v>
      </c>
      <c r="I6" s="54">
        <f ca="1">DASHBOARD!I11</f>
        <v>0</v>
      </c>
      <c r="J6" s="53">
        <f ca="1">DASHBOARD!J11</f>
        <v>0</v>
      </c>
      <c r="L6" s="14" t="s">
        <v>276</v>
      </c>
      <c r="M6" s="15" t="s">
        <v>277</v>
      </c>
      <c r="N6" s="16">
        <f>COUNTIF(SETTINGS!$B$15:$B$24,"Yes")</f>
        <v>2</v>
      </c>
      <c r="Q6">
        <f>DASHBOARD!Q11</f>
        <v>2026</v>
      </c>
      <c r="R6">
        <f ca="1">DASHBOARD!R11</f>
        <v>0</v>
      </c>
      <c r="S6">
        <f ca="1">DASHBOARD!S11</f>
        <v>0</v>
      </c>
    </row>
    <row r="7" spans="1:21" x14ac:dyDescent="0.3">
      <c r="A7" s="14">
        <f>DASHBOARD!A12</f>
        <v>2027</v>
      </c>
      <c r="B7" s="15" t="str">
        <f>DASHBOARD!B12</f>
        <v>No</v>
      </c>
      <c r="C7" s="15" t="str">
        <f>DASHBOARD!C12</f>
        <v>No</v>
      </c>
      <c r="D7" s="54" t="str">
        <f>DASHBOARD!D12</f>
        <v/>
      </c>
      <c r="E7" s="54" t="str">
        <f>DASHBOARD!E12</f>
        <v/>
      </c>
      <c r="F7" s="54" t="str">
        <f>DASHBOARD!F12</f>
        <v/>
      </c>
      <c r="G7" s="54" t="str">
        <f>DASHBOARD!G12</f>
        <v/>
      </c>
      <c r="H7" s="54" t="str">
        <f>DASHBOARD!H12</f>
        <v/>
      </c>
      <c r="I7" s="54" t="str">
        <f>DASHBOARD!I12</f>
        <v/>
      </c>
      <c r="J7" s="53" t="str">
        <f>DASHBOARD!J12</f>
        <v/>
      </c>
      <c r="L7" s="14" t="s">
        <v>278</v>
      </c>
      <c r="M7" s="15" t="s">
        <v>279</v>
      </c>
      <c r="N7" s="16">
        <f>COUNTIF(SETTINGS!$C$15:$C$24,"Yes")</f>
        <v>2</v>
      </c>
      <c r="Q7">
        <f>DASHBOARD!Q12</f>
        <v>2027</v>
      </c>
      <c r="R7" t="str">
        <f>DASHBOARD!R12</f>
        <v/>
      </c>
      <c r="S7" t="str">
        <f>DASHBOARD!S12</f>
        <v/>
      </c>
    </row>
    <row r="8" spans="1:21" x14ac:dyDescent="0.3">
      <c r="A8" s="14">
        <f>DASHBOARD!A13</f>
        <v>2028</v>
      </c>
      <c r="B8" s="15" t="str">
        <f>DASHBOARD!B13</f>
        <v>No</v>
      </c>
      <c r="C8" s="15" t="str">
        <f>DASHBOARD!C13</f>
        <v>No</v>
      </c>
      <c r="D8" s="54" t="str">
        <f>DASHBOARD!D13</f>
        <v/>
      </c>
      <c r="E8" s="54" t="str">
        <f>DASHBOARD!E13</f>
        <v/>
      </c>
      <c r="F8" s="54" t="str">
        <f>DASHBOARD!F13</f>
        <v/>
      </c>
      <c r="G8" s="54" t="str">
        <f>DASHBOARD!G13</f>
        <v/>
      </c>
      <c r="H8" s="54" t="str">
        <f>DASHBOARD!H13</f>
        <v/>
      </c>
      <c r="I8" s="54" t="str">
        <f>DASHBOARD!I13</f>
        <v/>
      </c>
      <c r="J8" s="53" t="str">
        <f>DASHBOARD!J13</f>
        <v/>
      </c>
      <c r="L8" s="14" t="s">
        <v>280</v>
      </c>
      <c r="M8" s="15" t="s">
        <v>281</v>
      </c>
      <c r="N8" s="16">
        <f>COUNTIF(SETTINGS!$B$15:$B$24,"Yes")*12</f>
        <v>24</v>
      </c>
      <c r="Q8">
        <f>DASHBOARD!Q13</f>
        <v>2028</v>
      </c>
      <c r="R8" t="str">
        <f>DASHBOARD!R13</f>
        <v/>
      </c>
      <c r="S8" t="str">
        <f>DASHBOARD!S13</f>
        <v/>
      </c>
    </row>
    <row r="9" spans="1:21" x14ac:dyDescent="0.3">
      <c r="A9" s="14">
        <f>DASHBOARD!A14</f>
        <v>2029</v>
      </c>
      <c r="B9" s="15" t="str">
        <f>DASHBOARD!B14</f>
        <v>No</v>
      </c>
      <c r="C9" s="15" t="str">
        <f>DASHBOARD!C14</f>
        <v>No</v>
      </c>
      <c r="D9" s="54" t="str">
        <f>DASHBOARD!D14</f>
        <v/>
      </c>
      <c r="E9" s="54" t="str">
        <f>DASHBOARD!E14</f>
        <v/>
      </c>
      <c r="F9" s="54" t="str">
        <f>DASHBOARD!F14</f>
        <v/>
      </c>
      <c r="G9" s="54" t="str">
        <f>DASHBOARD!G14</f>
        <v/>
      </c>
      <c r="H9" s="54" t="str">
        <f>DASHBOARD!H14</f>
        <v/>
      </c>
      <c r="I9" s="54" t="str">
        <f>DASHBOARD!I14</f>
        <v/>
      </c>
      <c r="J9" s="53" t="str">
        <f>DASHBOARD!J14</f>
        <v/>
      </c>
      <c r="L9" s="17" t="s">
        <v>282</v>
      </c>
      <c r="M9" s="18" t="s">
        <v>283</v>
      </c>
      <c r="N9" s="19">
        <f ca="1">COUNTIFS(KPI_DATA!$J$2:$J$2281,"No. of Hours Worked [Exposure Hours]",KPI_DATA!$L$2:$L$2281,"&gt;0",KPI_DATA!$C$2:$C$2281,"Yes")</f>
        <v>9</v>
      </c>
      <c r="Q9">
        <f>DASHBOARD!Q14</f>
        <v>2029</v>
      </c>
      <c r="R9" t="str">
        <f>DASHBOARD!R14</f>
        <v/>
      </c>
      <c r="S9" t="str">
        <f>DASHBOARD!S14</f>
        <v/>
      </c>
    </row>
    <row r="10" spans="1:21" x14ac:dyDescent="0.3">
      <c r="A10" s="14">
        <f>DASHBOARD!A15</f>
        <v>2030</v>
      </c>
      <c r="B10" s="15" t="str">
        <f>DASHBOARD!B15</f>
        <v>No</v>
      </c>
      <c r="C10" s="15" t="str">
        <f>DASHBOARD!C15</f>
        <v>No</v>
      </c>
      <c r="D10" s="54" t="str">
        <f>DASHBOARD!D15</f>
        <v/>
      </c>
      <c r="E10" s="54" t="str">
        <f>DASHBOARD!E15</f>
        <v/>
      </c>
      <c r="F10" s="54" t="str">
        <f>DASHBOARD!F15</f>
        <v/>
      </c>
      <c r="G10" s="54" t="str">
        <f>DASHBOARD!G15</f>
        <v/>
      </c>
      <c r="H10" s="54" t="str">
        <f>DASHBOARD!H15</f>
        <v/>
      </c>
      <c r="I10" s="54" t="str">
        <f>DASHBOARD!I15</f>
        <v/>
      </c>
      <c r="J10" s="53" t="str">
        <f>DASHBOARD!J15</f>
        <v/>
      </c>
      <c r="Q10">
        <f>DASHBOARD!Q15</f>
        <v>2030</v>
      </c>
      <c r="R10" t="str">
        <f>DASHBOARD!R15</f>
        <v/>
      </c>
      <c r="S10" t="str">
        <f>DASHBOARD!S15</f>
        <v/>
      </c>
    </row>
    <row r="11" spans="1:21" x14ac:dyDescent="0.3">
      <c r="A11" s="14">
        <f>DASHBOARD!A16</f>
        <v>2031</v>
      </c>
      <c r="B11" s="15" t="str">
        <f>DASHBOARD!B16</f>
        <v>No</v>
      </c>
      <c r="C11" s="15" t="str">
        <f>DASHBOARD!C16</f>
        <v>No</v>
      </c>
      <c r="D11" s="54" t="str">
        <f>DASHBOARD!D16</f>
        <v/>
      </c>
      <c r="E11" s="54" t="str">
        <f>DASHBOARD!E16</f>
        <v/>
      </c>
      <c r="F11" s="54" t="str">
        <f>DASHBOARD!F16</f>
        <v/>
      </c>
      <c r="G11" s="54" t="str">
        <f>DASHBOARD!G16</f>
        <v/>
      </c>
      <c r="H11" s="54" t="str">
        <f>DASHBOARD!H16</f>
        <v/>
      </c>
      <c r="I11" s="54" t="str">
        <f>DASHBOARD!I16</f>
        <v/>
      </c>
      <c r="J11" s="53" t="str">
        <f>DASHBOARD!J16</f>
        <v/>
      </c>
      <c r="Q11">
        <f>DASHBOARD!Q16</f>
        <v>2031</v>
      </c>
      <c r="R11" t="str">
        <f>DASHBOARD!R16</f>
        <v/>
      </c>
      <c r="S11" t="str">
        <f>DASHBOARD!S16</f>
        <v/>
      </c>
    </row>
    <row r="12" spans="1:21" x14ac:dyDescent="0.3">
      <c r="A12" s="14">
        <f>DASHBOARD!A17</f>
        <v>2032</v>
      </c>
      <c r="B12" s="15" t="str">
        <f>DASHBOARD!B17</f>
        <v>No</v>
      </c>
      <c r="C12" s="15" t="str">
        <f>DASHBOARD!C17</f>
        <v>No</v>
      </c>
      <c r="D12" s="54" t="str">
        <f>DASHBOARD!D17</f>
        <v/>
      </c>
      <c r="E12" s="54" t="str">
        <f>DASHBOARD!E17</f>
        <v/>
      </c>
      <c r="F12" s="54" t="str">
        <f>DASHBOARD!F17</f>
        <v/>
      </c>
      <c r="G12" s="54" t="str">
        <f>DASHBOARD!G17</f>
        <v/>
      </c>
      <c r="H12" s="54" t="str">
        <f>DASHBOARD!H17</f>
        <v/>
      </c>
      <c r="I12" s="54" t="str">
        <f>DASHBOARD!I17</f>
        <v/>
      </c>
      <c r="J12" s="53" t="str">
        <f>DASHBOARD!J17</f>
        <v/>
      </c>
      <c r="Q12">
        <f>DASHBOARD!Q17</f>
        <v>2032</v>
      </c>
      <c r="R12" t="str">
        <f>DASHBOARD!R17</f>
        <v/>
      </c>
      <c r="S12" t="str">
        <f>DASHBOARD!S17</f>
        <v/>
      </c>
    </row>
    <row r="13" spans="1:21" x14ac:dyDescent="0.3">
      <c r="A13" s="14">
        <f>DASHBOARD!A18</f>
        <v>2033</v>
      </c>
      <c r="B13" s="15" t="str">
        <f>DASHBOARD!B18</f>
        <v>No</v>
      </c>
      <c r="C13" s="15" t="str">
        <f>DASHBOARD!C18</f>
        <v>No</v>
      </c>
      <c r="D13" s="54" t="str">
        <f>DASHBOARD!D18</f>
        <v/>
      </c>
      <c r="E13" s="54" t="str">
        <f>DASHBOARD!E18</f>
        <v/>
      </c>
      <c r="F13" s="54" t="str">
        <f>DASHBOARD!F18</f>
        <v/>
      </c>
      <c r="G13" s="54" t="str">
        <f>DASHBOARD!G18</f>
        <v/>
      </c>
      <c r="H13" s="54" t="str">
        <f>DASHBOARD!H18</f>
        <v/>
      </c>
      <c r="I13" s="54" t="str">
        <f>DASHBOARD!I18</f>
        <v/>
      </c>
      <c r="J13" s="53" t="str">
        <f>DASHBOARD!J18</f>
        <v/>
      </c>
      <c r="Q13">
        <f>DASHBOARD!Q18</f>
        <v>2033</v>
      </c>
      <c r="R13" t="str">
        <f>DASHBOARD!R18</f>
        <v/>
      </c>
      <c r="S13" t="str">
        <f>DASHBOARD!S18</f>
        <v/>
      </c>
    </row>
    <row r="14" spans="1:21" x14ac:dyDescent="0.3">
      <c r="A14" s="17">
        <f>DASHBOARD!A19</f>
        <v>2034</v>
      </c>
      <c r="B14" s="18" t="str">
        <f>DASHBOARD!B19</f>
        <v>No</v>
      </c>
      <c r="C14" s="18" t="str">
        <f>DASHBOARD!C19</f>
        <v>No</v>
      </c>
      <c r="D14" s="55" t="str">
        <f>DASHBOARD!D19</f>
        <v/>
      </c>
      <c r="E14" s="55" t="str">
        <f>DASHBOARD!E19</f>
        <v/>
      </c>
      <c r="F14" s="55" t="str">
        <f>DASHBOARD!F19</f>
        <v/>
      </c>
      <c r="G14" s="55" t="str">
        <f>DASHBOARD!G19</f>
        <v/>
      </c>
      <c r="H14" s="55" t="str">
        <f>DASHBOARD!H19</f>
        <v/>
      </c>
      <c r="I14" s="55" t="str">
        <f>DASHBOARD!I19</f>
        <v/>
      </c>
      <c r="J14" s="56" t="str">
        <f>DASHBOARD!J19</f>
        <v/>
      </c>
      <c r="Q14">
        <f>DASHBOARD!Q19</f>
        <v>2034</v>
      </c>
      <c r="R14" t="str">
        <f>DASHBOARD!R19</f>
        <v/>
      </c>
      <c r="S14" t="str">
        <f>DASHBOARD!S19</f>
        <v/>
      </c>
    </row>
  </sheetData>
  <mergeCells count="2">
    <mergeCell ref="A1:U1"/>
    <mergeCell ref="A2:U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294"/>
  <sheetViews>
    <sheetView showGridLines="0" workbookViewId="0">
      <selection activeCell="D37" sqref="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284</v>
      </c>
      <c r="B2" s="68" t="s">
        <v>218</v>
      </c>
      <c r="C2" s="68" t="s">
        <v>218</v>
      </c>
      <c r="D2" s="68" t="s">
        <v>218</v>
      </c>
      <c r="E2" s="68" t="s">
        <v>218</v>
      </c>
      <c r="F2" s="68" t="s">
        <v>218</v>
      </c>
      <c r="G2" s="68" t="s">
        <v>218</v>
      </c>
    </row>
    <row r="4" spans="1:7" x14ac:dyDescent="0.3">
      <c r="A4" s="1" t="s">
        <v>0</v>
      </c>
      <c r="B4" s="1">
        <v>2026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>
        <v>1</v>
      </c>
      <c r="B9" t="s">
        <v>10</v>
      </c>
      <c r="C9" t="s">
        <v>3</v>
      </c>
      <c r="D9" s="5">
        <v>0</v>
      </c>
      <c r="E9">
        <v>0</v>
      </c>
      <c r="F9">
        <v>222</v>
      </c>
    </row>
    <row r="10" spans="1:7" x14ac:dyDescent="0.3">
      <c r="A10">
        <v>1.1000000000000001</v>
      </c>
      <c r="B10" t="s">
        <v>11</v>
      </c>
      <c r="C10" t="s">
        <v>12</v>
      </c>
      <c r="D10" s="5">
        <v>0</v>
      </c>
      <c r="E10">
        <v>0</v>
      </c>
      <c r="F10">
        <v>39018</v>
      </c>
    </row>
    <row r="11" spans="1:7" x14ac:dyDescent="0.3">
      <c r="A11">
        <v>1.2</v>
      </c>
      <c r="B11" t="s">
        <v>13</v>
      </c>
      <c r="C11" t="s">
        <v>14</v>
      </c>
      <c r="D11" s="5">
        <v>8000</v>
      </c>
    </row>
    <row r="12" spans="1:7" x14ac:dyDescent="0.3">
      <c r="A12" s="4">
        <v>2</v>
      </c>
      <c r="B12" s="4" t="s">
        <v>15</v>
      </c>
      <c r="C12" s="4"/>
      <c r="D12" s="6"/>
      <c r="E12" s="4"/>
      <c r="F12" s="4"/>
      <c r="G12" s="4"/>
    </row>
    <row r="13" spans="1:7" x14ac:dyDescent="0.3">
      <c r="A13">
        <v>2.1</v>
      </c>
      <c r="B13" t="s">
        <v>16</v>
      </c>
      <c r="C13" t="s">
        <v>3</v>
      </c>
      <c r="D13" s="5">
        <v>0</v>
      </c>
    </row>
    <row r="14" spans="1:7" x14ac:dyDescent="0.3">
      <c r="A14">
        <v>2.2000000000000002</v>
      </c>
      <c r="B14" t="s">
        <v>17</v>
      </c>
      <c r="C14" t="s">
        <v>3</v>
      </c>
      <c r="D14" s="5">
        <v>0</v>
      </c>
    </row>
    <row r="15" spans="1:7" x14ac:dyDescent="0.3">
      <c r="A15">
        <v>2.2999999999999998</v>
      </c>
      <c r="B15" t="s">
        <v>18</v>
      </c>
      <c r="C15" t="s">
        <v>3</v>
      </c>
      <c r="D15" s="5">
        <v>0</v>
      </c>
    </row>
    <row r="16" spans="1:7" x14ac:dyDescent="0.3">
      <c r="A16">
        <v>2.4</v>
      </c>
      <c r="B16" t="s">
        <v>19</v>
      </c>
      <c r="C16" t="s">
        <v>3</v>
      </c>
      <c r="D16" s="5">
        <v>0</v>
      </c>
    </row>
    <row r="17" spans="1:7" x14ac:dyDescent="0.3">
      <c r="A17">
        <v>2.5</v>
      </c>
      <c r="B17" t="s">
        <v>20</v>
      </c>
      <c r="C17" t="s">
        <v>3</v>
      </c>
      <c r="D17" s="5">
        <v>0</v>
      </c>
    </row>
    <row r="18" spans="1:7" x14ac:dyDescent="0.3">
      <c r="A18">
        <v>2.6</v>
      </c>
      <c r="B18" t="s">
        <v>21</v>
      </c>
      <c r="C18" t="s">
        <v>3</v>
      </c>
      <c r="D18" s="5">
        <v>0</v>
      </c>
    </row>
    <row r="19" spans="1:7" x14ac:dyDescent="0.3">
      <c r="A19" s="4">
        <v>3</v>
      </c>
      <c r="B19" s="4" t="s">
        <v>22</v>
      </c>
      <c r="C19" s="4"/>
      <c r="D19" s="6"/>
      <c r="E19" s="4"/>
      <c r="F19" s="4"/>
      <c r="G19" s="4"/>
    </row>
    <row r="20" spans="1:7" x14ac:dyDescent="0.3">
      <c r="A20">
        <v>3.1</v>
      </c>
      <c r="B20" t="s">
        <v>23</v>
      </c>
      <c r="C20" t="s">
        <v>3</v>
      </c>
      <c r="D20" s="5">
        <v>55</v>
      </c>
    </row>
    <row r="21" spans="1:7" x14ac:dyDescent="0.3">
      <c r="A21">
        <v>3.2</v>
      </c>
      <c r="B21" t="s">
        <v>24</v>
      </c>
      <c r="C21" t="s">
        <v>3</v>
      </c>
      <c r="D21" s="5">
        <v>4</v>
      </c>
    </row>
    <row r="22" spans="1:7" x14ac:dyDescent="0.3">
      <c r="A22">
        <v>3.3</v>
      </c>
      <c r="B22" t="s">
        <v>25</v>
      </c>
      <c r="C22" t="s">
        <v>3</v>
      </c>
      <c r="D22" s="5">
        <v>4</v>
      </c>
    </row>
    <row r="23" spans="1:7" x14ac:dyDescent="0.3">
      <c r="A23">
        <v>3.4</v>
      </c>
      <c r="B23" t="s">
        <v>26</v>
      </c>
      <c r="C23" t="s">
        <v>3</v>
      </c>
      <c r="D23" s="5">
        <v>20</v>
      </c>
    </row>
    <row r="24" spans="1:7" x14ac:dyDescent="0.3">
      <c r="A24">
        <v>3.5</v>
      </c>
      <c r="B24" t="s">
        <v>27</v>
      </c>
      <c r="C24" t="s">
        <v>3</v>
      </c>
      <c r="D24" s="5">
        <v>4</v>
      </c>
    </row>
    <row r="25" spans="1:7" x14ac:dyDescent="0.3">
      <c r="A25">
        <v>3.6</v>
      </c>
      <c r="B25" t="s">
        <v>28</v>
      </c>
      <c r="C25" t="s">
        <v>3</v>
      </c>
      <c r="D25" s="5">
        <v>8</v>
      </c>
    </row>
    <row r="26" spans="1:7" x14ac:dyDescent="0.3">
      <c r="A26">
        <v>3.7</v>
      </c>
      <c r="B26" t="s">
        <v>29</v>
      </c>
      <c r="C26" t="s">
        <v>3</v>
      </c>
      <c r="D26" s="5">
        <v>1</v>
      </c>
    </row>
    <row r="27" spans="1:7" x14ac:dyDescent="0.3">
      <c r="A27" s="4">
        <v>4</v>
      </c>
      <c r="B27" s="4" t="s">
        <v>30</v>
      </c>
      <c r="C27" s="4"/>
      <c r="D27" s="6"/>
      <c r="E27" s="4"/>
      <c r="F27" s="4"/>
      <c r="G27" s="4"/>
    </row>
    <row r="28" spans="1:7" x14ac:dyDescent="0.3">
      <c r="A28">
        <v>4.0999999999999996</v>
      </c>
      <c r="B28" t="s">
        <v>31</v>
      </c>
      <c r="C28" t="s">
        <v>3</v>
      </c>
      <c r="D28" s="5">
        <v>0</v>
      </c>
    </row>
    <row r="29" spans="1:7" x14ac:dyDescent="0.3">
      <c r="A29">
        <v>4.2</v>
      </c>
      <c r="B29" t="s">
        <v>32</v>
      </c>
      <c r="C29" t="s">
        <v>3</v>
      </c>
      <c r="D29" s="5">
        <v>1</v>
      </c>
    </row>
    <row r="30" spans="1:7" x14ac:dyDescent="0.3">
      <c r="A30">
        <v>4.3</v>
      </c>
      <c r="B30" t="s">
        <v>33</v>
      </c>
      <c r="C30" t="s">
        <v>34</v>
      </c>
      <c r="D30" s="5">
        <v>1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>
        <v>1</v>
      </c>
      <c r="B33" t="s">
        <v>10</v>
      </c>
      <c r="C33" t="s">
        <v>3</v>
      </c>
      <c r="D33" s="5">
        <v>0</v>
      </c>
      <c r="E33">
        <v>0</v>
      </c>
      <c r="F33">
        <v>0</v>
      </c>
    </row>
    <row r="34" spans="1:7" x14ac:dyDescent="0.3">
      <c r="A34">
        <v>1.1000000000000001</v>
      </c>
      <c r="B34" t="s">
        <v>11</v>
      </c>
      <c r="C34" t="s">
        <v>12</v>
      </c>
      <c r="D34" s="5">
        <v>2400</v>
      </c>
      <c r="E34">
        <v>2400</v>
      </c>
      <c r="F34">
        <f>39018+2400</f>
        <v>41418</v>
      </c>
    </row>
    <row r="35" spans="1:7" x14ac:dyDescent="0.3">
      <c r="A35">
        <v>1.2</v>
      </c>
      <c r="B35" t="s">
        <v>13</v>
      </c>
      <c r="C35" t="s">
        <v>14</v>
      </c>
      <c r="D35" s="5">
        <v>0</v>
      </c>
    </row>
    <row r="36" spans="1:7" x14ac:dyDescent="0.3">
      <c r="A36" s="4">
        <v>2</v>
      </c>
      <c r="B36" s="4" t="s">
        <v>15</v>
      </c>
      <c r="C36" s="4"/>
      <c r="D36" s="6"/>
      <c r="E36" s="4"/>
      <c r="F36" s="4"/>
      <c r="G36" s="4"/>
    </row>
    <row r="37" spans="1:7" x14ac:dyDescent="0.3">
      <c r="A37">
        <v>2.1</v>
      </c>
      <c r="B37" t="s">
        <v>16</v>
      </c>
      <c r="C37" t="s">
        <v>3</v>
      </c>
      <c r="D37" s="5">
        <v>0</v>
      </c>
    </row>
    <row r="38" spans="1:7" x14ac:dyDescent="0.3">
      <c r="A38">
        <v>2.2000000000000002</v>
      </c>
      <c r="B38" t="s">
        <v>17</v>
      </c>
      <c r="C38" t="s">
        <v>3</v>
      </c>
      <c r="D38" s="5">
        <v>0</v>
      </c>
    </row>
    <row r="39" spans="1:7" x14ac:dyDescent="0.3">
      <c r="A39">
        <v>2.2999999999999998</v>
      </c>
      <c r="B39" t="s">
        <v>18</v>
      </c>
      <c r="C39" t="s">
        <v>3</v>
      </c>
      <c r="D39" s="5">
        <v>0</v>
      </c>
    </row>
    <row r="40" spans="1:7" x14ac:dyDescent="0.3">
      <c r="A40">
        <v>2.4</v>
      </c>
      <c r="B40" t="s">
        <v>19</v>
      </c>
      <c r="C40" t="s">
        <v>3</v>
      </c>
      <c r="D40" s="5">
        <v>0</v>
      </c>
    </row>
    <row r="41" spans="1:7" x14ac:dyDescent="0.3">
      <c r="A41">
        <v>2.5</v>
      </c>
      <c r="B41" t="s">
        <v>20</v>
      </c>
      <c r="C41" t="s">
        <v>3</v>
      </c>
      <c r="D41" s="5">
        <v>0</v>
      </c>
    </row>
    <row r="42" spans="1:7" x14ac:dyDescent="0.3">
      <c r="A42">
        <v>2.6</v>
      </c>
      <c r="B42" t="s">
        <v>21</v>
      </c>
      <c r="C42" t="s">
        <v>3</v>
      </c>
      <c r="D42" s="5">
        <v>0</v>
      </c>
    </row>
    <row r="43" spans="1:7" x14ac:dyDescent="0.3">
      <c r="A43" s="4">
        <v>3</v>
      </c>
      <c r="B43" s="4" t="s">
        <v>22</v>
      </c>
      <c r="C43" s="4"/>
      <c r="D43" s="6"/>
      <c r="E43" s="4"/>
      <c r="F43" s="4"/>
      <c r="G43" s="4"/>
    </row>
    <row r="44" spans="1:7" x14ac:dyDescent="0.3">
      <c r="A44">
        <v>3.1</v>
      </c>
      <c r="B44" t="s">
        <v>23</v>
      </c>
      <c r="C44" t="s">
        <v>3</v>
      </c>
      <c r="D44" s="5">
        <v>31</v>
      </c>
      <c r="E44">
        <v>31</v>
      </c>
      <c r="F44">
        <f>222+31</f>
        <v>253</v>
      </c>
    </row>
    <row r="45" spans="1:7" x14ac:dyDescent="0.3">
      <c r="A45">
        <v>3.2</v>
      </c>
      <c r="B45" t="s">
        <v>24</v>
      </c>
      <c r="C45" t="s">
        <v>3</v>
      </c>
      <c r="D45" s="5">
        <v>4</v>
      </c>
    </row>
    <row r="46" spans="1:7" x14ac:dyDescent="0.3">
      <c r="A46">
        <v>3.3</v>
      </c>
      <c r="B46" t="s">
        <v>25</v>
      </c>
      <c r="C46" t="s">
        <v>3</v>
      </c>
      <c r="D46" s="5">
        <v>4</v>
      </c>
    </row>
    <row r="47" spans="1:7" x14ac:dyDescent="0.3">
      <c r="A47">
        <v>3.4</v>
      </c>
      <c r="B47" t="s">
        <v>26</v>
      </c>
      <c r="C47" t="s">
        <v>3</v>
      </c>
      <c r="D47" s="5">
        <v>20</v>
      </c>
    </row>
    <row r="48" spans="1:7" x14ac:dyDescent="0.3">
      <c r="A48">
        <v>3.5</v>
      </c>
      <c r="B48" t="s">
        <v>27</v>
      </c>
      <c r="C48" t="s">
        <v>3</v>
      </c>
      <c r="D48" s="5">
        <v>4</v>
      </c>
    </row>
    <row r="49" spans="1:7" x14ac:dyDescent="0.3">
      <c r="A49">
        <v>3.6</v>
      </c>
      <c r="B49" t="s">
        <v>28</v>
      </c>
      <c r="C49" t="s">
        <v>3</v>
      </c>
      <c r="D49" s="5">
        <v>8</v>
      </c>
    </row>
    <row r="50" spans="1:7" x14ac:dyDescent="0.3">
      <c r="A50">
        <v>3.7</v>
      </c>
      <c r="B50" t="s">
        <v>29</v>
      </c>
      <c r="C50" t="s">
        <v>3</v>
      </c>
      <c r="D50" s="5">
        <v>1</v>
      </c>
    </row>
    <row r="51" spans="1:7" x14ac:dyDescent="0.3">
      <c r="A51" s="4">
        <v>4</v>
      </c>
      <c r="B51" s="4" t="s">
        <v>30</v>
      </c>
      <c r="C51" s="4"/>
      <c r="D51" s="6"/>
      <c r="E51" s="4"/>
      <c r="F51" s="4"/>
      <c r="G51" s="4"/>
    </row>
    <row r="52" spans="1:7" x14ac:dyDescent="0.3">
      <c r="A52">
        <v>4.0999999999999996</v>
      </c>
      <c r="B52" t="s">
        <v>31</v>
      </c>
      <c r="C52" t="s">
        <v>3</v>
      </c>
      <c r="D52" s="5">
        <v>0</v>
      </c>
    </row>
    <row r="53" spans="1:7" x14ac:dyDescent="0.3">
      <c r="A53">
        <v>4.2</v>
      </c>
      <c r="B53" t="s">
        <v>32</v>
      </c>
      <c r="C53" t="s">
        <v>3</v>
      </c>
      <c r="D53" s="5">
        <v>1</v>
      </c>
    </row>
    <row r="54" spans="1:7" x14ac:dyDescent="0.3">
      <c r="A54">
        <v>4.3</v>
      </c>
      <c r="B54" t="s">
        <v>33</v>
      </c>
      <c r="C54" t="s">
        <v>34</v>
      </c>
      <c r="D54" s="5">
        <v>1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>
        <v>1</v>
      </c>
      <c r="B57" t="s">
        <v>10</v>
      </c>
      <c r="C57" t="s">
        <v>3</v>
      </c>
      <c r="D57" s="5">
        <v>0</v>
      </c>
      <c r="E57">
        <v>0</v>
      </c>
      <c r="F57">
        <v>0</v>
      </c>
    </row>
    <row r="58" spans="1:7" x14ac:dyDescent="0.3">
      <c r="A58">
        <v>1.1000000000000001</v>
      </c>
      <c r="B58" t="s">
        <v>11</v>
      </c>
      <c r="C58" t="s">
        <v>12</v>
      </c>
      <c r="D58" s="5">
        <v>4859.95</v>
      </c>
      <c r="E58">
        <f>2400+4859.95</f>
        <v>7259.95</v>
      </c>
      <c r="F58">
        <f>41418+4859.95</f>
        <v>46277.95</v>
      </c>
    </row>
    <row r="59" spans="1:7" x14ac:dyDescent="0.3">
      <c r="A59">
        <v>1.2</v>
      </c>
      <c r="B59" t="s">
        <v>13</v>
      </c>
      <c r="C59" t="s">
        <v>14</v>
      </c>
      <c r="D59" s="5">
        <v>0</v>
      </c>
    </row>
    <row r="60" spans="1:7" x14ac:dyDescent="0.3">
      <c r="A60" s="4">
        <v>2</v>
      </c>
      <c r="B60" s="4" t="s">
        <v>15</v>
      </c>
      <c r="C60" s="4"/>
      <c r="D60" s="6"/>
      <c r="E60" s="4"/>
      <c r="F60" s="4"/>
      <c r="G60" s="4"/>
    </row>
    <row r="61" spans="1:7" x14ac:dyDescent="0.3">
      <c r="A61">
        <v>2.1</v>
      </c>
      <c r="B61" t="s">
        <v>16</v>
      </c>
      <c r="C61" t="s">
        <v>3</v>
      </c>
      <c r="D61" s="5">
        <v>0</v>
      </c>
    </row>
    <row r="62" spans="1:7" x14ac:dyDescent="0.3">
      <c r="A62">
        <v>2.2000000000000002</v>
      </c>
      <c r="B62" t="s">
        <v>17</v>
      </c>
      <c r="C62" t="s">
        <v>3</v>
      </c>
      <c r="D62" s="5">
        <v>0</v>
      </c>
    </row>
    <row r="63" spans="1:7" x14ac:dyDescent="0.3">
      <c r="A63">
        <v>2.2999999999999998</v>
      </c>
      <c r="B63" t="s">
        <v>18</v>
      </c>
      <c r="C63" t="s">
        <v>3</v>
      </c>
      <c r="D63" s="5">
        <v>0</v>
      </c>
    </row>
    <row r="64" spans="1:7" x14ac:dyDescent="0.3">
      <c r="A64">
        <v>2.4</v>
      </c>
      <c r="B64" t="s">
        <v>19</v>
      </c>
      <c r="C64" t="s">
        <v>3</v>
      </c>
      <c r="D64" s="5">
        <v>0</v>
      </c>
    </row>
    <row r="65" spans="1:7" x14ac:dyDescent="0.3">
      <c r="A65">
        <v>2.5</v>
      </c>
      <c r="B65" t="s">
        <v>20</v>
      </c>
      <c r="C65" t="s">
        <v>3</v>
      </c>
      <c r="D65" s="5">
        <v>0</v>
      </c>
    </row>
    <row r="66" spans="1:7" x14ac:dyDescent="0.3">
      <c r="A66">
        <v>2.6</v>
      </c>
      <c r="B66" t="s">
        <v>21</v>
      </c>
      <c r="C66" t="s">
        <v>3</v>
      </c>
      <c r="D66" s="5">
        <v>0</v>
      </c>
    </row>
    <row r="67" spans="1:7" x14ac:dyDescent="0.3">
      <c r="A67" s="4">
        <v>3</v>
      </c>
      <c r="B67" s="4" t="s">
        <v>22</v>
      </c>
      <c r="C67" s="4"/>
      <c r="D67" s="6"/>
      <c r="E67" s="4"/>
      <c r="F67" s="4"/>
      <c r="G67" s="4"/>
    </row>
    <row r="68" spans="1:7" x14ac:dyDescent="0.3">
      <c r="A68">
        <v>3.1</v>
      </c>
      <c r="B68" t="s">
        <v>23</v>
      </c>
      <c r="C68" t="s">
        <v>3</v>
      </c>
      <c r="D68" s="5">
        <v>28</v>
      </c>
      <c r="E68">
        <f>31+28</f>
        <v>59</v>
      </c>
      <c r="F68">
        <f>253+28</f>
        <v>281</v>
      </c>
    </row>
    <row r="69" spans="1:7" x14ac:dyDescent="0.3">
      <c r="A69">
        <v>3.2</v>
      </c>
      <c r="B69" t="s">
        <v>24</v>
      </c>
      <c r="C69" t="s">
        <v>3</v>
      </c>
      <c r="D69" s="5">
        <v>4</v>
      </c>
    </row>
    <row r="70" spans="1:7" x14ac:dyDescent="0.3">
      <c r="A70">
        <v>3.3</v>
      </c>
      <c r="B70" t="s">
        <v>25</v>
      </c>
      <c r="C70" t="s">
        <v>3</v>
      </c>
      <c r="D70" s="5">
        <v>4</v>
      </c>
    </row>
    <row r="71" spans="1:7" x14ac:dyDescent="0.3">
      <c r="A71">
        <v>3.4</v>
      </c>
      <c r="B71" t="s">
        <v>26</v>
      </c>
      <c r="C71" t="s">
        <v>3</v>
      </c>
      <c r="D71" s="5">
        <v>20</v>
      </c>
    </row>
    <row r="72" spans="1:7" x14ac:dyDescent="0.3">
      <c r="A72">
        <v>3.5</v>
      </c>
      <c r="B72" t="s">
        <v>27</v>
      </c>
      <c r="C72" t="s">
        <v>3</v>
      </c>
      <c r="D72" s="5">
        <v>4</v>
      </c>
    </row>
    <row r="73" spans="1:7" x14ac:dyDescent="0.3">
      <c r="A73">
        <v>3.6</v>
      </c>
      <c r="B73" t="s">
        <v>28</v>
      </c>
      <c r="C73" t="s">
        <v>3</v>
      </c>
      <c r="D73" s="5">
        <v>8</v>
      </c>
    </row>
    <row r="74" spans="1:7" x14ac:dyDescent="0.3">
      <c r="A74">
        <v>3.7</v>
      </c>
      <c r="B74" t="s">
        <v>29</v>
      </c>
      <c r="C74" t="s">
        <v>3</v>
      </c>
      <c r="D74" s="5">
        <v>1</v>
      </c>
    </row>
    <row r="75" spans="1:7" x14ac:dyDescent="0.3">
      <c r="A75" s="4">
        <v>4</v>
      </c>
      <c r="B75" s="4" t="s">
        <v>30</v>
      </c>
      <c r="C75" s="4"/>
      <c r="D75" s="6"/>
      <c r="E75" s="4"/>
      <c r="F75" s="4"/>
      <c r="G75" s="4"/>
    </row>
    <row r="76" spans="1:7" x14ac:dyDescent="0.3">
      <c r="A76">
        <v>4.0999999999999996</v>
      </c>
      <c r="B76" t="s">
        <v>31</v>
      </c>
      <c r="C76" t="s">
        <v>3</v>
      </c>
      <c r="D76" s="5">
        <v>0</v>
      </c>
    </row>
    <row r="77" spans="1:7" x14ac:dyDescent="0.3">
      <c r="A77">
        <v>4.2</v>
      </c>
      <c r="B77" t="s">
        <v>32</v>
      </c>
      <c r="C77" t="s">
        <v>3</v>
      </c>
      <c r="D77" s="5">
        <v>1</v>
      </c>
    </row>
    <row r="78" spans="1:7" x14ac:dyDescent="0.3">
      <c r="A78">
        <v>4.3</v>
      </c>
      <c r="B78" t="s">
        <v>33</v>
      </c>
      <c r="C78" t="s">
        <v>34</v>
      </c>
      <c r="D78" s="5">
        <v>1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>
        <v>1</v>
      </c>
      <c r="B81" t="s">
        <v>10</v>
      </c>
      <c r="C81" t="s">
        <v>3</v>
      </c>
      <c r="D81" s="5">
        <v>0</v>
      </c>
      <c r="E81">
        <v>0</v>
      </c>
      <c r="F81">
        <v>0</v>
      </c>
    </row>
    <row r="82" spans="1:7" x14ac:dyDescent="0.3">
      <c r="A82">
        <v>1.1000000000000001</v>
      </c>
      <c r="B82" t="s">
        <v>11</v>
      </c>
      <c r="C82" t="s">
        <v>12</v>
      </c>
      <c r="D82" s="5">
        <v>6042</v>
      </c>
      <c r="E82">
        <f>7259.95+6042</f>
        <v>13301.95</v>
      </c>
      <c r="F82">
        <f>46277.95+6042</f>
        <v>52319.95</v>
      </c>
    </row>
    <row r="83" spans="1:7" x14ac:dyDescent="0.3">
      <c r="A83">
        <v>1.2</v>
      </c>
      <c r="B83" t="s">
        <v>13</v>
      </c>
      <c r="C83" t="s">
        <v>14</v>
      </c>
      <c r="D83" s="5">
        <v>0</v>
      </c>
    </row>
    <row r="84" spans="1:7" x14ac:dyDescent="0.3">
      <c r="A84" s="4">
        <v>2</v>
      </c>
      <c r="B84" s="4" t="s">
        <v>15</v>
      </c>
      <c r="C84" s="4"/>
      <c r="D84" s="6"/>
      <c r="E84" s="4"/>
      <c r="F84" s="4"/>
      <c r="G84" s="4"/>
    </row>
    <row r="85" spans="1:7" x14ac:dyDescent="0.3">
      <c r="A85">
        <v>2.1</v>
      </c>
      <c r="B85" t="s">
        <v>16</v>
      </c>
      <c r="C85" t="s">
        <v>3</v>
      </c>
      <c r="D85" s="5">
        <v>0</v>
      </c>
    </row>
    <row r="86" spans="1:7" x14ac:dyDescent="0.3">
      <c r="A86">
        <v>2.2000000000000002</v>
      </c>
      <c r="B86" t="s">
        <v>17</v>
      </c>
      <c r="C86" t="s">
        <v>3</v>
      </c>
      <c r="D86" s="5">
        <v>0</v>
      </c>
    </row>
    <row r="87" spans="1:7" x14ac:dyDescent="0.3">
      <c r="A87">
        <v>2.2999999999999998</v>
      </c>
      <c r="B87" t="s">
        <v>18</v>
      </c>
      <c r="C87" t="s">
        <v>3</v>
      </c>
      <c r="D87" s="5">
        <v>0</v>
      </c>
    </row>
    <row r="88" spans="1:7" x14ac:dyDescent="0.3">
      <c r="A88">
        <v>2.4</v>
      </c>
      <c r="B88" t="s">
        <v>19</v>
      </c>
      <c r="C88" t="s">
        <v>3</v>
      </c>
      <c r="D88" s="5">
        <v>0</v>
      </c>
    </row>
    <row r="89" spans="1:7" x14ac:dyDescent="0.3">
      <c r="A89">
        <v>2.5</v>
      </c>
      <c r="B89" t="s">
        <v>20</v>
      </c>
      <c r="C89" t="s">
        <v>3</v>
      </c>
      <c r="D89" s="5">
        <v>0</v>
      </c>
    </row>
    <row r="90" spans="1:7" x14ac:dyDescent="0.3">
      <c r="A90">
        <v>2.6</v>
      </c>
      <c r="B90" t="s">
        <v>21</v>
      </c>
      <c r="C90" t="s">
        <v>3</v>
      </c>
      <c r="D90" s="5">
        <v>0</v>
      </c>
    </row>
    <row r="91" spans="1:7" x14ac:dyDescent="0.3">
      <c r="A91" s="4">
        <v>3</v>
      </c>
      <c r="B91" s="4" t="s">
        <v>22</v>
      </c>
      <c r="C91" s="4"/>
      <c r="D91" s="6"/>
      <c r="E91" s="4"/>
      <c r="F91" s="4"/>
      <c r="G91" s="4"/>
    </row>
    <row r="92" spans="1:7" x14ac:dyDescent="0.3">
      <c r="A92">
        <v>3.1</v>
      </c>
      <c r="B92" t="s">
        <v>23</v>
      </c>
      <c r="C92" t="s">
        <v>3</v>
      </c>
      <c r="D92" s="5">
        <f>25+11</f>
        <v>36</v>
      </c>
      <c r="E92">
        <f>59+36</f>
        <v>95</v>
      </c>
      <c r="F92">
        <f>281+36</f>
        <v>317</v>
      </c>
    </row>
    <row r="93" spans="1:7" x14ac:dyDescent="0.3">
      <c r="A93">
        <v>3.2</v>
      </c>
      <c r="B93" t="s">
        <v>24</v>
      </c>
      <c r="C93" t="s">
        <v>3</v>
      </c>
      <c r="D93" s="5">
        <v>4</v>
      </c>
    </row>
    <row r="94" spans="1:7" x14ac:dyDescent="0.3">
      <c r="A94">
        <v>3.3</v>
      </c>
      <c r="B94" t="s">
        <v>25</v>
      </c>
      <c r="C94" t="s">
        <v>3</v>
      </c>
      <c r="D94" s="5">
        <v>4</v>
      </c>
    </row>
    <row r="95" spans="1:7" x14ac:dyDescent="0.3">
      <c r="A95">
        <v>3.4</v>
      </c>
      <c r="B95" t="s">
        <v>26</v>
      </c>
      <c r="C95" t="s">
        <v>3</v>
      </c>
      <c r="D95" s="5">
        <v>20</v>
      </c>
    </row>
    <row r="96" spans="1:7" x14ac:dyDescent="0.3">
      <c r="A96">
        <v>3.5</v>
      </c>
      <c r="B96" t="s">
        <v>27</v>
      </c>
      <c r="C96" t="s">
        <v>3</v>
      </c>
      <c r="D96" s="5">
        <v>4</v>
      </c>
    </row>
    <row r="97" spans="1:7" x14ac:dyDescent="0.3">
      <c r="A97">
        <v>3.6</v>
      </c>
      <c r="B97" t="s">
        <v>28</v>
      </c>
      <c r="C97" t="s">
        <v>3</v>
      </c>
      <c r="D97" s="5">
        <v>8</v>
      </c>
    </row>
    <row r="98" spans="1:7" x14ac:dyDescent="0.3">
      <c r="A98">
        <v>3.7</v>
      </c>
      <c r="B98" t="s">
        <v>29</v>
      </c>
      <c r="C98" t="s">
        <v>3</v>
      </c>
      <c r="D98" s="5">
        <v>1</v>
      </c>
    </row>
    <row r="99" spans="1:7" x14ac:dyDescent="0.3">
      <c r="A99" s="4">
        <v>4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>
        <v>4.0999999999999996</v>
      </c>
      <c r="B100" t="s">
        <v>31</v>
      </c>
      <c r="C100" t="s">
        <v>3</v>
      </c>
      <c r="D100" s="5">
        <v>0</v>
      </c>
    </row>
    <row r="101" spans="1:7" x14ac:dyDescent="0.3">
      <c r="A101">
        <v>4.2</v>
      </c>
      <c r="B101" t="s">
        <v>32</v>
      </c>
      <c r="C101" t="s">
        <v>3</v>
      </c>
      <c r="D101" s="5">
        <v>1</v>
      </c>
    </row>
    <row r="102" spans="1:7" x14ac:dyDescent="0.3">
      <c r="A102">
        <v>4.3</v>
      </c>
      <c r="B102" t="s">
        <v>33</v>
      </c>
      <c r="C102" t="s">
        <v>34</v>
      </c>
      <c r="D102" s="5">
        <v>1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>
        <v>1</v>
      </c>
      <c r="B105" t="s">
        <v>10</v>
      </c>
      <c r="C105" t="s">
        <v>3</v>
      </c>
      <c r="D105" s="5">
        <v>0</v>
      </c>
      <c r="E105">
        <v>0</v>
      </c>
      <c r="F105">
        <v>0</v>
      </c>
    </row>
    <row r="106" spans="1:7" x14ac:dyDescent="0.3">
      <c r="A106">
        <v>1.1000000000000001</v>
      </c>
      <c r="B106" t="s">
        <v>11</v>
      </c>
      <c r="C106" t="s">
        <v>12</v>
      </c>
      <c r="D106" s="5">
        <v>0</v>
      </c>
      <c r="E106">
        <v>0</v>
      </c>
      <c r="F106">
        <v>0</v>
      </c>
    </row>
    <row r="107" spans="1:7" x14ac:dyDescent="0.3">
      <c r="A107">
        <v>1.2</v>
      </c>
      <c r="B107" t="s">
        <v>13</v>
      </c>
      <c r="C107" t="s">
        <v>14</v>
      </c>
      <c r="D107" s="5">
        <v>0</v>
      </c>
    </row>
    <row r="108" spans="1:7" x14ac:dyDescent="0.3">
      <c r="A108" s="4">
        <v>2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>
        <v>2.1</v>
      </c>
      <c r="B109" t="s">
        <v>16</v>
      </c>
      <c r="C109" t="s">
        <v>3</v>
      </c>
      <c r="D109" s="5">
        <v>0</v>
      </c>
    </row>
    <row r="110" spans="1:7" x14ac:dyDescent="0.3">
      <c r="A110">
        <v>2.2000000000000002</v>
      </c>
      <c r="B110" t="s">
        <v>17</v>
      </c>
      <c r="C110" t="s">
        <v>3</v>
      </c>
      <c r="D110" s="5">
        <v>0</v>
      </c>
    </row>
    <row r="111" spans="1:7" x14ac:dyDescent="0.3">
      <c r="A111">
        <v>2.2999999999999998</v>
      </c>
      <c r="B111" t="s">
        <v>18</v>
      </c>
      <c r="C111" t="s">
        <v>3</v>
      </c>
      <c r="D111" s="5">
        <v>0</v>
      </c>
    </row>
    <row r="112" spans="1:7" x14ac:dyDescent="0.3">
      <c r="A112">
        <v>2.4</v>
      </c>
      <c r="B112" t="s">
        <v>19</v>
      </c>
      <c r="C112" t="s">
        <v>3</v>
      </c>
      <c r="D112" s="5">
        <v>0</v>
      </c>
    </row>
    <row r="113" spans="1:7" x14ac:dyDescent="0.3">
      <c r="A113">
        <v>2.5</v>
      </c>
      <c r="B113" t="s">
        <v>20</v>
      </c>
      <c r="C113" t="s">
        <v>3</v>
      </c>
      <c r="D113" s="5">
        <v>0</v>
      </c>
    </row>
    <row r="114" spans="1:7" x14ac:dyDescent="0.3">
      <c r="A114">
        <v>2.6</v>
      </c>
      <c r="B114" t="s">
        <v>21</v>
      </c>
      <c r="C114" t="s">
        <v>3</v>
      </c>
      <c r="D114" s="5">
        <v>0</v>
      </c>
    </row>
    <row r="115" spans="1:7" x14ac:dyDescent="0.3">
      <c r="A115" s="4">
        <v>3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>
        <v>3.1</v>
      </c>
      <c r="B116" t="s">
        <v>23</v>
      </c>
      <c r="C116" t="s">
        <v>3</v>
      </c>
      <c r="D116" s="5">
        <v>0</v>
      </c>
      <c r="E116">
        <v>0</v>
      </c>
      <c r="F116">
        <v>0</v>
      </c>
    </row>
    <row r="117" spans="1:7" x14ac:dyDescent="0.3">
      <c r="A117">
        <v>3.2</v>
      </c>
      <c r="B117" t="s">
        <v>24</v>
      </c>
      <c r="C117" t="s">
        <v>3</v>
      </c>
      <c r="D117" s="5">
        <v>4</v>
      </c>
    </row>
    <row r="118" spans="1:7" x14ac:dyDescent="0.3">
      <c r="A118">
        <v>3.3</v>
      </c>
      <c r="B118" t="s">
        <v>25</v>
      </c>
      <c r="C118" t="s">
        <v>3</v>
      </c>
      <c r="D118" s="5">
        <v>4</v>
      </c>
    </row>
    <row r="119" spans="1:7" x14ac:dyDescent="0.3">
      <c r="A119">
        <v>3.4</v>
      </c>
      <c r="B119" t="s">
        <v>26</v>
      </c>
      <c r="C119" t="s">
        <v>3</v>
      </c>
      <c r="D119" s="5">
        <v>20</v>
      </c>
    </row>
    <row r="120" spans="1:7" x14ac:dyDescent="0.3">
      <c r="A120">
        <v>3.5</v>
      </c>
      <c r="B120" t="s">
        <v>27</v>
      </c>
      <c r="C120" t="s">
        <v>3</v>
      </c>
      <c r="D120" s="5">
        <v>4</v>
      </c>
    </row>
    <row r="121" spans="1:7" x14ac:dyDescent="0.3">
      <c r="A121">
        <v>3.6</v>
      </c>
      <c r="B121" t="s">
        <v>28</v>
      </c>
      <c r="C121" t="s">
        <v>3</v>
      </c>
      <c r="D121" s="5">
        <v>8</v>
      </c>
    </row>
    <row r="122" spans="1:7" x14ac:dyDescent="0.3">
      <c r="A122">
        <v>3.7</v>
      </c>
      <c r="B122" t="s">
        <v>29</v>
      </c>
      <c r="C122" t="s">
        <v>3</v>
      </c>
      <c r="D122" s="5">
        <v>1</v>
      </c>
    </row>
    <row r="123" spans="1:7" x14ac:dyDescent="0.3">
      <c r="A123" s="4">
        <v>4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>
        <v>4.0999999999999996</v>
      </c>
      <c r="B124" t="s">
        <v>31</v>
      </c>
      <c r="C124" t="s">
        <v>3</v>
      </c>
      <c r="D124" s="5">
        <v>0</v>
      </c>
    </row>
    <row r="125" spans="1:7" x14ac:dyDescent="0.3">
      <c r="A125">
        <v>4.2</v>
      </c>
      <c r="B125" t="s">
        <v>32</v>
      </c>
      <c r="C125" t="s">
        <v>3</v>
      </c>
      <c r="D125" s="5">
        <v>1</v>
      </c>
    </row>
    <row r="126" spans="1:7" x14ac:dyDescent="0.3">
      <c r="A126">
        <v>4.3</v>
      </c>
      <c r="B126" t="s">
        <v>33</v>
      </c>
      <c r="C126" t="s">
        <v>34</v>
      </c>
      <c r="D126" s="5">
        <v>1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>
        <v>1</v>
      </c>
      <c r="B129" t="s">
        <v>10</v>
      </c>
      <c r="C129" t="s">
        <v>3</v>
      </c>
      <c r="D129" s="5">
        <v>0</v>
      </c>
      <c r="E129">
        <v>0</v>
      </c>
      <c r="F129">
        <v>0</v>
      </c>
    </row>
    <row r="130" spans="1:7" x14ac:dyDescent="0.3">
      <c r="A130">
        <v>1.1000000000000001</v>
      </c>
      <c r="B130" t="s">
        <v>11</v>
      </c>
      <c r="C130" t="s">
        <v>12</v>
      </c>
      <c r="D130" s="5">
        <v>0</v>
      </c>
      <c r="E130">
        <v>0</v>
      </c>
      <c r="F130">
        <v>0</v>
      </c>
    </row>
    <row r="131" spans="1:7" x14ac:dyDescent="0.3">
      <c r="A131">
        <v>1.2</v>
      </c>
      <c r="B131" t="s">
        <v>13</v>
      </c>
      <c r="C131" t="s">
        <v>14</v>
      </c>
      <c r="D131" s="5">
        <v>0</v>
      </c>
    </row>
    <row r="132" spans="1:7" x14ac:dyDescent="0.3">
      <c r="A132" s="4">
        <v>2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>
        <v>2.1</v>
      </c>
      <c r="B133" t="s">
        <v>16</v>
      </c>
      <c r="C133" t="s">
        <v>3</v>
      </c>
      <c r="D133" s="5">
        <v>0</v>
      </c>
    </row>
    <row r="134" spans="1:7" x14ac:dyDescent="0.3">
      <c r="A134">
        <v>2.2000000000000002</v>
      </c>
      <c r="B134" t="s">
        <v>17</v>
      </c>
      <c r="C134" t="s">
        <v>3</v>
      </c>
      <c r="D134" s="5">
        <v>0</v>
      </c>
    </row>
    <row r="135" spans="1:7" x14ac:dyDescent="0.3">
      <c r="A135">
        <v>2.2999999999999998</v>
      </c>
      <c r="B135" t="s">
        <v>18</v>
      </c>
      <c r="C135" t="s">
        <v>3</v>
      </c>
      <c r="D135" s="5">
        <v>0</v>
      </c>
    </row>
    <row r="136" spans="1:7" x14ac:dyDescent="0.3">
      <c r="A136">
        <v>2.4</v>
      </c>
      <c r="B136" t="s">
        <v>19</v>
      </c>
      <c r="C136" t="s">
        <v>3</v>
      </c>
      <c r="D136" s="5">
        <v>0</v>
      </c>
    </row>
    <row r="137" spans="1:7" x14ac:dyDescent="0.3">
      <c r="A137">
        <v>2.5</v>
      </c>
      <c r="B137" t="s">
        <v>20</v>
      </c>
      <c r="C137" t="s">
        <v>3</v>
      </c>
      <c r="D137" s="5">
        <v>0</v>
      </c>
    </row>
    <row r="138" spans="1:7" x14ac:dyDescent="0.3">
      <c r="A138">
        <v>2.6</v>
      </c>
      <c r="B138" t="s">
        <v>21</v>
      </c>
      <c r="C138" t="s">
        <v>3</v>
      </c>
      <c r="D138" s="5">
        <v>0</v>
      </c>
    </row>
    <row r="139" spans="1:7" x14ac:dyDescent="0.3">
      <c r="A139" s="4">
        <v>3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>
        <v>3.1</v>
      </c>
      <c r="B140" t="s">
        <v>23</v>
      </c>
      <c r="C140" t="s">
        <v>3</v>
      </c>
      <c r="D140" s="5">
        <v>55</v>
      </c>
    </row>
    <row r="141" spans="1:7" x14ac:dyDescent="0.3">
      <c r="A141">
        <v>3.2</v>
      </c>
      <c r="B141" t="s">
        <v>24</v>
      </c>
      <c r="C141" t="s">
        <v>3</v>
      </c>
      <c r="D141" s="5">
        <v>4</v>
      </c>
    </row>
    <row r="142" spans="1:7" x14ac:dyDescent="0.3">
      <c r="A142">
        <v>3.3</v>
      </c>
      <c r="B142" t="s">
        <v>25</v>
      </c>
      <c r="C142" t="s">
        <v>3</v>
      </c>
      <c r="D142" s="5">
        <v>4</v>
      </c>
    </row>
    <row r="143" spans="1:7" x14ac:dyDescent="0.3">
      <c r="A143">
        <v>3.4</v>
      </c>
      <c r="B143" t="s">
        <v>26</v>
      </c>
      <c r="C143" t="s">
        <v>3</v>
      </c>
      <c r="D143" s="5">
        <v>20</v>
      </c>
    </row>
    <row r="144" spans="1:7" x14ac:dyDescent="0.3">
      <c r="A144">
        <v>3.5</v>
      </c>
      <c r="B144" t="s">
        <v>27</v>
      </c>
      <c r="C144" t="s">
        <v>3</v>
      </c>
      <c r="D144" s="5">
        <v>4</v>
      </c>
    </row>
    <row r="145" spans="1:7" x14ac:dyDescent="0.3">
      <c r="A145">
        <v>3.6</v>
      </c>
      <c r="B145" t="s">
        <v>28</v>
      </c>
      <c r="C145" t="s">
        <v>3</v>
      </c>
      <c r="D145" s="5">
        <v>8</v>
      </c>
    </row>
    <row r="146" spans="1:7" x14ac:dyDescent="0.3">
      <c r="A146">
        <v>3.7</v>
      </c>
      <c r="B146" t="s">
        <v>29</v>
      </c>
      <c r="C146" t="s">
        <v>3</v>
      </c>
      <c r="D146" s="5">
        <v>1</v>
      </c>
    </row>
    <row r="147" spans="1:7" x14ac:dyDescent="0.3">
      <c r="A147" s="4">
        <v>4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>
        <v>4.0999999999999996</v>
      </c>
      <c r="B148" t="s">
        <v>31</v>
      </c>
      <c r="C148" t="s">
        <v>3</v>
      </c>
      <c r="D148" s="5">
        <v>0</v>
      </c>
    </row>
    <row r="149" spans="1:7" x14ac:dyDescent="0.3">
      <c r="A149">
        <v>4.2</v>
      </c>
      <c r="B149" t="s">
        <v>32</v>
      </c>
      <c r="C149" t="s">
        <v>3</v>
      </c>
      <c r="D149" s="5">
        <v>1</v>
      </c>
    </row>
    <row r="150" spans="1:7" x14ac:dyDescent="0.3">
      <c r="A150">
        <v>4.3</v>
      </c>
      <c r="B150" t="s">
        <v>33</v>
      </c>
      <c r="C150" t="s">
        <v>34</v>
      </c>
      <c r="D150" s="5">
        <v>1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>
        <v>1</v>
      </c>
      <c r="B153" t="s">
        <v>10</v>
      </c>
      <c r="C153" t="s">
        <v>3</v>
      </c>
      <c r="D153" s="5">
        <v>0</v>
      </c>
      <c r="E153">
        <v>0</v>
      </c>
      <c r="F153">
        <v>0</v>
      </c>
    </row>
    <row r="154" spans="1:7" x14ac:dyDescent="0.3">
      <c r="A154">
        <v>1.1000000000000001</v>
      </c>
      <c r="B154" t="s">
        <v>11</v>
      </c>
      <c r="C154" t="s">
        <v>12</v>
      </c>
      <c r="D154" s="5">
        <v>0</v>
      </c>
      <c r="E154">
        <v>0</v>
      </c>
      <c r="F154">
        <v>0</v>
      </c>
    </row>
    <row r="155" spans="1:7" x14ac:dyDescent="0.3">
      <c r="A155">
        <v>1.2</v>
      </c>
      <c r="B155" t="s">
        <v>13</v>
      </c>
      <c r="C155" t="s">
        <v>14</v>
      </c>
      <c r="D155" s="5">
        <v>0</v>
      </c>
    </row>
    <row r="156" spans="1:7" x14ac:dyDescent="0.3">
      <c r="A156" s="4">
        <v>2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>
        <v>2.1</v>
      </c>
      <c r="B157" t="s">
        <v>16</v>
      </c>
      <c r="C157" t="s">
        <v>3</v>
      </c>
      <c r="D157" s="5">
        <v>0</v>
      </c>
    </row>
    <row r="158" spans="1:7" x14ac:dyDescent="0.3">
      <c r="A158">
        <v>2.2000000000000002</v>
      </c>
      <c r="B158" t="s">
        <v>17</v>
      </c>
      <c r="C158" t="s">
        <v>3</v>
      </c>
      <c r="D158" s="5">
        <v>0</v>
      </c>
    </row>
    <row r="159" spans="1:7" x14ac:dyDescent="0.3">
      <c r="A159">
        <v>2.2999999999999998</v>
      </c>
      <c r="B159" t="s">
        <v>18</v>
      </c>
      <c r="C159" t="s">
        <v>3</v>
      </c>
      <c r="D159" s="5">
        <v>0</v>
      </c>
    </row>
    <row r="160" spans="1:7" x14ac:dyDescent="0.3">
      <c r="A160">
        <v>2.4</v>
      </c>
      <c r="B160" t="s">
        <v>19</v>
      </c>
      <c r="C160" t="s">
        <v>3</v>
      </c>
      <c r="D160" s="5">
        <v>0</v>
      </c>
    </row>
    <row r="161" spans="1:7" x14ac:dyDescent="0.3">
      <c r="A161">
        <v>2.5</v>
      </c>
      <c r="B161" t="s">
        <v>20</v>
      </c>
      <c r="C161" t="s">
        <v>3</v>
      </c>
      <c r="D161" s="5">
        <v>0</v>
      </c>
    </row>
    <row r="162" spans="1:7" x14ac:dyDescent="0.3">
      <c r="A162">
        <v>2.6</v>
      </c>
      <c r="B162" t="s">
        <v>21</v>
      </c>
      <c r="C162" t="s">
        <v>3</v>
      </c>
      <c r="D162" s="5">
        <v>0</v>
      </c>
    </row>
    <row r="163" spans="1:7" x14ac:dyDescent="0.3">
      <c r="A163" s="4">
        <v>3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>
        <v>3.1</v>
      </c>
      <c r="B164" t="s">
        <v>23</v>
      </c>
      <c r="C164" t="s">
        <v>3</v>
      </c>
      <c r="D164" s="5">
        <v>55</v>
      </c>
    </row>
    <row r="165" spans="1:7" x14ac:dyDescent="0.3">
      <c r="A165">
        <v>3.2</v>
      </c>
      <c r="B165" t="s">
        <v>24</v>
      </c>
      <c r="C165" t="s">
        <v>3</v>
      </c>
      <c r="D165" s="5">
        <v>4</v>
      </c>
    </row>
    <row r="166" spans="1:7" x14ac:dyDescent="0.3">
      <c r="A166">
        <v>3.3</v>
      </c>
      <c r="B166" t="s">
        <v>25</v>
      </c>
      <c r="C166" t="s">
        <v>3</v>
      </c>
      <c r="D166" s="5">
        <v>4</v>
      </c>
    </row>
    <row r="167" spans="1:7" x14ac:dyDescent="0.3">
      <c r="A167">
        <v>3.4</v>
      </c>
      <c r="B167" t="s">
        <v>26</v>
      </c>
      <c r="C167" t="s">
        <v>3</v>
      </c>
      <c r="D167" s="5">
        <v>20</v>
      </c>
    </row>
    <row r="168" spans="1:7" x14ac:dyDescent="0.3">
      <c r="A168">
        <v>3.5</v>
      </c>
      <c r="B168" t="s">
        <v>27</v>
      </c>
      <c r="C168" t="s">
        <v>3</v>
      </c>
      <c r="D168" s="5">
        <v>4</v>
      </c>
    </row>
    <row r="169" spans="1:7" x14ac:dyDescent="0.3">
      <c r="A169">
        <v>3.6</v>
      </c>
      <c r="B169" t="s">
        <v>28</v>
      </c>
      <c r="C169" t="s">
        <v>3</v>
      </c>
      <c r="D169" s="5">
        <v>8</v>
      </c>
    </row>
    <row r="170" spans="1:7" x14ac:dyDescent="0.3">
      <c r="A170">
        <v>3.7</v>
      </c>
      <c r="B170" t="s">
        <v>29</v>
      </c>
      <c r="C170" t="s">
        <v>3</v>
      </c>
      <c r="D170" s="5">
        <v>1</v>
      </c>
    </row>
    <row r="171" spans="1:7" x14ac:dyDescent="0.3">
      <c r="A171" s="4">
        <v>4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>
        <v>4.0999999999999996</v>
      </c>
      <c r="B172" t="s">
        <v>31</v>
      </c>
      <c r="C172" t="s">
        <v>3</v>
      </c>
      <c r="D172" s="5">
        <v>0</v>
      </c>
    </row>
    <row r="173" spans="1:7" x14ac:dyDescent="0.3">
      <c r="A173">
        <v>4.2</v>
      </c>
      <c r="B173" t="s">
        <v>32</v>
      </c>
      <c r="C173" t="s">
        <v>3</v>
      </c>
      <c r="D173" s="5">
        <v>1</v>
      </c>
    </row>
    <row r="174" spans="1:7" x14ac:dyDescent="0.3">
      <c r="A174">
        <v>4.3</v>
      </c>
      <c r="B174" t="s">
        <v>33</v>
      </c>
      <c r="C174" t="s">
        <v>34</v>
      </c>
      <c r="D174" s="5">
        <v>1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>
        <v>1</v>
      </c>
      <c r="B177" t="s">
        <v>10</v>
      </c>
      <c r="C177" t="s">
        <v>3</v>
      </c>
      <c r="D177" s="5">
        <v>0</v>
      </c>
      <c r="E177">
        <v>0</v>
      </c>
      <c r="F177">
        <v>0</v>
      </c>
    </row>
    <row r="178" spans="1:7" x14ac:dyDescent="0.3">
      <c r="A178">
        <v>1.1000000000000001</v>
      </c>
      <c r="B178" t="s">
        <v>11</v>
      </c>
      <c r="C178" t="s">
        <v>12</v>
      </c>
      <c r="D178" s="5">
        <v>0</v>
      </c>
      <c r="E178">
        <v>0</v>
      </c>
      <c r="F178">
        <v>0</v>
      </c>
    </row>
    <row r="179" spans="1:7" x14ac:dyDescent="0.3">
      <c r="A179">
        <v>1.2</v>
      </c>
      <c r="B179" t="s">
        <v>13</v>
      </c>
      <c r="C179" t="s">
        <v>14</v>
      </c>
      <c r="D179" s="5">
        <v>0</v>
      </c>
    </row>
    <row r="180" spans="1:7" x14ac:dyDescent="0.3">
      <c r="A180" s="4">
        <v>2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>
        <v>2.1</v>
      </c>
      <c r="B181" t="s">
        <v>16</v>
      </c>
      <c r="C181" t="s">
        <v>3</v>
      </c>
      <c r="D181" s="5">
        <v>0</v>
      </c>
    </row>
    <row r="182" spans="1:7" x14ac:dyDescent="0.3">
      <c r="A182">
        <v>2.2000000000000002</v>
      </c>
      <c r="B182" t="s">
        <v>17</v>
      </c>
      <c r="C182" t="s">
        <v>3</v>
      </c>
      <c r="D182" s="5">
        <v>0</v>
      </c>
    </row>
    <row r="183" spans="1:7" x14ac:dyDescent="0.3">
      <c r="A183">
        <v>2.2999999999999998</v>
      </c>
      <c r="B183" t="s">
        <v>18</v>
      </c>
      <c r="C183" t="s">
        <v>3</v>
      </c>
      <c r="D183" s="5">
        <v>0</v>
      </c>
    </row>
    <row r="184" spans="1:7" x14ac:dyDescent="0.3">
      <c r="A184">
        <v>2.4</v>
      </c>
      <c r="B184" t="s">
        <v>19</v>
      </c>
      <c r="C184" t="s">
        <v>3</v>
      </c>
      <c r="D184" s="5">
        <v>0</v>
      </c>
    </row>
    <row r="185" spans="1:7" x14ac:dyDescent="0.3">
      <c r="A185">
        <v>2.5</v>
      </c>
      <c r="B185" t="s">
        <v>20</v>
      </c>
      <c r="C185" t="s">
        <v>3</v>
      </c>
      <c r="D185" s="5">
        <v>0</v>
      </c>
    </row>
    <row r="186" spans="1:7" x14ac:dyDescent="0.3">
      <c r="A186">
        <v>2.6</v>
      </c>
      <c r="B186" t="s">
        <v>21</v>
      </c>
      <c r="C186" t="s">
        <v>3</v>
      </c>
      <c r="D186" s="5">
        <v>0</v>
      </c>
    </row>
    <row r="187" spans="1:7" x14ac:dyDescent="0.3">
      <c r="A187" s="4">
        <v>3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>
        <v>3.1</v>
      </c>
      <c r="B188" t="s">
        <v>23</v>
      </c>
      <c r="C188" t="s">
        <v>3</v>
      </c>
      <c r="D188" s="5">
        <v>55</v>
      </c>
    </row>
    <row r="189" spans="1:7" x14ac:dyDescent="0.3">
      <c r="A189">
        <v>3.2</v>
      </c>
      <c r="B189" t="s">
        <v>24</v>
      </c>
      <c r="C189" t="s">
        <v>3</v>
      </c>
      <c r="D189" s="5">
        <v>4</v>
      </c>
    </row>
    <row r="190" spans="1:7" x14ac:dyDescent="0.3">
      <c r="A190">
        <v>3.3</v>
      </c>
      <c r="B190" t="s">
        <v>25</v>
      </c>
      <c r="C190" t="s">
        <v>3</v>
      </c>
      <c r="D190" s="5">
        <v>4</v>
      </c>
    </row>
    <row r="191" spans="1:7" x14ac:dyDescent="0.3">
      <c r="A191">
        <v>3.4</v>
      </c>
      <c r="B191" t="s">
        <v>26</v>
      </c>
      <c r="C191" t="s">
        <v>3</v>
      </c>
      <c r="D191" s="5">
        <v>20</v>
      </c>
    </row>
    <row r="192" spans="1:7" x14ac:dyDescent="0.3">
      <c r="A192">
        <v>3.5</v>
      </c>
      <c r="B192" t="s">
        <v>27</v>
      </c>
      <c r="C192" t="s">
        <v>3</v>
      </c>
      <c r="D192" s="5">
        <v>4</v>
      </c>
    </row>
    <row r="193" spans="1:7" x14ac:dyDescent="0.3">
      <c r="A193">
        <v>3.6</v>
      </c>
      <c r="B193" t="s">
        <v>28</v>
      </c>
      <c r="C193" t="s">
        <v>3</v>
      </c>
      <c r="D193" s="5">
        <v>8</v>
      </c>
    </row>
    <row r="194" spans="1:7" x14ac:dyDescent="0.3">
      <c r="A194">
        <v>3.7</v>
      </c>
      <c r="B194" t="s">
        <v>29</v>
      </c>
      <c r="C194" t="s">
        <v>3</v>
      </c>
      <c r="D194" s="5">
        <v>1</v>
      </c>
    </row>
    <row r="195" spans="1:7" x14ac:dyDescent="0.3">
      <c r="A195" s="4">
        <v>4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>
        <v>4.0999999999999996</v>
      </c>
      <c r="B196" t="s">
        <v>31</v>
      </c>
      <c r="C196" t="s">
        <v>3</v>
      </c>
      <c r="D196" s="5">
        <v>0</v>
      </c>
    </row>
    <row r="197" spans="1:7" x14ac:dyDescent="0.3">
      <c r="A197">
        <v>4.2</v>
      </c>
      <c r="B197" t="s">
        <v>32</v>
      </c>
      <c r="C197" t="s">
        <v>3</v>
      </c>
      <c r="D197" s="5">
        <v>1</v>
      </c>
    </row>
    <row r="198" spans="1:7" x14ac:dyDescent="0.3">
      <c r="A198">
        <v>4.3</v>
      </c>
      <c r="B198" t="s">
        <v>33</v>
      </c>
      <c r="C198" t="s">
        <v>34</v>
      </c>
      <c r="D198" s="5">
        <v>1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>
        <v>1</v>
      </c>
      <c r="B201" t="s">
        <v>10</v>
      </c>
      <c r="C201" t="s">
        <v>3</v>
      </c>
      <c r="D201" s="5">
        <v>0</v>
      </c>
      <c r="E201">
        <v>0</v>
      </c>
      <c r="F201">
        <v>0</v>
      </c>
    </row>
    <row r="202" spans="1:7" x14ac:dyDescent="0.3">
      <c r="A202">
        <v>1.1000000000000001</v>
      </c>
      <c r="B202" t="s">
        <v>11</v>
      </c>
      <c r="C202" t="s">
        <v>12</v>
      </c>
      <c r="D202" s="5">
        <v>0</v>
      </c>
      <c r="E202">
        <v>0</v>
      </c>
      <c r="F202">
        <v>0</v>
      </c>
    </row>
    <row r="203" spans="1:7" x14ac:dyDescent="0.3">
      <c r="A203">
        <v>1.2</v>
      </c>
      <c r="B203" t="s">
        <v>13</v>
      </c>
      <c r="C203" t="s">
        <v>14</v>
      </c>
      <c r="D203" s="5">
        <v>0</v>
      </c>
    </row>
    <row r="204" spans="1:7" x14ac:dyDescent="0.3">
      <c r="A204" s="4">
        <v>2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>
        <v>2.1</v>
      </c>
      <c r="B205" t="s">
        <v>16</v>
      </c>
      <c r="C205" t="s">
        <v>3</v>
      </c>
      <c r="D205" s="5">
        <v>0</v>
      </c>
    </row>
    <row r="206" spans="1:7" x14ac:dyDescent="0.3">
      <c r="A206">
        <v>2.2000000000000002</v>
      </c>
      <c r="B206" t="s">
        <v>17</v>
      </c>
      <c r="C206" t="s">
        <v>3</v>
      </c>
      <c r="D206" s="5">
        <v>0</v>
      </c>
    </row>
    <row r="207" spans="1:7" x14ac:dyDescent="0.3">
      <c r="A207">
        <v>2.2999999999999998</v>
      </c>
      <c r="B207" t="s">
        <v>18</v>
      </c>
      <c r="C207" t="s">
        <v>3</v>
      </c>
      <c r="D207" s="5">
        <v>0</v>
      </c>
    </row>
    <row r="208" spans="1:7" x14ac:dyDescent="0.3">
      <c r="A208">
        <v>2.4</v>
      </c>
      <c r="B208" t="s">
        <v>19</v>
      </c>
      <c r="C208" t="s">
        <v>3</v>
      </c>
      <c r="D208" s="5">
        <v>0</v>
      </c>
    </row>
    <row r="209" spans="1:7" x14ac:dyDescent="0.3">
      <c r="A209">
        <v>2.5</v>
      </c>
      <c r="B209" t="s">
        <v>20</v>
      </c>
      <c r="C209" t="s">
        <v>3</v>
      </c>
      <c r="D209" s="5">
        <v>0</v>
      </c>
    </row>
    <row r="210" spans="1:7" x14ac:dyDescent="0.3">
      <c r="A210">
        <v>2.6</v>
      </c>
      <c r="B210" t="s">
        <v>21</v>
      </c>
      <c r="C210" t="s">
        <v>3</v>
      </c>
      <c r="D210" s="5">
        <v>0</v>
      </c>
    </row>
    <row r="211" spans="1:7" x14ac:dyDescent="0.3">
      <c r="A211" s="4">
        <v>3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>
        <v>3.1</v>
      </c>
      <c r="B212" t="s">
        <v>23</v>
      </c>
      <c r="C212" t="s">
        <v>3</v>
      </c>
      <c r="D212" s="5">
        <v>55</v>
      </c>
    </row>
    <row r="213" spans="1:7" x14ac:dyDescent="0.3">
      <c r="A213">
        <v>3.2</v>
      </c>
      <c r="B213" t="s">
        <v>24</v>
      </c>
      <c r="C213" t="s">
        <v>3</v>
      </c>
      <c r="D213" s="5">
        <v>4</v>
      </c>
    </row>
    <row r="214" spans="1:7" x14ac:dyDescent="0.3">
      <c r="A214">
        <v>3.3</v>
      </c>
      <c r="B214" t="s">
        <v>25</v>
      </c>
      <c r="C214" t="s">
        <v>3</v>
      </c>
      <c r="D214" s="5">
        <v>4</v>
      </c>
    </row>
    <row r="215" spans="1:7" x14ac:dyDescent="0.3">
      <c r="A215">
        <v>3.4</v>
      </c>
      <c r="B215" t="s">
        <v>26</v>
      </c>
      <c r="C215" t="s">
        <v>3</v>
      </c>
      <c r="D215" s="5">
        <v>20</v>
      </c>
    </row>
    <row r="216" spans="1:7" x14ac:dyDescent="0.3">
      <c r="A216">
        <v>3.5</v>
      </c>
      <c r="B216" t="s">
        <v>27</v>
      </c>
      <c r="C216" t="s">
        <v>3</v>
      </c>
      <c r="D216" s="5">
        <v>4</v>
      </c>
    </row>
    <row r="217" spans="1:7" x14ac:dyDescent="0.3">
      <c r="A217">
        <v>3.6</v>
      </c>
      <c r="B217" t="s">
        <v>28</v>
      </c>
      <c r="C217" t="s">
        <v>3</v>
      </c>
      <c r="D217" s="5">
        <v>8</v>
      </c>
    </row>
    <row r="218" spans="1:7" x14ac:dyDescent="0.3">
      <c r="A218">
        <v>3.7</v>
      </c>
      <c r="B218" t="s">
        <v>29</v>
      </c>
      <c r="C218" t="s">
        <v>3</v>
      </c>
      <c r="D218" s="5">
        <v>1</v>
      </c>
    </row>
    <row r="219" spans="1:7" x14ac:dyDescent="0.3">
      <c r="A219" s="4">
        <v>4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>
        <v>4.0999999999999996</v>
      </c>
      <c r="B220" t="s">
        <v>31</v>
      </c>
      <c r="C220" t="s">
        <v>3</v>
      </c>
      <c r="D220" s="5">
        <v>0</v>
      </c>
    </row>
    <row r="221" spans="1:7" x14ac:dyDescent="0.3">
      <c r="A221">
        <v>4.2</v>
      </c>
      <c r="B221" t="s">
        <v>32</v>
      </c>
      <c r="C221" t="s">
        <v>3</v>
      </c>
      <c r="D221" s="5">
        <v>1</v>
      </c>
    </row>
    <row r="222" spans="1:7" x14ac:dyDescent="0.3">
      <c r="A222">
        <v>4.3</v>
      </c>
      <c r="B222" t="s">
        <v>33</v>
      </c>
      <c r="C222" t="s">
        <v>34</v>
      </c>
      <c r="D222" s="5">
        <v>1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>
        <v>1</v>
      </c>
      <c r="B225" t="s">
        <v>10</v>
      </c>
      <c r="C225" t="s">
        <v>3</v>
      </c>
      <c r="D225" s="5">
        <v>0</v>
      </c>
      <c r="E225">
        <v>0</v>
      </c>
      <c r="F225">
        <v>0</v>
      </c>
    </row>
    <row r="226" spans="1:7" x14ac:dyDescent="0.3">
      <c r="A226">
        <v>1.1000000000000001</v>
      </c>
      <c r="B226" t="s">
        <v>11</v>
      </c>
      <c r="C226" t="s">
        <v>12</v>
      </c>
      <c r="D226" s="5">
        <v>0</v>
      </c>
      <c r="E226">
        <v>0</v>
      </c>
      <c r="F226">
        <v>0</v>
      </c>
    </row>
    <row r="227" spans="1:7" x14ac:dyDescent="0.3">
      <c r="A227">
        <v>1.2</v>
      </c>
      <c r="B227" t="s">
        <v>13</v>
      </c>
      <c r="C227" t="s">
        <v>14</v>
      </c>
      <c r="D227" s="5">
        <v>0</v>
      </c>
    </row>
    <row r="228" spans="1:7" x14ac:dyDescent="0.3">
      <c r="A228" s="4">
        <v>2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>
        <v>2.1</v>
      </c>
      <c r="B229" t="s">
        <v>16</v>
      </c>
      <c r="C229" t="s">
        <v>3</v>
      </c>
      <c r="D229" s="5">
        <v>0</v>
      </c>
    </row>
    <row r="230" spans="1:7" x14ac:dyDescent="0.3">
      <c r="A230">
        <v>2.2000000000000002</v>
      </c>
      <c r="B230" t="s">
        <v>17</v>
      </c>
      <c r="C230" t="s">
        <v>3</v>
      </c>
      <c r="D230" s="5">
        <v>0</v>
      </c>
    </row>
    <row r="231" spans="1:7" x14ac:dyDescent="0.3">
      <c r="A231">
        <v>2.2999999999999998</v>
      </c>
      <c r="B231" t="s">
        <v>18</v>
      </c>
      <c r="C231" t="s">
        <v>3</v>
      </c>
      <c r="D231" s="5">
        <v>0</v>
      </c>
    </row>
    <row r="232" spans="1:7" x14ac:dyDescent="0.3">
      <c r="A232">
        <v>2.4</v>
      </c>
      <c r="B232" t="s">
        <v>19</v>
      </c>
      <c r="C232" t="s">
        <v>3</v>
      </c>
      <c r="D232" s="5">
        <v>0</v>
      </c>
    </row>
    <row r="233" spans="1:7" x14ac:dyDescent="0.3">
      <c r="A233">
        <v>2.5</v>
      </c>
      <c r="B233" t="s">
        <v>20</v>
      </c>
      <c r="C233" t="s">
        <v>3</v>
      </c>
      <c r="D233" s="5">
        <v>0</v>
      </c>
    </row>
    <row r="234" spans="1:7" x14ac:dyDescent="0.3">
      <c r="A234">
        <v>2.6</v>
      </c>
      <c r="B234" t="s">
        <v>21</v>
      </c>
      <c r="C234" t="s">
        <v>3</v>
      </c>
      <c r="D234" s="5">
        <v>0</v>
      </c>
    </row>
    <row r="235" spans="1:7" x14ac:dyDescent="0.3">
      <c r="A235" s="4">
        <v>3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>
        <v>3.1</v>
      </c>
      <c r="B236" t="s">
        <v>23</v>
      </c>
      <c r="C236" t="s">
        <v>3</v>
      </c>
      <c r="D236" s="5">
        <v>55</v>
      </c>
    </row>
    <row r="237" spans="1:7" x14ac:dyDescent="0.3">
      <c r="A237">
        <v>3.2</v>
      </c>
      <c r="B237" t="s">
        <v>24</v>
      </c>
      <c r="C237" t="s">
        <v>3</v>
      </c>
      <c r="D237" s="5">
        <v>4</v>
      </c>
    </row>
    <row r="238" spans="1:7" x14ac:dyDescent="0.3">
      <c r="A238">
        <v>3.3</v>
      </c>
      <c r="B238" t="s">
        <v>25</v>
      </c>
      <c r="C238" t="s">
        <v>3</v>
      </c>
      <c r="D238" s="5">
        <v>4</v>
      </c>
    </row>
    <row r="239" spans="1:7" x14ac:dyDescent="0.3">
      <c r="A239">
        <v>3.4</v>
      </c>
      <c r="B239" t="s">
        <v>26</v>
      </c>
      <c r="C239" t="s">
        <v>3</v>
      </c>
      <c r="D239" s="5">
        <v>20</v>
      </c>
    </row>
    <row r="240" spans="1:7" x14ac:dyDescent="0.3">
      <c r="A240">
        <v>3.5</v>
      </c>
      <c r="B240" t="s">
        <v>27</v>
      </c>
      <c r="C240" t="s">
        <v>3</v>
      </c>
      <c r="D240" s="5">
        <v>4</v>
      </c>
    </row>
    <row r="241" spans="1:7" x14ac:dyDescent="0.3">
      <c r="A241">
        <v>3.6</v>
      </c>
      <c r="B241" t="s">
        <v>28</v>
      </c>
      <c r="C241" t="s">
        <v>3</v>
      </c>
      <c r="D241" s="5">
        <v>8</v>
      </c>
    </row>
    <row r="242" spans="1:7" x14ac:dyDescent="0.3">
      <c r="A242">
        <v>3.7</v>
      </c>
      <c r="B242" t="s">
        <v>29</v>
      </c>
      <c r="C242" t="s">
        <v>3</v>
      </c>
      <c r="D242" s="5">
        <v>1</v>
      </c>
    </row>
    <row r="243" spans="1:7" x14ac:dyDescent="0.3">
      <c r="A243" s="4">
        <v>4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>
        <v>4.0999999999999996</v>
      </c>
      <c r="B244" t="s">
        <v>31</v>
      </c>
      <c r="C244" t="s">
        <v>3</v>
      </c>
      <c r="D244" s="5">
        <v>0</v>
      </c>
    </row>
    <row r="245" spans="1:7" x14ac:dyDescent="0.3">
      <c r="A245">
        <v>4.2</v>
      </c>
      <c r="B245" t="s">
        <v>32</v>
      </c>
      <c r="C245" t="s">
        <v>3</v>
      </c>
      <c r="D245" s="5">
        <v>1</v>
      </c>
    </row>
    <row r="246" spans="1:7" x14ac:dyDescent="0.3">
      <c r="A246">
        <v>4.3</v>
      </c>
      <c r="B246" t="s">
        <v>33</v>
      </c>
      <c r="C246" t="s">
        <v>34</v>
      </c>
      <c r="D246" s="5">
        <v>1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>
        <v>1</v>
      </c>
      <c r="B249" t="s">
        <v>10</v>
      </c>
      <c r="C249" t="s">
        <v>3</v>
      </c>
      <c r="D249" s="5">
        <v>0</v>
      </c>
      <c r="E249">
        <v>0</v>
      </c>
      <c r="F249">
        <v>0</v>
      </c>
    </row>
    <row r="250" spans="1:7" x14ac:dyDescent="0.3">
      <c r="A250">
        <v>1.1000000000000001</v>
      </c>
      <c r="B250" t="s">
        <v>11</v>
      </c>
      <c r="C250" t="s">
        <v>12</v>
      </c>
      <c r="D250" s="5">
        <v>0</v>
      </c>
      <c r="E250">
        <v>0</v>
      </c>
      <c r="F250">
        <v>0</v>
      </c>
    </row>
    <row r="251" spans="1:7" x14ac:dyDescent="0.3">
      <c r="A251">
        <v>1.2</v>
      </c>
      <c r="B251" t="s">
        <v>13</v>
      </c>
      <c r="C251" t="s">
        <v>14</v>
      </c>
      <c r="D251" s="5">
        <v>0</v>
      </c>
    </row>
    <row r="252" spans="1:7" x14ac:dyDescent="0.3">
      <c r="A252" s="4">
        <v>2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>
        <v>2.1</v>
      </c>
      <c r="B253" t="s">
        <v>16</v>
      </c>
      <c r="C253" t="s">
        <v>3</v>
      </c>
      <c r="D253" s="5">
        <v>0</v>
      </c>
    </row>
    <row r="254" spans="1:7" x14ac:dyDescent="0.3">
      <c r="A254">
        <v>2.2000000000000002</v>
      </c>
      <c r="B254" t="s">
        <v>17</v>
      </c>
      <c r="C254" t="s">
        <v>3</v>
      </c>
      <c r="D254" s="5">
        <v>0</v>
      </c>
    </row>
    <row r="255" spans="1:7" x14ac:dyDescent="0.3">
      <c r="A255">
        <v>2.2999999999999998</v>
      </c>
      <c r="B255" t="s">
        <v>18</v>
      </c>
      <c r="C255" t="s">
        <v>3</v>
      </c>
      <c r="D255" s="5">
        <v>0</v>
      </c>
    </row>
    <row r="256" spans="1:7" x14ac:dyDescent="0.3">
      <c r="A256">
        <v>2.4</v>
      </c>
      <c r="B256" t="s">
        <v>19</v>
      </c>
      <c r="C256" t="s">
        <v>3</v>
      </c>
      <c r="D256" s="5">
        <v>0</v>
      </c>
    </row>
    <row r="257" spans="1:7" x14ac:dyDescent="0.3">
      <c r="A257">
        <v>2.5</v>
      </c>
      <c r="B257" t="s">
        <v>20</v>
      </c>
      <c r="C257" t="s">
        <v>3</v>
      </c>
      <c r="D257" s="5">
        <v>0</v>
      </c>
    </row>
    <row r="258" spans="1:7" x14ac:dyDescent="0.3">
      <c r="A258">
        <v>2.6</v>
      </c>
      <c r="B258" t="s">
        <v>21</v>
      </c>
      <c r="C258" t="s">
        <v>3</v>
      </c>
      <c r="D258" s="5">
        <v>0</v>
      </c>
    </row>
    <row r="259" spans="1:7" x14ac:dyDescent="0.3">
      <c r="A259" s="4">
        <v>3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>
        <v>3.1</v>
      </c>
      <c r="B260" t="s">
        <v>23</v>
      </c>
      <c r="C260" t="s">
        <v>3</v>
      </c>
      <c r="D260" s="5">
        <v>55</v>
      </c>
    </row>
    <row r="261" spans="1:7" x14ac:dyDescent="0.3">
      <c r="A261">
        <v>3.2</v>
      </c>
      <c r="B261" t="s">
        <v>24</v>
      </c>
      <c r="C261" t="s">
        <v>3</v>
      </c>
      <c r="D261" s="5">
        <v>4</v>
      </c>
    </row>
    <row r="262" spans="1:7" x14ac:dyDescent="0.3">
      <c r="A262">
        <v>3.3</v>
      </c>
      <c r="B262" t="s">
        <v>25</v>
      </c>
      <c r="C262" t="s">
        <v>3</v>
      </c>
      <c r="D262" s="5">
        <v>4</v>
      </c>
    </row>
    <row r="263" spans="1:7" x14ac:dyDescent="0.3">
      <c r="A263">
        <v>3.4</v>
      </c>
      <c r="B263" t="s">
        <v>26</v>
      </c>
      <c r="C263" t="s">
        <v>3</v>
      </c>
      <c r="D263" s="5">
        <v>20</v>
      </c>
    </row>
    <row r="264" spans="1:7" x14ac:dyDescent="0.3">
      <c r="A264">
        <v>3.5</v>
      </c>
      <c r="B264" t="s">
        <v>27</v>
      </c>
      <c r="C264" t="s">
        <v>3</v>
      </c>
      <c r="D264" s="5">
        <v>4</v>
      </c>
    </row>
    <row r="265" spans="1:7" x14ac:dyDescent="0.3">
      <c r="A265">
        <v>3.6</v>
      </c>
      <c r="B265" t="s">
        <v>28</v>
      </c>
      <c r="C265" t="s">
        <v>3</v>
      </c>
      <c r="D265" s="5">
        <v>8</v>
      </c>
    </row>
    <row r="266" spans="1:7" x14ac:dyDescent="0.3">
      <c r="A266">
        <v>3.7</v>
      </c>
      <c r="B266" t="s">
        <v>29</v>
      </c>
      <c r="C266" t="s">
        <v>3</v>
      </c>
      <c r="D266" s="5">
        <v>1</v>
      </c>
    </row>
    <row r="267" spans="1:7" x14ac:dyDescent="0.3">
      <c r="A267" s="4">
        <v>4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>
        <v>4.0999999999999996</v>
      </c>
      <c r="B268" t="s">
        <v>31</v>
      </c>
      <c r="C268" t="s">
        <v>3</v>
      </c>
      <c r="D268" s="5">
        <v>0</v>
      </c>
    </row>
    <row r="269" spans="1:7" x14ac:dyDescent="0.3">
      <c r="A269">
        <v>4.2</v>
      </c>
      <c r="B269" t="s">
        <v>32</v>
      </c>
      <c r="C269" t="s">
        <v>3</v>
      </c>
      <c r="D269" s="5">
        <v>1</v>
      </c>
    </row>
    <row r="270" spans="1:7" x14ac:dyDescent="0.3">
      <c r="A270">
        <v>4.3</v>
      </c>
      <c r="B270" t="s">
        <v>33</v>
      </c>
      <c r="C270" t="s">
        <v>34</v>
      </c>
      <c r="D270" s="5">
        <v>1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>
        <v>1</v>
      </c>
      <c r="B273" t="s">
        <v>10</v>
      </c>
      <c r="C273" t="s">
        <v>3</v>
      </c>
      <c r="D273" s="5">
        <v>0</v>
      </c>
      <c r="E273">
        <v>0</v>
      </c>
      <c r="F273">
        <v>0</v>
      </c>
    </row>
    <row r="274" spans="1:7" x14ac:dyDescent="0.3">
      <c r="A274">
        <v>1.1000000000000001</v>
      </c>
      <c r="B274" t="s">
        <v>11</v>
      </c>
      <c r="C274" t="s">
        <v>12</v>
      </c>
      <c r="D274" s="5">
        <v>0</v>
      </c>
      <c r="E274">
        <v>0</v>
      </c>
      <c r="F274">
        <v>0</v>
      </c>
    </row>
    <row r="275" spans="1:7" x14ac:dyDescent="0.3">
      <c r="A275">
        <v>1.2</v>
      </c>
      <c r="B275" t="s">
        <v>13</v>
      </c>
      <c r="C275" t="s">
        <v>14</v>
      </c>
      <c r="D275" s="5">
        <v>0</v>
      </c>
    </row>
    <row r="276" spans="1:7" x14ac:dyDescent="0.3">
      <c r="A276" s="4">
        <v>2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>
        <v>2.1</v>
      </c>
      <c r="B277" t="s">
        <v>16</v>
      </c>
      <c r="C277" t="s">
        <v>3</v>
      </c>
      <c r="D277" s="5">
        <v>0</v>
      </c>
    </row>
    <row r="278" spans="1:7" x14ac:dyDescent="0.3">
      <c r="A278">
        <v>2.2000000000000002</v>
      </c>
      <c r="B278" t="s">
        <v>17</v>
      </c>
      <c r="C278" t="s">
        <v>3</v>
      </c>
      <c r="D278" s="5">
        <v>0</v>
      </c>
    </row>
    <row r="279" spans="1:7" x14ac:dyDescent="0.3">
      <c r="A279">
        <v>2.2999999999999998</v>
      </c>
      <c r="B279" t="s">
        <v>18</v>
      </c>
      <c r="C279" t="s">
        <v>3</v>
      </c>
      <c r="D279" s="5">
        <v>0</v>
      </c>
    </row>
    <row r="280" spans="1:7" x14ac:dyDescent="0.3">
      <c r="A280">
        <v>2.4</v>
      </c>
      <c r="B280" t="s">
        <v>19</v>
      </c>
      <c r="C280" t="s">
        <v>3</v>
      </c>
      <c r="D280" s="5">
        <v>0</v>
      </c>
    </row>
    <row r="281" spans="1:7" x14ac:dyDescent="0.3">
      <c r="A281">
        <v>2.5</v>
      </c>
      <c r="B281" t="s">
        <v>20</v>
      </c>
      <c r="C281" t="s">
        <v>3</v>
      </c>
      <c r="D281" s="5">
        <v>0</v>
      </c>
    </row>
    <row r="282" spans="1:7" x14ac:dyDescent="0.3">
      <c r="A282">
        <v>2.6</v>
      </c>
      <c r="B282" t="s">
        <v>21</v>
      </c>
      <c r="C282" t="s">
        <v>3</v>
      </c>
      <c r="D282" s="5">
        <v>0</v>
      </c>
    </row>
    <row r="283" spans="1:7" x14ac:dyDescent="0.3">
      <c r="A283" s="4">
        <v>3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>
        <v>3.1</v>
      </c>
      <c r="B284" t="s">
        <v>23</v>
      </c>
      <c r="C284" t="s">
        <v>3</v>
      </c>
      <c r="D284" s="5">
        <v>55</v>
      </c>
    </row>
    <row r="285" spans="1:7" x14ac:dyDescent="0.3">
      <c r="A285">
        <v>3.2</v>
      </c>
      <c r="B285" t="s">
        <v>24</v>
      </c>
      <c r="C285" t="s">
        <v>3</v>
      </c>
      <c r="D285" s="5">
        <v>4</v>
      </c>
    </row>
    <row r="286" spans="1:7" x14ac:dyDescent="0.3">
      <c r="A286">
        <v>3.3</v>
      </c>
      <c r="B286" t="s">
        <v>25</v>
      </c>
      <c r="C286" t="s">
        <v>3</v>
      </c>
      <c r="D286" s="5">
        <v>4</v>
      </c>
    </row>
    <row r="287" spans="1:7" x14ac:dyDescent="0.3">
      <c r="A287">
        <v>3.4</v>
      </c>
      <c r="B287" t="s">
        <v>26</v>
      </c>
      <c r="C287" t="s">
        <v>3</v>
      </c>
      <c r="D287" s="5">
        <v>20</v>
      </c>
    </row>
    <row r="288" spans="1:7" x14ac:dyDescent="0.3">
      <c r="A288">
        <v>3.5</v>
      </c>
      <c r="B288" t="s">
        <v>27</v>
      </c>
      <c r="C288" t="s">
        <v>3</v>
      </c>
      <c r="D288" s="5">
        <v>4</v>
      </c>
    </row>
    <row r="289" spans="1:7" x14ac:dyDescent="0.3">
      <c r="A289">
        <v>3.6</v>
      </c>
      <c r="B289" t="s">
        <v>28</v>
      </c>
      <c r="C289" t="s">
        <v>3</v>
      </c>
      <c r="D289" s="5">
        <v>8</v>
      </c>
    </row>
    <row r="290" spans="1:7" x14ac:dyDescent="0.3">
      <c r="A290">
        <v>3.7</v>
      </c>
      <c r="B290" t="s">
        <v>29</v>
      </c>
      <c r="C290" t="s">
        <v>3</v>
      </c>
      <c r="D290" s="5">
        <v>1</v>
      </c>
    </row>
    <row r="291" spans="1:7" x14ac:dyDescent="0.3">
      <c r="A291" s="4">
        <v>4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>
        <v>4.0999999999999996</v>
      </c>
      <c r="B292" t="s">
        <v>31</v>
      </c>
      <c r="C292" t="s">
        <v>3</v>
      </c>
      <c r="D292" s="5">
        <v>0</v>
      </c>
    </row>
    <row r="293" spans="1:7" x14ac:dyDescent="0.3">
      <c r="A293">
        <v>4.2</v>
      </c>
      <c r="B293" t="s">
        <v>32</v>
      </c>
      <c r="C293" t="s">
        <v>3</v>
      </c>
      <c r="D293" s="5">
        <v>1</v>
      </c>
    </row>
    <row r="294" spans="1:7" x14ac:dyDescent="0.3">
      <c r="A294">
        <v>4.3</v>
      </c>
      <c r="B294" t="s">
        <v>33</v>
      </c>
      <c r="C294" t="s">
        <v>34</v>
      </c>
      <c r="D294" s="5">
        <v>1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294"/>
  <sheetViews>
    <sheetView showGridLines="0" topLeftCell="A186" workbookViewId="0">
      <selection activeCell="J264" sqref="J264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285</v>
      </c>
      <c r="B2" s="68" t="s">
        <v>218</v>
      </c>
      <c r="C2" s="68" t="s">
        <v>218</v>
      </c>
      <c r="D2" s="68" t="s">
        <v>218</v>
      </c>
      <c r="E2" s="68" t="s">
        <v>218</v>
      </c>
      <c r="F2" s="68" t="s">
        <v>218</v>
      </c>
      <c r="G2" s="68" t="s">
        <v>218</v>
      </c>
    </row>
    <row r="4" spans="1:7" x14ac:dyDescent="0.3">
      <c r="A4" s="1" t="s">
        <v>0</v>
      </c>
      <c r="B4" s="1">
        <v>2025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>
        <v>1</v>
      </c>
      <c r="B9" t="s">
        <v>10</v>
      </c>
      <c r="C9" t="s">
        <v>3</v>
      </c>
      <c r="D9" s="5">
        <v>0</v>
      </c>
      <c r="E9">
        <v>0</v>
      </c>
      <c r="F9">
        <v>0</v>
      </c>
    </row>
    <row r="10" spans="1:7" x14ac:dyDescent="0.3">
      <c r="A10">
        <v>1.1000000000000001</v>
      </c>
      <c r="B10" t="s">
        <v>11</v>
      </c>
      <c r="C10" t="s">
        <v>12</v>
      </c>
      <c r="D10" s="5">
        <v>0</v>
      </c>
      <c r="E10">
        <v>0</v>
      </c>
      <c r="F10">
        <v>0</v>
      </c>
    </row>
    <row r="11" spans="1:7" x14ac:dyDescent="0.3">
      <c r="A11">
        <v>1.2</v>
      </c>
      <c r="B11" t="s">
        <v>13</v>
      </c>
      <c r="C11" t="s">
        <v>14</v>
      </c>
      <c r="D11" s="5">
        <v>0</v>
      </c>
    </row>
    <row r="12" spans="1:7" x14ac:dyDescent="0.3">
      <c r="A12" s="4">
        <v>2</v>
      </c>
      <c r="B12" s="4" t="s">
        <v>15</v>
      </c>
      <c r="C12" s="4"/>
      <c r="D12" s="6"/>
      <c r="E12" s="4"/>
      <c r="F12" s="4"/>
      <c r="G12" s="4"/>
    </row>
    <row r="13" spans="1:7" x14ac:dyDescent="0.3">
      <c r="A13">
        <v>2.1</v>
      </c>
      <c r="B13" t="s">
        <v>16</v>
      </c>
      <c r="C13" t="s">
        <v>3</v>
      </c>
      <c r="D13" s="5">
        <v>0</v>
      </c>
    </row>
    <row r="14" spans="1:7" x14ac:dyDescent="0.3">
      <c r="A14">
        <v>2.2000000000000002</v>
      </c>
      <c r="B14" t="s">
        <v>17</v>
      </c>
      <c r="C14" t="s">
        <v>3</v>
      </c>
      <c r="D14" s="5">
        <v>0</v>
      </c>
    </row>
    <row r="15" spans="1:7" x14ac:dyDescent="0.3">
      <c r="A15">
        <v>2.2999999999999998</v>
      </c>
      <c r="B15" t="s">
        <v>18</v>
      </c>
      <c r="C15" t="s">
        <v>3</v>
      </c>
      <c r="D15" s="5">
        <v>0</v>
      </c>
    </row>
    <row r="16" spans="1:7" x14ac:dyDescent="0.3">
      <c r="A16">
        <v>2.4</v>
      </c>
      <c r="B16" t="s">
        <v>19</v>
      </c>
      <c r="C16" t="s">
        <v>3</v>
      </c>
      <c r="D16" s="5">
        <v>0</v>
      </c>
    </row>
    <row r="17" spans="1:7" x14ac:dyDescent="0.3">
      <c r="A17">
        <v>2.5</v>
      </c>
      <c r="B17" t="s">
        <v>20</v>
      </c>
      <c r="C17" t="s">
        <v>3</v>
      </c>
      <c r="D17" s="5">
        <v>0</v>
      </c>
    </row>
    <row r="18" spans="1:7" x14ac:dyDescent="0.3">
      <c r="A18">
        <v>2.6</v>
      </c>
      <c r="B18" t="s">
        <v>21</v>
      </c>
      <c r="C18" t="s">
        <v>3</v>
      </c>
      <c r="D18" s="5">
        <v>0</v>
      </c>
    </row>
    <row r="19" spans="1:7" x14ac:dyDescent="0.3">
      <c r="A19" s="4">
        <v>3</v>
      </c>
      <c r="B19" s="4" t="s">
        <v>22</v>
      </c>
      <c r="C19" s="4"/>
      <c r="D19" s="6"/>
      <c r="E19" s="4"/>
      <c r="F19" s="4"/>
      <c r="G19" s="4"/>
    </row>
    <row r="20" spans="1:7" x14ac:dyDescent="0.3">
      <c r="A20">
        <v>3.1</v>
      </c>
      <c r="B20" t="s">
        <v>23</v>
      </c>
      <c r="C20" t="s">
        <v>3</v>
      </c>
      <c r="D20" s="5">
        <v>0</v>
      </c>
    </row>
    <row r="21" spans="1:7" x14ac:dyDescent="0.3">
      <c r="A21">
        <v>3.2</v>
      </c>
      <c r="B21" t="s">
        <v>24</v>
      </c>
      <c r="C21" t="s">
        <v>3</v>
      </c>
      <c r="D21" s="5">
        <v>0</v>
      </c>
    </row>
    <row r="22" spans="1:7" x14ac:dyDescent="0.3">
      <c r="A22">
        <v>3.3</v>
      </c>
      <c r="B22" t="s">
        <v>25</v>
      </c>
      <c r="C22" t="s">
        <v>3</v>
      </c>
      <c r="D22" s="5">
        <v>0</v>
      </c>
    </row>
    <row r="23" spans="1:7" x14ac:dyDescent="0.3">
      <c r="A23">
        <v>3.4</v>
      </c>
      <c r="B23" t="s">
        <v>26</v>
      </c>
      <c r="C23" t="s">
        <v>3</v>
      </c>
      <c r="D23" s="5">
        <v>0</v>
      </c>
    </row>
    <row r="24" spans="1:7" x14ac:dyDescent="0.3">
      <c r="A24">
        <v>3.5</v>
      </c>
      <c r="B24" t="s">
        <v>27</v>
      </c>
      <c r="C24" t="s">
        <v>3</v>
      </c>
      <c r="D24" s="5">
        <v>0</v>
      </c>
    </row>
    <row r="25" spans="1:7" x14ac:dyDescent="0.3">
      <c r="A25">
        <v>3.6</v>
      </c>
      <c r="B25" t="s">
        <v>28</v>
      </c>
      <c r="C25" t="s">
        <v>3</v>
      </c>
      <c r="D25" s="5">
        <v>0</v>
      </c>
    </row>
    <row r="26" spans="1:7" x14ac:dyDescent="0.3">
      <c r="A26">
        <v>3.7</v>
      </c>
      <c r="B26" t="s">
        <v>29</v>
      </c>
      <c r="C26" t="s">
        <v>3</v>
      </c>
      <c r="D26" s="5">
        <v>0</v>
      </c>
    </row>
    <row r="27" spans="1:7" x14ac:dyDescent="0.3">
      <c r="A27" s="4">
        <v>4</v>
      </c>
      <c r="B27" s="4" t="s">
        <v>30</v>
      </c>
      <c r="C27" s="4"/>
      <c r="D27" s="6"/>
      <c r="E27" s="4"/>
      <c r="F27" s="4"/>
      <c r="G27" s="4"/>
    </row>
    <row r="28" spans="1:7" x14ac:dyDescent="0.3">
      <c r="A28">
        <v>4.0999999999999996</v>
      </c>
      <c r="B28" t="s">
        <v>31</v>
      </c>
      <c r="C28" t="s">
        <v>3</v>
      </c>
      <c r="D28" s="5">
        <v>0</v>
      </c>
    </row>
    <row r="29" spans="1:7" x14ac:dyDescent="0.3">
      <c r="A29">
        <v>4.2</v>
      </c>
      <c r="B29" t="s">
        <v>32</v>
      </c>
      <c r="C29" t="s">
        <v>3</v>
      </c>
      <c r="D29" s="5">
        <v>0</v>
      </c>
    </row>
    <row r="30" spans="1:7" x14ac:dyDescent="0.3">
      <c r="A30">
        <v>4.3</v>
      </c>
      <c r="B30" t="s">
        <v>33</v>
      </c>
      <c r="C30" t="s">
        <v>34</v>
      </c>
      <c r="D30" s="5"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>
        <v>1</v>
      </c>
      <c r="B33" t="s">
        <v>10</v>
      </c>
      <c r="C33" t="s">
        <v>3</v>
      </c>
      <c r="D33" s="5">
        <v>0</v>
      </c>
      <c r="E33">
        <v>0</v>
      </c>
      <c r="F33">
        <v>0</v>
      </c>
    </row>
    <row r="34" spans="1:7" x14ac:dyDescent="0.3">
      <c r="A34">
        <v>1.1000000000000001</v>
      </c>
      <c r="B34" t="s">
        <v>11</v>
      </c>
      <c r="C34" t="s">
        <v>12</v>
      </c>
      <c r="D34" s="5">
        <v>0</v>
      </c>
      <c r="E34">
        <v>0</v>
      </c>
      <c r="F34">
        <v>0</v>
      </c>
    </row>
    <row r="35" spans="1:7" x14ac:dyDescent="0.3">
      <c r="A35">
        <v>1.2</v>
      </c>
      <c r="B35" t="s">
        <v>13</v>
      </c>
      <c r="C35" t="s">
        <v>14</v>
      </c>
      <c r="D35" s="5">
        <v>0</v>
      </c>
    </row>
    <row r="36" spans="1:7" x14ac:dyDescent="0.3">
      <c r="A36" s="4">
        <v>2</v>
      </c>
      <c r="B36" s="4" t="s">
        <v>15</v>
      </c>
      <c r="C36" s="4"/>
      <c r="D36" s="6"/>
      <c r="E36" s="4"/>
      <c r="F36" s="4"/>
      <c r="G36" s="4"/>
    </row>
    <row r="37" spans="1:7" x14ac:dyDescent="0.3">
      <c r="A37">
        <v>2.1</v>
      </c>
      <c r="B37" t="s">
        <v>16</v>
      </c>
      <c r="C37" t="s">
        <v>3</v>
      </c>
      <c r="D37" s="5">
        <v>0</v>
      </c>
    </row>
    <row r="38" spans="1:7" x14ac:dyDescent="0.3">
      <c r="A38">
        <v>2.2000000000000002</v>
      </c>
      <c r="B38" t="s">
        <v>17</v>
      </c>
      <c r="C38" t="s">
        <v>3</v>
      </c>
      <c r="D38" s="5">
        <v>0</v>
      </c>
    </row>
    <row r="39" spans="1:7" x14ac:dyDescent="0.3">
      <c r="A39">
        <v>2.2999999999999998</v>
      </c>
      <c r="B39" t="s">
        <v>18</v>
      </c>
      <c r="C39" t="s">
        <v>3</v>
      </c>
      <c r="D39" s="5">
        <v>0</v>
      </c>
    </row>
    <row r="40" spans="1:7" x14ac:dyDescent="0.3">
      <c r="A40">
        <v>2.4</v>
      </c>
      <c r="B40" t="s">
        <v>19</v>
      </c>
      <c r="C40" t="s">
        <v>3</v>
      </c>
      <c r="D40" s="5">
        <v>0</v>
      </c>
    </row>
    <row r="41" spans="1:7" x14ac:dyDescent="0.3">
      <c r="A41">
        <v>2.5</v>
      </c>
      <c r="B41" t="s">
        <v>20</v>
      </c>
      <c r="C41" t="s">
        <v>3</v>
      </c>
      <c r="D41" s="5">
        <v>0</v>
      </c>
    </row>
    <row r="42" spans="1:7" x14ac:dyDescent="0.3">
      <c r="A42">
        <v>2.6</v>
      </c>
      <c r="B42" t="s">
        <v>21</v>
      </c>
      <c r="C42" t="s">
        <v>3</v>
      </c>
      <c r="D42" s="5">
        <v>0</v>
      </c>
    </row>
    <row r="43" spans="1:7" x14ac:dyDescent="0.3">
      <c r="A43" s="4">
        <v>3</v>
      </c>
      <c r="B43" s="4" t="s">
        <v>22</v>
      </c>
      <c r="C43" s="4"/>
      <c r="D43" s="6"/>
      <c r="E43" s="4"/>
      <c r="F43" s="4"/>
      <c r="G43" s="4"/>
    </row>
    <row r="44" spans="1:7" x14ac:dyDescent="0.3">
      <c r="A44">
        <v>3.1</v>
      </c>
      <c r="B44" t="s">
        <v>23</v>
      </c>
      <c r="C44" t="s">
        <v>3</v>
      </c>
      <c r="D44" s="5">
        <v>0</v>
      </c>
    </row>
    <row r="45" spans="1:7" x14ac:dyDescent="0.3">
      <c r="A45">
        <v>3.2</v>
      </c>
      <c r="B45" t="s">
        <v>24</v>
      </c>
      <c r="C45" t="s">
        <v>3</v>
      </c>
      <c r="D45" s="5">
        <v>0</v>
      </c>
    </row>
    <row r="46" spans="1:7" x14ac:dyDescent="0.3">
      <c r="A46">
        <v>3.3</v>
      </c>
      <c r="B46" t="s">
        <v>25</v>
      </c>
      <c r="C46" t="s">
        <v>3</v>
      </c>
      <c r="D46" s="5">
        <v>0</v>
      </c>
    </row>
    <row r="47" spans="1:7" x14ac:dyDescent="0.3">
      <c r="A47">
        <v>3.4</v>
      </c>
      <c r="B47" t="s">
        <v>26</v>
      </c>
      <c r="C47" t="s">
        <v>3</v>
      </c>
      <c r="D47" s="5">
        <v>0</v>
      </c>
    </row>
    <row r="48" spans="1:7" x14ac:dyDescent="0.3">
      <c r="A48">
        <v>3.5</v>
      </c>
      <c r="B48" t="s">
        <v>27</v>
      </c>
      <c r="C48" t="s">
        <v>3</v>
      </c>
      <c r="D48" s="5">
        <v>0</v>
      </c>
    </row>
    <row r="49" spans="1:7" x14ac:dyDescent="0.3">
      <c r="A49">
        <v>3.6</v>
      </c>
      <c r="B49" t="s">
        <v>28</v>
      </c>
      <c r="C49" t="s">
        <v>3</v>
      </c>
      <c r="D49" s="5">
        <v>0</v>
      </c>
    </row>
    <row r="50" spans="1:7" x14ac:dyDescent="0.3">
      <c r="A50">
        <v>3.7</v>
      </c>
      <c r="B50" t="s">
        <v>29</v>
      </c>
      <c r="C50" t="s">
        <v>3</v>
      </c>
      <c r="D50" s="5">
        <v>0</v>
      </c>
    </row>
    <row r="51" spans="1:7" x14ac:dyDescent="0.3">
      <c r="A51" s="4">
        <v>4</v>
      </c>
      <c r="B51" s="4" t="s">
        <v>30</v>
      </c>
      <c r="C51" s="4"/>
      <c r="D51" s="6"/>
      <c r="E51" s="4"/>
      <c r="F51" s="4"/>
      <c r="G51" s="4"/>
    </row>
    <row r="52" spans="1:7" x14ac:dyDescent="0.3">
      <c r="A52">
        <v>4.0999999999999996</v>
      </c>
      <c r="B52" t="s">
        <v>31</v>
      </c>
      <c r="C52" t="s">
        <v>3</v>
      </c>
      <c r="D52" s="5">
        <v>0</v>
      </c>
    </row>
    <row r="53" spans="1:7" x14ac:dyDescent="0.3">
      <c r="A53">
        <v>4.2</v>
      </c>
      <c r="B53" t="s">
        <v>32</v>
      </c>
      <c r="C53" t="s">
        <v>3</v>
      </c>
      <c r="D53" s="5">
        <v>0</v>
      </c>
    </row>
    <row r="54" spans="1:7" x14ac:dyDescent="0.3">
      <c r="A54">
        <v>4.3</v>
      </c>
      <c r="B54" t="s">
        <v>33</v>
      </c>
      <c r="C54" t="s">
        <v>34</v>
      </c>
      <c r="D54" s="5"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>
        <v>1</v>
      </c>
      <c r="B57" t="s">
        <v>10</v>
      </c>
      <c r="C57" t="s">
        <v>3</v>
      </c>
      <c r="D57" s="5">
        <v>0</v>
      </c>
      <c r="E57">
        <v>0</v>
      </c>
      <c r="F57">
        <v>0</v>
      </c>
    </row>
    <row r="58" spans="1:7" x14ac:dyDescent="0.3">
      <c r="A58">
        <v>1.1000000000000001</v>
      </c>
      <c r="B58" t="s">
        <v>11</v>
      </c>
      <c r="C58" t="s">
        <v>12</v>
      </c>
      <c r="D58" s="5">
        <v>0</v>
      </c>
      <c r="E58">
        <v>0</v>
      </c>
      <c r="F58">
        <v>0</v>
      </c>
    </row>
    <row r="59" spans="1:7" x14ac:dyDescent="0.3">
      <c r="A59">
        <v>1.2</v>
      </c>
      <c r="B59" t="s">
        <v>13</v>
      </c>
      <c r="C59" t="s">
        <v>14</v>
      </c>
      <c r="D59" s="5">
        <v>0</v>
      </c>
    </row>
    <row r="60" spans="1:7" x14ac:dyDescent="0.3">
      <c r="A60" s="4">
        <v>2</v>
      </c>
      <c r="B60" s="4" t="s">
        <v>15</v>
      </c>
      <c r="C60" s="4"/>
      <c r="D60" s="6"/>
      <c r="E60" s="4"/>
      <c r="F60" s="4"/>
      <c r="G60" s="4"/>
    </row>
    <row r="61" spans="1:7" x14ac:dyDescent="0.3">
      <c r="A61">
        <v>2.1</v>
      </c>
      <c r="B61" t="s">
        <v>16</v>
      </c>
      <c r="C61" t="s">
        <v>3</v>
      </c>
      <c r="D61" s="5">
        <v>0</v>
      </c>
    </row>
    <row r="62" spans="1:7" x14ac:dyDescent="0.3">
      <c r="A62">
        <v>2.2000000000000002</v>
      </c>
      <c r="B62" t="s">
        <v>17</v>
      </c>
      <c r="C62" t="s">
        <v>3</v>
      </c>
      <c r="D62" s="5">
        <v>0</v>
      </c>
    </row>
    <row r="63" spans="1:7" x14ac:dyDescent="0.3">
      <c r="A63">
        <v>2.2999999999999998</v>
      </c>
      <c r="B63" t="s">
        <v>18</v>
      </c>
      <c r="C63" t="s">
        <v>3</v>
      </c>
      <c r="D63" s="5">
        <v>0</v>
      </c>
    </row>
    <row r="64" spans="1:7" x14ac:dyDescent="0.3">
      <c r="A64">
        <v>2.4</v>
      </c>
      <c r="B64" t="s">
        <v>19</v>
      </c>
      <c r="C64" t="s">
        <v>3</v>
      </c>
      <c r="D64" s="5">
        <v>0</v>
      </c>
    </row>
    <row r="65" spans="1:7" x14ac:dyDescent="0.3">
      <c r="A65">
        <v>2.5</v>
      </c>
      <c r="B65" t="s">
        <v>20</v>
      </c>
      <c r="C65" t="s">
        <v>3</v>
      </c>
      <c r="D65" s="5">
        <v>0</v>
      </c>
    </row>
    <row r="66" spans="1:7" x14ac:dyDescent="0.3">
      <c r="A66">
        <v>2.6</v>
      </c>
      <c r="B66" t="s">
        <v>21</v>
      </c>
      <c r="C66" t="s">
        <v>3</v>
      </c>
      <c r="D66" s="5">
        <v>0</v>
      </c>
    </row>
    <row r="67" spans="1:7" x14ac:dyDescent="0.3">
      <c r="A67" s="4">
        <v>3</v>
      </c>
      <c r="B67" s="4" t="s">
        <v>22</v>
      </c>
      <c r="C67" s="4"/>
      <c r="D67" s="6"/>
      <c r="E67" s="4"/>
      <c r="F67" s="4"/>
      <c r="G67" s="4"/>
    </row>
    <row r="68" spans="1:7" x14ac:dyDescent="0.3">
      <c r="A68">
        <v>3.1</v>
      </c>
      <c r="B68" t="s">
        <v>23</v>
      </c>
      <c r="C68" t="s">
        <v>3</v>
      </c>
      <c r="D68" s="5">
        <v>0</v>
      </c>
    </row>
    <row r="69" spans="1:7" x14ac:dyDescent="0.3">
      <c r="A69">
        <v>3.2</v>
      </c>
      <c r="B69" t="s">
        <v>24</v>
      </c>
      <c r="C69" t="s">
        <v>3</v>
      </c>
      <c r="D69" s="5">
        <v>0</v>
      </c>
    </row>
    <row r="70" spans="1:7" x14ac:dyDescent="0.3">
      <c r="A70">
        <v>3.3</v>
      </c>
      <c r="B70" t="s">
        <v>25</v>
      </c>
      <c r="C70" t="s">
        <v>3</v>
      </c>
      <c r="D70" s="5">
        <v>0</v>
      </c>
    </row>
    <row r="71" spans="1:7" x14ac:dyDescent="0.3">
      <c r="A71">
        <v>3.4</v>
      </c>
      <c r="B71" t="s">
        <v>26</v>
      </c>
      <c r="C71" t="s">
        <v>3</v>
      </c>
      <c r="D71" s="5">
        <v>0</v>
      </c>
    </row>
    <row r="72" spans="1:7" x14ac:dyDescent="0.3">
      <c r="A72">
        <v>3.5</v>
      </c>
      <c r="B72" t="s">
        <v>27</v>
      </c>
      <c r="C72" t="s">
        <v>3</v>
      </c>
      <c r="D72" s="5">
        <v>0</v>
      </c>
    </row>
    <row r="73" spans="1:7" x14ac:dyDescent="0.3">
      <c r="A73">
        <v>3.6</v>
      </c>
      <c r="B73" t="s">
        <v>28</v>
      </c>
      <c r="C73" t="s">
        <v>3</v>
      </c>
      <c r="D73" s="5">
        <v>0</v>
      </c>
    </row>
    <row r="74" spans="1:7" x14ac:dyDescent="0.3">
      <c r="A74">
        <v>3.7</v>
      </c>
      <c r="B74" t="s">
        <v>29</v>
      </c>
      <c r="C74" t="s">
        <v>3</v>
      </c>
      <c r="D74" s="5">
        <v>0</v>
      </c>
    </row>
    <row r="75" spans="1:7" x14ac:dyDescent="0.3">
      <c r="A75" s="4">
        <v>4</v>
      </c>
      <c r="B75" s="4" t="s">
        <v>30</v>
      </c>
      <c r="C75" s="4"/>
      <c r="D75" s="6"/>
      <c r="E75" s="4"/>
      <c r="F75" s="4"/>
      <c r="G75" s="4"/>
    </row>
    <row r="76" spans="1:7" x14ac:dyDescent="0.3">
      <c r="A76">
        <v>4.0999999999999996</v>
      </c>
      <c r="B76" t="s">
        <v>31</v>
      </c>
      <c r="C76" t="s">
        <v>3</v>
      </c>
      <c r="D76" s="5">
        <v>0</v>
      </c>
    </row>
    <row r="77" spans="1:7" x14ac:dyDescent="0.3">
      <c r="A77">
        <v>4.2</v>
      </c>
      <c r="B77" t="s">
        <v>32</v>
      </c>
      <c r="C77" t="s">
        <v>3</v>
      </c>
      <c r="D77" s="5">
        <v>0</v>
      </c>
    </row>
    <row r="78" spans="1:7" x14ac:dyDescent="0.3">
      <c r="A78">
        <v>4.3</v>
      </c>
      <c r="B78" t="s">
        <v>33</v>
      </c>
      <c r="C78" t="s">
        <v>34</v>
      </c>
      <c r="D78" s="5"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>
        <v>1</v>
      </c>
      <c r="B81" t="s">
        <v>10</v>
      </c>
      <c r="C81" t="s">
        <v>3</v>
      </c>
      <c r="D81" s="5">
        <v>0</v>
      </c>
      <c r="E81">
        <v>0</v>
      </c>
      <c r="F81">
        <v>0</v>
      </c>
    </row>
    <row r="82" spans="1:7" x14ac:dyDescent="0.3">
      <c r="A82">
        <v>1.1000000000000001</v>
      </c>
      <c r="B82" t="s">
        <v>11</v>
      </c>
      <c r="C82" t="s">
        <v>12</v>
      </c>
      <c r="D82" s="5">
        <v>0</v>
      </c>
      <c r="E82">
        <v>0</v>
      </c>
      <c r="F82">
        <v>0</v>
      </c>
    </row>
    <row r="83" spans="1:7" x14ac:dyDescent="0.3">
      <c r="A83">
        <v>1.2</v>
      </c>
      <c r="B83" t="s">
        <v>13</v>
      </c>
      <c r="C83" t="s">
        <v>14</v>
      </c>
      <c r="D83" s="5">
        <v>0</v>
      </c>
    </row>
    <row r="84" spans="1:7" x14ac:dyDescent="0.3">
      <c r="A84" s="4">
        <v>2</v>
      </c>
      <c r="B84" s="4" t="s">
        <v>15</v>
      </c>
      <c r="C84" s="4"/>
      <c r="D84" s="6"/>
      <c r="E84" s="4"/>
      <c r="F84" s="4"/>
      <c r="G84" s="4"/>
    </row>
    <row r="85" spans="1:7" x14ac:dyDescent="0.3">
      <c r="A85">
        <v>2.1</v>
      </c>
      <c r="B85" t="s">
        <v>16</v>
      </c>
      <c r="C85" t="s">
        <v>3</v>
      </c>
      <c r="D85" s="5">
        <v>0</v>
      </c>
    </row>
    <row r="86" spans="1:7" x14ac:dyDescent="0.3">
      <c r="A86">
        <v>2.2000000000000002</v>
      </c>
      <c r="B86" t="s">
        <v>17</v>
      </c>
      <c r="C86" t="s">
        <v>3</v>
      </c>
      <c r="D86" s="5">
        <v>0</v>
      </c>
    </row>
    <row r="87" spans="1:7" x14ac:dyDescent="0.3">
      <c r="A87">
        <v>2.2999999999999998</v>
      </c>
      <c r="B87" t="s">
        <v>18</v>
      </c>
      <c r="C87" t="s">
        <v>3</v>
      </c>
      <c r="D87" s="5">
        <v>0</v>
      </c>
    </row>
    <row r="88" spans="1:7" x14ac:dyDescent="0.3">
      <c r="A88">
        <v>2.4</v>
      </c>
      <c r="B88" t="s">
        <v>19</v>
      </c>
      <c r="C88" t="s">
        <v>3</v>
      </c>
      <c r="D88" s="5">
        <v>0</v>
      </c>
    </row>
    <row r="89" spans="1:7" x14ac:dyDescent="0.3">
      <c r="A89">
        <v>2.5</v>
      </c>
      <c r="B89" t="s">
        <v>20</v>
      </c>
      <c r="C89" t="s">
        <v>3</v>
      </c>
      <c r="D89" s="5">
        <v>0</v>
      </c>
    </row>
    <row r="90" spans="1:7" x14ac:dyDescent="0.3">
      <c r="A90">
        <v>2.6</v>
      </c>
      <c r="B90" t="s">
        <v>21</v>
      </c>
      <c r="C90" t="s">
        <v>3</v>
      </c>
      <c r="D90" s="5">
        <v>0</v>
      </c>
    </row>
    <row r="91" spans="1:7" x14ac:dyDescent="0.3">
      <c r="A91" s="4">
        <v>3</v>
      </c>
      <c r="B91" s="4" t="s">
        <v>22</v>
      </c>
      <c r="C91" s="4"/>
      <c r="D91" s="6"/>
      <c r="E91" s="4"/>
      <c r="F91" s="4"/>
      <c r="G91" s="4"/>
    </row>
    <row r="92" spans="1:7" x14ac:dyDescent="0.3">
      <c r="A92">
        <v>3.1</v>
      </c>
      <c r="B92" t="s">
        <v>23</v>
      </c>
      <c r="C92" t="s">
        <v>3</v>
      </c>
      <c r="D92" s="5">
        <v>0</v>
      </c>
    </row>
    <row r="93" spans="1:7" x14ac:dyDescent="0.3">
      <c r="A93">
        <v>3.2</v>
      </c>
      <c r="B93" t="s">
        <v>24</v>
      </c>
      <c r="C93" t="s">
        <v>3</v>
      </c>
      <c r="D93" s="5">
        <v>0</v>
      </c>
    </row>
    <row r="94" spans="1:7" x14ac:dyDescent="0.3">
      <c r="A94">
        <v>3.3</v>
      </c>
      <c r="B94" t="s">
        <v>25</v>
      </c>
      <c r="C94" t="s">
        <v>3</v>
      </c>
      <c r="D94" s="5">
        <v>0</v>
      </c>
    </row>
    <row r="95" spans="1:7" x14ac:dyDescent="0.3">
      <c r="A95">
        <v>3.4</v>
      </c>
      <c r="B95" t="s">
        <v>26</v>
      </c>
      <c r="C95" t="s">
        <v>3</v>
      </c>
      <c r="D95" s="5">
        <v>0</v>
      </c>
    </row>
    <row r="96" spans="1:7" x14ac:dyDescent="0.3">
      <c r="A96">
        <v>3.5</v>
      </c>
      <c r="B96" t="s">
        <v>27</v>
      </c>
      <c r="C96" t="s">
        <v>3</v>
      </c>
      <c r="D96" s="5">
        <v>0</v>
      </c>
    </row>
    <row r="97" spans="1:7" x14ac:dyDescent="0.3">
      <c r="A97">
        <v>3.6</v>
      </c>
      <c r="B97" t="s">
        <v>28</v>
      </c>
      <c r="C97" t="s">
        <v>3</v>
      </c>
      <c r="D97" s="5">
        <v>0</v>
      </c>
    </row>
    <row r="98" spans="1:7" x14ac:dyDescent="0.3">
      <c r="A98">
        <v>3.7</v>
      </c>
      <c r="B98" t="s">
        <v>29</v>
      </c>
      <c r="C98" t="s">
        <v>3</v>
      </c>
      <c r="D98" s="5">
        <v>0</v>
      </c>
    </row>
    <row r="99" spans="1:7" x14ac:dyDescent="0.3">
      <c r="A99" s="4">
        <v>4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>
        <v>4.0999999999999996</v>
      </c>
      <c r="B100" t="s">
        <v>31</v>
      </c>
      <c r="C100" t="s">
        <v>3</v>
      </c>
      <c r="D100" s="5">
        <v>0</v>
      </c>
    </row>
    <row r="101" spans="1:7" x14ac:dyDescent="0.3">
      <c r="A101">
        <v>4.2</v>
      </c>
      <c r="B101" t="s">
        <v>32</v>
      </c>
      <c r="C101" t="s">
        <v>3</v>
      </c>
      <c r="D101" s="5">
        <v>0</v>
      </c>
    </row>
    <row r="102" spans="1:7" x14ac:dyDescent="0.3">
      <c r="A102">
        <v>4.3</v>
      </c>
      <c r="B102" t="s">
        <v>33</v>
      </c>
      <c r="C102" t="s">
        <v>34</v>
      </c>
      <c r="D102" s="5"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>
        <v>1</v>
      </c>
      <c r="B105" t="s">
        <v>10</v>
      </c>
      <c r="C105" t="s">
        <v>3</v>
      </c>
      <c r="D105" s="5">
        <v>0</v>
      </c>
      <c r="E105">
        <v>0</v>
      </c>
      <c r="F105">
        <v>0</v>
      </c>
    </row>
    <row r="106" spans="1:7" x14ac:dyDescent="0.3">
      <c r="A106">
        <v>1.1000000000000001</v>
      </c>
      <c r="B106" t="s">
        <v>11</v>
      </c>
      <c r="C106" t="s">
        <v>12</v>
      </c>
      <c r="D106" s="5">
        <v>0</v>
      </c>
      <c r="E106">
        <v>0</v>
      </c>
      <c r="F106">
        <v>0</v>
      </c>
    </row>
    <row r="107" spans="1:7" x14ac:dyDescent="0.3">
      <c r="A107">
        <v>1.2</v>
      </c>
      <c r="B107" t="s">
        <v>13</v>
      </c>
      <c r="C107" t="s">
        <v>14</v>
      </c>
      <c r="D107" s="5">
        <v>0</v>
      </c>
    </row>
    <row r="108" spans="1:7" x14ac:dyDescent="0.3">
      <c r="A108" s="4">
        <v>2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>
        <v>2.1</v>
      </c>
      <c r="B109" t="s">
        <v>16</v>
      </c>
      <c r="C109" t="s">
        <v>3</v>
      </c>
      <c r="D109" s="5">
        <v>0</v>
      </c>
    </row>
    <row r="110" spans="1:7" x14ac:dyDescent="0.3">
      <c r="A110">
        <v>2.2000000000000002</v>
      </c>
      <c r="B110" t="s">
        <v>17</v>
      </c>
      <c r="C110" t="s">
        <v>3</v>
      </c>
      <c r="D110" s="5">
        <v>0</v>
      </c>
    </row>
    <row r="111" spans="1:7" x14ac:dyDescent="0.3">
      <c r="A111">
        <v>2.2999999999999998</v>
      </c>
      <c r="B111" t="s">
        <v>18</v>
      </c>
      <c r="C111" t="s">
        <v>3</v>
      </c>
      <c r="D111" s="5">
        <v>0</v>
      </c>
    </row>
    <row r="112" spans="1:7" x14ac:dyDescent="0.3">
      <c r="A112">
        <v>2.4</v>
      </c>
      <c r="B112" t="s">
        <v>19</v>
      </c>
      <c r="C112" t="s">
        <v>3</v>
      </c>
      <c r="D112" s="5">
        <v>0</v>
      </c>
    </row>
    <row r="113" spans="1:7" x14ac:dyDescent="0.3">
      <c r="A113">
        <v>2.5</v>
      </c>
      <c r="B113" t="s">
        <v>20</v>
      </c>
      <c r="C113" t="s">
        <v>3</v>
      </c>
      <c r="D113" s="5">
        <v>0</v>
      </c>
    </row>
    <row r="114" spans="1:7" x14ac:dyDescent="0.3">
      <c r="A114">
        <v>2.6</v>
      </c>
      <c r="B114" t="s">
        <v>21</v>
      </c>
      <c r="C114" t="s">
        <v>3</v>
      </c>
      <c r="D114" s="5">
        <v>0</v>
      </c>
    </row>
    <row r="115" spans="1:7" x14ac:dyDescent="0.3">
      <c r="A115" s="4">
        <v>3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>
        <v>3.1</v>
      </c>
      <c r="B116" t="s">
        <v>23</v>
      </c>
      <c r="C116" t="s">
        <v>3</v>
      </c>
      <c r="D116" s="5">
        <v>0</v>
      </c>
    </row>
    <row r="117" spans="1:7" x14ac:dyDescent="0.3">
      <c r="A117">
        <v>3.2</v>
      </c>
      <c r="B117" t="s">
        <v>24</v>
      </c>
      <c r="C117" t="s">
        <v>3</v>
      </c>
      <c r="D117" s="5">
        <v>0</v>
      </c>
    </row>
    <row r="118" spans="1:7" x14ac:dyDescent="0.3">
      <c r="A118">
        <v>3.3</v>
      </c>
      <c r="B118" t="s">
        <v>25</v>
      </c>
      <c r="C118" t="s">
        <v>3</v>
      </c>
      <c r="D118" s="5">
        <v>0</v>
      </c>
    </row>
    <row r="119" spans="1:7" x14ac:dyDescent="0.3">
      <c r="A119">
        <v>3.4</v>
      </c>
      <c r="B119" t="s">
        <v>26</v>
      </c>
      <c r="C119" t="s">
        <v>3</v>
      </c>
      <c r="D119" s="5">
        <v>0</v>
      </c>
    </row>
    <row r="120" spans="1:7" x14ac:dyDescent="0.3">
      <c r="A120">
        <v>3.5</v>
      </c>
      <c r="B120" t="s">
        <v>27</v>
      </c>
      <c r="C120" t="s">
        <v>3</v>
      </c>
      <c r="D120" s="5">
        <v>0</v>
      </c>
    </row>
    <row r="121" spans="1:7" x14ac:dyDescent="0.3">
      <c r="A121">
        <v>3.6</v>
      </c>
      <c r="B121" t="s">
        <v>28</v>
      </c>
      <c r="C121" t="s">
        <v>3</v>
      </c>
      <c r="D121" s="5">
        <v>0</v>
      </c>
    </row>
    <row r="122" spans="1:7" x14ac:dyDescent="0.3">
      <c r="A122">
        <v>3.7</v>
      </c>
      <c r="B122" t="s">
        <v>29</v>
      </c>
      <c r="C122" t="s">
        <v>3</v>
      </c>
      <c r="D122" s="5">
        <v>0</v>
      </c>
    </row>
    <row r="123" spans="1:7" x14ac:dyDescent="0.3">
      <c r="A123" s="4">
        <v>4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>
        <v>4.0999999999999996</v>
      </c>
      <c r="B124" t="s">
        <v>31</v>
      </c>
      <c r="C124" t="s">
        <v>3</v>
      </c>
      <c r="D124" s="5">
        <v>0</v>
      </c>
    </row>
    <row r="125" spans="1:7" x14ac:dyDescent="0.3">
      <c r="A125">
        <v>4.2</v>
      </c>
      <c r="B125" t="s">
        <v>32</v>
      </c>
      <c r="C125" t="s">
        <v>3</v>
      </c>
      <c r="D125" s="5">
        <v>0</v>
      </c>
    </row>
    <row r="126" spans="1:7" x14ac:dyDescent="0.3">
      <c r="A126">
        <v>4.3</v>
      </c>
      <c r="B126" t="s">
        <v>33</v>
      </c>
      <c r="C126" t="s">
        <v>34</v>
      </c>
      <c r="D126" s="5"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>
        <v>1</v>
      </c>
      <c r="B129" t="s">
        <v>10</v>
      </c>
      <c r="C129" t="s">
        <v>3</v>
      </c>
      <c r="D129" s="5">
        <v>0</v>
      </c>
      <c r="E129">
        <v>0</v>
      </c>
      <c r="F129">
        <v>0</v>
      </c>
    </row>
    <row r="130" spans="1:7" x14ac:dyDescent="0.3">
      <c r="A130">
        <v>1.1000000000000001</v>
      </c>
      <c r="B130" t="s">
        <v>11</v>
      </c>
      <c r="C130" t="s">
        <v>12</v>
      </c>
      <c r="D130" s="5">
        <v>2119.75</v>
      </c>
      <c r="E130">
        <v>2119.75</v>
      </c>
      <c r="F130">
        <v>2119.75</v>
      </c>
    </row>
    <row r="131" spans="1:7" x14ac:dyDescent="0.3">
      <c r="A131">
        <v>1.2</v>
      </c>
      <c r="B131" t="s">
        <v>13</v>
      </c>
      <c r="C131" t="s">
        <v>14</v>
      </c>
      <c r="D131" s="5">
        <v>0</v>
      </c>
    </row>
    <row r="132" spans="1:7" x14ac:dyDescent="0.3">
      <c r="A132" s="4">
        <v>2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>
        <v>2.1</v>
      </c>
      <c r="B133" t="s">
        <v>16</v>
      </c>
      <c r="C133" t="s">
        <v>3</v>
      </c>
      <c r="D133" s="5">
        <v>0</v>
      </c>
    </row>
    <row r="134" spans="1:7" x14ac:dyDescent="0.3">
      <c r="A134">
        <v>2.2000000000000002</v>
      </c>
      <c r="B134" t="s">
        <v>17</v>
      </c>
      <c r="C134" t="s">
        <v>3</v>
      </c>
      <c r="D134" s="5">
        <v>0</v>
      </c>
    </row>
    <row r="135" spans="1:7" x14ac:dyDescent="0.3">
      <c r="A135">
        <v>2.2999999999999998</v>
      </c>
      <c r="B135" t="s">
        <v>18</v>
      </c>
      <c r="C135" t="s">
        <v>3</v>
      </c>
      <c r="D135" s="5">
        <v>0</v>
      </c>
    </row>
    <row r="136" spans="1:7" x14ac:dyDescent="0.3">
      <c r="A136">
        <v>2.4</v>
      </c>
      <c r="B136" t="s">
        <v>19</v>
      </c>
      <c r="C136" t="s">
        <v>3</v>
      </c>
      <c r="D136" s="5">
        <v>0</v>
      </c>
    </row>
    <row r="137" spans="1:7" x14ac:dyDescent="0.3">
      <c r="A137">
        <v>2.5</v>
      </c>
      <c r="B137" t="s">
        <v>20</v>
      </c>
      <c r="C137" t="s">
        <v>3</v>
      </c>
      <c r="D137" s="5">
        <v>0</v>
      </c>
    </row>
    <row r="138" spans="1:7" x14ac:dyDescent="0.3">
      <c r="A138">
        <v>2.6</v>
      </c>
      <c r="B138" t="s">
        <v>21</v>
      </c>
      <c r="C138" t="s">
        <v>3</v>
      </c>
      <c r="D138" s="5">
        <v>0</v>
      </c>
    </row>
    <row r="139" spans="1:7" x14ac:dyDescent="0.3">
      <c r="A139" s="4">
        <v>3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>
        <v>3.1</v>
      </c>
      <c r="B140" t="s">
        <v>23</v>
      </c>
      <c r="C140" t="s">
        <v>3</v>
      </c>
      <c r="D140" s="5">
        <v>17</v>
      </c>
      <c r="E140">
        <v>17</v>
      </c>
      <c r="F140">
        <v>17</v>
      </c>
    </row>
    <row r="141" spans="1:7" x14ac:dyDescent="0.3">
      <c r="A141">
        <v>3.2</v>
      </c>
      <c r="B141" t="s">
        <v>24</v>
      </c>
      <c r="C141" t="s">
        <v>3</v>
      </c>
      <c r="D141" s="5">
        <v>4</v>
      </c>
    </row>
    <row r="142" spans="1:7" x14ac:dyDescent="0.3">
      <c r="A142">
        <v>3.3</v>
      </c>
      <c r="B142" t="s">
        <v>25</v>
      </c>
      <c r="C142" t="s">
        <v>3</v>
      </c>
      <c r="D142" s="5">
        <v>4</v>
      </c>
    </row>
    <row r="143" spans="1:7" x14ac:dyDescent="0.3">
      <c r="A143">
        <v>3.4</v>
      </c>
      <c r="B143" t="s">
        <v>26</v>
      </c>
      <c r="C143" t="s">
        <v>3</v>
      </c>
      <c r="D143" s="5">
        <v>20</v>
      </c>
    </row>
    <row r="144" spans="1:7" x14ac:dyDescent="0.3">
      <c r="A144">
        <v>3.5</v>
      </c>
      <c r="B144" t="s">
        <v>27</v>
      </c>
      <c r="C144" t="s">
        <v>3</v>
      </c>
      <c r="D144" s="5">
        <v>4</v>
      </c>
    </row>
    <row r="145" spans="1:7" x14ac:dyDescent="0.3">
      <c r="A145">
        <v>3.6</v>
      </c>
      <c r="B145" t="s">
        <v>28</v>
      </c>
      <c r="C145" t="s">
        <v>3</v>
      </c>
      <c r="D145" s="5">
        <v>8</v>
      </c>
    </row>
    <row r="146" spans="1:7" x14ac:dyDescent="0.3">
      <c r="A146">
        <v>3.7</v>
      </c>
      <c r="B146" t="s">
        <v>29</v>
      </c>
      <c r="C146" t="s">
        <v>3</v>
      </c>
      <c r="D146" s="5">
        <v>1</v>
      </c>
    </row>
    <row r="147" spans="1:7" x14ac:dyDescent="0.3">
      <c r="A147" s="4">
        <v>4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>
        <v>4.0999999999999996</v>
      </c>
      <c r="B148" t="s">
        <v>31</v>
      </c>
      <c r="C148" t="s">
        <v>3</v>
      </c>
      <c r="D148" s="5">
        <v>0</v>
      </c>
    </row>
    <row r="149" spans="1:7" x14ac:dyDescent="0.3">
      <c r="A149">
        <v>4.2</v>
      </c>
      <c r="B149" t="s">
        <v>32</v>
      </c>
      <c r="C149" t="s">
        <v>3</v>
      </c>
      <c r="D149" s="5">
        <v>1</v>
      </c>
    </row>
    <row r="150" spans="1:7" x14ac:dyDescent="0.3">
      <c r="A150">
        <v>4.3</v>
      </c>
      <c r="B150" t="s">
        <v>33</v>
      </c>
      <c r="C150" t="s">
        <v>34</v>
      </c>
      <c r="D150" s="5">
        <v>1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>
        <v>1</v>
      </c>
      <c r="B153" t="s">
        <v>10</v>
      </c>
      <c r="C153" t="s">
        <v>3</v>
      </c>
      <c r="D153" s="5">
        <v>0</v>
      </c>
      <c r="E153">
        <v>0</v>
      </c>
      <c r="F153">
        <v>0</v>
      </c>
    </row>
    <row r="154" spans="1:7" x14ac:dyDescent="0.3">
      <c r="A154">
        <v>1.1000000000000001</v>
      </c>
      <c r="B154" t="s">
        <v>11</v>
      </c>
      <c r="C154" t="s">
        <v>12</v>
      </c>
      <c r="D154" s="5">
        <v>4827.75</v>
      </c>
      <c r="E154">
        <v>6947.5</v>
      </c>
      <c r="F154">
        <f>2119.75+4827.75</f>
        <v>6947.5</v>
      </c>
    </row>
    <row r="155" spans="1:7" x14ac:dyDescent="0.3">
      <c r="A155">
        <v>1.2</v>
      </c>
      <c r="B155" t="s">
        <v>13</v>
      </c>
      <c r="C155" t="s">
        <v>14</v>
      </c>
      <c r="D155" s="5">
        <v>8000</v>
      </c>
    </row>
    <row r="156" spans="1:7" x14ac:dyDescent="0.3">
      <c r="A156" s="4">
        <v>2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>
        <v>2.1</v>
      </c>
      <c r="B157" t="s">
        <v>16</v>
      </c>
      <c r="C157" t="s">
        <v>3</v>
      </c>
      <c r="D157" s="5">
        <v>0</v>
      </c>
    </row>
    <row r="158" spans="1:7" x14ac:dyDescent="0.3">
      <c r="A158">
        <v>2.2000000000000002</v>
      </c>
      <c r="B158" t="s">
        <v>17</v>
      </c>
      <c r="C158" t="s">
        <v>3</v>
      </c>
      <c r="D158" s="5">
        <v>0</v>
      </c>
    </row>
    <row r="159" spans="1:7" x14ac:dyDescent="0.3">
      <c r="A159">
        <v>2.2999999999999998</v>
      </c>
      <c r="B159" t="s">
        <v>18</v>
      </c>
      <c r="C159" t="s">
        <v>3</v>
      </c>
      <c r="D159" s="5">
        <v>0</v>
      </c>
    </row>
    <row r="160" spans="1:7" x14ac:dyDescent="0.3">
      <c r="A160">
        <v>2.4</v>
      </c>
      <c r="B160" t="s">
        <v>19</v>
      </c>
      <c r="C160" t="s">
        <v>3</v>
      </c>
      <c r="D160" s="5">
        <v>0</v>
      </c>
    </row>
    <row r="161" spans="1:7" x14ac:dyDescent="0.3">
      <c r="A161">
        <v>2.5</v>
      </c>
      <c r="B161" t="s">
        <v>20</v>
      </c>
      <c r="C161" t="s">
        <v>3</v>
      </c>
      <c r="D161" s="5">
        <v>0</v>
      </c>
    </row>
    <row r="162" spans="1:7" x14ac:dyDescent="0.3">
      <c r="A162">
        <v>2.6</v>
      </c>
      <c r="B162" t="s">
        <v>21</v>
      </c>
      <c r="C162" t="s">
        <v>3</v>
      </c>
      <c r="D162" s="5">
        <v>0</v>
      </c>
    </row>
    <row r="163" spans="1:7" x14ac:dyDescent="0.3">
      <c r="A163" s="4">
        <v>3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>
        <v>3.1</v>
      </c>
      <c r="B164" t="s">
        <v>23</v>
      </c>
      <c r="C164" t="s">
        <v>3</v>
      </c>
      <c r="D164" s="5">
        <f>33+8</f>
        <v>41</v>
      </c>
      <c r="E164">
        <f>16+41</f>
        <v>57</v>
      </c>
      <c r="F164">
        <v>57</v>
      </c>
    </row>
    <row r="165" spans="1:7" x14ac:dyDescent="0.3">
      <c r="A165">
        <v>3.2</v>
      </c>
      <c r="B165" t="s">
        <v>24</v>
      </c>
      <c r="C165" t="s">
        <v>3</v>
      </c>
      <c r="D165" s="5">
        <v>4</v>
      </c>
    </row>
    <row r="166" spans="1:7" x14ac:dyDescent="0.3">
      <c r="A166">
        <v>3.3</v>
      </c>
      <c r="B166" t="s">
        <v>25</v>
      </c>
      <c r="C166" t="s">
        <v>3</v>
      </c>
      <c r="D166" s="5">
        <v>4</v>
      </c>
    </row>
    <row r="167" spans="1:7" x14ac:dyDescent="0.3">
      <c r="A167">
        <v>3.4</v>
      </c>
      <c r="B167" t="s">
        <v>26</v>
      </c>
      <c r="C167" t="s">
        <v>3</v>
      </c>
      <c r="D167" s="5">
        <v>20</v>
      </c>
    </row>
    <row r="168" spans="1:7" x14ac:dyDescent="0.3">
      <c r="A168">
        <v>3.5</v>
      </c>
      <c r="B168" t="s">
        <v>27</v>
      </c>
      <c r="C168" t="s">
        <v>3</v>
      </c>
      <c r="D168" s="5">
        <v>4</v>
      </c>
    </row>
    <row r="169" spans="1:7" x14ac:dyDescent="0.3">
      <c r="A169">
        <v>3.6</v>
      </c>
      <c r="B169" t="s">
        <v>28</v>
      </c>
      <c r="C169" t="s">
        <v>3</v>
      </c>
      <c r="D169" s="5">
        <v>8</v>
      </c>
    </row>
    <row r="170" spans="1:7" x14ac:dyDescent="0.3">
      <c r="A170">
        <v>3.7</v>
      </c>
      <c r="B170" t="s">
        <v>29</v>
      </c>
      <c r="C170" t="s">
        <v>3</v>
      </c>
      <c r="D170" s="5">
        <v>1</v>
      </c>
    </row>
    <row r="171" spans="1:7" x14ac:dyDescent="0.3">
      <c r="A171" s="4">
        <v>4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>
        <v>4.0999999999999996</v>
      </c>
      <c r="B172" t="s">
        <v>31</v>
      </c>
      <c r="C172" t="s">
        <v>3</v>
      </c>
      <c r="D172" s="5">
        <v>0</v>
      </c>
    </row>
    <row r="173" spans="1:7" x14ac:dyDescent="0.3">
      <c r="A173">
        <v>4.2</v>
      </c>
      <c r="B173" t="s">
        <v>32</v>
      </c>
      <c r="C173" t="s">
        <v>3</v>
      </c>
      <c r="D173" s="5">
        <v>1</v>
      </c>
    </row>
    <row r="174" spans="1:7" x14ac:dyDescent="0.3">
      <c r="A174">
        <v>4.3</v>
      </c>
      <c r="B174" t="s">
        <v>33</v>
      </c>
      <c r="C174" t="s">
        <v>34</v>
      </c>
      <c r="D174" s="5">
        <v>1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>
        <v>1</v>
      </c>
      <c r="B177" t="s">
        <v>10</v>
      </c>
      <c r="C177" t="s">
        <v>3</v>
      </c>
      <c r="D177" s="5">
        <v>0</v>
      </c>
      <c r="E177">
        <v>0</v>
      </c>
      <c r="F177">
        <v>0</v>
      </c>
    </row>
    <row r="178" spans="1:7" x14ac:dyDescent="0.3">
      <c r="A178">
        <v>1.1000000000000001</v>
      </c>
      <c r="B178" t="s">
        <v>11</v>
      </c>
      <c r="C178" t="s">
        <v>12</v>
      </c>
      <c r="D178" s="5">
        <v>6904</v>
      </c>
      <c r="E178">
        <f>6947.5+6904</f>
        <v>13851.5</v>
      </c>
      <c r="F178">
        <v>13851.5</v>
      </c>
    </row>
    <row r="179" spans="1:7" x14ac:dyDescent="0.3">
      <c r="A179">
        <v>1.2</v>
      </c>
      <c r="B179" t="s">
        <v>13</v>
      </c>
      <c r="C179" t="s">
        <v>14</v>
      </c>
      <c r="D179" s="5">
        <v>0</v>
      </c>
    </row>
    <row r="180" spans="1:7" x14ac:dyDescent="0.3">
      <c r="A180" s="4">
        <v>2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>
        <v>2.1</v>
      </c>
      <c r="B181" t="s">
        <v>16</v>
      </c>
      <c r="C181" t="s">
        <v>3</v>
      </c>
      <c r="D181" s="5">
        <v>0</v>
      </c>
    </row>
    <row r="182" spans="1:7" x14ac:dyDescent="0.3">
      <c r="A182">
        <v>2.2000000000000002</v>
      </c>
      <c r="B182" t="s">
        <v>17</v>
      </c>
      <c r="C182" t="s">
        <v>3</v>
      </c>
      <c r="D182" s="5">
        <v>0</v>
      </c>
    </row>
    <row r="183" spans="1:7" x14ac:dyDescent="0.3">
      <c r="A183">
        <v>2.2999999999999998</v>
      </c>
      <c r="B183" t="s">
        <v>18</v>
      </c>
      <c r="C183" t="s">
        <v>3</v>
      </c>
      <c r="D183" s="5">
        <v>0</v>
      </c>
    </row>
    <row r="184" spans="1:7" x14ac:dyDescent="0.3">
      <c r="A184">
        <v>2.4</v>
      </c>
      <c r="B184" t="s">
        <v>19</v>
      </c>
      <c r="C184" t="s">
        <v>3</v>
      </c>
      <c r="D184" s="5">
        <v>0</v>
      </c>
    </row>
    <row r="185" spans="1:7" x14ac:dyDescent="0.3">
      <c r="A185">
        <v>2.5</v>
      </c>
      <c r="B185" t="s">
        <v>20</v>
      </c>
      <c r="C185" t="s">
        <v>3</v>
      </c>
      <c r="D185" s="5">
        <v>0</v>
      </c>
    </row>
    <row r="186" spans="1:7" x14ac:dyDescent="0.3">
      <c r="A186">
        <v>2.6</v>
      </c>
      <c r="B186" t="s">
        <v>21</v>
      </c>
      <c r="C186" t="s">
        <v>3</v>
      </c>
      <c r="D186" s="5">
        <v>0</v>
      </c>
    </row>
    <row r="187" spans="1:7" x14ac:dyDescent="0.3">
      <c r="A187" s="4">
        <v>3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>
        <v>3.1</v>
      </c>
      <c r="B188" t="s">
        <v>23</v>
      </c>
      <c r="C188" t="s">
        <v>3</v>
      </c>
      <c r="D188" s="5">
        <f>44+12</f>
        <v>56</v>
      </c>
      <c r="E188">
        <f>57+56</f>
        <v>113</v>
      </c>
      <c r="F188">
        <v>113</v>
      </c>
    </row>
    <row r="189" spans="1:7" x14ac:dyDescent="0.3">
      <c r="A189">
        <v>3.2</v>
      </c>
      <c r="B189" t="s">
        <v>24</v>
      </c>
      <c r="C189" t="s">
        <v>3</v>
      </c>
      <c r="D189" s="5">
        <v>4</v>
      </c>
    </row>
    <row r="190" spans="1:7" x14ac:dyDescent="0.3">
      <c r="A190">
        <v>3.3</v>
      </c>
      <c r="B190" t="s">
        <v>25</v>
      </c>
      <c r="C190" t="s">
        <v>3</v>
      </c>
      <c r="D190" s="5">
        <v>4</v>
      </c>
    </row>
    <row r="191" spans="1:7" x14ac:dyDescent="0.3">
      <c r="A191">
        <v>3.4</v>
      </c>
      <c r="B191" t="s">
        <v>26</v>
      </c>
      <c r="C191" t="s">
        <v>3</v>
      </c>
      <c r="D191" s="5">
        <v>20</v>
      </c>
    </row>
    <row r="192" spans="1:7" x14ac:dyDescent="0.3">
      <c r="A192">
        <v>3.5</v>
      </c>
      <c r="B192" t="s">
        <v>27</v>
      </c>
      <c r="C192" t="s">
        <v>3</v>
      </c>
      <c r="D192" s="5">
        <v>4</v>
      </c>
    </row>
    <row r="193" spans="1:7" x14ac:dyDescent="0.3">
      <c r="A193">
        <v>3.6</v>
      </c>
      <c r="B193" t="s">
        <v>28</v>
      </c>
      <c r="C193" t="s">
        <v>3</v>
      </c>
      <c r="D193" s="5">
        <v>8</v>
      </c>
    </row>
    <row r="194" spans="1:7" x14ac:dyDescent="0.3">
      <c r="A194">
        <v>3.7</v>
      </c>
      <c r="B194" t="s">
        <v>29</v>
      </c>
      <c r="C194" t="s">
        <v>3</v>
      </c>
      <c r="D194" s="5">
        <v>1</v>
      </c>
    </row>
    <row r="195" spans="1:7" x14ac:dyDescent="0.3">
      <c r="A195" s="4">
        <v>4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>
        <v>4.0999999999999996</v>
      </c>
      <c r="B196" t="s">
        <v>31</v>
      </c>
      <c r="C196" t="s">
        <v>3</v>
      </c>
      <c r="D196" s="5">
        <v>0</v>
      </c>
    </row>
    <row r="197" spans="1:7" x14ac:dyDescent="0.3">
      <c r="A197">
        <v>4.2</v>
      </c>
      <c r="B197" t="s">
        <v>32</v>
      </c>
      <c r="C197" t="s">
        <v>3</v>
      </c>
      <c r="D197" s="5">
        <v>1</v>
      </c>
    </row>
    <row r="198" spans="1:7" x14ac:dyDescent="0.3">
      <c r="A198">
        <v>4.3</v>
      </c>
      <c r="B198" t="s">
        <v>33</v>
      </c>
      <c r="C198" t="s">
        <v>34</v>
      </c>
      <c r="D198" s="5">
        <v>1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>
        <v>1</v>
      </c>
      <c r="B201" t="s">
        <v>10</v>
      </c>
      <c r="C201" t="s">
        <v>3</v>
      </c>
      <c r="D201" s="5">
        <v>0</v>
      </c>
      <c r="E201">
        <v>0</v>
      </c>
      <c r="F201">
        <v>0</v>
      </c>
    </row>
    <row r="202" spans="1:7" x14ac:dyDescent="0.3">
      <c r="A202">
        <v>1.1000000000000001</v>
      </c>
      <c r="B202" t="s">
        <v>11</v>
      </c>
      <c r="C202" t="s">
        <v>12</v>
      </c>
      <c r="D202" s="5">
        <v>4880</v>
      </c>
      <c r="E202">
        <f>13851.5+4880</f>
        <v>18731.5</v>
      </c>
      <c r="F202">
        <v>18731.5</v>
      </c>
    </row>
    <row r="203" spans="1:7" x14ac:dyDescent="0.3">
      <c r="A203">
        <v>1.2</v>
      </c>
      <c r="B203" t="s">
        <v>13</v>
      </c>
      <c r="C203" t="s">
        <v>14</v>
      </c>
      <c r="D203" s="5">
        <v>0</v>
      </c>
    </row>
    <row r="204" spans="1:7" x14ac:dyDescent="0.3">
      <c r="A204" s="4">
        <v>2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>
        <v>2.1</v>
      </c>
      <c r="B205" t="s">
        <v>16</v>
      </c>
      <c r="C205" t="s">
        <v>3</v>
      </c>
      <c r="D205" s="5">
        <v>0</v>
      </c>
    </row>
    <row r="206" spans="1:7" x14ac:dyDescent="0.3">
      <c r="A206">
        <v>2.2000000000000002</v>
      </c>
      <c r="B206" t="s">
        <v>17</v>
      </c>
      <c r="C206" t="s">
        <v>3</v>
      </c>
      <c r="D206" s="5">
        <v>0</v>
      </c>
    </row>
    <row r="207" spans="1:7" x14ac:dyDescent="0.3">
      <c r="A207">
        <v>2.2999999999999998</v>
      </c>
      <c r="B207" t="s">
        <v>18</v>
      </c>
      <c r="C207" t="s">
        <v>3</v>
      </c>
      <c r="D207" s="5">
        <v>0</v>
      </c>
    </row>
    <row r="208" spans="1:7" x14ac:dyDescent="0.3">
      <c r="A208">
        <v>2.4</v>
      </c>
      <c r="B208" t="s">
        <v>19</v>
      </c>
      <c r="C208" t="s">
        <v>3</v>
      </c>
      <c r="D208" s="5">
        <v>0</v>
      </c>
    </row>
    <row r="209" spans="1:7" x14ac:dyDescent="0.3">
      <c r="A209">
        <v>2.5</v>
      </c>
      <c r="B209" t="s">
        <v>20</v>
      </c>
      <c r="C209" t="s">
        <v>3</v>
      </c>
      <c r="D209" s="5">
        <v>0</v>
      </c>
    </row>
    <row r="210" spans="1:7" x14ac:dyDescent="0.3">
      <c r="A210">
        <v>2.6</v>
      </c>
      <c r="B210" t="s">
        <v>21</v>
      </c>
      <c r="C210" t="s">
        <v>3</v>
      </c>
      <c r="D210" s="5">
        <v>0</v>
      </c>
    </row>
    <row r="211" spans="1:7" x14ac:dyDescent="0.3">
      <c r="A211" s="4">
        <v>3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>
        <v>3.1</v>
      </c>
      <c r="B212" t="s">
        <v>23</v>
      </c>
      <c r="C212" t="s">
        <v>3</v>
      </c>
      <c r="D212" s="5">
        <f>37+6</f>
        <v>43</v>
      </c>
      <c r="E212">
        <f>113+43</f>
        <v>156</v>
      </c>
      <c r="F212">
        <v>156</v>
      </c>
    </row>
    <row r="213" spans="1:7" x14ac:dyDescent="0.3">
      <c r="A213">
        <v>3.2</v>
      </c>
      <c r="B213" t="s">
        <v>24</v>
      </c>
      <c r="C213" t="s">
        <v>3</v>
      </c>
      <c r="D213" s="5">
        <v>4</v>
      </c>
    </row>
    <row r="214" spans="1:7" x14ac:dyDescent="0.3">
      <c r="A214">
        <v>3.3</v>
      </c>
      <c r="B214" t="s">
        <v>25</v>
      </c>
      <c r="C214" t="s">
        <v>3</v>
      </c>
      <c r="D214" s="5">
        <v>4</v>
      </c>
    </row>
    <row r="215" spans="1:7" x14ac:dyDescent="0.3">
      <c r="A215">
        <v>3.4</v>
      </c>
      <c r="B215" t="s">
        <v>26</v>
      </c>
      <c r="C215" t="s">
        <v>3</v>
      </c>
      <c r="D215" s="5">
        <v>20</v>
      </c>
    </row>
    <row r="216" spans="1:7" x14ac:dyDescent="0.3">
      <c r="A216">
        <v>3.5</v>
      </c>
      <c r="B216" t="s">
        <v>27</v>
      </c>
      <c r="C216" t="s">
        <v>3</v>
      </c>
      <c r="D216" s="5">
        <v>4</v>
      </c>
    </row>
    <row r="217" spans="1:7" x14ac:dyDescent="0.3">
      <c r="A217">
        <v>3.6</v>
      </c>
      <c r="B217" t="s">
        <v>28</v>
      </c>
      <c r="C217" t="s">
        <v>3</v>
      </c>
      <c r="D217" s="5">
        <v>8</v>
      </c>
    </row>
    <row r="218" spans="1:7" x14ac:dyDescent="0.3">
      <c r="A218">
        <v>3.7</v>
      </c>
      <c r="B218" t="s">
        <v>29</v>
      </c>
      <c r="C218" t="s">
        <v>3</v>
      </c>
      <c r="D218" s="5">
        <v>1</v>
      </c>
    </row>
    <row r="219" spans="1:7" x14ac:dyDescent="0.3">
      <c r="A219" s="4">
        <v>4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>
        <v>4.0999999999999996</v>
      </c>
      <c r="B220" t="s">
        <v>31</v>
      </c>
      <c r="C220" t="s">
        <v>3</v>
      </c>
      <c r="D220" s="5">
        <v>0</v>
      </c>
    </row>
    <row r="221" spans="1:7" x14ac:dyDescent="0.3">
      <c r="A221">
        <v>4.2</v>
      </c>
      <c r="B221" t="s">
        <v>32</v>
      </c>
      <c r="C221" t="s">
        <v>3</v>
      </c>
      <c r="D221" s="5">
        <v>1</v>
      </c>
    </row>
    <row r="222" spans="1:7" x14ac:dyDescent="0.3">
      <c r="A222">
        <v>4.3</v>
      </c>
      <c r="B222" t="s">
        <v>33</v>
      </c>
      <c r="C222" t="s">
        <v>34</v>
      </c>
      <c r="D222" s="5">
        <v>1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>
        <v>1</v>
      </c>
      <c r="B225" t="s">
        <v>10</v>
      </c>
      <c r="C225" t="s">
        <v>3</v>
      </c>
      <c r="D225" s="5">
        <v>0</v>
      </c>
      <c r="E225">
        <v>0</v>
      </c>
      <c r="F225">
        <v>0</v>
      </c>
    </row>
    <row r="226" spans="1:7" x14ac:dyDescent="0.3">
      <c r="A226">
        <v>1.1000000000000001</v>
      </c>
      <c r="B226" t="s">
        <v>11</v>
      </c>
      <c r="C226" t="s">
        <v>12</v>
      </c>
      <c r="D226" s="5">
        <v>14779.5</v>
      </c>
      <c r="E226">
        <f>18731.5+14779.5</f>
        <v>33511</v>
      </c>
      <c r="F226">
        <v>33511</v>
      </c>
    </row>
    <row r="227" spans="1:7" x14ac:dyDescent="0.3">
      <c r="A227">
        <v>1.2</v>
      </c>
      <c r="B227" t="s">
        <v>13</v>
      </c>
      <c r="C227" t="s">
        <v>14</v>
      </c>
      <c r="D227" s="5">
        <v>0</v>
      </c>
    </row>
    <row r="228" spans="1:7" x14ac:dyDescent="0.3">
      <c r="A228" s="4">
        <v>2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>
        <v>2.1</v>
      </c>
      <c r="B229" t="s">
        <v>16</v>
      </c>
      <c r="C229" t="s">
        <v>3</v>
      </c>
      <c r="D229" s="5">
        <v>0</v>
      </c>
    </row>
    <row r="230" spans="1:7" x14ac:dyDescent="0.3">
      <c r="A230">
        <v>2.2000000000000002</v>
      </c>
      <c r="B230" t="s">
        <v>17</v>
      </c>
      <c r="C230" t="s">
        <v>3</v>
      </c>
      <c r="D230" s="5">
        <v>0</v>
      </c>
    </row>
    <row r="231" spans="1:7" x14ac:dyDescent="0.3">
      <c r="A231">
        <v>2.2999999999999998</v>
      </c>
      <c r="B231" t="s">
        <v>18</v>
      </c>
      <c r="C231" t="s">
        <v>3</v>
      </c>
      <c r="D231" s="5">
        <v>0</v>
      </c>
    </row>
    <row r="232" spans="1:7" x14ac:dyDescent="0.3">
      <c r="A232">
        <v>2.4</v>
      </c>
      <c r="B232" t="s">
        <v>19</v>
      </c>
      <c r="C232" t="s">
        <v>3</v>
      </c>
      <c r="D232" s="5">
        <v>0</v>
      </c>
    </row>
    <row r="233" spans="1:7" x14ac:dyDescent="0.3">
      <c r="A233">
        <v>2.5</v>
      </c>
      <c r="B233" t="s">
        <v>20</v>
      </c>
      <c r="C233" t="s">
        <v>3</v>
      </c>
      <c r="D233" s="5">
        <v>0</v>
      </c>
    </row>
    <row r="234" spans="1:7" x14ac:dyDescent="0.3">
      <c r="A234">
        <v>2.6</v>
      </c>
      <c r="B234" t="s">
        <v>21</v>
      </c>
      <c r="C234" t="s">
        <v>3</v>
      </c>
      <c r="D234" s="5">
        <v>0</v>
      </c>
    </row>
    <row r="235" spans="1:7" x14ac:dyDescent="0.3">
      <c r="A235" s="4">
        <v>3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>
        <v>3.1</v>
      </c>
      <c r="B236" t="s">
        <v>23</v>
      </c>
      <c r="C236" t="s">
        <v>3</v>
      </c>
      <c r="D236" s="5">
        <f>26+15</f>
        <v>41</v>
      </c>
      <c r="E236">
        <f>156+41</f>
        <v>197</v>
      </c>
      <c r="F236">
        <v>197</v>
      </c>
    </row>
    <row r="237" spans="1:7" x14ac:dyDescent="0.3">
      <c r="A237">
        <v>3.2</v>
      </c>
      <c r="B237" t="s">
        <v>24</v>
      </c>
      <c r="C237" t="s">
        <v>3</v>
      </c>
      <c r="D237" s="5">
        <v>4</v>
      </c>
    </row>
    <row r="238" spans="1:7" x14ac:dyDescent="0.3">
      <c r="A238">
        <v>3.3</v>
      </c>
      <c r="B238" t="s">
        <v>25</v>
      </c>
      <c r="C238" t="s">
        <v>3</v>
      </c>
      <c r="D238" s="5">
        <v>4</v>
      </c>
    </row>
    <row r="239" spans="1:7" x14ac:dyDescent="0.3">
      <c r="A239">
        <v>3.4</v>
      </c>
      <c r="B239" t="s">
        <v>26</v>
      </c>
      <c r="C239" t="s">
        <v>3</v>
      </c>
      <c r="D239" s="5">
        <v>20</v>
      </c>
    </row>
    <row r="240" spans="1:7" x14ac:dyDescent="0.3">
      <c r="A240">
        <v>3.5</v>
      </c>
      <c r="B240" t="s">
        <v>27</v>
      </c>
      <c r="C240" t="s">
        <v>3</v>
      </c>
      <c r="D240" s="5">
        <v>4</v>
      </c>
    </row>
    <row r="241" spans="1:7" x14ac:dyDescent="0.3">
      <c r="A241">
        <v>3.6</v>
      </c>
      <c r="B241" t="s">
        <v>28</v>
      </c>
      <c r="C241" t="s">
        <v>3</v>
      </c>
      <c r="D241" s="5">
        <v>8</v>
      </c>
    </row>
    <row r="242" spans="1:7" x14ac:dyDescent="0.3">
      <c r="A242">
        <v>3.7</v>
      </c>
      <c r="B242" t="s">
        <v>29</v>
      </c>
      <c r="C242" t="s">
        <v>3</v>
      </c>
      <c r="D242" s="5">
        <v>1</v>
      </c>
    </row>
    <row r="243" spans="1:7" x14ac:dyDescent="0.3">
      <c r="A243" s="4">
        <v>4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>
        <v>4.0999999999999996</v>
      </c>
      <c r="B244" t="s">
        <v>31</v>
      </c>
      <c r="C244" t="s">
        <v>3</v>
      </c>
      <c r="D244" s="5">
        <v>0</v>
      </c>
    </row>
    <row r="245" spans="1:7" x14ac:dyDescent="0.3">
      <c r="A245">
        <v>4.2</v>
      </c>
      <c r="B245" t="s">
        <v>32</v>
      </c>
      <c r="C245" t="s">
        <v>3</v>
      </c>
      <c r="D245" s="5">
        <v>1</v>
      </c>
    </row>
    <row r="246" spans="1:7" x14ac:dyDescent="0.3">
      <c r="A246">
        <v>4.3</v>
      </c>
      <c r="B246" t="s">
        <v>33</v>
      </c>
      <c r="C246" t="s">
        <v>34</v>
      </c>
      <c r="D246" s="5">
        <v>1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>
        <v>1</v>
      </c>
      <c r="B249" t="s">
        <v>10</v>
      </c>
      <c r="C249" t="s">
        <v>3</v>
      </c>
      <c r="D249" s="5">
        <v>0</v>
      </c>
      <c r="E249">
        <v>0</v>
      </c>
      <c r="F249">
        <v>0</v>
      </c>
    </row>
    <row r="250" spans="1:7" x14ac:dyDescent="0.3">
      <c r="A250">
        <v>1.1000000000000001</v>
      </c>
      <c r="B250" t="s">
        <v>11</v>
      </c>
      <c r="C250" t="s">
        <v>12</v>
      </c>
      <c r="D250" s="5">
        <v>5507</v>
      </c>
      <c r="E250">
        <f>33511+5507</f>
        <v>39018</v>
      </c>
      <c r="F250">
        <v>39018</v>
      </c>
    </row>
    <row r="251" spans="1:7" x14ac:dyDescent="0.3">
      <c r="A251">
        <v>1.2</v>
      </c>
      <c r="B251" t="s">
        <v>13</v>
      </c>
      <c r="C251" t="s">
        <v>14</v>
      </c>
      <c r="D251" s="5">
        <v>0</v>
      </c>
    </row>
    <row r="252" spans="1:7" x14ac:dyDescent="0.3">
      <c r="A252" s="4">
        <v>2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>
        <v>2.1</v>
      </c>
      <c r="B253" t="s">
        <v>16</v>
      </c>
      <c r="C253" t="s">
        <v>3</v>
      </c>
      <c r="D253" s="5">
        <v>0</v>
      </c>
    </row>
    <row r="254" spans="1:7" x14ac:dyDescent="0.3">
      <c r="A254">
        <v>2.2000000000000002</v>
      </c>
      <c r="B254" t="s">
        <v>17</v>
      </c>
      <c r="C254" t="s">
        <v>3</v>
      </c>
      <c r="D254" s="5">
        <v>0</v>
      </c>
    </row>
    <row r="255" spans="1:7" x14ac:dyDescent="0.3">
      <c r="A255">
        <v>2.2999999999999998</v>
      </c>
      <c r="B255" t="s">
        <v>18</v>
      </c>
      <c r="C255" t="s">
        <v>3</v>
      </c>
      <c r="D255" s="5">
        <v>0</v>
      </c>
    </row>
    <row r="256" spans="1:7" x14ac:dyDescent="0.3">
      <c r="A256">
        <v>2.4</v>
      </c>
      <c r="B256" t="s">
        <v>19</v>
      </c>
      <c r="C256" t="s">
        <v>3</v>
      </c>
      <c r="D256" s="5">
        <v>0</v>
      </c>
    </row>
    <row r="257" spans="1:7" x14ac:dyDescent="0.3">
      <c r="A257">
        <v>2.5</v>
      </c>
      <c r="B257" t="s">
        <v>20</v>
      </c>
      <c r="C257" t="s">
        <v>3</v>
      </c>
      <c r="D257" s="5">
        <v>0</v>
      </c>
    </row>
    <row r="258" spans="1:7" x14ac:dyDescent="0.3">
      <c r="A258">
        <v>2.6</v>
      </c>
      <c r="B258" t="s">
        <v>21</v>
      </c>
      <c r="C258" t="s">
        <v>3</v>
      </c>
      <c r="D258" s="5">
        <v>0</v>
      </c>
    </row>
    <row r="259" spans="1:7" x14ac:dyDescent="0.3">
      <c r="A259" s="4">
        <v>3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>
        <v>3.1</v>
      </c>
      <c r="B260" t="s">
        <v>23</v>
      </c>
      <c r="C260" t="s">
        <v>3</v>
      </c>
      <c r="D260" s="5">
        <f>16+9</f>
        <v>25</v>
      </c>
      <c r="E260">
        <f>197+25</f>
        <v>222</v>
      </c>
      <c r="F260">
        <v>222</v>
      </c>
    </row>
    <row r="261" spans="1:7" x14ac:dyDescent="0.3">
      <c r="A261">
        <v>3.2</v>
      </c>
      <c r="B261" t="s">
        <v>24</v>
      </c>
      <c r="C261" t="s">
        <v>3</v>
      </c>
      <c r="D261" s="5">
        <v>4</v>
      </c>
    </row>
    <row r="262" spans="1:7" x14ac:dyDescent="0.3">
      <c r="A262">
        <v>3.3</v>
      </c>
      <c r="B262" t="s">
        <v>25</v>
      </c>
      <c r="C262" t="s">
        <v>3</v>
      </c>
      <c r="D262" s="5">
        <v>4</v>
      </c>
    </row>
    <row r="263" spans="1:7" x14ac:dyDescent="0.3">
      <c r="A263">
        <v>3.4</v>
      </c>
      <c r="B263" t="s">
        <v>26</v>
      </c>
      <c r="C263" t="s">
        <v>3</v>
      </c>
      <c r="D263" s="5">
        <v>20</v>
      </c>
    </row>
    <row r="264" spans="1:7" x14ac:dyDescent="0.3">
      <c r="A264">
        <v>3.5</v>
      </c>
      <c r="B264" t="s">
        <v>27</v>
      </c>
      <c r="C264" t="s">
        <v>3</v>
      </c>
      <c r="D264" s="5">
        <v>4</v>
      </c>
    </row>
    <row r="265" spans="1:7" x14ac:dyDescent="0.3">
      <c r="A265">
        <v>3.6</v>
      </c>
      <c r="B265" t="s">
        <v>28</v>
      </c>
      <c r="C265" t="s">
        <v>3</v>
      </c>
      <c r="D265" s="5">
        <v>8</v>
      </c>
    </row>
    <row r="266" spans="1:7" x14ac:dyDescent="0.3">
      <c r="A266">
        <v>3.7</v>
      </c>
      <c r="B266" t="s">
        <v>29</v>
      </c>
      <c r="C266" t="s">
        <v>3</v>
      </c>
      <c r="D266" s="5">
        <v>1</v>
      </c>
    </row>
    <row r="267" spans="1:7" x14ac:dyDescent="0.3">
      <c r="A267" s="4">
        <v>4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>
        <v>4.0999999999999996</v>
      </c>
      <c r="B268" t="s">
        <v>31</v>
      </c>
      <c r="C268" t="s">
        <v>3</v>
      </c>
      <c r="D268" s="5">
        <v>0</v>
      </c>
    </row>
    <row r="269" spans="1:7" x14ac:dyDescent="0.3">
      <c r="A269">
        <v>4.2</v>
      </c>
      <c r="B269" t="s">
        <v>32</v>
      </c>
      <c r="C269" t="s">
        <v>3</v>
      </c>
      <c r="D269" s="5">
        <v>1</v>
      </c>
    </row>
    <row r="270" spans="1:7" x14ac:dyDescent="0.3">
      <c r="A270">
        <v>4.3</v>
      </c>
      <c r="B270" t="s">
        <v>33</v>
      </c>
      <c r="C270" t="s">
        <v>34</v>
      </c>
      <c r="D270" s="5">
        <v>1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>
        <v>1</v>
      </c>
      <c r="B273" t="s">
        <v>10</v>
      </c>
      <c r="C273" t="s">
        <v>3</v>
      </c>
      <c r="D273" s="5">
        <v>0</v>
      </c>
      <c r="E273">
        <v>0</v>
      </c>
      <c r="F273">
        <v>0</v>
      </c>
    </row>
    <row r="274" spans="1:7" x14ac:dyDescent="0.3">
      <c r="A274">
        <v>1.1000000000000001</v>
      </c>
      <c r="B274" t="s">
        <v>11</v>
      </c>
      <c r="C274" t="s">
        <v>12</v>
      </c>
      <c r="D274" s="5">
        <v>0</v>
      </c>
      <c r="E274">
        <v>39018</v>
      </c>
      <c r="F274">
        <v>39018</v>
      </c>
    </row>
    <row r="275" spans="1:7" x14ac:dyDescent="0.3">
      <c r="A275">
        <v>1.2</v>
      </c>
      <c r="B275" t="s">
        <v>13</v>
      </c>
      <c r="C275" t="s">
        <v>14</v>
      </c>
      <c r="D275" s="5">
        <v>0</v>
      </c>
    </row>
    <row r="276" spans="1:7" x14ac:dyDescent="0.3">
      <c r="A276" s="4">
        <v>2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>
        <v>2.1</v>
      </c>
      <c r="B277" t="s">
        <v>16</v>
      </c>
      <c r="C277" t="s">
        <v>3</v>
      </c>
      <c r="D277" s="5">
        <v>0</v>
      </c>
    </row>
    <row r="278" spans="1:7" x14ac:dyDescent="0.3">
      <c r="A278">
        <v>2.2000000000000002</v>
      </c>
      <c r="B278" t="s">
        <v>17</v>
      </c>
      <c r="C278" t="s">
        <v>3</v>
      </c>
      <c r="D278" s="5">
        <v>0</v>
      </c>
    </row>
    <row r="279" spans="1:7" x14ac:dyDescent="0.3">
      <c r="A279">
        <v>2.2999999999999998</v>
      </c>
      <c r="B279" t="s">
        <v>18</v>
      </c>
      <c r="C279" t="s">
        <v>3</v>
      </c>
      <c r="D279" s="5">
        <v>0</v>
      </c>
    </row>
    <row r="280" spans="1:7" x14ac:dyDescent="0.3">
      <c r="A280">
        <v>2.4</v>
      </c>
      <c r="B280" t="s">
        <v>19</v>
      </c>
      <c r="C280" t="s">
        <v>3</v>
      </c>
      <c r="D280" s="5">
        <v>0</v>
      </c>
    </row>
    <row r="281" spans="1:7" x14ac:dyDescent="0.3">
      <c r="A281">
        <v>2.5</v>
      </c>
      <c r="B281" t="s">
        <v>20</v>
      </c>
      <c r="C281" t="s">
        <v>3</v>
      </c>
      <c r="D281" s="5">
        <v>0</v>
      </c>
    </row>
    <row r="282" spans="1:7" x14ac:dyDescent="0.3">
      <c r="A282">
        <v>2.6</v>
      </c>
      <c r="B282" t="s">
        <v>21</v>
      </c>
      <c r="C282" t="s">
        <v>3</v>
      </c>
      <c r="D282" s="5">
        <v>0</v>
      </c>
    </row>
    <row r="283" spans="1:7" x14ac:dyDescent="0.3">
      <c r="A283" s="4">
        <v>3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>
        <v>3.1</v>
      </c>
      <c r="B284" t="s">
        <v>23</v>
      </c>
      <c r="C284" t="s">
        <v>3</v>
      </c>
      <c r="D284" s="5">
        <v>0</v>
      </c>
      <c r="E284">
        <v>222</v>
      </c>
      <c r="F284">
        <v>222</v>
      </c>
    </row>
    <row r="285" spans="1:7" x14ac:dyDescent="0.3">
      <c r="A285">
        <v>3.2</v>
      </c>
      <c r="B285" t="s">
        <v>24</v>
      </c>
      <c r="C285" t="s">
        <v>3</v>
      </c>
      <c r="D285" s="5">
        <v>4</v>
      </c>
    </row>
    <row r="286" spans="1:7" x14ac:dyDescent="0.3">
      <c r="A286">
        <v>3.3</v>
      </c>
      <c r="B286" t="s">
        <v>25</v>
      </c>
      <c r="C286" t="s">
        <v>3</v>
      </c>
      <c r="D286" s="5">
        <v>4</v>
      </c>
    </row>
    <row r="287" spans="1:7" x14ac:dyDescent="0.3">
      <c r="A287">
        <v>3.4</v>
      </c>
      <c r="B287" t="s">
        <v>26</v>
      </c>
      <c r="C287" t="s">
        <v>3</v>
      </c>
      <c r="D287" s="5">
        <v>20</v>
      </c>
    </row>
    <row r="288" spans="1:7" x14ac:dyDescent="0.3">
      <c r="A288">
        <v>3.5</v>
      </c>
      <c r="B288" t="s">
        <v>27</v>
      </c>
      <c r="C288" t="s">
        <v>3</v>
      </c>
      <c r="D288" s="5">
        <v>4</v>
      </c>
    </row>
    <row r="289" spans="1:7" x14ac:dyDescent="0.3">
      <c r="A289">
        <v>3.6</v>
      </c>
      <c r="B289" t="s">
        <v>28</v>
      </c>
      <c r="C289" t="s">
        <v>3</v>
      </c>
      <c r="D289" s="5">
        <v>8</v>
      </c>
    </row>
    <row r="290" spans="1:7" x14ac:dyDescent="0.3">
      <c r="A290">
        <v>3.7</v>
      </c>
      <c r="B290" t="s">
        <v>29</v>
      </c>
      <c r="C290" t="s">
        <v>3</v>
      </c>
      <c r="D290" s="5">
        <v>1</v>
      </c>
    </row>
    <row r="291" spans="1:7" x14ac:dyDescent="0.3">
      <c r="A291" s="4">
        <v>4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>
        <v>4.0999999999999996</v>
      </c>
      <c r="B292" t="s">
        <v>31</v>
      </c>
      <c r="C292" t="s">
        <v>3</v>
      </c>
      <c r="D292" s="5">
        <v>0</v>
      </c>
    </row>
    <row r="293" spans="1:7" x14ac:dyDescent="0.3">
      <c r="A293">
        <v>4.2</v>
      </c>
      <c r="B293" t="s">
        <v>32</v>
      </c>
      <c r="C293" t="s">
        <v>3</v>
      </c>
      <c r="D293" s="5">
        <v>1</v>
      </c>
    </row>
    <row r="294" spans="1:7" x14ac:dyDescent="0.3">
      <c r="A294">
        <v>4.3</v>
      </c>
      <c r="B294" t="s">
        <v>33</v>
      </c>
      <c r="C294" t="s">
        <v>34</v>
      </c>
      <c r="D294" s="5">
        <v>1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2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/>
  </sheetViews>
  <sheetFormatPr defaultRowHeight="14.4" x14ac:dyDescent="0.3"/>
  <cols>
    <col min="1" max="8" width="18.21875" customWidth="1"/>
  </cols>
  <sheetData>
    <row r="1" spans="1:8" x14ac:dyDescent="0.3">
      <c r="A1" s="3" t="s">
        <v>57</v>
      </c>
      <c r="B1" s="3" t="s">
        <v>48</v>
      </c>
      <c r="C1" s="3" t="s">
        <v>129</v>
      </c>
      <c r="D1" s="3" t="s">
        <v>130</v>
      </c>
      <c r="E1" s="3" t="s">
        <v>49</v>
      </c>
      <c r="F1" s="3" t="s">
        <v>51</v>
      </c>
      <c r="G1" s="3" t="s">
        <v>81</v>
      </c>
      <c r="H1" s="3" t="s">
        <v>131</v>
      </c>
    </row>
    <row r="2" spans="1:8" x14ac:dyDescent="0.3">
      <c r="A2" t="s">
        <v>68</v>
      </c>
      <c r="B2" t="s">
        <v>54</v>
      </c>
      <c r="C2" t="s">
        <v>54</v>
      </c>
      <c r="D2" t="s">
        <v>132</v>
      </c>
      <c r="E2" t="s">
        <v>50</v>
      </c>
      <c r="F2" t="s">
        <v>52</v>
      </c>
      <c r="G2" t="s">
        <v>133</v>
      </c>
      <c r="H2" t="s">
        <v>134</v>
      </c>
    </row>
    <row r="3" spans="1:8" x14ac:dyDescent="0.3">
      <c r="A3" t="s">
        <v>70</v>
      </c>
      <c r="B3" t="s">
        <v>2</v>
      </c>
      <c r="C3" t="s">
        <v>89</v>
      </c>
      <c r="D3" t="s">
        <v>135</v>
      </c>
      <c r="E3" t="s">
        <v>7</v>
      </c>
      <c r="F3" t="s">
        <v>136</v>
      </c>
      <c r="G3" t="s">
        <v>137</v>
      </c>
      <c r="H3" t="s">
        <v>138</v>
      </c>
    </row>
    <row r="4" spans="1:8" x14ac:dyDescent="0.3">
      <c r="A4" t="s">
        <v>72</v>
      </c>
      <c r="B4" t="s">
        <v>35</v>
      </c>
      <c r="C4" t="s">
        <v>15</v>
      </c>
      <c r="E4" t="s">
        <v>139</v>
      </c>
      <c r="F4" t="s">
        <v>140</v>
      </c>
      <c r="H4" t="s">
        <v>141</v>
      </c>
    </row>
    <row r="5" spans="1:8" x14ac:dyDescent="0.3">
      <c r="A5" t="s">
        <v>74</v>
      </c>
      <c r="B5" t="s">
        <v>36</v>
      </c>
      <c r="C5" t="s">
        <v>22</v>
      </c>
      <c r="E5" t="s">
        <v>8</v>
      </c>
    </row>
    <row r="6" spans="1:8" x14ac:dyDescent="0.3">
      <c r="B6" t="s">
        <v>37</v>
      </c>
      <c r="C6" t="s">
        <v>30</v>
      </c>
    </row>
    <row r="7" spans="1:8" x14ac:dyDescent="0.3">
      <c r="B7" t="s">
        <v>38</v>
      </c>
    </row>
    <row r="8" spans="1:8" x14ac:dyDescent="0.3">
      <c r="B8" t="s">
        <v>39</v>
      </c>
    </row>
    <row r="9" spans="1:8" x14ac:dyDescent="0.3">
      <c r="B9" t="s">
        <v>40</v>
      </c>
    </row>
    <row r="10" spans="1:8" x14ac:dyDescent="0.3">
      <c r="B10" t="s">
        <v>41</v>
      </c>
    </row>
    <row r="11" spans="1:8" x14ac:dyDescent="0.3">
      <c r="B11" t="s">
        <v>42</v>
      </c>
    </row>
    <row r="12" spans="1:8" x14ac:dyDescent="0.3">
      <c r="B12" t="s">
        <v>43</v>
      </c>
    </row>
    <row r="13" spans="1:8" x14ac:dyDescent="0.3">
      <c r="B13" t="s">
        <v>44</v>
      </c>
    </row>
    <row r="14" spans="1:8" x14ac:dyDescent="0.3">
      <c r="B14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218</v>
      </c>
      <c r="B2" s="68" t="s">
        <v>218</v>
      </c>
      <c r="C2" s="68" t="s">
        <v>218</v>
      </c>
      <c r="D2" s="68" t="s">
        <v>218</v>
      </c>
      <c r="E2" s="68" t="s">
        <v>218</v>
      </c>
      <c r="F2" s="68" t="s">
        <v>218</v>
      </c>
      <c r="G2" s="68" t="s">
        <v>218</v>
      </c>
    </row>
    <row r="4" spans="1:7" x14ac:dyDescent="0.3">
      <c r="A4" s="1" t="s">
        <v>0</v>
      </c>
      <c r="B4" s="1">
        <v>2027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222</v>
      </c>
      <c r="B2" s="68" t="s">
        <v>222</v>
      </c>
      <c r="C2" s="68" t="s">
        <v>222</v>
      </c>
      <c r="D2" s="68" t="s">
        <v>222</v>
      </c>
      <c r="E2" s="68" t="s">
        <v>222</v>
      </c>
      <c r="F2" s="68" t="s">
        <v>222</v>
      </c>
      <c r="G2" s="68" t="s">
        <v>222</v>
      </c>
    </row>
    <row r="4" spans="1:7" x14ac:dyDescent="0.3">
      <c r="A4" s="1" t="s">
        <v>0</v>
      </c>
      <c r="B4" s="1">
        <v>2028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223</v>
      </c>
      <c r="B2" s="68" t="s">
        <v>223</v>
      </c>
      <c r="C2" s="68" t="s">
        <v>223</v>
      </c>
      <c r="D2" s="68" t="s">
        <v>223</v>
      </c>
      <c r="E2" s="68" t="s">
        <v>223</v>
      </c>
      <c r="F2" s="68" t="s">
        <v>223</v>
      </c>
      <c r="G2" s="68" t="s">
        <v>223</v>
      </c>
    </row>
    <row r="4" spans="1:7" x14ac:dyDescent="0.3">
      <c r="A4" s="1" t="s">
        <v>0</v>
      </c>
      <c r="B4" s="1">
        <v>2029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G294"/>
  <sheetViews>
    <sheetView showGridLines="0" topLeftCell="A2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224</v>
      </c>
      <c r="B2" s="68" t="s">
        <v>224</v>
      </c>
      <c r="C2" s="68" t="s">
        <v>224</v>
      </c>
      <c r="D2" s="68" t="s">
        <v>224</v>
      </c>
      <c r="E2" s="68" t="s">
        <v>224</v>
      </c>
      <c r="F2" s="68" t="s">
        <v>224</v>
      </c>
      <c r="G2" s="68" t="s">
        <v>224</v>
      </c>
    </row>
    <row r="4" spans="1:7" x14ac:dyDescent="0.3">
      <c r="A4" s="1" t="s">
        <v>0</v>
      </c>
      <c r="B4" s="1">
        <v>2030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225</v>
      </c>
      <c r="B2" s="68" t="s">
        <v>225</v>
      </c>
      <c r="C2" s="68" t="s">
        <v>225</v>
      </c>
      <c r="D2" s="68" t="s">
        <v>225</v>
      </c>
      <c r="E2" s="68" t="s">
        <v>225</v>
      </c>
      <c r="F2" s="68" t="s">
        <v>225</v>
      </c>
      <c r="G2" s="68" t="s">
        <v>225</v>
      </c>
    </row>
    <row r="4" spans="1:7" x14ac:dyDescent="0.3">
      <c r="A4" s="1" t="s">
        <v>0</v>
      </c>
      <c r="B4" s="1">
        <v>2031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226</v>
      </c>
      <c r="B2" s="68" t="s">
        <v>226</v>
      </c>
      <c r="C2" s="68" t="s">
        <v>226</v>
      </c>
      <c r="D2" s="68" t="s">
        <v>226</v>
      </c>
      <c r="E2" s="68" t="s">
        <v>226</v>
      </c>
      <c r="F2" s="68" t="s">
        <v>226</v>
      </c>
      <c r="G2" s="68" t="s">
        <v>226</v>
      </c>
    </row>
    <row r="4" spans="1:7" x14ac:dyDescent="0.3">
      <c r="A4" s="1" t="s">
        <v>0</v>
      </c>
      <c r="B4" s="1">
        <v>2032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227</v>
      </c>
      <c r="B2" s="68" t="s">
        <v>227</v>
      </c>
      <c r="C2" s="68" t="s">
        <v>227</v>
      </c>
      <c r="D2" s="68" t="s">
        <v>227</v>
      </c>
      <c r="E2" s="68" t="s">
        <v>227</v>
      </c>
      <c r="F2" s="68" t="s">
        <v>227</v>
      </c>
      <c r="G2" s="68" t="s">
        <v>227</v>
      </c>
    </row>
    <row r="4" spans="1:7" x14ac:dyDescent="0.3">
      <c r="A4" s="1" t="s">
        <v>0</v>
      </c>
      <c r="B4" s="1">
        <v>2033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G294"/>
  <sheetViews>
    <sheetView showGridLines="0" workbookViewId="0">
      <selection activeCell="D37" sqref="D36:D37"/>
    </sheetView>
  </sheetViews>
  <sheetFormatPr defaultRowHeight="14.4" x14ac:dyDescent="0.3"/>
  <cols>
    <col min="1" max="1" width="7.109375" customWidth="1"/>
    <col min="2" max="2" width="41.6640625" customWidth="1"/>
    <col min="3" max="7" width="15.44140625" customWidth="1"/>
  </cols>
  <sheetData>
    <row r="1" spans="1:7" ht="23.4" x14ac:dyDescent="0.3">
      <c r="A1" s="88" t="s">
        <v>217</v>
      </c>
      <c r="B1" s="89" t="s">
        <v>217</v>
      </c>
      <c r="C1" s="89" t="s">
        <v>217</v>
      </c>
      <c r="D1" s="89" t="s">
        <v>217</v>
      </c>
      <c r="E1" s="89" t="s">
        <v>217</v>
      </c>
      <c r="F1" s="89" t="s">
        <v>217</v>
      </c>
      <c r="G1" s="90" t="s">
        <v>217</v>
      </c>
    </row>
    <row r="2" spans="1:7" x14ac:dyDescent="0.3">
      <c r="A2" s="68" t="s">
        <v>228</v>
      </c>
      <c r="B2" s="68" t="s">
        <v>228</v>
      </c>
      <c r="C2" s="68" t="s">
        <v>228</v>
      </c>
      <c r="D2" s="68" t="s">
        <v>228</v>
      </c>
      <c r="E2" s="68" t="s">
        <v>228</v>
      </c>
      <c r="F2" s="68" t="s">
        <v>228</v>
      </c>
      <c r="G2" s="68" t="s">
        <v>228</v>
      </c>
    </row>
    <row r="4" spans="1:7" x14ac:dyDescent="0.3">
      <c r="A4" s="1" t="s">
        <v>0</v>
      </c>
      <c r="B4" s="1">
        <v>2034</v>
      </c>
    </row>
    <row r="6" spans="1:7" x14ac:dyDescent="0.3">
      <c r="E6" t="s">
        <v>286</v>
      </c>
    </row>
    <row r="7" spans="1:7" x14ac:dyDescent="0.3">
      <c r="A7" s="2" t="s">
        <v>1</v>
      </c>
      <c r="B7" s="2" t="s">
        <v>2</v>
      </c>
      <c r="C7" s="2"/>
      <c r="D7" s="2"/>
      <c r="E7" s="2"/>
      <c r="F7" s="2"/>
      <c r="G7" s="2"/>
    </row>
    <row r="8" spans="1:7" x14ac:dyDescent="0.3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</row>
    <row r="9" spans="1:7" x14ac:dyDescent="0.3">
      <c r="A9" t="s">
        <v>88</v>
      </c>
      <c r="B9" t="s">
        <v>10</v>
      </c>
      <c r="C9" t="s">
        <v>3</v>
      </c>
      <c r="D9" s="5">
        <v>0</v>
      </c>
      <c r="E9">
        <f>SUM(D9)</f>
        <v>0</v>
      </c>
      <c r="F9">
        <f>E9</f>
        <v>0</v>
      </c>
    </row>
    <row r="10" spans="1:7" x14ac:dyDescent="0.3">
      <c r="A10" t="s">
        <v>91</v>
      </c>
      <c r="B10" t="s">
        <v>11</v>
      </c>
      <c r="C10" t="s">
        <v>12</v>
      </c>
      <c r="D10" s="5">
        <v>0</v>
      </c>
      <c r="E10">
        <f>SUM(D10)</f>
        <v>0</v>
      </c>
      <c r="F10">
        <f>E10</f>
        <v>0</v>
      </c>
    </row>
    <row r="11" spans="1:7" x14ac:dyDescent="0.3">
      <c r="A11" t="s">
        <v>93</v>
      </c>
      <c r="B11" t="s">
        <v>13</v>
      </c>
      <c r="C11" t="s">
        <v>14</v>
      </c>
      <c r="D11" s="5">
        <v>0</v>
      </c>
      <c r="E11">
        <f>SUM(D11)</f>
        <v>0</v>
      </c>
      <c r="F11">
        <f>E11</f>
        <v>0</v>
      </c>
    </row>
    <row r="12" spans="1:7" x14ac:dyDescent="0.3">
      <c r="A12" s="4" t="s">
        <v>219</v>
      </c>
      <c r="B12" s="4" t="s">
        <v>15</v>
      </c>
      <c r="C12" s="4"/>
      <c r="D12" s="6"/>
      <c r="E12" s="4"/>
      <c r="F12" s="4"/>
      <c r="G12" s="4"/>
    </row>
    <row r="13" spans="1:7" x14ac:dyDescent="0.3">
      <c r="A13" t="s">
        <v>95</v>
      </c>
      <c r="B13" t="s">
        <v>16</v>
      </c>
      <c r="C13" t="s">
        <v>3</v>
      </c>
      <c r="D13" s="5">
        <v>0</v>
      </c>
      <c r="E13">
        <f t="shared" ref="E13:E18" si="0">SUM(D13)</f>
        <v>0</v>
      </c>
      <c r="F13">
        <f t="shared" ref="F13:F18" si="1">E13</f>
        <v>0</v>
      </c>
    </row>
    <row r="14" spans="1:7" x14ac:dyDescent="0.3">
      <c r="A14" t="s">
        <v>97</v>
      </c>
      <c r="B14" t="s">
        <v>17</v>
      </c>
      <c r="C14" t="s">
        <v>3</v>
      </c>
      <c r="D14" s="5">
        <v>0</v>
      </c>
      <c r="E14">
        <f t="shared" si="0"/>
        <v>0</v>
      </c>
      <c r="F14">
        <f t="shared" si="1"/>
        <v>0</v>
      </c>
    </row>
    <row r="15" spans="1:7" x14ac:dyDescent="0.3">
      <c r="A15" t="s">
        <v>99</v>
      </c>
      <c r="B15" t="s">
        <v>18</v>
      </c>
      <c r="C15" t="s">
        <v>3</v>
      </c>
      <c r="D15" s="5">
        <v>0</v>
      </c>
      <c r="E15">
        <f t="shared" si="0"/>
        <v>0</v>
      </c>
      <c r="F15">
        <f t="shared" si="1"/>
        <v>0</v>
      </c>
    </row>
    <row r="16" spans="1:7" x14ac:dyDescent="0.3">
      <c r="A16" t="s">
        <v>100</v>
      </c>
      <c r="B16" t="s">
        <v>19</v>
      </c>
      <c r="C16" t="s">
        <v>3</v>
      </c>
      <c r="D16" s="5">
        <v>0</v>
      </c>
      <c r="E16">
        <f t="shared" si="0"/>
        <v>0</v>
      </c>
      <c r="F16">
        <f t="shared" si="1"/>
        <v>0</v>
      </c>
    </row>
    <row r="17" spans="1:7" x14ac:dyDescent="0.3">
      <c r="A17" t="s">
        <v>101</v>
      </c>
      <c r="B17" t="s">
        <v>20</v>
      </c>
      <c r="C17" t="s">
        <v>3</v>
      </c>
      <c r="D17" s="5">
        <v>0</v>
      </c>
      <c r="E17">
        <f t="shared" si="0"/>
        <v>0</v>
      </c>
      <c r="F17">
        <f t="shared" si="1"/>
        <v>0</v>
      </c>
    </row>
    <row r="18" spans="1:7" x14ac:dyDescent="0.3">
      <c r="A18" t="s">
        <v>102</v>
      </c>
      <c r="B18" t="s">
        <v>21</v>
      </c>
      <c r="C18" t="s">
        <v>3</v>
      </c>
      <c r="D18" s="5">
        <v>0</v>
      </c>
      <c r="E18">
        <f t="shared" si="0"/>
        <v>0</v>
      </c>
      <c r="F18">
        <f t="shared" si="1"/>
        <v>0</v>
      </c>
    </row>
    <row r="19" spans="1:7" x14ac:dyDescent="0.3">
      <c r="A19" s="4" t="s">
        <v>220</v>
      </c>
      <c r="B19" s="4" t="s">
        <v>22</v>
      </c>
      <c r="C19" s="4"/>
      <c r="D19" s="6"/>
      <c r="E19" s="4"/>
      <c r="F19" s="4"/>
      <c r="G19" s="4"/>
    </row>
    <row r="20" spans="1:7" x14ac:dyDescent="0.3">
      <c r="A20" t="s">
        <v>103</v>
      </c>
      <c r="B20" t="s">
        <v>23</v>
      </c>
      <c r="C20" t="s">
        <v>3</v>
      </c>
      <c r="D20" s="5">
        <v>0</v>
      </c>
      <c r="E20">
        <f t="shared" ref="E20:E26" si="2">SUM(D20)</f>
        <v>0</v>
      </c>
      <c r="F20">
        <f t="shared" ref="F20:F26" si="3">E20</f>
        <v>0</v>
      </c>
    </row>
    <row r="21" spans="1:7" x14ac:dyDescent="0.3">
      <c r="A21" t="s">
        <v>104</v>
      </c>
      <c r="B21" t="s">
        <v>24</v>
      </c>
      <c r="C21" t="s">
        <v>3</v>
      </c>
      <c r="D21" s="5">
        <v>0</v>
      </c>
      <c r="E21">
        <f t="shared" si="2"/>
        <v>0</v>
      </c>
      <c r="F21">
        <f t="shared" si="3"/>
        <v>0</v>
      </c>
    </row>
    <row r="22" spans="1:7" x14ac:dyDescent="0.3">
      <c r="A22" t="s">
        <v>105</v>
      </c>
      <c r="B22" t="s">
        <v>25</v>
      </c>
      <c r="C22" t="s">
        <v>3</v>
      </c>
      <c r="D22" s="5">
        <v>0</v>
      </c>
      <c r="E22">
        <f t="shared" si="2"/>
        <v>0</v>
      </c>
      <c r="F22">
        <f t="shared" si="3"/>
        <v>0</v>
      </c>
    </row>
    <row r="23" spans="1:7" x14ac:dyDescent="0.3">
      <c r="A23" t="s">
        <v>106</v>
      </c>
      <c r="B23" t="s">
        <v>26</v>
      </c>
      <c r="C23" t="s">
        <v>3</v>
      </c>
      <c r="D23" s="5">
        <v>0</v>
      </c>
      <c r="E23">
        <f t="shared" si="2"/>
        <v>0</v>
      </c>
      <c r="F23">
        <f t="shared" si="3"/>
        <v>0</v>
      </c>
    </row>
    <row r="24" spans="1:7" x14ac:dyDescent="0.3">
      <c r="A24" t="s">
        <v>107</v>
      </c>
      <c r="B24" t="s">
        <v>27</v>
      </c>
      <c r="C24" t="s">
        <v>3</v>
      </c>
      <c r="D24" s="5">
        <v>0</v>
      </c>
      <c r="E24">
        <f t="shared" si="2"/>
        <v>0</v>
      </c>
      <c r="F24">
        <f t="shared" si="3"/>
        <v>0</v>
      </c>
    </row>
    <row r="25" spans="1:7" x14ac:dyDescent="0.3">
      <c r="A25" t="s">
        <v>108</v>
      </c>
      <c r="B25" t="s">
        <v>28</v>
      </c>
      <c r="C25" t="s">
        <v>3</v>
      </c>
      <c r="D25" s="5">
        <v>0</v>
      </c>
      <c r="E25">
        <f t="shared" si="2"/>
        <v>0</v>
      </c>
      <c r="F25">
        <f t="shared" si="3"/>
        <v>0</v>
      </c>
    </row>
    <row r="26" spans="1:7" x14ac:dyDescent="0.3">
      <c r="A26" t="s">
        <v>109</v>
      </c>
      <c r="B26" t="s">
        <v>29</v>
      </c>
      <c r="C26" t="s">
        <v>3</v>
      </c>
      <c r="D26" s="5">
        <v>0</v>
      </c>
      <c r="E26">
        <f t="shared" si="2"/>
        <v>0</v>
      </c>
      <c r="F26">
        <f t="shared" si="3"/>
        <v>0</v>
      </c>
    </row>
    <row r="27" spans="1:7" x14ac:dyDescent="0.3">
      <c r="A27" s="4" t="s">
        <v>221</v>
      </c>
      <c r="B27" s="4" t="s">
        <v>30</v>
      </c>
      <c r="C27" s="4"/>
      <c r="D27" s="6"/>
      <c r="E27" s="4"/>
      <c r="F27" s="4"/>
      <c r="G27" s="4"/>
    </row>
    <row r="28" spans="1:7" x14ac:dyDescent="0.3">
      <c r="A28" t="s">
        <v>110</v>
      </c>
      <c r="B28" t="s">
        <v>31</v>
      </c>
      <c r="C28" t="s">
        <v>3</v>
      </c>
      <c r="D28" s="5">
        <v>0</v>
      </c>
      <c r="E28">
        <f>SUM(D28)</f>
        <v>0</v>
      </c>
      <c r="F28">
        <f>E28</f>
        <v>0</v>
      </c>
    </row>
    <row r="29" spans="1:7" x14ac:dyDescent="0.3">
      <c r="A29" t="s">
        <v>111</v>
      </c>
      <c r="B29" t="s">
        <v>32</v>
      </c>
      <c r="C29" t="s">
        <v>3</v>
      </c>
      <c r="D29" s="5">
        <v>0</v>
      </c>
      <c r="E29">
        <f>SUM(D29)</f>
        <v>0</v>
      </c>
      <c r="F29">
        <f>E29</f>
        <v>0</v>
      </c>
    </row>
    <row r="30" spans="1:7" x14ac:dyDescent="0.3">
      <c r="A30" t="s">
        <v>112</v>
      </c>
      <c r="B30" t="s">
        <v>33</v>
      </c>
      <c r="C30" t="s">
        <v>34</v>
      </c>
      <c r="D30" s="5">
        <v>0</v>
      </c>
      <c r="E30">
        <f>SUM(D30)</f>
        <v>0</v>
      </c>
      <c r="F30">
        <f>E30</f>
        <v>0</v>
      </c>
    </row>
    <row r="31" spans="1:7" x14ac:dyDescent="0.3">
      <c r="A31" s="2" t="s">
        <v>1</v>
      </c>
      <c r="B31" s="2" t="s">
        <v>35</v>
      </c>
      <c r="C31" s="2"/>
      <c r="D31" s="2"/>
      <c r="E31" s="2"/>
      <c r="F31" s="2"/>
      <c r="G31" s="2"/>
    </row>
    <row r="32" spans="1:7" x14ac:dyDescent="0.3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9</v>
      </c>
    </row>
    <row r="33" spans="1:7" x14ac:dyDescent="0.3">
      <c r="A33" t="s">
        <v>88</v>
      </c>
      <c r="B33" t="s">
        <v>10</v>
      </c>
      <c r="C33" t="s">
        <v>3</v>
      </c>
      <c r="D33" s="5">
        <v>0</v>
      </c>
      <c r="E33">
        <f>SUM(D9,D33)</f>
        <v>0</v>
      </c>
      <c r="F33">
        <f>E33</f>
        <v>0</v>
      </c>
    </row>
    <row r="34" spans="1:7" x14ac:dyDescent="0.3">
      <c r="A34" t="s">
        <v>91</v>
      </c>
      <c r="B34" t="s">
        <v>11</v>
      </c>
      <c r="C34" t="s">
        <v>12</v>
      </c>
      <c r="D34" s="5">
        <v>0</v>
      </c>
      <c r="E34">
        <f>SUM(D10,D34)</f>
        <v>0</v>
      </c>
      <c r="F34">
        <f>E34</f>
        <v>0</v>
      </c>
    </row>
    <row r="35" spans="1:7" x14ac:dyDescent="0.3">
      <c r="A35" t="s">
        <v>93</v>
      </c>
      <c r="B35" t="s">
        <v>13</v>
      </c>
      <c r="C35" t="s">
        <v>14</v>
      </c>
      <c r="D35" s="5">
        <v>0</v>
      </c>
      <c r="E35">
        <f>SUM(D11,D35)</f>
        <v>0</v>
      </c>
      <c r="F35">
        <f>E35</f>
        <v>0</v>
      </c>
    </row>
    <row r="36" spans="1:7" x14ac:dyDescent="0.3">
      <c r="A36" s="4" t="s">
        <v>219</v>
      </c>
      <c r="B36" s="4" t="s">
        <v>15</v>
      </c>
      <c r="C36" s="4"/>
      <c r="D36" s="6"/>
      <c r="E36" s="4"/>
      <c r="F36" s="4"/>
      <c r="G36" s="4"/>
    </row>
    <row r="37" spans="1:7" x14ac:dyDescent="0.3">
      <c r="A37" t="s">
        <v>95</v>
      </c>
      <c r="B37" t="s">
        <v>16</v>
      </c>
      <c r="C37" t="s">
        <v>3</v>
      </c>
      <c r="D37" s="5">
        <v>0</v>
      </c>
      <c r="E37">
        <f t="shared" ref="E37:E42" si="4">SUM(D13,D37)</f>
        <v>0</v>
      </c>
      <c r="F37">
        <f t="shared" ref="F37:F42" si="5">E37</f>
        <v>0</v>
      </c>
    </row>
    <row r="38" spans="1:7" x14ac:dyDescent="0.3">
      <c r="A38" t="s">
        <v>97</v>
      </c>
      <c r="B38" t="s">
        <v>17</v>
      </c>
      <c r="C38" t="s">
        <v>3</v>
      </c>
      <c r="D38" s="5">
        <v>0</v>
      </c>
      <c r="E38">
        <f t="shared" si="4"/>
        <v>0</v>
      </c>
      <c r="F38">
        <f t="shared" si="5"/>
        <v>0</v>
      </c>
    </row>
    <row r="39" spans="1:7" x14ac:dyDescent="0.3">
      <c r="A39" t="s">
        <v>99</v>
      </c>
      <c r="B39" t="s">
        <v>18</v>
      </c>
      <c r="C39" t="s">
        <v>3</v>
      </c>
      <c r="D39" s="5">
        <v>0</v>
      </c>
      <c r="E39">
        <f t="shared" si="4"/>
        <v>0</v>
      </c>
      <c r="F39">
        <f t="shared" si="5"/>
        <v>0</v>
      </c>
    </row>
    <row r="40" spans="1:7" x14ac:dyDescent="0.3">
      <c r="A40" t="s">
        <v>100</v>
      </c>
      <c r="B40" t="s">
        <v>19</v>
      </c>
      <c r="C40" t="s">
        <v>3</v>
      </c>
      <c r="D40" s="5">
        <v>0</v>
      </c>
      <c r="E40">
        <f t="shared" si="4"/>
        <v>0</v>
      </c>
      <c r="F40">
        <f t="shared" si="5"/>
        <v>0</v>
      </c>
    </row>
    <row r="41" spans="1:7" x14ac:dyDescent="0.3">
      <c r="A41" t="s">
        <v>101</v>
      </c>
      <c r="B41" t="s">
        <v>20</v>
      </c>
      <c r="C41" t="s">
        <v>3</v>
      </c>
      <c r="D41" s="5">
        <v>0</v>
      </c>
      <c r="E41">
        <f t="shared" si="4"/>
        <v>0</v>
      </c>
      <c r="F41">
        <f t="shared" si="5"/>
        <v>0</v>
      </c>
    </row>
    <row r="42" spans="1:7" x14ac:dyDescent="0.3">
      <c r="A42" t="s">
        <v>102</v>
      </c>
      <c r="B42" t="s">
        <v>21</v>
      </c>
      <c r="C42" t="s">
        <v>3</v>
      </c>
      <c r="D42" s="5">
        <v>0</v>
      </c>
      <c r="E42">
        <f t="shared" si="4"/>
        <v>0</v>
      </c>
      <c r="F42">
        <f t="shared" si="5"/>
        <v>0</v>
      </c>
    </row>
    <row r="43" spans="1:7" x14ac:dyDescent="0.3">
      <c r="A43" s="4" t="s">
        <v>220</v>
      </c>
      <c r="B43" s="4" t="s">
        <v>22</v>
      </c>
      <c r="C43" s="4"/>
      <c r="D43" s="6"/>
      <c r="E43" s="4"/>
      <c r="F43" s="4"/>
      <c r="G43" s="4"/>
    </row>
    <row r="44" spans="1:7" x14ac:dyDescent="0.3">
      <c r="A44" t="s">
        <v>103</v>
      </c>
      <c r="B44" t="s">
        <v>23</v>
      </c>
      <c r="C44" t="s">
        <v>3</v>
      </c>
      <c r="D44" s="5">
        <v>0</v>
      </c>
      <c r="E44">
        <f t="shared" ref="E44:E50" si="6">SUM(D20,D44)</f>
        <v>0</v>
      </c>
      <c r="F44">
        <f t="shared" ref="F44:F50" si="7">E44</f>
        <v>0</v>
      </c>
    </row>
    <row r="45" spans="1:7" x14ac:dyDescent="0.3">
      <c r="A45" t="s">
        <v>104</v>
      </c>
      <c r="B45" t="s">
        <v>24</v>
      </c>
      <c r="C45" t="s">
        <v>3</v>
      </c>
      <c r="D45" s="5">
        <v>0</v>
      </c>
      <c r="E45">
        <f t="shared" si="6"/>
        <v>0</v>
      </c>
      <c r="F45">
        <f t="shared" si="7"/>
        <v>0</v>
      </c>
    </row>
    <row r="46" spans="1:7" x14ac:dyDescent="0.3">
      <c r="A46" t="s">
        <v>105</v>
      </c>
      <c r="B46" t="s">
        <v>25</v>
      </c>
      <c r="C46" t="s">
        <v>3</v>
      </c>
      <c r="D46" s="5">
        <v>0</v>
      </c>
      <c r="E46">
        <f t="shared" si="6"/>
        <v>0</v>
      </c>
      <c r="F46">
        <f t="shared" si="7"/>
        <v>0</v>
      </c>
    </row>
    <row r="47" spans="1:7" x14ac:dyDescent="0.3">
      <c r="A47" t="s">
        <v>106</v>
      </c>
      <c r="B47" t="s">
        <v>26</v>
      </c>
      <c r="C47" t="s">
        <v>3</v>
      </c>
      <c r="D47" s="5">
        <v>0</v>
      </c>
      <c r="E47">
        <f t="shared" si="6"/>
        <v>0</v>
      </c>
      <c r="F47">
        <f t="shared" si="7"/>
        <v>0</v>
      </c>
    </row>
    <row r="48" spans="1:7" x14ac:dyDescent="0.3">
      <c r="A48" t="s">
        <v>107</v>
      </c>
      <c r="B48" t="s">
        <v>27</v>
      </c>
      <c r="C48" t="s">
        <v>3</v>
      </c>
      <c r="D48" s="5">
        <v>0</v>
      </c>
      <c r="E48">
        <f t="shared" si="6"/>
        <v>0</v>
      </c>
      <c r="F48">
        <f t="shared" si="7"/>
        <v>0</v>
      </c>
    </row>
    <row r="49" spans="1:7" x14ac:dyDescent="0.3">
      <c r="A49" t="s">
        <v>108</v>
      </c>
      <c r="B49" t="s">
        <v>28</v>
      </c>
      <c r="C49" t="s">
        <v>3</v>
      </c>
      <c r="D49" s="5">
        <v>0</v>
      </c>
      <c r="E49">
        <f t="shared" si="6"/>
        <v>0</v>
      </c>
      <c r="F49">
        <f t="shared" si="7"/>
        <v>0</v>
      </c>
    </row>
    <row r="50" spans="1:7" x14ac:dyDescent="0.3">
      <c r="A50" t="s">
        <v>109</v>
      </c>
      <c r="B50" t="s">
        <v>29</v>
      </c>
      <c r="C50" t="s">
        <v>3</v>
      </c>
      <c r="D50" s="5">
        <v>0</v>
      </c>
      <c r="E50">
        <f t="shared" si="6"/>
        <v>0</v>
      </c>
      <c r="F50">
        <f t="shared" si="7"/>
        <v>0</v>
      </c>
    </row>
    <row r="51" spans="1:7" x14ac:dyDescent="0.3">
      <c r="A51" s="4" t="s">
        <v>221</v>
      </c>
      <c r="B51" s="4" t="s">
        <v>30</v>
      </c>
      <c r="C51" s="4"/>
      <c r="D51" s="6"/>
      <c r="E51" s="4"/>
      <c r="F51" s="4"/>
      <c r="G51" s="4"/>
    </row>
    <row r="52" spans="1:7" x14ac:dyDescent="0.3">
      <c r="A52" t="s">
        <v>110</v>
      </c>
      <c r="B52" t="s">
        <v>31</v>
      </c>
      <c r="C52" t="s">
        <v>3</v>
      </c>
      <c r="D52" s="5">
        <v>0</v>
      </c>
      <c r="E52">
        <f>SUM(D28,D52)</f>
        <v>0</v>
      </c>
      <c r="F52">
        <f>E52</f>
        <v>0</v>
      </c>
    </row>
    <row r="53" spans="1:7" x14ac:dyDescent="0.3">
      <c r="A53" t="s">
        <v>111</v>
      </c>
      <c r="B53" t="s">
        <v>32</v>
      </c>
      <c r="C53" t="s">
        <v>3</v>
      </c>
      <c r="D53" s="5">
        <v>0</v>
      </c>
      <c r="E53">
        <f>SUM(D29,D53)</f>
        <v>0</v>
      </c>
      <c r="F53">
        <f>E53</f>
        <v>0</v>
      </c>
    </row>
    <row r="54" spans="1:7" x14ac:dyDescent="0.3">
      <c r="A54" t="s">
        <v>112</v>
      </c>
      <c r="B54" t="s">
        <v>33</v>
      </c>
      <c r="C54" t="s">
        <v>34</v>
      </c>
      <c r="D54" s="5">
        <v>0</v>
      </c>
      <c r="E54">
        <f>SUM(D30,D54)</f>
        <v>0</v>
      </c>
      <c r="F54">
        <f>E54</f>
        <v>0</v>
      </c>
    </row>
    <row r="55" spans="1:7" x14ac:dyDescent="0.3">
      <c r="A55" s="2" t="s">
        <v>1</v>
      </c>
      <c r="B55" s="2" t="s">
        <v>36</v>
      </c>
      <c r="C55" s="2"/>
      <c r="D55" s="2"/>
      <c r="E55" s="2"/>
      <c r="F55" s="2"/>
      <c r="G55" s="2"/>
    </row>
    <row r="56" spans="1:7" x14ac:dyDescent="0.3">
      <c r="A56" s="3" t="s">
        <v>3</v>
      </c>
      <c r="B56" s="3" t="s">
        <v>4</v>
      </c>
      <c r="C56" s="3" t="s">
        <v>5</v>
      </c>
      <c r="D56" s="3" t="s">
        <v>6</v>
      </c>
      <c r="E56" s="3" t="s">
        <v>7</v>
      </c>
      <c r="F56" s="3" t="s">
        <v>8</v>
      </c>
      <c r="G56" s="3" t="s">
        <v>9</v>
      </c>
    </row>
    <row r="57" spans="1:7" x14ac:dyDescent="0.3">
      <c r="A57" t="s">
        <v>88</v>
      </c>
      <c r="B57" t="s">
        <v>10</v>
      </c>
      <c r="C57" t="s">
        <v>3</v>
      </c>
      <c r="D57" s="5">
        <v>0</v>
      </c>
      <c r="E57">
        <f>SUM(D9,D33,D57)</f>
        <v>0</v>
      </c>
      <c r="F57">
        <f>E57</f>
        <v>0</v>
      </c>
    </row>
    <row r="58" spans="1:7" x14ac:dyDescent="0.3">
      <c r="A58" t="s">
        <v>91</v>
      </c>
      <c r="B58" t="s">
        <v>11</v>
      </c>
      <c r="C58" t="s">
        <v>12</v>
      </c>
      <c r="D58" s="5">
        <v>0</v>
      </c>
      <c r="E58">
        <f>SUM(D10,D34,D58)</f>
        <v>0</v>
      </c>
      <c r="F58">
        <f>E58</f>
        <v>0</v>
      </c>
    </row>
    <row r="59" spans="1:7" x14ac:dyDescent="0.3">
      <c r="A59" t="s">
        <v>93</v>
      </c>
      <c r="B59" t="s">
        <v>13</v>
      </c>
      <c r="C59" t="s">
        <v>14</v>
      </c>
      <c r="D59" s="5">
        <v>0</v>
      </c>
      <c r="E59">
        <f>SUM(D11,D35,D59)</f>
        <v>0</v>
      </c>
      <c r="F59">
        <f>E59</f>
        <v>0</v>
      </c>
    </row>
    <row r="60" spans="1:7" x14ac:dyDescent="0.3">
      <c r="A60" s="4" t="s">
        <v>219</v>
      </c>
      <c r="B60" s="4" t="s">
        <v>15</v>
      </c>
      <c r="C60" s="4"/>
      <c r="D60" s="6"/>
      <c r="E60" s="4"/>
      <c r="F60" s="4"/>
      <c r="G60" s="4"/>
    </row>
    <row r="61" spans="1:7" x14ac:dyDescent="0.3">
      <c r="A61" t="s">
        <v>95</v>
      </c>
      <c r="B61" t="s">
        <v>16</v>
      </c>
      <c r="C61" t="s">
        <v>3</v>
      </c>
      <c r="D61" s="5">
        <v>0</v>
      </c>
      <c r="E61">
        <f t="shared" ref="E61:E66" si="8">SUM(D13,D37,D61)</f>
        <v>0</v>
      </c>
      <c r="F61">
        <f t="shared" ref="F61:F66" si="9">E61</f>
        <v>0</v>
      </c>
    </row>
    <row r="62" spans="1:7" x14ac:dyDescent="0.3">
      <c r="A62" t="s">
        <v>97</v>
      </c>
      <c r="B62" t="s">
        <v>17</v>
      </c>
      <c r="C62" t="s">
        <v>3</v>
      </c>
      <c r="D62" s="5">
        <v>0</v>
      </c>
      <c r="E62">
        <f t="shared" si="8"/>
        <v>0</v>
      </c>
      <c r="F62">
        <f t="shared" si="9"/>
        <v>0</v>
      </c>
    </row>
    <row r="63" spans="1:7" x14ac:dyDescent="0.3">
      <c r="A63" t="s">
        <v>99</v>
      </c>
      <c r="B63" t="s">
        <v>18</v>
      </c>
      <c r="C63" t="s">
        <v>3</v>
      </c>
      <c r="D63" s="5">
        <v>0</v>
      </c>
      <c r="E63">
        <f t="shared" si="8"/>
        <v>0</v>
      </c>
      <c r="F63">
        <f t="shared" si="9"/>
        <v>0</v>
      </c>
    </row>
    <row r="64" spans="1:7" x14ac:dyDescent="0.3">
      <c r="A64" t="s">
        <v>100</v>
      </c>
      <c r="B64" t="s">
        <v>19</v>
      </c>
      <c r="C64" t="s">
        <v>3</v>
      </c>
      <c r="D64" s="5">
        <v>0</v>
      </c>
      <c r="E64">
        <f t="shared" si="8"/>
        <v>0</v>
      </c>
      <c r="F64">
        <f t="shared" si="9"/>
        <v>0</v>
      </c>
    </row>
    <row r="65" spans="1:7" x14ac:dyDescent="0.3">
      <c r="A65" t="s">
        <v>101</v>
      </c>
      <c r="B65" t="s">
        <v>20</v>
      </c>
      <c r="C65" t="s">
        <v>3</v>
      </c>
      <c r="D65" s="5">
        <v>0</v>
      </c>
      <c r="E65">
        <f t="shared" si="8"/>
        <v>0</v>
      </c>
      <c r="F65">
        <f t="shared" si="9"/>
        <v>0</v>
      </c>
    </row>
    <row r="66" spans="1:7" x14ac:dyDescent="0.3">
      <c r="A66" t="s">
        <v>102</v>
      </c>
      <c r="B66" t="s">
        <v>21</v>
      </c>
      <c r="C66" t="s">
        <v>3</v>
      </c>
      <c r="D66" s="5">
        <v>0</v>
      </c>
      <c r="E66">
        <f t="shared" si="8"/>
        <v>0</v>
      </c>
      <c r="F66">
        <f t="shared" si="9"/>
        <v>0</v>
      </c>
    </row>
    <row r="67" spans="1:7" x14ac:dyDescent="0.3">
      <c r="A67" s="4" t="s">
        <v>220</v>
      </c>
      <c r="B67" s="4" t="s">
        <v>22</v>
      </c>
      <c r="C67" s="4"/>
      <c r="D67" s="6"/>
      <c r="E67" s="4"/>
      <c r="F67" s="4"/>
      <c r="G67" s="4"/>
    </row>
    <row r="68" spans="1:7" x14ac:dyDescent="0.3">
      <c r="A68" t="s">
        <v>103</v>
      </c>
      <c r="B68" t="s">
        <v>23</v>
      </c>
      <c r="C68" t="s">
        <v>3</v>
      </c>
      <c r="D68" s="5">
        <v>0</v>
      </c>
      <c r="E68">
        <f t="shared" ref="E68:E74" si="10">SUM(D20,D44,D68)</f>
        <v>0</v>
      </c>
      <c r="F68">
        <f t="shared" ref="F68:F74" si="11">E68</f>
        <v>0</v>
      </c>
    </row>
    <row r="69" spans="1:7" x14ac:dyDescent="0.3">
      <c r="A69" t="s">
        <v>104</v>
      </c>
      <c r="B69" t="s">
        <v>24</v>
      </c>
      <c r="C69" t="s">
        <v>3</v>
      </c>
      <c r="D69" s="5">
        <v>0</v>
      </c>
      <c r="E69">
        <f t="shared" si="10"/>
        <v>0</v>
      </c>
      <c r="F69">
        <f t="shared" si="11"/>
        <v>0</v>
      </c>
    </row>
    <row r="70" spans="1:7" x14ac:dyDescent="0.3">
      <c r="A70" t="s">
        <v>105</v>
      </c>
      <c r="B70" t="s">
        <v>25</v>
      </c>
      <c r="C70" t="s">
        <v>3</v>
      </c>
      <c r="D70" s="5">
        <v>0</v>
      </c>
      <c r="E70">
        <f t="shared" si="10"/>
        <v>0</v>
      </c>
      <c r="F70">
        <f t="shared" si="11"/>
        <v>0</v>
      </c>
    </row>
    <row r="71" spans="1:7" x14ac:dyDescent="0.3">
      <c r="A71" t="s">
        <v>106</v>
      </c>
      <c r="B71" t="s">
        <v>26</v>
      </c>
      <c r="C71" t="s">
        <v>3</v>
      </c>
      <c r="D71" s="5">
        <v>0</v>
      </c>
      <c r="E71">
        <f t="shared" si="10"/>
        <v>0</v>
      </c>
      <c r="F71">
        <f t="shared" si="11"/>
        <v>0</v>
      </c>
    </row>
    <row r="72" spans="1:7" x14ac:dyDescent="0.3">
      <c r="A72" t="s">
        <v>107</v>
      </c>
      <c r="B72" t="s">
        <v>27</v>
      </c>
      <c r="C72" t="s">
        <v>3</v>
      </c>
      <c r="D72" s="5">
        <v>0</v>
      </c>
      <c r="E72">
        <f t="shared" si="10"/>
        <v>0</v>
      </c>
      <c r="F72">
        <f t="shared" si="11"/>
        <v>0</v>
      </c>
    </row>
    <row r="73" spans="1:7" x14ac:dyDescent="0.3">
      <c r="A73" t="s">
        <v>108</v>
      </c>
      <c r="B73" t="s">
        <v>28</v>
      </c>
      <c r="C73" t="s">
        <v>3</v>
      </c>
      <c r="D73" s="5">
        <v>0</v>
      </c>
      <c r="E73">
        <f t="shared" si="10"/>
        <v>0</v>
      </c>
      <c r="F73">
        <f t="shared" si="11"/>
        <v>0</v>
      </c>
    </row>
    <row r="74" spans="1:7" x14ac:dyDescent="0.3">
      <c r="A74" t="s">
        <v>109</v>
      </c>
      <c r="B74" t="s">
        <v>29</v>
      </c>
      <c r="C74" t="s">
        <v>3</v>
      </c>
      <c r="D74" s="5">
        <v>0</v>
      </c>
      <c r="E74">
        <f t="shared" si="10"/>
        <v>0</v>
      </c>
      <c r="F74">
        <f t="shared" si="11"/>
        <v>0</v>
      </c>
    </row>
    <row r="75" spans="1:7" x14ac:dyDescent="0.3">
      <c r="A75" s="4" t="s">
        <v>221</v>
      </c>
      <c r="B75" s="4" t="s">
        <v>30</v>
      </c>
      <c r="C75" s="4"/>
      <c r="D75" s="6"/>
      <c r="E75" s="4"/>
      <c r="F75" s="4"/>
      <c r="G75" s="4"/>
    </row>
    <row r="76" spans="1:7" x14ac:dyDescent="0.3">
      <c r="A76" t="s">
        <v>110</v>
      </c>
      <c r="B76" t="s">
        <v>31</v>
      </c>
      <c r="C76" t="s">
        <v>3</v>
      </c>
      <c r="D76" s="5">
        <v>0</v>
      </c>
      <c r="E76">
        <f>SUM(D28,D52,D76)</f>
        <v>0</v>
      </c>
      <c r="F76">
        <f>E76</f>
        <v>0</v>
      </c>
    </row>
    <row r="77" spans="1:7" x14ac:dyDescent="0.3">
      <c r="A77" t="s">
        <v>111</v>
      </c>
      <c r="B77" t="s">
        <v>32</v>
      </c>
      <c r="C77" t="s">
        <v>3</v>
      </c>
      <c r="D77" s="5">
        <v>0</v>
      </c>
      <c r="E77">
        <f>SUM(D29,D53,D77)</f>
        <v>0</v>
      </c>
      <c r="F77">
        <f>E77</f>
        <v>0</v>
      </c>
    </row>
    <row r="78" spans="1:7" x14ac:dyDescent="0.3">
      <c r="A78" t="s">
        <v>112</v>
      </c>
      <c r="B78" t="s">
        <v>33</v>
      </c>
      <c r="C78" t="s">
        <v>34</v>
      </c>
      <c r="D78" s="5">
        <v>0</v>
      </c>
      <c r="E78">
        <f>SUM(D30,D54,D78)</f>
        <v>0</v>
      </c>
      <c r="F78">
        <f>E78</f>
        <v>0</v>
      </c>
    </row>
    <row r="79" spans="1:7" x14ac:dyDescent="0.3">
      <c r="A79" s="2" t="s">
        <v>1</v>
      </c>
      <c r="B79" s="2" t="s">
        <v>37</v>
      </c>
      <c r="C79" s="2"/>
      <c r="D79" s="2"/>
      <c r="E79" s="2"/>
      <c r="F79" s="2"/>
      <c r="G79" s="2"/>
    </row>
    <row r="80" spans="1:7" x14ac:dyDescent="0.3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</row>
    <row r="81" spans="1:7" x14ac:dyDescent="0.3">
      <c r="A81" t="s">
        <v>88</v>
      </c>
      <c r="B81" t="s">
        <v>10</v>
      </c>
      <c r="C81" t="s">
        <v>3</v>
      </c>
      <c r="D81" s="5">
        <v>0</v>
      </c>
      <c r="E81">
        <f>SUM(D9,D33,D57,D81)</f>
        <v>0</v>
      </c>
      <c r="F81">
        <f>E81</f>
        <v>0</v>
      </c>
    </row>
    <row r="82" spans="1:7" x14ac:dyDescent="0.3">
      <c r="A82" t="s">
        <v>91</v>
      </c>
      <c r="B82" t="s">
        <v>11</v>
      </c>
      <c r="C82" t="s">
        <v>12</v>
      </c>
      <c r="D82" s="5">
        <v>0</v>
      </c>
      <c r="E82">
        <f>SUM(D10,D34,D58,D82)</f>
        <v>0</v>
      </c>
      <c r="F82">
        <f>E82</f>
        <v>0</v>
      </c>
    </row>
    <row r="83" spans="1:7" x14ac:dyDescent="0.3">
      <c r="A83" t="s">
        <v>93</v>
      </c>
      <c r="B83" t="s">
        <v>13</v>
      </c>
      <c r="C83" t="s">
        <v>14</v>
      </c>
      <c r="D83" s="5">
        <v>0</v>
      </c>
      <c r="E83">
        <f>SUM(D11,D35,D59,D83)</f>
        <v>0</v>
      </c>
      <c r="F83">
        <f>E83</f>
        <v>0</v>
      </c>
    </row>
    <row r="84" spans="1:7" x14ac:dyDescent="0.3">
      <c r="A84" s="4" t="s">
        <v>219</v>
      </c>
      <c r="B84" s="4" t="s">
        <v>15</v>
      </c>
      <c r="C84" s="4"/>
      <c r="D84" s="6"/>
      <c r="E84" s="4"/>
      <c r="F84" s="4"/>
      <c r="G84" s="4"/>
    </row>
    <row r="85" spans="1:7" x14ac:dyDescent="0.3">
      <c r="A85" t="s">
        <v>95</v>
      </c>
      <c r="B85" t="s">
        <v>16</v>
      </c>
      <c r="C85" t="s">
        <v>3</v>
      </c>
      <c r="D85" s="5">
        <v>0</v>
      </c>
      <c r="E85">
        <f t="shared" ref="E85:E90" si="12">SUM(D13,D37,D61,D85)</f>
        <v>0</v>
      </c>
      <c r="F85">
        <f t="shared" ref="F85:F90" si="13">E85</f>
        <v>0</v>
      </c>
    </row>
    <row r="86" spans="1:7" x14ac:dyDescent="0.3">
      <c r="A86" t="s">
        <v>97</v>
      </c>
      <c r="B86" t="s">
        <v>17</v>
      </c>
      <c r="C86" t="s">
        <v>3</v>
      </c>
      <c r="D86" s="5">
        <v>0</v>
      </c>
      <c r="E86">
        <f t="shared" si="12"/>
        <v>0</v>
      </c>
      <c r="F86">
        <f t="shared" si="13"/>
        <v>0</v>
      </c>
    </row>
    <row r="87" spans="1:7" x14ac:dyDescent="0.3">
      <c r="A87" t="s">
        <v>99</v>
      </c>
      <c r="B87" t="s">
        <v>18</v>
      </c>
      <c r="C87" t="s">
        <v>3</v>
      </c>
      <c r="D87" s="5">
        <v>0</v>
      </c>
      <c r="E87">
        <f t="shared" si="12"/>
        <v>0</v>
      </c>
      <c r="F87">
        <f t="shared" si="13"/>
        <v>0</v>
      </c>
    </row>
    <row r="88" spans="1:7" x14ac:dyDescent="0.3">
      <c r="A88" t="s">
        <v>100</v>
      </c>
      <c r="B88" t="s">
        <v>19</v>
      </c>
      <c r="C88" t="s">
        <v>3</v>
      </c>
      <c r="D88" s="5">
        <v>0</v>
      </c>
      <c r="E88">
        <f t="shared" si="12"/>
        <v>0</v>
      </c>
      <c r="F88">
        <f t="shared" si="13"/>
        <v>0</v>
      </c>
    </row>
    <row r="89" spans="1:7" x14ac:dyDescent="0.3">
      <c r="A89" t="s">
        <v>101</v>
      </c>
      <c r="B89" t="s">
        <v>20</v>
      </c>
      <c r="C89" t="s">
        <v>3</v>
      </c>
      <c r="D89" s="5">
        <v>0</v>
      </c>
      <c r="E89">
        <f t="shared" si="12"/>
        <v>0</v>
      </c>
      <c r="F89">
        <f t="shared" si="13"/>
        <v>0</v>
      </c>
    </row>
    <row r="90" spans="1:7" x14ac:dyDescent="0.3">
      <c r="A90" t="s">
        <v>102</v>
      </c>
      <c r="B90" t="s">
        <v>21</v>
      </c>
      <c r="C90" t="s">
        <v>3</v>
      </c>
      <c r="D90" s="5">
        <v>0</v>
      </c>
      <c r="E90">
        <f t="shared" si="12"/>
        <v>0</v>
      </c>
      <c r="F90">
        <f t="shared" si="13"/>
        <v>0</v>
      </c>
    </row>
    <row r="91" spans="1:7" x14ac:dyDescent="0.3">
      <c r="A91" s="4" t="s">
        <v>220</v>
      </c>
      <c r="B91" s="4" t="s">
        <v>22</v>
      </c>
      <c r="C91" s="4"/>
      <c r="D91" s="6"/>
      <c r="E91" s="4"/>
      <c r="F91" s="4"/>
      <c r="G91" s="4"/>
    </row>
    <row r="92" spans="1:7" x14ac:dyDescent="0.3">
      <c r="A92" t="s">
        <v>103</v>
      </c>
      <c r="B92" t="s">
        <v>23</v>
      </c>
      <c r="C92" t="s">
        <v>3</v>
      </c>
      <c r="D92" s="5">
        <v>0</v>
      </c>
      <c r="E92">
        <f t="shared" ref="E92:E98" si="14">SUM(D20,D44,D68,D92)</f>
        <v>0</v>
      </c>
      <c r="F92">
        <f t="shared" ref="F92:F98" si="15">E92</f>
        <v>0</v>
      </c>
    </row>
    <row r="93" spans="1:7" x14ac:dyDescent="0.3">
      <c r="A93" t="s">
        <v>104</v>
      </c>
      <c r="B93" t="s">
        <v>24</v>
      </c>
      <c r="C93" t="s">
        <v>3</v>
      </c>
      <c r="D93" s="5">
        <v>0</v>
      </c>
      <c r="E93">
        <f t="shared" si="14"/>
        <v>0</v>
      </c>
      <c r="F93">
        <f t="shared" si="15"/>
        <v>0</v>
      </c>
    </row>
    <row r="94" spans="1:7" x14ac:dyDescent="0.3">
      <c r="A94" t="s">
        <v>105</v>
      </c>
      <c r="B94" t="s">
        <v>25</v>
      </c>
      <c r="C94" t="s">
        <v>3</v>
      </c>
      <c r="D94" s="5">
        <v>0</v>
      </c>
      <c r="E94">
        <f t="shared" si="14"/>
        <v>0</v>
      </c>
      <c r="F94">
        <f t="shared" si="15"/>
        <v>0</v>
      </c>
    </row>
    <row r="95" spans="1:7" x14ac:dyDescent="0.3">
      <c r="A95" t="s">
        <v>106</v>
      </c>
      <c r="B95" t="s">
        <v>26</v>
      </c>
      <c r="C95" t="s">
        <v>3</v>
      </c>
      <c r="D95" s="5">
        <v>0</v>
      </c>
      <c r="E95">
        <f t="shared" si="14"/>
        <v>0</v>
      </c>
      <c r="F95">
        <f t="shared" si="15"/>
        <v>0</v>
      </c>
    </row>
    <row r="96" spans="1:7" x14ac:dyDescent="0.3">
      <c r="A96" t="s">
        <v>107</v>
      </c>
      <c r="B96" t="s">
        <v>27</v>
      </c>
      <c r="C96" t="s">
        <v>3</v>
      </c>
      <c r="D96" s="5">
        <v>0</v>
      </c>
      <c r="E96">
        <f t="shared" si="14"/>
        <v>0</v>
      </c>
      <c r="F96">
        <f t="shared" si="15"/>
        <v>0</v>
      </c>
    </row>
    <row r="97" spans="1:7" x14ac:dyDescent="0.3">
      <c r="A97" t="s">
        <v>108</v>
      </c>
      <c r="B97" t="s">
        <v>28</v>
      </c>
      <c r="C97" t="s">
        <v>3</v>
      </c>
      <c r="D97" s="5">
        <v>0</v>
      </c>
      <c r="E97">
        <f t="shared" si="14"/>
        <v>0</v>
      </c>
      <c r="F97">
        <f t="shared" si="15"/>
        <v>0</v>
      </c>
    </row>
    <row r="98" spans="1:7" x14ac:dyDescent="0.3">
      <c r="A98" t="s">
        <v>109</v>
      </c>
      <c r="B98" t="s">
        <v>29</v>
      </c>
      <c r="C98" t="s">
        <v>3</v>
      </c>
      <c r="D98" s="5">
        <v>0</v>
      </c>
      <c r="E98">
        <f t="shared" si="14"/>
        <v>0</v>
      </c>
      <c r="F98">
        <f t="shared" si="15"/>
        <v>0</v>
      </c>
    </row>
    <row r="99" spans="1:7" x14ac:dyDescent="0.3">
      <c r="A99" s="4" t="s">
        <v>221</v>
      </c>
      <c r="B99" s="4" t="s">
        <v>30</v>
      </c>
      <c r="C99" s="4"/>
      <c r="D99" s="6"/>
      <c r="E99" s="4"/>
      <c r="F99" s="4"/>
      <c r="G99" s="4"/>
    </row>
    <row r="100" spans="1:7" x14ac:dyDescent="0.3">
      <c r="A100" t="s">
        <v>110</v>
      </c>
      <c r="B100" t="s">
        <v>31</v>
      </c>
      <c r="C100" t="s">
        <v>3</v>
      </c>
      <c r="D100" s="5">
        <v>0</v>
      </c>
      <c r="E100">
        <f>SUM(D28,D52,D76,D100)</f>
        <v>0</v>
      </c>
      <c r="F100">
        <f>E100</f>
        <v>0</v>
      </c>
    </row>
    <row r="101" spans="1:7" x14ac:dyDescent="0.3">
      <c r="A101" t="s">
        <v>111</v>
      </c>
      <c r="B101" t="s">
        <v>32</v>
      </c>
      <c r="C101" t="s">
        <v>3</v>
      </c>
      <c r="D101" s="5">
        <v>0</v>
      </c>
      <c r="E101">
        <f>SUM(D29,D53,D77,D101)</f>
        <v>0</v>
      </c>
      <c r="F101">
        <f>E101</f>
        <v>0</v>
      </c>
    </row>
    <row r="102" spans="1:7" x14ac:dyDescent="0.3">
      <c r="A102" t="s">
        <v>112</v>
      </c>
      <c r="B102" t="s">
        <v>33</v>
      </c>
      <c r="C102" t="s">
        <v>34</v>
      </c>
      <c r="D102" s="5">
        <v>0</v>
      </c>
      <c r="E102">
        <f>SUM(D30,D54,D78,D102)</f>
        <v>0</v>
      </c>
      <c r="F102">
        <f>E102</f>
        <v>0</v>
      </c>
    </row>
    <row r="103" spans="1:7" x14ac:dyDescent="0.3">
      <c r="A103" s="2" t="s">
        <v>1</v>
      </c>
      <c r="B103" s="2" t="s">
        <v>38</v>
      </c>
      <c r="C103" s="2"/>
      <c r="D103" s="2"/>
      <c r="E103" s="2"/>
      <c r="F103" s="2"/>
      <c r="G103" s="2"/>
    </row>
    <row r="104" spans="1:7" x14ac:dyDescent="0.3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G104" s="3" t="s">
        <v>9</v>
      </c>
    </row>
    <row r="105" spans="1:7" x14ac:dyDescent="0.3">
      <c r="A105" t="s">
        <v>88</v>
      </c>
      <c r="B105" t="s">
        <v>10</v>
      </c>
      <c r="C105" t="s">
        <v>3</v>
      </c>
      <c r="D105" s="5">
        <v>0</v>
      </c>
      <c r="E105">
        <f>SUM(D9,D33,D57,D81,D105)</f>
        <v>0</v>
      </c>
      <c r="F105">
        <f>E105</f>
        <v>0</v>
      </c>
    </row>
    <row r="106" spans="1:7" x14ac:dyDescent="0.3">
      <c r="A106" t="s">
        <v>91</v>
      </c>
      <c r="B106" t="s">
        <v>11</v>
      </c>
      <c r="C106" t="s">
        <v>12</v>
      </c>
      <c r="D106" s="5">
        <v>0</v>
      </c>
      <c r="E106">
        <f>SUM(D10,D34,D58,D82,D106)</f>
        <v>0</v>
      </c>
      <c r="F106">
        <f>E106</f>
        <v>0</v>
      </c>
    </row>
    <row r="107" spans="1:7" x14ac:dyDescent="0.3">
      <c r="A107" t="s">
        <v>93</v>
      </c>
      <c r="B107" t="s">
        <v>13</v>
      </c>
      <c r="C107" t="s">
        <v>14</v>
      </c>
      <c r="D107" s="5">
        <v>0</v>
      </c>
      <c r="E107">
        <f>SUM(D11,D35,D59,D83,D107)</f>
        <v>0</v>
      </c>
      <c r="F107">
        <f>E107</f>
        <v>0</v>
      </c>
    </row>
    <row r="108" spans="1:7" x14ac:dyDescent="0.3">
      <c r="A108" s="4" t="s">
        <v>219</v>
      </c>
      <c r="B108" s="4" t="s">
        <v>15</v>
      </c>
      <c r="C108" s="4"/>
      <c r="D108" s="6"/>
      <c r="E108" s="4"/>
      <c r="F108" s="4"/>
      <c r="G108" s="4"/>
    </row>
    <row r="109" spans="1:7" x14ac:dyDescent="0.3">
      <c r="A109" t="s">
        <v>95</v>
      </c>
      <c r="B109" t="s">
        <v>16</v>
      </c>
      <c r="C109" t="s">
        <v>3</v>
      </c>
      <c r="D109" s="5">
        <v>0</v>
      </c>
      <c r="E109">
        <f t="shared" ref="E109:E114" si="16">SUM(D13,D37,D61,D85,D109)</f>
        <v>0</v>
      </c>
      <c r="F109">
        <f t="shared" ref="F109:F114" si="17">E109</f>
        <v>0</v>
      </c>
    </row>
    <row r="110" spans="1:7" x14ac:dyDescent="0.3">
      <c r="A110" t="s">
        <v>97</v>
      </c>
      <c r="B110" t="s">
        <v>17</v>
      </c>
      <c r="C110" t="s">
        <v>3</v>
      </c>
      <c r="D110" s="5">
        <v>0</v>
      </c>
      <c r="E110">
        <f t="shared" si="16"/>
        <v>0</v>
      </c>
      <c r="F110">
        <f t="shared" si="17"/>
        <v>0</v>
      </c>
    </row>
    <row r="111" spans="1:7" x14ac:dyDescent="0.3">
      <c r="A111" t="s">
        <v>99</v>
      </c>
      <c r="B111" t="s">
        <v>18</v>
      </c>
      <c r="C111" t="s">
        <v>3</v>
      </c>
      <c r="D111" s="5">
        <v>0</v>
      </c>
      <c r="E111">
        <f t="shared" si="16"/>
        <v>0</v>
      </c>
      <c r="F111">
        <f t="shared" si="17"/>
        <v>0</v>
      </c>
    </row>
    <row r="112" spans="1:7" x14ac:dyDescent="0.3">
      <c r="A112" t="s">
        <v>100</v>
      </c>
      <c r="B112" t="s">
        <v>19</v>
      </c>
      <c r="C112" t="s">
        <v>3</v>
      </c>
      <c r="D112" s="5">
        <v>0</v>
      </c>
      <c r="E112">
        <f t="shared" si="16"/>
        <v>0</v>
      </c>
      <c r="F112">
        <f t="shared" si="17"/>
        <v>0</v>
      </c>
    </row>
    <row r="113" spans="1:7" x14ac:dyDescent="0.3">
      <c r="A113" t="s">
        <v>101</v>
      </c>
      <c r="B113" t="s">
        <v>20</v>
      </c>
      <c r="C113" t="s">
        <v>3</v>
      </c>
      <c r="D113" s="5">
        <v>0</v>
      </c>
      <c r="E113">
        <f t="shared" si="16"/>
        <v>0</v>
      </c>
      <c r="F113">
        <f t="shared" si="17"/>
        <v>0</v>
      </c>
    </row>
    <row r="114" spans="1:7" x14ac:dyDescent="0.3">
      <c r="A114" t="s">
        <v>102</v>
      </c>
      <c r="B114" t="s">
        <v>21</v>
      </c>
      <c r="C114" t="s">
        <v>3</v>
      </c>
      <c r="D114" s="5">
        <v>0</v>
      </c>
      <c r="E114">
        <f t="shared" si="16"/>
        <v>0</v>
      </c>
      <c r="F114">
        <f t="shared" si="17"/>
        <v>0</v>
      </c>
    </row>
    <row r="115" spans="1:7" x14ac:dyDescent="0.3">
      <c r="A115" s="4" t="s">
        <v>220</v>
      </c>
      <c r="B115" s="4" t="s">
        <v>22</v>
      </c>
      <c r="C115" s="4"/>
      <c r="D115" s="6"/>
      <c r="E115" s="4"/>
      <c r="F115" s="4"/>
      <c r="G115" s="4"/>
    </row>
    <row r="116" spans="1:7" x14ac:dyDescent="0.3">
      <c r="A116" t="s">
        <v>103</v>
      </c>
      <c r="B116" t="s">
        <v>23</v>
      </c>
      <c r="C116" t="s">
        <v>3</v>
      </c>
      <c r="D116" s="5">
        <v>0</v>
      </c>
      <c r="E116">
        <f t="shared" ref="E116:E122" si="18">SUM(D20,D44,D68,D92,D116)</f>
        <v>0</v>
      </c>
      <c r="F116">
        <f t="shared" ref="F116:F122" si="19">E116</f>
        <v>0</v>
      </c>
    </row>
    <row r="117" spans="1:7" x14ac:dyDescent="0.3">
      <c r="A117" t="s">
        <v>104</v>
      </c>
      <c r="B117" t="s">
        <v>24</v>
      </c>
      <c r="C117" t="s">
        <v>3</v>
      </c>
      <c r="D117" s="5">
        <v>0</v>
      </c>
      <c r="E117">
        <f t="shared" si="18"/>
        <v>0</v>
      </c>
      <c r="F117">
        <f t="shared" si="19"/>
        <v>0</v>
      </c>
    </row>
    <row r="118" spans="1:7" x14ac:dyDescent="0.3">
      <c r="A118" t="s">
        <v>105</v>
      </c>
      <c r="B118" t="s">
        <v>25</v>
      </c>
      <c r="C118" t="s">
        <v>3</v>
      </c>
      <c r="D118" s="5">
        <v>0</v>
      </c>
      <c r="E118">
        <f t="shared" si="18"/>
        <v>0</v>
      </c>
      <c r="F118">
        <f t="shared" si="19"/>
        <v>0</v>
      </c>
    </row>
    <row r="119" spans="1:7" x14ac:dyDescent="0.3">
      <c r="A119" t="s">
        <v>106</v>
      </c>
      <c r="B119" t="s">
        <v>26</v>
      </c>
      <c r="C119" t="s">
        <v>3</v>
      </c>
      <c r="D119" s="5">
        <v>0</v>
      </c>
      <c r="E119">
        <f t="shared" si="18"/>
        <v>0</v>
      </c>
      <c r="F119">
        <f t="shared" si="19"/>
        <v>0</v>
      </c>
    </row>
    <row r="120" spans="1:7" x14ac:dyDescent="0.3">
      <c r="A120" t="s">
        <v>107</v>
      </c>
      <c r="B120" t="s">
        <v>27</v>
      </c>
      <c r="C120" t="s">
        <v>3</v>
      </c>
      <c r="D120" s="5">
        <v>0</v>
      </c>
      <c r="E120">
        <f t="shared" si="18"/>
        <v>0</v>
      </c>
      <c r="F120">
        <f t="shared" si="19"/>
        <v>0</v>
      </c>
    </row>
    <row r="121" spans="1:7" x14ac:dyDescent="0.3">
      <c r="A121" t="s">
        <v>108</v>
      </c>
      <c r="B121" t="s">
        <v>28</v>
      </c>
      <c r="C121" t="s">
        <v>3</v>
      </c>
      <c r="D121" s="5">
        <v>0</v>
      </c>
      <c r="E121">
        <f t="shared" si="18"/>
        <v>0</v>
      </c>
      <c r="F121">
        <f t="shared" si="19"/>
        <v>0</v>
      </c>
    </row>
    <row r="122" spans="1:7" x14ac:dyDescent="0.3">
      <c r="A122" t="s">
        <v>109</v>
      </c>
      <c r="B122" t="s">
        <v>29</v>
      </c>
      <c r="C122" t="s">
        <v>3</v>
      </c>
      <c r="D122" s="5">
        <v>0</v>
      </c>
      <c r="E122">
        <f t="shared" si="18"/>
        <v>0</v>
      </c>
      <c r="F122">
        <f t="shared" si="19"/>
        <v>0</v>
      </c>
    </row>
    <row r="123" spans="1:7" x14ac:dyDescent="0.3">
      <c r="A123" s="4" t="s">
        <v>221</v>
      </c>
      <c r="B123" s="4" t="s">
        <v>30</v>
      </c>
      <c r="C123" s="4"/>
      <c r="D123" s="6"/>
      <c r="E123" s="4"/>
      <c r="F123" s="4"/>
      <c r="G123" s="4"/>
    </row>
    <row r="124" spans="1:7" x14ac:dyDescent="0.3">
      <c r="A124" t="s">
        <v>110</v>
      </c>
      <c r="B124" t="s">
        <v>31</v>
      </c>
      <c r="C124" t="s">
        <v>3</v>
      </c>
      <c r="D124" s="5">
        <v>0</v>
      </c>
      <c r="E124">
        <f>SUM(D28,D52,D76,D100,D124)</f>
        <v>0</v>
      </c>
      <c r="F124">
        <f>E124</f>
        <v>0</v>
      </c>
    </row>
    <row r="125" spans="1:7" x14ac:dyDescent="0.3">
      <c r="A125" t="s">
        <v>111</v>
      </c>
      <c r="B125" t="s">
        <v>32</v>
      </c>
      <c r="C125" t="s">
        <v>3</v>
      </c>
      <c r="D125" s="5">
        <v>0</v>
      </c>
      <c r="E125">
        <f>SUM(D29,D53,D77,D101,D125)</f>
        <v>0</v>
      </c>
      <c r="F125">
        <f>E125</f>
        <v>0</v>
      </c>
    </row>
    <row r="126" spans="1:7" x14ac:dyDescent="0.3">
      <c r="A126" t="s">
        <v>112</v>
      </c>
      <c r="B126" t="s">
        <v>33</v>
      </c>
      <c r="C126" t="s">
        <v>34</v>
      </c>
      <c r="D126" s="5">
        <v>0</v>
      </c>
      <c r="E126">
        <f>SUM(D30,D54,D78,D102,D126)</f>
        <v>0</v>
      </c>
      <c r="F126">
        <f>E126</f>
        <v>0</v>
      </c>
    </row>
    <row r="127" spans="1:7" x14ac:dyDescent="0.3">
      <c r="A127" s="2" t="s">
        <v>1</v>
      </c>
      <c r="B127" s="2" t="s">
        <v>39</v>
      </c>
      <c r="C127" s="2"/>
      <c r="D127" s="2"/>
      <c r="E127" s="2"/>
      <c r="F127" s="2"/>
      <c r="G127" s="2"/>
    </row>
    <row r="128" spans="1:7" x14ac:dyDescent="0.3">
      <c r="A128" s="3" t="s">
        <v>3</v>
      </c>
      <c r="B128" s="3" t="s">
        <v>4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</row>
    <row r="129" spans="1:7" x14ac:dyDescent="0.3">
      <c r="A129" t="s">
        <v>88</v>
      </c>
      <c r="B129" t="s">
        <v>10</v>
      </c>
      <c r="C129" t="s">
        <v>3</v>
      </c>
      <c r="D129" s="5">
        <v>0</v>
      </c>
      <c r="E129">
        <f>SUM(D9,D33,D57,D81,D105,D129)</f>
        <v>0</v>
      </c>
      <c r="F129">
        <f>E129</f>
        <v>0</v>
      </c>
    </row>
    <row r="130" spans="1:7" x14ac:dyDescent="0.3">
      <c r="A130" t="s">
        <v>91</v>
      </c>
      <c r="B130" t="s">
        <v>11</v>
      </c>
      <c r="C130" t="s">
        <v>12</v>
      </c>
      <c r="D130" s="5">
        <v>0</v>
      </c>
      <c r="E130">
        <f>SUM(D10,D34,D58,D82,D106,D130)</f>
        <v>0</v>
      </c>
      <c r="F130">
        <f>E130</f>
        <v>0</v>
      </c>
    </row>
    <row r="131" spans="1:7" x14ac:dyDescent="0.3">
      <c r="A131" t="s">
        <v>93</v>
      </c>
      <c r="B131" t="s">
        <v>13</v>
      </c>
      <c r="C131" t="s">
        <v>14</v>
      </c>
      <c r="D131" s="5">
        <v>0</v>
      </c>
      <c r="E131">
        <f>SUM(D11,D35,D59,D83,D107,D131)</f>
        <v>0</v>
      </c>
      <c r="F131">
        <f>E131</f>
        <v>0</v>
      </c>
    </row>
    <row r="132" spans="1:7" x14ac:dyDescent="0.3">
      <c r="A132" s="4" t="s">
        <v>219</v>
      </c>
      <c r="B132" s="4" t="s">
        <v>15</v>
      </c>
      <c r="C132" s="4"/>
      <c r="D132" s="6"/>
      <c r="E132" s="4"/>
      <c r="F132" s="4"/>
      <c r="G132" s="4"/>
    </row>
    <row r="133" spans="1:7" x14ac:dyDescent="0.3">
      <c r="A133" t="s">
        <v>95</v>
      </c>
      <c r="B133" t="s">
        <v>16</v>
      </c>
      <c r="C133" t="s">
        <v>3</v>
      </c>
      <c r="D133" s="5">
        <v>0</v>
      </c>
      <c r="E133">
        <f t="shared" ref="E133:E138" si="20">SUM(D13,D37,D61,D85,D109,D133)</f>
        <v>0</v>
      </c>
      <c r="F133">
        <f t="shared" ref="F133:F138" si="21">E133</f>
        <v>0</v>
      </c>
    </row>
    <row r="134" spans="1:7" x14ac:dyDescent="0.3">
      <c r="A134" t="s">
        <v>97</v>
      </c>
      <c r="B134" t="s">
        <v>17</v>
      </c>
      <c r="C134" t="s">
        <v>3</v>
      </c>
      <c r="D134" s="5">
        <v>0</v>
      </c>
      <c r="E134">
        <f t="shared" si="20"/>
        <v>0</v>
      </c>
      <c r="F134">
        <f t="shared" si="21"/>
        <v>0</v>
      </c>
    </row>
    <row r="135" spans="1:7" x14ac:dyDescent="0.3">
      <c r="A135" t="s">
        <v>99</v>
      </c>
      <c r="B135" t="s">
        <v>18</v>
      </c>
      <c r="C135" t="s">
        <v>3</v>
      </c>
      <c r="D135" s="5">
        <v>0</v>
      </c>
      <c r="E135">
        <f t="shared" si="20"/>
        <v>0</v>
      </c>
      <c r="F135">
        <f t="shared" si="21"/>
        <v>0</v>
      </c>
    </row>
    <row r="136" spans="1:7" x14ac:dyDescent="0.3">
      <c r="A136" t="s">
        <v>100</v>
      </c>
      <c r="B136" t="s">
        <v>19</v>
      </c>
      <c r="C136" t="s">
        <v>3</v>
      </c>
      <c r="D136" s="5">
        <v>0</v>
      </c>
      <c r="E136">
        <f t="shared" si="20"/>
        <v>0</v>
      </c>
      <c r="F136">
        <f t="shared" si="21"/>
        <v>0</v>
      </c>
    </row>
    <row r="137" spans="1:7" x14ac:dyDescent="0.3">
      <c r="A137" t="s">
        <v>101</v>
      </c>
      <c r="B137" t="s">
        <v>20</v>
      </c>
      <c r="C137" t="s">
        <v>3</v>
      </c>
      <c r="D137" s="5">
        <v>0</v>
      </c>
      <c r="E137">
        <f t="shared" si="20"/>
        <v>0</v>
      </c>
      <c r="F137">
        <f t="shared" si="21"/>
        <v>0</v>
      </c>
    </row>
    <row r="138" spans="1:7" x14ac:dyDescent="0.3">
      <c r="A138" t="s">
        <v>102</v>
      </c>
      <c r="B138" t="s">
        <v>21</v>
      </c>
      <c r="C138" t="s">
        <v>3</v>
      </c>
      <c r="D138" s="5">
        <v>0</v>
      </c>
      <c r="E138">
        <f t="shared" si="20"/>
        <v>0</v>
      </c>
      <c r="F138">
        <f t="shared" si="21"/>
        <v>0</v>
      </c>
    </row>
    <row r="139" spans="1:7" x14ac:dyDescent="0.3">
      <c r="A139" s="4" t="s">
        <v>220</v>
      </c>
      <c r="B139" s="4" t="s">
        <v>22</v>
      </c>
      <c r="C139" s="4"/>
      <c r="D139" s="6"/>
      <c r="E139" s="4"/>
      <c r="F139" s="4"/>
      <c r="G139" s="4"/>
    </row>
    <row r="140" spans="1:7" x14ac:dyDescent="0.3">
      <c r="A140" t="s">
        <v>103</v>
      </c>
      <c r="B140" t="s">
        <v>23</v>
      </c>
      <c r="C140" t="s">
        <v>3</v>
      </c>
      <c r="D140" s="5">
        <v>0</v>
      </c>
      <c r="E140">
        <f t="shared" ref="E140:E146" si="22">SUM(D20,D44,D68,D92,D116,D140)</f>
        <v>0</v>
      </c>
      <c r="F140">
        <f t="shared" ref="F140:F146" si="23">E140</f>
        <v>0</v>
      </c>
    </row>
    <row r="141" spans="1:7" x14ac:dyDescent="0.3">
      <c r="A141" t="s">
        <v>104</v>
      </c>
      <c r="B141" t="s">
        <v>24</v>
      </c>
      <c r="C141" t="s">
        <v>3</v>
      </c>
      <c r="D141" s="5">
        <v>0</v>
      </c>
      <c r="E141">
        <f t="shared" si="22"/>
        <v>0</v>
      </c>
      <c r="F141">
        <f t="shared" si="23"/>
        <v>0</v>
      </c>
    </row>
    <row r="142" spans="1:7" x14ac:dyDescent="0.3">
      <c r="A142" t="s">
        <v>105</v>
      </c>
      <c r="B142" t="s">
        <v>25</v>
      </c>
      <c r="C142" t="s">
        <v>3</v>
      </c>
      <c r="D142" s="5">
        <v>0</v>
      </c>
      <c r="E142">
        <f t="shared" si="22"/>
        <v>0</v>
      </c>
      <c r="F142">
        <f t="shared" si="23"/>
        <v>0</v>
      </c>
    </row>
    <row r="143" spans="1:7" x14ac:dyDescent="0.3">
      <c r="A143" t="s">
        <v>106</v>
      </c>
      <c r="B143" t="s">
        <v>26</v>
      </c>
      <c r="C143" t="s">
        <v>3</v>
      </c>
      <c r="D143" s="5">
        <v>0</v>
      </c>
      <c r="E143">
        <f t="shared" si="22"/>
        <v>0</v>
      </c>
      <c r="F143">
        <f t="shared" si="23"/>
        <v>0</v>
      </c>
    </row>
    <row r="144" spans="1:7" x14ac:dyDescent="0.3">
      <c r="A144" t="s">
        <v>107</v>
      </c>
      <c r="B144" t="s">
        <v>27</v>
      </c>
      <c r="C144" t="s">
        <v>3</v>
      </c>
      <c r="D144" s="5">
        <v>0</v>
      </c>
      <c r="E144">
        <f t="shared" si="22"/>
        <v>0</v>
      </c>
      <c r="F144">
        <f t="shared" si="23"/>
        <v>0</v>
      </c>
    </row>
    <row r="145" spans="1:7" x14ac:dyDescent="0.3">
      <c r="A145" t="s">
        <v>108</v>
      </c>
      <c r="B145" t="s">
        <v>28</v>
      </c>
      <c r="C145" t="s">
        <v>3</v>
      </c>
      <c r="D145" s="5">
        <v>0</v>
      </c>
      <c r="E145">
        <f t="shared" si="22"/>
        <v>0</v>
      </c>
      <c r="F145">
        <f t="shared" si="23"/>
        <v>0</v>
      </c>
    </row>
    <row r="146" spans="1:7" x14ac:dyDescent="0.3">
      <c r="A146" t="s">
        <v>109</v>
      </c>
      <c r="B146" t="s">
        <v>29</v>
      </c>
      <c r="C146" t="s">
        <v>3</v>
      </c>
      <c r="D146" s="5">
        <v>0</v>
      </c>
      <c r="E146">
        <f t="shared" si="22"/>
        <v>0</v>
      </c>
      <c r="F146">
        <f t="shared" si="23"/>
        <v>0</v>
      </c>
    </row>
    <row r="147" spans="1:7" x14ac:dyDescent="0.3">
      <c r="A147" s="4" t="s">
        <v>221</v>
      </c>
      <c r="B147" s="4" t="s">
        <v>30</v>
      </c>
      <c r="C147" s="4"/>
      <c r="D147" s="6"/>
      <c r="E147" s="4"/>
      <c r="F147" s="4"/>
      <c r="G147" s="4"/>
    </row>
    <row r="148" spans="1:7" x14ac:dyDescent="0.3">
      <c r="A148" t="s">
        <v>110</v>
      </c>
      <c r="B148" t="s">
        <v>31</v>
      </c>
      <c r="C148" t="s">
        <v>3</v>
      </c>
      <c r="D148" s="5">
        <v>0</v>
      </c>
      <c r="E148">
        <f>SUM(D28,D52,D76,D100,D124,D148)</f>
        <v>0</v>
      </c>
      <c r="F148">
        <f>E148</f>
        <v>0</v>
      </c>
    </row>
    <row r="149" spans="1:7" x14ac:dyDescent="0.3">
      <c r="A149" t="s">
        <v>111</v>
      </c>
      <c r="B149" t="s">
        <v>32</v>
      </c>
      <c r="C149" t="s">
        <v>3</v>
      </c>
      <c r="D149" s="5">
        <v>0</v>
      </c>
      <c r="E149">
        <f>SUM(D29,D53,D77,D101,D125,D149)</f>
        <v>0</v>
      </c>
      <c r="F149">
        <f>E149</f>
        <v>0</v>
      </c>
    </row>
    <row r="150" spans="1:7" x14ac:dyDescent="0.3">
      <c r="A150" t="s">
        <v>112</v>
      </c>
      <c r="B150" t="s">
        <v>33</v>
      </c>
      <c r="C150" t="s">
        <v>34</v>
      </c>
      <c r="D150" s="5">
        <v>0</v>
      </c>
      <c r="E150">
        <f>SUM(D30,D54,D78,D102,D126,D150)</f>
        <v>0</v>
      </c>
      <c r="F150">
        <f>E150</f>
        <v>0</v>
      </c>
    </row>
    <row r="151" spans="1:7" x14ac:dyDescent="0.3">
      <c r="A151" s="2" t="s">
        <v>1</v>
      </c>
      <c r="B151" s="2" t="s">
        <v>40</v>
      </c>
      <c r="C151" s="2"/>
      <c r="D151" s="2"/>
      <c r="E151" s="2"/>
      <c r="F151" s="2"/>
      <c r="G151" s="2"/>
    </row>
    <row r="152" spans="1:7" x14ac:dyDescent="0.3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</row>
    <row r="153" spans="1:7" x14ac:dyDescent="0.3">
      <c r="A153" t="s">
        <v>88</v>
      </c>
      <c r="B153" t="s">
        <v>10</v>
      </c>
      <c r="C153" t="s">
        <v>3</v>
      </c>
      <c r="D153" s="5">
        <v>0</v>
      </c>
      <c r="E153">
        <f>SUM(D9,D33,D57,D81,D105,D129,D153)</f>
        <v>0</v>
      </c>
      <c r="F153">
        <f>E153</f>
        <v>0</v>
      </c>
    </row>
    <row r="154" spans="1:7" x14ac:dyDescent="0.3">
      <c r="A154" t="s">
        <v>91</v>
      </c>
      <c r="B154" t="s">
        <v>11</v>
      </c>
      <c r="C154" t="s">
        <v>12</v>
      </c>
      <c r="D154" s="5">
        <v>0</v>
      </c>
      <c r="E154">
        <f>SUM(D10,D34,D58,D82,D106,D130,D154)</f>
        <v>0</v>
      </c>
      <c r="F154">
        <f>E154</f>
        <v>0</v>
      </c>
    </row>
    <row r="155" spans="1:7" x14ac:dyDescent="0.3">
      <c r="A155" t="s">
        <v>93</v>
      </c>
      <c r="B155" t="s">
        <v>13</v>
      </c>
      <c r="C155" t="s">
        <v>14</v>
      </c>
      <c r="D155" s="5">
        <v>0</v>
      </c>
      <c r="E155">
        <f>SUM(D11,D35,D59,D83,D107,D131,D155)</f>
        <v>0</v>
      </c>
      <c r="F155">
        <f>E155</f>
        <v>0</v>
      </c>
    </row>
    <row r="156" spans="1:7" x14ac:dyDescent="0.3">
      <c r="A156" s="4" t="s">
        <v>219</v>
      </c>
      <c r="B156" s="4" t="s">
        <v>15</v>
      </c>
      <c r="C156" s="4"/>
      <c r="D156" s="6"/>
      <c r="E156" s="4"/>
      <c r="F156" s="4"/>
      <c r="G156" s="4"/>
    </row>
    <row r="157" spans="1:7" x14ac:dyDescent="0.3">
      <c r="A157" t="s">
        <v>95</v>
      </c>
      <c r="B157" t="s">
        <v>16</v>
      </c>
      <c r="C157" t="s">
        <v>3</v>
      </c>
      <c r="D157" s="5">
        <v>0</v>
      </c>
      <c r="E157">
        <f t="shared" ref="E157:E162" si="24">SUM(D13,D37,D61,D85,D109,D133,D157)</f>
        <v>0</v>
      </c>
      <c r="F157">
        <f t="shared" ref="F157:F162" si="25">E157</f>
        <v>0</v>
      </c>
    </row>
    <row r="158" spans="1:7" x14ac:dyDescent="0.3">
      <c r="A158" t="s">
        <v>97</v>
      </c>
      <c r="B158" t="s">
        <v>17</v>
      </c>
      <c r="C158" t="s">
        <v>3</v>
      </c>
      <c r="D158" s="5">
        <v>0</v>
      </c>
      <c r="E158">
        <f t="shared" si="24"/>
        <v>0</v>
      </c>
      <c r="F158">
        <f t="shared" si="25"/>
        <v>0</v>
      </c>
    </row>
    <row r="159" spans="1:7" x14ac:dyDescent="0.3">
      <c r="A159" t="s">
        <v>99</v>
      </c>
      <c r="B159" t="s">
        <v>18</v>
      </c>
      <c r="C159" t="s">
        <v>3</v>
      </c>
      <c r="D159" s="5">
        <v>0</v>
      </c>
      <c r="E159">
        <f t="shared" si="24"/>
        <v>0</v>
      </c>
      <c r="F159">
        <f t="shared" si="25"/>
        <v>0</v>
      </c>
    </row>
    <row r="160" spans="1:7" x14ac:dyDescent="0.3">
      <c r="A160" t="s">
        <v>100</v>
      </c>
      <c r="B160" t="s">
        <v>19</v>
      </c>
      <c r="C160" t="s">
        <v>3</v>
      </c>
      <c r="D160" s="5">
        <v>0</v>
      </c>
      <c r="E160">
        <f t="shared" si="24"/>
        <v>0</v>
      </c>
      <c r="F160">
        <f t="shared" si="25"/>
        <v>0</v>
      </c>
    </row>
    <row r="161" spans="1:7" x14ac:dyDescent="0.3">
      <c r="A161" t="s">
        <v>101</v>
      </c>
      <c r="B161" t="s">
        <v>20</v>
      </c>
      <c r="C161" t="s">
        <v>3</v>
      </c>
      <c r="D161" s="5">
        <v>0</v>
      </c>
      <c r="E161">
        <f t="shared" si="24"/>
        <v>0</v>
      </c>
      <c r="F161">
        <f t="shared" si="25"/>
        <v>0</v>
      </c>
    </row>
    <row r="162" spans="1:7" x14ac:dyDescent="0.3">
      <c r="A162" t="s">
        <v>102</v>
      </c>
      <c r="B162" t="s">
        <v>21</v>
      </c>
      <c r="C162" t="s">
        <v>3</v>
      </c>
      <c r="D162" s="5">
        <v>0</v>
      </c>
      <c r="E162">
        <f t="shared" si="24"/>
        <v>0</v>
      </c>
      <c r="F162">
        <f t="shared" si="25"/>
        <v>0</v>
      </c>
    </row>
    <row r="163" spans="1:7" x14ac:dyDescent="0.3">
      <c r="A163" s="4" t="s">
        <v>220</v>
      </c>
      <c r="B163" s="4" t="s">
        <v>22</v>
      </c>
      <c r="C163" s="4"/>
      <c r="D163" s="6"/>
      <c r="E163" s="4"/>
      <c r="F163" s="4"/>
      <c r="G163" s="4"/>
    </row>
    <row r="164" spans="1:7" x14ac:dyDescent="0.3">
      <c r="A164" t="s">
        <v>103</v>
      </c>
      <c r="B164" t="s">
        <v>23</v>
      </c>
      <c r="C164" t="s">
        <v>3</v>
      </c>
      <c r="D164" s="5">
        <v>0</v>
      </c>
      <c r="E164">
        <f t="shared" ref="E164:E170" si="26">SUM(D20,D44,D68,D92,D116,D140,D164)</f>
        <v>0</v>
      </c>
      <c r="F164">
        <f t="shared" ref="F164:F170" si="27">E164</f>
        <v>0</v>
      </c>
    </row>
    <row r="165" spans="1:7" x14ac:dyDescent="0.3">
      <c r="A165" t="s">
        <v>104</v>
      </c>
      <c r="B165" t="s">
        <v>24</v>
      </c>
      <c r="C165" t="s">
        <v>3</v>
      </c>
      <c r="D165" s="5">
        <v>0</v>
      </c>
      <c r="E165">
        <f t="shared" si="26"/>
        <v>0</v>
      </c>
      <c r="F165">
        <f t="shared" si="27"/>
        <v>0</v>
      </c>
    </row>
    <row r="166" spans="1:7" x14ac:dyDescent="0.3">
      <c r="A166" t="s">
        <v>105</v>
      </c>
      <c r="B166" t="s">
        <v>25</v>
      </c>
      <c r="C166" t="s">
        <v>3</v>
      </c>
      <c r="D166" s="5">
        <v>0</v>
      </c>
      <c r="E166">
        <f t="shared" si="26"/>
        <v>0</v>
      </c>
      <c r="F166">
        <f t="shared" si="27"/>
        <v>0</v>
      </c>
    </row>
    <row r="167" spans="1:7" x14ac:dyDescent="0.3">
      <c r="A167" t="s">
        <v>106</v>
      </c>
      <c r="B167" t="s">
        <v>26</v>
      </c>
      <c r="C167" t="s">
        <v>3</v>
      </c>
      <c r="D167" s="5">
        <v>0</v>
      </c>
      <c r="E167">
        <f t="shared" si="26"/>
        <v>0</v>
      </c>
      <c r="F167">
        <f t="shared" si="27"/>
        <v>0</v>
      </c>
    </row>
    <row r="168" spans="1:7" x14ac:dyDescent="0.3">
      <c r="A168" t="s">
        <v>107</v>
      </c>
      <c r="B168" t="s">
        <v>27</v>
      </c>
      <c r="C168" t="s">
        <v>3</v>
      </c>
      <c r="D168" s="5">
        <v>0</v>
      </c>
      <c r="E168">
        <f t="shared" si="26"/>
        <v>0</v>
      </c>
      <c r="F168">
        <f t="shared" si="27"/>
        <v>0</v>
      </c>
    </row>
    <row r="169" spans="1:7" x14ac:dyDescent="0.3">
      <c r="A169" t="s">
        <v>108</v>
      </c>
      <c r="B169" t="s">
        <v>28</v>
      </c>
      <c r="C169" t="s">
        <v>3</v>
      </c>
      <c r="D169" s="5">
        <v>0</v>
      </c>
      <c r="E169">
        <f t="shared" si="26"/>
        <v>0</v>
      </c>
      <c r="F169">
        <f t="shared" si="27"/>
        <v>0</v>
      </c>
    </row>
    <row r="170" spans="1:7" x14ac:dyDescent="0.3">
      <c r="A170" t="s">
        <v>109</v>
      </c>
      <c r="B170" t="s">
        <v>29</v>
      </c>
      <c r="C170" t="s">
        <v>3</v>
      </c>
      <c r="D170" s="5">
        <v>0</v>
      </c>
      <c r="E170">
        <f t="shared" si="26"/>
        <v>0</v>
      </c>
      <c r="F170">
        <f t="shared" si="27"/>
        <v>0</v>
      </c>
    </row>
    <row r="171" spans="1:7" x14ac:dyDescent="0.3">
      <c r="A171" s="4" t="s">
        <v>221</v>
      </c>
      <c r="B171" s="4" t="s">
        <v>30</v>
      </c>
      <c r="C171" s="4"/>
      <c r="D171" s="6"/>
      <c r="E171" s="4"/>
      <c r="F171" s="4"/>
      <c r="G171" s="4"/>
    </row>
    <row r="172" spans="1:7" x14ac:dyDescent="0.3">
      <c r="A172" t="s">
        <v>110</v>
      </c>
      <c r="B172" t="s">
        <v>31</v>
      </c>
      <c r="C172" t="s">
        <v>3</v>
      </c>
      <c r="D172" s="5">
        <v>0</v>
      </c>
      <c r="E172">
        <f>SUM(D28,D52,D76,D100,D124,D148,D172)</f>
        <v>0</v>
      </c>
      <c r="F172">
        <f>E172</f>
        <v>0</v>
      </c>
    </row>
    <row r="173" spans="1:7" x14ac:dyDescent="0.3">
      <c r="A173" t="s">
        <v>111</v>
      </c>
      <c r="B173" t="s">
        <v>32</v>
      </c>
      <c r="C173" t="s">
        <v>3</v>
      </c>
      <c r="D173" s="5">
        <v>0</v>
      </c>
      <c r="E173">
        <f>SUM(D29,D53,D77,D101,D125,D149,D173)</f>
        <v>0</v>
      </c>
      <c r="F173">
        <f>E173</f>
        <v>0</v>
      </c>
    </row>
    <row r="174" spans="1:7" x14ac:dyDescent="0.3">
      <c r="A174" t="s">
        <v>112</v>
      </c>
      <c r="B174" t="s">
        <v>33</v>
      </c>
      <c r="C174" t="s">
        <v>34</v>
      </c>
      <c r="D174" s="5">
        <v>0</v>
      </c>
      <c r="E174">
        <f>SUM(D30,D54,D78,D102,D126,D150,D174)</f>
        <v>0</v>
      </c>
      <c r="F174">
        <f>E174</f>
        <v>0</v>
      </c>
    </row>
    <row r="175" spans="1:7" x14ac:dyDescent="0.3">
      <c r="A175" s="2" t="s">
        <v>1</v>
      </c>
      <c r="B175" s="2" t="s">
        <v>41</v>
      </c>
      <c r="C175" s="2"/>
      <c r="D175" s="2"/>
      <c r="E175" s="2"/>
      <c r="F175" s="2"/>
      <c r="G175" s="2"/>
    </row>
    <row r="176" spans="1:7" x14ac:dyDescent="0.3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</row>
    <row r="177" spans="1:7" x14ac:dyDescent="0.3">
      <c r="A177" t="s">
        <v>88</v>
      </c>
      <c r="B177" t="s">
        <v>10</v>
      </c>
      <c r="C177" t="s">
        <v>3</v>
      </c>
      <c r="D177" s="5">
        <v>0</v>
      </c>
      <c r="E177">
        <f>SUM(D9,D33,D57,D81,D105,D129,D153,D177)</f>
        <v>0</v>
      </c>
      <c r="F177">
        <f>E177</f>
        <v>0</v>
      </c>
    </row>
    <row r="178" spans="1:7" x14ac:dyDescent="0.3">
      <c r="A178" t="s">
        <v>91</v>
      </c>
      <c r="B178" t="s">
        <v>11</v>
      </c>
      <c r="C178" t="s">
        <v>12</v>
      </c>
      <c r="D178" s="5">
        <v>0</v>
      </c>
      <c r="E178">
        <f>SUM(D10,D34,D58,D82,D106,D130,D154,D178)</f>
        <v>0</v>
      </c>
      <c r="F178">
        <f>E178</f>
        <v>0</v>
      </c>
    </row>
    <row r="179" spans="1:7" x14ac:dyDescent="0.3">
      <c r="A179" t="s">
        <v>93</v>
      </c>
      <c r="B179" t="s">
        <v>13</v>
      </c>
      <c r="C179" t="s">
        <v>14</v>
      </c>
      <c r="D179" s="5">
        <v>0</v>
      </c>
      <c r="E179">
        <f>SUM(D11,D35,D59,D83,D107,D131,D155,D179)</f>
        <v>0</v>
      </c>
      <c r="F179">
        <f>E179</f>
        <v>0</v>
      </c>
    </row>
    <row r="180" spans="1:7" x14ac:dyDescent="0.3">
      <c r="A180" s="4" t="s">
        <v>219</v>
      </c>
      <c r="B180" s="4" t="s">
        <v>15</v>
      </c>
      <c r="C180" s="4"/>
      <c r="D180" s="6"/>
      <c r="E180" s="4"/>
      <c r="F180" s="4"/>
      <c r="G180" s="4"/>
    </row>
    <row r="181" spans="1:7" x14ac:dyDescent="0.3">
      <c r="A181" t="s">
        <v>95</v>
      </c>
      <c r="B181" t="s">
        <v>16</v>
      </c>
      <c r="C181" t="s">
        <v>3</v>
      </c>
      <c r="D181" s="5">
        <v>0</v>
      </c>
      <c r="E181">
        <f t="shared" ref="E181:E186" si="28">SUM(D13,D37,D61,D85,D109,D133,D157,D181)</f>
        <v>0</v>
      </c>
      <c r="F181">
        <f t="shared" ref="F181:F186" si="29">E181</f>
        <v>0</v>
      </c>
    </row>
    <row r="182" spans="1:7" x14ac:dyDescent="0.3">
      <c r="A182" t="s">
        <v>97</v>
      </c>
      <c r="B182" t="s">
        <v>17</v>
      </c>
      <c r="C182" t="s">
        <v>3</v>
      </c>
      <c r="D182" s="5">
        <v>0</v>
      </c>
      <c r="E182">
        <f t="shared" si="28"/>
        <v>0</v>
      </c>
      <c r="F182">
        <f t="shared" si="29"/>
        <v>0</v>
      </c>
    </row>
    <row r="183" spans="1:7" x14ac:dyDescent="0.3">
      <c r="A183" t="s">
        <v>99</v>
      </c>
      <c r="B183" t="s">
        <v>18</v>
      </c>
      <c r="C183" t="s">
        <v>3</v>
      </c>
      <c r="D183" s="5">
        <v>0</v>
      </c>
      <c r="E183">
        <f t="shared" si="28"/>
        <v>0</v>
      </c>
      <c r="F183">
        <f t="shared" si="29"/>
        <v>0</v>
      </c>
    </row>
    <row r="184" spans="1:7" x14ac:dyDescent="0.3">
      <c r="A184" t="s">
        <v>100</v>
      </c>
      <c r="B184" t="s">
        <v>19</v>
      </c>
      <c r="C184" t="s">
        <v>3</v>
      </c>
      <c r="D184" s="5">
        <v>0</v>
      </c>
      <c r="E184">
        <f t="shared" si="28"/>
        <v>0</v>
      </c>
      <c r="F184">
        <f t="shared" si="29"/>
        <v>0</v>
      </c>
    </row>
    <row r="185" spans="1:7" x14ac:dyDescent="0.3">
      <c r="A185" t="s">
        <v>101</v>
      </c>
      <c r="B185" t="s">
        <v>20</v>
      </c>
      <c r="C185" t="s">
        <v>3</v>
      </c>
      <c r="D185" s="5">
        <v>0</v>
      </c>
      <c r="E185">
        <f t="shared" si="28"/>
        <v>0</v>
      </c>
      <c r="F185">
        <f t="shared" si="29"/>
        <v>0</v>
      </c>
    </row>
    <row r="186" spans="1:7" x14ac:dyDescent="0.3">
      <c r="A186" t="s">
        <v>102</v>
      </c>
      <c r="B186" t="s">
        <v>21</v>
      </c>
      <c r="C186" t="s">
        <v>3</v>
      </c>
      <c r="D186" s="5">
        <v>0</v>
      </c>
      <c r="E186">
        <f t="shared" si="28"/>
        <v>0</v>
      </c>
      <c r="F186">
        <f t="shared" si="29"/>
        <v>0</v>
      </c>
    </row>
    <row r="187" spans="1:7" x14ac:dyDescent="0.3">
      <c r="A187" s="4" t="s">
        <v>220</v>
      </c>
      <c r="B187" s="4" t="s">
        <v>22</v>
      </c>
      <c r="C187" s="4"/>
      <c r="D187" s="6"/>
      <c r="E187" s="4"/>
      <c r="F187" s="4"/>
      <c r="G187" s="4"/>
    </row>
    <row r="188" spans="1:7" x14ac:dyDescent="0.3">
      <c r="A188" t="s">
        <v>103</v>
      </c>
      <c r="B188" t="s">
        <v>23</v>
      </c>
      <c r="C188" t="s">
        <v>3</v>
      </c>
      <c r="D188" s="5">
        <v>0</v>
      </c>
      <c r="E188">
        <f t="shared" ref="E188:E194" si="30">SUM(D20,D44,D68,D92,D116,D140,D164,D188)</f>
        <v>0</v>
      </c>
      <c r="F188">
        <f t="shared" ref="F188:F194" si="31">E188</f>
        <v>0</v>
      </c>
    </row>
    <row r="189" spans="1:7" x14ac:dyDescent="0.3">
      <c r="A189" t="s">
        <v>104</v>
      </c>
      <c r="B189" t="s">
        <v>24</v>
      </c>
      <c r="C189" t="s">
        <v>3</v>
      </c>
      <c r="D189" s="5">
        <v>0</v>
      </c>
      <c r="E189">
        <f t="shared" si="30"/>
        <v>0</v>
      </c>
      <c r="F189">
        <f t="shared" si="31"/>
        <v>0</v>
      </c>
    </row>
    <row r="190" spans="1:7" x14ac:dyDescent="0.3">
      <c r="A190" t="s">
        <v>105</v>
      </c>
      <c r="B190" t="s">
        <v>25</v>
      </c>
      <c r="C190" t="s">
        <v>3</v>
      </c>
      <c r="D190" s="5">
        <v>0</v>
      </c>
      <c r="E190">
        <f t="shared" si="30"/>
        <v>0</v>
      </c>
      <c r="F190">
        <f t="shared" si="31"/>
        <v>0</v>
      </c>
    </row>
    <row r="191" spans="1:7" x14ac:dyDescent="0.3">
      <c r="A191" t="s">
        <v>106</v>
      </c>
      <c r="B191" t="s">
        <v>26</v>
      </c>
      <c r="C191" t="s">
        <v>3</v>
      </c>
      <c r="D191" s="5">
        <v>0</v>
      </c>
      <c r="E191">
        <f t="shared" si="30"/>
        <v>0</v>
      </c>
      <c r="F191">
        <f t="shared" si="31"/>
        <v>0</v>
      </c>
    </row>
    <row r="192" spans="1:7" x14ac:dyDescent="0.3">
      <c r="A192" t="s">
        <v>107</v>
      </c>
      <c r="B192" t="s">
        <v>27</v>
      </c>
      <c r="C192" t="s">
        <v>3</v>
      </c>
      <c r="D192" s="5">
        <v>0</v>
      </c>
      <c r="E192">
        <f t="shared" si="30"/>
        <v>0</v>
      </c>
      <c r="F192">
        <f t="shared" si="31"/>
        <v>0</v>
      </c>
    </row>
    <row r="193" spans="1:7" x14ac:dyDescent="0.3">
      <c r="A193" t="s">
        <v>108</v>
      </c>
      <c r="B193" t="s">
        <v>28</v>
      </c>
      <c r="C193" t="s">
        <v>3</v>
      </c>
      <c r="D193" s="5">
        <v>0</v>
      </c>
      <c r="E193">
        <f t="shared" si="30"/>
        <v>0</v>
      </c>
      <c r="F193">
        <f t="shared" si="31"/>
        <v>0</v>
      </c>
    </row>
    <row r="194" spans="1:7" x14ac:dyDescent="0.3">
      <c r="A194" t="s">
        <v>109</v>
      </c>
      <c r="B194" t="s">
        <v>29</v>
      </c>
      <c r="C194" t="s">
        <v>3</v>
      </c>
      <c r="D194" s="5">
        <v>0</v>
      </c>
      <c r="E194">
        <f t="shared" si="30"/>
        <v>0</v>
      </c>
      <c r="F194">
        <f t="shared" si="31"/>
        <v>0</v>
      </c>
    </row>
    <row r="195" spans="1:7" x14ac:dyDescent="0.3">
      <c r="A195" s="4" t="s">
        <v>221</v>
      </c>
      <c r="B195" s="4" t="s">
        <v>30</v>
      </c>
      <c r="C195" s="4"/>
      <c r="D195" s="6"/>
      <c r="E195" s="4"/>
      <c r="F195" s="4"/>
      <c r="G195" s="4"/>
    </row>
    <row r="196" spans="1:7" x14ac:dyDescent="0.3">
      <c r="A196" t="s">
        <v>110</v>
      </c>
      <c r="B196" t="s">
        <v>31</v>
      </c>
      <c r="C196" t="s">
        <v>3</v>
      </c>
      <c r="D196" s="5">
        <v>0</v>
      </c>
      <c r="E196">
        <f>SUM(D28,D52,D76,D100,D124,D148,D172,D196)</f>
        <v>0</v>
      </c>
      <c r="F196">
        <f>E196</f>
        <v>0</v>
      </c>
    </row>
    <row r="197" spans="1:7" x14ac:dyDescent="0.3">
      <c r="A197" t="s">
        <v>111</v>
      </c>
      <c r="B197" t="s">
        <v>32</v>
      </c>
      <c r="C197" t="s">
        <v>3</v>
      </c>
      <c r="D197" s="5">
        <v>0</v>
      </c>
      <c r="E197">
        <f>SUM(D29,D53,D77,D101,D125,D149,D173,D197)</f>
        <v>0</v>
      </c>
      <c r="F197">
        <f>E197</f>
        <v>0</v>
      </c>
    </row>
    <row r="198" spans="1:7" x14ac:dyDescent="0.3">
      <c r="A198" t="s">
        <v>112</v>
      </c>
      <c r="B198" t="s">
        <v>33</v>
      </c>
      <c r="C198" t="s">
        <v>34</v>
      </c>
      <c r="D198" s="5">
        <v>0</v>
      </c>
      <c r="E198">
        <f>SUM(D30,D54,D78,D102,D126,D150,D174,D198)</f>
        <v>0</v>
      </c>
      <c r="F198">
        <f>E198</f>
        <v>0</v>
      </c>
    </row>
    <row r="199" spans="1:7" x14ac:dyDescent="0.3">
      <c r="A199" s="2" t="s">
        <v>1</v>
      </c>
      <c r="B199" s="2" t="s">
        <v>42</v>
      </c>
      <c r="C199" s="2"/>
      <c r="D199" s="2"/>
      <c r="E199" s="2"/>
      <c r="F199" s="2"/>
      <c r="G199" s="2"/>
    </row>
    <row r="200" spans="1:7" x14ac:dyDescent="0.3">
      <c r="A200" s="3" t="s">
        <v>3</v>
      </c>
      <c r="B200" s="3" t="s">
        <v>4</v>
      </c>
      <c r="C200" s="3" t="s">
        <v>5</v>
      </c>
      <c r="D200" s="3" t="s">
        <v>6</v>
      </c>
      <c r="E200" s="3" t="s">
        <v>7</v>
      </c>
      <c r="F200" s="3" t="s">
        <v>8</v>
      </c>
      <c r="G200" s="3" t="s">
        <v>9</v>
      </c>
    </row>
    <row r="201" spans="1:7" x14ac:dyDescent="0.3">
      <c r="A201" t="s">
        <v>88</v>
      </c>
      <c r="B201" t="s">
        <v>10</v>
      </c>
      <c r="C201" t="s">
        <v>3</v>
      </c>
      <c r="D201" s="5">
        <v>0</v>
      </c>
      <c r="E201">
        <f>SUM(D9,D33,D57,D81,D105,D129,D153,D177,D201)</f>
        <v>0</v>
      </c>
      <c r="F201">
        <f>E201</f>
        <v>0</v>
      </c>
    </row>
    <row r="202" spans="1:7" x14ac:dyDescent="0.3">
      <c r="A202" t="s">
        <v>91</v>
      </c>
      <c r="B202" t="s">
        <v>11</v>
      </c>
      <c r="C202" t="s">
        <v>12</v>
      </c>
      <c r="D202" s="5">
        <v>0</v>
      </c>
      <c r="E202">
        <f>SUM(D10,D34,D58,D82,D106,D130,D154,D178,D202)</f>
        <v>0</v>
      </c>
      <c r="F202">
        <f>E202</f>
        <v>0</v>
      </c>
    </row>
    <row r="203" spans="1:7" x14ac:dyDescent="0.3">
      <c r="A203" t="s">
        <v>93</v>
      </c>
      <c r="B203" t="s">
        <v>13</v>
      </c>
      <c r="C203" t="s">
        <v>14</v>
      </c>
      <c r="D203" s="5">
        <v>0</v>
      </c>
      <c r="E203">
        <f>SUM(D11,D35,D59,D83,D107,D131,D155,D179,D203)</f>
        <v>0</v>
      </c>
      <c r="F203">
        <f>E203</f>
        <v>0</v>
      </c>
    </row>
    <row r="204" spans="1:7" x14ac:dyDescent="0.3">
      <c r="A204" s="4" t="s">
        <v>219</v>
      </c>
      <c r="B204" s="4" t="s">
        <v>15</v>
      </c>
      <c r="C204" s="4"/>
      <c r="D204" s="6"/>
      <c r="E204" s="4"/>
      <c r="F204" s="4"/>
      <c r="G204" s="4"/>
    </row>
    <row r="205" spans="1:7" x14ac:dyDescent="0.3">
      <c r="A205" t="s">
        <v>95</v>
      </c>
      <c r="B205" t="s">
        <v>16</v>
      </c>
      <c r="C205" t="s">
        <v>3</v>
      </c>
      <c r="D205" s="5">
        <v>0</v>
      </c>
      <c r="E205">
        <f t="shared" ref="E205:E210" si="32">SUM(D13,D37,D61,D85,D109,D133,D157,D181,D205)</f>
        <v>0</v>
      </c>
      <c r="F205">
        <f t="shared" ref="F205:F210" si="33">E205</f>
        <v>0</v>
      </c>
    </row>
    <row r="206" spans="1:7" x14ac:dyDescent="0.3">
      <c r="A206" t="s">
        <v>97</v>
      </c>
      <c r="B206" t="s">
        <v>17</v>
      </c>
      <c r="C206" t="s">
        <v>3</v>
      </c>
      <c r="D206" s="5">
        <v>0</v>
      </c>
      <c r="E206">
        <f t="shared" si="32"/>
        <v>0</v>
      </c>
      <c r="F206">
        <f t="shared" si="33"/>
        <v>0</v>
      </c>
    </row>
    <row r="207" spans="1:7" x14ac:dyDescent="0.3">
      <c r="A207" t="s">
        <v>99</v>
      </c>
      <c r="B207" t="s">
        <v>18</v>
      </c>
      <c r="C207" t="s">
        <v>3</v>
      </c>
      <c r="D207" s="5">
        <v>0</v>
      </c>
      <c r="E207">
        <f t="shared" si="32"/>
        <v>0</v>
      </c>
      <c r="F207">
        <f t="shared" si="33"/>
        <v>0</v>
      </c>
    </row>
    <row r="208" spans="1:7" x14ac:dyDescent="0.3">
      <c r="A208" t="s">
        <v>100</v>
      </c>
      <c r="B208" t="s">
        <v>19</v>
      </c>
      <c r="C208" t="s">
        <v>3</v>
      </c>
      <c r="D208" s="5">
        <v>0</v>
      </c>
      <c r="E208">
        <f t="shared" si="32"/>
        <v>0</v>
      </c>
      <c r="F208">
        <f t="shared" si="33"/>
        <v>0</v>
      </c>
    </row>
    <row r="209" spans="1:7" x14ac:dyDescent="0.3">
      <c r="A209" t="s">
        <v>101</v>
      </c>
      <c r="B209" t="s">
        <v>20</v>
      </c>
      <c r="C209" t="s">
        <v>3</v>
      </c>
      <c r="D209" s="5">
        <v>0</v>
      </c>
      <c r="E209">
        <f t="shared" si="32"/>
        <v>0</v>
      </c>
      <c r="F209">
        <f t="shared" si="33"/>
        <v>0</v>
      </c>
    </row>
    <row r="210" spans="1:7" x14ac:dyDescent="0.3">
      <c r="A210" t="s">
        <v>102</v>
      </c>
      <c r="B210" t="s">
        <v>21</v>
      </c>
      <c r="C210" t="s">
        <v>3</v>
      </c>
      <c r="D210" s="5">
        <v>0</v>
      </c>
      <c r="E210">
        <f t="shared" si="32"/>
        <v>0</v>
      </c>
      <c r="F210">
        <f t="shared" si="33"/>
        <v>0</v>
      </c>
    </row>
    <row r="211" spans="1:7" x14ac:dyDescent="0.3">
      <c r="A211" s="4" t="s">
        <v>220</v>
      </c>
      <c r="B211" s="4" t="s">
        <v>22</v>
      </c>
      <c r="C211" s="4"/>
      <c r="D211" s="6"/>
      <c r="E211" s="4"/>
      <c r="F211" s="4"/>
      <c r="G211" s="4"/>
    </row>
    <row r="212" spans="1:7" x14ac:dyDescent="0.3">
      <c r="A212" t="s">
        <v>103</v>
      </c>
      <c r="B212" t="s">
        <v>23</v>
      </c>
      <c r="C212" t="s">
        <v>3</v>
      </c>
      <c r="D212" s="5">
        <v>0</v>
      </c>
      <c r="E212">
        <f t="shared" ref="E212:E218" si="34">SUM(D20,D44,D68,D92,D116,D140,D164,D188,D212)</f>
        <v>0</v>
      </c>
      <c r="F212">
        <f t="shared" ref="F212:F218" si="35">E212</f>
        <v>0</v>
      </c>
    </row>
    <row r="213" spans="1:7" x14ac:dyDescent="0.3">
      <c r="A213" t="s">
        <v>104</v>
      </c>
      <c r="B213" t="s">
        <v>24</v>
      </c>
      <c r="C213" t="s">
        <v>3</v>
      </c>
      <c r="D213" s="5">
        <v>0</v>
      </c>
      <c r="E213">
        <f t="shared" si="34"/>
        <v>0</v>
      </c>
      <c r="F213">
        <f t="shared" si="35"/>
        <v>0</v>
      </c>
    </row>
    <row r="214" spans="1:7" x14ac:dyDescent="0.3">
      <c r="A214" t="s">
        <v>105</v>
      </c>
      <c r="B214" t="s">
        <v>25</v>
      </c>
      <c r="C214" t="s">
        <v>3</v>
      </c>
      <c r="D214" s="5">
        <v>0</v>
      </c>
      <c r="E214">
        <f t="shared" si="34"/>
        <v>0</v>
      </c>
      <c r="F214">
        <f t="shared" si="35"/>
        <v>0</v>
      </c>
    </row>
    <row r="215" spans="1:7" x14ac:dyDescent="0.3">
      <c r="A215" t="s">
        <v>106</v>
      </c>
      <c r="B215" t="s">
        <v>26</v>
      </c>
      <c r="C215" t="s">
        <v>3</v>
      </c>
      <c r="D215" s="5">
        <v>0</v>
      </c>
      <c r="E215">
        <f t="shared" si="34"/>
        <v>0</v>
      </c>
      <c r="F215">
        <f t="shared" si="35"/>
        <v>0</v>
      </c>
    </row>
    <row r="216" spans="1:7" x14ac:dyDescent="0.3">
      <c r="A216" t="s">
        <v>107</v>
      </c>
      <c r="B216" t="s">
        <v>27</v>
      </c>
      <c r="C216" t="s">
        <v>3</v>
      </c>
      <c r="D216" s="5">
        <v>0</v>
      </c>
      <c r="E216">
        <f t="shared" si="34"/>
        <v>0</v>
      </c>
      <c r="F216">
        <f t="shared" si="35"/>
        <v>0</v>
      </c>
    </row>
    <row r="217" spans="1:7" x14ac:dyDescent="0.3">
      <c r="A217" t="s">
        <v>108</v>
      </c>
      <c r="B217" t="s">
        <v>28</v>
      </c>
      <c r="C217" t="s">
        <v>3</v>
      </c>
      <c r="D217" s="5">
        <v>0</v>
      </c>
      <c r="E217">
        <f t="shared" si="34"/>
        <v>0</v>
      </c>
      <c r="F217">
        <f t="shared" si="35"/>
        <v>0</v>
      </c>
    </row>
    <row r="218" spans="1:7" x14ac:dyDescent="0.3">
      <c r="A218" t="s">
        <v>109</v>
      </c>
      <c r="B218" t="s">
        <v>29</v>
      </c>
      <c r="C218" t="s">
        <v>3</v>
      </c>
      <c r="D218" s="5">
        <v>0</v>
      </c>
      <c r="E218">
        <f t="shared" si="34"/>
        <v>0</v>
      </c>
      <c r="F218">
        <f t="shared" si="35"/>
        <v>0</v>
      </c>
    </row>
    <row r="219" spans="1:7" x14ac:dyDescent="0.3">
      <c r="A219" s="4" t="s">
        <v>221</v>
      </c>
      <c r="B219" s="4" t="s">
        <v>30</v>
      </c>
      <c r="C219" s="4"/>
      <c r="D219" s="6"/>
      <c r="E219" s="4"/>
      <c r="F219" s="4"/>
      <c r="G219" s="4"/>
    </row>
    <row r="220" spans="1:7" x14ac:dyDescent="0.3">
      <c r="A220" t="s">
        <v>110</v>
      </c>
      <c r="B220" t="s">
        <v>31</v>
      </c>
      <c r="C220" t="s">
        <v>3</v>
      </c>
      <c r="D220" s="5">
        <v>0</v>
      </c>
      <c r="E220">
        <f>SUM(D28,D52,D76,D100,D124,D148,D172,D196,D220)</f>
        <v>0</v>
      </c>
      <c r="F220">
        <f>E220</f>
        <v>0</v>
      </c>
    </row>
    <row r="221" spans="1:7" x14ac:dyDescent="0.3">
      <c r="A221" t="s">
        <v>111</v>
      </c>
      <c r="B221" t="s">
        <v>32</v>
      </c>
      <c r="C221" t="s">
        <v>3</v>
      </c>
      <c r="D221" s="5">
        <v>0</v>
      </c>
      <c r="E221">
        <f>SUM(D29,D53,D77,D101,D125,D149,D173,D197,D221)</f>
        <v>0</v>
      </c>
      <c r="F221">
        <f>E221</f>
        <v>0</v>
      </c>
    </row>
    <row r="222" spans="1:7" x14ac:dyDescent="0.3">
      <c r="A222" t="s">
        <v>112</v>
      </c>
      <c r="B222" t="s">
        <v>33</v>
      </c>
      <c r="C222" t="s">
        <v>34</v>
      </c>
      <c r="D222" s="5">
        <v>0</v>
      </c>
      <c r="E222">
        <f>SUM(D30,D54,D78,D102,D126,D150,D174,D198,D222)</f>
        <v>0</v>
      </c>
      <c r="F222">
        <f>E222</f>
        <v>0</v>
      </c>
    </row>
    <row r="223" spans="1:7" x14ac:dyDescent="0.3">
      <c r="A223" s="2" t="s">
        <v>1</v>
      </c>
      <c r="B223" s="2" t="s">
        <v>43</v>
      </c>
      <c r="C223" s="2"/>
      <c r="D223" s="2"/>
      <c r="E223" s="2"/>
      <c r="F223" s="2"/>
      <c r="G223" s="2"/>
    </row>
    <row r="224" spans="1:7" x14ac:dyDescent="0.3">
      <c r="A224" s="3" t="s">
        <v>3</v>
      </c>
      <c r="B224" s="3" t="s">
        <v>4</v>
      </c>
      <c r="C224" s="3" t="s">
        <v>5</v>
      </c>
      <c r="D224" s="3" t="s">
        <v>6</v>
      </c>
      <c r="E224" s="3" t="s">
        <v>7</v>
      </c>
      <c r="F224" s="3" t="s">
        <v>8</v>
      </c>
      <c r="G224" s="3" t="s">
        <v>9</v>
      </c>
    </row>
    <row r="225" spans="1:7" x14ac:dyDescent="0.3">
      <c r="A225" t="s">
        <v>88</v>
      </c>
      <c r="B225" t="s">
        <v>10</v>
      </c>
      <c r="C225" t="s">
        <v>3</v>
      </c>
      <c r="D225" s="5">
        <v>0</v>
      </c>
      <c r="E225">
        <f>SUM(D9,D33,D57,D81,D105,D129,D153,D177,D201,D225)</f>
        <v>0</v>
      </c>
      <c r="F225">
        <f>E225</f>
        <v>0</v>
      </c>
    </row>
    <row r="226" spans="1:7" x14ac:dyDescent="0.3">
      <c r="A226" t="s">
        <v>91</v>
      </c>
      <c r="B226" t="s">
        <v>11</v>
      </c>
      <c r="C226" t="s">
        <v>12</v>
      </c>
      <c r="D226" s="5">
        <v>0</v>
      </c>
      <c r="E226">
        <f>SUM(D10,D34,D58,D82,D106,D130,D154,D178,D202,D226)</f>
        <v>0</v>
      </c>
      <c r="F226">
        <f>E226</f>
        <v>0</v>
      </c>
    </row>
    <row r="227" spans="1:7" x14ac:dyDescent="0.3">
      <c r="A227" t="s">
        <v>93</v>
      </c>
      <c r="B227" t="s">
        <v>13</v>
      </c>
      <c r="C227" t="s">
        <v>14</v>
      </c>
      <c r="D227" s="5">
        <v>0</v>
      </c>
      <c r="E227">
        <f>SUM(D11,D35,D59,D83,D107,D131,D155,D179,D203,D227)</f>
        <v>0</v>
      </c>
      <c r="F227">
        <f>E227</f>
        <v>0</v>
      </c>
    </row>
    <row r="228" spans="1:7" x14ac:dyDescent="0.3">
      <c r="A228" s="4" t="s">
        <v>219</v>
      </c>
      <c r="B228" s="4" t="s">
        <v>15</v>
      </c>
      <c r="C228" s="4"/>
      <c r="D228" s="6"/>
      <c r="E228" s="4"/>
      <c r="F228" s="4"/>
      <c r="G228" s="4"/>
    </row>
    <row r="229" spans="1:7" x14ac:dyDescent="0.3">
      <c r="A229" t="s">
        <v>95</v>
      </c>
      <c r="B229" t="s">
        <v>16</v>
      </c>
      <c r="C229" t="s">
        <v>3</v>
      </c>
      <c r="D229" s="5">
        <v>0</v>
      </c>
      <c r="E229">
        <f t="shared" ref="E229:E234" si="36">SUM(D13,D37,D61,D85,D109,D133,D157,D181,D205,D229)</f>
        <v>0</v>
      </c>
      <c r="F229">
        <f t="shared" ref="F229:F234" si="37">E229</f>
        <v>0</v>
      </c>
    </row>
    <row r="230" spans="1:7" x14ac:dyDescent="0.3">
      <c r="A230" t="s">
        <v>97</v>
      </c>
      <c r="B230" t="s">
        <v>17</v>
      </c>
      <c r="C230" t="s">
        <v>3</v>
      </c>
      <c r="D230" s="5">
        <v>0</v>
      </c>
      <c r="E230">
        <f t="shared" si="36"/>
        <v>0</v>
      </c>
      <c r="F230">
        <f t="shared" si="37"/>
        <v>0</v>
      </c>
    </row>
    <row r="231" spans="1:7" x14ac:dyDescent="0.3">
      <c r="A231" t="s">
        <v>99</v>
      </c>
      <c r="B231" t="s">
        <v>18</v>
      </c>
      <c r="C231" t="s">
        <v>3</v>
      </c>
      <c r="D231" s="5">
        <v>0</v>
      </c>
      <c r="E231">
        <f t="shared" si="36"/>
        <v>0</v>
      </c>
      <c r="F231">
        <f t="shared" si="37"/>
        <v>0</v>
      </c>
    </row>
    <row r="232" spans="1:7" x14ac:dyDescent="0.3">
      <c r="A232" t="s">
        <v>100</v>
      </c>
      <c r="B232" t="s">
        <v>19</v>
      </c>
      <c r="C232" t="s">
        <v>3</v>
      </c>
      <c r="D232" s="5">
        <v>0</v>
      </c>
      <c r="E232">
        <f t="shared" si="36"/>
        <v>0</v>
      </c>
      <c r="F232">
        <f t="shared" si="37"/>
        <v>0</v>
      </c>
    </row>
    <row r="233" spans="1:7" x14ac:dyDescent="0.3">
      <c r="A233" t="s">
        <v>101</v>
      </c>
      <c r="B233" t="s">
        <v>20</v>
      </c>
      <c r="C233" t="s">
        <v>3</v>
      </c>
      <c r="D233" s="5">
        <v>0</v>
      </c>
      <c r="E233">
        <f t="shared" si="36"/>
        <v>0</v>
      </c>
      <c r="F233">
        <f t="shared" si="37"/>
        <v>0</v>
      </c>
    </row>
    <row r="234" spans="1:7" x14ac:dyDescent="0.3">
      <c r="A234" t="s">
        <v>102</v>
      </c>
      <c r="B234" t="s">
        <v>21</v>
      </c>
      <c r="C234" t="s">
        <v>3</v>
      </c>
      <c r="D234" s="5">
        <v>0</v>
      </c>
      <c r="E234">
        <f t="shared" si="36"/>
        <v>0</v>
      </c>
      <c r="F234">
        <f t="shared" si="37"/>
        <v>0</v>
      </c>
    </row>
    <row r="235" spans="1:7" x14ac:dyDescent="0.3">
      <c r="A235" s="4" t="s">
        <v>220</v>
      </c>
      <c r="B235" s="4" t="s">
        <v>22</v>
      </c>
      <c r="C235" s="4"/>
      <c r="D235" s="6"/>
      <c r="E235" s="4"/>
      <c r="F235" s="4"/>
      <c r="G235" s="4"/>
    </row>
    <row r="236" spans="1:7" x14ac:dyDescent="0.3">
      <c r="A236" t="s">
        <v>103</v>
      </c>
      <c r="B236" t="s">
        <v>23</v>
      </c>
      <c r="C236" t="s">
        <v>3</v>
      </c>
      <c r="D236" s="5">
        <v>0</v>
      </c>
      <c r="E236">
        <f t="shared" ref="E236:E242" si="38">SUM(D20,D44,D68,D92,D116,D140,D164,D188,D212,D236)</f>
        <v>0</v>
      </c>
      <c r="F236">
        <f t="shared" ref="F236:F242" si="39">E236</f>
        <v>0</v>
      </c>
    </row>
    <row r="237" spans="1:7" x14ac:dyDescent="0.3">
      <c r="A237" t="s">
        <v>104</v>
      </c>
      <c r="B237" t="s">
        <v>24</v>
      </c>
      <c r="C237" t="s">
        <v>3</v>
      </c>
      <c r="D237" s="5">
        <v>0</v>
      </c>
      <c r="E237">
        <f t="shared" si="38"/>
        <v>0</v>
      </c>
      <c r="F237">
        <f t="shared" si="39"/>
        <v>0</v>
      </c>
    </row>
    <row r="238" spans="1:7" x14ac:dyDescent="0.3">
      <c r="A238" t="s">
        <v>105</v>
      </c>
      <c r="B238" t="s">
        <v>25</v>
      </c>
      <c r="C238" t="s">
        <v>3</v>
      </c>
      <c r="D238" s="5">
        <v>0</v>
      </c>
      <c r="E238">
        <f t="shared" si="38"/>
        <v>0</v>
      </c>
      <c r="F238">
        <f t="shared" si="39"/>
        <v>0</v>
      </c>
    </row>
    <row r="239" spans="1:7" x14ac:dyDescent="0.3">
      <c r="A239" t="s">
        <v>106</v>
      </c>
      <c r="B239" t="s">
        <v>26</v>
      </c>
      <c r="C239" t="s">
        <v>3</v>
      </c>
      <c r="D239" s="5">
        <v>0</v>
      </c>
      <c r="E239">
        <f t="shared" si="38"/>
        <v>0</v>
      </c>
      <c r="F239">
        <f t="shared" si="39"/>
        <v>0</v>
      </c>
    </row>
    <row r="240" spans="1:7" x14ac:dyDescent="0.3">
      <c r="A240" t="s">
        <v>107</v>
      </c>
      <c r="B240" t="s">
        <v>27</v>
      </c>
      <c r="C240" t="s">
        <v>3</v>
      </c>
      <c r="D240" s="5">
        <v>0</v>
      </c>
      <c r="E240">
        <f t="shared" si="38"/>
        <v>0</v>
      </c>
      <c r="F240">
        <f t="shared" si="39"/>
        <v>0</v>
      </c>
    </row>
    <row r="241" spans="1:7" x14ac:dyDescent="0.3">
      <c r="A241" t="s">
        <v>108</v>
      </c>
      <c r="B241" t="s">
        <v>28</v>
      </c>
      <c r="C241" t="s">
        <v>3</v>
      </c>
      <c r="D241" s="5">
        <v>0</v>
      </c>
      <c r="E241">
        <f t="shared" si="38"/>
        <v>0</v>
      </c>
      <c r="F241">
        <f t="shared" si="39"/>
        <v>0</v>
      </c>
    </row>
    <row r="242" spans="1:7" x14ac:dyDescent="0.3">
      <c r="A242" t="s">
        <v>109</v>
      </c>
      <c r="B242" t="s">
        <v>29</v>
      </c>
      <c r="C242" t="s">
        <v>3</v>
      </c>
      <c r="D242" s="5">
        <v>0</v>
      </c>
      <c r="E242">
        <f t="shared" si="38"/>
        <v>0</v>
      </c>
      <c r="F242">
        <f t="shared" si="39"/>
        <v>0</v>
      </c>
    </row>
    <row r="243" spans="1:7" x14ac:dyDescent="0.3">
      <c r="A243" s="4" t="s">
        <v>221</v>
      </c>
      <c r="B243" s="4" t="s">
        <v>30</v>
      </c>
      <c r="C243" s="4"/>
      <c r="D243" s="6"/>
      <c r="E243" s="4"/>
      <c r="F243" s="4"/>
      <c r="G243" s="4"/>
    </row>
    <row r="244" spans="1:7" x14ac:dyDescent="0.3">
      <c r="A244" t="s">
        <v>110</v>
      </c>
      <c r="B244" t="s">
        <v>31</v>
      </c>
      <c r="C244" t="s">
        <v>3</v>
      </c>
      <c r="D244" s="5">
        <v>0</v>
      </c>
      <c r="E244">
        <f>SUM(D28,D52,D76,D100,D124,D148,D172,D196,D220,D244)</f>
        <v>0</v>
      </c>
      <c r="F244">
        <f>E244</f>
        <v>0</v>
      </c>
    </row>
    <row r="245" spans="1:7" x14ac:dyDescent="0.3">
      <c r="A245" t="s">
        <v>111</v>
      </c>
      <c r="B245" t="s">
        <v>32</v>
      </c>
      <c r="C245" t="s">
        <v>3</v>
      </c>
      <c r="D245" s="5">
        <v>0</v>
      </c>
      <c r="E245">
        <f>SUM(D29,D53,D77,D101,D125,D149,D173,D197,D221,D245)</f>
        <v>0</v>
      </c>
      <c r="F245">
        <f>E245</f>
        <v>0</v>
      </c>
    </row>
    <row r="246" spans="1:7" x14ac:dyDescent="0.3">
      <c r="A246" t="s">
        <v>112</v>
      </c>
      <c r="B246" t="s">
        <v>33</v>
      </c>
      <c r="C246" t="s">
        <v>34</v>
      </c>
      <c r="D246" s="5">
        <v>0</v>
      </c>
      <c r="E246">
        <f>SUM(D30,D54,D78,D102,D126,D150,D174,D198,D222,D246)</f>
        <v>0</v>
      </c>
      <c r="F246">
        <f>E246</f>
        <v>0</v>
      </c>
    </row>
    <row r="247" spans="1:7" x14ac:dyDescent="0.3">
      <c r="A247" s="2" t="s">
        <v>1</v>
      </c>
      <c r="B247" s="2" t="s">
        <v>44</v>
      </c>
      <c r="C247" s="2"/>
      <c r="D247" s="2"/>
      <c r="E247" s="2"/>
      <c r="F247" s="2"/>
      <c r="G247" s="2"/>
    </row>
    <row r="248" spans="1:7" x14ac:dyDescent="0.3">
      <c r="A248" s="3" t="s">
        <v>3</v>
      </c>
      <c r="B248" s="3" t="s">
        <v>4</v>
      </c>
      <c r="C248" s="3" t="s">
        <v>5</v>
      </c>
      <c r="D248" s="3" t="s">
        <v>6</v>
      </c>
      <c r="E248" s="3" t="s">
        <v>7</v>
      </c>
      <c r="F248" s="3" t="s">
        <v>8</v>
      </c>
      <c r="G248" s="3" t="s">
        <v>9</v>
      </c>
    </row>
    <row r="249" spans="1:7" x14ac:dyDescent="0.3">
      <c r="A249" t="s">
        <v>88</v>
      </c>
      <c r="B249" t="s">
        <v>10</v>
      </c>
      <c r="C249" t="s">
        <v>3</v>
      </c>
      <c r="D249" s="5">
        <v>0</v>
      </c>
      <c r="E249">
        <f>SUM(D9,D33,D57,D81,D105,D129,D153,D177,D201,D225,D249)</f>
        <v>0</v>
      </c>
      <c r="F249">
        <f>E249</f>
        <v>0</v>
      </c>
    </row>
    <row r="250" spans="1:7" x14ac:dyDescent="0.3">
      <c r="A250" t="s">
        <v>91</v>
      </c>
      <c r="B250" t="s">
        <v>11</v>
      </c>
      <c r="C250" t="s">
        <v>12</v>
      </c>
      <c r="D250" s="5">
        <v>0</v>
      </c>
      <c r="E250">
        <f>SUM(D10,D34,D58,D82,D106,D130,D154,D178,D202,D226,D250)</f>
        <v>0</v>
      </c>
      <c r="F250">
        <f>E250</f>
        <v>0</v>
      </c>
    </row>
    <row r="251" spans="1:7" x14ac:dyDescent="0.3">
      <c r="A251" t="s">
        <v>93</v>
      </c>
      <c r="B251" t="s">
        <v>13</v>
      </c>
      <c r="C251" t="s">
        <v>14</v>
      </c>
      <c r="D251" s="5">
        <v>0</v>
      </c>
      <c r="E251">
        <f>SUM(D11,D35,D59,D83,D107,D131,D155,D179,D203,D227,D251)</f>
        <v>0</v>
      </c>
      <c r="F251">
        <f>E251</f>
        <v>0</v>
      </c>
    </row>
    <row r="252" spans="1:7" x14ac:dyDescent="0.3">
      <c r="A252" s="4" t="s">
        <v>219</v>
      </c>
      <c r="B252" s="4" t="s">
        <v>15</v>
      </c>
      <c r="C252" s="4"/>
      <c r="D252" s="6"/>
      <c r="E252" s="4"/>
      <c r="F252" s="4"/>
      <c r="G252" s="4"/>
    </row>
    <row r="253" spans="1:7" x14ac:dyDescent="0.3">
      <c r="A253" t="s">
        <v>95</v>
      </c>
      <c r="B253" t="s">
        <v>16</v>
      </c>
      <c r="C253" t="s">
        <v>3</v>
      </c>
      <c r="D253" s="5">
        <v>0</v>
      </c>
      <c r="E253">
        <f t="shared" ref="E253:E258" si="40">SUM(D13,D37,D61,D85,D109,D133,D157,D181,D205,D229,D253)</f>
        <v>0</v>
      </c>
      <c r="F253">
        <f t="shared" ref="F253:F258" si="41">E253</f>
        <v>0</v>
      </c>
    </row>
    <row r="254" spans="1:7" x14ac:dyDescent="0.3">
      <c r="A254" t="s">
        <v>97</v>
      </c>
      <c r="B254" t="s">
        <v>17</v>
      </c>
      <c r="C254" t="s">
        <v>3</v>
      </c>
      <c r="D254" s="5">
        <v>0</v>
      </c>
      <c r="E254">
        <f t="shared" si="40"/>
        <v>0</v>
      </c>
      <c r="F254">
        <f t="shared" si="41"/>
        <v>0</v>
      </c>
    </row>
    <row r="255" spans="1:7" x14ac:dyDescent="0.3">
      <c r="A255" t="s">
        <v>99</v>
      </c>
      <c r="B255" t="s">
        <v>18</v>
      </c>
      <c r="C255" t="s">
        <v>3</v>
      </c>
      <c r="D255" s="5">
        <v>0</v>
      </c>
      <c r="E255">
        <f t="shared" si="40"/>
        <v>0</v>
      </c>
      <c r="F255">
        <f t="shared" si="41"/>
        <v>0</v>
      </c>
    </row>
    <row r="256" spans="1:7" x14ac:dyDescent="0.3">
      <c r="A256" t="s">
        <v>100</v>
      </c>
      <c r="B256" t="s">
        <v>19</v>
      </c>
      <c r="C256" t="s">
        <v>3</v>
      </c>
      <c r="D256" s="5">
        <v>0</v>
      </c>
      <c r="E256">
        <f t="shared" si="40"/>
        <v>0</v>
      </c>
      <c r="F256">
        <f t="shared" si="41"/>
        <v>0</v>
      </c>
    </row>
    <row r="257" spans="1:7" x14ac:dyDescent="0.3">
      <c r="A257" t="s">
        <v>101</v>
      </c>
      <c r="B257" t="s">
        <v>20</v>
      </c>
      <c r="C257" t="s">
        <v>3</v>
      </c>
      <c r="D257" s="5">
        <v>0</v>
      </c>
      <c r="E257">
        <f t="shared" si="40"/>
        <v>0</v>
      </c>
      <c r="F257">
        <f t="shared" si="41"/>
        <v>0</v>
      </c>
    </row>
    <row r="258" spans="1:7" x14ac:dyDescent="0.3">
      <c r="A258" t="s">
        <v>102</v>
      </c>
      <c r="B258" t="s">
        <v>21</v>
      </c>
      <c r="C258" t="s">
        <v>3</v>
      </c>
      <c r="D258" s="5">
        <v>0</v>
      </c>
      <c r="E258">
        <f t="shared" si="40"/>
        <v>0</v>
      </c>
      <c r="F258">
        <f t="shared" si="41"/>
        <v>0</v>
      </c>
    </row>
    <row r="259" spans="1:7" x14ac:dyDescent="0.3">
      <c r="A259" s="4" t="s">
        <v>220</v>
      </c>
      <c r="B259" s="4" t="s">
        <v>22</v>
      </c>
      <c r="C259" s="4"/>
      <c r="D259" s="6"/>
      <c r="E259" s="4"/>
      <c r="F259" s="4"/>
      <c r="G259" s="4"/>
    </row>
    <row r="260" spans="1:7" x14ac:dyDescent="0.3">
      <c r="A260" t="s">
        <v>103</v>
      </c>
      <c r="B260" t="s">
        <v>23</v>
      </c>
      <c r="C260" t="s">
        <v>3</v>
      </c>
      <c r="D260" s="5">
        <v>0</v>
      </c>
      <c r="E260">
        <f t="shared" ref="E260:E266" si="42">SUM(D20,D44,D68,D92,D116,D140,D164,D188,D212,D236,D260)</f>
        <v>0</v>
      </c>
      <c r="F260">
        <f t="shared" ref="F260:F266" si="43">E260</f>
        <v>0</v>
      </c>
    </row>
    <row r="261" spans="1:7" x14ac:dyDescent="0.3">
      <c r="A261" t="s">
        <v>104</v>
      </c>
      <c r="B261" t="s">
        <v>24</v>
      </c>
      <c r="C261" t="s">
        <v>3</v>
      </c>
      <c r="D261" s="5">
        <v>0</v>
      </c>
      <c r="E261">
        <f t="shared" si="42"/>
        <v>0</v>
      </c>
      <c r="F261">
        <f t="shared" si="43"/>
        <v>0</v>
      </c>
    </row>
    <row r="262" spans="1:7" x14ac:dyDescent="0.3">
      <c r="A262" t="s">
        <v>105</v>
      </c>
      <c r="B262" t="s">
        <v>25</v>
      </c>
      <c r="C262" t="s">
        <v>3</v>
      </c>
      <c r="D262" s="5">
        <v>0</v>
      </c>
      <c r="E262">
        <f t="shared" si="42"/>
        <v>0</v>
      </c>
      <c r="F262">
        <f t="shared" si="43"/>
        <v>0</v>
      </c>
    </row>
    <row r="263" spans="1:7" x14ac:dyDescent="0.3">
      <c r="A263" t="s">
        <v>106</v>
      </c>
      <c r="B263" t="s">
        <v>26</v>
      </c>
      <c r="C263" t="s">
        <v>3</v>
      </c>
      <c r="D263" s="5">
        <v>0</v>
      </c>
      <c r="E263">
        <f t="shared" si="42"/>
        <v>0</v>
      </c>
      <c r="F263">
        <f t="shared" si="43"/>
        <v>0</v>
      </c>
    </row>
    <row r="264" spans="1:7" x14ac:dyDescent="0.3">
      <c r="A264" t="s">
        <v>107</v>
      </c>
      <c r="B264" t="s">
        <v>27</v>
      </c>
      <c r="C264" t="s">
        <v>3</v>
      </c>
      <c r="D264" s="5">
        <v>0</v>
      </c>
      <c r="E264">
        <f t="shared" si="42"/>
        <v>0</v>
      </c>
      <c r="F264">
        <f t="shared" si="43"/>
        <v>0</v>
      </c>
    </row>
    <row r="265" spans="1:7" x14ac:dyDescent="0.3">
      <c r="A265" t="s">
        <v>108</v>
      </c>
      <c r="B265" t="s">
        <v>28</v>
      </c>
      <c r="C265" t="s">
        <v>3</v>
      </c>
      <c r="D265" s="5">
        <v>0</v>
      </c>
      <c r="E265">
        <f t="shared" si="42"/>
        <v>0</v>
      </c>
      <c r="F265">
        <f t="shared" si="43"/>
        <v>0</v>
      </c>
    </row>
    <row r="266" spans="1:7" x14ac:dyDescent="0.3">
      <c r="A266" t="s">
        <v>109</v>
      </c>
      <c r="B266" t="s">
        <v>29</v>
      </c>
      <c r="C266" t="s">
        <v>3</v>
      </c>
      <c r="D266" s="5">
        <v>0</v>
      </c>
      <c r="E266">
        <f t="shared" si="42"/>
        <v>0</v>
      </c>
      <c r="F266">
        <f t="shared" si="43"/>
        <v>0</v>
      </c>
    </row>
    <row r="267" spans="1:7" x14ac:dyDescent="0.3">
      <c r="A267" s="4" t="s">
        <v>221</v>
      </c>
      <c r="B267" s="4" t="s">
        <v>30</v>
      </c>
      <c r="C267" s="4"/>
      <c r="D267" s="6"/>
      <c r="E267" s="4"/>
      <c r="F267" s="4"/>
      <c r="G267" s="4"/>
    </row>
    <row r="268" spans="1:7" x14ac:dyDescent="0.3">
      <c r="A268" t="s">
        <v>110</v>
      </c>
      <c r="B268" t="s">
        <v>31</v>
      </c>
      <c r="C268" t="s">
        <v>3</v>
      </c>
      <c r="D268" s="5">
        <v>0</v>
      </c>
      <c r="E268">
        <f>SUM(D28,D52,D76,D100,D124,D148,D172,D196,D220,D244,D268)</f>
        <v>0</v>
      </c>
      <c r="F268">
        <f>E268</f>
        <v>0</v>
      </c>
    </row>
    <row r="269" spans="1:7" x14ac:dyDescent="0.3">
      <c r="A269" t="s">
        <v>111</v>
      </c>
      <c r="B269" t="s">
        <v>32</v>
      </c>
      <c r="C269" t="s">
        <v>3</v>
      </c>
      <c r="D269" s="5">
        <v>0</v>
      </c>
      <c r="E269">
        <f>SUM(D29,D53,D77,D101,D125,D149,D173,D197,D221,D245,D269)</f>
        <v>0</v>
      </c>
      <c r="F269">
        <f>E269</f>
        <v>0</v>
      </c>
    </row>
    <row r="270" spans="1:7" x14ac:dyDescent="0.3">
      <c r="A270" t="s">
        <v>112</v>
      </c>
      <c r="B270" t="s">
        <v>33</v>
      </c>
      <c r="C270" t="s">
        <v>34</v>
      </c>
      <c r="D270" s="5">
        <v>0</v>
      </c>
      <c r="E270">
        <f>SUM(D30,D54,D78,D102,D126,D150,D174,D198,D222,D246,D270)</f>
        <v>0</v>
      </c>
      <c r="F270">
        <f>E270</f>
        <v>0</v>
      </c>
    </row>
    <row r="271" spans="1:7" x14ac:dyDescent="0.3">
      <c r="A271" s="2" t="s">
        <v>1</v>
      </c>
      <c r="B271" s="2" t="s">
        <v>45</v>
      </c>
      <c r="C271" s="2"/>
      <c r="D271" s="2"/>
      <c r="E271" s="2"/>
      <c r="F271" s="2"/>
      <c r="G271" s="2"/>
    </row>
    <row r="272" spans="1:7" x14ac:dyDescent="0.3">
      <c r="A272" s="3" t="s">
        <v>3</v>
      </c>
      <c r="B272" s="3" t="s">
        <v>4</v>
      </c>
      <c r="C272" s="3" t="s">
        <v>5</v>
      </c>
      <c r="D272" s="3" t="s">
        <v>6</v>
      </c>
      <c r="E272" s="3" t="s">
        <v>7</v>
      </c>
      <c r="F272" s="3" t="s">
        <v>8</v>
      </c>
      <c r="G272" s="3" t="s">
        <v>9</v>
      </c>
    </row>
    <row r="273" spans="1:7" x14ac:dyDescent="0.3">
      <c r="A273" t="s">
        <v>88</v>
      </c>
      <c r="B273" t="s">
        <v>10</v>
      </c>
      <c r="C273" t="s">
        <v>3</v>
      </c>
      <c r="D273" s="5">
        <v>0</v>
      </c>
      <c r="E273">
        <f>SUM(D9,D33,D57,D81,D105,D129,D153,D177,D201,D225,D249,D273)</f>
        <v>0</v>
      </c>
      <c r="F273">
        <f>E273</f>
        <v>0</v>
      </c>
    </row>
    <row r="274" spans="1:7" x14ac:dyDescent="0.3">
      <c r="A274" t="s">
        <v>91</v>
      </c>
      <c r="B274" t="s">
        <v>11</v>
      </c>
      <c r="C274" t="s">
        <v>12</v>
      </c>
      <c r="D274" s="5">
        <v>0</v>
      </c>
      <c r="E274">
        <f>SUM(D10,D34,D58,D82,D106,D130,D154,D178,D202,D226,D250,D274)</f>
        <v>0</v>
      </c>
      <c r="F274">
        <f>E274</f>
        <v>0</v>
      </c>
    </row>
    <row r="275" spans="1:7" x14ac:dyDescent="0.3">
      <c r="A275" t="s">
        <v>93</v>
      </c>
      <c r="B275" t="s">
        <v>13</v>
      </c>
      <c r="C275" t="s">
        <v>14</v>
      </c>
      <c r="D275" s="5">
        <v>0</v>
      </c>
      <c r="E275">
        <f>SUM(D11,D35,D59,D83,D107,D131,D155,D179,D203,D227,D251,D275)</f>
        <v>0</v>
      </c>
      <c r="F275">
        <f>E275</f>
        <v>0</v>
      </c>
    </row>
    <row r="276" spans="1:7" x14ac:dyDescent="0.3">
      <c r="A276" s="4" t="s">
        <v>219</v>
      </c>
      <c r="B276" s="4" t="s">
        <v>15</v>
      </c>
      <c r="C276" s="4"/>
      <c r="D276" s="6"/>
      <c r="E276" s="4"/>
      <c r="F276" s="4"/>
      <c r="G276" s="4"/>
    </row>
    <row r="277" spans="1:7" x14ac:dyDescent="0.3">
      <c r="A277" t="s">
        <v>95</v>
      </c>
      <c r="B277" t="s">
        <v>16</v>
      </c>
      <c r="C277" t="s">
        <v>3</v>
      </c>
      <c r="D277" s="5">
        <v>0</v>
      </c>
      <c r="E277">
        <f t="shared" ref="E277:E282" si="44">SUM(D13,D37,D61,D85,D109,D133,D157,D181,D205,D229,D253,D277)</f>
        <v>0</v>
      </c>
      <c r="F277">
        <f t="shared" ref="F277:F282" si="45">E277</f>
        <v>0</v>
      </c>
    </row>
    <row r="278" spans="1:7" x14ac:dyDescent="0.3">
      <c r="A278" t="s">
        <v>97</v>
      </c>
      <c r="B278" t="s">
        <v>17</v>
      </c>
      <c r="C278" t="s">
        <v>3</v>
      </c>
      <c r="D278" s="5">
        <v>0</v>
      </c>
      <c r="E278">
        <f t="shared" si="44"/>
        <v>0</v>
      </c>
      <c r="F278">
        <f t="shared" si="45"/>
        <v>0</v>
      </c>
    </row>
    <row r="279" spans="1:7" x14ac:dyDescent="0.3">
      <c r="A279" t="s">
        <v>99</v>
      </c>
      <c r="B279" t="s">
        <v>18</v>
      </c>
      <c r="C279" t="s">
        <v>3</v>
      </c>
      <c r="D279" s="5">
        <v>0</v>
      </c>
      <c r="E279">
        <f t="shared" si="44"/>
        <v>0</v>
      </c>
      <c r="F279">
        <f t="shared" si="45"/>
        <v>0</v>
      </c>
    </row>
    <row r="280" spans="1:7" x14ac:dyDescent="0.3">
      <c r="A280" t="s">
        <v>100</v>
      </c>
      <c r="B280" t="s">
        <v>19</v>
      </c>
      <c r="C280" t="s">
        <v>3</v>
      </c>
      <c r="D280" s="5">
        <v>0</v>
      </c>
      <c r="E280">
        <f t="shared" si="44"/>
        <v>0</v>
      </c>
      <c r="F280">
        <f t="shared" si="45"/>
        <v>0</v>
      </c>
    </row>
    <row r="281" spans="1:7" x14ac:dyDescent="0.3">
      <c r="A281" t="s">
        <v>101</v>
      </c>
      <c r="B281" t="s">
        <v>20</v>
      </c>
      <c r="C281" t="s">
        <v>3</v>
      </c>
      <c r="D281" s="5">
        <v>0</v>
      </c>
      <c r="E281">
        <f t="shared" si="44"/>
        <v>0</v>
      </c>
      <c r="F281">
        <f t="shared" si="45"/>
        <v>0</v>
      </c>
    </row>
    <row r="282" spans="1:7" x14ac:dyDescent="0.3">
      <c r="A282" t="s">
        <v>102</v>
      </c>
      <c r="B282" t="s">
        <v>21</v>
      </c>
      <c r="C282" t="s">
        <v>3</v>
      </c>
      <c r="D282" s="5">
        <v>0</v>
      </c>
      <c r="E282">
        <f t="shared" si="44"/>
        <v>0</v>
      </c>
      <c r="F282">
        <f t="shared" si="45"/>
        <v>0</v>
      </c>
    </row>
    <row r="283" spans="1:7" x14ac:dyDescent="0.3">
      <c r="A283" s="4" t="s">
        <v>220</v>
      </c>
      <c r="B283" s="4" t="s">
        <v>22</v>
      </c>
      <c r="C283" s="4"/>
      <c r="D283" s="6"/>
      <c r="E283" s="4"/>
      <c r="F283" s="4"/>
      <c r="G283" s="4"/>
    </row>
    <row r="284" spans="1:7" x14ac:dyDescent="0.3">
      <c r="A284" t="s">
        <v>103</v>
      </c>
      <c r="B284" t="s">
        <v>23</v>
      </c>
      <c r="C284" t="s">
        <v>3</v>
      </c>
      <c r="D284" s="5">
        <v>0</v>
      </c>
      <c r="E284">
        <f t="shared" ref="E284:E290" si="46">SUM(D20,D44,D68,D92,D116,D140,D164,D188,D212,D236,D260,D284)</f>
        <v>0</v>
      </c>
      <c r="F284">
        <f t="shared" ref="F284:F290" si="47">E284</f>
        <v>0</v>
      </c>
    </row>
    <row r="285" spans="1:7" x14ac:dyDescent="0.3">
      <c r="A285" t="s">
        <v>104</v>
      </c>
      <c r="B285" t="s">
        <v>24</v>
      </c>
      <c r="C285" t="s">
        <v>3</v>
      </c>
      <c r="D285" s="5">
        <v>0</v>
      </c>
      <c r="E285">
        <f t="shared" si="46"/>
        <v>0</v>
      </c>
      <c r="F285">
        <f t="shared" si="47"/>
        <v>0</v>
      </c>
    </row>
    <row r="286" spans="1:7" x14ac:dyDescent="0.3">
      <c r="A286" t="s">
        <v>105</v>
      </c>
      <c r="B286" t="s">
        <v>25</v>
      </c>
      <c r="C286" t="s">
        <v>3</v>
      </c>
      <c r="D286" s="5">
        <v>0</v>
      </c>
      <c r="E286">
        <f t="shared" si="46"/>
        <v>0</v>
      </c>
      <c r="F286">
        <f t="shared" si="47"/>
        <v>0</v>
      </c>
    </row>
    <row r="287" spans="1:7" x14ac:dyDescent="0.3">
      <c r="A287" t="s">
        <v>106</v>
      </c>
      <c r="B287" t="s">
        <v>26</v>
      </c>
      <c r="C287" t="s">
        <v>3</v>
      </c>
      <c r="D287" s="5">
        <v>0</v>
      </c>
      <c r="E287">
        <f t="shared" si="46"/>
        <v>0</v>
      </c>
      <c r="F287">
        <f t="shared" si="47"/>
        <v>0</v>
      </c>
    </row>
    <row r="288" spans="1:7" x14ac:dyDescent="0.3">
      <c r="A288" t="s">
        <v>107</v>
      </c>
      <c r="B288" t="s">
        <v>27</v>
      </c>
      <c r="C288" t="s">
        <v>3</v>
      </c>
      <c r="D288" s="5">
        <v>0</v>
      </c>
      <c r="E288">
        <f t="shared" si="46"/>
        <v>0</v>
      </c>
      <c r="F288">
        <f t="shared" si="47"/>
        <v>0</v>
      </c>
    </row>
    <row r="289" spans="1:7" x14ac:dyDescent="0.3">
      <c r="A289" t="s">
        <v>108</v>
      </c>
      <c r="B289" t="s">
        <v>28</v>
      </c>
      <c r="C289" t="s">
        <v>3</v>
      </c>
      <c r="D289" s="5">
        <v>0</v>
      </c>
      <c r="E289">
        <f t="shared" si="46"/>
        <v>0</v>
      </c>
      <c r="F289">
        <f t="shared" si="47"/>
        <v>0</v>
      </c>
    </row>
    <row r="290" spans="1:7" x14ac:dyDescent="0.3">
      <c r="A290" t="s">
        <v>109</v>
      </c>
      <c r="B290" t="s">
        <v>29</v>
      </c>
      <c r="C290" t="s">
        <v>3</v>
      </c>
      <c r="D290" s="5">
        <v>0</v>
      </c>
      <c r="E290">
        <f t="shared" si="46"/>
        <v>0</v>
      </c>
      <c r="F290">
        <f t="shared" si="47"/>
        <v>0</v>
      </c>
    </row>
    <row r="291" spans="1:7" x14ac:dyDescent="0.3">
      <c r="A291" s="4" t="s">
        <v>221</v>
      </c>
      <c r="B291" s="4" t="s">
        <v>30</v>
      </c>
      <c r="C291" s="4"/>
      <c r="D291" s="6"/>
      <c r="E291" s="4"/>
      <c r="F291" s="4"/>
      <c r="G291" s="4"/>
    </row>
    <row r="292" spans="1:7" x14ac:dyDescent="0.3">
      <c r="A292" t="s">
        <v>110</v>
      </c>
      <c r="B292" t="s">
        <v>31</v>
      </c>
      <c r="C292" t="s">
        <v>3</v>
      </c>
      <c r="D292" s="5">
        <v>0</v>
      </c>
      <c r="E292">
        <f>SUM(D28,D52,D76,D100,D124,D148,D172,D196,D220,D244,D268,D292)</f>
        <v>0</v>
      </c>
      <c r="F292">
        <f>E292</f>
        <v>0</v>
      </c>
    </row>
    <row r="293" spans="1:7" x14ac:dyDescent="0.3">
      <c r="A293" t="s">
        <v>111</v>
      </c>
      <c r="B293" t="s">
        <v>32</v>
      </c>
      <c r="C293" t="s">
        <v>3</v>
      </c>
      <c r="D293" s="5">
        <v>0</v>
      </c>
      <c r="E293">
        <f>SUM(D29,D53,D77,D101,D125,D149,D173,D197,D221,D245,D269,D293)</f>
        <v>0</v>
      </c>
      <c r="F293">
        <f>E293</f>
        <v>0</v>
      </c>
    </row>
    <row r="294" spans="1:7" x14ac:dyDescent="0.3">
      <c r="A294" t="s">
        <v>112</v>
      </c>
      <c r="B294" t="s">
        <v>33</v>
      </c>
      <c r="C294" t="s">
        <v>34</v>
      </c>
      <c r="D294" s="5">
        <v>0</v>
      </c>
      <c r="E294">
        <f>SUM(D30,D54,D78,D102,D126,D150,D174,D198,D222,D246,D270,D294)</f>
        <v>0</v>
      </c>
      <c r="F294">
        <f>E294</f>
        <v>0</v>
      </c>
    </row>
  </sheetData>
  <mergeCells count="2">
    <mergeCell ref="A1:G1"/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D00-000000000000}">
          <x14:formula1>
            <xm:f>LISTS!$B$3:$B$14</xm:f>
          </x14:formula1>
          <xm:sqref>B7 B271 B247 B223 B199 B175 B151 B127 B103 B79 B55 B31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S23"/>
  <sheetViews>
    <sheetView showGridLines="0" zoomScale="85" zoomScaleNormal="85" workbookViewId="0">
      <selection activeCell="I6" sqref="I6"/>
    </sheetView>
  </sheetViews>
  <sheetFormatPr defaultRowHeight="14.4" x14ac:dyDescent="0.3"/>
  <cols>
    <col min="1" max="1" width="7.109375" customWidth="1"/>
    <col min="2" max="2" width="17.44140625" customWidth="1"/>
    <col min="3" max="3" width="41" customWidth="1"/>
    <col min="4" max="4" width="11.44140625" customWidth="1"/>
    <col min="5" max="6" width="18.88671875" customWidth="1"/>
    <col min="7" max="16" width="12.21875" customWidth="1"/>
    <col min="17" max="18" width="19.5546875" customWidth="1"/>
    <col min="19" max="19" width="41.6640625" customWidth="1"/>
  </cols>
  <sheetData>
    <row r="1" spans="1:19" ht="23.4" x14ac:dyDescent="0.3">
      <c r="A1" s="67" t="s">
        <v>248</v>
      </c>
      <c r="B1" s="67" t="s">
        <v>248</v>
      </c>
      <c r="C1" s="67" t="s">
        <v>248</v>
      </c>
      <c r="D1" s="67" t="s">
        <v>248</v>
      </c>
      <c r="E1" s="67" t="s">
        <v>248</v>
      </c>
      <c r="F1" s="67" t="s">
        <v>248</v>
      </c>
      <c r="G1" s="67" t="s">
        <v>248</v>
      </c>
      <c r="H1" s="67" t="s">
        <v>248</v>
      </c>
      <c r="I1" s="67" t="s">
        <v>248</v>
      </c>
      <c r="J1" s="67" t="s">
        <v>248</v>
      </c>
      <c r="K1" s="67" t="s">
        <v>248</v>
      </c>
      <c r="L1" s="67" t="s">
        <v>248</v>
      </c>
      <c r="M1" s="67" t="s">
        <v>248</v>
      </c>
      <c r="N1" s="67" t="s">
        <v>248</v>
      </c>
      <c r="O1" s="67" t="s">
        <v>248</v>
      </c>
      <c r="P1" s="67" t="s">
        <v>248</v>
      </c>
      <c r="Q1" s="67" t="s">
        <v>248</v>
      </c>
      <c r="R1" s="67" t="s">
        <v>248</v>
      </c>
      <c r="S1" s="67" t="s">
        <v>248</v>
      </c>
    </row>
    <row r="2" spans="1:19" x14ac:dyDescent="0.3">
      <c r="A2" s="68" t="s">
        <v>249</v>
      </c>
      <c r="B2" s="68" t="s">
        <v>249</v>
      </c>
      <c r="C2" s="68" t="s">
        <v>249</v>
      </c>
      <c r="D2" s="68" t="s">
        <v>249</v>
      </c>
      <c r="E2" s="68" t="s">
        <v>249</v>
      </c>
      <c r="F2" s="68" t="s">
        <v>249</v>
      </c>
      <c r="G2" s="68" t="s">
        <v>249</v>
      </c>
      <c r="H2" s="68" t="s">
        <v>249</v>
      </c>
      <c r="I2" s="68" t="s">
        <v>249</v>
      </c>
      <c r="J2" s="68" t="s">
        <v>249</v>
      </c>
      <c r="K2" s="68" t="s">
        <v>249</v>
      </c>
      <c r="L2" s="68" t="s">
        <v>249</v>
      </c>
      <c r="M2" s="68" t="s">
        <v>249</v>
      </c>
      <c r="N2" s="68" t="s">
        <v>249</v>
      </c>
      <c r="O2" s="68" t="s">
        <v>249</v>
      </c>
      <c r="P2" s="68" t="s">
        <v>249</v>
      </c>
      <c r="Q2" s="68" t="s">
        <v>249</v>
      </c>
      <c r="R2" s="68" t="s">
        <v>249</v>
      </c>
      <c r="S2" s="68" t="s">
        <v>249</v>
      </c>
    </row>
    <row r="4" spans="1:19" ht="28.8" x14ac:dyDescent="0.3">
      <c r="A4" s="13" t="s">
        <v>3</v>
      </c>
      <c r="B4" s="13" t="s">
        <v>53</v>
      </c>
      <c r="C4" s="13" t="s">
        <v>4</v>
      </c>
      <c r="D4" s="13" t="s">
        <v>5</v>
      </c>
      <c r="E4" s="13" t="s">
        <v>81</v>
      </c>
      <c r="F4" s="13" t="s">
        <v>250</v>
      </c>
      <c r="G4" s="13">
        <f>SETTINGS!A15</f>
        <v>2025</v>
      </c>
      <c r="H4" s="13">
        <f>SETTINGS!A16</f>
        <v>2026</v>
      </c>
      <c r="I4" s="13">
        <f>SETTINGS!A17</f>
        <v>2027</v>
      </c>
      <c r="J4" s="13">
        <f>SETTINGS!A18</f>
        <v>2028</v>
      </c>
      <c r="K4" s="13">
        <f>SETTINGS!A19</f>
        <v>2029</v>
      </c>
      <c r="L4" s="13">
        <f>SETTINGS!A20</f>
        <v>2030</v>
      </c>
      <c r="M4" s="13">
        <f>SETTINGS!A21</f>
        <v>2031</v>
      </c>
      <c r="N4" s="13">
        <f>SETTINGS!A22</f>
        <v>2032</v>
      </c>
      <c r="O4" s="13">
        <f>SETTINGS!A23</f>
        <v>2033</v>
      </c>
      <c r="P4" s="13">
        <f>SETTINGS!A24</f>
        <v>2034</v>
      </c>
      <c r="Q4" s="13" t="s">
        <v>251</v>
      </c>
      <c r="R4" s="13" t="s">
        <v>252</v>
      </c>
      <c r="S4" s="13" t="s">
        <v>253</v>
      </c>
    </row>
    <row r="5" spans="1:19" ht="43.2" x14ac:dyDescent="0.3">
      <c r="A5" s="20" t="s">
        <v>88</v>
      </c>
      <c r="B5" s="21" t="s">
        <v>89</v>
      </c>
      <c r="C5" s="21" t="s">
        <v>10</v>
      </c>
      <c r="D5" s="21" t="s">
        <v>3</v>
      </c>
      <c r="E5" s="21" t="s">
        <v>133</v>
      </c>
      <c r="F5" s="29">
        <v>104</v>
      </c>
      <c r="G5" s="29">
        <v>104</v>
      </c>
      <c r="H5" s="29">
        <v>104</v>
      </c>
      <c r="I5" s="29"/>
      <c r="J5" s="29"/>
      <c r="K5" s="29"/>
      <c r="L5" s="29"/>
      <c r="M5" s="29"/>
      <c r="N5" s="29"/>
      <c r="O5" s="29"/>
      <c r="P5" s="29"/>
      <c r="Q5" s="30">
        <f ca="1">IF($E5="Lower is better",0,IFERROR(MAX(1,ROUNDUP(AVERAGEIFS(KPI_DATA!$L$2:$L$2281,KPI_DATA!$J$2:$J$2281,$C5,KPI_DATA!$L$2:$L$2281,"&gt;0",KPI_DATA!$C$2:$C$2281,"Yes"),0)),0))</f>
        <v>0</v>
      </c>
      <c r="R5" s="21" t="str">
        <f t="shared" ref="R5:R23" si="0">IF(COUNTA($F5:$P5)=0,"Target Needed",IF(COUNT($G5:$P5)&gt;0,"Year Targets Ready","Default Only"))</f>
        <v>Year Targets Ready</v>
      </c>
      <c r="S5" s="22" t="s">
        <v>254</v>
      </c>
    </row>
    <row r="6" spans="1:19" ht="43.2" x14ac:dyDescent="0.3">
      <c r="A6" s="23" t="s">
        <v>91</v>
      </c>
      <c r="B6" s="24" t="s">
        <v>89</v>
      </c>
      <c r="C6" s="24" t="s">
        <v>11</v>
      </c>
      <c r="D6" s="24" t="s">
        <v>12</v>
      </c>
      <c r="E6" s="24" t="s">
        <v>133</v>
      </c>
      <c r="F6" s="31">
        <v>4000</v>
      </c>
      <c r="G6" s="31">
        <v>4000</v>
      </c>
      <c r="H6" s="31">
        <v>4000</v>
      </c>
      <c r="I6" s="31"/>
      <c r="J6" s="31"/>
      <c r="K6" s="31"/>
      <c r="L6" s="31"/>
      <c r="M6" s="31"/>
      <c r="N6" s="31"/>
      <c r="O6" s="31"/>
      <c r="P6" s="31"/>
      <c r="Q6" s="32">
        <f ca="1">IF($E6="Lower is better",0,IFERROR(MAX(1,ROUNDUP(AVERAGEIFS(KPI_DATA!$L$2:$L$2281,KPI_DATA!$J$2:$J$2281,$C6,KPI_DATA!$L$2:$L$2281,"&gt;0",KPI_DATA!$C$2:$C$2281,"Yes"),0)),0))</f>
        <v>5814</v>
      </c>
      <c r="R6" s="24" t="str">
        <f t="shared" si="0"/>
        <v>Year Targets Ready</v>
      </c>
      <c r="S6" s="25" t="s">
        <v>254</v>
      </c>
    </row>
    <row r="7" spans="1:19" ht="43.2" x14ac:dyDescent="0.3">
      <c r="A7" s="23" t="s">
        <v>93</v>
      </c>
      <c r="B7" s="24" t="s">
        <v>89</v>
      </c>
      <c r="C7" s="24" t="s">
        <v>13</v>
      </c>
      <c r="D7" s="24" t="s">
        <v>14</v>
      </c>
      <c r="E7" s="24" t="s">
        <v>133</v>
      </c>
      <c r="F7" s="31">
        <v>8000</v>
      </c>
      <c r="G7" s="31">
        <v>8000</v>
      </c>
      <c r="H7" s="31">
        <v>8000</v>
      </c>
      <c r="I7" s="31"/>
      <c r="J7" s="31"/>
      <c r="K7" s="31"/>
      <c r="L7" s="31"/>
      <c r="M7" s="31"/>
      <c r="N7" s="31"/>
      <c r="O7" s="31"/>
      <c r="P7" s="31"/>
      <c r="Q7" s="32">
        <f ca="1">IF($E7="Lower is better",0,IFERROR(MAX(1,ROUNDUP(AVERAGEIFS(KPI_DATA!$L$2:$L$2281,KPI_DATA!$J$2:$J$2281,$C7,KPI_DATA!$L$2:$L$2281,"&gt;0",KPI_DATA!$C$2:$C$2281,"Yes"),0)),0))</f>
        <v>8000</v>
      </c>
      <c r="R7" s="24" t="str">
        <f t="shared" si="0"/>
        <v>Year Targets Ready</v>
      </c>
      <c r="S7" s="25" t="s">
        <v>254</v>
      </c>
    </row>
    <row r="8" spans="1:19" ht="43.2" x14ac:dyDescent="0.3">
      <c r="A8" s="23" t="s">
        <v>95</v>
      </c>
      <c r="B8" s="24" t="s">
        <v>15</v>
      </c>
      <c r="C8" s="24" t="s">
        <v>16</v>
      </c>
      <c r="D8" s="24" t="s">
        <v>3</v>
      </c>
      <c r="E8" s="24" t="s">
        <v>137</v>
      </c>
      <c r="F8" s="31">
        <v>0</v>
      </c>
      <c r="G8" s="31">
        <v>0</v>
      </c>
      <c r="H8" s="31">
        <v>0</v>
      </c>
      <c r="I8" s="31"/>
      <c r="J8" s="31"/>
      <c r="K8" s="31"/>
      <c r="L8" s="31"/>
      <c r="M8" s="31"/>
      <c r="N8" s="31"/>
      <c r="O8" s="31"/>
      <c r="P8" s="31"/>
      <c r="Q8" s="32">
        <f>IF($E8="Lower is better",0,IFERROR(MAX(1,ROUNDUP(AVERAGEIFS(KPI_DATA!$L$2:$L$2281,KPI_DATA!$J$2:$J$2281,$C8,KPI_DATA!$L$2:$L$2281,"&gt;0",KPI_DATA!$C$2:$C$2281,"Yes"),0)),0))</f>
        <v>0</v>
      </c>
      <c r="R8" s="24" t="str">
        <f t="shared" si="0"/>
        <v>Year Targets Ready</v>
      </c>
      <c r="S8" s="25" t="s">
        <v>255</v>
      </c>
    </row>
    <row r="9" spans="1:19" ht="43.2" x14ac:dyDescent="0.3">
      <c r="A9" s="23" t="s">
        <v>97</v>
      </c>
      <c r="B9" s="24" t="s">
        <v>15</v>
      </c>
      <c r="C9" s="24" t="s">
        <v>17</v>
      </c>
      <c r="D9" s="24" t="s">
        <v>3</v>
      </c>
      <c r="E9" s="24" t="s">
        <v>133</v>
      </c>
      <c r="F9" s="31">
        <v>0</v>
      </c>
      <c r="G9" s="31">
        <v>0</v>
      </c>
      <c r="H9" s="31">
        <v>0</v>
      </c>
      <c r="I9" s="31"/>
      <c r="J9" s="31"/>
      <c r="K9" s="31"/>
      <c r="L9" s="31"/>
      <c r="M9" s="31"/>
      <c r="N9" s="31"/>
      <c r="O9" s="31"/>
      <c r="P9" s="31"/>
      <c r="Q9" s="32">
        <f ca="1">IF($E9="Lower is better",0,IFERROR(MAX(1,ROUNDUP(AVERAGEIFS(KPI_DATA!$L$2:$L$2281,KPI_DATA!$J$2:$J$2281,$C9,KPI_DATA!$L$2:$L$2281,"&gt;0",KPI_DATA!$C$2:$C$2281,"Yes"),0)),0))</f>
        <v>0</v>
      </c>
      <c r="R9" s="24" t="str">
        <f t="shared" si="0"/>
        <v>Year Targets Ready</v>
      </c>
      <c r="S9" s="25" t="s">
        <v>254</v>
      </c>
    </row>
    <row r="10" spans="1:19" ht="43.2" x14ac:dyDescent="0.3">
      <c r="A10" s="23" t="s">
        <v>99</v>
      </c>
      <c r="B10" s="24" t="s">
        <v>15</v>
      </c>
      <c r="C10" s="24" t="s">
        <v>18</v>
      </c>
      <c r="D10" s="24" t="s">
        <v>3</v>
      </c>
      <c r="E10" s="24" t="s">
        <v>137</v>
      </c>
      <c r="F10" s="31">
        <v>0</v>
      </c>
      <c r="G10" s="31">
        <v>0</v>
      </c>
      <c r="H10" s="31">
        <v>0</v>
      </c>
      <c r="I10" s="31"/>
      <c r="J10" s="31"/>
      <c r="K10" s="31"/>
      <c r="L10" s="31"/>
      <c r="M10" s="31"/>
      <c r="N10" s="31"/>
      <c r="O10" s="31"/>
      <c r="P10" s="31"/>
      <c r="Q10" s="32">
        <f>IF($E10="Lower is better",0,IFERROR(MAX(1,ROUNDUP(AVERAGEIFS(KPI_DATA!$L$2:$L$2281,KPI_DATA!$J$2:$J$2281,$C10,KPI_DATA!$L$2:$L$2281,"&gt;0",KPI_DATA!$C$2:$C$2281,"Yes"),0)),0))</f>
        <v>0</v>
      </c>
      <c r="R10" s="24" t="str">
        <f t="shared" si="0"/>
        <v>Year Targets Ready</v>
      </c>
      <c r="S10" s="25" t="s">
        <v>255</v>
      </c>
    </row>
    <row r="11" spans="1:19" ht="43.2" x14ac:dyDescent="0.3">
      <c r="A11" s="23" t="s">
        <v>100</v>
      </c>
      <c r="B11" s="24" t="s">
        <v>15</v>
      </c>
      <c r="C11" s="24" t="s">
        <v>19</v>
      </c>
      <c r="D11" s="24" t="s">
        <v>3</v>
      </c>
      <c r="E11" s="24" t="s">
        <v>137</v>
      </c>
      <c r="F11" s="31">
        <v>0</v>
      </c>
      <c r="G11" s="31">
        <v>0</v>
      </c>
      <c r="H11" s="31">
        <v>0</v>
      </c>
      <c r="I11" s="31"/>
      <c r="J11" s="31"/>
      <c r="K11" s="31"/>
      <c r="L11" s="31"/>
      <c r="M11" s="31"/>
      <c r="N11" s="31"/>
      <c r="O11" s="31"/>
      <c r="P11" s="31"/>
      <c r="Q11" s="32">
        <f>IF($E11="Lower is better",0,IFERROR(MAX(1,ROUNDUP(AVERAGEIFS(KPI_DATA!$L$2:$L$2281,KPI_DATA!$J$2:$J$2281,$C11,KPI_DATA!$L$2:$L$2281,"&gt;0",KPI_DATA!$C$2:$C$2281,"Yes"),0)),0))</f>
        <v>0</v>
      </c>
      <c r="R11" s="24" t="str">
        <f t="shared" si="0"/>
        <v>Year Targets Ready</v>
      </c>
      <c r="S11" s="25" t="s">
        <v>255</v>
      </c>
    </row>
    <row r="12" spans="1:19" ht="43.2" x14ac:dyDescent="0.3">
      <c r="A12" s="23" t="s">
        <v>101</v>
      </c>
      <c r="B12" s="24" t="s">
        <v>15</v>
      </c>
      <c r="C12" s="24" t="s">
        <v>20</v>
      </c>
      <c r="D12" s="24" t="s">
        <v>3</v>
      </c>
      <c r="E12" s="24" t="s">
        <v>137</v>
      </c>
      <c r="F12" s="31">
        <v>0</v>
      </c>
      <c r="G12" s="31">
        <v>0</v>
      </c>
      <c r="H12" s="31">
        <v>0</v>
      </c>
      <c r="I12" s="31"/>
      <c r="J12" s="31"/>
      <c r="K12" s="31"/>
      <c r="L12" s="31"/>
      <c r="M12" s="31"/>
      <c r="N12" s="31"/>
      <c r="O12" s="31"/>
      <c r="P12" s="31"/>
      <c r="Q12" s="32">
        <f>IF($E12="Lower is better",0,IFERROR(MAX(1,ROUNDUP(AVERAGEIFS(KPI_DATA!$L$2:$L$2281,KPI_DATA!$J$2:$J$2281,$C12,KPI_DATA!$L$2:$L$2281,"&gt;0",KPI_DATA!$C$2:$C$2281,"Yes"),0)),0))</f>
        <v>0</v>
      </c>
      <c r="R12" s="24" t="str">
        <f t="shared" si="0"/>
        <v>Year Targets Ready</v>
      </c>
      <c r="S12" s="25" t="s">
        <v>255</v>
      </c>
    </row>
    <row r="13" spans="1:19" ht="43.2" x14ac:dyDescent="0.3">
      <c r="A13" s="23" t="s">
        <v>102</v>
      </c>
      <c r="B13" s="24" t="s">
        <v>15</v>
      </c>
      <c r="C13" s="24" t="s">
        <v>21</v>
      </c>
      <c r="D13" s="24" t="s">
        <v>3</v>
      </c>
      <c r="E13" s="24" t="s">
        <v>137</v>
      </c>
      <c r="F13" s="31">
        <v>0</v>
      </c>
      <c r="G13" s="31">
        <v>0</v>
      </c>
      <c r="H13" s="31">
        <v>0</v>
      </c>
      <c r="I13" s="31"/>
      <c r="J13" s="31"/>
      <c r="K13" s="31"/>
      <c r="L13" s="31"/>
      <c r="M13" s="31"/>
      <c r="N13" s="31"/>
      <c r="O13" s="31"/>
      <c r="P13" s="31"/>
      <c r="Q13" s="32">
        <f>IF($E13="Lower is better",0,IFERROR(MAX(1,ROUNDUP(AVERAGEIFS(KPI_DATA!$L$2:$L$2281,KPI_DATA!$J$2:$J$2281,$C13,KPI_DATA!$L$2:$L$2281,"&gt;0",KPI_DATA!$C$2:$C$2281,"Yes"),0)),0))</f>
        <v>0</v>
      </c>
      <c r="R13" s="24" t="str">
        <f t="shared" si="0"/>
        <v>Year Targets Ready</v>
      </c>
      <c r="S13" s="25" t="s">
        <v>255</v>
      </c>
    </row>
    <row r="14" spans="1:19" ht="43.2" x14ac:dyDescent="0.3">
      <c r="A14" s="23" t="s">
        <v>103</v>
      </c>
      <c r="B14" s="24" t="s">
        <v>22</v>
      </c>
      <c r="C14" s="24" t="s">
        <v>23</v>
      </c>
      <c r="D14" s="24" t="s">
        <v>3</v>
      </c>
      <c r="E14" s="24" t="s">
        <v>133</v>
      </c>
      <c r="F14" s="31">
        <v>35</v>
      </c>
      <c r="G14" s="31">
        <v>35</v>
      </c>
      <c r="H14" s="31">
        <v>35</v>
      </c>
      <c r="I14" s="31"/>
      <c r="J14" s="31"/>
      <c r="K14" s="31"/>
      <c r="L14" s="31"/>
      <c r="M14" s="31"/>
      <c r="N14" s="31"/>
      <c r="O14" s="31"/>
      <c r="P14" s="31"/>
      <c r="Q14" s="32">
        <f ca="1">IF($E14="Lower is better",0,IFERROR(MAX(1,ROUNDUP(AVERAGEIFS(KPI_DATA!$L$2:$L$2281,KPI_DATA!$J$2:$J$2281,$C14,KPI_DATA!$L$2:$L$2281,"&gt;0",KPI_DATA!$C$2:$C$2281,"Yes"),0)),0))</f>
        <v>45</v>
      </c>
      <c r="R14" s="24" t="str">
        <f t="shared" si="0"/>
        <v>Year Targets Ready</v>
      </c>
      <c r="S14" s="25" t="s">
        <v>254</v>
      </c>
    </row>
    <row r="15" spans="1:19" ht="43.2" x14ac:dyDescent="0.3">
      <c r="A15" s="23" t="s">
        <v>104</v>
      </c>
      <c r="B15" s="24" t="s">
        <v>22</v>
      </c>
      <c r="C15" s="24" t="s">
        <v>24</v>
      </c>
      <c r="D15" s="24" t="s">
        <v>3</v>
      </c>
      <c r="E15" s="24" t="s">
        <v>133</v>
      </c>
      <c r="F15" s="31">
        <v>5</v>
      </c>
      <c r="G15" s="31">
        <v>5</v>
      </c>
      <c r="H15" s="31">
        <v>5</v>
      </c>
      <c r="I15" s="31"/>
      <c r="J15" s="31"/>
      <c r="K15" s="31"/>
      <c r="L15" s="31"/>
      <c r="M15" s="31"/>
      <c r="N15" s="31"/>
      <c r="O15" s="31"/>
      <c r="P15" s="31"/>
      <c r="Q15" s="32">
        <f ca="1">IF($E15="Lower is better",0,IFERROR(MAX(1,ROUNDUP(AVERAGEIFS(KPI_DATA!$L$2:$L$2281,KPI_DATA!$J$2:$J$2281,$C15,KPI_DATA!$L$2:$L$2281,"&gt;0",KPI_DATA!$C$2:$C$2281,"Yes"),0)),0))</f>
        <v>4</v>
      </c>
      <c r="R15" s="24" t="str">
        <f t="shared" si="0"/>
        <v>Year Targets Ready</v>
      </c>
      <c r="S15" s="25" t="s">
        <v>254</v>
      </c>
    </row>
    <row r="16" spans="1:19" ht="43.2" x14ac:dyDescent="0.3">
      <c r="A16" s="23" t="s">
        <v>105</v>
      </c>
      <c r="B16" s="24" t="s">
        <v>22</v>
      </c>
      <c r="C16" s="24" t="s">
        <v>25</v>
      </c>
      <c r="D16" s="24" t="s">
        <v>3</v>
      </c>
      <c r="E16" s="24" t="s">
        <v>133</v>
      </c>
      <c r="F16" s="31">
        <v>4</v>
      </c>
      <c r="G16" s="31">
        <f>4</f>
        <v>4</v>
      </c>
      <c r="H16" s="31">
        <v>4</v>
      </c>
      <c r="I16" s="31"/>
      <c r="J16" s="31"/>
      <c r="K16" s="31"/>
      <c r="L16" s="31"/>
      <c r="M16" s="31"/>
      <c r="N16" s="31"/>
      <c r="O16" s="31"/>
      <c r="P16" s="31"/>
      <c r="Q16" s="32">
        <f ca="1">IF($E16="Lower is better",0,IFERROR(MAX(1,ROUNDUP(AVERAGEIFS(KPI_DATA!$L$2:$L$2281,KPI_DATA!$J$2:$J$2281,$C16,KPI_DATA!$L$2:$L$2281,"&gt;0",KPI_DATA!$C$2:$C$2281,"Yes"),0)),0))</f>
        <v>4</v>
      </c>
      <c r="R16" s="24" t="str">
        <f t="shared" si="0"/>
        <v>Year Targets Ready</v>
      </c>
      <c r="S16" s="25" t="s">
        <v>254</v>
      </c>
    </row>
    <row r="17" spans="1:19" ht="43.2" x14ac:dyDescent="0.3">
      <c r="A17" s="23" t="s">
        <v>106</v>
      </c>
      <c r="B17" s="24" t="s">
        <v>22</v>
      </c>
      <c r="C17" s="24" t="s">
        <v>26</v>
      </c>
      <c r="D17" s="24" t="s">
        <v>3</v>
      </c>
      <c r="E17" s="24" t="s">
        <v>133</v>
      </c>
      <c r="F17" s="31">
        <v>12</v>
      </c>
      <c r="G17" s="31">
        <v>12</v>
      </c>
      <c r="H17" s="31">
        <v>12</v>
      </c>
      <c r="I17" s="31"/>
      <c r="J17" s="31"/>
      <c r="K17" s="31"/>
      <c r="L17" s="31"/>
      <c r="M17" s="31"/>
      <c r="N17" s="31"/>
      <c r="O17" s="31"/>
      <c r="P17" s="31"/>
      <c r="Q17" s="32">
        <f ca="1">IF($E17="Lower is better",0,IFERROR(MAX(1,ROUNDUP(AVERAGEIFS(KPI_DATA!$L$2:$L$2281,KPI_DATA!$J$2:$J$2281,$C17,KPI_DATA!$L$2:$L$2281,"&gt;0",KPI_DATA!$C$2:$C$2281,"Yes"),0)),0))</f>
        <v>20</v>
      </c>
      <c r="R17" s="24" t="str">
        <f t="shared" si="0"/>
        <v>Year Targets Ready</v>
      </c>
      <c r="S17" s="25" t="s">
        <v>254</v>
      </c>
    </row>
    <row r="18" spans="1:19" ht="43.2" x14ac:dyDescent="0.3">
      <c r="A18" s="23" t="s">
        <v>107</v>
      </c>
      <c r="B18" s="24" t="s">
        <v>22</v>
      </c>
      <c r="C18" s="24" t="s">
        <v>27</v>
      </c>
      <c r="D18" s="24" t="s">
        <v>3</v>
      </c>
      <c r="E18" s="24" t="s">
        <v>133</v>
      </c>
      <c r="F18" s="31">
        <v>4</v>
      </c>
      <c r="G18" s="31">
        <v>4</v>
      </c>
      <c r="H18" s="31">
        <v>4</v>
      </c>
      <c r="I18" s="31"/>
      <c r="J18" s="31"/>
      <c r="K18" s="31"/>
      <c r="L18" s="31"/>
      <c r="M18" s="31"/>
      <c r="N18" s="31"/>
      <c r="O18" s="31"/>
      <c r="P18" s="31"/>
      <c r="Q18" s="32">
        <f ca="1">IF($E18="Lower is better",0,IFERROR(MAX(1,ROUNDUP(AVERAGEIFS(KPI_DATA!$L$2:$L$2281,KPI_DATA!$J$2:$J$2281,$C18,KPI_DATA!$L$2:$L$2281,"&gt;0",KPI_DATA!$C$2:$C$2281,"Yes"),0)),0))</f>
        <v>4</v>
      </c>
      <c r="R18" s="24" t="str">
        <f t="shared" si="0"/>
        <v>Year Targets Ready</v>
      </c>
      <c r="S18" s="25" t="s">
        <v>254</v>
      </c>
    </row>
    <row r="19" spans="1:19" ht="43.2" x14ac:dyDescent="0.3">
      <c r="A19" s="23" t="s">
        <v>108</v>
      </c>
      <c r="B19" s="24" t="s">
        <v>22</v>
      </c>
      <c r="C19" s="24" t="s">
        <v>28</v>
      </c>
      <c r="D19" s="24" t="s">
        <v>3</v>
      </c>
      <c r="E19" s="24" t="s">
        <v>133</v>
      </c>
      <c r="F19" s="31">
        <v>16</v>
      </c>
      <c r="G19" s="31">
        <v>16</v>
      </c>
      <c r="H19" s="31">
        <v>16</v>
      </c>
      <c r="I19" s="31"/>
      <c r="J19" s="31"/>
      <c r="K19" s="31"/>
      <c r="L19" s="31"/>
      <c r="M19" s="31"/>
      <c r="N19" s="31"/>
      <c r="O19" s="31"/>
      <c r="P19" s="31"/>
      <c r="Q19" s="32">
        <f ca="1">IF($E19="Lower is better",0,IFERROR(MAX(1,ROUNDUP(AVERAGEIFS(KPI_DATA!$L$2:$L$2281,KPI_DATA!$J$2:$J$2281,$C19,KPI_DATA!$L$2:$L$2281,"&gt;0",KPI_DATA!$C$2:$C$2281,"Yes"),0)),0))</f>
        <v>8</v>
      </c>
      <c r="R19" s="24" t="str">
        <f t="shared" si="0"/>
        <v>Year Targets Ready</v>
      </c>
      <c r="S19" s="25" t="s">
        <v>254</v>
      </c>
    </row>
    <row r="20" spans="1:19" ht="43.2" x14ac:dyDescent="0.3">
      <c r="A20" s="23" t="s">
        <v>109</v>
      </c>
      <c r="B20" s="24" t="s">
        <v>22</v>
      </c>
      <c r="C20" s="24" t="s">
        <v>29</v>
      </c>
      <c r="D20" s="24" t="s">
        <v>3</v>
      </c>
      <c r="E20" s="24" t="s">
        <v>133</v>
      </c>
      <c r="F20" s="31">
        <v>1</v>
      </c>
      <c r="G20" s="31">
        <v>1</v>
      </c>
      <c r="H20" s="31">
        <v>1</v>
      </c>
      <c r="I20" s="31"/>
      <c r="J20" s="31"/>
      <c r="K20" s="31"/>
      <c r="L20" s="31"/>
      <c r="M20" s="31"/>
      <c r="N20" s="31"/>
      <c r="O20" s="31"/>
      <c r="P20" s="31"/>
      <c r="Q20" s="32">
        <f ca="1">IF($E20="Lower is better",0,IFERROR(MAX(1,ROUNDUP(AVERAGEIFS(KPI_DATA!$L$2:$L$2281,KPI_DATA!$J$2:$J$2281,$C20,KPI_DATA!$L$2:$L$2281,"&gt;0",KPI_DATA!$C$2:$C$2281,"Yes"),0)),0))</f>
        <v>1</v>
      </c>
      <c r="R20" s="24" t="str">
        <f t="shared" si="0"/>
        <v>Year Targets Ready</v>
      </c>
      <c r="S20" s="25" t="s">
        <v>254</v>
      </c>
    </row>
    <row r="21" spans="1:19" ht="43.2" x14ac:dyDescent="0.3">
      <c r="A21" s="23" t="s">
        <v>110</v>
      </c>
      <c r="B21" s="24" t="s">
        <v>30</v>
      </c>
      <c r="C21" s="24" t="s">
        <v>31</v>
      </c>
      <c r="D21" s="24" t="s">
        <v>3</v>
      </c>
      <c r="E21" s="24" t="s">
        <v>137</v>
      </c>
      <c r="F21" s="31">
        <v>0</v>
      </c>
      <c r="G21" s="31">
        <v>0</v>
      </c>
      <c r="H21" s="31">
        <v>0</v>
      </c>
      <c r="I21" s="31"/>
      <c r="J21" s="31"/>
      <c r="K21" s="31"/>
      <c r="L21" s="31"/>
      <c r="M21" s="31"/>
      <c r="N21" s="31"/>
      <c r="O21" s="31"/>
      <c r="P21" s="31"/>
      <c r="Q21" s="32">
        <f>IF($E21="Lower is better",0,IFERROR(MAX(1,ROUNDUP(AVERAGEIFS(KPI_DATA!$L$2:$L$2281,KPI_DATA!$J$2:$J$2281,$C21,KPI_DATA!$L$2:$L$2281,"&gt;0",KPI_DATA!$C$2:$C$2281,"Yes"),0)),0))</f>
        <v>0</v>
      </c>
      <c r="R21" s="24" t="str">
        <f t="shared" si="0"/>
        <v>Year Targets Ready</v>
      </c>
      <c r="S21" s="25" t="s">
        <v>255</v>
      </c>
    </row>
    <row r="22" spans="1:19" ht="43.2" x14ac:dyDescent="0.3">
      <c r="A22" s="23" t="s">
        <v>111</v>
      </c>
      <c r="B22" s="24" t="s">
        <v>30</v>
      </c>
      <c r="C22" s="24" t="s">
        <v>32</v>
      </c>
      <c r="D22" s="24" t="s">
        <v>3</v>
      </c>
      <c r="E22" s="24" t="s">
        <v>133</v>
      </c>
      <c r="F22" s="31">
        <v>1</v>
      </c>
      <c r="G22" s="31">
        <v>1</v>
      </c>
      <c r="H22" s="31">
        <v>1</v>
      </c>
      <c r="I22" s="31"/>
      <c r="J22" s="31"/>
      <c r="K22" s="31"/>
      <c r="L22" s="31"/>
      <c r="M22" s="31"/>
      <c r="N22" s="31"/>
      <c r="O22" s="31"/>
      <c r="P22" s="31"/>
      <c r="Q22" s="32">
        <f ca="1">IF($E22="Lower is better",0,IFERROR(MAX(1,ROUNDUP(AVERAGEIFS(KPI_DATA!$L$2:$L$2281,KPI_DATA!$J$2:$J$2281,$C22,KPI_DATA!$L$2:$L$2281,"&gt;0",KPI_DATA!$C$2:$C$2281,"Yes"),0)),0))</f>
        <v>1</v>
      </c>
      <c r="R22" s="24" t="str">
        <f t="shared" si="0"/>
        <v>Year Targets Ready</v>
      </c>
      <c r="S22" s="25" t="s">
        <v>254</v>
      </c>
    </row>
    <row r="23" spans="1:19" ht="43.2" x14ac:dyDescent="0.3">
      <c r="A23" s="26" t="s">
        <v>112</v>
      </c>
      <c r="B23" s="27" t="s">
        <v>30</v>
      </c>
      <c r="C23" s="27" t="s">
        <v>33</v>
      </c>
      <c r="D23" s="27" t="s">
        <v>34</v>
      </c>
      <c r="E23" s="27" t="s">
        <v>133</v>
      </c>
      <c r="F23" s="33">
        <v>1</v>
      </c>
      <c r="G23" s="33">
        <v>1</v>
      </c>
      <c r="H23" s="33">
        <v>1</v>
      </c>
      <c r="I23" s="33"/>
      <c r="J23" s="33"/>
      <c r="K23" s="33"/>
      <c r="L23" s="33"/>
      <c r="M23" s="33"/>
      <c r="N23" s="33"/>
      <c r="O23" s="33"/>
      <c r="P23" s="33"/>
      <c r="Q23" s="34">
        <f ca="1">IF($E23="Lower is better",0,IFERROR(MAX(1,ROUNDUP(AVERAGEIFS(KPI_DATA!$L$2:$L$2281,KPI_DATA!$J$2:$J$2281,$C23,KPI_DATA!$L$2:$L$2281,"&gt;0",KPI_DATA!$C$2:$C$2281,"Yes"),0)),0))</f>
        <v>1</v>
      </c>
      <c r="R23" s="27" t="str">
        <f t="shared" si="0"/>
        <v>Year Targets Ready</v>
      </c>
      <c r="S23" s="28" t="s">
        <v>254</v>
      </c>
    </row>
  </sheetData>
  <mergeCells count="2">
    <mergeCell ref="A1:S1"/>
    <mergeCell ref="A2:S2"/>
  </mergeCells>
  <conditionalFormatting sqref="R5:R23">
    <cfRule type="containsText" dxfId="20" priority="1" operator="containsText" text="Green"/>
    <cfRule type="containsText" dxfId="19" priority="2" operator="containsText" text="Amber"/>
    <cfRule type="containsText" dxfId="18" priority="3" operator="containsText" text="Red"/>
    <cfRule type="containsText" dxfId="17" priority="4" operator="containsText" text="Target Needed"/>
    <cfRule type="containsText" dxfId="16" priority="5" operator="containsText" text="Ready"/>
    <cfRule type="containsText" dxfId="15" priority="6" operator="containsText" text="Default Only"/>
    <cfRule type="containsText" dxfId="14" priority="7" operator="containsText" text="Missing target"/>
  </conditionalFormatting>
  <dataValidations count="1">
    <dataValidation type="decimal" operator="greaterThanOrEqual" sqref="F5:P23" xr:uid="{00000000-0002-0000-0F00-000001000000}">
      <formula1>0</formula1>
    </dataValidation>
  </dataValidations>
  <pageMargins left="0.7" right="0.7" top="0.75" bottom="0.75" header="0.3" footer="0.3"/>
  <ignoredErrors>
    <ignoredError sqref="A5:A2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F00-000000000000}">
          <x14:formula1>
            <xm:f>LISTS!$G$2:$G$3</xm:f>
          </x14:formula1>
          <xm:sqref>E5:E23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34998626667073579"/>
  </sheetPr>
  <dimension ref="A1:AA2281"/>
  <sheetViews>
    <sheetView showGridLines="0" topLeftCell="G264" workbookViewId="0">
      <selection activeCell="M288" sqref="M288"/>
    </sheetView>
  </sheetViews>
  <sheetFormatPr defaultRowHeight="14.4" x14ac:dyDescent="0.3"/>
  <cols>
    <col min="1" max="2" width="8.109375" customWidth="1"/>
    <col min="3" max="4" width="13.44140625" customWidth="1"/>
    <col min="5" max="8" width="10.109375" customWidth="1"/>
    <col min="9" max="9" width="18.21875" customWidth="1"/>
    <col min="10" max="10" width="41" customWidth="1"/>
    <col min="11" max="27" width="15.21875" customWidth="1"/>
  </cols>
  <sheetData>
    <row r="1" spans="1:27" ht="28.8" x14ac:dyDescent="0.3">
      <c r="A1" s="35" t="s">
        <v>0</v>
      </c>
      <c r="B1" s="35" t="s">
        <v>256</v>
      </c>
      <c r="C1" s="35" t="s">
        <v>257</v>
      </c>
      <c r="D1" s="35" t="s">
        <v>258</v>
      </c>
      <c r="E1" s="35" t="s">
        <v>55</v>
      </c>
      <c r="F1" s="35" t="s">
        <v>48</v>
      </c>
      <c r="G1" s="35" t="s">
        <v>259</v>
      </c>
      <c r="H1" s="35" t="s">
        <v>3</v>
      </c>
      <c r="I1" s="35" t="s">
        <v>53</v>
      </c>
      <c r="J1" s="35" t="s">
        <v>4</v>
      </c>
      <c r="K1" s="35" t="s">
        <v>5</v>
      </c>
      <c r="L1" s="35" t="s">
        <v>6</v>
      </c>
      <c r="M1" s="35" t="s">
        <v>260</v>
      </c>
      <c r="N1" s="35" t="s">
        <v>81</v>
      </c>
      <c r="O1" s="35" t="s">
        <v>82</v>
      </c>
      <c r="P1" s="35" t="s">
        <v>57</v>
      </c>
      <c r="Q1" s="35" t="s">
        <v>83</v>
      </c>
      <c r="R1" s="35" t="s">
        <v>261</v>
      </c>
      <c r="S1" s="35" t="s">
        <v>8</v>
      </c>
      <c r="T1" s="35" t="s">
        <v>262</v>
      </c>
      <c r="U1" s="35" t="s">
        <v>85</v>
      </c>
      <c r="V1" s="35" t="s">
        <v>263</v>
      </c>
      <c r="W1" s="35" t="s">
        <v>264</v>
      </c>
      <c r="X1" s="35" t="s">
        <v>265</v>
      </c>
      <c r="Y1" s="35" t="s">
        <v>266</v>
      </c>
      <c r="Z1" s="35" t="s">
        <v>267</v>
      </c>
      <c r="AA1" s="35" t="s">
        <v>268</v>
      </c>
    </row>
    <row r="2" spans="1:27" x14ac:dyDescent="0.3">
      <c r="A2">
        <f>INDEX(SETTINGS!$A$15:$A$24,$B2)</f>
        <v>2025</v>
      </c>
      <c r="B2">
        <v>1</v>
      </c>
      <c r="C2" t="str">
        <f>IF(AND(A2&gt;=SETTINGS!$B$4,A2&lt;=SETTINGS!$B$5),"Yes","No")</f>
        <v>Yes</v>
      </c>
      <c r="D2" t="str">
        <f>IFERROR(INDEX(SETTINGS!$C$15:$C$24,MATCH(A2,SETTINGS!$A$15:$A$24,0)),"No")</f>
        <v>Yes</v>
      </c>
      <c r="E2">
        <v>1</v>
      </c>
      <c r="F2" t="s">
        <v>2</v>
      </c>
      <c r="G2">
        <v>9</v>
      </c>
      <c r="H2" t="s">
        <v>88</v>
      </c>
      <c r="I2" t="s">
        <v>89</v>
      </c>
      <c r="J2" t="s">
        <v>10</v>
      </c>
      <c r="K2" t="s">
        <v>3</v>
      </c>
      <c r="L2" s="36">
        <f ca="1">IF(C2&lt;&gt;"Yes",0,IF(A2=2025,N('2025'!D9),IF(A2=2026,N('2026'!D9),IF(A2=2027,N('2027'!D9),IF(A2=2028,N('2028'!D9),IF(A2=2029,N('2029'!D9),IF(A2=2030,N('2030'!D9),IF(A2=2031,N('2031'!D9),IF(A2=2032,N('2032'!D9),IF(A2=2033,N('2033'!D9),IF(A2=2034,N('2034'!D9),IFERROR(N(INDIRECT("'"&amp;A2&amp;"'!D"&amp;G2)),0))))))))))))</f>
        <v>0</v>
      </c>
      <c r="M2" s="36">
        <f>IFERROR(IF(NOT(ISBLANK(KPI_TARGETS!$G$5)),KPI_TARGETS!$G$5,IF(NOT(ISBLANK(KPI_TARGETS!$F$5)),KPI_TARGETS!$F$5,"")),"")</f>
        <v>104</v>
      </c>
      <c r="N2" s="36" t="str">
        <f>IFERROR(KPI_TARGETS!$E$5,"Higher is better")</f>
        <v>Higher is better</v>
      </c>
      <c r="O2" s="37">
        <f t="shared" ref="O2:O65" ca="1" si="0">IF(M2="","",IF(N2="Higher is better",IFERROR(L2/M2,""),IF(L2=0,1,IFERROR(M2/L2,""))))</f>
        <v>0</v>
      </c>
      <c r="P2" t="str">
        <f t="shared" ref="P2:P65" ca="1" si="1">IF(M2="","Target Needed",IF(N2="Higher is better",IF(L2&gt;=M2,"Green",IF(L2&gt;=0.8*M2,"Amber","Red")),IF(M2=0,IF(L2=0,"Green","Red"),IF(L2&lt;=M2,"Green",IF(L2&lt;=1.25*M2,"Amber","Red")))))</f>
        <v>Red</v>
      </c>
      <c r="Q2" s="36">
        <f t="shared" ref="Q2:Q65" ca="1" si="2">IF(M2="","",IF(N2="Higher is better",L2-M2,M2-L2))</f>
        <v>-104</v>
      </c>
      <c r="R2" s="36" t="str">
        <f>""</f>
        <v/>
      </c>
      <c r="S2" s="36" t="str">
        <f>""</f>
        <v/>
      </c>
      <c r="T2" s="36" t="str">
        <f>""</f>
        <v/>
      </c>
      <c r="U2" s="36" t="str">
        <f>""</f>
        <v/>
      </c>
      <c r="V2" s="36" t="str">
        <f>""</f>
        <v/>
      </c>
      <c r="W2" s="36">
        <f t="shared" ref="W2:W65" si="3">IF(LEN(M2&amp;"")&gt;0,1,0)</f>
        <v>1</v>
      </c>
      <c r="X2" t="str">
        <f t="shared" ref="X2:X65" si="4">IF(C2&lt;&gt;"Yes","Inactive",IF(M2="","Missing target","OK"))</f>
        <v>OK</v>
      </c>
      <c r="Y2" t="str">
        <f>IF(MAIN!$H$3="Selected Year",IF(A2=MAIN!$B$3,"Yes","No"),IF(MAIN!$H$3="Included Years",IF(D2="Yes","Yes","No"),IF(C2="Yes","Yes","No")))</f>
        <v>Yes</v>
      </c>
      <c r="Z2" t="str">
        <f>IF(MAIN!$F$3="Project to Date",IF(AND(A2&gt;=SETTINGS!$B$4,A2&lt;MAIN!$B$3),"Yes",IF(AND(A2=MAIN!$B$3,E2&lt;=MAIN!$L$3),"Yes","No")),IF(OR(MAIN!$F$3="Full Year",MAIN!$D$3="All"),"Yes",IF(MAIN!$F$3="Monthly",IF(E2=MAIN!$L$3,"Yes","No"),IF(E2&lt;=MAIN!$L$3,"Yes","No"))))</f>
        <v>Yes</v>
      </c>
      <c r="AA2" t="str">
        <f t="shared" ref="AA2:AA65" si="5">IF(AND(Y2="Yes",Z2="Yes"),"Yes","No")</f>
        <v>Yes</v>
      </c>
    </row>
    <row r="3" spans="1:27" x14ac:dyDescent="0.3">
      <c r="A3">
        <f>INDEX(SETTINGS!$A$15:$A$24,$B3)</f>
        <v>2025</v>
      </c>
      <c r="B3">
        <v>1</v>
      </c>
      <c r="C3" t="str">
        <f>IF(AND(A3&gt;=SETTINGS!$B$4,A3&lt;=SETTINGS!$B$5),"Yes","No")</f>
        <v>Yes</v>
      </c>
      <c r="D3" t="str">
        <f>IFERROR(INDEX(SETTINGS!$C$15:$C$24,MATCH(A3,SETTINGS!$A$15:$A$24,0)),"No")</f>
        <v>Yes</v>
      </c>
      <c r="E3">
        <v>1</v>
      </c>
      <c r="F3" t="s">
        <v>2</v>
      </c>
      <c r="G3">
        <v>10</v>
      </c>
      <c r="H3" t="s">
        <v>91</v>
      </c>
      <c r="I3" t="s">
        <v>89</v>
      </c>
      <c r="J3" t="s">
        <v>11</v>
      </c>
      <c r="K3" t="s">
        <v>12</v>
      </c>
      <c r="L3" s="36">
        <f ca="1">IF(C3&lt;&gt;"Yes",0,IF(A3=2025,N('2025'!D10),IF(A3=2026,N('2026'!D10),IF(A3=2027,N('2027'!D10),IF(A3=2028,N('2028'!D10),IF(A3=2029,N('2029'!D10),IF(A3=2030,N('2030'!D10),IF(A3=2031,N('2031'!D10),IF(A3=2032,N('2032'!D10),IF(A3=2033,N('2033'!D10),IF(A3=2034,N('2034'!D10),IFERROR(N(INDIRECT("'"&amp;A3&amp;"'!D"&amp;G3)),0))))))))))))</f>
        <v>0</v>
      </c>
      <c r="M3" s="36">
        <f>IFERROR(IF(NOT(ISBLANK(KPI_TARGETS!$G$6)),KPI_TARGETS!$G$6,IF(NOT(ISBLANK(KPI_TARGETS!$F$6)),KPI_TARGETS!$F$6,"")),"")</f>
        <v>4000</v>
      </c>
      <c r="N3" s="36" t="str">
        <f>IFERROR(KPI_TARGETS!$E$6,"Higher is better")</f>
        <v>Higher is better</v>
      </c>
      <c r="O3" s="37">
        <f t="shared" ca="1" si="0"/>
        <v>0</v>
      </c>
      <c r="P3" t="str">
        <f t="shared" ca="1" si="1"/>
        <v>Red</v>
      </c>
      <c r="Q3" s="36">
        <f t="shared" ca="1" si="2"/>
        <v>-4000</v>
      </c>
      <c r="R3" s="36" t="str">
        <f>""</f>
        <v/>
      </c>
      <c r="S3" s="36" t="str">
        <f>""</f>
        <v/>
      </c>
      <c r="T3" s="36" t="str">
        <f>""</f>
        <v/>
      </c>
      <c r="U3" s="36" t="str">
        <f>""</f>
        <v/>
      </c>
      <c r="V3" s="36" t="str">
        <f>""</f>
        <v/>
      </c>
      <c r="W3" s="36">
        <f t="shared" si="3"/>
        <v>1</v>
      </c>
      <c r="X3" t="str">
        <f t="shared" si="4"/>
        <v>OK</v>
      </c>
      <c r="Y3" t="str">
        <f>IF(MAIN!$H$3="Selected Year",IF(A3=MAIN!$B$3,"Yes","No"),IF(MAIN!$H$3="Included Years",IF(D3="Yes","Yes","No"),IF(C3="Yes","Yes","No")))</f>
        <v>Yes</v>
      </c>
      <c r="Z3" t="str">
        <f>IF(MAIN!$F$3="Project to Date",IF(AND(A3&gt;=SETTINGS!$B$4,A3&lt;MAIN!$B$3),"Yes",IF(AND(A3=MAIN!$B$3,E3&lt;=MAIN!$L$3),"Yes","No")),IF(OR(MAIN!$F$3="Full Year",MAIN!$D$3="All"),"Yes",IF(MAIN!$F$3="Monthly",IF(E3=MAIN!$L$3,"Yes","No"),IF(E3&lt;=MAIN!$L$3,"Yes","No"))))</f>
        <v>Yes</v>
      </c>
      <c r="AA3" t="str">
        <f t="shared" si="5"/>
        <v>Yes</v>
      </c>
    </row>
    <row r="4" spans="1:27" x14ac:dyDescent="0.3">
      <c r="A4">
        <f>INDEX(SETTINGS!$A$15:$A$24,$B4)</f>
        <v>2025</v>
      </c>
      <c r="B4">
        <v>1</v>
      </c>
      <c r="C4" t="str">
        <f>IF(AND(A4&gt;=SETTINGS!$B$4,A4&lt;=SETTINGS!$B$5),"Yes","No")</f>
        <v>Yes</v>
      </c>
      <c r="D4" t="str">
        <f>IFERROR(INDEX(SETTINGS!$C$15:$C$24,MATCH(A4,SETTINGS!$A$15:$A$24,0)),"No")</f>
        <v>Yes</v>
      </c>
      <c r="E4">
        <v>1</v>
      </c>
      <c r="F4" t="s">
        <v>2</v>
      </c>
      <c r="G4">
        <v>11</v>
      </c>
      <c r="H4" t="s">
        <v>93</v>
      </c>
      <c r="I4" t="s">
        <v>89</v>
      </c>
      <c r="J4" t="s">
        <v>13</v>
      </c>
      <c r="K4" t="s">
        <v>14</v>
      </c>
      <c r="L4" s="36">
        <f ca="1">IF(C4&lt;&gt;"Yes",0,IF(A4=2025,N('2025'!D11),IF(A4=2026,N('2026'!D11),IF(A4=2027,N('2027'!D11),IF(A4=2028,N('2028'!D11),IF(A4=2029,N('2029'!D11),IF(A4=2030,N('2030'!D11),IF(A4=2031,N('2031'!D11),IF(A4=2032,N('2032'!D11),IF(A4=2033,N('2033'!D11),IF(A4=2034,N('2034'!D11),IFERROR(N(INDIRECT("'"&amp;A4&amp;"'!D"&amp;G4)),0))))))))))))</f>
        <v>0</v>
      </c>
      <c r="M4" s="36">
        <f>IFERROR(IF(NOT(ISBLANK(KPI_TARGETS!$G$7)),KPI_TARGETS!$G$7,IF(NOT(ISBLANK(KPI_TARGETS!$F$7)),KPI_TARGETS!$F$7,"")),"")</f>
        <v>8000</v>
      </c>
      <c r="N4" s="36" t="str">
        <f>IFERROR(KPI_TARGETS!$E$7,"Higher is better")</f>
        <v>Higher is better</v>
      </c>
      <c r="O4" s="37">
        <f t="shared" ca="1" si="0"/>
        <v>0</v>
      </c>
      <c r="P4" t="str">
        <f t="shared" ca="1" si="1"/>
        <v>Red</v>
      </c>
      <c r="Q4" s="36">
        <f t="shared" ca="1" si="2"/>
        <v>-8000</v>
      </c>
      <c r="R4" s="36" t="str">
        <f>""</f>
        <v/>
      </c>
      <c r="S4" s="36" t="str">
        <f>""</f>
        <v/>
      </c>
      <c r="T4" s="36" t="str">
        <f>""</f>
        <v/>
      </c>
      <c r="U4" s="36" t="str">
        <f>""</f>
        <v/>
      </c>
      <c r="V4" s="36" t="str">
        <f>""</f>
        <v/>
      </c>
      <c r="W4" s="36">
        <f t="shared" si="3"/>
        <v>1</v>
      </c>
      <c r="X4" t="str">
        <f t="shared" si="4"/>
        <v>OK</v>
      </c>
      <c r="Y4" t="str">
        <f>IF(MAIN!$H$3="Selected Year",IF(A4=MAIN!$B$3,"Yes","No"),IF(MAIN!$H$3="Included Years",IF(D4="Yes","Yes","No"),IF(C4="Yes","Yes","No")))</f>
        <v>Yes</v>
      </c>
      <c r="Z4" t="str">
        <f>IF(MAIN!$F$3="Project to Date",IF(AND(A4&gt;=SETTINGS!$B$4,A4&lt;MAIN!$B$3),"Yes",IF(AND(A4=MAIN!$B$3,E4&lt;=MAIN!$L$3),"Yes","No")),IF(OR(MAIN!$F$3="Full Year",MAIN!$D$3="All"),"Yes",IF(MAIN!$F$3="Monthly",IF(E4=MAIN!$L$3,"Yes","No"),IF(E4&lt;=MAIN!$L$3,"Yes","No"))))</f>
        <v>Yes</v>
      </c>
      <c r="AA4" t="str">
        <f t="shared" si="5"/>
        <v>Yes</v>
      </c>
    </row>
    <row r="5" spans="1:27" x14ac:dyDescent="0.3">
      <c r="A5">
        <f>INDEX(SETTINGS!$A$15:$A$24,$B5)</f>
        <v>2025</v>
      </c>
      <c r="B5">
        <v>1</v>
      </c>
      <c r="C5" t="str">
        <f>IF(AND(A5&gt;=SETTINGS!$B$4,A5&lt;=SETTINGS!$B$5),"Yes","No")</f>
        <v>Yes</v>
      </c>
      <c r="D5" t="str">
        <f>IFERROR(INDEX(SETTINGS!$C$15:$C$24,MATCH(A5,SETTINGS!$A$15:$A$24,0)),"No")</f>
        <v>Yes</v>
      </c>
      <c r="E5">
        <v>1</v>
      </c>
      <c r="F5" t="s">
        <v>2</v>
      </c>
      <c r="G5">
        <v>13</v>
      </c>
      <c r="H5" t="s">
        <v>95</v>
      </c>
      <c r="I5" t="s">
        <v>15</v>
      </c>
      <c r="J5" t="s">
        <v>16</v>
      </c>
      <c r="K5" t="s">
        <v>3</v>
      </c>
      <c r="L5" s="36">
        <f ca="1">IF(C5&lt;&gt;"Yes",0,IF(A5=2025,N('2025'!D13),IF(A5=2026,N('2026'!D13),IF(A5=2027,N('2027'!D13),IF(A5=2028,N('2028'!D13),IF(A5=2029,N('2029'!D13),IF(A5=2030,N('2030'!D13),IF(A5=2031,N('2031'!D13),IF(A5=2032,N('2032'!D13),IF(A5=2033,N('2033'!D13),IF(A5=2034,N('2034'!D13),IFERROR(N(INDIRECT("'"&amp;A5&amp;"'!D"&amp;G5)),0))))))))))))</f>
        <v>0</v>
      </c>
      <c r="M5" s="36">
        <f>IFERROR(IF(NOT(ISBLANK(KPI_TARGETS!$G$8)),KPI_TARGETS!$G$8,IF(NOT(ISBLANK(KPI_TARGETS!$F$8)),KPI_TARGETS!$F$8,"")),"")</f>
        <v>0</v>
      </c>
      <c r="N5" s="36" t="str">
        <f>IFERROR(KPI_TARGETS!$E$8,"Higher is better")</f>
        <v>Lower is better</v>
      </c>
      <c r="O5" s="37">
        <f t="shared" ca="1" si="0"/>
        <v>1</v>
      </c>
      <c r="P5" t="str">
        <f t="shared" ca="1" si="1"/>
        <v>Green</v>
      </c>
      <c r="Q5" s="36">
        <f t="shared" ca="1" si="2"/>
        <v>0</v>
      </c>
      <c r="R5" s="36" t="str">
        <f>""</f>
        <v/>
      </c>
      <c r="S5" s="36" t="str">
        <f>""</f>
        <v/>
      </c>
      <c r="T5" s="36" t="str">
        <f>""</f>
        <v/>
      </c>
      <c r="U5" s="36" t="str">
        <f>""</f>
        <v/>
      </c>
      <c r="V5" s="36" t="str">
        <f>""</f>
        <v/>
      </c>
      <c r="W5" s="36">
        <f t="shared" si="3"/>
        <v>1</v>
      </c>
      <c r="X5" t="str">
        <f t="shared" si="4"/>
        <v>OK</v>
      </c>
      <c r="Y5" t="str">
        <f>IF(MAIN!$H$3="Selected Year",IF(A5=MAIN!$B$3,"Yes","No"),IF(MAIN!$H$3="Included Years",IF(D5="Yes","Yes","No"),IF(C5="Yes","Yes","No")))</f>
        <v>Yes</v>
      </c>
      <c r="Z5" t="str">
        <f>IF(MAIN!$F$3="Project to Date",IF(AND(A5&gt;=SETTINGS!$B$4,A5&lt;MAIN!$B$3),"Yes",IF(AND(A5=MAIN!$B$3,E5&lt;=MAIN!$L$3),"Yes","No")),IF(OR(MAIN!$F$3="Full Year",MAIN!$D$3="All"),"Yes",IF(MAIN!$F$3="Monthly",IF(E5=MAIN!$L$3,"Yes","No"),IF(E5&lt;=MAIN!$L$3,"Yes","No"))))</f>
        <v>Yes</v>
      </c>
      <c r="AA5" t="str">
        <f t="shared" si="5"/>
        <v>Yes</v>
      </c>
    </row>
    <row r="6" spans="1:27" x14ac:dyDescent="0.3">
      <c r="A6">
        <f>INDEX(SETTINGS!$A$15:$A$24,$B6)</f>
        <v>2025</v>
      </c>
      <c r="B6">
        <v>1</v>
      </c>
      <c r="C6" t="str">
        <f>IF(AND(A6&gt;=SETTINGS!$B$4,A6&lt;=SETTINGS!$B$5),"Yes","No")</f>
        <v>Yes</v>
      </c>
      <c r="D6" t="str">
        <f>IFERROR(INDEX(SETTINGS!$C$15:$C$24,MATCH(A6,SETTINGS!$A$15:$A$24,0)),"No")</f>
        <v>Yes</v>
      </c>
      <c r="E6">
        <v>1</v>
      </c>
      <c r="F6" t="s">
        <v>2</v>
      </c>
      <c r="G6">
        <v>14</v>
      </c>
      <c r="H6" t="s">
        <v>97</v>
      </c>
      <c r="I6" t="s">
        <v>15</v>
      </c>
      <c r="J6" t="s">
        <v>17</v>
      </c>
      <c r="K6" t="s">
        <v>3</v>
      </c>
      <c r="L6" s="36">
        <f ca="1">IF(C6&lt;&gt;"Yes",0,IF(A6=2025,N('2025'!D14),IF(A6=2026,N('2026'!D14),IF(A6=2027,N('2027'!D14),IF(A6=2028,N('2028'!D14),IF(A6=2029,N('2029'!D14),IF(A6=2030,N('2030'!D14),IF(A6=2031,N('2031'!D14),IF(A6=2032,N('2032'!D14),IF(A6=2033,N('2033'!D14),IF(A6=2034,N('2034'!D14),IFERROR(N(INDIRECT("'"&amp;A6&amp;"'!D"&amp;G6)),0))))))))))))</f>
        <v>0</v>
      </c>
      <c r="M6" s="36">
        <f>IFERROR(IF(NOT(ISBLANK(KPI_TARGETS!$G$9)),KPI_TARGETS!$G$9,IF(NOT(ISBLANK(KPI_TARGETS!$F$9)),KPI_TARGETS!$F$9,"")),"")</f>
        <v>0</v>
      </c>
      <c r="N6" s="36" t="str">
        <f>IFERROR(KPI_TARGETS!$E$9,"Higher is better")</f>
        <v>Higher is better</v>
      </c>
      <c r="O6" s="37" t="str">
        <f t="shared" ca="1" si="0"/>
        <v/>
      </c>
      <c r="P6" t="str">
        <f t="shared" ca="1" si="1"/>
        <v>Green</v>
      </c>
      <c r="Q6" s="36">
        <f t="shared" ca="1" si="2"/>
        <v>0</v>
      </c>
      <c r="R6" s="36" t="str">
        <f>""</f>
        <v/>
      </c>
      <c r="S6" s="36" t="str">
        <f>""</f>
        <v/>
      </c>
      <c r="T6" s="36" t="str">
        <f>""</f>
        <v/>
      </c>
      <c r="U6" s="36" t="str">
        <f>""</f>
        <v/>
      </c>
      <c r="V6" s="36" t="str">
        <f>""</f>
        <v/>
      </c>
      <c r="W6" s="36">
        <f t="shared" si="3"/>
        <v>1</v>
      </c>
      <c r="X6" t="str">
        <f t="shared" si="4"/>
        <v>OK</v>
      </c>
      <c r="Y6" t="str">
        <f>IF(MAIN!$H$3="Selected Year",IF(A6=MAIN!$B$3,"Yes","No"),IF(MAIN!$H$3="Included Years",IF(D6="Yes","Yes","No"),IF(C6="Yes","Yes","No")))</f>
        <v>Yes</v>
      </c>
      <c r="Z6" t="str">
        <f>IF(MAIN!$F$3="Project to Date",IF(AND(A6&gt;=SETTINGS!$B$4,A6&lt;MAIN!$B$3),"Yes",IF(AND(A6=MAIN!$B$3,E6&lt;=MAIN!$L$3),"Yes","No")),IF(OR(MAIN!$F$3="Full Year",MAIN!$D$3="All"),"Yes",IF(MAIN!$F$3="Monthly",IF(E6=MAIN!$L$3,"Yes","No"),IF(E6&lt;=MAIN!$L$3,"Yes","No"))))</f>
        <v>Yes</v>
      </c>
      <c r="AA6" t="str">
        <f t="shared" si="5"/>
        <v>Yes</v>
      </c>
    </row>
    <row r="7" spans="1:27" x14ac:dyDescent="0.3">
      <c r="A7">
        <f>INDEX(SETTINGS!$A$15:$A$24,$B7)</f>
        <v>2025</v>
      </c>
      <c r="B7">
        <v>1</v>
      </c>
      <c r="C7" t="str">
        <f>IF(AND(A7&gt;=SETTINGS!$B$4,A7&lt;=SETTINGS!$B$5),"Yes","No")</f>
        <v>Yes</v>
      </c>
      <c r="D7" t="str">
        <f>IFERROR(INDEX(SETTINGS!$C$15:$C$24,MATCH(A7,SETTINGS!$A$15:$A$24,0)),"No")</f>
        <v>Yes</v>
      </c>
      <c r="E7">
        <v>1</v>
      </c>
      <c r="F7" t="s">
        <v>2</v>
      </c>
      <c r="G7">
        <v>15</v>
      </c>
      <c r="H7" t="s">
        <v>99</v>
      </c>
      <c r="I7" t="s">
        <v>15</v>
      </c>
      <c r="J7" t="s">
        <v>18</v>
      </c>
      <c r="K7" t="s">
        <v>3</v>
      </c>
      <c r="L7" s="36">
        <f ca="1">IF(C7&lt;&gt;"Yes",0,IF(A7=2025,N('2025'!D15),IF(A7=2026,N('2026'!D15),IF(A7=2027,N('2027'!D15),IF(A7=2028,N('2028'!D15),IF(A7=2029,N('2029'!D15),IF(A7=2030,N('2030'!D15),IF(A7=2031,N('2031'!D15),IF(A7=2032,N('2032'!D15),IF(A7=2033,N('2033'!D15),IF(A7=2034,N('2034'!D15),IFERROR(N(INDIRECT("'"&amp;A7&amp;"'!D"&amp;G7)),0))))))))))))</f>
        <v>0</v>
      </c>
      <c r="M7" s="36">
        <f>IFERROR(IF(NOT(ISBLANK(KPI_TARGETS!$G$10)),KPI_TARGETS!$G$10,IF(NOT(ISBLANK(KPI_TARGETS!$F$10)),KPI_TARGETS!$F$10,"")),"")</f>
        <v>0</v>
      </c>
      <c r="N7" s="36" t="str">
        <f>IFERROR(KPI_TARGETS!$E$10,"Higher is better")</f>
        <v>Lower is better</v>
      </c>
      <c r="O7" s="37">
        <f t="shared" ca="1" si="0"/>
        <v>1</v>
      </c>
      <c r="P7" t="str">
        <f t="shared" ca="1" si="1"/>
        <v>Green</v>
      </c>
      <c r="Q7" s="36">
        <f t="shared" ca="1" si="2"/>
        <v>0</v>
      </c>
      <c r="R7" s="36" t="str">
        <f>""</f>
        <v/>
      </c>
      <c r="S7" s="36" t="str">
        <f>""</f>
        <v/>
      </c>
      <c r="T7" s="36" t="str">
        <f>""</f>
        <v/>
      </c>
      <c r="U7" s="36" t="str">
        <f>""</f>
        <v/>
      </c>
      <c r="V7" s="36" t="str">
        <f>""</f>
        <v/>
      </c>
      <c r="W7" s="36">
        <f t="shared" si="3"/>
        <v>1</v>
      </c>
      <c r="X7" t="str">
        <f t="shared" si="4"/>
        <v>OK</v>
      </c>
      <c r="Y7" t="str">
        <f>IF(MAIN!$H$3="Selected Year",IF(A7=MAIN!$B$3,"Yes","No"),IF(MAIN!$H$3="Included Years",IF(D7="Yes","Yes","No"),IF(C7="Yes","Yes","No")))</f>
        <v>Yes</v>
      </c>
      <c r="Z7" t="str">
        <f>IF(MAIN!$F$3="Project to Date",IF(AND(A7&gt;=SETTINGS!$B$4,A7&lt;MAIN!$B$3),"Yes",IF(AND(A7=MAIN!$B$3,E7&lt;=MAIN!$L$3),"Yes","No")),IF(OR(MAIN!$F$3="Full Year",MAIN!$D$3="All"),"Yes",IF(MAIN!$F$3="Monthly",IF(E7=MAIN!$L$3,"Yes","No"),IF(E7&lt;=MAIN!$L$3,"Yes","No"))))</f>
        <v>Yes</v>
      </c>
      <c r="AA7" t="str">
        <f t="shared" si="5"/>
        <v>Yes</v>
      </c>
    </row>
    <row r="8" spans="1:27" x14ac:dyDescent="0.3">
      <c r="A8">
        <f>INDEX(SETTINGS!$A$15:$A$24,$B8)</f>
        <v>2025</v>
      </c>
      <c r="B8">
        <v>1</v>
      </c>
      <c r="C8" t="str">
        <f>IF(AND(A8&gt;=SETTINGS!$B$4,A8&lt;=SETTINGS!$B$5),"Yes","No")</f>
        <v>Yes</v>
      </c>
      <c r="D8" t="str">
        <f>IFERROR(INDEX(SETTINGS!$C$15:$C$24,MATCH(A8,SETTINGS!$A$15:$A$24,0)),"No")</f>
        <v>Yes</v>
      </c>
      <c r="E8">
        <v>1</v>
      </c>
      <c r="F8" t="s">
        <v>2</v>
      </c>
      <c r="G8">
        <v>16</v>
      </c>
      <c r="H8" t="s">
        <v>100</v>
      </c>
      <c r="I8" t="s">
        <v>15</v>
      </c>
      <c r="J8" t="s">
        <v>19</v>
      </c>
      <c r="K8" t="s">
        <v>3</v>
      </c>
      <c r="L8" s="36">
        <f ca="1">IF(C8&lt;&gt;"Yes",0,IF(A8=2025,N('2025'!D16),IF(A8=2026,N('2026'!D16),IF(A8=2027,N('2027'!D16),IF(A8=2028,N('2028'!D16),IF(A8=2029,N('2029'!D16),IF(A8=2030,N('2030'!D16),IF(A8=2031,N('2031'!D16),IF(A8=2032,N('2032'!D16),IF(A8=2033,N('2033'!D16),IF(A8=2034,N('2034'!D16),IFERROR(N(INDIRECT("'"&amp;A8&amp;"'!D"&amp;G8)),0))))))))))))</f>
        <v>0</v>
      </c>
      <c r="M8" s="36">
        <f>IFERROR(IF(NOT(ISBLANK(KPI_TARGETS!$G$11)),KPI_TARGETS!$G$11,IF(NOT(ISBLANK(KPI_TARGETS!$F$11)),KPI_TARGETS!$F$11,"")),"")</f>
        <v>0</v>
      </c>
      <c r="N8" s="36" t="str">
        <f>IFERROR(KPI_TARGETS!$E$11,"Higher is better")</f>
        <v>Lower is better</v>
      </c>
      <c r="O8" s="37">
        <f t="shared" ca="1" si="0"/>
        <v>1</v>
      </c>
      <c r="P8" t="str">
        <f t="shared" ca="1" si="1"/>
        <v>Green</v>
      </c>
      <c r="Q8" s="36">
        <f t="shared" ca="1" si="2"/>
        <v>0</v>
      </c>
      <c r="R8" s="36" t="str">
        <f>""</f>
        <v/>
      </c>
      <c r="S8" s="36" t="str">
        <f>""</f>
        <v/>
      </c>
      <c r="T8" s="36" t="str">
        <f>""</f>
        <v/>
      </c>
      <c r="U8" s="36" t="str">
        <f>""</f>
        <v/>
      </c>
      <c r="V8" s="36" t="str">
        <f>""</f>
        <v/>
      </c>
      <c r="W8" s="36">
        <f t="shared" si="3"/>
        <v>1</v>
      </c>
      <c r="X8" t="str">
        <f t="shared" si="4"/>
        <v>OK</v>
      </c>
      <c r="Y8" t="str">
        <f>IF(MAIN!$H$3="Selected Year",IF(A8=MAIN!$B$3,"Yes","No"),IF(MAIN!$H$3="Included Years",IF(D8="Yes","Yes","No"),IF(C8="Yes","Yes","No")))</f>
        <v>Yes</v>
      </c>
      <c r="Z8" t="str">
        <f>IF(MAIN!$F$3="Project to Date",IF(AND(A8&gt;=SETTINGS!$B$4,A8&lt;MAIN!$B$3),"Yes",IF(AND(A8=MAIN!$B$3,E8&lt;=MAIN!$L$3),"Yes","No")),IF(OR(MAIN!$F$3="Full Year",MAIN!$D$3="All"),"Yes",IF(MAIN!$F$3="Monthly",IF(E8=MAIN!$L$3,"Yes","No"),IF(E8&lt;=MAIN!$L$3,"Yes","No"))))</f>
        <v>Yes</v>
      </c>
      <c r="AA8" t="str">
        <f t="shared" si="5"/>
        <v>Yes</v>
      </c>
    </row>
    <row r="9" spans="1:27" x14ac:dyDescent="0.3">
      <c r="A9">
        <f>INDEX(SETTINGS!$A$15:$A$24,$B9)</f>
        <v>2025</v>
      </c>
      <c r="B9">
        <v>1</v>
      </c>
      <c r="C9" t="str">
        <f>IF(AND(A9&gt;=SETTINGS!$B$4,A9&lt;=SETTINGS!$B$5),"Yes","No")</f>
        <v>Yes</v>
      </c>
      <c r="D9" t="str">
        <f>IFERROR(INDEX(SETTINGS!$C$15:$C$24,MATCH(A9,SETTINGS!$A$15:$A$24,0)),"No")</f>
        <v>Yes</v>
      </c>
      <c r="E9">
        <v>1</v>
      </c>
      <c r="F9" t="s">
        <v>2</v>
      </c>
      <c r="G9">
        <v>17</v>
      </c>
      <c r="H9" t="s">
        <v>101</v>
      </c>
      <c r="I9" t="s">
        <v>15</v>
      </c>
      <c r="J9" t="s">
        <v>20</v>
      </c>
      <c r="K9" t="s">
        <v>3</v>
      </c>
      <c r="L9" s="36">
        <f ca="1">IF(C9&lt;&gt;"Yes",0,IF(A9=2025,N('2025'!D17),IF(A9=2026,N('2026'!D17),IF(A9=2027,N('2027'!D17),IF(A9=2028,N('2028'!D17),IF(A9=2029,N('2029'!D17),IF(A9=2030,N('2030'!D17),IF(A9=2031,N('2031'!D17),IF(A9=2032,N('2032'!D17),IF(A9=2033,N('2033'!D17),IF(A9=2034,N('2034'!D17),IFERROR(N(INDIRECT("'"&amp;A9&amp;"'!D"&amp;G9)),0))))))))))))</f>
        <v>0</v>
      </c>
      <c r="M9" s="36">
        <f>IFERROR(IF(NOT(ISBLANK(KPI_TARGETS!$G$12)),KPI_TARGETS!$G$12,IF(NOT(ISBLANK(KPI_TARGETS!$F$12)),KPI_TARGETS!$F$12,"")),"")</f>
        <v>0</v>
      </c>
      <c r="N9" s="36" t="str">
        <f>IFERROR(KPI_TARGETS!$E$12,"Higher is better")</f>
        <v>Lower is better</v>
      </c>
      <c r="O9" s="37">
        <f t="shared" ca="1" si="0"/>
        <v>1</v>
      </c>
      <c r="P9" t="str">
        <f t="shared" ca="1" si="1"/>
        <v>Green</v>
      </c>
      <c r="Q9" s="36">
        <f t="shared" ca="1" si="2"/>
        <v>0</v>
      </c>
      <c r="R9" s="36" t="str">
        <f>""</f>
        <v/>
      </c>
      <c r="S9" s="36" t="str">
        <f>""</f>
        <v/>
      </c>
      <c r="T9" s="36" t="str">
        <f>""</f>
        <v/>
      </c>
      <c r="U9" s="36" t="str">
        <f>""</f>
        <v/>
      </c>
      <c r="V9" s="36" t="str">
        <f>""</f>
        <v/>
      </c>
      <c r="W9" s="36">
        <f t="shared" si="3"/>
        <v>1</v>
      </c>
      <c r="X9" t="str">
        <f t="shared" si="4"/>
        <v>OK</v>
      </c>
      <c r="Y9" t="str">
        <f>IF(MAIN!$H$3="Selected Year",IF(A9=MAIN!$B$3,"Yes","No"),IF(MAIN!$H$3="Included Years",IF(D9="Yes","Yes","No"),IF(C9="Yes","Yes","No")))</f>
        <v>Yes</v>
      </c>
      <c r="Z9" t="str">
        <f>IF(MAIN!$F$3="Project to Date",IF(AND(A9&gt;=SETTINGS!$B$4,A9&lt;MAIN!$B$3),"Yes",IF(AND(A9=MAIN!$B$3,E9&lt;=MAIN!$L$3),"Yes","No")),IF(OR(MAIN!$F$3="Full Year",MAIN!$D$3="All"),"Yes",IF(MAIN!$F$3="Monthly",IF(E9=MAIN!$L$3,"Yes","No"),IF(E9&lt;=MAIN!$L$3,"Yes","No"))))</f>
        <v>Yes</v>
      </c>
      <c r="AA9" t="str">
        <f t="shared" si="5"/>
        <v>Yes</v>
      </c>
    </row>
    <row r="10" spans="1:27" x14ac:dyDescent="0.3">
      <c r="A10">
        <f>INDEX(SETTINGS!$A$15:$A$24,$B10)</f>
        <v>2025</v>
      </c>
      <c r="B10">
        <v>1</v>
      </c>
      <c r="C10" t="str">
        <f>IF(AND(A10&gt;=SETTINGS!$B$4,A10&lt;=SETTINGS!$B$5),"Yes","No")</f>
        <v>Yes</v>
      </c>
      <c r="D10" t="str">
        <f>IFERROR(INDEX(SETTINGS!$C$15:$C$24,MATCH(A10,SETTINGS!$A$15:$A$24,0)),"No")</f>
        <v>Yes</v>
      </c>
      <c r="E10">
        <v>1</v>
      </c>
      <c r="F10" t="s">
        <v>2</v>
      </c>
      <c r="G10">
        <v>18</v>
      </c>
      <c r="H10" t="s">
        <v>102</v>
      </c>
      <c r="I10" t="s">
        <v>15</v>
      </c>
      <c r="J10" t="s">
        <v>21</v>
      </c>
      <c r="K10" t="s">
        <v>3</v>
      </c>
      <c r="L10" s="36">
        <f ca="1">IF(C10&lt;&gt;"Yes",0,IF(A10=2025,N('2025'!D18),IF(A10=2026,N('2026'!D18),IF(A10=2027,N('2027'!D18),IF(A10=2028,N('2028'!D18),IF(A10=2029,N('2029'!D18),IF(A10=2030,N('2030'!D18),IF(A10=2031,N('2031'!D18),IF(A10=2032,N('2032'!D18),IF(A10=2033,N('2033'!D18),IF(A10=2034,N('2034'!D18),IFERROR(N(INDIRECT("'"&amp;A10&amp;"'!D"&amp;G10)),0))))))))))))</f>
        <v>0</v>
      </c>
      <c r="M10" s="36">
        <f>IFERROR(IF(NOT(ISBLANK(KPI_TARGETS!$G$13)),KPI_TARGETS!$G$13,IF(NOT(ISBLANK(KPI_TARGETS!$F$13)),KPI_TARGETS!$F$13,"")),"")</f>
        <v>0</v>
      </c>
      <c r="N10" s="36" t="str">
        <f>IFERROR(KPI_TARGETS!$E$13,"Higher is better")</f>
        <v>Lower is better</v>
      </c>
      <c r="O10" s="37">
        <f t="shared" ca="1" si="0"/>
        <v>1</v>
      </c>
      <c r="P10" t="str">
        <f t="shared" ca="1" si="1"/>
        <v>Green</v>
      </c>
      <c r="Q10" s="36">
        <f t="shared" ca="1" si="2"/>
        <v>0</v>
      </c>
      <c r="R10" s="36" t="str">
        <f>""</f>
        <v/>
      </c>
      <c r="S10" s="36" t="str">
        <f>""</f>
        <v/>
      </c>
      <c r="T10" s="36" t="str">
        <f>""</f>
        <v/>
      </c>
      <c r="U10" s="36" t="str">
        <f>""</f>
        <v/>
      </c>
      <c r="V10" s="36" t="str">
        <f>""</f>
        <v/>
      </c>
      <c r="W10" s="36">
        <f t="shared" si="3"/>
        <v>1</v>
      </c>
      <c r="X10" t="str">
        <f t="shared" si="4"/>
        <v>OK</v>
      </c>
      <c r="Y10" t="str">
        <f>IF(MAIN!$H$3="Selected Year",IF(A10=MAIN!$B$3,"Yes","No"),IF(MAIN!$H$3="Included Years",IF(D10="Yes","Yes","No"),IF(C10="Yes","Yes","No")))</f>
        <v>Yes</v>
      </c>
      <c r="Z10" t="str">
        <f>IF(MAIN!$F$3="Project to Date",IF(AND(A10&gt;=SETTINGS!$B$4,A10&lt;MAIN!$B$3),"Yes",IF(AND(A10=MAIN!$B$3,E10&lt;=MAIN!$L$3),"Yes","No")),IF(OR(MAIN!$F$3="Full Year",MAIN!$D$3="All"),"Yes",IF(MAIN!$F$3="Monthly",IF(E10=MAIN!$L$3,"Yes","No"),IF(E10&lt;=MAIN!$L$3,"Yes","No"))))</f>
        <v>Yes</v>
      </c>
      <c r="AA10" t="str">
        <f t="shared" si="5"/>
        <v>Yes</v>
      </c>
    </row>
    <row r="11" spans="1:27" x14ac:dyDescent="0.3">
      <c r="A11">
        <f>INDEX(SETTINGS!$A$15:$A$24,$B11)</f>
        <v>2025</v>
      </c>
      <c r="B11">
        <v>1</v>
      </c>
      <c r="C11" t="str">
        <f>IF(AND(A11&gt;=SETTINGS!$B$4,A11&lt;=SETTINGS!$B$5),"Yes","No")</f>
        <v>Yes</v>
      </c>
      <c r="D11" t="str">
        <f>IFERROR(INDEX(SETTINGS!$C$15:$C$24,MATCH(A11,SETTINGS!$A$15:$A$24,0)),"No")</f>
        <v>Yes</v>
      </c>
      <c r="E11">
        <v>1</v>
      </c>
      <c r="F11" t="s">
        <v>2</v>
      </c>
      <c r="G11">
        <v>20</v>
      </c>
      <c r="H11" t="s">
        <v>103</v>
      </c>
      <c r="I11" t="s">
        <v>22</v>
      </c>
      <c r="J11" t="s">
        <v>23</v>
      </c>
      <c r="K11" t="s">
        <v>3</v>
      </c>
      <c r="L11" s="36">
        <f ca="1">IF(C11&lt;&gt;"Yes",0,IF(A11=2025,N('2025'!D20),IF(A11=2026,N('2026'!D20),IF(A11=2027,N('2027'!D20),IF(A11=2028,N('2028'!D20),IF(A11=2029,N('2029'!D20),IF(A11=2030,N('2030'!D20),IF(A11=2031,N('2031'!D20),IF(A11=2032,N('2032'!D20),IF(A11=2033,N('2033'!D20),IF(A11=2034,N('2034'!D20),IFERROR(N(INDIRECT("'"&amp;A11&amp;"'!D"&amp;G11)),0))))))))))))</f>
        <v>0</v>
      </c>
      <c r="M11" s="36">
        <f>IFERROR(IF(NOT(ISBLANK(KPI_TARGETS!$G$14)),KPI_TARGETS!$G$14,IF(NOT(ISBLANK(KPI_TARGETS!$F$14)),KPI_TARGETS!$F$14,"")),"")</f>
        <v>35</v>
      </c>
      <c r="N11" s="36" t="str">
        <f>IFERROR(KPI_TARGETS!$E$14,"Higher is better")</f>
        <v>Higher is better</v>
      </c>
      <c r="O11" s="37">
        <f t="shared" ca="1" si="0"/>
        <v>0</v>
      </c>
      <c r="P11" t="str">
        <f t="shared" ca="1" si="1"/>
        <v>Red</v>
      </c>
      <c r="Q11" s="36">
        <f t="shared" ca="1" si="2"/>
        <v>-35</v>
      </c>
      <c r="R11" s="36" t="str">
        <f>""</f>
        <v/>
      </c>
      <c r="S11" s="36" t="str">
        <f>""</f>
        <v/>
      </c>
      <c r="T11" s="36" t="str">
        <f>""</f>
        <v/>
      </c>
      <c r="U11" s="36" t="str">
        <f>""</f>
        <v/>
      </c>
      <c r="V11" s="36" t="str">
        <f>""</f>
        <v/>
      </c>
      <c r="W11" s="36">
        <f t="shared" si="3"/>
        <v>1</v>
      </c>
      <c r="X11" t="str">
        <f t="shared" si="4"/>
        <v>OK</v>
      </c>
      <c r="Y11" t="str">
        <f>IF(MAIN!$H$3="Selected Year",IF(A11=MAIN!$B$3,"Yes","No"),IF(MAIN!$H$3="Included Years",IF(D11="Yes","Yes","No"),IF(C11="Yes","Yes","No")))</f>
        <v>Yes</v>
      </c>
      <c r="Z11" t="str">
        <f>IF(MAIN!$F$3="Project to Date",IF(AND(A11&gt;=SETTINGS!$B$4,A11&lt;MAIN!$B$3),"Yes",IF(AND(A11=MAIN!$B$3,E11&lt;=MAIN!$L$3),"Yes","No")),IF(OR(MAIN!$F$3="Full Year",MAIN!$D$3="All"),"Yes",IF(MAIN!$F$3="Monthly",IF(E11=MAIN!$L$3,"Yes","No"),IF(E11&lt;=MAIN!$L$3,"Yes","No"))))</f>
        <v>Yes</v>
      </c>
      <c r="AA11" t="str">
        <f t="shared" si="5"/>
        <v>Yes</v>
      </c>
    </row>
    <row r="12" spans="1:27" x14ac:dyDescent="0.3">
      <c r="A12">
        <f>INDEX(SETTINGS!$A$15:$A$24,$B12)</f>
        <v>2025</v>
      </c>
      <c r="B12">
        <v>1</v>
      </c>
      <c r="C12" t="str">
        <f>IF(AND(A12&gt;=SETTINGS!$B$4,A12&lt;=SETTINGS!$B$5),"Yes","No")</f>
        <v>Yes</v>
      </c>
      <c r="D12" t="str">
        <f>IFERROR(INDEX(SETTINGS!$C$15:$C$24,MATCH(A12,SETTINGS!$A$15:$A$24,0)),"No")</f>
        <v>Yes</v>
      </c>
      <c r="E12">
        <v>1</v>
      </c>
      <c r="F12" t="s">
        <v>2</v>
      </c>
      <c r="G12">
        <v>21</v>
      </c>
      <c r="H12" t="s">
        <v>104</v>
      </c>
      <c r="I12" t="s">
        <v>22</v>
      </c>
      <c r="J12" t="s">
        <v>24</v>
      </c>
      <c r="K12" t="s">
        <v>3</v>
      </c>
      <c r="L12" s="36">
        <f ca="1">IF(C12&lt;&gt;"Yes",0,IF(A12=2025,N('2025'!D21),IF(A12=2026,N('2026'!D21),IF(A12=2027,N('2027'!D21),IF(A12=2028,N('2028'!D21),IF(A12=2029,N('2029'!D21),IF(A12=2030,N('2030'!D21),IF(A12=2031,N('2031'!D21),IF(A12=2032,N('2032'!D21),IF(A12=2033,N('2033'!D21),IF(A12=2034,N('2034'!D21),IFERROR(N(INDIRECT("'"&amp;A12&amp;"'!D"&amp;G12)),0))))))))))))</f>
        <v>0</v>
      </c>
      <c r="M12" s="36">
        <f>IFERROR(IF(NOT(ISBLANK(KPI_TARGETS!$G$15)),KPI_TARGETS!$G$15,IF(NOT(ISBLANK(KPI_TARGETS!$F$15)),KPI_TARGETS!$F$15,"")),"")</f>
        <v>5</v>
      </c>
      <c r="N12" s="36" t="str">
        <f>IFERROR(KPI_TARGETS!$E$15,"Higher is better")</f>
        <v>Higher is better</v>
      </c>
      <c r="O12" s="37">
        <f t="shared" ca="1" si="0"/>
        <v>0</v>
      </c>
      <c r="P12" t="str">
        <f t="shared" ca="1" si="1"/>
        <v>Red</v>
      </c>
      <c r="Q12" s="36">
        <f t="shared" ca="1" si="2"/>
        <v>-5</v>
      </c>
      <c r="R12" s="36" t="str">
        <f>""</f>
        <v/>
      </c>
      <c r="S12" s="36" t="str">
        <f>""</f>
        <v/>
      </c>
      <c r="T12" s="36" t="str">
        <f>""</f>
        <v/>
      </c>
      <c r="U12" s="36" t="str">
        <f>""</f>
        <v/>
      </c>
      <c r="V12" s="36" t="str">
        <f>""</f>
        <v/>
      </c>
      <c r="W12" s="36">
        <f t="shared" si="3"/>
        <v>1</v>
      </c>
      <c r="X12" t="str">
        <f t="shared" si="4"/>
        <v>OK</v>
      </c>
      <c r="Y12" t="str">
        <f>IF(MAIN!$H$3="Selected Year",IF(A12=MAIN!$B$3,"Yes","No"),IF(MAIN!$H$3="Included Years",IF(D12="Yes","Yes","No"),IF(C12="Yes","Yes","No")))</f>
        <v>Yes</v>
      </c>
      <c r="Z12" t="str">
        <f>IF(MAIN!$F$3="Project to Date",IF(AND(A12&gt;=SETTINGS!$B$4,A12&lt;MAIN!$B$3),"Yes",IF(AND(A12=MAIN!$B$3,E12&lt;=MAIN!$L$3),"Yes","No")),IF(OR(MAIN!$F$3="Full Year",MAIN!$D$3="All"),"Yes",IF(MAIN!$F$3="Monthly",IF(E12=MAIN!$L$3,"Yes","No"),IF(E12&lt;=MAIN!$L$3,"Yes","No"))))</f>
        <v>Yes</v>
      </c>
      <c r="AA12" t="str">
        <f t="shared" si="5"/>
        <v>Yes</v>
      </c>
    </row>
    <row r="13" spans="1:27" x14ac:dyDescent="0.3">
      <c r="A13">
        <f>INDEX(SETTINGS!$A$15:$A$24,$B13)</f>
        <v>2025</v>
      </c>
      <c r="B13">
        <v>1</v>
      </c>
      <c r="C13" t="str">
        <f>IF(AND(A13&gt;=SETTINGS!$B$4,A13&lt;=SETTINGS!$B$5),"Yes","No")</f>
        <v>Yes</v>
      </c>
      <c r="D13" t="str">
        <f>IFERROR(INDEX(SETTINGS!$C$15:$C$24,MATCH(A13,SETTINGS!$A$15:$A$24,0)),"No")</f>
        <v>Yes</v>
      </c>
      <c r="E13">
        <v>1</v>
      </c>
      <c r="F13" t="s">
        <v>2</v>
      </c>
      <c r="G13">
        <v>22</v>
      </c>
      <c r="H13" t="s">
        <v>105</v>
      </c>
      <c r="I13" t="s">
        <v>22</v>
      </c>
      <c r="J13" t="s">
        <v>25</v>
      </c>
      <c r="K13" t="s">
        <v>3</v>
      </c>
      <c r="L13" s="36">
        <f ca="1">IF(C13&lt;&gt;"Yes",0,IF(A13=2025,N('2025'!D22),IF(A13=2026,N('2026'!D22),IF(A13=2027,N('2027'!D22),IF(A13=2028,N('2028'!D22),IF(A13=2029,N('2029'!D22),IF(A13=2030,N('2030'!D22),IF(A13=2031,N('2031'!D22),IF(A13=2032,N('2032'!D22),IF(A13=2033,N('2033'!D22),IF(A13=2034,N('2034'!D22),IFERROR(N(INDIRECT("'"&amp;A13&amp;"'!D"&amp;G13)),0))))))))))))</f>
        <v>0</v>
      </c>
      <c r="M13" s="36">
        <f>IFERROR(IF(NOT(ISBLANK(KPI_TARGETS!$G$16)),KPI_TARGETS!$G$16,IF(NOT(ISBLANK(KPI_TARGETS!$F$16)),KPI_TARGETS!$F$16,"")),"")</f>
        <v>4</v>
      </c>
      <c r="N13" s="36" t="str">
        <f>IFERROR(KPI_TARGETS!$E$16,"Higher is better")</f>
        <v>Higher is better</v>
      </c>
      <c r="O13" s="37">
        <f t="shared" ca="1" si="0"/>
        <v>0</v>
      </c>
      <c r="P13" t="str">
        <f t="shared" ca="1" si="1"/>
        <v>Red</v>
      </c>
      <c r="Q13" s="36">
        <f t="shared" ca="1" si="2"/>
        <v>-4</v>
      </c>
      <c r="R13" s="36" t="str">
        <f>""</f>
        <v/>
      </c>
      <c r="S13" s="36" t="str">
        <f>""</f>
        <v/>
      </c>
      <c r="T13" s="36" t="str">
        <f>""</f>
        <v/>
      </c>
      <c r="U13" s="36" t="str">
        <f>""</f>
        <v/>
      </c>
      <c r="V13" s="36" t="str">
        <f>""</f>
        <v/>
      </c>
      <c r="W13" s="36">
        <f t="shared" si="3"/>
        <v>1</v>
      </c>
      <c r="X13" t="str">
        <f t="shared" si="4"/>
        <v>OK</v>
      </c>
      <c r="Y13" t="str">
        <f>IF(MAIN!$H$3="Selected Year",IF(A13=MAIN!$B$3,"Yes","No"),IF(MAIN!$H$3="Included Years",IF(D13="Yes","Yes","No"),IF(C13="Yes","Yes","No")))</f>
        <v>Yes</v>
      </c>
      <c r="Z13" t="str">
        <f>IF(MAIN!$F$3="Project to Date",IF(AND(A13&gt;=SETTINGS!$B$4,A13&lt;MAIN!$B$3),"Yes",IF(AND(A13=MAIN!$B$3,E13&lt;=MAIN!$L$3),"Yes","No")),IF(OR(MAIN!$F$3="Full Year",MAIN!$D$3="All"),"Yes",IF(MAIN!$F$3="Monthly",IF(E13=MAIN!$L$3,"Yes","No"),IF(E13&lt;=MAIN!$L$3,"Yes","No"))))</f>
        <v>Yes</v>
      </c>
      <c r="AA13" t="str">
        <f t="shared" si="5"/>
        <v>Yes</v>
      </c>
    </row>
    <row r="14" spans="1:27" x14ac:dyDescent="0.3">
      <c r="A14">
        <f>INDEX(SETTINGS!$A$15:$A$24,$B14)</f>
        <v>2025</v>
      </c>
      <c r="B14">
        <v>1</v>
      </c>
      <c r="C14" t="str">
        <f>IF(AND(A14&gt;=SETTINGS!$B$4,A14&lt;=SETTINGS!$B$5),"Yes","No")</f>
        <v>Yes</v>
      </c>
      <c r="D14" t="str">
        <f>IFERROR(INDEX(SETTINGS!$C$15:$C$24,MATCH(A14,SETTINGS!$A$15:$A$24,0)),"No")</f>
        <v>Yes</v>
      </c>
      <c r="E14">
        <v>1</v>
      </c>
      <c r="F14" t="s">
        <v>2</v>
      </c>
      <c r="G14">
        <v>23</v>
      </c>
      <c r="H14" t="s">
        <v>106</v>
      </c>
      <c r="I14" t="s">
        <v>22</v>
      </c>
      <c r="J14" t="s">
        <v>26</v>
      </c>
      <c r="K14" t="s">
        <v>3</v>
      </c>
      <c r="L14" s="36">
        <f ca="1">IF(C14&lt;&gt;"Yes",0,IF(A14=2025,N('2025'!D23),IF(A14=2026,N('2026'!D23),IF(A14=2027,N('2027'!D23),IF(A14=2028,N('2028'!D23),IF(A14=2029,N('2029'!D23),IF(A14=2030,N('2030'!D23),IF(A14=2031,N('2031'!D23),IF(A14=2032,N('2032'!D23),IF(A14=2033,N('2033'!D23),IF(A14=2034,N('2034'!D23),IFERROR(N(INDIRECT("'"&amp;A14&amp;"'!D"&amp;G14)),0))))))))))))</f>
        <v>0</v>
      </c>
      <c r="M14" s="36">
        <f>IFERROR(IF(NOT(ISBLANK(KPI_TARGETS!$G$17)),KPI_TARGETS!$G$17,IF(NOT(ISBLANK(KPI_TARGETS!$F$17)),KPI_TARGETS!$F$17,"")),"")</f>
        <v>12</v>
      </c>
      <c r="N14" s="36" t="str">
        <f>IFERROR(KPI_TARGETS!$E$17,"Higher is better")</f>
        <v>Higher is better</v>
      </c>
      <c r="O14" s="37">
        <f t="shared" ca="1" si="0"/>
        <v>0</v>
      </c>
      <c r="P14" t="str">
        <f t="shared" ca="1" si="1"/>
        <v>Red</v>
      </c>
      <c r="Q14" s="36">
        <f t="shared" ca="1" si="2"/>
        <v>-12</v>
      </c>
      <c r="R14" s="36" t="str">
        <f>""</f>
        <v/>
      </c>
      <c r="S14" s="36" t="str">
        <f>""</f>
        <v/>
      </c>
      <c r="T14" s="36" t="str">
        <f>""</f>
        <v/>
      </c>
      <c r="U14" s="36" t="str">
        <f>""</f>
        <v/>
      </c>
      <c r="V14" s="36" t="str">
        <f>""</f>
        <v/>
      </c>
      <c r="W14" s="36">
        <f t="shared" si="3"/>
        <v>1</v>
      </c>
      <c r="X14" t="str">
        <f t="shared" si="4"/>
        <v>OK</v>
      </c>
      <c r="Y14" t="str">
        <f>IF(MAIN!$H$3="Selected Year",IF(A14=MAIN!$B$3,"Yes","No"),IF(MAIN!$H$3="Included Years",IF(D14="Yes","Yes","No"),IF(C14="Yes","Yes","No")))</f>
        <v>Yes</v>
      </c>
      <c r="Z14" t="str">
        <f>IF(MAIN!$F$3="Project to Date",IF(AND(A14&gt;=SETTINGS!$B$4,A14&lt;MAIN!$B$3),"Yes",IF(AND(A14=MAIN!$B$3,E14&lt;=MAIN!$L$3),"Yes","No")),IF(OR(MAIN!$F$3="Full Year",MAIN!$D$3="All"),"Yes",IF(MAIN!$F$3="Monthly",IF(E14=MAIN!$L$3,"Yes","No"),IF(E14&lt;=MAIN!$L$3,"Yes","No"))))</f>
        <v>Yes</v>
      </c>
      <c r="AA14" t="str">
        <f t="shared" si="5"/>
        <v>Yes</v>
      </c>
    </row>
    <row r="15" spans="1:27" x14ac:dyDescent="0.3">
      <c r="A15">
        <f>INDEX(SETTINGS!$A$15:$A$24,$B15)</f>
        <v>2025</v>
      </c>
      <c r="B15">
        <v>1</v>
      </c>
      <c r="C15" t="str">
        <f>IF(AND(A15&gt;=SETTINGS!$B$4,A15&lt;=SETTINGS!$B$5),"Yes","No")</f>
        <v>Yes</v>
      </c>
      <c r="D15" t="str">
        <f>IFERROR(INDEX(SETTINGS!$C$15:$C$24,MATCH(A15,SETTINGS!$A$15:$A$24,0)),"No")</f>
        <v>Yes</v>
      </c>
      <c r="E15">
        <v>1</v>
      </c>
      <c r="F15" t="s">
        <v>2</v>
      </c>
      <c r="G15">
        <v>24</v>
      </c>
      <c r="H15" t="s">
        <v>107</v>
      </c>
      <c r="I15" t="s">
        <v>22</v>
      </c>
      <c r="J15" t="s">
        <v>27</v>
      </c>
      <c r="K15" t="s">
        <v>3</v>
      </c>
      <c r="L15" s="36">
        <f ca="1">IF(C15&lt;&gt;"Yes",0,IF(A15=2025,N('2025'!D24),IF(A15=2026,N('2026'!D24),IF(A15=2027,N('2027'!D24),IF(A15=2028,N('2028'!D24),IF(A15=2029,N('2029'!D24),IF(A15=2030,N('2030'!D24),IF(A15=2031,N('2031'!D24),IF(A15=2032,N('2032'!D24),IF(A15=2033,N('2033'!D24),IF(A15=2034,N('2034'!D24),IFERROR(N(INDIRECT("'"&amp;A15&amp;"'!D"&amp;G15)),0))))))))))))</f>
        <v>0</v>
      </c>
      <c r="M15" s="36">
        <f>IFERROR(IF(NOT(ISBLANK(KPI_TARGETS!$G$18)),KPI_TARGETS!$G$18,IF(NOT(ISBLANK(KPI_TARGETS!$F$18)),KPI_TARGETS!$F$18,"")),"")</f>
        <v>4</v>
      </c>
      <c r="N15" s="36" t="str">
        <f>IFERROR(KPI_TARGETS!$E$18,"Higher is better")</f>
        <v>Higher is better</v>
      </c>
      <c r="O15" s="37">
        <f t="shared" ca="1" si="0"/>
        <v>0</v>
      </c>
      <c r="P15" t="str">
        <f t="shared" ca="1" si="1"/>
        <v>Red</v>
      </c>
      <c r="Q15" s="36">
        <f t="shared" ca="1" si="2"/>
        <v>-4</v>
      </c>
      <c r="R15" s="36" t="str">
        <f>""</f>
        <v/>
      </c>
      <c r="S15" s="36" t="str">
        <f>""</f>
        <v/>
      </c>
      <c r="T15" s="36" t="str">
        <f>""</f>
        <v/>
      </c>
      <c r="U15" s="36" t="str">
        <f>""</f>
        <v/>
      </c>
      <c r="V15" s="36" t="str">
        <f>""</f>
        <v/>
      </c>
      <c r="W15" s="36">
        <f t="shared" si="3"/>
        <v>1</v>
      </c>
      <c r="X15" t="str">
        <f t="shared" si="4"/>
        <v>OK</v>
      </c>
      <c r="Y15" t="str">
        <f>IF(MAIN!$H$3="Selected Year",IF(A15=MAIN!$B$3,"Yes","No"),IF(MAIN!$H$3="Included Years",IF(D15="Yes","Yes","No"),IF(C15="Yes","Yes","No")))</f>
        <v>Yes</v>
      </c>
      <c r="Z15" t="str">
        <f>IF(MAIN!$F$3="Project to Date",IF(AND(A15&gt;=SETTINGS!$B$4,A15&lt;MAIN!$B$3),"Yes",IF(AND(A15=MAIN!$B$3,E15&lt;=MAIN!$L$3),"Yes","No")),IF(OR(MAIN!$F$3="Full Year",MAIN!$D$3="All"),"Yes",IF(MAIN!$F$3="Monthly",IF(E15=MAIN!$L$3,"Yes","No"),IF(E15&lt;=MAIN!$L$3,"Yes","No"))))</f>
        <v>Yes</v>
      </c>
      <c r="AA15" t="str">
        <f t="shared" si="5"/>
        <v>Yes</v>
      </c>
    </row>
    <row r="16" spans="1:27" x14ac:dyDescent="0.3">
      <c r="A16">
        <f>INDEX(SETTINGS!$A$15:$A$24,$B16)</f>
        <v>2025</v>
      </c>
      <c r="B16">
        <v>1</v>
      </c>
      <c r="C16" t="str">
        <f>IF(AND(A16&gt;=SETTINGS!$B$4,A16&lt;=SETTINGS!$B$5),"Yes","No")</f>
        <v>Yes</v>
      </c>
      <c r="D16" t="str">
        <f>IFERROR(INDEX(SETTINGS!$C$15:$C$24,MATCH(A16,SETTINGS!$A$15:$A$24,0)),"No")</f>
        <v>Yes</v>
      </c>
      <c r="E16">
        <v>1</v>
      </c>
      <c r="F16" t="s">
        <v>2</v>
      </c>
      <c r="G16">
        <v>25</v>
      </c>
      <c r="H16" t="s">
        <v>108</v>
      </c>
      <c r="I16" t="s">
        <v>22</v>
      </c>
      <c r="J16" t="s">
        <v>28</v>
      </c>
      <c r="K16" t="s">
        <v>3</v>
      </c>
      <c r="L16" s="36">
        <f ca="1">IF(C16&lt;&gt;"Yes",0,IF(A16=2025,N('2025'!D25),IF(A16=2026,N('2026'!D25),IF(A16=2027,N('2027'!D25),IF(A16=2028,N('2028'!D25),IF(A16=2029,N('2029'!D25),IF(A16=2030,N('2030'!D25),IF(A16=2031,N('2031'!D25),IF(A16=2032,N('2032'!D25),IF(A16=2033,N('2033'!D25),IF(A16=2034,N('2034'!D25),IFERROR(N(INDIRECT("'"&amp;A16&amp;"'!D"&amp;G16)),0))))))))))))</f>
        <v>0</v>
      </c>
      <c r="M16" s="36">
        <f>IFERROR(IF(NOT(ISBLANK(KPI_TARGETS!$G$19)),KPI_TARGETS!$G$19,IF(NOT(ISBLANK(KPI_TARGETS!$F$19)),KPI_TARGETS!$F$19,"")),"")</f>
        <v>16</v>
      </c>
      <c r="N16" s="36" t="str">
        <f>IFERROR(KPI_TARGETS!$E$19,"Higher is better")</f>
        <v>Higher is better</v>
      </c>
      <c r="O16" s="37">
        <f t="shared" ca="1" si="0"/>
        <v>0</v>
      </c>
      <c r="P16" t="str">
        <f t="shared" ca="1" si="1"/>
        <v>Red</v>
      </c>
      <c r="Q16" s="36">
        <f t="shared" ca="1" si="2"/>
        <v>-16</v>
      </c>
      <c r="R16" s="36" t="str">
        <f>""</f>
        <v/>
      </c>
      <c r="S16" s="36" t="str">
        <f>""</f>
        <v/>
      </c>
      <c r="T16" s="36" t="str">
        <f>""</f>
        <v/>
      </c>
      <c r="U16" s="36" t="str">
        <f>""</f>
        <v/>
      </c>
      <c r="V16" s="36" t="str">
        <f>""</f>
        <v/>
      </c>
      <c r="W16" s="36">
        <f t="shared" si="3"/>
        <v>1</v>
      </c>
      <c r="X16" t="str">
        <f t="shared" si="4"/>
        <v>OK</v>
      </c>
      <c r="Y16" t="str">
        <f>IF(MAIN!$H$3="Selected Year",IF(A16=MAIN!$B$3,"Yes","No"),IF(MAIN!$H$3="Included Years",IF(D16="Yes","Yes","No"),IF(C16="Yes","Yes","No")))</f>
        <v>Yes</v>
      </c>
      <c r="Z16" t="str">
        <f>IF(MAIN!$F$3="Project to Date",IF(AND(A16&gt;=SETTINGS!$B$4,A16&lt;MAIN!$B$3),"Yes",IF(AND(A16=MAIN!$B$3,E16&lt;=MAIN!$L$3),"Yes","No")),IF(OR(MAIN!$F$3="Full Year",MAIN!$D$3="All"),"Yes",IF(MAIN!$F$3="Monthly",IF(E16=MAIN!$L$3,"Yes","No"),IF(E16&lt;=MAIN!$L$3,"Yes","No"))))</f>
        <v>Yes</v>
      </c>
      <c r="AA16" t="str">
        <f t="shared" si="5"/>
        <v>Yes</v>
      </c>
    </row>
    <row r="17" spans="1:27" x14ac:dyDescent="0.3">
      <c r="A17">
        <f>INDEX(SETTINGS!$A$15:$A$24,$B17)</f>
        <v>2025</v>
      </c>
      <c r="B17">
        <v>1</v>
      </c>
      <c r="C17" t="str">
        <f>IF(AND(A17&gt;=SETTINGS!$B$4,A17&lt;=SETTINGS!$B$5),"Yes","No")</f>
        <v>Yes</v>
      </c>
      <c r="D17" t="str">
        <f>IFERROR(INDEX(SETTINGS!$C$15:$C$24,MATCH(A17,SETTINGS!$A$15:$A$24,0)),"No")</f>
        <v>Yes</v>
      </c>
      <c r="E17">
        <v>1</v>
      </c>
      <c r="F17" t="s">
        <v>2</v>
      </c>
      <c r="G17">
        <v>26</v>
      </c>
      <c r="H17" t="s">
        <v>109</v>
      </c>
      <c r="I17" t="s">
        <v>22</v>
      </c>
      <c r="J17" t="s">
        <v>29</v>
      </c>
      <c r="K17" t="s">
        <v>3</v>
      </c>
      <c r="L17" s="36">
        <f ca="1">IF(C17&lt;&gt;"Yes",0,IF(A17=2025,N('2025'!D26),IF(A17=2026,N('2026'!D26),IF(A17=2027,N('2027'!D26),IF(A17=2028,N('2028'!D26),IF(A17=2029,N('2029'!D26),IF(A17=2030,N('2030'!D26),IF(A17=2031,N('2031'!D26),IF(A17=2032,N('2032'!D26),IF(A17=2033,N('2033'!D26),IF(A17=2034,N('2034'!D26),IFERROR(N(INDIRECT("'"&amp;A17&amp;"'!D"&amp;G17)),0))))))))))))</f>
        <v>0</v>
      </c>
      <c r="M17" s="36">
        <f>IFERROR(IF(NOT(ISBLANK(KPI_TARGETS!$G$20)),KPI_TARGETS!$G$20,IF(NOT(ISBLANK(KPI_TARGETS!$F$20)),KPI_TARGETS!$F$20,"")),"")</f>
        <v>1</v>
      </c>
      <c r="N17" s="36" t="str">
        <f>IFERROR(KPI_TARGETS!$E$20,"Higher is better")</f>
        <v>Higher is better</v>
      </c>
      <c r="O17" s="37">
        <f t="shared" ca="1" si="0"/>
        <v>0</v>
      </c>
      <c r="P17" t="str">
        <f t="shared" ca="1" si="1"/>
        <v>Red</v>
      </c>
      <c r="Q17" s="36">
        <f t="shared" ca="1" si="2"/>
        <v>-1</v>
      </c>
      <c r="R17" s="36" t="str">
        <f>""</f>
        <v/>
      </c>
      <c r="S17" s="36" t="str">
        <f>""</f>
        <v/>
      </c>
      <c r="T17" s="36" t="str">
        <f>""</f>
        <v/>
      </c>
      <c r="U17" s="36" t="str">
        <f>""</f>
        <v/>
      </c>
      <c r="V17" s="36" t="str">
        <f>""</f>
        <v/>
      </c>
      <c r="W17" s="36">
        <f t="shared" si="3"/>
        <v>1</v>
      </c>
      <c r="X17" t="str">
        <f t="shared" si="4"/>
        <v>OK</v>
      </c>
      <c r="Y17" t="str">
        <f>IF(MAIN!$H$3="Selected Year",IF(A17=MAIN!$B$3,"Yes","No"),IF(MAIN!$H$3="Included Years",IF(D17="Yes","Yes","No"),IF(C17="Yes","Yes","No")))</f>
        <v>Yes</v>
      </c>
      <c r="Z17" t="str">
        <f>IF(MAIN!$F$3="Project to Date",IF(AND(A17&gt;=SETTINGS!$B$4,A17&lt;MAIN!$B$3),"Yes",IF(AND(A17=MAIN!$B$3,E17&lt;=MAIN!$L$3),"Yes","No")),IF(OR(MAIN!$F$3="Full Year",MAIN!$D$3="All"),"Yes",IF(MAIN!$F$3="Monthly",IF(E17=MAIN!$L$3,"Yes","No"),IF(E17&lt;=MAIN!$L$3,"Yes","No"))))</f>
        <v>Yes</v>
      </c>
      <c r="AA17" t="str">
        <f t="shared" si="5"/>
        <v>Yes</v>
      </c>
    </row>
    <row r="18" spans="1:27" x14ac:dyDescent="0.3">
      <c r="A18">
        <f>INDEX(SETTINGS!$A$15:$A$24,$B18)</f>
        <v>2025</v>
      </c>
      <c r="B18">
        <v>1</v>
      </c>
      <c r="C18" t="str">
        <f>IF(AND(A18&gt;=SETTINGS!$B$4,A18&lt;=SETTINGS!$B$5),"Yes","No")</f>
        <v>Yes</v>
      </c>
      <c r="D18" t="str">
        <f>IFERROR(INDEX(SETTINGS!$C$15:$C$24,MATCH(A18,SETTINGS!$A$15:$A$24,0)),"No")</f>
        <v>Yes</v>
      </c>
      <c r="E18">
        <v>1</v>
      </c>
      <c r="F18" t="s">
        <v>2</v>
      </c>
      <c r="G18">
        <v>28</v>
      </c>
      <c r="H18" t="s">
        <v>110</v>
      </c>
      <c r="I18" t="s">
        <v>30</v>
      </c>
      <c r="J18" t="s">
        <v>31</v>
      </c>
      <c r="K18" t="s">
        <v>3</v>
      </c>
      <c r="L18" s="36">
        <f ca="1">IF(C18&lt;&gt;"Yes",0,IF(A18=2025,N('2025'!D28),IF(A18=2026,N('2026'!D28),IF(A18=2027,N('2027'!D28),IF(A18=2028,N('2028'!D28),IF(A18=2029,N('2029'!D28),IF(A18=2030,N('2030'!D28),IF(A18=2031,N('2031'!D28),IF(A18=2032,N('2032'!D28),IF(A18=2033,N('2033'!D28),IF(A18=2034,N('2034'!D28),IFERROR(N(INDIRECT("'"&amp;A18&amp;"'!D"&amp;G18)),0))))))))))))</f>
        <v>0</v>
      </c>
      <c r="M18" s="36">
        <f>IFERROR(IF(NOT(ISBLANK(KPI_TARGETS!$G$21)),KPI_TARGETS!$G$21,IF(NOT(ISBLANK(KPI_TARGETS!$F$21)),KPI_TARGETS!$F$21,"")),"")</f>
        <v>0</v>
      </c>
      <c r="N18" s="36" t="str">
        <f>IFERROR(KPI_TARGETS!$E$21,"Higher is better")</f>
        <v>Lower is better</v>
      </c>
      <c r="O18" s="37">
        <f t="shared" ca="1" si="0"/>
        <v>1</v>
      </c>
      <c r="P18" t="str">
        <f t="shared" ca="1" si="1"/>
        <v>Green</v>
      </c>
      <c r="Q18" s="36">
        <f t="shared" ca="1" si="2"/>
        <v>0</v>
      </c>
      <c r="R18" s="36" t="str">
        <f>""</f>
        <v/>
      </c>
      <c r="S18" s="36" t="str">
        <f>""</f>
        <v/>
      </c>
      <c r="T18" s="36" t="str">
        <f>""</f>
        <v/>
      </c>
      <c r="U18" s="36" t="str">
        <f>""</f>
        <v/>
      </c>
      <c r="V18" s="36" t="str">
        <f>""</f>
        <v/>
      </c>
      <c r="W18" s="36">
        <f t="shared" si="3"/>
        <v>1</v>
      </c>
      <c r="X18" t="str">
        <f t="shared" si="4"/>
        <v>OK</v>
      </c>
      <c r="Y18" t="str">
        <f>IF(MAIN!$H$3="Selected Year",IF(A18=MAIN!$B$3,"Yes","No"),IF(MAIN!$H$3="Included Years",IF(D18="Yes","Yes","No"),IF(C18="Yes","Yes","No")))</f>
        <v>Yes</v>
      </c>
      <c r="Z18" t="str">
        <f>IF(MAIN!$F$3="Project to Date",IF(AND(A18&gt;=SETTINGS!$B$4,A18&lt;MAIN!$B$3),"Yes",IF(AND(A18=MAIN!$B$3,E18&lt;=MAIN!$L$3),"Yes","No")),IF(OR(MAIN!$F$3="Full Year",MAIN!$D$3="All"),"Yes",IF(MAIN!$F$3="Monthly",IF(E18=MAIN!$L$3,"Yes","No"),IF(E18&lt;=MAIN!$L$3,"Yes","No"))))</f>
        <v>Yes</v>
      </c>
      <c r="AA18" t="str">
        <f t="shared" si="5"/>
        <v>Yes</v>
      </c>
    </row>
    <row r="19" spans="1:27" x14ac:dyDescent="0.3">
      <c r="A19">
        <f>INDEX(SETTINGS!$A$15:$A$24,$B19)</f>
        <v>2025</v>
      </c>
      <c r="B19">
        <v>1</v>
      </c>
      <c r="C19" t="str">
        <f>IF(AND(A19&gt;=SETTINGS!$B$4,A19&lt;=SETTINGS!$B$5),"Yes","No")</f>
        <v>Yes</v>
      </c>
      <c r="D19" t="str">
        <f>IFERROR(INDEX(SETTINGS!$C$15:$C$24,MATCH(A19,SETTINGS!$A$15:$A$24,0)),"No")</f>
        <v>Yes</v>
      </c>
      <c r="E19">
        <v>1</v>
      </c>
      <c r="F19" t="s">
        <v>2</v>
      </c>
      <c r="G19">
        <v>29</v>
      </c>
      <c r="H19" t="s">
        <v>111</v>
      </c>
      <c r="I19" t="s">
        <v>30</v>
      </c>
      <c r="J19" t="s">
        <v>32</v>
      </c>
      <c r="K19" t="s">
        <v>3</v>
      </c>
      <c r="L19" s="36">
        <f ca="1">IF(C19&lt;&gt;"Yes",0,IF(A19=2025,N('2025'!D29),IF(A19=2026,N('2026'!D29),IF(A19=2027,N('2027'!D29),IF(A19=2028,N('2028'!D29),IF(A19=2029,N('2029'!D29),IF(A19=2030,N('2030'!D29),IF(A19=2031,N('2031'!D29),IF(A19=2032,N('2032'!D29),IF(A19=2033,N('2033'!D29),IF(A19=2034,N('2034'!D29),IFERROR(N(INDIRECT("'"&amp;A19&amp;"'!D"&amp;G19)),0))))))))))))</f>
        <v>0</v>
      </c>
      <c r="M19" s="36">
        <f>IFERROR(IF(NOT(ISBLANK(KPI_TARGETS!$G$22)),KPI_TARGETS!$G$22,IF(NOT(ISBLANK(KPI_TARGETS!$F$22)),KPI_TARGETS!$F$22,"")),"")</f>
        <v>1</v>
      </c>
      <c r="N19" s="36" t="str">
        <f>IFERROR(KPI_TARGETS!$E$22,"Higher is better")</f>
        <v>Higher is better</v>
      </c>
      <c r="O19" s="37">
        <f t="shared" ca="1" si="0"/>
        <v>0</v>
      </c>
      <c r="P19" t="str">
        <f t="shared" ca="1" si="1"/>
        <v>Red</v>
      </c>
      <c r="Q19" s="36">
        <f t="shared" ca="1" si="2"/>
        <v>-1</v>
      </c>
      <c r="R19" s="36" t="str">
        <f>""</f>
        <v/>
      </c>
      <c r="S19" s="36" t="str">
        <f>""</f>
        <v/>
      </c>
      <c r="T19" s="36" t="str">
        <f>""</f>
        <v/>
      </c>
      <c r="U19" s="36" t="str">
        <f>""</f>
        <v/>
      </c>
      <c r="V19" s="36" t="str">
        <f>""</f>
        <v/>
      </c>
      <c r="W19" s="36">
        <f t="shared" si="3"/>
        <v>1</v>
      </c>
      <c r="X19" t="str">
        <f t="shared" si="4"/>
        <v>OK</v>
      </c>
      <c r="Y19" t="str">
        <f>IF(MAIN!$H$3="Selected Year",IF(A19=MAIN!$B$3,"Yes","No"),IF(MAIN!$H$3="Included Years",IF(D19="Yes","Yes","No"),IF(C19="Yes","Yes","No")))</f>
        <v>Yes</v>
      </c>
      <c r="Z19" t="str">
        <f>IF(MAIN!$F$3="Project to Date",IF(AND(A19&gt;=SETTINGS!$B$4,A19&lt;MAIN!$B$3),"Yes",IF(AND(A19=MAIN!$B$3,E19&lt;=MAIN!$L$3),"Yes","No")),IF(OR(MAIN!$F$3="Full Year",MAIN!$D$3="All"),"Yes",IF(MAIN!$F$3="Monthly",IF(E19=MAIN!$L$3,"Yes","No"),IF(E19&lt;=MAIN!$L$3,"Yes","No"))))</f>
        <v>Yes</v>
      </c>
      <c r="AA19" t="str">
        <f t="shared" si="5"/>
        <v>Yes</v>
      </c>
    </row>
    <row r="20" spans="1:27" x14ac:dyDescent="0.3">
      <c r="A20">
        <f>INDEX(SETTINGS!$A$15:$A$24,$B20)</f>
        <v>2025</v>
      </c>
      <c r="B20">
        <v>1</v>
      </c>
      <c r="C20" t="str">
        <f>IF(AND(A20&gt;=SETTINGS!$B$4,A20&lt;=SETTINGS!$B$5),"Yes","No")</f>
        <v>Yes</v>
      </c>
      <c r="D20" t="str">
        <f>IFERROR(INDEX(SETTINGS!$C$15:$C$24,MATCH(A20,SETTINGS!$A$15:$A$24,0)),"No")</f>
        <v>Yes</v>
      </c>
      <c r="E20">
        <v>1</v>
      </c>
      <c r="F20" t="s">
        <v>2</v>
      </c>
      <c r="G20">
        <v>30</v>
      </c>
      <c r="H20" t="s">
        <v>112</v>
      </c>
      <c r="I20" t="s">
        <v>30</v>
      </c>
      <c r="J20" t="s">
        <v>33</v>
      </c>
      <c r="K20" t="s">
        <v>34</v>
      </c>
      <c r="L20" s="36">
        <f ca="1">IF(C20&lt;&gt;"Yes",0,IF(A20=2025,N('2025'!D30),IF(A20=2026,N('2026'!D30),IF(A20=2027,N('2027'!D30),IF(A20=2028,N('2028'!D30),IF(A20=2029,N('2029'!D30),IF(A20=2030,N('2030'!D30),IF(A20=2031,N('2031'!D30),IF(A20=2032,N('2032'!D30),IF(A20=2033,N('2033'!D30),IF(A20=2034,N('2034'!D30),IFERROR(N(INDIRECT("'"&amp;A20&amp;"'!D"&amp;G20)),0))))))))))))</f>
        <v>0</v>
      </c>
      <c r="M20" s="36">
        <f>IFERROR(IF(NOT(ISBLANK(KPI_TARGETS!$G$23)),KPI_TARGETS!$G$23,IF(NOT(ISBLANK(KPI_TARGETS!$F$23)),KPI_TARGETS!$F$23,"")),"")</f>
        <v>1</v>
      </c>
      <c r="N20" s="36" t="str">
        <f>IFERROR(KPI_TARGETS!$E$23,"Higher is better")</f>
        <v>Higher is better</v>
      </c>
      <c r="O20" s="37">
        <f t="shared" ca="1" si="0"/>
        <v>0</v>
      </c>
      <c r="P20" t="str">
        <f t="shared" ca="1" si="1"/>
        <v>Red</v>
      </c>
      <c r="Q20" s="36">
        <f t="shared" ca="1" si="2"/>
        <v>-1</v>
      </c>
      <c r="R20" s="36" t="str">
        <f>""</f>
        <v/>
      </c>
      <c r="S20" s="36" t="str">
        <f>""</f>
        <v/>
      </c>
      <c r="T20" s="36" t="str">
        <f>""</f>
        <v/>
      </c>
      <c r="U20" s="36" t="str">
        <f>""</f>
        <v/>
      </c>
      <c r="V20" s="36" t="str">
        <f>""</f>
        <v/>
      </c>
      <c r="W20" s="36">
        <f t="shared" si="3"/>
        <v>1</v>
      </c>
      <c r="X20" t="str">
        <f t="shared" si="4"/>
        <v>OK</v>
      </c>
      <c r="Y20" t="str">
        <f>IF(MAIN!$H$3="Selected Year",IF(A20=MAIN!$B$3,"Yes","No"),IF(MAIN!$H$3="Included Years",IF(D20="Yes","Yes","No"),IF(C20="Yes","Yes","No")))</f>
        <v>Yes</v>
      </c>
      <c r="Z20" t="str">
        <f>IF(MAIN!$F$3="Project to Date",IF(AND(A20&gt;=SETTINGS!$B$4,A20&lt;MAIN!$B$3),"Yes",IF(AND(A20=MAIN!$B$3,E20&lt;=MAIN!$L$3),"Yes","No")),IF(OR(MAIN!$F$3="Full Year",MAIN!$D$3="All"),"Yes",IF(MAIN!$F$3="Monthly",IF(E20=MAIN!$L$3,"Yes","No"),IF(E20&lt;=MAIN!$L$3,"Yes","No"))))</f>
        <v>Yes</v>
      </c>
      <c r="AA20" t="str">
        <f t="shared" si="5"/>
        <v>Yes</v>
      </c>
    </row>
    <row r="21" spans="1:27" x14ac:dyDescent="0.3">
      <c r="A21">
        <f>INDEX(SETTINGS!$A$15:$A$24,$B21)</f>
        <v>2025</v>
      </c>
      <c r="B21">
        <v>1</v>
      </c>
      <c r="C21" t="str">
        <f>IF(AND(A21&gt;=SETTINGS!$B$4,A21&lt;=SETTINGS!$B$5),"Yes","No")</f>
        <v>Yes</v>
      </c>
      <c r="D21" t="str">
        <f>IFERROR(INDEX(SETTINGS!$C$15:$C$24,MATCH(A21,SETTINGS!$A$15:$A$24,0)),"No")</f>
        <v>Yes</v>
      </c>
      <c r="E21">
        <v>2</v>
      </c>
      <c r="F21" t="s">
        <v>35</v>
      </c>
      <c r="G21">
        <v>33</v>
      </c>
      <c r="H21" t="s">
        <v>88</v>
      </c>
      <c r="I21" t="s">
        <v>89</v>
      </c>
      <c r="J21" t="s">
        <v>10</v>
      </c>
      <c r="K21" t="s">
        <v>3</v>
      </c>
      <c r="L21" s="36">
        <f ca="1">IF(C21&lt;&gt;"Yes",0,IF(A21=2025,N('2025'!D33),IF(A21=2026,N('2026'!D33),IF(A21=2027,N('2027'!D33),IF(A21=2028,N('2028'!D33),IF(A21=2029,N('2029'!D33),IF(A21=2030,N('2030'!D33),IF(A21=2031,N('2031'!D33),IF(A21=2032,N('2032'!D33),IF(A21=2033,N('2033'!D33),IF(A21=2034,N('2034'!D33),IFERROR(N(INDIRECT("'"&amp;A21&amp;"'!D"&amp;G21)),0))))))))))))</f>
        <v>0</v>
      </c>
      <c r="M21" s="36">
        <f>IFERROR(IF(NOT(ISBLANK(KPI_TARGETS!$G$5)),KPI_TARGETS!$G$5,IF(NOT(ISBLANK(KPI_TARGETS!$F$5)),KPI_TARGETS!$F$5,"")),"")</f>
        <v>104</v>
      </c>
      <c r="N21" s="36" t="str">
        <f>IFERROR(KPI_TARGETS!$E$5,"Higher is better")</f>
        <v>Higher is better</v>
      </c>
      <c r="O21" s="37">
        <f t="shared" ca="1" si="0"/>
        <v>0</v>
      </c>
      <c r="P21" t="str">
        <f t="shared" ca="1" si="1"/>
        <v>Red</v>
      </c>
      <c r="Q21" s="36">
        <f t="shared" ca="1" si="2"/>
        <v>-104</v>
      </c>
      <c r="R21" s="36" t="str">
        <f>""</f>
        <v/>
      </c>
      <c r="S21" s="36" t="str">
        <f>""</f>
        <v/>
      </c>
      <c r="T21" s="36" t="str">
        <f>""</f>
        <v/>
      </c>
      <c r="U21" s="36" t="str">
        <f>""</f>
        <v/>
      </c>
      <c r="V21" s="36" t="str">
        <f>""</f>
        <v/>
      </c>
      <c r="W21" s="36">
        <f t="shared" si="3"/>
        <v>1</v>
      </c>
      <c r="X21" t="str">
        <f t="shared" si="4"/>
        <v>OK</v>
      </c>
      <c r="Y21" t="str">
        <f>IF(MAIN!$H$3="Selected Year",IF(A21=MAIN!$B$3,"Yes","No"),IF(MAIN!$H$3="Included Years",IF(D21="Yes","Yes","No"),IF(C21="Yes","Yes","No")))</f>
        <v>Yes</v>
      </c>
      <c r="Z21" t="str">
        <f>IF(MAIN!$F$3="Project to Date",IF(AND(A21&gt;=SETTINGS!$B$4,A21&lt;MAIN!$B$3),"Yes",IF(AND(A21=MAIN!$B$3,E21&lt;=MAIN!$L$3),"Yes","No")),IF(OR(MAIN!$F$3="Full Year",MAIN!$D$3="All"),"Yes",IF(MAIN!$F$3="Monthly",IF(E21=MAIN!$L$3,"Yes","No"),IF(E21&lt;=MAIN!$L$3,"Yes","No"))))</f>
        <v>Yes</v>
      </c>
      <c r="AA21" t="str">
        <f t="shared" si="5"/>
        <v>Yes</v>
      </c>
    </row>
    <row r="22" spans="1:27" x14ac:dyDescent="0.3">
      <c r="A22">
        <f>INDEX(SETTINGS!$A$15:$A$24,$B22)</f>
        <v>2025</v>
      </c>
      <c r="B22">
        <v>1</v>
      </c>
      <c r="C22" t="str">
        <f>IF(AND(A22&gt;=SETTINGS!$B$4,A22&lt;=SETTINGS!$B$5),"Yes","No")</f>
        <v>Yes</v>
      </c>
      <c r="D22" t="str">
        <f>IFERROR(INDEX(SETTINGS!$C$15:$C$24,MATCH(A22,SETTINGS!$A$15:$A$24,0)),"No")</f>
        <v>Yes</v>
      </c>
      <c r="E22">
        <v>2</v>
      </c>
      <c r="F22" t="s">
        <v>35</v>
      </c>
      <c r="G22">
        <v>34</v>
      </c>
      <c r="H22" t="s">
        <v>91</v>
      </c>
      <c r="I22" t="s">
        <v>89</v>
      </c>
      <c r="J22" t="s">
        <v>11</v>
      </c>
      <c r="K22" t="s">
        <v>12</v>
      </c>
      <c r="L22" s="36">
        <f ca="1">IF(C22&lt;&gt;"Yes",0,IF(A22=2025,N('2025'!D34),IF(A22=2026,N('2026'!D34),IF(A22=2027,N('2027'!D34),IF(A22=2028,N('2028'!D34),IF(A22=2029,N('2029'!D34),IF(A22=2030,N('2030'!D34),IF(A22=2031,N('2031'!D34),IF(A22=2032,N('2032'!D34),IF(A22=2033,N('2033'!D34),IF(A22=2034,N('2034'!D34),IFERROR(N(INDIRECT("'"&amp;A22&amp;"'!D"&amp;G22)),0))))))))))))</f>
        <v>0</v>
      </c>
      <c r="M22" s="36">
        <f>IFERROR(IF(NOT(ISBLANK(KPI_TARGETS!$G$6)),KPI_TARGETS!$G$6,IF(NOT(ISBLANK(KPI_TARGETS!$F$6)),KPI_TARGETS!$F$6,"")),"")</f>
        <v>4000</v>
      </c>
      <c r="N22" s="36" t="str">
        <f>IFERROR(KPI_TARGETS!$E$6,"Higher is better")</f>
        <v>Higher is better</v>
      </c>
      <c r="O22" s="37">
        <f t="shared" ca="1" si="0"/>
        <v>0</v>
      </c>
      <c r="P22" t="str">
        <f t="shared" ca="1" si="1"/>
        <v>Red</v>
      </c>
      <c r="Q22" s="36">
        <f t="shared" ca="1" si="2"/>
        <v>-4000</v>
      </c>
      <c r="R22" s="36" t="str">
        <f>""</f>
        <v/>
      </c>
      <c r="S22" s="36" t="str">
        <f>""</f>
        <v/>
      </c>
      <c r="T22" s="36" t="str">
        <f>""</f>
        <v/>
      </c>
      <c r="U22" s="36" t="str">
        <f>""</f>
        <v/>
      </c>
      <c r="V22" s="36" t="str">
        <f>""</f>
        <v/>
      </c>
      <c r="W22" s="36">
        <f t="shared" si="3"/>
        <v>1</v>
      </c>
      <c r="X22" t="str">
        <f t="shared" si="4"/>
        <v>OK</v>
      </c>
      <c r="Y22" t="str">
        <f>IF(MAIN!$H$3="Selected Year",IF(A22=MAIN!$B$3,"Yes","No"),IF(MAIN!$H$3="Included Years",IF(D22="Yes","Yes","No"),IF(C22="Yes","Yes","No")))</f>
        <v>Yes</v>
      </c>
      <c r="Z22" t="str">
        <f>IF(MAIN!$F$3="Project to Date",IF(AND(A22&gt;=SETTINGS!$B$4,A22&lt;MAIN!$B$3),"Yes",IF(AND(A22=MAIN!$B$3,E22&lt;=MAIN!$L$3),"Yes","No")),IF(OR(MAIN!$F$3="Full Year",MAIN!$D$3="All"),"Yes",IF(MAIN!$F$3="Monthly",IF(E22=MAIN!$L$3,"Yes","No"),IF(E22&lt;=MAIN!$L$3,"Yes","No"))))</f>
        <v>Yes</v>
      </c>
      <c r="AA22" t="str">
        <f t="shared" si="5"/>
        <v>Yes</v>
      </c>
    </row>
    <row r="23" spans="1:27" x14ac:dyDescent="0.3">
      <c r="A23">
        <f>INDEX(SETTINGS!$A$15:$A$24,$B23)</f>
        <v>2025</v>
      </c>
      <c r="B23">
        <v>1</v>
      </c>
      <c r="C23" t="str">
        <f>IF(AND(A23&gt;=SETTINGS!$B$4,A23&lt;=SETTINGS!$B$5),"Yes","No")</f>
        <v>Yes</v>
      </c>
      <c r="D23" t="str">
        <f>IFERROR(INDEX(SETTINGS!$C$15:$C$24,MATCH(A23,SETTINGS!$A$15:$A$24,0)),"No")</f>
        <v>Yes</v>
      </c>
      <c r="E23">
        <v>2</v>
      </c>
      <c r="F23" t="s">
        <v>35</v>
      </c>
      <c r="G23">
        <v>35</v>
      </c>
      <c r="H23" t="s">
        <v>93</v>
      </c>
      <c r="I23" t="s">
        <v>89</v>
      </c>
      <c r="J23" t="s">
        <v>13</v>
      </c>
      <c r="K23" t="s">
        <v>14</v>
      </c>
      <c r="L23" s="36">
        <f ca="1">IF(C23&lt;&gt;"Yes",0,IF(A23=2025,N('2025'!D35),IF(A23=2026,N('2026'!D35),IF(A23=2027,N('2027'!D35),IF(A23=2028,N('2028'!D35),IF(A23=2029,N('2029'!D35),IF(A23=2030,N('2030'!D35),IF(A23=2031,N('2031'!D35),IF(A23=2032,N('2032'!D35),IF(A23=2033,N('2033'!D35),IF(A23=2034,N('2034'!D35),IFERROR(N(INDIRECT("'"&amp;A23&amp;"'!D"&amp;G23)),0))))))))))))</f>
        <v>0</v>
      </c>
      <c r="M23" s="36">
        <f>IFERROR(IF(NOT(ISBLANK(KPI_TARGETS!$G$7)),KPI_TARGETS!$G$7,IF(NOT(ISBLANK(KPI_TARGETS!$F$7)),KPI_TARGETS!$F$7,"")),"")</f>
        <v>8000</v>
      </c>
      <c r="N23" s="36" t="str">
        <f>IFERROR(KPI_TARGETS!$E$7,"Higher is better")</f>
        <v>Higher is better</v>
      </c>
      <c r="O23" s="37">
        <f t="shared" ca="1" si="0"/>
        <v>0</v>
      </c>
      <c r="P23" t="str">
        <f t="shared" ca="1" si="1"/>
        <v>Red</v>
      </c>
      <c r="Q23" s="36">
        <f t="shared" ca="1" si="2"/>
        <v>-8000</v>
      </c>
      <c r="R23" s="36" t="str">
        <f>""</f>
        <v/>
      </c>
      <c r="S23" s="36" t="str">
        <f>""</f>
        <v/>
      </c>
      <c r="T23" s="36" t="str">
        <f>""</f>
        <v/>
      </c>
      <c r="U23" s="36" t="str">
        <f>""</f>
        <v/>
      </c>
      <c r="V23" s="36" t="str">
        <f>""</f>
        <v/>
      </c>
      <c r="W23" s="36">
        <f t="shared" si="3"/>
        <v>1</v>
      </c>
      <c r="X23" t="str">
        <f t="shared" si="4"/>
        <v>OK</v>
      </c>
      <c r="Y23" t="str">
        <f>IF(MAIN!$H$3="Selected Year",IF(A23=MAIN!$B$3,"Yes","No"),IF(MAIN!$H$3="Included Years",IF(D23="Yes","Yes","No"),IF(C23="Yes","Yes","No")))</f>
        <v>Yes</v>
      </c>
      <c r="Z23" t="str">
        <f>IF(MAIN!$F$3="Project to Date",IF(AND(A23&gt;=SETTINGS!$B$4,A23&lt;MAIN!$B$3),"Yes",IF(AND(A23=MAIN!$B$3,E23&lt;=MAIN!$L$3),"Yes","No")),IF(OR(MAIN!$F$3="Full Year",MAIN!$D$3="All"),"Yes",IF(MAIN!$F$3="Monthly",IF(E23=MAIN!$L$3,"Yes","No"),IF(E23&lt;=MAIN!$L$3,"Yes","No"))))</f>
        <v>Yes</v>
      </c>
      <c r="AA23" t="str">
        <f t="shared" si="5"/>
        <v>Yes</v>
      </c>
    </row>
    <row r="24" spans="1:27" x14ac:dyDescent="0.3">
      <c r="A24">
        <f>INDEX(SETTINGS!$A$15:$A$24,$B24)</f>
        <v>2025</v>
      </c>
      <c r="B24">
        <v>1</v>
      </c>
      <c r="C24" t="str">
        <f>IF(AND(A24&gt;=SETTINGS!$B$4,A24&lt;=SETTINGS!$B$5),"Yes","No")</f>
        <v>Yes</v>
      </c>
      <c r="D24" t="str">
        <f>IFERROR(INDEX(SETTINGS!$C$15:$C$24,MATCH(A24,SETTINGS!$A$15:$A$24,0)),"No")</f>
        <v>Yes</v>
      </c>
      <c r="E24">
        <v>2</v>
      </c>
      <c r="F24" t="s">
        <v>35</v>
      </c>
      <c r="G24">
        <v>37</v>
      </c>
      <c r="H24" t="s">
        <v>95</v>
      </c>
      <c r="I24" t="s">
        <v>15</v>
      </c>
      <c r="J24" t="s">
        <v>16</v>
      </c>
      <c r="K24" t="s">
        <v>3</v>
      </c>
      <c r="L24" s="36">
        <f ca="1">IF(C24&lt;&gt;"Yes",0,IF(A24=2025,N('2025'!D37),IF(A24=2026,N('2026'!D37),IF(A24=2027,N('2027'!D37),IF(A24=2028,N('2028'!D37),IF(A24=2029,N('2029'!D37),IF(A24=2030,N('2030'!D37),IF(A24=2031,N('2031'!D37),IF(A24=2032,N('2032'!D37),IF(A24=2033,N('2033'!D37),IF(A24=2034,N('2034'!D37),IFERROR(N(INDIRECT("'"&amp;A24&amp;"'!D"&amp;G24)),0))))))))))))</f>
        <v>0</v>
      </c>
      <c r="M24" s="36">
        <f>IFERROR(IF(NOT(ISBLANK(KPI_TARGETS!$G$8)),KPI_TARGETS!$G$8,IF(NOT(ISBLANK(KPI_TARGETS!$F$8)),KPI_TARGETS!$F$8,"")),"")</f>
        <v>0</v>
      </c>
      <c r="N24" s="36" t="str">
        <f>IFERROR(KPI_TARGETS!$E$8,"Higher is better")</f>
        <v>Lower is better</v>
      </c>
      <c r="O24" s="37">
        <f t="shared" ca="1" si="0"/>
        <v>1</v>
      </c>
      <c r="P24" t="str">
        <f t="shared" ca="1" si="1"/>
        <v>Green</v>
      </c>
      <c r="Q24" s="36">
        <f t="shared" ca="1" si="2"/>
        <v>0</v>
      </c>
      <c r="R24" s="36" t="str">
        <f>""</f>
        <v/>
      </c>
      <c r="S24" s="36" t="str">
        <f>""</f>
        <v/>
      </c>
      <c r="T24" s="36" t="str">
        <f>""</f>
        <v/>
      </c>
      <c r="U24" s="36" t="str">
        <f>""</f>
        <v/>
      </c>
      <c r="V24" s="36" t="str">
        <f>""</f>
        <v/>
      </c>
      <c r="W24" s="36">
        <f t="shared" si="3"/>
        <v>1</v>
      </c>
      <c r="X24" t="str">
        <f t="shared" si="4"/>
        <v>OK</v>
      </c>
      <c r="Y24" t="str">
        <f>IF(MAIN!$H$3="Selected Year",IF(A24=MAIN!$B$3,"Yes","No"),IF(MAIN!$H$3="Included Years",IF(D24="Yes","Yes","No"),IF(C24="Yes","Yes","No")))</f>
        <v>Yes</v>
      </c>
      <c r="Z24" t="str">
        <f>IF(MAIN!$F$3="Project to Date",IF(AND(A24&gt;=SETTINGS!$B$4,A24&lt;MAIN!$B$3),"Yes",IF(AND(A24=MAIN!$B$3,E24&lt;=MAIN!$L$3),"Yes","No")),IF(OR(MAIN!$F$3="Full Year",MAIN!$D$3="All"),"Yes",IF(MAIN!$F$3="Monthly",IF(E24=MAIN!$L$3,"Yes","No"),IF(E24&lt;=MAIN!$L$3,"Yes","No"))))</f>
        <v>Yes</v>
      </c>
      <c r="AA24" t="str">
        <f t="shared" si="5"/>
        <v>Yes</v>
      </c>
    </row>
    <row r="25" spans="1:27" x14ac:dyDescent="0.3">
      <c r="A25">
        <f>INDEX(SETTINGS!$A$15:$A$24,$B25)</f>
        <v>2025</v>
      </c>
      <c r="B25">
        <v>1</v>
      </c>
      <c r="C25" t="str">
        <f>IF(AND(A25&gt;=SETTINGS!$B$4,A25&lt;=SETTINGS!$B$5),"Yes","No")</f>
        <v>Yes</v>
      </c>
      <c r="D25" t="str">
        <f>IFERROR(INDEX(SETTINGS!$C$15:$C$24,MATCH(A25,SETTINGS!$A$15:$A$24,0)),"No")</f>
        <v>Yes</v>
      </c>
      <c r="E25">
        <v>2</v>
      </c>
      <c r="F25" t="s">
        <v>35</v>
      </c>
      <c r="G25">
        <v>38</v>
      </c>
      <c r="H25" t="s">
        <v>97</v>
      </c>
      <c r="I25" t="s">
        <v>15</v>
      </c>
      <c r="J25" t="s">
        <v>17</v>
      </c>
      <c r="K25" t="s">
        <v>3</v>
      </c>
      <c r="L25" s="36">
        <f ca="1">IF(C25&lt;&gt;"Yes",0,IF(A25=2025,N('2025'!D38),IF(A25=2026,N('2026'!D38),IF(A25=2027,N('2027'!D38),IF(A25=2028,N('2028'!D38),IF(A25=2029,N('2029'!D38),IF(A25=2030,N('2030'!D38),IF(A25=2031,N('2031'!D38),IF(A25=2032,N('2032'!D38),IF(A25=2033,N('2033'!D38),IF(A25=2034,N('2034'!D38),IFERROR(N(INDIRECT("'"&amp;A25&amp;"'!D"&amp;G25)),0))))))))))))</f>
        <v>0</v>
      </c>
      <c r="M25" s="36">
        <f>IFERROR(IF(NOT(ISBLANK(KPI_TARGETS!$G$9)),KPI_TARGETS!$G$9,IF(NOT(ISBLANK(KPI_TARGETS!$F$9)),KPI_TARGETS!$F$9,"")),"")</f>
        <v>0</v>
      </c>
      <c r="N25" s="36" t="str">
        <f>IFERROR(KPI_TARGETS!$E$9,"Higher is better")</f>
        <v>Higher is better</v>
      </c>
      <c r="O25" s="37" t="str">
        <f t="shared" ca="1" si="0"/>
        <v/>
      </c>
      <c r="P25" t="str">
        <f t="shared" ca="1" si="1"/>
        <v>Green</v>
      </c>
      <c r="Q25" s="36">
        <f t="shared" ca="1" si="2"/>
        <v>0</v>
      </c>
      <c r="R25" s="36" t="str">
        <f>""</f>
        <v/>
      </c>
      <c r="S25" s="36" t="str">
        <f>""</f>
        <v/>
      </c>
      <c r="T25" s="36" t="str">
        <f>""</f>
        <v/>
      </c>
      <c r="U25" s="36" t="str">
        <f>""</f>
        <v/>
      </c>
      <c r="V25" s="36" t="str">
        <f>""</f>
        <v/>
      </c>
      <c r="W25" s="36">
        <f t="shared" si="3"/>
        <v>1</v>
      </c>
      <c r="X25" t="str">
        <f t="shared" si="4"/>
        <v>OK</v>
      </c>
      <c r="Y25" t="str">
        <f>IF(MAIN!$H$3="Selected Year",IF(A25=MAIN!$B$3,"Yes","No"),IF(MAIN!$H$3="Included Years",IF(D25="Yes","Yes","No"),IF(C25="Yes","Yes","No")))</f>
        <v>Yes</v>
      </c>
      <c r="Z25" t="str">
        <f>IF(MAIN!$F$3="Project to Date",IF(AND(A25&gt;=SETTINGS!$B$4,A25&lt;MAIN!$B$3),"Yes",IF(AND(A25=MAIN!$B$3,E25&lt;=MAIN!$L$3),"Yes","No")),IF(OR(MAIN!$F$3="Full Year",MAIN!$D$3="All"),"Yes",IF(MAIN!$F$3="Monthly",IF(E25=MAIN!$L$3,"Yes","No"),IF(E25&lt;=MAIN!$L$3,"Yes","No"))))</f>
        <v>Yes</v>
      </c>
      <c r="AA25" t="str">
        <f t="shared" si="5"/>
        <v>Yes</v>
      </c>
    </row>
    <row r="26" spans="1:27" x14ac:dyDescent="0.3">
      <c r="A26">
        <f>INDEX(SETTINGS!$A$15:$A$24,$B26)</f>
        <v>2025</v>
      </c>
      <c r="B26">
        <v>1</v>
      </c>
      <c r="C26" t="str">
        <f>IF(AND(A26&gt;=SETTINGS!$B$4,A26&lt;=SETTINGS!$B$5),"Yes","No")</f>
        <v>Yes</v>
      </c>
      <c r="D26" t="str">
        <f>IFERROR(INDEX(SETTINGS!$C$15:$C$24,MATCH(A26,SETTINGS!$A$15:$A$24,0)),"No")</f>
        <v>Yes</v>
      </c>
      <c r="E26">
        <v>2</v>
      </c>
      <c r="F26" t="s">
        <v>35</v>
      </c>
      <c r="G26">
        <v>39</v>
      </c>
      <c r="H26" t="s">
        <v>99</v>
      </c>
      <c r="I26" t="s">
        <v>15</v>
      </c>
      <c r="J26" t="s">
        <v>18</v>
      </c>
      <c r="K26" t="s">
        <v>3</v>
      </c>
      <c r="L26" s="36">
        <f ca="1">IF(C26&lt;&gt;"Yes",0,IF(A26=2025,N('2025'!D39),IF(A26=2026,N('2026'!D39),IF(A26=2027,N('2027'!D39),IF(A26=2028,N('2028'!D39),IF(A26=2029,N('2029'!D39),IF(A26=2030,N('2030'!D39),IF(A26=2031,N('2031'!D39),IF(A26=2032,N('2032'!D39),IF(A26=2033,N('2033'!D39),IF(A26=2034,N('2034'!D39),IFERROR(N(INDIRECT("'"&amp;A26&amp;"'!D"&amp;G26)),0))))))))))))</f>
        <v>0</v>
      </c>
      <c r="M26" s="36">
        <f>IFERROR(IF(NOT(ISBLANK(KPI_TARGETS!$G$10)),KPI_TARGETS!$G$10,IF(NOT(ISBLANK(KPI_TARGETS!$F$10)),KPI_TARGETS!$F$10,"")),"")</f>
        <v>0</v>
      </c>
      <c r="N26" s="36" t="str">
        <f>IFERROR(KPI_TARGETS!$E$10,"Higher is better")</f>
        <v>Lower is better</v>
      </c>
      <c r="O26" s="37">
        <f t="shared" ca="1" si="0"/>
        <v>1</v>
      </c>
      <c r="P26" t="str">
        <f t="shared" ca="1" si="1"/>
        <v>Green</v>
      </c>
      <c r="Q26" s="36">
        <f t="shared" ca="1" si="2"/>
        <v>0</v>
      </c>
      <c r="R26" s="36" t="str">
        <f>""</f>
        <v/>
      </c>
      <c r="S26" s="36" t="str">
        <f>""</f>
        <v/>
      </c>
      <c r="T26" s="36" t="str">
        <f>""</f>
        <v/>
      </c>
      <c r="U26" s="36" t="str">
        <f>""</f>
        <v/>
      </c>
      <c r="V26" s="36" t="str">
        <f>""</f>
        <v/>
      </c>
      <c r="W26" s="36">
        <f t="shared" si="3"/>
        <v>1</v>
      </c>
      <c r="X26" t="str">
        <f t="shared" si="4"/>
        <v>OK</v>
      </c>
      <c r="Y26" t="str">
        <f>IF(MAIN!$H$3="Selected Year",IF(A26=MAIN!$B$3,"Yes","No"),IF(MAIN!$H$3="Included Years",IF(D26="Yes","Yes","No"),IF(C26="Yes","Yes","No")))</f>
        <v>Yes</v>
      </c>
      <c r="Z26" t="str">
        <f>IF(MAIN!$F$3="Project to Date",IF(AND(A26&gt;=SETTINGS!$B$4,A26&lt;MAIN!$B$3),"Yes",IF(AND(A26=MAIN!$B$3,E26&lt;=MAIN!$L$3),"Yes","No")),IF(OR(MAIN!$F$3="Full Year",MAIN!$D$3="All"),"Yes",IF(MAIN!$F$3="Monthly",IF(E26=MAIN!$L$3,"Yes","No"),IF(E26&lt;=MAIN!$L$3,"Yes","No"))))</f>
        <v>Yes</v>
      </c>
      <c r="AA26" t="str">
        <f t="shared" si="5"/>
        <v>Yes</v>
      </c>
    </row>
    <row r="27" spans="1:27" x14ac:dyDescent="0.3">
      <c r="A27">
        <f>INDEX(SETTINGS!$A$15:$A$24,$B27)</f>
        <v>2025</v>
      </c>
      <c r="B27">
        <v>1</v>
      </c>
      <c r="C27" t="str">
        <f>IF(AND(A27&gt;=SETTINGS!$B$4,A27&lt;=SETTINGS!$B$5),"Yes","No")</f>
        <v>Yes</v>
      </c>
      <c r="D27" t="str">
        <f>IFERROR(INDEX(SETTINGS!$C$15:$C$24,MATCH(A27,SETTINGS!$A$15:$A$24,0)),"No")</f>
        <v>Yes</v>
      </c>
      <c r="E27">
        <v>2</v>
      </c>
      <c r="F27" t="s">
        <v>35</v>
      </c>
      <c r="G27">
        <v>40</v>
      </c>
      <c r="H27" t="s">
        <v>100</v>
      </c>
      <c r="I27" t="s">
        <v>15</v>
      </c>
      <c r="J27" t="s">
        <v>19</v>
      </c>
      <c r="K27" t="s">
        <v>3</v>
      </c>
      <c r="L27" s="36">
        <f ca="1">IF(C27&lt;&gt;"Yes",0,IF(A27=2025,N('2025'!D40),IF(A27=2026,N('2026'!D40),IF(A27=2027,N('2027'!D40),IF(A27=2028,N('2028'!D40),IF(A27=2029,N('2029'!D40),IF(A27=2030,N('2030'!D40),IF(A27=2031,N('2031'!D40),IF(A27=2032,N('2032'!D40),IF(A27=2033,N('2033'!D40),IF(A27=2034,N('2034'!D40),IFERROR(N(INDIRECT("'"&amp;A27&amp;"'!D"&amp;G27)),0))))))))))))</f>
        <v>0</v>
      </c>
      <c r="M27" s="36">
        <f>IFERROR(IF(NOT(ISBLANK(KPI_TARGETS!$G$11)),KPI_TARGETS!$G$11,IF(NOT(ISBLANK(KPI_TARGETS!$F$11)),KPI_TARGETS!$F$11,"")),"")</f>
        <v>0</v>
      </c>
      <c r="N27" s="36" t="str">
        <f>IFERROR(KPI_TARGETS!$E$11,"Higher is better")</f>
        <v>Lower is better</v>
      </c>
      <c r="O27" s="37">
        <f t="shared" ca="1" si="0"/>
        <v>1</v>
      </c>
      <c r="P27" t="str">
        <f t="shared" ca="1" si="1"/>
        <v>Green</v>
      </c>
      <c r="Q27" s="36">
        <f t="shared" ca="1" si="2"/>
        <v>0</v>
      </c>
      <c r="R27" s="36" t="str">
        <f>""</f>
        <v/>
      </c>
      <c r="S27" s="36" t="str">
        <f>""</f>
        <v/>
      </c>
      <c r="T27" s="36" t="str">
        <f>""</f>
        <v/>
      </c>
      <c r="U27" s="36" t="str">
        <f>""</f>
        <v/>
      </c>
      <c r="V27" s="36" t="str">
        <f>""</f>
        <v/>
      </c>
      <c r="W27" s="36">
        <f t="shared" si="3"/>
        <v>1</v>
      </c>
      <c r="X27" t="str">
        <f t="shared" si="4"/>
        <v>OK</v>
      </c>
      <c r="Y27" t="str">
        <f>IF(MAIN!$H$3="Selected Year",IF(A27=MAIN!$B$3,"Yes","No"),IF(MAIN!$H$3="Included Years",IF(D27="Yes","Yes","No"),IF(C27="Yes","Yes","No")))</f>
        <v>Yes</v>
      </c>
      <c r="Z27" t="str">
        <f>IF(MAIN!$F$3="Project to Date",IF(AND(A27&gt;=SETTINGS!$B$4,A27&lt;MAIN!$B$3),"Yes",IF(AND(A27=MAIN!$B$3,E27&lt;=MAIN!$L$3),"Yes","No")),IF(OR(MAIN!$F$3="Full Year",MAIN!$D$3="All"),"Yes",IF(MAIN!$F$3="Monthly",IF(E27=MAIN!$L$3,"Yes","No"),IF(E27&lt;=MAIN!$L$3,"Yes","No"))))</f>
        <v>Yes</v>
      </c>
      <c r="AA27" t="str">
        <f t="shared" si="5"/>
        <v>Yes</v>
      </c>
    </row>
    <row r="28" spans="1:27" x14ac:dyDescent="0.3">
      <c r="A28">
        <f>INDEX(SETTINGS!$A$15:$A$24,$B28)</f>
        <v>2025</v>
      </c>
      <c r="B28">
        <v>1</v>
      </c>
      <c r="C28" t="str">
        <f>IF(AND(A28&gt;=SETTINGS!$B$4,A28&lt;=SETTINGS!$B$5),"Yes","No")</f>
        <v>Yes</v>
      </c>
      <c r="D28" t="str">
        <f>IFERROR(INDEX(SETTINGS!$C$15:$C$24,MATCH(A28,SETTINGS!$A$15:$A$24,0)),"No")</f>
        <v>Yes</v>
      </c>
      <c r="E28">
        <v>2</v>
      </c>
      <c r="F28" t="s">
        <v>35</v>
      </c>
      <c r="G28">
        <v>41</v>
      </c>
      <c r="H28" t="s">
        <v>101</v>
      </c>
      <c r="I28" t="s">
        <v>15</v>
      </c>
      <c r="J28" t="s">
        <v>20</v>
      </c>
      <c r="K28" t="s">
        <v>3</v>
      </c>
      <c r="L28" s="36">
        <f ca="1">IF(C28&lt;&gt;"Yes",0,IF(A28=2025,N('2025'!D41),IF(A28=2026,N('2026'!D41),IF(A28=2027,N('2027'!D41),IF(A28=2028,N('2028'!D41),IF(A28=2029,N('2029'!D41),IF(A28=2030,N('2030'!D41),IF(A28=2031,N('2031'!D41),IF(A28=2032,N('2032'!D41),IF(A28=2033,N('2033'!D41),IF(A28=2034,N('2034'!D41),IFERROR(N(INDIRECT("'"&amp;A28&amp;"'!D"&amp;G28)),0))))))))))))</f>
        <v>0</v>
      </c>
      <c r="M28" s="36">
        <f>IFERROR(IF(NOT(ISBLANK(KPI_TARGETS!$G$12)),KPI_TARGETS!$G$12,IF(NOT(ISBLANK(KPI_TARGETS!$F$12)),KPI_TARGETS!$F$12,"")),"")</f>
        <v>0</v>
      </c>
      <c r="N28" s="36" t="str">
        <f>IFERROR(KPI_TARGETS!$E$12,"Higher is better")</f>
        <v>Lower is better</v>
      </c>
      <c r="O28" s="37">
        <f t="shared" ca="1" si="0"/>
        <v>1</v>
      </c>
      <c r="P28" t="str">
        <f t="shared" ca="1" si="1"/>
        <v>Green</v>
      </c>
      <c r="Q28" s="36">
        <f t="shared" ca="1" si="2"/>
        <v>0</v>
      </c>
      <c r="R28" s="36" t="str">
        <f>""</f>
        <v/>
      </c>
      <c r="S28" s="36" t="str">
        <f>""</f>
        <v/>
      </c>
      <c r="T28" s="36" t="str">
        <f>""</f>
        <v/>
      </c>
      <c r="U28" s="36" t="str">
        <f>""</f>
        <v/>
      </c>
      <c r="V28" s="36" t="str">
        <f>""</f>
        <v/>
      </c>
      <c r="W28" s="36">
        <f t="shared" si="3"/>
        <v>1</v>
      </c>
      <c r="X28" t="str">
        <f t="shared" si="4"/>
        <v>OK</v>
      </c>
      <c r="Y28" t="str">
        <f>IF(MAIN!$H$3="Selected Year",IF(A28=MAIN!$B$3,"Yes","No"),IF(MAIN!$H$3="Included Years",IF(D28="Yes","Yes","No"),IF(C28="Yes","Yes","No")))</f>
        <v>Yes</v>
      </c>
      <c r="Z28" t="str">
        <f>IF(MAIN!$F$3="Project to Date",IF(AND(A28&gt;=SETTINGS!$B$4,A28&lt;MAIN!$B$3),"Yes",IF(AND(A28=MAIN!$B$3,E28&lt;=MAIN!$L$3),"Yes","No")),IF(OR(MAIN!$F$3="Full Year",MAIN!$D$3="All"),"Yes",IF(MAIN!$F$3="Monthly",IF(E28=MAIN!$L$3,"Yes","No"),IF(E28&lt;=MAIN!$L$3,"Yes","No"))))</f>
        <v>Yes</v>
      </c>
      <c r="AA28" t="str">
        <f t="shared" si="5"/>
        <v>Yes</v>
      </c>
    </row>
    <row r="29" spans="1:27" x14ac:dyDescent="0.3">
      <c r="A29">
        <f>INDEX(SETTINGS!$A$15:$A$24,$B29)</f>
        <v>2025</v>
      </c>
      <c r="B29">
        <v>1</v>
      </c>
      <c r="C29" t="str">
        <f>IF(AND(A29&gt;=SETTINGS!$B$4,A29&lt;=SETTINGS!$B$5),"Yes","No")</f>
        <v>Yes</v>
      </c>
      <c r="D29" t="str">
        <f>IFERROR(INDEX(SETTINGS!$C$15:$C$24,MATCH(A29,SETTINGS!$A$15:$A$24,0)),"No")</f>
        <v>Yes</v>
      </c>
      <c r="E29">
        <v>2</v>
      </c>
      <c r="F29" t="s">
        <v>35</v>
      </c>
      <c r="G29">
        <v>42</v>
      </c>
      <c r="H29" t="s">
        <v>102</v>
      </c>
      <c r="I29" t="s">
        <v>15</v>
      </c>
      <c r="J29" t="s">
        <v>21</v>
      </c>
      <c r="K29" t="s">
        <v>3</v>
      </c>
      <c r="L29" s="36">
        <f ca="1">IF(C29&lt;&gt;"Yes",0,IF(A29=2025,N('2025'!D42),IF(A29=2026,N('2026'!D42),IF(A29=2027,N('2027'!D42),IF(A29=2028,N('2028'!D42),IF(A29=2029,N('2029'!D42),IF(A29=2030,N('2030'!D42),IF(A29=2031,N('2031'!D42),IF(A29=2032,N('2032'!D42),IF(A29=2033,N('2033'!D42),IF(A29=2034,N('2034'!D42),IFERROR(N(INDIRECT("'"&amp;A29&amp;"'!D"&amp;G29)),0))))))))))))</f>
        <v>0</v>
      </c>
      <c r="M29" s="36">
        <f>IFERROR(IF(NOT(ISBLANK(KPI_TARGETS!$G$13)),KPI_TARGETS!$G$13,IF(NOT(ISBLANK(KPI_TARGETS!$F$13)),KPI_TARGETS!$F$13,"")),"")</f>
        <v>0</v>
      </c>
      <c r="N29" s="36" t="str">
        <f>IFERROR(KPI_TARGETS!$E$13,"Higher is better")</f>
        <v>Lower is better</v>
      </c>
      <c r="O29" s="37">
        <f t="shared" ca="1" si="0"/>
        <v>1</v>
      </c>
      <c r="P29" t="str">
        <f t="shared" ca="1" si="1"/>
        <v>Green</v>
      </c>
      <c r="Q29" s="36">
        <f t="shared" ca="1" si="2"/>
        <v>0</v>
      </c>
      <c r="R29" s="36" t="str">
        <f>""</f>
        <v/>
      </c>
      <c r="S29" s="36" t="str">
        <f>""</f>
        <v/>
      </c>
      <c r="T29" s="36" t="str">
        <f>""</f>
        <v/>
      </c>
      <c r="U29" s="36" t="str">
        <f>""</f>
        <v/>
      </c>
      <c r="V29" s="36" t="str">
        <f>""</f>
        <v/>
      </c>
      <c r="W29" s="36">
        <f t="shared" si="3"/>
        <v>1</v>
      </c>
      <c r="X29" t="str">
        <f t="shared" si="4"/>
        <v>OK</v>
      </c>
      <c r="Y29" t="str">
        <f>IF(MAIN!$H$3="Selected Year",IF(A29=MAIN!$B$3,"Yes","No"),IF(MAIN!$H$3="Included Years",IF(D29="Yes","Yes","No"),IF(C29="Yes","Yes","No")))</f>
        <v>Yes</v>
      </c>
      <c r="Z29" t="str">
        <f>IF(MAIN!$F$3="Project to Date",IF(AND(A29&gt;=SETTINGS!$B$4,A29&lt;MAIN!$B$3),"Yes",IF(AND(A29=MAIN!$B$3,E29&lt;=MAIN!$L$3),"Yes","No")),IF(OR(MAIN!$F$3="Full Year",MAIN!$D$3="All"),"Yes",IF(MAIN!$F$3="Monthly",IF(E29=MAIN!$L$3,"Yes","No"),IF(E29&lt;=MAIN!$L$3,"Yes","No"))))</f>
        <v>Yes</v>
      </c>
      <c r="AA29" t="str">
        <f t="shared" si="5"/>
        <v>Yes</v>
      </c>
    </row>
    <row r="30" spans="1:27" x14ac:dyDescent="0.3">
      <c r="A30">
        <f>INDEX(SETTINGS!$A$15:$A$24,$B30)</f>
        <v>2025</v>
      </c>
      <c r="B30">
        <v>1</v>
      </c>
      <c r="C30" t="str">
        <f>IF(AND(A30&gt;=SETTINGS!$B$4,A30&lt;=SETTINGS!$B$5),"Yes","No")</f>
        <v>Yes</v>
      </c>
      <c r="D30" t="str">
        <f>IFERROR(INDEX(SETTINGS!$C$15:$C$24,MATCH(A30,SETTINGS!$A$15:$A$24,0)),"No")</f>
        <v>Yes</v>
      </c>
      <c r="E30">
        <v>2</v>
      </c>
      <c r="F30" t="s">
        <v>35</v>
      </c>
      <c r="G30">
        <v>44</v>
      </c>
      <c r="H30" t="s">
        <v>103</v>
      </c>
      <c r="I30" t="s">
        <v>22</v>
      </c>
      <c r="J30" t="s">
        <v>23</v>
      </c>
      <c r="K30" t="s">
        <v>3</v>
      </c>
      <c r="L30" s="36">
        <f ca="1">IF(C30&lt;&gt;"Yes",0,IF(A30=2025,N('2025'!D44),IF(A30=2026,N('2026'!D44),IF(A30=2027,N('2027'!D44),IF(A30=2028,N('2028'!D44),IF(A30=2029,N('2029'!D44),IF(A30=2030,N('2030'!D44),IF(A30=2031,N('2031'!D44),IF(A30=2032,N('2032'!D44),IF(A30=2033,N('2033'!D44),IF(A30=2034,N('2034'!D44),IFERROR(N(INDIRECT("'"&amp;A30&amp;"'!D"&amp;G30)),0))))))))))))</f>
        <v>0</v>
      </c>
      <c r="M30" s="36">
        <f>IFERROR(IF(NOT(ISBLANK(KPI_TARGETS!$G$14)),KPI_TARGETS!$G$14,IF(NOT(ISBLANK(KPI_TARGETS!$F$14)),KPI_TARGETS!$F$14,"")),"")</f>
        <v>35</v>
      </c>
      <c r="N30" s="36" t="str">
        <f>IFERROR(KPI_TARGETS!$E$14,"Higher is better")</f>
        <v>Higher is better</v>
      </c>
      <c r="O30" s="37">
        <f t="shared" ca="1" si="0"/>
        <v>0</v>
      </c>
      <c r="P30" t="str">
        <f t="shared" ca="1" si="1"/>
        <v>Red</v>
      </c>
      <c r="Q30" s="36">
        <f t="shared" ca="1" si="2"/>
        <v>-35</v>
      </c>
      <c r="R30" s="36" t="str">
        <f>""</f>
        <v/>
      </c>
      <c r="S30" s="36" t="str">
        <f>""</f>
        <v/>
      </c>
      <c r="T30" s="36" t="str">
        <f>""</f>
        <v/>
      </c>
      <c r="U30" s="36" t="str">
        <f>""</f>
        <v/>
      </c>
      <c r="V30" s="36" t="str">
        <f>""</f>
        <v/>
      </c>
      <c r="W30" s="36">
        <f t="shared" si="3"/>
        <v>1</v>
      </c>
      <c r="X30" t="str">
        <f t="shared" si="4"/>
        <v>OK</v>
      </c>
      <c r="Y30" t="str">
        <f>IF(MAIN!$H$3="Selected Year",IF(A30=MAIN!$B$3,"Yes","No"),IF(MAIN!$H$3="Included Years",IF(D30="Yes","Yes","No"),IF(C30="Yes","Yes","No")))</f>
        <v>Yes</v>
      </c>
      <c r="Z30" t="str">
        <f>IF(MAIN!$F$3="Project to Date",IF(AND(A30&gt;=SETTINGS!$B$4,A30&lt;MAIN!$B$3),"Yes",IF(AND(A30=MAIN!$B$3,E30&lt;=MAIN!$L$3),"Yes","No")),IF(OR(MAIN!$F$3="Full Year",MAIN!$D$3="All"),"Yes",IF(MAIN!$F$3="Monthly",IF(E30=MAIN!$L$3,"Yes","No"),IF(E30&lt;=MAIN!$L$3,"Yes","No"))))</f>
        <v>Yes</v>
      </c>
      <c r="AA30" t="str">
        <f t="shared" si="5"/>
        <v>Yes</v>
      </c>
    </row>
    <row r="31" spans="1:27" x14ac:dyDescent="0.3">
      <c r="A31">
        <f>INDEX(SETTINGS!$A$15:$A$24,$B31)</f>
        <v>2025</v>
      </c>
      <c r="B31">
        <v>1</v>
      </c>
      <c r="C31" t="str">
        <f>IF(AND(A31&gt;=SETTINGS!$B$4,A31&lt;=SETTINGS!$B$5),"Yes","No")</f>
        <v>Yes</v>
      </c>
      <c r="D31" t="str">
        <f>IFERROR(INDEX(SETTINGS!$C$15:$C$24,MATCH(A31,SETTINGS!$A$15:$A$24,0)),"No")</f>
        <v>Yes</v>
      </c>
      <c r="E31">
        <v>2</v>
      </c>
      <c r="F31" t="s">
        <v>35</v>
      </c>
      <c r="G31">
        <v>45</v>
      </c>
      <c r="H31" t="s">
        <v>104</v>
      </c>
      <c r="I31" t="s">
        <v>22</v>
      </c>
      <c r="J31" t="s">
        <v>24</v>
      </c>
      <c r="K31" t="s">
        <v>3</v>
      </c>
      <c r="L31" s="36">
        <f ca="1">IF(C31&lt;&gt;"Yes",0,IF(A31=2025,N('2025'!D45),IF(A31=2026,N('2026'!D45),IF(A31=2027,N('2027'!D45),IF(A31=2028,N('2028'!D45),IF(A31=2029,N('2029'!D45),IF(A31=2030,N('2030'!D45),IF(A31=2031,N('2031'!D45),IF(A31=2032,N('2032'!D45),IF(A31=2033,N('2033'!D45),IF(A31=2034,N('2034'!D45),IFERROR(N(INDIRECT("'"&amp;A31&amp;"'!D"&amp;G31)),0))))))))))))</f>
        <v>0</v>
      </c>
      <c r="M31" s="36">
        <f>IFERROR(IF(NOT(ISBLANK(KPI_TARGETS!$G$15)),KPI_TARGETS!$G$15,IF(NOT(ISBLANK(KPI_TARGETS!$F$15)),KPI_TARGETS!$F$15,"")),"")</f>
        <v>5</v>
      </c>
      <c r="N31" s="36" t="str">
        <f>IFERROR(KPI_TARGETS!$E$15,"Higher is better")</f>
        <v>Higher is better</v>
      </c>
      <c r="O31" s="37">
        <f t="shared" ca="1" si="0"/>
        <v>0</v>
      </c>
      <c r="P31" t="str">
        <f t="shared" ca="1" si="1"/>
        <v>Red</v>
      </c>
      <c r="Q31" s="36">
        <f t="shared" ca="1" si="2"/>
        <v>-5</v>
      </c>
      <c r="R31" s="36" t="str">
        <f>""</f>
        <v/>
      </c>
      <c r="S31" s="36" t="str">
        <f>""</f>
        <v/>
      </c>
      <c r="T31" s="36" t="str">
        <f>""</f>
        <v/>
      </c>
      <c r="U31" s="36" t="str">
        <f>""</f>
        <v/>
      </c>
      <c r="V31" s="36" t="str">
        <f>""</f>
        <v/>
      </c>
      <c r="W31" s="36">
        <f t="shared" si="3"/>
        <v>1</v>
      </c>
      <c r="X31" t="str">
        <f t="shared" si="4"/>
        <v>OK</v>
      </c>
      <c r="Y31" t="str">
        <f>IF(MAIN!$H$3="Selected Year",IF(A31=MAIN!$B$3,"Yes","No"),IF(MAIN!$H$3="Included Years",IF(D31="Yes","Yes","No"),IF(C31="Yes","Yes","No")))</f>
        <v>Yes</v>
      </c>
      <c r="Z31" t="str">
        <f>IF(MAIN!$F$3="Project to Date",IF(AND(A31&gt;=SETTINGS!$B$4,A31&lt;MAIN!$B$3),"Yes",IF(AND(A31=MAIN!$B$3,E31&lt;=MAIN!$L$3),"Yes","No")),IF(OR(MAIN!$F$3="Full Year",MAIN!$D$3="All"),"Yes",IF(MAIN!$F$3="Monthly",IF(E31=MAIN!$L$3,"Yes","No"),IF(E31&lt;=MAIN!$L$3,"Yes","No"))))</f>
        <v>Yes</v>
      </c>
      <c r="AA31" t="str">
        <f t="shared" si="5"/>
        <v>Yes</v>
      </c>
    </row>
    <row r="32" spans="1:27" x14ac:dyDescent="0.3">
      <c r="A32">
        <f>INDEX(SETTINGS!$A$15:$A$24,$B32)</f>
        <v>2025</v>
      </c>
      <c r="B32">
        <v>1</v>
      </c>
      <c r="C32" t="str">
        <f>IF(AND(A32&gt;=SETTINGS!$B$4,A32&lt;=SETTINGS!$B$5),"Yes","No")</f>
        <v>Yes</v>
      </c>
      <c r="D32" t="str">
        <f>IFERROR(INDEX(SETTINGS!$C$15:$C$24,MATCH(A32,SETTINGS!$A$15:$A$24,0)),"No")</f>
        <v>Yes</v>
      </c>
      <c r="E32">
        <v>2</v>
      </c>
      <c r="F32" t="s">
        <v>35</v>
      </c>
      <c r="G32">
        <v>46</v>
      </c>
      <c r="H32" t="s">
        <v>105</v>
      </c>
      <c r="I32" t="s">
        <v>22</v>
      </c>
      <c r="J32" t="s">
        <v>25</v>
      </c>
      <c r="K32" t="s">
        <v>3</v>
      </c>
      <c r="L32" s="36">
        <f ca="1">IF(C32&lt;&gt;"Yes",0,IF(A32=2025,N('2025'!D46),IF(A32=2026,N('2026'!D46),IF(A32=2027,N('2027'!D46),IF(A32=2028,N('2028'!D46),IF(A32=2029,N('2029'!D46),IF(A32=2030,N('2030'!D46),IF(A32=2031,N('2031'!D46),IF(A32=2032,N('2032'!D46),IF(A32=2033,N('2033'!D46),IF(A32=2034,N('2034'!D46),IFERROR(N(INDIRECT("'"&amp;A32&amp;"'!D"&amp;G32)),0))))))))))))</f>
        <v>0</v>
      </c>
      <c r="M32" s="36">
        <f>IFERROR(IF(NOT(ISBLANK(KPI_TARGETS!$G$16)),KPI_TARGETS!$G$16,IF(NOT(ISBLANK(KPI_TARGETS!$F$16)),KPI_TARGETS!$F$16,"")),"")</f>
        <v>4</v>
      </c>
      <c r="N32" s="36" t="str">
        <f>IFERROR(KPI_TARGETS!$E$16,"Higher is better")</f>
        <v>Higher is better</v>
      </c>
      <c r="O32" s="37">
        <f t="shared" ca="1" si="0"/>
        <v>0</v>
      </c>
      <c r="P32" t="str">
        <f t="shared" ca="1" si="1"/>
        <v>Red</v>
      </c>
      <c r="Q32" s="36">
        <f t="shared" ca="1" si="2"/>
        <v>-4</v>
      </c>
      <c r="R32" s="36" t="str">
        <f>""</f>
        <v/>
      </c>
      <c r="S32" s="36" t="str">
        <f>""</f>
        <v/>
      </c>
      <c r="T32" s="36" t="str">
        <f>""</f>
        <v/>
      </c>
      <c r="U32" s="36" t="str">
        <f>""</f>
        <v/>
      </c>
      <c r="V32" s="36" t="str">
        <f>""</f>
        <v/>
      </c>
      <c r="W32" s="36">
        <f t="shared" si="3"/>
        <v>1</v>
      </c>
      <c r="X32" t="str">
        <f t="shared" si="4"/>
        <v>OK</v>
      </c>
      <c r="Y32" t="str">
        <f>IF(MAIN!$H$3="Selected Year",IF(A32=MAIN!$B$3,"Yes","No"),IF(MAIN!$H$3="Included Years",IF(D32="Yes","Yes","No"),IF(C32="Yes","Yes","No")))</f>
        <v>Yes</v>
      </c>
      <c r="Z32" t="str">
        <f>IF(MAIN!$F$3="Project to Date",IF(AND(A32&gt;=SETTINGS!$B$4,A32&lt;MAIN!$B$3),"Yes",IF(AND(A32=MAIN!$B$3,E32&lt;=MAIN!$L$3),"Yes","No")),IF(OR(MAIN!$F$3="Full Year",MAIN!$D$3="All"),"Yes",IF(MAIN!$F$3="Monthly",IF(E32=MAIN!$L$3,"Yes","No"),IF(E32&lt;=MAIN!$L$3,"Yes","No"))))</f>
        <v>Yes</v>
      </c>
      <c r="AA32" t="str">
        <f t="shared" si="5"/>
        <v>Yes</v>
      </c>
    </row>
    <row r="33" spans="1:27" x14ac:dyDescent="0.3">
      <c r="A33">
        <f>INDEX(SETTINGS!$A$15:$A$24,$B33)</f>
        <v>2025</v>
      </c>
      <c r="B33">
        <v>1</v>
      </c>
      <c r="C33" t="str">
        <f>IF(AND(A33&gt;=SETTINGS!$B$4,A33&lt;=SETTINGS!$B$5),"Yes","No")</f>
        <v>Yes</v>
      </c>
      <c r="D33" t="str">
        <f>IFERROR(INDEX(SETTINGS!$C$15:$C$24,MATCH(A33,SETTINGS!$A$15:$A$24,0)),"No")</f>
        <v>Yes</v>
      </c>
      <c r="E33">
        <v>2</v>
      </c>
      <c r="F33" t="s">
        <v>35</v>
      </c>
      <c r="G33">
        <v>47</v>
      </c>
      <c r="H33" t="s">
        <v>106</v>
      </c>
      <c r="I33" t="s">
        <v>22</v>
      </c>
      <c r="J33" t="s">
        <v>26</v>
      </c>
      <c r="K33" t="s">
        <v>3</v>
      </c>
      <c r="L33" s="36">
        <f ca="1">IF(C33&lt;&gt;"Yes",0,IF(A33=2025,N('2025'!D47),IF(A33=2026,N('2026'!D47),IF(A33=2027,N('2027'!D47),IF(A33=2028,N('2028'!D47),IF(A33=2029,N('2029'!D47),IF(A33=2030,N('2030'!D47),IF(A33=2031,N('2031'!D47),IF(A33=2032,N('2032'!D47),IF(A33=2033,N('2033'!D47),IF(A33=2034,N('2034'!D47),IFERROR(N(INDIRECT("'"&amp;A33&amp;"'!D"&amp;G33)),0))))))))))))</f>
        <v>0</v>
      </c>
      <c r="M33" s="36">
        <f>IFERROR(IF(NOT(ISBLANK(KPI_TARGETS!$G$17)),KPI_TARGETS!$G$17,IF(NOT(ISBLANK(KPI_TARGETS!$F$17)),KPI_TARGETS!$F$17,"")),"")</f>
        <v>12</v>
      </c>
      <c r="N33" s="36" t="str">
        <f>IFERROR(KPI_TARGETS!$E$17,"Higher is better")</f>
        <v>Higher is better</v>
      </c>
      <c r="O33" s="37">
        <f t="shared" ca="1" si="0"/>
        <v>0</v>
      </c>
      <c r="P33" t="str">
        <f t="shared" ca="1" si="1"/>
        <v>Red</v>
      </c>
      <c r="Q33" s="36">
        <f t="shared" ca="1" si="2"/>
        <v>-12</v>
      </c>
      <c r="R33" s="36" t="str">
        <f>""</f>
        <v/>
      </c>
      <c r="S33" s="36" t="str">
        <f>""</f>
        <v/>
      </c>
      <c r="T33" s="36" t="str">
        <f>""</f>
        <v/>
      </c>
      <c r="U33" s="36" t="str">
        <f>""</f>
        <v/>
      </c>
      <c r="V33" s="36" t="str">
        <f>""</f>
        <v/>
      </c>
      <c r="W33" s="36">
        <f t="shared" si="3"/>
        <v>1</v>
      </c>
      <c r="X33" t="str">
        <f t="shared" si="4"/>
        <v>OK</v>
      </c>
      <c r="Y33" t="str">
        <f>IF(MAIN!$H$3="Selected Year",IF(A33=MAIN!$B$3,"Yes","No"),IF(MAIN!$H$3="Included Years",IF(D33="Yes","Yes","No"),IF(C33="Yes","Yes","No")))</f>
        <v>Yes</v>
      </c>
      <c r="Z33" t="str">
        <f>IF(MAIN!$F$3="Project to Date",IF(AND(A33&gt;=SETTINGS!$B$4,A33&lt;MAIN!$B$3),"Yes",IF(AND(A33=MAIN!$B$3,E33&lt;=MAIN!$L$3),"Yes","No")),IF(OR(MAIN!$F$3="Full Year",MAIN!$D$3="All"),"Yes",IF(MAIN!$F$3="Monthly",IF(E33=MAIN!$L$3,"Yes","No"),IF(E33&lt;=MAIN!$L$3,"Yes","No"))))</f>
        <v>Yes</v>
      </c>
      <c r="AA33" t="str">
        <f t="shared" si="5"/>
        <v>Yes</v>
      </c>
    </row>
    <row r="34" spans="1:27" x14ac:dyDescent="0.3">
      <c r="A34">
        <f>INDEX(SETTINGS!$A$15:$A$24,$B34)</f>
        <v>2025</v>
      </c>
      <c r="B34">
        <v>1</v>
      </c>
      <c r="C34" t="str">
        <f>IF(AND(A34&gt;=SETTINGS!$B$4,A34&lt;=SETTINGS!$B$5),"Yes","No")</f>
        <v>Yes</v>
      </c>
      <c r="D34" t="str">
        <f>IFERROR(INDEX(SETTINGS!$C$15:$C$24,MATCH(A34,SETTINGS!$A$15:$A$24,0)),"No")</f>
        <v>Yes</v>
      </c>
      <c r="E34">
        <v>2</v>
      </c>
      <c r="F34" t="s">
        <v>35</v>
      </c>
      <c r="G34">
        <v>48</v>
      </c>
      <c r="H34" t="s">
        <v>107</v>
      </c>
      <c r="I34" t="s">
        <v>22</v>
      </c>
      <c r="J34" t="s">
        <v>27</v>
      </c>
      <c r="K34" t="s">
        <v>3</v>
      </c>
      <c r="L34" s="36">
        <f ca="1">IF(C34&lt;&gt;"Yes",0,IF(A34=2025,N('2025'!D48),IF(A34=2026,N('2026'!D48),IF(A34=2027,N('2027'!D48),IF(A34=2028,N('2028'!D48),IF(A34=2029,N('2029'!D48),IF(A34=2030,N('2030'!D48),IF(A34=2031,N('2031'!D48),IF(A34=2032,N('2032'!D48),IF(A34=2033,N('2033'!D48),IF(A34=2034,N('2034'!D48),IFERROR(N(INDIRECT("'"&amp;A34&amp;"'!D"&amp;G34)),0))))))))))))</f>
        <v>0</v>
      </c>
      <c r="M34" s="36">
        <f>IFERROR(IF(NOT(ISBLANK(KPI_TARGETS!$G$18)),KPI_TARGETS!$G$18,IF(NOT(ISBLANK(KPI_TARGETS!$F$18)),KPI_TARGETS!$F$18,"")),"")</f>
        <v>4</v>
      </c>
      <c r="N34" s="36" t="str">
        <f>IFERROR(KPI_TARGETS!$E$18,"Higher is better")</f>
        <v>Higher is better</v>
      </c>
      <c r="O34" s="37">
        <f t="shared" ca="1" si="0"/>
        <v>0</v>
      </c>
      <c r="P34" t="str">
        <f t="shared" ca="1" si="1"/>
        <v>Red</v>
      </c>
      <c r="Q34" s="36">
        <f t="shared" ca="1" si="2"/>
        <v>-4</v>
      </c>
      <c r="R34" s="36" t="str">
        <f>""</f>
        <v/>
      </c>
      <c r="S34" s="36" t="str">
        <f>""</f>
        <v/>
      </c>
      <c r="T34" s="36" t="str">
        <f>""</f>
        <v/>
      </c>
      <c r="U34" s="36" t="str">
        <f>""</f>
        <v/>
      </c>
      <c r="V34" s="36" t="str">
        <f>""</f>
        <v/>
      </c>
      <c r="W34" s="36">
        <f t="shared" si="3"/>
        <v>1</v>
      </c>
      <c r="X34" t="str">
        <f t="shared" si="4"/>
        <v>OK</v>
      </c>
      <c r="Y34" t="str">
        <f>IF(MAIN!$H$3="Selected Year",IF(A34=MAIN!$B$3,"Yes","No"),IF(MAIN!$H$3="Included Years",IF(D34="Yes","Yes","No"),IF(C34="Yes","Yes","No")))</f>
        <v>Yes</v>
      </c>
      <c r="Z34" t="str">
        <f>IF(MAIN!$F$3="Project to Date",IF(AND(A34&gt;=SETTINGS!$B$4,A34&lt;MAIN!$B$3),"Yes",IF(AND(A34=MAIN!$B$3,E34&lt;=MAIN!$L$3),"Yes","No")),IF(OR(MAIN!$F$3="Full Year",MAIN!$D$3="All"),"Yes",IF(MAIN!$F$3="Monthly",IF(E34=MAIN!$L$3,"Yes","No"),IF(E34&lt;=MAIN!$L$3,"Yes","No"))))</f>
        <v>Yes</v>
      </c>
      <c r="AA34" t="str">
        <f t="shared" si="5"/>
        <v>Yes</v>
      </c>
    </row>
    <row r="35" spans="1:27" x14ac:dyDescent="0.3">
      <c r="A35">
        <f>INDEX(SETTINGS!$A$15:$A$24,$B35)</f>
        <v>2025</v>
      </c>
      <c r="B35">
        <v>1</v>
      </c>
      <c r="C35" t="str">
        <f>IF(AND(A35&gt;=SETTINGS!$B$4,A35&lt;=SETTINGS!$B$5),"Yes","No")</f>
        <v>Yes</v>
      </c>
      <c r="D35" t="str">
        <f>IFERROR(INDEX(SETTINGS!$C$15:$C$24,MATCH(A35,SETTINGS!$A$15:$A$24,0)),"No")</f>
        <v>Yes</v>
      </c>
      <c r="E35">
        <v>2</v>
      </c>
      <c r="F35" t="s">
        <v>35</v>
      </c>
      <c r="G35">
        <v>49</v>
      </c>
      <c r="H35" t="s">
        <v>108</v>
      </c>
      <c r="I35" t="s">
        <v>22</v>
      </c>
      <c r="J35" t="s">
        <v>28</v>
      </c>
      <c r="K35" t="s">
        <v>3</v>
      </c>
      <c r="L35" s="36">
        <f ca="1">IF(C35&lt;&gt;"Yes",0,IF(A35=2025,N('2025'!D49),IF(A35=2026,N('2026'!D49),IF(A35=2027,N('2027'!D49),IF(A35=2028,N('2028'!D49),IF(A35=2029,N('2029'!D49),IF(A35=2030,N('2030'!D49),IF(A35=2031,N('2031'!D49),IF(A35=2032,N('2032'!D49),IF(A35=2033,N('2033'!D49),IF(A35=2034,N('2034'!D49),IFERROR(N(INDIRECT("'"&amp;A35&amp;"'!D"&amp;G35)),0))))))))))))</f>
        <v>0</v>
      </c>
      <c r="M35" s="36">
        <f>IFERROR(IF(NOT(ISBLANK(KPI_TARGETS!$G$19)),KPI_TARGETS!$G$19,IF(NOT(ISBLANK(KPI_TARGETS!$F$19)),KPI_TARGETS!$F$19,"")),"")</f>
        <v>16</v>
      </c>
      <c r="N35" s="36" t="str">
        <f>IFERROR(KPI_TARGETS!$E$19,"Higher is better")</f>
        <v>Higher is better</v>
      </c>
      <c r="O35" s="37">
        <f t="shared" ca="1" si="0"/>
        <v>0</v>
      </c>
      <c r="P35" t="str">
        <f t="shared" ca="1" si="1"/>
        <v>Red</v>
      </c>
      <c r="Q35" s="36">
        <f t="shared" ca="1" si="2"/>
        <v>-16</v>
      </c>
      <c r="R35" s="36" t="str">
        <f>""</f>
        <v/>
      </c>
      <c r="S35" s="36" t="str">
        <f>""</f>
        <v/>
      </c>
      <c r="T35" s="36" t="str">
        <f>""</f>
        <v/>
      </c>
      <c r="U35" s="36" t="str">
        <f>""</f>
        <v/>
      </c>
      <c r="V35" s="36" t="str">
        <f>""</f>
        <v/>
      </c>
      <c r="W35" s="36">
        <f t="shared" si="3"/>
        <v>1</v>
      </c>
      <c r="X35" t="str">
        <f t="shared" si="4"/>
        <v>OK</v>
      </c>
      <c r="Y35" t="str">
        <f>IF(MAIN!$H$3="Selected Year",IF(A35=MAIN!$B$3,"Yes","No"),IF(MAIN!$H$3="Included Years",IF(D35="Yes","Yes","No"),IF(C35="Yes","Yes","No")))</f>
        <v>Yes</v>
      </c>
      <c r="Z35" t="str">
        <f>IF(MAIN!$F$3="Project to Date",IF(AND(A35&gt;=SETTINGS!$B$4,A35&lt;MAIN!$B$3),"Yes",IF(AND(A35=MAIN!$B$3,E35&lt;=MAIN!$L$3),"Yes","No")),IF(OR(MAIN!$F$3="Full Year",MAIN!$D$3="All"),"Yes",IF(MAIN!$F$3="Monthly",IF(E35=MAIN!$L$3,"Yes","No"),IF(E35&lt;=MAIN!$L$3,"Yes","No"))))</f>
        <v>Yes</v>
      </c>
      <c r="AA35" t="str">
        <f t="shared" si="5"/>
        <v>Yes</v>
      </c>
    </row>
    <row r="36" spans="1:27" x14ac:dyDescent="0.3">
      <c r="A36">
        <f>INDEX(SETTINGS!$A$15:$A$24,$B36)</f>
        <v>2025</v>
      </c>
      <c r="B36">
        <v>1</v>
      </c>
      <c r="C36" t="str">
        <f>IF(AND(A36&gt;=SETTINGS!$B$4,A36&lt;=SETTINGS!$B$5),"Yes","No")</f>
        <v>Yes</v>
      </c>
      <c r="D36" t="str">
        <f>IFERROR(INDEX(SETTINGS!$C$15:$C$24,MATCH(A36,SETTINGS!$A$15:$A$24,0)),"No")</f>
        <v>Yes</v>
      </c>
      <c r="E36">
        <v>2</v>
      </c>
      <c r="F36" t="s">
        <v>35</v>
      </c>
      <c r="G36">
        <v>50</v>
      </c>
      <c r="H36" t="s">
        <v>109</v>
      </c>
      <c r="I36" t="s">
        <v>22</v>
      </c>
      <c r="J36" t="s">
        <v>29</v>
      </c>
      <c r="K36" t="s">
        <v>3</v>
      </c>
      <c r="L36" s="36">
        <f ca="1">IF(C36&lt;&gt;"Yes",0,IF(A36=2025,N('2025'!D50),IF(A36=2026,N('2026'!D50),IF(A36=2027,N('2027'!D50),IF(A36=2028,N('2028'!D50),IF(A36=2029,N('2029'!D50),IF(A36=2030,N('2030'!D50),IF(A36=2031,N('2031'!D50),IF(A36=2032,N('2032'!D50),IF(A36=2033,N('2033'!D50),IF(A36=2034,N('2034'!D50),IFERROR(N(INDIRECT("'"&amp;A36&amp;"'!D"&amp;G36)),0))))))))))))</f>
        <v>0</v>
      </c>
      <c r="M36" s="36">
        <f>IFERROR(IF(NOT(ISBLANK(KPI_TARGETS!$G$20)),KPI_TARGETS!$G$20,IF(NOT(ISBLANK(KPI_TARGETS!$F$20)),KPI_TARGETS!$F$20,"")),"")</f>
        <v>1</v>
      </c>
      <c r="N36" s="36" t="str">
        <f>IFERROR(KPI_TARGETS!$E$20,"Higher is better")</f>
        <v>Higher is better</v>
      </c>
      <c r="O36" s="37">
        <f t="shared" ca="1" si="0"/>
        <v>0</v>
      </c>
      <c r="P36" t="str">
        <f t="shared" ca="1" si="1"/>
        <v>Red</v>
      </c>
      <c r="Q36" s="36">
        <f t="shared" ca="1" si="2"/>
        <v>-1</v>
      </c>
      <c r="R36" s="36" t="str">
        <f>""</f>
        <v/>
      </c>
      <c r="S36" s="36" t="str">
        <f>""</f>
        <v/>
      </c>
      <c r="T36" s="36" t="str">
        <f>""</f>
        <v/>
      </c>
      <c r="U36" s="36" t="str">
        <f>""</f>
        <v/>
      </c>
      <c r="V36" s="36" t="str">
        <f>""</f>
        <v/>
      </c>
      <c r="W36" s="36">
        <f t="shared" si="3"/>
        <v>1</v>
      </c>
      <c r="X36" t="str">
        <f t="shared" si="4"/>
        <v>OK</v>
      </c>
      <c r="Y36" t="str">
        <f>IF(MAIN!$H$3="Selected Year",IF(A36=MAIN!$B$3,"Yes","No"),IF(MAIN!$H$3="Included Years",IF(D36="Yes","Yes","No"),IF(C36="Yes","Yes","No")))</f>
        <v>Yes</v>
      </c>
      <c r="Z36" t="str">
        <f>IF(MAIN!$F$3="Project to Date",IF(AND(A36&gt;=SETTINGS!$B$4,A36&lt;MAIN!$B$3),"Yes",IF(AND(A36=MAIN!$B$3,E36&lt;=MAIN!$L$3),"Yes","No")),IF(OR(MAIN!$F$3="Full Year",MAIN!$D$3="All"),"Yes",IF(MAIN!$F$3="Monthly",IF(E36=MAIN!$L$3,"Yes","No"),IF(E36&lt;=MAIN!$L$3,"Yes","No"))))</f>
        <v>Yes</v>
      </c>
      <c r="AA36" t="str">
        <f t="shared" si="5"/>
        <v>Yes</v>
      </c>
    </row>
    <row r="37" spans="1:27" x14ac:dyDescent="0.3">
      <c r="A37">
        <f>INDEX(SETTINGS!$A$15:$A$24,$B37)</f>
        <v>2025</v>
      </c>
      <c r="B37">
        <v>1</v>
      </c>
      <c r="C37" t="str">
        <f>IF(AND(A37&gt;=SETTINGS!$B$4,A37&lt;=SETTINGS!$B$5),"Yes","No")</f>
        <v>Yes</v>
      </c>
      <c r="D37" t="str">
        <f>IFERROR(INDEX(SETTINGS!$C$15:$C$24,MATCH(A37,SETTINGS!$A$15:$A$24,0)),"No")</f>
        <v>Yes</v>
      </c>
      <c r="E37">
        <v>2</v>
      </c>
      <c r="F37" t="s">
        <v>35</v>
      </c>
      <c r="G37">
        <v>52</v>
      </c>
      <c r="H37" t="s">
        <v>110</v>
      </c>
      <c r="I37" t="s">
        <v>30</v>
      </c>
      <c r="J37" t="s">
        <v>31</v>
      </c>
      <c r="K37" t="s">
        <v>3</v>
      </c>
      <c r="L37" s="36">
        <f ca="1">IF(C37&lt;&gt;"Yes",0,IF(A37=2025,N('2025'!D52),IF(A37=2026,N('2026'!D52),IF(A37=2027,N('2027'!D52),IF(A37=2028,N('2028'!D52),IF(A37=2029,N('2029'!D52),IF(A37=2030,N('2030'!D52),IF(A37=2031,N('2031'!D52),IF(A37=2032,N('2032'!D52),IF(A37=2033,N('2033'!D52),IF(A37=2034,N('2034'!D52),IFERROR(N(INDIRECT("'"&amp;A37&amp;"'!D"&amp;G37)),0))))))))))))</f>
        <v>0</v>
      </c>
      <c r="M37" s="36">
        <f>IFERROR(IF(NOT(ISBLANK(KPI_TARGETS!$G$21)),KPI_TARGETS!$G$21,IF(NOT(ISBLANK(KPI_TARGETS!$F$21)),KPI_TARGETS!$F$21,"")),"")</f>
        <v>0</v>
      </c>
      <c r="N37" s="36" t="str">
        <f>IFERROR(KPI_TARGETS!$E$21,"Higher is better")</f>
        <v>Lower is better</v>
      </c>
      <c r="O37" s="37">
        <f t="shared" ca="1" si="0"/>
        <v>1</v>
      </c>
      <c r="P37" t="str">
        <f t="shared" ca="1" si="1"/>
        <v>Green</v>
      </c>
      <c r="Q37" s="36">
        <f t="shared" ca="1" si="2"/>
        <v>0</v>
      </c>
      <c r="R37" s="36" t="str">
        <f>""</f>
        <v/>
      </c>
      <c r="S37" s="36" t="str">
        <f>""</f>
        <v/>
      </c>
      <c r="T37" s="36" t="str">
        <f>""</f>
        <v/>
      </c>
      <c r="U37" s="36" t="str">
        <f>""</f>
        <v/>
      </c>
      <c r="V37" s="36" t="str">
        <f>""</f>
        <v/>
      </c>
      <c r="W37" s="36">
        <f t="shared" si="3"/>
        <v>1</v>
      </c>
      <c r="X37" t="str">
        <f t="shared" si="4"/>
        <v>OK</v>
      </c>
      <c r="Y37" t="str">
        <f>IF(MAIN!$H$3="Selected Year",IF(A37=MAIN!$B$3,"Yes","No"),IF(MAIN!$H$3="Included Years",IF(D37="Yes","Yes","No"),IF(C37="Yes","Yes","No")))</f>
        <v>Yes</v>
      </c>
      <c r="Z37" t="str">
        <f>IF(MAIN!$F$3="Project to Date",IF(AND(A37&gt;=SETTINGS!$B$4,A37&lt;MAIN!$B$3),"Yes",IF(AND(A37=MAIN!$B$3,E37&lt;=MAIN!$L$3),"Yes","No")),IF(OR(MAIN!$F$3="Full Year",MAIN!$D$3="All"),"Yes",IF(MAIN!$F$3="Monthly",IF(E37=MAIN!$L$3,"Yes","No"),IF(E37&lt;=MAIN!$L$3,"Yes","No"))))</f>
        <v>Yes</v>
      </c>
      <c r="AA37" t="str">
        <f t="shared" si="5"/>
        <v>Yes</v>
      </c>
    </row>
    <row r="38" spans="1:27" x14ac:dyDescent="0.3">
      <c r="A38">
        <f>INDEX(SETTINGS!$A$15:$A$24,$B38)</f>
        <v>2025</v>
      </c>
      <c r="B38">
        <v>1</v>
      </c>
      <c r="C38" t="str">
        <f>IF(AND(A38&gt;=SETTINGS!$B$4,A38&lt;=SETTINGS!$B$5),"Yes","No")</f>
        <v>Yes</v>
      </c>
      <c r="D38" t="str">
        <f>IFERROR(INDEX(SETTINGS!$C$15:$C$24,MATCH(A38,SETTINGS!$A$15:$A$24,0)),"No")</f>
        <v>Yes</v>
      </c>
      <c r="E38">
        <v>2</v>
      </c>
      <c r="F38" t="s">
        <v>35</v>
      </c>
      <c r="G38">
        <v>53</v>
      </c>
      <c r="H38" t="s">
        <v>111</v>
      </c>
      <c r="I38" t="s">
        <v>30</v>
      </c>
      <c r="J38" t="s">
        <v>32</v>
      </c>
      <c r="K38" t="s">
        <v>3</v>
      </c>
      <c r="L38" s="36">
        <f ca="1">IF(C38&lt;&gt;"Yes",0,IF(A38=2025,N('2025'!D53),IF(A38=2026,N('2026'!D53),IF(A38=2027,N('2027'!D53),IF(A38=2028,N('2028'!D53),IF(A38=2029,N('2029'!D53),IF(A38=2030,N('2030'!D53),IF(A38=2031,N('2031'!D53),IF(A38=2032,N('2032'!D53),IF(A38=2033,N('2033'!D53),IF(A38=2034,N('2034'!D53),IFERROR(N(INDIRECT("'"&amp;A38&amp;"'!D"&amp;G38)),0))))))))))))</f>
        <v>0</v>
      </c>
      <c r="M38" s="36">
        <f>IFERROR(IF(NOT(ISBLANK(KPI_TARGETS!$G$22)),KPI_TARGETS!$G$22,IF(NOT(ISBLANK(KPI_TARGETS!$F$22)),KPI_TARGETS!$F$22,"")),"")</f>
        <v>1</v>
      </c>
      <c r="N38" s="36" t="str">
        <f>IFERROR(KPI_TARGETS!$E$22,"Higher is better")</f>
        <v>Higher is better</v>
      </c>
      <c r="O38" s="37">
        <f t="shared" ca="1" si="0"/>
        <v>0</v>
      </c>
      <c r="P38" t="str">
        <f t="shared" ca="1" si="1"/>
        <v>Red</v>
      </c>
      <c r="Q38" s="36">
        <f t="shared" ca="1" si="2"/>
        <v>-1</v>
      </c>
      <c r="R38" s="36" t="str">
        <f>""</f>
        <v/>
      </c>
      <c r="S38" s="36" t="str">
        <f>""</f>
        <v/>
      </c>
      <c r="T38" s="36" t="str">
        <f>""</f>
        <v/>
      </c>
      <c r="U38" s="36" t="str">
        <f>""</f>
        <v/>
      </c>
      <c r="V38" s="36" t="str">
        <f>""</f>
        <v/>
      </c>
      <c r="W38" s="36">
        <f t="shared" si="3"/>
        <v>1</v>
      </c>
      <c r="X38" t="str">
        <f t="shared" si="4"/>
        <v>OK</v>
      </c>
      <c r="Y38" t="str">
        <f>IF(MAIN!$H$3="Selected Year",IF(A38=MAIN!$B$3,"Yes","No"),IF(MAIN!$H$3="Included Years",IF(D38="Yes","Yes","No"),IF(C38="Yes","Yes","No")))</f>
        <v>Yes</v>
      </c>
      <c r="Z38" t="str">
        <f>IF(MAIN!$F$3="Project to Date",IF(AND(A38&gt;=SETTINGS!$B$4,A38&lt;MAIN!$B$3),"Yes",IF(AND(A38=MAIN!$B$3,E38&lt;=MAIN!$L$3),"Yes","No")),IF(OR(MAIN!$F$3="Full Year",MAIN!$D$3="All"),"Yes",IF(MAIN!$F$3="Monthly",IF(E38=MAIN!$L$3,"Yes","No"),IF(E38&lt;=MAIN!$L$3,"Yes","No"))))</f>
        <v>Yes</v>
      </c>
      <c r="AA38" t="str">
        <f t="shared" si="5"/>
        <v>Yes</v>
      </c>
    </row>
    <row r="39" spans="1:27" x14ac:dyDescent="0.3">
      <c r="A39">
        <f>INDEX(SETTINGS!$A$15:$A$24,$B39)</f>
        <v>2025</v>
      </c>
      <c r="B39">
        <v>1</v>
      </c>
      <c r="C39" t="str">
        <f>IF(AND(A39&gt;=SETTINGS!$B$4,A39&lt;=SETTINGS!$B$5),"Yes","No")</f>
        <v>Yes</v>
      </c>
      <c r="D39" t="str">
        <f>IFERROR(INDEX(SETTINGS!$C$15:$C$24,MATCH(A39,SETTINGS!$A$15:$A$24,0)),"No")</f>
        <v>Yes</v>
      </c>
      <c r="E39">
        <v>2</v>
      </c>
      <c r="F39" t="s">
        <v>35</v>
      </c>
      <c r="G39">
        <v>54</v>
      </c>
      <c r="H39" t="s">
        <v>112</v>
      </c>
      <c r="I39" t="s">
        <v>30</v>
      </c>
      <c r="J39" t="s">
        <v>33</v>
      </c>
      <c r="K39" t="s">
        <v>34</v>
      </c>
      <c r="L39" s="36">
        <f ca="1">IF(C39&lt;&gt;"Yes",0,IF(A39=2025,N('2025'!D54),IF(A39=2026,N('2026'!D54),IF(A39=2027,N('2027'!D54),IF(A39=2028,N('2028'!D54),IF(A39=2029,N('2029'!D54),IF(A39=2030,N('2030'!D54),IF(A39=2031,N('2031'!D54),IF(A39=2032,N('2032'!D54),IF(A39=2033,N('2033'!D54),IF(A39=2034,N('2034'!D54),IFERROR(N(INDIRECT("'"&amp;A39&amp;"'!D"&amp;G39)),0))))))))))))</f>
        <v>0</v>
      </c>
      <c r="M39" s="36">
        <f>IFERROR(IF(NOT(ISBLANK(KPI_TARGETS!$G$23)),KPI_TARGETS!$G$23,IF(NOT(ISBLANK(KPI_TARGETS!$F$23)),KPI_TARGETS!$F$23,"")),"")</f>
        <v>1</v>
      </c>
      <c r="N39" s="36" t="str">
        <f>IFERROR(KPI_TARGETS!$E$23,"Higher is better")</f>
        <v>Higher is better</v>
      </c>
      <c r="O39" s="37">
        <f t="shared" ca="1" si="0"/>
        <v>0</v>
      </c>
      <c r="P39" t="str">
        <f t="shared" ca="1" si="1"/>
        <v>Red</v>
      </c>
      <c r="Q39" s="36">
        <f t="shared" ca="1" si="2"/>
        <v>-1</v>
      </c>
      <c r="R39" s="36" t="str">
        <f>""</f>
        <v/>
      </c>
      <c r="S39" s="36" t="str">
        <f>""</f>
        <v/>
      </c>
      <c r="T39" s="36" t="str">
        <f>""</f>
        <v/>
      </c>
      <c r="U39" s="36" t="str">
        <f>""</f>
        <v/>
      </c>
      <c r="V39" s="36" t="str">
        <f>""</f>
        <v/>
      </c>
      <c r="W39" s="36">
        <f t="shared" si="3"/>
        <v>1</v>
      </c>
      <c r="X39" t="str">
        <f t="shared" si="4"/>
        <v>OK</v>
      </c>
      <c r="Y39" t="str">
        <f>IF(MAIN!$H$3="Selected Year",IF(A39=MAIN!$B$3,"Yes","No"),IF(MAIN!$H$3="Included Years",IF(D39="Yes","Yes","No"),IF(C39="Yes","Yes","No")))</f>
        <v>Yes</v>
      </c>
      <c r="Z39" t="str">
        <f>IF(MAIN!$F$3="Project to Date",IF(AND(A39&gt;=SETTINGS!$B$4,A39&lt;MAIN!$B$3),"Yes",IF(AND(A39=MAIN!$B$3,E39&lt;=MAIN!$L$3),"Yes","No")),IF(OR(MAIN!$F$3="Full Year",MAIN!$D$3="All"),"Yes",IF(MAIN!$F$3="Monthly",IF(E39=MAIN!$L$3,"Yes","No"),IF(E39&lt;=MAIN!$L$3,"Yes","No"))))</f>
        <v>Yes</v>
      </c>
      <c r="AA39" t="str">
        <f t="shared" si="5"/>
        <v>Yes</v>
      </c>
    </row>
    <row r="40" spans="1:27" x14ac:dyDescent="0.3">
      <c r="A40">
        <f>INDEX(SETTINGS!$A$15:$A$24,$B40)</f>
        <v>2025</v>
      </c>
      <c r="B40">
        <v>1</v>
      </c>
      <c r="C40" t="str">
        <f>IF(AND(A40&gt;=SETTINGS!$B$4,A40&lt;=SETTINGS!$B$5),"Yes","No")</f>
        <v>Yes</v>
      </c>
      <c r="D40" t="str">
        <f>IFERROR(INDEX(SETTINGS!$C$15:$C$24,MATCH(A40,SETTINGS!$A$15:$A$24,0)),"No")</f>
        <v>Yes</v>
      </c>
      <c r="E40">
        <v>3</v>
      </c>
      <c r="F40" t="s">
        <v>36</v>
      </c>
      <c r="G40">
        <v>57</v>
      </c>
      <c r="H40" t="s">
        <v>88</v>
      </c>
      <c r="I40" t="s">
        <v>89</v>
      </c>
      <c r="J40" t="s">
        <v>10</v>
      </c>
      <c r="K40" t="s">
        <v>3</v>
      </c>
      <c r="L40" s="36">
        <f ca="1">IF(C40&lt;&gt;"Yes",0,IF(A40=2025,N('2025'!D57),IF(A40=2026,N('2026'!D57),IF(A40=2027,N('2027'!D57),IF(A40=2028,N('2028'!D57),IF(A40=2029,N('2029'!D57),IF(A40=2030,N('2030'!D57),IF(A40=2031,N('2031'!D57),IF(A40=2032,N('2032'!D57),IF(A40=2033,N('2033'!D57),IF(A40=2034,N('2034'!D57),IFERROR(N(INDIRECT("'"&amp;A40&amp;"'!D"&amp;G40)),0))))))))))))</f>
        <v>0</v>
      </c>
      <c r="M40" s="36">
        <f>IFERROR(IF(NOT(ISBLANK(KPI_TARGETS!$G$5)),KPI_TARGETS!$G$5,IF(NOT(ISBLANK(KPI_TARGETS!$F$5)),KPI_TARGETS!$F$5,"")),"")</f>
        <v>104</v>
      </c>
      <c r="N40" s="36" t="str">
        <f>IFERROR(KPI_TARGETS!$E$5,"Higher is better")</f>
        <v>Higher is better</v>
      </c>
      <c r="O40" s="37">
        <f t="shared" ca="1" si="0"/>
        <v>0</v>
      </c>
      <c r="P40" t="str">
        <f t="shared" ca="1" si="1"/>
        <v>Red</v>
      </c>
      <c r="Q40" s="36">
        <f t="shared" ca="1" si="2"/>
        <v>-104</v>
      </c>
      <c r="R40" s="36" t="str">
        <f>""</f>
        <v/>
      </c>
      <c r="S40" s="36" t="str">
        <f>""</f>
        <v/>
      </c>
      <c r="T40" s="36" t="str">
        <f>""</f>
        <v/>
      </c>
      <c r="U40" s="36" t="str">
        <f>""</f>
        <v/>
      </c>
      <c r="V40" s="36" t="str">
        <f>""</f>
        <v/>
      </c>
      <c r="W40" s="36">
        <f t="shared" si="3"/>
        <v>1</v>
      </c>
      <c r="X40" t="str">
        <f t="shared" si="4"/>
        <v>OK</v>
      </c>
      <c r="Y40" t="str">
        <f>IF(MAIN!$H$3="Selected Year",IF(A40=MAIN!$B$3,"Yes","No"),IF(MAIN!$H$3="Included Years",IF(D40="Yes","Yes","No"),IF(C40="Yes","Yes","No")))</f>
        <v>Yes</v>
      </c>
      <c r="Z40" t="str">
        <f>IF(MAIN!$F$3="Project to Date",IF(AND(A40&gt;=SETTINGS!$B$4,A40&lt;MAIN!$B$3),"Yes",IF(AND(A40=MAIN!$B$3,E40&lt;=MAIN!$L$3),"Yes","No")),IF(OR(MAIN!$F$3="Full Year",MAIN!$D$3="All"),"Yes",IF(MAIN!$F$3="Monthly",IF(E40=MAIN!$L$3,"Yes","No"),IF(E40&lt;=MAIN!$L$3,"Yes","No"))))</f>
        <v>Yes</v>
      </c>
      <c r="AA40" t="str">
        <f t="shared" si="5"/>
        <v>Yes</v>
      </c>
    </row>
    <row r="41" spans="1:27" x14ac:dyDescent="0.3">
      <c r="A41">
        <f>INDEX(SETTINGS!$A$15:$A$24,$B41)</f>
        <v>2025</v>
      </c>
      <c r="B41">
        <v>1</v>
      </c>
      <c r="C41" t="str">
        <f>IF(AND(A41&gt;=SETTINGS!$B$4,A41&lt;=SETTINGS!$B$5),"Yes","No")</f>
        <v>Yes</v>
      </c>
      <c r="D41" t="str">
        <f>IFERROR(INDEX(SETTINGS!$C$15:$C$24,MATCH(A41,SETTINGS!$A$15:$A$24,0)),"No")</f>
        <v>Yes</v>
      </c>
      <c r="E41">
        <v>3</v>
      </c>
      <c r="F41" t="s">
        <v>36</v>
      </c>
      <c r="G41">
        <v>58</v>
      </c>
      <c r="H41" t="s">
        <v>91</v>
      </c>
      <c r="I41" t="s">
        <v>89</v>
      </c>
      <c r="J41" t="s">
        <v>11</v>
      </c>
      <c r="K41" t="s">
        <v>12</v>
      </c>
      <c r="L41" s="36">
        <f ca="1">IF(C41&lt;&gt;"Yes",0,IF(A41=2025,N('2025'!D58),IF(A41=2026,N('2026'!D58),IF(A41=2027,N('2027'!D58),IF(A41=2028,N('2028'!D58),IF(A41=2029,N('2029'!D58),IF(A41=2030,N('2030'!D58),IF(A41=2031,N('2031'!D58),IF(A41=2032,N('2032'!D58),IF(A41=2033,N('2033'!D58),IF(A41=2034,N('2034'!D58),IFERROR(N(INDIRECT("'"&amp;A41&amp;"'!D"&amp;G41)),0))))))))))))</f>
        <v>0</v>
      </c>
      <c r="M41" s="36">
        <f>IFERROR(IF(NOT(ISBLANK(KPI_TARGETS!$G$6)),KPI_TARGETS!$G$6,IF(NOT(ISBLANK(KPI_TARGETS!$F$6)),KPI_TARGETS!$F$6,"")),"")</f>
        <v>4000</v>
      </c>
      <c r="N41" s="36" t="str">
        <f>IFERROR(KPI_TARGETS!$E$6,"Higher is better")</f>
        <v>Higher is better</v>
      </c>
      <c r="O41" s="37">
        <f t="shared" ca="1" si="0"/>
        <v>0</v>
      </c>
      <c r="P41" t="str">
        <f t="shared" ca="1" si="1"/>
        <v>Red</v>
      </c>
      <c r="Q41" s="36">
        <f t="shared" ca="1" si="2"/>
        <v>-4000</v>
      </c>
      <c r="R41" s="36" t="str">
        <f>""</f>
        <v/>
      </c>
      <c r="S41" s="36" t="str">
        <f>""</f>
        <v/>
      </c>
      <c r="T41" s="36" t="str">
        <f>""</f>
        <v/>
      </c>
      <c r="U41" s="36" t="str">
        <f>""</f>
        <v/>
      </c>
      <c r="V41" s="36" t="str">
        <f>""</f>
        <v/>
      </c>
      <c r="W41" s="36">
        <f t="shared" si="3"/>
        <v>1</v>
      </c>
      <c r="X41" t="str">
        <f t="shared" si="4"/>
        <v>OK</v>
      </c>
      <c r="Y41" t="str">
        <f>IF(MAIN!$H$3="Selected Year",IF(A41=MAIN!$B$3,"Yes","No"),IF(MAIN!$H$3="Included Years",IF(D41="Yes","Yes","No"),IF(C41="Yes","Yes","No")))</f>
        <v>Yes</v>
      </c>
      <c r="Z41" t="str">
        <f>IF(MAIN!$F$3="Project to Date",IF(AND(A41&gt;=SETTINGS!$B$4,A41&lt;MAIN!$B$3),"Yes",IF(AND(A41=MAIN!$B$3,E41&lt;=MAIN!$L$3),"Yes","No")),IF(OR(MAIN!$F$3="Full Year",MAIN!$D$3="All"),"Yes",IF(MAIN!$F$3="Monthly",IF(E41=MAIN!$L$3,"Yes","No"),IF(E41&lt;=MAIN!$L$3,"Yes","No"))))</f>
        <v>Yes</v>
      </c>
      <c r="AA41" t="str">
        <f t="shared" si="5"/>
        <v>Yes</v>
      </c>
    </row>
    <row r="42" spans="1:27" x14ac:dyDescent="0.3">
      <c r="A42">
        <f>INDEX(SETTINGS!$A$15:$A$24,$B42)</f>
        <v>2025</v>
      </c>
      <c r="B42">
        <v>1</v>
      </c>
      <c r="C42" t="str">
        <f>IF(AND(A42&gt;=SETTINGS!$B$4,A42&lt;=SETTINGS!$B$5),"Yes","No")</f>
        <v>Yes</v>
      </c>
      <c r="D42" t="str">
        <f>IFERROR(INDEX(SETTINGS!$C$15:$C$24,MATCH(A42,SETTINGS!$A$15:$A$24,0)),"No")</f>
        <v>Yes</v>
      </c>
      <c r="E42">
        <v>3</v>
      </c>
      <c r="F42" t="s">
        <v>36</v>
      </c>
      <c r="G42">
        <v>59</v>
      </c>
      <c r="H42" t="s">
        <v>93</v>
      </c>
      <c r="I42" t="s">
        <v>89</v>
      </c>
      <c r="J42" t="s">
        <v>13</v>
      </c>
      <c r="K42" t="s">
        <v>14</v>
      </c>
      <c r="L42" s="36">
        <f ca="1">IF(C42&lt;&gt;"Yes",0,IF(A42=2025,N('2025'!D59),IF(A42=2026,N('2026'!D59),IF(A42=2027,N('2027'!D59),IF(A42=2028,N('2028'!D59),IF(A42=2029,N('2029'!D59),IF(A42=2030,N('2030'!D59),IF(A42=2031,N('2031'!D59),IF(A42=2032,N('2032'!D59),IF(A42=2033,N('2033'!D59),IF(A42=2034,N('2034'!D59),IFERROR(N(INDIRECT("'"&amp;A42&amp;"'!D"&amp;G42)),0))))))))))))</f>
        <v>0</v>
      </c>
      <c r="M42" s="36">
        <f>IFERROR(IF(NOT(ISBLANK(KPI_TARGETS!$G$7)),KPI_TARGETS!$G$7,IF(NOT(ISBLANK(KPI_TARGETS!$F$7)),KPI_TARGETS!$F$7,"")),"")</f>
        <v>8000</v>
      </c>
      <c r="N42" s="36" t="str">
        <f>IFERROR(KPI_TARGETS!$E$7,"Higher is better")</f>
        <v>Higher is better</v>
      </c>
      <c r="O42" s="37">
        <f t="shared" ca="1" si="0"/>
        <v>0</v>
      </c>
      <c r="P42" t="str">
        <f t="shared" ca="1" si="1"/>
        <v>Red</v>
      </c>
      <c r="Q42" s="36">
        <f t="shared" ca="1" si="2"/>
        <v>-8000</v>
      </c>
      <c r="R42" s="36" t="str">
        <f>""</f>
        <v/>
      </c>
      <c r="S42" s="36" t="str">
        <f>""</f>
        <v/>
      </c>
      <c r="T42" s="36" t="str">
        <f>""</f>
        <v/>
      </c>
      <c r="U42" s="36" t="str">
        <f>""</f>
        <v/>
      </c>
      <c r="V42" s="36" t="str">
        <f>""</f>
        <v/>
      </c>
      <c r="W42" s="36">
        <f t="shared" si="3"/>
        <v>1</v>
      </c>
      <c r="X42" t="str">
        <f t="shared" si="4"/>
        <v>OK</v>
      </c>
      <c r="Y42" t="str">
        <f>IF(MAIN!$H$3="Selected Year",IF(A42=MAIN!$B$3,"Yes","No"),IF(MAIN!$H$3="Included Years",IF(D42="Yes","Yes","No"),IF(C42="Yes","Yes","No")))</f>
        <v>Yes</v>
      </c>
      <c r="Z42" t="str">
        <f>IF(MAIN!$F$3="Project to Date",IF(AND(A42&gt;=SETTINGS!$B$4,A42&lt;MAIN!$B$3),"Yes",IF(AND(A42=MAIN!$B$3,E42&lt;=MAIN!$L$3),"Yes","No")),IF(OR(MAIN!$F$3="Full Year",MAIN!$D$3="All"),"Yes",IF(MAIN!$F$3="Monthly",IF(E42=MAIN!$L$3,"Yes","No"),IF(E42&lt;=MAIN!$L$3,"Yes","No"))))</f>
        <v>Yes</v>
      </c>
      <c r="AA42" t="str">
        <f t="shared" si="5"/>
        <v>Yes</v>
      </c>
    </row>
    <row r="43" spans="1:27" x14ac:dyDescent="0.3">
      <c r="A43">
        <f>INDEX(SETTINGS!$A$15:$A$24,$B43)</f>
        <v>2025</v>
      </c>
      <c r="B43">
        <v>1</v>
      </c>
      <c r="C43" t="str">
        <f>IF(AND(A43&gt;=SETTINGS!$B$4,A43&lt;=SETTINGS!$B$5),"Yes","No")</f>
        <v>Yes</v>
      </c>
      <c r="D43" t="str">
        <f>IFERROR(INDEX(SETTINGS!$C$15:$C$24,MATCH(A43,SETTINGS!$A$15:$A$24,0)),"No")</f>
        <v>Yes</v>
      </c>
      <c r="E43">
        <v>3</v>
      </c>
      <c r="F43" t="s">
        <v>36</v>
      </c>
      <c r="G43">
        <v>61</v>
      </c>
      <c r="H43" t="s">
        <v>95</v>
      </c>
      <c r="I43" t="s">
        <v>15</v>
      </c>
      <c r="J43" t="s">
        <v>16</v>
      </c>
      <c r="K43" t="s">
        <v>3</v>
      </c>
      <c r="L43" s="36">
        <f ca="1">IF(C43&lt;&gt;"Yes",0,IF(A43=2025,N('2025'!D61),IF(A43=2026,N('2026'!D61),IF(A43=2027,N('2027'!D61),IF(A43=2028,N('2028'!D61),IF(A43=2029,N('2029'!D61),IF(A43=2030,N('2030'!D61),IF(A43=2031,N('2031'!D61),IF(A43=2032,N('2032'!D61),IF(A43=2033,N('2033'!D61),IF(A43=2034,N('2034'!D61),IFERROR(N(INDIRECT("'"&amp;A43&amp;"'!D"&amp;G43)),0))))))))))))</f>
        <v>0</v>
      </c>
      <c r="M43" s="36">
        <f>IFERROR(IF(NOT(ISBLANK(KPI_TARGETS!$G$8)),KPI_TARGETS!$G$8,IF(NOT(ISBLANK(KPI_TARGETS!$F$8)),KPI_TARGETS!$F$8,"")),"")</f>
        <v>0</v>
      </c>
      <c r="N43" s="36" t="str">
        <f>IFERROR(KPI_TARGETS!$E$8,"Higher is better")</f>
        <v>Lower is better</v>
      </c>
      <c r="O43" s="37">
        <f t="shared" ca="1" si="0"/>
        <v>1</v>
      </c>
      <c r="P43" t="str">
        <f t="shared" ca="1" si="1"/>
        <v>Green</v>
      </c>
      <c r="Q43" s="36">
        <f t="shared" ca="1" si="2"/>
        <v>0</v>
      </c>
      <c r="R43" s="36" t="str">
        <f>""</f>
        <v/>
      </c>
      <c r="S43" s="36" t="str">
        <f>""</f>
        <v/>
      </c>
      <c r="T43" s="36" t="str">
        <f>""</f>
        <v/>
      </c>
      <c r="U43" s="36" t="str">
        <f>""</f>
        <v/>
      </c>
      <c r="V43" s="36" t="str">
        <f>""</f>
        <v/>
      </c>
      <c r="W43" s="36">
        <f t="shared" si="3"/>
        <v>1</v>
      </c>
      <c r="X43" t="str">
        <f t="shared" si="4"/>
        <v>OK</v>
      </c>
      <c r="Y43" t="str">
        <f>IF(MAIN!$H$3="Selected Year",IF(A43=MAIN!$B$3,"Yes","No"),IF(MAIN!$H$3="Included Years",IF(D43="Yes","Yes","No"),IF(C43="Yes","Yes","No")))</f>
        <v>Yes</v>
      </c>
      <c r="Z43" t="str">
        <f>IF(MAIN!$F$3="Project to Date",IF(AND(A43&gt;=SETTINGS!$B$4,A43&lt;MAIN!$B$3),"Yes",IF(AND(A43=MAIN!$B$3,E43&lt;=MAIN!$L$3),"Yes","No")),IF(OR(MAIN!$F$3="Full Year",MAIN!$D$3="All"),"Yes",IF(MAIN!$F$3="Monthly",IF(E43=MAIN!$L$3,"Yes","No"),IF(E43&lt;=MAIN!$L$3,"Yes","No"))))</f>
        <v>Yes</v>
      </c>
      <c r="AA43" t="str">
        <f t="shared" si="5"/>
        <v>Yes</v>
      </c>
    </row>
    <row r="44" spans="1:27" x14ac:dyDescent="0.3">
      <c r="A44">
        <f>INDEX(SETTINGS!$A$15:$A$24,$B44)</f>
        <v>2025</v>
      </c>
      <c r="B44">
        <v>1</v>
      </c>
      <c r="C44" t="str">
        <f>IF(AND(A44&gt;=SETTINGS!$B$4,A44&lt;=SETTINGS!$B$5),"Yes","No")</f>
        <v>Yes</v>
      </c>
      <c r="D44" t="str">
        <f>IFERROR(INDEX(SETTINGS!$C$15:$C$24,MATCH(A44,SETTINGS!$A$15:$A$24,0)),"No")</f>
        <v>Yes</v>
      </c>
      <c r="E44">
        <v>3</v>
      </c>
      <c r="F44" t="s">
        <v>36</v>
      </c>
      <c r="G44">
        <v>62</v>
      </c>
      <c r="H44" t="s">
        <v>97</v>
      </c>
      <c r="I44" t="s">
        <v>15</v>
      </c>
      <c r="J44" t="s">
        <v>17</v>
      </c>
      <c r="K44" t="s">
        <v>3</v>
      </c>
      <c r="L44" s="36">
        <f ca="1">IF(C44&lt;&gt;"Yes",0,IF(A44=2025,N('2025'!D62),IF(A44=2026,N('2026'!D62),IF(A44=2027,N('2027'!D62),IF(A44=2028,N('2028'!D62),IF(A44=2029,N('2029'!D62),IF(A44=2030,N('2030'!D62),IF(A44=2031,N('2031'!D62),IF(A44=2032,N('2032'!D62),IF(A44=2033,N('2033'!D62),IF(A44=2034,N('2034'!D62),IFERROR(N(INDIRECT("'"&amp;A44&amp;"'!D"&amp;G44)),0))))))))))))</f>
        <v>0</v>
      </c>
      <c r="M44" s="36">
        <f>IFERROR(IF(NOT(ISBLANK(KPI_TARGETS!$G$9)),KPI_TARGETS!$G$9,IF(NOT(ISBLANK(KPI_TARGETS!$F$9)),KPI_TARGETS!$F$9,"")),"")</f>
        <v>0</v>
      </c>
      <c r="N44" s="36" t="str">
        <f>IFERROR(KPI_TARGETS!$E$9,"Higher is better")</f>
        <v>Higher is better</v>
      </c>
      <c r="O44" s="37" t="str">
        <f t="shared" ca="1" si="0"/>
        <v/>
      </c>
      <c r="P44" t="str">
        <f t="shared" ca="1" si="1"/>
        <v>Green</v>
      </c>
      <c r="Q44" s="36">
        <f t="shared" ca="1" si="2"/>
        <v>0</v>
      </c>
      <c r="R44" s="36" t="str">
        <f>""</f>
        <v/>
      </c>
      <c r="S44" s="36" t="str">
        <f>""</f>
        <v/>
      </c>
      <c r="T44" s="36" t="str">
        <f>""</f>
        <v/>
      </c>
      <c r="U44" s="36" t="str">
        <f>""</f>
        <v/>
      </c>
      <c r="V44" s="36" t="str">
        <f>""</f>
        <v/>
      </c>
      <c r="W44" s="36">
        <f t="shared" si="3"/>
        <v>1</v>
      </c>
      <c r="X44" t="str">
        <f t="shared" si="4"/>
        <v>OK</v>
      </c>
      <c r="Y44" t="str">
        <f>IF(MAIN!$H$3="Selected Year",IF(A44=MAIN!$B$3,"Yes","No"),IF(MAIN!$H$3="Included Years",IF(D44="Yes","Yes","No"),IF(C44="Yes","Yes","No")))</f>
        <v>Yes</v>
      </c>
      <c r="Z44" t="str">
        <f>IF(MAIN!$F$3="Project to Date",IF(AND(A44&gt;=SETTINGS!$B$4,A44&lt;MAIN!$B$3),"Yes",IF(AND(A44=MAIN!$B$3,E44&lt;=MAIN!$L$3),"Yes","No")),IF(OR(MAIN!$F$3="Full Year",MAIN!$D$3="All"),"Yes",IF(MAIN!$F$3="Monthly",IF(E44=MAIN!$L$3,"Yes","No"),IF(E44&lt;=MAIN!$L$3,"Yes","No"))))</f>
        <v>Yes</v>
      </c>
      <c r="AA44" t="str">
        <f t="shared" si="5"/>
        <v>Yes</v>
      </c>
    </row>
    <row r="45" spans="1:27" x14ac:dyDescent="0.3">
      <c r="A45">
        <f>INDEX(SETTINGS!$A$15:$A$24,$B45)</f>
        <v>2025</v>
      </c>
      <c r="B45">
        <v>1</v>
      </c>
      <c r="C45" t="str">
        <f>IF(AND(A45&gt;=SETTINGS!$B$4,A45&lt;=SETTINGS!$B$5),"Yes","No")</f>
        <v>Yes</v>
      </c>
      <c r="D45" t="str">
        <f>IFERROR(INDEX(SETTINGS!$C$15:$C$24,MATCH(A45,SETTINGS!$A$15:$A$24,0)),"No")</f>
        <v>Yes</v>
      </c>
      <c r="E45">
        <v>3</v>
      </c>
      <c r="F45" t="s">
        <v>36</v>
      </c>
      <c r="G45">
        <v>63</v>
      </c>
      <c r="H45" t="s">
        <v>99</v>
      </c>
      <c r="I45" t="s">
        <v>15</v>
      </c>
      <c r="J45" t="s">
        <v>18</v>
      </c>
      <c r="K45" t="s">
        <v>3</v>
      </c>
      <c r="L45" s="36">
        <f ca="1">IF(C45&lt;&gt;"Yes",0,IF(A45=2025,N('2025'!D63),IF(A45=2026,N('2026'!D63),IF(A45=2027,N('2027'!D63),IF(A45=2028,N('2028'!D63),IF(A45=2029,N('2029'!D63),IF(A45=2030,N('2030'!D63),IF(A45=2031,N('2031'!D63),IF(A45=2032,N('2032'!D63),IF(A45=2033,N('2033'!D63),IF(A45=2034,N('2034'!D63),IFERROR(N(INDIRECT("'"&amp;A45&amp;"'!D"&amp;G45)),0))))))))))))</f>
        <v>0</v>
      </c>
      <c r="M45" s="36">
        <f>IFERROR(IF(NOT(ISBLANK(KPI_TARGETS!$G$10)),KPI_TARGETS!$G$10,IF(NOT(ISBLANK(KPI_TARGETS!$F$10)),KPI_TARGETS!$F$10,"")),"")</f>
        <v>0</v>
      </c>
      <c r="N45" s="36" t="str">
        <f>IFERROR(KPI_TARGETS!$E$10,"Higher is better")</f>
        <v>Lower is better</v>
      </c>
      <c r="O45" s="37">
        <f t="shared" ca="1" si="0"/>
        <v>1</v>
      </c>
      <c r="P45" t="str">
        <f t="shared" ca="1" si="1"/>
        <v>Green</v>
      </c>
      <c r="Q45" s="36">
        <f t="shared" ca="1" si="2"/>
        <v>0</v>
      </c>
      <c r="R45" s="36" t="str">
        <f>""</f>
        <v/>
      </c>
      <c r="S45" s="36" t="str">
        <f>""</f>
        <v/>
      </c>
      <c r="T45" s="36" t="str">
        <f>""</f>
        <v/>
      </c>
      <c r="U45" s="36" t="str">
        <f>""</f>
        <v/>
      </c>
      <c r="V45" s="36" t="str">
        <f>""</f>
        <v/>
      </c>
      <c r="W45" s="36">
        <f t="shared" si="3"/>
        <v>1</v>
      </c>
      <c r="X45" t="str">
        <f t="shared" si="4"/>
        <v>OK</v>
      </c>
      <c r="Y45" t="str">
        <f>IF(MAIN!$H$3="Selected Year",IF(A45=MAIN!$B$3,"Yes","No"),IF(MAIN!$H$3="Included Years",IF(D45="Yes","Yes","No"),IF(C45="Yes","Yes","No")))</f>
        <v>Yes</v>
      </c>
      <c r="Z45" t="str">
        <f>IF(MAIN!$F$3="Project to Date",IF(AND(A45&gt;=SETTINGS!$B$4,A45&lt;MAIN!$B$3),"Yes",IF(AND(A45=MAIN!$B$3,E45&lt;=MAIN!$L$3),"Yes","No")),IF(OR(MAIN!$F$3="Full Year",MAIN!$D$3="All"),"Yes",IF(MAIN!$F$3="Monthly",IF(E45=MAIN!$L$3,"Yes","No"),IF(E45&lt;=MAIN!$L$3,"Yes","No"))))</f>
        <v>Yes</v>
      </c>
      <c r="AA45" t="str">
        <f t="shared" si="5"/>
        <v>Yes</v>
      </c>
    </row>
    <row r="46" spans="1:27" x14ac:dyDescent="0.3">
      <c r="A46">
        <f>INDEX(SETTINGS!$A$15:$A$24,$B46)</f>
        <v>2025</v>
      </c>
      <c r="B46">
        <v>1</v>
      </c>
      <c r="C46" t="str">
        <f>IF(AND(A46&gt;=SETTINGS!$B$4,A46&lt;=SETTINGS!$B$5),"Yes","No")</f>
        <v>Yes</v>
      </c>
      <c r="D46" t="str">
        <f>IFERROR(INDEX(SETTINGS!$C$15:$C$24,MATCH(A46,SETTINGS!$A$15:$A$24,0)),"No")</f>
        <v>Yes</v>
      </c>
      <c r="E46">
        <v>3</v>
      </c>
      <c r="F46" t="s">
        <v>36</v>
      </c>
      <c r="G46">
        <v>64</v>
      </c>
      <c r="H46" t="s">
        <v>100</v>
      </c>
      <c r="I46" t="s">
        <v>15</v>
      </c>
      <c r="J46" t="s">
        <v>19</v>
      </c>
      <c r="K46" t="s">
        <v>3</v>
      </c>
      <c r="L46" s="36">
        <f ca="1">IF(C46&lt;&gt;"Yes",0,IF(A46=2025,N('2025'!D64),IF(A46=2026,N('2026'!D64),IF(A46=2027,N('2027'!D64),IF(A46=2028,N('2028'!D64),IF(A46=2029,N('2029'!D64),IF(A46=2030,N('2030'!D64),IF(A46=2031,N('2031'!D64),IF(A46=2032,N('2032'!D64),IF(A46=2033,N('2033'!D64),IF(A46=2034,N('2034'!D64),IFERROR(N(INDIRECT("'"&amp;A46&amp;"'!D"&amp;G46)),0))))))))))))</f>
        <v>0</v>
      </c>
      <c r="M46" s="36">
        <f>IFERROR(IF(NOT(ISBLANK(KPI_TARGETS!$G$11)),KPI_TARGETS!$G$11,IF(NOT(ISBLANK(KPI_TARGETS!$F$11)),KPI_TARGETS!$F$11,"")),"")</f>
        <v>0</v>
      </c>
      <c r="N46" s="36" t="str">
        <f>IFERROR(KPI_TARGETS!$E$11,"Higher is better")</f>
        <v>Lower is better</v>
      </c>
      <c r="O46" s="37">
        <f t="shared" ca="1" si="0"/>
        <v>1</v>
      </c>
      <c r="P46" t="str">
        <f t="shared" ca="1" si="1"/>
        <v>Green</v>
      </c>
      <c r="Q46" s="36">
        <f t="shared" ca="1" si="2"/>
        <v>0</v>
      </c>
      <c r="R46" s="36" t="str">
        <f>""</f>
        <v/>
      </c>
      <c r="S46" s="36" t="str">
        <f>""</f>
        <v/>
      </c>
      <c r="T46" s="36" t="str">
        <f>""</f>
        <v/>
      </c>
      <c r="U46" s="36" t="str">
        <f>""</f>
        <v/>
      </c>
      <c r="V46" s="36" t="str">
        <f>""</f>
        <v/>
      </c>
      <c r="W46" s="36">
        <f t="shared" si="3"/>
        <v>1</v>
      </c>
      <c r="X46" t="str">
        <f t="shared" si="4"/>
        <v>OK</v>
      </c>
      <c r="Y46" t="str">
        <f>IF(MAIN!$H$3="Selected Year",IF(A46=MAIN!$B$3,"Yes","No"),IF(MAIN!$H$3="Included Years",IF(D46="Yes","Yes","No"),IF(C46="Yes","Yes","No")))</f>
        <v>Yes</v>
      </c>
      <c r="Z46" t="str">
        <f>IF(MAIN!$F$3="Project to Date",IF(AND(A46&gt;=SETTINGS!$B$4,A46&lt;MAIN!$B$3),"Yes",IF(AND(A46=MAIN!$B$3,E46&lt;=MAIN!$L$3),"Yes","No")),IF(OR(MAIN!$F$3="Full Year",MAIN!$D$3="All"),"Yes",IF(MAIN!$F$3="Monthly",IF(E46=MAIN!$L$3,"Yes","No"),IF(E46&lt;=MAIN!$L$3,"Yes","No"))))</f>
        <v>Yes</v>
      </c>
      <c r="AA46" t="str">
        <f t="shared" si="5"/>
        <v>Yes</v>
      </c>
    </row>
    <row r="47" spans="1:27" x14ac:dyDescent="0.3">
      <c r="A47">
        <f>INDEX(SETTINGS!$A$15:$A$24,$B47)</f>
        <v>2025</v>
      </c>
      <c r="B47">
        <v>1</v>
      </c>
      <c r="C47" t="str">
        <f>IF(AND(A47&gt;=SETTINGS!$B$4,A47&lt;=SETTINGS!$B$5),"Yes","No")</f>
        <v>Yes</v>
      </c>
      <c r="D47" t="str">
        <f>IFERROR(INDEX(SETTINGS!$C$15:$C$24,MATCH(A47,SETTINGS!$A$15:$A$24,0)),"No")</f>
        <v>Yes</v>
      </c>
      <c r="E47">
        <v>3</v>
      </c>
      <c r="F47" t="s">
        <v>36</v>
      </c>
      <c r="G47">
        <v>65</v>
      </c>
      <c r="H47" t="s">
        <v>101</v>
      </c>
      <c r="I47" t="s">
        <v>15</v>
      </c>
      <c r="J47" t="s">
        <v>20</v>
      </c>
      <c r="K47" t="s">
        <v>3</v>
      </c>
      <c r="L47" s="36">
        <f ca="1">IF(C47&lt;&gt;"Yes",0,IF(A47=2025,N('2025'!D65),IF(A47=2026,N('2026'!D65),IF(A47=2027,N('2027'!D65),IF(A47=2028,N('2028'!D65),IF(A47=2029,N('2029'!D65),IF(A47=2030,N('2030'!D65),IF(A47=2031,N('2031'!D65),IF(A47=2032,N('2032'!D65),IF(A47=2033,N('2033'!D65),IF(A47=2034,N('2034'!D65),IFERROR(N(INDIRECT("'"&amp;A47&amp;"'!D"&amp;G47)),0))))))))))))</f>
        <v>0</v>
      </c>
      <c r="M47" s="36">
        <f>IFERROR(IF(NOT(ISBLANK(KPI_TARGETS!$G$12)),KPI_TARGETS!$G$12,IF(NOT(ISBLANK(KPI_TARGETS!$F$12)),KPI_TARGETS!$F$12,"")),"")</f>
        <v>0</v>
      </c>
      <c r="N47" s="36" t="str">
        <f>IFERROR(KPI_TARGETS!$E$12,"Higher is better")</f>
        <v>Lower is better</v>
      </c>
      <c r="O47" s="37">
        <f t="shared" ca="1" si="0"/>
        <v>1</v>
      </c>
      <c r="P47" t="str">
        <f t="shared" ca="1" si="1"/>
        <v>Green</v>
      </c>
      <c r="Q47" s="36">
        <f t="shared" ca="1" si="2"/>
        <v>0</v>
      </c>
      <c r="R47" s="36" t="str">
        <f>""</f>
        <v/>
      </c>
      <c r="S47" s="36" t="str">
        <f>""</f>
        <v/>
      </c>
      <c r="T47" s="36" t="str">
        <f>""</f>
        <v/>
      </c>
      <c r="U47" s="36" t="str">
        <f>""</f>
        <v/>
      </c>
      <c r="V47" s="36" t="str">
        <f>""</f>
        <v/>
      </c>
      <c r="W47" s="36">
        <f t="shared" si="3"/>
        <v>1</v>
      </c>
      <c r="X47" t="str">
        <f t="shared" si="4"/>
        <v>OK</v>
      </c>
      <c r="Y47" t="str">
        <f>IF(MAIN!$H$3="Selected Year",IF(A47=MAIN!$B$3,"Yes","No"),IF(MAIN!$H$3="Included Years",IF(D47="Yes","Yes","No"),IF(C47="Yes","Yes","No")))</f>
        <v>Yes</v>
      </c>
      <c r="Z47" t="str">
        <f>IF(MAIN!$F$3="Project to Date",IF(AND(A47&gt;=SETTINGS!$B$4,A47&lt;MAIN!$B$3),"Yes",IF(AND(A47=MAIN!$B$3,E47&lt;=MAIN!$L$3),"Yes","No")),IF(OR(MAIN!$F$3="Full Year",MAIN!$D$3="All"),"Yes",IF(MAIN!$F$3="Monthly",IF(E47=MAIN!$L$3,"Yes","No"),IF(E47&lt;=MAIN!$L$3,"Yes","No"))))</f>
        <v>Yes</v>
      </c>
      <c r="AA47" t="str">
        <f t="shared" si="5"/>
        <v>Yes</v>
      </c>
    </row>
    <row r="48" spans="1:27" x14ac:dyDescent="0.3">
      <c r="A48">
        <f>INDEX(SETTINGS!$A$15:$A$24,$B48)</f>
        <v>2025</v>
      </c>
      <c r="B48">
        <v>1</v>
      </c>
      <c r="C48" t="str">
        <f>IF(AND(A48&gt;=SETTINGS!$B$4,A48&lt;=SETTINGS!$B$5),"Yes","No")</f>
        <v>Yes</v>
      </c>
      <c r="D48" t="str">
        <f>IFERROR(INDEX(SETTINGS!$C$15:$C$24,MATCH(A48,SETTINGS!$A$15:$A$24,0)),"No")</f>
        <v>Yes</v>
      </c>
      <c r="E48">
        <v>3</v>
      </c>
      <c r="F48" t="s">
        <v>36</v>
      </c>
      <c r="G48">
        <v>66</v>
      </c>
      <c r="H48" t="s">
        <v>102</v>
      </c>
      <c r="I48" t="s">
        <v>15</v>
      </c>
      <c r="J48" t="s">
        <v>21</v>
      </c>
      <c r="K48" t="s">
        <v>3</v>
      </c>
      <c r="L48" s="36">
        <f ca="1">IF(C48&lt;&gt;"Yes",0,IF(A48=2025,N('2025'!D66),IF(A48=2026,N('2026'!D66),IF(A48=2027,N('2027'!D66),IF(A48=2028,N('2028'!D66),IF(A48=2029,N('2029'!D66),IF(A48=2030,N('2030'!D66),IF(A48=2031,N('2031'!D66),IF(A48=2032,N('2032'!D66),IF(A48=2033,N('2033'!D66),IF(A48=2034,N('2034'!D66),IFERROR(N(INDIRECT("'"&amp;A48&amp;"'!D"&amp;G48)),0))))))))))))</f>
        <v>0</v>
      </c>
      <c r="M48" s="36">
        <f>IFERROR(IF(NOT(ISBLANK(KPI_TARGETS!$G$13)),KPI_TARGETS!$G$13,IF(NOT(ISBLANK(KPI_TARGETS!$F$13)),KPI_TARGETS!$F$13,"")),"")</f>
        <v>0</v>
      </c>
      <c r="N48" s="36" t="str">
        <f>IFERROR(KPI_TARGETS!$E$13,"Higher is better")</f>
        <v>Lower is better</v>
      </c>
      <c r="O48" s="37">
        <f t="shared" ca="1" si="0"/>
        <v>1</v>
      </c>
      <c r="P48" t="str">
        <f t="shared" ca="1" si="1"/>
        <v>Green</v>
      </c>
      <c r="Q48" s="36">
        <f t="shared" ca="1" si="2"/>
        <v>0</v>
      </c>
      <c r="R48" s="36" t="str">
        <f>""</f>
        <v/>
      </c>
      <c r="S48" s="36" t="str">
        <f>""</f>
        <v/>
      </c>
      <c r="T48" s="36" t="str">
        <f>""</f>
        <v/>
      </c>
      <c r="U48" s="36" t="str">
        <f>""</f>
        <v/>
      </c>
      <c r="V48" s="36" t="str">
        <f>""</f>
        <v/>
      </c>
      <c r="W48" s="36">
        <f t="shared" si="3"/>
        <v>1</v>
      </c>
      <c r="X48" t="str">
        <f t="shared" si="4"/>
        <v>OK</v>
      </c>
      <c r="Y48" t="str">
        <f>IF(MAIN!$H$3="Selected Year",IF(A48=MAIN!$B$3,"Yes","No"),IF(MAIN!$H$3="Included Years",IF(D48="Yes","Yes","No"),IF(C48="Yes","Yes","No")))</f>
        <v>Yes</v>
      </c>
      <c r="Z48" t="str">
        <f>IF(MAIN!$F$3="Project to Date",IF(AND(A48&gt;=SETTINGS!$B$4,A48&lt;MAIN!$B$3),"Yes",IF(AND(A48=MAIN!$B$3,E48&lt;=MAIN!$L$3),"Yes","No")),IF(OR(MAIN!$F$3="Full Year",MAIN!$D$3="All"),"Yes",IF(MAIN!$F$3="Monthly",IF(E48=MAIN!$L$3,"Yes","No"),IF(E48&lt;=MAIN!$L$3,"Yes","No"))))</f>
        <v>Yes</v>
      </c>
      <c r="AA48" t="str">
        <f t="shared" si="5"/>
        <v>Yes</v>
      </c>
    </row>
    <row r="49" spans="1:27" x14ac:dyDescent="0.3">
      <c r="A49">
        <f>INDEX(SETTINGS!$A$15:$A$24,$B49)</f>
        <v>2025</v>
      </c>
      <c r="B49">
        <v>1</v>
      </c>
      <c r="C49" t="str">
        <f>IF(AND(A49&gt;=SETTINGS!$B$4,A49&lt;=SETTINGS!$B$5),"Yes","No")</f>
        <v>Yes</v>
      </c>
      <c r="D49" t="str">
        <f>IFERROR(INDEX(SETTINGS!$C$15:$C$24,MATCH(A49,SETTINGS!$A$15:$A$24,0)),"No")</f>
        <v>Yes</v>
      </c>
      <c r="E49">
        <v>3</v>
      </c>
      <c r="F49" t="s">
        <v>36</v>
      </c>
      <c r="G49">
        <v>68</v>
      </c>
      <c r="H49" t="s">
        <v>103</v>
      </c>
      <c r="I49" t="s">
        <v>22</v>
      </c>
      <c r="J49" t="s">
        <v>23</v>
      </c>
      <c r="K49" t="s">
        <v>3</v>
      </c>
      <c r="L49" s="36">
        <f ca="1">IF(C49&lt;&gt;"Yes",0,IF(A49=2025,N('2025'!D68),IF(A49=2026,N('2026'!D68),IF(A49=2027,N('2027'!D68),IF(A49=2028,N('2028'!D68),IF(A49=2029,N('2029'!D68),IF(A49=2030,N('2030'!D68),IF(A49=2031,N('2031'!D68),IF(A49=2032,N('2032'!D68),IF(A49=2033,N('2033'!D68),IF(A49=2034,N('2034'!D68),IFERROR(N(INDIRECT("'"&amp;A49&amp;"'!D"&amp;G49)),0))))))))))))</f>
        <v>0</v>
      </c>
      <c r="M49" s="36">
        <f>IFERROR(IF(NOT(ISBLANK(KPI_TARGETS!$G$14)),KPI_TARGETS!$G$14,IF(NOT(ISBLANK(KPI_TARGETS!$F$14)),KPI_TARGETS!$F$14,"")),"")</f>
        <v>35</v>
      </c>
      <c r="N49" s="36" t="str">
        <f>IFERROR(KPI_TARGETS!$E$14,"Higher is better")</f>
        <v>Higher is better</v>
      </c>
      <c r="O49" s="37">
        <f t="shared" ca="1" si="0"/>
        <v>0</v>
      </c>
      <c r="P49" t="str">
        <f t="shared" ca="1" si="1"/>
        <v>Red</v>
      </c>
      <c r="Q49" s="36">
        <f t="shared" ca="1" si="2"/>
        <v>-35</v>
      </c>
      <c r="R49" s="36" t="str">
        <f>""</f>
        <v/>
      </c>
      <c r="S49" s="36" t="str">
        <f>""</f>
        <v/>
      </c>
      <c r="T49" s="36" t="str">
        <f>""</f>
        <v/>
      </c>
      <c r="U49" s="36" t="str">
        <f>""</f>
        <v/>
      </c>
      <c r="V49" s="36" t="str">
        <f>""</f>
        <v/>
      </c>
      <c r="W49" s="36">
        <f t="shared" si="3"/>
        <v>1</v>
      </c>
      <c r="X49" t="str">
        <f t="shared" si="4"/>
        <v>OK</v>
      </c>
      <c r="Y49" t="str">
        <f>IF(MAIN!$H$3="Selected Year",IF(A49=MAIN!$B$3,"Yes","No"),IF(MAIN!$H$3="Included Years",IF(D49="Yes","Yes","No"),IF(C49="Yes","Yes","No")))</f>
        <v>Yes</v>
      </c>
      <c r="Z49" t="str">
        <f>IF(MAIN!$F$3="Project to Date",IF(AND(A49&gt;=SETTINGS!$B$4,A49&lt;MAIN!$B$3),"Yes",IF(AND(A49=MAIN!$B$3,E49&lt;=MAIN!$L$3),"Yes","No")),IF(OR(MAIN!$F$3="Full Year",MAIN!$D$3="All"),"Yes",IF(MAIN!$F$3="Monthly",IF(E49=MAIN!$L$3,"Yes","No"),IF(E49&lt;=MAIN!$L$3,"Yes","No"))))</f>
        <v>Yes</v>
      </c>
      <c r="AA49" t="str">
        <f t="shared" si="5"/>
        <v>Yes</v>
      </c>
    </row>
    <row r="50" spans="1:27" x14ac:dyDescent="0.3">
      <c r="A50">
        <f>INDEX(SETTINGS!$A$15:$A$24,$B50)</f>
        <v>2025</v>
      </c>
      <c r="B50">
        <v>1</v>
      </c>
      <c r="C50" t="str">
        <f>IF(AND(A50&gt;=SETTINGS!$B$4,A50&lt;=SETTINGS!$B$5),"Yes","No")</f>
        <v>Yes</v>
      </c>
      <c r="D50" t="str">
        <f>IFERROR(INDEX(SETTINGS!$C$15:$C$24,MATCH(A50,SETTINGS!$A$15:$A$24,0)),"No")</f>
        <v>Yes</v>
      </c>
      <c r="E50">
        <v>3</v>
      </c>
      <c r="F50" t="s">
        <v>36</v>
      </c>
      <c r="G50">
        <v>69</v>
      </c>
      <c r="H50" t="s">
        <v>104</v>
      </c>
      <c r="I50" t="s">
        <v>22</v>
      </c>
      <c r="J50" t="s">
        <v>24</v>
      </c>
      <c r="K50" t="s">
        <v>3</v>
      </c>
      <c r="L50" s="36">
        <f ca="1">IF(C50&lt;&gt;"Yes",0,IF(A50=2025,N('2025'!D69),IF(A50=2026,N('2026'!D69),IF(A50=2027,N('2027'!D69),IF(A50=2028,N('2028'!D69),IF(A50=2029,N('2029'!D69),IF(A50=2030,N('2030'!D69),IF(A50=2031,N('2031'!D69),IF(A50=2032,N('2032'!D69),IF(A50=2033,N('2033'!D69),IF(A50=2034,N('2034'!D69),IFERROR(N(INDIRECT("'"&amp;A50&amp;"'!D"&amp;G50)),0))))))))))))</f>
        <v>0</v>
      </c>
      <c r="M50" s="36">
        <f>IFERROR(IF(NOT(ISBLANK(KPI_TARGETS!$G$15)),KPI_TARGETS!$G$15,IF(NOT(ISBLANK(KPI_TARGETS!$F$15)),KPI_TARGETS!$F$15,"")),"")</f>
        <v>5</v>
      </c>
      <c r="N50" s="36" t="str">
        <f>IFERROR(KPI_TARGETS!$E$15,"Higher is better")</f>
        <v>Higher is better</v>
      </c>
      <c r="O50" s="37">
        <f t="shared" ca="1" si="0"/>
        <v>0</v>
      </c>
      <c r="P50" t="str">
        <f t="shared" ca="1" si="1"/>
        <v>Red</v>
      </c>
      <c r="Q50" s="36">
        <f t="shared" ca="1" si="2"/>
        <v>-5</v>
      </c>
      <c r="R50" s="36" t="str">
        <f>""</f>
        <v/>
      </c>
      <c r="S50" s="36" t="str">
        <f>""</f>
        <v/>
      </c>
      <c r="T50" s="36" t="str">
        <f>""</f>
        <v/>
      </c>
      <c r="U50" s="36" t="str">
        <f>""</f>
        <v/>
      </c>
      <c r="V50" s="36" t="str">
        <f>""</f>
        <v/>
      </c>
      <c r="W50" s="36">
        <f t="shared" si="3"/>
        <v>1</v>
      </c>
      <c r="X50" t="str">
        <f t="shared" si="4"/>
        <v>OK</v>
      </c>
      <c r="Y50" t="str">
        <f>IF(MAIN!$H$3="Selected Year",IF(A50=MAIN!$B$3,"Yes","No"),IF(MAIN!$H$3="Included Years",IF(D50="Yes","Yes","No"),IF(C50="Yes","Yes","No")))</f>
        <v>Yes</v>
      </c>
      <c r="Z50" t="str">
        <f>IF(MAIN!$F$3="Project to Date",IF(AND(A50&gt;=SETTINGS!$B$4,A50&lt;MAIN!$B$3),"Yes",IF(AND(A50=MAIN!$B$3,E50&lt;=MAIN!$L$3),"Yes","No")),IF(OR(MAIN!$F$3="Full Year",MAIN!$D$3="All"),"Yes",IF(MAIN!$F$3="Monthly",IF(E50=MAIN!$L$3,"Yes","No"),IF(E50&lt;=MAIN!$L$3,"Yes","No"))))</f>
        <v>Yes</v>
      </c>
      <c r="AA50" t="str">
        <f t="shared" si="5"/>
        <v>Yes</v>
      </c>
    </row>
    <row r="51" spans="1:27" x14ac:dyDescent="0.3">
      <c r="A51">
        <f>INDEX(SETTINGS!$A$15:$A$24,$B51)</f>
        <v>2025</v>
      </c>
      <c r="B51">
        <v>1</v>
      </c>
      <c r="C51" t="str">
        <f>IF(AND(A51&gt;=SETTINGS!$B$4,A51&lt;=SETTINGS!$B$5),"Yes","No")</f>
        <v>Yes</v>
      </c>
      <c r="D51" t="str">
        <f>IFERROR(INDEX(SETTINGS!$C$15:$C$24,MATCH(A51,SETTINGS!$A$15:$A$24,0)),"No")</f>
        <v>Yes</v>
      </c>
      <c r="E51">
        <v>3</v>
      </c>
      <c r="F51" t="s">
        <v>36</v>
      </c>
      <c r="G51">
        <v>70</v>
      </c>
      <c r="H51" t="s">
        <v>105</v>
      </c>
      <c r="I51" t="s">
        <v>22</v>
      </c>
      <c r="J51" t="s">
        <v>25</v>
      </c>
      <c r="K51" t="s">
        <v>3</v>
      </c>
      <c r="L51" s="36">
        <f ca="1">IF(C51&lt;&gt;"Yes",0,IF(A51=2025,N('2025'!D70),IF(A51=2026,N('2026'!D70),IF(A51=2027,N('2027'!D70),IF(A51=2028,N('2028'!D70),IF(A51=2029,N('2029'!D70),IF(A51=2030,N('2030'!D70),IF(A51=2031,N('2031'!D70),IF(A51=2032,N('2032'!D70),IF(A51=2033,N('2033'!D70),IF(A51=2034,N('2034'!D70),IFERROR(N(INDIRECT("'"&amp;A51&amp;"'!D"&amp;G51)),0))))))))))))</f>
        <v>0</v>
      </c>
      <c r="M51" s="36">
        <f>IFERROR(IF(NOT(ISBLANK(KPI_TARGETS!$G$16)),KPI_TARGETS!$G$16,IF(NOT(ISBLANK(KPI_TARGETS!$F$16)),KPI_TARGETS!$F$16,"")),"")</f>
        <v>4</v>
      </c>
      <c r="N51" s="36" t="str">
        <f>IFERROR(KPI_TARGETS!$E$16,"Higher is better")</f>
        <v>Higher is better</v>
      </c>
      <c r="O51" s="37">
        <f t="shared" ca="1" si="0"/>
        <v>0</v>
      </c>
      <c r="P51" t="str">
        <f t="shared" ca="1" si="1"/>
        <v>Red</v>
      </c>
      <c r="Q51" s="36">
        <f t="shared" ca="1" si="2"/>
        <v>-4</v>
      </c>
      <c r="R51" s="36" t="str">
        <f>""</f>
        <v/>
      </c>
      <c r="S51" s="36" t="str">
        <f>""</f>
        <v/>
      </c>
      <c r="T51" s="36" t="str">
        <f>""</f>
        <v/>
      </c>
      <c r="U51" s="36" t="str">
        <f>""</f>
        <v/>
      </c>
      <c r="V51" s="36" t="str">
        <f>""</f>
        <v/>
      </c>
      <c r="W51" s="36">
        <f t="shared" si="3"/>
        <v>1</v>
      </c>
      <c r="X51" t="str">
        <f t="shared" si="4"/>
        <v>OK</v>
      </c>
      <c r="Y51" t="str">
        <f>IF(MAIN!$H$3="Selected Year",IF(A51=MAIN!$B$3,"Yes","No"),IF(MAIN!$H$3="Included Years",IF(D51="Yes","Yes","No"),IF(C51="Yes","Yes","No")))</f>
        <v>Yes</v>
      </c>
      <c r="Z51" t="str">
        <f>IF(MAIN!$F$3="Project to Date",IF(AND(A51&gt;=SETTINGS!$B$4,A51&lt;MAIN!$B$3),"Yes",IF(AND(A51=MAIN!$B$3,E51&lt;=MAIN!$L$3),"Yes","No")),IF(OR(MAIN!$F$3="Full Year",MAIN!$D$3="All"),"Yes",IF(MAIN!$F$3="Monthly",IF(E51=MAIN!$L$3,"Yes","No"),IF(E51&lt;=MAIN!$L$3,"Yes","No"))))</f>
        <v>Yes</v>
      </c>
      <c r="AA51" t="str">
        <f t="shared" si="5"/>
        <v>Yes</v>
      </c>
    </row>
    <row r="52" spans="1:27" x14ac:dyDescent="0.3">
      <c r="A52">
        <f>INDEX(SETTINGS!$A$15:$A$24,$B52)</f>
        <v>2025</v>
      </c>
      <c r="B52">
        <v>1</v>
      </c>
      <c r="C52" t="str">
        <f>IF(AND(A52&gt;=SETTINGS!$B$4,A52&lt;=SETTINGS!$B$5),"Yes","No")</f>
        <v>Yes</v>
      </c>
      <c r="D52" t="str">
        <f>IFERROR(INDEX(SETTINGS!$C$15:$C$24,MATCH(A52,SETTINGS!$A$15:$A$24,0)),"No")</f>
        <v>Yes</v>
      </c>
      <c r="E52">
        <v>3</v>
      </c>
      <c r="F52" t="s">
        <v>36</v>
      </c>
      <c r="G52">
        <v>71</v>
      </c>
      <c r="H52" t="s">
        <v>106</v>
      </c>
      <c r="I52" t="s">
        <v>22</v>
      </c>
      <c r="J52" t="s">
        <v>26</v>
      </c>
      <c r="K52" t="s">
        <v>3</v>
      </c>
      <c r="L52" s="36">
        <f ca="1">IF(C52&lt;&gt;"Yes",0,IF(A52=2025,N('2025'!D71),IF(A52=2026,N('2026'!D71),IF(A52=2027,N('2027'!D71),IF(A52=2028,N('2028'!D71),IF(A52=2029,N('2029'!D71),IF(A52=2030,N('2030'!D71),IF(A52=2031,N('2031'!D71),IF(A52=2032,N('2032'!D71),IF(A52=2033,N('2033'!D71),IF(A52=2034,N('2034'!D71),IFERROR(N(INDIRECT("'"&amp;A52&amp;"'!D"&amp;G52)),0))))))))))))</f>
        <v>0</v>
      </c>
      <c r="M52" s="36">
        <f>IFERROR(IF(NOT(ISBLANK(KPI_TARGETS!$G$17)),KPI_TARGETS!$G$17,IF(NOT(ISBLANK(KPI_TARGETS!$F$17)),KPI_TARGETS!$F$17,"")),"")</f>
        <v>12</v>
      </c>
      <c r="N52" s="36" t="str">
        <f>IFERROR(KPI_TARGETS!$E$17,"Higher is better")</f>
        <v>Higher is better</v>
      </c>
      <c r="O52" s="37">
        <f t="shared" ca="1" si="0"/>
        <v>0</v>
      </c>
      <c r="P52" t="str">
        <f t="shared" ca="1" si="1"/>
        <v>Red</v>
      </c>
      <c r="Q52" s="36">
        <f t="shared" ca="1" si="2"/>
        <v>-12</v>
      </c>
      <c r="R52" s="36" t="str">
        <f>""</f>
        <v/>
      </c>
      <c r="S52" s="36" t="str">
        <f>""</f>
        <v/>
      </c>
      <c r="T52" s="36" t="str">
        <f>""</f>
        <v/>
      </c>
      <c r="U52" s="36" t="str">
        <f>""</f>
        <v/>
      </c>
      <c r="V52" s="36" t="str">
        <f>""</f>
        <v/>
      </c>
      <c r="W52" s="36">
        <f t="shared" si="3"/>
        <v>1</v>
      </c>
      <c r="X52" t="str">
        <f t="shared" si="4"/>
        <v>OK</v>
      </c>
      <c r="Y52" t="str">
        <f>IF(MAIN!$H$3="Selected Year",IF(A52=MAIN!$B$3,"Yes","No"),IF(MAIN!$H$3="Included Years",IF(D52="Yes","Yes","No"),IF(C52="Yes","Yes","No")))</f>
        <v>Yes</v>
      </c>
      <c r="Z52" t="str">
        <f>IF(MAIN!$F$3="Project to Date",IF(AND(A52&gt;=SETTINGS!$B$4,A52&lt;MAIN!$B$3),"Yes",IF(AND(A52=MAIN!$B$3,E52&lt;=MAIN!$L$3),"Yes","No")),IF(OR(MAIN!$F$3="Full Year",MAIN!$D$3="All"),"Yes",IF(MAIN!$F$3="Monthly",IF(E52=MAIN!$L$3,"Yes","No"),IF(E52&lt;=MAIN!$L$3,"Yes","No"))))</f>
        <v>Yes</v>
      </c>
      <c r="AA52" t="str">
        <f t="shared" si="5"/>
        <v>Yes</v>
      </c>
    </row>
    <row r="53" spans="1:27" x14ac:dyDescent="0.3">
      <c r="A53">
        <f>INDEX(SETTINGS!$A$15:$A$24,$B53)</f>
        <v>2025</v>
      </c>
      <c r="B53">
        <v>1</v>
      </c>
      <c r="C53" t="str">
        <f>IF(AND(A53&gt;=SETTINGS!$B$4,A53&lt;=SETTINGS!$B$5),"Yes","No")</f>
        <v>Yes</v>
      </c>
      <c r="D53" t="str">
        <f>IFERROR(INDEX(SETTINGS!$C$15:$C$24,MATCH(A53,SETTINGS!$A$15:$A$24,0)),"No")</f>
        <v>Yes</v>
      </c>
      <c r="E53">
        <v>3</v>
      </c>
      <c r="F53" t="s">
        <v>36</v>
      </c>
      <c r="G53">
        <v>72</v>
      </c>
      <c r="H53" t="s">
        <v>107</v>
      </c>
      <c r="I53" t="s">
        <v>22</v>
      </c>
      <c r="J53" t="s">
        <v>27</v>
      </c>
      <c r="K53" t="s">
        <v>3</v>
      </c>
      <c r="L53" s="36">
        <f ca="1">IF(C53&lt;&gt;"Yes",0,IF(A53=2025,N('2025'!D72),IF(A53=2026,N('2026'!D72),IF(A53=2027,N('2027'!D72),IF(A53=2028,N('2028'!D72),IF(A53=2029,N('2029'!D72),IF(A53=2030,N('2030'!D72),IF(A53=2031,N('2031'!D72),IF(A53=2032,N('2032'!D72),IF(A53=2033,N('2033'!D72),IF(A53=2034,N('2034'!D72),IFERROR(N(INDIRECT("'"&amp;A53&amp;"'!D"&amp;G53)),0))))))))))))</f>
        <v>0</v>
      </c>
      <c r="M53" s="36">
        <f>IFERROR(IF(NOT(ISBLANK(KPI_TARGETS!$G$18)),KPI_TARGETS!$G$18,IF(NOT(ISBLANK(KPI_TARGETS!$F$18)),KPI_TARGETS!$F$18,"")),"")</f>
        <v>4</v>
      </c>
      <c r="N53" s="36" t="str">
        <f>IFERROR(KPI_TARGETS!$E$18,"Higher is better")</f>
        <v>Higher is better</v>
      </c>
      <c r="O53" s="37">
        <f t="shared" ca="1" si="0"/>
        <v>0</v>
      </c>
      <c r="P53" t="str">
        <f t="shared" ca="1" si="1"/>
        <v>Red</v>
      </c>
      <c r="Q53" s="36">
        <f t="shared" ca="1" si="2"/>
        <v>-4</v>
      </c>
      <c r="R53" s="36" t="str">
        <f>""</f>
        <v/>
      </c>
      <c r="S53" s="36" t="str">
        <f>""</f>
        <v/>
      </c>
      <c r="T53" s="36" t="str">
        <f>""</f>
        <v/>
      </c>
      <c r="U53" s="36" t="str">
        <f>""</f>
        <v/>
      </c>
      <c r="V53" s="36" t="str">
        <f>""</f>
        <v/>
      </c>
      <c r="W53" s="36">
        <f t="shared" si="3"/>
        <v>1</v>
      </c>
      <c r="X53" t="str">
        <f t="shared" si="4"/>
        <v>OK</v>
      </c>
      <c r="Y53" t="str">
        <f>IF(MAIN!$H$3="Selected Year",IF(A53=MAIN!$B$3,"Yes","No"),IF(MAIN!$H$3="Included Years",IF(D53="Yes","Yes","No"),IF(C53="Yes","Yes","No")))</f>
        <v>Yes</v>
      </c>
      <c r="Z53" t="str">
        <f>IF(MAIN!$F$3="Project to Date",IF(AND(A53&gt;=SETTINGS!$B$4,A53&lt;MAIN!$B$3),"Yes",IF(AND(A53=MAIN!$B$3,E53&lt;=MAIN!$L$3),"Yes","No")),IF(OR(MAIN!$F$3="Full Year",MAIN!$D$3="All"),"Yes",IF(MAIN!$F$3="Monthly",IF(E53=MAIN!$L$3,"Yes","No"),IF(E53&lt;=MAIN!$L$3,"Yes","No"))))</f>
        <v>Yes</v>
      </c>
      <c r="AA53" t="str">
        <f t="shared" si="5"/>
        <v>Yes</v>
      </c>
    </row>
    <row r="54" spans="1:27" x14ac:dyDescent="0.3">
      <c r="A54">
        <f>INDEX(SETTINGS!$A$15:$A$24,$B54)</f>
        <v>2025</v>
      </c>
      <c r="B54">
        <v>1</v>
      </c>
      <c r="C54" t="str">
        <f>IF(AND(A54&gt;=SETTINGS!$B$4,A54&lt;=SETTINGS!$B$5),"Yes","No")</f>
        <v>Yes</v>
      </c>
      <c r="D54" t="str">
        <f>IFERROR(INDEX(SETTINGS!$C$15:$C$24,MATCH(A54,SETTINGS!$A$15:$A$24,0)),"No")</f>
        <v>Yes</v>
      </c>
      <c r="E54">
        <v>3</v>
      </c>
      <c r="F54" t="s">
        <v>36</v>
      </c>
      <c r="G54">
        <v>73</v>
      </c>
      <c r="H54" t="s">
        <v>108</v>
      </c>
      <c r="I54" t="s">
        <v>22</v>
      </c>
      <c r="J54" t="s">
        <v>28</v>
      </c>
      <c r="K54" t="s">
        <v>3</v>
      </c>
      <c r="L54" s="36">
        <f ca="1">IF(C54&lt;&gt;"Yes",0,IF(A54=2025,N('2025'!D73),IF(A54=2026,N('2026'!D73),IF(A54=2027,N('2027'!D73),IF(A54=2028,N('2028'!D73),IF(A54=2029,N('2029'!D73),IF(A54=2030,N('2030'!D73),IF(A54=2031,N('2031'!D73),IF(A54=2032,N('2032'!D73),IF(A54=2033,N('2033'!D73),IF(A54=2034,N('2034'!D73),IFERROR(N(INDIRECT("'"&amp;A54&amp;"'!D"&amp;G54)),0))))))))))))</f>
        <v>0</v>
      </c>
      <c r="M54" s="36">
        <f>IFERROR(IF(NOT(ISBLANK(KPI_TARGETS!$G$19)),KPI_TARGETS!$G$19,IF(NOT(ISBLANK(KPI_TARGETS!$F$19)),KPI_TARGETS!$F$19,"")),"")</f>
        <v>16</v>
      </c>
      <c r="N54" s="36" t="str">
        <f>IFERROR(KPI_TARGETS!$E$19,"Higher is better")</f>
        <v>Higher is better</v>
      </c>
      <c r="O54" s="37">
        <f t="shared" ca="1" si="0"/>
        <v>0</v>
      </c>
      <c r="P54" t="str">
        <f t="shared" ca="1" si="1"/>
        <v>Red</v>
      </c>
      <c r="Q54" s="36">
        <f t="shared" ca="1" si="2"/>
        <v>-16</v>
      </c>
      <c r="R54" s="36" t="str">
        <f>""</f>
        <v/>
      </c>
      <c r="S54" s="36" t="str">
        <f>""</f>
        <v/>
      </c>
      <c r="T54" s="36" t="str">
        <f>""</f>
        <v/>
      </c>
      <c r="U54" s="36" t="str">
        <f>""</f>
        <v/>
      </c>
      <c r="V54" s="36" t="str">
        <f>""</f>
        <v/>
      </c>
      <c r="W54" s="36">
        <f t="shared" si="3"/>
        <v>1</v>
      </c>
      <c r="X54" t="str">
        <f t="shared" si="4"/>
        <v>OK</v>
      </c>
      <c r="Y54" t="str">
        <f>IF(MAIN!$H$3="Selected Year",IF(A54=MAIN!$B$3,"Yes","No"),IF(MAIN!$H$3="Included Years",IF(D54="Yes","Yes","No"),IF(C54="Yes","Yes","No")))</f>
        <v>Yes</v>
      </c>
      <c r="Z54" t="str">
        <f>IF(MAIN!$F$3="Project to Date",IF(AND(A54&gt;=SETTINGS!$B$4,A54&lt;MAIN!$B$3),"Yes",IF(AND(A54=MAIN!$B$3,E54&lt;=MAIN!$L$3),"Yes","No")),IF(OR(MAIN!$F$3="Full Year",MAIN!$D$3="All"),"Yes",IF(MAIN!$F$3="Monthly",IF(E54=MAIN!$L$3,"Yes","No"),IF(E54&lt;=MAIN!$L$3,"Yes","No"))))</f>
        <v>Yes</v>
      </c>
      <c r="AA54" t="str">
        <f t="shared" si="5"/>
        <v>Yes</v>
      </c>
    </row>
    <row r="55" spans="1:27" x14ac:dyDescent="0.3">
      <c r="A55">
        <f>INDEX(SETTINGS!$A$15:$A$24,$B55)</f>
        <v>2025</v>
      </c>
      <c r="B55">
        <v>1</v>
      </c>
      <c r="C55" t="str">
        <f>IF(AND(A55&gt;=SETTINGS!$B$4,A55&lt;=SETTINGS!$B$5),"Yes","No")</f>
        <v>Yes</v>
      </c>
      <c r="D55" t="str">
        <f>IFERROR(INDEX(SETTINGS!$C$15:$C$24,MATCH(A55,SETTINGS!$A$15:$A$24,0)),"No")</f>
        <v>Yes</v>
      </c>
      <c r="E55">
        <v>3</v>
      </c>
      <c r="F55" t="s">
        <v>36</v>
      </c>
      <c r="G55">
        <v>74</v>
      </c>
      <c r="H55" t="s">
        <v>109</v>
      </c>
      <c r="I55" t="s">
        <v>22</v>
      </c>
      <c r="J55" t="s">
        <v>29</v>
      </c>
      <c r="K55" t="s">
        <v>3</v>
      </c>
      <c r="L55" s="36">
        <f ca="1">IF(C55&lt;&gt;"Yes",0,IF(A55=2025,N('2025'!D74),IF(A55=2026,N('2026'!D74),IF(A55=2027,N('2027'!D74),IF(A55=2028,N('2028'!D74),IF(A55=2029,N('2029'!D74),IF(A55=2030,N('2030'!D74),IF(A55=2031,N('2031'!D74),IF(A55=2032,N('2032'!D74),IF(A55=2033,N('2033'!D74),IF(A55=2034,N('2034'!D74),IFERROR(N(INDIRECT("'"&amp;A55&amp;"'!D"&amp;G55)),0))))))))))))</f>
        <v>0</v>
      </c>
      <c r="M55" s="36">
        <f>IFERROR(IF(NOT(ISBLANK(KPI_TARGETS!$G$20)),KPI_TARGETS!$G$20,IF(NOT(ISBLANK(KPI_TARGETS!$F$20)),KPI_TARGETS!$F$20,"")),"")</f>
        <v>1</v>
      </c>
      <c r="N55" s="36" t="str">
        <f>IFERROR(KPI_TARGETS!$E$20,"Higher is better")</f>
        <v>Higher is better</v>
      </c>
      <c r="O55" s="37">
        <f t="shared" ca="1" si="0"/>
        <v>0</v>
      </c>
      <c r="P55" t="str">
        <f t="shared" ca="1" si="1"/>
        <v>Red</v>
      </c>
      <c r="Q55" s="36">
        <f t="shared" ca="1" si="2"/>
        <v>-1</v>
      </c>
      <c r="R55" s="36" t="str">
        <f>""</f>
        <v/>
      </c>
      <c r="S55" s="36" t="str">
        <f>""</f>
        <v/>
      </c>
      <c r="T55" s="36" t="str">
        <f>""</f>
        <v/>
      </c>
      <c r="U55" s="36" t="str">
        <f>""</f>
        <v/>
      </c>
      <c r="V55" s="36" t="str">
        <f>""</f>
        <v/>
      </c>
      <c r="W55" s="36">
        <f t="shared" si="3"/>
        <v>1</v>
      </c>
      <c r="X55" t="str">
        <f t="shared" si="4"/>
        <v>OK</v>
      </c>
      <c r="Y55" t="str">
        <f>IF(MAIN!$H$3="Selected Year",IF(A55=MAIN!$B$3,"Yes","No"),IF(MAIN!$H$3="Included Years",IF(D55="Yes","Yes","No"),IF(C55="Yes","Yes","No")))</f>
        <v>Yes</v>
      </c>
      <c r="Z55" t="str">
        <f>IF(MAIN!$F$3="Project to Date",IF(AND(A55&gt;=SETTINGS!$B$4,A55&lt;MAIN!$B$3),"Yes",IF(AND(A55=MAIN!$B$3,E55&lt;=MAIN!$L$3),"Yes","No")),IF(OR(MAIN!$F$3="Full Year",MAIN!$D$3="All"),"Yes",IF(MAIN!$F$3="Monthly",IF(E55=MAIN!$L$3,"Yes","No"),IF(E55&lt;=MAIN!$L$3,"Yes","No"))))</f>
        <v>Yes</v>
      </c>
      <c r="AA55" t="str">
        <f t="shared" si="5"/>
        <v>Yes</v>
      </c>
    </row>
    <row r="56" spans="1:27" x14ac:dyDescent="0.3">
      <c r="A56">
        <f>INDEX(SETTINGS!$A$15:$A$24,$B56)</f>
        <v>2025</v>
      </c>
      <c r="B56">
        <v>1</v>
      </c>
      <c r="C56" t="str">
        <f>IF(AND(A56&gt;=SETTINGS!$B$4,A56&lt;=SETTINGS!$B$5),"Yes","No")</f>
        <v>Yes</v>
      </c>
      <c r="D56" t="str">
        <f>IFERROR(INDEX(SETTINGS!$C$15:$C$24,MATCH(A56,SETTINGS!$A$15:$A$24,0)),"No")</f>
        <v>Yes</v>
      </c>
      <c r="E56">
        <v>3</v>
      </c>
      <c r="F56" t="s">
        <v>36</v>
      </c>
      <c r="G56">
        <v>76</v>
      </c>
      <c r="H56" t="s">
        <v>110</v>
      </c>
      <c r="I56" t="s">
        <v>30</v>
      </c>
      <c r="J56" t="s">
        <v>31</v>
      </c>
      <c r="K56" t="s">
        <v>3</v>
      </c>
      <c r="L56" s="36">
        <f ca="1">IF(C56&lt;&gt;"Yes",0,IF(A56=2025,N('2025'!D76),IF(A56=2026,N('2026'!D76),IF(A56=2027,N('2027'!D76),IF(A56=2028,N('2028'!D76),IF(A56=2029,N('2029'!D76),IF(A56=2030,N('2030'!D76),IF(A56=2031,N('2031'!D76),IF(A56=2032,N('2032'!D76),IF(A56=2033,N('2033'!D76),IF(A56=2034,N('2034'!D76),IFERROR(N(INDIRECT("'"&amp;A56&amp;"'!D"&amp;G56)),0))))))))))))</f>
        <v>0</v>
      </c>
      <c r="M56" s="36">
        <f>IFERROR(IF(NOT(ISBLANK(KPI_TARGETS!$G$21)),KPI_TARGETS!$G$21,IF(NOT(ISBLANK(KPI_TARGETS!$F$21)),KPI_TARGETS!$F$21,"")),"")</f>
        <v>0</v>
      </c>
      <c r="N56" s="36" t="str">
        <f>IFERROR(KPI_TARGETS!$E$21,"Higher is better")</f>
        <v>Lower is better</v>
      </c>
      <c r="O56" s="37">
        <f t="shared" ca="1" si="0"/>
        <v>1</v>
      </c>
      <c r="P56" t="str">
        <f t="shared" ca="1" si="1"/>
        <v>Green</v>
      </c>
      <c r="Q56" s="36">
        <f t="shared" ca="1" si="2"/>
        <v>0</v>
      </c>
      <c r="R56" s="36" t="str">
        <f>""</f>
        <v/>
      </c>
      <c r="S56" s="36" t="str">
        <f>""</f>
        <v/>
      </c>
      <c r="T56" s="36" t="str">
        <f>""</f>
        <v/>
      </c>
      <c r="U56" s="36" t="str">
        <f>""</f>
        <v/>
      </c>
      <c r="V56" s="36" t="str">
        <f>""</f>
        <v/>
      </c>
      <c r="W56" s="36">
        <f t="shared" si="3"/>
        <v>1</v>
      </c>
      <c r="X56" t="str">
        <f t="shared" si="4"/>
        <v>OK</v>
      </c>
      <c r="Y56" t="str">
        <f>IF(MAIN!$H$3="Selected Year",IF(A56=MAIN!$B$3,"Yes","No"),IF(MAIN!$H$3="Included Years",IF(D56="Yes","Yes","No"),IF(C56="Yes","Yes","No")))</f>
        <v>Yes</v>
      </c>
      <c r="Z56" t="str">
        <f>IF(MAIN!$F$3="Project to Date",IF(AND(A56&gt;=SETTINGS!$B$4,A56&lt;MAIN!$B$3),"Yes",IF(AND(A56=MAIN!$B$3,E56&lt;=MAIN!$L$3),"Yes","No")),IF(OR(MAIN!$F$3="Full Year",MAIN!$D$3="All"),"Yes",IF(MAIN!$F$3="Monthly",IF(E56=MAIN!$L$3,"Yes","No"),IF(E56&lt;=MAIN!$L$3,"Yes","No"))))</f>
        <v>Yes</v>
      </c>
      <c r="AA56" t="str">
        <f t="shared" si="5"/>
        <v>Yes</v>
      </c>
    </row>
    <row r="57" spans="1:27" x14ac:dyDescent="0.3">
      <c r="A57">
        <f>INDEX(SETTINGS!$A$15:$A$24,$B57)</f>
        <v>2025</v>
      </c>
      <c r="B57">
        <v>1</v>
      </c>
      <c r="C57" t="str">
        <f>IF(AND(A57&gt;=SETTINGS!$B$4,A57&lt;=SETTINGS!$B$5),"Yes","No")</f>
        <v>Yes</v>
      </c>
      <c r="D57" t="str">
        <f>IFERROR(INDEX(SETTINGS!$C$15:$C$24,MATCH(A57,SETTINGS!$A$15:$A$24,0)),"No")</f>
        <v>Yes</v>
      </c>
      <c r="E57">
        <v>3</v>
      </c>
      <c r="F57" t="s">
        <v>36</v>
      </c>
      <c r="G57">
        <v>77</v>
      </c>
      <c r="H57" t="s">
        <v>111</v>
      </c>
      <c r="I57" t="s">
        <v>30</v>
      </c>
      <c r="J57" t="s">
        <v>32</v>
      </c>
      <c r="K57" t="s">
        <v>3</v>
      </c>
      <c r="L57" s="36">
        <f ca="1">IF(C57&lt;&gt;"Yes",0,IF(A57=2025,N('2025'!D77),IF(A57=2026,N('2026'!D77),IF(A57=2027,N('2027'!D77),IF(A57=2028,N('2028'!D77),IF(A57=2029,N('2029'!D77),IF(A57=2030,N('2030'!D77),IF(A57=2031,N('2031'!D77),IF(A57=2032,N('2032'!D77),IF(A57=2033,N('2033'!D77),IF(A57=2034,N('2034'!D77),IFERROR(N(INDIRECT("'"&amp;A57&amp;"'!D"&amp;G57)),0))))))))))))</f>
        <v>0</v>
      </c>
      <c r="M57" s="36">
        <f>IFERROR(IF(NOT(ISBLANK(KPI_TARGETS!$G$22)),KPI_TARGETS!$G$22,IF(NOT(ISBLANK(KPI_TARGETS!$F$22)),KPI_TARGETS!$F$22,"")),"")</f>
        <v>1</v>
      </c>
      <c r="N57" s="36" t="str">
        <f>IFERROR(KPI_TARGETS!$E$22,"Higher is better")</f>
        <v>Higher is better</v>
      </c>
      <c r="O57" s="37">
        <f t="shared" ca="1" si="0"/>
        <v>0</v>
      </c>
      <c r="P57" t="str">
        <f t="shared" ca="1" si="1"/>
        <v>Red</v>
      </c>
      <c r="Q57" s="36">
        <f t="shared" ca="1" si="2"/>
        <v>-1</v>
      </c>
      <c r="R57" s="36" t="str">
        <f>""</f>
        <v/>
      </c>
      <c r="S57" s="36" t="str">
        <f>""</f>
        <v/>
      </c>
      <c r="T57" s="36" t="str">
        <f>""</f>
        <v/>
      </c>
      <c r="U57" s="36" t="str">
        <f>""</f>
        <v/>
      </c>
      <c r="V57" s="36" t="str">
        <f>""</f>
        <v/>
      </c>
      <c r="W57" s="36">
        <f t="shared" si="3"/>
        <v>1</v>
      </c>
      <c r="X57" t="str">
        <f t="shared" si="4"/>
        <v>OK</v>
      </c>
      <c r="Y57" t="str">
        <f>IF(MAIN!$H$3="Selected Year",IF(A57=MAIN!$B$3,"Yes","No"),IF(MAIN!$H$3="Included Years",IF(D57="Yes","Yes","No"),IF(C57="Yes","Yes","No")))</f>
        <v>Yes</v>
      </c>
      <c r="Z57" t="str">
        <f>IF(MAIN!$F$3="Project to Date",IF(AND(A57&gt;=SETTINGS!$B$4,A57&lt;MAIN!$B$3),"Yes",IF(AND(A57=MAIN!$B$3,E57&lt;=MAIN!$L$3),"Yes","No")),IF(OR(MAIN!$F$3="Full Year",MAIN!$D$3="All"),"Yes",IF(MAIN!$F$3="Monthly",IF(E57=MAIN!$L$3,"Yes","No"),IF(E57&lt;=MAIN!$L$3,"Yes","No"))))</f>
        <v>Yes</v>
      </c>
      <c r="AA57" t="str">
        <f t="shared" si="5"/>
        <v>Yes</v>
      </c>
    </row>
    <row r="58" spans="1:27" x14ac:dyDescent="0.3">
      <c r="A58">
        <f>INDEX(SETTINGS!$A$15:$A$24,$B58)</f>
        <v>2025</v>
      </c>
      <c r="B58">
        <v>1</v>
      </c>
      <c r="C58" t="str">
        <f>IF(AND(A58&gt;=SETTINGS!$B$4,A58&lt;=SETTINGS!$B$5),"Yes","No")</f>
        <v>Yes</v>
      </c>
      <c r="D58" t="str">
        <f>IFERROR(INDEX(SETTINGS!$C$15:$C$24,MATCH(A58,SETTINGS!$A$15:$A$24,0)),"No")</f>
        <v>Yes</v>
      </c>
      <c r="E58">
        <v>3</v>
      </c>
      <c r="F58" t="s">
        <v>36</v>
      </c>
      <c r="G58">
        <v>78</v>
      </c>
      <c r="H58" t="s">
        <v>112</v>
      </c>
      <c r="I58" t="s">
        <v>30</v>
      </c>
      <c r="J58" t="s">
        <v>33</v>
      </c>
      <c r="K58" t="s">
        <v>34</v>
      </c>
      <c r="L58" s="36">
        <f ca="1">IF(C58&lt;&gt;"Yes",0,IF(A58=2025,N('2025'!D78),IF(A58=2026,N('2026'!D78),IF(A58=2027,N('2027'!D78),IF(A58=2028,N('2028'!D78),IF(A58=2029,N('2029'!D78),IF(A58=2030,N('2030'!D78),IF(A58=2031,N('2031'!D78),IF(A58=2032,N('2032'!D78),IF(A58=2033,N('2033'!D78),IF(A58=2034,N('2034'!D78),IFERROR(N(INDIRECT("'"&amp;A58&amp;"'!D"&amp;G58)),0))))))))))))</f>
        <v>0</v>
      </c>
      <c r="M58" s="36">
        <f>IFERROR(IF(NOT(ISBLANK(KPI_TARGETS!$G$23)),KPI_TARGETS!$G$23,IF(NOT(ISBLANK(KPI_TARGETS!$F$23)),KPI_TARGETS!$F$23,"")),"")</f>
        <v>1</v>
      </c>
      <c r="N58" s="36" t="str">
        <f>IFERROR(KPI_TARGETS!$E$23,"Higher is better")</f>
        <v>Higher is better</v>
      </c>
      <c r="O58" s="37">
        <f t="shared" ca="1" si="0"/>
        <v>0</v>
      </c>
      <c r="P58" t="str">
        <f t="shared" ca="1" si="1"/>
        <v>Red</v>
      </c>
      <c r="Q58" s="36">
        <f t="shared" ca="1" si="2"/>
        <v>-1</v>
      </c>
      <c r="R58" s="36" t="str">
        <f>""</f>
        <v/>
      </c>
      <c r="S58" s="36" t="str">
        <f>""</f>
        <v/>
      </c>
      <c r="T58" s="36" t="str">
        <f>""</f>
        <v/>
      </c>
      <c r="U58" s="36" t="str">
        <f>""</f>
        <v/>
      </c>
      <c r="V58" s="36" t="str">
        <f>""</f>
        <v/>
      </c>
      <c r="W58" s="36">
        <f t="shared" si="3"/>
        <v>1</v>
      </c>
      <c r="X58" t="str">
        <f t="shared" si="4"/>
        <v>OK</v>
      </c>
      <c r="Y58" t="str">
        <f>IF(MAIN!$H$3="Selected Year",IF(A58=MAIN!$B$3,"Yes","No"),IF(MAIN!$H$3="Included Years",IF(D58="Yes","Yes","No"),IF(C58="Yes","Yes","No")))</f>
        <v>Yes</v>
      </c>
      <c r="Z58" t="str">
        <f>IF(MAIN!$F$3="Project to Date",IF(AND(A58&gt;=SETTINGS!$B$4,A58&lt;MAIN!$B$3),"Yes",IF(AND(A58=MAIN!$B$3,E58&lt;=MAIN!$L$3),"Yes","No")),IF(OR(MAIN!$F$3="Full Year",MAIN!$D$3="All"),"Yes",IF(MAIN!$F$3="Monthly",IF(E58=MAIN!$L$3,"Yes","No"),IF(E58&lt;=MAIN!$L$3,"Yes","No"))))</f>
        <v>Yes</v>
      </c>
      <c r="AA58" t="str">
        <f t="shared" si="5"/>
        <v>Yes</v>
      </c>
    </row>
    <row r="59" spans="1:27" x14ac:dyDescent="0.3">
      <c r="A59">
        <f>INDEX(SETTINGS!$A$15:$A$24,$B59)</f>
        <v>2025</v>
      </c>
      <c r="B59">
        <v>1</v>
      </c>
      <c r="C59" t="str">
        <f>IF(AND(A59&gt;=SETTINGS!$B$4,A59&lt;=SETTINGS!$B$5),"Yes","No")</f>
        <v>Yes</v>
      </c>
      <c r="D59" t="str">
        <f>IFERROR(INDEX(SETTINGS!$C$15:$C$24,MATCH(A59,SETTINGS!$A$15:$A$24,0)),"No")</f>
        <v>Yes</v>
      </c>
      <c r="E59">
        <v>4</v>
      </c>
      <c r="F59" t="s">
        <v>37</v>
      </c>
      <c r="G59">
        <v>81</v>
      </c>
      <c r="H59" t="s">
        <v>88</v>
      </c>
      <c r="I59" t="s">
        <v>89</v>
      </c>
      <c r="J59" t="s">
        <v>10</v>
      </c>
      <c r="K59" t="s">
        <v>3</v>
      </c>
      <c r="L59" s="36">
        <f ca="1">IF(C59&lt;&gt;"Yes",0,IF(A59=2025,N('2025'!D81),IF(A59=2026,N('2026'!D81),IF(A59=2027,N('2027'!D81),IF(A59=2028,N('2028'!D81),IF(A59=2029,N('2029'!D81),IF(A59=2030,N('2030'!D81),IF(A59=2031,N('2031'!D81),IF(A59=2032,N('2032'!D81),IF(A59=2033,N('2033'!D81),IF(A59=2034,N('2034'!D81),IFERROR(N(INDIRECT("'"&amp;A59&amp;"'!D"&amp;G59)),0))))))))))))</f>
        <v>0</v>
      </c>
      <c r="M59" s="36">
        <f>IFERROR(IF(NOT(ISBLANK(KPI_TARGETS!$G$5)),KPI_TARGETS!$G$5,IF(NOT(ISBLANK(KPI_TARGETS!$F$5)),KPI_TARGETS!$F$5,"")),"")</f>
        <v>104</v>
      </c>
      <c r="N59" s="36" t="str">
        <f>IFERROR(KPI_TARGETS!$E$5,"Higher is better")</f>
        <v>Higher is better</v>
      </c>
      <c r="O59" s="37">
        <f t="shared" ca="1" si="0"/>
        <v>0</v>
      </c>
      <c r="P59" t="str">
        <f t="shared" ca="1" si="1"/>
        <v>Red</v>
      </c>
      <c r="Q59" s="36">
        <f t="shared" ca="1" si="2"/>
        <v>-104</v>
      </c>
      <c r="R59" s="36" t="str">
        <f>""</f>
        <v/>
      </c>
      <c r="S59" s="36" t="str">
        <f>""</f>
        <v/>
      </c>
      <c r="T59" s="36" t="str">
        <f>""</f>
        <v/>
      </c>
      <c r="U59" s="36" t="str">
        <f>""</f>
        <v/>
      </c>
      <c r="V59" s="36" t="str">
        <f>""</f>
        <v/>
      </c>
      <c r="W59" s="36">
        <f t="shared" si="3"/>
        <v>1</v>
      </c>
      <c r="X59" t="str">
        <f t="shared" si="4"/>
        <v>OK</v>
      </c>
      <c r="Y59" t="str">
        <f>IF(MAIN!$H$3="Selected Year",IF(A59=MAIN!$B$3,"Yes","No"),IF(MAIN!$H$3="Included Years",IF(D59="Yes","Yes","No"),IF(C59="Yes","Yes","No")))</f>
        <v>Yes</v>
      </c>
      <c r="Z59" t="str">
        <f>IF(MAIN!$F$3="Project to Date",IF(AND(A59&gt;=SETTINGS!$B$4,A59&lt;MAIN!$B$3),"Yes",IF(AND(A59=MAIN!$B$3,E59&lt;=MAIN!$L$3),"Yes","No")),IF(OR(MAIN!$F$3="Full Year",MAIN!$D$3="All"),"Yes",IF(MAIN!$F$3="Monthly",IF(E59=MAIN!$L$3,"Yes","No"),IF(E59&lt;=MAIN!$L$3,"Yes","No"))))</f>
        <v>Yes</v>
      </c>
      <c r="AA59" t="str">
        <f t="shared" si="5"/>
        <v>Yes</v>
      </c>
    </row>
    <row r="60" spans="1:27" x14ac:dyDescent="0.3">
      <c r="A60">
        <f>INDEX(SETTINGS!$A$15:$A$24,$B60)</f>
        <v>2025</v>
      </c>
      <c r="B60">
        <v>1</v>
      </c>
      <c r="C60" t="str">
        <f>IF(AND(A60&gt;=SETTINGS!$B$4,A60&lt;=SETTINGS!$B$5),"Yes","No")</f>
        <v>Yes</v>
      </c>
      <c r="D60" t="str">
        <f>IFERROR(INDEX(SETTINGS!$C$15:$C$24,MATCH(A60,SETTINGS!$A$15:$A$24,0)),"No")</f>
        <v>Yes</v>
      </c>
      <c r="E60">
        <v>4</v>
      </c>
      <c r="F60" t="s">
        <v>37</v>
      </c>
      <c r="G60">
        <v>82</v>
      </c>
      <c r="H60" t="s">
        <v>91</v>
      </c>
      <c r="I60" t="s">
        <v>89</v>
      </c>
      <c r="J60" t="s">
        <v>11</v>
      </c>
      <c r="K60" t="s">
        <v>12</v>
      </c>
      <c r="L60" s="36">
        <f ca="1">IF(C60&lt;&gt;"Yes",0,IF(A60=2025,N('2025'!D82),IF(A60=2026,N('2026'!D82),IF(A60=2027,N('2027'!D82),IF(A60=2028,N('2028'!D82),IF(A60=2029,N('2029'!D82),IF(A60=2030,N('2030'!D82),IF(A60=2031,N('2031'!D82),IF(A60=2032,N('2032'!D82),IF(A60=2033,N('2033'!D82),IF(A60=2034,N('2034'!D82),IFERROR(N(INDIRECT("'"&amp;A60&amp;"'!D"&amp;G60)),0))))))))))))</f>
        <v>0</v>
      </c>
      <c r="M60" s="36">
        <f>IFERROR(IF(NOT(ISBLANK(KPI_TARGETS!$G$6)),KPI_TARGETS!$G$6,IF(NOT(ISBLANK(KPI_TARGETS!$F$6)),KPI_TARGETS!$F$6,"")),"")</f>
        <v>4000</v>
      </c>
      <c r="N60" s="36" t="str">
        <f>IFERROR(KPI_TARGETS!$E$6,"Higher is better")</f>
        <v>Higher is better</v>
      </c>
      <c r="O60" s="37">
        <f t="shared" ca="1" si="0"/>
        <v>0</v>
      </c>
      <c r="P60" t="str">
        <f t="shared" ca="1" si="1"/>
        <v>Red</v>
      </c>
      <c r="Q60" s="36">
        <f t="shared" ca="1" si="2"/>
        <v>-4000</v>
      </c>
      <c r="R60" s="36" t="str">
        <f>""</f>
        <v/>
      </c>
      <c r="S60" s="36" t="str">
        <f>""</f>
        <v/>
      </c>
      <c r="T60" s="36" t="str">
        <f>""</f>
        <v/>
      </c>
      <c r="U60" s="36" t="str">
        <f>""</f>
        <v/>
      </c>
      <c r="V60" s="36" t="str">
        <f>""</f>
        <v/>
      </c>
      <c r="W60" s="36">
        <f t="shared" si="3"/>
        <v>1</v>
      </c>
      <c r="X60" t="str">
        <f t="shared" si="4"/>
        <v>OK</v>
      </c>
      <c r="Y60" t="str">
        <f>IF(MAIN!$H$3="Selected Year",IF(A60=MAIN!$B$3,"Yes","No"),IF(MAIN!$H$3="Included Years",IF(D60="Yes","Yes","No"),IF(C60="Yes","Yes","No")))</f>
        <v>Yes</v>
      </c>
      <c r="Z60" t="str">
        <f>IF(MAIN!$F$3="Project to Date",IF(AND(A60&gt;=SETTINGS!$B$4,A60&lt;MAIN!$B$3),"Yes",IF(AND(A60=MAIN!$B$3,E60&lt;=MAIN!$L$3),"Yes","No")),IF(OR(MAIN!$F$3="Full Year",MAIN!$D$3="All"),"Yes",IF(MAIN!$F$3="Monthly",IF(E60=MAIN!$L$3,"Yes","No"),IF(E60&lt;=MAIN!$L$3,"Yes","No"))))</f>
        <v>Yes</v>
      </c>
      <c r="AA60" t="str">
        <f t="shared" si="5"/>
        <v>Yes</v>
      </c>
    </row>
    <row r="61" spans="1:27" x14ac:dyDescent="0.3">
      <c r="A61">
        <f>INDEX(SETTINGS!$A$15:$A$24,$B61)</f>
        <v>2025</v>
      </c>
      <c r="B61">
        <v>1</v>
      </c>
      <c r="C61" t="str">
        <f>IF(AND(A61&gt;=SETTINGS!$B$4,A61&lt;=SETTINGS!$B$5),"Yes","No")</f>
        <v>Yes</v>
      </c>
      <c r="D61" t="str">
        <f>IFERROR(INDEX(SETTINGS!$C$15:$C$24,MATCH(A61,SETTINGS!$A$15:$A$24,0)),"No")</f>
        <v>Yes</v>
      </c>
      <c r="E61">
        <v>4</v>
      </c>
      <c r="F61" t="s">
        <v>37</v>
      </c>
      <c r="G61">
        <v>83</v>
      </c>
      <c r="H61" t="s">
        <v>93</v>
      </c>
      <c r="I61" t="s">
        <v>89</v>
      </c>
      <c r="J61" t="s">
        <v>13</v>
      </c>
      <c r="K61" t="s">
        <v>14</v>
      </c>
      <c r="L61" s="36">
        <f ca="1">IF(C61&lt;&gt;"Yes",0,IF(A61=2025,N('2025'!D83),IF(A61=2026,N('2026'!D83),IF(A61=2027,N('2027'!D83),IF(A61=2028,N('2028'!D83),IF(A61=2029,N('2029'!D83),IF(A61=2030,N('2030'!D83),IF(A61=2031,N('2031'!D83),IF(A61=2032,N('2032'!D83),IF(A61=2033,N('2033'!D83),IF(A61=2034,N('2034'!D83),IFERROR(N(INDIRECT("'"&amp;A61&amp;"'!D"&amp;G61)),0))))))))))))</f>
        <v>0</v>
      </c>
      <c r="M61" s="36">
        <f>IFERROR(IF(NOT(ISBLANK(KPI_TARGETS!$G$7)),KPI_TARGETS!$G$7,IF(NOT(ISBLANK(KPI_TARGETS!$F$7)),KPI_TARGETS!$F$7,"")),"")</f>
        <v>8000</v>
      </c>
      <c r="N61" s="36" t="str">
        <f>IFERROR(KPI_TARGETS!$E$7,"Higher is better")</f>
        <v>Higher is better</v>
      </c>
      <c r="O61" s="37">
        <f t="shared" ca="1" si="0"/>
        <v>0</v>
      </c>
      <c r="P61" t="str">
        <f t="shared" ca="1" si="1"/>
        <v>Red</v>
      </c>
      <c r="Q61" s="36">
        <f t="shared" ca="1" si="2"/>
        <v>-8000</v>
      </c>
      <c r="R61" s="36" t="str">
        <f>""</f>
        <v/>
      </c>
      <c r="S61" s="36" t="str">
        <f>""</f>
        <v/>
      </c>
      <c r="T61" s="36" t="str">
        <f>""</f>
        <v/>
      </c>
      <c r="U61" s="36" t="str">
        <f>""</f>
        <v/>
      </c>
      <c r="V61" s="36" t="str">
        <f>""</f>
        <v/>
      </c>
      <c r="W61" s="36">
        <f t="shared" si="3"/>
        <v>1</v>
      </c>
      <c r="X61" t="str">
        <f t="shared" si="4"/>
        <v>OK</v>
      </c>
      <c r="Y61" t="str">
        <f>IF(MAIN!$H$3="Selected Year",IF(A61=MAIN!$B$3,"Yes","No"),IF(MAIN!$H$3="Included Years",IF(D61="Yes","Yes","No"),IF(C61="Yes","Yes","No")))</f>
        <v>Yes</v>
      </c>
      <c r="Z61" t="str">
        <f>IF(MAIN!$F$3="Project to Date",IF(AND(A61&gt;=SETTINGS!$B$4,A61&lt;MAIN!$B$3),"Yes",IF(AND(A61=MAIN!$B$3,E61&lt;=MAIN!$L$3),"Yes","No")),IF(OR(MAIN!$F$3="Full Year",MAIN!$D$3="All"),"Yes",IF(MAIN!$F$3="Monthly",IF(E61=MAIN!$L$3,"Yes","No"),IF(E61&lt;=MAIN!$L$3,"Yes","No"))))</f>
        <v>Yes</v>
      </c>
      <c r="AA61" t="str">
        <f t="shared" si="5"/>
        <v>Yes</v>
      </c>
    </row>
    <row r="62" spans="1:27" x14ac:dyDescent="0.3">
      <c r="A62">
        <f>INDEX(SETTINGS!$A$15:$A$24,$B62)</f>
        <v>2025</v>
      </c>
      <c r="B62">
        <v>1</v>
      </c>
      <c r="C62" t="str">
        <f>IF(AND(A62&gt;=SETTINGS!$B$4,A62&lt;=SETTINGS!$B$5),"Yes","No")</f>
        <v>Yes</v>
      </c>
      <c r="D62" t="str">
        <f>IFERROR(INDEX(SETTINGS!$C$15:$C$24,MATCH(A62,SETTINGS!$A$15:$A$24,0)),"No")</f>
        <v>Yes</v>
      </c>
      <c r="E62">
        <v>4</v>
      </c>
      <c r="F62" t="s">
        <v>37</v>
      </c>
      <c r="G62">
        <v>85</v>
      </c>
      <c r="H62" t="s">
        <v>95</v>
      </c>
      <c r="I62" t="s">
        <v>15</v>
      </c>
      <c r="J62" t="s">
        <v>16</v>
      </c>
      <c r="K62" t="s">
        <v>3</v>
      </c>
      <c r="L62" s="36">
        <f ca="1">IF(C62&lt;&gt;"Yes",0,IF(A62=2025,N('2025'!D85),IF(A62=2026,N('2026'!D85),IF(A62=2027,N('2027'!D85),IF(A62=2028,N('2028'!D85),IF(A62=2029,N('2029'!D85),IF(A62=2030,N('2030'!D85),IF(A62=2031,N('2031'!D85),IF(A62=2032,N('2032'!D85),IF(A62=2033,N('2033'!D85),IF(A62=2034,N('2034'!D85),IFERROR(N(INDIRECT("'"&amp;A62&amp;"'!D"&amp;G62)),0))))))))))))</f>
        <v>0</v>
      </c>
      <c r="M62" s="36">
        <f>IFERROR(IF(NOT(ISBLANK(KPI_TARGETS!$G$8)),KPI_TARGETS!$G$8,IF(NOT(ISBLANK(KPI_TARGETS!$F$8)),KPI_TARGETS!$F$8,"")),"")</f>
        <v>0</v>
      </c>
      <c r="N62" s="36" t="str">
        <f>IFERROR(KPI_TARGETS!$E$8,"Higher is better")</f>
        <v>Lower is better</v>
      </c>
      <c r="O62" s="37">
        <f t="shared" ca="1" si="0"/>
        <v>1</v>
      </c>
      <c r="P62" t="str">
        <f t="shared" ca="1" si="1"/>
        <v>Green</v>
      </c>
      <c r="Q62" s="36">
        <f t="shared" ca="1" si="2"/>
        <v>0</v>
      </c>
      <c r="R62" s="36" t="str">
        <f>""</f>
        <v/>
      </c>
      <c r="S62" s="36" t="str">
        <f>""</f>
        <v/>
      </c>
      <c r="T62" s="36" t="str">
        <f>""</f>
        <v/>
      </c>
      <c r="U62" s="36" t="str">
        <f>""</f>
        <v/>
      </c>
      <c r="V62" s="36" t="str">
        <f>""</f>
        <v/>
      </c>
      <c r="W62" s="36">
        <f t="shared" si="3"/>
        <v>1</v>
      </c>
      <c r="X62" t="str">
        <f t="shared" si="4"/>
        <v>OK</v>
      </c>
      <c r="Y62" t="str">
        <f>IF(MAIN!$H$3="Selected Year",IF(A62=MAIN!$B$3,"Yes","No"),IF(MAIN!$H$3="Included Years",IF(D62="Yes","Yes","No"),IF(C62="Yes","Yes","No")))</f>
        <v>Yes</v>
      </c>
      <c r="Z62" t="str">
        <f>IF(MAIN!$F$3="Project to Date",IF(AND(A62&gt;=SETTINGS!$B$4,A62&lt;MAIN!$B$3),"Yes",IF(AND(A62=MAIN!$B$3,E62&lt;=MAIN!$L$3),"Yes","No")),IF(OR(MAIN!$F$3="Full Year",MAIN!$D$3="All"),"Yes",IF(MAIN!$F$3="Monthly",IF(E62=MAIN!$L$3,"Yes","No"),IF(E62&lt;=MAIN!$L$3,"Yes","No"))))</f>
        <v>Yes</v>
      </c>
      <c r="AA62" t="str">
        <f t="shared" si="5"/>
        <v>Yes</v>
      </c>
    </row>
    <row r="63" spans="1:27" x14ac:dyDescent="0.3">
      <c r="A63">
        <f>INDEX(SETTINGS!$A$15:$A$24,$B63)</f>
        <v>2025</v>
      </c>
      <c r="B63">
        <v>1</v>
      </c>
      <c r="C63" t="str">
        <f>IF(AND(A63&gt;=SETTINGS!$B$4,A63&lt;=SETTINGS!$B$5),"Yes","No")</f>
        <v>Yes</v>
      </c>
      <c r="D63" t="str">
        <f>IFERROR(INDEX(SETTINGS!$C$15:$C$24,MATCH(A63,SETTINGS!$A$15:$A$24,0)),"No")</f>
        <v>Yes</v>
      </c>
      <c r="E63">
        <v>4</v>
      </c>
      <c r="F63" t="s">
        <v>37</v>
      </c>
      <c r="G63">
        <v>86</v>
      </c>
      <c r="H63" t="s">
        <v>97</v>
      </c>
      <c r="I63" t="s">
        <v>15</v>
      </c>
      <c r="J63" t="s">
        <v>17</v>
      </c>
      <c r="K63" t="s">
        <v>3</v>
      </c>
      <c r="L63" s="36">
        <f ca="1">IF(C63&lt;&gt;"Yes",0,IF(A63=2025,N('2025'!D86),IF(A63=2026,N('2026'!D86),IF(A63=2027,N('2027'!D86),IF(A63=2028,N('2028'!D86),IF(A63=2029,N('2029'!D86),IF(A63=2030,N('2030'!D86),IF(A63=2031,N('2031'!D86),IF(A63=2032,N('2032'!D86),IF(A63=2033,N('2033'!D86),IF(A63=2034,N('2034'!D86),IFERROR(N(INDIRECT("'"&amp;A63&amp;"'!D"&amp;G63)),0))))))))))))</f>
        <v>0</v>
      </c>
      <c r="M63" s="36">
        <f>IFERROR(IF(NOT(ISBLANK(KPI_TARGETS!$G$9)),KPI_TARGETS!$G$9,IF(NOT(ISBLANK(KPI_TARGETS!$F$9)),KPI_TARGETS!$F$9,"")),"")</f>
        <v>0</v>
      </c>
      <c r="N63" s="36" t="str">
        <f>IFERROR(KPI_TARGETS!$E$9,"Higher is better")</f>
        <v>Higher is better</v>
      </c>
      <c r="O63" s="37" t="str">
        <f t="shared" ca="1" si="0"/>
        <v/>
      </c>
      <c r="P63" t="str">
        <f t="shared" ca="1" si="1"/>
        <v>Green</v>
      </c>
      <c r="Q63" s="36">
        <f t="shared" ca="1" si="2"/>
        <v>0</v>
      </c>
      <c r="R63" s="36" t="str">
        <f>""</f>
        <v/>
      </c>
      <c r="S63" s="36" t="str">
        <f>""</f>
        <v/>
      </c>
      <c r="T63" s="36" t="str">
        <f>""</f>
        <v/>
      </c>
      <c r="U63" s="36" t="str">
        <f>""</f>
        <v/>
      </c>
      <c r="V63" s="36" t="str">
        <f>""</f>
        <v/>
      </c>
      <c r="W63" s="36">
        <f t="shared" si="3"/>
        <v>1</v>
      </c>
      <c r="X63" t="str">
        <f t="shared" si="4"/>
        <v>OK</v>
      </c>
      <c r="Y63" t="str">
        <f>IF(MAIN!$H$3="Selected Year",IF(A63=MAIN!$B$3,"Yes","No"),IF(MAIN!$H$3="Included Years",IF(D63="Yes","Yes","No"),IF(C63="Yes","Yes","No")))</f>
        <v>Yes</v>
      </c>
      <c r="Z63" t="str">
        <f>IF(MAIN!$F$3="Project to Date",IF(AND(A63&gt;=SETTINGS!$B$4,A63&lt;MAIN!$B$3),"Yes",IF(AND(A63=MAIN!$B$3,E63&lt;=MAIN!$L$3),"Yes","No")),IF(OR(MAIN!$F$3="Full Year",MAIN!$D$3="All"),"Yes",IF(MAIN!$F$3="Monthly",IF(E63=MAIN!$L$3,"Yes","No"),IF(E63&lt;=MAIN!$L$3,"Yes","No"))))</f>
        <v>Yes</v>
      </c>
      <c r="AA63" t="str">
        <f t="shared" si="5"/>
        <v>Yes</v>
      </c>
    </row>
    <row r="64" spans="1:27" x14ac:dyDescent="0.3">
      <c r="A64">
        <f>INDEX(SETTINGS!$A$15:$A$24,$B64)</f>
        <v>2025</v>
      </c>
      <c r="B64">
        <v>1</v>
      </c>
      <c r="C64" t="str">
        <f>IF(AND(A64&gt;=SETTINGS!$B$4,A64&lt;=SETTINGS!$B$5),"Yes","No")</f>
        <v>Yes</v>
      </c>
      <c r="D64" t="str">
        <f>IFERROR(INDEX(SETTINGS!$C$15:$C$24,MATCH(A64,SETTINGS!$A$15:$A$24,0)),"No")</f>
        <v>Yes</v>
      </c>
      <c r="E64">
        <v>4</v>
      </c>
      <c r="F64" t="s">
        <v>37</v>
      </c>
      <c r="G64">
        <v>87</v>
      </c>
      <c r="H64" t="s">
        <v>99</v>
      </c>
      <c r="I64" t="s">
        <v>15</v>
      </c>
      <c r="J64" t="s">
        <v>18</v>
      </c>
      <c r="K64" t="s">
        <v>3</v>
      </c>
      <c r="L64" s="36">
        <f ca="1">IF(C64&lt;&gt;"Yes",0,IF(A64=2025,N('2025'!D87),IF(A64=2026,N('2026'!D87),IF(A64=2027,N('2027'!D87),IF(A64=2028,N('2028'!D87),IF(A64=2029,N('2029'!D87),IF(A64=2030,N('2030'!D87),IF(A64=2031,N('2031'!D87),IF(A64=2032,N('2032'!D87),IF(A64=2033,N('2033'!D87),IF(A64=2034,N('2034'!D87),IFERROR(N(INDIRECT("'"&amp;A64&amp;"'!D"&amp;G64)),0))))))))))))</f>
        <v>0</v>
      </c>
      <c r="M64" s="36">
        <f>IFERROR(IF(NOT(ISBLANK(KPI_TARGETS!$G$10)),KPI_TARGETS!$G$10,IF(NOT(ISBLANK(KPI_TARGETS!$F$10)),KPI_TARGETS!$F$10,"")),"")</f>
        <v>0</v>
      </c>
      <c r="N64" s="36" t="str">
        <f>IFERROR(KPI_TARGETS!$E$10,"Higher is better")</f>
        <v>Lower is better</v>
      </c>
      <c r="O64" s="37">
        <f t="shared" ca="1" si="0"/>
        <v>1</v>
      </c>
      <c r="P64" t="str">
        <f t="shared" ca="1" si="1"/>
        <v>Green</v>
      </c>
      <c r="Q64" s="36">
        <f t="shared" ca="1" si="2"/>
        <v>0</v>
      </c>
      <c r="R64" s="36" t="str">
        <f>""</f>
        <v/>
      </c>
      <c r="S64" s="36" t="str">
        <f>""</f>
        <v/>
      </c>
      <c r="T64" s="36" t="str">
        <f>""</f>
        <v/>
      </c>
      <c r="U64" s="36" t="str">
        <f>""</f>
        <v/>
      </c>
      <c r="V64" s="36" t="str">
        <f>""</f>
        <v/>
      </c>
      <c r="W64" s="36">
        <f t="shared" si="3"/>
        <v>1</v>
      </c>
      <c r="X64" t="str">
        <f t="shared" si="4"/>
        <v>OK</v>
      </c>
      <c r="Y64" t="str">
        <f>IF(MAIN!$H$3="Selected Year",IF(A64=MAIN!$B$3,"Yes","No"),IF(MAIN!$H$3="Included Years",IF(D64="Yes","Yes","No"),IF(C64="Yes","Yes","No")))</f>
        <v>Yes</v>
      </c>
      <c r="Z64" t="str">
        <f>IF(MAIN!$F$3="Project to Date",IF(AND(A64&gt;=SETTINGS!$B$4,A64&lt;MAIN!$B$3),"Yes",IF(AND(A64=MAIN!$B$3,E64&lt;=MAIN!$L$3),"Yes","No")),IF(OR(MAIN!$F$3="Full Year",MAIN!$D$3="All"),"Yes",IF(MAIN!$F$3="Monthly",IF(E64=MAIN!$L$3,"Yes","No"),IF(E64&lt;=MAIN!$L$3,"Yes","No"))))</f>
        <v>Yes</v>
      </c>
      <c r="AA64" t="str">
        <f t="shared" si="5"/>
        <v>Yes</v>
      </c>
    </row>
    <row r="65" spans="1:27" x14ac:dyDescent="0.3">
      <c r="A65">
        <f>INDEX(SETTINGS!$A$15:$A$24,$B65)</f>
        <v>2025</v>
      </c>
      <c r="B65">
        <v>1</v>
      </c>
      <c r="C65" t="str">
        <f>IF(AND(A65&gt;=SETTINGS!$B$4,A65&lt;=SETTINGS!$B$5),"Yes","No")</f>
        <v>Yes</v>
      </c>
      <c r="D65" t="str">
        <f>IFERROR(INDEX(SETTINGS!$C$15:$C$24,MATCH(A65,SETTINGS!$A$15:$A$24,0)),"No")</f>
        <v>Yes</v>
      </c>
      <c r="E65">
        <v>4</v>
      </c>
      <c r="F65" t="s">
        <v>37</v>
      </c>
      <c r="G65">
        <v>88</v>
      </c>
      <c r="H65" t="s">
        <v>100</v>
      </c>
      <c r="I65" t="s">
        <v>15</v>
      </c>
      <c r="J65" t="s">
        <v>19</v>
      </c>
      <c r="K65" t="s">
        <v>3</v>
      </c>
      <c r="L65" s="36">
        <f ca="1">IF(C65&lt;&gt;"Yes",0,IF(A65=2025,N('2025'!D88),IF(A65=2026,N('2026'!D88),IF(A65=2027,N('2027'!D88),IF(A65=2028,N('2028'!D88),IF(A65=2029,N('2029'!D88),IF(A65=2030,N('2030'!D88),IF(A65=2031,N('2031'!D88),IF(A65=2032,N('2032'!D88),IF(A65=2033,N('2033'!D88),IF(A65=2034,N('2034'!D88),IFERROR(N(INDIRECT("'"&amp;A65&amp;"'!D"&amp;G65)),0))))))))))))</f>
        <v>0</v>
      </c>
      <c r="M65" s="36">
        <f>IFERROR(IF(NOT(ISBLANK(KPI_TARGETS!$G$11)),KPI_TARGETS!$G$11,IF(NOT(ISBLANK(KPI_TARGETS!$F$11)),KPI_TARGETS!$F$11,"")),"")</f>
        <v>0</v>
      </c>
      <c r="N65" s="36" t="str">
        <f>IFERROR(KPI_TARGETS!$E$11,"Higher is better")</f>
        <v>Lower is better</v>
      </c>
      <c r="O65" s="37">
        <f t="shared" ca="1" si="0"/>
        <v>1</v>
      </c>
      <c r="P65" t="str">
        <f t="shared" ca="1" si="1"/>
        <v>Green</v>
      </c>
      <c r="Q65" s="36">
        <f t="shared" ca="1" si="2"/>
        <v>0</v>
      </c>
      <c r="R65" s="36" t="str">
        <f>""</f>
        <v/>
      </c>
      <c r="S65" s="36" t="str">
        <f>""</f>
        <v/>
      </c>
      <c r="T65" s="36" t="str">
        <f>""</f>
        <v/>
      </c>
      <c r="U65" s="36" t="str">
        <f>""</f>
        <v/>
      </c>
      <c r="V65" s="36" t="str">
        <f>""</f>
        <v/>
      </c>
      <c r="W65" s="36">
        <f t="shared" si="3"/>
        <v>1</v>
      </c>
      <c r="X65" t="str">
        <f t="shared" si="4"/>
        <v>OK</v>
      </c>
      <c r="Y65" t="str">
        <f>IF(MAIN!$H$3="Selected Year",IF(A65=MAIN!$B$3,"Yes","No"),IF(MAIN!$H$3="Included Years",IF(D65="Yes","Yes","No"),IF(C65="Yes","Yes","No")))</f>
        <v>Yes</v>
      </c>
      <c r="Z65" t="str">
        <f>IF(MAIN!$F$3="Project to Date",IF(AND(A65&gt;=SETTINGS!$B$4,A65&lt;MAIN!$B$3),"Yes",IF(AND(A65=MAIN!$B$3,E65&lt;=MAIN!$L$3),"Yes","No")),IF(OR(MAIN!$F$3="Full Year",MAIN!$D$3="All"),"Yes",IF(MAIN!$F$3="Monthly",IF(E65=MAIN!$L$3,"Yes","No"),IF(E65&lt;=MAIN!$L$3,"Yes","No"))))</f>
        <v>Yes</v>
      </c>
      <c r="AA65" t="str">
        <f t="shared" si="5"/>
        <v>Yes</v>
      </c>
    </row>
    <row r="66" spans="1:27" x14ac:dyDescent="0.3">
      <c r="A66">
        <f>INDEX(SETTINGS!$A$15:$A$24,$B66)</f>
        <v>2025</v>
      </c>
      <c r="B66">
        <v>1</v>
      </c>
      <c r="C66" t="str">
        <f>IF(AND(A66&gt;=SETTINGS!$B$4,A66&lt;=SETTINGS!$B$5),"Yes","No")</f>
        <v>Yes</v>
      </c>
      <c r="D66" t="str">
        <f>IFERROR(INDEX(SETTINGS!$C$15:$C$24,MATCH(A66,SETTINGS!$A$15:$A$24,0)),"No")</f>
        <v>Yes</v>
      </c>
      <c r="E66">
        <v>4</v>
      </c>
      <c r="F66" t="s">
        <v>37</v>
      </c>
      <c r="G66">
        <v>89</v>
      </c>
      <c r="H66" t="s">
        <v>101</v>
      </c>
      <c r="I66" t="s">
        <v>15</v>
      </c>
      <c r="J66" t="s">
        <v>20</v>
      </c>
      <c r="K66" t="s">
        <v>3</v>
      </c>
      <c r="L66" s="36">
        <f ca="1">IF(C66&lt;&gt;"Yes",0,IF(A66=2025,N('2025'!D89),IF(A66=2026,N('2026'!D89),IF(A66=2027,N('2027'!D89),IF(A66=2028,N('2028'!D89),IF(A66=2029,N('2029'!D89),IF(A66=2030,N('2030'!D89),IF(A66=2031,N('2031'!D89),IF(A66=2032,N('2032'!D89),IF(A66=2033,N('2033'!D89),IF(A66=2034,N('2034'!D89),IFERROR(N(INDIRECT("'"&amp;A66&amp;"'!D"&amp;G66)),0))))))))))))</f>
        <v>0</v>
      </c>
      <c r="M66" s="36">
        <f>IFERROR(IF(NOT(ISBLANK(KPI_TARGETS!$G$12)),KPI_TARGETS!$G$12,IF(NOT(ISBLANK(KPI_TARGETS!$F$12)),KPI_TARGETS!$F$12,"")),"")</f>
        <v>0</v>
      </c>
      <c r="N66" s="36" t="str">
        <f>IFERROR(KPI_TARGETS!$E$12,"Higher is better")</f>
        <v>Lower is better</v>
      </c>
      <c r="O66" s="37">
        <f t="shared" ref="O66:O129" ca="1" si="6">IF(M66="","",IF(N66="Higher is better",IFERROR(L66/M66,""),IF(L66=0,1,IFERROR(M66/L66,""))))</f>
        <v>1</v>
      </c>
      <c r="P66" t="str">
        <f t="shared" ref="P66:P129" ca="1" si="7">IF(M66="","Target Needed",IF(N66="Higher is better",IF(L66&gt;=M66,"Green",IF(L66&gt;=0.8*M66,"Amber","Red")),IF(M66=0,IF(L66=0,"Green","Red"),IF(L66&lt;=M66,"Green",IF(L66&lt;=1.25*M66,"Amber","Red")))))</f>
        <v>Green</v>
      </c>
      <c r="Q66" s="36">
        <f t="shared" ref="Q66:Q129" ca="1" si="8">IF(M66="","",IF(N66="Higher is better",L66-M66,M66-L66))</f>
        <v>0</v>
      </c>
      <c r="R66" s="36" t="str">
        <f>""</f>
        <v/>
      </c>
      <c r="S66" s="36" t="str">
        <f>""</f>
        <v/>
      </c>
      <c r="T66" s="36" t="str">
        <f>""</f>
        <v/>
      </c>
      <c r="U66" s="36" t="str">
        <f>""</f>
        <v/>
      </c>
      <c r="V66" s="36" t="str">
        <f>""</f>
        <v/>
      </c>
      <c r="W66" s="36">
        <f t="shared" ref="W66:W129" si="9">IF(LEN(M66&amp;"")&gt;0,1,0)</f>
        <v>1</v>
      </c>
      <c r="X66" t="str">
        <f t="shared" ref="X66:X129" si="10">IF(C66&lt;&gt;"Yes","Inactive",IF(M66="","Missing target","OK"))</f>
        <v>OK</v>
      </c>
      <c r="Y66" t="str">
        <f>IF(MAIN!$H$3="Selected Year",IF(A66=MAIN!$B$3,"Yes","No"),IF(MAIN!$H$3="Included Years",IF(D66="Yes","Yes","No"),IF(C66="Yes","Yes","No")))</f>
        <v>Yes</v>
      </c>
      <c r="Z66" t="str">
        <f>IF(MAIN!$F$3="Project to Date",IF(AND(A66&gt;=SETTINGS!$B$4,A66&lt;MAIN!$B$3),"Yes",IF(AND(A66=MAIN!$B$3,E66&lt;=MAIN!$L$3),"Yes","No")),IF(OR(MAIN!$F$3="Full Year",MAIN!$D$3="All"),"Yes",IF(MAIN!$F$3="Monthly",IF(E66=MAIN!$L$3,"Yes","No"),IF(E66&lt;=MAIN!$L$3,"Yes","No"))))</f>
        <v>Yes</v>
      </c>
      <c r="AA66" t="str">
        <f t="shared" ref="AA66:AA129" si="11">IF(AND(Y66="Yes",Z66="Yes"),"Yes","No")</f>
        <v>Yes</v>
      </c>
    </row>
    <row r="67" spans="1:27" x14ac:dyDescent="0.3">
      <c r="A67">
        <f>INDEX(SETTINGS!$A$15:$A$24,$B67)</f>
        <v>2025</v>
      </c>
      <c r="B67">
        <v>1</v>
      </c>
      <c r="C67" t="str">
        <f>IF(AND(A67&gt;=SETTINGS!$B$4,A67&lt;=SETTINGS!$B$5),"Yes","No")</f>
        <v>Yes</v>
      </c>
      <c r="D67" t="str">
        <f>IFERROR(INDEX(SETTINGS!$C$15:$C$24,MATCH(A67,SETTINGS!$A$15:$A$24,0)),"No")</f>
        <v>Yes</v>
      </c>
      <c r="E67">
        <v>4</v>
      </c>
      <c r="F67" t="s">
        <v>37</v>
      </c>
      <c r="G67">
        <v>90</v>
      </c>
      <c r="H67" t="s">
        <v>102</v>
      </c>
      <c r="I67" t="s">
        <v>15</v>
      </c>
      <c r="J67" t="s">
        <v>21</v>
      </c>
      <c r="K67" t="s">
        <v>3</v>
      </c>
      <c r="L67" s="36">
        <f ca="1">IF(C67&lt;&gt;"Yes",0,IF(A67=2025,N('2025'!D90),IF(A67=2026,N('2026'!D90),IF(A67=2027,N('2027'!D90),IF(A67=2028,N('2028'!D90),IF(A67=2029,N('2029'!D90),IF(A67=2030,N('2030'!D90),IF(A67=2031,N('2031'!D90),IF(A67=2032,N('2032'!D90),IF(A67=2033,N('2033'!D90),IF(A67=2034,N('2034'!D90),IFERROR(N(INDIRECT("'"&amp;A67&amp;"'!D"&amp;G67)),0))))))))))))</f>
        <v>0</v>
      </c>
      <c r="M67" s="36">
        <f>IFERROR(IF(NOT(ISBLANK(KPI_TARGETS!$G$13)),KPI_TARGETS!$G$13,IF(NOT(ISBLANK(KPI_TARGETS!$F$13)),KPI_TARGETS!$F$13,"")),"")</f>
        <v>0</v>
      </c>
      <c r="N67" s="36" t="str">
        <f>IFERROR(KPI_TARGETS!$E$13,"Higher is better")</f>
        <v>Lower is better</v>
      </c>
      <c r="O67" s="37">
        <f t="shared" ca="1" si="6"/>
        <v>1</v>
      </c>
      <c r="P67" t="str">
        <f t="shared" ca="1" si="7"/>
        <v>Green</v>
      </c>
      <c r="Q67" s="36">
        <f t="shared" ca="1" si="8"/>
        <v>0</v>
      </c>
      <c r="R67" s="36" t="str">
        <f>""</f>
        <v/>
      </c>
      <c r="S67" s="36" t="str">
        <f>""</f>
        <v/>
      </c>
      <c r="T67" s="36" t="str">
        <f>""</f>
        <v/>
      </c>
      <c r="U67" s="36" t="str">
        <f>""</f>
        <v/>
      </c>
      <c r="V67" s="36" t="str">
        <f>""</f>
        <v/>
      </c>
      <c r="W67" s="36">
        <f t="shared" si="9"/>
        <v>1</v>
      </c>
      <c r="X67" t="str">
        <f t="shared" si="10"/>
        <v>OK</v>
      </c>
      <c r="Y67" t="str">
        <f>IF(MAIN!$H$3="Selected Year",IF(A67=MAIN!$B$3,"Yes","No"),IF(MAIN!$H$3="Included Years",IF(D67="Yes","Yes","No"),IF(C67="Yes","Yes","No")))</f>
        <v>Yes</v>
      </c>
      <c r="Z67" t="str">
        <f>IF(MAIN!$F$3="Project to Date",IF(AND(A67&gt;=SETTINGS!$B$4,A67&lt;MAIN!$B$3),"Yes",IF(AND(A67=MAIN!$B$3,E67&lt;=MAIN!$L$3),"Yes","No")),IF(OR(MAIN!$F$3="Full Year",MAIN!$D$3="All"),"Yes",IF(MAIN!$F$3="Monthly",IF(E67=MAIN!$L$3,"Yes","No"),IF(E67&lt;=MAIN!$L$3,"Yes","No"))))</f>
        <v>Yes</v>
      </c>
      <c r="AA67" t="str">
        <f t="shared" si="11"/>
        <v>Yes</v>
      </c>
    </row>
    <row r="68" spans="1:27" x14ac:dyDescent="0.3">
      <c r="A68">
        <f>INDEX(SETTINGS!$A$15:$A$24,$B68)</f>
        <v>2025</v>
      </c>
      <c r="B68">
        <v>1</v>
      </c>
      <c r="C68" t="str">
        <f>IF(AND(A68&gt;=SETTINGS!$B$4,A68&lt;=SETTINGS!$B$5),"Yes","No")</f>
        <v>Yes</v>
      </c>
      <c r="D68" t="str">
        <f>IFERROR(INDEX(SETTINGS!$C$15:$C$24,MATCH(A68,SETTINGS!$A$15:$A$24,0)),"No")</f>
        <v>Yes</v>
      </c>
      <c r="E68">
        <v>4</v>
      </c>
      <c r="F68" t="s">
        <v>37</v>
      </c>
      <c r="G68">
        <v>92</v>
      </c>
      <c r="H68" t="s">
        <v>103</v>
      </c>
      <c r="I68" t="s">
        <v>22</v>
      </c>
      <c r="J68" t="s">
        <v>23</v>
      </c>
      <c r="K68" t="s">
        <v>3</v>
      </c>
      <c r="L68" s="36">
        <f ca="1">IF(C68&lt;&gt;"Yes",0,IF(A68=2025,N('2025'!D92),IF(A68=2026,N('2026'!D92),IF(A68=2027,N('2027'!D92),IF(A68=2028,N('2028'!D92),IF(A68=2029,N('2029'!D92),IF(A68=2030,N('2030'!D92),IF(A68=2031,N('2031'!D92),IF(A68=2032,N('2032'!D92),IF(A68=2033,N('2033'!D92),IF(A68=2034,N('2034'!D92),IFERROR(N(INDIRECT("'"&amp;A68&amp;"'!D"&amp;G68)),0))))))))))))</f>
        <v>0</v>
      </c>
      <c r="M68" s="36">
        <f>IFERROR(IF(NOT(ISBLANK(KPI_TARGETS!$G$14)),KPI_TARGETS!$G$14,IF(NOT(ISBLANK(KPI_TARGETS!$F$14)),KPI_TARGETS!$F$14,"")),"")</f>
        <v>35</v>
      </c>
      <c r="N68" s="36" t="str">
        <f>IFERROR(KPI_TARGETS!$E$14,"Higher is better")</f>
        <v>Higher is better</v>
      </c>
      <c r="O68" s="37">
        <f t="shared" ca="1" si="6"/>
        <v>0</v>
      </c>
      <c r="P68" t="str">
        <f t="shared" ca="1" si="7"/>
        <v>Red</v>
      </c>
      <c r="Q68" s="36">
        <f t="shared" ca="1" si="8"/>
        <v>-35</v>
      </c>
      <c r="R68" s="36" t="str">
        <f>""</f>
        <v/>
      </c>
      <c r="S68" s="36" t="str">
        <f>""</f>
        <v/>
      </c>
      <c r="T68" s="36" t="str">
        <f>""</f>
        <v/>
      </c>
      <c r="U68" s="36" t="str">
        <f>""</f>
        <v/>
      </c>
      <c r="V68" s="36" t="str">
        <f>""</f>
        <v/>
      </c>
      <c r="W68" s="36">
        <f t="shared" si="9"/>
        <v>1</v>
      </c>
      <c r="X68" t="str">
        <f t="shared" si="10"/>
        <v>OK</v>
      </c>
      <c r="Y68" t="str">
        <f>IF(MAIN!$H$3="Selected Year",IF(A68=MAIN!$B$3,"Yes","No"),IF(MAIN!$H$3="Included Years",IF(D68="Yes","Yes","No"),IF(C68="Yes","Yes","No")))</f>
        <v>Yes</v>
      </c>
      <c r="Z68" t="str">
        <f>IF(MAIN!$F$3="Project to Date",IF(AND(A68&gt;=SETTINGS!$B$4,A68&lt;MAIN!$B$3),"Yes",IF(AND(A68=MAIN!$B$3,E68&lt;=MAIN!$L$3),"Yes","No")),IF(OR(MAIN!$F$3="Full Year",MAIN!$D$3="All"),"Yes",IF(MAIN!$F$3="Monthly",IF(E68=MAIN!$L$3,"Yes","No"),IF(E68&lt;=MAIN!$L$3,"Yes","No"))))</f>
        <v>Yes</v>
      </c>
      <c r="AA68" t="str">
        <f t="shared" si="11"/>
        <v>Yes</v>
      </c>
    </row>
    <row r="69" spans="1:27" x14ac:dyDescent="0.3">
      <c r="A69">
        <f>INDEX(SETTINGS!$A$15:$A$24,$B69)</f>
        <v>2025</v>
      </c>
      <c r="B69">
        <v>1</v>
      </c>
      <c r="C69" t="str">
        <f>IF(AND(A69&gt;=SETTINGS!$B$4,A69&lt;=SETTINGS!$B$5),"Yes","No")</f>
        <v>Yes</v>
      </c>
      <c r="D69" t="str">
        <f>IFERROR(INDEX(SETTINGS!$C$15:$C$24,MATCH(A69,SETTINGS!$A$15:$A$24,0)),"No")</f>
        <v>Yes</v>
      </c>
      <c r="E69">
        <v>4</v>
      </c>
      <c r="F69" t="s">
        <v>37</v>
      </c>
      <c r="G69">
        <v>93</v>
      </c>
      <c r="H69" t="s">
        <v>104</v>
      </c>
      <c r="I69" t="s">
        <v>22</v>
      </c>
      <c r="J69" t="s">
        <v>24</v>
      </c>
      <c r="K69" t="s">
        <v>3</v>
      </c>
      <c r="L69" s="36">
        <f ca="1">IF(C69&lt;&gt;"Yes",0,IF(A69=2025,N('2025'!D93),IF(A69=2026,N('2026'!D93),IF(A69=2027,N('2027'!D93),IF(A69=2028,N('2028'!D93),IF(A69=2029,N('2029'!D93),IF(A69=2030,N('2030'!D93),IF(A69=2031,N('2031'!D93),IF(A69=2032,N('2032'!D93),IF(A69=2033,N('2033'!D93),IF(A69=2034,N('2034'!D93),IFERROR(N(INDIRECT("'"&amp;A69&amp;"'!D"&amp;G69)),0))))))))))))</f>
        <v>0</v>
      </c>
      <c r="M69" s="36">
        <f>IFERROR(IF(NOT(ISBLANK(KPI_TARGETS!$G$15)),KPI_TARGETS!$G$15,IF(NOT(ISBLANK(KPI_TARGETS!$F$15)),KPI_TARGETS!$F$15,"")),"")</f>
        <v>5</v>
      </c>
      <c r="N69" s="36" t="str">
        <f>IFERROR(KPI_TARGETS!$E$15,"Higher is better")</f>
        <v>Higher is better</v>
      </c>
      <c r="O69" s="37">
        <f t="shared" ca="1" si="6"/>
        <v>0</v>
      </c>
      <c r="P69" t="str">
        <f t="shared" ca="1" si="7"/>
        <v>Red</v>
      </c>
      <c r="Q69" s="36">
        <f t="shared" ca="1" si="8"/>
        <v>-5</v>
      </c>
      <c r="R69" s="36" t="str">
        <f>""</f>
        <v/>
      </c>
      <c r="S69" s="36" t="str">
        <f>""</f>
        <v/>
      </c>
      <c r="T69" s="36" t="str">
        <f>""</f>
        <v/>
      </c>
      <c r="U69" s="36" t="str">
        <f>""</f>
        <v/>
      </c>
      <c r="V69" s="36" t="str">
        <f>""</f>
        <v/>
      </c>
      <c r="W69" s="36">
        <f t="shared" si="9"/>
        <v>1</v>
      </c>
      <c r="X69" t="str">
        <f t="shared" si="10"/>
        <v>OK</v>
      </c>
      <c r="Y69" t="str">
        <f>IF(MAIN!$H$3="Selected Year",IF(A69=MAIN!$B$3,"Yes","No"),IF(MAIN!$H$3="Included Years",IF(D69="Yes","Yes","No"),IF(C69="Yes","Yes","No")))</f>
        <v>Yes</v>
      </c>
      <c r="Z69" t="str">
        <f>IF(MAIN!$F$3="Project to Date",IF(AND(A69&gt;=SETTINGS!$B$4,A69&lt;MAIN!$B$3),"Yes",IF(AND(A69=MAIN!$B$3,E69&lt;=MAIN!$L$3),"Yes","No")),IF(OR(MAIN!$F$3="Full Year",MAIN!$D$3="All"),"Yes",IF(MAIN!$F$3="Monthly",IF(E69=MAIN!$L$3,"Yes","No"),IF(E69&lt;=MAIN!$L$3,"Yes","No"))))</f>
        <v>Yes</v>
      </c>
      <c r="AA69" t="str">
        <f t="shared" si="11"/>
        <v>Yes</v>
      </c>
    </row>
    <row r="70" spans="1:27" x14ac:dyDescent="0.3">
      <c r="A70">
        <f>INDEX(SETTINGS!$A$15:$A$24,$B70)</f>
        <v>2025</v>
      </c>
      <c r="B70">
        <v>1</v>
      </c>
      <c r="C70" t="str">
        <f>IF(AND(A70&gt;=SETTINGS!$B$4,A70&lt;=SETTINGS!$B$5),"Yes","No")</f>
        <v>Yes</v>
      </c>
      <c r="D70" t="str">
        <f>IFERROR(INDEX(SETTINGS!$C$15:$C$24,MATCH(A70,SETTINGS!$A$15:$A$24,0)),"No")</f>
        <v>Yes</v>
      </c>
      <c r="E70">
        <v>4</v>
      </c>
      <c r="F70" t="s">
        <v>37</v>
      </c>
      <c r="G70">
        <v>94</v>
      </c>
      <c r="H70" t="s">
        <v>105</v>
      </c>
      <c r="I70" t="s">
        <v>22</v>
      </c>
      <c r="J70" t="s">
        <v>25</v>
      </c>
      <c r="K70" t="s">
        <v>3</v>
      </c>
      <c r="L70" s="36">
        <f ca="1">IF(C70&lt;&gt;"Yes",0,IF(A70=2025,N('2025'!D94),IF(A70=2026,N('2026'!D94),IF(A70=2027,N('2027'!D94),IF(A70=2028,N('2028'!D94),IF(A70=2029,N('2029'!D94),IF(A70=2030,N('2030'!D94),IF(A70=2031,N('2031'!D94),IF(A70=2032,N('2032'!D94),IF(A70=2033,N('2033'!D94),IF(A70=2034,N('2034'!D94),IFERROR(N(INDIRECT("'"&amp;A70&amp;"'!D"&amp;G70)),0))))))))))))</f>
        <v>0</v>
      </c>
      <c r="M70" s="36">
        <f>IFERROR(IF(NOT(ISBLANK(KPI_TARGETS!$G$16)),KPI_TARGETS!$G$16,IF(NOT(ISBLANK(KPI_TARGETS!$F$16)),KPI_TARGETS!$F$16,"")),"")</f>
        <v>4</v>
      </c>
      <c r="N70" s="36" t="str">
        <f>IFERROR(KPI_TARGETS!$E$16,"Higher is better")</f>
        <v>Higher is better</v>
      </c>
      <c r="O70" s="37">
        <f t="shared" ca="1" si="6"/>
        <v>0</v>
      </c>
      <c r="P70" t="str">
        <f t="shared" ca="1" si="7"/>
        <v>Red</v>
      </c>
      <c r="Q70" s="36">
        <f t="shared" ca="1" si="8"/>
        <v>-4</v>
      </c>
      <c r="R70" s="36" t="str">
        <f>""</f>
        <v/>
      </c>
      <c r="S70" s="36" t="str">
        <f>""</f>
        <v/>
      </c>
      <c r="T70" s="36" t="str">
        <f>""</f>
        <v/>
      </c>
      <c r="U70" s="36" t="str">
        <f>""</f>
        <v/>
      </c>
      <c r="V70" s="36" t="str">
        <f>""</f>
        <v/>
      </c>
      <c r="W70" s="36">
        <f t="shared" si="9"/>
        <v>1</v>
      </c>
      <c r="X70" t="str">
        <f t="shared" si="10"/>
        <v>OK</v>
      </c>
      <c r="Y70" t="str">
        <f>IF(MAIN!$H$3="Selected Year",IF(A70=MAIN!$B$3,"Yes","No"),IF(MAIN!$H$3="Included Years",IF(D70="Yes","Yes","No"),IF(C70="Yes","Yes","No")))</f>
        <v>Yes</v>
      </c>
      <c r="Z70" t="str">
        <f>IF(MAIN!$F$3="Project to Date",IF(AND(A70&gt;=SETTINGS!$B$4,A70&lt;MAIN!$B$3),"Yes",IF(AND(A70=MAIN!$B$3,E70&lt;=MAIN!$L$3),"Yes","No")),IF(OR(MAIN!$F$3="Full Year",MAIN!$D$3="All"),"Yes",IF(MAIN!$F$3="Monthly",IF(E70=MAIN!$L$3,"Yes","No"),IF(E70&lt;=MAIN!$L$3,"Yes","No"))))</f>
        <v>Yes</v>
      </c>
      <c r="AA70" t="str">
        <f t="shared" si="11"/>
        <v>Yes</v>
      </c>
    </row>
    <row r="71" spans="1:27" x14ac:dyDescent="0.3">
      <c r="A71">
        <f>INDEX(SETTINGS!$A$15:$A$24,$B71)</f>
        <v>2025</v>
      </c>
      <c r="B71">
        <v>1</v>
      </c>
      <c r="C71" t="str">
        <f>IF(AND(A71&gt;=SETTINGS!$B$4,A71&lt;=SETTINGS!$B$5),"Yes","No")</f>
        <v>Yes</v>
      </c>
      <c r="D71" t="str">
        <f>IFERROR(INDEX(SETTINGS!$C$15:$C$24,MATCH(A71,SETTINGS!$A$15:$A$24,0)),"No")</f>
        <v>Yes</v>
      </c>
      <c r="E71">
        <v>4</v>
      </c>
      <c r="F71" t="s">
        <v>37</v>
      </c>
      <c r="G71">
        <v>95</v>
      </c>
      <c r="H71" t="s">
        <v>106</v>
      </c>
      <c r="I71" t="s">
        <v>22</v>
      </c>
      <c r="J71" t="s">
        <v>26</v>
      </c>
      <c r="K71" t="s">
        <v>3</v>
      </c>
      <c r="L71" s="36">
        <f ca="1">IF(C71&lt;&gt;"Yes",0,IF(A71=2025,N('2025'!D95),IF(A71=2026,N('2026'!D95),IF(A71=2027,N('2027'!D95),IF(A71=2028,N('2028'!D95),IF(A71=2029,N('2029'!D95),IF(A71=2030,N('2030'!D95),IF(A71=2031,N('2031'!D95),IF(A71=2032,N('2032'!D95),IF(A71=2033,N('2033'!D95),IF(A71=2034,N('2034'!D95),IFERROR(N(INDIRECT("'"&amp;A71&amp;"'!D"&amp;G71)),0))))))))))))</f>
        <v>0</v>
      </c>
      <c r="M71" s="36">
        <f>IFERROR(IF(NOT(ISBLANK(KPI_TARGETS!$G$17)),KPI_TARGETS!$G$17,IF(NOT(ISBLANK(KPI_TARGETS!$F$17)),KPI_TARGETS!$F$17,"")),"")</f>
        <v>12</v>
      </c>
      <c r="N71" s="36" t="str">
        <f>IFERROR(KPI_TARGETS!$E$17,"Higher is better")</f>
        <v>Higher is better</v>
      </c>
      <c r="O71" s="37">
        <f t="shared" ca="1" si="6"/>
        <v>0</v>
      </c>
      <c r="P71" t="str">
        <f t="shared" ca="1" si="7"/>
        <v>Red</v>
      </c>
      <c r="Q71" s="36">
        <f t="shared" ca="1" si="8"/>
        <v>-12</v>
      </c>
      <c r="R71" s="36" t="str">
        <f>""</f>
        <v/>
      </c>
      <c r="S71" s="36" t="str">
        <f>""</f>
        <v/>
      </c>
      <c r="T71" s="36" t="str">
        <f>""</f>
        <v/>
      </c>
      <c r="U71" s="36" t="str">
        <f>""</f>
        <v/>
      </c>
      <c r="V71" s="36" t="str">
        <f>""</f>
        <v/>
      </c>
      <c r="W71" s="36">
        <f t="shared" si="9"/>
        <v>1</v>
      </c>
      <c r="X71" t="str">
        <f t="shared" si="10"/>
        <v>OK</v>
      </c>
      <c r="Y71" t="str">
        <f>IF(MAIN!$H$3="Selected Year",IF(A71=MAIN!$B$3,"Yes","No"),IF(MAIN!$H$3="Included Years",IF(D71="Yes","Yes","No"),IF(C71="Yes","Yes","No")))</f>
        <v>Yes</v>
      </c>
      <c r="Z71" t="str">
        <f>IF(MAIN!$F$3="Project to Date",IF(AND(A71&gt;=SETTINGS!$B$4,A71&lt;MAIN!$B$3),"Yes",IF(AND(A71=MAIN!$B$3,E71&lt;=MAIN!$L$3),"Yes","No")),IF(OR(MAIN!$F$3="Full Year",MAIN!$D$3="All"),"Yes",IF(MAIN!$F$3="Monthly",IF(E71=MAIN!$L$3,"Yes","No"),IF(E71&lt;=MAIN!$L$3,"Yes","No"))))</f>
        <v>Yes</v>
      </c>
      <c r="AA71" t="str">
        <f t="shared" si="11"/>
        <v>Yes</v>
      </c>
    </row>
    <row r="72" spans="1:27" x14ac:dyDescent="0.3">
      <c r="A72">
        <f>INDEX(SETTINGS!$A$15:$A$24,$B72)</f>
        <v>2025</v>
      </c>
      <c r="B72">
        <v>1</v>
      </c>
      <c r="C72" t="str">
        <f>IF(AND(A72&gt;=SETTINGS!$B$4,A72&lt;=SETTINGS!$B$5),"Yes","No")</f>
        <v>Yes</v>
      </c>
      <c r="D72" t="str">
        <f>IFERROR(INDEX(SETTINGS!$C$15:$C$24,MATCH(A72,SETTINGS!$A$15:$A$24,0)),"No")</f>
        <v>Yes</v>
      </c>
      <c r="E72">
        <v>4</v>
      </c>
      <c r="F72" t="s">
        <v>37</v>
      </c>
      <c r="G72">
        <v>96</v>
      </c>
      <c r="H72" t="s">
        <v>107</v>
      </c>
      <c r="I72" t="s">
        <v>22</v>
      </c>
      <c r="J72" t="s">
        <v>27</v>
      </c>
      <c r="K72" t="s">
        <v>3</v>
      </c>
      <c r="L72" s="36">
        <f ca="1">IF(C72&lt;&gt;"Yes",0,IF(A72=2025,N('2025'!D96),IF(A72=2026,N('2026'!D96),IF(A72=2027,N('2027'!D96),IF(A72=2028,N('2028'!D96),IF(A72=2029,N('2029'!D96),IF(A72=2030,N('2030'!D96),IF(A72=2031,N('2031'!D96),IF(A72=2032,N('2032'!D96),IF(A72=2033,N('2033'!D96),IF(A72=2034,N('2034'!D96),IFERROR(N(INDIRECT("'"&amp;A72&amp;"'!D"&amp;G72)),0))))))))))))</f>
        <v>0</v>
      </c>
      <c r="M72" s="36">
        <f>IFERROR(IF(NOT(ISBLANK(KPI_TARGETS!$G$18)),KPI_TARGETS!$G$18,IF(NOT(ISBLANK(KPI_TARGETS!$F$18)),KPI_TARGETS!$F$18,"")),"")</f>
        <v>4</v>
      </c>
      <c r="N72" s="36" t="str">
        <f>IFERROR(KPI_TARGETS!$E$18,"Higher is better")</f>
        <v>Higher is better</v>
      </c>
      <c r="O72" s="37">
        <f t="shared" ca="1" si="6"/>
        <v>0</v>
      </c>
      <c r="P72" t="str">
        <f t="shared" ca="1" si="7"/>
        <v>Red</v>
      </c>
      <c r="Q72" s="36">
        <f t="shared" ca="1" si="8"/>
        <v>-4</v>
      </c>
      <c r="R72" s="36" t="str">
        <f>""</f>
        <v/>
      </c>
      <c r="S72" s="36" t="str">
        <f>""</f>
        <v/>
      </c>
      <c r="T72" s="36" t="str">
        <f>""</f>
        <v/>
      </c>
      <c r="U72" s="36" t="str">
        <f>""</f>
        <v/>
      </c>
      <c r="V72" s="36" t="str">
        <f>""</f>
        <v/>
      </c>
      <c r="W72" s="36">
        <f t="shared" si="9"/>
        <v>1</v>
      </c>
      <c r="X72" t="str">
        <f t="shared" si="10"/>
        <v>OK</v>
      </c>
      <c r="Y72" t="str">
        <f>IF(MAIN!$H$3="Selected Year",IF(A72=MAIN!$B$3,"Yes","No"),IF(MAIN!$H$3="Included Years",IF(D72="Yes","Yes","No"),IF(C72="Yes","Yes","No")))</f>
        <v>Yes</v>
      </c>
      <c r="Z72" t="str">
        <f>IF(MAIN!$F$3="Project to Date",IF(AND(A72&gt;=SETTINGS!$B$4,A72&lt;MAIN!$B$3),"Yes",IF(AND(A72=MAIN!$B$3,E72&lt;=MAIN!$L$3),"Yes","No")),IF(OR(MAIN!$F$3="Full Year",MAIN!$D$3="All"),"Yes",IF(MAIN!$F$3="Monthly",IF(E72=MAIN!$L$3,"Yes","No"),IF(E72&lt;=MAIN!$L$3,"Yes","No"))))</f>
        <v>Yes</v>
      </c>
      <c r="AA72" t="str">
        <f t="shared" si="11"/>
        <v>Yes</v>
      </c>
    </row>
    <row r="73" spans="1:27" x14ac:dyDescent="0.3">
      <c r="A73">
        <f>INDEX(SETTINGS!$A$15:$A$24,$B73)</f>
        <v>2025</v>
      </c>
      <c r="B73">
        <v>1</v>
      </c>
      <c r="C73" t="str">
        <f>IF(AND(A73&gt;=SETTINGS!$B$4,A73&lt;=SETTINGS!$B$5),"Yes","No")</f>
        <v>Yes</v>
      </c>
      <c r="D73" t="str">
        <f>IFERROR(INDEX(SETTINGS!$C$15:$C$24,MATCH(A73,SETTINGS!$A$15:$A$24,0)),"No")</f>
        <v>Yes</v>
      </c>
      <c r="E73">
        <v>4</v>
      </c>
      <c r="F73" t="s">
        <v>37</v>
      </c>
      <c r="G73">
        <v>97</v>
      </c>
      <c r="H73" t="s">
        <v>108</v>
      </c>
      <c r="I73" t="s">
        <v>22</v>
      </c>
      <c r="J73" t="s">
        <v>28</v>
      </c>
      <c r="K73" t="s">
        <v>3</v>
      </c>
      <c r="L73" s="36">
        <f ca="1">IF(C73&lt;&gt;"Yes",0,IF(A73=2025,N('2025'!D97),IF(A73=2026,N('2026'!D97),IF(A73=2027,N('2027'!D97),IF(A73=2028,N('2028'!D97),IF(A73=2029,N('2029'!D97),IF(A73=2030,N('2030'!D97),IF(A73=2031,N('2031'!D97),IF(A73=2032,N('2032'!D97),IF(A73=2033,N('2033'!D97),IF(A73=2034,N('2034'!D97),IFERROR(N(INDIRECT("'"&amp;A73&amp;"'!D"&amp;G73)),0))))))))))))</f>
        <v>0</v>
      </c>
      <c r="M73" s="36">
        <f>IFERROR(IF(NOT(ISBLANK(KPI_TARGETS!$G$19)),KPI_TARGETS!$G$19,IF(NOT(ISBLANK(KPI_TARGETS!$F$19)),KPI_TARGETS!$F$19,"")),"")</f>
        <v>16</v>
      </c>
      <c r="N73" s="36" t="str">
        <f>IFERROR(KPI_TARGETS!$E$19,"Higher is better")</f>
        <v>Higher is better</v>
      </c>
      <c r="O73" s="37">
        <f t="shared" ca="1" si="6"/>
        <v>0</v>
      </c>
      <c r="P73" t="str">
        <f t="shared" ca="1" si="7"/>
        <v>Red</v>
      </c>
      <c r="Q73" s="36">
        <f t="shared" ca="1" si="8"/>
        <v>-16</v>
      </c>
      <c r="R73" s="36" t="str">
        <f>""</f>
        <v/>
      </c>
      <c r="S73" s="36" t="str">
        <f>""</f>
        <v/>
      </c>
      <c r="T73" s="36" t="str">
        <f>""</f>
        <v/>
      </c>
      <c r="U73" s="36" t="str">
        <f>""</f>
        <v/>
      </c>
      <c r="V73" s="36" t="str">
        <f>""</f>
        <v/>
      </c>
      <c r="W73" s="36">
        <f t="shared" si="9"/>
        <v>1</v>
      </c>
      <c r="X73" t="str">
        <f t="shared" si="10"/>
        <v>OK</v>
      </c>
      <c r="Y73" t="str">
        <f>IF(MAIN!$H$3="Selected Year",IF(A73=MAIN!$B$3,"Yes","No"),IF(MAIN!$H$3="Included Years",IF(D73="Yes","Yes","No"),IF(C73="Yes","Yes","No")))</f>
        <v>Yes</v>
      </c>
      <c r="Z73" t="str">
        <f>IF(MAIN!$F$3="Project to Date",IF(AND(A73&gt;=SETTINGS!$B$4,A73&lt;MAIN!$B$3),"Yes",IF(AND(A73=MAIN!$B$3,E73&lt;=MAIN!$L$3),"Yes","No")),IF(OR(MAIN!$F$3="Full Year",MAIN!$D$3="All"),"Yes",IF(MAIN!$F$3="Monthly",IF(E73=MAIN!$L$3,"Yes","No"),IF(E73&lt;=MAIN!$L$3,"Yes","No"))))</f>
        <v>Yes</v>
      </c>
      <c r="AA73" t="str">
        <f t="shared" si="11"/>
        <v>Yes</v>
      </c>
    </row>
    <row r="74" spans="1:27" x14ac:dyDescent="0.3">
      <c r="A74">
        <f>INDEX(SETTINGS!$A$15:$A$24,$B74)</f>
        <v>2025</v>
      </c>
      <c r="B74">
        <v>1</v>
      </c>
      <c r="C74" t="str">
        <f>IF(AND(A74&gt;=SETTINGS!$B$4,A74&lt;=SETTINGS!$B$5),"Yes","No")</f>
        <v>Yes</v>
      </c>
      <c r="D74" t="str">
        <f>IFERROR(INDEX(SETTINGS!$C$15:$C$24,MATCH(A74,SETTINGS!$A$15:$A$24,0)),"No")</f>
        <v>Yes</v>
      </c>
      <c r="E74">
        <v>4</v>
      </c>
      <c r="F74" t="s">
        <v>37</v>
      </c>
      <c r="G74">
        <v>98</v>
      </c>
      <c r="H74" t="s">
        <v>109</v>
      </c>
      <c r="I74" t="s">
        <v>22</v>
      </c>
      <c r="J74" t="s">
        <v>29</v>
      </c>
      <c r="K74" t="s">
        <v>3</v>
      </c>
      <c r="L74" s="36">
        <f ca="1">IF(C74&lt;&gt;"Yes",0,IF(A74=2025,N('2025'!D98),IF(A74=2026,N('2026'!D98),IF(A74=2027,N('2027'!D98),IF(A74=2028,N('2028'!D98),IF(A74=2029,N('2029'!D98),IF(A74=2030,N('2030'!D98),IF(A74=2031,N('2031'!D98),IF(A74=2032,N('2032'!D98),IF(A74=2033,N('2033'!D98),IF(A74=2034,N('2034'!D98),IFERROR(N(INDIRECT("'"&amp;A74&amp;"'!D"&amp;G74)),0))))))))))))</f>
        <v>0</v>
      </c>
      <c r="M74" s="36">
        <f>IFERROR(IF(NOT(ISBLANK(KPI_TARGETS!$G$20)),KPI_TARGETS!$G$20,IF(NOT(ISBLANK(KPI_TARGETS!$F$20)),KPI_TARGETS!$F$20,"")),"")</f>
        <v>1</v>
      </c>
      <c r="N74" s="36" t="str">
        <f>IFERROR(KPI_TARGETS!$E$20,"Higher is better")</f>
        <v>Higher is better</v>
      </c>
      <c r="O74" s="37">
        <f t="shared" ca="1" si="6"/>
        <v>0</v>
      </c>
      <c r="P74" t="str">
        <f t="shared" ca="1" si="7"/>
        <v>Red</v>
      </c>
      <c r="Q74" s="36">
        <f t="shared" ca="1" si="8"/>
        <v>-1</v>
      </c>
      <c r="R74" s="36" t="str">
        <f>""</f>
        <v/>
      </c>
      <c r="S74" s="36" t="str">
        <f>""</f>
        <v/>
      </c>
      <c r="T74" s="36" t="str">
        <f>""</f>
        <v/>
      </c>
      <c r="U74" s="36" t="str">
        <f>""</f>
        <v/>
      </c>
      <c r="V74" s="36" t="str">
        <f>""</f>
        <v/>
      </c>
      <c r="W74" s="36">
        <f t="shared" si="9"/>
        <v>1</v>
      </c>
      <c r="X74" t="str">
        <f t="shared" si="10"/>
        <v>OK</v>
      </c>
      <c r="Y74" t="str">
        <f>IF(MAIN!$H$3="Selected Year",IF(A74=MAIN!$B$3,"Yes","No"),IF(MAIN!$H$3="Included Years",IF(D74="Yes","Yes","No"),IF(C74="Yes","Yes","No")))</f>
        <v>Yes</v>
      </c>
      <c r="Z74" t="str">
        <f>IF(MAIN!$F$3="Project to Date",IF(AND(A74&gt;=SETTINGS!$B$4,A74&lt;MAIN!$B$3),"Yes",IF(AND(A74=MAIN!$B$3,E74&lt;=MAIN!$L$3),"Yes","No")),IF(OR(MAIN!$F$3="Full Year",MAIN!$D$3="All"),"Yes",IF(MAIN!$F$3="Monthly",IF(E74=MAIN!$L$3,"Yes","No"),IF(E74&lt;=MAIN!$L$3,"Yes","No"))))</f>
        <v>Yes</v>
      </c>
      <c r="AA74" t="str">
        <f t="shared" si="11"/>
        <v>Yes</v>
      </c>
    </row>
    <row r="75" spans="1:27" x14ac:dyDescent="0.3">
      <c r="A75">
        <f>INDEX(SETTINGS!$A$15:$A$24,$B75)</f>
        <v>2025</v>
      </c>
      <c r="B75">
        <v>1</v>
      </c>
      <c r="C75" t="str">
        <f>IF(AND(A75&gt;=SETTINGS!$B$4,A75&lt;=SETTINGS!$B$5),"Yes","No")</f>
        <v>Yes</v>
      </c>
      <c r="D75" t="str">
        <f>IFERROR(INDEX(SETTINGS!$C$15:$C$24,MATCH(A75,SETTINGS!$A$15:$A$24,0)),"No")</f>
        <v>Yes</v>
      </c>
      <c r="E75">
        <v>4</v>
      </c>
      <c r="F75" t="s">
        <v>37</v>
      </c>
      <c r="G75">
        <v>100</v>
      </c>
      <c r="H75" t="s">
        <v>110</v>
      </c>
      <c r="I75" t="s">
        <v>30</v>
      </c>
      <c r="J75" t="s">
        <v>31</v>
      </c>
      <c r="K75" t="s">
        <v>3</v>
      </c>
      <c r="L75" s="36">
        <f ca="1">IF(C75&lt;&gt;"Yes",0,IF(A75=2025,N('2025'!D100),IF(A75=2026,N('2026'!D100),IF(A75=2027,N('2027'!D100),IF(A75=2028,N('2028'!D100),IF(A75=2029,N('2029'!D100),IF(A75=2030,N('2030'!D100),IF(A75=2031,N('2031'!D100),IF(A75=2032,N('2032'!D100),IF(A75=2033,N('2033'!D100),IF(A75=2034,N('2034'!D100),IFERROR(N(INDIRECT("'"&amp;A75&amp;"'!D"&amp;G75)),0))))))))))))</f>
        <v>0</v>
      </c>
      <c r="M75" s="36">
        <f>IFERROR(IF(NOT(ISBLANK(KPI_TARGETS!$G$21)),KPI_TARGETS!$G$21,IF(NOT(ISBLANK(KPI_TARGETS!$F$21)),KPI_TARGETS!$F$21,"")),"")</f>
        <v>0</v>
      </c>
      <c r="N75" s="36" t="str">
        <f>IFERROR(KPI_TARGETS!$E$21,"Higher is better")</f>
        <v>Lower is better</v>
      </c>
      <c r="O75" s="37">
        <f t="shared" ca="1" si="6"/>
        <v>1</v>
      </c>
      <c r="P75" t="str">
        <f t="shared" ca="1" si="7"/>
        <v>Green</v>
      </c>
      <c r="Q75" s="36">
        <f t="shared" ca="1" si="8"/>
        <v>0</v>
      </c>
      <c r="R75" s="36" t="str">
        <f>""</f>
        <v/>
      </c>
      <c r="S75" s="36" t="str">
        <f>""</f>
        <v/>
      </c>
      <c r="T75" s="36" t="str">
        <f>""</f>
        <v/>
      </c>
      <c r="U75" s="36" t="str">
        <f>""</f>
        <v/>
      </c>
      <c r="V75" s="36" t="str">
        <f>""</f>
        <v/>
      </c>
      <c r="W75" s="36">
        <f t="shared" si="9"/>
        <v>1</v>
      </c>
      <c r="X75" t="str">
        <f t="shared" si="10"/>
        <v>OK</v>
      </c>
      <c r="Y75" t="str">
        <f>IF(MAIN!$H$3="Selected Year",IF(A75=MAIN!$B$3,"Yes","No"),IF(MAIN!$H$3="Included Years",IF(D75="Yes","Yes","No"),IF(C75="Yes","Yes","No")))</f>
        <v>Yes</v>
      </c>
      <c r="Z75" t="str">
        <f>IF(MAIN!$F$3="Project to Date",IF(AND(A75&gt;=SETTINGS!$B$4,A75&lt;MAIN!$B$3),"Yes",IF(AND(A75=MAIN!$B$3,E75&lt;=MAIN!$L$3),"Yes","No")),IF(OR(MAIN!$F$3="Full Year",MAIN!$D$3="All"),"Yes",IF(MAIN!$F$3="Monthly",IF(E75=MAIN!$L$3,"Yes","No"),IF(E75&lt;=MAIN!$L$3,"Yes","No"))))</f>
        <v>Yes</v>
      </c>
      <c r="AA75" t="str">
        <f t="shared" si="11"/>
        <v>Yes</v>
      </c>
    </row>
    <row r="76" spans="1:27" x14ac:dyDescent="0.3">
      <c r="A76">
        <f>INDEX(SETTINGS!$A$15:$A$24,$B76)</f>
        <v>2025</v>
      </c>
      <c r="B76">
        <v>1</v>
      </c>
      <c r="C76" t="str">
        <f>IF(AND(A76&gt;=SETTINGS!$B$4,A76&lt;=SETTINGS!$B$5),"Yes","No")</f>
        <v>Yes</v>
      </c>
      <c r="D76" t="str">
        <f>IFERROR(INDEX(SETTINGS!$C$15:$C$24,MATCH(A76,SETTINGS!$A$15:$A$24,0)),"No")</f>
        <v>Yes</v>
      </c>
      <c r="E76">
        <v>4</v>
      </c>
      <c r="F76" t="s">
        <v>37</v>
      </c>
      <c r="G76">
        <v>101</v>
      </c>
      <c r="H76" t="s">
        <v>111</v>
      </c>
      <c r="I76" t="s">
        <v>30</v>
      </c>
      <c r="J76" t="s">
        <v>32</v>
      </c>
      <c r="K76" t="s">
        <v>3</v>
      </c>
      <c r="L76" s="36">
        <f ca="1">IF(C76&lt;&gt;"Yes",0,IF(A76=2025,N('2025'!D101),IF(A76=2026,N('2026'!D101),IF(A76=2027,N('2027'!D101),IF(A76=2028,N('2028'!D101),IF(A76=2029,N('2029'!D101),IF(A76=2030,N('2030'!D101),IF(A76=2031,N('2031'!D101),IF(A76=2032,N('2032'!D101),IF(A76=2033,N('2033'!D101),IF(A76=2034,N('2034'!D101),IFERROR(N(INDIRECT("'"&amp;A76&amp;"'!D"&amp;G76)),0))))))))))))</f>
        <v>0</v>
      </c>
      <c r="M76" s="36">
        <f>IFERROR(IF(NOT(ISBLANK(KPI_TARGETS!$G$22)),KPI_TARGETS!$G$22,IF(NOT(ISBLANK(KPI_TARGETS!$F$22)),KPI_TARGETS!$F$22,"")),"")</f>
        <v>1</v>
      </c>
      <c r="N76" s="36" t="str">
        <f>IFERROR(KPI_TARGETS!$E$22,"Higher is better")</f>
        <v>Higher is better</v>
      </c>
      <c r="O76" s="37">
        <f t="shared" ca="1" si="6"/>
        <v>0</v>
      </c>
      <c r="P76" t="str">
        <f t="shared" ca="1" si="7"/>
        <v>Red</v>
      </c>
      <c r="Q76" s="36">
        <f t="shared" ca="1" si="8"/>
        <v>-1</v>
      </c>
      <c r="R76" s="36" t="str">
        <f>""</f>
        <v/>
      </c>
      <c r="S76" s="36" t="str">
        <f>""</f>
        <v/>
      </c>
      <c r="T76" s="36" t="str">
        <f>""</f>
        <v/>
      </c>
      <c r="U76" s="36" t="str">
        <f>""</f>
        <v/>
      </c>
      <c r="V76" s="36" t="str">
        <f>""</f>
        <v/>
      </c>
      <c r="W76" s="36">
        <f t="shared" si="9"/>
        <v>1</v>
      </c>
      <c r="X76" t="str">
        <f t="shared" si="10"/>
        <v>OK</v>
      </c>
      <c r="Y76" t="str">
        <f>IF(MAIN!$H$3="Selected Year",IF(A76=MAIN!$B$3,"Yes","No"),IF(MAIN!$H$3="Included Years",IF(D76="Yes","Yes","No"),IF(C76="Yes","Yes","No")))</f>
        <v>Yes</v>
      </c>
      <c r="Z76" t="str">
        <f>IF(MAIN!$F$3="Project to Date",IF(AND(A76&gt;=SETTINGS!$B$4,A76&lt;MAIN!$B$3),"Yes",IF(AND(A76=MAIN!$B$3,E76&lt;=MAIN!$L$3),"Yes","No")),IF(OR(MAIN!$F$3="Full Year",MAIN!$D$3="All"),"Yes",IF(MAIN!$F$3="Monthly",IF(E76=MAIN!$L$3,"Yes","No"),IF(E76&lt;=MAIN!$L$3,"Yes","No"))))</f>
        <v>Yes</v>
      </c>
      <c r="AA76" t="str">
        <f t="shared" si="11"/>
        <v>Yes</v>
      </c>
    </row>
    <row r="77" spans="1:27" x14ac:dyDescent="0.3">
      <c r="A77">
        <f>INDEX(SETTINGS!$A$15:$A$24,$B77)</f>
        <v>2025</v>
      </c>
      <c r="B77">
        <v>1</v>
      </c>
      <c r="C77" t="str">
        <f>IF(AND(A77&gt;=SETTINGS!$B$4,A77&lt;=SETTINGS!$B$5),"Yes","No")</f>
        <v>Yes</v>
      </c>
      <c r="D77" t="str">
        <f>IFERROR(INDEX(SETTINGS!$C$15:$C$24,MATCH(A77,SETTINGS!$A$15:$A$24,0)),"No")</f>
        <v>Yes</v>
      </c>
      <c r="E77">
        <v>4</v>
      </c>
      <c r="F77" t="s">
        <v>37</v>
      </c>
      <c r="G77">
        <v>102</v>
      </c>
      <c r="H77" t="s">
        <v>112</v>
      </c>
      <c r="I77" t="s">
        <v>30</v>
      </c>
      <c r="J77" t="s">
        <v>33</v>
      </c>
      <c r="K77" t="s">
        <v>34</v>
      </c>
      <c r="L77" s="36">
        <f ca="1">IF(C77&lt;&gt;"Yes",0,IF(A77=2025,N('2025'!D102),IF(A77=2026,N('2026'!D102),IF(A77=2027,N('2027'!D102),IF(A77=2028,N('2028'!D102),IF(A77=2029,N('2029'!D102),IF(A77=2030,N('2030'!D102),IF(A77=2031,N('2031'!D102),IF(A77=2032,N('2032'!D102),IF(A77=2033,N('2033'!D102),IF(A77=2034,N('2034'!D102),IFERROR(N(INDIRECT("'"&amp;A77&amp;"'!D"&amp;G77)),0))))))))))))</f>
        <v>0</v>
      </c>
      <c r="M77" s="36">
        <f>IFERROR(IF(NOT(ISBLANK(KPI_TARGETS!$G$23)),KPI_TARGETS!$G$23,IF(NOT(ISBLANK(KPI_TARGETS!$F$23)),KPI_TARGETS!$F$23,"")),"")</f>
        <v>1</v>
      </c>
      <c r="N77" s="36" t="str">
        <f>IFERROR(KPI_TARGETS!$E$23,"Higher is better")</f>
        <v>Higher is better</v>
      </c>
      <c r="O77" s="37">
        <f t="shared" ca="1" si="6"/>
        <v>0</v>
      </c>
      <c r="P77" t="str">
        <f t="shared" ca="1" si="7"/>
        <v>Red</v>
      </c>
      <c r="Q77" s="36">
        <f t="shared" ca="1" si="8"/>
        <v>-1</v>
      </c>
      <c r="R77" s="36" t="str">
        <f>""</f>
        <v/>
      </c>
      <c r="S77" s="36" t="str">
        <f>""</f>
        <v/>
      </c>
      <c r="T77" s="36" t="str">
        <f>""</f>
        <v/>
      </c>
      <c r="U77" s="36" t="str">
        <f>""</f>
        <v/>
      </c>
      <c r="V77" s="36" t="str">
        <f>""</f>
        <v/>
      </c>
      <c r="W77" s="36">
        <f t="shared" si="9"/>
        <v>1</v>
      </c>
      <c r="X77" t="str">
        <f t="shared" si="10"/>
        <v>OK</v>
      </c>
      <c r="Y77" t="str">
        <f>IF(MAIN!$H$3="Selected Year",IF(A77=MAIN!$B$3,"Yes","No"),IF(MAIN!$H$3="Included Years",IF(D77="Yes","Yes","No"),IF(C77="Yes","Yes","No")))</f>
        <v>Yes</v>
      </c>
      <c r="Z77" t="str">
        <f>IF(MAIN!$F$3="Project to Date",IF(AND(A77&gt;=SETTINGS!$B$4,A77&lt;MAIN!$B$3),"Yes",IF(AND(A77=MAIN!$B$3,E77&lt;=MAIN!$L$3),"Yes","No")),IF(OR(MAIN!$F$3="Full Year",MAIN!$D$3="All"),"Yes",IF(MAIN!$F$3="Monthly",IF(E77=MAIN!$L$3,"Yes","No"),IF(E77&lt;=MAIN!$L$3,"Yes","No"))))</f>
        <v>Yes</v>
      </c>
      <c r="AA77" t="str">
        <f t="shared" si="11"/>
        <v>Yes</v>
      </c>
    </row>
    <row r="78" spans="1:27" x14ac:dyDescent="0.3">
      <c r="A78">
        <f>INDEX(SETTINGS!$A$15:$A$24,$B78)</f>
        <v>2025</v>
      </c>
      <c r="B78">
        <v>1</v>
      </c>
      <c r="C78" t="str">
        <f>IF(AND(A78&gt;=SETTINGS!$B$4,A78&lt;=SETTINGS!$B$5),"Yes","No")</f>
        <v>Yes</v>
      </c>
      <c r="D78" t="str">
        <f>IFERROR(INDEX(SETTINGS!$C$15:$C$24,MATCH(A78,SETTINGS!$A$15:$A$24,0)),"No")</f>
        <v>Yes</v>
      </c>
      <c r="E78">
        <v>5</v>
      </c>
      <c r="F78" t="s">
        <v>38</v>
      </c>
      <c r="G78">
        <v>105</v>
      </c>
      <c r="H78" t="s">
        <v>88</v>
      </c>
      <c r="I78" t="s">
        <v>89</v>
      </c>
      <c r="J78" t="s">
        <v>10</v>
      </c>
      <c r="K78" t="s">
        <v>3</v>
      </c>
      <c r="L78" s="36">
        <f ca="1">IF(C78&lt;&gt;"Yes",0,IF(A78=2025,N('2025'!D105),IF(A78=2026,N('2026'!D105),IF(A78=2027,N('2027'!D105),IF(A78=2028,N('2028'!D105),IF(A78=2029,N('2029'!D105),IF(A78=2030,N('2030'!D105),IF(A78=2031,N('2031'!D105),IF(A78=2032,N('2032'!D105),IF(A78=2033,N('2033'!D105),IF(A78=2034,N('2034'!D105),IFERROR(N(INDIRECT("'"&amp;A78&amp;"'!D"&amp;G78)),0))))))))))))</f>
        <v>0</v>
      </c>
      <c r="M78" s="36">
        <f>IFERROR(IF(NOT(ISBLANK(KPI_TARGETS!$G$5)),KPI_TARGETS!$G$5,IF(NOT(ISBLANK(KPI_TARGETS!$F$5)),KPI_TARGETS!$F$5,"")),"")</f>
        <v>104</v>
      </c>
      <c r="N78" s="36" t="str">
        <f>IFERROR(KPI_TARGETS!$E$5,"Higher is better")</f>
        <v>Higher is better</v>
      </c>
      <c r="O78" s="37">
        <f t="shared" ca="1" si="6"/>
        <v>0</v>
      </c>
      <c r="P78" t="str">
        <f t="shared" ca="1" si="7"/>
        <v>Red</v>
      </c>
      <c r="Q78" s="36">
        <f t="shared" ca="1" si="8"/>
        <v>-104</v>
      </c>
      <c r="R78" s="36" t="str">
        <f>""</f>
        <v/>
      </c>
      <c r="S78" s="36" t="str">
        <f>""</f>
        <v/>
      </c>
      <c r="T78" s="36" t="str">
        <f>""</f>
        <v/>
      </c>
      <c r="U78" s="36" t="str">
        <f>""</f>
        <v/>
      </c>
      <c r="V78" s="36" t="str">
        <f>""</f>
        <v/>
      </c>
      <c r="W78" s="36">
        <f t="shared" si="9"/>
        <v>1</v>
      </c>
      <c r="X78" t="str">
        <f t="shared" si="10"/>
        <v>OK</v>
      </c>
      <c r="Y78" t="str">
        <f>IF(MAIN!$H$3="Selected Year",IF(A78=MAIN!$B$3,"Yes","No"),IF(MAIN!$H$3="Included Years",IF(D78="Yes","Yes","No"),IF(C78="Yes","Yes","No")))</f>
        <v>Yes</v>
      </c>
      <c r="Z78" t="str">
        <f>IF(MAIN!$F$3="Project to Date",IF(AND(A78&gt;=SETTINGS!$B$4,A78&lt;MAIN!$B$3),"Yes",IF(AND(A78=MAIN!$B$3,E78&lt;=MAIN!$L$3),"Yes","No")),IF(OR(MAIN!$F$3="Full Year",MAIN!$D$3="All"),"Yes",IF(MAIN!$F$3="Monthly",IF(E78=MAIN!$L$3,"Yes","No"),IF(E78&lt;=MAIN!$L$3,"Yes","No"))))</f>
        <v>Yes</v>
      </c>
      <c r="AA78" t="str">
        <f t="shared" si="11"/>
        <v>Yes</v>
      </c>
    </row>
    <row r="79" spans="1:27" x14ac:dyDescent="0.3">
      <c r="A79">
        <f>INDEX(SETTINGS!$A$15:$A$24,$B79)</f>
        <v>2025</v>
      </c>
      <c r="B79">
        <v>1</v>
      </c>
      <c r="C79" t="str">
        <f>IF(AND(A79&gt;=SETTINGS!$B$4,A79&lt;=SETTINGS!$B$5),"Yes","No")</f>
        <v>Yes</v>
      </c>
      <c r="D79" t="str">
        <f>IFERROR(INDEX(SETTINGS!$C$15:$C$24,MATCH(A79,SETTINGS!$A$15:$A$24,0)),"No")</f>
        <v>Yes</v>
      </c>
      <c r="E79">
        <v>5</v>
      </c>
      <c r="F79" t="s">
        <v>38</v>
      </c>
      <c r="G79">
        <v>106</v>
      </c>
      <c r="H79" t="s">
        <v>91</v>
      </c>
      <c r="I79" t="s">
        <v>89</v>
      </c>
      <c r="J79" t="s">
        <v>11</v>
      </c>
      <c r="K79" t="s">
        <v>12</v>
      </c>
      <c r="L79" s="36">
        <f ca="1">IF(C79&lt;&gt;"Yes",0,IF(A79=2025,N('2025'!D106),IF(A79=2026,N('2026'!D106),IF(A79=2027,N('2027'!D106),IF(A79=2028,N('2028'!D106),IF(A79=2029,N('2029'!D106),IF(A79=2030,N('2030'!D106),IF(A79=2031,N('2031'!D106),IF(A79=2032,N('2032'!D106),IF(A79=2033,N('2033'!D106),IF(A79=2034,N('2034'!D106),IFERROR(N(INDIRECT("'"&amp;A79&amp;"'!D"&amp;G79)),0))))))))))))</f>
        <v>0</v>
      </c>
      <c r="M79" s="36">
        <f>IFERROR(IF(NOT(ISBLANK(KPI_TARGETS!$G$6)),KPI_TARGETS!$G$6,IF(NOT(ISBLANK(KPI_TARGETS!$F$6)),KPI_TARGETS!$F$6,"")),"")</f>
        <v>4000</v>
      </c>
      <c r="N79" s="36" t="str">
        <f>IFERROR(KPI_TARGETS!$E$6,"Higher is better")</f>
        <v>Higher is better</v>
      </c>
      <c r="O79" s="37">
        <f t="shared" ca="1" si="6"/>
        <v>0</v>
      </c>
      <c r="P79" t="str">
        <f t="shared" ca="1" si="7"/>
        <v>Red</v>
      </c>
      <c r="Q79" s="36">
        <f t="shared" ca="1" si="8"/>
        <v>-4000</v>
      </c>
      <c r="R79" s="36" t="str">
        <f>""</f>
        <v/>
      </c>
      <c r="S79" s="36" t="str">
        <f>""</f>
        <v/>
      </c>
      <c r="T79" s="36" t="str">
        <f>""</f>
        <v/>
      </c>
      <c r="U79" s="36" t="str">
        <f>""</f>
        <v/>
      </c>
      <c r="V79" s="36" t="str">
        <f>""</f>
        <v/>
      </c>
      <c r="W79" s="36">
        <f t="shared" si="9"/>
        <v>1</v>
      </c>
      <c r="X79" t="str">
        <f t="shared" si="10"/>
        <v>OK</v>
      </c>
      <c r="Y79" t="str">
        <f>IF(MAIN!$H$3="Selected Year",IF(A79=MAIN!$B$3,"Yes","No"),IF(MAIN!$H$3="Included Years",IF(D79="Yes","Yes","No"),IF(C79="Yes","Yes","No")))</f>
        <v>Yes</v>
      </c>
      <c r="Z79" t="str">
        <f>IF(MAIN!$F$3="Project to Date",IF(AND(A79&gt;=SETTINGS!$B$4,A79&lt;MAIN!$B$3),"Yes",IF(AND(A79=MAIN!$B$3,E79&lt;=MAIN!$L$3),"Yes","No")),IF(OR(MAIN!$F$3="Full Year",MAIN!$D$3="All"),"Yes",IF(MAIN!$F$3="Monthly",IF(E79=MAIN!$L$3,"Yes","No"),IF(E79&lt;=MAIN!$L$3,"Yes","No"))))</f>
        <v>Yes</v>
      </c>
      <c r="AA79" t="str">
        <f t="shared" si="11"/>
        <v>Yes</v>
      </c>
    </row>
    <row r="80" spans="1:27" x14ac:dyDescent="0.3">
      <c r="A80">
        <f>INDEX(SETTINGS!$A$15:$A$24,$B80)</f>
        <v>2025</v>
      </c>
      <c r="B80">
        <v>1</v>
      </c>
      <c r="C80" t="str">
        <f>IF(AND(A80&gt;=SETTINGS!$B$4,A80&lt;=SETTINGS!$B$5),"Yes","No")</f>
        <v>Yes</v>
      </c>
      <c r="D80" t="str">
        <f>IFERROR(INDEX(SETTINGS!$C$15:$C$24,MATCH(A80,SETTINGS!$A$15:$A$24,0)),"No")</f>
        <v>Yes</v>
      </c>
      <c r="E80">
        <v>5</v>
      </c>
      <c r="F80" t="s">
        <v>38</v>
      </c>
      <c r="G80">
        <v>107</v>
      </c>
      <c r="H80" t="s">
        <v>93</v>
      </c>
      <c r="I80" t="s">
        <v>89</v>
      </c>
      <c r="J80" t="s">
        <v>13</v>
      </c>
      <c r="K80" t="s">
        <v>14</v>
      </c>
      <c r="L80" s="36">
        <f ca="1">IF(C80&lt;&gt;"Yes",0,IF(A80=2025,N('2025'!D107),IF(A80=2026,N('2026'!D107),IF(A80=2027,N('2027'!D107),IF(A80=2028,N('2028'!D107),IF(A80=2029,N('2029'!D107),IF(A80=2030,N('2030'!D107),IF(A80=2031,N('2031'!D107),IF(A80=2032,N('2032'!D107),IF(A80=2033,N('2033'!D107),IF(A80=2034,N('2034'!D107),IFERROR(N(INDIRECT("'"&amp;A80&amp;"'!D"&amp;G80)),0))))))))))))</f>
        <v>0</v>
      </c>
      <c r="M80" s="36">
        <f>IFERROR(IF(NOT(ISBLANK(KPI_TARGETS!$G$7)),KPI_TARGETS!$G$7,IF(NOT(ISBLANK(KPI_TARGETS!$F$7)),KPI_TARGETS!$F$7,"")),"")</f>
        <v>8000</v>
      </c>
      <c r="N80" s="36" t="str">
        <f>IFERROR(KPI_TARGETS!$E$7,"Higher is better")</f>
        <v>Higher is better</v>
      </c>
      <c r="O80" s="37">
        <f t="shared" ca="1" si="6"/>
        <v>0</v>
      </c>
      <c r="P80" t="str">
        <f t="shared" ca="1" si="7"/>
        <v>Red</v>
      </c>
      <c r="Q80" s="36">
        <f t="shared" ca="1" si="8"/>
        <v>-8000</v>
      </c>
      <c r="R80" s="36" t="str">
        <f>""</f>
        <v/>
      </c>
      <c r="S80" s="36" t="str">
        <f>""</f>
        <v/>
      </c>
      <c r="T80" s="36" t="str">
        <f>""</f>
        <v/>
      </c>
      <c r="U80" s="36" t="str">
        <f>""</f>
        <v/>
      </c>
      <c r="V80" s="36" t="str">
        <f>""</f>
        <v/>
      </c>
      <c r="W80" s="36">
        <f t="shared" si="9"/>
        <v>1</v>
      </c>
      <c r="X80" t="str">
        <f t="shared" si="10"/>
        <v>OK</v>
      </c>
      <c r="Y80" t="str">
        <f>IF(MAIN!$H$3="Selected Year",IF(A80=MAIN!$B$3,"Yes","No"),IF(MAIN!$H$3="Included Years",IF(D80="Yes","Yes","No"),IF(C80="Yes","Yes","No")))</f>
        <v>Yes</v>
      </c>
      <c r="Z80" t="str">
        <f>IF(MAIN!$F$3="Project to Date",IF(AND(A80&gt;=SETTINGS!$B$4,A80&lt;MAIN!$B$3),"Yes",IF(AND(A80=MAIN!$B$3,E80&lt;=MAIN!$L$3),"Yes","No")),IF(OR(MAIN!$F$3="Full Year",MAIN!$D$3="All"),"Yes",IF(MAIN!$F$3="Monthly",IF(E80=MAIN!$L$3,"Yes","No"),IF(E80&lt;=MAIN!$L$3,"Yes","No"))))</f>
        <v>Yes</v>
      </c>
      <c r="AA80" t="str">
        <f t="shared" si="11"/>
        <v>Yes</v>
      </c>
    </row>
    <row r="81" spans="1:27" x14ac:dyDescent="0.3">
      <c r="A81">
        <f>INDEX(SETTINGS!$A$15:$A$24,$B81)</f>
        <v>2025</v>
      </c>
      <c r="B81">
        <v>1</v>
      </c>
      <c r="C81" t="str">
        <f>IF(AND(A81&gt;=SETTINGS!$B$4,A81&lt;=SETTINGS!$B$5),"Yes","No")</f>
        <v>Yes</v>
      </c>
      <c r="D81" t="str">
        <f>IFERROR(INDEX(SETTINGS!$C$15:$C$24,MATCH(A81,SETTINGS!$A$15:$A$24,0)),"No")</f>
        <v>Yes</v>
      </c>
      <c r="E81">
        <v>5</v>
      </c>
      <c r="F81" t="s">
        <v>38</v>
      </c>
      <c r="G81">
        <v>109</v>
      </c>
      <c r="H81" t="s">
        <v>95</v>
      </c>
      <c r="I81" t="s">
        <v>15</v>
      </c>
      <c r="J81" t="s">
        <v>16</v>
      </c>
      <c r="K81" t="s">
        <v>3</v>
      </c>
      <c r="L81" s="36">
        <f ca="1">IF(C81&lt;&gt;"Yes",0,IF(A81=2025,N('2025'!D109),IF(A81=2026,N('2026'!D109),IF(A81=2027,N('2027'!D109),IF(A81=2028,N('2028'!D109),IF(A81=2029,N('2029'!D109),IF(A81=2030,N('2030'!D109),IF(A81=2031,N('2031'!D109),IF(A81=2032,N('2032'!D109),IF(A81=2033,N('2033'!D109),IF(A81=2034,N('2034'!D109),IFERROR(N(INDIRECT("'"&amp;A81&amp;"'!D"&amp;G81)),0))))))))))))</f>
        <v>0</v>
      </c>
      <c r="M81" s="36">
        <f>IFERROR(IF(NOT(ISBLANK(KPI_TARGETS!$G$8)),KPI_TARGETS!$G$8,IF(NOT(ISBLANK(KPI_TARGETS!$F$8)),KPI_TARGETS!$F$8,"")),"")</f>
        <v>0</v>
      </c>
      <c r="N81" s="36" t="str">
        <f>IFERROR(KPI_TARGETS!$E$8,"Higher is better")</f>
        <v>Lower is better</v>
      </c>
      <c r="O81" s="37">
        <f t="shared" ca="1" si="6"/>
        <v>1</v>
      </c>
      <c r="P81" t="str">
        <f t="shared" ca="1" si="7"/>
        <v>Green</v>
      </c>
      <c r="Q81" s="36">
        <f t="shared" ca="1" si="8"/>
        <v>0</v>
      </c>
      <c r="R81" s="36" t="str">
        <f>""</f>
        <v/>
      </c>
      <c r="S81" s="36" t="str">
        <f>""</f>
        <v/>
      </c>
      <c r="T81" s="36" t="str">
        <f>""</f>
        <v/>
      </c>
      <c r="U81" s="36" t="str">
        <f>""</f>
        <v/>
      </c>
      <c r="V81" s="36" t="str">
        <f>""</f>
        <v/>
      </c>
      <c r="W81" s="36">
        <f t="shared" si="9"/>
        <v>1</v>
      </c>
      <c r="X81" t="str">
        <f t="shared" si="10"/>
        <v>OK</v>
      </c>
      <c r="Y81" t="str">
        <f>IF(MAIN!$H$3="Selected Year",IF(A81=MAIN!$B$3,"Yes","No"),IF(MAIN!$H$3="Included Years",IF(D81="Yes","Yes","No"),IF(C81="Yes","Yes","No")))</f>
        <v>Yes</v>
      </c>
      <c r="Z81" t="str">
        <f>IF(MAIN!$F$3="Project to Date",IF(AND(A81&gt;=SETTINGS!$B$4,A81&lt;MAIN!$B$3),"Yes",IF(AND(A81=MAIN!$B$3,E81&lt;=MAIN!$L$3),"Yes","No")),IF(OR(MAIN!$F$3="Full Year",MAIN!$D$3="All"),"Yes",IF(MAIN!$F$3="Monthly",IF(E81=MAIN!$L$3,"Yes","No"),IF(E81&lt;=MAIN!$L$3,"Yes","No"))))</f>
        <v>Yes</v>
      </c>
      <c r="AA81" t="str">
        <f t="shared" si="11"/>
        <v>Yes</v>
      </c>
    </row>
    <row r="82" spans="1:27" x14ac:dyDescent="0.3">
      <c r="A82">
        <f>INDEX(SETTINGS!$A$15:$A$24,$B82)</f>
        <v>2025</v>
      </c>
      <c r="B82">
        <v>1</v>
      </c>
      <c r="C82" t="str">
        <f>IF(AND(A82&gt;=SETTINGS!$B$4,A82&lt;=SETTINGS!$B$5),"Yes","No")</f>
        <v>Yes</v>
      </c>
      <c r="D82" t="str">
        <f>IFERROR(INDEX(SETTINGS!$C$15:$C$24,MATCH(A82,SETTINGS!$A$15:$A$24,0)),"No")</f>
        <v>Yes</v>
      </c>
      <c r="E82">
        <v>5</v>
      </c>
      <c r="F82" t="s">
        <v>38</v>
      </c>
      <c r="G82">
        <v>110</v>
      </c>
      <c r="H82" t="s">
        <v>97</v>
      </c>
      <c r="I82" t="s">
        <v>15</v>
      </c>
      <c r="J82" t="s">
        <v>17</v>
      </c>
      <c r="K82" t="s">
        <v>3</v>
      </c>
      <c r="L82" s="36">
        <f ca="1">IF(C82&lt;&gt;"Yes",0,IF(A82=2025,N('2025'!D110),IF(A82=2026,N('2026'!D110),IF(A82=2027,N('2027'!D110),IF(A82=2028,N('2028'!D110),IF(A82=2029,N('2029'!D110),IF(A82=2030,N('2030'!D110),IF(A82=2031,N('2031'!D110),IF(A82=2032,N('2032'!D110),IF(A82=2033,N('2033'!D110),IF(A82=2034,N('2034'!D110),IFERROR(N(INDIRECT("'"&amp;A82&amp;"'!D"&amp;G82)),0))))))))))))</f>
        <v>0</v>
      </c>
      <c r="M82" s="36">
        <f>IFERROR(IF(NOT(ISBLANK(KPI_TARGETS!$G$9)),KPI_TARGETS!$G$9,IF(NOT(ISBLANK(KPI_TARGETS!$F$9)),KPI_TARGETS!$F$9,"")),"")</f>
        <v>0</v>
      </c>
      <c r="N82" s="36" t="str">
        <f>IFERROR(KPI_TARGETS!$E$9,"Higher is better")</f>
        <v>Higher is better</v>
      </c>
      <c r="O82" s="37" t="str">
        <f t="shared" ca="1" si="6"/>
        <v/>
      </c>
      <c r="P82" t="str">
        <f t="shared" ca="1" si="7"/>
        <v>Green</v>
      </c>
      <c r="Q82" s="36">
        <f t="shared" ca="1" si="8"/>
        <v>0</v>
      </c>
      <c r="R82" s="36" t="str">
        <f>""</f>
        <v/>
      </c>
      <c r="S82" s="36" t="str">
        <f>""</f>
        <v/>
      </c>
      <c r="T82" s="36" t="str">
        <f>""</f>
        <v/>
      </c>
      <c r="U82" s="36" t="str">
        <f>""</f>
        <v/>
      </c>
      <c r="V82" s="36" t="str">
        <f>""</f>
        <v/>
      </c>
      <c r="W82" s="36">
        <f t="shared" si="9"/>
        <v>1</v>
      </c>
      <c r="X82" t="str">
        <f t="shared" si="10"/>
        <v>OK</v>
      </c>
      <c r="Y82" t="str">
        <f>IF(MAIN!$H$3="Selected Year",IF(A82=MAIN!$B$3,"Yes","No"),IF(MAIN!$H$3="Included Years",IF(D82="Yes","Yes","No"),IF(C82="Yes","Yes","No")))</f>
        <v>Yes</v>
      </c>
      <c r="Z82" t="str">
        <f>IF(MAIN!$F$3="Project to Date",IF(AND(A82&gt;=SETTINGS!$B$4,A82&lt;MAIN!$B$3),"Yes",IF(AND(A82=MAIN!$B$3,E82&lt;=MAIN!$L$3),"Yes","No")),IF(OR(MAIN!$F$3="Full Year",MAIN!$D$3="All"),"Yes",IF(MAIN!$F$3="Monthly",IF(E82=MAIN!$L$3,"Yes","No"),IF(E82&lt;=MAIN!$L$3,"Yes","No"))))</f>
        <v>Yes</v>
      </c>
      <c r="AA82" t="str">
        <f t="shared" si="11"/>
        <v>Yes</v>
      </c>
    </row>
    <row r="83" spans="1:27" x14ac:dyDescent="0.3">
      <c r="A83">
        <f>INDEX(SETTINGS!$A$15:$A$24,$B83)</f>
        <v>2025</v>
      </c>
      <c r="B83">
        <v>1</v>
      </c>
      <c r="C83" t="str">
        <f>IF(AND(A83&gt;=SETTINGS!$B$4,A83&lt;=SETTINGS!$B$5),"Yes","No")</f>
        <v>Yes</v>
      </c>
      <c r="D83" t="str">
        <f>IFERROR(INDEX(SETTINGS!$C$15:$C$24,MATCH(A83,SETTINGS!$A$15:$A$24,0)),"No")</f>
        <v>Yes</v>
      </c>
      <c r="E83">
        <v>5</v>
      </c>
      <c r="F83" t="s">
        <v>38</v>
      </c>
      <c r="G83">
        <v>111</v>
      </c>
      <c r="H83" t="s">
        <v>99</v>
      </c>
      <c r="I83" t="s">
        <v>15</v>
      </c>
      <c r="J83" t="s">
        <v>18</v>
      </c>
      <c r="K83" t="s">
        <v>3</v>
      </c>
      <c r="L83" s="36">
        <f ca="1">IF(C83&lt;&gt;"Yes",0,IF(A83=2025,N('2025'!D111),IF(A83=2026,N('2026'!D111),IF(A83=2027,N('2027'!D111),IF(A83=2028,N('2028'!D111),IF(A83=2029,N('2029'!D111),IF(A83=2030,N('2030'!D111),IF(A83=2031,N('2031'!D111),IF(A83=2032,N('2032'!D111),IF(A83=2033,N('2033'!D111),IF(A83=2034,N('2034'!D111),IFERROR(N(INDIRECT("'"&amp;A83&amp;"'!D"&amp;G83)),0))))))))))))</f>
        <v>0</v>
      </c>
      <c r="M83" s="36">
        <f>IFERROR(IF(NOT(ISBLANK(KPI_TARGETS!$G$10)),KPI_TARGETS!$G$10,IF(NOT(ISBLANK(KPI_TARGETS!$F$10)),KPI_TARGETS!$F$10,"")),"")</f>
        <v>0</v>
      </c>
      <c r="N83" s="36" t="str">
        <f>IFERROR(KPI_TARGETS!$E$10,"Higher is better")</f>
        <v>Lower is better</v>
      </c>
      <c r="O83" s="37">
        <f t="shared" ca="1" si="6"/>
        <v>1</v>
      </c>
      <c r="P83" t="str">
        <f t="shared" ca="1" si="7"/>
        <v>Green</v>
      </c>
      <c r="Q83" s="36">
        <f t="shared" ca="1" si="8"/>
        <v>0</v>
      </c>
      <c r="R83" s="36" t="str">
        <f>""</f>
        <v/>
      </c>
      <c r="S83" s="36" t="str">
        <f>""</f>
        <v/>
      </c>
      <c r="T83" s="36" t="str">
        <f>""</f>
        <v/>
      </c>
      <c r="U83" s="36" t="str">
        <f>""</f>
        <v/>
      </c>
      <c r="V83" s="36" t="str">
        <f>""</f>
        <v/>
      </c>
      <c r="W83" s="36">
        <f t="shared" si="9"/>
        <v>1</v>
      </c>
      <c r="X83" t="str">
        <f t="shared" si="10"/>
        <v>OK</v>
      </c>
      <c r="Y83" t="str">
        <f>IF(MAIN!$H$3="Selected Year",IF(A83=MAIN!$B$3,"Yes","No"),IF(MAIN!$H$3="Included Years",IF(D83="Yes","Yes","No"),IF(C83="Yes","Yes","No")))</f>
        <v>Yes</v>
      </c>
      <c r="Z83" t="str">
        <f>IF(MAIN!$F$3="Project to Date",IF(AND(A83&gt;=SETTINGS!$B$4,A83&lt;MAIN!$B$3),"Yes",IF(AND(A83=MAIN!$B$3,E83&lt;=MAIN!$L$3),"Yes","No")),IF(OR(MAIN!$F$3="Full Year",MAIN!$D$3="All"),"Yes",IF(MAIN!$F$3="Monthly",IF(E83=MAIN!$L$3,"Yes","No"),IF(E83&lt;=MAIN!$L$3,"Yes","No"))))</f>
        <v>Yes</v>
      </c>
      <c r="AA83" t="str">
        <f t="shared" si="11"/>
        <v>Yes</v>
      </c>
    </row>
    <row r="84" spans="1:27" x14ac:dyDescent="0.3">
      <c r="A84">
        <f>INDEX(SETTINGS!$A$15:$A$24,$B84)</f>
        <v>2025</v>
      </c>
      <c r="B84">
        <v>1</v>
      </c>
      <c r="C84" t="str">
        <f>IF(AND(A84&gt;=SETTINGS!$B$4,A84&lt;=SETTINGS!$B$5),"Yes","No")</f>
        <v>Yes</v>
      </c>
      <c r="D84" t="str">
        <f>IFERROR(INDEX(SETTINGS!$C$15:$C$24,MATCH(A84,SETTINGS!$A$15:$A$24,0)),"No")</f>
        <v>Yes</v>
      </c>
      <c r="E84">
        <v>5</v>
      </c>
      <c r="F84" t="s">
        <v>38</v>
      </c>
      <c r="G84">
        <v>112</v>
      </c>
      <c r="H84" t="s">
        <v>100</v>
      </c>
      <c r="I84" t="s">
        <v>15</v>
      </c>
      <c r="J84" t="s">
        <v>19</v>
      </c>
      <c r="K84" t="s">
        <v>3</v>
      </c>
      <c r="L84" s="36">
        <f ca="1">IF(C84&lt;&gt;"Yes",0,IF(A84=2025,N('2025'!D112),IF(A84=2026,N('2026'!D112),IF(A84=2027,N('2027'!D112),IF(A84=2028,N('2028'!D112),IF(A84=2029,N('2029'!D112),IF(A84=2030,N('2030'!D112),IF(A84=2031,N('2031'!D112),IF(A84=2032,N('2032'!D112),IF(A84=2033,N('2033'!D112),IF(A84=2034,N('2034'!D112),IFERROR(N(INDIRECT("'"&amp;A84&amp;"'!D"&amp;G84)),0))))))))))))</f>
        <v>0</v>
      </c>
      <c r="M84" s="36">
        <f>IFERROR(IF(NOT(ISBLANK(KPI_TARGETS!$G$11)),KPI_TARGETS!$G$11,IF(NOT(ISBLANK(KPI_TARGETS!$F$11)),KPI_TARGETS!$F$11,"")),"")</f>
        <v>0</v>
      </c>
      <c r="N84" s="36" t="str">
        <f>IFERROR(KPI_TARGETS!$E$11,"Higher is better")</f>
        <v>Lower is better</v>
      </c>
      <c r="O84" s="37">
        <f t="shared" ca="1" si="6"/>
        <v>1</v>
      </c>
      <c r="P84" t="str">
        <f t="shared" ca="1" si="7"/>
        <v>Green</v>
      </c>
      <c r="Q84" s="36">
        <f t="shared" ca="1" si="8"/>
        <v>0</v>
      </c>
      <c r="R84" s="36" t="str">
        <f>""</f>
        <v/>
      </c>
      <c r="S84" s="36" t="str">
        <f>""</f>
        <v/>
      </c>
      <c r="T84" s="36" t="str">
        <f>""</f>
        <v/>
      </c>
      <c r="U84" s="36" t="str">
        <f>""</f>
        <v/>
      </c>
      <c r="V84" s="36" t="str">
        <f>""</f>
        <v/>
      </c>
      <c r="W84" s="36">
        <f t="shared" si="9"/>
        <v>1</v>
      </c>
      <c r="X84" t="str">
        <f t="shared" si="10"/>
        <v>OK</v>
      </c>
      <c r="Y84" t="str">
        <f>IF(MAIN!$H$3="Selected Year",IF(A84=MAIN!$B$3,"Yes","No"),IF(MAIN!$H$3="Included Years",IF(D84="Yes","Yes","No"),IF(C84="Yes","Yes","No")))</f>
        <v>Yes</v>
      </c>
      <c r="Z84" t="str">
        <f>IF(MAIN!$F$3="Project to Date",IF(AND(A84&gt;=SETTINGS!$B$4,A84&lt;MAIN!$B$3),"Yes",IF(AND(A84=MAIN!$B$3,E84&lt;=MAIN!$L$3),"Yes","No")),IF(OR(MAIN!$F$3="Full Year",MAIN!$D$3="All"),"Yes",IF(MAIN!$F$3="Monthly",IF(E84=MAIN!$L$3,"Yes","No"),IF(E84&lt;=MAIN!$L$3,"Yes","No"))))</f>
        <v>Yes</v>
      </c>
      <c r="AA84" t="str">
        <f t="shared" si="11"/>
        <v>Yes</v>
      </c>
    </row>
    <row r="85" spans="1:27" x14ac:dyDescent="0.3">
      <c r="A85">
        <f>INDEX(SETTINGS!$A$15:$A$24,$B85)</f>
        <v>2025</v>
      </c>
      <c r="B85">
        <v>1</v>
      </c>
      <c r="C85" t="str">
        <f>IF(AND(A85&gt;=SETTINGS!$B$4,A85&lt;=SETTINGS!$B$5),"Yes","No")</f>
        <v>Yes</v>
      </c>
      <c r="D85" t="str">
        <f>IFERROR(INDEX(SETTINGS!$C$15:$C$24,MATCH(A85,SETTINGS!$A$15:$A$24,0)),"No")</f>
        <v>Yes</v>
      </c>
      <c r="E85">
        <v>5</v>
      </c>
      <c r="F85" t="s">
        <v>38</v>
      </c>
      <c r="G85">
        <v>113</v>
      </c>
      <c r="H85" t="s">
        <v>101</v>
      </c>
      <c r="I85" t="s">
        <v>15</v>
      </c>
      <c r="J85" t="s">
        <v>20</v>
      </c>
      <c r="K85" t="s">
        <v>3</v>
      </c>
      <c r="L85" s="36">
        <f ca="1">IF(C85&lt;&gt;"Yes",0,IF(A85=2025,N('2025'!D113),IF(A85=2026,N('2026'!D113),IF(A85=2027,N('2027'!D113),IF(A85=2028,N('2028'!D113),IF(A85=2029,N('2029'!D113),IF(A85=2030,N('2030'!D113),IF(A85=2031,N('2031'!D113),IF(A85=2032,N('2032'!D113),IF(A85=2033,N('2033'!D113),IF(A85=2034,N('2034'!D113),IFERROR(N(INDIRECT("'"&amp;A85&amp;"'!D"&amp;G85)),0))))))))))))</f>
        <v>0</v>
      </c>
      <c r="M85" s="36">
        <f>IFERROR(IF(NOT(ISBLANK(KPI_TARGETS!$G$12)),KPI_TARGETS!$G$12,IF(NOT(ISBLANK(KPI_TARGETS!$F$12)),KPI_TARGETS!$F$12,"")),"")</f>
        <v>0</v>
      </c>
      <c r="N85" s="36" t="str">
        <f>IFERROR(KPI_TARGETS!$E$12,"Higher is better")</f>
        <v>Lower is better</v>
      </c>
      <c r="O85" s="37">
        <f t="shared" ca="1" si="6"/>
        <v>1</v>
      </c>
      <c r="P85" t="str">
        <f t="shared" ca="1" si="7"/>
        <v>Green</v>
      </c>
      <c r="Q85" s="36">
        <f t="shared" ca="1" si="8"/>
        <v>0</v>
      </c>
      <c r="R85" s="36" t="str">
        <f>""</f>
        <v/>
      </c>
      <c r="S85" s="36" t="str">
        <f>""</f>
        <v/>
      </c>
      <c r="T85" s="36" t="str">
        <f>""</f>
        <v/>
      </c>
      <c r="U85" s="36" t="str">
        <f>""</f>
        <v/>
      </c>
      <c r="V85" s="36" t="str">
        <f>""</f>
        <v/>
      </c>
      <c r="W85" s="36">
        <f t="shared" si="9"/>
        <v>1</v>
      </c>
      <c r="X85" t="str">
        <f t="shared" si="10"/>
        <v>OK</v>
      </c>
      <c r="Y85" t="str">
        <f>IF(MAIN!$H$3="Selected Year",IF(A85=MAIN!$B$3,"Yes","No"),IF(MAIN!$H$3="Included Years",IF(D85="Yes","Yes","No"),IF(C85="Yes","Yes","No")))</f>
        <v>Yes</v>
      </c>
      <c r="Z85" t="str">
        <f>IF(MAIN!$F$3="Project to Date",IF(AND(A85&gt;=SETTINGS!$B$4,A85&lt;MAIN!$B$3),"Yes",IF(AND(A85=MAIN!$B$3,E85&lt;=MAIN!$L$3),"Yes","No")),IF(OR(MAIN!$F$3="Full Year",MAIN!$D$3="All"),"Yes",IF(MAIN!$F$3="Monthly",IF(E85=MAIN!$L$3,"Yes","No"),IF(E85&lt;=MAIN!$L$3,"Yes","No"))))</f>
        <v>Yes</v>
      </c>
      <c r="AA85" t="str">
        <f t="shared" si="11"/>
        <v>Yes</v>
      </c>
    </row>
    <row r="86" spans="1:27" x14ac:dyDescent="0.3">
      <c r="A86">
        <f>INDEX(SETTINGS!$A$15:$A$24,$B86)</f>
        <v>2025</v>
      </c>
      <c r="B86">
        <v>1</v>
      </c>
      <c r="C86" t="str">
        <f>IF(AND(A86&gt;=SETTINGS!$B$4,A86&lt;=SETTINGS!$B$5),"Yes","No")</f>
        <v>Yes</v>
      </c>
      <c r="D86" t="str">
        <f>IFERROR(INDEX(SETTINGS!$C$15:$C$24,MATCH(A86,SETTINGS!$A$15:$A$24,0)),"No")</f>
        <v>Yes</v>
      </c>
      <c r="E86">
        <v>5</v>
      </c>
      <c r="F86" t="s">
        <v>38</v>
      </c>
      <c r="G86">
        <v>114</v>
      </c>
      <c r="H86" t="s">
        <v>102</v>
      </c>
      <c r="I86" t="s">
        <v>15</v>
      </c>
      <c r="J86" t="s">
        <v>21</v>
      </c>
      <c r="K86" t="s">
        <v>3</v>
      </c>
      <c r="L86" s="36">
        <f ca="1">IF(C86&lt;&gt;"Yes",0,IF(A86=2025,N('2025'!D114),IF(A86=2026,N('2026'!D114),IF(A86=2027,N('2027'!D114),IF(A86=2028,N('2028'!D114),IF(A86=2029,N('2029'!D114),IF(A86=2030,N('2030'!D114),IF(A86=2031,N('2031'!D114),IF(A86=2032,N('2032'!D114),IF(A86=2033,N('2033'!D114),IF(A86=2034,N('2034'!D114),IFERROR(N(INDIRECT("'"&amp;A86&amp;"'!D"&amp;G86)),0))))))))))))</f>
        <v>0</v>
      </c>
      <c r="M86" s="36">
        <f>IFERROR(IF(NOT(ISBLANK(KPI_TARGETS!$G$13)),KPI_TARGETS!$G$13,IF(NOT(ISBLANK(KPI_TARGETS!$F$13)),KPI_TARGETS!$F$13,"")),"")</f>
        <v>0</v>
      </c>
      <c r="N86" s="36" t="str">
        <f>IFERROR(KPI_TARGETS!$E$13,"Higher is better")</f>
        <v>Lower is better</v>
      </c>
      <c r="O86" s="37">
        <f t="shared" ca="1" si="6"/>
        <v>1</v>
      </c>
      <c r="P86" t="str">
        <f t="shared" ca="1" si="7"/>
        <v>Green</v>
      </c>
      <c r="Q86" s="36">
        <f t="shared" ca="1" si="8"/>
        <v>0</v>
      </c>
      <c r="R86" s="36" t="str">
        <f>""</f>
        <v/>
      </c>
      <c r="S86" s="36" t="str">
        <f>""</f>
        <v/>
      </c>
      <c r="T86" s="36" t="str">
        <f>""</f>
        <v/>
      </c>
      <c r="U86" s="36" t="str">
        <f>""</f>
        <v/>
      </c>
      <c r="V86" s="36" t="str">
        <f>""</f>
        <v/>
      </c>
      <c r="W86" s="36">
        <f t="shared" si="9"/>
        <v>1</v>
      </c>
      <c r="X86" t="str">
        <f t="shared" si="10"/>
        <v>OK</v>
      </c>
      <c r="Y86" t="str">
        <f>IF(MAIN!$H$3="Selected Year",IF(A86=MAIN!$B$3,"Yes","No"),IF(MAIN!$H$3="Included Years",IF(D86="Yes","Yes","No"),IF(C86="Yes","Yes","No")))</f>
        <v>Yes</v>
      </c>
      <c r="Z86" t="str">
        <f>IF(MAIN!$F$3="Project to Date",IF(AND(A86&gt;=SETTINGS!$B$4,A86&lt;MAIN!$B$3),"Yes",IF(AND(A86=MAIN!$B$3,E86&lt;=MAIN!$L$3),"Yes","No")),IF(OR(MAIN!$F$3="Full Year",MAIN!$D$3="All"),"Yes",IF(MAIN!$F$3="Monthly",IF(E86=MAIN!$L$3,"Yes","No"),IF(E86&lt;=MAIN!$L$3,"Yes","No"))))</f>
        <v>Yes</v>
      </c>
      <c r="AA86" t="str">
        <f t="shared" si="11"/>
        <v>Yes</v>
      </c>
    </row>
    <row r="87" spans="1:27" x14ac:dyDescent="0.3">
      <c r="A87">
        <f>INDEX(SETTINGS!$A$15:$A$24,$B87)</f>
        <v>2025</v>
      </c>
      <c r="B87">
        <v>1</v>
      </c>
      <c r="C87" t="str">
        <f>IF(AND(A87&gt;=SETTINGS!$B$4,A87&lt;=SETTINGS!$B$5),"Yes","No")</f>
        <v>Yes</v>
      </c>
      <c r="D87" t="str">
        <f>IFERROR(INDEX(SETTINGS!$C$15:$C$24,MATCH(A87,SETTINGS!$A$15:$A$24,0)),"No")</f>
        <v>Yes</v>
      </c>
      <c r="E87">
        <v>5</v>
      </c>
      <c r="F87" t="s">
        <v>38</v>
      </c>
      <c r="G87">
        <v>116</v>
      </c>
      <c r="H87" t="s">
        <v>103</v>
      </c>
      <c r="I87" t="s">
        <v>22</v>
      </c>
      <c r="J87" t="s">
        <v>23</v>
      </c>
      <c r="K87" t="s">
        <v>3</v>
      </c>
      <c r="L87" s="36">
        <f ca="1">IF(C87&lt;&gt;"Yes",0,IF(A87=2025,N('2025'!D116),IF(A87=2026,N('2026'!D116),IF(A87=2027,N('2027'!D116),IF(A87=2028,N('2028'!D116),IF(A87=2029,N('2029'!D116),IF(A87=2030,N('2030'!D116),IF(A87=2031,N('2031'!D116),IF(A87=2032,N('2032'!D116),IF(A87=2033,N('2033'!D116),IF(A87=2034,N('2034'!D116),IFERROR(N(INDIRECT("'"&amp;A87&amp;"'!D"&amp;G87)),0))))))))))))</f>
        <v>0</v>
      </c>
      <c r="M87" s="36">
        <f>IFERROR(IF(NOT(ISBLANK(KPI_TARGETS!$G$14)),KPI_TARGETS!$G$14,IF(NOT(ISBLANK(KPI_TARGETS!$F$14)),KPI_TARGETS!$F$14,"")),"")</f>
        <v>35</v>
      </c>
      <c r="N87" s="36" t="str">
        <f>IFERROR(KPI_TARGETS!$E$14,"Higher is better")</f>
        <v>Higher is better</v>
      </c>
      <c r="O87" s="37">
        <f t="shared" ca="1" si="6"/>
        <v>0</v>
      </c>
      <c r="P87" t="str">
        <f t="shared" ca="1" si="7"/>
        <v>Red</v>
      </c>
      <c r="Q87" s="36">
        <f t="shared" ca="1" si="8"/>
        <v>-35</v>
      </c>
      <c r="R87" s="36" t="str">
        <f>""</f>
        <v/>
      </c>
      <c r="S87" s="36" t="str">
        <f>""</f>
        <v/>
      </c>
      <c r="T87" s="36" t="str">
        <f>""</f>
        <v/>
      </c>
      <c r="U87" s="36" t="str">
        <f>""</f>
        <v/>
      </c>
      <c r="V87" s="36" t="str">
        <f>""</f>
        <v/>
      </c>
      <c r="W87" s="36">
        <f t="shared" si="9"/>
        <v>1</v>
      </c>
      <c r="X87" t="str">
        <f t="shared" si="10"/>
        <v>OK</v>
      </c>
      <c r="Y87" t="str">
        <f>IF(MAIN!$H$3="Selected Year",IF(A87=MAIN!$B$3,"Yes","No"),IF(MAIN!$H$3="Included Years",IF(D87="Yes","Yes","No"),IF(C87="Yes","Yes","No")))</f>
        <v>Yes</v>
      </c>
      <c r="Z87" t="str">
        <f>IF(MAIN!$F$3="Project to Date",IF(AND(A87&gt;=SETTINGS!$B$4,A87&lt;MAIN!$B$3),"Yes",IF(AND(A87=MAIN!$B$3,E87&lt;=MAIN!$L$3),"Yes","No")),IF(OR(MAIN!$F$3="Full Year",MAIN!$D$3="All"),"Yes",IF(MAIN!$F$3="Monthly",IF(E87=MAIN!$L$3,"Yes","No"),IF(E87&lt;=MAIN!$L$3,"Yes","No"))))</f>
        <v>Yes</v>
      </c>
      <c r="AA87" t="str">
        <f t="shared" si="11"/>
        <v>Yes</v>
      </c>
    </row>
    <row r="88" spans="1:27" x14ac:dyDescent="0.3">
      <c r="A88">
        <f>INDEX(SETTINGS!$A$15:$A$24,$B88)</f>
        <v>2025</v>
      </c>
      <c r="B88">
        <v>1</v>
      </c>
      <c r="C88" t="str">
        <f>IF(AND(A88&gt;=SETTINGS!$B$4,A88&lt;=SETTINGS!$B$5),"Yes","No")</f>
        <v>Yes</v>
      </c>
      <c r="D88" t="str">
        <f>IFERROR(INDEX(SETTINGS!$C$15:$C$24,MATCH(A88,SETTINGS!$A$15:$A$24,0)),"No")</f>
        <v>Yes</v>
      </c>
      <c r="E88">
        <v>5</v>
      </c>
      <c r="F88" t="s">
        <v>38</v>
      </c>
      <c r="G88">
        <v>117</v>
      </c>
      <c r="H88" t="s">
        <v>104</v>
      </c>
      <c r="I88" t="s">
        <v>22</v>
      </c>
      <c r="J88" t="s">
        <v>24</v>
      </c>
      <c r="K88" t="s">
        <v>3</v>
      </c>
      <c r="L88" s="36">
        <f ca="1">IF(C88&lt;&gt;"Yes",0,IF(A88=2025,N('2025'!D117),IF(A88=2026,N('2026'!D117),IF(A88=2027,N('2027'!D117),IF(A88=2028,N('2028'!D117),IF(A88=2029,N('2029'!D117),IF(A88=2030,N('2030'!D117),IF(A88=2031,N('2031'!D117),IF(A88=2032,N('2032'!D117),IF(A88=2033,N('2033'!D117),IF(A88=2034,N('2034'!D117),IFERROR(N(INDIRECT("'"&amp;A88&amp;"'!D"&amp;G88)),0))))))))))))</f>
        <v>0</v>
      </c>
      <c r="M88" s="36">
        <f>IFERROR(IF(NOT(ISBLANK(KPI_TARGETS!$G$15)),KPI_TARGETS!$G$15,IF(NOT(ISBLANK(KPI_TARGETS!$F$15)),KPI_TARGETS!$F$15,"")),"")</f>
        <v>5</v>
      </c>
      <c r="N88" s="36" t="str">
        <f>IFERROR(KPI_TARGETS!$E$15,"Higher is better")</f>
        <v>Higher is better</v>
      </c>
      <c r="O88" s="37">
        <f t="shared" ca="1" si="6"/>
        <v>0</v>
      </c>
      <c r="P88" t="str">
        <f t="shared" ca="1" si="7"/>
        <v>Red</v>
      </c>
      <c r="Q88" s="36">
        <f t="shared" ca="1" si="8"/>
        <v>-5</v>
      </c>
      <c r="R88" s="36" t="str">
        <f>""</f>
        <v/>
      </c>
      <c r="S88" s="36" t="str">
        <f>""</f>
        <v/>
      </c>
      <c r="T88" s="36" t="str">
        <f>""</f>
        <v/>
      </c>
      <c r="U88" s="36" t="str">
        <f>""</f>
        <v/>
      </c>
      <c r="V88" s="36" t="str">
        <f>""</f>
        <v/>
      </c>
      <c r="W88" s="36">
        <f t="shared" si="9"/>
        <v>1</v>
      </c>
      <c r="X88" t="str">
        <f t="shared" si="10"/>
        <v>OK</v>
      </c>
      <c r="Y88" t="str">
        <f>IF(MAIN!$H$3="Selected Year",IF(A88=MAIN!$B$3,"Yes","No"),IF(MAIN!$H$3="Included Years",IF(D88="Yes","Yes","No"),IF(C88="Yes","Yes","No")))</f>
        <v>Yes</v>
      </c>
      <c r="Z88" t="str">
        <f>IF(MAIN!$F$3="Project to Date",IF(AND(A88&gt;=SETTINGS!$B$4,A88&lt;MAIN!$B$3),"Yes",IF(AND(A88=MAIN!$B$3,E88&lt;=MAIN!$L$3),"Yes","No")),IF(OR(MAIN!$F$3="Full Year",MAIN!$D$3="All"),"Yes",IF(MAIN!$F$3="Monthly",IF(E88=MAIN!$L$3,"Yes","No"),IF(E88&lt;=MAIN!$L$3,"Yes","No"))))</f>
        <v>Yes</v>
      </c>
      <c r="AA88" t="str">
        <f t="shared" si="11"/>
        <v>Yes</v>
      </c>
    </row>
    <row r="89" spans="1:27" x14ac:dyDescent="0.3">
      <c r="A89">
        <f>INDEX(SETTINGS!$A$15:$A$24,$B89)</f>
        <v>2025</v>
      </c>
      <c r="B89">
        <v>1</v>
      </c>
      <c r="C89" t="str">
        <f>IF(AND(A89&gt;=SETTINGS!$B$4,A89&lt;=SETTINGS!$B$5),"Yes","No")</f>
        <v>Yes</v>
      </c>
      <c r="D89" t="str">
        <f>IFERROR(INDEX(SETTINGS!$C$15:$C$24,MATCH(A89,SETTINGS!$A$15:$A$24,0)),"No")</f>
        <v>Yes</v>
      </c>
      <c r="E89">
        <v>5</v>
      </c>
      <c r="F89" t="s">
        <v>38</v>
      </c>
      <c r="G89">
        <v>118</v>
      </c>
      <c r="H89" t="s">
        <v>105</v>
      </c>
      <c r="I89" t="s">
        <v>22</v>
      </c>
      <c r="J89" t="s">
        <v>25</v>
      </c>
      <c r="K89" t="s">
        <v>3</v>
      </c>
      <c r="L89" s="36">
        <f ca="1">IF(C89&lt;&gt;"Yes",0,IF(A89=2025,N('2025'!D118),IF(A89=2026,N('2026'!D118),IF(A89=2027,N('2027'!D118),IF(A89=2028,N('2028'!D118),IF(A89=2029,N('2029'!D118),IF(A89=2030,N('2030'!D118),IF(A89=2031,N('2031'!D118),IF(A89=2032,N('2032'!D118),IF(A89=2033,N('2033'!D118),IF(A89=2034,N('2034'!D118),IFERROR(N(INDIRECT("'"&amp;A89&amp;"'!D"&amp;G89)),0))))))))))))</f>
        <v>0</v>
      </c>
      <c r="M89" s="36">
        <f>IFERROR(IF(NOT(ISBLANK(KPI_TARGETS!$G$16)),KPI_TARGETS!$G$16,IF(NOT(ISBLANK(KPI_TARGETS!$F$16)),KPI_TARGETS!$F$16,"")),"")</f>
        <v>4</v>
      </c>
      <c r="N89" s="36" t="str">
        <f>IFERROR(KPI_TARGETS!$E$16,"Higher is better")</f>
        <v>Higher is better</v>
      </c>
      <c r="O89" s="37">
        <f t="shared" ca="1" si="6"/>
        <v>0</v>
      </c>
      <c r="P89" t="str">
        <f t="shared" ca="1" si="7"/>
        <v>Red</v>
      </c>
      <c r="Q89" s="36">
        <f t="shared" ca="1" si="8"/>
        <v>-4</v>
      </c>
      <c r="R89" s="36" t="str">
        <f>""</f>
        <v/>
      </c>
      <c r="S89" s="36" t="str">
        <f>""</f>
        <v/>
      </c>
      <c r="T89" s="36" t="str">
        <f>""</f>
        <v/>
      </c>
      <c r="U89" s="36" t="str">
        <f>""</f>
        <v/>
      </c>
      <c r="V89" s="36" t="str">
        <f>""</f>
        <v/>
      </c>
      <c r="W89" s="36">
        <f t="shared" si="9"/>
        <v>1</v>
      </c>
      <c r="X89" t="str">
        <f t="shared" si="10"/>
        <v>OK</v>
      </c>
      <c r="Y89" t="str">
        <f>IF(MAIN!$H$3="Selected Year",IF(A89=MAIN!$B$3,"Yes","No"),IF(MAIN!$H$3="Included Years",IF(D89="Yes","Yes","No"),IF(C89="Yes","Yes","No")))</f>
        <v>Yes</v>
      </c>
      <c r="Z89" t="str">
        <f>IF(MAIN!$F$3="Project to Date",IF(AND(A89&gt;=SETTINGS!$B$4,A89&lt;MAIN!$B$3),"Yes",IF(AND(A89=MAIN!$B$3,E89&lt;=MAIN!$L$3),"Yes","No")),IF(OR(MAIN!$F$3="Full Year",MAIN!$D$3="All"),"Yes",IF(MAIN!$F$3="Monthly",IF(E89=MAIN!$L$3,"Yes","No"),IF(E89&lt;=MAIN!$L$3,"Yes","No"))))</f>
        <v>Yes</v>
      </c>
      <c r="AA89" t="str">
        <f t="shared" si="11"/>
        <v>Yes</v>
      </c>
    </row>
    <row r="90" spans="1:27" x14ac:dyDescent="0.3">
      <c r="A90">
        <f>INDEX(SETTINGS!$A$15:$A$24,$B90)</f>
        <v>2025</v>
      </c>
      <c r="B90">
        <v>1</v>
      </c>
      <c r="C90" t="str">
        <f>IF(AND(A90&gt;=SETTINGS!$B$4,A90&lt;=SETTINGS!$B$5),"Yes","No")</f>
        <v>Yes</v>
      </c>
      <c r="D90" t="str">
        <f>IFERROR(INDEX(SETTINGS!$C$15:$C$24,MATCH(A90,SETTINGS!$A$15:$A$24,0)),"No")</f>
        <v>Yes</v>
      </c>
      <c r="E90">
        <v>5</v>
      </c>
      <c r="F90" t="s">
        <v>38</v>
      </c>
      <c r="G90">
        <v>119</v>
      </c>
      <c r="H90" t="s">
        <v>106</v>
      </c>
      <c r="I90" t="s">
        <v>22</v>
      </c>
      <c r="J90" t="s">
        <v>26</v>
      </c>
      <c r="K90" t="s">
        <v>3</v>
      </c>
      <c r="L90" s="36">
        <f ca="1">IF(C90&lt;&gt;"Yes",0,IF(A90=2025,N('2025'!D119),IF(A90=2026,N('2026'!D119),IF(A90=2027,N('2027'!D119),IF(A90=2028,N('2028'!D119),IF(A90=2029,N('2029'!D119),IF(A90=2030,N('2030'!D119),IF(A90=2031,N('2031'!D119),IF(A90=2032,N('2032'!D119),IF(A90=2033,N('2033'!D119),IF(A90=2034,N('2034'!D119),IFERROR(N(INDIRECT("'"&amp;A90&amp;"'!D"&amp;G90)),0))))))))))))</f>
        <v>0</v>
      </c>
      <c r="M90" s="36">
        <f>IFERROR(IF(NOT(ISBLANK(KPI_TARGETS!$G$17)),KPI_TARGETS!$G$17,IF(NOT(ISBLANK(KPI_TARGETS!$F$17)),KPI_TARGETS!$F$17,"")),"")</f>
        <v>12</v>
      </c>
      <c r="N90" s="36" t="str">
        <f>IFERROR(KPI_TARGETS!$E$17,"Higher is better")</f>
        <v>Higher is better</v>
      </c>
      <c r="O90" s="37">
        <f t="shared" ca="1" si="6"/>
        <v>0</v>
      </c>
      <c r="P90" t="str">
        <f t="shared" ca="1" si="7"/>
        <v>Red</v>
      </c>
      <c r="Q90" s="36">
        <f t="shared" ca="1" si="8"/>
        <v>-12</v>
      </c>
      <c r="R90" s="36" t="str">
        <f>""</f>
        <v/>
      </c>
      <c r="S90" s="36" t="str">
        <f>""</f>
        <v/>
      </c>
      <c r="T90" s="36" t="str">
        <f>""</f>
        <v/>
      </c>
      <c r="U90" s="36" t="str">
        <f>""</f>
        <v/>
      </c>
      <c r="V90" s="36" t="str">
        <f>""</f>
        <v/>
      </c>
      <c r="W90" s="36">
        <f t="shared" si="9"/>
        <v>1</v>
      </c>
      <c r="X90" t="str">
        <f t="shared" si="10"/>
        <v>OK</v>
      </c>
      <c r="Y90" t="str">
        <f>IF(MAIN!$H$3="Selected Year",IF(A90=MAIN!$B$3,"Yes","No"),IF(MAIN!$H$3="Included Years",IF(D90="Yes","Yes","No"),IF(C90="Yes","Yes","No")))</f>
        <v>Yes</v>
      </c>
      <c r="Z90" t="str">
        <f>IF(MAIN!$F$3="Project to Date",IF(AND(A90&gt;=SETTINGS!$B$4,A90&lt;MAIN!$B$3),"Yes",IF(AND(A90=MAIN!$B$3,E90&lt;=MAIN!$L$3),"Yes","No")),IF(OR(MAIN!$F$3="Full Year",MAIN!$D$3="All"),"Yes",IF(MAIN!$F$3="Monthly",IF(E90=MAIN!$L$3,"Yes","No"),IF(E90&lt;=MAIN!$L$3,"Yes","No"))))</f>
        <v>Yes</v>
      </c>
      <c r="AA90" t="str">
        <f t="shared" si="11"/>
        <v>Yes</v>
      </c>
    </row>
    <row r="91" spans="1:27" x14ac:dyDescent="0.3">
      <c r="A91">
        <f>INDEX(SETTINGS!$A$15:$A$24,$B91)</f>
        <v>2025</v>
      </c>
      <c r="B91">
        <v>1</v>
      </c>
      <c r="C91" t="str">
        <f>IF(AND(A91&gt;=SETTINGS!$B$4,A91&lt;=SETTINGS!$B$5),"Yes","No")</f>
        <v>Yes</v>
      </c>
      <c r="D91" t="str">
        <f>IFERROR(INDEX(SETTINGS!$C$15:$C$24,MATCH(A91,SETTINGS!$A$15:$A$24,0)),"No")</f>
        <v>Yes</v>
      </c>
      <c r="E91">
        <v>5</v>
      </c>
      <c r="F91" t="s">
        <v>38</v>
      </c>
      <c r="G91">
        <v>120</v>
      </c>
      <c r="H91" t="s">
        <v>107</v>
      </c>
      <c r="I91" t="s">
        <v>22</v>
      </c>
      <c r="J91" t="s">
        <v>27</v>
      </c>
      <c r="K91" t="s">
        <v>3</v>
      </c>
      <c r="L91" s="36">
        <f ca="1">IF(C91&lt;&gt;"Yes",0,IF(A91=2025,N('2025'!D120),IF(A91=2026,N('2026'!D120),IF(A91=2027,N('2027'!D120),IF(A91=2028,N('2028'!D120),IF(A91=2029,N('2029'!D120),IF(A91=2030,N('2030'!D120),IF(A91=2031,N('2031'!D120),IF(A91=2032,N('2032'!D120),IF(A91=2033,N('2033'!D120),IF(A91=2034,N('2034'!D120),IFERROR(N(INDIRECT("'"&amp;A91&amp;"'!D"&amp;G91)),0))))))))))))</f>
        <v>0</v>
      </c>
      <c r="M91" s="36">
        <f>IFERROR(IF(NOT(ISBLANK(KPI_TARGETS!$G$18)),KPI_TARGETS!$G$18,IF(NOT(ISBLANK(KPI_TARGETS!$F$18)),KPI_TARGETS!$F$18,"")),"")</f>
        <v>4</v>
      </c>
      <c r="N91" s="36" t="str">
        <f>IFERROR(KPI_TARGETS!$E$18,"Higher is better")</f>
        <v>Higher is better</v>
      </c>
      <c r="O91" s="37">
        <f t="shared" ca="1" si="6"/>
        <v>0</v>
      </c>
      <c r="P91" t="str">
        <f t="shared" ca="1" si="7"/>
        <v>Red</v>
      </c>
      <c r="Q91" s="36">
        <f t="shared" ca="1" si="8"/>
        <v>-4</v>
      </c>
      <c r="R91" s="36" t="str">
        <f>""</f>
        <v/>
      </c>
      <c r="S91" s="36" t="str">
        <f>""</f>
        <v/>
      </c>
      <c r="T91" s="36" t="str">
        <f>""</f>
        <v/>
      </c>
      <c r="U91" s="36" t="str">
        <f>""</f>
        <v/>
      </c>
      <c r="V91" s="36" t="str">
        <f>""</f>
        <v/>
      </c>
      <c r="W91" s="36">
        <f t="shared" si="9"/>
        <v>1</v>
      </c>
      <c r="X91" t="str">
        <f t="shared" si="10"/>
        <v>OK</v>
      </c>
      <c r="Y91" t="str">
        <f>IF(MAIN!$H$3="Selected Year",IF(A91=MAIN!$B$3,"Yes","No"),IF(MAIN!$H$3="Included Years",IF(D91="Yes","Yes","No"),IF(C91="Yes","Yes","No")))</f>
        <v>Yes</v>
      </c>
      <c r="Z91" t="str">
        <f>IF(MAIN!$F$3="Project to Date",IF(AND(A91&gt;=SETTINGS!$B$4,A91&lt;MAIN!$B$3),"Yes",IF(AND(A91=MAIN!$B$3,E91&lt;=MAIN!$L$3),"Yes","No")),IF(OR(MAIN!$F$3="Full Year",MAIN!$D$3="All"),"Yes",IF(MAIN!$F$3="Monthly",IF(E91=MAIN!$L$3,"Yes","No"),IF(E91&lt;=MAIN!$L$3,"Yes","No"))))</f>
        <v>Yes</v>
      </c>
      <c r="AA91" t="str">
        <f t="shared" si="11"/>
        <v>Yes</v>
      </c>
    </row>
    <row r="92" spans="1:27" x14ac:dyDescent="0.3">
      <c r="A92">
        <f>INDEX(SETTINGS!$A$15:$A$24,$B92)</f>
        <v>2025</v>
      </c>
      <c r="B92">
        <v>1</v>
      </c>
      <c r="C92" t="str">
        <f>IF(AND(A92&gt;=SETTINGS!$B$4,A92&lt;=SETTINGS!$B$5),"Yes","No")</f>
        <v>Yes</v>
      </c>
      <c r="D92" t="str">
        <f>IFERROR(INDEX(SETTINGS!$C$15:$C$24,MATCH(A92,SETTINGS!$A$15:$A$24,0)),"No")</f>
        <v>Yes</v>
      </c>
      <c r="E92">
        <v>5</v>
      </c>
      <c r="F92" t="s">
        <v>38</v>
      </c>
      <c r="G92">
        <v>121</v>
      </c>
      <c r="H92" t="s">
        <v>108</v>
      </c>
      <c r="I92" t="s">
        <v>22</v>
      </c>
      <c r="J92" t="s">
        <v>28</v>
      </c>
      <c r="K92" t="s">
        <v>3</v>
      </c>
      <c r="L92" s="36">
        <f ca="1">IF(C92&lt;&gt;"Yes",0,IF(A92=2025,N('2025'!D121),IF(A92=2026,N('2026'!D121),IF(A92=2027,N('2027'!D121),IF(A92=2028,N('2028'!D121),IF(A92=2029,N('2029'!D121),IF(A92=2030,N('2030'!D121),IF(A92=2031,N('2031'!D121),IF(A92=2032,N('2032'!D121),IF(A92=2033,N('2033'!D121),IF(A92=2034,N('2034'!D121),IFERROR(N(INDIRECT("'"&amp;A92&amp;"'!D"&amp;G92)),0))))))))))))</f>
        <v>0</v>
      </c>
      <c r="M92" s="36">
        <f>IFERROR(IF(NOT(ISBLANK(KPI_TARGETS!$G$19)),KPI_TARGETS!$G$19,IF(NOT(ISBLANK(KPI_TARGETS!$F$19)),KPI_TARGETS!$F$19,"")),"")</f>
        <v>16</v>
      </c>
      <c r="N92" s="36" t="str">
        <f>IFERROR(KPI_TARGETS!$E$19,"Higher is better")</f>
        <v>Higher is better</v>
      </c>
      <c r="O92" s="37">
        <f t="shared" ca="1" si="6"/>
        <v>0</v>
      </c>
      <c r="P92" t="str">
        <f t="shared" ca="1" si="7"/>
        <v>Red</v>
      </c>
      <c r="Q92" s="36">
        <f t="shared" ca="1" si="8"/>
        <v>-16</v>
      </c>
      <c r="R92" s="36" t="str">
        <f>""</f>
        <v/>
      </c>
      <c r="S92" s="36" t="str">
        <f>""</f>
        <v/>
      </c>
      <c r="T92" s="36" t="str">
        <f>""</f>
        <v/>
      </c>
      <c r="U92" s="36" t="str">
        <f>""</f>
        <v/>
      </c>
      <c r="V92" s="36" t="str">
        <f>""</f>
        <v/>
      </c>
      <c r="W92" s="36">
        <f t="shared" si="9"/>
        <v>1</v>
      </c>
      <c r="X92" t="str">
        <f t="shared" si="10"/>
        <v>OK</v>
      </c>
      <c r="Y92" t="str">
        <f>IF(MAIN!$H$3="Selected Year",IF(A92=MAIN!$B$3,"Yes","No"),IF(MAIN!$H$3="Included Years",IF(D92="Yes","Yes","No"),IF(C92="Yes","Yes","No")))</f>
        <v>Yes</v>
      </c>
      <c r="Z92" t="str">
        <f>IF(MAIN!$F$3="Project to Date",IF(AND(A92&gt;=SETTINGS!$B$4,A92&lt;MAIN!$B$3),"Yes",IF(AND(A92=MAIN!$B$3,E92&lt;=MAIN!$L$3),"Yes","No")),IF(OR(MAIN!$F$3="Full Year",MAIN!$D$3="All"),"Yes",IF(MAIN!$F$3="Monthly",IF(E92=MAIN!$L$3,"Yes","No"),IF(E92&lt;=MAIN!$L$3,"Yes","No"))))</f>
        <v>Yes</v>
      </c>
      <c r="AA92" t="str">
        <f t="shared" si="11"/>
        <v>Yes</v>
      </c>
    </row>
    <row r="93" spans="1:27" x14ac:dyDescent="0.3">
      <c r="A93">
        <f>INDEX(SETTINGS!$A$15:$A$24,$B93)</f>
        <v>2025</v>
      </c>
      <c r="B93">
        <v>1</v>
      </c>
      <c r="C93" t="str">
        <f>IF(AND(A93&gt;=SETTINGS!$B$4,A93&lt;=SETTINGS!$B$5),"Yes","No")</f>
        <v>Yes</v>
      </c>
      <c r="D93" t="str">
        <f>IFERROR(INDEX(SETTINGS!$C$15:$C$24,MATCH(A93,SETTINGS!$A$15:$A$24,0)),"No")</f>
        <v>Yes</v>
      </c>
      <c r="E93">
        <v>5</v>
      </c>
      <c r="F93" t="s">
        <v>38</v>
      </c>
      <c r="G93">
        <v>122</v>
      </c>
      <c r="H93" t="s">
        <v>109</v>
      </c>
      <c r="I93" t="s">
        <v>22</v>
      </c>
      <c r="J93" t="s">
        <v>29</v>
      </c>
      <c r="K93" t="s">
        <v>3</v>
      </c>
      <c r="L93" s="36">
        <f ca="1">IF(C93&lt;&gt;"Yes",0,IF(A93=2025,N('2025'!D122),IF(A93=2026,N('2026'!D122),IF(A93=2027,N('2027'!D122),IF(A93=2028,N('2028'!D122),IF(A93=2029,N('2029'!D122),IF(A93=2030,N('2030'!D122),IF(A93=2031,N('2031'!D122),IF(A93=2032,N('2032'!D122),IF(A93=2033,N('2033'!D122),IF(A93=2034,N('2034'!D122),IFERROR(N(INDIRECT("'"&amp;A93&amp;"'!D"&amp;G93)),0))))))))))))</f>
        <v>0</v>
      </c>
      <c r="M93" s="36">
        <f>IFERROR(IF(NOT(ISBLANK(KPI_TARGETS!$G$20)),KPI_TARGETS!$G$20,IF(NOT(ISBLANK(KPI_TARGETS!$F$20)),KPI_TARGETS!$F$20,"")),"")</f>
        <v>1</v>
      </c>
      <c r="N93" s="36" t="str">
        <f>IFERROR(KPI_TARGETS!$E$20,"Higher is better")</f>
        <v>Higher is better</v>
      </c>
      <c r="O93" s="37">
        <f t="shared" ca="1" si="6"/>
        <v>0</v>
      </c>
      <c r="P93" t="str">
        <f t="shared" ca="1" si="7"/>
        <v>Red</v>
      </c>
      <c r="Q93" s="36">
        <f t="shared" ca="1" si="8"/>
        <v>-1</v>
      </c>
      <c r="R93" s="36" t="str">
        <f>""</f>
        <v/>
      </c>
      <c r="S93" s="36" t="str">
        <f>""</f>
        <v/>
      </c>
      <c r="T93" s="36" t="str">
        <f>""</f>
        <v/>
      </c>
      <c r="U93" s="36" t="str">
        <f>""</f>
        <v/>
      </c>
      <c r="V93" s="36" t="str">
        <f>""</f>
        <v/>
      </c>
      <c r="W93" s="36">
        <f t="shared" si="9"/>
        <v>1</v>
      </c>
      <c r="X93" t="str">
        <f t="shared" si="10"/>
        <v>OK</v>
      </c>
      <c r="Y93" t="str">
        <f>IF(MAIN!$H$3="Selected Year",IF(A93=MAIN!$B$3,"Yes","No"),IF(MAIN!$H$3="Included Years",IF(D93="Yes","Yes","No"),IF(C93="Yes","Yes","No")))</f>
        <v>Yes</v>
      </c>
      <c r="Z93" t="str">
        <f>IF(MAIN!$F$3="Project to Date",IF(AND(A93&gt;=SETTINGS!$B$4,A93&lt;MAIN!$B$3),"Yes",IF(AND(A93=MAIN!$B$3,E93&lt;=MAIN!$L$3),"Yes","No")),IF(OR(MAIN!$F$3="Full Year",MAIN!$D$3="All"),"Yes",IF(MAIN!$F$3="Monthly",IF(E93=MAIN!$L$3,"Yes","No"),IF(E93&lt;=MAIN!$L$3,"Yes","No"))))</f>
        <v>Yes</v>
      </c>
      <c r="AA93" t="str">
        <f t="shared" si="11"/>
        <v>Yes</v>
      </c>
    </row>
    <row r="94" spans="1:27" x14ac:dyDescent="0.3">
      <c r="A94">
        <f>INDEX(SETTINGS!$A$15:$A$24,$B94)</f>
        <v>2025</v>
      </c>
      <c r="B94">
        <v>1</v>
      </c>
      <c r="C94" t="str">
        <f>IF(AND(A94&gt;=SETTINGS!$B$4,A94&lt;=SETTINGS!$B$5),"Yes","No")</f>
        <v>Yes</v>
      </c>
      <c r="D94" t="str">
        <f>IFERROR(INDEX(SETTINGS!$C$15:$C$24,MATCH(A94,SETTINGS!$A$15:$A$24,0)),"No")</f>
        <v>Yes</v>
      </c>
      <c r="E94">
        <v>5</v>
      </c>
      <c r="F94" t="s">
        <v>38</v>
      </c>
      <c r="G94">
        <v>124</v>
      </c>
      <c r="H94" t="s">
        <v>110</v>
      </c>
      <c r="I94" t="s">
        <v>30</v>
      </c>
      <c r="J94" t="s">
        <v>31</v>
      </c>
      <c r="K94" t="s">
        <v>3</v>
      </c>
      <c r="L94" s="36">
        <f ca="1">IF(C94&lt;&gt;"Yes",0,IF(A94=2025,N('2025'!D124),IF(A94=2026,N('2026'!D124),IF(A94=2027,N('2027'!D124),IF(A94=2028,N('2028'!D124),IF(A94=2029,N('2029'!D124),IF(A94=2030,N('2030'!D124),IF(A94=2031,N('2031'!D124),IF(A94=2032,N('2032'!D124),IF(A94=2033,N('2033'!D124),IF(A94=2034,N('2034'!D124),IFERROR(N(INDIRECT("'"&amp;A94&amp;"'!D"&amp;G94)),0))))))))))))</f>
        <v>0</v>
      </c>
      <c r="M94" s="36">
        <f>IFERROR(IF(NOT(ISBLANK(KPI_TARGETS!$G$21)),KPI_TARGETS!$G$21,IF(NOT(ISBLANK(KPI_TARGETS!$F$21)),KPI_TARGETS!$F$21,"")),"")</f>
        <v>0</v>
      </c>
      <c r="N94" s="36" t="str">
        <f>IFERROR(KPI_TARGETS!$E$21,"Higher is better")</f>
        <v>Lower is better</v>
      </c>
      <c r="O94" s="37">
        <f t="shared" ca="1" si="6"/>
        <v>1</v>
      </c>
      <c r="P94" t="str">
        <f t="shared" ca="1" si="7"/>
        <v>Green</v>
      </c>
      <c r="Q94" s="36">
        <f t="shared" ca="1" si="8"/>
        <v>0</v>
      </c>
      <c r="R94" s="36" t="str">
        <f>""</f>
        <v/>
      </c>
      <c r="S94" s="36" t="str">
        <f>""</f>
        <v/>
      </c>
      <c r="T94" s="36" t="str">
        <f>""</f>
        <v/>
      </c>
      <c r="U94" s="36" t="str">
        <f>""</f>
        <v/>
      </c>
      <c r="V94" s="36" t="str">
        <f>""</f>
        <v/>
      </c>
      <c r="W94" s="36">
        <f t="shared" si="9"/>
        <v>1</v>
      </c>
      <c r="X94" t="str">
        <f t="shared" si="10"/>
        <v>OK</v>
      </c>
      <c r="Y94" t="str">
        <f>IF(MAIN!$H$3="Selected Year",IF(A94=MAIN!$B$3,"Yes","No"),IF(MAIN!$H$3="Included Years",IF(D94="Yes","Yes","No"),IF(C94="Yes","Yes","No")))</f>
        <v>Yes</v>
      </c>
      <c r="Z94" t="str">
        <f>IF(MAIN!$F$3="Project to Date",IF(AND(A94&gt;=SETTINGS!$B$4,A94&lt;MAIN!$B$3),"Yes",IF(AND(A94=MAIN!$B$3,E94&lt;=MAIN!$L$3),"Yes","No")),IF(OR(MAIN!$F$3="Full Year",MAIN!$D$3="All"),"Yes",IF(MAIN!$F$3="Monthly",IF(E94=MAIN!$L$3,"Yes","No"),IF(E94&lt;=MAIN!$L$3,"Yes","No"))))</f>
        <v>Yes</v>
      </c>
      <c r="AA94" t="str">
        <f t="shared" si="11"/>
        <v>Yes</v>
      </c>
    </row>
    <row r="95" spans="1:27" x14ac:dyDescent="0.3">
      <c r="A95">
        <f>INDEX(SETTINGS!$A$15:$A$24,$B95)</f>
        <v>2025</v>
      </c>
      <c r="B95">
        <v>1</v>
      </c>
      <c r="C95" t="str">
        <f>IF(AND(A95&gt;=SETTINGS!$B$4,A95&lt;=SETTINGS!$B$5),"Yes","No")</f>
        <v>Yes</v>
      </c>
      <c r="D95" t="str">
        <f>IFERROR(INDEX(SETTINGS!$C$15:$C$24,MATCH(A95,SETTINGS!$A$15:$A$24,0)),"No")</f>
        <v>Yes</v>
      </c>
      <c r="E95">
        <v>5</v>
      </c>
      <c r="F95" t="s">
        <v>38</v>
      </c>
      <c r="G95">
        <v>125</v>
      </c>
      <c r="H95" t="s">
        <v>111</v>
      </c>
      <c r="I95" t="s">
        <v>30</v>
      </c>
      <c r="J95" t="s">
        <v>32</v>
      </c>
      <c r="K95" t="s">
        <v>3</v>
      </c>
      <c r="L95" s="36">
        <f ca="1">IF(C95&lt;&gt;"Yes",0,IF(A95=2025,N('2025'!D125),IF(A95=2026,N('2026'!D125),IF(A95=2027,N('2027'!D125),IF(A95=2028,N('2028'!D125),IF(A95=2029,N('2029'!D125),IF(A95=2030,N('2030'!D125),IF(A95=2031,N('2031'!D125),IF(A95=2032,N('2032'!D125),IF(A95=2033,N('2033'!D125),IF(A95=2034,N('2034'!D125),IFERROR(N(INDIRECT("'"&amp;A95&amp;"'!D"&amp;G95)),0))))))))))))</f>
        <v>0</v>
      </c>
      <c r="M95" s="36">
        <f>IFERROR(IF(NOT(ISBLANK(KPI_TARGETS!$G$22)),KPI_TARGETS!$G$22,IF(NOT(ISBLANK(KPI_TARGETS!$F$22)),KPI_TARGETS!$F$22,"")),"")</f>
        <v>1</v>
      </c>
      <c r="N95" s="36" t="str">
        <f>IFERROR(KPI_TARGETS!$E$22,"Higher is better")</f>
        <v>Higher is better</v>
      </c>
      <c r="O95" s="37">
        <f t="shared" ca="1" si="6"/>
        <v>0</v>
      </c>
      <c r="P95" t="str">
        <f t="shared" ca="1" si="7"/>
        <v>Red</v>
      </c>
      <c r="Q95" s="36">
        <f t="shared" ca="1" si="8"/>
        <v>-1</v>
      </c>
      <c r="R95" s="36" t="str">
        <f>""</f>
        <v/>
      </c>
      <c r="S95" s="36" t="str">
        <f>""</f>
        <v/>
      </c>
      <c r="T95" s="36" t="str">
        <f>""</f>
        <v/>
      </c>
      <c r="U95" s="36" t="str">
        <f>""</f>
        <v/>
      </c>
      <c r="V95" s="36" t="str">
        <f>""</f>
        <v/>
      </c>
      <c r="W95" s="36">
        <f t="shared" si="9"/>
        <v>1</v>
      </c>
      <c r="X95" t="str">
        <f t="shared" si="10"/>
        <v>OK</v>
      </c>
      <c r="Y95" t="str">
        <f>IF(MAIN!$H$3="Selected Year",IF(A95=MAIN!$B$3,"Yes","No"),IF(MAIN!$H$3="Included Years",IF(D95="Yes","Yes","No"),IF(C95="Yes","Yes","No")))</f>
        <v>Yes</v>
      </c>
      <c r="Z95" t="str">
        <f>IF(MAIN!$F$3="Project to Date",IF(AND(A95&gt;=SETTINGS!$B$4,A95&lt;MAIN!$B$3),"Yes",IF(AND(A95=MAIN!$B$3,E95&lt;=MAIN!$L$3),"Yes","No")),IF(OR(MAIN!$F$3="Full Year",MAIN!$D$3="All"),"Yes",IF(MAIN!$F$3="Monthly",IF(E95=MAIN!$L$3,"Yes","No"),IF(E95&lt;=MAIN!$L$3,"Yes","No"))))</f>
        <v>Yes</v>
      </c>
      <c r="AA95" t="str">
        <f t="shared" si="11"/>
        <v>Yes</v>
      </c>
    </row>
    <row r="96" spans="1:27" x14ac:dyDescent="0.3">
      <c r="A96">
        <f>INDEX(SETTINGS!$A$15:$A$24,$B96)</f>
        <v>2025</v>
      </c>
      <c r="B96">
        <v>1</v>
      </c>
      <c r="C96" t="str">
        <f>IF(AND(A96&gt;=SETTINGS!$B$4,A96&lt;=SETTINGS!$B$5),"Yes","No")</f>
        <v>Yes</v>
      </c>
      <c r="D96" t="str">
        <f>IFERROR(INDEX(SETTINGS!$C$15:$C$24,MATCH(A96,SETTINGS!$A$15:$A$24,0)),"No")</f>
        <v>Yes</v>
      </c>
      <c r="E96">
        <v>5</v>
      </c>
      <c r="F96" t="s">
        <v>38</v>
      </c>
      <c r="G96">
        <v>126</v>
      </c>
      <c r="H96" t="s">
        <v>112</v>
      </c>
      <c r="I96" t="s">
        <v>30</v>
      </c>
      <c r="J96" t="s">
        <v>33</v>
      </c>
      <c r="K96" t="s">
        <v>34</v>
      </c>
      <c r="L96" s="36">
        <f ca="1">IF(C96&lt;&gt;"Yes",0,IF(A96=2025,N('2025'!D126),IF(A96=2026,N('2026'!D126),IF(A96=2027,N('2027'!D126),IF(A96=2028,N('2028'!D126),IF(A96=2029,N('2029'!D126),IF(A96=2030,N('2030'!D126),IF(A96=2031,N('2031'!D126),IF(A96=2032,N('2032'!D126),IF(A96=2033,N('2033'!D126),IF(A96=2034,N('2034'!D126),IFERROR(N(INDIRECT("'"&amp;A96&amp;"'!D"&amp;G96)),0))))))))))))</f>
        <v>0</v>
      </c>
      <c r="M96" s="36">
        <f>IFERROR(IF(NOT(ISBLANK(KPI_TARGETS!$G$23)),KPI_TARGETS!$G$23,IF(NOT(ISBLANK(KPI_TARGETS!$F$23)),KPI_TARGETS!$F$23,"")),"")</f>
        <v>1</v>
      </c>
      <c r="N96" s="36" t="str">
        <f>IFERROR(KPI_TARGETS!$E$23,"Higher is better")</f>
        <v>Higher is better</v>
      </c>
      <c r="O96" s="37">
        <f t="shared" ca="1" si="6"/>
        <v>0</v>
      </c>
      <c r="P96" t="str">
        <f t="shared" ca="1" si="7"/>
        <v>Red</v>
      </c>
      <c r="Q96" s="36">
        <f t="shared" ca="1" si="8"/>
        <v>-1</v>
      </c>
      <c r="R96" s="36" t="str">
        <f>""</f>
        <v/>
      </c>
      <c r="S96" s="36" t="str">
        <f>""</f>
        <v/>
      </c>
      <c r="T96" s="36" t="str">
        <f>""</f>
        <v/>
      </c>
      <c r="U96" s="36" t="str">
        <f>""</f>
        <v/>
      </c>
      <c r="V96" s="36" t="str">
        <f>""</f>
        <v/>
      </c>
      <c r="W96" s="36">
        <f t="shared" si="9"/>
        <v>1</v>
      </c>
      <c r="X96" t="str">
        <f t="shared" si="10"/>
        <v>OK</v>
      </c>
      <c r="Y96" t="str">
        <f>IF(MAIN!$H$3="Selected Year",IF(A96=MAIN!$B$3,"Yes","No"),IF(MAIN!$H$3="Included Years",IF(D96="Yes","Yes","No"),IF(C96="Yes","Yes","No")))</f>
        <v>Yes</v>
      </c>
      <c r="Z96" t="str">
        <f>IF(MAIN!$F$3="Project to Date",IF(AND(A96&gt;=SETTINGS!$B$4,A96&lt;MAIN!$B$3),"Yes",IF(AND(A96=MAIN!$B$3,E96&lt;=MAIN!$L$3),"Yes","No")),IF(OR(MAIN!$F$3="Full Year",MAIN!$D$3="All"),"Yes",IF(MAIN!$F$3="Monthly",IF(E96=MAIN!$L$3,"Yes","No"),IF(E96&lt;=MAIN!$L$3,"Yes","No"))))</f>
        <v>Yes</v>
      </c>
      <c r="AA96" t="str">
        <f t="shared" si="11"/>
        <v>Yes</v>
      </c>
    </row>
    <row r="97" spans="1:27" x14ac:dyDescent="0.3">
      <c r="A97">
        <f>INDEX(SETTINGS!$A$15:$A$24,$B97)</f>
        <v>2025</v>
      </c>
      <c r="B97">
        <v>1</v>
      </c>
      <c r="C97" t="str">
        <f>IF(AND(A97&gt;=SETTINGS!$B$4,A97&lt;=SETTINGS!$B$5),"Yes","No")</f>
        <v>Yes</v>
      </c>
      <c r="D97" t="str">
        <f>IFERROR(INDEX(SETTINGS!$C$15:$C$24,MATCH(A97,SETTINGS!$A$15:$A$24,0)),"No")</f>
        <v>Yes</v>
      </c>
      <c r="E97">
        <v>6</v>
      </c>
      <c r="F97" t="s">
        <v>39</v>
      </c>
      <c r="G97">
        <v>129</v>
      </c>
      <c r="H97" t="s">
        <v>88</v>
      </c>
      <c r="I97" t="s">
        <v>89</v>
      </c>
      <c r="J97" t="s">
        <v>10</v>
      </c>
      <c r="K97" t="s">
        <v>3</v>
      </c>
      <c r="L97" s="36">
        <f ca="1">IF(C97&lt;&gt;"Yes",0,IF(A97=2025,N('2025'!D129),IF(A97=2026,N('2026'!D129),IF(A97=2027,N('2027'!D129),IF(A97=2028,N('2028'!D129),IF(A97=2029,N('2029'!D129),IF(A97=2030,N('2030'!D129),IF(A97=2031,N('2031'!D129),IF(A97=2032,N('2032'!D129),IF(A97=2033,N('2033'!D129),IF(A97=2034,N('2034'!D129),IFERROR(N(INDIRECT("'"&amp;A97&amp;"'!D"&amp;G97)),0))))))))))))</f>
        <v>0</v>
      </c>
      <c r="M97" s="36">
        <f>IFERROR(IF(NOT(ISBLANK(KPI_TARGETS!$G$5)),KPI_TARGETS!$G$5,IF(NOT(ISBLANK(KPI_TARGETS!$F$5)),KPI_TARGETS!$F$5,"")),"")</f>
        <v>104</v>
      </c>
      <c r="N97" s="36" t="str">
        <f>IFERROR(KPI_TARGETS!$E$5,"Higher is better")</f>
        <v>Higher is better</v>
      </c>
      <c r="O97" s="37">
        <f t="shared" ca="1" si="6"/>
        <v>0</v>
      </c>
      <c r="P97" t="str">
        <f t="shared" ca="1" si="7"/>
        <v>Red</v>
      </c>
      <c r="Q97" s="36">
        <f t="shared" ca="1" si="8"/>
        <v>-104</v>
      </c>
      <c r="R97" s="36" t="str">
        <f>""</f>
        <v/>
      </c>
      <c r="S97" s="36" t="str">
        <f>""</f>
        <v/>
      </c>
      <c r="T97" s="36" t="str">
        <f>""</f>
        <v/>
      </c>
      <c r="U97" s="36" t="str">
        <f>""</f>
        <v/>
      </c>
      <c r="V97" s="36" t="str">
        <f>""</f>
        <v/>
      </c>
      <c r="W97" s="36">
        <f t="shared" si="9"/>
        <v>1</v>
      </c>
      <c r="X97" t="str">
        <f t="shared" si="10"/>
        <v>OK</v>
      </c>
      <c r="Y97" t="str">
        <f>IF(MAIN!$H$3="Selected Year",IF(A97=MAIN!$B$3,"Yes","No"),IF(MAIN!$H$3="Included Years",IF(D97="Yes","Yes","No"),IF(C97="Yes","Yes","No")))</f>
        <v>Yes</v>
      </c>
      <c r="Z97" t="str">
        <f>IF(MAIN!$F$3="Project to Date",IF(AND(A97&gt;=SETTINGS!$B$4,A97&lt;MAIN!$B$3),"Yes",IF(AND(A97=MAIN!$B$3,E97&lt;=MAIN!$L$3),"Yes","No")),IF(OR(MAIN!$F$3="Full Year",MAIN!$D$3="All"),"Yes",IF(MAIN!$F$3="Monthly",IF(E97=MAIN!$L$3,"Yes","No"),IF(E97&lt;=MAIN!$L$3,"Yes","No"))))</f>
        <v>Yes</v>
      </c>
      <c r="AA97" t="str">
        <f t="shared" si="11"/>
        <v>Yes</v>
      </c>
    </row>
    <row r="98" spans="1:27" x14ac:dyDescent="0.3">
      <c r="A98">
        <f>INDEX(SETTINGS!$A$15:$A$24,$B98)</f>
        <v>2025</v>
      </c>
      <c r="B98">
        <v>1</v>
      </c>
      <c r="C98" t="str">
        <f>IF(AND(A98&gt;=SETTINGS!$B$4,A98&lt;=SETTINGS!$B$5),"Yes","No")</f>
        <v>Yes</v>
      </c>
      <c r="D98" t="str">
        <f>IFERROR(INDEX(SETTINGS!$C$15:$C$24,MATCH(A98,SETTINGS!$A$15:$A$24,0)),"No")</f>
        <v>Yes</v>
      </c>
      <c r="E98">
        <v>6</v>
      </c>
      <c r="F98" t="s">
        <v>39</v>
      </c>
      <c r="G98">
        <v>130</v>
      </c>
      <c r="H98" t="s">
        <v>91</v>
      </c>
      <c r="I98" t="s">
        <v>89</v>
      </c>
      <c r="J98" t="s">
        <v>11</v>
      </c>
      <c r="K98" t="s">
        <v>12</v>
      </c>
      <c r="L98" s="36">
        <f ca="1">IF(C98&lt;&gt;"Yes",0,IF(A98=2025,N('2025'!D130),IF(A98=2026,N('2026'!D130),IF(A98=2027,N('2027'!D130),IF(A98=2028,N('2028'!D130),IF(A98=2029,N('2029'!D130),IF(A98=2030,N('2030'!D130),IF(A98=2031,N('2031'!D130),IF(A98=2032,N('2032'!D130),IF(A98=2033,N('2033'!D130),IF(A98=2034,N('2034'!D130),IFERROR(N(INDIRECT("'"&amp;A98&amp;"'!D"&amp;G98)),0))))))))))))</f>
        <v>2119.75</v>
      </c>
      <c r="M98" s="36">
        <f>IFERROR(IF(NOT(ISBLANK(KPI_TARGETS!$G$6)),KPI_TARGETS!$G$6,IF(NOT(ISBLANK(KPI_TARGETS!$F$6)),KPI_TARGETS!$F$6,"")),"")</f>
        <v>4000</v>
      </c>
      <c r="N98" s="36" t="str">
        <f>IFERROR(KPI_TARGETS!$E$6,"Higher is better")</f>
        <v>Higher is better</v>
      </c>
      <c r="O98" s="37">
        <f t="shared" ca="1" si="6"/>
        <v>0.52993749999999995</v>
      </c>
      <c r="P98" t="str">
        <f t="shared" ca="1" si="7"/>
        <v>Red</v>
      </c>
      <c r="Q98" s="36">
        <f t="shared" ca="1" si="8"/>
        <v>-1880.25</v>
      </c>
      <c r="R98" s="36" t="str">
        <f>""</f>
        <v/>
      </c>
      <c r="S98" s="36" t="str">
        <f>""</f>
        <v/>
      </c>
      <c r="T98" s="36" t="str">
        <f>""</f>
        <v/>
      </c>
      <c r="U98" s="36" t="str">
        <f>""</f>
        <v/>
      </c>
      <c r="V98" s="36" t="str">
        <f>""</f>
        <v/>
      </c>
      <c r="W98" s="36">
        <f t="shared" si="9"/>
        <v>1</v>
      </c>
      <c r="X98" t="str">
        <f t="shared" si="10"/>
        <v>OK</v>
      </c>
      <c r="Y98" t="str">
        <f>IF(MAIN!$H$3="Selected Year",IF(A98=MAIN!$B$3,"Yes","No"),IF(MAIN!$H$3="Included Years",IF(D98="Yes","Yes","No"),IF(C98="Yes","Yes","No")))</f>
        <v>Yes</v>
      </c>
      <c r="Z98" t="str">
        <f>IF(MAIN!$F$3="Project to Date",IF(AND(A98&gt;=SETTINGS!$B$4,A98&lt;MAIN!$B$3),"Yes",IF(AND(A98=MAIN!$B$3,E98&lt;=MAIN!$L$3),"Yes","No")),IF(OR(MAIN!$F$3="Full Year",MAIN!$D$3="All"),"Yes",IF(MAIN!$F$3="Monthly",IF(E98=MAIN!$L$3,"Yes","No"),IF(E98&lt;=MAIN!$L$3,"Yes","No"))))</f>
        <v>Yes</v>
      </c>
      <c r="AA98" t="str">
        <f t="shared" si="11"/>
        <v>Yes</v>
      </c>
    </row>
    <row r="99" spans="1:27" x14ac:dyDescent="0.3">
      <c r="A99">
        <f>INDEX(SETTINGS!$A$15:$A$24,$B99)</f>
        <v>2025</v>
      </c>
      <c r="B99">
        <v>1</v>
      </c>
      <c r="C99" t="str">
        <f>IF(AND(A99&gt;=SETTINGS!$B$4,A99&lt;=SETTINGS!$B$5),"Yes","No")</f>
        <v>Yes</v>
      </c>
      <c r="D99" t="str">
        <f>IFERROR(INDEX(SETTINGS!$C$15:$C$24,MATCH(A99,SETTINGS!$A$15:$A$24,0)),"No")</f>
        <v>Yes</v>
      </c>
      <c r="E99">
        <v>6</v>
      </c>
      <c r="F99" t="s">
        <v>39</v>
      </c>
      <c r="G99">
        <v>131</v>
      </c>
      <c r="H99" t="s">
        <v>93</v>
      </c>
      <c r="I99" t="s">
        <v>89</v>
      </c>
      <c r="J99" t="s">
        <v>13</v>
      </c>
      <c r="K99" t="s">
        <v>14</v>
      </c>
      <c r="L99" s="36">
        <f ca="1">IF(C99&lt;&gt;"Yes",0,IF(A99=2025,N('2025'!D131),IF(A99=2026,N('2026'!D131),IF(A99=2027,N('2027'!D131),IF(A99=2028,N('2028'!D131),IF(A99=2029,N('2029'!D131),IF(A99=2030,N('2030'!D131),IF(A99=2031,N('2031'!D131),IF(A99=2032,N('2032'!D131),IF(A99=2033,N('2033'!D131),IF(A99=2034,N('2034'!D131),IFERROR(N(INDIRECT("'"&amp;A99&amp;"'!D"&amp;G99)),0))))))))))))</f>
        <v>0</v>
      </c>
      <c r="M99" s="36">
        <f>IFERROR(IF(NOT(ISBLANK(KPI_TARGETS!$G$7)),KPI_TARGETS!$G$7,IF(NOT(ISBLANK(KPI_TARGETS!$F$7)),KPI_TARGETS!$F$7,"")),"")</f>
        <v>8000</v>
      </c>
      <c r="N99" s="36" t="str">
        <f>IFERROR(KPI_TARGETS!$E$7,"Higher is better")</f>
        <v>Higher is better</v>
      </c>
      <c r="O99" s="37">
        <f t="shared" ca="1" si="6"/>
        <v>0</v>
      </c>
      <c r="P99" t="str">
        <f t="shared" ca="1" si="7"/>
        <v>Red</v>
      </c>
      <c r="Q99" s="36">
        <f t="shared" ca="1" si="8"/>
        <v>-8000</v>
      </c>
      <c r="R99" s="36" t="str">
        <f>""</f>
        <v/>
      </c>
      <c r="S99" s="36" t="str">
        <f>""</f>
        <v/>
      </c>
      <c r="T99" s="36" t="str">
        <f>""</f>
        <v/>
      </c>
      <c r="U99" s="36" t="str">
        <f>""</f>
        <v/>
      </c>
      <c r="V99" s="36" t="str">
        <f>""</f>
        <v/>
      </c>
      <c r="W99" s="36">
        <f t="shared" si="9"/>
        <v>1</v>
      </c>
      <c r="X99" t="str">
        <f t="shared" si="10"/>
        <v>OK</v>
      </c>
      <c r="Y99" t="str">
        <f>IF(MAIN!$H$3="Selected Year",IF(A99=MAIN!$B$3,"Yes","No"),IF(MAIN!$H$3="Included Years",IF(D99="Yes","Yes","No"),IF(C99="Yes","Yes","No")))</f>
        <v>Yes</v>
      </c>
      <c r="Z99" t="str">
        <f>IF(MAIN!$F$3="Project to Date",IF(AND(A99&gt;=SETTINGS!$B$4,A99&lt;MAIN!$B$3),"Yes",IF(AND(A99=MAIN!$B$3,E99&lt;=MAIN!$L$3),"Yes","No")),IF(OR(MAIN!$F$3="Full Year",MAIN!$D$3="All"),"Yes",IF(MAIN!$F$3="Monthly",IF(E99=MAIN!$L$3,"Yes","No"),IF(E99&lt;=MAIN!$L$3,"Yes","No"))))</f>
        <v>Yes</v>
      </c>
      <c r="AA99" t="str">
        <f t="shared" si="11"/>
        <v>Yes</v>
      </c>
    </row>
    <row r="100" spans="1:27" x14ac:dyDescent="0.3">
      <c r="A100">
        <f>INDEX(SETTINGS!$A$15:$A$24,$B100)</f>
        <v>2025</v>
      </c>
      <c r="B100">
        <v>1</v>
      </c>
      <c r="C100" t="str">
        <f>IF(AND(A100&gt;=SETTINGS!$B$4,A100&lt;=SETTINGS!$B$5),"Yes","No")</f>
        <v>Yes</v>
      </c>
      <c r="D100" t="str">
        <f>IFERROR(INDEX(SETTINGS!$C$15:$C$24,MATCH(A100,SETTINGS!$A$15:$A$24,0)),"No")</f>
        <v>Yes</v>
      </c>
      <c r="E100">
        <v>6</v>
      </c>
      <c r="F100" t="s">
        <v>39</v>
      </c>
      <c r="G100">
        <v>133</v>
      </c>
      <c r="H100" t="s">
        <v>95</v>
      </c>
      <c r="I100" t="s">
        <v>15</v>
      </c>
      <c r="J100" t="s">
        <v>16</v>
      </c>
      <c r="K100" t="s">
        <v>3</v>
      </c>
      <c r="L100" s="36">
        <f ca="1">IF(C100&lt;&gt;"Yes",0,IF(A100=2025,N('2025'!D133),IF(A100=2026,N('2026'!D133),IF(A100=2027,N('2027'!D133),IF(A100=2028,N('2028'!D133),IF(A100=2029,N('2029'!D133),IF(A100=2030,N('2030'!D133),IF(A100=2031,N('2031'!D133),IF(A100=2032,N('2032'!D133),IF(A100=2033,N('2033'!D133),IF(A100=2034,N('2034'!D133),IFERROR(N(INDIRECT("'"&amp;A100&amp;"'!D"&amp;G100)),0))))))))))))</f>
        <v>0</v>
      </c>
      <c r="M100" s="36">
        <f>IFERROR(IF(NOT(ISBLANK(KPI_TARGETS!$G$8)),KPI_TARGETS!$G$8,IF(NOT(ISBLANK(KPI_TARGETS!$F$8)),KPI_TARGETS!$F$8,"")),"")</f>
        <v>0</v>
      </c>
      <c r="N100" s="36" t="str">
        <f>IFERROR(KPI_TARGETS!$E$8,"Higher is better")</f>
        <v>Lower is better</v>
      </c>
      <c r="O100" s="37">
        <f t="shared" ca="1" si="6"/>
        <v>1</v>
      </c>
      <c r="P100" t="str">
        <f t="shared" ca="1" si="7"/>
        <v>Green</v>
      </c>
      <c r="Q100" s="36">
        <f t="shared" ca="1" si="8"/>
        <v>0</v>
      </c>
      <c r="R100" s="36" t="str">
        <f>""</f>
        <v/>
      </c>
      <c r="S100" s="36" t="str">
        <f>""</f>
        <v/>
      </c>
      <c r="T100" s="36" t="str">
        <f>""</f>
        <v/>
      </c>
      <c r="U100" s="36" t="str">
        <f>""</f>
        <v/>
      </c>
      <c r="V100" s="36" t="str">
        <f>""</f>
        <v/>
      </c>
      <c r="W100" s="36">
        <f t="shared" si="9"/>
        <v>1</v>
      </c>
      <c r="X100" t="str">
        <f t="shared" si="10"/>
        <v>OK</v>
      </c>
      <c r="Y100" t="str">
        <f>IF(MAIN!$H$3="Selected Year",IF(A100=MAIN!$B$3,"Yes","No"),IF(MAIN!$H$3="Included Years",IF(D100="Yes","Yes","No"),IF(C100="Yes","Yes","No")))</f>
        <v>Yes</v>
      </c>
      <c r="Z100" t="str">
        <f>IF(MAIN!$F$3="Project to Date",IF(AND(A100&gt;=SETTINGS!$B$4,A100&lt;MAIN!$B$3),"Yes",IF(AND(A100=MAIN!$B$3,E100&lt;=MAIN!$L$3),"Yes","No")),IF(OR(MAIN!$F$3="Full Year",MAIN!$D$3="All"),"Yes",IF(MAIN!$F$3="Monthly",IF(E100=MAIN!$L$3,"Yes","No"),IF(E100&lt;=MAIN!$L$3,"Yes","No"))))</f>
        <v>Yes</v>
      </c>
      <c r="AA100" t="str">
        <f t="shared" si="11"/>
        <v>Yes</v>
      </c>
    </row>
    <row r="101" spans="1:27" x14ac:dyDescent="0.3">
      <c r="A101">
        <f>INDEX(SETTINGS!$A$15:$A$24,$B101)</f>
        <v>2025</v>
      </c>
      <c r="B101">
        <v>1</v>
      </c>
      <c r="C101" t="str">
        <f>IF(AND(A101&gt;=SETTINGS!$B$4,A101&lt;=SETTINGS!$B$5),"Yes","No")</f>
        <v>Yes</v>
      </c>
      <c r="D101" t="str">
        <f>IFERROR(INDEX(SETTINGS!$C$15:$C$24,MATCH(A101,SETTINGS!$A$15:$A$24,0)),"No")</f>
        <v>Yes</v>
      </c>
      <c r="E101">
        <v>6</v>
      </c>
      <c r="F101" t="s">
        <v>39</v>
      </c>
      <c r="G101">
        <v>134</v>
      </c>
      <c r="H101" t="s">
        <v>97</v>
      </c>
      <c r="I101" t="s">
        <v>15</v>
      </c>
      <c r="J101" t="s">
        <v>17</v>
      </c>
      <c r="K101" t="s">
        <v>3</v>
      </c>
      <c r="L101" s="36">
        <f ca="1">IF(C101&lt;&gt;"Yes",0,IF(A101=2025,N('2025'!D134),IF(A101=2026,N('2026'!D134),IF(A101=2027,N('2027'!D134),IF(A101=2028,N('2028'!D134),IF(A101=2029,N('2029'!D134),IF(A101=2030,N('2030'!D134),IF(A101=2031,N('2031'!D134),IF(A101=2032,N('2032'!D134),IF(A101=2033,N('2033'!D134),IF(A101=2034,N('2034'!D134),IFERROR(N(INDIRECT("'"&amp;A101&amp;"'!D"&amp;G101)),0))))))))))))</f>
        <v>0</v>
      </c>
      <c r="M101" s="36">
        <f>IFERROR(IF(NOT(ISBLANK(KPI_TARGETS!$G$9)),KPI_TARGETS!$G$9,IF(NOT(ISBLANK(KPI_TARGETS!$F$9)),KPI_TARGETS!$F$9,"")),"")</f>
        <v>0</v>
      </c>
      <c r="N101" s="36" t="str">
        <f>IFERROR(KPI_TARGETS!$E$9,"Higher is better")</f>
        <v>Higher is better</v>
      </c>
      <c r="O101" s="37" t="str">
        <f t="shared" ca="1" si="6"/>
        <v/>
      </c>
      <c r="P101" t="str">
        <f t="shared" ca="1" si="7"/>
        <v>Green</v>
      </c>
      <c r="Q101" s="36">
        <f t="shared" ca="1" si="8"/>
        <v>0</v>
      </c>
      <c r="R101" s="36" t="str">
        <f>""</f>
        <v/>
      </c>
      <c r="S101" s="36" t="str">
        <f>""</f>
        <v/>
      </c>
      <c r="T101" s="36" t="str">
        <f>""</f>
        <v/>
      </c>
      <c r="U101" s="36" t="str">
        <f>""</f>
        <v/>
      </c>
      <c r="V101" s="36" t="str">
        <f>""</f>
        <v/>
      </c>
      <c r="W101" s="36">
        <f t="shared" si="9"/>
        <v>1</v>
      </c>
      <c r="X101" t="str">
        <f t="shared" si="10"/>
        <v>OK</v>
      </c>
      <c r="Y101" t="str">
        <f>IF(MAIN!$H$3="Selected Year",IF(A101=MAIN!$B$3,"Yes","No"),IF(MAIN!$H$3="Included Years",IF(D101="Yes","Yes","No"),IF(C101="Yes","Yes","No")))</f>
        <v>Yes</v>
      </c>
      <c r="Z101" t="str">
        <f>IF(MAIN!$F$3="Project to Date",IF(AND(A101&gt;=SETTINGS!$B$4,A101&lt;MAIN!$B$3),"Yes",IF(AND(A101=MAIN!$B$3,E101&lt;=MAIN!$L$3),"Yes","No")),IF(OR(MAIN!$F$3="Full Year",MAIN!$D$3="All"),"Yes",IF(MAIN!$F$3="Monthly",IF(E101=MAIN!$L$3,"Yes","No"),IF(E101&lt;=MAIN!$L$3,"Yes","No"))))</f>
        <v>Yes</v>
      </c>
      <c r="AA101" t="str">
        <f t="shared" si="11"/>
        <v>Yes</v>
      </c>
    </row>
    <row r="102" spans="1:27" x14ac:dyDescent="0.3">
      <c r="A102">
        <f>INDEX(SETTINGS!$A$15:$A$24,$B102)</f>
        <v>2025</v>
      </c>
      <c r="B102">
        <v>1</v>
      </c>
      <c r="C102" t="str">
        <f>IF(AND(A102&gt;=SETTINGS!$B$4,A102&lt;=SETTINGS!$B$5),"Yes","No")</f>
        <v>Yes</v>
      </c>
      <c r="D102" t="str">
        <f>IFERROR(INDEX(SETTINGS!$C$15:$C$24,MATCH(A102,SETTINGS!$A$15:$A$24,0)),"No")</f>
        <v>Yes</v>
      </c>
      <c r="E102">
        <v>6</v>
      </c>
      <c r="F102" t="s">
        <v>39</v>
      </c>
      <c r="G102">
        <v>135</v>
      </c>
      <c r="H102" t="s">
        <v>99</v>
      </c>
      <c r="I102" t="s">
        <v>15</v>
      </c>
      <c r="J102" t="s">
        <v>18</v>
      </c>
      <c r="K102" t="s">
        <v>3</v>
      </c>
      <c r="L102" s="36">
        <f ca="1">IF(C102&lt;&gt;"Yes",0,IF(A102=2025,N('2025'!D135),IF(A102=2026,N('2026'!D135),IF(A102=2027,N('2027'!D135),IF(A102=2028,N('2028'!D135),IF(A102=2029,N('2029'!D135),IF(A102=2030,N('2030'!D135),IF(A102=2031,N('2031'!D135),IF(A102=2032,N('2032'!D135),IF(A102=2033,N('2033'!D135),IF(A102=2034,N('2034'!D135),IFERROR(N(INDIRECT("'"&amp;A102&amp;"'!D"&amp;G102)),0))))))))))))</f>
        <v>0</v>
      </c>
      <c r="M102" s="36">
        <f>IFERROR(IF(NOT(ISBLANK(KPI_TARGETS!$G$10)),KPI_TARGETS!$G$10,IF(NOT(ISBLANK(KPI_TARGETS!$F$10)),KPI_TARGETS!$F$10,"")),"")</f>
        <v>0</v>
      </c>
      <c r="N102" s="36" t="str">
        <f>IFERROR(KPI_TARGETS!$E$10,"Higher is better")</f>
        <v>Lower is better</v>
      </c>
      <c r="O102" s="37">
        <f t="shared" ca="1" si="6"/>
        <v>1</v>
      </c>
      <c r="P102" t="str">
        <f t="shared" ca="1" si="7"/>
        <v>Green</v>
      </c>
      <c r="Q102" s="36">
        <f t="shared" ca="1" si="8"/>
        <v>0</v>
      </c>
      <c r="R102" s="36" t="str">
        <f>""</f>
        <v/>
      </c>
      <c r="S102" s="36" t="str">
        <f>""</f>
        <v/>
      </c>
      <c r="T102" s="36" t="str">
        <f>""</f>
        <v/>
      </c>
      <c r="U102" s="36" t="str">
        <f>""</f>
        <v/>
      </c>
      <c r="V102" s="36" t="str">
        <f>""</f>
        <v/>
      </c>
      <c r="W102" s="36">
        <f t="shared" si="9"/>
        <v>1</v>
      </c>
      <c r="X102" t="str">
        <f t="shared" si="10"/>
        <v>OK</v>
      </c>
      <c r="Y102" t="str">
        <f>IF(MAIN!$H$3="Selected Year",IF(A102=MAIN!$B$3,"Yes","No"),IF(MAIN!$H$3="Included Years",IF(D102="Yes","Yes","No"),IF(C102="Yes","Yes","No")))</f>
        <v>Yes</v>
      </c>
      <c r="Z102" t="str">
        <f>IF(MAIN!$F$3="Project to Date",IF(AND(A102&gt;=SETTINGS!$B$4,A102&lt;MAIN!$B$3),"Yes",IF(AND(A102=MAIN!$B$3,E102&lt;=MAIN!$L$3),"Yes","No")),IF(OR(MAIN!$F$3="Full Year",MAIN!$D$3="All"),"Yes",IF(MAIN!$F$3="Monthly",IF(E102=MAIN!$L$3,"Yes","No"),IF(E102&lt;=MAIN!$L$3,"Yes","No"))))</f>
        <v>Yes</v>
      </c>
      <c r="AA102" t="str">
        <f t="shared" si="11"/>
        <v>Yes</v>
      </c>
    </row>
    <row r="103" spans="1:27" x14ac:dyDescent="0.3">
      <c r="A103">
        <f>INDEX(SETTINGS!$A$15:$A$24,$B103)</f>
        <v>2025</v>
      </c>
      <c r="B103">
        <v>1</v>
      </c>
      <c r="C103" t="str">
        <f>IF(AND(A103&gt;=SETTINGS!$B$4,A103&lt;=SETTINGS!$B$5),"Yes","No")</f>
        <v>Yes</v>
      </c>
      <c r="D103" t="str">
        <f>IFERROR(INDEX(SETTINGS!$C$15:$C$24,MATCH(A103,SETTINGS!$A$15:$A$24,0)),"No")</f>
        <v>Yes</v>
      </c>
      <c r="E103">
        <v>6</v>
      </c>
      <c r="F103" t="s">
        <v>39</v>
      </c>
      <c r="G103">
        <v>136</v>
      </c>
      <c r="H103" t="s">
        <v>100</v>
      </c>
      <c r="I103" t="s">
        <v>15</v>
      </c>
      <c r="J103" t="s">
        <v>19</v>
      </c>
      <c r="K103" t="s">
        <v>3</v>
      </c>
      <c r="L103" s="36">
        <f ca="1">IF(C103&lt;&gt;"Yes",0,IF(A103=2025,N('2025'!D136),IF(A103=2026,N('2026'!D136),IF(A103=2027,N('2027'!D136),IF(A103=2028,N('2028'!D136),IF(A103=2029,N('2029'!D136),IF(A103=2030,N('2030'!D136),IF(A103=2031,N('2031'!D136),IF(A103=2032,N('2032'!D136),IF(A103=2033,N('2033'!D136),IF(A103=2034,N('2034'!D136),IFERROR(N(INDIRECT("'"&amp;A103&amp;"'!D"&amp;G103)),0))))))))))))</f>
        <v>0</v>
      </c>
      <c r="M103" s="36">
        <f>IFERROR(IF(NOT(ISBLANK(KPI_TARGETS!$G$11)),KPI_TARGETS!$G$11,IF(NOT(ISBLANK(KPI_TARGETS!$F$11)),KPI_TARGETS!$F$11,"")),"")</f>
        <v>0</v>
      </c>
      <c r="N103" s="36" t="str">
        <f>IFERROR(KPI_TARGETS!$E$11,"Higher is better")</f>
        <v>Lower is better</v>
      </c>
      <c r="O103" s="37">
        <f t="shared" ca="1" si="6"/>
        <v>1</v>
      </c>
      <c r="P103" t="str">
        <f t="shared" ca="1" si="7"/>
        <v>Green</v>
      </c>
      <c r="Q103" s="36">
        <f t="shared" ca="1" si="8"/>
        <v>0</v>
      </c>
      <c r="R103" s="36" t="str">
        <f>""</f>
        <v/>
      </c>
      <c r="S103" s="36" t="str">
        <f>""</f>
        <v/>
      </c>
      <c r="T103" s="36" t="str">
        <f>""</f>
        <v/>
      </c>
      <c r="U103" s="36" t="str">
        <f>""</f>
        <v/>
      </c>
      <c r="V103" s="36" t="str">
        <f>""</f>
        <v/>
      </c>
      <c r="W103" s="36">
        <f t="shared" si="9"/>
        <v>1</v>
      </c>
      <c r="X103" t="str">
        <f t="shared" si="10"/>
        <v>OK</v>
      </c>
      <c r="Y103" t="str">
        <f>IF(MAIN!$H$3="Selected Year",IF(A103=MAIN!$B$3,"Yes","No"),IF(MAIN!$H$3="Included Years",IF(D103="Yes","Yes","No"),IF(C103="Yes","Yes","No")))</f>
        <v>Yes</v>
      </c>
      <c r="Z103" t="str">
        <f>IF(MAIN!$F$3="Project to Date",IF(AND(A103&gt;=SETTINGS!$B$4,A103&lt;MAIN!$B$3),"Yes",IF(AND(A103=MAIN!$B$3,E103&lt;=MAIN!$L$3),"Yes","No")),IF(OR(MAIN!$F$3="Full Year",MAIN!$D$3="All"),"Yes",IF(MAIN!$F$3="Monthly",IF(E103=MAIN!$L$3,"Yes","No"),IF(E103&lt;=MAIN!$L$3,"Yes","No"))))</f>
        <v>Yes</v>
      </c>
      <c r="AA103" t="str">
        <f t="shared" si="11"/>
        <v>Yes</v>
      </c>
    </row>
    <row r="104" spans="1:27" x14ac:dyDescent="0.3">
      <c r="A104">
        <f>INDEX(SETTINGS!$A$15:$A$24,$B104)</f>
        <v>2025</v>
      </c>
      <c r="B104">
        <v>1</v>
      </c>
      <c r="C104" t="str">
        <f>IF(AND(A104&gt;=SETTINGS!$B$4,A104&lt;=SETTINGS!$B$5),"Yes","No")</f>
        <v>Yes</v>
      </c>
      <c r="D104" t="str">
        <f>IFERROR(INDEX(SETTINGS!$C$15:$C$24,MATCH(A104,SETTINGS!$A$15:$A$24,0)),"No")</f>
        <v>Yes</v>
      </c>
      <c r="E104">
        <v>6</v>
      </c>
      <c r="F104" t="s">
        <v>39</v>
      </c>
      <c r="G104">
        <v>137</v>
      </c>
      <c r="H104" t="s">
        <v>101</v>
      </c>
      <c r="I104" t="s">
        <v>15</v>
      </c>
      <c r="J104" t="s">
        <v>20</v>
      </c>
      <c r="K104" t="s">
        <v>3</v>
      </c>
      <c r="L104" s="36">
        <f ca="1">IF(C104&lt;&gt;"Yes",0,IF(A104=2025,N('2025'!D137),IF(A104=2026,N('2026'!D137),IF(A104=2027,N('2027'!D137),IF(A104=2028,N('2028'!D137),IF(A104=2029,N('2029'!D137),IF(A104=2030,N('2030'!D137),IF(A104=2031,N('2031'!D137),IF(A104=2032,N('2032'!D137),IF(A104=2033,N('2033'!D137),IF(A104=2034,N('2034'!D137),IFERROR(N(INDIRECT("'"&amp;A104&amp;"'!D"&amp;G104)),0))))))))))))</f>
        <v>0</v>
      </c>
      <c r="M104" s="36">
        <f>IFERROR(IF(NOT(ISBLANK(KPI_TARGETS!$G$12)),KPI_TARGETS!$G$12,IF(NOT(ISBLANK(KPI_TARGETS!$F$12)),KPI_TARGETS!$F$12,"")),"")</f>
        <v>0</v>
      </c>
      <c r="N104" s="36" t="str">
        <f>IFERROR(KPI_TARGETS!$E$12,"Higher is better")</f>
        <v>Lower is better</v>
      </c>
      <c r="O104" s="37">
        <f t="shared" ca="1" si="6"/>
        <v>1</v>
      </c>
      <c r="P104" t="str">
        <f t="shared" ca="1" si="7"/>
        <v>Green</v>
      </c>
      <c r="Q104" s="36">
        <f t="shared" ca="1" si="8"/>
        <v>0</v>
      </c>
      <c r="R104" s="36" t="str">
        <f>""</f>
        <v/>
      </c>
      <c r="S104" s="36" t="str">
        <f>""</f>
        <v/>
      </c>
      <c r="T104" s="36" t="str">
        <f>""</f>
        <v/>
      </c>
      <c r="U104" s="36" t="str">
        <f>""</f>
        <v/>
      </c>
      <c r="V104" s="36" t="str">
        <f>""</f>
        <v/>
      </c>
      <c r="W104" s="36">
        <f t="shared" si="9"/>
        <v>1</v>
      </c>
      <c r="X104" t="str">
        <f t="shared" si="10"/>
        <v>OK</v>
      </c>
      <c r="Y104" t="str">
        <f>IF(MAIN!$H$3="Selected Year",IF(A104=MAIN!$B$3,"Yes","No"),IF(MAIN!$H$3="Included Years",IF(D104="Yes","Yes","No"),IF(C104="Yes","Yes","No")))</f>
        <v>Yes</v>
      </c>
      <c r="Z104" t="str">
        <f>IF(MAIN!$F$3="Project to Date",IF(AND(A104&gt;=SETTINGS!$B$4,A104&lt;MAIN!$B$3),"Yes",IF(AND(A104=MAIN!$B$3,E104&lt;=MAIN!$L$3),"Yes","No")),IF(OR(MAIN!$F$3="Full Year",MAIN!$D$3="All"),"Yes",IF(MAIN!$F$3="Monthly",IF(E104=MAIN!$L$3,"Yes","No"),IF(E104&lt;=MAIN!$L$3,"Yes","No"))))</f>
        <v>Yes</v>
      </c>
      <c r="AA104" t="str">
        <f t="shared" si="11"/>
        <v>Yes</v>
      </c>
    </row>
    <row r="105" spans="1:27" x14ac:dyDescent="0.3">
      <c r="A105">
        <f>INDEX(SETTINGS!$A$15:$A$24,$B105)</f>
        <v>2025</v>
      </c>
      <c r="B105">
        <v>1</v>
      </c>
      <c r="C105" t="str">
        <f>IF(AND(A105&gt;=SETTINGS!$B$4,A105&lt;=SETTINGS!$B$5),"Yes","No")</f>
        <v>Yes</v>
      </c>
      <c r="D105" t="str">
        <f>IFERROR(INDEX(SETTINGS!$C$15:$C$24,MATCH(A105,SETTINGS!$A$15:$A$24,0)),"No")</f>
        <v>Yes</v>
      </c>
      <c r="E105">
        <v>6</v>
      </c>
      <c r="F105" t="s">
        <v>39</v>
      </c>
      <c r="G105">
        <v>138</v>
      </c>
      <c r="H105" t="s">
        <v>102</v>
      </c>
      <c r="I105" t="s">
        <v>15</v>
      </c>
      <c r="J105" t="s">
        <v>21</v>
      </c>
      <c r="K105" t="s">
        <v>3</v>
      </c>
      <c r="L105" s="36">
        <f ca="1">IF(C105&lt;&gt;"Yes",0,IF(A105=2025,N('2025'!D138),IF(A105=2026,N('2026'!D138),IF(A105=2027,N('2027'!D138),IF(A105=2028,N('2028'!D138),IF(A105=2029,N('2029'!D138),IF(A105=2030,N('2030'!D138),IF(A105=2031,N('2031'!D138),IF(A105=2032,N('2032'!D138),IF(A105=2033,N('2033'!D138),IF(A105=2034,N('2034'!D138),IFERROR(N(INDIRECT("'"&amp;A105&amp;"'!D"&amp;G105)),0))))))))))))</f>
        <v>0</v>
      </c>
      <c r="M105" s="36">
        <f>IFERROR(IF(NOT(ISBLANK(KPI_TARGETS!$G$13)),KPI_TARGETS!$G$13,IF(NOT(ISBLANK(KPI_TARGETS!$F$13)),KPI_TARGETS!$F$13,"")),"")</f>
        <v>0</v>
      </c>
      <c r="N105" s="36" t="str">
        <f>IFERROR(KPI_TARGETS!$E$13,"Higher is better")</f>
        <v>Lower is better</v>
      </c>
      <c r="O105" s="37">
        <f t="shared" ca="1" si="6"/>
        <v>1</v>
      </c>
      <c r="P105" t="str">
        <f t="shared" ca="1" si="7"/>
        <v>Green</v>
      </c>
      <c r="Q105" s="36">
        <f t="shared" ca="1" si="8"/>
        <v>0</v>
      </c>
      <c r="R105" s="36" t="str">
        <f>""</f>
        <v/>
      </c>
      <c r="S105" s="36" t="str">
        <f>""</f>
        <v/>
      </c>
      <c r="T105" s="36" t="str">
        <f>""</f>
        <v/>
      </c>
      <c r="U105" s="36" t="str">
        <f>""</f>
        <v/>
      </c>
      <c r="V105" s="36" t="str">
        <f>""</f>
        <v/>
      </c>
      <c r="W105" s="36">
        <f t="shared" si="9"/>
        <v>1</v>
      </c>
      <c r="X105" t="str">
        <f t="shared" si="10"/>
        <v>OK</v>
      </c>
      <c r="Y105" t="str">
        <f>IF(MAIN!$H$3="Selected Year",IF(A105=MAIN!$B$3,"Yes","No"),IF(MAIN!$H$3="Included Years",IF(D105="Yes","Yes","No"),IF(C105="Yes","Yes","No")))</f>
        <v>Yes</v>
      </c>
      <c r="Z105" t="str">
        <f>IF(MAIN!$F$3="Project to Date",IF(AND(A105&gt;=SETTINGS!$B$4,A105&lt;MAIN!$B$3),"Yes",IF(AND(A105=MAIN!$B$3,E105&lt;=MAIN!$L$3),"Yes","No")),IF(OR(MAIN!$F$3="Full Year",MAIN!$D$3="All"),"Yes",IF(MAIN!$F$3="Monthly",IF(E105=MAIN!$L$3,"Yes","No"),IF(E105&lt;=MAIN!$L$3,"Yes","No"))))</f>
        <v>Yes</v>
      </c>
      <c r="AA105" t="str">
        <f t="shared" si="11"/>
        <v>Yes</v>
      </c>
    </row>
    <row r="106" spans="1:27" x14ac:dyDescent="0.3">
      <c r="A106">
        <f>INDEX(SETTINGS!$A$15:$A$24,$B106)</f>
        <v>2025</v>
      </c>
      <c r="B106">
        <v>1</v>
      </c>
      <c r="C106" t="str">
        <f>IF(AND(A106&gt;=SETTINGS!$B$4,A106&lt;=SETTINGS!$B$5),"Yes","No")</f>
        <v>Yes</v>
      </c>
      <c r="D106" t="str">
        <f>IFERROR(INDEX(SETTINGS!$C$15:$C$24,MATCH(A106,SETTINGS!$A$15:$A$24,0)),"No")</f>
        <v>Yes</v>
      </c>
      <c r="E106">
        <v>6</v>
      </c>
      <c r="F106" t="s">
        <v>39</v>
      </c>
      <c r="G106">
        <v>140</v>
      </c>
      <c r="H106" t="s">
        <v>103</v>
      </c>
      <c r="I106" t="s">
        <v>22</v>
      </c>
      <c r="J106" t="s">
        <v>23</v>
      </c>
      <c r="K106" t="s">
        <v>3</v>
      </c>
      <c r="L106" s="36">
        <f ca="1">IF(C106&lt;&gt;"Yes",0,IF(A106=2025,N('2025'!D140),IF(A106=2026,N('2026'!D140),IF(A106=2027,N('2027'!D140),IF(A106=2028,N('2028'!D140),IF(A106=2029,N('2029'!D140),IF(A106=2030,N('2030'!D140),IF(A106=2031,N('2031'!D140),IF(A106=2032,N('2032'!D140),IF(A106=2033,N('2033'!D140),IF(A106=2034,N('2034'!D140),IFERROR(N(INDIRECT("'"&amp;A106&amp;"'!D"&amp;G106)),0))))))))))))</f>
        <v>17</v>
      </c>
      <c r="M106" s="36">
        <f>IFERROR(IF(NOT(ISBLANK(KPI_TARGETS!$G$14)),KPI_TARGETS!$G$14,IF(NOT(ISBLANK(KPI_TARGETS!$F$14)),KPI_TARGETS!$F$14,"")),"")</f>
        <v>35</v>
      </c>
      <c r="N106" s="36" t="str">
        <f>IFERROR(KPI_TARGETS!$E$14,"Higher is better")</f>
        <v>Higher is better</v>
      </c>
      <c r="O106" s="37">
        <f t="shared" ca="1" si="6"/>
        <v>0.48571428571428571</v>
      </c>
      <c r="P106" t="str">
        <f t="shared" ca="1" si="7"/>
        <v>Red</v>
      </c>
      <c r="Q106" s="36">
        <f t="shared" ca="1" si="8"/>
        <v>-18</v>
      </c>
      <c r="R106" s="36" t="str">
        <f>""</f>
        <v/>
      </c>
      <c r="S106" s="36" t="str">
        <f>""</f>
        <v/>
      </c>
      <c r="T106" s="36" t="str">
        <f>""</f>
        <v/>
      </c>
      <c r="U106" s="36" t="str">
        <f>""</f>
        <v/>
      </c>
      <c r="V106" s="36" t="str">
        <f>""</f>
        <v/>
      </c>
      <c r="W106" s="36">
        <f t="shared" si="9"/>
        <v>1</v>
      </c>
      <c r="X106" t="str">
        <f t="shared" si="10"/>
        <v>OK</v>
      </c>
      <c r="Y106" t="str">
        <f>IF(MAIN!$H$3="Selected Year",IF(A106=MAIN!$B$3,"Yes","No"),IF(MAIN!$H$3="Included Years",IF(D106="Yes","Yes","No"),IF(C106="Yes","Yes","No")))</f>
        <v>Yes</v>
      </c>
      <c r="Z106" t="str">
        <f>IF(MAIN!$F$3="Project to Date",IF(AND(A106&gt;=SETTINGS!$B$4,A106&lt;MAIN!$B$3),"Yes",IF(AND(A106=MAIN!$B$3,E106&lt;=MAIN!$L$3),"Yes","No")),IF(OR(MAIN!$F$3="Full Year",MAIN!$D$3="All"),"Yes",IF(MAIN!$F$3="Monthly",IF(E106=MAIN!$L$3,"Yes","No"),IF(E106&lt;=MAIN!$L$3,"Yes","No"))))</f>
        <v>Yes</v>
      </c>
      <c r="AA106" t="str">
        <f t="shared" si="11"/>
        <v>Yes</v>
      </c>
    </row>
    <row r="107" spans="1:27" x14ac:dyDescent="0.3">
      <c r="A107">
        <f>INDEX(SETTINGS!$A$15:$A$24,$B107)</f>
        <v>2025</v>
      </c>
      <c r="B107">
        <v>1</v>
      </c>
      <c r="C107" t="str">
        <f>IF(AND(A107&gt;=SETTINGS!$B$4,A107&lt;=SETTINGS!$B$5),"Yes","No")</f>
        <v>Yes</v>
      </c>
      <c r="D107" t="str">
        <f>IFERROR(INDEX(SETTINGS!$C$15:$C$24,MATCH(A107,SETTINGS!$A$15:$A$24,0)),"No")</f>
        <v>Yes</v>
      </c>
      <c r="E107">
        <v>6</v>
      </c>
      <c r="F107" t="s">
        <v>39</v>
      </c>
      <c r="G107">
        <v>141</v>
      </c>
      <c r="H107" t="s">
        <v>104</v>
      </c>
      <c r="I107" t="s">
        <v>22</v>
      </c>
      <c r="J107" t="s">
        <v>24</v>
      </c>
      <c r="K107" t="s">
        <v>3</v>
      </c>
      <c r="L107" s="36">
        <f ca="1">IF(C107&lt;&gt;"Yes",0,IF(A107=2025,N('2025'!D141),IF(A107=2026,N('2026'!D141),IF(A107=2027,N('2027'!D141),IF(A107=2028,N('2028'!D141),IF(A107=2029,N('2029'!D141),IF(A107=2030,N('2030'!D141),IF(A107=2031,N('2031'!D141),IF(A107=2032,N('2032'!D141),IF(A107=2033,N('2033'!D141),IF(A107=2034,N('2034'!D141),IFERROR(N(INDIRECT("'"&amp;A107&amp;"'!D"&amp;G107)),0))))))))))))</f>
        <v>4</v>
      </c>
      <c r="M107" s="36">
        <f>IFERROR(IF(NOT(ISBLANK(KPI_TARGETS!$G$15)),KPI_TARGETS!$G$15,IF(NOT(ISBLANK(KPI_TARGETS!$F$15)),KPI_TARGETS!$F$15,"")),"")</f>
        <v>5</v>
      </c>
      <c r="N107" s="36" t="str">
        <f>IFERROR(KPI_TARGETS!$E$15,"Higher is better")</f>
        <v>Higher is better</v>
      </c>
      <c r="O107" s="37">
        <f t="shared" ca="1" si="6"/>
        <v>0.8</v>
      </c>
      <c r="P107" t="str">
        <f t="shared" ca="1" si="7"/>
        <v>Amber</v>
      </c>
      <c r="Q107" s="36">
        <f t="shared" ca="1" si="8"/>
        <v>-1</v>
      </c>
      <c r="R107" s="36" t="str">
        <f>""</f>
        <v/>
      </c>
      <c r="S107" s="36" t="str">
        <f>""</f>
        <v/>
      </c>
      <c r="T107" s="36" t="str">
        <f>""</f>
        <v/>
      </c>
      <c r="U107" s="36" t="str">
        <f>""</f>
        <v/>
      </c>
      <c r="V107" s="36" t="str">
        <f>""</f>
        <v/>
      </c>
      <c r="W107" s="36">
        <f t="shared" si="9"/>
        <v>1</v>
      </c>
      <c r="X107" t="str">
        <f t="shared" si="10"/>
        <v>OK</v>
      </c>
      <c r="Y107" t="str">
        <f>IF(MAIN!$H$3="Selected Year",IF(A107=MAIN!$B$3,"Yes","No"),IF(MAIN!$H$3="Included Years",IF(D107="Yes","Yes","No"),IF(C107="Yes","Yes","No")))</f>
        <v>Yes</v>
      </c>
      <c r="Z107" t="str">
        <f>IF(MAIN!$F$3="Project to Date",IF(AND(A107&gt;=SETTINGS!$B$4,A107&lt;MAIN!$B$3),"Yes",IF(AND(A107=MAIN!$B$3,E107&lt;=MAIN!$L$3),"Yes","No")),IF(OR(MAIN!$F$3="Full Year",MAIN!$D$3="All"),"Yes",IF(MAIN!$F$3="Monthly",IF(E107=MAIN!$L$3,"Yes","No"),IF(E107&lt;=MAIN!$L$3,"Yes","No"))))</f>
        <v>Yes</v>
      </c>
      <c r="AA107" t="str">
        <f t="shared" si="11"/>
        <v>Yes</v>
      </c>
    </row>
    <row r="108" spans="1:27" x14ac:dyDescent="0.3">
      <c r="A108">
        <f>INDEX(SETTINGS!$A$15:$A$24,$B108)</f>
        <v>2025</v>
      </c>
      <c r="B108">
        <v>1</v>
      </c>
      <c r="C108" t="str">
        <f>IF(AND(A108&gt;=SETTINGS!$B$4,A108&lt;=SETTINGS!$B$5),"Yes","No")</f>
        <v>Yes</v>
      </c>
      <c r="D108" t="str">
        <f>IFERROR(INDEX(SETTINGS!$C$15:$C$24,MATCH(A108,SETTINGS!$A$15:$A$24,0)),"No")</f>
        <v>Yes</v>
      </c>
      <c r="E108">
        <v>6</v>
      </c>
      <c r="F108" t="s">
        <v>39</v>
      </c>
      <c r="G108">
        <v>142</v>
      </c>
      <c r="H108" t="s">
        <v>105</v>
      </c>
      <c r="I108" t="s">
        <v>22</v>
      </c>
      <c r="J108" t="s">
        <v>25</v>
      </c>
      <c r="K108" t="s">
        <v>3</v>
      </c>
      <c r="L108" s="36">
        <f ca="1">IF(C108&lt;&gt;"Yes",0,IF(A108=2025,N('2025'!D142),IF(A108=2026,N('2026'!D142),IF(A108=2027,N('2027'!D142),IF(A108=2028,N('2028'!D142),IF(A108=2029,N('2029'!D142),IF(A108=2030,N('2030'!D142),IF(A108=2031,N('2031'!D142),IF(A108=2032,N('2032'!D142),IF(A108=2033,N('2033'!D142),IF(A108=2034,N('2034'!D142),IFERROR(N(INDIRECT("'"&amp;A108&amp;"'!D"&amp;G108)),0))))))))))))</f>
        <v>4</v>
      </c>
      <c r="M108" s="36">
        <f>IFERROR(IF(NOT(ISBLANK(KPI_TARGETS!$G$16)),KPI_TARGETS!$G$16,IF(NOT(ISBLANK(KPI_TARGETS!$F$16)),KPI_TARGETS!$F$16,"")),"")</f>
        <v>4</v>
      </c>
      <c r="N108" s="36" t="str">
        <f>IFERROR(KPI_TARGETS!$E$16,"Higher is better")</f>
        <v>Higher is better</v>
      </c>
      <c r="O108" s="37">
        <f t="shared" ca="1" si="6"/>
        <v>1</v>
      </c>
      <c r="P108" t="str">
        <f t="shared" ca="1" si="7"/>
        <v>Green</v>
      </c>
      <c r="Q108" s="36">
        <f t="shared" ca="1" si="8"/>
        <v>0</v>
      </c>
      <c r="R108" s="36" t="str">
        <f>""</f>
        <v/>
      </c>
      <c r="S108" s="36" t="str">
        <f>""</f>
        <v/>
      </c>
      <c r="T108" s="36" t="str">
        <f>""</f>
        <v/>
      </c>
      <c r="U108" s="36" t="str">
        <f>""</f>
        <v/>
      </c>
      <c r="V108" s="36" t="str">
        <f>""</f>
        <v/>
      </c>
      <c r="W108" s="36">
        <f t="shared" si="9"/>
        <v>1</v>
      </c>
      <c r="X108" t="str">
        <f t="shared" si="10"/>
        <v>OK</v>
      </c>
      <c r="Y108" t="str">
        <f>IF(MAIN!$H$3="Selected Year",IF(A108=MAIN!$B$3,"Yes","No"),IF(MAIN!$H$3="Included Years",IF(D108="Yes","Yes","No"),IF(C108="Yes","Yes","No")))</f>
        <v>Yes</v>
      </c>
      <c r="Z108" t="str">
        <f>IF(MAIN!$F$3="Project to Date",IF(AND(A108&gt;=SETTINGS!$B$4,A108&lt;MAIN!$B$3),"Yes",IF(AND(A108=MAIN!$B$3,E108&lt;=MAIN!$L$3),"Yes","No")),IF(OR(MAIN!$F$3="Full Year",MAIN!$D$3="All"),"Yes",IF(MAIN!$F$3="Monthly",IF(E108=MAIN!$L$3,"Yes","No"),IF(E108&lt;=MAIN!$L$3,"Yes","No"))))</f>
        <v>Yes</v>
      </c>
      <c r="AA108" t="str">
        <f t="shared" si="11"/>
        <v>Yes</v>
      </c>
    </row>
    <row r="109" spans="1:27" x14ac:dyDescent="0.3">
      <c r="A109">
        <f>INDEX(SETTINGS!$A$15:$A$24,$B109)</f>
        <v>2025</v>
      </c>
      <c r="B109">
        <v>1</v>
      </c>
      <c r="C109" t="str">
        <f>IF(AND(A109&gt;=SETTINGS!$B$4,A109&lt;=SETTINGS!$B$5),"Yes","No")</f>
        <v>Yes</v>
      </c>
      <c r="D109" t="str">
        <f>IFERROR(INDEX(SETTINGS!$C$15:$C$24,MATCH(A109,SETTINGS!$A$15:$A$24,0)),"No")</f>
        <v>Yes</v>
      </c>
      <c r="E109">
        <v>6</v>
      </c>
      <c r="F109" t="s">
        <v>39</v>
      </c>
      <c r="G109">
        <v>143</v>
      </c>
      <c r="H109" t="s">
        <v>106</v>
      </c>
      <c r="I109" t="s">
        <v>22</v>
      </c>
      <c r="J109" t="s">
        <v>26</v>
      </c>
      <c r="K109" t="s">
        <v>3</v>
      </c>
      <c r="L109" s="36">
        <f ca="1">IF(C109&lt;&gt;"Yes",0,IF(A109=2025,N('2025'!D143),IF(A109=2026,N('2026'!D143),IF(A109=2027,N('2027'!D143),IF(A109=2028,N('2028'!D143),IF(A109=2029,N('2029'!D143),IF(A109=2030,N('2030'!D143),IF(A109=2031,N('2031'!D143),IF(A109=2032,N('2032'!D143),IF(A109=2033,N('2033'!D143),IF(A109=2034,N('2034'!D143),IFERROR(N(INDIRECT("'"&amp;A109&amp;"'!D"&amp;G109)),0))))))))))))</f>
        <v>20</v>
      </c>
      <c r="M109" s="36">
        <f>IFERROR(IF(NOT(ISBLANK(KPI_TARGETS!$G$17)),KPI_TARGETS!$G$17,IF(NOT(ISBLANK(KPI_TARGETS!$F$17)),KPI_TARGETS!$F$17,"")),"")</f>
        <v>12</v>
      </c>
      <c r="N109" s="36" t="str">
        <f>IFERROR(KPI_TARGETS!$E$17,"Higher is better")</f>
        <v>Higher is better</v>
      </c>
      <c r="O109" s="37">
        <f t="shared" ca="1" si="6"/>
        <v>1.6666666666666667</v>
      </c>
      <c r="P109" t="str">
        <f t="shared" ca="1" si="7"/>
        <v>Green</v>
      </c>
      <c r="Q109" s="36">
        <f t="shared" ca="1" si="8"/>
        <v>8</v>
      </c>
      <c r="R109" s="36" t="str">
        <f>""</f>
        <v/>
      </c>
      <c r="S109" s="36" t="str">
        <f>""</f>
        <v/>
      </c>
      <c r="T109" s="36" t="str">
        <f>""</f>
        <v/>
      </c>
      <c r="U109" s="36" t="str">
        <f>""</f>
        <v/>
      </c>
      <c r="V109" s="36" t="str">
        <f>""</f>
        <v/>
      </c>
      <c r="W109" s="36">
        <f t="shared" si="9"/>
        <v>1</v>
      </c>
      <c r="X109" t="str">
        <f t="shared" si="10"/>
        <v>OK</v>
      </c>
      <c r="Y109" t="str">
        <f>IF(MAIN!$H$3="Selected Year",IF(A109=MAIN!$B$3,"Yes","No"),IF(MAIN!$H$3="Included Years",IF(D109="Yes","Yes","No"),IF(C109="Yes","Yes","No")))</f>
        <v>Yes</v>
      </c>
      <c r="Z109" t="str">
        <f>IF(MAIN!$F$3="Project to Date",IF(AND(A109&gt;=SETTINGS!$B$4,A109&lt;MAIN!$B$3),"Yes",IF(AND(A109=MAIN!$B$3,E109&lt;=MAIN!$L$3),"Yes","No")),IF(OR(MAIN!$F$3="Full Year",MAIN!$D$3="All"),"Yes",IF(MAIN!$F$3="Monthly",IF(E109=MAIN!$L$3,"Yes","No"),IF(E109&lt;=MAIN!$L$3,"Yes","No"))))</f>
        <v>Yes</v>
      </c>
      <c r="AA109" t="str">
        <f t="shared" si="11"/>
        <v>Yes</v>
      </c>
    </row>
    <row r="110" spans="1:27" x14ac:dyDescent="0.3">
      <c r="A110">
        <f>INDEX(SETTINGS!$A$15:$A$24,$B110)</f>
        <v>2025</v>
      </c>
      <c r="B110">
        <v>1</v>
      </c>
      <c r="C110" t="str">
        <f>IF(AND(A110&gt;=SETTINGS!$B$4,A110&lt;=SETTINGS!$B$5),"Yes","No")</f>
        <v>Yes</v>
      </c>
      <c r="D110" t="str">
        <f>IFERROR(INDEX(SETTINGS!$C$15:$C$24,MATCH(A110,SETTINGS!$A$15:$A$24,0)),"No")</f>
        <v>Yes</v>
      </c>
      <c r="E110">
        <v>6</v>
      </c>
      <c r="F110" t="s">
        <v>39</v>
      </c>
      <c r="G110">
        <v>144</v>
      </c>
      <c r="H110" t="s">
        <v>107</v>
      </c>
      <c r="I110" t="s">
        <v>22</v>
      </c>
      <c r="J110" t="s">
        <v>27</v>
      </c>
      <c r="K110" t="s">
        <v>3</v>
      </c>
      <c r="L110" s="36">
        <f ca="1">IF(C110&lt;&gt;"Yes",0,IF(A110=2025,N('2025'!D144),IF(A110=2026,N('2026'!D144),IF(A110=2027,N('2027'!D144),IF(A110=2028,N('2028'!D144),IF(A110=2029,N('2029'!D144),IF(A110=2030,N('2030'!D144),IF(A110=2031,N('2031'!D144),IF(A110=2032,N('2032'!D144),IF(A110=2033,N('2033'!D144),IF(A110=2034,N('2034'!D144),IFERROR(N(INDIRECT("'"&amp;A110&amp;"'!D"&amp;G110)),0))))))))))))</f>
        <v>4</v>
      </c>
      <c r="M110" s="36">
        <f>IFERROR(IF(NOT(ISBLANK(KPI_TARGETS!$G$18)),KPI_TARGETS!$G$18,IF(NOT(ISBLANK(KPI_TARGETS!$F$18)),KPI_TARGETS!$F$18,"")),"")</f>
        <v>4</v>
      </c>
      <c r="N110" s="36" t="str">
        <f>IFERROR(KPI_TARGETS!$E$18,"Higher is better")</f>
        <v>Higher is better</v>
      </c>
      <c r="O110" s="37">
        <f t="shared" ca="1" si="6"/>
        <v>1</v>
      </c>
      <c r="P110" t="str">
        <f t="shared" ca="1" si="7"/>
        <v>Green</v>
      </c>
      <c r="Q110" s="36">
        <f t="shared" ca="1" si="8"/>
        <v>0</v>
      </c>
      <c r="R110" s="36" t="str">
        <f>""</f>
        <v/>
      </c>
      <c r="S110" s="36" t="str">
        <f>""</f>
        <v/>
      </c>
      <c r="T110" s="36" t="str">
        <f>""</f>
        <v/>
      </c>
      <c r="U110" s="36" t="str">
        <f>""</f>
        <v/>
      </c>
      <c r="V110" s="36" t="str">
        <f>""</f>
        <v/>
      </c>
      <c r="W110" s="36">
        <f t="shared" si="9"/>
        <v>1</v>
      </c>
      <c r="X110" t="str">
        <f t="shared" si="10"/>
        <v>OK</v>
      </c>
      <c r="Y110" t="str">
        <f>IF(MAIN!$H$3="Selected Year",IF(A110=MAIN!$B$3,"Yes","No"),IF(MAIN!$H$3="Included Years",IF(D110="Yes","Yes","No"),IF(C110="Yes","Yes","No")))</f>
        <v>Yes</v>
      </c>
      <c r="Z110" t="str">
        <f>IF(MAIN!$F$3="Project to Date",IF(AND(A110&gt;=SETTINGS!$B$4,A110&lt;MAIN!$B$3),"Yes",IF(AND(A110=MAIN!$B$3,E110&lt;=MAIN!$L$3),"Yes","No")),IF(OR(MAIN!$F$3="Full Year",MAIN!$D$3="All"),"Yes",IF(MAIN!$F$3="Monthly",IF(E110=MAIN!$L$3,"Yes","No"),IF(E110&lt;=MAIN!$L$3,"Yes","No"))))</f>
        <v>Yes</v>
      </c>
      <c r="AA110" t="str">
        <f t="shared" si="11"/>
        <v>Yes</v>
      </c>
    </row>
    <row r="111" spans="1:27" x14ac:dyDescent="0.3">
      <c r="A111">
        <f>INDEX(SETTINGS!$A$15:$A$24,$B111)</f>
        <v>2025</v>
      </c>
      <c r="B111">
        <v>1</v>
      </c>
      <c r="C111" t="str">
        <f>IF(AND(A111&gt;=SETTINGS!$B$4,A111&lt;=SETTINGS!$B$5),"Yes","No")</f>
        <v>Yes</v>
      </c>
      <c r="D111" t="str">
        <f>IFERROR(INDEX(SETTINGS!$C$15:$C$24,MATCH(A111,SETTINGS!$A$15:$A$24,0)),"No")</f>
        <v>Yes</v>
      </c>
      <c r="E111">
        <v>6</v>
      </c>
      <c r="F111" t="s">
        <v>39</v>
      </c>
      <c r="G111">
        <v>145</v>
      </c>
      <c r="H111" t="s">
        <v>108</v>
      </c>
      <c r="I111" t="s">
        <v>22</v>
      </c>
      <c r="J111" t="s">
        <v>28</v>
      </c>
      <c r="K111" t="s">
        <v>3</v>
      </c>
      <c r="L111" s="36">
        <f ca="1">IF(C111&lt;&gt;"Yes",0,IF(A111=2025,N('2025'!D145),IF(A111=2026,N('2026'!D145),IF(A111=2027,N('2027'!D145),IF(A111=2028,N('2028'!D145),IF(A111=2029,N('2029'!D145),IF(A111=2030,N('2030'!D145),IF(A111=2031,N('2031'!D145),IF(A111=2032,N('2032'!D145),IF(A111=2033,N('2033'!D145),IF(A111=2034,N('2034'!D145),IFERROR(N(INDIRECT("'"&amp;A111&amp;"'!D"&amp;G111)),0))))))))))))</f>
        <v>8</v>
      </c>
      <c r="M111" s="36">
        <f>IFERROR(IF(NOT(ISBLANK(KPI_TARGETS!$G$19)),KPI_TARGETS!$G$19,IF(NOT(ISBLANK(KPI_TARGETS!$F$19)),KPI_TARGETS!$F$19,"")),"")</f>
        <v>16</v>
      </c>
      <c r="N111" s="36" t="str">
        <f>IFERROR(KPI_TARGETS!$E$19,"Higher is better")</f>
        <v>Higher is better</v>
      </c>
      <c r="O111" s="37">
        <f t="shared" ca="1" si="6"/>
        <v>0.5</v>
      </c>
      <c r="P111" t="str">
        <f t="shared" ca="1" si="7"/>
        <v>Red</v>
      </c>
      <c r="Q111" s="36">
        <f t="shared" ca="1" si="8"/>
        <v>-8</v>
      </c>
      <c r="R111" s="36" t="str">
        <f>""</f>
        <v/>
      </c>
      <c r="S111" s="36" t="str">
        <f>""</f>
        <v/>
      </c>
      <c r="T111" s="36" t="str">
        <f>""</f>
        <v/>
      </c>
      <c r="U111" s="36" t="str">
        <f>""</f>
        <v/>
      </c>
      <c r="V111" s="36" t="str">
        <f>""</f>
        <v/>
      </c>
      <c r="W111" s="36">
        <f t="shared" si="9"/>
        <v>1</v>
      </c>
      <c r="X111" t="str">
        <f t="shared" si="10"/>
        <v>OK</v>
      </c>
      <c r="Y111" t="str">
        <f>IF(MAIN!$H$3="Selected Year",IF(A111=MAIN!$B$3,"Yes","No"),IF(MAIN!$H$3="Included Years",IF(D111="Yes","Yes","No"),IF(C111="Yes","Yes","No")))</f>
        <v>Yes</v>
      </c>
      <c r="Z111" t="str">
        <f>IF(MAIN!$F$3="Project to Date",IF(AND(A111&gt;=SETTINGS!$B$4,A111&lt;MAIN!$B$3),"Yes",IF(AND(A111=MAIN!$B$3,E111&lt;=MAIN!$L$3),"Yes","No")),IF(OR(MAIN!$F$3="Full Year",MAIN!$D$3="All"),"Yes",IF(MAIN!$F$3="Monthly",IF(E111=MAIN!$L$3,"Yes","No"),IF(E111&lt;=MAIN!$L$3,"Yes","No"))))</f>
        <v>Yes</v>
      </c>
      <c r="AA111" t="str">
        <f t="shared" si="11"/>
        <v>Yes</v>
      </c>
    </row>
    <row r="112" spans="1:27" x14ac:dyDescent="0.3">
      <c r="A112">
        <f>INDEX(SETTINGS!$A$15:$A$24,$B112)</f>
        <v>2025</v>
      </c>
      <c r="B112">
        <v>1</v>
      </c>
      <c r="C112" t="str">
        <f>IF(AND(A112&gt;=SETTINGS!$B$4,A112&lt;=SETTINGS!$B$5),"Yes","No")</f>
        <v>Yes</v>
      </c>
      <c r="D112" t="str">
        <f>IFERROR(INDEX(SETTINGS!$C$15:$C$24,MATCH(A112,SETTINGS!$A$15:$A$24,0)),"No")</f>
        <v>Yes</v>
      </c>
      <c r="E112">
        <v>6</v>
      </c>
      <c r="F112" t="s">
        <v>39</v>
      </c>
      <c r="G112">
        <v>146</v>
      </c>
      <c r="H112" t="s">
        <v>109</v>
      </c>
      <c r="I112" t="s">
        <v>22</v>
      </c>
      <c r="J112" t="s">
        <v>29</v>
      </c>
      <c r="K112" t="s">
        <v>3</v>
      </c>
      <c r="L112" s="36">
        <f ca="1">IF(C112&lt;&gt;"Yes",0,IF(A112=2025,N('2025'!D146),IF(A112=2026,N('2026'!D146),IF(A112=2027,N('2027'!D146),IF(A112=2028,N('2028'!D146),IF(A112=2029,N('2029'!D146),IF(A112=2030,N('2030'!D146),IF(A112=2031,N('2031'!D146),IF(A112=2032,N('2032'!D146),IF(A112=2033,N('2033'!D146),IF(A112=2034,N('2034'!D146),IFERROR(N(INDIRECT("'"&amp;A112&amp;"'!D"&amp;G112)),0))))))))))))</f>
        <v>1</v>
      </c>
      <c r="M112" s="36">
        <f>IFERROR(IF(NOT(ISBLANK(KPI_TARGETS!$G$20)),KPI_TARGETS!$G$20,IF(NOT(ISBLANK(KPI_TARGETS!$F$20)),KPI_TARGETS!$F$20,"")),"")</f>
        <v>1</v>
      </c>
      <c r="N112" s="36" t="str">
        <f>IFERROR(KPI_TARGETS!$E$20,"Higher is better")</f>
        <v>Higher is better</v>
      </c>
      <c r="O112" s="37">
        <f t="shared" ca="1" si="6"/>
        <v>1</v>
      </c>
      <c r="P112" t="str">
        <f t="shared" ca="1" si="7"/>
        <v>Green</v>
      </c>
      <c r="Q112" s="36">
        <f t="shared" ca="1" si="8"/>
        <v>0</v>
      </c>
      <c r="R112" s="36" t="str">
        <f>""</f>
        <v/>
      </c>
      <c r="S112" s="36" t="str">
        <f>""</f>
        <v/>
      </c>
      <c r="T112" s="36" t="str">
        <f>""</f>
        <v/>
      </c>
      <c r="U112" s="36" t="str">
        <f>""</f>
        <v/>
      </c>
      <c r="V112" s="36" t="str">
        <f>""</f>
        <v/>
      </c>
      <c r="W112" s="36">
        <f t="shared" si="9"/>
        <v>1</v>
      </c>
      <c r="X112" t="str">
        <f t="shared" si="10"/>
        <v>OK</v>
      </c>
      <c r="Y112" t="str">
        <f>IF(MAIN!$H$3="Selected Year",IF(A112=MAIN!$B$3,"Yes","No"),IF(MAIN!$H$3="Included Years",IF(D112="Yes","Yes","No"),IF(C112="Yes","Yes","No")))</f>
        <v>Yes</v>
      </c>
      <c r="Z112" t="str">
        <f>IF(MAIN!$F$3="Project to Date",IF(AND(A112&gt;=SETTINGS!$B$4,A112&lt;MAIN!$B$3),"Yes",IF(AND(A112=MAIN!$B$3,E112&lt;=MAIN!$L$3),"Yes","No")),IF(OR(MAIN!$F$3="Full Year",MAIN!$D$3="All"),"Yes",IF(MAIN!$F$3="Monthly",IF(E112=MAIN!$L$3,"Yes","No"),IF(E112&lt;=MAIN!$L$3,"Yes","No"))))</f>
        <v>Yes</v>
      </c>
      <c r="AA112" t="str">
        <f t="shared" si="11"/>
        <v>Yes</v>
      </c>
    </row>
    <row r="113" spans="1:27" x14ac:dyDescent="0.3">
      <c r="A113">
        <f>INDEX(SETTINGS!$A$15:$A$24,$B113)</f>
        <v>2025</v>
      </c>
      <c r="B113">
        <v>1</v>
      </c>
      <c r="C113" t="str">
        <f>IF(AND(A113&gt;=SETTINGS!$B$4,A113&lt;=SETTINGS!$B$5),"Yes","No")</f>
        <v>Yes</v>
      </c>
      <c r="D113" t="str">
        <f>IFERROR(INDEX(SETTINGS!$C$15:$C$24,MATCH(A113,SETTINGS!$A$15:$A$24,0)),"No")</f>
        <v>Yes</v>
      </c>
      <c r="E113">
        <v>6</v>
      </c>
      <c r="F113" t="s">
        <v>39</v>
      </c>
      <c r="G113">
        <v>148</v>
      </c>
      <c r="H113" t="s">
        <v>110</v>
      </c>
      <c r="I113" t="s">
        <v>30</v>
      </c>
      <c r="J113" t="s">
        <v>31</v>
      </c>
      <c r="K113" t="s">
        <v>3</v>
      </c>
      <c r="L113" s="36">
        <f ca="1">IF(C113&lt;&gt;"Yes",0,IF(A113=2025,N('2025'!D148),IF(A113=2026,N('2026'!D148),IF(A113=2027,N('2027'!D148),IF(A113=2028,N('2028'!D148),IF(A113=2029,N('2029'!D148),IF(A113=2030,N('2030'!D148),IF(A113=2031,N('2031'!D148),IF(A113=2032,N('2032'!D148),IF(A113=2033,N('2033'!D148),IF(A113=2034,N('2034'!D148),IFERROR(N(INDIRECT("'"&amp;A113&amp;"'!D"&amp;G113)),0))))))))))))</f>
        <v>0</v>
      </c>
      <c r="M113" s="36">
        <f>IFERROR(IF(NOT(ISBLANK(KPI_TARGETS!$G$21)),KPI_TARGETS!$G$21,IF(NOT(ISBLANK(KPI_TARGETS!$F$21)),KPI_TARGETS!$F$21,"")),"")</f>
        <v>0</v>
      </c>
      <c r="N113" s="36" t="str">
        <f>IFERROR(KPI_TARGETS!$E$21,"Higher is better")</f>
        <v>Lower is better</v>
      </c>
      <c r="O113" s="37">
        <f t="shared" ca="1" si="6"/>
        <v>1</v>
      </c>
      <c r="P113" t="str">
        <f t="shared" ca="1" si="7"/>
        <v>Green</v>
      </c>
      <c r="Q113" s="36">
        <f t="shared" ca="1" si="8"/>
        <v>0</v>
      </c>
      <c r="R113" s="36" t="str">
        <f>""</f>
        <v/>
      </c>
      <c r="S113" s="36" t="str">
        <f>""</f>
        <v/>
      </c>
      <c r="T113" s="36" t="str">
        <f>""</f>
        <v/>
      </c>
      <c r="U113" s="36" t="str">
        <f>""</f>
        <v/>
      </c>
      <c r="V113" s="36" t="str">
        <f>""</f>
        <v/>
      </c>
      <c r="W113" s="36">
        <f t="shared" si="9"/>
        <v>1</v>
      </c>
      <c r="X113" t="str">
        <f t="shared" si="10"/>
        <v>OK</v>
      </c>
      <c r="Y113" t="str">
        <f>IF(MAIN!$H$3="Selected Year",IF(A113=MAIN!$B$3,"Yes","No"),IF(MAIN!$H$3="Included Years",IF(D113="Yes","Yes","No"),IF(C113="Yes","Yes","No")))</f>
        <v>Yes</v>
      </c>
      <c r="Z113" t="str">
        <f>IF(MAIN!$F$3="Project to Date",IF(AND(A113&gt;=SETTINGS!$B$4,A113&lt;MAIN!$B$3),"Yes",IF(AND(A113=MAIN!$B$3,E113&lt;=MAIN!$L$3),"Yes","No")),IF(OR(MAIN!$F$3="Full Year",MAIN!$D$3="All"),"Yes",IF(MAIN!$F$3="Monthly",IF(E113=MAIN!$L$3,"Yes","No"),IF(E113&lt;=MAIN!$L$3,"Yes","No"))))</f>
        <v>Yes</v>
      </c>
      <c r="AA113" t="str">
        <f t="shared" si="11"/>
        <v>Yes</v>
      </c>
    </row>
    <row r="114" spans="1:27" x14ac:dyDescent="0.3">
      <c r="A114">
        <f>INDEX(SETTINGS!$A$15:$A$24,$B114)</f>
        <v>2025</v>
      </c>
      <c r="B114">
        <v>1</v>
      </c>
      <c r="C114" t="str">
        <f>IF(AND(A114&gt;=SETTINGS!$B$4,A114&lt;=SETTINGS!$B$5),"Yes","No")</f>
        <v>Yes</v>
      </c>
      <c r="D114" t="str">
        <f>IFERROR(INDEX(SETTINGS!$C$15:$C$24,MATCH(A114,SETTINGS!$A$15:$A$24,0)),"No")</f>
        <v>Yes</v>
      </c>
      <c r="E114">
        <v>6</v>
      </c>
      <c r="F114" t="s">
        <v>39</v>
      </c>
      <c r="G114">
        <v>149</v>
      </c>
      <c r="H114" t="s">
        <v>111</v>
      </c>
      <c r="I114" t="s">
        <v>30</v>
      </c>
      <c r="J114" t="s">
        <v>32</v>
      </c>
      <c r="K114" t="s">
        <v>3</v>
      </c>
      <c r="L114" s="36">
        <f ca="1">IF(C114&lt;&gt;"Yes",0,IF(A114=2025,N('2025'!D149),IF(A114=2026,N('2026'!D149),IF(A114=2027,N('2027'!D149),IF(A114=2028,N('2028'!D149),IF(A114=2029,N('2029'!D149),IF(A114=2030,N('2030'!D149),IF(A114=2031,N('2031'!D149),IF(A114=2032,N('2032'!D149),IF(A114=2033,N('2033'!D149),IF(A114=2034,N('2034'!D149),IFERROR(N(INDIRECT("'"&amp;A114&amp;"'!D"&amp;G114)),0))))))))))))</f>
        <v>1</v>
      </c>
      <c r="M114" s="36">
        <f>IFERROR(IF(NOT(ISBLANK(KPI_TARGETS!$G$22)),KPI_TARGETS!$G$22,IF(NOT(ISBLANK(KPI_TARGETS!$F$22)),KPI_TARGETS!$F$22,"")),"")</f>
        <v>1</v>
      </c>
      <c r="N114" s="36" t="str">
        <f>IFERROR(KPI_TARGETS!$E$22,"Higher is better")</f>
        <v>Higher is better</v>
      </c>
      <c r="O114" s="37">
        <f t="shared" ca="1" si="6"/>
        <v>1</v>
      </c>
      <c r="P114" t="str">
        <f t="shared" ca="1" si="7"/>
        <v>Green</v>
      </c>
      <c r="Q114" s="36">
        <f t="shared" ca="1" si="8"/>
        <v>0</v>
      </c>
      <c r="R114" s="36" t="str">
        <f>""</f>
        <v/>
      </c>
      <c r="S114" s="36" t="str">
        <f>""</f>
        <v/>
      </c>
      <c r="T114" s="36" t="str">
        <f>""</f>
        <v/>
      </c>
      <c r="U114" s="36" t="str">
        <f>""</f>
        <v/>
      </c>
      <c r="V114" s="36" t="str">
        <f>""</f>
        <v/>
      </c>
      <c r="W114" s="36">
        <f t="shared" si="9"/>
        <v>1</v>
      </c>
      <c r="X114" t="str">
        <f t="shared" si="10"/>
        <v>OK</v>
      </c>
      <c r="Y114" t="str">
        <f>IF(MAIN!$H$3="Selected Year",IF(A114=MAIN!$B$3,"Yes","No"),IF(MAIN!$H$3="Included Years",IF(D114="Yes","Yes","No"),IF(C114="Yes","Yes","No")))</f>
        <v>Yes</v>
      </c>
      <c r="Z114" t="str">
        <f>IF(MAIN!$F$3="Project to Date",IF(AND(A114&gt;=SETTINGS!$B$4,A114&lt;MAIN!$B$3),"Yes",IF(AND(A114=MAIN!$B$3,E114&lt;=MAIN!$L$3),"Yes","No")),IF(OR(MAIN!$F$3="Full Year",MAIN!$D$3="All"),"Yes",IF(MAIN!$F$3="Monthly",IF(E114=MAIN!$L$3,"Yes","No"),IF(E114&lt;=MAIN!$L$3,"Yes","No"))))</f>
        <v>Yes</v>
      </c>
      <c r="AA114" t="str">
        <f t="shared" si="11"/>
        <v>Yes</v>
      </c>
    </row>
    <row r="115" spans="1:27" x14ac:dyDescent="0.3">
      <c r="A115">
        <f>INDEX(SETTINGS!$A$15:$A$24,$B115)</f>
        <v>2025</v>
      </c>
      <c r="B115">
        <v>1</v>
      </c>
      <c r="C115" t="str">
        <f>IF(AND(A115&gt;=SETTINGS!$B$4,A115&lt;=SETTINGS!$B$5),"Yes","No")</f>
        <v>Yes</v>
      </c>
      <c r="D115" t="str">
        <f>IFERROR(INDEX(SETTINGS!$C$15:$C$24,MATCH(A115,SETTINGS!$A$15:$A$24,0)),"No")</f>
        <v>Yes</v>
      </c>
      <c r="E115">
        <v>6</v>
      </c>
      <c r="F115" t="s">
        <v>39</v>
      </c>
      <c r="G115">
        <v>150</v>
      </c>
      <c r="H115" t="s">
        <v>112</v>
      </c>
      <c r="I115" t="s">
        <v>30</v>
      </c>
      <c r="J115" t="s">
        <v>33</v>
      </c>
      <c r="K115" t="s">
        <v>34</v>
      </c>
      <c r="L115" s="36">
        <f ca="1">IF(C115&lt;&gt;"Yes",0,IF(A115=2025,N('2025'!D150),IF(A115=2026,N('2026'!D150),IF(A115=2027,N('2027'!D150),IF(A115=2028,N('2028'!D150),IF(A115=2029,N('2029'!D150),IF(A115=2030,N('2030'!D150),IF(A115=2031,N('2031'!D150),IF(A115=2032,N('2032'!D150),IF(A115=2033,N('2033'!D150),IF(A115=2034,N('2034'!D150),IFERROR(N(INDIRECT("'"&amp;A115&amp;"'!D"&amp;G115)),0))))))))))))</f>
        <v>1</v>
      </c>
      <c r="M115" s="36">
        <f>IFERROR(IF(NOT(ISBLANK(KPI_TARGETS!$G$23)),KPI_TARGETS!$G$23,IF(NOT(ISBLANK(KPI_TARGETS!$F$23)),KPI_TARGETS!$F$23,"")),"")</f>
        <v>1</v>
      </c>
      <c r="N115" s="36" t="str">
        <f>IFERROR(KPI_TARGETS!$E$23,"Higher is better")</f>
        <v>Higher is better</v>
      </c>
      <c r="O115" s="37">
        <f t="shared" ca="1" si="6"/>
        <v>1</v>
      </c>
      <c r="P115" t="str">
        <f t="shared" ca="1" si="7"/>
        <v>Green</v>
      </c>
      <c r="Q115" s="36">
        <f t="shared" ca="1" si="8"/>
        <v>0</v>
      </c>
      <c r="R115" s="36" t="str">
        <f>""</f>
        <v/>
      </c>
      <c r="S115" s="36" t="str">
        <f>""</f>
        <v/>
      </c>
      <c r="T115" s="36" t="str">
        <f>""</f>
        <v/>
      </c>
      <c r="U115" s="36" t="str">
        <f>""</f>
        <v/>
      </c>
      <c r="V115" s="36" t="str">
        <f>""</f>
        <v/>
      </c>
      <c r="W115" s="36">
        <f t="shared" si="9"/>
        <v>1</v>
      </c>
      <c r="X115" t="str">
        <f t="shared" si="10"/>
        <v>OK</v>
      </c>
      <c r="Y115" t="str">
        <f>IF(MAIN!$H$3="Selected Year",IF(A115=MAIN!$B$3,"Yes","No"),IF(MAIN!$H$3="Included Years",IF(D115="Yes","Yes","No"),IF(C115="Yes","Yes","No")))</f>
        <v>Yes</v>
      </c>
      <c r="Z115" t="str">
        <f>IF(MAIN!$F$3="Project to Date",IF(AND(A115&gt;=SETTINGS!$B$4,A115&lt;MAIN!$B$3),"Yes",IF(AND(A115=MAIN!$B$3,E115&lt;=MAIN!$L$3),"Yes","No")),IF(OR(MAIN!$F$3="Full Year",MAIN!$D$3="All"),"Yes",IF(MAIN!$F$3="Monthly",IF(E115=MAIN!$L$3,"Yes","No"),IF(E115&lt;=MAIN!$L$3,"Yes","No"))))</f>
        <v>Yes</v>
      </c>
      <c r="AA115" t="str">
        <f t="shared" si="11"/>
        <v>Yes</v>
      </c>
    </row>
    <row r="116" spans="1:27" x14ac:dyDescent="0.3">
      <c r="A116">
        <f>INDEX(SETTINGS!$A$15:$A$24,$B116)</f>
        <v>2025</v>
      </c>
      <c r="B116">
        <v>1</v>
      </c>
      <c r="C116" t="str">
        <f>IF(AND(A116&gt;=SETTINGS!$B$4,A116&lt;=SETTINGS!$B$5),"Yes","No")</f>
        <v>Yes</v>
      </c>
      <c r="D116" t="str">
        <f>IFERROR(INDEX(SETTINGS!$C$15:$C$24,MATCH(A116,SETTINGS!$A$15:$A$24,0)),"No")</f>
        <v>Yes</v>
      </c>
      <c r="E116">
        <v>7</v>
      </c>
      <c r="F116" t="s">
        <v>40</v>
      </c>
      <c r="G116">
        <v>153</v>
      </c>
      <c r="H116" t="s">
        <v>88</v>
      </c>
      <c r="I116" t="s">
        <v>89</v>
      </c>
      <c r="J116" t="s">
        <v>10</v>
      </c>
      <c r="K116" t="s">
        <v>3</v>
      </c>
      <c r="L116" s="36">
        <f ca="1">IF(C116&lt;&gt;"Yes",0,IF(A116=2025,N('2025'!D153),IF(A116=2026,N('2026'!D153),IF(A116=2027,N('2027'!D153),IF(A116=2028,N('2028'!D153),IF(A116=2029,N('2029'!D153),IF(A116=2030,N('2030'!D153),IF(A116=2031,N('2031'!D153),IF(A116=2032,N('2032'!D153),IF(A116=2033,N('2033'!D153),IF(A116=2034,N('2034'!D153),IFERROR(N(INDIRECT("'"&amp;A116&amp;"'!D"&amp;G116)),0))))))))))))</f>
        <v>0</v>
      </c>
      <c r="M116" s="36">
        <f>IFERROR(IF(NOT(ISBLANK(KPI_TARGETS!$G$5)),KPI_TARGETS!$G$5,IF(NOT(ISBLANK(KPI_TARGETS!$F$5)),KPI_TARGETS!$F$5,"")),"")</f>
        <v>104</v>
      </c>
      <c r="N116" s="36" t="str">
        <f>IFERROR(KPI_TARGETS!$E$5,"Higher is better")</f>
        <v>Higher is better</v>
      </c>
      <c r="O116" s="37">
        <f t="shared" ca="1" si="6"/>
        <v>0</v>
      </c>
      <c r="P116" t="str">
        <f t="shared" ca="1" si="7"/>
        <v>Red</v>
      </c>
      <c r="Q116" s="36">
        <f t="shared" ca="1" si="8"/>
        <v>-104</v>
      </c>
      <c r="R116" s="36" t="str">
        <f>""</f>
        <v/>
      </c>
      <c r="S116" s="36" t="str">
        <f>""</f>
        <v/>
      </c>
      <c r="T116" s="36" t="str">
        <f>""</f>
        <v/>
      </c>
      <c r="U116" s="36" t="str">
        <f>""</f>
        <v/>
      </c>
      <c r="V116" s="36" t="str">
        <f>""</f>
        <v/>
      </c>
      <c r="W116" s="36">
        <f t="shared" si="9"/>
        <v>1</v>
      </c>
      <c r="X116" t="str">
        <f t="shared" si="10"/>
        <v>OK</v>
      </c>
      <c r="Y116" t="str">
        <f>IF(MAIN!$H$3="Selected Year",IF(A116=MAIN!$B$3,"Yes","No"),IF(MAIN!$H$3="Included Years",IF(D116="Yes","Yes","No"),IF(C116="Yes","Yes","No")))</f>
        <v>Yes</v>
      </c>
      <c r="Z116" t="str">
        <f>IF(MAIN!$F$3="Project to Date",IF(AND(A116&gt;=SETTINGS!$B$4,A116&lt;MAIN!$B$3),"Yes",IF(AND(A116=MAIN!$B$3,E116&lt;=MAIN!$L$3),"Yes","No")),IF(OR(MAIN!$F$3="Full Year",MAIN!$D$3="All"),"Yes",IF(MAIN!$F$3="Monthly",IF(E116=MAIN!$L$3,"Yes","No"),IF(E116&lt;=MAIN!$L$3,"Yes","No"))))</f>
        <v>Yes</v>
      </c>
      <c r="AA116" t="str">
        <f t="shared" si="11"/>
        <v>Yes</v>
      </c>
    </row>
    <row r="117" spans="1:27" x14ac:dyDescent="0.3">
      <c r="A117">
        <f>INDEX(SETTINGS!$A$15:$A$24,$B117)</f>
        <v>2025</v>
      </c>
      <c r="B117">
        <v>1</v>
      </c>
      <c r="C117" t="str">
        <f>IF(AND(A117&gt;=SETTINGS!$B$4,A117&lt;=SETTINGS!$B$5),"Yes","No")</f>
        <v>Yes</v>
      </c>
      <c r="D117" t="str">
        <f>IFERROR(INDEX(SETTINGS!$C$15:$C$24,MATCH(A117,SETTINGS!$A$15:$A$24,0)),"No")</f>
        <v>Yes</v>
      </c>
      <c r="E117">
        <v>7</v>
      </c>
      <c r="F117" t="s">
        <v>40</v>
      </c>
      <c r="G117">
        <v>154</v>
      </c>
      <c r="H117" t="s">
        <v>91</v>
      </c>
      <c r="I117" t="s">
        <v>89</v>
      </c>
      <c r="J117" t="s">
        <v>11</v>
      </c>
      <c r="K117" t="s">
        <v>12</v>
      </c>
      <c r="L117" s="36">
        <f ca="1">IF(C117&lt;&gt;"Yes",0,IF(A117=2025,N('2025'!D154),IF(A117=2026,N('2026'!D154),IF(A117=2027,N('2027'!D154),IF(A117=2028,N('2028'!D154),IF(A117=2029,N('2029'!D154),IF(A117=2030,N('2030'!D154),IF(A117=2031,N('2031'!D154),IF(A117=2032,N('2032'!D154),IF(A117=2033,N('2033'!D154),IF(A117=2034,N('2034'!D154),IFERROR(N(INDIRECT("'"&amp;A117&amp;"'!D"&amp;G117)),0))))))))))))</f>
        <v>4827.75</v>
      </c>
      <c r="M117" s="36">
        <f>IFERROR(IF(NOT(ISBLANK(KPI_TARGETS!$G$6)),KPI_TARGETS!$G$6,IF(NOT(ISBLANK(KPI_TARGETS!$F$6)),KPI_TARGETS!$F$6,"")),"")</f>
        <v>4000</v>
      </c>
      <c r="N117" s="36" t="str">
        <f>IFERROR(KPI_TARGETS!$E$6,"Higher is better")</f>
        <v>Higher is better</v>
      </c>
      <c r="O117" s="37">
        <f t="shared" ca="1" si="6"/>
        <v>1.2069375</v>
      </c>
      <c r="P117" t="str">
        <f t="shared" ca="1" si="7"/>
        <v>Green</v>
      </c>
      <c r="Q117" s="36">
        <f t="shared" ca="1" si="8"/>
        <v>827.75</v>
      </c>
      <c r="R117" s="36" t="str">
        <f>""</f>
        <v/>
      </c>
      <c r="S117" s="36" t="str">
        <f>""</f>
        <v/>
      </c>
      <c r="T117" s="36" t="str">
        <f>""</f>
        <v/>
      </c>
      <c r="U117" s="36" t="str">
        <f>""</f>
        <v/>
      </c>
      <c r="V117" s="36" t="str">
        <f>""</f>
        <v/>
      </c>
      <c r="W117" s="36">
        <f t="shared" si="9"/>
        <v>1</v>
      </c>
      <c r="X117" t="str">
        <f t="shared" si="10"/>
        <v>OK</v>
      </c>
      <c r="Y117" t="str">
        <f>IF(MAIN!$H$3="Selected Year",IF(A117=MAIN!$B$3,"Yes","No"),IF(MAIN!$H$3="Included Years",IF(D117="Yes","Yes","No"),IF(C117="Yes","Yes","No")))</f>
        <v>Yes</v>
      </c>
      <c r="Z117" t="str">
        <f>IF(MAIN!$F$3="Project to Date",IF(AND(A117&gt;=SETTINGS!$B$4,A117&lt;MAIN!$B$3),"Yes",IF(AND(A117=MAIN!$B$3,E117&lt;=MAIN!$L$3),"Yes","No")),IF(OR(MAIN!$F$3="Full Year",MAIN!$D$3="All"),"Yes",IF(MAIN!$F$3="Monthly",IF(E117=MAIN!$L$3,"Yes","No"),IF(E117&lt;=MAIN!$L$3,"Yes","No"))))</f>
        <v>Yes</v>
      </c>
      <c r="AA117" t="str">
        <f t="shared" si="11"/>
        <v>Yes</v>
      </c>
    </row>
    <row r="118" spans="1:27" x14ac:dyDescent="0.3">
      <c r="A118">
        <f>INDEX(SETTINGS!$A$15:$A$24,$B118)</f>
        <v>2025</v>
      </c>
      <c r="B118">
        <v>1</v>
      </c>
      <c r="C118" t="str">
        <f>IF(AND(A118&gt;=SETTINGS!$B$4,A118&lt;=SETTINGS!$B$5),"Yes","No")</f>
        <v>Yes</v>
      </c>
      <c r="D118" t="str">
        <f>IFERROR(INDEX(SETTINGS!$C$15:$C$24,MATCH(A118,SETTINGS!$A$15:$A$24,0)),"No")</f>
        <v>Yes</v>
      </c>
      <c r="E118">
        <v>7</v>
      </c>
      <c r="F118" t="s">
        <v>40</v>
      </c>
      <c r="G118">
        <v>155</v>
      </c>
      <c r="H118" t="s">
        <v>93</v>
      </c>
      <c r="I118" t="s">
        <v>89</v>
      </c>
      <c r="J118" t="s">
        <v>13</v>
      </c>
      <c r="K118" t="s">
        <v>14</v>
      </c>
      <c r="L118" s="36">
        <f ca="1">IF(C118&lt;&gt;"Yes",0,IF(A118=2025,N('2025'!D155),IF(A118=2026,N('2026'!D155),IF(A118=2027,N('2027'!D155),IF(A118=2028,N('2028'!D155),IF(A118=2029,N('2029'!D155),IF(A118=2030,N('2030'!D155),IF(A118=2031,N('2031'!D155),IF(A118=2032,N('2032'!D155),IF(A118=2033,N('2033'!D155),IF(A118=2034,N('2034'!D155),IFERROR(N(INDIRECT("'"&amp;A118&amp;"'!D"&amp;G118)),0))))))))))))</f>
        <v>8000</v>
      </c>
      <c r="M118" s="36">
        <f>IFERROR(IF(NOT(ISBLANK(KPI_TARGETS!$G$7)),KPI_TARGETS!$G$7,IF(NOT(ISBLANK(KPI_TARGETS!$F$7)),KPI_TARGETS!$F$7,"")),"")</f>
        <v>8000</v>
      </c>
      <c r="N118" s="36" t="str">
        <f>IFERROR(KPI_TARGETS!$E$7,"Higher is better")</f>
        <v>Higher is better</v>
      </c>
      <c r="O118" s="37">
        <f t="shared" ca="1" si="6"/>
        <v>1</v>
      </c>
      <c r="P118" t="str">
        <f t="shared" ca="1" si="7"/>
        <v>Green</v>
      </c>
      <c r="Q118" s="36">
        <f t="shared" ca="1" si="8"/>
        <v>0</v>
      </c>
      <c r="R118" s="36" t="str">
        <f>""</f>
        <v/>
      </c>
      <c r="S118" s="36" t="str">
        <f>""</f>
        <v/>
      </c>
      <c r="T118" s="36" t="str">
        <f>""</f>
        <v/>
      </c>
      <c r="U118" s="36" t="str">
        <f>""</f>
        <v/>
      </c>
      <c r="V118" s="36" t="str">
        <f>""</f>
        <v/>
      </c>
      <c r="W118" s="36">
        <f t="shared" si="9"/>
        <v>1</v>
      </c>
      <c r="X118" t="str">
        <f t="shared" si="10"/>
        <v>OK</v>
      </c>
      <c r="Y118" t="str">
        <f>IF(MAIN!$H$3="Selected Year",IF(A118=MAIN!$B$3,"Yes","No"),IF(MAIN!$H$3="Included Years",IF(D118="Yes","Yes","No"),IF(C118="Yes","Yes","No")))</f>
        <v>Yes</v>
      </c>
      <c r="Z118" t="str">
        <f>IF(MAIN!$F$3="Project to Date",IF(AND(A118&gt;=SETTINGS!$B$4,A118&lt;MAIN!$B$3),"Yes",IF(AND(A118=MAIN!$B$3,E118&lt;=MAIN!$L$3),"Yes","No")),IF(OR(MAIN!$F$3="Full Year",MAIN!$D$3="All"),"Yes",IF(MAIN!$F$3="Monthly",IF(E118=MAIN!$L$3,"Yes","No"),IF(E118&lt;=MAIN!$L$3,"Yes","No"))))</f>
        <v>Yes</v>
      </c>
      <c r="AA118" t="str">
        <f t="shared" si="11"/>
        <v>Yes</v>
      </c>
    </row>
    <row r="119" spans="1:27" x14ac:dyDescent="0.3">
      <c r="A119">
        <f>INDEX(SETTINGS!$A$15:$A$24,$B119)</f>
        <v>2025</v>
      </c>
      <c r="B119">
        <v>1</v>
      </c>
      <c r="C119" t="str">
        <f>IF(AND(A119&gt;=SETTINGS!$B$4,A119&lt;=SETTINGS!$B$5),"Yes","No")</f>
        <v>Yes</v>
      </c>
      <c r="D119" t="str">
        <f>IFERROR(INDEX(SETTINGS!$C$15:$C$24,MATCH(A119,SETTINGS!$A$15:$A$24,0)),"No")</f>
        <v>Yes</v>
      </c>
      <c r="E119">
        <v>7</v>
      </c>
      <c r="F119" t="s">
        <v>40</v>
      </c>
      <c r="G119">
        <v>157</v>
      </c>
      <c r="H119" t="s">
        <v>95</v>
      </c>
      <c r="I119" t="s">
        <v>15</v>
      </c>
      <c r="J119" t="s">
        <v>16</v>
      </c>
      <c r="K119" t="s">
        <v>3</v>
      </c>
      <c r="L119" s="36">
        <f ca="1">IF(C119&lt;&gt;"Yes",0,IF(A119=2025,N('2025'!D157),IF(A119=2026,N('2026'!D157),IF(A119=2027,N('2027'!D157),IF(A119=2028,N('2028'!D157),IF(A119=2029,N('2029'!D157),IF(A119=2030,N('2030'!D157),IF(A119=2031,N('2031'!D157),IF(A119=2032,N('2032'!D157),IF(A119=2033,N('2033'!D157),IF(A119=2034,N('2034'!D157),IFERROR(N(INDIRECT("'"&amp;A119&amp;"'!D"&amp;G119)),0))))))))))))</f>
        <v>0</v>
      </c>
      <c r="M119" s="36">
        <f>IFERROR(IF(NOT(ISBLANK(KPI_TARGETS!$G$8)),KPI_TARGETS!$G$8,IF(NOT(ISBLANK(KPI_TARGETS!$F$8)),KPI_TARGETS!$F$8,"")),"")</f>
        <v>0</v>
      </c>
      <c r="N119" s="36" t="str">
        <f>IFERROR(KPI_TARGETS!$E$8,"Higher is better")</f>
        <v>Lower is better</v>
      </c>
      <c r="O119" s="37">
        <f t="shared" ca="1" si="6"/>
        <v>1</v>
      </c>
      <c r="P119" t="str">
        <f t="shared" ca="1" si="7"/>
        <v>Green</v>
      </c>
      <c r="Q119" s="36">
        <f t="shared" ca="1" si="8"/>
        <v>0</v>
      </c>
      <c r="R119" s="36" t="str">
        <f>""</f>
        <v/>
      </c>
      <c r="S119" s="36" t="str">
        <f>""</f>
        <v/>
      </c>
      <c r="T119" s="36" t="str">
        <f>""</f>
        <v/>
      </c>
      <c r="U119" s="36" t="str">
        <f>""</f>
        <v/>
      </c>
      <c r="V119" s="36" t="str">
        <f>""</f>
        <v/>
      </c>
      <c r="W119" s="36">
        <f t="shared" si="9"/>
        <v>1</v>
      </c>
      <c r="X119" t="str">
        <f t="shared" si="10"/>
        <v>OK</v>
      </c>
      <c r="Y119" t="str">
        <f>IF(MAIN!$H$3="Selected Year",IF(A119=MAIN!$B$3,"Yes","No"),IF(MAIN!$H$3="Included Years",IF(D119="Yes","Yes","No"),IF(C119="Yes","Yes","No")))</f>
        <v>Yes</v>
      </c>
      <c r="Z119" t="str">
        <f>IF(MAIN!$F$3="Project to Date",IF(AND(A119&gt;=SETTINGS!$B$4,A119&lt;MAIN!$B$3),"Yes",IF(AND(A119=MAIN!$B$3,E119&lt;=MAIN!$L$3),"Yes","No")),IF(OR(MAIN!$F$3="Full Year",MAIN!$D$3="All"),"Yes",IF(MAIN!$F$3="Monthly",IF(E119=MAIN!$L$3,"Yes","No"),IF(E119&lt;=MAIN!$L$3,"Yes","No"))))</f>
        <v>Yes</v>
      </c>
      <c r="AA119" t="str">
        <f t="shared" si="11"/>
        <v>Yes</v>
      </c>
    </row>
    <row r="120" spans="1:27" x14ac:dyDescent="0.3">
      <c r="A120">
        <f>INDEX(SETTINGS!$A$15:$A$24,$B120)</f>
        <v>2025</v>
      </c>
      <c r="B120">
        <v>1</v>
      </c>
      <c r="C120" t="str">
        <f>IF(AND(A120&gt;=SETTINGS!$B$4,A120&lt;=SETTINGS!$B$5),"Yes","No")</f>
        <v>Yes</v>
      </c>
      <c r="D120" t="str">
        <f>IFERROR(INDEX(SETTINGS!$C$15:$C$24,MATCH(A120,SETTINGS!$A$15:$A$24,0)),"No")</f>
        <v>Yes</v>
      </c>
      <c r="E120">
        <v>7</v>
      </c>
      <c r="F120" t="s">
        <v>40</v>
      </c>
      <c r="G120">
        <v>158</v>
      </c>
      <c r="H120" t="s">
        <v>97</v>
      </c>
      <c r="I120" t="s">
        <v>15</v>
      </c>
      <c r="J120" t="s">
        <v>17</v>
      </c>
      <c r="K120" t="s">
        <v>3</v>
      </c>
      <c r="L120" s="36">
        <f ca="1">IF(C120&lt;&gt;"Yes",0,IF(A120=2025,N('2025'!D158),IF(A120=2026,N('2026'!D158),IF(A120=2027,N('2027'!D158),IF(A120=2028,N('2028'!D158),IF(A120=2029,N('2029'!D158),IF(A120=2030,N('2030'!D158),IF(A120=2031,N('2031'!D158),IF(A120=2032,N('2032'!D158),IF(A120=2033,N('2033'!D158),IF(A120=2034,N('2034'!D158),IFERROR(N(INDIRECT("'"&amp;A120&amp;"'!D"&amp;G120)),0))))))))))))</f>
        <v>0</v>
      </c>
      <c r="M120" s="36">
        <f>IFERROR(IF(NOT(ISBLANK(KPI_TARGETS!$G$9)),KPI_TARGETS!$G$9,IF(NOT(ISBLANK(KPI_TARGETS!$F$9)),KPI_TARGETS!$F$9,"")),"")</f>
        <v>0</v>
      </c>
      <c r="N120" s="36" t="str">
        <f>IFERROR(KPI_TARGETS!$E$9,"Higher is better")</f>
        <v>Higher is better</v>
      </c>
      <c r="O120" s="37" t="str">
        <f t="shared" ca="1" si="6"/>
        <v/>
      </c>
      <c r="P120" t="str">
        <f t="shared" ca="1" si="7"/>
        <v>Green</v>
      </c>
      <c r="Q120" s="36">
        <f t="shared" ca="1" si="8"/>
        <v>0</v>
      </c>
      <c r="R120" s="36" t="str">
        <f>""</f>
        <v/>
      </c>
      <c r="S120" s="36" t="str">
        <f>""</f>
        <v/>
      </c>
      <c r="T120" s="36" t="str">
        <f>""</f>
        <v/>
      </c>
      <c r="U120" s="36" t="str">
        <f>""</f>
        <v/>
      </c>
      <c r="V120" s="36" t="str">
        <f>""</f>
        <v/>
      </c>
      <c r="W120" s="36">
        <f t="shared" si="9"/>
        <v>1</v>
      </c>
      <c r="X120" t="str">
        <f t="shared" si="10"/>
        <v>OK</v>
      </c>
      <c r="Y120" t="str">
        <f>IF(MAIN!$H$3="Selected Year",IF(A120=MAIN!$B$3,"Yes","No"),IF(MAIN!$H$3="Included Years",IF(D120="Yes","Yes","No"),IF(C120="Yes","Yes","No")))</f>
        <v>Yes</v>
      </c>
      <c r="Z120" t="str">
        <f>IF(MAIN!$F$3="Project to Date",IF(AND(A120&gt;=SETTINGS!$B$4,A120&lt;MAIN!$B$3),"Yes",IF(AND(A120=MAIN!$B$3,E120&lt;=MAIN!$L$3),"Yes","No")),IF(OR(MAIN!$F$3="Full Year",MAIN!$D$3="All"),"Yes",IF(MAIN!$F$3="Monthly",IF(E120=MAIN!$L$3,"Yes","No"),IF(E120&lt;=MAIN!$L$3,"Yes","No"))))</f>
        <v>Yes</v>
      </c>
      <c r="AA120" t="str">
        <f t="shared" si="11"/>
        <v>Yes</v>
      </c>
    </row>
    <row r="121" spans="1:27" x14ac:dyDescent="0.3">
      <c r="A121">
        <f>INDEX(SETTINGS!$A$15:$A$24,$B121)</f>
        <v>2025</v>
      </c>
      <c r="B121">
        <v>1</v>
      </c>
      <c r="C121" t="str">
        <f>IF(AND(A121&gt;=SETTINGS!$B$4,A121&lt;=SETTINGS!$B$5),"Yes","No")</f>
        <v>Yes</v>
      </c>
      <c r="D121" t="str">
        <f>IFERROR(INDEX(SETTINGS!$C$15:$C$24,MATCH(A121,SETTINGS!$A$15:$A$24,0)),"No")</f>
        <v>Yes</v>
      </c>
      <c r="E121">
        <v>7</v>
      </c>
      <c r="F121" t="s">
        <v>40</v>
      </c>
      <c r="G121">
        <v>159</v>
      </c>
      <c r="H121" t="s">
        <v>99</v>
      </c>
      <c r="I121" t="s">
        <v>15</v>
      </c>
      <c r="J121" t="s">
        <v>18</v>
      </c>
      <c r="K121" t="s">
        <v>3</v>
      </c>
      <c r="L121" s="36">
        <f ca="1">IF(C121&lt;&gt;"Yes",0,IF(A121=2025,N('2025'!D159),IF(A121=2026,N('2026'!D159),IF(A121=2027,N('2027'!D159),IF(A121=2028,N('2028'!D159),IF(A121=2029,N('2029'!D159),IF(A121=2030,N('2030'!D159),IF(A121=2031,N('2031'!D159),IF(A121=2032,N('2032'!D159),IF(A121=2033,N('2033'!D159),IF(A121=2034,N('2034'!D159),IFERROR(N(INDIRECT("'"&amp;A121&amp;"'!D"&amp;G121)),0))))))))))))</f>
        <v>0</v>
      </c>
      <c r="M121" s="36">
        <f>IFERROR(IF(NOT(ISBLANK(KPI_TARGETS!$G$10)),KPI_TARGETS!$G$10,IF(NOT(ISBLANK(KPI_TARGETS!$F$10)),KPI_TARGETS!$F$10,"")),"")</f>
        <v>0</v>
      </c>
      <c r="N121" s="36" t="str">
        <f>IFERROR(KPI_TARGETS!$E$10,"Higher is better")</f>
        <v>Lower is better</v>
      </c>
      <c r="O121" s="37">
        <f t="shared" ca="1" si="6"/>
        <v>1</v>
      </c>
      <c r="P121" t="str">
        <f t="shared" ca="1" si="7"/>
        <v>Green</v>
      </c>
      <c r="Q121" s="36">
        <f t="shared" ca="1" si="8"/>
        <v>0</v>
      </c>
      <c r="R121" s="36" t="str">
        <f>""</f>
        <v/>
      </c>
      <c r="S121" s="36" t="str">
        <f>""</f>
        <v/>
      </c>
      <c r="T121" s="36" t="str">
        <f>""</f>
        <v/>
      </c>
      <c r="U121" s="36" t="str">
        <f>""</f>
        <v/>
      </c>
      <c r="V121" s="36" t="str">
        <f>""</f>
        <v/>
      </c>
      <c r="W121" s="36">
        <f t="shared" si="9"/>
        <v>1</v>
      </c>
      <c r="X121" t="str">
        <f t="shared" si="10"/>
        <v>OK</v>
      </c>
      <c r="Y121" t="str">
        <f>IF(MAIN!$H$3="Selected Year",IF(A121=MAIN!$B$3,"Yes","No"),IF(MAIN!$H$3="Included Years",IF(D121="Yes","Yes","No"),IF(C121="Yes","Yes","No")))</f>
        <v>Yes</v>
      </c>
      <c r="Z121" t="str">
        <f>IF(MAIN!$F$3="Project to Date",IF(AND(A121&gt;=SETTINGS!$B$4,A121&lt;MAIN!$B$3),"Yes",IF(AND(A121=MAIN!$B$3,E121&lt;=MAIN!$L$3),"Yes","No")),IF(OR(MAIN!$F$3="Full Year",MAIN!$D$3="All"),"Yes",IF(MAIN!$F$3="Monthly",IF(E121=MAIN!$L$3,"Yes","No"),IF(E121&lt;=MAIN!$L$3,"Yes","No"))))</f>
        <v>Yes</v>
      </c>
      <c r="AA121" t="str">
        <f t="shared" si="11"/>
        <v>Yes</v>
      </c>
    </row>
    <row r="122" spans="1:27" x14ac:dyDescent="0.3">
      <c r="A122">
        <f>INDEX(SETTINGS!$A$15:$A$24,$B122)</f>
        <v>2025</v>
      </c>
      <c r="B122">
        <v>1</v>
      </c>
      <c r="C122" t="str">
        <f>IF(AND(A122&gt;=SETTINGS!$B$4,A122&lt;=SETTINGS!$B$5),"Yes","No")</f>
        <v>Yes</v>
      </c>
      <c r="D122" t="str">
        <f>IFERROR(INDEX(SETTINGS!$C$15:$C$24,MATCH(A122,SETTINGS!$A$15:$A$24,0)),"No")</f>
        <v>Yes</v>
      </c>
      <c r="E122">
        <v>7</v>
      </c>
      <c r="F122" t="s">
        <v>40</v>
      </c>
      <c r="G122">
        <v>160</v>
      </c>
      <c r="H122" t="s">
        <v>100</v>
      </c>
      <c r="I122" t="s">
        <v>15</v>
      </c>
      <c r="J122" t="s">
        <v>19</v>
      </c>
      <c r="K122" t="s">
        <v>3</v>
      </c>
      <c r="L122" s="36">
        <f ca="1">IF(C122&lt;&gt;"Yes",0,IF(A122=2025,N('2025'!D160),IF(A122=2026,N('2026'!D160),IF(A122=2027,N('2027'!D160),IF(A122=2028,N('2028'!D160),IF(A122=2029,N('2029'!D160),IF(A122=2030,N('2030'!D160),IF(A122=2031,N('2031'!D160),IF(A122=2032,N('2032'!D160),IF(A122=2033,N('2033'!D160),IF(A122=2034,N('2034'!D160),IFERROR(N(INDIRECT("'"&amp;A122&amp;"'!D"&amp;G122)),0))))))))))))</f>
        <v>0</v>
      </c>
      <c r="M122" s="36">
        <f>IFERROR(IF(NOT(ISBLANK(KPI_TARGETS!$G$11)),KPI_TARGETS!$G$11,IF(NOT(ISBLANK(KPI_TARGETS!$F$11)),KPI_TARGETS!$F$11,"")),"")</f>
        <v>0</v>
      </c>
      <c r="N122" s="36" t="str">
        <f>IFERROR(KPI_TARGETS!$E$11,"Higher is better")</f>
        <v>Lower is better</v>
      </c>
      <c r="O122" s="37">
        <f t="shared" ca="1" si="6"/>
        <v>1</v>
      </c>
      <c r="P122" t="str">
        <f t="shared" ca="1" si="7"/>
        <v>Green</v>
      </c>
      <c r="Q122" s="36">
        <f t="shared" ca="1" si="8"/>
        <v>0</v>
      </c>
      <c r="R122" s="36" t="str">
        <f>""</f>
        <v/>
      </c>
      <c r="S122" s="36" t="str">
        <f>""</f>
        <v/>
      </c>
      <c r="T122" s="36" t="str">
        <f>""</f>
        <v/>
      </c>
      <c r="U122" s="36" t="str">
        <f>""</f>
        <v/>
      </c>
      <c r="V122" s="36" t="str">
        <f>""</f>
        <v/>
      </c>
      <c r="W122" s="36">
        <f t="shared" si="9"/>
        <v>1</v>
      </c>
      <c r="X122" t="str">
        <f t="shared" si="10"/>
        <v>OK</v>
      </c>
      <c r="Y122" t="str">
        <f>IF(MAIN!$H$3="Selected Year",IF(A122=MAIN!$B$3,"Yes","No"),IF(MAIN!$H$3="Included Years",IF(D122="Yes","Yes","No"),IF(C122="Yes","Yes","No")))</f>
        <v>Yes</v>
      </c>
      <c r="Z122" t="str">
        <f>IF(MAIN!$F$3="Project to Date",IF(AND(A122&gt;=SETTINGS!$B$4,A122&lt;MAIN!$B$3),"Yes",IF(AND(A122=MAIN!$B$3,E122&lt;=MAIN!$L$3),"Yes","No")),IF(OR(MAIN!$F$3="Full Year",MAIN!$D$3="All"),"Yes",IF(MAIN!$F$3="Monthly",IF(E122=MAIN!$L$3,"Yes","No"),IF(E122&lt;=MAIN!$L$3,"Yes","No"))))</f>
        <v>Yes</v>
      </c>
      <c r="AA122" t="str">
        <f t="shared" si="11"/>
        <v>Yes</v>
      </c>
    </row>
    <row r="123" spans="1:27" x14ac:dyDescent="0.3">
      <c r="A123">
        <f>INDEX(SETTINGS!$A$15:$A$24,$B123)</f>
        <v>2025</v>
      </c>
      <c r="B123">
        <v>1</v>
      </c>
      <c r="C123" t="str">
        <f>IF(AND(A123&gt;=SETTINGS!$B$4,A123&lt;=SETTINGS!$B$5),"Yes","No")</f>
        <v>Yes</v>
      </c>
      <c r="D123" t="str">
        <f>IFERROR(INDEX(SETTINGS!$C$15:$C$24,MATCH(A123,SETTINGS!$A$15:$A$24,0)),"No")</f>
        <v>Yes</v>
      </c>
      <c r="E123">
        <v>7</v>
      </c>
      <c r="F123" t="s">
        <v>40</v>
      </c>
      <c r="G123">
        <v>161</v>
      </c>
      <c r="H123" t="s">
        <v>101</v>
      </c>
      <c r="I123" t="s">
        <v>15</v>
      </c>
      <c r="J123" t="s">
        <v>20</v>
      </c>
      <c r="K123" t="s">
        <v>3</v>
      </c>
      <c r="L123" s="36">
        <f ca="1">IF(C123&lt;&gt;"Yes",0,IF(A123=2025,N('2025'!D161),IF(A123=2026,N('2026'!D161),IF(A123=2027,N('2027'!D161),IF(A123=2028,N('2028'!D161),IF(A123=2029,N('2029'!D161),IF(A123=2030,N('2030'!D161),IF(A123=2031,N('2031'!D161),IF(A123=2032,N('2032'!D161),IF(A123=2033,N('2033'!D161),IF(A123=2034,N('2034'!D161),IFERROR(N(INDIRECT("'"&amp;A123&amp;"'!D"&amp;G123)),0))))))))))))</f>
        <v>0</v>
      </c>
      <c r="M123" s="36">
        <f>IFERROR(IF(NOT(ISBLANK(KPI_TARGETS!$G$12)),KPI_TARGETS!$G$12,IF(NOT(ISBLANK(KPI_TARGETS!$F$12)),KPI_TARGETS!$F$12,"")),"")</f>
        <v>0</v>
      </c>
      <c r="N123" s="36" t="str">
        <f>IFERROR(KPI_TARGETS!$E$12,"Higher is better")</f>
        <v>Lower is better</v>
      </c>
      <c r="O123" s="37">
        <f t="shared" ca="1" si="6"/>
        <v>1</v>
      </c>
      <c r="P123" t="str">
        <f t="shared" ca="1" si="7"/>
        <v>Green</v>
      </c>
      <c r="Q123" s="36">
        <f t="shared" ca="1" si="8"/>
        <v>0</v>
      </c>
      <c r="R123" s="36" t="str">
        <f>""</f>
        <v/>
      </c>
      <c r="S123" s="36" t="str">
        <f>""</f>
        <v/>
      </c>
      <c r="T123" s="36" t="str">
        <f>""</f>
        <v/>
      </c>
      <c r="U123" s="36" t="str">
        <f>""</f>
        <v/>
      </c>
      <c r="V123" s="36" t="str">
        <f>""</f>
        <v/>
      </c>
      <c r="W123" s="36">
        <f t="shared" si="9"/>
        <v>1</v>
      </c>
      <c r="X123" t="str">
        <f t="shared" si="10"/>
        <v>OK</v>
      </c>
      <c r="Y123" t="str">
        <f>IF(MAIN!$H$3="Selected Year",IF(A123=MAIN!$B$3,"Yes","No"),IF(MAIN!$H$3="Included Years",IF(D123="Yes","Yes","No"),IF(C123="Yes","Yes","No")))</f>
        <v>Yes</v>
      </c>
      <c r="Z123" t="str">
        <f>IF(MAIN!$F$3="Project to Date",IF(AND(A123&gt;=SETTINGS!$B$4,A123&lt;MAIN!$B$3),"Yes",IF(AND(A123=MAIN!$B$3,E123&lt;=MAIN!$L$3),"Yes","No")),IF(OR(MAIN!$F$3="Full Year",MAIN!$D$3="All"),"Yes",IF(MAIN!$F$3="Monthly",IF(E123=MAIN!$L$3,"Yes","No"),IF(E123&lt;=MAIN!$L$3,"Yes","No"))))</f>
        <v>Yes</v>
      </c>
      <c r="AA123" t="str">
        <f t="shared" si="11"/>
        <v>Yes</v>
      </c>
    </row>
    <row r="124" spans="1:27" x14ac:dyDescent="0.3">
      <c r="A124">
        <f>INDEX(SETTINGS!$A$15:$A$24,$B124)</f>
        <v>2025</v>
      </c>
      <c r="B124">
        <v>1</v>
      </c>
      <c r="C124" t="str">
        <f>IF(AND(A124&gt;=SETTINGS!$B$4,A124&lt;=SETTINGS!$B$5),"Yes","No")</f>
        <v>Yes</v>
      </c>
      <c r="D124" t="str">
        <f>IFERROR(INDEX(SETTINGS!$C$15:$C$24,MATCH(A124,SETTINGS!$A$15:$A$24,0)),"No")</f>
        <v>Yes</v>
      </c>
      <c r="E124">
        <v>7</v>
      </c>
      <c r="F124" t="s">
        <v>40</v>
      </c>
      <c r="G124">
        <v>162</v>
      </c>
      <c r="H124" t="s">
        <v>102</v>
      </c>
      <c r="I124" t="s">
        <v>15</v>
      </c>
      <c r="J124" t="s">
        <v>21</v>
      </c>
      <c r="K124" t="s">
        <v>3</v>
      </c>
      <c r="L124" s="36">
        <f ca="1">IF(C124&lt;&gt;"Yes",0,IF(A124=2025,N('2025'!D162),IF(A124=2026,N('2026'!D162),IF(A124=2027,N('2027'!D162),IF(A124=2028,N('2028'!D162),IF(A124=2029,N('2029'!D162),IF(A124=2030,N('2030'!D162),IF(A124=2031,N('2031'!D162),IF(A124=2032,N('2032'!D162),IF(A124=2033,N('2033'!D162),IF(A124=2034,N('2034'!D162),IFERROR(N(INDIRECT("'"&amp;A124&amp;"'!D"&amp;G124)),0))))))))))))</f>
        <v>0</v>
      </c>
      <c r="M124" s="36">
        <f>IFERROR(IF(NOT(ISBLANK(KPI_TARGETS!$G$13)),KPI_TARGETS!$G$13,IF(NOT(ISBLANK(KPI_TARGETS!$F$13)),KPI_TARGETS!$F$13,"")),"")</f>
        <v>0</v>
      </c>
      <c r="N124" s="36" t="str">
        <f>IFERROR(KPI_TARGETS!$E$13,"Higher is better")</f>
        <v>Lower is better</v>
      </c>
      <c r="O124" s="37">
        <f t="shared" ca="1" si="6"/>
        <v>1</v>
      </c>
      <c r="P124" t="str">
        <f t="shared" ca="1" si="7"/>
        <v>Green</v>
      </c>
      <c r="Q124" s="36">
        <f t="shared" ca="1" si="8"/>
        <v>0</v>
      </c>
      <c r="R124" s="36" t="str">
        <f>""</f>
        <v/>
      </c>
      <c r="S124" s="36" t="str">
        <f>""</f>
        <v/>
      </c>
      <c r="T124" s="36" t="str">
        <f>""</f>
        <v/>
      </c>
      <c r="U124" s="36" t="str">
        <f>""</f>
        <v/>
      </c>
      <c r="V124" s="36" t="str">
        <f>""</f>
        <v/>
      </c>
      <c r="W124" s="36">
        <f t="shared" si="9"/>
        <v>1</v>
      </c>
      <c r="X124" t="str">
        <f t="shared" si="10"/>
        <v>OK</v>
      </c>
      <c r="Y124" t="str">
        <f>IF(MAIN!$H$3="Selected Year",IF(A124=MAIN!$B$3,"Yes","No"),IF(MAIN!$H$3="Included Years",IF(D124="Yes","Yes","No"),IF(C124="Yes","Yes","No")))</f>
        <v>Yes</v>
      </c>
      <c r="Z124" t="str">
        <f>IF(MAIN!$F$3="Project to Date",IF(AND(A124&gt;=SETTINGS!$B$4,A124&lt;MAIN!$B$3),"Yes",IF(AND(A124=MAIN!$B$3,E124&lt;=MAIN!$L$3),"Yes","No")),IF(OR(MAIN!$F$3="Full Year",MAIN!$D$3="All"),"Yes",IF(MAIN!$F$3="Monthly",IF(E124=MAIN!$L$3,"Yes","No"),IF(E124&lt;=MAIN!$L$3,"Yes","No"))))</f>
        <v>Yes</v>
      </c>
      <c r="AA124" t="str">
        <f t="shared" si="11"/>
        <v>Yes</v>
      </c>
    </row>
    <row r="125" spans="1:27" x14ac:dyDescent="0.3">
      <c r="A125">
        <f>INDEX(SETTINGS!$A$15:$A$24,$B125)</f>
        <v>2025</v>
      </c>
      <c r="B125">
        <v>1</v>
      </c>
      <c r="C125" t="str">
        <f>IF(AND(A125&gt;=SETTINGS!$B$4,A125&lt;=SETTINGS!$B$5),"Yes","No")</f>
        <v>Yes</v>
      </c>
      <c r="D125" t="str">
        <f>IFERROR(INDEX(SETTINGS!$C$15:$C$24,MATCH(A125,SETTINGS!$A$15:$A$24,0)),"No")</f>
        <v>Yes</v>
      </c>
      <c r="E125">
        <v>7</v>
      </c>
      <c r="F125" t="s">
        <v>40</v>
      </c>
      <c r="G125">
        <v>164</v>
      </c>
      <c r="H125" t="s">
        <v>103</v>
      </c>
      <c r="I125" t="s">
        <v>22</v>
      </c>
      <c r="J125" t="s">
        <v>23</v>
      </c>
      <c r="K125" t="s">
        <v>3</v>
      </c>
      <c r="L125" s="36">
        <f ca="1">IF(C125&lt;&gt;"Yes",0,IF(A125=2025,N('2025'!D164),IF(A125=2026,N('2026'!D164),IF(A125=2027,N('2027'!D164),IF(A125=2028,N('2028'!D164),IF(A125=2029,N('2029'!D164),IF(A125=2030,N('2030'!D164),IF(A125=2031,N('2031'!D164),IF(A125=2032,N('2032'!D164),IF(A125=2033,N('2033'!D164),IF(A125=2034,N('2034'!D164),IFERROR(N(INDIRECT("'"&amp;A125&amp;"'!D"&amp;G125)),0))))))))))))</f>
        <v>41</v>
      </c>
      <c r="M125" s="36">
        <f>IFERROR(IF(NOT(ISBLANK(KPI_TARGETS!$G$14)),KPI_TARGETS!$G$14,IF(NOT(ISBLANK(KPI_TARGETS!$F$14)),KPI_TARGETS!$F$14,"")),"")</f>
        <v>35</v>
      </c>
      <c r="N125" s="36" t="str">
        <f>IFERROR(KPI_TARGETS!$E$14,"Higher is better")</f>
        <v>Higher is better</v>
      </c>
      <c r="O125" s="37">
        <f t="shared" ca="1" si="6"/>
        <v>1.1714285714285715</v>
      </c>
      <c r="P125" t="str">
        <f t="shared" ca="1" si="7"/>
        <v>Green</v>
      </c>
      <c r="Q125" s="36">
        <f t="shared" ca="1" si="8"/>
        <v>6</v>
      </c>
      <c r="R125" s="36" t="str">
        <f>""</f>
        <v/>
      </c>
      <c r="S125" s="36" t="str">
        <f>""</f>
        <v/>
      </c>
      <c r="T125" s="36" t="str">
        <f>""</f>
        <v/>
      </c>
      <c r="U125" s="36" t="str">
        <f>""</f>
        <v/>
      </c>
      <c r="V125" s="36" t="str">
        <f>""</f>
        <v/>
      </c>
      <c r="W125" s="36">
        <f t="shared" si="9"/>
        <v>1</v>
      </c>
      <c r="X125" t="str">
        <f t="shared" si="10"/>
        <v>OK</v>
      </c>
      <c r="Y125" t="str">
        <f>IF(MAIN!$H$3="Selected Year",IF(A125=MAIN!$B$3,"Yes","No"),IF(MAIN!$H$3="Included Years",IF(D125="Yes","Yes","No"),IF(C125="Yes","Yes","No")))</f>
        <v>Yes</v>
      </c>
      <c r="Z125" t="str">
        <f>IF(MAIN!$F$3="Project to Date",IF(AND(A125&gt;=SETTINGS!$B$4,A125&lt;MAIN!$B$3),"Yes",IF(AND(A125=MAIN!$B$3,E125&lt;=MAIN!$L$3),"Yes","No")),IF(OR(MAIN!$F$3="Full Year",MAIN!$D$3="All"),"Yes",IF(MAIN!$F$3="Monthly",IF(E125=MAIN!$L$3,"Yes","No"),IF(E125&lt;=MAIN!$L$3,"Yes","No"))))</f>
        <v>Yes</v>
      </c>
      <c r="AA125" t="str">
        <f t="shared" si="11"/>
        <v>Yes</v>
      </c>
    </row>
    <row r="126" spans="1:27" x14ac:dyDescent="0.3">
      <c r="A126">
        <f>INDEX(SETTINGS!$A$15:$A$24,$B126)</f>
        <v>2025</v>
      </c>
      <c r="B126">
        <v>1</v>
      </c>
      <c r="C126" t="str">
        <f>IF(AND(A126&gt;=SETTINGS!$B$4,A126&lt;=SETTINGS!$B$5),"Yes","No")</f>
        <v>Yes</v>
      </c>
      <c r="D126" t="str">
        <f>IFERROR(INDEX(SETTINGS!$C$15:$C$24,MATCH(A126,SETTINGS!$A$15:$A$24,0)),"No")</f>
        <v>Yes</v>
      </c>
      <c r="E126">
        <v>7</v>
      </c>
      <c r="F126" t="s">
        <v>40</v>
      </c>
      <c r="G126">
        <v>165</v>
      </c>
      <c r="H126" t="s">
        <v>104</v>
      </c>
      <c r="I126" t="s">
        <v>22</v>
      </c>
      <c r="J126" t="s">
        <v>24</v>
      </c>
      <c r="K126" t="s">
        <v>3</v>
      </c>
      <c r="L126" s="36">
        <f ca="1">IF(C126&lt;&gt;"Yes",0,IF(A126=2025,N('2025'!D165),IF(A126=2026,N('2026'!D165),IF(A126=2027,N('2027'!D165),IF(A126=2028,N('2028'!D165),IF(A126=2029,N('2029'!D165),IF(A126=2030,N('2030'!D165),IF(A126=2031,N('2031'!D165),IF(A126=2032,N('2032'!D165),IF(A126=2033,N('2033'!D165),IF(A126=2034,N('2034'!D165),IFERROR(N(INDIRECT("'"&amp;A126&amp;"'!D"&amp;G126)),0))))))))))))</f>
        <v>4</v>
      </c>
      <c r="M126" s="36">
        <f>IFERROR(IF(NOT(ISBLANK(KPI_TARGETS!$G$15)),KPI_TARGETS!$G$15,IF(NOT(ISBLANK(KPI_TARGETS!$F$15)),KPI_TARGETS!$F$15,"")),"")</f>
        <v>5</v>
      </c>
      <c r="N126" s="36" t="str">
        <f>IFERROR(KPI_TARGETS!$E$15,"Higher is better")</f>
        <v>Higher is better</v>
      </c>
      <c r="O126" s="37">
        <f t="shared" ca="1" si="6"/>
        <v>0.8</v>
      </c>
      <c r="P126" t="str">
        <f t="shared" ca="1" si="7"/>
        <v>Amber</v>
      </c>
      <c r="Q126" s="36">
        <f t="shared" ca="1" si="8"/>
        <v>-1</v>
      </c>
      <c r="R126" s="36" t="str">
        <f>""</f>
        <v/>
      </c>
      <c r="S126" s="36" t="str">
        <f>""</f>
        <v/>
      </c>
      <c r="T126" s="36" t="str">
        <f>""</f>
        <v/>
      </c>
      <c r="U126" s="36" t="str">
        <f>""</f>
        <v/>
      </c>
      <c r="V126" s="36" t="str">
        <f>""</f>
        <v/>
      </c>
      <c r="W126" s="36">
        <f t="shared" si="9"/>
        <v>1</v>
      </c>
      <c r="X126" t="str">
        <f t="shared" si="10"/>
        <v>OK</v>
      </c>
      <c r="Y126" t="str">
        <f>IF(MAIN!$H$3="Selected Year",IF(A126=MAIN!$B$3,"Yes","No"),IF(MAIN!$H$3="Included Years",IF(D126="Yes","Yes","No"),IF(C126="Yes","Yes","No")))</f>
        <v>Yes</v>
      </c>
      <c r="Z126" t="str">
        <f>IF(MAIN!$F$3="Project to Date",IF(AND(A126&gt;=SETTINGS!$B$4,A126&lt;MAIN!$B$3),"Yes",IF(AND(A126=MAIN!$B$3,E126&lt;=MAIN!$L$3),"Yes","No")),IF(OR(MAIN!$F$3="Full Year",MAIN!$D$3="All"),"Yes",IF(MAIN!$F$3="Monthly",IF(E126=MAIN!$L$3,"Yes","No"),IF(E126&lt;=MAIN!$L$3,"Yes","No"))))</f>
        <v>Yes</v>
      </c>
      <c r="AA126" t="str">
        <f t="shared" si="11"/>
        <v>Yes</v>
      </c>
    </row>
    <row r="127" spans="1:27" x14ac:dyDescent="0.3">
      <c r="A127">
        <f>INDEX(SETTINGS!$A$15:$A$24,$B127)</f>
        <v>2025</v>
      </c>
      <c r="B127">
        <v>1</v>
      </c>
      <c r="C127" t="str">
        <f>IF(AND(A127&gt;=SETTINGS!$B$4,A127&lt;=SETTINGS!$B$5),"Yes","No")</f>
        <v>Yes</v>
      </c>
      <c r="D127" t="str">
        <f>IFERROR(INDEX(SETTINGS!$C$15:$C$24,MATCH(A127,SETTINGS!$A$15:$A$24,0)),"No")</f>
        <v>Yes</v>
      </c>
      <c r="E127">
        <v>7</v>
      </c>
      <c r="F127" t="s">
        <v>40</v>
      </c>
      <c r="G127">
        <v>166</v>
      </c>
      <c r="H127" t="s">
        <v>105</v>
      </c>
      <c r="I127" t="s">
        <v>22</v>
      </c>
      <c r="J127" t="s">
        <v>25</v>
      </c>
      <c r="K127" t="s">
        <v>3</v>
      </c>
      <c r="L127" s="36">
        <f ca="1">IF(C127&lt;&gt;"Yes",0,IF(A127=2025,N('2025'!D166),IF(A127=2026,N('2026'!D166),IF(A127=2027,N('2027'!D166),IF(A127=2028,N('2028'!D166),IF(A127=2029,N('2029'!D166),IF(A127=2030,N('2030'!D166),IF(A127=2031,N('2031'!D166),IF(A127=2032,N('2032'!D166),IF(A127=2033,N('2033'!D166),IF(A127=2034,N('2034'!D166),IFERROR(N(INDIRECT("'"&amp;A127&amp;"'!D"&amp;G127)),0))))))))))))</f>
        <v>4</v>
      </c>
      <c r="M127" s="36">
        <f>IFERROR(IF(NOT(ISBLANK(KPI_TARGETS!$G$16)),KPI_TARGETS!$G$16,IF(NOT(ISBLANK(KPI_TARGETS!$F$16)),KPI_TARGETS!$F$16,"")),"")</f>
        <v>4</v>
      </c>
      <c r="N127" s="36" t="str">
        <f>IFERROR(KPI_TARGETS!$E$16,"Higher is better")</f>
        <v>Higher is better</v>
      </c>
      <c r="O127" s="37">
        <f t="shared" ca="1" si="6"/>
        <v>1</v>
      </c>
      <c r="P127" t="str">
        <f t="shared" ca="1" si="7"/>
        <v>Green</v>
      </c>
      <c r="Q127" s="36">
        <f t="shared" ca="1" si="8"/>
        <v>0</v>
      </c>
      <c r="R127" s="36" t="str">
        <f>""</f>
        <v/>
      </c>
      <c r="S127" s="36" t="str">
        <f>""</f>
        <v/>
      </c>
      <c r="T127" s="36" t="str">
        <f>""</f>
        <v/>
      </c>
      <c r="U127" s="36" t="str">
        <f>""</f>
        <v/>
      </c>
      <c r="V127" s="36" t="str">
        <f>""</f>
        <v/>
      </c>
      <c r="W127" s="36">
        <f t="shared" si="9"/>
        <v>1</v>
      </c>
      <c r="X127" t="str">
        <f t="shared" si="10"/>
        <v>OK</v>
      </c>
      <c r="Y127" t="str">
        <f>IF(MAIN!$H$3="Selected Year",IF(A127=MAIN!$B$3,"Yes","No"),IF(MAIN!$H$3="Included Years",IF(D127="Yes","Yes","No"),IF(C127="Yes","Yes","No")))</f>
        <v>Yes</v>
      </c>
      <c r="Z127" t="str">
        <f>IF(MAIN!$F$3="Project to Date",IF(AND(A127&gt;=SETTINGS!$B$4,A127&lt;MAIN!$B$3),"Yes",IF(AND(A127=MAIN!$B$3,E127&lt;=MAIN!$L$3),"Yes","No")),IF(OR(MAIN!$F$3="Full Year",MAIN!$D$3="All"),"Yes",IF(MAIN!$F$3="Monthly",IF(E127=MAIN!$L$3,"Yes","No"),IF(E127&lt;=MAIN!$L$3,"Yes","No"))))</f>
        <v>Yes</v>
      </c>
      <c r="AA127" t="str">
        <f t="shared" si="11"/>
        <v>Yes</v>
      </c>
    </row>
    <row r="128" spans="1:27" x14ac:dyDescent="0.3">
      <c r="A128">
        <f>INDEX(SETTINGS!$A$15:$A$24,$B128)</f>
        <v>2025</v>
      </c>
      <c r="B128">
        <v>1</v>
      </c>
      <c r="C128" t="str">
        <f>IF(AND(A128&gt;=SETTINGS!$B$4,A128&lt;=SETTINGS!$B$5),"Yes","No")</f>
        <v>Yes</v>
      </c>
      <c r="D128" t="str">
        <f>IFERROR(INDEX(SETTINGS!$C$15:$C$24,MATCH(A128,SETTINGS!$A$15:$A$24,0)),"No")</f>
        <v>Yes</v>
      </c>
      <c r="E128">
        <v>7</v>
      </c>
      <c r="F128" t="s">
        <v>40</v>
      </c>
      <c r="G128">
        <v>167</v>
      </c>
      <c r="H128" t="s">
        <v>106</v>
      </c>
      <c r="I128" t="s">
        <v>22</v>
      </c>
      <c r="J128" t="s">
        <v>26</v>
      </c>
      <c r="K128" t="s">
        <v>3</v>
      </c>
      <c r="L128" s="36">
        <f ca="1">IF(C128&lt;&gt;"Yes",0,IF(A128=2025,N('2025'!D167),IF(A128=2026,N('2026'!D167),IF(A128=2027,N('2027'!D167),IF(A128=2028,N('2028'!D167),IF(A128=2029,N('2029'!D167),IF(A128=2030,N('2030'!D167),IF(A128=2031,N('2031'!D167),IF(A128=2032,N('2032'!D167),IF(A128=2033,N('2033'!D167),IF(A128=2034,N('2034'!D167),IFERROR(N(INDIRECT("'"&amp;A128&amp;"'!D"&amp;G128)),0))))))))))))</f>
        <v>20</v>
      </c>
      <c r="M128" s="36">
        <f>IFERROR(IF(NOT(ISBLANK(KPI_TARGETS!$G$17)),KPI_TARGETS!$G$17,IF(NOT(ISBLANK(KPI_TARGETS!$F$17)),KPI_TARGETS!$F$17,"")),"")</f>
        <v>12</v>
      </c>
      <c r="N128" s="36" t="str">
        <f>IFERROR(KPI_TARGETS!$E$17,"Higher is better")</f>
        <v>Higher is better</v>
      </c>
      <c r="O128" s="37">
        <f t="shared" ca="1" si="6"/>
        <v>1.6666666666666667</v>
      </c>
      <c r="P128" t="str">
        <f t="shared" ca="1" si="7"/>
        <v>Green</v>
      </c>
      <c r="Q128" s="36">
        <f t="shared" ca="1" si="8"/>
        <v>8</v>
      </c>
      <c r="R128" s="36" t="str">
        <f>""</f>
        <v/>
      </c>
      <c r="S128" s="36" t="str">
        <f>""</f>
        <v/>
      </c>
      <c r="T128" s="36" t="str">
        <f>""</f>
        <v/>
      </c>
      <c r="U128" s="36" t="str">
        <f>""</f>
        <v/>
      </c>
      <c r="V128" s="36" t="str">
        <f>""</f>
        <v/>
      </c>
      <c r="W128" s="36">
        <f t="shared" si="9"/>
        <v>1</v>
      </c>
      <c r="X128" t="str">
        <f t="shared" si="10"/>
        <v>OK</v>
      </c>
      <c r="Y128" t="str">
        <f>IF(MAIN!$H$3="Selected Year",IF(A128=MAIN!$B$3,"Yes","No"),IF(MAIN!$H$3="Included Years",IF(D128="Yes","Yes","No"),IF(C128="Yes","Yes","No")))</f>
        <v>Yes</v>
      </c>
      <c r="Z128" t="str">
        <f>IF(MAIN!$F$3="Project to Date",IF(AND(A128&gt;=SETTINGS!$B$4,A128&lt;MAIN!$B$3),"Yes",IF(AND(A128=MAIN!$B$3,E128&lt;=MAIN!$L$3),"Yes","No")),IF(OR(MAIN!$F$3="Full Year",MAIN!$D$3="All"),"Yes",IF(MAIN!$F$3="Monthly",IF(E128=MAIN!$L$3,"Yes","No"),IF(E128&lt;=MAIN!$L$3,"Yes","No"))))</f>
        <v>Yes</v>
      </c>
      <c r="AA128" t="str">
        <f t="shared" si="11"/>
        <v>Yes</v>
      </c>
    </row>
    <row r="129" spans="1:27" x14ac:dyDescent="0.3">
      <c r="A129">
        <f>INDEX(SETTINGS!$A$15:$A$24,$B129)</f>
        <v>2025</v>
      </c>
      <c r="B129">
        <v>1</v>
      </c>
      <c r="C129" t="str">
        <f>IF(AND(A129&gt;=SETTINGS!$B$4,A129&lt;=SETTINGS!$B$5),"Yes","No")</f>
        <v>Yes</v>
      </c>
      <c r="D129" t="str">
        <f>IFERROR(INDEX(SETTINGS!$C$15:$C$24,MATCH(A129,SETTINGS!$A$15:$A$24,0)),"No")</f>
        <v>Yes</v>
      </c>
      <c r="E129">
        <v>7</v>
      </c>
      <c r="F129" t="s">
        <v>40</v>
      </c>
      <c r="G129">
        <v>168</v>
      </c>
      <c r="H129" t="s">
        <v>107</v>
      </c>
      <c r="I129" t="s">
        <v>22</v>
      </c>
      <c r="J129" t="s">
        <v>27</v>
      </c>
      <c r="K129" t="s">
        <v>3</v>
      </c>
      <c r="L129" s="36">
        <f ca="1">IF(C129&lt;&gt;"Yes",0,IF(A129=2025,N('2025'!D168),IF(A129=2026,N('2026'!D168),IF(A129=2027,N('2027'!D168),IF(A129=2028,N('2028'!D168),IF(A129=2029,N('2029'!D168),IF(A129=2030,N('2030'!D168),IF(A129=2031,N('2031'!D168),IF(A129=2032,N('2032'!D168),IF(A129=2033,N('2033'!D168),IF(A129=2034,N('2034'!D168),IFERROR(N(INDIRECT("'"&amp;A129&amp;"'!D"&amp;G129)),0))))))))))))</f>
        <v>4</v>
      </c>
      <c r="M129" s="36">
        <f>IFERROR(IF(NOT(ISBLANK(KPI_TARGETS!$G$18)),KPI_TARGETS!$G$18,IF(NOT(ISBLANK(KPI_TARGETS!$F$18)),KPI_TARGETS!$F$18,"")),"")</f>
        <v>4</v>
      </c>
      <c r="N129" s="36" t="str">
        <f>IFERROR(KPI_TARGETS!$E$18,"Higher is better")</f>
        <v>Higher is better</v>
      </c>
      <c r="O129" s="37">
        <f t="shared" ca="1" si="6"/>
        <v>1</v>
      </c>
      <c r="P129" t="str">
        <f t="shared" ca="1" si="7"/>
        <v>Green</v>
      </c>
      <c r="Q129" s="36">
        <f t="shared" ca="1" si="8"/>
        <v>0</v>
      </c>
      <c r="R129" s="36" t="str">
        <f>""</f>
        <v/>
      </c>
      <c r="S129" s="36" t="str">
        <f>""</f>
        <v/>
      </c>
      <c r="T129" s="36" t="str">
        <f>""</f>
        <v/>
      </c>
      <c r="U129" s="36" t="str">
        <f>""</f>
        <v/>
      </c>
      <c r="V129" s="36" t="str">
        <f>""</f>
        <v/>
      </c>
      <c r="W129" s="36">
        <f t="shared" si="9"/>
        <v>1</v>
      </c>
      <c r="X129" t="str">
        <f t="shared" si="10"/>
        <v>OK</v>
      </c>
      <c r="Y129" t="str">
        <f>IF(MAIN!$H$3="Selected Year",IF(A129=MAIN!$B$3,"Yes","No"),IF(MAIN!$H$3="Included Years",IF(D129="Yes","Yes","No"),IF(C129="Yes","Yes","No")))</f>
        <v>Yes</v>
      </c>
      <c r="Z129" t="str">
        <f>IF(MAIN!$F$3="Project to Date",IF(AND(A129&gt;=SETTINGS!$B$4,A129&lt;MAIN!$B$3),"Yes",IF(AND(A129=MAIN!$B$3,E129&lt;=MAIN!$L$3),"Yes","No")),IF(OR(MAIN!$F$3="Full Year",MAIN!$D$3="All"),"Yes",IF(MAIN!$F$3="Monthly",IF(E129=MAIN!$L$3,"Yes","No"),IF(E129&lt;=MAIN!$L$3,"Yes","No"))))</f>
        <v>Yes</v>
      </c>
      <c r="AA129" t="str">
        <f t="shared" si="11"/>
        <v>Yes</v>
      </c>
    </row>
    <row r="130" spans="1:27" x14ac:dyDescent="0.3">
      <c r="A130">
        <f>INDEX(SETTINGS!$A$15:$A$24,$B130)</f>
        <v>2025</v>
      </c>
      <c r="B130">
        <v>1</v>
      </c>
      <c r="C130" t="str">
        <f>IF(AND(A130&gt;=SETTINGS!$B$4,A130&lt;=SETTINGS!$B$5),"Yes","No")</f>
        <v>Yes</v>
      </c>
      <c r="D130" t="str">
        <f>IFERROR(INDEX(SETTINGS!$C$15:$C$24,MATCH(A130,SETTINGS!$A$15:$A$24,0)),"No")</f>
        <v>Yes</v>
      </c>
      <c r="E130">
        <v>7</v>
      </c>
      <c r="F130" t="s">
        <v>40</v>
      </c>
      <c r="G130">
        <v>169</v>
      </c>
      <c r="H130" t="s">
        <v>108</v>
      </c>
      <c r="I130" t="s">
        <v>22</v>
      </c>
      <c r="J130" t="s">
        <v>28</v>
      </c>
      <c r="K130" t="s">
        <v>3</v>
      </c>
      <c r="L130" s="36">
        <f ca="1">IF(C130&lt;&gt;"Yes",0,IF(A130=2025,N('2025'!D169),IF(A130=2026,N('2026'!D169),IF(A130=2027,N('2027'!D169),IF(A130=2028,N('2028'!D169),IF(A130=2029,N('2029'!D169),IF(A130=2030,N('2030'!D169),IF(A130=2031,N('2031'!D169),IF(A130=2032,N('2032'!D169),IF(A130=2033,N('2033'!D169),IF(A130=2034,N('2034'!D169),IFERROR(N(INDIRECT("'"&amp;A130&amp;"'!D"&amp;G130)),0))))))))))))</f>
        <v>8</v>
      </c>
      <c r="M130" s="36">
        <f>IFERROR(IF(NOT(ISBLANK(KPI_TARGETS!$G$19)),KPI_TARGETS!$G$19,IF(NOT(ISBLANK(KPI_TARGETS!$F$19)),KPI_TARGETS!$F$19,"")),"")</f>
        <v>16</v>
      </c>
      <c r="N130" s="36" t="str">
        <f>IFERROR(KPI_TARGETS!$E$19,"Higher is better")</f>
        <v>Higher is better</v>
      </c>
      <c r="O130" s="37">
        <f t="shared" ref="O130:O193" ca="1" si="12">IF(M130="","",IF(N130="Higher is better",IFERROR(L130/M130,""),IF(L130=0,1,IFERROR(M130/L130,""))))</f>
        <v>0.5</v>
      </c>
      <c r="P130" t="str">
        <f t="shared" ref="P130:P193" ca="1" si="13">IF(M130="","Target Needed",IF(N130="Higher is better",IF(L130&gt;=M130,"Green",IF(L130&gt;=0.8*M130,"Amber","Red")),IF(M130=0,IF(L130=0,"Green","Red"),IF(L130&lt;=M130,"Green",IF(L130&lt;=1.25*M130,"Amber","Red")))))</f>
        <v>Red</v>
      </c>
      <c r="Q130" s="36">
        <f t="shared" ref="Q130:Q193" ca="1" si="14">IF(M130="","",IF(N130="Higher is better",L130-M130,M130-L130))</f>
        <v>-8</v>
      </c>
      <c r="R130" s="36" t="str">
        <f>""</f>
        <v/>
      </c>
      <c r="S130" s="36" t="str">
        <f>""</f>
        <v/>
      </c>
      <c r="T130" s="36" t="str">
        <f>""</f>
        <v/>
      </c>
      <c r="U130" s="36" t="str">
        <f>""</f>
        <v/>
      </c>
      <c r="V130" s="36" t="str">
        <f>""</f>
        <v/>
      </c>
      <c r="W130" s="36">
        <f t="shared" ref="W130:W193" si="15">IF(LEN(M130&amp;"")&gt;0,1,0)</f>
        <v>1</v>
      </c>
      <c r="X130" t="str">
        <f t="shared" ref="X130:X193" si="16">IF(C130&lt;&gt;"Yes","Inactive",IF(M130="","Missing target","OK"))</f>
        <v>OK</v>
      </c>
      <c r="Y130" t="str">
        <f>IF(MAIN!$H$3="Selected Year",IF(A130=MAIN!$B$3,"Yes","No"),IF(MAIN!$H$3="Included Years",IF(D130="Yes","Yes","No"),IF(C130="Yes","Yes","No")))</f>
        <v>Yes</v>
      </c>
      <c r="Z130" t="str">
        <f>IF(MAIN!$F$3="Project to Date",IF(AND(A130&gt;=SETTINGS!$B$4,A130&lt;MAIN!$B$3),"Yes",IF(AND(A130=MAIN!$B$3,E130&lt;=MAIN!$L$3),"Yes","No")),IF(OR(MAIN!$F$3="Full Year",MAIN!$D$3="All"),"Yes",IF(MAIN!$F$3="Monthly",IF(E130=MAIN!$L$3,"Yes","No"),IF(E130&lt;=MAIN!$L$3,"Yes","No"))))</f>
        <v>Yes</v>
      </c>
      <c r="AA130" t="str">
        <f t="shared" ref="AA130:AA193" si="17">IF(AND(Y130="Yes",Z130="Yes"),"Yes","No")</f>
        <v>Yes</v>
      </c>
    </row>
    <row r="131" spans="1:27" x14ac:dyDescent="0.3">
      <c r="A131">
        <f>INDEX(SETTINGS!$A$15:$A$24,$B131)</f>
        <v>2025</v>
      </c>
      <c r="B131">
        <v>1</v>
      </c>
      <c r="C131" t="str">
        <f>IF(AND(A131&gt;=SETTINGS!$B$4,A131&lt;=SETTINGS!$B$5),"Yes","No")</f>
        <v>Yes</v>
      </c>
      <c r="D131" t="str">
        <f>IFERROR(INDEX(SETTINGS!$C$15:$C$24,MATCH(A131,SETTINGS!$A$15:$A$24,0)),"No")</f>
        <v>Yes</v>
      </c>
      <c r="E131">
        <v>7</v>
      </c>
      <c r="F131" t="s">
        <v>40</v>
      </c>
      <c r="G131">
        <v>170</v>
      </c>
      <c r="H131" t="s">
        <v>109</v>
      </c>
      <c r="I131" t="s">
        <v>22</v>
      </c>
      <c r="J131" t="s">
        <v>29</v>
      </c>
      <c r="K131" t="s">
        <v>3</v>
      </c>
      <c r="L131" s="36">
        <f ca="1">IF(C131&lt;&gt;"Yes",0,IF(A131=2025,N('2025'!D170),IF(A131=2026,N('2026'!D170),IF(A131=2027,N('2027'!D170),IF(A131=2028,N('2028'!D170),IF(A131=2029,N('2029'!D170),IF(A131=2030,N('2030'!D170),IF(A131=2031,N('2031'!D170),IF(A131=2032,N('2032'!D170),IF(A131=2033,N('2033'!D170),IF(A131=2034,N('2034'!D170),IFERROR(N(INDIRECT("'"&amp;A131&amp;"'!D"&amp;G131)),0))))))))))))</f>
        <v>1</v>
      </c>
      <c r="M131" s="36">
        <f>IFERROR(IF(NOT(ISBLANK(KPI_TARGETS!$G$20)),KPI_TARGETS!$G$20,IF(NOT(ISBLANK(KPI_TARGETS!$F$20)),KPI_TARGETS!$F$20,"")),"")</f>
        <v>1</v>
      </c>
      <c r="N131" s="36" t="str">
        <f>IFERROR(KPI_TARGETS!$E$20,"Higher is better")</f>
        <v>Higher is better</v>
      </c>
      <c r="O131" s="37">
        <f t="shared" ca="1" si="12"/>
        <v>1</v>
      </c>
      <c r="P131" t="str">
        <f t="shared" ca="1" si="13"/>
        <v>Green</v>
      </c>
      <c r="Q131" s="36">
        <f t="shared" ca="1" si="14"/>
        <v>0</v>
      </c>
      <c r="R131" s="36" t="str">
        <f>""</f>
        <v/>
      </c>
      <c r="S131" s="36" t="str">
        <f>""</f>
        <v/>
      </c>
      <c r="T131" s="36" t="str">
        <f>""</f>
        <v/>
      </c>
      <c r="U131" s="36" t="str">
        <f>""</f>
        <v/>
      </c>
      <c r="V131" s="36" t="str">
        <f>""</f>
        <v/>
      </c>
      <c r="W131" s="36">
        <f t="shared" si="15"/>
        <v>1</v>
      </c>
      <c r="X131" t="str">
        <f t="shared" si="16"/>
        <v>OK</v>
      </c>
      <c r="Y131" t="str">
        <f>IF(MAIN!$H$3="Selected Year",IF(A131=MAIN!$B$3,"Yes","No"),IF(MAIN!$H$3="Included Years",IF(D131="Yes","Yes","No"),IF(C131="Yes","Yes","No")))</f>
        <v>Yes</v>
      </c>
      <c r="Z131" t="str">
        <f>IF(MAIN!$F$3="Project to Date",IF(AND(A131&gt;=SETTINGS!$B$4,A131&lt;MAIN!$B$3),"Yes",IF(AND(A131=MAIN!$B$3,E131&lt;=MAIN!$L$3),"Yes","No")),IF(OR(MAIN!$F$3="Full Year",MAIN!$D$3="All"),"Yes",IF(MAIN!$F$3="Monthly",IF(E131=MAIN!$L$3,"Yes","No"),IF(E131&lt;=MAIN!$L$3,"Yes","No"))))</f>
        <v>Yes</v>
      </c>
      <c r="AA131" t="str">
        <f t="shared" si="17"/>
        <v>Yes</v>
      </c>
    </row>
    <row r="132" spans="1:27" x14ac:dyDescent="0.3">
      <c r="A132">
        <f>INDEX(SETTINGS!$A$15:$A$24,$B132)</f>
        <v>2025</v>
      </c>
      <c r="B132">
        <v>1</v>
      </c>
      <c r="C132" t="str">
        <f>IF(AND(A132&gt;=SETTINGS!$B$4,A132&lt;=SETTINGS!$B$5),"Yes","No")</f>
        <v>Yes</v>
      </c>
      <c r="D132" t="str">
        <f>IFERROR(INDEX(SETTINGS!$C$15:$C$24,MATCH(A132,SETTINGS!$A$15:$A$24,0)),"No")</f>
        <v>Yes</v>
      </c>
      <c r="E132">
        <v>7</v>
      </c>
      <c r="F132" t="s">
        <v>40</v>
      </c>
      <c r="G132">
        <v>172</v>
      </c>
      <c r="H132" t="s">
        <v>110</v>
      </c>
      <c r="I132" t="s">
        <v>30</v>
      </c>
      <c r="J132" t="s">
        <v>31</v>
      </c>
      <c r="K132" t="s">
        <v>3</v>
      </c>
      <c r="L132" s="36">
        <f ca="1">IF(C132&lt;&gt;"Yes",0,IF(A132=2025,N('2025'!D172),IF(A132=2026,N('2026'!D172),IF(A132=2027,N('2027'!D172),IF(A132=2028,N('2028'!D172),IF(A132=2029,N('2029'!D172),IF(A132=2030,N('2030'!D172),IF(A132=2031,N('2031'!D172),IF(A132=2032,N('2032'!D172),IF(A132=2033,N('2033'!D172),IF(A132=2034,N('2034'!D172),IFERROR(N(INDIRECT("'"&amp;A132&amp;"'!D"&amp;G132)),0))))))))))))</f>
        <v>0</v>
      </c>
      <c r="M132" s="36">
        <f>IFERROR(IF(NOT(ISBLANK(KPI_TARGETS!$G$21)),KPI_TARGETS!$G$21,IF(NOT(ISBLANK(KPI_TARGETS!$F$21)),KPI_TARGETS!$F$21,"")),"")</f>
        <v>0</v>
      </c>
      <c r="N132" s="36" t="str">
        <f>IFERROR(KPI_TARGETS!$E$21,"Higher is better")</f>
        <v>Lower is better</v>
      </c>
      <c r="O132" s="37">
        <f t="shared" ca="1" si="12"/>
        <v>1</v>
      </c>
      <c r="P132" t="str">
        <f t="shared" ca="1" si="13"/>
        <v>Green</v>
      </c>
      <c r="Q132" s="36">
        <f t="shared" ca="1" si="14"/>
        <v>0</v>
      </c>
      <c r="R132" s="36" t="str">
        <f>""</f>
        <v/>
      </c>
      <c r="S132" s="36" t="str">
        <f>""</f>
        <v/>
      </c>
      <c r="T132" s="36" t="str">
        <f>""</f>
        <v/>
      </c>
      <c r="U132" s="36" t="str">
        <f>""</f>
        <v/>
      </c>
      <c r="V132" s="36" t="str">
        <f>""</f>
        <v/>
      </c>
      <c r="W132" s="36">
        <f t="shared" si="15"/>
        <v>1</v>
      </c>
      <c r="X132" t="str">
        <f t="shared" si="16"/>
        <v>OK</v>
      </c>
      <c r="Y132" t="str">
        <f>IF(MAIN!$H$3="Selected Year",IF(A132=MAIN!$B$3,"Yes","No"),IF(MAIN!$H$3="Included Years",IF(D132="Yes","Yes","No"),IF(C132="Yes","Yes","No")))</f>
        <v>Yes</v>
      </c>
      <c r="Z132" t="str">
        <f>IF(MAIN!$F$3="Project to Date",IF(AND(A132&gt;=SETTINGS!$B$4,A132&lt;MAIN!$B$3),"Yes",IF(AND(A132=MAIN!$B$3,E132&lt;=MAIN!$L$3),"Yes","No")),IF(OR(MAIN!$F$3="Full Year",MAIN!$D$3="All"),"Yes",IF(MAIN!$F$3="Monthly",IF(E132=MAIN!$L$3,"Yes","No"),IF(E132&lt;=MAIN!$L$3,"Yes","No"))))</f>
        <v>Yes</v>
      </c>
      <c r="AA132" t="str">
        <f t="shared" si="17"/>
        <v>Yes</v>
      </c>
    </row>
    <row r="133" spans="1:27" x14ac:dyDescent="0.3">
      <c r="A133">
        <f>INDEX(SETTINGS!$A$15:$A$24,$B133)</f>
        <v>2025</v>
      </c>
      <c r="B133">
        <v>1</v>
      </c>
      <c r="C133" t="str">
        <f>IF(AND(A133&gt;=SETTINGS!$B$4,A133&lt;=SETTINGS!$B$5),"Yes","No")</f>
        <v>Yes</v>
      </c>
      <c r="D133" t="str">
        <f>IFERROR(INDEX(SETTINGS!$C$15:$C$24,MATCH(A133,SETTINGS!$A$15:$A$24,0)),"No")</f>
        <v>Yes</v>
      </c>
      <c r="E133">
        <v>7</v>
      </c>
      <c r="F133" t="s">
        <v>40</v>
      </c>
      <c r="G133">
        <v>173</v>
      </c>
      <c r="H133" t="s">
        <v>111</v>
      </c>
      <c r="I133" t="s">
        <v>30</v>
      </c>
      <c r="J133" t="s">
        <v>32</v>
      </c>
      <c r="K133" t="s">
        <v>3</v>
      </c>
      <c r="L133" s="36">
        <f ca="1">IF(C133&lt;&gt;"Yes",0,IF(A133=2025,N('2025'!D173),IF(A133=2026,N('2026'!D173),IF(A133=2027,N('2027'!D173),IF(A133=2028,N('2028'!D173),IF(A133=2029,N('2029'!D173),IF(A133=2030,N('2030'!D173),IF(A133=2031,N('2031'!D173),IF(A133=2032,N('2032'!D173),IF(A133=2033,N('2033'!D173),IF(A133=2034,N('2034'!D173),IFERROR(N(INDIRECT("'"&amp;A133&amp;"'!D"&amp;G133)),0))))))))))))</f>
        <v>1</v>
      </c>
      <c r="M133" s="36">
        <f>IFERROR(IF(NOT(ISBLANK(KPI_TARGETS!$G$22)),KPI_TARGETS!$G$22,IF(NOT(ISBLANK(KPI_TARGETS!$F$22)),KPI_TARGETS!$F$22,"")),"")</f>
        <v>1</v>
      </c>
      <c r="N133" s="36" t="str">
        <f>IFERROR(KPI_TARGETS!$E$22,"Higher is better")</f>
        <v>Higher is better</v>
      </c>
      <c r="O133" s="37">
        <f t="shared" ca="1" si="12"/>
        <v>1</v>
      </c>
      <c r="P133" t="str">
        <f t="shared" ca="1" si="13"/>
        <v>Green</v>
      </c>
      <c r="Q133" s="36">
        <f t="shared" ca="1" si="14"/>
        <v>0</v>
      </c>
      <c r="R133" s="36" t="str">
        <f>""</f>
        <v/>
      </c>
      <c r="S133" s="36" t="str">
        <f>""</f>
        <v/>
      </c>
      <c r="T133" s="36" t="str">
        <f>""</f>
        <v/>
      </c>
      <c r="U133" s="36" t="str">
        <f>""</f>
        <v/>
      </c>
      <c r="V133" s="36" t="str">
        <f>""</f>
        <v/>
      </c>
      <c r="W133" s="36">
        <f t="shared" si="15"/>
        <v>1</v>
      </c>
      <c r="X133" t="str">
        <f t="shared" si="16"/>
        <v>OK</v>
      </c>
      <c r="Y133" t="str">
        <f>IF(MAIN!$H$3="Selected Year",IF(A133=MAIN!$B$3,"Yes","No"),IF(MAIN!$H$3="Included Years",IF(D133="Yes","Yes","No"),IF(C133="Yes","Yes","No")))</f>
        <v>Yes</v>
      </c>
      <c r="Z133" t="str">
        <f>IF(MAIN!$F$3="Project to Date",IF(AND(A133&gt;=SETTINGS!$B$4,A133&lt;MAIN!$B$3),"Yes",IF(AND(A133=MAIN!$B$3,E133&lt;=MAIN!$L$3),"Yes","No")),IF(OR(MAIN!$F$3="Full Year",MAIN!$D$3="All"),"Yes",IF(MAIN!$F$3="Monthly",IF(E133=MAIN!$L$3,"Yes","No"),IF(E133&lt;=MAIN!$L$3,"Yes","No"))))</f>
        <v>Yes</v>
      </c>
      <c r="AA133" t="str">
        <f t="shared" si="17"/>
        <v>Yes</v>
      </c>
    </row>
    <row r="134" spans="1:27" x14ac:dyDescent="0.3">
      <c r="A134">
        <f>INDEX(SETTINGS!$A$15:$A$24,$B134)</f>
        <v>2025</v>
      </c>
      <c r="B134">
        <v>1</v>
      </c>
      <c r="C134" t="str">
        <f>IF(AND(A134&gt;=SETTINGS!$B$4,A134&lt;=SETTINGS!$B$5),"Yes","No")</f>
        <v>Yes</v>
      </c>
      <c r="D134" t="str">
        <f>IFERROR(INDEX(SETTINGS!$C$15:$C$24,MATCH(A134,SETTINGS!$A$15:$A$24,0)),"No")</f>
        <v>Yes</v>
      </c>
      <c r="E134">
        <v>7</v>
      </c>
      <c r="F134" t="s">
        <v>40</v>
      </c>
      <c r="G134">
        <v>174</v>
      </c>
      <c r="H134" t="s">
        <v>112</v>
      </c>
      <c r="I134" t="s">
        <v>30</v>
      </c>
      <c r="J134" t="s">
        <v>33</v>
      </c>
      <c r="K134" t="s">
        <v>34</v>
      </c>
      <c r="L134" s="36">
        <f ca="1">IF(C134&lt;&gt;"Yes",0,IF(A134=2025,N('2025'!D174),IF(A134=2026,N('2026'!D174),IF(A134=2027,N('2027'!D174),IF(A134=2028,N('2028'!D174),IF(A134=2029,N('2029'!D174),IF(A134=2030,N('2030'!D174),IF(A134=2031,N('2031'!D174),IF(A134=2032,N('2032'!D174),IF(A134=2033,N('2033'!D174),IF(A134=2034,N('2034'!D174),IFERROR(N(INDIRECT("'"&amp;A134&amp;"'!D"&amp;G134)),0))))))))))))</f>
        <v>1</v>
      </c>
      <c r="M134" s="36">
        <f>IFERROR(IF(NOT(ISBLANK(KPI_TARGETS!$G$23)),KPI_TARGETS!$G$23,IF(NOT(ISBLANK(KPI_TARGETS!$F$23)),KPI_TARGETS!$F$23,"")),"")</f>
        <v>1</v>
      </c>
      <c r="N134" s="36" t="str">
        <f>IFERROR(KPI_TARGETS!$E$23,"Higher is better")</f>
        <v>Higher is better</v>
      </c>
      <c r="O134" s="37">
        <f t="shared" ca="1" si="12"/>
        <v>1</v>
      </c>
      <c r="P134" t="str">
        <f t="shared" ca="1" si="13"/>
        <v>Green</v>
      </c>
      <c r="Q134" s="36">
        <f t="shared" ca="1" si="14"/>
        <v>0</v>
      </c>
      <c r="R134" s="36" t="str">
        <f>""</f>
        <v/>
      </c>
      <c r="S134" s="36" t="str">
        <f>""</f>
        <v/>
      </c>
      <c r="T134" s="36" t="str">
        <f>""</f>
        <v/>
      </c>
      <c r="U134" s="36" t="str">
        <f>""</f>
        <v/>
      </c>
      <c r="V134" s="36" t="str">
        <f>""</f>
        <v/>
      </c>
      <c r="W134" s="36">
        <f t="shared" si="15"/>
        <v>1</v>
      </c>
      <c r="X134" t="str">
        <f t="shared" si="16"/>
        <v>OK</v>
      </c>
      <c r="Y134" t="str">
        <f>IF(MAIN!$H$3="Selected Year",IF(A134=MAIN!$B$3,"Yes","No"),IF(MAIN!$H$3="Included Years",IF(D134="Yes","Yes","No"),IF(C134="Yes","Yes","No")))</f>
        <v>Yes</v>
      </c>
      <c r="Z134" t="str">
        <f>IF(MAIN!$F$3="Project to Date",IF(AND(A134&gt;=SETTINGS!$B$4,A134&lt;MAIN!$B$3),"Yes",IF(AND(A134=MAIN!$B$3,E134&lt;=MAIN!$L$3),"Yes","No")),IF(OR(MAIN!$F$3="Full Year",MAIN!$D$3="All"),"Yes",IF(MAIN!$F$3="Monthly",IF(E134=MAIN!$L$3,"Yes","No"),IF(E134&lt;=MAIN!$L$3,"Yes","No"))))</f>
        <v>Yes</v>
      </c>
      <c r="AA134" t="str">
        <f t="shared" si="17"/>
        <v>Yes</v>
      </c>
    </row>
    <row r="135" spans="1:27" x14ac:dyDescent="0.3">
      <c r="A135">
        <f>INDEX(SETTINGS!$A$15:$A$24,$B135)</f>
        <v>2025</v>
      </c>
      <c r="B135">
        <v>1</v>
      </c>
      <c r="C135" t="str">
        <f>IF(AND(A135&gt;=SETTINGS!$B$4,A135&lt;=SETTINGS!$B$5),"Yes","No")</f>
        <v>Yes</v>
      </c>
      <c r="D135" t="str">
        <f>IFERROR(INDEX(SETTINGS!$C$15:$C$24,MATCH(A135,SETTINGS!$A$15:$A$24,0)),"No")</f>
        <v>Yes</v>
      </c>
      <c r="E135">
        <v>8</v>
      </c>
      <c r="F135" t="s">
        <v>41</v>
      </c>
      <c r="G135">
        <v>177</v>
      </c>
      <c r="H135" t="s">
        <v>88</v>
      </c>
      <c r="I135" t="s">
        <v>89</v>
      </c>
      <c r="J135" t="s">
        <v>10</v>
      </c>
      <c r="K135" t="s">
        <v>3</v>
      </c>
      <c r="L135" s="36">
        <f ca="1">IF(C135&lt;&gt;"Yes",0,IF(A135=2025,N('2025'!D177),IF(A135=2026,N('2026'!D177),IF(A135=2027,N('2027'!D177),IF(A135=2028,N('2028'!D177),IF(A135=2029,N('2029'!D177),IF(A135=2030,N('2030'!D177),IF(A135=2031,N('2031'!D177),IF(A135=2032,N('2032'!D177),IF(A135=2033,N('2033'!D177),IF(A135=2034,N('2034'!D177),IFERROR(N(INDIRECT("'"&amp;A135&amp;"'!D"&amp;G135)),0))))))))))))</f>
        <v>0</v>
      </c>
      <c r="M135" s="36">
        <f>IFERROR(IF(NOT(ISBLANK(KPI_TARGETS!$G$5)),KPI_TARGETS!$G$5,IF(NOT(ISBLANK(KPI_TARGETS!$F$5)),KPI_TARGETS!$F$5,"")),"")</f>
        <v>104</v>
      </c>
      <c r="N135" s="36" t="str">
        <f>IFERROR(KPI_TARGETS!$E$5,"Higher is better")</f>
        <v>Higher is better</v>
      </c>
      <c r="O135" s="37">
        <f t="shared" ca="1" si="12"/>
        <v>0</v>
      </c>
      <c r="P135" t="str">
        <f t="shared" ca="1" si="13"/>
        <v>Red</v>
      </c>
      <c r="Q135" s="36">
        <f t="shared" ca="1" si="14"/>
        <v>-104</v>
      </c>
      <c r="R135" s="36" t="str">
        <f>""</f>
        <v/>
      </c>
      <c r="S135" s="36" t="str">
        <f>""</f>
        <v/>
      </c>
      <c r="T135" s="36" t="str">
        <f>""</f>
        <v/>
      </c>
      <c r="U135" s="36" t="str">
        <f>""</f>
        <v/>
      </c>
      <c r="V135" s="36" t="str">
        <f>""</f>
        <v/>
      </c>
      <c r="W135" s="36">
        <f t="shared" si="15"/>
        <v>1</v>
      </c>
      <c r="X135" t="str">
        <f t="shared" si="16"/>
        <v>OK</v>
      </c>
      <c r="Y135" t="str">
        <f>IF(MAIN!$H$3="Selected Year",IF(A135=MAIN!$B$3,"Yes","No"),IF(MAIN!$H$3="Included Years",IF(D135="Yes","Yes","No"),IF(C135="Yes","Yes","No")))</f>
        <v>Yes</v>
      </c>
      <c r="Z135" t="str">
        <f>IF(MAIN!$F$3="Project to Date",IF(AND(A135&gt;=SETTINGS!$B$4,A135&lt;MAIN!$B$3),"Yes",IF(AND(A135=MAIN!$B$3,E135&lt;=MAIN!$L$3),"Yes","No")),IF(OR(MAIN!$F$3="Full Year",MAIN!$D$3="All"),"Yes",IF(MAIN!$F$3="Monthly",IF(E135=MAIN!$L$3,"Yes","No"),IF(E135&lt;=MAIN!$L$3,"Yes","No"))))</f>
        <v>Yes</v>
      </c>
      <c r="AA135" t="str">
        <f t="shared" si="17"/>
        <v>Yes</v>
      </c>
    </row>
    <row r="136" spans="1:27" x14ac:dyDescent="0.3">
      <c r="A136">
        <f>INDEX(SETTINGS!$A$15:$A$24,$B136)</f>
        <v>2025</v>
      </c>
      <c r="B136">
        <v>1</v>
      </c>
      <c r="C136" t="str">
        <f>IF(AND(A136&gt;=SETTINGS!$B$4,A136&lt;=SETTINGS!$B$5),"Yes","No")</f>
        <v>Yes</v>
      </c>
      <c r="D136" t="str">
        <f>IFERROR(INDEX(SETTINGS!$C$15:$C$24,MATCH(A136,SETTINGS!$A$15:$A$24,0)),"No")</f>
        <v>Yes</v>
      </c>
      <c r="E136">
        <v>8</v>
      </c>
      <c r="F136" t="s">
        <v>41</v>
      </c>
      <c r="G136">
        <v>178</v>
      </c>
      <c r="H136" t="s">
        <v>91</v>
      </c>
      <c r="I136" t="s">
        <v>89</v>
      </c>
      <c r="J136" t="s">
        <v>11</v>
      </c>
      <c r="K136" t="s">
        <v>12</v>
      </c>
      <c r="L136" s="36">
        <f ca="1">IF(C136&lt;&gt;"Yes",0,IF(A136=2025,N('2025'!D178),IF(A136=2026,N('2026'!D178),IF(A136=2027,N('2027'!D178),IF(A136=2028,N('2028'!D178),IF(A136=2029,N('2029'!D178),IF(A136=2030,N('2030'!D178),IF(A136=2031,N('2031'!D178),IF(A136=2032,N('2032'!D178),IF(A136=2033,N('2033'!D178),IF(A136=2034,N('2034'!D178),IFERROR(N(INDIRECT("'"&amp;A136&amp;"'!D"&amp;G136)),0))))))))))))</f>
        <v>6904</v>
      </c>
      <c r="M136" s="36">
        <f>IFERROR(IF(NOT(ISBLANK(KPI_TARGETS!$G$6)),KPI_TARGETS!$G$6,IF(NOT(ISBLANK(KPI_TARGETS!$F$6)),KPI_TARGETS!$F$6,"")),"")</f>
        <v>4000</v>
      </c>
      <c r="N136" s="36" t="str">
        <f>IFERROR(KPI_TARGETS!$E$6,"Higher is better")</f>
        <v>Higher is better</v>
      </c>
      <c r="O136" s="37">
        <f t="shared" ca="1" si="12"/>
        <v>1.726</v>
      </c>
      <c r="P136" t="str">
        <f t="shared" ca="1" si="13"/>
        <v>Green</v>
      </c>
      <c r="Q136" s="36">
        <f t="shared" ca="1" si="14"/>
        <v>2904</v>
      </c>
      <c r="R136" s="36" t="str">
        <f>""</f>
        <v/>
      </c>
      <c r="S136" s="36" t="str">
        <f>""</f>
        <v/>
      </c>
      <c r="T136" s="36" t="str">
        <f>""</f>
        <v/>
      </c>
      <c r="U136" s="36" t="str">
        <f>""</f>
        <v/>
      </c>
      <c r="V136" s="36" t="str">
        <f>""</f>
        <v/>
      </c>
      <c r="W136" s="36">
        <f t="shared" si="15"/>
        <v>1</v>
      </c>
      <c r="X136" t="str">
        <f t="shared" si="16"/>
        <v>OK</v>
      </c>
      <c r="Y136" t="str">
        <f>IF(MAIN!$H$3="Selected Year",IF(A136=MAIN!$B$3,"Yes","No"),IF(MAIN!$H$3="Included Years",IF(D136="Yes","Yes","No"),IF(C136="Yes","Yes","No")))</f>
        <v>Yes</v>
      </c>
      <c r="Z136" t="str">
        <f>IF(MAIN!$F$3="Project to Date",IF(AND(A136&gt;=SETTINGS!$B$4,A136&lt;MAIN!$B$3),"Yes",IF(AND(A136=MAIN!$B$3,E136&lt;=MAIN!$L$3),"Yes","No")),IF(OR(MAIN!$F$3="Full Year",MAIN!$D$3="All"),"Yes",IF(MAIN!$F$3="Monthly",IF(E136=MAIN!$L$3,"Yes","No"),IF(E136&lt;=MAIN!$L$3,"Yes","No"))))</f>
        <v>Yes</v>
      </c>
      <c r="AA136" t="str">
        <f t="shared" si="17"/>
        <v>Yes</v>
      </c>
    </row>
    <row r="137" spans="1:27" x14ac:dyDescent="0.3">
      <c r="A137">
        <f>INDEX(SETTINGS!$A$15:$A$24,$B137)</f>
        <v>2025</v>
      </c>
      <c r="B137">
        <v>1</v>
      </c>
      <c r="C137" t="str">
        <f>IF(AND(A137&gt;=SETTINGS!$B$4,A137&lt;=SETTINGS!$B$5),"Yes","No")</f>
        <v>Yes</v>
      </c>
      <c r="D137" t="str">
        <f>IFERROR(INDEX(SETTINGS!$C$15:$C$24,MATCH(A137,SETTINGS!$A$15:$A$24,0)),"No")</f>
        <v>Yes</v>
      </c>
      <c r="E137">
        <v>8</v>
      </c>
      <c r="F137" t="s">
        <v>41</v>
      </c>
      <c r="G137">
        <v>179</v>
      </c>
      <c r="H137" t="s">
        <v>93</v>
      </c>
      <c r="I137" t="s">
        <v>89</v>
      </c>
      <c r="J137" t="s">
        <v>13</v>
      </c>
      <c r="K137" t="s">
        <v>14</v>
      </c>
      <c r="L137" s="36">
        <f ca="1">IF(C137&lt;&gt;"Yes",0,IF(A137=2025,N('2025'!D179),IF(A137=2026,N('2026'!D179),IF(A137=2027,N('2027'!D179),IF(A137=2028,N('2028'!D179),IF(A137=2029,N('2029'!D179),IF(A137=2030,N('2030'!D179),IF(A137=2031,N('2031'!D179),IF(A137=2032,N('2032'!D179),IF(A137=2033,N('2033'!D179),IF(A137=2034,N('2034'!D179),IFERROR(N(INDIRECT("'"&amp;A137&amp;"'!D"&amp;G137)),0))))))))))))</f>
        <v>0</v>
      </c>
      <c r="M137" s="36">
        <f>IFERROR(IF(NOT(ISBLANK(KPI_TARGETS!$G$7)),KPI_TARGETS!$G$7,IF(NOT(ISBLANK(KPI_TARGETS!$F$7)),KPI_TARGETS!$F$7,"")),"")</f>
        <v>8000</v>
      </c>
      <c r="N137" s="36" t="str">
        <f>IFERROR(KPI_TARGETS!$E$7,"Higher is better")</f>
        <v>Higher is better</v>
      </c>
      <c r="O137" s="37">
        <f t="shared" ca="1" si="12"/>
        <v>0</v>
      </c>
      <c r="P137" t="str">
        <f t="shared" ca="1" si="13"/>
        <v>Red</v>
      </c>
      <c r="Q137" s="36">
        <f t="shared" ca="1" si="14"/>
        <v>-8000</v>
      </c>
      <c r="R137" s="36" t="str">
        <f>""</f>
        <v/>
      </c>
      <c r="S137" s="36" t="str">
        <f>""</f>
        <v/>
      </c>
      <c r="T137" s="36" t="str">
        <f>""</f>
        <v/>
      </c>
      <c r="U137" s="36" t="str">
        <f>""</f>
        <v/>
      </c>
      <c r="V137" s="36" t="str">
        <f>""</f>
        <v/>
      </c>
      <c r="W137" s="36">
        <f t="shared" si="15"/>
        <v>1</v>
      </c>
      <c r="X137" t="str">
        <f t="shared" si="16"/>
        <v>OK</v>
      </c>
      <c r="Y137" t="str">
        <f>IF(MAIN!$H$3="Selected Year",IF(A137=MAIN!$B$3,"Yes","No"),IF(MAIN!$H$3="Included Years",IF(D137="Yes","Yes","No"),IF(C137="Yes","Yes","No")))</f>
        <v>Yes</v>
      </c>
      <c r="Z137" t="str">
        <f>IF(MAIN!$F$3="Project to Date",IF(AND(A137&gt;=SETTINGS!$B$4,A137&lt;MAIN!$B$3),"Yes",IF(AND(A137=MAIN!$B$3,E137&lt;=MAIN!$L$3),"Yes","No")),IF(OR(MAIN!$F$3="Full Year",MAIN!$D$3="All"),"Yes",IF(MAIN!$F$3="Monthly",IF(E137=MAIN!$L$3,"Yes","No"),IF(E137&lt;=MAIN!$L$3,"Yes","No"))))</f>
        <v>Yes</v>
      </c>
      <c r="AA137" t="str">
        <f t="shared" si="17"/>
        <v>Yes</v>
      </c>
    </row>
    <row r="138" spans="1:27" x14ac:dyDescent="0.3">
      <c r="A138">
        <f>INDEX(SETTINGS!$A$15:$A$24,$B138)</f>
        <v>2025</v>
      </c>
      <c r="B138">
        <v>1</v>
      </c>
      <c r="C138" t="str">
        <f>IF(AND(A138&gt;=SETTINGS!$B$4,A138&lt;=SETTINGS!$B$5),"Yes","No")</f>
        <v>Yes</v>
      </c>
      <c r="D138" t="str">
        <f>IFERROR(INDEX(SETTINGS!$C$15:$C$24,MATCH(A138,SETTINGS!$A$15:$A$24,0)),"No")</f>
        <v>Yes</v>
      </c>
      <c r="E138">
        <v>8</v>
      </c>
      <c r="F138" t="s">
        <v>41</v>
      </c>
      <c r="G138">
        <v>181</v>
      </c>
      <c r="H138" t="s">
        <v>95</v>
      </c>
      <c r="I138" t="s">
        <v>15</v>
      </c>
      <c r="J138" t="s">
        <v>16</v>
      </c>
      <c r="K138" t="s">
        <v>3</v>
      </c>
      <c r="L138" s="36">
        <f ca="1">IF(C138&lt;&gt;"Yes",0,IF(A138=2025,N('2025'!D181),IF(A138=2026,N('2026'!D181),IF(A138=2027,N('2027'!D181),IF(A138=2028,N('2028'!D181),IF(A138=2029,N('2029'!D181),IF(A138=2030,N('2030'!D181),IF(A138=2031,N('2031'!D181),IF(A138=2032,N('2032'!D181),IF(A138=2033,N('2033'!D181),IF(A138=2034,N('2034'!D181),IFERROR(N(INDIRECT("'"&amp;A138&amp;"'!D"&amp;G138)),0))))))))))))</f>
        <v>0</v>
      </c>
      <c r="M138" s="36">
        <f>IFERROR(IF(NOT(ISBLANK(KPI_TARGETS!$G$8)),KPI_TARGETS!$G$8,IF(NOT(ISBLANK(KPI_TARGETS!$F$8)),KPI_TARGETS!$F$8,"")),"")</f>
        <v>0</v>
      </c>
      <c r="N138" s="36" t="str">
        <f>IFERROR(KPI_TARGETS!$E$8,"Higher is better")</f>
        <v>Lower is better</v>
      </c>
      <c r="O138" s="37">
        <f t="shared" ca="1" si="12"/>
        <v>1</v>
      </c>
      <c r="P138" t="str">
        <f t="shared" ca="1" si="13"/>
        <v>Green</v>
      </c>
      <c r="Q138" s="36">
        <f t="shared" ca="1" si="14"/>
        <v>0</v>
      </c>
      <c r="R138" s="36" t="str">
        <f>""</f>
        <v/>
      </c>
      <c r="S138" s="36" t="str">
        <f>""</f>
        <v/>
      </c>
      <c r="T138" s="36" t="str">
        <f>""</f>
        <v/>
      </c>
      <c r="U138" s="36" t="str">
        <f>""</f>
        <v/>
      </c>
      <c r="V138" s="36" t="str">
        <f>""</f>
        <v/>
      </c>
      <c r="W138" s="36">
        <f t="shared" si="15"/>
        <v>1</v>
      </c>
      <c r="X138" t="str">
        <f t="shared" si="16"/>
        <v>OK</v>
      </c>
      <c r="Y138" t="str">
        <f>IF(MAIN!$H$3="Selected Year",IF(A138=MAIN!$B$3,"Yes","No"),IF(MAIN!$H$3="Included Years",IF(D138="Yes","Yes","No"),IF(C138="Yes","Yes","No")))</f>
        <v>Yes</v>
      </c>
      <c r="Z138" t="str">
        <f>IF(MAIN!$F$3="Project to Date",IF(AND(A138&gt;=SETTINGS!$B$4,A138&lt;MAIN!$B$3),"Yes",IF(AND(A138=MAIN!$B$3,E138&lt;=MAIN!$L$3),"Yes","No")),IF(OR(MAIN!$F$3="Full Year",MAIN!$D$3="All"),"Yes",IF(MAIN!$F$3="Monthly",IF(E138=MAIN!$L$3,"Yes","No"),IF(E138&lt;=MAIN!$L$3,"Yes","No"))))</f>
        <v>Yes</v>
      </c>
      <c r="AA138" t="str">
        <f t="shared" si="17"/>
        <v>Yes</v>
      </c>
    </row>
    <row r="139" spans="1:27" x14ac:dyDescent="0.3">
      <c r="A139">
        <f>INDEX(SETTINGS!$A$15:$A$24,$B139)</f>
        <v>2025</v>
      </c>
      <c r="B139">
        <v>1</v>
      </c>
      <c r="C139" t="str">
        <f>IF(AND(A139&gt;=SETTINGS!$B$4,A139&lt;=SETTINGS!$B$5),"Yes","No")</f>
        <v>Yes</v>
      </c>
      <c r="D139" t="str">
        <f>IFERROR(INDEX(SETTINGS!$C$15:$C$24,MATCH(A139,SETTINGS!$A$15:$A$24,0)),"No")</f>
        <v>Yes</v>
      </c>
      <c r="E139">
        <v>8</v>
      </c>
      <c r="F139" t="s">
        <v>41</v>
      </c>
      <c r="G139">
        <v>182</v>
      </c>
      <c r="H139" t="s">
        <v>97</v>
      </c>
      <c r="I139" t="s">
        <v>15</v>
      </c>
      <c r="J139" t="s">
        <v>17</v>
      </c>
      <c r="K139" t="s">
        <v>3</v>
      </c>
      <c r="L139" s="36">
        <f ca="1">IF(C139&lt;&gt;"Yes",0,IF(A139=2025,N('2025'!D182),IF(A139=2026,N('2026'!D182),IF(A139=2027,N('2027'!D182),IF(A139=2028,N('2028'!D182),IF(A139=2029,N('2029'!D182),IF(A139=2030,N('2030'!D182),IF(A139=2031,N('2031'!D182),IF(A139=2032,N('2032'!D182),IF(A139=2033,N('2033'!D182),IF(A139=2034,N('2034'!D182),IFERROR(N(INDIRECT("'"&amp;A139&amp;"'!D"&amp;G139)),0))))))))))))</f>
        <v>0</v>
      </c>
      <c r="M139" s="36">
        <f>IFERROR(IF(NOT(ISBLANK(KPI_TARGETS!$G$9)),KPI_TARGETS!$G$9,IF(NOT(ISBLANK(KPI_TARGETS!$F$9)),KPI_TARGETS!$F$9,"")),"")</f>
        <v>0</v>
      </c>
      <c r="N139" s="36" t="str">
        <f>IFERROR(KPI_TARGETS!$E$9,"Higher is better")</f>
        <v>Higher is better</v>
      </c>
      <c r="O139" s="37" t="str">
        <f t="shared" ca="1" si="12"/>
        <v/>
      </c>
      <c r="P139" t="str">
        <f t="shared" ca="1" si="13"/>
        <v>Green</v>
      </c>
      <c r="Q139" s="36">
        <f t="shared" ca="1" si="14"/>
        <v>0</v>
      </c>
      <c r="R139" s="36" t="str">
        <f>""</f>
        <v/>
      </c>
      <c r="S139" s="36" t="str">
        <f>""</f>
        <v/>
      </c>
      <c r="T139" s="36" t="str">
        <f>""</f>
        <v/>
      </c>
      <c r="U139" s="36" t="str">
        <f>""</f>
        <v/>
      </c>
      <c r="V139" s="36" t="str">
        <f>""</f>
        <v/>
      </c>
      <c r="W139" s="36">
        <f t="shared" si="15"/>
        <v>1</v>
      </c>
      <c r="X139" t="str">
        <f t="shared" si="16"/>
        <v>OK</v>
      </c>
      <c r="Y139" t="str">
        <f>IF(MAIN!$H$3="Selected Year",IF(A139=MAIN!$B$3,"Yes","No"),IF(MAIN!$H$3="Included Years",IF(D139="Yes","Yes","No"),IF(C139="Yes","Yes","No")))</f>
        <v>Yes</v>
      </c>
      <c r="Z139" t="str">
        <f>IF(MAIN!$F$3="Project to Date",IF(AND(A139&gt;=SETTINGS!$B$4,A139&lt;MAIN!$B$3),"Yes",IF(AND(A139=MAIN!$B$3,E139&lt;=MAIN!$L$3),"Yes","No")),IF(OR(MAIN!$F$3="Full Year",MAIN!$D$3="All"),"Yes",IF(MAIN!$F$3="Monthly",IF(E139=MAIN!$L$3,"Yes","No"),IF(E139&lt;=MAIN!$L$3,"Yes","No"))))</f>
        <v>Yes</v>
      </c>
      <c r="AA139" t="str">
        <f t="shared" si="17"/>
        <v>Yes</v>
      </c>
    </row>
    <row r="140" spans="1:27" x14ac:dyDescent="0.3">
      <c r="A140">
        <f>INDEX(SETTINGS!$A$15:$A$24,$B140)</f>
        <v>2025</v>
      </c>
      <c r="B140">
        <v>1</v>
      </c>
      <c r="C140" t="str">
        <f>IF(AND(A140&gt;=SETTINGS!$B$4,A140&lt;=SETTINGS!$B$5),"Yes","No")</f>
        <v>Yes</v>
      </c>
      <c r="D140" t="str">
        <f>IFERROR(INDEX(SETTINGS!$C$15:$C$24,MATCH(A140,SETTINGS!$A$15:$A$24,0)),"No")</f>
        <v>Yes</v>
      </c>
      <c r="E140">
        <v>8</v>
      </c>
      <c r="F140" t="s">
        <v>41</v>
      </c>
      <c r="G140">
        <v>183</v>
      </c>
      <c r="H140" t="s">
        <v>99</v>
      </c>
      <c r="I140" t="s">
        <v>15</v>
      </c>
      <c r="J140" t="s">
        <v>18</v>
      </c>
      <c r="K140" t="s">
        <v>3</v>
      </c>
      <c r="L140" s="36">
        <f ca="1">IF(C140&lt;&gt;"Yes",0,IF(A140=2025,N('2025'!D183),IF(A140=2026,N('2026'!D183),IF(A140=2027,N('2027'!D183),IF(A140=2028,N('2028'!D183),IF(A140=2029,N('2029'!D183),IF(A140=2030,N('2030'!D183),IF(A140=2031,N('2031'!D183),IF(A140=2032,N('2032'!D183),IF(A140=2033,N('2033'!D183),IF(A140=2034,N('2034'!D183),IFERROR(N(INDIRECT("'"&amp;A140&amp;"'!D"&amp;G140)),0))))))))))))</f>
        <v>0</v>
      </c>
      <c r="M140" s="36">
        <f>IFERROR(IF(NOT(ISBLANK(KPI_TARGETS!$G$10)),KPI_TARGETS!$G$10,IF(NOT(ISBLANK(KPI_TARGETS!$F$10)),KPI_TARGETS!$F$10,"")),"")</f>
        <v>0</v>
      </c>
      <c r="N140" s="36" t="str">
        <f>IFERROR(KPI_TARGETS!$E$10,"Higher is better")</f>
        <v>Lower is better</v>
      </c>
      <c r="O140" s="37">
        <f t="shared" ca="1" si="12"/>
        <v>1</v>
      </c>
      <c r="P140" t="str">
        <f t="shared" ca="1" si="13"/>
        <v>Green</v>
      </c>
      <c r="Q140" s="36">
        <f t="shared" ca="1" si="14"/>
        <v>0</v>
      </c>
      <c r="R140" s="36" t="str">
        <f>""</f>
        <v/>
      </c>
      <c r="S140" s="36" t="str">
        <f>""</f>
        <v/>
      </c>
      <c r="T140" s="36" t="str">
        <f>""</f>
        <v/>
      </c>
      <c r="U140" s="36" t="str">
        <f>""</f>
        <v/>
      </c>
      <c r="V140" s="36" t="str">
        <f>""</f>
        <v/>
      </c>
      <c r="W140" s="36">
        <f t="shared" si="15"/>
        <v>1</v>
      </c>
      <c r="X140" t="str">
        <f t="shared" si="16"/>
        <v>OK</v>
      </c>
      <c r="Y140" t="str">
        <f>IF(MAIN!$H$3="Selected Year",IF(A140=MAIN!$B$3,"Yes","No"),IF(MAIN!$H$3="Included Years",IF(D140="Yes","Yes","No"),IF(C140="Yes","Yes","No")))</f>
        <v>Yes</v>
      </c>
      <c r="Z140" t="str">
        <f>IF(MAIN!$F$3="Project to Date",IF(AND(A140&gt;=SETTINGS!$B$4,A140&lt;MAIN!$B$3),"Yes",IF(AND(A140=MAIN!$B$3,E140&lt;=MAIN!$L$3),"Yes","No")),IF(OR(MAIN!$F$3="Full Year",MAIN!$D$3="All"),"Yes",IF(MAIN!$F$3="Monthly",IF(E140=MAIN!$L$3,"Yes","No"),IF(E140&lt;=MAIN!$L$3,"Yes","No"))))</f>
        <v>Yes</v>
      </c>
      <c r="AA140" t="str">
        <f t="shared" si="17"/>
        <v>Yes</v>
      </c>
    </row>
    <row r="141" spans="1:27" x14ac:dyDescent="0.3">
      <c r="A141">
        <f>INDEX(SETTINGS!$A$15:$A$24,$B141)</f>
        <v>2025</v>
      </c>
      <c r="B141">
        <v>1</v>
      </c>
      <c r="C141" t="str">
        <f>IF(AND(A141&gt;=SETTINGS!$B$4,A141&lt;=SETTINGS!$B$5),"Yes","No")</f>
        <v>Yes</v>
      </c>
      <c r="D141" t="str">
        <f>IFERROR(INDEX(SETTINGS!$C$15:$C$24,MATCH(A141,SETTINGS!$A$15:$A$24,0)),"No")</f>
        <v>Yes</v>
      </c>
      <c r="E141">
        <v>8</v>
      </c>
      <c r="F141" t="s">
        <v>41</v>
      </c>
      <c r="G141">
        <v>184</v>
      </c>
      <c r="H141" t="s">
        <v>100</v>
      </c>
      <c r="I141" t="s">
        <v>15</v>
      </c>
      <c r="J141" t="s">
        <v>19</v>
      </c>
      <c r="K141" t="s">
        <v>3</v>
      </c>
      <c r="L141" s="36">
        <f ca="1">IF(C141&lt;&gt;"Yes",0,IF(A141=2025,N('2025'!D184),IF(A141=2026,N('2026'!D184),IF(A141=2027,N('2027'!D184),IF(A141=2028,N('2028'!D184),IF(A141=2029,N('2029'!D184),IF(A141=2030,N('2030'!D184),IF(A141=2031,N('2031'!D184),IF(A141=2032,N('2032'!D184),IF(A141=2033,N('2033'!D184),IF(A141=2034,N('2034'!D184),IFERROR(N(INDIRECT("'"&amp;A141&amp;"'!D"&amp;G141)),0))))))))))))</f>
        <v>0</v>
      </c>
      <c r="M141" s="36">
        <f>IFERROR(IF(NOT(ISBLANK(KPI_TARGETS!$G$11)),KPI_TARGETS!$G$11,IF(NOT(ISBLANK(KPI_TARGETS!$F$11)),KPI_TARGETS!$F$11,"")),"")</f>
        <v>0</v>
      </c>
      <c r="N141" s="36" t="str">
        <f>IFERROR(KPI_TARGETS!$E$11,"Higher is better")</f>
        <v>Lower is better</v>
      </c>
      <c r="O141" s="37">
        <f t="shared" ca="1" si="12"/>
        <v>1</v>
      </c>
      <c r="P141" t="str">
        <f t="shared" ca="1" si="13"/>
        <v>Green</v>
      </c>
      <c r="Q141" s="36">
        <f t="shared" ca="1" si="14"/>
        <v>0</v>
      </c>
      <c r="R141" s="36" t="str">
        <f>""</f>
        <v/>
      </c>
      <c r="S141" s="36" t="str">
        <f>""</f>
        <v/>
      </c>
      <c r="T141" s="36" t="str">
        <f>""</f>
        <v/>
      </c>
      <c r="U141" s="36" t="str">
        <f>""</f>
        <v/>
      </c>
      <c r="V141" s="36" t="str">
        <f>""</f>
        <v/>
      </c>
      <c r="W141" s="36">
        <f t="shared" si="15"/>
        <v>1</v>
      </c>
      <c r="X141" t="str">
        <f t="shared" si="16"/>
        <v>OK</v>
      </c>
      <c r="Y141" t="str">
        <f>IF(MAIN!$H$3="Selected Year",IF(A141=MAIN!$B$3,"Yes","No"),IF(MAIN!$H$3="Included Years",IF(D141="Yes","Yes","No"),IF(C141="Yes","Yes","No")))</f>
        <v>Yes</v>
      </c>
      <c r="Z141" t="str">
        <f>IF(MAIN!$F$3="Project to Date",IF(AND(A141&gt;=SETTINGS!$B$4,A141&lt;MAIN!$B$3),"Yes",IF(AND(A141=MAIN!$B$3,E141&lt;=MAIN!$L$3),"Yes","No")),IF(OR(MAIN!$F$3="Full Year",MAIN!$D$3="All"),"Yes",IF(MAIN!$F$3="Monthly",IF(E141=MAIN!$L$3,"Yes","No"),IF(E141&lt;=MAIN!$L$3,"Yes","No"))))</f>
        <v>Yes</v>
      </c>
      <c r="AA141" t="str">
        <f t="shared" si="17"/>
        <v>Yes</v>
      </c>
    </row>
    <row r="142" spans="1:27" x14ac:dyDescent="0.3">
      <c r="A142">
        <f>INDEX(SETTINGS!$A$15:$A$24,$B142)</f>
        <v>2025</v>
      </c>
      <c r="B142">
        <v>1</v>
      </c>
      <c r="C142" t="str">
        <f>IF(AND(A142&gt;=SETTINGS!$B$4,A142&lt;=SETTINGS!$B$5),"Yes","No")</f>
        <v>Yes</v>
      </c>
      <c r="D142" t="str">
        <f>IFERROR(INDEX(SETTINGS!$C$15:$C$24,MATCH(A142,SETTINGS!$A$15:$A$24,0)),"No")</f>
        <v>Yes</v>
      </c>
      <c r="E142">
        <v>8</v>
      </c>
      <c r="F142" t="s">
        <v>41</v>
      </c>
      <c r="G142">
        <v>185</v>
      </c>
      <c r="H142" t="s">
        <v>101</v>
      </c>
      <c r="I142" t="s">
        <v>15</v>
      </c>
      <c r="J142" t="s">
        <v>20</v>
      </c>
      <c r="K142" t="s">
        <v>3</v>
      </c>
      <c r="L142" s="36">
        <f ca="1">IF(C142&lt;&gt;"Yes",0,IF(A142=2025,N('2025'!D185),IF(A142=2026,N('2026'!D185),IF(A142=2027,N('2027'!D185),IF(A142=2028,N('2028'!D185),IF(A142=2029,N('2029'!D185),IF(A142=2030,N('2030'!D185),IF(A142=2031,N('2031'!D185),IF(A142=2032,N('2032'!D185),IF(A142=2033,N('2033'!D185),IF(A142=2034,N('2034'!D185),IFERROR(N(INDIRECT("'"&amp;A142&amp;"'!D"&amp;G142)),0))))))))))))</f>
        <v>0</v>
      </c>
      <c r="M142" s="36">
        <f>IFERROR(IF(NOT(ISBLANK(KPI_TARGETS!$G$12)),KPI_TARGETS!$G$12,IF(NOT(ISBLANK(KPI_TARGETS!$F$12)),KPI_TARGETS!$F$12,"")),"")</f>
        <v>0</v>
      </c>
      <c r="N142" s="36" t="str">
        <f>IFERROR(KPI_TARGETS!$E$12,"Higher is better")</f>
        <v>Lower is better</v>
      </c>
      <c r="O142" s="37">
        <f t="shared" ca="1" si="12"/>
        <v>1</v>
      </c>
      <c r="P142" t="str">
        <f t="shared" ca="1" si="13"/>
        <v>Green</v>
      </c>
      <c r="Q142" s="36">
        <f t="shared" ca="1" si="14"/>
        <v>0</v>
      </c>
      <c r="R142" s="36" t="str">
        <f>""</f>
        <v/>
      </c>
      <c r="S142" s="36" t="str">
        <f>""</f>
        <v/>
      </c>
      <c r="T142" s="36" t="str">
        <f>""</f>
        <v/>
      </c>
      <c r="U142" s="36" t="str">
        <f>""</f>
        <v/>
      </c>
      <c r="V142" s="36" t="str">
        <f>""</f>
        <v/>
      </c>
      <c r="W142" s="36">
        <f t="shared" si="15"/>
        <v>1</v>
      </c>
      <c r="X142" t="str">
        <f t="shared" si="16"/>
        <v>OK</v>
      </c>
      <c r="Y142" t="str">
        <f>IF(MAIN!$H$3="Selected Year",IF(A142=MAIN!$B$3,"Yes","No"),IF(MAIN!$H$3="Included Years",IF(D142="Yes","Yes","No"),IF(C142="Yes","Yes","No")))</f>
        <v>Yes</v>
      </c>
      <c r="Z142" t="str">
        <f>IF(MAIN!$F$3="Project to Date",IF(AND(A142&gt;=SETTINGS!$B$4,A142&lt;MAIN!$B$3),"Yes",IF(AND(A142=MAIN!$B$3,E142&lt;=MAIN!$L$3),"Yes","No")),IF(OR(MAIN!$F$3="Full Year",MAIN!$D$3="All"),"Yes",IF(MAIN!$F$3="Monthly",IF(E142=MAIN!$L$3,"Yes","No"),IF(E142&lt;=MAIN!$L$3,"Yes","No"))))</f>
        <v>Yes</v>
      </c>
      <c r="AA142" t="str">
        <f t="shared" si="17"/>
        <v>Yes</v>
      </c>
    </row>
    <row r="143" spans="1:27" x14ac:dyDescent="0.3">
      <c r="A143">
        <f>INDEX(SETTINGS!$A$15:$A$24,$B143)</f>
        <v>2025</v>
      </c>
      <c r="B143">
        <v>1</v>
      </c>
      <c r="C143" t="str">
        <f>IF(AND(A143&gt;=SETTINGS!$B$4,A143&lt;=SETTINGS!$B$5),"Yes","No")</f>
        <v>Yes</v>
      </c>
      <c r="D143" t="str">
        <f>IFERROR(INDEX(SETTINGS!$C$15:$C$24,MATCH(A143,SETTINGS!$A$15:$A$24,0)),"No")</f>
        <v>Yes</v>
      </c>
      <c r="E143">
        <v>8</v>
      </c>
      <c r="F143" t="s">
        <v>41</v>
      </c>
      <c r="G143">
        <v>186</v>
      </c>
      <c r="H143" t="s">
        <v>102</v>
      </c>
      <c r="I143" t="s">
        <v>15</v>
      </c>
      <c r="J143" t="s">
        <v>21</v>
      </c>
      <c r="K143" t="s">
        <v>3</v>
      </c>
      <c r="L143" s="36">
        <f ca="1">IF(C143&lt;&gt;"Yes",0,IF(A143=2025,N('2025'!D186),IF(A143=2026,N('2026'!D186),IF(A143=2027,N('2027'!D186),IF(A143=2028,N('2028'!D186),IF(A143=2029,N('2029'!D186),IF(A143=2030,N('2030'!D186),IF(A143=2031,N('2031'!D186),IF(A143=2032,N('2032'!D186),IF(A143=2033,N('2033'!D186),IF(A143=2034,N('2034'!D186),IFERROR(N(INDIRECT("'"&amp;A143&amp;"'!D"&amp;G143)),0))))))))))))</f>
        <v>0</v>
      </c>
      <c r="M143" s="36">
        <f>IFERROR(IF(NOT(ISBLANK(KPI_TARGETS!$G$13)),KPI_TARGETS!$G$13,IF(NOT(ISBLANK(KPI_TARGETS!$F$13)),KPI_TARGETS!$F$13,"")),"")</f>
        <v>0</v>
      </c>
      <c r="N143" s="36" t="str">
        <f>IFERROR(KPI_TARGETS!$E$13,"Higher is better")</f>
        <v>Lower is better</v>
      </c>
      <c r="O143" s="37">
        <f t="shared" ca="1" si="12"/>
        <v>1</v>
      </c>
      <c r="P143" t="str">
        <f t="shared" ca="1" si="13"/>
        <v>Green</v>
      </c>
      <c r="Q143" s="36">
        <f t="shared" ca="1" si="14"/>
        <v>0</v>
      </c>
      <c r="R143" s="36" t="str">
        <f>""</f>
        <v/>
      </c>
      <c r="S143" s="36" t="str">
        <f>""</f>
        <v/>
      </c>
      <c r="T143" s="36" t="str">
        <f>""</f>
        <v/>
      </c>
      <c r="U143" s="36" t="str">
        <f>""</f>
        <v/>
      </c>
      <c r="V143" s="36" t="str">
        <f>""</f>
        <v/>
      </c>
      <c r="W143" s="36">
        <f t="shared" si="15"/>
        <v>1</v>
      </c>
      <c r="X143" t="str">
        <f t="shared" si="16"/>
        <v>OK</v>
      </c>
      <c r="Y143" t="str">
        <f>IF(MAIN!$H$3="Selected Year",IF(A143=MAIN!$B$3,"Yes","No"),IF(MAIN!$H$3="Included Years",IF(D143="Yes","Yes","No"),IF(C143="Yes","Yes","No")))</f>
        <v>Yes</v>
      </c>
      <c r="Z143" t="str">
        <f>IF(MAIN!$F$3="Project to Date",IF(AND(A143&gt;=SETTINGS!$B$4,A143&lt;MAIN!$B$3),"Yes",IF(AND(A143=MAIN!$B$3,E143&lt;=MAIN!$L$3),"Yes","No")),IF(OR(MAIN!$F$3="Full Year",MAIN!$D$3="All"),"Yes",IF(MAIN!$F$3="Monthly",IF(E143=MAIN!$L$3,"Yes","No"),IF(E143&lt;=MAIN!$L$3,"Yes","No"))))</f>
        <v>Yes</v>
      </c>
      <c r="AA143" t="str">
        <f t="shared" si="17"/>
        <v>Yes</v>
      </c>
    </row>
    <row r="144" spans="1:27" x14ac:dyDescent="0.3">
      <c r="A144">
        <f>INDEX(SETTINGS!$A$15:$A$24,$B144)</f>
        <v>2025</v>
      </c>
      <c r="B144">
        <v>1</v>
      </c>
      <c r="C144" t="str">
        <f>IF(AND(A144&gt;=SETTINGS!$B$4,A144&lt;=SETTINGS!$B$5),"Yes","No")</f>
        <v>Yes</v>
      </c>
      <c r="D144" t="str">
        <f>IFERROR(INDEX(SETTINGS!$C$15:$C$24,MATCH(A144,SETTINGS!$A$15:$A$24,0)),"No")</f>
        <v>Yes</v>
      </c>
      <c r="E144">
        <v>8</v>
      </c>
      <c r="F144" t="s">
        <v>41</v>
      </c>
      <c r="G144">
        <v>188</v>
      </c>
      <c r="H144" t="s">
        <v>103</v>
      </c>
      <c r="I144" t="s">
        <v>22</v>
      </c>
      <c r="J144" t="s">
        <v>23</v>
      </c>
      <c r="K144" t="s">
        <v>3</v>
      </c>
      <c r="L144" s="36">
        <f ca="1">IF(C144&lt;&gt;"Yes",0,IF(A144=2025,N('2025'!D188),IF(A144=2026,N('2026'!D188),IF(A144=2027,N('2027'!D188),IF(A144=2028,N('2028'!D188),IF(A144=2029,N('2029'!D188),IF(A144=2030,N('2030'!D188),IF(A144=2031,N('2031'!D188),IF(A144=2032,N('2032'!D188),IF(A144=2033,N('2033'!D188),IF(A144=2034,N('2034'!D188),IFERROR(N(INDIRECT("'"&amp;A144&amp;"'!D"&amp;G144)),0))))))))))))</f>
        <v>56</v>
      </c>
      <c r="M144" s="36">
        <f>IFERROR(IF(NOT(ISBLANK(KPI_TARGETS!$G$14)),KPI_TARGETS!$G$14,IF(NOT(ISBLANK(KPI_TARGETS!$F$14)),KPI_TARGETS!$F$14,"")),"")</f>
        <v>35</v>
      </c>
      <c r="N144" s="36" t="str">
        <f>IFERROR(KPI_TARGETS!$E$14,"Higher is better")</f>
        <v>Higher is better</v>
      </c>
      <c r="O144" s="37">
        <f t="shared" ca="1" si="12"/>
        <v>1.6</v>
      </c>
      <c r="P144" t="str">
        <f t="shared" ca="1" si="13"/>
        <v>Green</v>
      </c>
      <c r="Q144" s="36">
        <f t="shared" ca="1" si="14"/>
        <v>21</v>
      </c>
      <c r="R144" s="36" t="str">
        <f>""</f>
        <v/>
      </c>
      <c r="S144" s="36" t="str">
        <f>""</f>
        <v/>
      </c>
      <c r="T144" s="36" t="str">
        <f>""</f>
        <v/>
      </c>
      <c r="U144" s="36" t="str">
        <f>""</f>
        <v/>
      </c>
      <c r="V144" s="36" t="str">
        <f>""</f>
        <v/>
      </c>
      <c r="W144" s="36">
        <f t="shared" si="15"/>
        <v>1</v>
      </c>
      <c r="X144" t="str">
        <f t="shared" si="16"/>
        <v>OK</v>
      </c>
      <c r="Y144" t="str">
        <f>IF(MAIN!$H$3="Selected Year",IF(A144=MAIN!$B$3,"Yes","No"),IF(MAIN!$H$3="Included Years",IF(D144="Yes","Yes","No"),IF(C144="Yes","Yes","No")))</f>
        <v>Yes</v>
      </c>
      <c r="Z144" t="str">
        <f>IF(MAIN!$F$3="Project to Date",IF(AND(A144&gt;=SETTINGS!$B$4,A144&lt;MAIN!$B$3),"Yes",IF(AND(A144=MAIN!$B$3,E144&lt;=MAIN!$L$3),"Yes","No")),IF(OR(MAIN!$F$3="Full Year",MAIN!$D$3="All"),"Yes",IF(MAIN!$F$3="Monthly",IF(E144=MAIN!$L$3,"Yes","No"),IF(E144&lt;=MAIN!$L$3,"Yes","No"))))</f>
        <v>Yes</v>
      </c>
      <c r="AA144" t="str">
        <f t="shared" si="17"/>
        <v>Yes</v>
      </c>
    </row>
    <row r="145" spans="1:27" x14ac:dyDescent="0.3">
      <c r="A145">
        <f>INDEX(SETTINGS!$A$15:$A$24,$B145)</f>
        <v>2025</v>
      </c>
      <c r="B145">
        <v>1</v>
      </c>
      <c r="C145" t="str">
        <f>IF(AND(A145&gt;=SETTINGS!$B$4,A145&lt;=SETTINGS!$B$5),"Yes","No")</f>
        <v>Yes</v>
      </c>
      <c r="D145" t="str">
        <f>IFERROR(INDEX(SETTINGS!$C$15:$C$24,MATCH(A145,SETTINGS!$A$15:$A$24,0)),"No")</f>
        <v>Yes</v>
      </c>
      <c r="E145">
        <v>8</v>
      </c>
      <c r="F145" t="s">
        <v>41</v>
      </c>
      <c r="G145">
        <v>189</v>
      </c>
      <c r="H145" t="s">
        <v>104</v>
      </c>
      <c r="I145" t="s">
        <v>22</v>
      </c>
      <c r="J145" t="s">
        <v>24</v>
      </c>
      <c r="K145" t="s">
        <v>3</v>
      </c>
      <c r="L145" s="36">
        <f ca="1">IF(C145&lt;&gt;"Yes",0,IF(A145=2025,N('2025'!D189),IF(A145=2026,N('2026'!D189),IF(A145=2027,N('2027'!D189),IF(A145=2028,N('2028'!D189),IF(A145=2029,N('2029'!D189),IF(A145=2030,N('2030'!D189),IF(A145=2031,N('2031'!D189),IF(A145=2032,N('2032'!D189),IF(A145=2033,N('2033'!D189),IF(A145=2034,N('2034'!D189),IFERROR(N(INDIRECT("'"&amp;A145&amp;"'!D"&amp;G145)),0))))))))))))</f>
        <v>4</v>
      </c>
      <c r="M145" s="36">
        <f>IFERROR(IF(NOT(ISBLANK(KPI_TARGETS!$G$15)),KPI_TARGETS!$G$15,IF(NOT(ISBLANK(KPI_TARGETS!$F$15)),KPI_TARGETS!$F$15,"")),"")</f>
        <v>5</v>
      </c>
      <c r="N145" s="36" t="str">
        <f>IFERROR(KPI_TARGETS!$E$15,"Higher is better")</f>
        <v>Higher is better</v>
      </c>
      <c r="O145" s="37">
        <f t="shared" ca="1" si="12"/>
        <v>0.8</v>
      </c>
      <c r="P145" t="str">
        <f t="shared" ca="1" si="13"/>
        <v>Amber</v>
      </c>
      <c r="Q145" s="36">
        <f t="shared" ca="1" si="14"/>
        <v>-1</v>
      </c>
      <c r="R145" s="36" t="str">
        <f>""</f>
        <v/>
      </c>
      <c r="S145" s="36" t="str">
        <f>""</f>
        <v/>
      </c>
      <c r="T145" s="36" t="str">
        <f>""</f>
        <v/>
      </c>
      <c r="U145" s="36" t="str">
        <f>""</f>
        <v/>
      </c>
      <c r="V145" s="36" t="str">
        <f>""</f>
        <v/>
      </c>
      <c r="W145" s="36">
        <f t="shared" si="15"/>
        <v>1</v>
      </c>
      <c r="X145" t="str">
        <f t="shared" si="16"/>
        <v>OK</v>
      </c>
      <c r="Y145" t="str">
        <f>IF(MAIN!$H$3="Selected Year",IF(A145=MAIN!$B$3,"Yes","No"),IF(MAIN!$H$3="Included Years",IF(D145="Yes","Yes","No"),IF(C145="Yes","Yes","No")))</f>
        <v>Yes</v>
      </c>
      <c r="Z145" t="str">
        <f>IF(MAIN!$F$3="Project to Date",IF(AND(A145&gt;=SETTINGS!$B$4,A145&lt;MAIN!$B$3),"Yes",IF(AND(A145=MAIN!$B$3,E145&lt;=MAIN!$L$3),"Yes","No")),IF(OR(MAIN!$F$3="Full Year",MAIN!$D$3="All"),"Yes",IF(MAIN!$F$3="Monthly",IF(E145=MAIN!$L$3,"Yes","No"),IF(E145&lt;=MAIN!$L$3,"Yes","No"))))</f>
        <v>Yes</v>
      </c>
      <c r="AA145" t="str">
        <f t="shared" si="17"/>
        <v>Yes</v>
      </c>
    </row>
    <row r="146" spans="1:27" x14ac:dyDescent="0.3">
      <c r="A146">
        <f>INDEX(SETTINGS!$A$15:$A$24,$B146)</f>
        <v>2025</v>
      </c>
      <c r="B146">
        <v>1</v>
      </c>
      <c r="C146" t="str">
        <f>IF(AND(A146&gt;=SETTINGS!$B$4,A146&lt;=SETTINGS!$B$5),"Yes","No")</f>
        <v>Yes</v>
      </c>
      <c r="D146" t="str">
        <f>IFERROR(INDEX(SETTINGS!$C$15:$C$24,MATCH(A146,SETTINGS!$A$15:$A$24,0)),"No")</f>
        <v>Yes</v>
      </c>
      <c r="E146">
        <v>8</v>
      </c>
      <c r="F146" t="s">
        <v>41</v>
      </c>
      <c r="G146">
        <v>190</v>
      </c>
      <c r="H146" t="s">
        <v>105</v>
      </c>
      <c r="I146" t="s">
        <v>22</v>
      </c>
      <c r="J146" t="s">
        <v>25</v>
      </c>
      <c r="K146" t="s">
        <v>3</v>
      </c>
      <c r="L146" s="36">
        <f ca="1">IF(C146&lt;&gt;"Yes",0,IF(A146=2025,N('2025'!D190),IF(A146=2026,N('2026'!D190),IF(A146=2027,N('2027'!D190),IF(A146=2028,N('2028'!D190),IF(A146=2029,N('2029'!D190),IF(A146=2030,N('2030'!D190),IF(A146=2031,N('2031'!D190),IF(A146=2032,N('2032'!D190),IF(A146=2033,N('2033'!D190),IF(A146=2034,N('2034'!D190),IFERROR(N(INDIRECT("'"&amp;A146&amp;"'!D"&amp;G146)),0))))))))))))</f>
        <v>4</v>
      </c>
      <c r="M146" s="36">
        <f>IFERROR(IF(NOT(ISBLANK(KPI_TARGETS!$G$16)),KPI_TARGETS!$G$16,IF(NOT(ISBLANK(KPI_TARGETS!$F$16)),KPI_TARGETS!$F$16,"")),"")</f>
        <v>4</v>
      </c>
      <c r="N146" s="36" t="str">
        <f>IFERROR(KPI_TARGETS!$E$16,"Higher is better")</f>
        <v>Higher is better</v>
      </c>
      <c r="O146" s="37">
        <f t="shared" ca="1" si="12"/>
        <v>1</v>
      </c>
      <c r="P146" t="str">
        <f t="shared" ca="1" si="13"/>
        <v>Green</v>
      </c>
      <c r="Q146" s="36">
        <f t="shared" ca="1" si="14"/>
        <v>0</v>
      </c>
      <c r="R146" s="36" t="str">
        <f>""</f>
        <v/>
      </c>
      <c r="S146" s="36" t="str">
        <f>""</f>
        <v/>
      </c>
      <c r="T146" s="36" t="str">
        <f>""</f>
        <v/>
      </c>
      <c r="U146" s="36" t="str">
        <f>""</f>
        <v/>
      </c>
      <c r="V146" s="36" t="str">
        <f>""</f>
        <v/>
      </c>
      <c r="W146" s="36">
        <f t="shared" si="15"/>
        <v>1</v>
      </c>
      <c r="X146" t="str">
        <f t="shared" si="16"/>
        <v>OK</v>
      </c>
      <c r="Y146" t="str">
        <f>IF(MAIN!$H$3="Selected Year",IF(A146=MAIN!$B$3,"Yes","No"),IF(MAIN!$H$3="Included Years",IF(D146="Yes","Yes","No"),IF(C146="Yes","Yes","No")))</f>
        <v>Yes</v>
      </c>
      <c r="Z146" t="str">
        <f>IF(MAIN!$F$3="Project to Date",IF(AND(A146&gt;=SETTINGS!$B$4,A146&lt;MAIN!$B$3),"Yes",IF(AND(A146=MAIN!$B$3,E146&lt;=MAIN!$L$3),"Yes","No")),IF(OR(MAIN!$F$3="Full Year",MAIN!$D$3="All"),"Yes",IF(MAIN!$F$3="Monthly",IF(E146=MAIN!$L$3,"Yes","No"),IF(E146&lt;=MAIN!$L$3,"Yes","No"))))</f>
        <v>Yes</v>
      </c>
      <c r="AA146" t="str">
        <f t="shared" si="17"/>
        <v>Yes</v>
      </c>
    </row>
    <row r="147" spans="1:27" x14ac:dyDescent="0.3">
      <c r="A147">
        <f>INDEX(SETTINGS!$A$15:$A$24,$B147)</f>
        <v>2025</v>
      </c>
      <c r="B147">
        <v>1</v>
      </c>
      <c r="C147" t="str">
        <f>IF(AND(A147&gt;=SETTINGS!$B$4,A147&lt;=SETTINGS!$B$5),"Yes","No")</f>
        <v>Yes</v>
      </c>
      <c r="D147" t="str">
        <f>IFERROR(INDEX(SETTINGS!$C$15:$C$24,MATCH(A147,SETTINGS!$A$15:$A$24,0)),"No")</f>
        <v>Yes</v>
      </c>
      <c r="E147">
        <v>8</v>
      </c>
      <c r="F147" t="s">
        <v>41</v>
      </c>
      <c r="G147">
        <v>191</v>
      </c>
      <c r="H147" t="s">
        <v>106</v>
      </c>
      <c r="I147" t="s">
        <v>22</v>
      </c>
      <c r="J147" t="s">
        <v>26</v>
      </c>
      <c r="K147" t="s">
        <v>3</v>
      </c>
      <c r="L147" s="36">
        <f ca="1">IF(C147&lt;&gt;"Yes",0,IF(A147=2025,N('2025'!D191),IF(A147=2026,N('2026'!D191),IF(A147=2027,N('2027'!D191),IF(A147=2028,N('2028'!D191),IF(A147=2029,N('2029'!D191),IF(A147=2030,N('2030'!D191),IF(A147=2031,N('2031'!D191),IF(A147=2032,N('2032'!D191),IF(A147=2033,N('2033'!D191),IF(A147=2034,N('2034'!D191),IFERROR(N(INDIRECT("'"&amp;A147&amp;"'!D"&amp;G147)),0))))))))))))</f>
        <v>20</v>
      </c>
      <c r="M147" s="36">
        <f>IFERROR(IF(NOT(ISBLANK(KPI_TARGETS!$G$17)),KPI_TARGETS!$G$17,IF(NOT(ISBLANK(KPI_TARGETS!$F$17)),KPI_TARGETS!$F$17,"")),"")</f>
        <v>12</v>
      </c>
      <c r="N147" s="36" t="str">
        <f>IFERROR(KPI_TARGETS!$E$17,"Higher is better")</f>
        <v>Higher is better</v>
      </c>
      <c r="O147" s="37">
        <f t="shared" ca="1" si="12"/>
        <v>1.6666666666666667</v>
      </c>
      <c r="P147" t="str">
        <f t="shared" ca="1" si="13"/>
        <v>Green</v>
      </c>
      <c r="Q147" s="36">
        <f t="shared" ca="1" si="14"/>
        <v>8</v>
      </c>
      <c r="R147" s="36" t="str">
        <f>""</f>
        <v/>
      </c>
      <c r="S147" s="36" t="str">
        <f>""</f>
        <v/>
      </c>
      <c r="T147" s="36" t="str">
        <f>""</f>
        <v/>
      </c>
      <c r="U147" s="36" t="str">
        <f>""</f>
        <v/>
      </c>
      <c r="V147" s="36" t="str">
        <f>""</f>
        <v/>
      </c>
      <c r="W147" s="36">
        <f t="shared" si="15"/>
        <v>1</v>
      </c>
      <c r="X147" t="str">
        <f t="shared" si="16"/>
        <v>OK</v>
      </c>
      <c r="Y147" t="str">
        <f>IF(MAIN!$H$3="Selected Year",IF(A147=MAIN!$B$3,"Yes","No"),IF(MAIN!$H$3="Included Years",IF(D147="Yes","Yes","No"),IF(C147="Yes","Yes","No")))</f>
        <v>Yes</v>
      </c>
      <c r="Z147" t="str">
        <f>IF(MAIN!$F$3="Project to Date",IF(AND(A147&gt;=SETTINGS!$B$4,A147&lt;MAIN!$B$3),"Yes",IF(AND(A147=MAIN!$B$3,E147&lt;=MAIN!$L$3),"Yes","No")),IF(OR(MAIN!$F$3="Full Year",MAIN!$D$3="All"),"Yes",IF(MAIN!$F$3="Monthly",IF(E147=MAIN!$L$3,"Yes","No"),IF(E147&lt;=MAIN!$L$3,"Yes","No"))))</f>
        <v>Yes</v>
      </c>
      <c r="AA147" t="str">
        <f t="shared" si="17"/>
        <v>Yes</v>
      </c>
    </row>
    <row r="148" spans="1:27" x14ac:dyDescent="0.3">
      <c r="A148">
        <f>INDEX(SETTINGS!$A$15:$A$24,$B148)</f>
        <v>2025</v>
      </c>
      <c r="B148">
        <v>1</v>
      </c>
      <c r="C148" t="str">
        <f>IF(AND(A148&gt;=SETTINGS!$B$4,A148&lt;=SETTINGS!$B$5),"Yes","No")</f>
        <v>Yes</v>
      </c>
      <c r="D148" t="str">
        <f>IFERROR(INDEX(SETTINGS!$C$15:$C$24,MATCH(A148,SETTINGS!$A$15:$A$24,0)),"No")</f>
        <v>Yes</v>
      </c>
      <c r="E148">
        <v>8</v>
      </c>
      <c r="F148" t="s">
        <v>41</v>
      </c>
      <c r="G148">
        <v>192</v>
      </c>
      <c r="H148" t="s">
        <v>107</v>
      </c>
      <c r="I148" t="s">
        <v>22</v>
      </c>
      <c r="J148" t="s">
        <v>27</v>
      </c>
      <c r="K148" t="s">
        <v>3</v>
      </c>
      <c r="L148" s="36">
        <f ca="1">IF(C148&lt;&gt;"Yes",0,IF(A148=2025,N('2025'!D192),IF(A148=2026,N('2026'!D192),IF(A148=2027,N('2027'!D192),IF(A148=2028,N('2028'!D192),IF(A148=2029,N('2029'!D192),IF(A148=2030,N('2030'!D192),IF(A148=2031,N('2031'!D192),IF(A148=2032,N('2032'!D192),IF(A148=2033,N('2033'!D192),IF(A148=2034,N('2034'!D192),IFERROR(N(INDIRECT("'"&amp;A148&amp;"'!D"&amp;G148)),0))))))))))))</f>
        <v>4</v>
      </c>
      <c r="M148" s="36">
        <f>IFERROR(IF(NOT(ISBLANK(KPI_TARGETS!$G$18)),KPI_TARGETS!$G$18,IF(NOT(ISBLANK(KPI_TARGETS!$F$18)),KPI_TARGETS!$F$18,"")),"")</f>
        <v>4</v>
      </c>
      <c r="N148" s="36" t="str">
        <f>IFERROR(KPI_TARGETS!$E$18,"Higher is better")</f>
        <v>Higher is better</v>
      </c>
      <c r="O148" s="37">
        <f t="shared" ca="1" si="12"/>
        <v>1</v>
      </c>
      <c r="P148" t="str">
        <f t="shared" ca="1" si="13"/>
        <v>Green</v>
      </c>
      <c r="Q148" s="36">
        <f t="shared" ca="1" si="14"/>
        <v>0</v>
      </c>
      <c r="R148" s="36" t="str">
        <f>""</f>
        <v/>
      </c>
      <c r="S148" s="36" t="str">
        <f>""</f>
        <v/>
      </c>
      <c r="T148" s="36" t="str">
        <f>""</f>
        <v/>
      </c>
      <c r="U148" s="36" t="str">
        <f>""</f>
        <v/>
      </c>
      <c r="V148" s="36" t="str">
        <f>""</f>
        <v/>
      </c>
      <c r="W148" s="36">
        <f t="shared" si="15"/>
        <v>1</v>
      </c>
      <c r="X148" t="str">
        <f t="shared" si="16"/>
        <v>OK</v>
      </c>
      <c r="Y148" t="str">
        <f>IF(MAIN!$H$3="Selected Year",IF(A148=MAIN!$B$3,"Yes","No"),IF(MAIN!$H$3="Included Years",IF(D148="Yes","Yes","No"),IF(C148="Yes","Yes","No")))</f>
        <v>Yes</v>
      </c>
      <c r="Z148" t="str">
        <f>IF(MAIN!$F$3="Project to Date",IF(AND(A148&gt;=SETTINGS!$B$4,A148&lt;MAIN!$B$3),"Yes",IF(AND(A148=MAIN!$B$3,E148&lt;=MAIN!$L$3),"Yes","No")),IF(OR(MAIN!$F$3="Full Year",MAIN!$D$3="All"),"Yes",IF(MAIN!$F$3="Monthly",IF(E148=MAIN!$L$3,"Yes","No"),IF(E148&lt;=MAIN!$L$3,"Yes","No"))))</f>
        <v>Yes</v>
      </c>
      <c r="AA148" t="str">
        <f t="shared" si="17"/>
        <v>Yes</v>
      </c>
    </row>
    <row r="149" spans="1:27" x14ac:dyDescent="0.3">
      <c r="A149">
        <f>INDEX(SETTINGS!$A$15:$A$24,$B149)</f>
        <v>2025</v>
      </c>
      <c r="B149">
        <v>1</v>
      </c>
      <c r="C149" t="str">
        <f>IF(AND(A149&gt;=SETTINGS!$B$4,A149&lt;=SETTINGS!$B$5),"Yes","No")</f>
        <v>Yes</v>
      </c>
      <c r="D149" t="str">
        <f>IFERROR(INDEX(SETTINGS!$C$15:$C$24,MATCH(A149,SETTINGS!$A$15:$A$24,0)),"No")</f>
        <v>Yes</v>
      </c>
      <c r="E149">
        <v>8</v>
      </c>
      <c r="F149" t="s">
        <v>41</v>
      </c>
      <c r="G149">
        <v>193</v>
      </c>
      <c r="H149" t="s">
        <v>108</v>
      </c>
      <c r="I149" t="s">
        <v>22</v>
      </c>
      <c r="J149" t="s">
        <v>28</v>
      </c>
      <c r="K149" t="s">
        <v>3</v>
      </c>
      <c r="L149" s="36">
        <f ca="1">IF(C149&lt;&gt;"Yes",0,IF(A149=2025,N('2025'!D193),IF(A149=2026,N('2026'!D193),IF(A149=2027,N('2027'!D193),IF(A149=2028,N('2028'!D193),IF(A149=2029,N('2029'!D193),IF(A149=2030,N('2030'!D193),IF(A149=2031,N('2031'!D193),IF(A149=2032,N('2032'!D193),IF(A149=2033,N('2033'!D193),IF(A149=2034,N('2034'!D193),IFERROR(N(INDIRECT("'"&amp;A149&amp;"'!D"&amp;G149)),0))))))))))))</f>
        <v>8</v>
      </c>
      <c r="M149" s="36">
        <f>IFERROR(IF(NOT(ISBLANK(KPI_TARGETS!$G$19)),KPI_TARGETS!$G$19,IF(NOT(ISBLANK(KPI_TARGETS!$F$19)),KPI_TARGETS!$F$19,"")),"")</f>
        <v>16</v>
      </c>
      <c r="N149" s="36" t="str">
        <f>IFERROR(KPI_TARGETS!$E$19,"Higher is better")</f>
        <v>Higher is better</v>
      </c>
      <c r="O149" s="37">
        <f t="shared" ca="1" si="12"/>
        <v>0.5</v>
      </c>
      <c r="P149" t="str">
        <f t="shared" ca="1" si="13"/>
        <v>Red</v>
      </c>
      <c r="Q149" s="36">
        <f t="shared" ca="1" si="14"/>
        <v>-8</v>
      </c>
      <c r="R149" s="36" t="str">
        <f>""</f>
        <v/>
      </c>
      <c r="S149" s="36" t="str">
        <f>""</f>
        <v/>
      </c>
      <c r="T149" s="36" t="str">
        <f>""</f>
        <v/>
      </c>
      <c r="U149" s="36" t="str">
        <f>""</f>
        <v/>
      </c>
      <c r="V149" s="36" t="str">
        <f>""</f>
        <v/>
      </c>
      <c r="W149" s="36">
        <f t="shared" si="15"/>
        <v>1</v>
      </c>
      <c r="X149" t="str">
        <f t="shared" si="16"/>
        <v>OK</v>
      </c>
      <c r="Y149" t="str">
        <f>IF(MAIN!$H$3="Selected Year",IF(A149=MAIN!$B$3,"Yes","No"),IF(MAIN!$H$3="Included Years",IF(D149="Yes","Yes","No"),IF(C149="Yes","Yes","No")))</f>
        <v>Yes</v>
      </c>
      <c r="Z149" t="str">
        <f>IF(MAIN!$F$3="Project to Date",IF(AND(A149&gt;=SETTINGS!$B$4,A149&lt;MAIN!$B$3),"Yes",IF(AND(A149=MAIN!$B$3,E149&lt;=MAIN!$L$3),"Yes","No")),IF(OR(MAIN!$F$3="Full Year",MAIN!$D$3="All"),"Yes",IF(MAIN!$F$3="Monthly",IF(E149=MAIN!$L$3,"Yes","No"),IF(E149&lt;=MAIN!$L$3,"Yes","No"))))</f>
        <v>Yes</v>
      </c>
      <c r="AA149" t="str">
        <f t="shared" si="17"/>
        <v>Yes</v>
      </c>
    </row>
    <row r="150" spans="1:27" x14ac:dyDescent="0.3">
      <c r="A150">
        <f>INDEX(SETTINGS!$A$15:$A$24,$B150)</f>
        <v>2025</v>
      </c>
      <c r="B150">
        <v>1</v>
      </c>
      <c r="C150" t="str">
        <f>IF(AND(A150&gt;=SETTINGS!$B$4,A150&lt;=SETTINGS!$B$5),"Yes","No")</f>
        <v>Yes</v>
      </c>
      <c r="D150" t="str">
        <f>IFERROR(INDEX(SETTINGS!$C$15:$C$24,MATCH(A150,SETTINGS!$A$15:$A$24,0)),"No")</f>
        <v>Yes</v>
      </c>
      <c r="E150">
        <v>8</v>
      </c>
      <c r="F150" t="s">
        <v>41</v>
      </c>
      <c r="G150">
        <v>194</v>
      </c>
      <c r="H150" t="s">
        <v>109</v>
      </c>
      <c r="I150" t="s">
        <v>22</v>
      </c>
      <c r="J150" t="s">
        <v>29</v>
      </c>
      <c r="K150" t="s">
        <v>3</v>
      </c>
      <c r="L150" s="36">
        <f ca="1">IF(C150&lt;&gt;"Yes",0,IF(A150=2025,N('2025'!D194),IF(A150=2026,N('2026'!D194),IF(A150=2027,N('2027'!D194),IF(A150=2028,N('2028'!D194),IF(A150=2029,N('2029'!D194),IF(A150=2030,N('2030'!D194),IF(A150=2031,N('2031'!D194),IF(A150=2032,N('2032'!D194),IF(A150=2033,N('2033'!D194),IF(A150=2034,N('2034'!D194),IFERROR(N(INDIRECT("'"&amp;A150&amp;"'!D"&amp;G150)),0))))))))))))</f>
        <v>1</v>
      </c>
      <c r="M150" s="36">
        <f>IFERROR(IF(NOT(ISBLANK(KPI_TARGETS!$G$20)),KPI_TARGETS!$G$20,IF(NOT(ISBLANK(KPI_TARGETS!$F$20)),KPI_TARGETS!$F$20,"")),"")</f>
        <v>1</v>
      </c>
      <c r="N150" s="36" t="str">
        <f>IFERROR(KPI_TARGETS!$E$20,"Higher is better")</f>
        <v>Higher is better</v>
      </c>
      <c r="O150" s="37">
        <f t="shared" ca="1" si="12"/>
        <v>1</v>
      </c>
      <c r="P150" t="str">
        <f t="shared" ca="1" si="13"/>
        <v>Green</v>
      </c>
      <c r="Q150" s="36">
        <f t="shared" ca="1" si="14"/>
        <v>0</v>
      </c>
      <c r="R150" s="36" t="str">
        <f>""</f>
        <v/>
      </c>
      <c r="S150" s="36" t="str">
        <f>""</f>
        <v/>
      </c>
      <c r="T150" s="36" t="str">
        <f>""</f>
        <v/>
      </c>
      <c r="U150" s="36" t="str">
        <f>""</f>
        <v/>
      </c>
      <c r="V150" s="36" t="str">
        <f>""</f>
        <v/>
      </c>
      <c r="W150" s="36">
        <f t="shared" si="15"/>
        <v>1</v>
      </c>
      <c r="X150" t="str">
        <f t="shared" si="16"/>
        <v>OK</v>
      </c>
      <c r="Y150" t="str">
        <f>IF(MAIN!$H$3="Selected Year",IF(A150=MAIN!$B$3,"Yes","No"),IF(MAIN!$H$3="Included Years",IF(D150="Yes","Yes","No"),IF(C150="Yes","Yes","No")))</f>
        <v>Yes</v>
      </c>
      <c r="Z150" t="str">
        <f>IF(MAIN!$F$3="Project to Date",IF(AND(A150&gt;=SETTINGS!$B$4,A150&lt;MAIN!$B$3),"Yes",IF(AND(A150=MAIN!$B$3,E150&lt;=MAIN!$L$3),"Yes","No")),IF(OR(MAIN!$F$3="Full Year",MAIN!$D$3="All"),"Yes",IF(MAIN!$F$3="Monthly",IF(E150=MAIN!$L$3,"Yes","No"),IF(E150&lt;=MAIN!$L$3,"Yes","No"))))</f>
        <v>Yes</v>
      </c>
      <c r="AA150" t="str">
        <f t="shared" si="17"/>
        <v>Yes</v>
      </c>
    </row>
    <row r="151" spans="1:27" x14ac:dyDescent="0.3">
      <c r="A151">
        <f>INDEX(SETTINGS!$A$15:$A$24,$B151)</f>
        <v>2025</v>
      </c>
      <c r="B151">
        <v>1</v>
      </c>
      <c r="C151" t="str">
        <f>IF(AND(A151&gt;=SETTINGS!$B$4,A151&lt;=SETTINGS!$B$5),"Yes","No")</f>
        <v>Yes</v>
      </c>
      <c r="D151" t="str">
        <f>IFERROR(INDEX(SETTINGS!$C$15:$C$24,MATCH(A151,SETTINGS!$A$15:$A$24,0)),"No")</f>
        <v>Yes</v>
      </c>
      <c r="E151">
        <v>8</v>
      </c>
      <c r="F151" t="s">
        <v>41</v>
      </c>
      <c r="G151">
        <v>196</v>
      </c>
      <c r="H151" t="s">
        <v>110</v>
      </c>
      <c r="I151" t="s">
        <v>30</v>
      </c>
      <c r="J151" t="s">
        <v>31</v>
      </c>
      <c r="K151" t="s">
        <v>3</v>
      </c>
      <c r="L151" s="36">
        <f ca="1">IF(C151&lt;&gt;"Yes",0,IF(A151=2025,N('2025'!D196),IF(A151=2026,N('2026'!D196),IF(A151=2027,N('2027'!D196),IF(A151=2028,N('2028'!D196),IF(A151=2029,N('2029'!D196),IF(A151=2030,N('2030'!D196),IF(A151=2031,N('2031'!D196),IF(A151=2032,N('2032'!D196),IF(A151=2033,N('2033'!D196),IF(A151=2034,N('2034'!D196),IFERROR(N(INDIRECT("'"&amp;A151&amp;"'!D"&amp;G151)),0))))))))))))</f>
        <v>0</v>
      </c>
      <c r="M151" s="36">
        <f>IFERROR(IF(NOT(ISBLANK(KPI_TARGETS!$G$21)),KPI_TARGETS!$G$21,IF(NOT(ISBLANK(KPI_TARGETS!$F$21)),KPI_TARGETS!$F$21,"")),"")</f>
        <v>0</v>
      </c>
      <c r="N151" s="36" t="str">
        <f>IFERROR(KPI_TARGETS!$E$21,"Higher is better")</f>
        <v>Lower is better</v>
      </c>
      <c r="O151" s="37">
        <f t="shared" ca="1" si="12"/>
        <v>1</v>
      </c>
      <c r="P151" t="str">
        <f t="shared" ca="1" si="13"/>
        <v>Green</v>
      </c>
      <c r="Q151" s="36">
        <f t="shared" ca="1" si="14"/>
        <v>0</v>
      </c>
      <c r="R151" s="36" t="str">
        <f>""</f>
        <v/>
      </c>
      <c r="S151" s="36" t="str">
        <f>""</f>
        <v/>
      </c>
      <c r="T151" s="36" t="str">
        <f>""</f>
        <v/>
      </c>
      <c r="U151" s="36" t="str">
        <f>""</f>
        <v/>
      </c>
      <c r="V151" s="36" t="str">
        <f>""</f>
        <v/>
      </c>
      <c r="W151" s="36">
        <f t="shared" si="15"/>
        <v>1</v>
      </c>
      <c r="X151" t="str">
        <f t="shared" si="16"/>
        <v>OK</v>
      </c>
      <c r="Y151" t="str">
        <f>IF(MAIN!$H$3="Selected Year",IF(A151=MAIN!$B$3,"Yes","No"),IF(MAIN!$H$3="Included Years",IF(D151="Yes","Yes","No"),IF(C151="Yes","Yes","No")))</f>
        <v>Yes</v>
      </c>
      <c r="Z151" t="str">
        <f>IF(MAIN!$F$3="Project to Date",IF(AND(A151&gt;=SETTINGS!$B$4,A151&lt;MAIN!$B$3),"Yes",IF(AND(A151=MAIN!$B$3,E151&lt;=MAIN!$L$3),"Yes","No")),IF(OR(MAIN!$F$3="Full Year",MAIN!$D$3="All"),"Yes",IF(MAIN!$F$3="Monthly",IF(E151=MAIN!$L$3,"Yes","No"),IF(E151&lt;=MAIN!$L$3,"Yes","No"))))</f>
        <v>Yes</v>
      </c>
      <c r="AA151" t="str">
        <f t="shared" si="17"/>
        <v>Yes</v>
      </c>
    </row>
    <row r="152" spans="1:27" x14ac:dyDescent="0.3">
      <c r="A152">
        <f>INDEX(SETTINGS!$A$15:$A$24,$B152)</f>
        <v>2025</v>
      </c>
      <c r="B152">
        <v>1</v>
      </c>
      <c r="C152" t="str">
        <f>IF(AND(A152&gt;=SETTINGS!$B$4,A152&lt;=SETTINGS!$B$5),"Yes","No")</f>
        <v>Yes</v>
      </c>
      <c r="D152" t="str">
        <f>IFERROR(INDEX(SETTINGS!$C$15:$C$24,MATCH(A152,SETTINGS!$A$15:$A$24,0)),"No")</f>
        <v>Yes</v>
      </c>
      <c r="E152">
        <v>8</v>
      </c>
      <c r="F152" t="s">
        <v>41</v>
      </c>
      <c r="G152">
        <v>197</v>
      </c>
      <c r="H152" t="s">
        <v>111</v>
      </c>
      <c r="I152" t="s">
        <v>30</v>
      </c>
      <c r="J152" t="s">
        <v>32</v>
      </c>
      <c r="K152" t="s">
        <v>3</v>
      </c>
      <c r="L152" s="36">
        <f ca="1">IF(C152&lt;&gt;"Yes",0,IF(A152=2025,N('2025'!D197),IF(A152=2026,N('2026'!D197),IF(A152=2027,N('2027'!D197),IF(A152=2028,N('2028'!D197),IF(A152=2029,N('2029'!D197),IF(A152=2030,N('2030'!D197),IF(A152=2031,N('2031'!D197),IF(A152=2032,N('2032'!D197),IF(A152=2033,N('2033'!D197),IF(A152=2034,N('2034'!D197),IFERROR(N(INDIRECT("'"&amp;A152&amp;"'!D"&amp;G152)),0))))))))))))</f>
        <v>1</v>
      </c>
      <c r="M152" s="36">
        <f>IFERROR(IF(NOT(ISBLANK(KPI_TARGETS!$G$22)),KPI_TARGETS!$G$22,IF(NOT(ISBLANK(KPI_TARGETS!$F$22)),KPI_TARGETS!$F$22,"")),"")</f>
        <v>1</v>
      </c>
      <c r="N152" s="36" t="str">
        <f>IFERROR(KPI_TARGETS!$E$22,"Higher is better")</f>
        <v>Higher is better</v>
      </c>
      <c r="O152" s="37">
        <f t="shared" ca="1" si="12"/>
        <v>1</v>
      </c>
      <c r="P152" t="str">
        <f t="shared" ca="1" si="13"/>
        <v>Green</v>
      </c>
      <c r="Q152" s="36">
        <f t="shared" ca="1" si="14"/>
        <v>0</v>
      </c>
      <c r="R152" s="36" t="str">
        <f>""</f>
        <v/>
      </c>
      <c r="S152" s="36" t="str">
        <f>""</f>
        <v/>
      </c>
      <c r="T152" s="36" t="str">
        <f>""</f>
        <v/>
      </c>
      <c r="U152" s="36" t="str">
        <f>""</f>
        <v/>
      </c>
      <c r="V152" s="36" t="str">
        <f>""</f>
        <v/>
      </c>
      <c r="W152" s="36">
        <f t="shared" si="15"/>
        <v>1</v>
      </c>
      <c r="X152" t="str">
        <f t="shared" si="16"/>
        <v>OK</v>
      </c>
      <c r="Y152" t="str">
        <f>IF(MAIN!$H$3="Selected Year",IF(A152=MAIN!$B$3,"Yes","No"),IF(MAIN!$H$3="Included Years",IF(D152="Yes","Yes","No"),IF(C152="Yes","Yes","No")))</f>
        <v>Yes</v>
      </c>
      <c r="Z152" t="str">
        <f>IF(MAIN!$F$3="Project to Date",IF(AND(A152&gt;=SETTINGS!$B$4,A152&lt;MAIN!$B$3),"Yes",IF(AND(A152=MAIN!$B$3,E152&lt;=MAIN!$L$3),"Yes","No")),IF(OR(MAIN!$F$3="Full Year",MAIN!$D$3="All"),"Yes",IF(MAIN!$F$3="Monthly",IF(E152=MAIN!$L$3,"Yes","No"),IF(E152&lt;=MAIN!$L$3,"Yes","No"))))</f>
        <v>Yes</v>
      </c>
      <c r="AA152" t="str">
        <f t="shared" si="17"/>
        <v>Yes</v>
      </c>
    </row>
    <row r="153" spans="1:27" x14ac:dyDescent="0.3">
      <c r="A153">
        <f>INDEX(SETTINGS!$A$15:$A$24,$B153)</f>
        <v>2025</v>
      </c>
      <c r="B153">
        <v>1</v>
      </c>
      <c r="C153" t="str">
        <f>IF(AND(A153&gt;=SETTINGS!$B$4,A153&lt;=SETTINGS!$B$5),"Yes","No")</f>
        <v>Yes</v>
      </c>
      <c r="D153" t="str">
        <f>IFERROR(INDEX(SETTINGS!$C$15:$C$24,MATCH(A153,SETTINGS!$A$15:$A$24,0)),"No")</f>
        <v>Yes</v>
      </c>
      <c r="E153">
        <v>8</v>
      </c>
      <c r="F153" t="s">
        <v>41</v>
      </c>
      <c r="G153">
        <v>198</v>
      </c>
      <c r="H153" t="s">
        <v>112</v>
      </c>
      <c r="I153" t="s">
        <v>30</v>
      </c>
      <c r="J153" t="s">
        <v>33</v>
      </c>
      <c r="K153" t="s">
        <v>34</v>
      </c>
      <c r="L153" s="36">
        <f ca="1">IF(C153&lt;&gt;"Yes",0,IF(A153=2025,N('2025'!D198),IF(A153=2026,N('2026'!D198),IF(A153=2027,N('2027'!D198),IF(A153=2028,N('2028'!D198),IF(A153=2029,N('2029'!D198),IF(A153=2030,N('2030'!D198),IF(A153=2031,N('2031'!D198),IF(A153=2032,N('2032'!D198),IF(A153=2033,N('2033'!D198),IF(A153=2034,N('2034'!D198),IFERROR(N(INDIRECT("'"&amp;A153&amp;"'!D"&amp;G153)),0))))))))))))</f>
        <v>1</v>
      </c>
      <c r="M153" s="36">
        <f>IFERROR(IF(NOT(ISBLANK(KPI_TARGETS!$G$23)),KPI_TARGETS!$G$23,IF(NOT(ISBLANK(KPI_TARGETS!$F$23)),KPI_TARGETS!$F$23,"")),"")</f>
        <v>1</v>
      </c>
      <c r="N153" s="36" t="str">
        <f>IFERROR(KPI_TARGETS!$E$23,"Higher is better")</f>
        <v>Higher is better</v>
      </c>
      <c r="O153" s="37">
        <f t="shared" ca="1" si="12"/>
        <v>1</v>
      </c>
      <c r="P153" t="str">
        <f t="shared" ca="1" si="13"/>
        <v>Green</v>
      </c>
      <c r="Q153" s="36">
        <f t="shared" ca="1" si="14"/>
        <v>0</v>
      </c>
      <c r="R153" s="36" t="str">
        <f>""</f>
        <v/>
      </c>
      <c r="S153" s="36" t="str">
        <f>""</f>
        <v/>
      </c>
      <c r="T153" s="36" t="str">
        <f>""</f>
        <v/>
      </c>
      <c r="U153" s="36" t="str">
        <f>""</f>
        <v/>
      </c>
      <c r="V153" s="36" t="str">
        <f>""</f>
        <v/>
      </c>
      <c r="W153" s="36">
        <f t="shared" si="15"/>
        <v>1</v>
      </c>
      <c r="X153" t="str">
        <f t="shared" si="16"/>
        <v>OK</v>
      </c>
      <c r="Y153" t="str">
        <f>IF(MAIN!$H$3="Selected Year",IF(A153=MAIN!$B$3,"Yes","No"),IF(MAIN!$H$3="Included Years",IF(D153="Yes","Yes","No"),IF(C153="Yes","Yes","No")))</f>
        <v>Yes</v>
      </c>
      <c r="Z153" t="str">
        <f>IF(MAIN!$F$3="Project to Date",IF(AND(A153&gt;=SETTINGS!$B$4,A153&lt;MAIN!$B$3),"Yes",IF(AND(A153=MAIN!$B$3,E153&lt;=MAIN!$L$3),"Yes","No")),IF(OR(MAIN!$F$3="Full Year",MAIN!$D$3="All"),"Yes",IF(MAIN!$F$3="Monthly",IF(E153=MAIN!$L$3,"Yes","No"),IF(E153&lt;=MAIN!$L$3,"Yes","No"))))</f>
        <v>Yes</v>
      </c>
      <c r="AA153" t="str">
        <f t="shared" si="17"/>
        <v>Yes</v>
      </c>
    </row>
    <row r="154" spans="1:27" x14ac:dyDescent="0.3">
      <c r="A154">
        <f>INDEX(SETTINGS!$A$15:$A$24,$B154)</f>
        <v>2025</v>
      </c>
      <c r="B154">
        <v>1</v>
      </c>
      <c r="C154" t="str">
        <f>IF(AND(A154&gt;=SETTINGS!$B$4,A154&lt;=SETTINGS!$B$5),"Yes","No")</f>
        <v>Yes</v>
      </c>
      <c r="D154" t="str">
        <f>IFERROR(INDEX(SETTINGS!$C$15:$C$24,MATCH(A154,SETTINGS!$A$15:$A$24,0)),"No")</f>
        <v>Yes</v>
      </c>
      <c r="E154">
        <v>9</v>
      </c>
      <c r="F154" t="s">
        <v>42</v>
      </c>
      <c r="G154">
        <v>201</v>
      </c>
      <c r="H154" t="s">
        <v>88</v>
      </c>
      <c r="I154" t="s">
        <v>89</v>
      </c>
      <c r="J154" t="s">
        <v>10</v>
      </c>
      <c r="K154" t="s">
        <v>3</v>
      </c>
      <c r="L154" s="36">
        <f ca="1">IF(C154&lt;&gt;"Yes",0,IF(A154=2025,N('2025'!D201),IF(A154=2026,N('2026'!D201),IF(A154=2027,N('2027'!D201),IF(A154=2028,N('2028'!D201),IF(A154=2029,N('2029'!D201),IF(A154=2030,N('2030'!D201),IF(A154=2031,N('2031'!D201),IF(A154=2032,N('2032'!D201),IF(A154=2033,N('2033'!D201),IF(A154=2034,N('2034'!D201),IFERROR(N(INDIRECT("'"&amp;A154&amp;"'!D"&amp;G154)),0))))))))))))</f>
        <v>0</v>
      </c>
      <c r="M154" s="36">
        <f>IFERROR(IF(NOT(ISBLANK(KPI_TARGETS!$G$5)),KPI_TARGETS!$G$5,IF(NOT(ISBLANK(KPI_TARGETS!$F$5)),KPI_TARGETS!$F$5,"")),"")</f>
        <v>104</v>
      </c>
      <c r="N154" s="36" t="str">
        <f>IFERROR(KPI_TARGETS!$E$5,"Higher is better")</f>
        <v>Higher is better</v>
      </c>
      <c r="O154" s="37">
        <f t="shared" ca="1" si="12"/>
        <v>0</v>
      </c>
      <c r="P154" t="str">
        <f t="shared" ca="1" si="13"/>
        <v>Red</v>
      </c>
      <c r="Q154" s="36">
        <f t="shared" ca="1" si="14"/>
        <v>-104</v>
      </c>
      <c r="R154" s="36" t="str">
        <f>""</f>
        <v/>
      </c>
      <c r="S154" s="36" t="str">
        <f>""</f>
        <v/>
      </c>
      <c r="T154" s="36" t="str">
        <f>""</f>
        <v/>
      </c>
      <c r="U154" s="36" t="str">
        <f>""</f>
        <v/>
      </c>
      <c r="V154" s="36" t="str">
        <f>""</f>
        <v/>
      </c>
      <c r="W154" s="36">
        <f t="shared" si="15"/>
        <v>1</v>
      </c>
      <c r="X154" t="str">
        <f t="shared" si="16"/>
        <v>OK</v>
      </c>
      <c r="Y154" t="str">
        <f>IF(MAIN!$H$3="Selected Year",IF(A154=MAIN!$B$3,"Yes","No"),IF(MAIN!$H$3="Included Years",IF(D154="Yes","Yes","No"),IF(C154="Yes","Yes","No")))</f>
        <v>Yes</v>
      </c>
      <c r="Z154" t="str">
        <f>IF(MAIN!$F$3="Project to Date",IF(AND(A154&gt;=SETTINGS!$B$4,A154&lt;MAIN!$B$3),"Yes",IF(AND(A154=MAIN!$B$3,E154&lt;=MAIN!$L$3),"Yes","No")),IF(OR(MAIN!$F$3="Full Year",MAIN!$D$3="All"),"Yes",IF(MAIN!$F$3="Monthly",IF(E154=MAIN!$L$3,"Yes","No"),IF(E154&lt;=MAIN!$L$3,"Yes","No"))))</f>
        <v>Yes</v>
      </c>
      <c r="AA154" t="str">
        <f t="shared" si="17"/>
        <v>Yes</v>
      </c>
    </row>
    <row r="155" spans="1:27" x14ac:dyDescent="0.3">
      <c r="A155">
        <f>INDEX(SETTINGS!$A$15:$A$24,$B155)</f>
        <v>2025</v>
      </c>
      <c r="B155">
        <v>1</v>
      </c>
      <c r="C155" t="str">
        <f>IF(AND(A155&gt;=SETTINGS!$B$4,A155&lt;=SETTINGS!$B$5),"Yes","No")</f>
        <v>Yes</v>
      </c>
      <c r="D155" t="str">
        <f>IFERROR(INDEX(SETTINGS!$C$15:$C$24,MATCH(A155,SETTINGS!$A$15:$A$24,0)),"No")</f>
        <v>Yes</v>
      </c>
      <c r="E155">
        <v>9</v>
      </c>
      <c r="F155" t="s">
        <v>42</v>
      </c>
      <c r="G155">
        <v>202</v>
      </c>
      <c r="H155" t="s">
        <v>91</v>
      </c>
      <c r="I155" t="s">
        <v>89</v>
      </c>
      <c r="J155" t="s">
        <v>11</v>
      </c>
      <c r="K155" t="s">
        <v>12</v>
      </c>
      <c r="L155" s="36">
        <f ca="1">IF(C155&lt;&gt;"Yes",0,IF(A155=2025,N('2025'!D202),IF(A155=2026,N('2026'!D202),IF(A155=2027,N('2027'!D202),IF(A155=2028,N('2028'!D202),IF(A155=2029,N('2029'!D202),IF(A155=2030,N('2030'!D202),IF(A155=2031,N('2031'!D202),IF(A155=2032,N('2032'!D202),IF(A155=2033,N('2033'!D202),IF(A155=2034,N('2034'!D202),IFERROR(N(INDIRECT("'"&amp;A155&amp;"'!D"&amp;G155)),0))))))))))))</f>
        <v>4880</v>
      </c>
      <c r="M155" s="36">
        <f>IFERROR(IF(NOT(ISBLANK(KPI_TARGETS!$G$6)),KPI_TARGETS!$G$6,IF(NOT(ISBLANK(KPI_TARGETS!$F$6)),KPI_TARGETS!$F$6,"")),"")</f>
        <v>4000</v>
      </c>
      <c r="N155" s="36" t="str">
        <f>IFERROR(KPI_TARGETS!$E$6,"Higher is better")</f>
        <v>Higher is better</v>
      </c>
      <c r="O155" s="37">
        <f t="shared" ca="1" si="12"/>
        <v>1.22</v>
      </c>
      <c r="P155" t="str">
        <f t="shared" ca="1" si="13"/>
        <v>Green</v>
      </c>
      <c r="Q155" s="36">
        <f t="shared" ca="1" si="14"/>
        <v>880</v>
      </c>
      <c r="R155" s="36" t="str">
        <f>""</f>
        <v/>
      </c>
      <c r="S155" s="36" t="str">
        <f>""</f>
        <v/>
      </c>
      <c r="T155" s="36" t="str">
        <f>""</f>
        <v/>
      </c>
      <c r="U155" s="36" t="str">
        <f>""</f>
        <v/>
      </c>
      <c r="V155" s="36" t="str">
        <f>""</f>
        <v/>
      </c>
      <c r="W155" s="36">
        <f t="shared" si="15"/>
        <v>1</v>
      </c>
      <c r="X155" t="str">
        <f t="shared" si="16"/>
        <v>OK</v>
      </c>
      <c r="Y155" t="str">
        <f>IF(MAIN!$H$3="Selected Year",IF(A155=MAIN!$B$3,"Yes","No"),IF(MAIN!$H$3="Included Years",IF(D155="Yes","Yes","No"),IF(C155="Yes","Yes","No")))</f>
        <v>Yes</v>
      </c>
      <c r="Z155" t="str">
        <f>IF(MAIN!$F$3="Project to Date",IF(AND(A155&gt;=SETTINGS!$B$4,A155&lt;MAIN!$B$3),"Yes",IF(AND(A155=MAIN!$B$3,E155&lt;=MAIN!$L$3),"Yes","No")),IF(OR(MAIN!$F$3="Full Year",MAIN!$D$3="All"),"Yes",IF(MAIN!$F$3="Monthly",IF(E155=MAIN!$L$3,"Yes","No"),IF(E155&lt;=MAIN!$L$3,"Yes","No"))))</f>
        <v>Yes</v>
      </c>
      <c r="AA155" t="str">
        <f t="shared" si="17"/>
        <v>Yes</v>
      </c>
    </row>
    <row r="156" spans="1:27" x14ac:dyDescent="0.3">
      <c r="A156">
        <f>INDEX(SETTINGS!$A$15:$A$24,$B156)</f>
        <v>2025</v>
      </c>
      <c r="B156">
        <v>1</v>
      </c>
      <c r="C156" t="str">
        <f>IF(AND(A156&gt;=SETTINGS!$B$4,A156&lt;=SETTINGS!$B$5),"Yes","No")</f>
        <v>Yes</v>
      </c>
      <c r="D156" t="str">
        <f>IFERROR(INDEX(SETTINGS!$C$15:$C$24,MATCH(A156,SETTINGS!$A$15:$A$24,0)),"No")</f>
        <v>Yes</v>
      </c>
      <c r="E156">
        <v>9</v>
      </c>
      <c r="F156" t="s">
        <v>42</v>
      </c>
      <c r="G156">
        <v>203</v>
      </c>
      <c r="H156" t="s">
        <v>93</v>
      </c>
      <c r="I156" t="s">
        <v>89</v>
      </c>
      <c r="J156" t="s">
        <v>13</v>
      </c>
      <c r="K156" t="s">
        <v>14</v>
      </c>
      <c r="L156" s="36">
        <f ca="1">IF(C156&lt;&gt;"Yes",0,IF(A156=2025,N('2025'!D203),IF(A156=2026,N('2026'!D203),IF(A156=2027,N('2027'!D203),IF(A156=2028,N('2028'!D203),IF(A156=2029,N('2029'!D203),IF(A156=2030,N('2030'!D203),IF(A156=2031,N('2031'!D203),IF(A156=2032,N('2032'!D203),IF(A156=2033,N('2033'!D203),IF(A156=2034,N('2034'!D203),IFERROR(N(INDIRECT("'"&amp;A156&amp;"'!D"&amp;G156)),0))))))))))))</f>
        <v>0</v>
      </c>
      <c r="M156" s="36">
        <f>IFERROR(IF(NOT(ISBLANK(KPI_TARGETS!$G$7)),KPI_TARGETS!$G$7,IF(NOT(ISBLANK(KPI_TARGETS!$F$7)),KPI_TARGETS!$F$7,"")),"")</f>
        <v>8000</v>
      </c>
      <c r="N156" s="36" t="str">
        <f>IFERROR(KPI_TARGETS!$E$7,"Higher is better")</f>
        <v>Higher is better</v>
      </c>
      <c r="O156" s="37">
        <f t="shared" ca="1" si="12"/>
        <v>0</v>
      </c>
      <c r="P156" t="str">
        <f t="shared" ca="1" si="13"/>
        <v>Red</v>
      </c>
      <c r="Q156" s="36">
        <f t="shared" ca="1" si="14"/>
        <v>-8000</v>
      </c>
      <c r="R156" s="36" t="str">
        <f>""</f>
        <v/>
      </c>
      <c r="S156" s="36" t="str">
        <f>""</f>
        <v/>
      </c>
      <c r="T156" s="36" t="str">
        <f>""</f>
        <v/>
      </c>
      <c r="U156" s="36" t="str">
        <f>""</f>
        <v/>
      </c>
      <c r="V156" s="36" t="str">
        <f>""</f>
        <v/>
      </c>
      <c r="W156" s="36">
        <f t="shared" si="15"/>
        <v>1</v>
      </c>
      <c r="X156" t="str">
        <f t="shared" si="16"/>
        <v>OK</v>
      </c>
      <c r="Y156" t="str">
        <f>IF(MAIN!$H$3="Selected Year",IF(A156=MAIN!$B$3,"Yes","No"),IF(MAIN!$H$3="Included Years",IF(D156="Yes","Yes","No"),IF(C156="Yes","Yes","No")))</f>
        <v>Yes</v>
      </c>
      <c r="Z156" t="str">
        <f>IF(MAIN!$F$3="Project to Date",IF(AND(A156&gt;=SETTINGS!$B$4,A156&lt;MAIN!$B$3),"Yes",IF(AND(A156=MAIN!$B$3,E156&lt;=MAIN!$L$3),"Yes","No")),IF(OR(MAIN!$F$3="Full Year",MAIN!$D$3="All"),"Yes",IF(MAIN!$F$3="Monthly",IF(E156=MAIN!$L$3,"Yes","No"),IF(E156&lt;=MAIN!$L$3,"Yes","No"))))</f>
        <v>Yes</v>
      </c>
      <c r="AA156" t="str">
        <f t="shared" si="17"/>
        <v>Yes</v>
      </c>
    </row>
    <row r="157" spans="1:27" x14ac:dyDescent="0.3">
      <c r="A157">
        <f>INDEX(SETTINGS!$A$15:$A$24,$B157)</f>
        <v>2025</v>
      </c>
      <c r="B157">
        <v>1</v>
      </c>
      <c r="C157" t="str">
        <f>IF(AND(A157&gt;=SETTINGS!$B$4,A157&lt;=SETTINGS!$B$5),"Yes","No")</f>
        <v>Yes</v>
      </c>
      <c r="D157" t="str">
        <f>IFERROR(INDEX(SETTINGS!$C$15:$C$24,MATCH(A157,SETTINGS!$A$15:$A$24,0)),"No")</f>
        <v>Yes</v>
      </c>
      <c r="E157">
        <v>9</v>
      </c>
      <c r="F157" t="s">
        <v>42</v>
      </c>
      <c r="G157">
        <v>205</v>
      </c>
      <c r="H157" t="s">
        <v>95</v>
      </c>
      <c r="I157" t="s">
        <v>15</v>
      </c>
      <c r="J157" t="s">
        <v>16</v>
      </c>
      <c r="K157" t="s">
        <v>3</v>
      </c>
      <c r="L157" s="36">
        <f ca="1">IF(C157&lt;&gt;"Yes",0,IF(A157=2025,N('2025'!D205),IF(A157=2026,N('2026'!D205),IF(A157=2027,N('2027'!D205),IF(A157=2028,N('2028'!D205),IF(A157=2029,N('2029'!D205),IF(A157=2030,N('2030'!D205),IF(A157=2031,N('2031'!D205),IF(A157=2032,N('2032'!D205),IF(A157=2033,N('2033'!D205),IF(A157=2034,N('2034'!D205),IFERROR(N(INDIRECT("'"&amp;A157&amp;"'!D"&amp;G157)),0))))))))))))</f>
        <v>0</v>
      </c>
      <c r="M157" s="36">
        <f>IFERROR(IF(NOT(ISBLANK(KPI_TARGETS!$G$8)),KPI_TARGETS!$G$8,IF(NOT(ISBLANK(KPI_TARGETS!$F$8)),KPI_TARGETS!$F$8,"")),"")</f>
        <v>0</v>
      </c>
      <c r="N157" s="36" t="str">
        <f>IFERROR(KPI_TARGETS!$E$8,"Higher is better")</f>
        <v>Lower is better</v>
      </c>
      <c r="O157" s="37">
        <f t="shared" ca="1" si="12"/>
        <v>1</v>
      </c>
      <c r="P157" t="str">
        <f t="shared" ca="1" si="13"/>
        <v>Green</v>
      </c>
      <c r="Q157" s="36">
        <f t="shared" ca="1" si="14"/>
        <v>0</v>
      </c>
      <c r="R157" s="36" t="str">
        <f>""</f>
        <v/>
      </c>
      <c r="S157" s="36" t="str">
        <f>""</f>
        <v/>
      </c>
      <c r="T157" s="36" t="str">
        <f>""</f>
        <v/>
      </c>
      <c r="U157" s="36" t="str">
        <f>""</f>
        <v/>
      </c>
      <c r="V157" s="36" t="str">
        <f>""</f>
        <v/>
      </c>
      <c r="W157" s="36">
        <f t="shared" si="15"/>
        <v>1</v>
      </c>
      <c r="X157" t="str">
        <f t="shared" si="16"/>
        <v>OK</v>
      </c>
      <c r="Y157" t="str">
        <f>IF(MAIN!$H$3="Selected Year",IF(A157=MAIN!$B$3,"Yes","No"),IF(MAIN!$H$3="Included Years",IF(D157="Yes","Yes","No"),IF(C157="Yes","Yes","No")))</f>
        <v>Yes</v>
      </c>
      <c r="Z157" t="str">
        <f>IF(MAIN!$F$3="Project to Date",IF(AND(A157&gt;=SETTINGS!$B$4,A157&lt;MAIN!$B$3),"Yes",IF(AND(A157=MAIN!$B$3,E157&lt;=MAIN!$L$3),"Yes","No")),IF(OR(MAIN!$F$3="Full Year",MAIN!$D$3="All"),"Yes",IF(MAIN!$F$3="Monthly",IF(E157=MAIN!$L$3,"Yes","No"),IF(E157&lt;=MAIN!$L$3,"Yes","No"))))</f>
        <v>Yes</v>
      </c>
      <c r="AA157" t="str">
        <f t="shared" si="17"/>
        <v>Yes</v>
      </c>
    </row>
    <row r="158" spans="1:27" x14ac:dyDescent="0.3">
      <c r="A158">
        <f>INDEX(SETTINGS!$A$15:$A$24,$B158)</f>
        <v>2025</v>
      </c>
      <c r="B158">
        <v>1</v>
      </c>
      <c r="C158" t="str">
        <f>IF(AND(A158&gt;=SETTINGS!$B$4,A158&lt;=SETTINGS!$B$5),"Yes","No")</f>
        <v>Yes</v>
      </c>
      <c r="D158" t="str">
        <f>IFERROR(INDEX(SETTINGS!$C$15:$C$24,MATCH(A158,SETTINGS!$A$15:$A$24,0)),"No")</f>
        <v>Yes</v>
      </c>
      <c r="E158">
        <v>9</v>
      </c>
      <c r="F158" t="s">
        <v>42</v>
      </c>
      <c r="G158">
        <v>206</v>
      </c>
      <c r="H158" t="s">
        <v>97</v>
      </c>
      <c r="I158" t="s">
        <v>15</v>
      </c>
      <c r="J158" t="s">
        <v>17</v>
      </c>
      <c r="K158" t="s">
        <v>3</v>
      </c>
      <c r="L158" s="36">
        <f ca="1">IF(C158&lt;&gt;"Yes",0,IF(A158=2025,N('2025'!D206),IF(A158=2026,N('2026'!D206),IF(A158=2027,N('2027'!D206),IF(A158=2028,N('2028'!D206),IF(A158=2029,N('2029'!D206),IF(A158=2030,N('2030'!D206),IF(A158=2031,N('2031'!D206),IF(A158=2032,N('2032'!D206),IF(A158=2033,N('2033'!D206),IF(A158=2034,N('2034'!D206),IFERROR(N(INDIRECT("'"&amp;A158&amp;"'!D"&amp;G158)),0))))))))))))</f>
        <v>0</v>
      </c>
      <c r="M158" s="36">
        <f>IFERROR(IF(NOT(ISBLANK(KPI_TARGETS!$G$9)),KPI_TARGETS!$G$9,IF(NOT(ISBLANK(KPI_TARGETS!$F$9)),KPI_TARGETS!$F$9,"")),"")</f>
        <v>0</v>
      </c>
      <c r="N158" s="36" t="str">
        <f>IFERROR(KPI_TARGETS!$E$9,"Higher is better")</f>
        <v>Higher is better</v>
      </c>
      <c r="O158" s="37" t="str">
        <f t="shared" ca="1" si="12"/>
        <v/>
      </c>
      <c r="P158" t="str">
        <f t="shared" ca="1" si="13"/>
        <v>Green</v>
      </c>
      <c r="Q158" s="36">
        <f t="shared" ca="1" si="14"/>
        <v>0</v>
      </c>
      <c r="R158" s="36" t="str">
        <f>""</f>
        <v/>
      </c>
      <c r="S158" s="36" t="str">
        <f>""</f>
        <v/>
      </c>
      <c r="T158" s="36" t="str">
        <f>""</f>
        <v/>
      </c>
      <c r="U158" s="36" t="str">
        <f>""</f>
        <v/>
      </c>
      <c r="V158" s="36" t="str">
        <f>""</f>
        <v/>
      </c>
      <c r="W158" s="36">
        <f t="shared" si="15"/>
        <v>1</v>
      </c>
      <c r="X158" t="str">
        <f t="shared" si="16"/>
        <v>OK</v>
      </c>
      <c r="Y158" t="str">
        <f>IF(MAIN!$H$3="Selected Year",IF(A158=MAIN!$B$3,"Yes","No"),IF(MAIN!$H$3="Included Years",IF(D158="Yes","Yes","No"),IF(C158="Yes","Yes","No")))</f>
        <v>Yes</v>
      </c>
      <c r="Z158" t="str">
        <f>IF(MAIN!$F$3="Project to Date",IF(AND(A158&gt;=SETTINGS!$B$4,A158&lt;MAIN!$B$3),"Yes",IF(AND(A158=MAIN!$B$3,E158&lt;=MAIN!$L$3),"Yes","No")),IF(OR(MAIN!$F$3="Full Year",MAIN!$D$3="All"),"Yes",IF(MAIN!$F$3="Monthly",IF(E158=MAIN!$L$3,"Yes","No"),IF(E158&lt;=MAIN!$L$3,"Yes","No"))))</f>
        <v>Yes</v>
      </c>
      <c r="AA158" t="str">
        <f t="shared" si="17"/>
        <v>Yes</v>
      </c>
    </row>
    <row r="159" spans="1:27" x14ac:dyDescent="0.3">
      <c r="A159">
        <f>INDEX(SETTINGS!$A$15:$A$24,$B159)</f>
        <v>2025</v>
      </c>
      <c r="B159">
        <v>1</v>
      </c>
      <c r="C159" t="str">
        <f>IF(AND(A159&gt;=SETTINGS!$B$4,A159&lt;=SETTINGS!$B$5),"Yes","No")</f>
        <v>Yes</v>
      </c>
      <c r="D159" t="str">
        <f>IFERROR(INDEX(SETTINGS!$C$15:$C$24,MATCH(A159,SETTINGS!$A$15:$A$24,0)),"No")</f>
        <v>Yes</v>
      </c>
      <c r="E159">
        <v>9</v>
      </c>
      <c r="F159" t="s">
        <v>42</v>
      </c>
      <c r="G159">
        <v>207</v>
      </c>
      <c r="H159" t="s">
        <v>99</v>
      </c>
      <c r="I159" t="s">
        <v>15</v>
      </c>
      <c r="J159" t="s">
        <v>18</v>
      </c>
      <c r="K159" t="s">
        <v>3</v>
      </c>
      <c r="L159" s="36">
        <f ca="1">IF(C159&lt;&gt;"Yes",0,IF(A159=2025,N('2025'!D207),IF(A159=2026,N('2026'!D207),IF(A159=2027,N('2027'!D207),IF(A159=2028,N('2028'!D207),IF(A159=2029,N('2029'!D207),IF(A159=2030,N('2030'!D207),IF(A159=2031,N('2031'!D207),IF(A159=2032,N('2032'!D207),IF(A159=2033,N('2033'!D207),IF(A159=2034,N('2034'!D207),IFERROR(N(INDIRECT("'"&amp;A159&amp;"'!D"&amp;G159)),0))))))))))))</f>
        <v>0</v>
      </c>
      <c r="M159" s="36">
        <f>IFERROR(IF(NOT(ISBLANK(KPI_TARGETS!$G$10)),KPI_TARGETS!$G$10,IF(NOT(ISBLANK(KPI_TARGETS!$F$10)),KPI_TARGETS!$F$10,"")),"")</f>
        <v>0</v>
      </c>
      <c r="N159" s="36" t="str">
        <f>IFERROR(KPI_TARGETS!$E$10,"Higher is better")</f>
        <v>Lower is better</v>
      </c>
      <c r="O159" s="37">
        <f t="shared" ca="1" si="12"/>
        <v>1</v>
      </c>
      <c r="P159" t="str">
        <f t="shared" ca="1" si="13"/>
        <v>Green</v>
      </c>
      <c r="Q159" s="36">
        <f t="shared" ca="1" si="14"/>
        <v>0</v>
      </c>
      <c r="R159" s="36" t="str">
        <f>""</f>
        <v/>
      </c>
      <c r="S159" s="36" t="str">
        <f>""</f>
        <v/>
      </c>
      <c r="T159" s="36" t="str">
        <f>""</f>
        <v/>
      </c>
      <c r="U159" s="36" t="str">
        <f>""</f>
        <v/>
      </c>
      <c r="V159" s="36" t="str">
        <f>""</f>
        <v/>
      </c>
      <c r="W159" s="36">
        <f t="shared" si="15"/>
        <v>1</v>
      </c>
      <c r="X159" t="str">
        <f t="shared" si="16"/>
        <v>OK</v>
      </c>
      <c r="Y159" t="str">
        <f>IF(MAIN!$H$3="Selected Year",IF(A159=MAIN!$B$3,"Yes","No"),IF(MAIN!$H$3="Included Years",IF(D159="Yes","Yes","No"),IF(C159="Yes","Yes","No")))</f>
        <v>Yes</v>
      </c>
      <c r="Z159" t="str">
        <f>IF(MAIN!$F$3="Project to Date",IF(AND(A159&gt;=SETTINGS!$B$4,A159&lt;MAIN!$B$3),"Yes",IF(AND(A159=MAIN!$B$3,E159&lt;=MAIN!$L$3),"Yes","No")),IF(OR(MAIN!$F$3="Full Year",MAIN!$D$3="All"),"Yes",IF(MAIN!$F$3="Monthly",IF(E159=MAIN!$L$3,"Yes","No"),IF(E159&lt;=MAIN!$L$3,"Yes","No"))))</f>
        <v>Yes</v>
      </c>
      <c r="AA159" t="str">
        <f t="shared" si="17"/>
        <v>Yes</v>
      </c>
    </row>
    <row r="160" spans="1:27" x14ac:dyDescent="0.3">
      <c r="A160">
        <f>INDEX(SETTINGS!$A$15:$A$24,$B160)</f>
        <v>2025</v>
      </c>
      <c r="B160">
        <v>1</v>
      </c>
      <c r="C160" t="str">
        <f>IF(AND(A160&gt;=SETTINGS!$B$4,A160&lt;=SETTINGS!$B$5),"Yes","No")</f>
        <v>Yes</v>
      </c>
      <c r="D160" t="str">
        <f>IFERROR(INDEX(SETTINGS!$C$15:$C$24,MATCH(A160,SETTINGS!$A$15:$A$24,0)),"No")</f>
        <v>Yes</v>
      </c>
      <c r="E160">
        <v>9</v>
      </c>
      <c r="F160" t="s">
        <v>42</v>
      </c>
      <c r="G160">
        <v>208</v>
      </c>
      <c r="H160" t="s">
        <v>100</v>
      </c>
      <c r="I160" t="s">
        <v>15</v>
      </c>
      <c r="J160" t="s">
        <v>19</v>
      </c>
      <c r="K160" t="s">
        <v>3</v>
      </c>
      <c r="L160" s="36">
        <f ca="1">IF(C160&lt;&gt;"Yes",0,IF(A160=2025,N('2025'!D208),IF(A160=2026,N('2026'!D208),IF(A160=2027,N('2027'!D208),IF(A160=2028,N('2028'!D208),IF(A160=2029,N('2029'!D208),IF(A160=2030,N('2030'!D208),IF(A160=2031,N('2031'!D208),IF(A160=2032,N('2032'!D208),IF(A160=2033,N('2033'!D208),IF(A160=2034,N('2034'!D208),IFERROR(N(INDIRECT("'"&amp;A160&amp;"'!D"&amp;G160)),0))))))))))))</f>
        <v>0</v>
      </c>
      <c r="M160" s="36">
        <f>IFERROR(IF(NOT(ISBLANK(KPI_TARGETS!$G$11)),KPI_TARGETS!$G$11,IF(NOT(ISBLANK(KPI_TARGETS!$F$11)),KPI_TARGETS!$F$11,"")),"")</f>
        <v>0</v>
      </c>
      <c r="N160" s="36" t="str">
        <f>IFERROR(KPI_TARGETS!$E$11,"Higher is better")</f>
        <v>Lower is better</v>
      </c>
      <c r="O160" s="37">
        <f t="shared" ca="1" si="12"/>
        <v>1</v>
      </c>
      <c r="P160" t="str">
        <f t="shared" ca="1" si="13"/>
        <v>Green</v>
      </c>
      <c r="Q160" s="36">
        <f t="shared" ca="1" si="14"/>
        <v>0</v>
      </c>
      <c r="R160" s="36" t="str">
        <f>""</f>
        <v/>
      </c>
      <c r="S160" s="36" t="str">
        <f>""</f>
        <v/>
      </c>
      <c r="T160" s="36" t="str">
        <f>""</f>
        <v/>
      </c>
      <c r="U160" s="36" t="str">
        <f>""</f>
        <v/>
      </c>
      <c r="V160" s="36" t="str">
        <f>""</f>
        <v/>
      </c>
      <c r="W160" s="36">
        <f t="shared" si="15"/>
        <v>1</v>
      </c>
      <c r="X160" t="str">
        <f t="shared" si="16"/>
        <v>OK</v>
      </c>
      <c r="Y160" t="str">
        <f>IF(MAIN!$H$3="Selected Year",IF(A160=MAIN!$B$3,"Yes","No"),IF(MAIN!$H$3="Included Years",IF(D160="Yes","Yes","No"),IF(C160="Yes","Yes","No")))</f>
        <v>Yes</v>
      </c>
      <c r="Z160" t="str">
        <f>IF(MAIN!$F$3="Project to Date",IF(AND(A160&gt;=SETTINGS!$B$4,A160&lt;MAIN!$B$3),"Yes",IF(AND(A160=MAIN!$B$3,E160&lt;=MAIN!$L$3),"Yes","No")),IF(OR(MAIN!$F$3="Full Year",MAIN!$D$3="All"),"Yes",IF(MAIN!$F$3="Monthly",IF(E160=MAIN!$L$3,"Yes","No"),IF(E160&lt;=MAIN!$L$3,"Yes","No"))))</f>
        <v>Yes</v>
      </c>
      <c r="AA160" t="str">
        <f t="shared" si="17"/>
        <v>Yes</v>
      </c>
    </row>
    <row r="161" spans="1:27" x14ac:dyDescent="0.3">
      <c r="A161">
        <f>INDEX(SETTINGS!$A$15:$A$24,$B161)</f>
        <v>2025</v>
      </c>
      <c r="B161">
        <v>1</v>
      </c>
      <c r="C161" t="str">
        <f>IF(AND(A161&gt;=SETTINGS!$B$4,A161&lt;=SETTINGS!$B$5),"Yes","No")</f>
        <v>Yes</v>
      </c>
      <c r="D161" t="str">
        <f>IFERROR(INDEX(SETTINGS!$C$15:$C$24,MATCH(A161,SETTINGS!$A$15:$A$24,0)),"No")</f>
        <v>Yes</v>
      </c>
      <c r="E161">
        <v>9</v>
      </c>
      <c r="F161" t="s">
        <v>42</v>
      </c>
      <c r="G161">
        <v>209</v>
      </c>
      <c r="H161" t="s">
        <v>101</v>
      </c>
      <c r="I161" t="s">
        <v>15</v>
      </c>
      <c r="J161" t="s">
        <v>20</v>
      </c>
      <c r="K161" t="s">
        <v>3</v>
      </c>
      <c r="L161" s="36">
        <f ca="1">IF(C161&lt;&gt;"Yes",0,IF(A161=2025,N('2025'!D209),IF(A161=2026,N('2026'!D209),IF(A161=2027,N('2027'!D209),IF(A161=2028,N('2028'!D209),IF(A161=2029,N('2029'!D209),IF(A161=2030,N('2030'!D209),IF(A161=2031,N('2031'!D209),IF(A161=2032,N('2032'!D209),IF(A161=2033,N('2033'!D209),IF(A161=2034,N('2034'!D209),IFERROR(N(INDIRECT("'"&amp;A161&amp;"'!D"&amp;G161)),0))))))))))))</f>
        <v>0</v>
      </c>
      <c r="M161" s="36">
        <f>IFERROR(IF(NOT(ISBLANK(KPI_TARGETS!$G$12)),KPI_TARGETS!$G$12,IF(NOT(ISBLANK(KPI_TARGETS!$F$12)),KPI_TARGETS!$F$12,"")),"")</f>
        <v>0</v>
      </c>
      <c r="N161" s="36" t="str">
        <f>IFERROR(KPI_TARGETS!$E$12,"Higher is better")</f>
        <v>Lower is better</v>
      </c>
      <c r="O161" s="37">
        <f t="shared" ca="1" si="12"/>
        <v>1</v>
      </c>
      <c r="P161" t="str">
        <f t="shared" ca="1" si="13"/>
        <v>Green</v>
      </c>
      <c r="Q161" s="36">
        <f t="shared" ca="1" si="14"/>
        <v>0</v>
      </c>
      <c r="R161" s="36" t="str">
        <f>""</f>
        <v/>
      </c>
      <c r="S161" s="36" t="str">
        <f>""</f>
        <v/>
      </c>
      <c r="T161" s="36" t="str">
        <f>""</f>
        <v/>
      </c>
      <c r="U161" s="36" t="str">
        <f>""</f>
        <v/>
      </c>
      <c r="V161" s="36" t="str">
        <f>""</f>
        <v/>
      </c>
      <c r="W161" s="36">
        <f t="shared" si="15"/>
        <v>1</v>
      </c>
      <c r="X161" t="str">
        <f t="shared" si="16"/>
        <v>OK</v>
      </c>
      <c r="Y161" t="str">
        <f>IF(MAIN!$H$3="Selected Year",IF(A161=MAIN!$B$3,"Yes","No"),IF(MAIN!$H$3="Included Years",IF(D161="Yes","Yes","No"),IF(C161="Yes","Yes","No")))</f>
        <v>Yes</v>
      </c>
      <c r="Z161" t="str">
        <f>IF(MAIN!$F$3="Project to Date",IF(AND(A161&gt;=SETTINGS!$B$4,A161&lt;MAIN!$B$3),"Yes",IF(AND(A161=MAIN!$B$3,E161&lt;=MAIN!$L$3),"Yes","No")),IF(OR(MAIN!$F$3="Full Year",MAIN!$D$3="All"),"Yes",IF(MAIN!$F$3="Monthly",IF(E161=MAIN!$L$3,"Yes","No"),IF(E161&lt;=MAIN!$L$3,"Yes","No"))))</f>
        <v>Yes</v>
      </c>
      <c r="AA161" t="str">
        <f t="shared" si="17"/>
        <v>Yes</v>
      </c>
    </row>
    <row r="162" spans="1:27" x14ac:dyDescent="0.3">
      <c r="A162">
        <f>INDEX(SETTINGS!$A$15:$A$24,$B162)</f>
        <v>2025</v>
      </c>
      <c r="B162">
        <v>1</v>
      </c>
      <c r="C162" t="str">
        <f>IF(AND(A162&gt;=SETTINGS!$B$4,A162&lt;=SETTINGS!$B$5),"Yes","No")</f>
        <v>Yes</v>
      </c>
      <c r="D162" t="str">
        <f>IFERROR(INDEX(SETTINGS!$C$15:$C$24,MATCH(A162,SETTINGS!$A$15:$A$24,0)),"No")</f>
        <v>Yes</v>
      </c>
      <c r="E162">
        <v>9</v>
      </c>
      <c r="F162" t="s">
        <v>42</v>
      </c>
      <c r="G162">
        <v>210</v>
      </c>
      <c r="H162" t="s">
        <v>102</v>
      </c>
      <c r="I162" t="s">
        <v>15</v>
      </c>
      <c r="J162" t="s">
        <v>21</v>
      </c>
      <c r="K162" t="s">
        <v>3</v>
      </c>
      <c r="L162" s="36">
        <f ca="1">IF(C162&lt;&gt;"Yes",0,IF(A162=2025,N('2025'!D210),IF(A162=2026,N('2026'!D210),IF(A162=2027,N('2027'!D210),IF(A162=2028,N('2028'!D210),IF(A162=2029,N('2029'!D210),IF(A162=2030,N('2030'!D210),IF(A162=2031,N('2031'!D210),IF(A162=2032,N('2032'!D210),IF(A162=2033,N('2033'!D210),IF(A162=2034,N('2034'!D210),IFERROR(N(INDIRECT("'"&amp;A162&amp;"'!D"&amp;G162)),0))))))))))))</f>
        <v>0</v>
      </c>
      <c r="M162" s="36">
        <f>IFERROR(IF(NOT(ISBLANK(KPI_TARGETS!$G$13)),KPI_TARGETS!$G$13,IF(NOT(ISBLANK(KPI_TARGETS!$F$13)),KPI_TARGETS!$F$13,"")),"")</f>
        <v>0</v>
      </c>
      <c r="N162" s="36" t="str">
        <f>IFERROR(KPI_TARGETS!$E$13,"Higher is better")</f>
        <v>Lower is better</v>
      </c>
      <c r="O162" s="37">
        <f t="shared" ca="1" si="12"/>
        <v>1</v>
      </c>
      <c r="P162" t="str">
        <f t="shared" ca="1" si="13"/>
        <v>Green</v>
      </c>
      <c r="Q162" s="36">
        <f t="shared" ca="1" si="14"/>
        <v>0</v>
      </c>
      <c r="R162" s="36" t="str">
        <f>""</f>
        <v/>
      </c>
      <c r="S162" s="36" t="str">
        <f>""</f>
        <v/>
      </c>
      <c r="T162" s="36" t="str">
        <f>""</f>
        <v/>
      </c>
      <c r="U162" s="36" t="str">
        <f>""</f>
        <v/>
      </c>
      <c r="V162" s="36" t="str">
        <f>""</f>
        <v/>
      </c>
      <c r="W162" s="36">
        <f t="shared" si="15"/>
        <v>1</v>
      </c>
      <c r="X162" t="str">
        <f t="shared" si="16"/>
        <v>OK</v>
      </c>
      <c r="Y162" t="str">
        <f>IF(MAIN!$H$3="Selected Year",IF(A162=MAIN!$B$3,"Yes","No"),IF(MAIN!$H$3="Included Years",IF(D162="Yes","Yes","No"),IF(C162="Yes","Yes","No")))</f>
        <v>Yes</v>
      </c>
      <c r="Z162" t="str">
        <f>IF(MAIN!$F$3="Project to Date",IF(AND(A162&gt;=SETTINGS!$B$4,A162&lt;MAIN!$B$3),"Yes",IF(AND(A162=MAIN!$B$3,E162&lt;=MAIN!$L$3),"Yes","No")),IF(OR(MAIN!$F$3="Full Year",MAIN!$D$3="All"),"Yes",IF(MAIN!$F$3="Monthly",IF(E162=MAIN!$L$3,"Yes","No"),IF(E162&lt;=MAIN!$L$3,"Yes","No"))))</f>
        <v>Yes</v>
      </c>
      <c r="AA162" t="str">
        <f t="shared" si="17"/>
        <v>Yes</v>
      </c>
    </row>
    <row r="163" spans="1:27" x14ac:dyDescent="0.3">
      <c r="A163">
        <f>INDEX(SETTINGS!$A$15:$A$24,$B163)</f>
        <v>2025</v>
      </c>
      <c r="B163">
        <v>1</v>
      </c>
      <c r="C163" t="str">
        <f>IF(AND(A163&gt;=SETTINGS!$B$4,A163&lt;=SETTINGS!$B$5),"Yes","No")</f>
        <v>Yes</v>
      </c>
      <c r="D163" t="str">
        <f>IFERROR(INDEX(SETTINGS!$C$15:$C$24,MATCH(A163,SETTINGS!$A$15:$A$24,0)),"No")</f>
        <v>Yes</v>
      </c>
      <c r="E163">
        <v>9</v>
      </c>
      <c r="F163" t="s">
        <v>42</v>
      </c>
      <c r="G163">
        <v>212</v>
      </c>
      <c r="H163" t="s">
        <v>103</v>
      </c>
      <c r="I163" t="s">
        <v>22</v>
      </c>
      <c r="J163" t="s">
        <v>23</v>
      </c>
      <c r="K163" t="s">
        <v>3</v>
      </c>
      <c r="L163" s="36">
        <f ca="1">IF(C163&lt;&gt;"Yes",0,IF(A163=2025,N('2025'!D212),IF(A163=2026,N('2026'!D212),IF(A163=2027,N('2027'!D212),IF(A163=2028,N('2028'!D212),IF(A163=2029,N('2029'!D212),IF(A163=2030,N('2030'!D212),IF(A163=2031,N('2031'!D212),IF(A163=2032,N('2032'!D212),IF(A163=2033,N('2033'!D212),IF(A163=2034,N('2034'!D212),IFERROR(N(INDIRECT("'"&amp;A163&amp;"'!D"&amp;G163)),0))))))))))))</f>
        <v>43</v>
      </c>
      <c r="M163" s="36">
        <f>IFERROR(IF(NOT(ISBLANK(KPI_TARGETS!$G$14)),KPI_TARGETS!$G$14,IF(NOT(ISBLANK(KPI_TARGETS!$F$14)),KPI_TARGETS!$F$14,"")),"")</f>
        <v>35</v>
      </c>
      <c r="N163" s="36" t="str">
        <f>IFERROR(KPI_TARGETS!$E$14,"Higher is better")</f>
        <v>Higher is better</v>
      </c>
      <c r="O163" s="37">
        <f t="shared" ca="1" si="12"/>
        <v>1.2285714285714286</v>
      </c>
      <c r="P163" t="str">
        <f t="shared" ca="1" si="13"/>
        <v>Green</v>
      </c>
      <c r="Q163" s="36">
        <f t="shared" ca="1" si="14"/>
        <v>8</v>
      </c>
      <c r="R163" s="36" t="str">
        <f>""</f>
        <v/>
      </c>
      <c r="S163" s="36" t="str">
        <f>""</f>
        <v/>
      </c>
      <c r="T163" s="36" t="str">
        <f>""</f>
        <v/>
      </c>
      <c r="U163" s="36" t="str">
        <f>""</f>
        <v/>
      </c>
      <c r="V163" s="36" t="str">
        <f>""</f>
        <v/>
      </c>
      <c r="W163" s="36">
        <f t="shared" si="15"/>
        <v>1</v>
      </c>
      <c r="X163" t="str">
        <f t="shared" si="16"/>
        <v>OK</v>
      </c>
      <c r="Y163" t="str">
        <f>IF(MAIN!$H$3="Selected Year",IF(A163=MAIN!$B$3,"Yes","No"),IF(MAIN!$H$3="Included Years",IF(D163="Yes","Yes","No"),IF(C163="Yes","Yes","No")))</f>
        <v>Yes</v>
      </c>
      <c r="Z163" t="str">
        <f>IF(MAIN!$F$3="Project to Date",IF(AND(A163&gt;=SETTINGS!$B$4,A163&lt;MAIN!$B$3),"Yes",IF(AND(A163=MAIN!$B$3,E163&lt;=MAIN!$L$3),"Yes","No")),IF(OR(MAIN!$F$3="Full Year",MAIN!$D$3="All"),"Yes",IF(MAIN!$F$3="Monthly",IF(E163=MAIN!$L$3,"Yes","No"),IF(E163&lt;=MAIN!$L$3,"Yes","No"))))</f>
        <v>Yes</v>
      </c>
      <c r="AA163" t="str">
        <f t="shared" si="17"/>
        <v>Yes</v>
      </c>
    </row>
    <row r="164" spans="1:27" x14ac:dyDescent="0.3">
      <c r="A164">
        <f>INDEX(SETTINGS!$A$15:$A$24,$B164)</f>
        <v>2025</v>
      </c>
      <c r="B164">
        <v>1</v>
      </c>
      <c r="C164" t="str">
        <f>IF(AND(A164&gt;=SETTINGS!$B$4,A164&lt;=SETTINGS!$B$5),"Yes","No")</f>
        <v>Yes</v>
      </c>
      <c r="D164" t="str">
        <f>IFERROR(INDEX(SETTINGS!$C$15:$C$24,MATCH(A164,SETTINGS!$A$15:$A$24,0)),"No")</f>
        <v>Yes</v>
      </c>
      <c r="E164">
        <v>9</v>
      </c>
      <c r="F164" t="s">
        <v>42</v>
      </c>
      <c r="G164">
        <v>213</v>
      </c>
      <c r="H164" t="s">
        <v>104</v>
      </c>
      <c r="I164" t="s">
        <v>22</v>
      </c>
      <c r="J164" t="s">
        <v>24</v>
      </c>
      <c r="K164" t="s">
        <v>3</v>
      </c>
      <c r="L164" s="36">
        <f ca="1">IF(C164&lt;&gt;"Yes",0,IF(A164=2025,N('2025'!D213),IF(A164=2026,N('2026'!D213),IF(A164=2027,N('2027'!D213),IF(A164=2028,N('2028'!D213),IF(A164=2029,N('2029'!D213),IF(A164=2030,N('2030'!D213),IF(A164=2031,N('2031'!D213),IF(A164=2032,N('2032'!D213),IF(A164=2033,N('2033'!D213),IF(A164=2034,N('2034'!D213),IFERROR(N(INDIRECT("'"&amp;A164&amp;"'!D"&amp;G164)),0))))))))))))</f>
        <v>4</v>
      </c>
      <c r="M164" s="36">
        <f>IFERROR(IF(NOT(ISBLANK(KPI_TARGETS!$G$15)),KPI_TARGETS!$G$15,IF(NOT(ISBLANK(KPI_TARGETS!$F$15)),KPI_TARGETS!$F$15,"")),"")</f>
        <v>5</v>
      </c>
      <c r="N164" s="36" t="str">
        <f>IFERROR(KPI_TARGETS!$E$15,"Higher is better")</f>
        <v>Higher is better</v>
      </c>
      <c r="O164" s="37">
        <f t="shared" ca="1" si="12"/>
        <v>0.8</v>
      </c>
      <c r="P164" t="str">
        <f t="shared" ca="1" si="13"/>
        <v>Amber</v>
      </c>
      <c r="Q164" s="36">
        <f t="shared" ca="1" si="14"/>
        <v>-1</v>
      </c>
      <c r="R164" s="36" t="str">
        <f>""</f>
        <v/>
      </c>
      <c r="S164" s="36" t="str">
        <f>""</f>
        <v/>
      </c>
      <c r="T164" s="36" t="str">
        <f>""</f>
        <v/>
      </c>
      <c r="U164" s="36" t="str">
        <f>""</f>
        <v/>
      </c>
      <c r="V164" s="36" t="str">
        <f>""</f>
        <v/>
      </c>
      <c r="W164" s="36">
        <f t="shared" si="15"/>
        <v>1</v>
      </c>
      <c r="X164" t="str">
        <f t="shared" si="16"/>
        <v>OK</v>
      </c>
      <c r="Y164" t="str">
        <f>IF(MAIN!$H$3="Selected Year",IF(A164=MAIN!$B$3,"Yes","No"),IF(MAIN!$H$3="Included Years",IF(D164="Yes","Yes","No"),IF(C164="Yes","Yes","No")))</f>
        <v>Yes</v>
      </c>
      <c r="Z164" t="str">
        <f>IF(MAIN!$F$3="Project to Date",IF(AND(A164&gt;=SETTINGS!$B$4,A164&lt;MAIN!$B$3),"Yes",IF(AND(A164=MAIN!$B$3,E164&lt;=MAIN!$L$3),"Yes","No")),IF(OR(MAIN!$F$3="Full Year",MAIN!$D$3="All"),"Yes",IF(MAIN!$F$3="Monthly",IF(E164=MAIN!$L$3,"Yes","No"),IF(E164&lt;=MAIN!$L$3,"Yes","No"))))</f>
        <v>Yes</v>
      </c>
      <c r="AA164" t="str">
        <f t="shared" si="17"/>
        <v>Yes</v>
      </c>
    </row>
    <row r="165" spans="1:27" x14ac:dyDescent="0.3">
      <c r="A165">
        <f>INDEX(SETTINGS!$A$15:$A$24,$B165)</f>
        <v>2025</v>
      </c>
      <c r="B165">
        <v>1</v>
      </c>
      <c r="C165" t="str">
        <f>IF(AND(A165&gt;=SETTINGS!$B$4,A165&lt;=SETTINGS!$B$5),"Yes","No")</f>
        <v>Yes</v>
      </c>
      <c r="D165" t="str">
        <f>IFERROR(INDEX(SETTINGS!$C$15:$C$24,MATCH(A165,SETTINGS!$A$15:$A$24,0)),"No")</f>
        <v>Yes</v>
      </c>
      <c r="E165">
        <v>9</v>
      </c>
      <c r="F165" t="s">
        <v>42</v>
      </c>
      <c r="G165">
        <v>214</v>
      </c>
      <c r="H165" t="s">
        <v>105</v>
      </c>
      <c r="I165" t="s">
        <v>22</v>
      </c>
      <c r="J165" t="s">
        <v>25</v>
      </c>
      <c r="K165" t="s">
        <v>3</v>
      </c>
      <c r="L165" s="36">
        <f ca="1">IF(C165&lt;&gt;"Yes",0,IF(A165=2025,N('2025'!D214),IF(A165=2026,N('2026'!D214),IF(A165=2027,N('2027'!D214),IF(A165=2028,N('2028'!D214),IF(A165=2029,N('2029'!D214),IF(A165=2030,N('2030'!D214),IF(A165=2031,N('2031'!D214),IF(A165=2032,N('2032'!D214),IF(A165=2033,N('2033'!D214),IF(A165=2034,N('2034'!D214),IFERROR(N(INDIRECT("'"&amp;A165&amp;"'!D"&amp;G165)),0))))))))))))</f>
        <v>4</v>
      </c>
      <c r="M165" s="36">
        <f>IFERROR(IF(NOT(ISBLANK(KPI_TARGETS!$G$16)),KPI_TARGETS!$G$16,IF(NOT(ISBLANK(KPI_TARGETS!$F$16)),KPI_TARGETS!$F$16,"")),"")</f>
        <v>4</v>
      </c>
      <c r="N165" s="36" t="str">
        <f>IFERROR(KPI_TARGETS!$E$16,"Higher is better")</f>
        <v>Higher is better</v>
      </c>
      <c r="O165" s="37">
        <f t="shared" ca="1" si="12"/>
        <v>1</v>
      </c>
      <c r="P165" t="str">
        <f t="shared" ca="1" si="13"/>
        <v>Green</v>
      </c>
      <c r="Q165" s="36">
        <f t="shared" ca="1" si="14"/>
        <v>0</v>
      </c>
      <c r="R165" s="36" t="str">
        <f>""</f>
        <v/>
      </c>
      <c r="S165" s="36" t="str">
        <f>""</f>
        <v/>
      </c>
      <c r="T165" s="36" t="str">
        <f>""</f>
        <v/>
      </c>
      <c r="U165" s="36" t="str">
        <f>""</f>
        <v/>
      </c>
      <c r="V165" s="36" t="str">
        <f>""</f>
        <v/>
      </c>
      <c r="W165" s="36">
        <f t="shared" si="15"/>
        <v>1</v>
      </c>
      <c r="X165" t="str">
        <f t="shared" si="16"/>
        <v>OK</v>
      </c>
      <c r="Y165" t="str">
        <f>IF(MAIN!$H$3="Selected Year",IF(A165=MAIN!$B$3,"Yes","No"),IF(MAIN!$H$3="Included Years",IF(D165="Yes","Yes","No"),IF(C165="Yes","Yes","No")))</f>
        <v>Yes</v>
      </c>
      <c r="Z165" t="str">
        <f>IF(MAIN!$F$3="Project to Date",IF(AND(A165&gt;=SETTINGS!$B$4,A165&lt;MAIN!$B$3),"Yes",IF(AND(A165=MAIN!$B$3,E165&lt;=MAIN!$L$3),"Yes","No")),IF(OR(MAIN!$F$3="Full Year",MAIN!$D$3="All"),"Yes",IF(MAIN!$F$3="Monthly",IF(E165=MAIN!$L$3,"Yes","No"),IF(E165&lt;=MAIN!$L$3,"Yes","No"))))</f>
        <v>Yes</v>
      </c>
      <c r="AA165" t="str">
        <f t="shared" si="17"/>
        <v>Yes</v>
      </c>
    </row>
    <row r="166" spans="1:27" x14ac:dyDescent="0.3">
      <c r="A166">
        <f>INDEX(SETTINGS!$A$15:$A$24,$B166)</f>
        <v>2025</v>
      </c>
      <c r="B166">
        <v>1</v>
      </c>
      <c r="C166" t="str">
        <f>IF(AND(A166&gt;=SETTINGS!$B$4,A166&lt;=SETTINGS!$B$5),"Yes","No")</f>
        <v>Yes</v>
      </c>
      <c r="D166" t="str">
        <f>IFERROR(INDEX(SETTINGS!$C$15:$C$24,MATCH(A166,SETTINGS!$A$15:$A$24,0)),"No")</f>
        <v>Yes</v>
      </c>
      <c r="E166">
        <v>9</v>
      </c>
      <c r="F166" t="s">
        <v>42</v>
      </c>
      <c r="G166">
        <v>215</v>
      </c>
      <c r="H166" t="s">
        <v>106</v>
      </c>
      <c r="I166" t="s">
        <v>22</v>
      </c>
      <c r="J166" t="s">
        <v>26</v>
      </c>
      <c r="K166" t="s">
        <v>3</v>
      </c>
      <c r="L166" s="36">
        <f ca="1">IF(C166&lt;&gt;"Yes",0,IF(A166=2025,N('2025'!D215),IF(A166=2026,N('2026'!D215),IF(A166=2027,N('2027'!D215),IF(A166=2028,N('2028'!D215),IF(A166=2029,N('2029'!D215),IF(A166=2030,N('2030'!D215),IF(A166=2031,N('2031'!D215),IF(A166=2032,N('2032'!D215),IF(A166=2033,N('2033'!D215),IF(A166=2034,N('2034'!D215),IFERROR(N(INDIRECT("'"&amp;A166&amp;"'!D"&amp;G166)),0))))))))))))</f>
        <v>20</v>
      </c>
      <c r="M166" s="36">
        <f>IFERROR(IF(NOT(ISBLANK(KPI_TARGETS!$G$17)),KPI_TARGETS!$G$17,IF(NOT(ISBLANK(KPI_TARGETS!$F$17)),KPI_TARGETS!$F$17,"")),"")</f>
        <v>12</v>
      </c>
      <c r="N166" s="36" t="str">
        <f>IFERROR(KPI_TARGETS!$E$17,"Higher is better")</f>
        <v>Higher is better</v>
      </c>
      <c r="O166" s="37">
        <f t="shared" ca="1" si="12"/>
        <v>1.6666666666666667</v>
      </c>
      <c r="P166" t="str">
        <f t="shared" ca="1" si="13"/>
        <v>Green</v>
      </c>
      <c r="Q166" s="36">
        <f t="shared" ca="1" si="14"/>
        <v>8</v>
      </c>
      <c r="R166" s="36" t="str">
        <f>""</f>
        <v/>
      </c>
      <c r="S166" s="36" t="str">
        <f>""</f>
        <v/>
      </c>
      <c r="T166" s="36" t="str">
        <f>""</f>
        <v/>
      </c>
      <c r="U166" s="36" t="str">
        <f>""</f>
        <v/>
      </c>
      <c r="V166" s="36" t="str">
        <f>""</f>
        <v/>
      </c>
      <c r="W166" s="36">
        <f t="shared" si="15"/>
        <v>1</v>
      </c>
      <c r="X166" t="str">
        <f t="shared" si="16"/>
        <v>OK</v>
      </c>
      <c r="Y166" t="str">
        <f>IF(MAIN!$H$3="Selected Year",IF(A166=MAIN!$B$3,"Yes","No"),IF(MAIN!$H$3="Included Years",IF(D166="Yes","Yes","No"),IF(C166="Yes","Yes","No")))</f>
        <v>Yes</v>
      </c>
      <c r="Z166" t="str">
        <f>IF(MAIN!$F$3="Project to Date",IF(AND(A166&gt;=SETTINGS!$B$4,A166&lt;MAIN!$B$3),"Yes",IF(AND(A166=MAIN!$B$3,E166&lt;=MAIN!$L$3),"Yes","No")),IF(OR(MAIN!$F$3="Full Year",MAIN!$D$3="All"),"Yes",IF(MAIN!$F$3="Monthly",IF(E166=MAIN!$L$3,"Yes","No"),IF(E166&lt;=MAIN!$L$3,"Yes","No"))))</f>
        <v>Yes</v>
      </c>
      <c r="AA166" t="str">
        <f t="shared" si="17"/>
        <v>Yes</v>
      </c>
    </row>
    <row r="167" spans="1:27" x14ac:dyDescent="0.3">
      <c r="A167">
        <f>INDEX(SETTINGS!$A$15:$A$24,$B167)</f>
        <v>2025</v>
      </c>
      <c r="B167">
        <v>1</v>
      </c>
      <c r="C167" t="str">
        <f>IF(AND(A167&gt;=SETTINGS!$B$4,A167&lt;=SETTINGS!$B$5),"Yes","No")</f>
        <v>Yes</v>
      </c>
      <c r="D167" t="str">
        <f>IFERROR(INDEX(SETTINGS!$C$15:$C$24,MATCH(A167,SETTINGS!$A$15:$A$24,0)),"No")</f>
        <v>Yes</v>
      </c>
      <c r="E167">
        <v>9</v>
      </c>
      <c r="F167" t="s">
        <v>42</v>
      </c>
      <c r="G167">
        <v>216</v>
      </c>
      <c r="H167" t="s">
        <v>107</v>
      </c>
      <c r="I167" t="s">
        <v>22</v>
      </c>
      <c r="J167" t="s">
        <v>27</v>
      </c>
      <c r="K167" t="s">
        <v>3</v>
      </c>
      <c r="L167" s="36">
        <f ca="1">IF(C167&lt;&gt;"Yes",0,IF(A167=2025,N('2025'!D216),IF(A167=2026,N('2026'!D216),IF(A167=2027,N('2027'!D216),IF(A167=2028,N('2028'!D216),IF(A167=2029,N('2029'!D216),IF(A167=2030,N('2030'!D216),IF(A167=2031,N('2031'!D216),IF(A167=2032,N('2032'!D216),IF(A167=2033,N('2033'!D216),IF(A167=2034,N('2034'!D216),IFERROR(N(INDIRECT("'"&amp;A167&amp;"'!D"&amp;G167)),0))))))))))))</f>
        <v>4</v>
      </c>
      <c r="M167" s="36">
        <f>IFERROR(IF(NOT(ISBLANK(KPI_TARGETS!$G$18)),KPI_TARGETS!$G$18,IF(NOT(ISBLANK(KPI_TARGETS!$F$18)),KPI_TARGETS!$F$18,"")),"")</f>
        <v>4</v>
      </c>
      <c r="N167" s="36" t="str">
        <f>IFERROR(KPI_TARGETS!$E$18,"Higher is better")</f>
        <v>Higher is better</v>
      </c>
      <c r="O167" s="37">
        <f t="shared" ca="1" si="12"/>
        <v>1</v>
      </c>
      <c r="P167" t="str">
        <f t="shared" ca="1" si="13"/>
        <v>Green</v>
      </c>
      <c r="Q167" s="36">
        <f t="shared" ca="1" si="14"/>
        <v>0</v>
      </c>
      <c r="R167" s="36" t="str">
        <f>""</f>
        <v/>
      </c>
      <c r="S167" s="36" t="str">
        <f>""</f>
        <v/>
      </c>
      <c r="T167" s="36" t="str">
        <f>""</f>
        <v/>
      </c>
      <c r="U167" s="36" t="str">
        <f>""</f>
        <v/>
      </c>
      <c r="V167" s="36" t="str">
        <f>""</f>
        <v/>
      </c>
      <c r="W167" s="36">
        <f t="shared" si="15"/>
        <v>1</v>
      </c>
      <c r="X167" t="str">
        <f t="shared" si="16"/>
        <v>OK</v>
      </c>
      <c r="Y167" t="str">
        <f>IF(MAIN!$H$3="Selected Year",IF(A167=MAIN!$B$3,"Yes","No"),IF(MAIN!$H$3="Included Years",IF(D167="Yes","Yes","No"),IF(C167="Yes","Yes","No")))</f>
        <v>Yes</v>
      </c>
      <c r="Z167" t="str">
        <f>IF(MAIN!$F$3="Project to Date",IF(AND(A167&gt;=SETTINGS!$B$4,A167&lt;MAIN!$B$3),"Yes",IF(AND(A167=MAIN!$B$3,E167&lt;=MAIN!$L$3),"Yes","No")),IF(OR(MAIN!$F$3="Full Year",MAIN!$D$3="All"),"Yes",IF(MAIN!$F$3="Monthly",IF(E167=MAIN!$L$3,"Yes","No"),IF(E167&lt;=MAIN!$L$3,"Yes","No"))))</f>
        <v>Yes</v>
      </c>
      <c r="AA167" t="str">
        <f t="shared" si="17"/>
        <v>Yes</v>
      </c>
    </row>
    <row r="168" spans="1:27" x14ac:dyDescent="0.3">
      <c r="A168">
        <f>INDEX(SETTINGS!$A$15:$A$24,$B168)</f>
        <v>2025</v>
      </c>
      <c r="B168">
        <v>1</v>
      </c>
      <c r="C168" t="str">
        <f>IF(AND(A168&gt;=SETTINGS!$B$4,A168&lt;=SETTINGS!$B$5),"Yes","No")</f>
        <v>Yes</v>
      </c>
      <c r="D168" t="str">
        <f>IFERROR(INDEX(SETTINGS!$C$15:$C$24,MATCH(A168,SETTINGS!$A$15:$A$24,0)),"No")</f>
        <v>Yes</v>
      </c>
      <c r="E168">
        <v>9</v>
      </c>
      <c r="F168" t="s">
        <v>42</v>
      </c>
      <c r="G168">
        <v>217</v>
      </c>
      <c r="H168" t="s">
        <v>108</v>
      </c>
      <c r="I168" t="s">
        <v>22</v>
      </c>
      <c r="J168" t="s">
        <v>28</v>
      </c>
      <c r="K168" t="s">
        <v>3</v>
      </c>
      <c r="L168" s="36">
        <f ca="1">IF(C168&lt;&gt;"Yes",0,IF(A168=2025,N('2025'!D217),IF(A168=2026,N('2026'!D217),IF(A168=2027,N('2027'!D217),IF(A168=2028,N('2028'!D217),IF(A168=2029,N('2029'!D217),IF(A168=2030,N('2030'!D217),IF(A168=2031,N('2031'!D217),IF(A168=2032,N('2032'!D217),IF(A168=2033,N('2033'!D217),IF(A168=2034,N('2034'!D217),IFERROR(N(INDIRECT("'"&amp;A168&amp;"'!D"&amp;G168)),0))))))))))))</f>
        <v>8</v>
      </c>
      <c r="M168" s="36">
        <f>IFERROR(IF(NOT(ISBLANK(KPI_TARGETS!$G$19)),KPI_TARGETS!$G$19,IF(NOT(ISBLANK(KPI_TARGETS!$F$19)),KPI_TARGETS!$F$19,"")),"")</f>
        <v>16</v>
      </c>
      <c r="N168" s="36" t="str">
        <f>IFERROR(KPI_TARGETS!$E$19,"Higher is better")</f>
        <v>Higher is better</v>
      </c>
      <c r="O168" s="37">
        <f t="shared" ca="1" si="12"/>
        <v>0.5</v>
      </c>
      <c r="P168" t="str">
        <f t="shared" ca="1" si="13"/>
        <v>Red</v>
      </c>
      <c r="Q168" s="36">
        <f t="shared" ca="1" si="14"/>
        <v>-8</v>
      </c>
      <c r="R168" s="36" t="str">
        <f>""</f>
        <v/>
      </c>
      <c r="S168" s="36" t="str">
        <f>""</f>
        <v/>
      </c>
      <c r="T168" s="36" t="str">
        <f>""</f>
        <v/>
      </c>
      <c r="U168" s="36" t="str">
        <f>""</f>
        <v/>
      </c>
      <c r="V168" s="36" t="str">
        <f>""</f>
        <v/>
      </c>
      <c r="W168" s="36">
        <f t="shared" si="15"/>
        <v>1</v>
      </c>
      <c r="X168" t="str">
        <f t="shared" si="16"/>
        <v>OK</v>
      </c>
      <c r="Y168" t="str">
        <f>IF(MAIN!$H$3="Selected Year",IF(A168=MAIN!$B$3,"Yes","No"),IF(MAIN!$H$3="Included Years",IF(D168="Yes","Yes","No"),IF(C168="Yes","Yes","No")))</f>
        <v>Yes</v>
      </c>
      <c r="Z168" t="str">
        <f>IF(MAIN!$F$3="Project to Date",IF(AND(A168&gt;=SETTINGS!$B$4,A168&lt;MAIN!$B$3),"Yes",IF(AND(A168=MAIN!$B$3,E168&lt;=MAIN!$L$3),"Yes","No")),IF(OR(MAIN!$F$3="Full Year",MAIN!$D$3="All"),"Yes",IF(MAIN!$F$3="Monthly",IF(E168=MAIN!$L$3,"Yes","No"),IF(E168&lt;=MAIN!$L$3,"Yes","No"))))</f>
        <v>Yes</v>
      </c>
      <c r="AA168" t="str">
        <f t="shared" si="17"/>
        <v>Yes</v>
      </c>
    </row>
    <row r="169" spans="1:27" x14ac:dyDescent="0.3">
      <c r="A169">
        <f>INDEX(SETTINGS!$A$15:$A$24,$B169)</f>
        <v>2025</v>
      </c>
      <c r="B169">
        <v>1</v>
      </c>
      <c r="C169" t="str">
        <f>IF(AND(A169&gt;=SETTINGS!$B$4,A169&lt;=SETTINGS!$B$5),"Yes","No")</f>
        <v>Yes</v>
      </c>
      <c r="D169" t="str">
        <f>IFERROR(INDEX(SETTINGS!$C$15:$C$24,MATCH(A169,SETTINGS!$A$15:$A$24,0)),"No")</f>
        <v>Yes</v>
      </c>
      <c r="E169">
        <v>9</v>
      </c>
      <c r="F169" t="s">
        <v>42</v>
      </c>
      <c r="G169">
        <v>218</v>
      </c>
      <c r="H169" t="s">
        <v>109</v>
      </c>
      <c r="I169" t="s">
        <v>22</v>
      </c>
      <c r="J169" t="s">
        <v>29</v>
      </c>
      <c r="K169" t="s">
        <v>3</v>
      </c>
      <c r="L169" s="36">
        <f ca="1">IF(C169&lt;&gt;"Yes",0,IF(A169=2025,N('2025'!D218),IF(A169=2026,N('2026'!D218),IF(A169=2027,N('2027'!D218),IF(A169=2028,N('2028'!D218),IF(A169=2029,N('2029'!D218),IF(A169=2030,N('2030'!D218),IF(A169=2031,N('2031'!D218),IF(A169=2032,N('2032'!D218),IF(A169=2033,N('2033'!D218),IF(A169=2034,N('2034'!D218),IFERROR(N(INDIRECT("'"&amp;A169&amp;"'!D"&amp;G169)),0))))))))))))</f>
        <v>1</v>
      </c>
      <c r="M169" s="36">
        <f>IFERROR(IF(NOT(ISBLANK(KPI_TARGETS!$G$20)),KPI_TARGETS!$G$20,IF(NOT(ISBLANK(KPI_TARGETS!$F$20)),KPI_TARGETS!$F$20,"")),"")</f>
        <v>1</v>
      </c>
      <c r="N169" s="36" t="str">
        <f>IFERROR(KPI_TARGETS!$E$20,"Higher is better")</f>
        <v>Higher is better</v>
      </c>
      <c r="O169" s="37">
        <f t="shared" ca="1" si="12"/>
        <v>1</v>
      </c>
      <c r="P169" t="str">
        <f t="shared" ca="1" si="13"/>
        <v>Green</v>
      </c>
      <c r="Q169" s="36">
        <f t="shared" ca="1" si="14"/>
        <v>0</v>
      </c>
      <c r="R169" s="36" t="str">
        <f>""</f>
        <v/>
      </c>
      <c r="S169" s="36" t="str">
        <f>""</f>
        <v/>
      </c>
      <c r="T169" s="36" t="str">
        <f>""</f>
        <v/>
      </c>
      <c r="U169" s="36" t="str">
        <f>""</f>
        <v/>
      </c>
      <c r="V169" s="36" t="str">
        <f>""</f>
        <v/>
      </c>
      <c r="W169" s="36">
        <f t="shared" si="15"/>
        <v>1</v>
      </c>
      <c r="X169" t="str">
        <f t="shared" si="16"/>
        <v>OK</v>
      </c>
      <c r="Y169" t="str">
        <f>IF(MAIN!$H$3="Selected Year",IF(A169=MAIN!$B$3,"Yes","No"),IF(MAIN!$H$3="Included Years",IF(D169="Yes","Yes","No"),IF(C169="Yes","Yes","No")))</f>
        <v>Yes</v>
      </c>
      <c r="Z169" t="str">
        <f>IF(MAIN!$F$3="Project to Date",IF(AND(A169&gt;=SETTINGS!$B$4,A169&lt;MAIN!$B$3),"Yes",IF(AND(A169=MAIN!$B$3,E169&lt;=MAIN!$L$3),"Yes","No")),IF(OR(MAIN!$F$3="Full Year",MAIN!$D$3="All"),"Yes",IF(MAIN!$F$3="Monthly",IF(E169=MAIN!$L$3,"Yes","No"),IF(E169&lt;=MAIN!$L$3,"Yes","No"))))</f>
        <v>Yes</v>
      </c>
      <c r="AA169" t="str">
        <f t="shared" si="17"/>
        <v>Yes</v>
      </c>
    </row>
    <row r="170" spans="1:27" x14ac:dyDescent="0.3">
      <c r="A170">
        <f>INDEX(SETTINGS!$A$15:$A$24,$B170)</f>
        <v>2025</v>
      </c>
      <c r="B170">
        <v>1</v>
      </c>
      <c r="C170" t="str">
        <f>IF(AND(A170&gt;=SETTINGS!$B$4,A170&lt;=SETTINGS!$B$5),"Yes","No")</f>
        <v>Yes</v>
      </c>
      <c r="D170" t="str">
        <f>IFERROR(INDEX(SETTINGS!$C$15:$C$24,MATCH(A170,SETTINGS!$A$15:$A$24,0)),"No")</f>
        <v>Yes</v>
      </c>
      <c r="E170">
        <v>9</v>
      </c>
      <c r="F170" t="s">
        <v>42</v>
      </c>
      <c r="G170">
        <v>220</v>
      </c>
      <c r="H170" t="s">
        <v>110</v>
      </c>
      <c r="I170" t="s">
        <v>30</v>
      </c>
      <c r="J170" t="s">
        <v>31</v>
      </c>
      <c r="K170" t="s">
        <v>3</v>
      </c>
      <c r="L170" s="36">
        <f ca="1">IF(C170&lt;&gt;"Yes",0,IF(A170=2025,N('2025'!D220),IF(A170=2026,N('2026'!D220),IF(A170=2027,N('2027'!D220),IF(A170=2028,N('2028'!D220),IF(A170=2029,N('2029'!D220),IF(A170=2030,N('2030'!D220),IF(A170=2031,N('2031'!D220),IF(A170=2032,N('2032'!D220),IF(A170=2033,N('2033'!D220),IF(A170=2034,N('2034'!D220),IFERROR(N(INDIRECT("'"&amp;A170&amp;"'!D"&amp;G170)),0))))))))))))</f>
        <v>0</v>
      </c>
      <c r="M170" s="36">
        <f>IFERROR(IF(NOT(ISBLANK(KPI_TARGETS!$G$21)),KPI_TARGETS!$G$21,IF(NOT(ISBLANK(KPI_TARGETS!$F$21)),KPI_TARGETS!$F$21,"")),"")</f>
        <v>0</v>
      </c>
      <c r="N170" s="36" t="str">
        <f>IFERROR(KPI_TARGETS!$E$21,"Higher is better")</f>
        <v>Lower is better</v>
      </c>
      <c r="O170" s="37">
        <f t="shared" ca="1" si="12"/>
        <v>1</v>
      </c>
      <c r="P170" t="str">
        <f t="shared" ca="1" si="13"/>
        <v>Green</v>
      </c>
      <c r="Q170" s="36">
        <f t="shared" ca="1" si="14"/>
        <v>0</v>
      </c>
      <c r="R170" s="36" t="str">
        <f>""</f>
        <v/>
      </c>
      <c r="S170" s="36" t="str">
        <f>""</f>
        <v/>
      </c>
      <c r="T170" s="36" t="str">
        <f>""</f>
        <v/>
      </c>
      <c r="U170" s="36" t="str">
        <f>""</f>
        <v/>
      </c>
      <c r="V170" s="36" t="str">
        <f>""</f>
        <v/>
      </c>
      <c r="W170" s="36">
        <f t="shared" si="15"/>
        <v>1</v>
      </c>
      <c r="X170" t="str">
        <f t="shared" si="16"/>
        <v>OK</v>
      </c>
      <c r="Y170" t="str">
        <f>IF(MAIN!$H$3="Selected Year",IF(A170=MAIN!$B$3,"Yes","No"),IF(MAIN!$H$3="Included Years",IF(D170="Yes","Yes","No"),IF(C170="Yes","Yes","No")))</f>
        <v>Yes</v>
      </c>
      <c r="Z170" t="str">
        <f>IF(MAIN!$F$3="Project to Date",IF(AND(A170&gt;=SETTINGS!$B$4,A170&lt;MAIN!$B$3),"Yes",IF(AND(A170=MAIN!$B$3,E170&lt;=MAIN!$L$3),"Yes","No")),IF(OR(MAIN!$F$3="Full Year",MAIN!$D$3="All"),"Yes",IF(MAIN!$F$3="Monthly",IF(E170=MAIN!$L$3,"Yes","No"),IF(E170&lt;=MAIN!$L$3,"Yes","No"))))</f>
        <v>Yes</v>
      </c>
      <c r="AA170" t="str">
        <f t="shared" si="17"/>
        <v>Yes</v>
      </c>
    </row>
    <row r="171" spans="1:27" x14ac:dyDescent="0.3">
      <c r="A171">
        <f>INDEX(SETTINGS!$A$15:$A$24,$B171)</f>
        <v>2025</v>
      </c>
      <c r="B171">
        <v>1</v>
      </c>
      <c r="C171" t="str">
        <f>IF(AND(A171&gt;=SETTINGS!$B$4,A171&lt;=SETTINGS!$B$5),"Yes","No")</f>
        <v>Yes</v>
      </c>
      <c r="D171" t="str">
        <f>IFERROR(INDEX(SETTINGS!$C$15:$C$24,MATCH(A171,SETTINGS!$A$15:$A$24,0)),"No")</f>
        <v>Yes</v>
      </c>
      <c r="E171">
        <v>9</v>
      </c>
      <c r="F171" t="s">
        <v>42</v>
      </c>
      <c r="G171">
        <v>221</v>
      </c>
      <c r="H171" t="s">
        <v>111</v>
      </c>
      <c r="I171" t="s">
        <v>30</v>
      </c>
      <c r="J171" t="s">
        <v>32</v>
      </c>
      <c r="K171" t="s">
        <v>3</v>
      </c>
      <c r="L171" s="36">
        <f ca="1">IF(C171&lt;&gt;"Yes",0,IF(A171=2025,N('2025'!D221),IF(A171=2026,N('2026'!D221),IF(A171=2027,N('2027'!D221),IF(A171=2028,N('2028'!D221),IF(A171=2029,N('2029'!D221),IF(A171=2030,N('2030'!D221),IF(A171=2031,N('2031'!D221),IF(A171=2032,N('2032'!D221),IF(A171=2033,N('2033'!D221),IF(A171=2034,N('2034'!D221),IFERROR(N(INDIRECT("'"&amp;A171&amp;"'!D"&amp;G171)),0))))))))))))</f>
        <v>1</v>
      </c>
      <c r="M171" s="36">
        <f>IFERROR(IF(NOT(ISBLANK(KPI_TARGETS!$G$22)),KPI_TARGETS!$G$22,IF(NOT(ISBLANK(KPI_TARGETS!$F$22)),KPI_TARGETS!$F$22,"")),"")</f>
        <v>1</v>
      </c>
      <c r="N171" s="36" t="str">
        <f>IFERROR(KPI_TARGETS!$E$22,"Higher is better")</f>
        <v>Higher is better</v>
      </c>
      <c r="O171" s="37">
        <f t="shared" ca="1" si="12"/>
        <v>1</v>
      </c>
      <c r="P171" t="str">
        <f t="shared" ca="1" si="13"/>
        <v>Green</v>
      </c>
      <c r="Q171" s="36">
        <f t="shared" ca="1" si="14"/>
        <v>0</v>
      </c>
      <c r="R171" s="36" t="str">
        <f>""</f>
        <v/>
      </c>
      <c r="S171" s="36" t="str">
        <f>""</f>
        <v/>
      </c>
      <c r="T171" s="36" t="str">
        <f>""</f>
        <v/>
      </c>
      <c r="U171" s="36" t="str">
        <f>""</f>
        <v/>
      </c>
      <c r="V171" s="36" t="str">
        <f>""</f>
        <v/>
      </c>
      <c r="W171" s="36">
        <f t="shared" si="15"/>
        <v>1</v>
      </c>
      <c r="X171" t="str">
        <f t="shared" si="16"/>
        <v>OK</v>
      </c>
      <c r="Y171" t="str">
        <f>IF(MAIN!$H$3="Selected Year",IF(A171=MAIN!$B$3,"Yes","No"),IF(MAIN!$H$3="Included Years",IF(D171="Yes","Yes","No"),IF(C171="Yes","Yes","No")))</f>
        <v>Yes</v>
      </c>
      <c r="Z171" t="str">
        <f>IF(MAIN!$F$3="Project to Date",IF(AND(A171&gt;=SETTINGS!$B$4,A171&lt;MAIN!$B$3),"Yes",IF(AND(A171=MAIN!$B$3,E171&lt;=MAIN!$L$3),"Yes","No")),IF(OR(MAIN!$F$3="Full Year",MAIN!$D$3="All"),"Yes",IF(MAIN!$F$3="Monthly",IF(E171=MAIN!$L$3,"Yes","No"),IF(E171&lt;=MAIN!$L$3,"Yes","No"))))</f>
        <v>Yes</v>
      </c>
      <c r="AA171" t="str">
        <f t="shared" si="17"/>
        <v>Yes</v>
      </c>
    </row>
    <row r="172" spans="1:27" x14ac:dyDescent="0.3">
      <c r="A172">
        <f>INDEX(SETTINGS!$A$15:$A$24,$B172)</f>
        <v>2025</v>
      </c>
      <c r="B172">
        <v>1</v>
      </c>
      <c r="C172" t="str">
        <f>IF(AND(A172&gt;=SETTINGS!$B$4,A172&lt;=SETTINGS!$B$5),"Yes","No")</f>
        <v>Yes</v>
      </c>
      <c r="D172" t="str">
        <f>IFERROR(INDEX(SETTINGS!$C$15:$C$24,MATCH(A172,SETTINGS!$A$15:$A$24,0)),"No")</f>
        <v>Yes</v>
      </c>
      <c r="E172">
        <v>9</v>
      </c>
      <c r="F172" t="s">
        <v>42</v>
      </c>
      <c r="G172">
        <v>222</v>
      </c>
      <c r="H172" t="s">
        <v>112</v>
      </c>
      <c r="I172" t="s">
        <v>30</v>
      </c>
      <c r="J172" t="s">
        <v>33</v>
      </c>
      <c r="K172" t="s">
        <v>34</v>
      </c>
      <c r="L172" s="36">
        <f ca="1">IF(C172&lt;&gt;"Yes",0,IF(A172=2025,N('2025'!D222),IF(A172=2026,N('2026'!D222),IF(A172=2027,N('2027'!D222),IF(A172=2028,N('2028'!D222),IF(A172=2029,N('2029'!D222),IF(A172=2030,N('2030'!D222),IF(A172=2031,N('2031'!D222),IF(A172=2032,N('2032'!D222),IF(A172=2033,N('2033'!D222),IF(A172=2034,N('2034'!D222),IFERROR(N(INDIRECT("'"&amp;A172&amp;"'!D"&amp;G172)),0))))))))))))</f>
        <v>1</v>
      </c>
      <c r="M172" s="36">
        <f>IFERROR(IF(NOT(ISBLANK(KPI_TARGETS!$G$23)),KPI_TARGETS!$G$23,IF(NOT(ISBLANK(KPI_TARGETS!$F$23)),KPI_TARGETS!$F$23,"")),"")</f>
        <v>1</v>
      </c>
      <c r="N172" s="36" t="str">
        <f>IFERROR(KPI_TARGETS!$E$23,"Higher is better")</f>
        <v>Higher is better</v>
      </c>
      <c r="O172" s="37">
        <f t="shared" ca="1" si="12"/>
        <v>1</v>
      </c>
      <c r="P172" t="str">
        <f t="shared" ca="1" si="13"/>
        <v>Green</v>
      </c>
      <c r="Q172" s="36">
        <f t="shared" ca="1" si="14"/>
        <v>0</v>
      </c>
      <c r="R172" s="36" t="str">
        <f>""</f>
        <v/>
      </c>
      <c r="S172" s="36" t="str">
        <f>""</f>
        <v/>
      </c>
      <c r="T172" s="36" t="str">
        <f>""</f>
        <v/>
      </c>
      <c r="U172" s="36" t="str">
        <f>""</f>
        <v/>
      </c>
      <c r="V172" s="36" t="str">
        <f>""</f>
        <v/>
      </c>
      <c r="W172" s="36">
        <f t="shared" si="15"/>
        <v>1</v>
      </c>
      <c r="X172" t="str">
        <f t="shared" si="16"/>
        <v>OK</v>
      </c>
      <c r="Y172" t="str">
        <f>IF(MAIN!$H$3="Selected Year",IF(A172=MAIN!$B$3,"Yes","No"),IF(MAIN!$H$3="Included Years",IF(D172="Yes","Yes","No"),IF(C172="Yes","Yes","No")))</f>
        <v>Yes</v>
      </c>
      <c r="Z172" t="str">
        <f>IF(MAIN!$F$3="Project to Date",IF(AND(A172&gt;=SETTINGS!$B$4,A172&lt;MAIN!$B$3),"Yes",IF(AND(A172=MAIN!$B$3,E172&lt;=MAIN!$L$3),"Yes","No")),IF(OR(MAIN!$F$3="Full Year",MAIN!$D$3="All"),"Yes",IF(MAIN!$F$3="Monthly",IF(E172=MAIN!$L$3,"Yes","No"),IF(E172&lt;=MAIN!$L$3,"Yes","No"))))</f>
        <v>Yes</v>
      </c>
      <c r="AA172" t="str">
        <f t="shared" si="17"/>
        <v>Yes</v>
      </c>
    </row>
    <row r="173" spans="1:27" x14ac:dyDescent="0.3">
      <c r="A173">
        <f>INDEX(SETTINGS!$A$15:$A$24,$B173)</f>
        <v>2025</v>
      </c>
      <c r="B173">
        <v>1</v>
      </c>
      <c r="C173" t="str">
        <f>IF(AND(A173&gt;=SETTINGS!$B$4,A173&lt;=SETTINGS!$B$5),"Yes","No")</f>
        <v>Yes</v>
      </c>
      <c r="D173" t="str">
        <f>IFERROR(INDEX(SETTINGS!$C$15:$C$24,MATCH(A173,SETTINGS!$A$15:$A$24,0)),"No")</f>
        <v>Yes</v>
      </c>
      <c r="E173">
        <v>10</v>
      </c>
      <c r="F173" t="s">
        <v>43</v>
      </c>
      <c r="G173">
        <v>225</v>
      </c>
      <c r="H173" t="s">
        <v>88</v>
      </c>
      <c r="I173" t="s">
        <v>89</v>
      </c>
      <c r="J173" t="s">
        <v>10</v>
      </c>
      <c r="K173" t="s">
        <v>3</v>
      </c>
      <c r="L173" s="36">
        <f ca="1">IF(C173&lt;&gt;"Yes",0,IF(A173=2025,N('2025'!D225),IF(A173=2026,N('2026'!D225),IF(A173=2027,N('2027'!D225),IF(A173=2028,N('2028'!D225),IF(A173=2029,N('2029'!D225),IF(A173=2030,N('2030'!D225),IF(A173=2031,N('2031'!D225),IF(A173=2032,N('2032'!D225),IF(A173=2033,N('2033'!D225),IF(A173=2034,N('2034'!D225),IFERROR(N(INDIRECT("'"&amp;A173&amp;"'!D"&amp;G173)),0))))))))))))</f>
        <v>0</v>
      </c>
      <c r="M173" s="36">
        <f>IFERROR(IF(NOT(ISBLANK(KPI_TARGETS!$G$5)),KPI_TARGETS!$G$5,IF(NOT(ISBLANK(KPI_TARGETS!$F$5)),KPI_TARGETS!$F$5,"")),"")</f>
        <v>104</v>
      </c>
      <c r="N173" s="36" t="str">
        <f>IFERROR(KPI_TARGETS!$E$5,"Higher is better")</f>
        <v>Higher is better</v>
      </c>
      <c r="O173" s="37">
        <f t="shared" ca="1" si="12"/>
        <v>0</v>
      </c>
      <c r="P173" t="str">
        <f t="shared" ca="1" si="13"/>
        <v>Red</v>
      </c>
      <c r="Q173" s="36">
        <f t="shared" ca="1" si="14"/>
        <v>-104</v>
      </c>
      <c r="R173" s="36" t="str">
        <f>""</f>
        <v/>
      </c>
      <c r="S173" s="36" t="str">
        <f>""</f>
        <v/>
      </c>
      <c r="T173" s="36" t="str">
        <f>""</f>
        <v/>
      </c>
      <c r="U173" s="36" t="str">
        <f>""</f>
        <v/>
      </c>
      <c r="V173" s="36" t="str">
        <f>""</f>
        <v/>
      </c>
      <c r="W173" s="36">
        <f t="shared" si="15"/>
        <v>1</v>
      </c>
      <c r="X173" t="str">
        <f t="shared" si="16"/>
        <v>OK</v>
      </c>
      <c r="Y173" t="str">
        <f>IF(MAIN!$H$3="Selected Year",IF(A173=MAIN!$B$3,"Yes","No"),IF(MAIN!$H$3="Included Years",IF(D173="Yes","Yes","No"),IF(C173="Yes","Yes","No")))</f>
        <v>Yes</v>
      </c>
      <c r="Z173" t="str">
        <f>IF(MAIN!$F$3="Project to Date",IF(AND(A173&gt;=SETTINGS!$B$4,A173&lt;MAIN!$B$3),"Yes",IF(AND(A173=MAIN!$B$3,E173&lt;=MAIN!$L$3),"Yes","No")),IF(OR(MAIN!$F$3="Full Year",MAIN!$D$3="All"),"Yes",IF(MAIN!$F$3="Monthly",IF(E173=MAIN!$L$3,"Yes","No"),IF(E173&lt;=MAIN!$L$3,"Yes","No"))))</f>
        <v>Yes</v>
      </c>
      <c r="AA173" t="str">
        <f t="shared" si="17"/>
        <v>Yes</v>
      </c>
    </row>
    <row r="174" spans="1:27" x14ac:dyDescent="0.3">
      <c r="A174">
        <f>INDEX(SETTINGS!$A$15:$A$24,$B174)</f>
        <v>2025</v>
      </c>
      <c r="B174">
        <v>1</v>
      </c>
      <c r="C174" t="str">
        <f>IF(AND(A174&gt;=SETTINGS!$B$4,A174&lt;=SETTINGS!$B$5),"Yes","No")</f>
        <v>Yes</v>
      </c>
      <c r="D174" t="str">
        <f>IFERROR(INDEX(SETTINGS!$C$15:$C$24,MATCH(A174,SETTINGS!$A$15:$A$24,0)),"No")</f>
        <v>Yes</v>
      </c>
      <c r="E174">
        <v>10</v>
      </c>
      <c r="F174" t="s">
        <v>43</v>
      </c>
      <c r="G174">
        <v>226</v>
      </c>
      <c r="H174" t="s">
        <v>91</v>
      </c>
      <c r="I174" t="s">
        <v>89</v>
      </c>
      <c r="J174" t="s">
        <v>11</v>
      </c>
      <c r="K174" t="s">
        <v>12</v>
      </c>
      <c r="L174" s="36">
        <f ca="1">IF(C174&lt;&gt;"Yes",0,IF(A174=2025,N('2025'!D226),IF(A174=2026,N('2026'!D226),IF(A174=2027,N('2027'!D226),IF(A174=2028,N('2028'!D226),IF(A174=2029,N('2029'!D226),IF(A174=2030,N('2030'!D226),IF(A174=2031,N('2031'!D226),IF(A174=2032,N('2032'!D226),IF(A174=2033,N('2033'!D226),IF(A174=2034,N('2034'!D226),IFERROR(N(INDIRECT("'"&amp;A174&amp;"'!D"&amp;G174)),0))))))))))))</f>
        <v>14779.5</v>
      </c>
      <c r="M174" s="36">
        <f>IFERROR(IF(NOT(ISBLANK(KPI_TARGETS!$G$6)),KPI_TARGETS!$G$6,IF(NOT(ISBLANK(KPI_TARGETS!$F$6)),KPI_TARGETS!$F$6,"")),"")</f>
        <v>4000</v>
      </c>
      <c r="N174" s="36" t="str">
        <f>IFERROR(KPI_TARGETS!$E$6,"Higher is better")</f>
        <v>Higher is better</v>
      </c>
      <c r="O174" s="37">
        <f t="shared" ca="1" si="12"/>
        <v>3.6948750000000001</v>
      </c>
      <c r="P174" t="str">
        <f t="shared" ca="1" si="13"/>
        <v>Green</v>
      </c>
      <c r="Q174" s="36">
        <f t="shared" ca="1" si="14"/>
        <v>10779.5</v>
      </c>
      <c r="R174" s="36" t="str">
        <f>""</f>
        <v/>
      </c>
      <c r="S174" s="36" t="str">
        <f>""</f>
        <v/>
      </c>
      <c r="T174" s="36" t="str">
        <f>""</f>
        <v/>
      </c>
      <c r="U174" s="36" t="str">
        <f>""</f>
        <v/>
      </c>
      <c r="V174" s="36" t="str">
        <f>""</f>
        <v/>
      </c>
      <c r="W174" s="36">
        <f t="shared" si="15"/>
        <v>1</v>
      </c>
      <c r="X174" t="str">
        <f t="shared" si="16"/>
        <v>OK</v>
      </c>
      <c r="Y174" t="str">
        <f>IF(MAIN!$H$3="Selected Year",IF(A174=MAIN!$B$3,"Yes","No"),IF(MAIN!$H$3="Included Years",IF(D174="Yes","Yes","No"),IF(C174="Yes","Yes","No")))</f>
        <v>Yes</v>
      </c>
      <c r="Z174" t="str">
        <f>IF(MAIN!$F$3="Project to Date",IF(AND(A174&gt;=SETTINGS!$B$4,A174&lt;MAIN!$B$3),"Yes",IF(AND(A174=MAIN!$B$3,E174&lt;=MAIN!$L$3),"Yes","No")),IF(OR(MAIN!$F$3="Full Year",MAIN!$D$3="All"),"Yes",IF(MAIN!$F$3="Monthly",IF(E174=MAIN!$L$3,"Yes","No"),IF(E174&lt;=MAIN!$L$3,"Yes","No"))))</f>
        <v>Yes</v>
      </c>
      <c r="AA174" t="str">
        <f t="shared" si="17"/>
        <v>Yes</v>
      </c>
    </row>
    <row r="175" spans="1:27" x14ac:dyDescent="0.3">
      <c r="A175">
        <f>INDEX(SETTINGS!$A$15:$A$24,$B175)</f>
        <v>2025</v>
      </c>
      <c r="B175">
        <v>1</v>
      </c>
      <c r="C175" t="str">
        <f>IF(AND(A175&gt;=SETTINGS!$B$4,A175&lt;=SETTINGS!$B$5),"Yes","No")</f>
        <v>Yes</v>
      </c>
      <c r="D175" t="str">
        <f>IFERROR(INDEX(SETTINGS!$C$15:$C$24,MATCH(A175,SETTINGS!$A$15:$A$24,0)),"No")</f>
        <v>Yes</v>
      </c>
      <c r="E175">
        <v>10</v>
      </c>
      <c r="F175" t="s">
        <v>43</v>
      </c>
      <c r="G175">
        <v>227</v>
      </c>
      <c r="H175" t="s">
        <v>93</v>
      </c>
      <c r="I175" t="s">
        <v>89</v>
      </c>
      <c r="J175" t="s">
        <v>13</v>
      </c>
      <c r="K175" t="s">
        <v>14</v>
      </c>
      <c r="L175" s="36">
        <f ca="1">IF(C175&lt;&gt;"Yes",0,IF(A175=2025,N('2025'!D227),IF(A175=2026,N('2026'!D227),IF(A175=2027,N('2027'!D227),IF(A175=2028,N('2028'!D227),IF(A175=2029,N('2029'!D227),IF(A175=2030,N('2030'!D227),IF(A175=2031,N('2031'!D227),IF(A175=2032,N('2032'!D227),IF(A175=2033,N('2033'!D227),IF(A175=2034,N('2034'!D227),IFERROR(N(INDIRECT("'"&amp;A175&amp;"'!D"&amp;G175)),0))))))))))))</f>
        <v>0</v>
      </c>
      <c r="M175" s="36">
        <f>IFERROR(IF(NOT(ISBLANK(KPI_TARGETS!$G$7)),KPI_TARGETS!$G$7,IF(NOT(ISBLANK(KPI_TARGETS!$F$7)),KPI_TARGETS!$F$7,"")),"")</f>
        <v>8000</v>
      </c>
      <c r="N175" s="36" t="str">
        <f>IFERROR(KPI_TARGETS!$E$7,"Higher is better")</f>
        <v>Higher is better</v>
      </c>
      <c r="O175" s="37">
        <f t="shared" ca="1" si="12"/>
        <v>0</v>
      </c>
      <c r="P175" t="str">
        <f t="shared" ca="1" si="13"/>
        <v>Red</v>
      </c>
      <c r="Q175" s="36">
        <f t="shared" ca="1" si="14"/>
        <v>-8000</v>
      </c>
      <c r="R175" s="36" t="str">
        <f>""</f>
        <v/>
      </c>
      <c r="S175" s="36" t="str">
        <f>""</f>
        <v/>
      </c>
      <c r="T175" s="36" t="str">
        <f>""</f>
        <v/>
      </c>
      <c r="U175" s="36" t="str">
        <f>""</f>
        <v/>
      </c>
      <c r="V175" s="36" t="str">
        <f>""</f>
        <v/>
      </c>
      <c r="W175" s="36">
        <f t="shared" si="15"/>
        <v>1</v>
      </c>
      <c r="X175" t="str">
        <f t="shared" si="16"/>
        <v>OK</v>
      </c>
      <c r="Y175" t="str">
        <f>IF(MAIN!$H$3="Selected Year",IF(A175=MAIN!$B$3,"Yes","No"),IF(MAIN!$H$3="Included Years",IF(D175="Yes","Yes","No"),IF(C175="Yes","Yes","No")))</f>
        <v>Yes</v>
      </c>
      <c r="Z175" t="str">
        <f>IF(MAIN!$F$3="Project to Date",IF(AND(A175&gt;=SETTINGS!$B$4,A175&lt;MAIN!$B$3),"Yes",IF(AND(A175=MAIN!$B$3,E175&lt;=MAIN!$L$3),"Yes","No")),IF(OR(MAIN!$F$3="Full Year",MAIN!$D$3="All"),"Yes",IF(MAIN!$F$3="Monthly",IF(E175=MAIN!$L$3,"Yes","No"),IF(E175&lt;=MAIN!$L$3,"Yes","No"))))</f>
        <v>Yes</v>
      </c>
      <c r="AA175" t="str">
        <f t="shared" si="17"/>
        <v>Yes</v>
      </c>
    </row>
    <row r="176" spans="1:27" x14ac:dyDescent="0.3">
      <c r="A176">
        <f>INDEX(SETTINGS!$A$15:$A$24,$B176)</f>
        <v>2025</v>
      </c>
      <c r="B176">
        <v>1</v>
      </c>
      <c r="C176" t="str">
        <f>IF(AND(A176&gt;=SETTINGS!$B$4,A176&lt;=SETTINGS!$B$5),"Yes","No")</f>
        <v>Yes</v>
      </c>
      <c r="D176" t="str">
        <f>IFERROR(INDEX(SETTINGS!$C$15:$C$24,MATCH(A176,SETTINGS!$A$15:$A$24,0)),"No")</f>
        <v>Yes</v>
      </c>
      <c r="E176">
        <v>10</v>
      </c>
      <c r="F176" t="s">
        <v>43</v>
      </c>
      <c r="G176">
        <v>229</v>
      </c>
      <c r="H176" t="s">
        <v>95</v>
      </c>
      <c r="I176" t="s">
        <v>15</v>
      </c>
      <c r="J176" t="s">
        <v>16</v>
      </c>
      <c r="K176" t="s">
        <v>3</v>
      </c>
      <c r="L176" s="36">
        <f ca="1">IF(C176&lt;&gt;"Yes",0,IF(A176=2025,N('2025'!D229),IF(A176=2026,N('2026'!D229),IF(A176=2027,N('2027'!D229),IF(A176=2028,N('2028'!D229),IF(A176=2029,N('2029'!D229),IF(A176=2030,N('2030'!D229),IF(A176=2031,N('2031'!D229),IF(A176=2032,N('2032'!D229),IF(A176=2033,N('2033'!D229),IF(A176=2034,N('2034'!D229),IFERROR(N(INDIRECT("'"&amp;A176&amp;"'!D"&amp;G176)),0))))))))))))</f>
        <v>0</v>
      </c>
      <c r="M176" s="36">
        <f>IFERROR(IF(NOT(ISBLANK(KPI_TARGETS!$G$8)),KPI_TARGETS!$G$8,IF(NOT(ISBLANK(KPI_TARGETS!$F$8)),KPI_TARGETS!$F$8,"")),"")</f>
        <v>0</v>
      </c>
      <c r="N176" s="36" t="str">
        <f>IFERROR(KPI_TARGETS!$E$8,"Higher is better")</f>
        <v>Lower is better</v>
      </c>
      <c r="O176" s="37">
        <f t="shared" ca="1" si="12"/>
        <v>1</v>
      </c>
      <c r="P176" t="str">
        <f t="shared" ca="1" si="13"/>
        <v>Green</v>
      </c>
      <c r="Q176" s="36">
        <f t="shared" ca="1" si="14"/>
        <v>0</v>
      </c>
      <c r="R176" s="36" t="str">
        <f>""</f>
        <v/>
      </c>
      <c r="S176" s="36" t="str">
        <f>""</f>
        <v/>
      </c>
      <c r="T176" s="36" t="str">
        <f>""</f>
        <v/>
      </c>
      <c r="U176" s="36" t="str">
        <f>""</f>
        <v/>
      </c>
      <c r="V176" s="36" t="str">
        <f>""</f>
        <v/>
      </c>
      <c r="W176" s="36">
        <f t="shared" si="15"/>
        <v>1</v>
      </c>
      <c r="X176" t="str">
        <f t="shared" si="16"/>
        <v>OK</v>
      </c>
      <c r="Y176" t="str">
        <f>IF(MAIN!$H$3="Selected Year",IF(A176=MAIN!$B$3,"Yes","No"),IF(MAIN!$H$3="Included Years",IF(D176="Yes","Yes","No"),IF(C176="Yes","Yes","No")))</f>
        <v>Yes</v>
      </c>
      <c r="Z176" t="str">
        <f>IF(MAIN!$F$3="Project to Date",IF(AND(A176&gt;=SETTINGS!$B$4,A176&lt;MAIN!$B$3),"Yes",IF(AND(A176=MAIN!$B$3,E176&lt;=MAIN!$L$3),"Yes","No")),IF(OR(MAIN!$F$3="Full Year",MAIN!$D$3="All"),"Yes",IF(MAIN!$F$3="Monthly",IF(E176=MAIN!$L$3,"Yes","No"),IF(E176&lt;=MAIN!$L$3,"Yes","No"))))</f>
        <v>Yes</v>
      </c>
      <c r="AA176" t="str">
        <f t="shared" si="17"/>
        <v>Yes</v>
      </c>
    </row>
    <row r="177" spans="1:27" x14ac:dyDescent="0.3">
      <c r="A177">
        <f>INDEX(SETTINGS!$A$15:$A$24,$B177)</f>
        <v>2025</v>
      </c>
      <c r="B177">
        <v>1</v>
      </c>
      <c r="C177" t="str">
        <f>IF(AND(A177&gt;=SETTINGS!$B$4,A177&lt;=SETTINGS!$B$5),"Yes","No")</f>
        <v>Yes</v>
      </c>
      <c r="D177" t="str">
        <f>IFERROR(INDEX(SETTINGS!$C$15:$C$24,MATCH(A177,SETTINGS!$A$15:$A$24,0)),"No")</f>
        <v>Yes</v>
      </c>
      <c r="E177">
        <v>10</v>
      </c>
      <c r="F177" t="s">
        <v>43</v>
      </c>
      <c r="G177">
        <v>230</v>
      </c>
      <c r="H177" t="s">
        <v>97</v>
      </c>
      <c r="I177" t="s">
        <v>15</v>
      </c>
      <c r="J177" t="s">
        <v>17</v>
      </c>
      <c r="K177" t="s">
        <v>3</v>
      </c>
      <c r="L177" s="36">
        <f ca="1">IF(C177&lt;&gt;"Yes",0,IF(A177=2025,N('2025'!D230),IF(A177=2026,N('2026'!D230),IF(A177=2027,N('2027'!D230),IF(A177=2028,N('2028'!D230),IF(A177=2029,N('2029'!D230),IF(A177=2030,N('2030'!D230),IF(A177=2031,N('2031'!D230),IF(A177=2032,N('2032'!D230),IF(A177=2033,N('2033'!D230),IF(A177=2034,N('2034'!D230),IFERROR(N(INDIRECT("'"&amp;A177&amp;"'!D"&amp;G177)),0))))))))))))</f>
        <v>0</v>
      </c>
      <c r="M177" s="36">
        <f>IFERROR(IF(NOT(ISBLANK(KPI_TARGETS!$G$9)),KPI_TARGETS!$G$9,IF(NOT(ISBLANK(KPI_TARGETS!$F$9)),KPI_TARGETS!$F$9,"")),"")</f>
        <v>0</v>
      </c>
      <c r="N177" s="36" t="str">
        <f>IFERROR(KPI_TARGETS!$E$9,"Higher is better")</f>
        <v>Higher is better</v>
      </c>
      <c r="O177" s="37" t="str">
        <f t="shared" ca="1" si="12"/>
        <v/>
      </c>
      <c r="P177" t="str">
        <f t="shared" ca="1" si="13"/>
        <v>Green</v>
      </c>
      <c r="Q177" s="36">
        <f t="shared" ca="1" si="14"/>
        <v>0</v>
      </c>
      <c r="R177" s="36" t="str">
        <f>""</f>
        <v/>
      </c>
      <c r="S177" s="36" t="str">
        <f>""</f>
        <v/>
      </c>
      <c r="T177" s="36" t="str">
        <f>""</f>
        <v/>
      </c>
      <c r="U177" s="36" t="str">
        <f>""</f>
        <v/>
      </c>
      <c r="V177" s="36" t="str">
        <f>""</f>
        <v/>
      </c>
      <c r="W177" s="36">
        <f t="shared" si="15"/>
        <v>1</v>
      </c>
      <c r="X177" t="str">
        <f t="shared" si="16"/>
        <v>OK</v>
      </c>
      <c r="Y177" t="str">
        <f>IF(MAIN!$H$3="Selected Year",IF(A177=MAIN!$B$3,"Yes","No"),IF(MAIN!$H$3="Included Years",IF(D177="Yes","Yes","No"),IF(C177="Yes","Yes","No")))</f>
        <v>Yes</v>
      </c>
      <c r="Z177" t="str">
        <f>IF(MAIN!$F$3="Project to Date",IF(AND(A177&gt;=SETTINGS!$B$4,A177&lt;MAIN!$B$3),"Yes",IF(AND(A177=MAIN!$B$3,E177&lt;=MAIN!$L$3),"Yes","No")),IF(OR(MAIN!$F$3="Full Year",MAIN!$D$3="All"),"Yes",IF(MAIN!$F$3="Monthly",IF(E177=MAIN!$L$3,"Yes","No"),IF(E177&lt;=MAIN!$L$3,"Yes","No"))))</f>
        <v>Yes</v>
      </c>
      <c r="AA177" t="str">
        <f t="shared" si="17"/>
        <v>Yes</v>
      </c>
    </row>
    <row r="178" spans="1:27" x14ac:dyDescent="0.3">
      <c r="A178">
        <f>INDEX(SETTINGS!$A$15:$A$24,$B178)</f>
        <v>2025</v>
      </c>
      <c r="B178">
        <v>1</v>
      </c>
      <c r="C178" t="str">
        <f>IF(AND(A178&gt;=SETTINGS!$B$4,A178&lt;=SETTINGS!$B$5),"Yes","No")</f>
        <v>Yes</v>
      </c>
      <c r="D178" t="str">
        <f>IFERROR(INDEX(SETTINGS!$C$15:$C$24,MATCH(A178,SETTINGS!$A$15:$A$24,0)),"No")</f>
        <v>Yes</v>
      </c>
      <c r="E178">
        <v>10</v>
      </c>
      <c r="F178" t="s">
        <v>43</v>
      </c>
      <c r="G178">
        <v>231</v>
      </c>
      <c r="H178" t="s">
        <v>99</v>
      </c>
      <c r="I178" t="s">
        <v>15</v>
      </c>
      <c r="J178" t="s">
        <v>18</v>
      </c>
      <c r="K178" t="s">
        <v>3</v>
      </c>
      <c r="L178" s="36">
        <f ca="1">IF(C178&lt;&gt;"Yes",0,IF(A178=2025,N('2025'!D231),IF(A178=2026,N('2026'!D231),IF(A178=2027,N('2027'!D231),IF(A178=2028,N('2028'!D231),IF(A178=2029,N('2029'!D231),IF(A178=2030,N('2030'!D231),IF(A178=2031,N('2031'!D231),IF(A178=2032,N('2032'!D231),IF(A178=2033,N('2033'!D231),IF(A178=2034,N('2034'!D231),IFERROR(N(INDIRECT("'"&amp;A178&amp;"'!D"&amp;G178)),0))))))))))))</f>
        <v>0</v>
      </c>
      <c r="M178" s="36">
        <f>IFERROR(IF(NOT(ISBLANK(KPI_TARGETS!$G$10)),KPI_TARGETS!$G$10,IF(NOT(ISBLANK(KPI_TARGETS!$F$10)),KPI_TARGETS!$F$10,"")),"")</f>
        <v>0</v>
      </c>
      <c r="N178" s="36" t="str">
        <f>IFERROR(KPI_TARGETS!$E$10,"Higher is better")</f>
        <v>Lower is better</v>
      </c>
      <c r="O178" s="37">
        <f t="shared" ca="1" si="12"/>
        <v>1</v>
      </c>
      <c r="P178" t="str">
        <f t="shared" ca="1" si="13"/>
        <v>Green</v>
      </c>
      <c r="Q178" s="36">
        <f t="shared" ca="1" si="14"/>
        <v>0</v>
      </c>
      <c r="R178" s="36" t="str">
        <f>""</f>
        <v/>
      </c>
      <c r="S178" s="36" t="str">
        <f>""</f>
        <v/>
      </c>
      <c r="T178" s="36" t="str">
        <f>""</f>
        <v/>
      </c>
      <c r="U178" s="36" t="str">
        <f>""</f>
        <v/>
      </c>
      <c r="V178" s="36" t="str">
        <f>""</f>
        <v/>
      </c>
      <c r="W178" s="36">
        <f t="shared" si="15"/>
        <v>1</v>
      </c>
      <c r="X178" t="str">
        <f t="shared" si="16"/>
        <v>OK</v>
      </c>
      <c r="Y178" t="str">
        <f>IF(MAIN!$H$3="Selected Year",IF(A178=MAIN!$B$3,"Yes","No"),IF(MAIN!$H$3="Included Years",IF(D178="Yes","Yes","No"),IF(C178="Yes","Yes","No")))</f>
        <v>Yes</v>
      </c>
      <c r="Z178" t="str">
        <f>IF(MAIN!$F$3="Project to Date",IF(AND(A178&gt;=SETTINGS!$B$4,A178&lt;MAIN!$B$3),"Yes",IF(AND(A178=MAIN!$B$3,E178&lt;=MAIN!$L$3),"Yes","No")),IF(OR(MAIN!$F$3="Full Year",MAIN!$D$3="All"),"Yes",IF(MAIN!$F$3="Monthly",IF(E178=MAIN!$L$3,"Yes","No"),IF(E178&lt;=MAIN!$L$3,"Yes","No"))))</f>
        <v>Yes</v>
      </c>
      <c r="AA178" t="str">
        <f t="shared" si="17"/>
        <v>Yes</v>
      </c>
    </row>
    <row r="179" spans="1:27" x14ac:dyDescent="0.3">
      <c r="A179">
        <f>INDEX(SETTINGS!$A$15:$A$24,$B179)</f>
        <v>2025</v>
      </c>
      <c r="B179">
        <v>1</v>
      </c>
      <c r="C179" t="str">
        <f>IF(AND(A179&gt;=SETTINGS!$B$4,A179&lt;=SETTINGS!$B$5),"Yes","No")</f>
        <v>Yes</v>
      </c>
      <c r="D179" t="str">
        <f>IFERROR(INDEX(SETTINGS!$C$15:$C$24,MATCH(A179,SETTINGS!$A$15:$A$24,0)),"No")</f>
        <v>Yes</v>
      </c>
      <c r="E179">
        <v>10</v>
      </c>
      <c r="F179" t="s">
        <v>43</v>
      </c>
      <c r="G179">
        <v>232</v>
      </c>
      <c r="H179" t="s">
        <v>100</v>
      </c>
      <c r="I179" t="s">
        <v>15</v>
      </c>
      <c r="J179" t="s">
        <v>19</v>
      </c>
      <c r="K179" t="s">
        <v>3</v>
      </c>
      <c r="L179" s="36">
        <f ca="1">IF(C179&lt;&gt;"Yes",0,IF(A179=2025,N('2025'!D232),IF(A179=2026,N('2026'!D232),IF(A179=2027,N('2027'!D232),IF(A179=2028,N('2028'!D232),IF(A179=2029,N('2029'!D232),IF(A179=2030,N('2030'!D232),IF(A179=2031,N('2031'!D232),IF(A179=2032,N('2032'!D232),IF(A179=2033,N('2033'!D232),IF(A179=2034,N('2034'!D232),IFERROR(N(INDIRECT("'"&amp;A179&amp;"'!D"&amp;G179)),0))))))))))))</f>
        <v>0</v>
      </c>
      <c r="M179" s="36">
        <f>IFERROR(IF(NOT(ISBLANK(KPI_TARGETS!$G$11)),KPI_TARGETS!$G$11,IF(NOT(ISBLANK(KPI_TARGETS!$F$11)),KPI_TARGETS!$F$11,"")),"")</f>
        <v>0</v>
      </c>
      <c r="N179" s="36" t="str">
        <f>IFERROR(KPI_TARGETS!$E$11,"Higher is better")</f>
        <v>Lower is better</v>
      </c>
      <c r="O179" s="37">
        <f t="shared" ca="1" si="12"/>
        <v>1</v>
      </c>
      <c r="P179" t="str">
        <f t="shared" ca="1" si="13"/>
        <v>Green</v>
      </c>
      <c r="Q179" s="36">
        <f t="shared" ca="1" si="14"/>
        <v>0</v>
      </c>
      <c r="R179" s="36" t="str">
        <f>""</f>
        <v/>
      </c>
      <c r="S179" s="36" t="str">
        <f>""</f>
        <v/>
      </c>
      <c r="T179" s="36" t="str">
        <f>""</f>
        <v/>
      </c>
      <c r="U179" s="36" t="str">
        <f>""</f>
        <v/>
      </c>
      <c r="V179" s="36" t="str">
        <f>""</f>
        <v/>
      </c>
      <c r="W179" s="36">
        <f t="shared" si="15"/>
        <v>1</v>
      </c>
      <c r="X179" t="str">
        <f t="shared" si="16"/>
        <v>OK</v>
      </c>
      <c r="Y179" t="str">
        <f>IF(MAIN!$H$3="Selected Year",IF(A179=MAIN!$B$3,"Yes","No"),IF(MAIN!$H$3="Included Years",IF(D179="Yes","Yes","No"),IF(C179="Yes","Yes","No")))</f>
        <v>Yes</v>
      </c>
      <c r="Z179" t="str">
        <f>IF(MAIN!$F$3="Project to Date",IF(AND(A179&gt;=SETTINGS!$B$4,A179&lt;MAIN!$B$3),"Yes",IF(AND(A179=MAIN!$B$3,E179&lt;=MAIN!$L$3),"Yes","No")),IF(OR(MAIN!$F$3="Full Year",MAIN!$D$3="All"),"Yes",IF(MAIN!$F$3="Monthly",IF(E179=MAIN!$L$3,"Yes","No"),IF(E179&lt;=MAIN!$L$3,"Yes","No"))))</f>
        <v>Yes</v>
      </c>
      <c r="AA179" t="str">
        <f t="shared" si="17"/>
        <v>Yes</v>
      </c>
    </row>
    <row r="180" spans="1:27" x14ac:dyDescent="0.3">
      <c r="A180">
        <f>INDEX(SETTINGS!$A$15:$A$24,$B180)</f>
        <v>2025</v>
      </c>
      <c r="B180">
        <v>1</v>
      </c>
      <c r="C180" t="str">
        <f>IF(AND(A180&gt;=SETTINGS!$B$4,A180&lt;=SETTINGS!$B$5),"Yes","No")</f>
        <v>Yes</v>
      </c>
      <c r="D180" t="str">
        <f>IFERROR(INDEX(SETTINGS!$C$15:$C$24,MATCH(A180,SETTINGS!$A$15:$A$24,0)),"No")</f>
        <v>Yes</v>
      </c>
      <c r="E180">
        <v>10</v>
      </c>
      <c r="F180" t="s">
        <v>43</v>
      </c>
      <c r="G180">
        <v>233</v>
      </c>
      <c r="H180" t="s">
        <v>101</v>
      </c>
      <c r="I180" t="s">
        <v>15</v>
      </c>
      <c r="J180" t="s">
        <v>20</v>
      </c>
      <c r="K180" t="s">
        <v>3</v>
      </c>
      <c r="L180" s="36">
        <f ca="1">IF(C180&lt;&gt;"Yes",0,IF(A180=2025,N('2025'!D233),IF(A180=2026,N('2026'!D233),IF(A180=2027,N('2027'!D233),IF(A180=2028,N('2028'!D233),IF(A180=2029,N('2029'!D233),IF(A180=2030,N('2030'!D233),IF(A180=2031,N('2031'!D233),IF(A180=2032,N('2032'!D233),IF(A180=2033,N('2033'!D233),IF(A180=2034,N('2034'!D233),IFERROR(N(INDIRECT("'"&amp;A180&amp;"'!D"&amp;G180)),0))))))))))))</f>
        <v>0</v>
      </c>
      <c r="M180" s="36">
        <f>IFERROR(IF(NOT(ISBLANK(KPI_TARGETS!$G$12)),KPI_TARGETS!$G$12,IF(NOT(ISBLANK(KPI_TARGETS!$F$12)),KPI_TARGETS!$F$12,"")),"")</f>
        <v>0</v>
      </c>
      <c r="N180" s="36" t="str">
        <f>IFERROR(KPI_TARGETS!$E$12,"Higher is better")</f>
        <v>Lower is better</v>
      </c>
      <c r="O180" s="37">
        <f t="shared" ca="1" si="12"/>
        <v>1</v>
      </c>
      <c r="P180" t="str">
        <f t="shared" ca="1" si="13"/>
        <v>Green</v>
      </c>
      <c r="Q180" s="36">
        <f t="shared" ca="1" si="14"/>
        <v>0</v>
      </c>
      <c r="R180" s="36" t="str">
        <f>""</f>
        <v/>
      </c>
      <c r="S180" s="36" t="str">
        <f>""</f>
        <v/>
      </c>
      <c r="T180" s="36" t="str">
        <f>""</f>
        <v/>
      </c>
      <c r="U180" s="36" t="str">
        <f>""</f>
        <v/>
      </c>
      <c r="V180" s="36" t="str">
        <f>""</f>
        <v/>
      </c>
      <c r="W180" s="36">
        <f t="shared" si="15"/>
        <v>1</v>
      </c>
      <c r="X180" t="str">
        <f t="shared" si="16"/>
        <v>OK</v>
      </c>
      <c r="Y180" t="str">
        <f>IF(MAIN!$H$3="Selected Year",IF(A180=MAIN!$B$3,"Yes","No"),IF(MAIN!$H$3="Included Years",IF(D180="Yes","Yes","No"),IF(C180="Yes","Yes","No")))</f>
        <v>Yes</v>
      </c>
      <c r="Z180" t="str">
        <f>IF(MAIN!$F$3="Project to Date",IF(AND(A180&gt;=SETTINGS!$B$4,A180&lt;MAIN!$B$3),"Yes",IF(AND(A180=MAIN!$B$3,E180&lt;=MAIN!$L$3),"Yes","No")),IF(OR(MAIN!$F$3="Full Year",MAIN!$D$3="All"),"Yes",IF(MAIN!$F$3="Monthly",IF(E180=MAIN!$L$3,"Yes","No"),IF(E180&lt;=MAIN!$L$3,"Yes","No"))))</f>
        <v>Yes</v>
      </c>
      <c r="AA180" t="str">
        <f t="shared" si="17"/>
        <v>Yes</v>
      </c>
    </row>
    <row r="181" spans="1:27" x14ac:dyDescent="0.3">
      <c r="A181">
        <f>INDEX(SETTINGS!$A$15:$A$24,$B181)</f>
        <v>2025</v>
      </c>
      <c r="B181">
        <v>1</v>
      </c>
      <c r="C181" t="str">
        <f>IF(AND(A181&gt;=SETTINGS!$B$4,A181&lt;=SETTINGS!$B$5),"Yes","No")</f>
        <v>Yes</v>
      </c>
      <c r="D181" t="str">
        <f>IFERROR(INDEX(SETTINGS!$C$15:$C$24,MATCH(A181,SETTINGS!$A$15:$A$24,0)),"No")</f>
        <v>Yes</v>
      </c>
      <c r="E181">
        <v>10</v>
      </c>
      <c r="F181" t="s">
        <v>43</v>
      </c>
      <c r="G181">
        <v>234</v>
      </c>
      <c r="H181" t="s">
        <v>102</v>
      </c>
      <c r="I181" t="s">
        <v>15</v>
      </c>
      <c r="J181" t="s">
        <v>21</v>
      </c>
      <c r="K181" t="s">
        <v>3</v>
      </c>
      <c r="L181" s="36">
        <f ca="1">IF(C181&lt;&gt;"Yes",0,IF(A181=2025,N('2025'!D234),IF(A181=2026,N('2026'!D234),IF(A181=2027,N('2027'!D234),IF(A181=2028,N('2028'!D234),IF(A181=2029,N('2029'!D234),IF(A181=2030,N('2030'!D234),IF(A181=2031,N('2031'!D234),IF(A181=2032,N('2032'!D234),IF(A181=2033,N('2033'!D234),IF(A181=2034,N('2034'!D234),IFERROR(N(INDIRECT("'"&amp;A181&amp;"'!D"&amp;G181)),0))))))))))))</f>
        <v>0</v>
      </c>
      <c r="M181" s="36">
        <f>IFERROR(IF(NOT(ISBLANK(KPI_TARGETS!$G$13)),KPI_TARGETS!$G$13,IF(NOT(ISBLANK(KPI_TARGETS!$F$13)),KPI_TARGETS!$F$13,"")),"")</f>
        <v>0</v>
      </c>
      <c r="N181" s="36" t="str">
        <f>IFERROR(KPI_TARGETS!$E$13,"Higher is better")</f>
        <v>Lower is better</v>
      </c>
      <c r="O181" s="37">
        <f t="shared" ca="1" si="12"/>
        <v>1</v>
      </c>
      <c r="P181" t="str">
        <f t="shared" ca="1" si="13"/>
        <v>Green</v>
      </c>
      <c r="Q181" s="36">
        <f t="shared" ca="1" si="14"/>
        <v>0</v>
      </c>
      <c r="R181" s="36" t="str">
        <f>""</f>
        <v/>
      </c>
      <c r="S181" s="36" t="str">
        <f>""</f>
        <v/>
      </c>
      <c r="T181" s="36" t="str">
        <f>""</f>
        <v/>
      </c>
      <c r="U181" s="36" t="str">
        <f>""</f>
        <v/>
      </c>
      <c r="V181" s="36" t="str">
        <f>""</f>
        <v/>
      </c>
      <c r="W181" s="36">
        <f t="shared" si="15"/>
        <v>1</v>
      </c>
      <c r="X181" t="str">
        <f t="shared" si="16"/>
        <v>OK</v>
      </c>
      <c r="Y181" t="str">
        <f>IF(MAIN!$H$3="Selected Year",IF(A181=MAIN!$B$3,"Yes","No"),IF(MAIN!$H$3="Included Years",IF(D181="Yes","Yes","No"),IF(C181="Yes","Yes","No")))</f>
        <v>Yes</v>
      </c>
      <c r="Z181" t="str">
        <f>IF(MAIN!$F$3="Project to Date",IF(AND(A181&gt;=SETTINGS!$B$4,A181&lt;MAIN!$B$3),"Yes",IF(AND(A181=MAIN!$B$3,E181&lt;=MAIN!$L$3),"Yes","No")),IF(OR(MAIN!$F$3="Full Year",MAIN!$D$3="All"),"Yes",IF(MAIN!$F$3="Monthly",IF(E181=MAIN!$L$3,"Yes","No"),IF(E181&lt;=MAIN!$L$3,"Yes","No"))))</f>
        <v>Yes</v>
      </c>
      <c r="AA181" t="str">
        <f t="shared" si="17"/>
        <v>Yes</v>
      </c>
    </row>
    <row r="182" spans="1:27" x14ac:dyDescent="0.3">
      <c r="A182">
        <f>INDEX(SETTINGS!$A$15:$A$24,$B182)</f>
        <v>2025</v>
      </c>
      <c r="B182">
        <v>1</v>
      </c>
      <c r="C182" t="str">
        <f>IF(AND(A182&gt;=SETTINGS!$B$4,A182&lt;=SETTINGS!$B$5),"Yes","No")</f>
        <v>Yes</v>
      </c>
      <c r="D182" t="str">
        <f>IFERROR(INDEX(SETTINGS!$C$15:$C$24,MATCH(A182,SETTINGS!$A$15:$A$24,0)),"No")</f>
        <v>Yes</v>
      </c>
      <c r="E182">
        <v>10</v>
      </c>
      <c r="F182" t="s">
        <v>43</v>
      </c>
      <c r="G182">
        <v>236</v>
      </c>
      <c r="H182" t="s">
        <v>103</v>
      </c>
      <c r="I182" t="s">
        <v>22</v>
      </c>
      <c r="J182" t="s">
        <v>23</v>
      </c>
      <c r="K182" t="s">
        <v>3</v>
      </c>
      <c r="L182" s="36">
        <f ca="1">IF(C182&lt;&gt;"Yes",0,IF(A182=2025,N('2025'!D236),IF(A182=2026,N('2026'!D236),IF(A182=2027,N('2027'!D236),IF(A182=2028,N('2028'!D236),IF(A182=2029,N('2029'!D236),IF(A182=2030,N('2030'!D236),IF(A182=2031,N('2031'!D236),IF(A182=2032,N('2032'!D236),IF(A182=2033,N('2033'!D236),IF(A182=2034,N('2034'!D236),IFERROR(N(INDIRECT("'"&amp;A182&amp;"'!D"&amp;G182)),0))))))))))))</f>
        <v>41</v>
      </c>
      <c r="M182" s="36">
        <f>IFERROR(IF(NOT(ISBLANK(KPI_TARGETS!$G$14)),KPI_TARGETS!$G$14,IF(NOT(ISBLANK(KPI_TARGETS!$F$14)),KPI_TARGETS!$F$14,"")),"")</f>
        <v>35</v>
      </c>
      <c r="N182" s="36" t="str">
        <f>IFERROR(KPI_TARGETS!$E$14,"Higher is better")</f>
        <v>Higher is better</v>
      </c>
      <c r="O182" s="37">
        <f t="shared" ca="1" si="12"/>
        <v>1.1714285714285715</v>
      </c>
      <c r="P182" t="str">
        <f t="shared" ca="1" si="13"/>
        <v>Green</v>
      </c>
      <c r="Q182" s="36">
        <f t="shared" ca="1" si="14"/>
        <v>6</v>
      </c>
      <c r="R182" s="36" t="str">
        <f>""</f>
        <v/>
      </c>
      <c r="S182" s="36" t="str">
        <f>""</f>
        <v/>
      </c>
      <c r="T182" s="36" t="str">
        <f>""</f>
        <v/>
      </c>
      <c r="U182" s="36" t="str">
        <f>""</f>
        <v/>
      </c>
      <c r="V182" s="36" t="str">
        <f>""</f>
        <v/>
      </c>
      <c r="W182" s="36">
        <f t="shared" si="15"/>
        <v>1</v>
      </c>
      <c r="X182" t="str">
        <f t="shared" si="16"/>
        <v>OK</v>
      </c>
      <c r="Y182" t="str">
        <f>IF(MAIN!$H$3="Selected Year",IF(A182=MAIN!$B$3,"Yes","No"),IF(MAIN!$H$3="Included Years",IF(D182="Yes","Yes","No"),IF(C182="Yes","Yes","No")))</f>
        <v>Yes</v>
      </c>
      <c r="Z182" t="str">
        <f>IF(MAIN!$F$3="Project to Date",IF(AND(A182&gt;=SETTINGS!$B$4,A182&lt;MAIN!$B$3),"Yes",IF(AND(A182=MAIN!$B$3,E182&lt;=MAIN!$L$3),"Yes","No")),IF(OR(MAIN!$F$3="Full Year",MAIN!$D$3="All"),"Yes",IF(MAIN!$F$3="Monthly",IF(E182=MAIN!$L$3,"Yes","No"),IF(E182&lt;=MAIN!$L$3,"Yes","No"))))</f>
        <v>Yes</v>
      </c>
      <c r="AA182" t="str">
        <f t="shared" si="17"/>
        <v>Yes</v>
      </c>
    </row>
    <row r="183" spans="1:27" x14ac:dyDescent="0.3">
      <c r="A183">
        <f>INDEX(SETTINGS!$A$15:$A$24,$B183)</f>
        <v>2025</v>
      </c>
      <c r="B183">
        <v>1</v>
      </c>
      <c r="C183" t="str">
        <f>IF(AND(A183&gt;=SETTINGS!$B$4,A183&lt;=SETTINGS!$B$5),"Yes","No")</f>
        <v>Yes</v>
      </c>
      <c r="D183" t="str">
        <f>IFERROR(INDEX(SETTINGS!$C$15:$C$24,MATCH(A183,SETTINGS!$A$15:$A$24,0)),"No")</f>
        <v>Yes</v>
      </c>
      <c r="E183">
        <v>10</v>
      </c>
      <c r="F183" t="s">
        <v>43</v>
      </c>
      <c r="G183">
        <v>237</v>
      </c>
      <c r="H183" t="s">
        <v>104</v>
      </c>
      <c r="I183" t="s">
        <v>22</v>
      </c>
      <c r="J183" t="s">
        <v>24</v>
      </c>
      <c r="K183" t="s">
        <v>3</v>
      </c>
      <c r="L183" s="36">
        <f ca="1">IF(C183&lt;&gt;"Yes",0,IF(A183=2025,N('2025'!D237),IF(A183=2026,N('2026'!D237),IF(A183=2027,N('2027'!D237),IF(A183=2028,N('2028'!D237),IF(A183=2029,N('2029'!D237),IF(A183=2030,N('2030'!D237),IF(A183=2031,N('2031'!D237),IF(A183=2032,N('2032'!D237),IF(A183=2033,N('2033'!D237),IF(A183=2034,N('2034'!D237),IFERROR(N(INDIRECT("'"&amp;A183&amp;"'!D"&amp;G183)),0))))))))))))</f>
        <v>4</v>
      </c>
      <c r="M183" s="36">
        <f>IFERROR(IF(NOT(ISBLANK(KPI_TARGETS!$G$15)),KPI_TARGETS!$G$15,IF(NOT(ISBLANK(KPI_TARGETS!$F$15)),KPI_TARGETS!$F$15,"")),"")</f>
        <v>5</v>
      </c>
      <c r="N183" s="36" t="str">
        <f>IFERROR(KPI_TARGETS!$E$15,"Higher is better")</f>
        <v>Higher is better</v>
      </c>
      <c r="O183" s="37">
        <f t="shared" ca="1" si="12"/>
        <v>0.8</v>
      </c>
      <c r="P183" t="str">
        <f t="shared" ca="1" si="13"/>
        <v>Amber</v>
      </c>
      <c r="Q183" s="36">
        <f t="shared" ca="1" si="14"/>
        <v>-1</v>
      </c>
      <c r="R183" s="36" t="str">
        <f>""</f>
        <v/>
      </c>
      <c r="S183" s="36" t="str">
        <f>""</f>
        <v/>
      </c>
      <c r="T183" s="36" t="str">
        <f>""</f>
        <v/>
      </c>
      <c r="U183" s="36" t="str">
        <f>""</f>
        <v/>
      </c>
      <c r="V183" s="36" t="str">
        <f>""</f>
        <v/>
      </c>
      <c r="W183" s="36">
        <f t="shared" si="15"/>
        <v>1</v>
      </c>
      <c r="X183" t="str">
        <f t="shared" si="16"/>
        <v>OK</v>
      </c>
      <c r="Y183" t="str">
        <f>IF(MAIN!$H$3="Selected Year",IF(A183=MAIN!$B$3,"Yes","No"),IF(MAIN!$H$3="Included Years",IF(D183="Yes","Yes","No"),IF(C183="Yes","Yes","No")))</f>
        <v>Yes</v>
      </c>
      <c r="Z183" t="str">
        <f>IF(MAIN!$F$3="Project to Date",IF(AND(A183&gt;=SETTINGS!$B$4,A183&lt;MAIN!$B$3),"Yes",IF(AND(A183=MAIN!$B$3,E183&lt;=MAIN!$L$3),"Yes","No")),IF(OR(MAIN!$F$3="Full Year",MAIN!$D$3="All"),"Yes",IF(MAIN!$F$3="Monthly",IF(E183=MAIN!$L$3,"Yes","No"),IF(E183&lt;=MAIN!$L$3,"Yes","No"))))</f>
        <v>Yes</v>
      </c>
      <c r="AA183" t="str">
        <f t="shared" si="17"/>
        <v>Yes</v>
      </c>
    </row>
    <row r="184" spans="1:27" x14ac:dyDescent="0.3">
      <c r="A184">
        <f>INDEX(SETTINGS!$A$15:$A$24,$B184)</f>
        <v>2025</v>
      </c>
      <c r="B184">
        <v>1</v>
      </c>
      <c r="C184" t="str">
        <f>IF(AND(A184&gt;=SETTINGS!$B$4,A184&lt;=SETTINGS!$B$5),"Yes","No")</f>
        <v>Yes</v>
      </c>
      <c r="D184" t="str">
        <f>IFERROR(INDEX(SETTINGS!$C$15:$C$24,MATCH(A184,SETTINGS!$A$15:$A$24,0)),"No")</f>
        <v>Yes</v>
      </c>
      <c r="E184">
        <v>10</v>
      </c>
      <c r="F184" t="s">
        <v>43</v>
      </c>
      <c r="G184">
        <v>238</v>
      </c>
      <c r="H184" t="s">
        <v>105</v>
      </c>
      <c r="I184" t="s">
        <v>22</v>
      </c>
      <c r="J184" t="s">
        <v>25</v>
      </c>
      <c r="K184" t="s">
        <v>3</v>
      </c>
      <c r="L184" s="36">
        <f ca="1">IF(C184&lt;&gt;"Yes",0,IF(A184=2025,N('2025'!D238),IF(A184=2026,N('2026'!D238),IF(A184=2027,N('2027'!D238),IF(A184=2028,N('2028'!D238),IF(A184=2029,N('2029'!D238),IF(A184=2030,N('2030'!D238),IF(A184=2031,N('2031'!D238),IF(A184=2032,N('2032'!D238),IF(A184=2033,N('2033'!D238),IF(A184=2034,N('2034'!D238),IFERROR(N(INDIRECT("'"&amp;A184&amp;"'!D"&amp;G184)),0))))))))))))</f>
        <v>4</v>
      </c>
      <c r="M184" s="36">
        <f>IFERROR(IF(NOT(ISBLANK(KPI_TARGETS!$G$16)),KPI_TARGETS!$G$16,IF(NOT(ISBLANK(KPI_TARGETS!$F$16)),KPI_TARGETS!$F$16,"")),"")</f>
        <v>4</v>
      </c>
      <c r="N184" s="36" t="str">
        <f>IFERROR(KPI_TARGETS!$E$16,"Higher is better")</f>
        <v>Higher is better</v>
      </c>
      <c r="O184" s="37">
        <f t="shared" ca="1" si="12"/>
        <v>1</v>
      </c>
      <c r="P184" t="str">
        <f t="shared" ca="1" si="13"/>
        <v>Green</v>
      </c>
      <c r="Q184" s="36">
        <f t="shared" ca="1" si="14"/>
        <v>0</v>
      </c>
      <c r="R184" s="36" t="str">
        <f>""</f>
        <v/>
      </c>
      <c r="S184" s="36" t="str">
        <f>""</f>
        <v/>
      </c>
      <c r="T184" s="36" t="str">
        <f>""</f>
        <v/>
      </c>
      <c r="U184" s="36" t="str">
        <f>""</f>
        <v/>
      </c>
      <c r="V184" s="36" t="str">
        <f>""</f>
        <v/>
      </c>
      <c r="W184" s="36">
        <f t="shared" si="15"/>
        <v>1</v>
      </c>
      <c r="X184" t="str">
        <f t="shared" si="16"/>
        <v>OK</v>
      </c>
      <c r="Y184" t="str">
        <f>IF(MAIN!$H$3="Selected Year",IF(A184=MAIN!$B$3,"Yes","No"),IF(MAIN!$H$3="Included Years",IF(D184="Yes","Yes","No"),IF(C184="Yes","Yes","No")))</f>
        <v>Yes</v>
      </c>
      <c r="Z184" t="str">
        <f>IF(MAIN!$F$3="Project to Date",IF(AND(A184&gt;=SETTINGS!$B$4,A184&lt;MAIN!$B$3),"Yes",IF(AND(A184=MAIN!$B$3,E184&lt;=MAIN!$L$3),"Yes","No")),IF(OR(MAIN!$F$3="Full Year",MAIN!$D$3="All"),"Yes",IF(MAIN!$F$3="Monthly",IF(E184=MAIN!$L$3,"Yes","No"),IF(E184&lt;=MAIN!$L$3,"Yes","No"))))</f>
        <v>Yes</v>
      </c>
      <c r="AA184" t="str">
        <f t="shared" si="17"/>
        <v>Yes</v>
      </c>
    </row>
    <row r="185" spans="1:27" x14ac:dyDescent="0.3">
      <c r="A185">
        <f>INDEX(SETTINGS!$A$15:$A$24,$B185)</f>
        <v>2025</v>
      </c>
      <c r="B185">
        <v>1</v>
      </c>
      <c r="C185" t="str">
        <f>IF(AND(A185&gt;=SETTINGS!$B$4,A185&lt;=SETTINGS!$B$5),"Yes","No")</f>
        <v>Yes</v>
      </c>
      <c r="D185" t="str">
        <f>IFERROR(INDEX(SETTINGS!$C$15:$C$24,MATCH(A185,SETTINGS!$A$15:$A$24,0)),"No")</f>
        <v>Yes</v>
      </c>
      <c r="E185">
        <v>10</v>
      </c>
      <c r="F185" t="s">
        <v>43</v>
      </c>
      <c r="G185">
        <v>239</v>
      </c>
      <c r="H185" t="s">
        <v>106</v>
      </c>
      <c r="I185" t="s">
        <v>22</v>
      </c>
      <c r="J185" t="s">
        <v>26</v>
      </c>
      <c r="K185" t="s">
        <v>3</v>
      </c>
      <c r="L185" s="36">
        <f ca="1">IF(C185&lt;&gt;"Yes",0,IF(A185=2025,N('2025'!D239),IF(A185=2026,N('2026'!D239),IF(A185=2027,N('2027'!D239),IF(A185=2028,N('2028'!D239),IF(A185=2029,N('2029'!D239),IF(A185=2030,N('2030'!D239),IF(A185=2031,N('2031'!D239),IF(A185=2032,N('2032'!D239),IF(A185=2033,N('2033'!D239),IF(A185=2034,N('2034'!D239),IFERROR(N(INDIRECT("'"&amp;A185&amp;"'!D"&amp;G185)),0))))))))))))</f>
        <v>20</v>
      </c>
      <c r="M185" s="36">
        <f>IFERROR(IF(NOT(ISBLANK(KPI_TARGETS!$G$17)),KPI_TARGETS!$G$17,IF(NOT(ISBLANK(KPI_TARGETS!$F$17)),KPI_TARGETS!$F$17,"")),"")</f>
        <v>12</v>
      </c>
      <c r="N185" s="36" t="str">
        <f>IFERROR(KPI_TARGETS!$E$17,"Higher is better")</f>
        <v>Higher is better</v>
      </c>
      <c r="O185" s="37">
        <f t="shared" ca="1" si="12"/>
        <v>1.6666666666666667</v>
      </c>
      <c r="P185" t="str">
        <f t="shared" ca="1" si="13"/>
        <v>Green</v>
      </c>
      <c r="Q185" s="36">
        <f t="shared" ca="1" si="14"/>
        <v>8</v>
      </c>
      <c r="R185" s="36" t="str">
        <f>""</f>
        <v/>
      </c>
      <c r="S185" s="36" t="str">
        <f>""</f>
        <v/>
      </c>
      <c r="T185" s="36" t="str">
        <f>""</f>
        <v/>
      </c>
      <c r="U185" s="36" t="str">
        <f>""</f>
        <v/>
      </c>
      <c r="V185" s="36" t="str">
        <f>""</f>
        <v/>
      </c>
      <c r="W185" s="36">
        <f t="shared" si="15"/>
        <v>1</v>
      </c>
      <c r="X185" t="str">
        <f t="shared" si="16"/>
        <v>OK</v>
      </c>
      <c r="Y185" t="str">
        <f>IF(MAIN!$H$3="Selected Year",IF(A185=MAIN!$B$3,"Yes","No"),IF(MAIN!$H$3="Included Years",IF(D185="Yes","Yes","No"),IF(C185="Yes","Yes","No")))</f>
        <v>Yes</v>
      </c>
      <c r="Z185" t="str">
        <f>IF(MAIN!$F$3="Project to Date",IF(AND(A185&gt;=SETTINGS!$B$4,A185&lt;MAIN!$B$3),"Yes",IF(AND(A185=MAIN!$B$3,E185&lt;=MAIN!$L$3),"Yes","No")),IF(OR(MAIN!$F$3="Full Year",MAIN!$D$3="All"),"Yes",IF(MAIN!$F$3="Monthly",IF(E185=MAIN!$L$3,"Yes","No"),IF(E185&lt;=MAIN!$L$3,"Yes","No"))))</f>
        <v>Yes</v>
      </c>
      <c r="AA185" t="str">
        <f t="shared" si="17"/>
        <v>Yes</v>
      </c>
    </row>
    <row r="186" spans="1:27" x14ac:dyDescent="0.3">
      <c r="A186">
        <f>INDEX(SETTINGS!$A$15:$A$24,$B186)</f>
        <v>2025</v>
      </c>
      <c r="B186">
        <v>1</v>
      </c>
      <c r="C186" t="str">
        <f>IF(AND(A186&gt;=SETTINGS!$B$4,A186&lt;=SETTINGS!$B$5),"Yes","No")</f>
        <v>Yes</v>
      </c>
      <c r="D186" t="str">
        <f>IFERROR(INDEX(SETTINGS!$C$15:$C$24,MATCH(A186,SETTINGS!$A$15:$A$24,0)),"No")</f>
        <v>Yes</v>
      </c>
      <c r="E186">
        <v>10</v>
      </c>
      <c r="F186" t="s">
        <v>43</v>
      </c>
      <c r="G186">
        <v>240</v>
      </c>
      <c r="H186" t="s">
        <v>107</v>
      </c>
      <c r="I186" t="s">
        <v>22</v>
      </c>
      <c r="J186" t="s">
        <v>27</v>
      </c>
      <c r="K186" t="s">
        <v>3</v>
      </c>
      <c r="L186" s="36">
        <f ca="1">IF(C186&lt;&gt;"Yes",0,IF(A186=2025,N('2025'!D240),IF(A186=2026,N('2026'!D240),IF(A186=2027,N('2027'!D240),IF(A186=2028,N('2028'!D240),IF(A186=2029,N('2029'!D240),IF(A186=2030,N('2030'!D240),IF(A186=2031,N('2031'!D240),IF(A186=2032,N('2032'!D240),IF(A186=2033,N('2033'!D240),IF(A186=2034,N('2034'!D240),IFERROR(N(INDIRECT("'"&amp;A186&amp;"'!D"&amp;G186)),0))))))))))))</f>
        <v>4</v>
      </c>
      <c r="M186" s="36">
        <f>IFERROR(IF(NOT(ISBLANK(KPI_TARGETS!$G$18)),KPI_TARGETS!$G$18,IF(NOT(ISBLANK(KPI_TARGETS!$F$18)),KPI_TARGETS!$F$18,"")),"")</f>
        <v>4</v>
      </c>
      <c r="N186" s="36" t="str">
        <f>IFERROR(KPI_TARGETS!$E$18,"Higher is better")</f>
        <v>Higher is better</v>
      </c>
      <c r="O186" s="37">
        <f t="shared" ca="1" si="12"/>
        <v>1</v>
      </c>
      <c r="P186" t="str">
        <f t="shared" ca="1" si="13"/>
        <v>Green</v>
      </c>
      <c r="Q186" s="36">
        <f t="shared" ca="1" si="14"/>
        <v>0</v>
      </c>
      <c r="R186" s="36" t="str">
        <f>""</f>
        <v/>
      </c>
      <c r="S186" s="36" t="str">
        <f>""</f>
        <v/>
      </c>
      <c r="T186" s="36" t="str">
        <f>""</f>
        <v/>
      </c>
      <c r="U186" s="36" t="str">
        <f>""</f>
        <v/>
      </c>
      <c r="V186" s="36" t="str">
        <f>""</f>
        <v/>
      </c>
      <c r="W186" s="36">
        <f t="shared" si="15"/>
        <v>1</v>
      </c>
      <c r="X186" t="str">
        <f t="shared" si="16"/>
        <v>OK</v>
      </c>
      <c r="Y186" t="str">
        <f>IF(MAIN!$H$3="Selected Year",IF(A186=MAIN!$B$3,"Yes","No"),IF(MAIN!$H$3="Included Years",IF(D186="Yes","Yes","No"),IF(C186="Yes","Yes","No")))</f>
        <v>Yes</v>
      </c>
      <c r="Z186" t="str">
        <f>IF(MAIN!$F$3="Project to Date",IF(AND(A186&gt;=SETTINGS!$B$4,A186&lt;MAIN!$B$3),"Yes",IF(AND(A186=MAIN!$B$3,E186&lt;=MAIN!$L$3),"Yes","No")),IF(OR(MAIN!$F$3="Full Year",MAIN!$D$3="All"),"Yes",IF(MAIN!$F$3="Monthly",IF(E186=MAIN!$L$3,"Yes","No"),IF(E186&lt;=MAIN!$L$3,"Yes","No"))))</f>
        <v>Yes</v>
      </c>
      <c r="AA186" t="str">
        <f t="shared" si="17"/>
        <v>Yes</v>
      </c>
    </row>
    <row r="187" spans="1:27" x14ac:dyDescent="0.3">
      <c r="A187">
        <f>INDEX(SETTINGS!$A$15:$A$24,$B187)</f>
        <v>2025</v>
      </c>
      <c r="B187">
        <v>1</v>
      </c>
      <c r="C187" t="str">
        <f>IF(AND(A187&gt;=SETTINGS!$B$4,A187&lt;=SETTINGS!$B$5),"Yes","No")</f>
        <v>Yes</v>
      </c>
      <c r="D187" t="str">
        <f>IFERROR(INDEX(SETTINGS!$C$15:$C$24,MATCH(A187,SETTINGS!$A$15:$A$24,0)),"No")</f>
        <v>Yes</v>
      </c>
      <c r="E187">
        <v>10</v>
      </c>
      <c r="F187" t="s">
        <v>43</v>
      </c>
      <c r="G187">
        <v>241</v>
      </c>
      <c r="H187" t="s">
        <v>108</v>
      </c>
      <c r="I187" t="s">
        <v>22</v>
      </c>
      <c r="J187" t="s">
        <v>28</v>
      </c>
      <c r="K187" t="s">
        <v>3</v>
      </c>
      <c r="L187" s="36">
        <f ca="1">IF(C187&lt;&gt;"Yes",0,IF(A187=2025,N('2025'!D241),IF(A187=2026,N('2026'!D241),IF(A187=2027,N('2027'!D241),IF(A187=2028,N('2028'!D241),IF(A187=2029,N('2029'!D241),IF(A187=2030,N('2030'!D241),IF(A187=2031,N('2031'!D241),IF(A187=2032,N('2032'!D241),IF(A187=2033,N('2033'!D241),IF(A187=2034,N('2034'!D241),IFERROR(N(INDIRECT("'"&amp;A187&amp;"'!D"&amp;G187)),0))))))))))))</f>
        <v>8</v>
      </c>
      <c r="M187" s="36">
        <f>IFERROR(IF(NOT(ISBLANK(KPI_TARGETS!$G$19)),KPI_TARGETS!$G$19,IF(NOT(ISBLANK(KPI_TARGETS!$F$19)),KPI_TARGETS!$F$19,"")),"")</f>
        <v>16</v>
      </c>
      <c r="N187" s="36" t="str">
        <f>IFERROR(KPI_TARGETS!$E$19,"Higher is better")</f>
        <v>Higher is better</v>
      </c>
      <c r="O187" s="37">
        <f t="shared" ca="1" si="12"/>
        <v>0.5</v>
      </c>
      <c r="P187" t="str">
        <f t="shared" ca="1" si="13"/>
        <v>Red</v>
      </c>
      <c r="Q187" s="36">
        <f t="shared" ca="1" si="14"/>
        <v>-8</v>
      </c>
      <c r="R187" s="36" t="str">
        <f>""</f>
        <v/>
      </c>
      <c r="S187" s="36" t="str">
        <f>""</f>
        <v/>
      </c>
      <c r="T187" s="36" t="str">
        <f>""</f>
        <v/>
      </c>
      <c r="U187" s="36" t="str">
        <f>""</f>
        <v/>
      </c>
      <c r="V187" s="36" t="str">
        <f>""</f>
        <v/>
      </c>
      <c r="W187" s="36">
        <f t="shared" si="15"/>
        <v>1</v>
      </c>
      <c r="X187" t="str">
        <f t="shared" si="16"/>
        <v>OK</v>
      </c>
      <c r="Y187" t="str">
        <f>IF(MAIN!$H$3="Selected Year",IF(A187=MAIN!$B$3,"Yes","No"),IF(MAIN!$H$3="Included Years",IF(D187="Yes","Yes","No"),IF(C187="Yes","Yes","No")))</f>
        <v>Yes</v>
      </c>
      <c r="Z187" t="str">
        <f>IF(MAIN!$F$3="Project to Date",IF(AND(A187&gt;=SETTINGS!$B$4,A187&lt;MAIN!$B$3),"Yes",IF(AND(A187=MAIN!$B$3,E187&lt;=MAIN!$L$3),"Yes","No")),IF(OR(MAIN!$F$3="Full Year",MAIN!$D$3="All"),"Yes",IF(MAIN!$F$3="Monthly",IF(E187=MAIN!$L$3,"Yes","No"),IF(E187&lt;=MAIN!$L$3,"Yes","No"))))</f>
        <v>Yes</v>
      </c>
      <c r="AA187" t="str">
        <f t="shared" si="17"/>
        <v>Yes</v>
      </c>
    </row>
    <row r="188" spans="1:27" x14ac:dyDescent="0.3">
      <c r="A188">
        <f>INDEX(SETTINGS!$A$15:$A$24,$B188)</f>
        <v>2025</v>
      </c>
      <c r="B188">
        <v>1</v>
      </c>
      <c r="C188" t="str">
        <f>IF(AND(A188&gt;=SETTINGS!$B$4,A188&lt;=SETTINGS!$B$5),"Yes","No")</f>
        <v>Yes</v>
      </c>
      <c r="D188" t="str">
        <f>IFERROR(INDEX(SETTINGS!$C$15:$C$24,MATCH(A188,SETTINGS!$A$15:$A$24,0)),"No")</f>
        <v>Yes</v>
      </c>
      <c r="E188">
        <v>10</v>
      </c>
      <c r="F188" t="s">
        <v>43</v>
      </c>
      <c r="G188">
        <v>242</v>
      </c>
      <c r="H188" t="s">
        <v>109</v>
      </c>
      <c r="I188" t="s">
        <v>22</v>
      </c>
      <c r="J188" t="s">
        <v>29</v>
      </c>
      <c r="K188" t="s">
        <v>3</v>
      </c>
      <c r="L188" s="36">
        <f ca="1">IF(C188&lt;&gt;"Yes",0,IF(A188=2025,N('2025'!D242),IF(A188=2026,N('2026'!D242),IF(A188=2027,N('2027'!D242),IF(A188=2028,N('2028'!D242),IF(A188=2029,N('2029'!D242),IF(A188=2030,N('2030'!D242),IF(A188=2031,N('2031'!D242),IF(A188=2032,N('2032'!D242),IF(A188=2033,N('2033'!D242),IF(A188=2034,N('2034'!D242),IFERROR(N(INDIRECT("'"&amp;A188&amp;"'!D"&amp;G188)),0))))))))))))</f>
        <v>1</v>
      </c>
      <c r="M188" s="36">
        <f>IFERROR(IF(NOT(ISBLANK(KPI_TARGETS!$G$20)),KPI_TARGETS!$G$20,IF(NOT(ISBLANK(KPI_TARGETS!$F$20)),KPI_TARGETS!$F$20,"")),"")</f>
        <v>1</v>
      </c>
      <c r="N188" s="36" t="str">
        <f>IFERROR(KPI_TARGETS!$E$20,"Higher is better")</f>
        <v>Higher is better</v>
      </c>
      <c r="O188" s="37">
        <f t="shared" ca="1" si="12"/>
        <v>1</v>
      </c>
      <c r="P188" t="str">
        <f t="shared" ca="1" si="13"/>
        <v>Green</v>
      </c>
      <c r="Q188" s="36">
        <f t="shared" ca="1" si="14"/>
        <v>0</v>
      </c>
      <c r="R188" s="36" t="str">
        <f>""</f>
        <v/>
      </c>
      <c r="S188" s="36" t="str">
        <f>""</f>
        <v/>
      </c>
      <c r="T188" s="36" t="str">
        <f>""</f>
        <v/>
      </c>
      <c r="U188" s="36" t="str">
        <f>""</f>
        <v/>
      </c>
      <c r="V188" s="36" t="str">
        <f>""</f>
        <v/>
      </c>
      <c r="W188" s="36">
        <f t="shared" si="15"/>
        <v>1</v>
      </c>
      <c r="X188" t="str">
        <f t="shared" si="16"/>
        <v>OK</v>
      </c>
      <c r="Y188" t="str">
        <f>IF(MAIN!$H$3="Selected Year",IF(A188=MAIN!$B$3,"Yes","No"),IF(MAIN!$H$3="Included Years",IF(D188="Yes","Yes","No"),IF(C188="Yes","Yes","No")))</f>
        <v>Yes</v>
      </c>
      <c r="Z188" t="str">
        <f>IF(MAIN!$F$3="Project to Date",IF(AND(A188&gt;=SETTINGS!$B$4,A188&lt;MAIN!$B$3),"Yes",IF(AND(A188=MAIN!$B$3,E188&lt;=MAIN!$L$3),"Yes","No")),IF(OR(MAIN!$F$3="Full Year",MAIN!$D$3="All"),"Yes",IF(MAIN!$F$3="Monthly",IF(E188=MAIN!$L$3,"Yes","No"),IF(E188&lt;=MAIN!$L$3,"Yes","No"))))</f>
        <v>Yes</v>
      </c>
      <c r="AA188" t="str">
        <f t="shared" si="17"/>
        <v>Yes</v>
      </c>
    </row>
    <row r="189" spans="1:27" x14ac:dyDescent="0.3">
      <c r="A189">
        <f>INDEX(SETTINGS!$A$15:$A$24,$B189)</f>
        <v>2025</v>
      </c>
      <c r="B189">
        <v>1</v>
      </c>
      <c r="C189" t="str">
        <f>IF(AND(A189&gt;=SETTINGS!$B$4,A189&lt;=SETTINGS!$B$5),"Yes","No")</f>
        <v>Yes</v>
      </c>
      <c r="D189" t="str">
        <f>IFERROR(INDEX(SETTINGS!$C$15:$C$24,MATCH(A189,SETTINGS!$A$15:$A$24,0)),"No")</f>
        <v>Yes</v>
      </c>
      <c r="E189">
        <v>10</v>
      </c>
      <c r="F189" t="s">
        <v>43</v>
      </c>
      <c r="G189">
        <v>244</v>
      </c>
      <c r="H189" t="s">
        <v>110</v>
      </c>
      <c r="I189" t="s">
        <v>30</v>
      </c>
      <c r="J189" t="s">
        <v>31</v>
      </c>
      <c r="K189" t="s">
        <v>3</v>
      </c>
      <c r="L189" s="36">
        <f ca="1">IF(C189&lt;&gt;"Yes",0,IF(A189=2025,N('2025'!D244),IF(A189=2026,N('2026'!D244),IF(A189=2027,N('2027'!D244),IF(A189=2028,N('2028'!D244),IF(A189=2029,N('2029'!D244),IF(A189=2030,N('2030'!D244),IF(A189=2031,N('2031'!D244),IF(A189=2032,N('2032'!D244),IF(A189=2033,N('2033'!D244),IF(A189=2034,N('2034'!D244),IFERROR(N(INDIRECT("'"&amp;A189&amp;"'!D"&amp;G189)),0))))))))))))</f>
        <v>0</v>
      </c>
      <c r="M189" s="36">
        <f>IFERROR(IF(NOT(ISBLANK(KPI_TARGETS!$G$21)),KPI_TARGETS!$G$21,IF(NOT(ISBLANK(KPI_TARGETS!$F$21)),KPI_TARGETS!$F$21,"")),"")</f>
        <v>0</v>
      </c>
      <c r="N189" s="36" t="str">
        <f>IFERROR(KPI_TARGETS!$E$21,"Higher is better")</f>
        <v>Lower is better</v>
      </c>
      <c r="O189" s="37">
        <f t="shared" ca="1" si="12"/>
        <v>1</v>
      </c>
      <c r="P189" t="str">
        <f t="shared" ca="1" si="13"/>
        <v>Green</v>
      </c>
      <c r="Q189" s="36">
        <f t="shared" ca="1" si="14"/>
        <v>0</v>
      </c>
      <c r="R189" s="36" t="str">
        <f>""</f>
        <v/>
      </c>
      <c r="S189" s="36" t="str">
        <f>""</f>
        <v/>
      </c>
      <c r="T189" s="36" t="str">
        <f>""</f>
        <v/>
      </c>
      <c r="U189" s="36" t="str">
        <f>""</f>
        <v/>
      </c>
      <c r="V189" s="36" t="str">
        <f>""</f>
        <v/>
      </c>
      <c r="W189" s="36">
        <f t="shared" si="15"/>
        <v>1</v>
      </c>
      <c r="X189" t="str">
        <f t="shared" si="16"/>
        <v>OK</v>
      </c>
      <c r="Y189" t="str">
        <f>IF(MAIN!$H$3="Selected Year",IF(A189=MAIN!$B$3,"Yes","No"),IF(MAIN!$H$3="Included Years",IF(D189="Yes","Yes","No"),IF(C189="Yes","Yes","No")))</f>
        <v>Yes</v>
      </c>
      <c r="Z189" t="str">
        <f>IF(MAIN!$F$3="Project to Date",IF(AND(A189&gt;=SETTINGS!$B$4,A189&lt;MAIN!$B$3),"Yes",IF(AND(A189=MAIN!$B$3,E189&lt;=MAIN!$L$3),"Yes","No")),IF(OR(MAIN!$F$3="Full Year",MAIN!$D$3="All"),"Yes",IF(MAIN!$F$3="Monthly",IF(E189=MAIN!$L$3,"Yes","No"),IF(E189&lt;=MAIN!$L$3,"Yes","No"))))</f>
        <v>Yes</v>
      </c>
      <c r="AA189" t="str">
        <f t="shared" si="17"/>
        <v>Yes</v>
      </c>
    </row>
    <row r="190" spans="1:27" x14ac:dyDescent="0.3">
      <c r="A190">
        <f>INDEX(SETTINGS!$A$15:$A$24,$B190)</f>
        <v>2025</v>
      </c>
      <c r="B190">
        <v>1</v>
      </c>
      <c r="C190" t="str">
        <f>IF(AND(A190&gt;=SETTINGS!$B$4,A190&lt;=SETTINGS!$B$5),"Yes","No")</f>
        <v>Yes</v>
      </c>
      <c r="D190" t="str">
        <f>IFERROR(INDEX(SETTINGS!$C$15:$C$24,MATCH(A190,SETTINGS!$A$15:$A$24,0)),"No")</f>
        <v>Yes</v>
      </c>
      <c r="E190">
        <v>10</v>
      </c>
      <c r="F190" t="s">
        <v>43</v>
      </c>
      <c r="G190">
        <v>245</v>
      </c>
      <c r="H190" t="s">
        <v>111</v>
      </c>
      <c r="I190" t="s">
        <v>30</v>
      </c>
      <c r="J190" t="s">
        <v>32</v>
      </c>
      <c r="K190" t="s">
        <v>3</v>
      </c>
      <c r="L190" s="36">
        <f ca="1">IF(C190&lt;&gt;"Yes",0,IF(A190=2025,N('2025'!D245),IF(A190=2026,N('2026'!D245),IF(A190=2027,N('2027'!D245),IF(A190=2028,N('2028'!D245),IF(A190=2029,N('2029'!D245),IF(A190=2030,N('2030'!D245),IF(A190=2031,N('2031'!D245),IF(A190=2032,N('2032'!D245),IF(A190=2033,N('2033'!D245),IF(A190=2034,N('2034'!D245),IFERROR(N(INDIRECT("'"&amp;A190&amp;"'!D"&amp;G190)),0))))))))))))</f>
        <v>1</v>
      </c>
      <c r="M190" s="36">
        <f>IFERROR(IF(NOT(ISBLANK(KPI_TARGETS!$G$22)),KPI_TARGETS!$G$22,IF(NOT(ISBLANK(KPI_TARGETS!$F$22)),KPI_TARGETS!$F$22,"")),"")</f>
        <v>1</v>
      </c>
      <c r="N190" s="36" t="str">
        <f>IFERROR(KPI_TARGETS!$E$22,"Higher is better")</f>
        <v>Higher is better</v>
      </c>
      <c r="O190" s="37">
        <f t="shared" ca="1" si="12"/>
        <v>1</v>
      </c>
      <c r="P190" t="str">
        <f t="shared" ca="1" si="13"/>
        <v>Green</v>
      </c>
      <c r="Q190" s="36">
        <f t="shared" ca="1" si="14"/>
        <v>0</v>
      </c>
      <c r="R190" s="36" t="str">
        <f>""</f>
        <v/>
      </c>
      <c r="S190" s="36" t="str">
        <f>""</f>
        <v/>
      </c>
      <c r="T190" s="36" t="str">
        <f>""</f>
        <v/>
      </c>
      <c r="U190" s="36" t="str">
        <f>""</f>
        <v/>
      </c>
      <c r="V190" s="36" t="str">
        <f>""</f>
        <v/>
      </c>
      <c r="W190" s="36">
        <f t="shared" si="15"/>
        <v>1</v>
      </c>
      <c r="X190" t="str">
        <f t="shared" si="16"/>
        <v>OK</v>
      </c>
      <c r="Y190" t="str">
        <f>IF(MAIN!$H$3="Selected Year",IF(A190=MAIN!$B$3,"Yes","No"),IF(MAIN!$H$3="Included Years",IF(D190="Yes","Yes","No"),IF(C190="Yes","Yes","No")))</f>
        <v>Yes</v>
      </c>
      <c r="Z190" t="str">
        <f>IF(MAIN!$F$3="Project to Date",IF(AND(A190&gt;=SETTINGS!$B$4,A190&lt;MAIN!$B$3),"Yes",IF(AND(A190=MAIN!$B$3,E190&lt;=MAIN!$L$3),"Yes","No")),IF(OR(MAIN!$F$3="Full Year",MAIN!$D$3="All"),"Yes",IF(MAIN!$F$3="Monthly",IF(E190=MAIN!$L$3,"Yes","No"),IF(E190&lt;=MAIN!$L$3,"Yes","No"))))</f>
        <v>Yes</v>
      </c>
      <c r="AA190" t="str">
        <f t="shared" si="17"/>
        <v>Yes</v>
      </c>
    </row>
    <row r="191" spans="1:27" x14ac:dyDescent="0.3">
      <c r="A191">
        <f>INDEX(SETTINGS!$A$15:$A$24,$B191)</f>
        <v>2025</v>
      </c>
      <c r="B191">
        <v>1</v>
      </c>
      <c r="C191" t="str">
        <f>IF(AND(A191&gt;=SETTINGS!$B$4,A191&lt;=SETTINGS!$B$5),"Yes","No")</f>
        <v>Yes</v>
      </c>
      <c r="D191" t="str">
        <f>IFERROR(INDEX(SETTINGS!$C$15:$C$24,MATCH(A191,SETTINGS!$A$15:$A$24,0)),"No")</f>
        <v>Yes</v>
      </c>
      <c r="E191">
        <v>10</v>
      </c>
      <c r="F191" t="s">
        <v>43</v>
      </c>
      <c r="G191">
        <v>246</v>
      </c>
      <c r="H191" t="s">
        <v>112</v>
      </c>
      <c r="I191" t="s">
        <v>30</v>
      </c>
      <c r="J191" t="s">
        <v>33</v>
      </c>
      <c r="K191" t="s">
        <v>34</v>
      </c>
      <c r="L191" s="36">
        <f ca="1">IF(C191&lt;&gt;"Yes",0,IF(A191=2025,N('2025'!D246),IF(A191=2026,N('2026'!D246),IF(A191=2027,N('2027'!D246),IF(A191=2028,N('2028'!D246),IF(A191=2029,N('2029'!D246),IF(A191=2030,N('2030'!D246),IF(A191=2031,N('2031'!D246),IF(A191=2032,N('2032'!D246),IF(A191=2033,N('2033'!D246),IF(A191=2034,N('2034'!D246),IFERROR(N(INDIRECT("'"&amp;A191&amp;"'!D"&amp;G191)),0))))))))))))</f>
        <v>1</v>
      </c>
      <c r="M191" s="36">
        <f>IFERROR(IF(NOT(ISBLANK(KPI_TARGETS!$G$23)),KPI_TARGETS!$G$23,IF(NOT(ISBLANK(KPI_TARGETS!$F$23)),KPI_TARGETS!$F$23,"")),"")</f>
        <v>1</v>
      </c>
      <c r="N191" s="36" t="str">
        <f>IFERROR(KPI_TARGETS!$E$23,"Higher is better")</f>
        <v>Higher is better</v>
      </c>
      <c r="O191" s="37">
        <f t="shared" ca="1" si="12"/>
        <v>1</v>
      </c>
      <c r="P191" t="str">
        <f t="shared" ca="1" si="13"/>
        <v>Green</v>
      </c>
      <c r="Q191" s="36">
        <f t="shared" ca="1" si="14"/>
        <v>0</v>
      </c>
      <c r="R191" s="36" t="str">
        <f>""</f>
        <v/>
      </c>
      <c r="S191" s="36" t="str">
        <f>""</f>
        <v/>
      </c>
      <c r="T191" s="36" t="str">
        <f>""</f>
        <v/>
      </c>
      <c r="U191" s="36" t="str">
        <f>""</f>
        <v/>
      </c>
      <c r="V191" s="36" t="str">
        <f>""</f>
        <v/>
      </c>
      <c r="W191" s="36">
        <f t="shared" si="15"/>
        <v>1</v>
      </c>
      <c r="X191" t="str">
        <f t="shared" si="16"/>
        <v>OK</v>
      </c>
      <c r="Y191" t="str">
        <f>IF(MAIN!$H$3="Selected Year",IF(A191=MAIN!$B$3,"Yes","No"),IF(MAIN!$H$3="Included Years",IF(D191="Yes","Yes","No"),IF(C191="Yes","Yes","No")))</f>
        <v>Yes</v>
      </c>
      <c r="Z191" t="str">
        <f>IF(MAIN!$F$3="Project to Date",IF(AND(A191&gt;=SETTINGS!$B$4,A191&lt;MAIN!$B$3),"Yes",IF(AND(A191=MAIN!$B$3,E191&lt;=MAIN!$L$3),"Yes","No")),IF(OR(MAIN!$F$3="Full Year",MAIN!$D$3="All"),"Yes",IF(MAIN!$F$3="Monthly",IF(E191=MAIN!$L$3,"Yes","No"),IF(E191&lt;=MAIN!$L$3,"Yes","No"))))</f>
        <v>Yes</v>
      </c>
      <c r="AA191" t="str">
        <f t="shared" si="17"/>
        <v>Yes</v>
      </c>
    </row>
    <row r="192" spans="1:27" x14ac:dyDescent="0.3">
      <c r="A192">
        <f>INDEX(SETTINGS!$A$15:$A$24,$B192)</f>
        <v>2025</v>
      </c>
      <c r="B192">
        <v>1</v>
      </c>
      <c r="C192" t="str">
        <f>IF(AND(A192&gt;=SETTINGS!$B$4,A192&lt;=SETTINGS!$B$5),"Yes","No")</f>
        <v>Yes</v>
      </c>
      <c r="D192" t="str">
        <f>IFERROR(INDEX(SETTINGS!$C$15:$C$24,MATCH(A192,SETTINGS!$A$15:$A$24,0)),"No")</f>
        <v>Yes</v>
      </c>
      <c r="E192">
        <v>11</v>
      </c>
      <c r="F192" t="s">
        <v>44</v>
      </c>
      <c r="G192">
        <v>249</v>
      </c>
      <c r="H192" t="s">
        <v>88</v>
      </c>
      <c r="I192" t="s">
        <v>89</v>
      </c>
      <c r="J192" t="s">
        <v>10</v>
      </c>
      <c r="K192" t="s">
        <v>3</v>
      </c>
      <c r="L192" s="36">
        <f ca="1">IF(C192&lt;&gt;"Yes",0,IF(A192=2025,N('2025'!D249),IF(A192=2026,N('2026'!D249),IF(A192=2027,N('2027'!D249),IF(A192=2028,N('2028'!D249),IF(A192=2029,N('2029'!D249),IF(A192=2030,N('2030'!D249),IF(A192=2031,N('2031'!D249),IF(A192=2032,N('2032'!D249),IF(A192=2033,N('2033'!D249),IF(A192=2034,N('2034'!D249),IFERROR(N(INDIRECT("'"&amp;A192&amp;"'!D"&amp;G192)),0))))))))))))</f>
        <v>0</v>
      </c>
      <c r="M192" s="36">
        <f>IFERROR(IF(NOT(ISBLANK(KPI_TARGETS!$G$5)),KPI_TARGETS!$G$5,IF(NOT(ISBLANK(KPI_TARGETS!$F$5)),KPI_TARGETS!$F$5,"")),"")</f>
        <v>104</v>
      </c>
      <c r="N192" s="36" t="str">
        <f>IFERROR(KPI_TARGETS!$E$5,"Higher is better")</f>
        <v>Higher is better</v>
      </c>
      <c r="O192" s="37">
        <f t="shared" ca="1" si="12"/>
        <v>0</v>
      </c>
      <c r="P192" t="str">
        <f t="shared" ca="1" si="13"/>
        <v>Red</v>
      </c>
      <c r="Q192" s="36">
        <f t="shared" ca="1" si="14"/>
        <v>-104</v>
      </c>
      <c r="R192" s="36" t="str">
        <f>""</f>
        <v/>
      </c>
      <c r="S192" s="36" t="str">
        <f>""</f>
        <v/>
      </c>
      <c r="T192" s="36" t="str">
        <f>""</f>
        <v/>
      </c>
      <c r="U192" s="36" t="str">
        <f>""</f>
        <v/>
      </c>
      <c r="V192" s="36" t="str">
        <f>""</f>
        <v/>
      </c>
      <c r="W192" s="36">
        <f t="shared" si="15"/>
        <v>1</v>
      </c>
      <c r="X192" t="str">
        <f t="shared" si="16"/>
        <v>OK</v>
      </c>
      <c r="Y192" t="str">
        <f>IF(MAIN!$H$3="Selected Year",IF(A192=MAIN!$B$3,"Yes","No"),IF(MAIN!$H$3="Included Years",IF(D192="Yes","Yes","No"),IF(C192="Yes","Yes","No")))</f>
        <v>Yes</v>
      </c>
      <c r="Z192" t="str">
        <f>IF(MAIN!$F$3="Project to Date",IF(AND(A192&gt;=SETTINGS!$B$4,A192&lt;MAIN!$B$3),"Yes",IF(AND(A192=MAIN!$B$3,E192&lt;=MAIN!$L$3),"Yes","No")),IF(OR(MAIN!$F$3="Full Year",MAIN!$D$3="All"),"Yes",IF(MAIN!$F$3="Monthly",IF(E192=MAIN!$L$3,"Yes","No"),IF(E192&lt;=MAIN!$L$3,"Yes","No"))))</f>
        <v>Yes</v>
      </c>
      <c r="AA192" t="str">
        <f t="shared" si="17"/>
        <v>Yes</v>
      </c>
    </row>
    <row r="193" spans="1:27" x14ac:dyDescent="0.3">
      <c r="A193">
        <f>INDEX(SETTINGS!$A$15:$A$24,$B193)</f>
        <v>2025</v>
      </c>
      <c r="B193">
        <v>1</v>
      </c>
      <c r="C193" t="str">
        <f>IF(AND(A193&gt;=SETTINGS!$B$4,A193&lt;=SETTINGS!$B$5),"Yes","No")</f>
        <v>Yes</v>
      </c>
      <c r="D193" t="str">
        <f>IFERROR(INDEX(SETTINGS!$C$15:$C$24,MATCH(A193,SETTINGS!$A$15:$A$24,0)),"No")</f>
        <v>Yes</v>
      </c>
      <c r="E193">
        <v>11</v>
      </c>
      <c r="F193" t="s">
        <v>44</v>
      </c>
      <c r="G193">
        <v>250</v>
      </c>
      <c r="H193" t="s">
        <v>91</v>
      </c>
      <c r="I193" t="s">
        <v>89</v>
      </c>
      <c r="J193" t="s">
        <v>11</v>
      </c>
      <c r="K193" t="s">
        <v>12</v>
      </c>
      <c r="L193" s="36">
        <f ca="1">IF(C193&lt;&gt;"Yes",0,IF(A193=2025,N('2025'!D250),IF(A193=2026,N('2026'!D250),IF(A193=2027,N('2027'!D250),IF(A193=2028,N('2028'!D250),IF(A193=2029,N('2029'!D250),IF(A193=2030,N('2030'!D250),IF(A193=2031,N('2031'!D250),IF(A193=2032,N('2032'!D250),IF(A193=2033,N('2033'!D250),IF(A193=2034,N('2034'!D250),IFERROR(N(INDIRECT("'"&amp;A193&amp;"'!D"&amp;G193)),0))))))))))))</f>
        <v>5507</v>
      </c>
      <c r="M193" s="36">
        <f>IFERROR(IF(NOT(ISBLANK(KPI_TARGETS!$G$6)),KPI_TARGETS!$G$6,IF(NOT(ISBLANK(KPI_TARGETS!$F$6)),KPI_TARGETS!$F$6,"")),"")</f>
        <v>4000</v>
      </c>
      <c r="N193" s="36" t="str">
        <f>IFERROR(KPI_TARGETS!$E$6,"Higher is better")</f>
        <v>Higher is better</v>
      </c>
      <c r="O193" s="37">
        <f t="shared" ca="1" si="12"/>
        <v>1.3767499999999999</v>
      </c>
      <c r="P193" t="str">
        <f t="shared" ca="1" si="13"/>
        <v>Green</v>
      </c>
      <c r="Q193" s="36">
        <f t="shared" ca="1" si="14"/>
        <v>1507</v>
      </c>
      <c r="R193" s="36" t="str">
        <f>""</f>
        <v/>
      </c>
      <c r="S193" s="36" t="str">
        <f>""</f>
        <v/>
      </c>
      <c r="T193" s="36" t="str">
        <f>""</f>
        <v/>
      </c>
      <c r="U193" s="36" t="str">
        <f>""</f>
        <v/>
      </c>
      <c r="V193" s="36" t="str">
        <f>""</f>
        <v/>
      </c>
      <c r="W193" s="36">
        <f t="shared" si="15"/>
        <v>1</v>
      </c>
      <c r="X193" t="str">
        <f t="shared" si="16"/>
        <v>OK</v>
      </c>
      <c r="Y193" t="str">
        <f>IF(MAIN!$H$3="Selected Year",IF(A193=MAIN!$B$3,"Yes","No"),IF(MAIN!$H$3="Included Years",IF(D193="Yes","Yes","No"),IF(C193="Yes","Yes","No")))</f>
        <v>Yes</v>
      </c>
      <c r="Z193" t="str">
        <f>IF(MAIN!$F$3="Project to Date",IF(AND(A193&gt;=SETTINGS!$B$4,A193&lt;MAIN!$B$3),"Yes",IF(AND(A193=MAIN!$B$3,E193&lt;=MAIN!$L$3),"Yes","No")),IF(OR(MAIN!$F$3="Full Year",MAIN!$D$3="All"),"Yes",IF(MAIN!$F$3="Monthly",IF(E193=MAIN!$L$3,"Yes","No"),IF(E193&lt;=MAIN!$L$3,"Yes","No"))))</f>
        <v>Yes</v>
      </c>
      <c r="AA193" t="str">
        <f t="shared" si="17"/>
        <v>Yes</v>
      </c>
    </row>
    <row r="194" spans="1:27" x14ac:dyDescent="0.3">
      <c r="A194">
        <f>INDEX(SETTINGS!$A$15:$A$24,$B194)</f>
        <v>2025</v>
      </c>
      <c r="B194">
        <v>1</v>
      </c>
      <c r="C194" t="str">
        <f>IF(AND(A194&gt;=SETTINGS!$B$4,A194&lt;=SETTINGS!$B$5),"Yes","No")</f>
        <v>Yes</v>
      </c>
      <c r="D194" t="str">
        <f>IFERROR(INDEX(SETTINGS!$C$15:$C$24,MATCH(A194,SETTINGS!$A$15:$A$24,0)),"No")</f>
        <v>Yes</v>
      </c>
      <c r="E194">
        <v>11</v>
      </c>
      <c r="F194" t="s">
        <v>44</v>
      </c>
      <c r="G194">
        <v>251</v>
      </c>
      <c r="H194" t="s">
        <v>93</v>
      </c>
      <c r="I194" t="s">
        <v>89</v>
      </c>
      <c r="J194" t="s">
        <v>13</v>
      </c>
      <c r="K194" t="s">
        <v>14</v>
      </c>
      <c r="L194" s="36">
        <f ca="1">IF(C194&lt;&gt;"Yes",0,IF(A194=2025,N('2025'!D251),IF(A194=2026,N('2026'!D251),IF(A194=2027,N('2027'!D251),IF(A194=2028,N('2028'!D251),IF(A194=2029,N('2029'!D251),IF(A194=2030,N('2030'!D251),IF(A194=2031,N('2031'!D251),IF(A194=2032,N('2032'!D251),IF(A194=2033,N('2033'!D251),IF(A194=2034,N('2034'!D251),IFERROR(N(INDIRECT("'"&amp;A194&amp;"'!D"&amp;G194)),0))))))))))))</f>
        <v>0</v>
      </c>
      <c r="M194" s="36">
        <f>IFERROR(IF(NOT(ISBLANK(KPI_TARGETS!$G$7)),KPI_TARGETS!$G$7,IF(NOT(ISBLANK(KPI_TARGETS!$F$7)),KPI_TARGETS!$F$7,"")),"")</f>
        <v>8000</v>
      </c>
      <c r="N194" s="36" t="str">
        <f>IFERROR(KPI_TARGETS!$E$7,"Higher is better")</f>
        <v>Higher is better</v>
      </c>
      <c r="O194" s="37">
        <f t="shared" ref="O194:O257" ca="1" si="18">IF(M194="","",IF(N194="Higher is better",IFERROR(L194/M194,""),IF(L194=0,1,IFERROR(M194/L194,""))))</f>
        <v>0</v>
      </c>
      <c r="P194" t="str">
        <f t="shared" ref="P194:P257" ca="1" si="19">IF(M194="","Target Needed",IF(N194="Higher is better",IF(L194&gt;=M194,"Green",IF(L194&gt;=0.8*M194,"Amber","Red")),IF(M194=0,IF(L194=0,"Green","Red"),IF(L194&lt;=M194,"Green",IF(L194&lt;=1.25*M194,"Amber","Red")))))</f>
        <v>Red</v>
      </c>
      <c r="Q194" s="36">
        <f t="shared" ref="Q194:Q257" ca="1" si="20">IF(M194="","",IF(N194="Higher is better",L194-M194,M194-L194))</f>
        <v>-8000</v>
      </c>
      <c r="R194" s="36" t="str">
        <f>""</f>
        <v/>
      </c>
      <c r="S194" s="36" t="str">
        <f>""</f>
        <v/>
      </c>
      <c r="T194" s="36" t="str">
        <f>""</f>
        <v/>
      </c>
      <c r="U194" s="36" t="str">
        <f>""</f>
        <v/>
      </c>
      <c r="V194" s="36" t="str">
        <f>""</f>
        <v/>
      </c>
      <c r="W194" s="36">
        <f t="shared" ref="W194:W257" si="21">IF(LEN(M194&amp;"")&gt;0,1,0)</f>
        <v>1</v>
      </c>
      <c r="X194" t="str">
        <f t="shared" ref="X194:X257" si="22">IF(C194&lt;&gt;"Yes","Inactive",IF(M194="","Missing target","OK"))</f>
        <v>OK</v>
      </c>
      <c r="Y194" t="str">
        <f>IF(MAIN!$H$3="Selected Year",IF(A194=MAIN!$B$3,"Yes","No"),IF(MAIN!$H$3="Included Years",IF(D194="Yes","Yes","No"),IF(C194="Yes","Yes","No")))</f>
        <v>Yes</v>
      </c>
      <c r="Z194" t="str">
        <f>IF(MAIN!$F$3="Project to Date",IF(AND(A194&gt;=SETTINGS!$B$4,A194&lt;MAIN!$B$3),"Yes",IF(AND(A194=MAIN!$B$3,E194&lt;=MAIN!$L$3),"Yes","No")),IF(OR(MAIN!$F$3="Full Year",MAIN!$D$3="All"),"Yes",IF(MAIN!$F$3="Monthly",IF(E194=MAIN!$L$3,"Yes","No"),IF(E194&lt;=MAIN!$L$3,"Yes","No"))))</f>
        <v>Yes</v>
      </c>
      <c r="AA194" t="str">
        <f t="shared" ref="AA194:AA257" si="23">IF(AND(Y194="Yes",Z194="Yes"),"Yes","No")</f>
        <v>Yes</v>
      </c>
    </row>
    <row r="195" spans="1:27" x14ac:dyDescent="0.3">
      <c r="A195">
        <f>INDEX(SETTINGS!$A$15:$A$24,$B195)</f>
        <v>2025</v>
      </c>
      <c r="B195">
        <v>1</v>
      </c>
      <c r="C195" t="str">
        <f>IF(AND(A195&gt;=SETTINGS!$B$4,A195&lt;=SETTINGS!$B$5),"Yes","No")</f>
        <v>Yes</v>
      </c>
      <c r="D195" t="str">
        <f>IFERROR(INDEX(SETTINGS!$C$15:$C$24,MATCH(A195,SETTINGS!$A$15:$A$24,0)),"No")</f>
        <v>Yes</v>
      </c>
      <c r="E195">
        <v>11</v>
      </c>
      <c r="F195" t="s">
        <v>44</v>
      </c>
      <c r="G195">
        <v>253</v>
      </c>
      <c r="H195" t="s">
        <v>95</v>
      </c>
      <c r="I195" t="s">
        <v>15</v>
      </c>
      <c r="J195" t="s">
        <v>16</v>
      </c>
      <c r="K195" t="s">
        <v>3</v>
      </c>
      <c r="L195" s="36">
        <f ca="1">IF(C195&lt;&gt;"Yes",0,IF(A195=2025,N('2025'!D253),IF(A195=2026,N('2026'!D253),IF(A195=2027,N('2027'!D253),IF(A195=2028,N('2028'!D253),IF(A195=2029,N('2029'!D253),IF(A195=2030,N('2030'!D253),IF(A195=2031,N('2031'!D253),IF(A195=2032,N('2032'!D253),IF(A195=2033,N('2033'!D253),IF(A195=2034,N('2034'!D253),IFERROR(N(INDIRECT("'"&amp;A195&amp;"'!D"&amp;G195)),0))))))))))))</f>
        <v>0</v>
      </c>
      <c r="M195" s="36">
        <f>IFERROR(IF(NOT(ISBLANK(KPI_TARGETS!$G$8)),KPI_TARGETS!$G$8,IF(NOT(ISBLANK(KPI_TARGETS!$F$8)),KPI_TARGETS!$F$8,"")),"")</f>
        <v>0</v>
      </c>
      <c r="N195" s="36" t="str">
        <f>IFERROR(KPI_TARGETS!$E$8,"Higher is better")</f>
        <v>Lower is better</v>
      </c>
      <c r="O195" s="37">
        <f t="shared" ca="1" si="18"/>
        <v>1</v>
      </c>
      <c r="P195" t="str">
        <f t="shared" ca="1" si="19"/>
        <v>Green</v>
      </c>
      <c r="Q195" s="36">
        <f t="shared" ca="1" si="20"/>
        <v>0</v>
      </c>
      <c r="R195" s="36" t="str">
        <f>""</f>
        <v/>
      </c>
      <c r="S195" s="36" t="str">
        <f>""</f>
        <v/>
      </c>
      <c r="T195" s="36" t="str">
        <f>""</f>
        <v/>
      </c>
      <c r="U195" s="36" t="str">
        <f>""</f>
        <v/>
      </c>
      <c r="V195" s="36" t="str">
        <f>""</f>
        <v/>
      </c>
      <c r="W195" s="36">
        <f t="shared" si="21"/>
        <v>1</v>
      </c>
      <c r="X195" t="str">
        <f t="shared" si="22"/>
        <v>OK</v>
      </c>
      <c r="Y195" t="str">
        <f>IF(MAIN!$H$3="Selected Year",IF(A195=MAIN!$B$3,"Yes","No"),IF(MAIN!$H$3="Included Years",IF(D195="Yes","Yes","No"),IF(C195="Yes","Yes","No")))</f>
        <v>Yes</v>
      </c>
      <c r="Z195" t="str">
        <f>IF(MAIN!$F$3="Project to Date",IF(AND(A195&gt;=SETTINGS!$B$4,A195&lt;MAIN!$B$3),"Yes",IF(AND(A195=MAIN!$B$3,E195&lt;=MAIN!$L$3),"Yes","No")),IF(OR(MAIN!$F$3="Full Year",MAIN!$D$3="All"),"Yes",IF(MAIN!$F$3="Monthly",IF(E195=MAIN!$L$3,"Yes","No"),IF(E195&lt;=MAIN!$L$3,"Yes","No"))))</f>
        <v>Yes</v>
      </c>
      <c r="AA195" t="str">
        <f t="shared" si="23"/>
        <v>Yes</v>
      </c>
    </row>
    <row r="196" spans="1:27" x14ac:dyDescent="0.3">
      <c r="A196">
        <f>INDEX(SETTINGS!$A$15:$A$24,$B196)</f>
        <v>2025</v>
      </c>
      <c r="B196">
        <v>1</v>
      </c>
      <c r="C196" t="str">
        <f>IF(AND(A196&gt;=SETTINGS!$B$4,A196&lt;=SETTINGS!$B$5),"Yes","No")</f>
        <v>Yes</v>
      </c>
      <c r="D196" t="str">
        <f>IFERROR(INDEX(SETTINGS!$C$15:$C$24,MATCH(A196,SETTINGS!$A$15:$A$24,0)),"No")</f>
        <v>Yes</v>
      </c>
      <c r="E196">
        <v>11</v>
      </c>
      <c r="F196" t="s">
        <v>44</v>
      </c>
      <c r="G196">
        <v>254</v>
      </c>
      <c r="H196" t="s">
        <v>97</v>
      </c>
      <c r="I196" t="s">
        <v>15</v>
      </c>
      <c r="J196" t="s">
        <v>17</v>
      </c>
      <c r="K196" t="s">
        <v>3</v>
      </c>
      <c r="L196" s="36">
        <f ca="1">IF(C196&lt;&gt;"Yes",0,IF(A196=2025,N('2025'!D254),IF(A196=2026,N('2026'!D254),IF(A196=2027,N('2027'!D254),IF(A196=2028,N('2028'!D254),IF(A196=2029,N('2029'!D254),IF(A196=2030,N('2030'!D254),IF(A196=2031,N('2031'!D254),IF(A196=2032,N('2032'!D254),IF(A196=2033,N('2033'!D254),IF(A196=2034,N('2034'!D254),IFERROR(N(INDIRECT("'"&amp;A196&amp;"'!D"&amp;G196)),0))))))))))))</f>
        <v>0</v>
      </c>
      <c r="M196" s="36">
        <f>IFERROR(IF(NOT(ISBLANK(KPI_TARGETS!$G$9)),KPI_TARGETS!$G$9,IF(NOT(ISBLANK(KPI_TARGETS!$F$9)),KPI_TARGETS!$F$9,"")),"")</f>
        <v>0</v>
      </c>
      <c r="N196" s="36" t="str">
        <f>IFERROR(KPI_TARGETS!$E$9,"Higher is better")</f>
        <v>Higher is better</v>
      </c>
      <c r="O196" s="37" t="str">
        <f t="shared" ca="1" si="18"/>
        <v/>
      </c>
      <c r="P196" t="str">
        <f t="shared" ca="1" si="19"/>
        <v>Green</v>
      </c>
      <c r="Q196" s="36">
        <f t="shared" ca="1" si="20"/>
        <v>0</v>
      </c>
      <c r="R196" s="36" t="str">
        <f>""</f>
        <v/>
      </c>
      <c r="S196" s="36" t="str">
        <f>""</f>
        <v/>
      </c>
      <c r="T196" s="36" t="str">
        <f>""</f>
        <v/>
      </c>
      <c r="U196" s="36" t="str">
        <f>""</f>
        <v/>
      </c>
      <c r="V196" s="36" t="str">
        <f>""</f>
        <v/>
      </c>
      <c r="W196" s="36">
        <f t="shared" si="21"/>
        <v>1</v>
      </c>
      <c r="X196" t="str">
        <f t="shared" si="22"/>
        <v>OK</v>
      </c>
      <c r="Y196" t="str">
        <f>IF(MAIN!$H$3="Selected Year",IF(A196=MAIN!$B$3,"Yes","No"),IF(MAIN!$H$3="Included Years",IF(D196="Yes","Yes","No"),IF(C196="Yes","Yes","No")))</f>
        <v>Yes</v>
      </c>
      <c r="Z196" t="str">
        <f>IF(MAIN!$F$3="Project to Date",IF(AND(A196&gt;=SETTINGS!$B$4,A196&lt;MAIN!$B$3),"Yes",IF(AND(A196=MAIN!$B$3,E196&lt;=MAIN!$L$3),"Yes","No")),IF(OR(MAIN!$F$3="Full Year",MAIN!$D$3="All"),"Yes",IF(MAIN!$F$3="Monthly",IF(E196=MAIN!$L$3,"Yes","No"),IF(E196&lt;=MAIN!$L$3,"Yes","No"))))</f>
        <v>Yes</v>
      </c>
      <c r="AA196" t="str">
        <f t="shared" si="23"/>
        <v>Yes</v>
      </c>
    </row>
    <row r="197" spans="1:27" x14ac:dyDescent="0.3">
      <c r="A197">
        <f>INDEX(SETTINGS!$A$15:$A$24,$B197)</f>
        <v>2025</v>
      </c>
      <c r="B197">
        <v>1</v>
      </c>
      <c r="C197" t="str">
        <f>IF(AND(A197&gt;=SETTINGS!$B$4,A197&lt;=SETTINGS!$B$5),"Yes","No")</f>
        <v>Yes</v>
      </c>
      <c r="D197" t="str">
        <f>IFERROR(INDEX(SETTINGS!$C$15:$C$24,MATCH(A197,SETTINGS!$A$15:$A$24,0)),"No")</f>
        <v>Yes</v>
      </c>
      <c r="E197">
        <v>11</v>
      </c>
      <c r="F197" t="s">
        <v>44</v>
      </c>
      <c r="G197">
        <v>255</v>
      </c>
      <c r="H197" t="s">
        <v>99</v>
      </c>
      <c r="I197" t="s">
        <v>15</v>
      </c>
      <c r="J197" t="s">
        <v>18</v>
      </c>
      <c r="K197" t="s">
        <v>3</v>
      </c>
      <c r="L197" s="36">
        <f ca="1">IF(C197&lt;&gt;"Yes",0,IF(A197=2025,N('2025'!D255),IF(A197=2026,N('2026'!D255),IF(A197=2027,N('2027'!D255),IF(A197=2028,N('2028'!D255),IF(A197=2029,N('2029'!D255),IF(A197=2030,N('2030'!D255),IF(A197=2031,N('2031'!D255),IF(A197=2032,N('2032'!D255),IF(A197=2033,N('2033'!D255),IF(A197=2034,N('2034'!D255),IFERROR(N(INDIRECT("'"&amp;A197&amp;"'!D"&amp;G197)),0))))))))))))</f>
        <v>0</v>
      </c>
      <c r="M197" s="36">
        <f>IFERROR(IF(NOT(ISBLANK(KPI_TARGETS!$G$10)),KPI_TARGETS!$G$10,IF(NOT(ISBLANK(KPI_TARGETS!$F$10)),KPI_TARGETS!$F$10,"")),"")</f>
        <v>0</v>
      </c>
      <c r="N197" s="36" t="str">
        <f>IFERROR(KPI_TARGETS!$E$10,"Higher is better")</f>
        <v>Lower is better</v>
      </c>
      <c r="O197" s="37">
        <f t="shared" ca="1" si="18"/>
        <v>1</v>
      </c>
      <c r="P197" t="str">
        <f t="shared" ca="1" si="19"/>
        <v>Green</v>
      </c>
      <c r="Q197" s="36">
        <f t="shared" ca="1" si="20"/>
        <v>0</v>
      </c>
      <c r="R197" s="36" t="str">
        <f>""</f>
        <v/>
      </c>
      <c r="S197" s="36" t="str">
        <f>""</f>
        <v/>
      </c>
      <c r="T197" s="36" t="str">
        <f>""</f>
        <v/>
      </c>
      <c r="U197" s="36" t="str">
        <f>""</f>
        <v/>
      </c>
      <c r="V197" s="36" t="str">
        <f>""</f>
        <v/>
      </c>
      <c r="W197" s="36">
        <f t="shared" si="21"/>
        <v>1</v>
      </c>
      <c r="X197" t="str">
        <f t="shared" si="22"/>
        <v>OK</v>
      </c>
      <c r="Y197" t="str">
        <f>IF(MAIN!$H$3="Selected Year",IF(A197=MAIN!$B$3,"Yes","No"),IF(MAIN!$H$3="Included Years",IF(D197="Yes","Yes","No"),IF(C197="Yes","Yes","No")))</f>
        <v>Yes</v>
      </c>
      <c r="Z197" t="str">
        <f>IF(MAIN!$F$3="Project to Date",IF(AND(A197&gt;=SETTINGS!$B$4,A197&lt;MAIN!$B$3),"Yes",IF(AND(A197=MAIN!$B$3,E197&lt;=MAIN!$L$3),"Yes","No")),IF(OR(MAIN!$F$3="Full Year",MAIN!$D$3="All"),"Yes",IF(MAIN!$F$3="Monthly",IF(E197=MAIN!$L$3,"Yes","No"),IF(E197&lt;=MAIN!$L$3,"Yes","No"))))</f>
        <v>Yes</v>
      </c>
      <c r="AA197" t="str">
        <f t="shared" si="23"/>
        <v>Yes</v>
      </c>
    </row>
    <row r="198" spans="1:27" x14ac:dyDescent="0.3">
      <c r="A198">
        <f>INDEX(SETTINGS!$A$15:$A$24,$B198)</f>
        <v>2025</v>
      </c>
      <c r="B198">
        <v>1</v>
      </c>
      <c r="C198" t="str">
        <f>IF(AND(A198&gt;=SETTINGS!$B$4,A198&lt;=SETTINGS!$B$5),"Yes","No")</f>
        <v>Yes</v>
      </c>
      <c r="D198" t="str">
        <f>IFERROR(INDEX(SETTINGS!$C$15:$C$24,MATCH(A198,SETTINGS!$A$15:$A$24,0)),"No")</f>
        <v>Yes</v>
      </c>
      <c r="E198">
        <v>11</v>
      </c>
      <c r="F198" t="s">
        <v>44</v>
      </c>
      <c r="G198">
        <v>256</v>
      </c>
      <c r="H198" t="s">
        <v>100</v>
      </c>
      <c r="I198" t="s">
        <v>15</v>
      </c>
      <c r="J198" t="s">
        <v>19</v>
      </c>
      <c r="K198" t="s">
        <v>3</v>
      </c>
      <c r="L198" s="36">
        <f ca="1">IF(C198&lt;&gt;"Yes",0,IF(A198=2025,N('2025'!D256),IF(A198=2026,N('2026'!D256),IF(A198=2027,N('2027'!D256),IF(A198=2028,N('2028'!D256),IF(A198=2029,N('2029'!D256),IF(A198=2030,N('2030'!D256),IF(A198=2031,N('2031'!D256),IF(A198=2032,N('2032'!D256),IF(A198=2033,N('2033'!D256),IF(A198=2034,N('2034'!D256),IFERROR(N(INDIRECT("'"&amp;A198&amp;"'!D"&amp;G198)),0))))))))))))</f>
        <v>0</v>
      </c>
      <c r="M198" s="36">
        <f>IFERROR(IF(NOT(ISBLANK(KPI_TARGETS!$G$11)),KPI_TARGETS!$G$11,IF(NOT(ISBLANK(KPI_TARGETS!$F$11)),KPI_TARGETS!$F$11,"")),"")</f>
        <v>0</v>
      </c>
      <c r="N198" s="36" t="str">
        <f>IFERROR(KPI_TARGETS!$E$11,"Higher is better")</f>
        <v>Lower is better</v>
      </c>
      <c r="O198" s="37">
        <f t="shared" ca="1" si="18"/>
        <v>1</v>
      </c>
      <c r="P198" t="str">
        <f t="shared" ca="1" si="19"/>
        <v>Green</v>
      </c>
      <c r="Q198" s="36">
        <f t="shared" ca="1" si="20"/>
        <v>0</v>
      </c>
      <c r="R198" s="36" t="str">
        <f>""</f>
        <v/>
      </c>
      <c r="S198" s="36" t="str">
        <f>""</f>
        <v/>
      </c>
      <c r="T198" s="36" t="str">
        <f>""</f>
        <v/>
      </c>
      <c r="U198" s="36" t="str">
        <f>""</f>
        <v/>
      </c>
      <c r="V198" s="36" t="str">
        <f>""</f>
        <v/>
      </c>
      <c r="W198" s="36">
        <f t="shared" si="21"/>
        <v>1</v>
      </c>
      <c r="X198" t="str">
        <f t="shared" si="22"/>
        <v>OK</v>
      </c>
      <c r="Y198" t="str">
        <f>IF(MAIN!$H$3="Selected Year",IF(A198=MAIN!$B$3,"Yes","No"),IF(MAIN!$H$3="Included Years",IF(D198="Yes","Yes","No"),IF(C198="Yes","Yes","No")))</f>
        <v>Yes</v>
      </c>
      <c r="Z198" t="str">
        <f>IF(MAIN!$F$3="Project to Date",IF(AND(A198&gt;=SETTINGS!$B$4,A198&lt;MAIN!$B$3),"Yes",IF(AND(A198=MAIN!$B$3,E198&lt;=MAIN!$L$3),"Yes","No")),IF(OR(MAIN!$F$3="Full Year",MAIN!$D$3="All"),"Yes",IF(MAIN!$F$3="Monthly",IF(E198=MAIN!$L$3,"Yes","No"),IF(E198&lt;=MAIN!$L$3,"Yes","No"))))</f>
        <v>Yes</v>
      </c>
      <c r="AA198" t="str">
        <f t="shared" si="23"/>
        <v>Yes</v>
      </c>
    </row>
    <row r="199" spans="1:27" x14ac:dyDescent="0.3">
      <c r="A199">
        <f>INDEX(SETTINGS!$A$15:$A$24,$B199)</f>
        <v>2025</v>
      </c>
      <c r="B199">
        <v>1</v>
      </c>
      <c r="C199" t="str">
        <f>IF(AND(A199&gt;=SETTINGS!$B$4,A199&lt;=SETTINGS!$B$5),"Yes","No")</f>
        <v>Yes</v>
      </c>
      <c r="D199" t="str">
        <f>IFERROR(INDEX(SETTINGS!$C$15:$C$24,MATCH(A199,SETTINGS!$A$15:$A$24,0)),"No")</f>
        <v>Yes</v>
      </c>
      <c r="E199">
        <v>11</v>
      </c>
      <c r="F199" t="s">
        <v>44</v>
      </c>
      <c r="G199">
        <v>257</v>
      </c>
      <c r="H199" t="s">
        <v>101</v>
      </c>
      <c r="I199" t="s">
        <v>15</v>
      </c>
      <c r="J199" t="s">
        <v>20</v>
      </c>
      <c r="K199" t="s">
        <v>3</v>
      </c>
      <c r="L199" s="36">
        <f ca="1">IF(C199&lt;&gt;"Yes",0,IF(A199=2025,N('2025'!D257),IF(A199=2026,N('2026'!D257),IF(A199=2027,N('2027'!D257),IF(A199=2028,N('2028'!D257),IF(A199=2029,N('2029'!D257),IF(A199=2030,N('2030'!D257),IF(A199=2031,N('2031'!D257),IF(A199=2032,N('2032'!D257),IF(A199=2033,N('2033'!D257),IF(A199=2034,N('2034'!D257),IFERROR(N(INDIRECT("'"&amp;A199&amp;"'!D"&amp;G199)),0))))))))))))</f>
        <v>0</v>
      </c>
      <c r="M199" s="36">
        <f>IFERROR(IF(NOT(ISBLANK(KPI_TARGETS!$G$12)),KPI_TARGETS!$G$12,IF(NOT(ISBLANK(KPI_TARGETS!$F$12)),KPI_TARGETS!$F$12,"")),"")</f>
        <v>0</v>
      </c>
      <c r="N199" s="36" t="str">
        <f>IFERROR(KPI_TARGETS!$E$12,"Higher is better")</f>
        <v>Lower is better</v>
      </c>
      <c r="O199" s="37">
        <f t="shared" ca="1" si="18"/>
        <v>1</v>
      </c>
      <c r="P199" t="str">
        <f t="shared" ca="1" si="19"/>
        <v>Green</v>
      </c>
      <c r="Q199" s="36">
        <f t="shared" ca="1" si="20"/>
        <v>0</v>
      </c>
      <c r="R199" s="36" t="str">
        <f>""</f>
        <v/>
      </c>
      <c r="S199" s="36" t="str">
        <f>""</f>
        <v/>
      </c>
      <c r="T199" s="36" t="str">
        <f>""</f>
        <v/>
      </c>
      <c r="U199" s="36" t="str">
        <f>""</f>
        <v/>
      </c>
      <c r="V199" s="36" t="str">
        <f>""</f>
        <v/>
      </c>
      <c r="W199" s="36">
        <f t="shared" si="21"/>
        <v>1</v>
      </c>
      <c r="X199" t="str">
        <f t="shared" si="22"/>
        <v>OK</v>
      </c>
      <c r="Y199" t="str">
        <f>IF(MAIN!$H$3="Selected Year",IF(A199=MAIN!$B$3,"Yes","No"),IF(MAIN!$H$3="Included Years",IF(D199="Yes","Yes","No"),IF(C199="Yes","Yes","No")))</f>
        <v>Yes</v>
      </c>
      <c r="Z199" t="str">
        <f>IF(MAIN!$F$3="Project to Date",IF(AND(A199&gt;=SETTINGS!$B$4,A199&lt;MAIN!$B$3),"Yes",IF(AND(A199=MAIN!$B$3,E199&lt;=MAIN!$L$3),"Yes","No")),IF(OR(MAIN!$F$3="Full Year",MAIN!$D$3="All"),"Yes",IF(MAIN!$F$3="Monthly",IF(E199=MAIN!$L$3,"Yes","No"),IF(E199&lt;=MAIN!$L$3,"Yes","No"))))</f>
        <v>Yes</v>
      </c>
      <c r="AA199" t="str">
        <f t="shared" si="23"/>
        <v>Yes</v>
      </c>
    </row>
    <row r="200" spans="1:27" x14ac:dyDescent="0.3">
      <c r="A200">
        <f>INDEX(SETTINGS!$A$15:$A$24,$B200)</f>
        <v>2025</v>
      </c>
      <c r="B200">
        <v>1</v>
      </c>
      <c r="C200" t="str">
        <f>IF(AND(A200&gt;=SETTINGS!$B$4,A200&lt;=SETTINGS!$B$5),"Yes","No")</f>
        <v>Yes</v>
      </c>
      <c r="D200" t="str">
        <f>IFERROR(INDEX(SETTINGS!$C$15:$C$24,MATCH(A200,SETTINGS!$A$15:$A$24,0)),"No")</f>
        <v>Yes</v>
      </c>
      <c r="E200">
        <v>11</v>
      </c>
      <c r="F200" t="s">
        <v>44</v>
      </c>
      <c r="G200">
        <v>258</v>
      </c>
      <c r="H200" t="s">
        <v>102</v>
      </c>
      <c r="I200" t="s">
        <v>15</v>
      </c>
      <c r="J200" t="s">
        <v>21</v>
      </c>
      <c r="K200" t="s">
        <v>3</v>
      </c>
      <c r="L200" s="36">
        <f ca="1">IF(C200&lt;&gt;"Yes",0,IF(A200=2025,N('2025'!D258),IF(A200=2026,N('2026'!D258),IF(A200=2027,N('2027'!D258),IF(A200=2028,N('2028'!D258),IF(A200=2029,N('2029'!D258),IF(A200=2030,N('2030'!D258),IF(A200=2031,N('2031'!D258),IF(A200=2032,N('2032'!D258),IF(A200=2033,N('2033'!D258),IF(A200=2034,N('2034'!D258),IFERROR(N(INDIRECT("'"&amp;A200&amp;"'!D"&amp;G200)),0))))))))))))</f>
        <v>0</v>
      </c>
      <c r="M200" s="36">
        <f>IFERROR(IF(NOT(ISBLANK(KPI_TARGETS!$G$13)),KPI_TARGETS!$G$13,IF(NOT(ISBLANK(KPI_TARGETS!$F$13)),KPI_TARGETS!$F$13,"")),"")</f>
        <v>0</v>
      </c>
      <c r="N200" s="36" t="str">
        <f>IFERROR(KPI_TARGETS!$E$13,"Higher is better")</f>
        <v>Lower is better</v>
      </c>
      <c r="O200" s="37">
        <f t="shared" ca="1" si="18"/>
        <v>1</v>
      </c>
      <c r="P200" t="str">
        <f t="shared" ca="1" si="19"/>
        <v>Green</v>
      </c>
      <c r="Q200" s="36">
        <f t="shared" ca="1" si="20"/>
        <v>0</v>
      </c>
      <c r="R200" s="36" t="str">
        <f>""</f>
        <v/>
      </c>
      <c r="S200" s="36" t="str">
        <f>""</f>
        <v/>
      </c>
      <c r="T200" s="36" t="str">
        <f>""</f>
        <v/>
      </c>
      <c r="U200" s="36" t="str">
        <f>""</f>
        <v/>
      </c>
      <c r="V200" s="36" t="str">
        <f>""</f>
        <v/>
      </c>
      <c r="W200" s="36">
        <f t="shared" si="21"/>
        <v>1</v>
      </c>
      <c r="X200" t="str">
        <f t="shared" si="22"/>
        <v>OK</v>
      </c>
      <c r="Y200" t="str">
        <f>IF(MAIN!$H$3="Selected Year",IF(A200=MAIN!$B$3,"Yes","No"),IF(MAIN!$H$3="Included Years",IF(D200="Yes","Yes","No"),IF(C200="Yes","Yes","No")))</f>
        <v>Yes</v>
      </c>
      <c r="Z200" t="str">
        <f>IF(MAIN!$F$3="Project to Date",IF(AND(A200&gt;=SETTINGS!$B$4,A200&lt;MAIN!$B$3),"Yes",IF(AND(A200=MAIN!$B$3,E200&lt;=MAIN!$L$3),"Yes","No")),IF(OR(MAIN!$F$3="Full Year",MAIN!$D$3="All"),"Yes",IF(MAIN!$F$3="Monthly",IF(E200=MAIN!$L$3,"Yes","No"),IF(E200&lt;=MAIN!$L$3,"Yes","No"))))</f>
        <v>Yes</v>
      </c>
      <c r="AA200" t="str">
        <f t="shared" si="23"/>
        <v>Yes</v>
      </c>
    </row>
    <row r="201" spans="1:27" x14ac:dyDescent="0.3">
      <c r="A201">
        <f>INDEX(SETTINGS!$A$15:$A$24,$B201)</f>
        <v>2025</v>
      </c>
      <c r="B201">
        <v>1</v>
      </c>
      <c r="C201" t="str">
        <f>IF(AND(A201&gt;=SETTINGS!$B$4,A201&lt;=SETTINGS!$B$5),"Yes","No")</f>
        <v>Yes</v>
      </c>
      <c r="D201" t="str">
        <f>IFERROR(INDEX(SETTINGS!$C$15:$C$24,MATCH(A201,SETTINGS!$A$15:$A$24,0)),"No")</f>
        <v>Yes</v>
      </c>
      <c r="E201">
        <v>11</v>
      </c>
      <c r="F201" t="s">
        <v>44</v>
      </c>
      <c r="G201">
        <v>260</v>
      </c>
      <c r="H201" t="s">
        <v>103</v>
      </c>
      <c r="I201" t="s">
        <v>22</v>
      </c>
      <c r="J201" t="s">
        <v>23</v>
      </c>
      <c r="K201" t="s">
        <v>3</v>
      </c>
      <c r="L201" s="36">
        <f ca="1">IF(C201&lt;&gt;"Yes",0,IF(A201=2025,N('2025'!D260),IF(A201=2026,N('2026'!D260),IF(A201=2027,N('2027'!D260),IF(A201=2028,N('2028'!D260),IF(A201=2029,N('2029'!D260),IF(A201=2030,N('2030'!D260),IF(A201=2031,N('2031'!D260),IF(A201=2032,N('2032'!D260),IF(A201=2033,N('2033'!D260),IF(A201=2034,N('2034'!D260),IFERROR(N(INDIRECT("'"&amp;A201&amp;"'!D"&amp;G201)),0))))))))))))</f>
        <v>25</v>
      </c>
      <c r="M201" s="36">
        <f>IFERROR(IF(NOT(ISBLANK(KPI_TARGETS!$G$14)),KPI_TARGETS!$G$14,IF(NOT(ISBLANK(KPI_TARGETS!$F$14)),KPI_TARGETS!$F$14,"")),"")</f>
        <v>35</v>
      </c>
      <c r="N201" s="36" t="str">
        <f>IFERROR(KPI_TARGETS!$E$14,"Higher is better")</f>
        <v>Higher is better</v>
      </c>
      <c r="O201" s="37">
        <f t="shared" ca="1" si="18"/>
        <v>0.7142857142857143</v>
      </c>
      <c r="P201" t="str">
        <f t="shared" ca="1" si="19"/>
        <v>Red</v>
      </c>
      <c r="Q201" s="36">
        <f t="shared" ca="1" si="20"/>
        <v>-10</v>
      </c>
      <c r="R201" s="36" t="str">
        <f>""</f>
        <v/>
      </c>
      <c r="S201" s="36" t="str">
        <f>""</f>
        <v/>
      </c>
      <c r="T201" s="36" t="str">
        <f>""</f>
        <v/>
      </c>
      <c r="U201" s="36" t="str">
        <f>""</f>
        <v/>
      </c>
      <c r="V201" s="36" t="str">
        <f>""</f>
        <v/>
      </c>
      <c r="W201" s="36">
        <f t="shared" si="21"/>
        <v>1</v>
      </c>
      <c r="X201" t="str">
        <f t="shared" si="22"/>
        <v>OK</v>
      </c>
      <c r="Y201" t="str">
        <f>IF(MAIN!$H$3="Selected Year",IF(A201=MAIN!$B$3,"Yes","No"),IF(MAIN!$H$3="Included Years",IF(D201="Yes","Yes","No"),IF(C201="Yes","Yes","No")))</f>
        <v>Yes</v>
      </c>
      <c r="Z201" t="str">
        <f>IF(MAIN!$F$3="Project to Date",IF(AND(A201&gt;=SETTINGS!$B$4,A201&lt;MAIN!$B$3),"Yes",IF(AND(A201=MAIN!$B$3,E201&lt;=MAIN!$L$3),"Yes","No")),IF(OR(MAIN!$F$3="Full Year",MAIN!$D$3="All"),"Yes",IF(MAIN!$F$3="Monthly",IF(E201=MAIN!$L$3,"Yes","No"),IF(E201&lt;=MAIN!$L$3,"Yes","No"))))</f>
        <v>Yes</v>
      </c>
      <c r="AA201" t="str">
        <f t="shared" si="23"/>
        <v>Yes</v>
      </c>
    </row>
    <row r="202" spans="1:27" x14ac:dyDescent="0.3">
      <c r="A202">
        <f>INDEX(SETTINGS!$A$15:$A$24,$B202)</f>
        <v>2025</v>
      </c>
      <c r="B202">
        <v>1</v>
      </c>
      <c r="C202" t="str">
        <f>IF(AND(A202&gt;=SETTINGS!$B$4,A202&lt;=SETTINGS!$B$5),"Yes","No")</f>
        <v>Yes</v>
      </c>
      <c r="D202" t="str">
        <f>IFERROR(INDEX(SETTINGS!$C$15:$C$24,MATCH(A202,SETTINGS!$A$15:$A$24,0)),"No")</f>
        <v>Yes</v>
      </c>
      <c r="E202">
        <v>11</v>
      </c>
      <c r="F202" t="s">
        <v>44</v>
      </c>
      <c r="G202">
        <v>261</v>
      </c>
      <c r="H202" t="s">
        <v>104</v>
      </c>
      <c r="I202" t="s">
        <v>22</v>
      </c>
      <c r="J202" t="s">
        <v>24</v>
      </c>
      <c r="K202" t="s">
        <v>3</v>
      </c>
      <c r="L202" s="36">
        <f ca="1">IF(C202&lt;&gt;"Yes",0,IF(A202=2025,N('2025'!D261),IF(A202=2026,N('2026'!D261),IF(A202=2027,N('2027'!D261),IF(A202=2028,N('2028'!D261),IF(A202=2029,N('2029'!D261),IF(A202=2030,N('2030'!D261),IF(A202=2031,N('2031'!D261),IF(A202=2032,N('2032'!D261),IF(A202=2033,N('2033'!D261),IF(A202=2034,N('2034'!D261),IFERROR(N(INDIRECT("'"&amp;A202&amp;"'!D"&amp;G202)),0))))))))))))</f>
        <v>4</v>
      </c>
      <c r="M202" s="36">
        <f>IFERROR(IF(NOT(ISBLANK(KPI_TARGETS!$G$15)),KPI_TARGETS!$G$15,IF(NOT(ISBLANK(KPI_TARGETS!$F$15)),KPI_TARGETS!$F$15,"")),"")</f>
        <v>5</v>
      </c>
      <c r="N202" s="36" t="str">
        <f>IFERROR(KPI_TARGETS!$E$15,"Higher is better")</f>
        <v>Higher is better</v>
      </c>
      <c r="O202" s="37">
        <f t="shared" ca="1" si="18"/>
        <v>0.8</v>
      </c>
      <c r="P202" t="str">
        <f t="shared" ca="1" si="19"/>
        <v>Amber</v>
      </c>
      <c r="Q202" s="36">
        <f t="shared" ca="1" si="20"/>
        <v>-1</v>
      </c>
      <c r="R202" s="36" t="str">
        <f>""</f>
        <v/>
      </c>
      <c r="S202" s="36" t="str">
        <f>""</f>
        <v/>
      </c>
      <c r="T202" s="36" t="str">
        <f>""</f>
        <v/>
      </c>
      <c r="U202" s="36" t="str">
        <f>""</f>
        <v/>
      </c>
      <c r="V202" s="36" t="str">
        <f>""</f>
        <v/>
      </c>
      <c r="W202" s="36">
        <f t="shared" si="21"/>
        <v>1</v>
      </c>
      <c r="X202" t="str">
        <f t="shared" si="22"/>
        <v>OK</v>
      </c>
      <c r="Y202" t="str">
        <f>IF(MAIN!$H$3="Selected Year",IF(A202=MAIN!$B$3,"Yes","No"),IF(MAIN!$H$3="Included Years",IF(D202="Yes","Yes","No"),IF(C202="Yes","Yes","No")))</f>
        <v>Yes</v>
      </c>
      <c r="Z202" t="str">
        <f>IF(MAIN!$F$3="Project to Date",IF(AND(A202&gt;=SETTINGS!$B$4,A202&lt;MAIN!$B$3),"Yes",IF(AND(A202=MAIN!$B$3,E202&lt;=MAIN!$L$3),"Yes","No")),IF(OR(MAIN!$F$3="Full Year",MAIN!$D$3="All"),"Yes",IF(MAIN!$F$3="Monthly",IF(E202=MAIN!$L$3,"Yes","No"),IF(E202&lt;=MAIN!$L$3,"Yes","No"))))</f>
        <v>Yes</v>
      </c>
      <c r="AA202" t="str">
        <f t="shared" si="23"/>
        <v>Yes</v>
      </c>
    </row>
    <row r="203" spans="1:27" x14ac:dyDescent="0.3">
      <c r="A203">
        <f>INDEX(SETTINGS!$A$15:$A$24,$B203)</f>
        <v>2025</v>
      </c>
      <c r="B203">
        <v>1</v>
      </c>
      <c r="C203" t="str">
        <f>IF(AND(A203&gt;=SETTINGS!$B$4,A203&lt;=SETTINGS!$B$5),"Yes","No")</f>
        <v>Yes</v>
      </c>
      <c r="D203" t="str">
        <f>IFERROR(INDEX(SETTINGS!$C$15:$C$24,MATCH(A203,SETTINGS!$A$15:$A$24,0)),"No")</f>
        <v>Yes</v>
      </c>
      <c r="E203">
        <v>11</v>
      </c>
      <c r="F203" t="s">
        <v>44</v>
      </c>
      <c r="G203">
        <v>262</v>
      </c>
      <c r="H203" t="s">
        <v>105</v>
      </c>
      <c r="I203" t="s">
        <v>22</v>
      </c>
      <c r="J203" t="s">
        <v>25</v>
      </c>
      <c r="K203" t="s">
        <v>3</v>
      </c>
      <c r="L203" s="36">
        <f ca="1">IF(C203&lt;&gt;"Yes",0,IF(A203=2025,N('2025'!D262),IF(A203=2026,N('2026'!D262),IF(A203=2027,N('2027'!D262),IF(A203=2028,N('2028'!D262),IF(A203=2029,N('2029'!D262),IF(A203=2030,N('2030'!D262),IF(A203=2031,N('2031'!D262),IF(A203=2032,N('2032'!D262),IF(A203=2033,N('2033'!D262),IF(A203=2034,N('2034'!D262),IFERROR(N(INDIRECT("'"&amp;A203&amp;"'!D"&amp;G203)),0))))))))))))</f>
        <v>4</v>
      </c>
      <c r="M203" s="36">
        <f>IFERROR(IF(NOT(ISBLANK(KPI_TARGETS!$G$16)),KPI_TARGETS!$G$16,IF(NOT(ISBLANK(KPI_TARGETS!$F$16)),KPI_TARGETS!$F$16,"")),"")</f>
        <v>4</v>
      </c>
      <c r="N203" s="36" t="str">
        <f>IFERROR(KPI_TARGETS!$E$16,"Higher is better")</f>
        <v>Higher is better</v>
      </c>
      <c r="O203" s="37">
        <f t="shared" ca="1" si="18"/>
        <v>1</v>
      </c>
      <c r="P203" t="str">
        <f t="shared" ca="1" si="19"/>
        <v>Green</v>
      </c>
      <c r="Q203" s="36">
        <f t="shared" ca="1" si="20"/>
        <v>0</v>
      </c>
      <c r="R203" s="36" t="str">
        <f>""</f>
        <v/>
      </c>
      <c r="S203" s="36" t="str">
        <f>""</f>
        <v/>
      </c>
      <c r="T203" s="36" t="str">
        <f>""</f>
        <v/>
      </c>
      <c r="U203" s="36" t="str">
        <f>""</f>
        <v/>
      </c>
      <c r="V203" s="36" t="str">
        <f>""</f>
        <v/>
      </c>
      <c r="W203" s="36">
        <f t="shared" si="21"/>
        <v>1</v>
      </c>
      <c r="X203" t="str">
        <f t="shared" si="22"/>
        <v>OK</v>
      </c>
      <c r="Y203" t="str">
        <f>IF(MAIN!$H$3="Selected Year",IF(A203=MAIN!$B$3,"Yes","No"),IF(MAIN!$H$3="Included Years",IF(D203="Yes","Yes","No"),IF(C203="Yes","Yes","No")))</f>
        <v>Yes</v>
      </c>
      <c r="Z203" t="str">
        <f>IF(MAIN!$F$3="Project to Date",IF(AND(A203&gt;=SETTINGS!$B$4,A203&lt;MAIN!$B$3),"Yes",IF(AND(A203=MAIN!$B$3,E203&lt;=MAIN!$L$3),"Yes","No")),IF(OR(MAIN!$F$3="Full Year",MAIN!$D$3="All"),"Yes",IF(MAIN!$F$3="Monthly",IF(E203=MAIN!$L$3,"Yes","No"),IF(E203&lt;=MAIN!$L$3,"Yes","No"))))</f>
        <v>Yes</v>
      </c>
      <c r="AA203" t="str">
        <f t="shared" si="23"/>
        <v>Yes</v>
      </c>
    </row>
    <row r="204" spans="1:27" x14ac:dyDescent="0.3">
      <c r="A204">
        <f>INDEX(SETTINGS!$A$15:$A$24,$B204)</f>
        <v>2025</v>
      </c>
      <c r="B204">
        <v>1</v>
      </c>
      <c r="C204" t="str">
        <f>IF(AND(A204&gt;=SETTINGS!$B$4,A204&lt;=SETTINGS!$B$5),"Yes","No")</f>
        <v>Yes</v>
      </c>
      <c r="D204" t="str">
        <f>IFERROR(INDEX(SETTINGS!$C$15:$C$24,MATCH(A204,SETTINGS!$A$15:$A$24,0)),"No")</f>
        <v>Yes</v>
      </c>
      <c r="E204">
        <v>11</v>
      </c>
      <c r="F204" t="s">
        <v>44</v>
      </c>
      <c r="G204">
        <v>263</v>
      </c>
      <c r="H204" t="s">
        <v>106</v>
      </c>
      <c r="I204" t="s">
        <v>22</v>
      </c>
      <c r="J204" t="s">
        <v>26</v>
      </c>
      <c r="K204" t="s">
        <v>3</v>
      </c>
      <c r="L204" s="36">
        <f ca="1">IF(C204&lt;&gt;"Yes",0,IF(A204=2025,N('2025'!D263),IF(A204=2026,N('2026'!D263),IF(A204=2027,N('2027'!D263),IF(A204=2028,N('2028'!D263),IF(A204=2029,N('2029'!D263),IF(A204=2030,N('2030'!D263),IF(A204=2031,N('2031'!D263),IF(A204=2032,N('2032'!D263),IF(A204=2033,N('2033'!D263),IF(A204=2034,N('2034'!D263),IFERROR(N(INDIRECT("'"&amp;A204&amp;"'!D"&amp;G204)),0))))))))))))</f>
        <v>20</v>
      </c>
      <c r="M204" s="36">
        <f>IFERROR(IF(NOT(ISBLANK(KPI_TARGETS!$G$17)),KPI_TARGETS!$G$17,IF(NOT(ISBLANK(KPI_TARGETS!$F$17)),KPI_TARGETS!$F$17,"")),"")</f>
        <v>12</v>
      </c>
      <c r="N204" s="36" t="str">
        <f>IFERROR(KPI_TARGETS!$E$17,"Higher is better")</f>
        <v>Higher is better</v>
      </c>
      <c r="O204" s="37">
        <f t="shared" ca="1" si="18"/>
        <v>1.6666666666666667</v>
      </c>
      <c r="P204" t="str">
        <f t="shared" ca="1" si="19"/>
        <v>Green</v>
      </c>
      <c r="Q204" s="36">
        <f t="shared" ca="1" si="20"/>
        <v>8</v>
      </c>
      <c r="R204" s="36" t="str">
        <f>""</f>
        <v/>
      </c>
      <c r="S204" s="36" t="str">
        <f>""</f>
        <v/>
      </c>
      <c r="T204" s="36" t="str">
        <f>""</f>
        <v/>
      </c>
      <c r="U204" s="36" t="str">
        <f>""</f>
        <v/>
      </c>
      <c r="V204" s="36" t="str">
        <f>""</f>
        <v/>
      </c>
      <c r="W204" s="36">
        <f t="shared" si="21"/>
        <v>1</v>
      </c>
      <c r="X204" t="str">
        <f t="shared" si="22"/>
        <v>OK</v>
      </c>
      <c r="Y204" t="str">
        <f>IF(MAIN!$H$3="Selected Year",IF(A204=MAIN!$B$3,"Yes","No"),IF(MAIN!$H$3="Included Years",IF(D204="Yes","Yes","No"),IF(C204="Yes","Yes","No")))</f>
        <v>Yes</v>
      </c>
      <c r="Z204" t="str">
        <f>IF(MAIN!$F$3="Project to Date",IF(AND(A204&gt;=SETTINGS!$B$4,A204&lt;MAIN!$B$3),"Yes",IF(AND(A204=MAIN!$B$3,E204&lt;=MAIN!$L$3),"Yes","No")),IF(OR(MAIN!$F$3="Full Year",MAIN!$D$3="All"),"Yes",IF(MAIN!$F$3="Monthly",IF(E204=MAIN!$L$3,"Yes","No"),IF(E204&lt;=MAIN!$L$3,"Yes","No"))))</f>
        <v>Yes</v>
      </c>
      <c r="AA204" t="str">
        <f t="shared" si="23"/>
        <v>Yes</v>
      </c>
    </row>
    <row r="205" spans="1:27" x14ac:dyDescent="0.3">
      <c r="A205">
        <f>INDEX(SETTINGS!$A$15:$A$24,$B205)</f>
        <v>2025</v>
      </c>
      <c r="B205">
        <v>1</v>
      </c>
      <c r="C205" t="str">
        <f>IF(AND(A205&gt;=SETTINGS!$B$4,A205&lt;=SETTINGS!$B$5),"Yes","No")</f>
        <v>Yes</v>
      </c>
      <c r="D205" t="str">
        <f>IFERROR(INDEX(SETTINGS!$C$15:$C$24,MATCH(A205,SETTINGS!$A$15:$A$24,0)),"No")</f>
        <v>Yes</v>
      </c>
      <c r="E205">
        <v>11</v>
      </c>
      <c r="F205" t="s">
        <v>44</v>
      </c>
      <c r="G205">
        <v>264</v>
      </c>
      <c r="H205" t="s">
        <v>107</v>
      </c>
      <c r="I205" t="s">
        <v>22</v>
      </c>
      <c r="J205" t="s">
        <v>27</v>
      </c>
      <c r="K205" t="s">
        <v>3</v>
      </c>
      <c r="L205" s="36">
        <f ca="1">IF(C205&lt;&gt;"Yes",0,IF(A205=2025,N('2025'!D264),IF(A205=2026,N('2026'!D264),IF(A205=2027,N('2027'!D264),IF(A205=2028,N('2028'!D264),IF(A205=2029,N('2029'!D264),IF(A205=2030,N('2030'!D264),IF(A205=2031,N('2031'!D264),IF(A205=2032,N('2032'!D264),IF(A205=2033,N('2033'!D264),IF(A205=2034,N('2034'!D264),IFERROR(N(INDIRECT("'"&amp;A205&amp;"'!D"&amp;G205)),0))))))))))))</f>
        <v>4</v>
      </c>
      <c r="M205" s="36">
        <f>IFERROR(IF(NOT(ISBLANK(KPI_TARGETS!$G$18)),KPI_TARGETS!$G$18,IF(NOT(ISBLANK(KPI_TARGETS!$F$18)),KPI_TARGETS!$F$18,"")),"")</f>
        <v>4</v>
      </c>
      <c r="N205" s="36" t="str">
        <f>IFERROR(KPI_TARGETS!$E$18,"Higher is better")</f>
        <v>Higher is better</v>
      </c>
      <c r="O205" s="37">
        <f t="shared" ca="1" si="18"/>
        <v>1</v>
      </c>
      <c r="P205" t="str">
        <f t="shared" ca="1" si="19"/>
        <v>Green</v>
      </c>
      <c r="Q205" s="36">
        <f t="shared" ca="1" si="20"/>
        <v>0</v>
      </c>
      <c r="R205" s="36" t="str">
        <f>""</f>
        <v/>
      </c>
      <c r="S205" s="36" t="str">
        <f>""</f>
        <v/>
      </c>
      <c r="T205" s="36" t="str">
        <f>""</f>
        <v/>
      </c>
      <c r="U205" s="36" t="str">
        <f>""</f>
        <v/>
      </c>
      <c r="V205" s="36" t="str">
        <f>""</f>
        <v/>
      </c>
      <c r="W205" s="36">
        <f t="shared" si="21"/>
        <v>1</v>
      </c>
      <c r="X205" t="str">
        <f t="shared" si="22"/>
        <v>OK</v>
      </c>
      <c r="Y205" t="str">
        <f>IF(MAIN!$H$3="Selected Year",IF(A205=MAIN!$B$3,"Yes","No"),IF(MAIN!$H$3="Included Years",IF(D205="Yes","Yes","No"),IF(C205="Yes","Yes","No")))</f>
        <v>Yes</v>
      </c>
      <c r="Z205" t="str">
        <f>IF(MAIN!$F$3="Project to Date",IF(AND(A205&gt;=SETTINGS!$B$4,A205&lt;MAIN!$B$3),"Yes",IF(AND(A205=MAIN!$B$3,E205&lt;=MAIN!$L$3),"Yes","No")),IF(OR(MAIN!$F$3="Full Year",MAIN!$D$3="All"),"Yes",IF(MAIN!$F$3="Monthly",IF(E205=MAIN!$L$3,"Yes","No"),IF(E205&lt;=MAIN!$L$3,"Yes","No"))))</f>
        <v>Yes</v>
      </c>
      <c r="AA205" t="str">
        <f t="shared" si="23"/>
        <v>Yes</v>
      </c>
    </row>
    <row r="206" spans="1:27" x14ac:dyDescent="0.3">
      <c r="A206">
        <f>INDEX(SETTINGS!$A$15:$A$24,$B206)</f>
        <v>2025</v>
      </c>
      <c r="B206">
        <v>1</v>
      </c>
      <c r="C206" t="str">
        <f>IF(AND(A206&gt;=SETTINGS!$B$4,A206&lt;=SETTINGS!$B$5),"Yes","No")</f>
        <v>Yes</v>
      </c>
      <c r="D206" t="str">
        <f>IFERROR(INDEX(SETTINGS!$C$15:$C$24,MATCH(A206,SETTINGS!$A$15:$A$24,0)),"No")</f>
        <v>Yes</v>
      </c>
      <c r="E206">
        <v>11</v>
      </c>
      <c r="F206" t="s">
        <v>44</v>
      </c>
      <c r="G206">
        <v>265</v>
      </c>
      <c r="H206" t="s">
        <v>108</v>
      </c>
      <c r="I206" t="s">
        <v>22</v>
      </c>
      <c r="J206" t="s">
        <v>28</v>
      </c>
      <c r="K206" t="s">
        <v>3</v>
      </c>
      <c r="L206" s="36">
        <f ca="1">IF(C206&lt;&gt;"Yes",0,IF(A206=2025,N('2025'!D265),IF(A206=2026,N('2026'!D265),IF(A206=2027,N('2027'!D265),IF(A206=2028,N('2028'!D265),IF(A206=2029,N('2029'!D265),IF(A206=2030,N('2030'!D265),IF(A206=2031,N('2031'!D265),IF(A206=2032,N('2032'!D265),IF(A206=2033,N('2033'!D265),IF(A206=2034,N('2034'!D265),IFERROR(N(INDIRECT("'"&amp;A206&amp;"'!D"&amp;G206)),0))))))))))))</f>
        <v>8</v>
      </c>
      <c r="M206" s="36">
        <f>IFERROR(IF(NOT(ISBLANK(KPI_TARGETS!$G$19)),KPI_TARGETS!$G$19,IF(NOT(ISBLANK(KPI_TARGETS!$F$19)),KPI_TARGETS!$F$19,"")),"")</f>
        <v>16</v>
      </c>
      <c r="N206" s="36" t="str">
        <f>IFERROR(KPI_TARGETS!$E$19,"Higher is better")</f>
        <v>Higher is better</v>
      </c>
      <c r="O206" s="37">
        <f t="shared" ca="1" si="18"/>
        <v>0.5</v>
      </c>
      <c r="P206" t="str">
        <f t="shared" ca="1" si="19"/>
        <v>Red</v>
      </c>
      <c r="Q206" s="36">
        <f t="shared" ca="1" si="20"/>
        <v>-8</v>
      </c>
      <c r="R206" s="36" t="str">
        <f>""</f>
        <v/>
      </c>
      <c r="S206" s="36" t="str">
        <f>""</f>
        <v/>
      </c>
      <c r="T206" s="36" t="str">
        <f>""</f>
        <v/>
      </c>
      <c r="U206" s="36" t="str">
        <f>""</f>
        <v/>
      </c>
      <c r="V206" s="36" t="str">
        <f>""</f>
        <v/>
      </c>
      <c r="W206" s="36">
        <f t="shared" si="21"/>
        <v>1</v>
      </c>
      <c r="X206" t="str">
        <f t="shared" si="22"/>
        <v>OK</v>
      </c>
      <c r="Y206" t="str">
        <f>IF(MAIN!$H$3="Selected Year",IF(A206=MAIN!$B$3,"Yes","No"),IF(MAIN!$H$3="Included Years",IF(D206="Yes","Yes","No"),IF(C206="Yes","Yes","No")))</f>
        <v>Yes</v>
      </c>
      <c r="Z206" t="str">
        <f>IF(MAIN!$F$3="Project to Date",IF(AND(A206&gt;=SETTINGS!$B$4,A206&lt;MAIN!$B$3),"Yes",IF(AND(A206=MAIN!$B$3,E206&lt;=MAIN!$L$3),"Yes","No")),IF(OR(MAIN!$F$3="Full Year",MAIN!$D$3="All"),"Yes",IF(MAIN!$F$3="Monthly",IF(E206=MAIN!$L$3,"Yes","No"),IF(E206&lt;=MAIN!$L$3,"Yes","No"))))</f>
        <v>Yes</v>
      </c>
      <c r="AA206" t="str">
        <f t="shared" si="23"/>
        <v>Yes</v>
      </c>
    </row>
    <row r="207" spans="1:27" x14ac:dyDescent="0.3">
      <c r="A207">
        <f>INDEX(SETTINGS!$A$15:$A$24,$B207)</f>
        <v>2025</v>
      </c>
      <c r="B207">
        <v>1</v>
      </c>
      <c r="C207" t="str">
        <f>IF(AND(A207&gt;=SETTINGS!$B$4,A207&lt;=SETTINGS!$B$5),"Yes","No")</f>
        <v>Yes</v>
      </c>
      <c r="D207" t="str">
        <f>IFERROR(INDEX(SETTINGS!$C$15:$C$24,MATCH(A207,SETTINGS!$A$15:$A$24,0)),"No")</f>
        <v>Yes</v>
      </c>
      <c r="E207">
        <v>11</v>
      </c>
      <c r="F207" t="s">
        <v>44</v>
      </c>
      <c r="G207">
        <v>266</v>
      </c>
      <c r="H207" t="s">
        <v>109</v>
      </c>
      <c r="I207" t="s">
        <v>22</v>
      </c>
      <c r="J207" t="s">
        <v>29</v>
      </c>
      <c r="K207" t="s">
        <v>3</v>
      </c>
      <c r="L207" s="36">
        <f ca="1">IF(C207&lt;&gt;"Yes",0,IF(A207=2025,N('2025'!D266),IF(A207=2026,N('2026'!D266),IF(A207=2027,N('2027'!D266),IF(A207=2028,N('2028'!D266),IF(A207=2029,N('2029'!D266),IF(A207=2030,N('2030'!D266),IF(A207=2031,N('2031'!D266),IF(A207=2032,N('2032'!D266),IF(A207=2033,N('2033'!D266),IF(A207=2034,N('2034'!D266),IFERROR(N(INDIRECT("'"&amp;A207&amp;"'!D"&amp;G207)),0))))))))))))</f>
        <v>1</v>
      </c>
      <c r="M207" s="36">
        <f>IFERROR(IF(NOT(ISBLANK(KPI_TARGETS!$G$20)),KPI_TARGETS!$G$20,IF(NOT(ISBLANK(KPI_TARGETS!$F$20)),KPI_TARGETS!$F$20,"")),"")</f>
        <v>1</v>
      </c>
      <c r="N207" s="36" t="str">
        <f>IFERROR(KPI_TARGETS!$E$20,"Higher is better")</f>
        <v>Higher is better</v>
      </c>
      <c r="O207" s="37">
        <f t="shared" ca="1" si="18"/>
        <v>1</v>
      </c>
      <c r="P207" t="str">
        <f t="shared" ca="1" si="19"/>
        <v>Green</v>
      </c>
      <c r="Q207" s="36">
        <f t="shared" ca="1" si="20"/>
        <v>0</v>
      </c>
      <c r="R207" s="36" t="str">
        <f>""</f>
        <v/>
      </c>
      <c r="S207" s="36" t="str">
        <f>""</f>
        <v/>
      </c>
      <c r="T207" s="36" t="str">
        <f>""</f>
        <v/>
      </c>
      <c r="U207" s="36" t="str">
        <f>""</f>
        <v/>
      </c>
      <c r="V207" s="36" t="str">
        <f>""</f>
        <v/>
      </c>
      <c r="W207" s="36">
        <f t="shared" si="21"/>
        <v>1</v>
      </c>
      <c r="X207" t="str">
        <f t="shared" si="22"/>
        <v>OK</v>
      </c>
      <c r="Y207" t="str">
        <f>IF(MAIN!$H$3="Selected Year",IF(A207=MAIN!$B$3,"Yes","No"),IF(MAIN!$H$3="Included Years",IF(D207="Yes","Yes","No"),IF(C207="Yes","Yes","No")))</f>
        <v>Yes</v>
      </c>
      <c r="Z207" t="str">
        <f>IF(MAIN!$F$3="Project to Date",IF(AND(A207&gt;=SETTINGS!$B$4,A207&lt;MAIN!$B$3),"Yes",IF(AND(A207=MAIN!$B$3,E207&lt;=MAIN!$L$3),"Yes","No")),IF(OR(MAIN!$F$3="Full Year",MAIN!$D$3="All"),"Yes",IF(MAIN!$F$3="Monthly",IF(E207=MAIN!$L$3,"Yes","No"),IF(E207&lt;=MAIN!$L$3,"Yes","No"))))</f>
        <v>Yes</v>
      </c>
      <c r="AA207" t="str">
        <f t="shared" si="23"/>
        <v>Yes</v>
      </c>
    </row>
    <row r="208" spans="1:27" x14ac:dyDescent="0.3">
      <c r="A208">
        <f>INDEX(SETTINGS!$A$15:$A$24,$B208)</f>
        <v>2025</v>
      </c>
      <c r="B208">
        <v>1</v>
      </c>
      <c r="C208" t="str">
        <f>IF(AND(A208&gt;=SETTINGS!$B$4,A208&lt;=SETTINGS!$B$5),"Yes","No")</f>
        <v>Yes</v>
      </c>
      <c r="D208" t="str">
        <f>IFERROR(INDEX(SETTINGS!$C$15:$C$24,MATCH(A208,SETTINGS!$A$15:$A$24,0)),"No")</f>
        <v>Yes</v>
      </c>
      <c r="E208">
        <v>11</v>
      </c>
      <c r="F208" t="s">
        <v>44</v>
      </c>
      <c r="G208">
        <v>268</v>
      </c>
      <c r="H208" t="s">
        <v>110</v>
      </c>
      <c r="I208" t="s">
        <v>30</v>
      </c>
      <c r="J208" t="s">
        <v>31</v>
      </c>
      <c r="K208" t="s">
        <v>3</v>
      </c>
      <c r="L208" s="36">
        <f ca="1">IF(C208&lt;&gt;"Yes",0,IF(A208=2025,N('2025'!D268),IF(A208=2026,N('2026'!D268),IF(A208=2027,N('2027'!D268),IF(A208=2028,N('2028'!D268),IF(A208=2029,N('2029'!D268),IF(A208=2030,N('2030'!D268),IF(A208=2031,N('2031'!D268),IF(A208=2032,N('2032'!D268),IF(A208=2033,N('2033'!D268),IF(A208=2034,N('2034'!D268),IFERROR(N(INDIRECT("'"&amp;A208&amp;"'!D"&amp;G208)),0))))))))))))</f>
        <v>0</v>
      </c>
      <c r="M208" s="36">
        <f>IFERROR(IF(NOT(ISBLANK(KPI_TARGETS!$G$21)),KPI_TARGETS!$G$21,IF(NOT(ISBLANK(KPI_TARGETS!$F$21)),KPI_TARGETS!$F$21,"")),"")</f>
        <v>0</v>
      </c>
      <c r="N208" s="36" t="str">
        <f>IFERROR(KPI_TARGETS!$E$21,"Higher is better")</f>
        <v>Lower is better</v>
      </c>
      <c r="O208" s="37">
        <f t="shared" ca="1" si="18"/>
        <v>1</v>
      </c>
      <c r="P208" t="str">
        <f t="shared" ca="1" si="19"/>
        <v>Green</v>
      </c>
      <c r="Q208" s="36">
        <f t="shared" ca="1" si="20"/>
        <v>0</v>
      </c>
      <c r="R208" s="36" t="str">
        <f>""</f>
        <v/>
      </c>
      <c r="S208" s="36" t="str">
        <f>""</f>
        <v/>
      </c>
      <c r="T208" s="36" t="str">
        <f>""</f>
        <v/>
      </c>
      <c r="U208" s="36" t="str">
        <f>""</f>
        <v/>
      </c>
      <c r="V208" s="36" t="str">
        <f>""</f>
        <v/>
      </c>
      <c r="W208" s="36">
        <f t="shared" si="21"/>
        <v>1</v>
      </c>
      <c r="X208" t="str">
        <f t="shared" si="22"/>
        <v>OK</v>
      </c>
      <c r="Y208" t="str">
        <f>IF(MAIN!$H$3="Selected Year",IF(A208=MAIN!$B$3,"Yes","No"),IF(MAIN!$H$3="Included Years",IF(D208="Yes","Yes","No"),IF(C208="Yes","Yes","No")))</f>
        <v>Yes</v>
      </c>
      <c r="Z208" t="str">
        <f>IF(MAIN!$F$3="Project to Date",IF(AND(A208&gt;=SETTINGS!$B$4,A208&lt;MAIN!$B$3),"Yes",IF(AND(A208=MAIN!$B$3,E208&lt;=MAIN!$L$3),"Yes","No")),IF(OR(MAIN!$F$3="Full Year",MAIN!$D$3="All"),"Yes",IF(MAIN!$F$3="Monthly",IF(E208=MAIN!$L$3,"Yes","No"),IF(E208&lt;=MAIN!$L$3,"Yes","No"))))</f>
        <v>Yes</v>
      </c>
      <c r="AA208" t="str">
        <f t="shared" si="23"/>
        <v>Yes</v>
      </c>
    </row>
    <row r="209" spans="1:27" x14ac:dyDescent="0.3">
      <c r="A209">
        <f>INDEX(SETTINGS!$A$15:$A$24,$B209)</f>
        <v>2025</v>
      </c>
      <c r="B209">
        <v>1</v>
      </c>
      <c r="C209" t="str">
        <f>IF(AND(A209&gt;=SETTINGS!$B$4,A209&lt;=SETTINGS!$B$5),"Yes","No")</f>
        <v>Yes</v>
      </c>
      <c r="D209" t="str">
        <f>IFERROR(INDEX(SETTINGS!$C$15:$C$24,MATCH(A209,SETTINGS!$A$15:$A$24,0)),"No")</f>
        <v>Yes</v>
      </c>
      <c r="E209">
        <v>11</v>
      </c>
      <c r="F209" t="s">
        <v>44</v>
      </c>
      <c r="G209">
        <v>269</v>
      </c>
      <c r="H209" t="s">
        <v>111</v>
      </c>
      <c r="I209" t="s">
        <v>30</v>
      </c>
      <c r="J209" t="s">
        <v>32</v>
      </c>
      <c r="K209" t="s">
        <v>3</v>
      </c>
      <c r="L209" s="36">
        <f ca="1">IF(C209&lt;&gt;"Yes",0,IF(A209=2025,N('2025'!D269),IF(A209=2026,N('2026'!D269),IF(A209=2027,N('2027'!D269),IF(A209=2028,N('2028'!D269),IF(A209=2029,N('2029'!D269),IF(A209=2030,N('2030'!D269),IF(A209=2031,N('2031'!D269),IF(A209=2032,N('2032'!D269),IF(A209=2033,N('2033'!D269),IF(A209=2034,N('2034'!D269),IFERROR(N(INDIRECT("'"&amp;A209&amp;"'!D"&amp;G209)),0))))))))))))</f>
        <v>1</v>
      </c>
      <c r="M209" s="36">
        <f>IFERROR(IF(NOT(ISBLANK(KPI_TARGETS!$G$22)),KPI_TARGETS!$G$22,IF(NOT(ISBLANK(KPI_TARGETS!$F$22)),KPI_TARGETS!$F$22,"")),"")</f>
        <v>1</v>
      </c>
      <c r="N209" s="36" t="str">
        <f>IFERROR(KPI_TARGETS!$E$22,"Higher is better")</f>
        <v>Higher is better</v>
      </c>
      <c r="O209" s="37">
        <f t="shared" ca="1" si="18"/>
        <v>1</v>
      </c>
      <c r="P209" t="str">
        <f t="shared" ca="1" si="19"/>
        <v>Green</v>
      </c>
      <c r="Q209" s="36">
        <f t="shared" ca="1" si="20"/>
        <v>0</v>
      </c>
      <c r="R209" s="36" t="str">
        <f>""</f>
        <v/>
      </c>
      <c r="S209" s="36" t="str">
        <f>""</f>
        <v/>
      </c>
      <c r="T209" s="36" t="str">
        <f>""</f>
        <v/>
      </c>
      <c r="U209" s="36" t="str">
        <f>""</f>
        <v/>
      </c>
      <c r="V209" s="36" t="str">
        <f>""</f>
        <v/>
      </c>
      <c r="W209" s="36">
        <f t="shared" si="21"/>
        <v>1</v>
      </c>
      <c r="X209" t="str">
        <f t="shared" si="22"/>
        <v>OK</v>
      </c>
      <c r="Y209" t="str">
        <f>IF(MAIN!$H$3="Selected Year",IF(A209=MAIN!$B$3,"Yes","No"),IF(MAIN!$H$3="Included Years",IF(D209="Yes","Yes","No"),IF(C209="Yes","Yes","No")))</f>
        <v>Yes</v>
      </c>
      <c r="Z209" t="str">
        <f>IF(MAIN!$F$3="Project to Date",IF(AND(A209&gt;=SETTINGS!$B$4,A209&lt;MAIN!$B$3),"Yes",IF(AND(A209=MAIN!$B$3,E209&lt;=MAIN!$L$3),"Yes","No")),IF(OR(MAIN!$F$3="Full Year",MAIN!$D$3="All"),"Yes",IF(MAIN!$F$3="Monthly",IF(E209=MAIN!$L$3,"Yes","No"),IF(E209&lt;=MAIN!$L$3,"Yes","No"))))</f>
        <v>Yes</v>
      </c>
      <c r="AA209" t="str">
        <f t="shared" si="23"/>
        <v>Yes</v>
      </c>
    </row>
    <row r="210" spans="1:27" x14ac:dyDescent="0.3">
      <c r="A210">
        <f>INDEX(SETTINGS!$A$15:$A$24,$B210)</f>
        <v>2025</v>
      </c>
      <c r="B210">
        <v>1</v>
      </c>
      <c r="C210" t="str">
        <f>IF(AND(A210&gt;=SETTINGS!$B$4,A210&lt;=SETTINGS!$B$5),"Yes","No")</f>
        <v>Yes</v>
      </c>
      <c r="D210" t="str">
        <f>IFERROR(INDEX(SETTINGS!$C$15:$C$24,MATCH(A210,SETTINGS!$A$15:$A$24,0)),"No")</f>
        <v>Yes</v>
      </c>
      <c r="E210">
        <v>11</v>
      </c>
      <c r="F210" t="s">
        <v>44</v>
      </c>
      <c r="G210">
        <v>270</v>
      </c>
      <c r="H210" t="s">
        <v>112</v>
      </c>
      <c r="I210" t="s">
        <v>30</v>
      </c>
      <c r="J210" t="s">
        <v>33</v>
      </c>
      <c r="K210" t="s">
        <v>34</v>
      </c>
      <c r="L210" s="36">
        <f ca="1">IF(C210&lt;&gt;"Yes",0,IF(A210=2025,N('2025'!D270),IF(A210=2026,N('2026'!D270),IF(A210=2027,N('2027'!D270),IF(A210=2028,N('2028'!D270),IF(A210=2029,N('2029'!D270),IF(A210=2030,N('2030'!D270),IF(A210=2031,N('2031'!D270),IF(A210=2032,N('2032'!D270),IF(A210=2033,N('2033'!D270),IF(A210=2034,N('2034'!D270),IFERROR(N(INDIRECT("'"&amp;A210&amp;"'!D"&amp;G210)),0))))))))))))</f>
        <v>1</v>
      </c>
      <c r="M210" s="36">
        <f>IFERROR(IF(NOT(ISBLANK(KPI_TARGETS!$G$23)),KPI_TARGETS!$G$23,IF(NOT(ISBLANK(KPI_TARGETS!$F$23)),KPI_TARGETS!$F$23,"")),"")</f>
        <v>1</v>
      </c>
      <c r="N210" s="36" t="str">
        <f>IFERROR(KPI_TARGETS!$E$23,"Higher is better")</f>
        <v>Higher is better</v>
      </c>
      <c r="O210" s="37">
        <f t="shared" ca="1" si="18"/>
        <v>1</v>
      </c>
      <c r="P210" t="str">
        <f t="shared" ca="1" si="19"/>
        <v>Green</v>
      </c>
      <c r="Q210" s="36">
        <f t="shared" ca="1" si="20"/>
        <v>0</v>
      </c>
      <c r="R210" s="36" t="str">
        <f>""</f>
        <v/>
      </c>
      <c r="S210" s="36" t="str">
        <f>""</f>
        <v/>
      </c>
      <c r="T210" s="36" t="str">
        <f>""</f>
        <v/>
      </c>
      <c r="U210" s="36" t="str">
        <f>""</f>
        <v/>
      </c>
      <c r="V210" s="36" t="str">
        <f>""</f>
        <v/>
      </c>
      <c r="W210" s="36">
        <f t="shared" si="21"/>
        <v>1</v>
      </c>
      <c r="X210" t="str">
        <f t="shared" si="22"/>
        <v>OK</v>
      </c>
      <c r="Y210" t="str">
        <f>IF(MAIN!$H$3="Selected Year",IF(A210=MAIN!$B$3,"Yes","No"),IF(MAIN!$H$3="Included Years",IF(D210="Yes","Yes","No"),IF(C210="Yes","Yes","No")))</f>
        <v>Yes</v>
      </c>
      <c r="Z210" t="str">
        <f>IF(MAIN!$F$3="Project to Date",IF(AND(A210&gt;=SETTINGS!$B$4,A210&lt;MAIN!$B$3),"Yes",IF(AND(A210=MAIN!$B$3,E210&lt;=MAIN!$L$3),"Yes","No")),IF(OR(MAIN!$F$3="Full Year",MAIN!$D$3="All"),"Yes",IF(MAIN!$F$3="Monthly",IF(E210=MAIN!$L$3,"Yes","No"),IF(E210&lt;=MAIN!$L$3,"Yes","No"))))</f>
        <v>Yes</v>
      </c>
      <c r="AA210" t="str">
        <f t="shared" si="23"/>
        <v>Yes</v>
      </c>
    </row>
    <row r="211" spans="1:27" x14ac:dyDescent="0.3">
      <c r="A211">
        <f>INDEX(SETTINGS!$A$15:$A$24,$B211)</f>
        <v>2025</v>
      </c>
      <c r="B211">
        <v>1</v>
      </c>
      <c r="C211" t="str">
        <f>IF(AND(A211&gt;=SETTINGS!$B$4,A211&lt;=SETTINGS!$B$5),"Yes","No")</f>
        <v>Yes</v>
      </c>
      <c r="D211" t="str">
        <f>IFERROR(INDEX(SETTINGS!$C$15:$C$24,MATCH(A211,SETTINGS!$A$15:$A$24,0)),"No")</f>
        <v>Yes</v>
      </c>
      <c r="E211">
        <v>12</v>
      </c>
      <c r="F211" t="s">
        <v>45</v>
      </c>
      <c r="G211">
        <v>273</v>
      </c>
      <c r="H211" t="s">
        <v>88</v>
      </c>
      <c r="I211" t="s">
        <v>89</v>
      </c>
      <c r="J211" t="s">
        <v>10</v>
      </c>
      <c r="K211" t="s">
        <v>3</v>
      </c>
      <c r="L211" s="36">
        <f ca="1">IF(C211&lt;&gt;"Yes",0,IF(A211=2025,N('2025'!D273),IF(A211=2026,N('2026'!D273),IF(A211=2027,N('2027'!D273),IF(A211=2028,N('2028'!D273),IF(A211=2029,N('2029'!D273),IF(A211=2030,N('2030'!D273),IF(A211=2031,N('2031'!D273),IF(A211=2032,N('2032'!D273),IF(A211=2033,N('2033'!D273),IF(A211=2034,N('2034'!D273),IFERROR(N(INDIRECT("'"&amp;A211&amp;"'!D"&amp;G211)),0))))))))))))</f>
        <v>0</v>
      </c>
      <c r="M211" s="36">
        <f>IFERROR(IF(NOT(ISBLANK(KPI_TARGETS!$G$5)),KPI_TARGETS!$G$5,IF(NOT(ISBLANK(KPI_TARGETS!$F$5)),KPI_TARGETS!$F$5,"")),"")</f>
        <v>104</v>
      </c>
      <c r="N211" s="36" t="str">
        <f>IFERROR(KPI_TARGETS!$E$5,"Higher is better")</f>
        <v>Higher is better</v>
      </c>
      <c r="O211" s="37">
        <f t="shared" ca="1" si="18"/>
        <v>0</v>
      </c>
      <c r="P211" t="str">
        <f t="shared" ca="1" si="19"/>
        <v>Red</v>
      </c>
      <c r="Q211" s="36">
        <f t="shared" ca="1" si="20"/>
        <v>-104</v>
      </c>
      <c r="R211" s="36" t="str">
        <f>""</f>
        <v/>
      </c>
      <c r="S211" s="36" t="str">
        <f>""</f>
        <v/>
      </c>
      <c r="T211" s="36" t="str">
        <f>""</f>
        <v/>
      </c>
      <c r="U211" s="36" t="str">
        <f>""</f>
        <v/>
      </c>
      <c r="V211" s="36" t="str">
        <f>""</f>
        <v/>
      </c>
      <c r="W211" s="36">
        <f t="shared" si="21"/>
        <v>1</v>
      </c>
      <c r="X211" t="str">
        <f t="shared" si="22"/>
        <v>OK</v>
      </c>
      <c r="Y211" t="str">
        <f>IF(MAIN!$H$3="Selected Year",IF(A211=MAIN!$B$3,"Yes","No"),IF(MAIN!$H$3="Included Years",IF(D211="Yes","Yes","No"),IF(C211="Yes","Yes","No")))</f>
        <v>Yes</v>
      </c>
      <c r="Z211" t="str">
        <f>IF(MAIN!$F$3="Project to Date",IF(AND(A211&gt;=SETTINGS!$B$4,A211&lt;MAIN!$B$3),"Yes",IF(AND(A211=MAIN!$B$3,E211&lt;=MAIN!$L$3),"Yes","No")),IF(OR(MAIN!$F$3="Full Year",MAIN!$D$3="All"),"Yes",IF(MAIN!$F$3="Monthly",IF(E211=MAIN!$L$3,"Yes","No"),IF(E211&lt;=MAIN!$L$3,"Yes","No"))))</f>
        <v>Yes</v>
      </c>
      <c r="AA211" t="str">
        <f t="shared" si="23"/>
        <v>Yes</v>
      </c>
    </row>
    <row r="212" spans="1:27" x14ac:dyDescent="0.3">
      <c r="A212">
        <f>INDEX(SETTINGS!$A$15:$A$24,$B212)</f>
        <v>2025</v>
      </c>
      <c r="B212">
        <v>1</v>
      </c>
      <c r="C212" t="str">
        <f>IF(AND(A212&gt;=SETTINGS!$B$4,A212&lt;=SETTINGS!$B$5),"Yes","No")</f>
        <v>Yes</v>
      </c>
      <c r="D212" t="str">
        <f>IFERROR(INDEX(SETTINGS!$C$15:$C$24,MATCH(A212,SETTINGS!$A$15:$A$24,0)),"No")</f>
        <v>Yes</v>
      </c>
      <c r="E212">
        <v>12</v>
      </c>
      <c r="F212" t="s">
        <v>45</v>
      </c>
      <c r="G212">
        <v>274</v>
      </c>
      <c r="H212" t="s">
        <v>91</v>
      </c>
      <c r="I212" t="s">
        <v>89</v>
      </c>
      <c r="J212" t="s">
        <v>11</v>
      </c>
      <c r="K212" t="s">
        <v>12</v>
      </c>
      <c r="L212" s="36">
        <f ca="1">IF(C212&lt;&gt;"Yes",0,IF(A212=2025,N('2025'!D274),IF(A212=2026,N('2026'!D274),IF(A212=2027,N('2027'!D274),IF(A212=2028,N('2028'!D274),IF(A212=2029,N('2029'!D274),IF(A212=2030,N('2030'!D274),IF(A212=2031,N('2031'!D274),IF(A212=2032,N('2032'!D274),IF(A212=2033,N('2033'!D274),IF(A212=2034,N('2034'!D274),IFERROR(N(INDIRECT("'"&amp;A212&amp;"'!D"&amp;G212)),0))))))))))))</f>
        <v>0</v>
      </c>
      <c r="M212" s="36">
        <f>IFERROR(IF(NOT(ISBLANK(KPI_TARGETS!$G$6)),KPI_TARGETS!$G$6,IF(NOT(ISBLANK(KPI_TARGETS!$F$6)),KPI_TARGETS!$F$6,"")),"")</f>
        <v>4000</v>
      </c>
      <c r="N212" s="36" t="str">
        <f>IFERROR(KPI_TARGETS!$E$6,"Higher is better")</f>
        <v>Higher is better</v>
      </c>
      <c r="O212" s="37">
        <f t="shared" ca="1" si="18"/>
        <v>0</v>
      </c>
      <c r="P212" t="str">
        <f t="shared" ca="1" si="19"/>
        <v>Red</v>
      </c>
      <c r="Q212" s="36">
        <f t="shared" ca="1" si="20"/>
        <v>-4000</v>
      </c>
      <c r="R212" s="36" t="str">
        <f>""</f>
        <v/>
      </c>
      <c r="S212" s="36" t="str">
        <f>""</f>
        <v/>
      </c>
      <c r="T212" s="36" t="str">
        <f>""</f>
        <v/>
      </c>
      <c r="U212" s="36" t="str">
        <f>""</f>
        <v/>
      </c>
      <c r="V212" s="36" t="str">
        <f>""</f>
        <v/>
      </c>
      <c r="W212" s="36">
        <f t="shared" si="21"/>
        <v>1</v>
      </c>
      <c r="X212" t="str">
        <f t="shared" si="22"/>
        <v>OK</v>
      </c>
      <c r="Y212" t="str">
        <f>IF(MAIN!$H$3="Selected Year",IF(A212=MAIN!$B$3,"Yes","No"),IF(MAIN!$H$3="Included Years",IF(D212="Yes","Yes","No"),IF(C212="Yes","Yes","No")))</f>
        <v>Yes</v>
      </c>
      <c r="Z212" t="str">
        <f>IF(MAIN!$F$3="Project to Date",IF(AND(A212&gt;=SETTINGS!$B$4,A212&lt;MAIN!$B$3),"Yes",IF(AND(A212=MAIN!$B$3,E212&lt;=MAIN!$L$3),"Yes","No")),IF(OR(MAIN!$F$3="Full Year",MAIN!$D$3="All"),"Yes",IF(MAIN!$F$3="Monthly",IF(E212=MAIN!$L$3,"Yes","No"),IF(E212&lt;=MAIN!$L$3,"Yes","No"))))</f>
        <v>Yes</v>
      </c>
      <c r="AA212" t="str">
        <f t="shared" si="23"/>
        <v>Yes</v>
      </c>
    </row>
    <row r="213" spans="1:27" x14ac:dyDescent="0.3">
      <c r="A213">
        <f>INDEX(SETTINGS!$A$15:$A$24,$B213)</f>
        <v>2025</v>
      </c>
      <c r="B213">
        <v>1</v>
      </c>
      <c r="C213" t="str">
        <f>IF(AND(A213&gt;=SETTINGS!$B$4,A213&lt;=SETTINGS!$B$5),"Yes","No")</f>
        <v>Yes</v>
      </c>
      <c r="D213" t="str">
        <f>IFERROR(INDEX(SETTINGS!$C$15:$C$24,MATCH(A213,SETTINGS!$A$15:$A$24,0)),"No")</f>
        <v>Yes</v>
      </c>
      <c r="E213">
        <v>12</v>
      </c>
      <c r="F213" t="s">
        <v>45</v>
      </c>
      <c r="G213">
        <v>275</v>
      </c>
      <c r="H213" t="s">
        <v>93</v>
      </c>
      <c r="I213" t="s">
        <v>89</v>
      </c>
      <c r="J213" t="s">
        <v>13</v>
      </c>
      <c r="K213" t="s">
        <v>14</v>
      </c>
      <c r="L213" s="36">
        <f ca="1">IF(C213&lt;&gt;"Yes",0,IF(A213=2025,N('2025'!D275),IF(A213=2026,N('2026'!D275),IF(A213=2027,N('2027'!D275),IF(A213=2028,N('2028'!D275),IF(A213=2029,N('2029'!D275),IF(A213=2030,N('2030'!D275),IF(A213=2031,N('2031'!D275),IF(A213=2032,N('2032'!D275),IF(A213=2033,N('2033'!D275),IF(A213=2034,N('2034'!D275),IFERROR(N(INDIRECT("'"&amp;A213&amp;"'!D"&amp;G213)),0))))))))))))</f>
        <v>0</v>
      </c>
      <c r="M213" s="36">
        <f>IFERROR(IF(NOT(ISBLANK(KPI_TARGETS!$G$7)),KPI_TARGETS!$G$7,IF(NOT(ISBLANK(KPI_TARGETS!$F$7)),KPI_TARGETS!$F$7,"")),"")</f>
        <v>8000</v>
      </c>
      <c r="N213" s="36" t="str">
        <f>IFERROR(KPI_TARGETS!$E$7,"Higher is better")</f>
        <v>Higher is better</v>
      </c>
      <c r="O213" s="37">
        <f t="shared" ca="1" si="18"/>
        <v>0</v>
      </c>
      <c r="P213" t="str">
        <f t="shared" ca="1" si="19"/>
        <v>Red</v>
      </c>
      <c r="Q213" s="36">
        <f t="shared" ca="1" si="20"/>
        <v>-8000</v>
      </c>
      <c r="R213" s="36" t="str">
        <f>""</f>
        <v/>
      </c>
      <c r="S213" s="36" t="str">
        <f>""</f>
        <v/>
      </c>
      <c r="T213" s="36" t="str">
        <f>""</f>
        <v/>
      </c>
      <c r="U213" s="36" t="str">
        <f>""</f>
        <v/>
      </c>
      <c r="V213" s="36" t="str">
        <f>""</f>
        <v/>
      </c>
      <c r="W213" s="36">
        <f t="shared" si="21"/>
        <v>1</v>
      </c>
      <c r="X213" t="str">
        <f t="shared" si="22"/>
        <v>OK</v>
      </c>
      <c r="Y213" t="str">
        <f>IF(MAIN!$H$3="Selected Year",IF(A213=MAIN!$B$3,"Yes","No"),IF(MAIN!$H$3="Included Years",IF(D213="Yes","Yes","No"),IF(C213="Yes","Yes","No")))</f>
        <v>Yes</v>
      </c>
      <c r="Z213" t="str">
        <f>IF(MAIN!$F$3="Project to Date",IF(AND(A213&gt;=SETTINGS!$B$4,A213&lt;MAIN!$B$3),"Yes",IF(AND(A213=MAIN!$B$3,E213&lt;=MAIN!$L$3),"Yes","No")),IF(OR(MAIN!$F$3="Full Year",MAIN!$D$3="All"),"Yes",IF(MAIN!$F$3="Monthly",IF(E213=MAIN!$L$3,"Yes","No"),IF(E213&lt;=MAIN!$L$3,"Yes","No"))))</f>
        <v>Yes</v>
      </c>
      <c r="AA213" t="str">
        <f t="shared" si="23"/>
        <v>Yes</v>
      </c>
    </row>
    <row r="214" spans="1:27" x14ac:dyDescent="0.3">
      <c r="A214">
        <f>INDEX(SETTINGS!$A$15:$A$24,$B214)</f>
        <v>2025</v>
      </c>
      <c r="B214">
        <v>1</v>
      </c>
      <c r="C214" t="str">
        <f>IF(AND(A214&gt;=SETTINGS!$B$4,A214&lt;=SETTINGS!$B$5),"Yes","No")</f>
        <v>Yes</v>
      </c>
      <c r="D214" t="str">
        <f>IFERROR(INDEX(SETTINGS!$C$15:$C$24,MATCH(A214,SETTINGS!$A$15:$A$24,0)),"No")</f>
        <v>Yes</v>
      </c>
      <c r="E214">
        <v>12</v>
      </c>
      <c r="F214" t="s">
        <v>45</v>
      </c>
      <c r="G214">
        <v>277</v>
      </c>
      <c r="H214" t="s">
        <v>95</v>
      </c>
      <c r="I214" t="s">
        <v>15</v>
      </c>
      <c r="J214" t="s">
        <v>16</v>
      </c>
      <c r="K214" t="s">
        <v>3</v>
      </c>
      <c r="L214" s="36">
        <f ca="1">IF(C214&lt;&gt;"Yes",0,IF(A214=2025,N('2025'!D277),IF(A214=2026,N('2026'!D277),IF(A214=2027,N('2027'!D277),IF(A214=2028,N('2028'!D277),IF(A214=2029,N('2029'!D277),IF(A214=2030,N('2030'!D277),IF(A214=2031,N('2031'!D277),IF(A214=2032,N('2032'!D277),IF(A214=2033,N('2033'!D277),IF(A214=2034,N('2034'!D277),IFERROR(N(INDIRECT("'"&amp;A214&amp;"'!D"&amp;G214)),0))))))))))))</f>
        <v>0</v>
      </c>
      <c r="M214" s="36">
        <f>IFERROR(IF(NOT(ISBLANK(KPI_TARGETS!$G$8)),KPI_TARGETS!$G$8,IF(NOT(ISBLANK(KPI_TARGETS!$F$8)),KPI_TARGETS!$F$8,"")),"")</f>
        <v>0</v>
      </c>
      <c r="N214" s="36" t="str">
        <f>IFERROR(KPI_TARGETS!$E$8,"Higher is better")</f>
        <v>Lower is better</v>
      </c>
      <c r="O214" s="37">
        <f t="shared" ca="1" si="18"/>
        <v>1</v>
      </c>
      <c r="P214" t="str">
        <f t="shared" ca="1" si="19"/>
        <v>Green</v>
      </c>
      <c r="Q214" s="36">
        <f t="shared" ca="1" si="20"/>
        <v>0</v>
      </c>
      <c r="R214" s="36" t="str">
        <f>""</f>
        <v/>
      </c>
      <c r="S214" s="36" t="str">
        <f>""</f>
        <v/>
      </c>
      <c r="T214" s="36" t="str">
        <f>""</f>
        <v/>
      </c>
      <c r="U214" s="36" t="str">
        <f>""</f>
        <v/>
      </c>
      <c r="V214" s="36" t="str">
        <f>""</f>
        <v/>
      </c>
      <c r="W214" s="36">
        <f t="shared" si="21"/>
        <v>1</v>
      </c>
      <c r="X214" t="str">
        <f t="shared" si="22"/>
        <v>OK</v>
      </c>
      <c r="Y214" t="str">
        <f>IF(MAIN!$H$3="Selected Year",IF(A214=MAIN!$B$3,"Yes","No"),IF(MAIN!$H$3="Included Years",IF(D214="Yes","Yes","No"),IF(C214="Yes","Yes","No")))</f>
        <v>Yes</v>
      </c>
      <c r="Z214" t="str">
        <f>IF(MAIN!$F$3="Project to Date",IF(AND(A214&gt;=SETTINGS!$B$4,A214&lt;MAIN!$B$3),"Yes",IF(AND(A214=MAIN!$B$3,E214&lt;=MAIN!$L$3),"Yes","No")),IF(OR(MAIN!$F$3="Full Year",MAIN!$D$3="All"),"Yes",IF(MAIN!$F$3="Monthly",IF(E214=MAIN!$L$3,"Yes","No"),IF(E214&lt;=MAIN!$L$3,"Yes","No"))))</f>
        <v>Yes</v>
      </c>
      <c r="AA214" t="str">
        <f t="shared" si="23"/>
        <v>Yes</v>
      </c>
    </row>
    <row r="215" spans="1:27" x14ac:dyDescent="0.3">
      <c r="A215">
        <f>INDEX(SETTINGS!$A$15:$A$24,$B215)</f>
        <v>2025</v>
      </c>
      <c r="B215">
        <v>1</v>
      </c>
      <c r="C215" t="str">
        <f>IF(AND(A215&gt;=SETTINGS!$B$4,A215&lt;=SETTINGS!$B$5),"Yes","No")</f>
        <v>Yes</v>
      </c>
      <c r="D215" t="str">
        <f>IFERROR(INDEX(SETTINGS!$C$15:$C$24,MATCH(A215,SETTINGS!$A$15:$A$24,0)),"No")</f>
        <v>Yes</v>
      </c>
      <c r="E215">
        <v>12</v>
      </c>
      <c r="F215" t="s">
        <v>45</v>
      </c>
      <c r="G215">
        <v>278</v>
      </c>
      <c r="H215" t="s">
        <v>97</v>
      </c>
      <c r="I215" t="s">
        <v>15</v>
      </c>
      <c r="J215" t="s">
        <v>17</v>
      </c>
      <c r="K215" t="s">
        <v>3</v>
      </c>
      <c r="L215" s="36">
        <f ca="1">IF(C215&lt;&gt;"Yes",0,IF(A215=2025,N('2025'!D278),IF(A215=2026,N('2026'!D278),IF(A215=2027,N('2027'!D278),IF(A215=2028,N('2028'!D278),IF(A215=2029,N('2029'!D278),IF(A215=2030,N('2030'!D278),IF(A215=2031,N('2031'!D278),IF(A215=2032,N('2032'!D278),IF(A215=2033,N('2033'!D278),IF(A215=2034,N('2034'!D278),IFERROR(N(INDIRECT("'"&amp;A215&amp;"'!D"&amp;G215)),0))))))))))))</f>
        <v>0</v>
      </c>
      <c r="M215" s="36">
        <f>IFERROR(IF(NOT(ISBLANK(KPI_TARGETS!$G$9)),KPI_TARGETS!$G$9,IF(NOT(ISBLANK(KPI_TARGETS!$F$9)),KPI_TARGETS!$F$9,"")),"")</f>
        <v>0</v>
      </c>
      <c r="N215" s="36" t="str">
        <f>IFERROR(KPI_TARGETS!$E$9,"Higher is better")</f>
        <v>Higher is better</v>
      </c>
      <c r="O215" s="37" t="str">
        <f t="shared" ca="1" si="18"/>
        <v/>
      </c>
      <c r="P215" t="str">
        <f t="shared" ca="1" si="19"/>
        <v>Green</v>
      </c>
      <c r="Q215" s="36">
        <f t="shared" ca="1" si="20"/>
        <v>0</v>
      </c>
      <c r="R215" s="36" t="str">
        <f>""</f>
        <v/>
      </c>
      <c r="S215" s="36" t="str">
        <f>""</f>
        <v/>
      </c>
      <c r="T215" s="36" t="str">
        <f>""</f>
        <v/>
      </c>
      <c r="U215" s="36" t="str">
        <f>""</f>
        <v/>
      </c>
      <c r="V215" s="36" t="str">
        <f>""</f>
        <v/>
      </c>
      <c r="W215" s="36">
        <f t="shared" si="21"/>
        <v>1</v>
      </c>
      <c r="X215" t="str">
        <f t="shared" si="22"/>
        <v>OK</v>
      </c>
      <c r="Y215" t="str">
        <f>IF(MAIN!$H$3="Selected Year",IF(A215=MAIN!$B$3,"Yes","No"),IF(MAIN!$H$3="Included Years",IF(D215="Yes","Yes","No"),IF(C215="Yes","Yes","No")))</f>
        <v>Yes</v>
      </c>
      <c r="Z215" t="str">
        <f>IF(MAIN!$F$3="Project to Date",IF(AND(A215&gt;=SETTINGS!$B$4,A215&lt;MAIN!$B$3),"Yes",IF(AND(A215=MAIN!$B$3,E215&lt;=MAIN!$L$3),"Yes","No")),IF(OR(MAIN!$F$3="Full Year",MAIN!$D$3="All"),"Yes",IF(MAIN!$F$3="Monthly",IF(E215=MAIN!$L$3,"Yes","No"),IF(E215&lt;=MAIN!$L$3,"Yes","No"))))</f>
        <v>Yes</v>
      </c>
      <c r="AA215" t="str">
        <f t="shared" si="23"/>
        <v>Yes</v>
      </c>
    </row>
    <row r="216" spans="1:27" x14ac:dyDescent="0.3">
      <c r="A216">
        <f>INDEX(SETTINGS!$A$15:$A$24,$B216)</f>
        <v>2025</v>
      </c>
      <c r="B216">
        <v>1</v>
      </c>
      <c r="C216" t="str">
        <f>IF(AND(A216&gt;=SETTINGS!$B$4,A216&lt;=SETTINGS!$B$5),"Yes","No")</f>
        <v>Yes</v>
      </c>
      <c r="D216" t="str">
        <f>IFERROR(INDEX(SETTINGS!$C$15:$C$24,MATCH(A216,SETTINGS!$A$15:$A$24,0)),"No")</f>
        <v>Yes</v>
      </c>
      <c r="E216">
        <v>12</v>
      </c>
      <c r="F216" t="s">
        <v>45</v>
      </c>
      <c r="G216">
        <v>279</v>
      </c>
      <c r="H216" t="s">
        <v>99</v>
      </c>
      <c r="I216" t="s">
        <v>15</v>
      </c>
      <c r="J216" t="s">
        <v>18</v>
      </c>
      <c r="K216" t="s">
        <v>3</v>
      </c>
      <c r="L216" s="36">
        <f ca="1">IF(C216&lt;&gt;"Yes",0,IF(A216=2025,N('2025'!D279),IF(A216=2026,N('2026'!D279),IF(A216=2027,N('2027'!D279),IF(A216=2028,N('2028'!D279),IF(A216=2029,N('2029'!D279),IF(A216=2030,N('2030'!D279),IF(A216=2031,N('2031'!D279),IF(A216=2032,N('2032'!D279),IF(A216=2033,N('2033'!D279),IF(A216=2034,N('2034'!D279),IFERROR(N(INDIRECT("'"&amp;A216&amp;"'!D"&amp;G216)),0))))))))))))</f>
        <v>0</v>
      </c>
      <c r="M216" s="36">
        <f>IFERROR(IF(NOT(ISBLANK(KPI_TARGETS!$G$10)),KPI_TARGETS!$G$10,IF(NOT(ISBLANK(KPI_TARGETS!$F$10)),KPI_TARGETS!$F$10,"")),"")</f>
        <v>0</v>
      </c>
      <c r="N216" s="36" t="str">
        <f>IFERROR(KPI_TARGETS!$E$10,"Higher is better")</f>
        <v>Lower is better</v>
      </c>
      <c r="O216" s="37">
        <f t="shared" ca="1" si="18"/>
        <v>1</v>
      </c>
      <c r="P216" t="str">
        <f t="shared" ca="1" si="19"/>
        <v>Green</v>
      </c>
      <c r="Q216" s="36">
        <f t="shared" ca="1" si="20"/>
        <v>0</v>
      </c>
      <c r="R216" s="36" t="str">
        <f>""</f>
        <v/>
      </c>
      <c r="S216" s="36" t="str">
        <f>""</f>
        <v/>
      </c>
      <c r="T216" s="36" t="str">
        <f>""</f>
        <v/>
      </c>
      <c r="U216" s="36" t="str">
        <f>""</f>
        <v/>
      </c>
      <c r="V216" s="36" t="str">
        <f>""</f>
        <v/>
      </c>
      <c r="W216" s="36">
        <f t="shared" si="21"/>
        <v>1</v>
      </c>
      <c r="X216" t="str">
        <f t="shared" si="22"/>
        <v>OK</v>
      </c>
      <c r="Y216" t="str">
        <f>IF(MAIN!$H$3="Selected Year",IF(A216=MAIN!$B$3,"Yes","No"),IF(MAIN!$H$3="Included Years",IF(D216="Yes","Yes","No"),IF(C216="Yes","Yes","No")))</f>
        <v>Yes</v>
      </c>
      <c r="Z216" t="str">
        <f>IF(MAIN!$F$3="Project to Date",IF(AND(A216&gt;=SETTINGS!$B$4,A216&lt;MAIN!$B$3),"Yes",IF(AND(A216=MAIN!$B$3,E216&lt;=MAIN!$L$3),"Yes","No")),IF(OR(MAIN!$F$3="Full Year",MAIN!$D$3="All"),"Yes",IF(MAIN!$F$3="Monthly",IF(E216=MAIN!$L$3,"Yes","No"),IF(E216&lt;=MAIN!$L$3,"Yes","No"))))</f>
        <v>Yes</v>
      </c>
      <c r="AA216" t="str">
        <f t="shared" si="23"/>
        <v>Yes</v>
      </c>
    </row>
    <row r="217" spans="1:27" x14ac:dyDescent="0.3">
      <c r="A217">
        <f>INDEX(SETTINGS!$A$15:$A$24,$B217)</f>
        <v>2025</v>
      </c>
      <c r="B217">
        <v>1</v>
      </c>
      <c r="C217" t="str">
        <f>IF(AND(A217&gt;=SETTINGS!$B$4,A217&lt;=SETTINGS!$B$5),"Yes","No")</f>
        <v>Yes</v>
      </c>
      <c r="D217" t="str">
        <f>IFERROR(INDEX(SETTINGS!$C$15:$C$24,MATCH(A217,SETTINGS!$A$15:$A$24,0)),"No")</f>
        <v>Yes</v>
      </c>
      <c r="E217">
        <v>12</v>
      </c>
      <c r="F217" t="s">
        <v>45</v>
      </c>
      <c r="G217">
        <v>280</v>
      </c>
      <c r="H217" t="s">
        <v>100</v>
      </c>
      <c r="I217" t="s">
        <v>15</v>
      </c>
      <c r="J217" t="s">
        <v>19</v>
      </c>
      <c r="K217" t="s">
        <v>3</v>
      </c>
      <c r="L217" s="36">
        <f ca="1">IF(C217&lt;&gt;"Yes",0,IF(A217=2025,N('2025'!D280),IF(A217=2026,N('2026'!D280),IF(A217=2027,N('2027'!D280),IF(A217=2028,N('2028'!D280),IF(A217=2029,N('2029'!D280),IF(A217=2030,N('2030'!D280),IF(A217=2031,N('2031'!D280),IF(A217=2032,N('2032'!D280),IF(A217=2033,N('2033'!D280),IF(A217=2034,N('2034'!D280),IFERROR(N(INDIRECT("'"&amp;A217&amp;"'!D"&amp;G217)),0))))))))))))</f>
        <v>0</v>
      </c>
      <c r="M217" s="36">
        <f>IFERROR(IF(NOT(ISBLANK(KPI_TARGETS!$G$11)),KPI_TARGETS!$G$11,IF(NOT(ISBLANK(KPI_TARGETS!$F$11)),KPI_TARGETS!$F$11,"")),"")</f>
        <v>0</v>
      </c>
      <c r="N217" s="36" t="str">
        <f>IFERROR(KPI_TARGETS!$E$11,"Higher is better")</f>
        <v>Lower is better</v>
      </c>
      <c r="O217" s="37">
        <f t="shared" ca="1" si="18"/>
        <v>1</v>
      </c>
      <c r="P217" t="str">
        <f t="shared" ca="1" si="19"/>
        <v>Green</v>
      </c>
      <c r="Q217" s="36">
        <f t="shared" ca="1" si="20"/>
        <v>0</v>
      </c>
      <c r="R217" s="36" t="str">
        <f>""</f>
        <v/>
      </c>
      <c r="S217" s="36" t="str">
        <f>""</f>
        <v/>
      </c>
      <c r="T217" s="36" t="str">
        <f>""</f>
        <v/>
      </c>
      <c r="U217" s="36" t="str">
        <f>""</f>
        <v/>
      </c>
      <c r="V217" s="36" t="str">
        <f>""</f>
        <v/>
      </c>
      <c r="W217" s="36">
        <f t="shared" si="21"/>
        <v>1</v>
      </c>
      <c r="X217" t="str">
        <f t="shared" si="22"/>
        <v>OK</v>
      </c>
      <c r="Y217" t="str">
        <f>IF(MAIN!$H$3="Selected Year",IF(A217=MAIN!$B$3,"Yes","No"),IF(MAIN!$H$3="Included Years",IF(D217="Yes","Yes","No"),IF(C217="Yes","Yes","No")))</f>
        <v>Yes</v>
      </c>
      <c r="Z217" t="str">
        <f>IF(MAIN!$F$3="Project to Date",IF(AND(A217&gt;=SETTINGS!$B$4,A217&lt;MAIN!$B$3),"Yes",IF(AND(A217=MAIN!$B$3,E217&lt;=MAIN!$L$3),"Yes","No")),IF(OR(MAIN!$F$3="Full Year",MAIN!$D$3="All"),"Yes",IF(MAIN!$F$3="Monthly",IF(E217=MAIN!$L$3,"Yes","No"),IF(E217&lt;=MAIN!$L$3,"Yes","No"))))</f>
        <v>Yes</v>
      </c>
      <c r="AA217" t="str">
        <f t="shared" si="23"/>
        <v>Yes</v>
      </c>
    </row>
    <row r="218" spans="1:27" x14ac:dyDescent="0.3">
      <c r="A218">
        <f>INDEX(SETTINGS!$A$15:$A$24,$B218)</f>
        <v>2025</v>
      </c>
      <c r="B218">
        <v>1</v>
      </c>
      <c r="C218" t="str">
        <f>IF(AND(A218&gt;=SETTINGS!$B$4,A218&lt;=SETTINGS!$B$5),"Yes","No")</f>
        <v>Yes</v>
      </c>
      <c r="D218" t="str">
        <f>IFERROR(INDEX(SETTINGS!$C$15:$C$24,MATCH(A218,SETTINGS!$A$15:$A$24,0)),"No")</f>
        <v>Yes</v>
      </c>
      <c r="E218">
        <v>12</v>
      </c>
      <c r="F218" t="s">
        <v>45</v>
      </c>
      <c r="G218">
        <v>281</v>
      </c>
      <c r="H218" t="s">
        <v>101</v>
      </c>
      <c r="I218" t="s">
        <v>15</v>
      </c>
      <c r="J218" t="s">
        <v>20</v>
      </c>
      <c r="K218" t="s">
        <v>3</v>
      </c>
      <c r="L218" s="36">
        <f ca="1">IF(C218&lt;&gt;"Yes",0,IF(A218=2025,N('2025'!D281),IF(A218=2026,N('2026'!D281),IF(A218=2027,N('2027'!D281),IF(A218=2028,N('2028'!D281),IF(A218=2029,N('2029'!D281),IF(A218=2030,N('2030'!D281),IF(A218=2031,N('2031'!D281),IF(A218=2032,N('2032'!D281),IF(A218=2033,N('2033'!D281),IF(A218=2034,N('2034'!D281),IFERROR(N(INDIRECT("'"&amp;A218&amp;"'!D"&amp;G218)),0))))))))))))</f>
        <v>0</v>
      </c>
      <c r="M218" s="36">
        <f>IFERROR(IF(NOT(ISBLANK(KPI_TARGETS!$G$12)),KPI_TARGETS!$G$12,IF(NOT(ISBLANK(KPI_TARGETS!$F$12)),KPI_TARGETS!$F$12,"")),"")</f>
        <v>0</v>
      </c>
      <c r="N218" s="36" t="str">
        <f>IFERROR(KPI_TARGETS!$E$12,"Higher is better")</f>
        <v>Lower is better</v>
      </c>
      <c r="O218" s="37">
        <f t="shared" ca="1" si="18"/>
        <v>1</v>
      </c>
      <c r="P218" t="str">
        <f t="shared" ca="1" si="19"/>
        <v>Green</v>
      </c>
      <c r="Q218" s="36">
        <f t="shared" ca="1" si="20"/>
        <v>0</v>
      </c>
      <c r="R218" s="36" t="str">
        <f>""</f>
        <v/>
      </c>
      <c r="S218" s="36" t="str">
        <f>""</f>
        <v/>
      </c>
      <c r="T218" s="36" t="str">
        <f>""</f>
        <v/>
      </c>
      <c r="U218" s="36" t="str">
        <f>""</f>
        <v/>
      </c>
      <c r="V218" s="36" t="str">
        <f>""</f>
        <v/>
      </c>
      <c r="W218" s="36">
        <f t="shared" si="21"/>
        <v>1</v>
      </c>
      <c r="X218" t="str">
        <f t="shared" si="22"/>
        <v>OK</v>
      </c>
      <c r="Y218" t="str">
        <f>IF(MAIN!$H$3="Selected Year",IF(A218=MAIN!$B$3,"Yes","No"),IF(MAIN!$H$3="Included Years",IF(D218="Yes","Yes","No"),IF(C218="Yes","Yes","No")))</f>
        <v>Yes</v>
      </c>
      <c r="Z218" t="str">
        <f>IF(MAIN!$F$3="Project to Date",IF(AND(A218&gt;=SETTINGS!$B$4,A218&lt;MAIN!$B$3),"Yes",IF(AND(A218=MAIN!$B$3,E218&lt;=MAIN!$L$3),"Yes","No")),IF(OR(MAIN!$F$3="Full Year",MAIN!$D$3="All"),"Yes",IF(MAIN!$F$3="Monthly",IF(E218=MAIN!$L$3,"Yes","No"),IF(E218&lt;=MAIN!$L$3,"Yes","No"))))</f>
        <v>Yes</v>
      </c>
      <c r="AA218" t="str">
        <f t="shared" si="23"/>
        <v>Yes</v>
      </c>
    </row>
    <row r="219" spans="1:27" x14ac:dyDescent="0.3">
      <c r="A219">
        <f>INDEX(SETTINGS!$A$15:$A$24,$B219)</f>
        <v>2025</v>
      </c>
      <c r="B219">
        <v>1</v>
      </c>
      <c r="C219" t="str">
        <f>IF(AND(A219&gt;=SETTINGS!$B$4,A219&lt;=SETTINGS!$B$5),"Yes","No")</f>
        <v>Yes</v>
      </c>
      <c r="D219" t="str">
        <f>IFERROR(INDEX(SETTINGS!$C$15:$C$24,MATCH(A219,SETTINGS!$A$15:$A$24,0)),"No")</f>
        <v>Yes</v>
      </c>
      <c r="E219">
        <v>12</v>
      </c>
      <c r="F219" t="s">
        <v>45</v>
      </c>
      <c r="G219">
        <v>282</v>
      </c>
      <c r="H219" t="s">
        <v>102</v>
      </c>
      <c r="I219" t="s">
        <v>15</v>
      </c>
      <c r="J219" t="s">
        <v>21</v>
      </c>
      <c r="K219" t="s">
        <v>3</v>
      </c>
      <c r="L219" s="36">
        <f ca="1">IF(C219&lt;&gt;"Yes",0,IF(A219=2025,N('2025'!D282),IF(A219=2026,N('2026'!D282),IF(A219=2027,N('2027'!D282),IF(A219=2028,N('2028'!D282),IF(A219=2029,N('2029'!D282),IF(A219=2030,N('2030'!D282),IF(A219=2031,N('2031'!D282),IF(A219=2032,N('2032'!D282),IF(A219=2033,N('2033'!D282),IF(A219=2034,N('2034'!D282),IFERROR(N(INDIRECT("'"&amp;A219&amp;"'!D"&amp;G219)),0))))))))))))</f>
        <v>0</v>
      </c>
      <c r="M219" s="36">
        <f>IFERROR(IF(NOT(ISBLANK(KPI_TARGETS!$G$13)),KPI_TARGETS!$G$13,IF(NOT(ISBLANK(KPI_TARGETS!$F$13)),KPI_TARGETS!$F$13,"")),"")</f>
        <v>0</v>
      </c>
      <c r="N219" s="36" t="str">
        <f>IFERROR(KPI_TARGETS!$E$13,"Higher is better")</f>
        <v>Lower is better</v>
      </c>
      <c r="O219" s="37">
        <f t="shared" ca="1" si="18"/>
        <v>1</v>
      </c>
      <c r="P219" t="str">
        <f t="shared" ca="1" si="19"/>
        <v>Green</v>
      </c>
      <c r="Q219" s="36">
        <f t="shared" ca="1" si="20"/>
        <v>0</v>
      </c>
      <c r="R219" s="36" t="str">
        <f>""</f>
        <v/>
      </c>
      <c r="S219" s="36" t="str">
        <f>""</f>
        <v/>
      </c>
      <c r="T219" s="36" t="str">
        <f>""</f>
        <v/>
      </c>
      <c r="U219" s="36" t="str">
        <f>""</f>
        <v/>
      </c>
      <c r="V219" s="36" t="str">
        <f>""</f>
        <v/>
      </c>
      <c r="W219" s="36">
        <f t="shared" si="21"/>
        <v>1</v>
      </c>
      <c r="X219" t="str">
        <f t="shared" si="22"/>
        <v>OK</v>
      </c>
      <c r="Y219" t="str">
        <f>IF(MAIN!$H$3="Selected Year",IF(A219=MAIN!$B$3,"Yes","No"),IF(MAIN!$H$3="Included Years",IF(D219="Yes","Yes","No"),IF(C219="Yes","Yes","No")))</f>
        <v>Yes</v>
      </c>
      <c r="Z219" t="str">
        <f>IF(MAIN!$F$3="Project to Date",IF(AND(A219&gt;=SETTINGS!$B$4,A219&lt;MAIN!$B$3),"Yes",IF(AND(A219=MAIN!$B$3,E219&lt;=MAIN!$L$3),"Yes","No")),IF(OR(MAIN!$F$3="Full Year",MAIN!$D$3="All"),"Yes",IF(MAIN!$F$3="Monthly",IF(E219=MAIN!$L$3,"Yes","No"),IF(E219&lt;=MAIN!$L$3,"Yes","No"))))</f>
        <v>Yes</v>
      </c>
      <c r="AA219" t="str">
        <f t="shared" si="23"/>
        <v>Yes</v>
      </c>
    </row>
    <row r="220" spans="1:27" x14ac:dyDescent="0.3">
      <c r="A220">
        <f>INDEX(SETTINGS!$A$15:$A$24,$B220)</f>
        <v>2025</v>
      </c>
      <c r="B220">
        <v>1</v>
      </c>
      <c r="C220" t="str">
        <f>IF(AND(A220&gt;=SETTINGS!$B$4,A220&lt;=SETTINGS!$B$5),"Yes","No")</f>
        <v>Yes</v>
      </c>
      <c r="D220" t="str">
        <f>IFERROR(INDEX(SETTINGS!$C$15:$C$24,MATCH(A220,SETTINGS!$A$15:$A$24,0)),"No")</f>
        <v>Yes</v>
      </c>
      <c r="E220">
        <v>12</v>
      </c>
      <c r="F220" t="s">
        <v>45</v>
      </c>
      <c r="G220">
        <v>284</v>
      </c>
      <c r="H220" t="s">
        <v>103</v>
      </c>
      <c r="I220" t="s">
        <v>22</v>
      </c>
      <c r="J220" t="s">
        <v>23</v>
      </c>
      <c r="K220" t="s">
        <v>3</v>
      </c>
      <c r="L220" s="36">
        <f ca="1">IF(C220&lt;&gt;"Yes",0,IF(A220=2025,N('2025'!D284),IF(A220=2026,N('2026'!D284),IF(A220=2027,N('2027'!D284),IF(A220=2028,N('2028'!D284),IF(A220=2029,N('2029'!D284),IF(A220=2030,N('2030'!D284),IF(A220=2031,N('2031'!D284),IF(A220=2032,N('2032'!D284),IF(A220=2033,N('2033'!D284),IF(A220=2034,N('2034'!D284),IFERROR(N(INDIRECT("'"&amp;A220&amp;"'!D"&amp;G220)),0))))))))))))</f>
        <v>0</v>
      </c>
      <c r="M220" s="36">
        <f>IFERROR(IF(NOT(ISBLANK(KPI_TARGETS!$G$14)),KPI_TARGETS!$G$14,IF(NOT(ISBLANK(KPI_TARGETS!$F$14)),KPI_TARGETS!$F$14,"")),"")</f>
        <v>35</v>
      </c>
      <c r="N220" s="36" t="str">
        <f>IFERROR(KPI_TARGETS!$E$14,"Higher is better")</f>
        <v>Higher is better</v>
      </c>
      <c r="O220" s="37">
        <f t="shared" ca="1" si="18"/>
        <v>0</v>
      </c>
      <c r="P220" t="str">
        <f t="shared" ca="1" si="19"/>
        <v>Red</v>
      </c>
      <c r="Q220" s="36">
        <f t="shared" ca="1" si="20"/>
        <v>-35</v>
      </c>
      <c r="R220" s="36" t="str">
        <f>""</f>
        <v/>
      </c>
      <c r="S220" s="36" t="str">
        <f>""</f>
        <v/>
      </c>
      <c r="T220" s="36" t="str">
        <f>""</f>
        <v/>
      </c>
      <c r="U220" s="36" t="str">
        <f>""</f>
        <v/>
      </c>
      <c r="V220" s="36" t="str">
        <f>""</f>
        <v/>
      </c>
      <c r="W220" s="36">
        <f t="shared" si="21"/>
        <v>1</v>
      </c>
      <c r="X220" t="str">
        <f t="shared" si="22"/>
        <v>OK</v>
      </c>
      <c r="Y220" t="str">
        <f>IF(MAIN!$H$3="Selected Year",IF(A220=MAIN!$B$3,"Yes","No"),IF(MAIN!$H$3="Included Years",IF(D220="Yes","Yes","No"),IF(C220="Yes","Yes","No")))</f>
        <v>Yes</v>
      </c>
      <c r="Z220" t="str">
        <f>IF(MAIN!$F$3="Project to Date",IF(AND(A220&gt;=SETTINGS!$B$4,A220&lt;MAIN!$B$3),"Yes",IF(AND(A220=MAIN!$B$3,E220&lt;=MAIN!$L$3),"Yes","No")),IF(OR(MAIN!$F$3="Full Year",MAIN!$D$3="All"),"Yes",IF(MAIN!$F$3="Monthly",IF(E220=MAIN!$L$3,"Yes","No"),IF(E220&lt;=MAIN!$L$3,"Yes","No"))))</f>
        <v>Yes</v>
      </c>
      <c r="AA220" t="str">
        <f t="shared" si="23"/>
        <v>Yes</v>
      </c>
    </row>
    <row r="221" spans="1:27" x14ac:dyDescent="0.3">
      <c r="A221">
        <f>INDEX(SETTINGS!$A$15:$A$24,$B221)</f>
        <v>2025</v>
      </c>
      <c r="B221">
        <v>1</v>
      </c>
      <c r="C221" t="str">
        <f>IF(AND(A221&gt;=SETTINGS!$B$4,A221&lt;=SETTINGS!$B$5),"Yes","No")</f>
        <v>Yes</v>
      </c>
      <c r="D221" t="str">
        <f>IFERROR(INDEX(SETTINGS!$C$15:$C$24,MATCH(A221,SETTINGS!$A$15:$A$24,0)),"No")</f>
        <v>Yes</v>
      </c>
      <c r="E221">
        <v>12</v>
      </c>
      <c r="F221" t="s">
        <v>45</v>
      </c>
      <c r="G221">
        <v>285</v>
      </c>
      <c r="H221" t="s">
        <v>104</v>
      </c>
      <c r="I221" t="s">
        <v>22</v>
      </c>
      <c r="J221" t="s">
        <v>24</v>
      </c>
      <c r="K221" t="s">
        <v>3</v>
      </c>
      <c r="L221" s="36">
        <f ca="1">IF(C221&lt;&gt;"Yes",0,IF(A221=2025,N('2025'!D285),IF(A221=2026,N('2026'!D285),IF(A221=2027,N('2027'!D285),IF(A221=2028,N('2028'!D285),IF(A221=2029,N('2029'!D285),IF(A221=2030,N('2030'!D285),IF(A221=2031,N('2031'!D285),IF(A221=2032,N('2032'!D285),IF(A221=2033,N('2033'!D285),IF(A221=2034,N('2034'!D285),IFERROR(N(INDIRECT("'"&amp;A221&amp;"'!D"&amp;G221)),0))))))))))))</f>
        <v>4</v>
      </c>
      <c r="M221" s="36">
        <f>IFERROR(IF(NOT(ISBLANK(KPI_TARGETS!$G$15)),KPI_TARGETS!$G$15,IF(NOT(ISBLANK(KPI_TARGETS!$F$15)),KPI_TARGETS!$F$15,"")),"")</f>
        <v>5</v>
      </c>
      <c r="N221" s="36" t="str">
        <f>IFERROR(KPI_TARGETS!$E$15,"Higher is better")</f>
        <v>Higher is better</v>
      </c>
      <c r="O221" s="37">
        <f t="shared" ca="1" si="18"/>
        <v>0.8</v>
      </c>
      <c r="P221" t="str">
        <f t="shared" ca="1" si="19"/>
        <v>Amber</v>
      </c>
      <c r="Q221" s="36">
        <f t="shared" ca="1" si="20"/>
        <v>-1</v>
      </c>
      <c r="R221" s="36" t="str">
        <f>""</f>
        <v/>
      </c>
      <c r="S221" s="36" t="str">
        <f>""</f>
        <v/>
      </c>
      <c r="T221" s="36" t="str">
        <f>""</f>
        <v/>
      </c>
      <c r="U221" s="36" t="str">
        <f>""</f>
        <v/>
      </c>
      <c r="V221" s="36" t="str">
        <f>""</f>
        <v/>
      </c>
      <c r="W221" s="36">
        <f t="shared" si="21"/>
        <v>1</v>
      </c>
      <c r="X221" t="str">
        <f t="shared" si="22"/>
        <v>OK</v>
      </c>
      <c r="Y221" t="str">
        <f>IF(MAIN!$H$3="Selected Year",IF(A221=MAIN!$B$3,"Yes","No"),IF(MAIN!$H$3="Included Years",IF(D221="Yes","Yes","No"),IF(C221="Yes","Yes","No")))</f>
        <v>Yes</v>
      </c>
      <c r="Z221" t="str">
        <f>IF(MAIN!$F$3="Project to Date",IF(AND(A221&gt;=SETTINGS!$B$4,A221&lt;MAIN!$B$3),"Yes",IF(AND(A221=MAIN!$B$3,E221&lt;=MAIN!$L$3),"Yes","No")),IF(OR(MAIN!$F$3="Full Year",MAIN!$D$3="All"),"Yes",IF(MAIN!$F$3="Monthly",IF(E221=MAIN!$L$3,"Yes","No"),IF(E221&lt;=MAIN!$L$3,"Yes","No"))))</f>
        <v>Yes</v>
      </c>
      <c r="AA221" t="str">
        <f t="shared" si="23"/>
        <v>Yes</v>
      </c>
    </row>
    <row r="222" spans="1:27" x14ac:dyDescent="0.3">
      <c r="A222">
        <f>INDEX(SETTINGS!$A$15:$A$24,$B222)</f>
        <v>2025</v>
      </c>
      <c r="B222">
        <v>1</v>
      </c>
      <c r="C222" t="str">
        <f>IF(AND(A222&gt;=SETTINGS!$B$4,A222&lt;=SETTINGS!$B$5),"Yes","No")</f>
        <v>Yes</v>
      </c>
      <c r="D222" t="str">
        <f>IFERROR(INDEX(SETTINGS!$C$15:$C$24,MATCH(A222,SETTINGS!$A$15:$A$24,0)),"No")</f>
        <v>Yes</v>
      </c>
      <c r="E222">
        <v>12</v>
      </c>
      <c r="F222" t="s">
        <v>45</v>
      </c>
      <c r="G222">
        <v>286</v>
      </c>
      <c r="H222" t="s">
        <v>105</v>
      </c>
      <c r="I222" t="s">
        <v>22</v>
      </c>
      <c r="J222" t="s">
        <v>25</v>
      </c>
      <c r="K222" t="s">
        <v>3</v>
      </c>
      <c r="L222" s="36">
        <f ca="1">IF(C222&lt;&gt;"Yes",0,IF(A222=2025,N('2025'!D286),IF(A222=2026,N('2026'!D286),IF(A222=2027,N('2027'!D286),IF(A222=2028,N('2028'!D286),IF(A222=2029,N('2029'!D286),IF(A222=2030,N('2030'!D286),IF(A222=2031,N('2031'!D286),IF(A222=2032,N('2032'!D286),IF(A222=2033,N('2033'!D286),IF(A222=2034,N('2034'!D286),IFERROR(N(INDIRECT("'"&amp;A222&amp;"'!D"&amp;G222)),0))))))))))))</f>
        <v>4</v>
      </c>
      <c r="M222" s="36">
        <f>IFERROR(IF(NOT(ISBLANK(KPI_TARGETS!$G$16)),KPI_TARGETS!$G$16,IF(NOT(ISBLANK(KPI_TARGETS!$F$16)),KPI_TARGETS!$F$16,"")),"")</f>
        <v>4</v>
      </c>
      <c r="N222" s="36" t="str">
        <f>IFERROR(KPI_TARGETS!$E$16,"Higher is better")</f>
        <v>Higher is better</v>
      </c>
      <c r="O222" s="37">
        <f t="shared" ca="1" si="18"/>
        <v>1</v>
      </c>
      <c r="P222" t="str">
        <f t="shared" ca="1" si="19"/>
        <v>Green</v>
      </c>
      <c r="Q222" s="36">
        <f t="shared" ca="1" si="20"/>
        <v>0</v>
      </c>
      <c r="R222" s="36" t="str">
        <f>""</f>
        <v/>
      </c>
      <c r="S222" s="36" t="str">
        <f>""</f>
        <v/>
      </c>
      <c r="T222" s="36" t="str">
        <f>""</f>
        <v/>
      </c>
      <c r="U222" s="36" t="str">
        <f>""</f>
        <v/>
      </c>
      <c r="V222" s="36" t="str">
        <f>""</f>
        <v/>
      </c>
      <c r="W222" s="36">
        <f t="shared" si="21"/>
        <v>1</v>
      </c>
      <c r="X222" t="str">
        <f t="shared" si="22"/>
        <v>OK</v>
      </c>
      <c r="Y222" t="str">
        <f>IF(MAIN!$H$3="Selected Year",IF(A222=MAIN!$B$3,"Yes","No"),IF(MAIN!$H$3="Included Years",IF(D222="Yes","Yes","No"),IF(C222="Yes","Yes","No")))</f>
        <v>Yes</v>
      </c>
      <c r="Z222" t="str">
        <f>IF(MAIN!$F$3="Project to Date",IF(AND(A222&gt;=SETTINGS!$B$4,A222&lt;MAIN!$B$3),"Yes",IF(AND(A222=MAIN!$B$3,E222&lt;=MAIN!$L$3),"Yes","No")),IF(OR(MAIN!$F$3="Full Year",MAIN!$D$3="All"),"Yes",IF(MAIN!$F$3="Monthly",IF(E222=MAIN!$L$3,"Yes","No"),IF(E222&lt;=MAIN!$L$3,"Yes","No"))))</f>
        <v>Yes</v>
      </c>
      <c r="AA222" t="str">
        <f t="shared" si="23"/>
        <v>Yes</v>
      </c>
    </row>
    <row r="223" spans="1:27" x14ac:dyDescent="0.3">
      <c r="A223">
        <f>INDEX(SETTINGS!$A$15:$A$24,$B223)</f>
        <v>2025</v>
      </c>
      <c r="B223">
        <v>1</v>
      </c>
      <c r="C223" t="str">
        <f>IF(AND(A223&gt;=SETTINGS!$B$4,A223&lt;=SETTINGS!$B$5),"Yes","No")</f>
        <v>Yes</v>
      </c>
      <c r="D223" t="str">
        <f>IFERROR(INDEX(SETTINGS!$C$15:$C$24,MATCH(A223,SETTINGS!$A$15:$A$24,0)),"No")</f>
        <v>Yes</v>
      </c>
      <c r="E223">
        <v>12</v>
      </c>
      <c r="F223" t="s">
        <v>45</v>
      </c>
      <c r="G223">
        <v>287</v>
      </c>
      <c r="H223" t="s">
        <v>106</v>
      </c>
      <c r="I223" t="s">
        <v>22</v>
      </c>
      <c r="J223" t="s">
        <v>26</v>
      </c>
      <c r="K223" t="s">
        <v>3</v>
      </c>
      <c r="L223" s="36">
        <f ca="1">IF(C223&lt;&gt;"Yes",0,IF(A223=2025,N('2025'!D287),IF(A223=2026,N('2026'!D287),IF(A223=2027,N('2027'!D287),IF(A223=2028,N('2028'!D287),IF(A223=2029,N('2029'!D287),IF(A223=2030,N('2030'!D287),IF(A223=2031,N('2031'!D287),IF(A223=2032,N('2032'!D287),IF(A223=2033,N('2033'!D287),IF(A223=2034,N('2034'!D287),IFERROR(N(INDIRECT("'"&amp;A223&amp;"'!D"&amp;G223)),0))))))))))))</f>
        <v>20</v>
      </c>
      <c r="M223" s="36">
        <f>IFERROR(IF(NOT(ISBLANK(KPI_TARGETS!$G$17)),KPI_TARGETS!$G$17,IF(NOT(ISBLANK(KPI_TARGETS!$F$17)),KPI_TARGETS!$F$17,"")),"")</f>
        <v>12</v>
      </c>
      <c r="N223" s="36" t="str">
        <f>IFERROR(KPI_TARGETS!$E$17,"Higher is better")</f>
        <v>Higher is better</v>
      </c>
      <c r="O223" s="37">
        <f t="shared" ca="1" si="18"/>
        <v>1.6666666666666667</v>
      </c>
      <c r="P223" t="str">
        <f t="shared" ca="1" si="19"/>
        <v>Green</v>
      </c>
      <c r="Q223" s="36">
        <f t="shared" ca="1" si="20"/>
        <v>8</v>
      </c>
      <c r="R223" s="36" t="str">
        <f>""</f>
        <v/>
      </c>
      <c r="S223" s="36" t="str">
        <f>""</f>
        <v/>
      </c>
      <c r="T223" s="36" t="str">
        <f>""</f>
        <v/>
      </c>
      <c r="U223" s="36" t="str">
        <f>""</f>
        <v/>
      </c>
      <c r="V223" s="36" t="str">
        <f>""</f>
        <v/>
      </c>
      <c r="W223" s="36">
        <f t="shared" si="21"/>
        <v>1</v>
      </c>
      <c r="X223" t="str">
        <f t="shared" si="22"/>
        <v>OK</v>
      </c>
      <c r="Y223" t="str">
        <f>IF(MAIN!$H$3="Selected Year",IF(A223=MAIN!$B$3,"Yes","No"),IF(MAIN!$H$3="Included Years",IF(D223="Yes","Yes","No"),IF(C223="Yes","Yes","No")))</f>
        <v>Yes</v>
      </c>
      <c r="Z223" t="str">
        <f>IF(MAIN!$F$3="Project to Date",IF(AND(A223&gt;=SETTINGS!$B$4,A223&lt;MAIN!$B$3),"Yes",IF(AND(A223=MAIN!$B$3,E223&lt;=MAIN!$L$3),"Yes","No")),IF(OR(MAIN!$F$3="Full Year",MAIN!$D$3="All"),"Yes",IF(MAIN!$F$3="Monthly",IF(E223=MAIN!$L$3,"Yes","No"),IF(E223&lt;=MAIN!$L$3,"Yes","No"))))</f>
        <v>Yes</v>
      </c>
      <c r="AA223" t="str">
        <f t="shared" si="23"/>
        <v>Yes</v>
      </c>
    </row>
    <row r="224" spans="1:27" x14ac:dyDescent="0.3">
      <c r="A224">
        <f>INDEX(SETTINGS!$A$15:$A$24,$B224)</f>
        <v>2025</v>
      </c>
      <c r="B224">
        <v>1</v>
      </c>
      <c r="C224" t="str">
        <f>IF(AND(A224&gt;=SETTINGS!$B$4,A224&lt;=SETTINGS!$B$5),"Yes","No")</f>
        <v>Yes</v>
      </c>
      <c r="D224" t="str">
        <f>IFERROR(INDEX(SETTINGS!$C$15:$C$24,MATCH(A224,SETTINGS!$A$15:$A$24,0)),"No")</f>
        <v>Yes</v>
      </c>
      <c r="E224">
        <v>12</v>
      </c>
      <c r="F224" t="s">
        <v>45</v>
      </c>
      <c r="G224">
        <v>288</v>
      </c>
      <c r="H224" t="s">
        <v>107</v>
      </c>
      <c r="I224" t="s">
        <v>22</v>
      </c>
      <c r="J224" t="s">
        <v>27</v>
      </c>
      <c r="K224" t="s">
        <v>3</v>
      </c>
      <c r="L224" s="36">
        <f ca="1">IF(C224&lt;&gt;"Yes",0,IF(A224=2025,N('2025'!D288),IF(A224=2026,N('2026'!D288),IF(A224=2027,N('2027'!D288),IF(A224=2028,N('2028'!D288),IF(A224=2029,N('2029'!D288),IF(A224=2030,N('2030'!D288),IF(A224=2031,N('2031'!D288),IF(A224=2032,N('2032'!D288),IF(A224=2033,N('2033'!D288),IF(A224=2034,N('2034'!D288),IFERROR(N(INDIRECT("'"&amp;A224&amp;"'!D"&amp;G224)),0))))))))))))</f>
        <v>4</v>
      </c>
      <c r="M224" s="36">
        <f>IFERROR(IF(NOT(ISBLANK(KPI_TARGETS!$G$18)),KPI_TARGETS!$G$18,IF(NOT(ISBLANK(KPI_TARGETS!$F$18)),KPI_TARGETS!$F$18,"")),"")</f>
        <v>4</v>
      </c>
      <c r="N224" s="36" t="str">
        <f>IFERROR(KPI_TARGETS!$E$18,"Higher is better")</f>
        <v>Higher is better</v>
      </c>
      <c r="O224" s="37">
        <f t="shared" ca="1" si="18"/>
        <v>1</v>
      </c>
      <c r="P224" t="str">
        <f t="shared" ca="1" si="19"/>
        <v>Green</v>
      </c>
      <c r="Q224" s="36">
        <f t="shared" ca="1" si="20"/>
        <v>0</v>
      </c>
      <c r="R224" s="36" t="str">
        <f>""</f>
        <v/>
      </c>
      <c r="S224" s="36" t="str">
        <f>""</f>
        <v/>
      </c>
      <c r="T224" s="36" t="str">
        <f>""</f>
        <v/>
      </c>
      <c r="U224" s="36" t="str">
        <f>""</f>
        <v/>
      </c>
      <c r="V224" s="36" t="str">
        <f>""</f>
        <v/>
      </c>
      <c r="W224" s="36">
        <f t="shared" si="21"/>
        <v>1</v>
      </c>
      <c r="X224" t="str">
        <f t="shared" si="22"/>
        <v>OK</v>
      </c>
      <c r="Y224" t="str">
        <f>IF(MAIN!$H$3="Selected Year",IF(A224=MAIN!$B$3,"Yes","No"),IF(MAIN!$H$3="Included Years",IF(D224="Yes","Yes","No"),IF(C224="Yes","Yes","No")))</f>
        <v>Yes</v>
      </c>
      <c r="Z224" t="str">
        <f>IF(MAIN!$F$3="Project to Date",IF(AND(A224&gt;=SETTINGS!$B$4,A224&lt;MAIN!$B$3),"Yes",IF(AND(A224=MAIN!$B$3,E224&lt;=MAIN!$L$3),"Yes","No")),IF(OR(MAIN!$F$3="Full Year",MAIN!$D$3="All"),"Yes",IF(MAIN!$F$3="Monthly",IF(E224=MAIN!$L$3,"Yes","No"),IF(E224&lt;=MAIN!$L$3,"Yes","No"))))</f>
        <v>Yes</v>
      </c>
      <c r="AA224" t="str">
        <f t="shared" si="23"/>
        <v>Yes</v>
      </c>
    </row>
    <row r="225" spans="1:27" x14ac:dyDescent="0.3">
      <c r="A225">
        <f>INDEX(SETTINGS!$A$15:$A$24,$B225)</f>
        <v>2025</v>
      </c>
      <c r="B225">
        <v>1</v>
      </c>
      <c r="C225" t="str">
        <f>IF(AND(A225&gt;=SETTINGS!$B$4,A225&lt;=SETTINGS!$B$5),"Yes","No")</f>
        <v>Yes</v>
      </c>
      <c r="D225" t="str">
        <f>IFERROR(INDEX(SETTINGS!$C$15:$C$24,MATCH(A225,SETTINGS!$A$15:$A$24,0)),"No")</f>
        <v>Yes</v>
      </c>
      <c r="E225">
        <v>12</v>
      </c>
      <c r="F225" t="s">
        <v>45</v>
      </c>
      <c r="G225">
        <v>289</v>
      </c>
      <c r="H225" t="s">
        <v>108</v>
      </c>
      <c r="I225" t="s">
        <v>22</v>
      </c>
      <c r="J225" t="s">
        <v>28</v>
      </c>
      <c r="K225" t="s">
        <v>3</v>
      </c>
      <c r="L225" s="36">
        <f ca="1">IF(C225&lt;&gt;"Yes",0,IF(A225=2025,N('2025'!D289),IF(A225=2026,N('2026'!D289),IF(A225=2027,N('2027'!D289),IF(A225=2028,N('2028'!D289),IF(A225=2029,N('2029'!D289),IF(A225=2030,N('2030'!D289),IF(A225=2031,N('2031'!D289),IF(A225=2032,N('2032'!D289),IF(A225=2033,N('2033'!D289),IF(A225=2034,N('2034'!D289),IFERROR(N(INDIRECT("'"&amp;A225&amp;"'!D"&amp;G225)),0))))))))))))</f>
        <v>8</v>
      </c>
      <c r="M225" s="36">
        <f>IFERROR(IF(NOT(ISBLANK(KPI_TARGETS!$G$19)),KPI_TARGETS!$G$19,IF(NOT(ISBLANK(KPI_TARGETS!$F$19)),KPI_TARGETS!$F$19,"")),"")</f>
        <v>16</v>
      </c>
      <c r="N225" s="36" t="str">
        <f>IFERROR(KPI_TARGETS!$E$19,"Higher is better")</f>
        <v>Higher is better</v>
      </c>
      <c r="O225" s="37">
        <f t="shared" ca="1" si="18"/>
        <v>0.5</v>
      </c>
      <c r="P225" t="str">
        <f t="shared" ca="1" si="19"/>
        <v>Red</v>
      </c>
      <c r="Q225" s="36">
        <f t="shared" ca="1" si="20"/>
        <v>-8</v>
      </c>
      <c r="R225" s="36" t="str">
        <f>""</f>
        <v/>
      </c>
      <c r="S225" s="36" t="str">
        <f>""</f>
        <v/>
      </c>
      <c r="T225" s="36" t="str">
        <f>""</f>
        <v/>
      </c>
      <c r="U225" s="36" t="str">
        <f>""</f>
        <v/>
      </c>
      <c r="V225" s="36" t="str">
        <f>""</f>
        <v/>
      </c>
      <c r="W225" s="36">
        <f t="shared" si="21"/>
        <v>1</v>
      </c>
      <c r="X225" t="str">
        <f t="shared" si="22"/>
        <v>OK</v>
      </c>
      <c r="Y225" t="str">
        <f>IF(MAIN!$H$3="Selected Year",IF(A225=MAIN!$B$3,"Yes","No"),IF(MAIN!$H$3="Included Years",IF(D225="Yes","Yes","No"),IF(C225="Yes","Yes","No")))</f>
        <v>Yes</v>
      </c>
      <c r="Z225" t="str">
        <f>IF(MAIN!$F$3="Project to Date",IF(AND(A225&gt;=SETTINGS!$B$4,A225&lt;MAIN!$B$3),"Yes",IF(AND(A225=MAIN!$B$3,E225&lt;=MAIN!$L$3),"Yes","No")),IF(OR(MAIN!$F$3="Full Year",MAIN!$D$3="All"),"Yes",IF(MAIN!$F$3="Monthly",IF(E225=MAIN!$L$3,"Yes","No"),IF(E225&lt;=MAIN!$L$3,"Yes","No"))))</f>
        <v>Yes</v>
      </c>
      <c r="AA225" t="str">
        <f t="shared" si="23"/>
        <v>Yes</v>
      </c>
    </row>
    <row r="226" spans="1:27" x14ac:dyDescent="0.3">
      <c r="A226">
        <f>INDEX(SETTINGS!$A$15:$A$24,$B226)</f>
        <v>2025</v>
      </c>
      <c r="B226">
        <v>1</v>
      </c>
      <c r="C226" t="str">
        <f>IF(AND(A226&gt;=SETTINGS!$B$4,A226&lt;=SETTINGS!$B$5),"Yes","No")</f>
        <v>Yes</v>
      </c>
      <c r="D226" t="str">
        <f>IFERROR(INDEX(SETTINGS!$C$15:$C$24,MATCH(A226,SETTINGS!$A$15:$A$24,0)),"No")</f>
        <v>Yes</v>
      </c>
      <c r="E226">
        <v>12</v>
      </c>
      <c r="F226" t="s">
        <v>45</v>
      </c>
      <c r="G226">
        <v>290</v>
      </c>
      <c r="H226" t="s">
        <v>109</v>
      </c>
      <c r="I226" t="s">
        <v>22</v>
      </c>
      <c r="J226" t="s">
        <v>29</v>
      </c>
      <c r="K226" t="s">
        <v>3</v>
      </c>
      <c r="L226" s="36">
        <f ca="1">IF(C226&lt;&gt;"Yes",0,IF(A226=2025,N('2025'!D290),IF(A226=2026,N('2026'!D290),IF(A226=2027,N('2027'!D290),IF(A226=2028,N('2028'!D290),IF(A226=2029,N('2029'!D290),IF(A226=2030,N('2030'!D290),IF(A226=2031,N('2031'!D290),IF(A226=2032,N('2032'!D290),IF(A226=2033,N('2033'!D290),IF(A226=2034,N('2034'!D290),IFERROR(N(INDIRECT("'"&amp;A226&amp;"'!D"&amp;G226)),0))))))))))))</f>
        <v>1</v>
      </c>
      <c r="M226" s="36">
        <f>IFERROR(IF(NOT(ISBLANK(KPI_TARGETS!$G$20)),KPI_TARGETS!$G$20,IF(NOT(ISBLANK(KPI_TARGETS!$F$20)),KPI_TARGETS!$F$20,"")),"")</f>
        <v>1</v>
      </c>
      <c r="N226" s="36" t="str">
        <f>IFERROR(KPI_TARGETS!$E$20,"Higher is better")</f>
        <v>Higher is better</v>
      </c>
      <c r="O226" s="37">
        <f t="shared" ca="1" si="18"/>
        <v>1</v>
      </c>
      <c r="P226" t="str">
        <f t="shared" ca="1" si="19"/>
        <v>Green</v>
      </c>
      <c r="Q226" s="36">
        <f t="shared" ca="1" si="20"/>
        <v>0</v>
      </c>
      <c r="R226" s="36" t="str">
        <f>""</f>
        <v/>
      </c>
      <c r="S226" s="36" t="str">
        <f>""</f>
        <v/>
      </c>
      <c r="T226" s="36" t="str">
        <f>""</f>
        <v/>
      </c>
      <c r="U226" s="36" t="str">
        <f>""</f>
        <v/>
      </c>
      <c r="V226" s="36" t="str">
        <f>""</f>
        <v/>
      </c>
      <c r="W226" s="36">
        <f t="shared" si="21"/>
        <v>1</v>
      </c>
      <c r="X226" t="str">
        <f t="shared" si="22"/>
        <v>OK</v>
      </c>
      <c r="Y226" t="str">
        <f>IF(MAIN!$H$3="Selected Year",IF(A226=MAIN!$B$3,"Yes","No"),IF(MAIN!$H$3="Included Years",IF(D226="Yes","Yes","No"),IF(C226="Yes","Yes","No")))</f>
        <v>Yes</v>
      </c>
      <c r="Z226" t="str">
        <f>IF(MAIN!$F$3="Project to Date",IF(AND(A226&gt;=SETTINGS!$B$4,A226&lt;MAIN!$B$3),"Yes",IF(AND(A226=MAIN!$B$3,E226&lt;=MAIN!$L$3),"Yes","No")),IF(OR(MAIN!$F$3="Full Year",MAIN!$D$3="All"),"Yes",IF(MAIN!$F$3="Monthly",IF(E226=MAIN!$L$3,"Yes","No"),IF(E226&lt;=MAIN!$L$3,"Yes","No"))))</f>
        <v>Yes</v>
      </c>
      <c r="AA226" t="str">
        <f t="shared" si="23"/>
        <v>Yes</v>
      </c>
    </row>
    <row r="227" spans="1:27" x14ac:dyDescent="0.3">
      <c r="A227">
        <f>INDEX(SETTINGS!$A$15:$A$24,$B227)</f>
        <v>2025</v>
      </c>
      <c r="B227">
        <v>1</v>
      </c>
      <c r="C227" t="str">
        <f>IF(AND(A227&gt;=SETTINGS!$B$4,A227&lt;=SETTINGS!$B$5),"Yes","No")</f>
        <v>Yes</v>
      </c>
      <c r="D227" t="str">
        <f>IFERROR(INDEX(SETTINGS!$C$15:$C$24,MATCH(A227,SETTINGS!$A$15:$A$24,0)),"No")</f>
        <v>Yes</v>
      </c>
      <c r="E227">
        <v>12</v>
      </c>
      <c r="F227" t="s">
        <v>45</v>
      </c>
      <c r="G227">
        <v>292</v>
      </c>
      <c r="H227" t="s">
        <v>110</v>
      </c>
      <c r="I227" t="s">
        <v>30</v>
      </c>
      <c r="J227" t="s">
        <v>31</v>
      </c>
      <c r="K227" t="s">
        <v>3</v>
      </c>
      <c r="L227" s="36">
        <f ca="1">IF(C227&lt;&gt;"Yes",0,IF(A227=2025,N('2025'!D292),IF(A227=2026,N('2026'!D292),IF(A227=2027,N('2027'!D292),IF(A227=2028,N('2028'!D292),IF(A227=2029,N('2029'!D292),IF(A227=2030,N('2030'!D292),IF(A227=2031,N('2031'!D292),IF(A227=2032,N('2032'!D292),IF(A227=2033,N('2033'!D292),IF(A227=2034,N('2034'!D292),IFERROR(N(INDIRECT("'"&amp;A227&amp;"'!D"&amp;G227)),0))))))))))))</f>
        <v>0</v>
      </c>
      <c r="M227" s="36">
        <f>IFERROR(IF(NOT(ISBLANK(KPI_TARGETS!$G$21)),KPI_TARGETS!$G$21,IF(NOT(ISBLANK(KPI_TARGETS!$F$21)),KPI_TARGETS!$F$21,"")),"")</f>
        <v>0</v>
      </c>
      <c r="N227" s="36" t="str">
        <f>IFERROR(KPI_TARGETS!$E$21,"Higher is better")</f>
        <v>Lower is better</v>
      </c>
      <c r="O227" s="37">
        <f t="shared" ca="1" si="18"/>
        <v>1</v>
      </c>
      <c r="P227" t="str">
        <f t="shared" ca="1" si="19"/>
        <v>Green</v>
      </c>
      <c r="Q227" s="36">
        <f t="shared" ca="1" si="20"/>
        <v>0</v>
      </c>
      <c r="R227" s="36" t="str">
        <f>""</f>
        <v/>
      </c>
      <c r="S227" s="36" t="str">
        <f>""</f>
        <v/>
      </c>
      <c r="T227" s="36" t="str">
        <f>""</f>
        <v/>
      </c>
      <c r="U227" s="36" t="str">
        <f>""</f>
        <v/>
      </c>
      <c r="V227" s="36" t="str">
        <f>""</f>
        <v/>
      </c>
      <c r="W227" s="36">
        <f t="shared" si="21"/>
        <v>1</v>
      </c>
      <c r="X227" t="str">
        <f t="shared" si="22"/>
        <v>OK</v>
      </c>
      <c r="Y227" t="str">
        <f>IF(MAIN!$H$3="Selected Year",IF(A227=MAIN!$B$3,"Yes","No"),IF(MAIN!$H$3="Included Years",IF(D227="Yes","Yes","No"),IF(C227="Yes","Yes","No")))</f>
        <v>Yes</v>
      </c>
      <c r="Z227" t="str">
        <f>IF(MAIN!$F$3="Project to Date",IF(AND(A227&gt;=SETTINGS!$B$4,A227&lt;MAIN!$B$3),"Yes",IF(AND(A227=MAIN!$B$3,E227&lt;=MAIN!$L$3),"Yes","No")),IF(OR(MAIN!$F$3="Full Year",MAIN!$D$3="All"),"Yes",IF(MAIN!$F$3="Monthly",IF(E227=MAIN!$L$3,"Yes","No"),IF(E227&lt;=MAIN!$L$3,"Yes","No"))))</f>
        <v>Yes</v>
      </c>
      <c r="AA227" t="str">
        <f t="shared" si="23"/>
        <v>Yes</v>
      </c>
    </row>
    <row r="228" spans="1:27" x14ac:dyDescent="0.3">
      <c r="A228">
        <f>INDEX(SETTINGS!$A$15:$A$24,$B228)</f>
        <v>2025</v>
      </c>
      <c r="B228">
        <v>1</v>
      </c>
      <c r="C228" t="str">
        <f>IF(AND(A228&gt;=SETTINGS!$B$4,A228&lt;=SETTINGS!$B$5),"Yes","No")</f>
        <v>Yes</v>
      </c>
      <c r="D228" t="str">
        <f>IFERROR(INDEX(SETTINGS!$C$15:$C$24,MATCH(A228,SETTINGS!$A$15:$A$24,0)),"No")</f>
        <v>Yes</v>
      </c>
      <c r="E228">
        <v>12</v>
      </c>
      <c r="F228" t="s">
        <v>45</v>
      </c>
      <c r="G228">
        <v>293</v>
      </c>
      <c r="H228" t="s">
        <v>111</v>
      </c>
      <c r="I228" t="s">
        <v>30</v>
      </c>
      <c r="J228" t="s">
        <v>32</v>
      </c>
      <c r="K228" t="s">
        <v>3</v>
      </c>
      <c r="L228" s="36">
        <f ca="1">IF(C228&lt;&gt;"Yes",0,IF(A228=2025,N('2025'!D293),IF(A228=2026,N('2026'!D293),IF(A228=2027,N('2027'!D293),IF(A228=2028,N('2028'!D293),IF(A228=2029,N('2029'!D293),IF(A228=2030,N('2030'!D293),IF(A228=2031,N('2031'!D293),IF(A228=2032,N('2032'!D293),IF(A228=2033,N('2033'!D293),IF(A228=2034,N('2034'!D293),IFERROR(N(INDIRECT("'"&amp;A228&amp;"'!D"&amp;G228)),0))))))))))))</f>
        <v>1</v>
      </c>
      <c r="M228" s="36">
        <f>IFERROR(IF(NOT(ISBLANK(KPI_TARGETS!$G$22)),KPI_TARGETS!$G$22,IF(NOT(ISBLANK(KPI_TARGETS!$F$22)),KPI_TARGETS!$F$22,"")),"")</f>
        <v>1</v>
      </c>
      <c r="N228" s="36" t="str">
        <f>IFERROR(KPI_TARGETS!$E$22,"Higher is better")</f>
        <v>Higher is better</v>
      </c>
      <c r="O228" s="37">
        <f t="shared" ca="1" si="18"/>
        <v>1</v>
      </c>
      <c r="P228" t="str">
        <f t="shared" ca="1" si="19"/>
        <v>Green</v>
      </c>
      <c r="Q228" s="36">
        <f t="shared" ca="1" si="20"/>
        <v>0</v>
      </c>
      <c r="R228" s="36" t="str">
        <f>""</f>
        <v/>
      </c>
      <c r="S228" s="36" t="str">
        <f>""</f>
        <v/>
      </c>
      <c r="T228" s="36" t="str">
        <f>""</f>
        <v/>
      </c>
      <c r="U228" s="36" t="str">
        <f>""</f>
        <v/>
      </c>
      <c r="V228" s="36" t="str">
        <f>""</f>
        <v/>
      </c>
      <c r="W228" s="36">
        <f t="shared" si="21"/>
        <v>1</v>
      </c>
      <c r="X228" t="str">
        <f t="shared" si="22"/>
        <v>OK</v>
      </c>
      <c r="Y228" t="str">
        <f>IF(MAIN!$H$3="Selected Year",IF(A228=MAIN!$B$3,"Yes","No"),IF(MAIN!$H$3="Included Years",IF(D228="Yes","Yes","No"),IF(C228="Yes","Yes","No")))</f>
        <v>Yes</v>
      </c>
      <c r="Z228" t="str">
        <f>IF(MAIN!$F$3="Project to Date",IF(AND(A228&gt;=SETTINGS!$B$4,A228&lt;MAIN!$B$3),"Yes",IF(AND(A228=MAIN!$B$3,E228&lt;=MAIN!$L$3),"Yes","No")),IF(OR(MAIN!$F$3="Full Year",MAIN!$D$3="All"),"Yes",IF(MAIN!$F$3="Monthly",IF(E228=MAIN!$L$3,"Yes","No"),IF(E228&lt;=MAIN!$L$3,"Yes","No"))))</f>
        <v>Yes</v>
      </c>
      <c r="AA228" t="str">
        <f t="shared" si="23"/>
        <v>Yes</v>
      </c>
    </row>
    <row r="229" spans="1:27" x14ac:dyDescent="0.3">
      <c r="A229">
        <f>INDEX(SETTINGS!$A$15:$A$24,$B229)</f>
        <v>2025</v>
      </c>
      <c r="B229">
        <v>1</v>
      </c>
      <c r="C229" t="str">
        <f>IF(AND(A229&gt;=SETTINGS!$B$4,A229&lt;=SETTINGS!$B$5),"Yes","No")</f>
        <v>Yes</v>
      </c>
      <c r="D229" t="str">
        <f>IFERROR(INDEX(SETTINGS!$C$15:$C$24,MATCH(A229,SETTINGS!$A$15:$A$24,0)),"No")</f>
        <v>Yes</v>
      </c>
      <c r="E229">
        <v>12</v>
      </c>
      <c r="F229" t="s">
        <v>45</v>
      </c>
      <c r="G229">
        <v>294</v>
      </c>
      <c r="H229" t="s">
        <v>112</v>
      </c>
      <c r="I229" t="s">
        <v>30</v>
      </c>
      <c r="J229" t="s">
        <v>33</v>
      </c>
      <c r="K229" t="s">
        <v>34</v>
      </c>
      <c r="L229" s="36">
        <f ca="1">IF(C229&lt;&gt;"Yes",0,IF(A229=2025,N('2025'!D294),IF(A229=2026,N('2026'!D294),IF(A229=2027,N('2027'!D294),IF(A229=2028,N('2028'!D294),IF(A229=2029,N('2029'!D294),IF(A229=2030,N('2030'!D294),IF(A229=2031,N('2031'!D294),IF(A229=2032,N('2032'!D294),IF(A229=2033,N('2033'!D294),IF(A229=2034,N('2034'!D294),IFERROR(N(INDIRECT("'"&amp;A229&amp;"'!D"&amp;G229)),0))))))))))))</f>
        <v>1</v>
      </c>
      <c r="M229" s="36">
        <f>IFERROR(IF(NOT(ISBLANK(KPI_TARGETS!$G$23)),KPI_TARGETS!$G$23,IF(NOT(ISBLANK(KPI_TARGETS!$F$23)),KPI_TARGETS!$F$23,"")),"")</f>
        <v>1</v>
      </c>
      <c r="N229" s="36" t="str">
        <f>IFERROR(KPI_TARGETS!$E$23,"Higher is better")</f>
        <v>Higher is better</v>
      </c>
      <c r="O229" s="37">
        <f t="shared" ca="1" si="18"/>
        <v>1</v>
      </c>
      <c r="P229" t="str">
        <f t="shared" ca="1" si="19"/>
        <v>Green</v>
      </c>
      <c r="Q229" s="36">
        <f t="shared" ca="1" si="20"/>
        <v>0</v>
      </c>
      <c r="R229" s="36" t="str">
        <f>""</f>
        <v/>
      </c>
      <c r="S229" s="36" t="str">
        <f>""</f>
        <v/>
      </c>
      <c r="T229" s="36" t="str">
        <f>""</f>
        <v/>
      </c>
      <c r="U229" s="36" t="str">
        <f>""</f>
        <v/>
      </c>
      <c r="V229" s="36" t="str">
        <f>""</f>
        <v/>
      </c>
      <c r="W229" s="36">
        <f t="shared" si="21"/>
        <v>1</v>
      </c>
      <c r="X229" t="str">
        <f t="shared" si="22"/>
        <v>OK</v>
      </c>
      <c r="Y229" t="str">
        <f>IF(MAIN!$H$3="Selected Year",IF(A229=MAIN!$B$3,"Yes","No"),IF(MAIN!$H$3="Included Years",IF(D229="Yes","Yes","No"),IF(C229="Yes","Yes","No")))</f>
        <v>Yes</v>
      </c>
      <c r="Z229" t="str">
        <f>IF(MAIN!$F$3="Project to Date",IF(AND(A229&gt;=SETTINGS!$B$4,A229&lt;MAIN!$B$3),"Yes",IF(AND(A229=MAIN!$B$3,E229&lt;=MAIN!$L$3),"Yes","No")),IF(OR(MAIN!$F$3="Full Year",MAIN!$D$3="All"),"Yes",IF(MAIN!$F$3="Monthly",IF(E229=MAIN!$L$3,"Yes","No"),IF(E229&lt;=MAIN!$L$3,"Yes","No"))))</f>
        <v>Yes</v>
      </c>
      <c r="AA229" t="str">
        <f t="shared" si="23"/>
        <v>Yes</v>
      </c>
    </row>
    <row r="230" spans="1:27" x14ac:dyDescent="0.3">
      <c r="A230">
        <f>INDEX(SETTINGS!$A$15:$A$24,$B230)</f>
        <v>2026</v>
      </c>
      <c r="B230">
        <v>2</v>
      </c>
      <c r="C230" t="str">
        <f>IF(AND(A230&gt;=SETTINGS!$B$4,A230&lt;=SETTINGS!$B$5),"Yes","No")</f>
        <v>Yes</v>
      </c>
      <c r="D230" t="str">
        <f>IFERROR(INDEX(SETTINGS!$C$15:$C$24,MATCH(A230,SETTINGS!$A$15:$A$24,0)),"No")</f>
        <v>Yes</v>
      </c>
      <c r="E230">
        <v>1</v>
      </c>
      <c r="F230" t="s">
        <v>2</v>
      </c>
      <c r="G230">
        <v>9</v>
      </c>
      <c r="H230" t="s">
        <v>88</v>
      </c>
      <c r="I230" t="s">
        <v>89</v>
      </c>
      <c r="J230" t="s">
        <v>10</v>
      </c>
      <c r="K230" t="s">
        <v>3</v>
      </c>
      <c r="L230" s="36">
        <f ca="1">IF(C230&lt;&gt;"Yes",0,IF(A230=2025,N('2025'!D9),IF(A230=2026,N('2026'!D9),IF(A230=2027,N('2027'!D9),IF(A230=2028,N('2028'!D9),IF(A230=2029,N('2029'!D9),IF(A230=2030,N('2030'!D9),IF(A230=2031,N('2031'!D9),IF(A230=2032,N('2032'!D9),IF(A230=2033,N('2033'!D9),IF(A230=2034,N('2034'!D9),IFERROR(N(INDIRECT("'"&amp;A230&amp;"'!D"&amp;G230)),0))))))))))))</f>
        <v>0</v>
      </c>
      <c r="M230" s="36">
        <f>IFERROR(IF(NOT(ISBLANK(KPI_TARGETS!$H$5)),KPI_TARGETS!$H$5,IF(NOT(ISBLANK(KPI_TARGETS!$F$5)),KPI_TARGETS!$F$5,"")),"")</f>
        <v>104</v>
      </c>
      <c r="N230" s="36" t="str">
        <f>IFERROR(KPI_TARGETS!$E$5,"Higher is better")</f>
        <v>Higher is better</v>
      </c>
      <c r="O230" s="37">
        <f t="shared" ca="1" si="18"/>
        <v>0</v>
      </c>
      <c r="P230" t="str">
        <f t="shared" ca="1" si="19"/>
        <v>Red</v>
      </c>
      <c r="Q230" s="36">
        <f t="shared" ca="1" si="20"/>
        <v>-104</v>
      </c>
      <c r="R230" s="36" t="str">
        <f>""</f>
        <v/>
      </c>
      <c r="S230" s="36" t="str">
        <f>""</f>
        <v/>
      </c>
      <c r="T230" s="36" t="str">
        <f>""</f>
        <v/>
      </c>
      <c r="U230" s="36" t="str">
        <f>""</f>
        <v/>
      </c>
      <c r="V230" s="36" t="str">
        <f>""</f>
        <v/>
      </c>
      <c r="W230" s="36">
        <f t="shared" si="21"/>
        <v>1</v>
      </c>
      <c r="X230" t="str">
        <f t="shared" si="22"/>
        <v>OK</v>
      </c>
      <c r="Y230" t="str">
        <f>IF(MAIN!$H$3="Selected Year",IF(A230=MAIN!$B$3,"Yes","No"),IF(MAIN!$H$3="Included Years",IF(D230="Yes","Yes","No"),IF(C230="Yes","Yes","No")))</f>
        <v>No</v>
      </c>
      <c r="Z230" t="str">
        <f>IF(MAIN!$F$3="Project to Date",IF(AND(A230&gt;=SETTINGS!$B$4,A230&lt;MAIN!$B$3),"Yes",IF(AND(A230=MAIN!$B$3,E230&lt;=MAIN!$L$3),"Yes","No")),IF(OR(MAIN!$F$3="Full Year",MAIN!$D$3="All"),"Yes",IF(MAIN!$F$3="Monthly",IF(E230=MAIN!$L$3,"Yes","No"),IF(E230&lt;=MAIN!$L$3,"Yes","No"))))</f>
        <v>Yes</v>
      </c>
      <c r="AA230" t="str">
        <f t="shared" si="23"/>
        <v>No</v>
      </c>
    </row>
    <row r="231" spans="1:27" x14ac:dyDescent="0.3">
      <c r="A231">
        <f>INDEX(SETTINGS!$A$15:$A$24,$B231)</f>
        <v>2026</v>
      </c>
      <c r="B231">
        <v>2</v>
      </c>
      <c r="C231" t="str">
        <f>IF(AND(A231&gt;=SETTINGS!$B$4,A231&lt;=SETTINGS!$B$5),"Yes","No")</f>
        <v>Yes</v>
      </c>
      <c r="D231" t="str">
        <f>IFERROR(INDEX(SETTINGS!$C$15:$C$24,MATCH(A231,SETTINGS!$A$15:$A$24,0)),"No")</f>
        <v>Yes</v>
      </c>
      <c r="E231">
        <v>1</v>
      </c>
      <c r="F231" t="s">
        <v>2</v>
      </c>
      <c r="G231">
        <v>10</v>
      </c>
      <c r="H231" t="s">
        <v>91</v>
      </c>
      <c r="I231" t="s">
        <v>89</v>
      </c>
      <c r="J231" t="s">
        <v>11</v>
      </c>
      <c r="K231" t="s">
        <v>12</v>
      </c>
      <c r="L231" s="36">
        <f ca="1">IF(C231&lt;&gt;"Yes",0,IF(A231=2025,N('2025'!D10),IF(A231=2026,N('2026'!D10),IF(A231=2027,N('2027'!D10),IF(A231=2028,N('2028'!D10),IF(A231=2029,N('2029'!D10),IF(A231=2030,N('2030'!D10),IF(A231=2031,N('2031'!D10),IF(A231=2032,N('2032'!D10),IF(A231=2033,N('2033'!D10),IF(A231=2034,N('2034'!D10),IFERROR(N(INDIRECT("'"&amp;A231&amp;"'!D"&amp;G231)),0))))))))))))</f>
        <v>0</v>
      </c>
      <c r="M231" s="36">
        <f>IFERROR(IF(NOT(ISBLANK(KPI_TARGETS!$H$6)),KPI_TARGETS!$H$6,IF(NOT(ISBLANK(KPI_TARGETS!$F$6)),KPI_TARGETS!$F$6,"")),"")</f>
        <v>4000</v>
      </c>
      <c r="N231" s="36" t="str">
        <f>IFERROR(KPI_TARGETS!$E$6,"Higher is better")</f>
        <v>Higher is better</v>
      </c>
      <c r="O231" s="37">
        <f t="shared" ca="1" si="18"/>
        <v>0</v>
      </c>
      <c r="P231" t="str">
        <f t="shared" ca="1" si="19"/>
        <v>Red</v>
      </c>
      <c r="Q231" s="36">
        <f t="shared" ca="1" si="20"/>
        <v>-4000</v>
      </c>
      <c r="R231" s="36" t="str">
        <f>""</f>
        <v/>
      </c>
      <c r="S231" s="36" t="str">
        <f>""</f>
        <v/>
      </c>
      <c r="T231" s="36" t="str">
        <f>""</f>
        <v/>
      </c>
      <c r="U231" s="36" t="str">
        <f>""</f>
        <v/>
      </c>
      <c r="V231" s="36" t="str">
        <f>""</f>
        <v/>
      </c>
      <c r="W231" s="36">
        <f t="shared" si="21"/>
        <v>1</v>
      </c>
      <c r="X231" t="str">
        <f t="shared" si="22"/>
        <v>OK</v>
      </c>
      <c r="Y231" t="str">
        <f>IF(MAIN!$H$3="Selected Year",IF(A231=MAIN!$B$3,"Yes","No"),IF(MAIN!$H$3="Included Years",IF(D231="Yes","Yes","No"),IF(C231="Yes","Yes","No")))</f>
        <v>No</v>
      </c>
      <c r="Z231" t="str">
        <f>IF(MAIN!$F$3="Project to Date",IF(AND(A231&gt;=SETTINGS!$B$4,A231&lt;MAIN!$B$3),"Yes",IF(AND(A231=MAIN!$B$3,E231&lt;=MAIN!$L$3),"Yes","No")),IF(OR(MAIN!$F$3="Full Year",MAIN!$D$3="All"),"Yes",IF(MAIN!$F$3="Monthly",IF(E231=MAIN!$L$3,"Yes","No"),IF(E231&lt;=MAIN!$L$3,"Yes","No"))))</f>
        <v>Yes</v>
      </c>
      <c r="AA231" t="str">
        <f t="shared" si="23"/>
        <v>No</v>
      </c>
    </row>
    <row r="232" spans="1:27" x14ac:dyDescent="0.3">
      <c r="A232">
        <f>INDEX(SETTINGS!$A$15:$A$24,$B232)</f>
        <v>2026</v>
      </c>
      <c r="B232">
        <v>2</v>
      </c>
      <c r="C232" t="str">
        <f>IF(AND(A232&gt;=SETTINGS!$B$4,A232&lt;=SETTINGS!$B$5),"Yes","No")</f>
        <v>Yes</v>
      </c>
      <c r="D232" t="str">
        <f>IFERROR(INDEX(SETTINGS!$C$15:$C$24,MATCH(A232,SETTINGS!$A$15:$A$24,0)),"No")</f>
        <v>Yes</v>
      </c>
      <c r="E232">
        <v>1</v>
      </c>
      <c r="F232" t="s">
        <v>2</v>
      </c>
      <c r="G232">
        <v>11</v>
      </c>
      <c r="H232" t="s">
        <v>93</v>
      </c>
      <c r="I232" t="s">
        <v>89</v>
      </c>
      <c r="J232" t="s">
        <v>13</v>
      </c>
      <c r="K232" t="s">
        <v>14</v>
      </c>
      <c r="L232" s="36">
        <f ca="1">IF(C232&lt;&gt;"Yes",0,IF(A232=2025,N('2025'!D11),IF(A232=2026,N('2026'!D11),IF(A232=2027,N('2027'!D11),IF(A232=2028,N('2028'!D11),IF(A232=2029,N('2029'!D11),IF(A232=2030,N('2030'!D11),IF(A232=2031,N('2031'!D11),IF(A232=2032,N('2032'!D11),IF(A232=2033,N('2033'!D11),IF(A232=2034,N('2034'!D11),IFERROR(N(INDIRECT("'"&amp;A232&amp;"'!D"&amp;G232)),0))))))))))))</f>
        <v>8000</v>
      </c>
      <c r="M232" s="36">
        <f>IFERROR(IF(NOT(ISBLANK(KPI_TARGETS!$H$7)),KPI_TARGETS!$H$7,IF(NOT(ISBLANK(KPI_TARGETS!$F$7)),KPI_TARGETS!$F$7,"")),"")</f>
        <v>8000</v>
      </c>
      <c r="N232" s="36" t="str">
        <f>IFERROR(KPI_TARGETS!$E$7,"Higher is better")</f>
        <v>Higher is better</v>
      </c>
      <c r="O232" s="37">
        <f t="shared" ca="1" si="18"/>
        <v>1</v>
      </c>
      <c r="P232" t="str">
        <f t="shared" ca="1" si="19"/>
        <v>Green</v>
      </c>
      <c r="Q232" s="36">
        <f t="shared" ca="1" si="20"/>
        <v>0</v>
      </c>
      <c r="R232" s="36" t="str">
        <f>""</f>
        <v/>
      </c>
      <c r="S232" s="36" t="str">
        <f>""</f>
        <v/>
      </c>
      <c r="T232" s="36" t="str">
        <f>""</f>
        <v/>
      </c>
      <c r="U232" s="36" t="str">
        <f>""</f>
        <v/>
      </c>
      <c r="V232" s="36" t="str">
        <f>""</f>
        <v/>
      </c>
      <c r="W232" s="36">
        <f t="shared" si="21"/>
        <v>1</v>
      </c>
      <c r="X232" t="str">
        <f t="shared" si="22"/>
        <v>OK</v>
      </c>
      <c r="Y232" t="str">
        <f>IF(MAIN!$H$3="Selected Year",IF(A232=MAIN!$B$3,"Yes","No"),IF(MAIN!$H$3="Included Years",IF(D232="Yes","Yes","No"),IF(C232="Yes","Yes","No")))</f>
        <v>No</v>
      </c>
      <c r="Z232" t="str">
        <f>IF(MAIN!$F$3="Project to Date",IF(AND(A232&gt;=SETTINGS!$B$4,A232&lt;MAIN!$B$3),"Yes",IF(AND(A232=MAIN!$B$3,E232&lt;=MAIN!$L$3),"Yes","No")),IF(OR(MAIN!$F$3="Full Year",MAIN!$D$3="All"),"Yes",IF(MAIN!$F$3="Monthly",IF(E232=MAIN!$L$3,"Yes","No"),IF(E232&lt;=MAIN!$L$3,"Yes","No"))))</f>
        <v>Yes</v>
      </c>
      <c r="AA232" t="str">
        <f t="shared" si="23"/>
        <v>No</v>
      </c>
    </row>
    <row r="233" spans="1:27" x14ac:dyDescent="0.3">
      <c r="A233">
        <f>INDEX(SETTINGS!$A$15:$A$24,$B233)</f>
        <v>2026</v>
      </c>
      <c r="B233">
        <v>2</v>
      </c>
      <c r="C233" t="str">
        <f>IF(AND(A233&gt;=SETTINGS!$B$4,A233&lt;=SETTINGS!$B$5),"Yes","No")</f>
        <v>Yes</v>
      </c>
      <c r="D233" t="str">
        <f>IFERROR(INDEX(SETTINGS!$C$15:$C$24,MATCH(A233,SETTINGS!$A$15:$A$24,0)),"No")</f>
        <v>Yes</v>
      </c>
      <c r="E233">
        <v>1</v>
      </c>
      <c r="F233" t="s">
        <v>2</v>
      </c>
      <c r="G233">
        <v>13</v>
      </c>
      <c r="H233" t="s">
        <v>95</v>
      </c>
      <c r="I233" t="s">
        <v>15</v>
      </c>
      <c r="J233" t="s">
        <v>16</v>
      </c>
      <c r="K233" t="s">
        <v>3</v>
      </c>
      <c r="L233" s="36">
        <f ca="1">IF(C233&lt;&gt;"Yes",0,IF(A233=2025,N('2025'!D13),IF(A233=2026,N('2026'!D13),IF(A233=2027,N('2027'!D13),IF(A233=2028,N('2028'!D13),IF(A233=2029,N('2029'!D13),IF(A233=2030,N('2030'!D13),IF(A233=2031,N('2031'!D13),IF(A233=2032,N('2032'!D13),IF(A233=2033,N('2033'!D13),IF(A233=2034,N('2034'!D13),IFERROR(N(INDIRECT("'"&amp;A233&amp;"'!D"&amp;G233)),0))))))))))))</f>
        <v>0</v>
      </c>
      <c r="M233" s="36">
        <f>IFERROR(IF(NOT(ISBLANK(KPI_TARGETS!$H$8)),KPI_TARGETS!$H$8,IF(NOT(ISBLANK(KPI_TARGETS!$F$8)),KPI_TARGETS!$F$8,"")),"")</f>
        <v>0</v>
      </c>
      <c r="N233" s="36" t="str">
        <f>IFERROR(KPI_TARGETS!$E$8,"Higher is better")</f>
        <v>Lower is better</v>
      </c>
      <c r="O233" s="37">
        <f t="shared" ca="1" si="18"/>
        <v>1</v>
      </c>
      <c r="P233" t="str">
        <f t="shared" ca="1" si="19"/>
        <v>Green</v>
      </c>
      <c r="Q233" s="36">
        <f t="shared" ca="1" si="20"/>
        <v>0</v>
      </c>
      <c r="R233" s="36" t="str">
        <f>""</f>
        <v/>
      </c>
      <c r="S233" s="36" t="str">
        <f>""</f>
        <v/>
      </c>
      <c r="T233" s="36" t="str">
        <f>""</f>
        <v/>
      </c>
      <c r="U233" s="36" t="str">
        <f>""</f>
        <v/>
      </c>
      <c r="V233" s="36" t="str">
        <f>""</f>
        <v/>
      </c>
      <c r="W233" s="36">
        <f t="shared" si="21"/>
        <v>1</v>
      </c>
      <c r="X233" t="str">
        <f t="shared" si="22"/>
        <v>OK</v>
      </c>
      <c r="Y233" t="str">
        <f>IF(MAIN!$H$3="Selected Year",IF(A233=MAIN!$B$3,"Yes","No"),IF(MAIN!$H$3="Included Years",IF(D233="Yes","Yes","No"),IF(C233="Yes","Yes","No")))</f>
        <v>No</v>
      </c>
      <c r="Z233" t="str">
        <f>IF(MAIN!$F$3="Project to Date",IF(AND(A233&gt;=SETTINGS!$B$4,A233&lt;MAIN!$B$3),"Yes",IF(AND(A233=MAIN!$B$3,E233&lt;=MAIN!$L$3),"Yes","No")),IF(OR(MAIN!$F$3="Full Year",MAIN!$D$3="All"),"Yes",IF(MAIN!$F$3="Monthly",IF(E233=MAIN!$L$3,"Yes","No"),IF(E233&lt;=MAIN!$L$3,"Yes","No"))))</f>
        <v>Yes</v>
      </c>
      <c r="AA233" t="str">
        <f t="shared" si="23"/>
        <v>No</v>
      </c>
    </row>
    <row r="234" spans="1:27" x14ac:dyDescent="0.3">
      <c r="A234">
        <f>INDEX(SETTINGS!$A$15:$A$24,$B234)</f>
        <v>2026</v>
      </c>
      <c r="B234">
        <v>2</v>
      </c>
      <c r="C234" t="str">
        <f>IF(AND(A234&gt;=SETTINGS!$B$4,A234&lt;=SETTINGS!$B$5),"Yes","No")</f>
        <v>Yes</v>
      </c>
      <c r="D234" t="str">
        <f>IFERROR(INDEX(SETTINGS!$C$15:$C$24,MATCH(A234,SETTINGS!$A$15:$A$24,0)),"No")</f>
        <v>Yes</v>
      </c>
      <c r="E234">
        <v>1</v>
      </c>
      <c r="F234" t="s">
        <v>2</v>
      </c>
      <c r="G234">
        <v>14</v>
      </c>
      <c r="H234" t="s">
        <v>97</v>
      </c>
      <c r="I234" t="s">
        <v>15</v>
      </c>
      <c r="J234" t="s">
        <v>17</v>
      </c>
      <c r="K234" t="s">
        <v>3</v>
      </c>
      <c r="L234" s="36">
        <f ca="1">IF(C234&lt;&gt;"Yes",0,IF(A234=2025,N('2025'!D14),IF(A234=2026,N('2026'!D14),IF(A234=2027,N('2027'!D14),IF(A234=2028,N('2028'!D14),IF(A234=2029,N('2029'!D14),IF(A234=2030,N('2030'!D14),IF(A234=2031,N('2031'!D14),IF(A234=2032,N('2032'!D14),IF(A234=2033,N('2033'!D14),IF(A234=2034,N('2034'!D14),IFERROR(N(INDIRECT("'"&amp;A234&amp;"'!D"&amp;G234)),0))))))))))))</f>
        <v>0</v>
      </c>
      <c r="M234" s="36">
        <f>IFERROR(IF(NOT(ISBLANK(KPI_TARGETS!$H$9)),KPI_TARGETS!$H$9,IF(NOT(ISBLANK(KPI_TARGETS!$F$9)),KPI_TARGETS!$F$9,"")),"")</f>
        <v>0</v>
      </c>
      <c r="N234" s="36" t="str">
        <f>IFERROR(KPI_TARGETS!$E$9,"Higher is better")</f>
        <v>Higher is better</v>
      </c>
      <c r="O234" s="37" t="str">
        <f t="shared" ca="1" si="18"/>
        <v/>
      </c>
      <c r="P234" t="str">
        <f t="shared" ca="1" si="19"/>
        <v>Green</v>
      </c>
      <c r="Q234" s="36">
        <f t="shared" ca="1" si="20"/>
        <v>0</v>
      </c>
      <c r="R234" s="36" t="str">
        <f>""</f>
        <v/>
      </c>
      <c r="S234" s="36" t="str">
        <f>""</f>
        <v/>
      </c>
      <c r="T234" s="36" t="str">
        <f>""</f>
        <v/>
      </c>
      <c r="U234" s="36" t="str">
        <f>""</f>
        <v/>
      </c>
      <c r="V234" s="36" t="str">
        <f>""</f>
        <v/>
      </c>
      <c r="W234" s="36">
        <f t="shared" si="21"/>
        <v>1</v>
      </c>
      <c r="X234" t="str">
        <f t="shared" si="22"/>
        <v>OK</v>
      </c>
      <c r="Y234" t="str">
        <f>IF(MAIN!$H$3="Selected Year",IF(A234=MAIN!$B$3,"Yes","No"),IF(MAIN!$H$3="Included Years",IF(D234="Yes","Yes","No"),IF(C234="Yes","Yes","No")))</f>
        <v>No</v>
      </c>
      <c r="Z234" t="str">
        <f>IF(MAIN!$F$3="Project to Date",IF(AND(A234&gt;=SETTINGS!$B$4,A234&lt;MAIN!$B$3),"Yes",IF(AND(A234=MAIN!$B$3,E234&lt;=MAIN!$L$3),"Yes","No")),IF(OR(MAIN!$F$3="Full Year",MAIN!$D$3="All"),"Yes",IF(MAIN!$F$3="Monthly",IF(E234=MAIN!$L$3,"Yes","No"),IF(E234&lt;=MAIN!$L$3,"Yes","No"))))</f>
        <v>Yes</v>
      </c>
      <c r="AA234" t="str">
        <f t="shared" si="23"/>
        <v>No</v>
      </c>
    </row>
    <row r="235" spans="1:27" x14ac:dyDescent="0.3">
      <c r="A235">
        <f>INDEX(SETTINGS!$A$15:$A$24,$B235)</f>
        <v>2026</v>
      </c>
      <c r="B235">
        <v>2</v>
      </c>
      <c r="C235" t="str">
        <f>IF(AND(A235&gt;=SETTINGS!$B$4,A235&lt;=SETTINGS!$B$5),"Yes","No")</f>
        <v>Yes</v>
      </c>
      <c r="D235" t="str">
        <f>IFERROR(INDEX(SETTINGS!$C$15:$C$24,MATCH(A235,SETTINGS!$A$15:$A$24,0)),"No")</f>
        <v>Yes</v>
      </c>
      <c r="E235">
        <v>1</v>
      </c>
      <c r="F235" t="s">
        <v>2</v>
      </c>
      <c r="G235">
        <v>15</v>
      </c>
      <c r="H235" t="s">
        <v>99</v>
      </c>
      <c r="I235" t="s">
        <v>15</v>
      </c>
      <c r="J235" t="s">
        <v>18</v>
      </c>
      <c r="K235" t="s">
        <v>3</v>
      </c>
      <c r="L235" s="36">
        <f ca="1">IF(C235&lt;&gt;"Yes",0,IF(A235=2025,N('2025'!D15),IF(A235=2026,N('2026'!D15),IF(A235=2027,N('2027'!D15),IF(A235=2028,N('2028'!D15),IF(A235=2029,N('2029'!D15),IF(A235=2030,N('2030'!D15),IF(A235=2031,N('2031'!D15),IF(A235=2032,N('2032'!D15),IF(A235=2033,N('2033'!D15),IF(A235=2034,N('2034'!D15),IFERROR(N(INDIRECT("'"&amp;A235&amp;"'!D"&amp;G235)),0))))))))))))</f>
        <v>0</v>
      </c>
      <c r="M235" s="36">
        <f>IFERROR(IF(NOT(ISBLANK(KPI_TARGETS!$H$10)),KPI_TARGETS!$H$10,IF(NOT(ISBLANK(KPI_TARGETS!$F$10)),KPI_TARGETS!$F$10,"")),"")</f>
        <v>0</v>
      </c>
      <c r="N235" s="36" t="str">
        <f>IFERROR(KPI_TARGETS!$E$10,"Higher is better")</f>
        <v>Lower is better</v>
      </c>
      <c r="O235" s="37">
        <f t="shared" ca="1" si="18"/>
        <v>1</v>
      </c>
      <c r="P235" t="str">
        <f t="shared" ca="1" si="19"/>
        <v>Green</v>
      </c>
      <c r="Q235" s="36">
        <f t="shared" ca="1" si="20"/>
        <v>0</v>
      </c>
      <c r="R235" s="36" t="str">
        <f>""</f>
        <v/>
      </c>
      <c r="S235" s="36" t="str">
        <f>""</f>
        <v/>
      </c>
      <c r="T235" s="36" t="str">
        <f>""</f>
        <v/>
      </c>
      <c r="U235" s="36" t="str">
        <f>""</f>
        <v/>
      </c>
      <c r="V235" s="36" t="str">
        <f>""</f>
        <v/>
      </c>
      <c r="W235" s="36">
        <f t="shared" si="21"/>
        <v>1</v>
      </c>
      <c r="X235" t="str">
        <f t="shared" si="22"/>
        <v>OK</v>
      </c>
      <c r="Y235" t="str">
        <f>IF(MAIN!$H$3="Selected Year",IF(A235=MAIN!$B$3,"Yes","No"),IF(MAIN!$H$3="Included Years",IF(D235="Yes","Yes","No"),IF(C235="Yes","Yes","No")))</f>
        <v>No</v>
      </c>
      <c r="Z235" t="str">
        <f>IF(MAIN!$F$3="Project to Date",IF(AND(A235&gt;=SETTINGS!$B$4,A235&lt;MAIN!$B$3),"Yes",IF(AND(A235=MAIN!$B$3,E235&lt;=MAIN!$L$3),"Yes","No")),IF(OR(MAIN!$F$3="Full Year",MAIN!$D$3="All"),"Yes",IF(MAIN!$F$3="Monthly",IF(E235=MAIN!$L$3,"Yes","No"),IF(E235&lt;=MAIN!$L$3,"Yes","No"))))</f>
        <v>Yes</v>
      </c>
      <c r="AA235" t="str">
        <f t="shared" si="23"/>
        <v>No</v>
      </c>
    </row>
    <row r="236" spans="1:27" x14ac:dyDescent="0.3">
      <c r="A236">
        <f>INDEX(SETTINGS!$A$15:$A$24,$B236)</f>
        <v>2026</v>
      </c>
      <c r="B236">
        <v>2</v>
      </c>
      <c r="C236" t="str">
        <f>IF(AND(A236&gt;=SETTINGS!$B$4,A236&lt;=SETTINGS!$B$5),"Yes","No")</f>
        <v>Yes</v>
      </c>
      <c r="D236" t="str">
        <f>IFERROR(INDEX(SETTINGS!$C$15:$C$24,MATCH(A236,SETTINGS!$A$15:$A$24,0)),"No")</f>
        <v>Yes</v>
      </c>
      <c r="E236">
        <v>1</v>
      </c>
      <c r="F236" t="s">
        <v>2</v>
      </c>
      <c r="G236">
        <v>16</v>
      </c>
      <c r="H236" t="s">
        <v>100</v>
      </c>
      <c r="I236" t="s">
        <v>15</v>
      </c>
      <c r="J236" t="s">
        <v>19</v>
      </c>
      <c r="K236" t="s">
        <v>3</v>
      </c>
      <c r="L236" s="36">
        <f ca="1">IF(C236&lt;&gt;"Yes",0,IF(A236=2025,N('2025'!D16),IF(A236=2026,N('2026'!D16),IF(A236=2027,N('2027'!D16),IF(A236=2028,N('2028'!D16),IF(A236=2029,N('2029'!D16),IF(A236=2030,N('2030'!D16),IF(A236=2031,N('2031'!D16),IF(A236=2032,N('2032'!D16),IF(A236=2033,N('2033'!D16),IF(A236=2034,N('2034'!D16),IFERROR(N(INDIRECT("'"&amp;A236&amp;"'!D"&amp;G236)),0))))))))))))</f>
        <v>0</v>
      </c>
      <c r="M236" s="36">
        <f>IFERROR(IF(NOT(ISBLANK(KPI_TARGETS!$H$11)),KPI_TARGETS!$H$11,IF(NOT(ISBLANK(KPI_TARGETS!$F$11)),KPI_TARGETS!$F$11,"")),"")</f>
        <v>0</v>
      </c>
      <c r="N236" s="36" t="str">
        <f>IFERROR(KPI_TARGETS!$E$11,"Higher is better")</f>
        <v>Lower is better</v>
      </c>
      <c r="O236" s="37">
        <f t="shared" ca="1" si="18"/>
        <v>1</v>
      </c>
      <c r="P236" t="str">
        <f t="shared" ca="1" si="19"/>
        <v>Green</v>
      </c>
      <c r="Q236" s="36">
        <f t="shared" ca="1" si="20"/>
        <v>0</v>
      </c>
      <c r="R236" s="36" t="str">
        <f>""</f>
        <v/>
      </c>
      <c r="S236" s="36" t="str">
        <f>""</f>
        <v/>
      </c>
      <c r="T236" s="36" t="str">
        <f>""</f>
        <v/>
      </c>
      <c r="U236" s="36" t="str">
        <f>""</f>
        <v/>
      </c>
      <c r="V236" s="36" t="str">
        <f>""</f>
        <v/>
      </c>
      <c r="W236" s="36">
        <f t="shared" si="21"/>
        <v>1</v>
      </c>
      <c r="X236" t="str">
        <f t="shared" si="22"/>
        <v>OK</v>
      </c>
      <c r="Y236" t="str">
        <f>IF(MAIN!$H$3="Selected Year",IF(A236=MAIN!$B$3,"Yes","No"),IF(MAIN!$H$3="Included Years",IF(D236="Yes","Yes","No"),IF(C236="Yes","Yes","No")))</f>
        <v>No</v>
      </c>
      <c r="Z236" t="str">
        <f>IF(MAIN!$F$3="Project to Date",IF(AND(A236&gt;=SETTINGS!$B$4,A236&lt;MAIN!$B$3),"Yes",IF(AND(A236=MAIN!$B$3,E236&lt;=MAIN!$L$3),"Yes","No")),IF(OR(MAIN!$F$3="Full Year",MAIN!$D$3="All"),"Yes",IF(MAIN!$F$3="Monthly",IF(E236=MAIN!$L$3,"Yes","No"),IF(E236&lt;=MAIN!$L$3,"Yes","No"))))</f>
        <v>Yes</v>
      </c>
      <c r="AA236" t="str">
        <f t="shared" si="23"/>
        <v>No</v>
      </c>
    </row>
    <row r="237" spans="1:27" x14ac:dyDescent="0.3">
      <c r="A237">
        <f>INDEX(SETTINGS!$A$15:$A$24,$B237)</f>
        <v>2026</v>
      </c>
      <c r="B237">
        <v>2</v>
      </c>
      <c r="C237" t="str">
        <f>IF(AND(A237&gt;=SETTINGS!$B$4,A237&lt;=SETTINGS!$B$5),"Yes","No")</f>
        <v>Yes</v>
      </c>
      <c r="D237" t="str">
        <f>IFERROR(INDEX(SETTINGS!$C$15:$C$24,MATCH(A237,SETTINGS!$A$15:$A$24,0)),"No")</f>
        <v>Yes</v>
      </c>
      <c r="E237">
        <v>1</v>
      </c>
      <c r="F237" t="s">
        <v>2</v>
      </c>
      <c r="G237">
        <v>17</v>
      </c>
      <c r="H237" t="s">
        <v>101</v>
      </c>
      <c r="I237" t="s">
        <v>15</v>
      </c>
      <c r="J237" t="s">
        <v>20</v>
      </c>
      <c r="K237" t="s">
        <v>3</v>
      </c>
      <c r="L237" s="36">
        <f ca="1">IF(C237&lt;&gt;"Yes",0,IF(A237=2025,N('2025'!D17),IF(A237=2026,N('2026'!D17),IF(A237=2027,N('2027'!D17),IF(A237=2028,N('2028'!D17),IF(A237=2029,N('2029'!D17),IF(A237=2030,N('2030'!D17),IF(A237=2031,N('2031'!D17),IF(A237=2032,N('2032'!D17),IF(A237=2033,N('2033'!D17),IF(A237=2034,N('2034'!D17),IFERROR(N(INDIRECT("'"&amp;A237&amp;"'!D"&amp;G237)),0))))))))))))</f>
        <v>0</v>
      </c>
      <c r="M237" s="36">
        <f>IFERROR(IF(NOT(ISBLANK(KPI_TARGETS!$H$12)),KPI_TARGETS!$H$12,IF(NOT(ISBLANK(KPI_TARGETS!$F$12)),KPI_TARGETS!$F$12,"")),"")</f>
        <v>0</v>
      </c>
      <c r="N237" s="36" t="str">
        <f>IFERROR(KPI_TARGETS!$E$12,"Higher is better")</f>
        <v>Lower is better</v>
      </c>
      <c r="O237" s="37">
        <f t="shared" ca="1" si="18"/>
        <v>1</v>
      </c>
      <c r="P237" t="str">
        <f t="shared" ca="1" si="19"/>
        <v>Green</v>
      </c>
      <c r="Q237" s="36">
        <f t="shared" ca="1" si="20"/>
        <v>0</v>
      </c>
      <c r="R237" s="36" t="str">
        <f>""</f>
        <v/>
      </c>
      <c r="S237" s="36" t="str">
        <f>""</f>
        <v/>
      </c>
      <c r="T237" s="36" t="str">
        <f>""</f>
        <v/>
      </c>
      <c r="U237" s="36" t="str">
        <f>""</f>
        <v/>
      </c>
      <c r="V237" s="36" t="str">
        <f>""</f>
        <v/>
      </c>
      <c r="W237" s="36">
        <f t="shared" si="21"/>
        <v>1</v>
      </c>
      <c r="X237" t="str">
        <f t="shared" si="22"/>
        <v>OK</v>
      </c>
      <c r="Y237" t="str">
        <f>IF(MAIN!$H$3="Selected Year",IF(A237=MAIN!$B$3,"Yes","No"),IF(MAIN!$H$3="Included Years",IF(D237="Yes","Yes","No"),IF(C237="Yes","Yes","No")))</f>
        <v>No</v>
      </c>
      <c r="Z237" t="str">
        <f>IF(MAIN!$F$3="Project to Date",IF(AND(A237&gt;=SETTINGS!$B$4,A237&lt;MAIN!$B$3),"Yes",IF(AND(A237=MAIN!$B$3,E237&lt;=MAIN!$L$3),"Yes","No")),IF(OR(MAIN!$F$3="Full Year",MAIN!$D$3="All"),"Yes",IF(MAIN!$F$3="Monthly",IF(E237=MAIN!$L$3,"Yes","No"),IF(E237&lt;=MAIN!$L$3,"Yes","No"))))</f>
        <v>Yes</v>
      </c>
      <c r="AA237" t="str">
        <f t="shared" si="23"/>
        <v>No</v>
      </c>
    </row>
    <row r="238" spans="1:27" x14ac:dyDescent="0.3">
      <c r="A238">
        <f>INDEX(SETTINGS!$A$15:$A$24,$B238)</f>
        <v>2026</v>
      </c>
      <c r="B238">
        <v>2</v>
      </c>
      <c r="C238" t="str">
        <f>IF(AND(A238&gt;=SETTINGS!$B$4,A238&lt;=SETTINGS!$B$5),"Yes","No")</f>
        <v>Yes</v>
      </c>
      <c r="D238" t="str">
        <f>IFERROR(INDEX(SETTINGS!$C$15:$C$24,MATCH(A238,SETTINGS!$A$15:$A$24,0)),"No")</f>
        <v>Yes</v>
      </c>
      <c r="E238">
        <v>1</v>
      </c>
      <c r="F238" t="s">
        <v>2</v>
      </c>
      <c r="G238">
        <v>18</v>
      </c>
      <c r="H238" t="s">
        <v>102</v>
      </c>
      <c r="I238" t="s">
        <v>15</v>
      </c>
      <c r="J238" t="s">
        <v>21</v>
      </c>
      <c r="K238" t="s">
        <v>3</v>
      </c>
      <c r="L238" s="36">
        <f ca="1">IF(C238&lt;&gt;"Yes",0,IF(A238=2025,N('2025'!D18),IF(A238=2026,N('2026'!D18),IF(A238=2027,N('2027'!D18),IF(A238=2028,N('2028'!D18),IF(A238=2029,N('2029'!D18),IF(A238=2030,N('2030'!D18),IF(A238=2031,N('2031'!D18),IF(A238=2032,N('2032'!D18),IF(A238=2033,N('2033'!D18),IF(A238=2034,N('2034'!D18),IFERROR(N(INDIRECT("'"&amp;A238&amp;"'!D"&amp;G238)),0))))))))))))</f>
        <v>0</v>
      </c>
      <c r="M238" s="36">
        <f>IFERROR(IF(NOT(ISBLANK(KPI_TARGETS!$H$13)),KPI_TARGETS!$H$13,IF(NOT(ISBLANK(KPI_TARGETS!$F$13)),KPI_TARGETS!$F$13,"")),"")</f>
        <v>0</v>
      </c>
      <c r="N238" s="36" t="str">
        <f>IFERROR(KPI_TARGETS!$E$13,"Higher is better")</f>
        <v>Lower is better</v>
      </c>
      <c r="O238" s="37">
        <f t="shared" ca="1" si="18"/>
        <v>1</v>
      </c>
      <c r="P238" t="str">
        <f t="shared" ca="1" si="19"/>
        <v>Green</v>
      </c>
      <c r="Q238" s="36">
        <f t="shared" ca="1" si="20"/>
        <v>0</v>
      </c>
      <c r="R238" s="36" t="str">
        <f>""</f>
        <v/>
      </c>
      <c r="S238" s="36" t="str">
        <f>""</f>
        <v/>
      </c>
      <c r="T238" s="36" t="str">
        <f>""</f>
        <v/>
      </c>
      <c r="U238" s="36" t="str">
        <f>""</f>
        <v/>
      </c>
      <c r="V238" s="36" t="str">
        <f>""</f>
        <v/>
      </c>
      <c r="W238" s="36">
        <f t="shared" si="21"/>
        <v>1</v>
      </c>
      <c r="X238" t="str">
        <f t="shared" si="22"/>
        <v>OK</v>
      </c>
      <c r="Y238" t="str">
        <f>IF(MAIN!$H$3="Selected Year",IF(A238=MAIN!$B$3,"Yes","No"),IF(MAIN!$H$3="Included Years",IF(D238="Yes","Yes","No"),IF(C238="Yes","Yes","No")))</f>
        <v>No</v>
      </c>
      <c r="Z238" t="str">
        <f>IF(MAIN!$F$3="Project to Date",IF(AND(A238&gt;=SETTINGS!$B$4,A238&lt;MAIN!$B$3),"Yes",IF(AND(A238=MAIN!$B$3,E238&lt;=MAIN!$L$3),"Yes","No")),IF(OR(MAIN!$F$3="Full Year",MAIN!$D$3="All"),"Yes",IF(MAIN!$F$3="Monthly",IF(E238=MAIN!$L$3,"Yes","No"),IF(E238&lt;=MAIN!$L$3,"Yes","No"))))</f>
        <v>Yes</v>
      </c>
      <c r="AA238" t="str">
        <f t="shared" si="23"/>
        <v>No</v>
      </c>
    </row>
    <row r="239" spans="1:27" x14ac:dyDescent="0.3">
      <c r="A239">
        <f>INDEX(SETTINGS!$A$15:$A$24,$B239)</f>
        <v>2026</v>
      </c>
      <c r="B239">
        <v>2</v>
      </c>
      <c r="C239" t="str">
        <f>IF(AND(A239&gt;=SETTINGS!$B$4,A239&lt;=SETTINGS!$B$5),"Yes","No")</f>
        <v>Yes</v>
      </c>
      <c r="D239" t="str">
        <f>IFERROR(INDEX(SETTINGS!$C$15:$C$24,MATCH(A239,SETTINGS!$A$15:$A$24,0)),"No")</f>
        <v>Yes</v>
      </c>
      <c r="E239">
        <v>1</v>
      </c>
      <c r="F239" t="s">
        <v>2</v>
      </c>
      <c r="G239">
        <v>20</v>
      </c>
      <c r="H239" t="s">
        <v>103</v>
      </c>
      <c r="I239" t="s">
        <v>22</v>
      </c>
      <c r="J239" t="s">
        <v>23</v>
      </c>
      <c r="K239" t="s">
        <v>3</v>
      </c>
      <c r="L239" s="36">
        <f ca="1">IF(C239&lt;&gt;"Yes",0,IF(A239=2025,N('2025'!D20),IF(A239=2026,N('2026'!D20),IF(A239=2027,N('2027'!D20),IF(A239=2028,N('2028'!D20),IF(A239=2029,N('2029'!D20),IF(A239=2030,N('2030'!D20),IF(A239=2031,N('2031'!D20),IF(A239=2032,N('2032'!D20),IF(A239=2033,N('2033'!D20),IF(A239=2034,N('2034'!D20),IFERROR(N(INDIRECT("'"&amp;A239&amp;"'!D"&amp;G239)),0))))))))))))</f>
        <v>55</v>
      </c>
      <c r="M239" s="36">
        <f>IFERROR(IF(NOT(ISBLANK(KPI_TARGETS!$H$14)),KPI_TARGETS!$H$14,IF(NOT(ISBLANK(KPI_TARGETS!$F$14)),KPI_TARGETS!$F$14,"")),"")</f>
        <v>35</v>
      </c>
      <c r="N239" s="36" t="str">
        <f>IFERROR(KPI_TARGETS!$E$14,"Higher is better")</f>
        <v>Higher is better</v>
      </c>
      <c r="O239" s="37">
        <f t="shared" ca="1" si="18"/>
        <v>1.5714285714285714</v>
      </c>
      <c r="P239" t="str">
        <f t="shared" ca="1" si="19"/>
        <v>Green</v>
      </c>
      <c r="Q239" s="36">
        <f t="shared" ca="1" si="20"/>
        <v>20</v>
      </c>
      <c r="R239" s="36" t="str">
        <f>""</f>
        <v/>
      </c>
      <c r="S239" s="36" t="str">
        <f>""</f>
        <v/>
      </c>
      <c r="T239" s="36" t="str">
        <f>""</f>
        <v/>
      </c>
      <c r="U239" s="36" t="str">
        <f>""</f>
        <v/>
      </c>
      <c r="V239" s="36" t="str">
        <f>""</f>
        <v/>
      </c>
      <c r="W239" s="36">
        <f t="shared" si="21"/>
        <v>1</v>
      </c>
      <c r="X239" t="str">
        <f t="shared" si="22"/>
        <v>OK</v>
      </c>
      <c r="Y239" t="str">
        <f>IF(MAIN!$H$3="Selected Year",IF(A239=MAIN!$B$3,"Yes","No"),IF(MAIN!$H$3="Included Years",IF(D239="Yes","Yes","No"),IF(C239="Yes","Yes","No")))</f>
        <v>No</v>
      </c>
      <c r="Z239" t="str">
        <f>IF(MAIN!$F$3="Project to Date",IF(AND(A239&gt;=SETTINGS!$B$4,A239&lt;MAIN!$B$3),"Yes",IF(AND(A239=MAIN!$B$3,E239&lt;=MAIN!$L$3),"Yes","No")),IF(OR(MAIN!$F$3="Full Year",MAIN!$D$3="All"),"Yes",IF(MAIN!$F$3="Monthly",IF(E239=MAIN!$L$3,"Yes","No"),IF(E239&lt;=MAIN!$L$3,"Yes","No"))))</f>
        <v>Yes</v>
      </c>
      <c r="AA239" t="str">
        <f t="shared" si="23"/>
        <v>No</v>
      </c>
    </row>
    <row r="240" spans="1:27" x14ac:dyDescent="0.3">
      <c r="A240">
        <f>INDEX(SETTINGS!$A$15:$A$24,$B240)</f>
        <v>2026</v>
      </c>
      <c r="B240">
        <v>2</v>
      </c>
      <c r="C240" t="str">
        <f>IF(AND(A240&gt;=SETTINGS!$B$4,A240&lt;=SETTINGS!$B$5),"Yes","No")</f>
        <v>Yes</v>
      </c>
      <c r="D240" t="str">
        <f>IFERROR(INDEX(SETTINGS!$C$15:$C$24,MATCH(A240,SETTINGS!$A$15:$A$24,0)),"No")</f>
        <v>Yes</v>
      </c>
      <c r="E240">
        <v>1</v>
      </c>
      <c r="F240" t="s">
        <v>2</v>
      </c>
      <c r="G240">
        <v>21</v>
      </c>
      <c r="H240" t="s">
        <v>104</v>
      </c>
      <c r="I240" t="s">
        <v>22</v>
      </c>
      <c r="J240" t="s">
        <v>24</v>
      </c>
      <c r="K240" t="s">
        <v>3</v>
      </c>
      <c r="L240" s="36">
        <f ca="1">IF(C240&lt;&gt;"Yes",0,IF(A240=2025,N('2025'!D21),IF(A240=2026,N('2026'!D21),IF(A240=2027,N('2027'!D21),IF(A240=2028,N('2028'!D21),IF(A240=2029,N('2029'!D21),IF(A240=2030,N('2030'!D21),IF(A240=2031,N('2031'!D21),IF(A240=2032,N('2032'!D21),IF(A240=2033,N('2033'!D21),IF(A240=2034,N('2034'!D21),IFERROR(N(INDIRECT("'"&amp;A240&amp;"'!D"&amp;G240)),0))))))))))))</f>
        <v>4</v>
      </c>
      <c r="M240" s="36">
        <f>IFERROR(IF(NOT(ISBLANK(KPI_TARGETS!$H$15)),KPI_TARGETS!$H$15,IF(NOT(ISBLANK(KPI_TARGETS!$F$15)),KPI_TARGETS!$F$15,"")),"")</f>
        <v>5</v>
      </c>
      <c r="N240" s="36" t="str">
        <f>IFERROR(KPI_TARGETS!$E$15,"Higher is better")</f>
        <v>Higher is better</v>
      </c>
      <c r="O240" s="37">
        <f t="shared" ca="1" si="18"/>
        <v>0.8</v>
      </c>
      <c r="P240" t="str">
        <f t="shared" ca="1" si="19"/>
        <v>Amber</v>
      </c>
      <c r="Q240" s="36">
        <f t="shared" ca="1" si="20"/>
        <v>-1</v>
      </c>
      <c r="R240" s="36" t="str">
        <f>""</f>
        <v/>
      </c>
      <c r="S240" s="36" t="str">
        <f>""</f>
        <v/>
      </c>
      <c r="T240" s="36" t="str">
        <f>""</f>
        <v/>
      </c>
      <c r="U240" s="36" t="str">
        <f>""</f>
        <v/>
      </c>
      <c r="V240" s="36" t="str">
        <f>""</f>
        <v/>
      </c>
      <c r="W240" s="36">
        <f t="shared" si="21"/>
        <v>1</v>
      </c>
      <c r="X240" t="str">
        <f t="shared" si="22"/>
        <v>OK</v>
      </c>
      <c r="Y240" t="str">
        <f>IF(MAIN!$H$3="Selected Year",IF(A240=MAIN!$B$3,"Yes","No"),IF(MAIN!$H$3="Included Years",IF(D240="Yes","Yes","No"),IF(C240="Yes","Yes","No")))</f>
        <v>No</v>
      </c>
      <c r="Z240" t="str">
        <f>IF(MAIN!$F$3="Project to Date",IF(AND(A240&gt;=SETTINGS!$B$4,A240&lt;MAIN!$B$3),"Yes",IF(AND(A240=MAIN!$B$3,E240&lt;=MAIN!$L$3),"Yes","No")),IF(OR(MAIN!$F$3="Full Year",MAIN!$D$3="All"),"Yes",IF(MAIN!$F$3="Monthly",IF(E240=MAIN!$L$3,"Yes","No"),IF(E240&lt;=MAIN!$L$3,"Yes","No"))))</f>
        <v>Yes</v>
      </c>
      <c r="AA240" t="str">
        <f t="shared" si="23"/>
        <v>No</v>
      </c>
    </row>
    <row r="241" spans="1:27" x14ac:dyDescent="0.3">
      <c r="A241">
        <f>INDEX(SETTINGS!$A$15:$A$24,$B241)</f>
        <v>2026</v>
      </c>
      <c r="B241">
        <v>2</v>
      </c>
      <c r="C241" t="str">
        <f>IF(AND(A241&gt;=SETTINGS!$B$4,A241&lt;=SETTINGS!$B$5),"Yes","No")</f>
        <v>Yes</v>
      </c>
      <c r="D241" t="str">
        <f>IFERROR(INDEX(SETTINGS!$C$15:$C$24,MATCH(A241,SETTINGS!$A$15:$A$24,0)),"No")</f>
        <v>Yes</v>
      </c>
      <c r="E241">
        <v>1</v>
      </c>
      <c r="F241" t="s">
        <v>2</v>
      </c>
      <c r="G241">
        <v>22</v>
      </c>
      <c r="H241" t="s">
        <v>105</v>
      </c>
      <c r="I241" t="s">
        <v>22</v>
      </c>
      <c r="J241" t="s">
        <v>25</v>
      </c>
      <c r="K241" t="s">
        <v>3</v>
      </c>
      <c r="L241" s="36">
        <f ca="1">IF(C241&lt;&gt;"Yes",0,IF(A241=2025,N('2025'!D22),IF(A241=2026,N('2026'!D22),IF(A241=2027,N('2027'!D22),IF(A241=2028,N('2028'!D22),IF(A241=2029,N('2029'!D22),IF(A241=2030,N('2030'!D22),IF(A241=2031,N('2031'!D22),IF(A241=2032,N('2032'!D22),IF(A241=2033,N('2033'!D22),IF(A241=2034,N('2034'!D22),IFERROR(N(INDIRECT("'"&amp;A241&amp;"'!D"&amp;G241)),0))))))))))))</f>
        <v>4</v>
      </c>
      <c r="M241" s="36">
        <f>IFERROR(IF(NOT(ISBLANK(KPI_TARGETS!$H$16)),KPI_TARGETS!$H$16,IF(NOT(ISBLANK(KPI_TARGETS!$F$16)),KPI_TARGETS!$F$16,"")),"")</f>
        <v>4</v>
      </c>
      <c r="N241" s="36" t="str">
        <f>IFERROR(KPI_TARGETS!$E$16,"Higher is better")</f>
        <v>Higher is better</v>
      </c>
      <c r="O241" s="37">
        <f t="shared" ca="1" si="18"/>
        <v>1</v>
      </c>
      <c r="P241" t="str">
        <f t="shared" ca="1" si="19"/>
        <v>Green</v>
      </c>
      <c r="Q241" s="36">
        <f t="shared" ca="1" si="20"/>
        <v>0</v>
      </c>
      <c r="R241" s="36" t="str">
        <f>""</f>
        <v/>
      </c>
      <c r="S241" s="36" t="str">
        <f>""</f>
        <v/>
      </c>
      <c r="T241" s="36" t="str">
        <f>""</f>
        <v/>
      </c>
      <c r="U241" s="36" t="str">
        <f>""</f>
        <v/>
      </c>
      <c r="V241" s="36" t="str">
        <f>""</f>
        <v/>
      </c>
      <c r="W241" s="36">
        <f t="shared" si="21"/>
        <v>1</v>
      </c>
      <c r="X241" t="str">
        <f t="shared" si="22"/>
        <v>OK</v>
      </c>
      <c r="Y241" t="str">
        <f>IF(MAIN!$H$3="Selected Year",IF(A241=MAIN!$B$3,"Yes","No"),IF(MAIN!$H$3="Included Years",IF(D241="Yes","Yes","No"),IF(C241="Yes","Yes","No")))</f>
        <v>No</v>
      </c>
      <c r="Z241" t="str">
        <f>IF(MAIN!$F$3="Project to Date",IF(AND(A241&gt;=SETTINGS!$B$4,A241&lt;MAIN!$B$3),"Yes",IF(AND(A241=MAIN!$B$3,E241&lt;=MAIN!$L$3),"Yes","No")),IF(OR(MAIN!$F$3="Full Year",MAIN!$D$3="All"),"Yes",IF(MAIN!$F$3="Monthly",IF(E241=MAIN!$L$3,"Yes","No"),IF(E241&lt;=MAIN!$L$3,"Yes","No"))))</f>
        <v>Yes</v>
      </c>
      <c r="AA241" t="str">
        <f t="shared" si="23"/>
        <v>No</v>
      </c>
    </row>
    <row r="242" spans="1:27" x14ac:dyDescent="0.3">
      <c r="A242">
        <f>INDEX(SETTINGS!$A$15:$A$24,$B242)</f>
        <v>2026</v>
      </c>
      <c r="B242">
        <v>2</v>
      </c>
      <c r="C242" t="str">
        <f>IF(AND(A242&gt;=SETTINGS!$B$4,A242&lt;=SETTINGS!$B$5),"Yes","No")</f>
        <v>Yes</v>
      </c>
      <c r="D242" t="str">
        <f>IFERROR(INDEX(SETTINGS!$C$15:$C$24,MATCH(A242,SETTINGS!$A$15:$A$24,0)),"No")</f>
        <v>Yes</v>
      </c>
      <c r="E242">
        <v>1</v>
      </c>
      <c r="F242" t="s">
        <v>2</v>
      </c>
      <c r="G242">
        <v>23</v>
      </c>
      <c r="H242" t="s">
        <v>106</v>
      </c>
      <c r="I242" t="s">
        <v>22</v>
      </c>
      <c r="J242" t="s">
        <v>26</v>
      </c>
      <c r="K242" t="s">
        <v>3</v>
      </c>
      <c r="L242" s="36">
        <f ca="1">IF(C242&lt;&gt;"Yes",0,IF(A242=2025,N('2025'!D23),IF(A242=2026,N('2026'!D23),IF(A242=2027,N('2027'!D23),IF(A242=2028,N('2028'!D23),IF(A242=2029,N('2029'!D23),IF(A242=2030,N('2030'!D23),IF(A242=2031,N('2031'!D23),IF(A242=2032,N('2032'!D23),IF(A242=2033,N('2033'!D23),IF(A242=2034,N('2034'!D23),IFERROR(N(INDIRECT("'"&amp;A242&amp;"'!D"&amp;G242)),0))))))))))))</f>
        <v>20</v>
      </c>
      <c r="M242" s="36">
        <f>IFERROR(IF(NOT(ISBLANK(KPI_TARGETS!$H$17)),KPI_TARGETS!$H$17,IF(NOT(ISBLANK(KPI_TARGETS!$F$17)),KPI_TARGETS!$F$17,"")),"")</f>
        <v>12</v>
      </c>
      <c r="N242" s="36" t="str">
        <f>IFERROR(KPI_TARGETS!$E$17,"Higher is better")</f>
        <v>Higher is better</v>
      </c>
      <c r="O242" s="37">
        <f t="shared" ca="1" si="18"/>
        <v>1.6666666666666667</v>
      </c>
      <c r="P242" t="str">
        <f t="shared" ca="1" si="19"/>
        <v>Green</v>
      </c>
      <c r="Q242" s="36">
        <f t="shared" ca="1" si="20"/>
        <v>8</v>
      </c>
      <c r="R242" s="36" t="str">
        <f>""</f>
        <v/>
      </c>
      <c r="S242" s="36" t="str">
        <f>""</f>
        <v/>
      </c>
      <c r="T242" s="36" t="str">
        <f>""</f>
        <v/>
      </c>
      <c r="U242" s="36" t="str">
        <f>""</f>
        <v/>
      </c>
      <c r="V242" s="36" t="str">
        <f>""</f>
        <v/>
      </c>
      <c r="W242" s="36">
        <f t="shared" si="21"/>
        <v>1</v>
      </c>
      <c r="X242" t="str">
        <f t="shared" si="22"/>
        <v>OK</v>
      </c>
      <c r="Y242" t="str">
        <f>IF(MAIN!$H$3="Selected Year",IF(A242=MAIN!$B$3,"Yes","No"),IF(MAIN!$H$3="Included Years",IF(D242="Yes","Yes","No"),IF(C242="Yes","Yes","No")))</f>
        <v>No</v>
      </c>
      <c r="Z242" t="str">
        <f>IF(MAIN!$F$3="Project to Date",IF(AND(A242&gt;=SETTINGS!$B$4,A242&lt;MAIN!$B$3),"Yes",IF(AND(A242=MAIN!$B$3,E242&lt;=MAIN!$L$3),"Yes","No")),IF(OR(MAIN!$F$3="Full Year",MAIN!$D$3="All"),"Yes",IF(MAIN!$F$3="Monthly",IF(E242=MAIN!$L$3,"Yes","No"),IF(E242&lt;=MAIN!$L$3,"Yes","No"))))</f>
        <v>Yes</v>
      </c>
      <c r="AA242" t="str">
        <f t="shared" si="23"/>
        <v>No</v>
      </c>
    </row>
    <row r="243" spans="1:27" x14ac:dyDescent="0.3">
      <c r="A243">
        <f>INDEX(SETTINGS!$A$15:$A$24,$B243)</f>
        <v>2026</v>
      </c>
      <c r="B243">
        <v>2</v>
      </c>
      <c r="C243" t="str">
        <f>IF(AND(A243&gt;=SETTINGS!$B$4,A243&lt;=SETTINGS!$B$5),"Yes","No")</f>
        <v>Yes</v>
      </c>
      <c r="D243" t="str">
        <f>IFERROR(INDEX(SETTINGS!$C$15:$C$24,MATCH(A243,SETTINGS!$A$15:$A$24,0)),"No")</f>
        <v>Yes</v>
      </c>
      <c r="E243">
        <v>1</v>
      </c>
      <c r="F243" t="s">
        <v>2</v>
      </c>
      <c r="G243">
        <v>24</v>
      </c>
      <c r="H243" t="s">
        <v>107</v>
      </c>
      <c r="I243" t="s">
        <v>22</v>
      </c>
      <c r="J243" t="s">
        <v>27</v>
      </c>
      <c r="K243" t="s">
        <v>3</v>
      </c>
      <c r="L243" s="36">
        <f ca="1">IF(C243&lt;&gt;"Yes",0,IF(A243=2025,N('2025'!D24),IF(A243=2026,N('2026'!D24),IF(A243=2027,N('2027'!D24),IF(A243=2028,N('2028'!D24),IF(A243=2029,N('2029'!D24),IF(A243=2030,N('2030'!D24),IF(A243=2031,N('2031'!D24),IF(A243=2032,N('2032'!D24),IF(A243=2033,N('2033'!D24),IF(A243=2034,N('2034'!D24),IFERROR(N(INDIRECT("'"&amp;A243&amp;"'!D"&amp;G243)),0))))))))))))</f>
        <v>4</v>
      </c>
      <c r="M243" s="36">
        <f>IFERROR(IF(NOT(ISBLANK(KPI_TARGETS!$H$18)),KPI_TARGETS!$H$18,IF(NOT(ISBLANK(KPI_TARGETS!$F$18)),KPI_TARGETS!$F$18,"")),"")</f>
        <v>4</v>
      </c>
      <c r="N243" s="36" t="str">
        <f>IFERROR(KPI_TARGETS!$E$18,"Higher is better")</f>
        <v>Higher is better</v>
      </c>
      <c r="O243" s="37">
        <f t="shared" ca="1" si="18"/>
        <v>1</v>
      </c>
      <c r="P243" t="str">
        <f t="shared" ca="1" si="19"/>
        <v>Green</v>
      </c>
      <c r="Q243" s="36">
        <f t="shared" ca="1" si="20"/>
        <v>0</v>
      </c>
      <c r="R243" s="36" t="str">
        <f>""</f>
        <v/>
      </c>
      <c r="S243" s="36" t="str">
        <f>""</f>
        <v/>
      </c>
      <c r="T243" s="36" t="str">
        <f>""</f>
        <v/>
      </c>
      <c r="U243" s="36" t="str">
        <f>""</f>
        <v/>
      </c>
      <c r="V243" s="36" t="str">
        <f>""</f>
        <v/>
      </c>
      <c r="W243" s="36">
        <f t="shared" si="21"/>
        <v>1</v>
      </c>
      <c r="X243" t="str">
        <f t="shared" si="22"/>
        <v>OK</v>
      </c>
      <c r="Y243" t="str">
        <f>IF(MAIN!$H$3="Selected Year",IF(A243=MAIN!$B$3,"Yes","No"),IF(MAIN!$H$3="Included Years",IF(D243="Yes","Yes","No"),IF(C243="Yes","Yes","No")))</f>
        <v>No</v>
      </c>
      <c r="Z243" t="str">
        <f>IF(MAIN!$F$3="Project to Date",IF(AND(A243&gt;=SETTINGS!$B$4,A243&lt;MAIN!$B$3),"Yes",IF(AND(A243=MAIN!$B$3,E243&lt;=MAIN!$L$3),"Yes","No")),IF(OR(MAIN!$F$3="Full Year",MAIN!$D$3="All"),"Yes",IF(MAIN!$F$3="Monthly",IF(E243=MAIN!$L$3,"Yes","No"),IF(E243&lt;=MAIN!$L$3,"Yes","No"))))</f>
        <v>Yes</v>
      </c>
      <c r="AA243" t="str">
        <f t="shared" si="23"/>
        <v>No</v>
      </c>
    </row>
    <row r="244" spans="1:27" x14ac:dyDescent="0.3">
      <c r="A244">
        <f>INDEX(SETTINGS!$A$15:$A$24,$B244)</f>
        <v>2026</v>
      </c>
      <c r="B244">
        <v>2</v>
      </c>
      <c r="C244" t="str">
        <f>IF(AND(A244&gt;=SETTINGS!$B$4,A244&lt;=SETTINGS!$B$5),"Yes","No")</f>
        <v>Yes</v>
      </c>
      <c r="D244" t="str">
        <f>IFERROR(INDEX(SETTINGS!$C$15:$C$24,MATCH(A244,SETTINGS!$A$15:$A$24,0)),"No")</f>
        <v>Yes</v>
      </c>
      <c r="E244">
        <v>1</v>
      </c>
      <c r="F244" t="s">
        <v>2</v>
      </c>
      <c r="G244">
        <v>25</v>
      </c>
      <c r="H244" t="s">
        <v>108</v>
      </c>
      <c r="I244" t="s">
        <v>22</v>
      </c>
      <c r="J244" t="s">
        <v>28</v>
      </c>
      <c r="K244" t="s">
        <v>3</v>
      </c>
      <c r="L244" s="36">
        <f ca="1">IF(C244&lt;&gt;"Yes",0,IF(A244=2025,N('2025'!D25),IF(A244=2026,N('2026'!D25),IF(A244=2027,N('2027'!D25),IF(A244=2028,N('2028'!D25),IF(A244=2029,N('2029'!D25),IF(A244=2030,N('2030'!D25),IF(A244=2031,N('2031'!D25),IF(A244=2032,N('2032'!D25),IF(A244=2033,N('2033'!D25),IF(A244=2034,N('2034'!D25),IFERROR(N(INDIRECT("'"&amp;A244&amp;"'!D"&amp;G244)),0))))))))))))</f>
        <v>8</v>
      </c>
      <c r="M244" s="36">
        <f>IFERROR(IF(NOT(ISBLANK(KPI_TARGETS!$H$19)),KPI_TARGETS!$H$19,IF(NOT(ISBLANK(KPI_TARGETS!$F$19)),KPI_TARGETS!$F$19,"")),"")</f>
        <v>16</v>
      </c>
      <c r="N244" s="36" t="str">
        <f>IFERROR(KPI_TARGETS!$E$19,"Higher is better")</f>
        <v>Higher is better</v>
      </c>
      <c r="O244" s="37">
        <f t="shared" ca="1" si="18"/>
        <v>0.5</v>
      </c>
      <c r="P244" t="str">
        <f t="shared" ca="1" si="19"/>
        <v>Red</v>
      </c>
      <c r="Q244" s="36">
        <f t="shared" ca="1" si="20"/>
        <v>-8</v>
      </c>
      <c r="R244" s="36" t="str">
        <f>""</f>
        <v/>
      </c>
      <c r="S244" s="36" t="str">
        <f>""</f>
        <v/>
      </c>
      <c r="T244" s="36" t="str">
        <f>""</f>
        <v/>
      </c>
      <c r="U244" s="36" t="str">
        <f>""</f>
        <v/>
      </c>
      <c r="V244" s="36" t="str">
        <f>""</f>
        <v/>
      </c>
      <c r="W244" s="36">
        <f t="shared" si="21"/>
        <v>1</v>
      </c>
      <c r="X244" t="str">
        <f t="shared" si="22"/>
        <v>OK</v>
      </c>
      <c r="Y244" t="str">
        <f>IF(MAIN!$H$3="Selected Year",IF(A244=MAIN!$B$3,"Yes","No"),IF(MAIN!$H$3="Included Years",IF(D244="Yes","Yes","No"),IF(C244="Yes","Yes","No")))</f>
        <v>No</v>
      </c>
      <c r="Z244" t="str">
        <f>IF(MAIN!$F$3="Project to Date",IF(AND(A244&gt;=SETTINGS!$B$4,A244&lt;MAIN!$B$3),"Yes",IF(AND(A244=MAIN!$B$3,E244&lt;=MAIN!$L$3),"Yes","No")),IF(OR(MAIN!$F$3="Full Year",MAIN!$D$3="All"),"Yes",IF(MAIN!$F$3="Monthly",IF(E244=MAIN!$L$3,"Yes","No"),IF(E244&lt;=MAIN!$L$3,"Yes","No"))))</f>
        <v>Yes</v>
      </c>
      <c r="AA244" t="str">
        <f t="shared" si="23"/>
        <v>No</v>
      </c>
    </row>
    <row r="245" spans="1:27" x14ac:dyDescent="0.3">
      <c r="A245">
        <f>INDEX(SETTINGS!$A$15:$A$24,$B245)</f>
        <v>2026</v>
      </c>
      <c r="B245">
        <v>2</v>
      </c>
      <c r="C245" t="str">
        <f>IF(AND(A245&gt;=SETTINGS!$B$4,A245&lt;=SETTINGS!$B$5),"Yes","No")</f>
        <v>Yes</v>
      </c>
      <c r="D245" t="str">
        <f>IFERROR(INDEX(SETTINGS!$C$15:$C$24,MATCH(A245,SETTINGS!$A$15:$A$24,0)),"No")</f>
        <v>Yes</v>
      </c>
      <c r="E245">
        <v>1</v>
      </c>
      <c r="F245" t="s">
        <v>2</v>
      </c>
      <c r="G245">
        <v>26</v>
      </c>
      <c r="H245" t="s">
        <v>109</v>
      </c>
      <c r="I245" t="s">
        <v>22</v>
      </c>
      <c r="J245" t="s">
        <v>29</v>
      </c>
      <c r="K245" t="s">
        <v>3</v>
      </c>
      <c r="L245" s="36">
        <f ca="1">IF(C245&lt;&gt;"Yes",0,IF(A245=2025,N('2025'!D26),IF(A245=2026,N('2026'!D26),IF(A245=2027,N('2027'!D26),IF(A245=2028,N('2028'!D26),IF(A245=2029,N('2029'!D26),IF(A245=2030,N('2030'!D26),IF(A245=2031,N('2031'!D26),IF(A245=2032,N('2032'!D26),IF(A245=2033,N('2033'!D26),IF(A245=2034,N('2034'!D26),IFERROR(N(INDIRECT("'"&amp;A245&amp;"'!D"&amp;G245)),0))))))))))))</f>
        <v>1</v>
      </c>
      <c r="M245" s="36">
        <f>IFERROR(IF(NOT(ISBLANK(KPI_TARGETS!$H$20)),KPI_TARGETS!$H$20,IF(NOT(ISBLANK(KPI_TARGETS!$F$20)),KPI_TARGETS!$F$20,"")),"")</f>
        <v>1</v>
      </c>
      <c r="N245" s="36" t="str">
        <f>IFERROR(KPI_TARGETS!$E$20,"Higher is better")</f>
        <v>Higher is better</v>
      </c>
      <c r="O245" s="37">
        <f t="shared" ca="1" si="18"/>
        <v>1</v>
      </c>
      <c r="P245" t="str">
        <f t="shared" ca="1" si="19"/>
        <v>Green</v>
      </c>
      <c r="Q245" s="36">
        <f t="shared" ca="1" si="20"/>
        <v>0</v>
      </c>
      <c r="R245" s="36" t="str">
        <f>""</f>
        <v/>
      </c>
      <c r="S245" s="36" t="str">
        <f>""</f>
        <v/>
      </c>
      <c r="T245" s="36" t="str">
        <f>""</f>
        <v/>
      </c>
      <c r="U245" s="36" t="str">
        <f>""</f>
        <v/>
      </c>
      <c r="V245" s="36" t="str">
        <f>""</f>
        <v/>
      </c>
      <c r="W245" s="36">
        <f t="shared" si="21"/>
        <v>1</v>
      </c>
      <c r="X245" t="str">
        <f t="shared" si="22"/>
        <v>OK</v>
      </c>
      <c r="Y245" t="str">
        <f>IF(MAIN!$H$3="Selected Year",IF(A245=MAIN!$B$3,"Yes","No"),IF(MAIN!$H$3="Included Years",IF(D245="Yes","Yes","No"),IF(C245="Yes","Yes","No")))</f>
        <v>No</v>
      </c>
      <c r="Z245" t="str">
        <f>IF(MAIN!$F$3="Project to Date",IF(AND(A245&gt;=SETTINGS!$B$4,A245&lt;MAIN!$B$3),"Yes",IF(AND(A245=MAIN!$B$3,E245&lt;=MAIN!$L$3),"Yes","No")),IF(OR(MAIN!$F$3="Full Year",MAIN!$D$3="All"),"Yes",IF(MAIN!$F$3="Monthly",IF(E245=MAIN!$L$3,"Yes","No"),IF(E245&lt;=MAIN!$L$3,"Yes","No"))))</f>
        <v>Yes</v>
      </c>
      <c r="AA245" t="str">
        <f t="shared" si="23"/>
        <v>No</v>
      </c>
    </row>
    <row r="246" spans="1:27" x14ac:dyDescent="0.3">
      <c r="A246">
        <f>INDEX(SETTINGS!$A$15:$A$24,$B246)</f>
        <v>2026</v>
      </c>
      <c r="B246">
        <v>2</v>
      </c>
      <c r="C246" t="str">
        <f>IF(AND(A246&gt;=SETTINGS!$B$4,A246&lt;=SETTINGS!$B$5),"Yes","No")</f>
        <v>Yes</v>
      </c>
      <c r="D246" t="str">
        <f>IFERROR(INDEX(SETTINGS!$C$15:$C$24,MATCH(A246,SETTINGS!$A$15:$A$24,0)),"No")</f>
        <v>Yes</v>
      </c>
      <c r="E246">
        <v>1</v>
      </c>
      <c r="F246" t="s">
        <v>2</v>
      </c>
      <c r="G246">
        <v>28</v>
      </c>
      <c r="H246" t="s">
        <v>110</v>
      </c>
      <c r="I246" t="s">
        <v>30</v>
      </c>
      <c r="J246" t="s">
        <v>31</v>
      </c>
      <c r="K246" t="s">
        <v>3</v>
      </c>
      <c r="L246" s="36">
        <f ca="1">IF(C246&lt;&gt;"Yes",0,IF(A246=2025,N('2025'!D28),IF(A246=2026,N('2026'!D28),IF(A246=2027,N('2027'!D28),IF(A246=2028,N('2028'!D28),IF(A246=2029,N('2029'!D28),IF(A246=2030,N('2030'!D28),IF(A246=2031,N('2031'!D28),IF(A246=2032,N('2032'!D28),IF(A246=2033,N('2033'!D28),IF(A246=2034,N('2034'!D28),IFERROR(N(INDIRECT("'"&amp;A246&amp;"'!D"&amp;G246)),0))))))))))))</f>
        <v>0</v>
      </c>
      <c r="M246" s="36">
        <f>IFERROR(IF(NOT(ISBLANK(KPI_TARGETS!$H$21)),KPI_TARGETS!$H$21,IF(NOT(ISBLANK(KPI_TARGETS!$F$21)),KPI_TARGETS!$F$21,"")),"")</f>
        <v>0</v>
      </c>
      <c r="N246" s="36" t="str">
        <f>IFERROR(KPI_TARGETS!$E$21,"Higher is better")</f>
        <v>Lower is better</v>
      </c>
      <c r="O246" s="37">
        <f t="shared" ca="1" si="18"/>
        <v>1</v>
      </c>
      <c r="P246" t="str">
        <f t="shared" ca="1" si="19"/>
        <v>Green</v>
      </c>
      <c r="Q246" s="36">
        <f t="shared" ca="1" si="20"/>
        <v>0</v>
      </c>
      <c r="R246" s="36" t="str">
        <f>""</f>
        <v/>
      </c>
      <c r="S246" s="36" t="str">
        <f>""</f>
        <v/>
      </c>
      <c r="T246" s="36" t="str">
        <f>""</f>
        <v/>
      </c>
      <c r="U246" s="36" t="str">
        <f>""</f>
        <v/>
      </c>
      <c r="V246" s="36" t="str">
        <f>""</f>
        <v/>
      </c>
      <c r="W246" s="36">
        <f t="shared" si="21"/>
        <v>1</v>
      </c>
      <c r="X246" t="str">
        <f t="shared" si="22"/>
        <v>OK</v>
      </c>
      <c r="Y246" t="str">
        <f>IF(MAIN!$H$3="Selected Year",IF(A246=MAIN!$B$3,"Yes","No"),IF(MAIN!$H$3="Included Years",IF(D246="Yes","Yes","No"),IF(C246="Yes","Yes","No")))</f>
        <v>No</v>
      </c>
      <c r="Z246" t="str">
        <f>IF(MAIN!$F$3="Project to Date",IF(AND(A246&gt;=SETTINGS!$B$4,A246&lt;MAIN!$B$3),"Yes",IF(AND(A246=MAIN!$B$3,E246&lt;=MAIN!$L$3),"Yes","No")),IF(OR(MAIN!$F$3="Full Year",MAIN!$D$3="All"),"Yes",IF(MAIN!$F$3="Monthly",IF(E246=MAIN!$L$3,"Yes","No"),IF(E246&lt;=MAIN!$L$3,"Yes","No"))))</f>
        <v>Yes</v>
      </c>
      <c r="AA246" t="str">
        <f t="shared" si="23"/>
        <v>No</v>
      </c>
    </row>
    <row r="247" spans="1:27" x14ac:dyDescent="0.3">
      <c r="A247">
        <f>INDEX(SETTINGS!$A$15:$A$24,$B247)</f>
        <v>2026</v>
      </c>
      <c r="B247">
        <v>2</v>
      </c>
      <c r="C247" t="str">
        <f>IF(AND(A247&gt;=SETTINGS!$B$4,A247&lt;=SETTINGS!$B$5),"Yes","No")</f>
        <v>Yes</v>
      </c>
      <c r="D247" t="str">
        <f>IFERROR(INDEX(SETTINGS!$C$15:$C$24,MATCH(A247,SETTINGS!$A$15:$A$24,0)),"No")</f>
        <v>Yes</v>
      </c>
      <c r="E247">
        <v>1</v>
      </c>
      <c r="F247" t="s">
        <v>2</v>
      </c>
      <c r="G247">
        <v>29</v>
      </c>
      <c r="H247" t="s">
        <v>111</v>
      </c>
      <c r="I247" t="s">
        <v>30</v>
      </c>
      <c r="J247" t="s">
        <v>32</v>
      </c>
      <c r="K247" t="s">
        <v>3</v>
      </c>
      <c r="L247" s="36">
        <f ca="1">IF(C247&lt;&gt;"Yes",0,IF(A247=2025,N('2025'!D29),IF(A247=2026,N('2026'!D29),IF(A247=2027,N('2027'!D29),IF(A247=2028,N('2028'!D29),IF(A247=2029,N('2029'!D29),IF(A247=2030,N('2030'!D29),IF(A247=2031,N('2031'!D29),IF(A247=2032,N('2032'!D29),IF(A247=2033,N('2033'!D29),IF(A247=2034,N('2034'!D29),IFERROR(N(INDIRECT("'"&amp;A247&amp;"'!D"&amp;G247)),0))))))))))))</f>
        <v>1</v>
      </c>
      <c r="M247" s="36">
        <f>IFERROR(IF(NOT(ISBLANK(KPI_TARGETS!$H$22)),KPI_TARGETS!$H$22,IF(NOT(ISBLANK(KPI_TARGETS!$F$22)),KPI_TARGETS!$F$22,"")),"")</f>
        <v>1</v>
      </c>
      <c r="N247" s="36" t="str">
        <f>IFERROR(KPI_TARGETS!$E$22,"Higher is better")</f>
        <v>Higher is better</v>
      </c>
      <c r="O247" s="37">
        <f t="shared" ca="1" si="18"/>
        <v>1</v>
      </c>
      <c r="P247" t="str">
        <f t="shared" ca="1" si="19"/>
        <v>Green</v>
      </c>
      <c r="Q247" s="36">
        <f t="shared" ca="1" si="20"/>
        <v>0</v>
      </c>
      <c r="R247" s="36" t="str">
        <f>""</f>
        <v/>
      </c>
      <c r="S247" s="36" t="str">
        <f>""</f>
        <v/>
      </c>
      <c r="T247" s="36" t="str">
        <f>""</f>
        <v/>
      </c>
      <c r="U247" s="36" t="str">
        <f>""</f>
        <v/>
      </c>
      <c r="V247" s="36" t="str">
        <f>""</f>
        <v/>
      </c>
      <c r="W247" s="36">
        <f t="shared" si="21"/>
        <v>1</v>
      </c>
      <c r="X247" t="str">
        <f t="shared" si="22"/>
        <v>OK</v>
      </c>
      <c r="Y247" t="str">
        <f>IF(MAIN!$H$3="Selected Year",IF(A247=MAIN!$B$3,"Yes","No"),IF(MAIN!$H$3="Included Years",IF(D247="Yes","Yes","No"),IF(C247="Yes","Yes","No")))</f>
        <v>No</v>
      </c>
      <c r="Z247" t="str">
        <f>IF(MAIN!$F$3="Project to Date",IF(AND(A247&gt;=SETTINGS!$B$4,A247&lt;MAIN!$B$3),"Yes",IF(AND(A247=MAIN!$B$3,E247&lt;=MAIN!$L$3),"Yes","No")),IF(OR(MAIN!$F$3="Full Year",MAIN!$D$3="All"),"Yes",IF(MAIN!$F$3="Monthly",IF(E247=MAIN!$L$3,"Yes","No"),IF(E247&lt;=MAIN!$L$3,"Yes","No"))))</f>
        <v>Yes</v>
      </c>
      <c r="AA247" t="str">
        <f t="shared" si="23"/>
        <v>No</v>
      </c>
    </row>
    <row r="248" spans="1:27" x14ac:dyDescent="0.3">
      <c r="A248">
        <f>INDEX(SETTINGS!$A$15:$A$24,$B248)</f>
        <v>2026</v>
      </c>
      <c r="B248">
        <v>2</v>
      </c>
      <c r="C248" t="str">
        <f>IF(AND(A248&gt;=SETTINGS!$B$4,A248&lt;=SETTINGS!$B$5),"Yes","No")</f>
        <v>Yes</v>
      </c>
      <c r="D248" t="str">
        <f>IFERROR(INDEX(SETTINGS!$C$15:$C$24,MATCH(A248,SETTINGS!$A$15:$A$24,0)),"No")</f>
        <v>Yes</v>
      </c>
      <c r="E248">
        <v>1</v>
      </c>
      <c r="F248" t="s">
        <v>2</v>
      </c>
      <c r="G248">
        <v>30</v>
      </c>
      <c r="H248" t="s">
        <v>112</v>
      </c>
      <c r="I248" t="s">
        <v>30</v>
      </c>
      <c r="J248" t="s">
        <v>33</v>
      </c>
      <c r="K248" t="s">
        <v>34</v>
      </c>
      <c r="L248" s="36">
        <f ca="1">IF(C248&lt;&gt;"Yes",0,IF(A248=2025,N('2025'!D30),IF(A248=2026,N('2026'!D30),IF(A248=2027,N('2027'!D30),IF(A248=2028,N('2028'!D30),IF(A248=2029,N('2029'!D30),IF(A248=2030,N('2030'!D30),IF(A248=2031,N('2031'!D30),IF(A248=2032,N('2032'!D30),IF(A248=2033,N('2033'!D30),IF(A248=2034,N('2034'!D30),IFERROR(N(INDIRECT("'"&amp;A248&amp;"'!D"&amp;G248)),0))))))))))))</f>
        <v>1</v>
      </c>
      <c r="M248" s="36">
        <f>IFERROR(IF(NOT(ISBLANK(KPI_TARGETS!$H$23)),KPI_TARGETS!$H$23,IF(NOT(ISBLANK(KPI_TARGETS!$F$23)),KPI_TARGETS!$F$23,"")),"")</f>
        <v>1</v>
      </c>
      <c r="N248" s="36" t="str">
        <f>IFERROR(KPI_TARGETS!$E$23,"Higher is better")</f>
        <v>Higher is better</v>
      </c>
      <c r="O248" s="37">
        <f t="shared" ca="1" si="18"/>
        <v>1</v>
      </c>
      <c r="P248" t="str">
        <f t="shared" ca="1" si="19"/>
        <v>Green</v>
      </c>
      <c r="Q248" s="36">
        <f t="shared" ca="1" si="20"/>
        <v>0</v>
      </c>
      <c r="R248" s="36" t="str">
        <f>""</f>
        <v/>
      </c>
      <c r="S248" s="36" t="str">
        <f>""</f>
        <v/>
      </c>
      <c r="T248" s="36" t="str">
        <f>""</f>
        <v/>
      </c>
      <c r="U248" s="36" t="str">
        <f>""</f>
        <v/>
      </c>
      <c r="V248" s="36" t="str">
        <f>""</f>
        <v/>
      </c>
      <c r="W248" s="36">
        <f t="shared" si="21"/>
        <v>1</v>
      </c>
      <c r="X248" t="str">
        <f t="shared" si="22"/>
        <v>OK</v>
      </c>
      <c r="Y248" t="str">
        <f>IF(MAIN!$H$3="Selected Year",IF(A248=MAIN!$B$3,"Yes","No"),IF(MAIN!$H$3="Included Years",IF(D248="Yes","Yes","No"),IF(C248="Yes","Yes","No")))</f>
        <v>No</v>
      </c>
      <c r="Z248" t="str">
        <f>IF(MAIN!$F$3="Project to Date",IF(AND(A248&gt;=SETTINGS!$B$4,A248&lt;MAIN!$B$3),"Yes",IF(AND(A248=MAIN!$B$3,E248&lt;=MAIN!$L$3),"Yes","No")),IF(OR(MAIN!$F$3="Full Year",MAIN!$D$3="All"),"Yes",IF(MAIN!$F$3="Monthly",IF(E248=MAIN!$L$3,"Yes","No"),IF(E248&lt;=MAIN!$L$3,"Yes","No"))))</f>
        <v>Yes</v>
      </c>
      <c r="AA248" t="str">
        <f t="shared" si="23"/>
        <v>No</v>
      </c>
    </row>
    <row r="249" spans="1:27" x14ac:dyDescent="0.3">
      <c r="A249">
        <f>INDEX(SETTINGS!$A$15:$A$24,$B249)</f>
        <v>2026</v>
      </c>
      <c r="B249">
        <v>2</v>
      </c>
      <c r="C249" t="str">
        <f>IF(AND(A249&gt;=SETTINGS!$B$4,A249&lt;=SETTINGS!$B$5),"Yes","No")</f>
        <v>Yes</v>
      </c>
      <c r="D249" t="str">
        <f>IFERROR(INDEX(SETTINGS!$C$15:$C$24,MATCH(A249,SETTINGS!$A$15:$A$24,0)),"No")</f>
        <v>Yes</v>
      </c>
      <c r="E249">
        <v>2</v>
      </c>
      <c r="F249" t="s">
        <v>35</v>
      </c>
      <c r="G249">
        <v>33</v>
      </c>
      <c r="H249" t="s">
        <v>88</v>
      </c>
      <c r="I249" t="s">
        <v>89</v>
      </c>
      <c r="J249" t="s">
        <v>10</v>
      </c>
      <c r="K249" t="s">
        <v>3</v>
      </c>
      <c r="L249" s="36">
        <f ca="1">IF(C249&lt;&gt;"Yes",0,IF(A249=2025,N('2025'!D33),IF(A249=2026,N('2026'!D33),IF(A249=2027,N('2027'!D33),IF(A249=2028,N('2028'!D33),IF(A249=2029,N('2029'!D33),IF(A249=2030,N('2030'!D33),IF(A249=2031,N('2031'!D33),IF(A249=2032,N('2032'!D33),IF(A249=2033,N('2033'!D33),IF(A249=2034,N('2034'!D33),IFERROR(N(INDIRECT("'"&amp;A249&amp;"'!D"&amp;G249)),0))))))))))))</f>
        <v>0</v>
      </c>
      <c r="M249" s="36">
        <f>IFERROR(IF(NOT(ISBLANK(KPI_TARGETS!$H$5)),KPI_TARGETS!$H$5,IF(NOT(ISBLANK(KPI_TARGETS!$F$5)),KPI_TARGETS!$F$5,"")),"")</f>
        <v>104</v>
      </c>
      <c r="N249" s="36" t="str">
        <f>IFERROR(KPI_TARGETS!$E$5,"Higher is better")</f>
        <v>Higher is better</v>
      </c>
      <c r="O249" s="37">
        <f t="shared" ca="1" si="18"/>
        <v>0</v>
      </c>
      <c r="P249" t="str">
        <f t="shared" ca="1" si="19"/>
        <v>Red</v>
      </c>
      <c r="Q249" s="36">
        <f t="shared" ca="1" si="20"/>
        <v>-104</v>
      </c>
      <c r="R249" s="36" t="str">
        <f>""</f>
        <v/>
      </c>
      <c r="S249" s="36" t="str">
        <f>""</f>
        <v/>
      </c>
      <c r="T249" s="36" t="str">
        <f>""</f>
        <v/>
      </c>
      <c r="U249" s="36" t="str">
        <f>""</f>
        <v/>
      </c>
      <c r="V249" s="36" t="str">
        <f>""</f>
        <v/>
      </c>
      <c r="W249" s="36">
        <f t="shared" si="21"/>
        <v>1</v>
      </c>
      <c r="X249" t="str">
        <f t="shared" si="22"/>
        <v>OK</v>
      </c>
      <c r="Y249" t="str">
        <f>IF(MAIN!$H$3="Selected Year",IF(A249=MAIN!$B$3,"Yes","No"),IF(MAIN!$H$3="Included Years",IF(D249="Yes","Yes","No"),IF(C249="Yes","Yes","No")))</f>
        <v>No</v>
      </c>
      <c r="Z249" t="str">
        <f>IF(MAIN!$F$3="Project to Date",IF(AND(A249&gt;=SETTINGS!$B$4,A249&lt;MAIN!$B$3),"Yes",IF(AND(A249=MAIN!$B$3,E249&lt;=MAIN!$L$3),"Yes","No")),IF(OR(MAIN!$F$3="Full Year",MAIN!$D$3="All"),"Yes",IF(MAIN!$F$3="Monthly",IF(E249=MAIN!$L$3,"Yes","No"),IF(E249&lt;=MAIN!$L$3,"Yes","No"))))</f>
        <v>Yes</v>
      </c>
      <c r="AA249" t="str">
        <f t="shared" si="23"/>
        <v>No</v>
      </c>
    </row>
    <row r="250" spans="1:27" x14ac:dyDescent="0.3">
      <c r="A250">
        <f>INDEX(SETTINGS!$A$15:$A$24,$B250)</f>
        <v>2026</v>
      </c>
      <c r="B250">
        <v>2</v>
      </c>
      <c r="C250" t="str">
        <f>IF(AND(A250&gt;=SETTINGS!$B$4,A250&lt;=SETTINGS!$B$5),"Yes","No")</f>
        <v>Yes</v>
      </c>
      <c r="D250" t="str">
        <f>IFERROR(INDEX(SETTINGS!$C$15:$C$24,MATCH(A250,SETTINGS!$A$15:$A$24,0)),"No")</f>
        <v>Yes</v>
      </c>
      <c r="E250">
        <v>2</v>
      </c>
      <c r="F250" t="s">
        <v>35</v>
      </c>
      <c r="G250">
        <v>34</v>
      </c>
      <c r="H250" t="s">
        <v>91</v>
      </c>
      <c r="I250" t="s">
        <v>89</v>
      </c>
      <c r="J250" t="s">
        <v>11</v>
      </c>
      <c r="K250" t="s">
        <v>12</v>
      </c>
      <c r="L250" s="36">
        <f ca="1">IF(C250&lt;&gt;"Yes",0,IF(A250=2025,N('2025'!D34),IF(A250=2026,N('2026'!D34),IF(A250=2027,N('2027'!D34),IF(A250=2028,N('2028'!D34),IF(A250=2029,N('2029'!D34),IF(A250=2030,N('2030'!D34),IF(A250=2031,N('2031'!D34),IF(A250=2032,N('2032'!D34),IF(A250=2033,N('2033'!D34),IF(A250=2034,N('2034'!D34),IFERROR(N(INDIRECT("'"&amp;A250&amp;"'!D"&amp;G250)),0))))))))))))</f>
        <v>2400</v>
      </c>
      <c r="M250" s="36">
        <f>IFERROR(IF(NOT(ISBLANK(KPI_TARGETS!$H$6)),KPI_TARGETS!$H$6,IF(NOT(ISBLANK(KPI_TARGETS!$F$6)),KPI_TARGETS!$F$6,"")),"")</f>
        <v>4000</v>
      </c>
      <c r="N250" s="36" t="str">
        <f>IFERROR(KPI_TARGETS!$E$6,"Higher is better")</f>
        <v>Higher is better</v>
      </c>
      <c r="O250" s="37">
        <f t="shared" ca="1" si="18"/>
        <v>0.6</v>
      </c>
      <c r="P250" t="str">
        <f t="shared" ca="1" si="19"/>
        <v>Red</v>
      </c>
      <c r="Q250" s="36">
        <f t="shared" ca="1" si="20"/>
        <v>-1600</v>
      </c>
      <c r="R250" s="36" t="str">
        <f>""</f>
        <v/>
      </c>
      <c r="S250" s="36" t="str">
        <f>""</f>
        <v/>
      </c>
      <c r="T250" s="36" t="str">
        <f>""</f>
        <v/>
      </c>
      <c r="U250" s="36" t="str">
        <f>""</f>
        <v/>
      </c>
      <c r="V250" s="36" t="str">
        <f>""</f>
        <v/>
      </c>
      <c r="W250" s="36">
        <f t="shared" si="21"/>
        <v>1</v>
      </c>
      <c r="X250" t="str">
        <f t="shared" si="22"/>
        <v>OK</v>
      </c>
      <c r="Y250" t="str">
        <f>IF(MAIN!$H$3="Selected Year",IF(A250=MAIN!$B$3,"Yes","No"),IF(MAIN!$H$3="Included Years",IF(D250="Yes","Yes","No"),IF(C250="Yes","Yes","No")))</f>
        <v>No</v>
      </c>
      <c r="Z250" t="str">
        <f>IF(MAIN!$F$3="Project to Date",IF(AND(A250&gt;=SETTINGS!$B$4,A250&lt;MAIN!$B$3),"Yes",IF(AND(A250=MAIN!$B$3,E250&lt;=MAIN!$L$3),"Yes","No")),IF(OR(MAIN!$F$3="Full Year",MAIN!$D$3="All"),"Yes",IF(MAIN!$F$3="Monthly",IF(E250=MAIN!$L$3,"Yes","No"),IF(E250&lt;=MAIN!$L$3,"Yes","No"))))</f>
        <v>Yes</v>
      </c>
      <c r="AA250" t="str">
        <f t="shared" si="23"/>
        <v>No</v>
      </c>
    </row>
    <row r="251" spans="1:27" x14ac:dyDescent="0.3">
      <c r="A251">
        <f>INDEX(SETTINGS!$A$15:$A$24,$B251)</f>
        <v>2026</v>
      </c>
      <c r="B251">
        <v>2</v>
      </c>
      <c r="C251" t="str">
        <f>IF(AND(A251&gt;=SETTINGS!$B$4,A251&lt;=SETTINGS!$B$5),"Yes","No")</f>
        <v>Yes</v>
      </c>
      <c r="D251" t="str">
        <f>IFERROR(INDEX(SETTINGS!$C$15:$C$24,MATCH(A251,SETTINGS!$A$15:$A$24,0)),"No")</f>
        <v>Yes</v>
      </c>
      <c r="E251">
        <v>2</v>
      </c>
      <c r="F251" t="s">
        <v>35</v>
      </c>
      <c r="G251">
        <v>35</v>
      </c>
      <c r="H251" t="s">
        <v>93</v>
      </c>
      <c r="I251" t="s">
        <v>89</v>
      </c>
      <c r="J251" t="s">
        <v>13</v>
      </c>
      <c r="K251" t="s">
        <v>14</v>
      </c>
      <c r="L251" s="36">
        <f ca="1">IF(C251&lt;&gt;"Yes",0,IF(A251=2025,N('2025'!D35),IF(A251=2026,N('2026'!D35),IF(A251=2027,N('2027'!D35),IF(A251=2028,N('2028'!D35),IF(A251=2029,N('2029'!D35),IF(A251=2030,N('2030'!D35),IF(A251=2031,N('2031'!D35),IF(A251=2032,N('2032'!D35),IF(A251=2033,N('2033'!D35),IF(A251=2034,N('2034'!D35),IFERROR(N(INDIRECT("'"&amp;A251&amp;"'!D"&amp;G251)),0))))))))))))</f>
        <v>0</v>
      </c>
      <c r="M251" s="36">
        <f>IFERROR(IF(NOT(ISBLANK(KPI_TARGETS!$H$7)),KPI_TARGETS!$H$7,IF(NOT(ISBLANK(KPI_TARGETS!$F$7)),KPI_TARGETS!$F$7,"")),"")</f>
        <v>8000</v>
      </c>
      <c r="N251" s="36" t="str">
        <f>IFERROR(KPI_TARGETS!$E$7,"Higher is better")</f>
        <v>Higher is better</v>
      </c>
      <c r="O251" s="37">
        <f t="shared" ca="1" si="18"/>
        <v>0</v>
      </c>
      <c r="P251" t="str">
        <f t="shared" ca="1" si="19"/>
        <v>Red</v>
      </c>
      <c r="Q251" s="36">
        <f t="shared" ca="1" si="20"/>
        <v>-8000</v>
      </c>
      <c r="R251" s="36" t="str">
        <f>""</f>
        <v/>
      </c>
      <c r="S251" s="36" t="str">
        <f>""</f>
        <v/>
      </c>
      <c r="T251" s="36" t="str">
        <f>""</f>
        <v/>
      </c>
      <c r="U251" s="36" t="str">
        <f>""</f>
        <v/>
      </c>
      <c r="V251" s="36" t="str">
        <f>""</f>
        <v/>
      </c>
      <c r="W251" s="36">
        <f t="shared" si="21"/>
        <v>1</v>
      </c>
      <c r="X251" t="str">
        <f t="shared" si="22"/>
        <v>OK</v>
      </c>
      <c r="Y251" t="str">
        <f>IF(MAIN!$H$3="Selected Year",IF(A251=MAIN!$B$3,"Yes","No"),IF(MAIN!$H$3="Included Years",IF(D251="Yes","Yes","No"),IF(C251="Yes","Yes","No")))</f>
        <v>No</v>
      </c>
      <c r="Z251" t="str">
        <f>IF(MAIN!$F$3="Project to Date",IF(AND(A251&gt;=SETTINGS!$B$4,A251&lt;MAIN!$B$3),"Yes",IF(AND(A251=MAIN!$B$3,E251&lt;=MAIN!$L$3),"Yes","No")),IF(OR(MAIN!$F$3="Full Year",MAIN!$D$3="All"),"Yes",IF(MAIN!$F$3="Monthly",IF(E251=MAIN!$L$3,"Yes","No"),IF(E251&lt;=MAIN!$L$3,"Yes","No"))))</f>
        <v>Yes</v>
      </c>
      <c r="AA251" t="str">
        <f t="shared" si="23"/>
        <v>No</v>
      </c>
    </row>
    <row r="252" spans="1:27" x14ac:dyDescent="0.3">
      <c r="A252">
        <f>INDEX(SETTINGS!$A$15:$A$24,$B252)</f>
        <v>2026</v>
      </c>
      <c r="B252">
        <v>2</v>
      </c>
      <c r="C252" t="str">
        <f>IF(AND(A252&gt;=SETTINGS!$B$4,A252&lt;=SETTINGS!$B$5),"Yes","No")</f>
        <v>Yes</v>
      </c>
      <c r="D252" t="str">
        <f>IFERROR(INDEX(SETTINGS!$C$15:$C$24,MATCH(A252,SETTINGS!$A$15:$A$24,0)),"No")</f>
        <v>Yes</v>
      </c>
      <c r="E252">
        <v>2</v>
      </c>
      <c r="F252" t="s">
        <v>35</v>
      </c>
      <c r="G252">
        <v>37</v>
      </c>
      <c r="H252" t="s">
        <v>95</v>
      </c>
      <c r="I252" t="s">
        <v>15</v>
      </c>
      <c r="J252" t="s">
        <v>16</v>
      </c>
      <c r="K252" t="s">
        <v>3</v>
      </c>
      <c r="L252" s="36">
        <f ca="1">IF(C252&lt;&gt;"Yes",0,IF(A252=2025,N('2025'!D37),IF(A252=2026,N('2026'!D37),IF(A252=2027,N('2027'!D37),IF(A252=2028,N('2028'!D37),IF(A252=2029,N('2029'!D37),IF(A252=2030,N('2030'!D37),IF(A252=2031,N('2031'!D37),IF(A252=2032,N('2032'!D37),IF(A252=2033,N('2033'!D37),IF(A252=2034,N('2034'!D37),IFERROR(N(INDIRECT("'"&amp;A252&amp;"'!D"&amp;G252)),0))))))))))))</f>
        <v>0</v>
      </c>
      <c r="M252" s="36">
        <f>IFERROR(IF(NOT(ISBLANK(KPI_TARGETS!$H$8)),KPI_TARGETS!$H$8,IF(NOT(ISBLANK(KPI_TARGETS!$F$8)),KPI_TARGETS!$F$8,"")),"")</f>
        <v>0</v>
      </c>
      <c r="N252" s="36" t="str">
        <f>IFERROR(KPI_TARGETS!$E$8,"Higher is better")</f>
        <v>Lower is better</v>
      </c>
      <c r="O252" s="37">
        <f t="shared" ca="1" si="18"/>
        <v>1</v>
      </c>
      <c r="P252" t="str">
        <f t="shared" ca="1" si="19"/>
        <v>Green</v>
      </c>
      <c r="Q252" s="36">
        <f t="shared" ca="1" si="20"/>
        <v>0</v>
      </c>
      <c r="R252" s="36" t="str">
        <f>""</f>
        <v/>
      </c>
      <c r="S252" s="36" t="str">
        <f>""</f>
        <v/>
      </c>
      <c r="T252" s="36" t="str">
        <f>""</f>
        <v/>
      </c>
      <c r="U252" s="36" t="str">
        <f>""</f>
        <v/>
      </c>
      <c r="V252" s="36" t="str">
        <f>""</f>
        <v/>
      </c>
      <c r="W252" s="36">
        <f t="shared" si="21"/>
        <v>1</v>
      </c>
      <c r="X252" t="str">
        <f t="shared" si="22"/>
        <v>OK</v>
      </c>
      <c r="Y252" t="str">
        <f>IF(MAIN!$H$3="Selected Year",IF(A252=MAIN!$B$3,"Yes","No"),IF(MAIN!$H$3="Included Years",IF(D252="Yes","Yes","No"),IF(C252="Yes","Yes","No")))</f>
        <v>No</v>
      </c>
      <c r="Z252" t="str">
        <f>IF(MAIN!$F$3="Project to Date",IF(AND(A252&gt;=SETTINGS!$B$4,A252&lt;MAIN!$B$3),"Yes",IF(AND(A252=MAIN!$B$3,E252&lt;=MAIN!$L$3),"Yes","No")),IF(OR(MAIN!$F$3="Full Year",MAIN!$D$3="All"),"Yes",IF(MAIN!$F$3="Monthly",IF(E252=MAIN!$L$3,"Yes","No"),IF(E252&lt;=MAIN!$L$3,"Yes","No"))))</f>
        <v>Yes</v>
      </c>
      <c r="AA252" t="str">
        <f t="shared" si="23"/>
        <v>No</v>
      </c>
    </row>
    <row r="253" spans="1:27" x14ac:dyDescent="0.3">
      <c r="A253">
        <f>INDEX(SETTINGS!$A$15:$A$24,$B253)</f>
        <v>2026</v>
      </c>
      <c r="B253">
        <v>2</v>
      </c>
      <c r="C253" t="str">
        <f>IF(AND(A253&gt;=SETTINGS!$B$4,A253&lt;=SETTINGS!$B$5),"Yes","No")</f>
        <v>Yes</v>
      </c>
      <c r="D253" t="str">
        <f>IFERROR(INDEX(SETTINGS!$C$15:$C$24,MATCH(A253,SETTINGS!$A$15:$A$24,0)),"No")</f>
        <v>Yes</v>
      </c>
      <c r="E253">
        <v>2</v>
      </c>
      <c r="F253" t="s">
        <v>35</v>
      </c>
      <c r="G253">
        <v>38</v>
      </c>
      <c r="H253" t="s">
        <v>97</v>
      </c>
      <c r="I253" t="s">
        <v>15</v>
      </c>
      <c r="J253" t="s">
        <v>17</v>
      </c>
      <c r="K253" t="s">
        <v>3</v>
      </c>
      <c r="L253" s="36">
        <f ca="1">IF(C253&lt;&gt;"Yes",0,IF(A253=2025,N('2025'!D38),IF(A253=2026,N('2026'!D38),IF(A253=2027,N('2027'!D38),IF(A253=2028,N('2028'!D38),IF(A253=2029,N('2029'!D38),IF(A253=2030,N('2030'!D38),IF(A253=2031,N('2031'!D38),IF(A253=2032,N('2032'!D38),IF(A253=2033,N('2033'!D38),IF(A253=2034,N('2034'!D38),IFERROR(N(INDIRECT("'"&amp;A253&amp;"'!D"&amp;G253)),0))))))))))))</f>
        <v>0</v>
      </c>
      <c r="M253" s="36">
        <f>IFERROR(IF(NOT(ISBLANK(KPI_TARGETS!$H$9)),KPI_TARGETS!$H$9,IF(NOT(ISBLANK(KPI_TARGETS!$F$9)),KPI_TARGETS!$F$9,"")),"")</f>
        <v>0</v>
      </c>
      <c r="N253" s="36" t="str">
        <f>IFERROR(KPI_TARGETS!$E$9,"Higher is better")</f>
        <v>Higher is better</v>
      </c>
      <c r="O253" s="37" t="str">
        <f t="shared" ca="1" si="18"/>
        <v/>
      </c>
      <c r="P253" t="str">
        <f t="shared" ca="1" si="19"/>
        <v>Green</v>
      </c>
      <c r="Q253" s="36">
        <f t="shared" ca="1" si="20"/>
        <v>0</v>
      </c>
      <c r="R253" s="36" t="str">
        <f>""</f>
        <v/>
      </c>
      <c r="S253" s="36" t="str">
        <f>""</f>
        <v/>
      </c>
      <c r="T253" s="36" t="str">
        <f>""</f>
        <v/>
      </c>
      <c r="U253" s="36" t="str">
        <f>""</f>
        <v/>
      </c>
      <c r="V253" s="36" t="str">
        <f>""</f>
        <v/>
      </c>
      <c r="W253" s="36">
        <f t="shared" si="21"/>
        <v>1</v>
      </c>
      <c r="X253" t="str">
        <f t="shared" si="22"/>
        <v>OK</v>
      </c>
      <c r="Y253" t="str">
        <f>IF(MAIN!$H$3="Selected Year",IF(A253=MAIN!$B$3,"Yes","No"),IF(MAIN!$H$3="Included Years",IF(D253="Yes","Yes","No"),IF(C253="Yes","Yes","No")))</f>
        <v>No</v>
      </c>
      <c r="Z253" t="str">
        <f>IF(MAIN!$F$3="Project to Date",IF(AND(A253&gt;=SETTINGS!$B$4,A253&lt;MAIN!$B$3),"Yes",IF(AND(A253=MAIN!$B$3,E253&lt;=MAIN!$L$3),"Yes","No")),IF(OR(MAIN!$F$3="Full Year",MAIN!$D$3="All"),"Yes",IF(MAIN!$F$3="Monthly",IF(E253=MAIN!$L$3,"Yes","No"),IF(E253&lt;=MAIN!$L$3,"Yes","No"))))</f>
        <v>Yes</v>
      </c>
      <c r="AA253" t="str">
        <f t="shared" si="23"/>
        <v>No</v>
      </c>
    </row>
    <row r="254" spans="1:27" x14ac:dyDescent="0.3">
      <c r="A254">
        <f>INDEX(SETTINGS!$A$15:$A$24,$B254)</f>
        <v>2026</v>
      </c>
      <c r="B254">
        <v>2</v>
      </c>
      <c r="C254" t="str">
        <f>IF(AND(A254&gt;=SETTINGS!$B$4,A254&lt;=SETTINGS!$B$5),"Yes","No")</f>
        <v>Yes</v>
      </c>
      <c r="D254" t="str">
        <f>IFERROR(INDEX(SETTINGS!$C$15:$C$24,MATCH(A254,SETTINGS!$A$15:$A$24,0)),"No")</f>
        <v>Yes</v>
      </c>
      <c r="E254">
        <v>2</v>
      </c>
      <c r="F254" t="s">
        <v>35</v>
      </c>
      <c r="G254">
        <v>39</v>
      </c>
      <c r="H254" t="s">
        <v>99</v>
      </c>
      <c r="I254" t="s">
        <v>15</v>
      </c>
      <c r="J254" t="s">
        <v>18</v>
      </c>
      <c r="K254" t="s">
        <v>3</v>
      </c>
      <c r="L254" s="36">
        <f ca="1">IF(C254&lt;&gt;"Yes",0,IF(A254=2025,N('2025'!D39),IF(A254=2026,N('2026'!D39),IF(A254=2027,N('2027'!D39),IF(A254=2028,N('2028'!D39),IF(A254=2029,N('2029'!D39),IF(A254=2030,N('2030'!D39),IF(A254=2031,N('2031'!D39),IF(A254=2032,N('2032'!D39),IF(A254=2033,N('2033'!D39),IF(A254=2034,N('2034'!D39),IFERROR(N(INDIRECT("'"&amp;A254&amp;"'!D"&amp;G254)),0))))))))))))</f>
        <v>0</v>
      </c>
      <c r="M254" s="36">
        <f>IFERROR(IF(NOT(ISBLANK(KPI_TARGETS!$H$10)),KPI_TARGETS!$H$10,IF(NOT(ISBLANK(KPI_TARGETS!$F$10)),KPI_TARGETS!$F$10,"")),"")</f>
        <v>0</v>
      </c>
      <c r="N254" s="36" t="str">
        <f>IFERROR(KPI_TARGETS!$E$10,"Higher is better")</f>
        <v>Lower is better</v>
      </c>
      <c r="O254" s="37">
        <f t="shared" ca="1" si="18"/>
        <v>1</v>
      </c>
      <c r="P254" t="str">
        <f t="shared" ca="1" si="19"/>
        <v>Green</v>
      </c>
      <c r="Q254" s="36">
        <f t="shared" ca="1" si="20"/>
        <v>0</v>
      </c>
      <c r="R254" s="36" t="str">
        <f>""</f>
        <v/>
      </c>
      <c r="S254" s="36" t="str">
        <f>""</f>
        <v/>
      </c>
      <c r="T254" s="36" t="str">
        <f>""</f>
        <v/>
      </c>
      <c r="U254" s="36" t="str">
        <f>""</f>
        <v/>
      </c>
      <c r="V254" s="36" t="str">
        <f>""</f>
        <v/>
      </c>
      <c r="W254" s="36">
        <f t="shared" si="21"/>
        <v>1</v>
      </c>
      <c r="X254" t="str">
        <f t="shared" si="22"/>
        <v>OK</v>
      </c>
      <c r="Y254" t="str">
        <f>IF(MAIN!$H$3="Selected Year",IF(A254=MAIN!$B$3,"Yes","No"),IF(MAIN!$H$3="Included Years",IF(D254="Yes","Yes","No"),IF(C254="Yes","Yes","No")))</f>
        <v>No</v>
      </c>
      <c r="Z254" t="str">
        <f>IF(MAIN!$F$3="Project to Date",IF(AND(A254&gt;=SETTINGS!$B$4,A254&lt;MAIN!$B$3),"Yes",IF(AND(A254=MAIN!$B$3,E254&lt;=MAIN!$L$3),"Yes","No")),IF(OR(MAIN!$F$3="Full Year",MAIN!$D$3="All"),"Yes",IF(MAIN!$F$3="Monthly",IF(E254=MAIN!$L$3,"Yes","No"),IF(E254&lt;=MAIN!$L$3,"Yes","No"))))</f>
        <v>Yes</v>
      </c>
      <c r="AA254" t="str">
        <f t="shared" si="23"/>
        <v>No</v>
      </c>
    </row>
    <row r="255" spans="1:27" x14ac:dyDescent="0.3">
      <c r="A255">
        <f>INDEX(SETTINGS!$A$15:$A$24,$B255)</f>
        <v>2026</v>
      </c>
      <c r="B255">
        <v>2</v>
      </c>
      <c r="C255" t="str">
        <f>IF(AND(A255&gt;=SETTINGS!$B$4,A255&lt;=SETTINGS!$B$5),"Yes","No")</f>
        <v>Yes</v>
      </c>
      <c r="D255" t="str">
        <f>IFERROR(INDEX(SETTINGS!$C$15:$C$24,MATCH(A255,SETTINGS!$A$15:$A$24,0)),"No")</f>
        <v>Yes</v>
      </c>
      <c r="E255">
        <v>2</v>
      </c>
      <c r="F255" t="s">
        <v>35</v>
      </c>
      <c r="G255">
        <v>40</v>
      </c>
      <c r="H255" t="s">
        <v>100</v>
      </c>
      <c r="I255" t="s">
        <v>15</v>
      </c>
      <c r="J255" t="s">
        <v>19</v>
      </c>
      <c r="K255" t="s">
        <v>3</v>
      </c>
      <c r="L255" s="36">
        <f ca="1">IF(C255&lt;&gt;"Yes",0,IF(A255=2025,N('2025'!D40),IF(A255=2026,N('2026'!D40),IF(A255=2027,N('2027'!D40),IF(A255=2028,N('2028'!D40),IF(A255=2029,N('2029'!D40),IF(A255=2030,N('2030'!D40),IF(A255=2031,N('2031'!D40),IF(A255=2032,N('2032'!D40),IF(A255=2033,N('2033'!D40),IF(A255=2034,N('2034'!D40),IFERROR(N(INDIRECT("'"&amp;A255&amp;"'!D"&amp;G255)),0))))))))))))</f>
        <v>0</v>
      </c>
      <c r="M255" s="36">
        <f>IFERROR(IF(NOT(ISBLANK(KPI_TARGETS!$H$11)),KPI_TARGETS!$H$11,IF(NOT(ISBLANK(KPI_TARGETS!$F$11)),KPI_TARGETS!$F$11,"")),"")</f>
        <v>0</v>
      </c>
      <c r="N255" s="36" t="str">
        <f>IFERROR(KPI_TARGETS!$E$11,"Higher is better")</f>
        <v>Lower is better</v>
      </c>
      <c r="O255" s="37">
        <f t="shared" ca="1" si="18"/>
        <v>1</v>
      </c>
      <c r="P255" t="str">
        <f t="shared" ca="1" si="19"/>
        <v>Green</v>
      </c>
      <c r="Q255" s="36">
        <f t="shared" ca="1" si="20"/>
        <v>0</v>
      </c>
      <c r="R255" s="36" t="str">
        <f>""</f>
        <v/>
      </c>
      <c r="S255" s="36" t="str">
        <f>""</f>
        <v/>
      </c>
      <c r="T255" s="36" t="str">
        <f>""</f>
        <v/>
      </c>
      <c r="U255" s="36" t="str">
        <f>""</f>
        <v/>
      </c>
      <c r="V255" s="36" t="str">
        <f>""</f>
        <v/>
      </c>
      <c r="W255" s="36">
        <f t="shared" si="21"/>
        <v>1</v>
      </c>
      <c r="X255" t="str">
        <f t="shared" si="22"/>
        <v>OK</v>
      </c>
      <c r="Y255" t="str">
        <f>IF(MAIN!$H$3="Selected Year",IF(A255=MAIN!$B$3,"Yes","No"),IF(MAIN!$H$3="Included Years",IF(D255="Yes","Yes","No"),IF(C255="Yes","Yes","No")))</f>
        <v>No</v>
      </c>
      <c r="Z255" t="str">
        <f>IF(MAIN!$F$3="Project to Date",IF(AND(A255&gt;=SETTINGS!$B$4,A255&lt;MAIN!$B$3),"Yes",IF(AND(A255=MAIN!$B$3,E255&lt;=MAIN!$L$3),"Yes","No")),IF(OR(MAIN!$F$3="Full Year",MAIN!$D$3="All"),"Yes",IF(MAIN!$F$3="Monthly",IF(E255=MAIN!$L$3,"Yes","No"),IF(E255&lt;=MAIN!$L$3,"Yes","No"))))</f>
        <v>Yes</v>
      </c>
      <c r="AA255" t="str">
        <f t="shared" si="23"/>
        <v>No</v>
      </c>
    </row>
    <row r="256" spans="1:27" x14ac:dyDescent="0.3">
      <c r="A256">
        <f>INDEX(SETTINGS!$A$15:$A$24,$B256)</f>
        <v>2026</v>
      </c>
      <c r="B256">
        <v>2</v>
      </c>
      <c r="C256" t="str">
        <f>IF(AND(A256&gt;=SETTINGS!$B$4,A256&lt;=SETTINGS!$B$5),"Yes","No")</f>
        <v>Yes</v>
      </c>
      <c r="D256" t="str">
        <f>IFERROR(INDEX(SETTINGS!$C$15:$C$24,MATCH(A256,SETTINGS!$A$15:$A$24,0)),"No")</f>
        <v>Yes</v>
      </c>
      <c r="E256">
        <v>2</v>
      </c>
      <c r="F256" t="s">
        <v>35</v>
      </c>
      <c r="G256">
        <v>41</v>
      </c>
      <c r="H256" t="s">
        <v>101</v>
      </c>
      <c r="I256" t="s">
        <v>15</v>
      </c>
      <c r="J256" t="s">
        <v>20</v>
      </c>
      <c r="K256" t="s">
        <v>3</v>
      </c>
      <c r="L256" s="36">
        <f ca="1">IF(C256&lt;&gt;"Yes",0,IF(A256=2025,N('2025'!D41),IF(A256=2026,N('2026'!D41),IF(A256=2027,N('2027'!D41),IF(A256=2028,N('2028'!D41),IF(A256=2029,N('2029'!D41),IF(A256=2030,N('2030'!D41),IF(A256=2031,N('2031'!D41),IF(A256=2032,N('2032'!D41),IF(A256=2033,N('2033'!D41),IF(A256=2034,N('2034'!D41),IFERROR(N(INDIRECT("'"&amp;A256&amp;"'!D"&amp;G256)),0))))))))))))</f>
        <v>0</v>
      </c>
      <c r="M256" s="36">
        <f>IFERROR(IF(NOT(ISBLANK(KPI_TARGETS!$H$12)),KPI_TARGETS!$H$12,IF(NOT(ISBLANK(KPI_TARGETS!$F$12)),KPI_TARGETS!$F$12,"")),"")</f>
        <v>0</v>
      </c>
      <c r="N256" s="36" t="str">
        <f>IFERROR(KPI_TARGETS!$E$12,"Higher is better")</f>
        <v>Lower is better</v>
      </c>
      <c r="O256" s="37">
        <f t="shared" ca="1" si="18"/>
        <v>1</v>
      </c>
      <c r="P256" t="str">
        <f t="shared" ca="1" si="19"/>
        <v>Green</v>
      </c>
      <c r="Q256" s="36">
        <f t="shared" ca="1" si="20"/>
        <v>0</v>
      </c>
      <c r="R256" s="36" t="str">
        <f>""</f>
        <v/>
      </c>
      <c r="S256" s="36" t="str">
        <f>""</f>
        <v/>
      </c>
      <c r="T256" s="36" t="str">
        <f>""</f>
        <v/>
      </c>
      <c r="U256" s="36" t="str">
        <f>""</f>
        <v/>
      </c>
      <c r="V256" s="36" t="str">
        <f>""</f>
        <v/>
      </c>
      <c r="W256" s="36">
        <f t="shared" si="21"/>
        <v>1</v>
      </c>
      <c r="X256" t="str">
        <f t="shared" si="22"/>
        <v>OK</v>
      </c>
      <c r="Y256" t="str">
        <f>IF(MAIN!$H$3="Selected Year",IF(A256=MAIN!$B$3,"Yes","No"),IF(MAIN!$H$3="Included Years",IF(D256="Yes","Yes","No"),IF(C256="Yes","Yes","No")))</f>
        <v>No</v>
      </c>
      <c r="Z256" t="str">
        <f>IF(MAIN!$F$3="Project to Date",IF(AND(A256&gt;=SETTINGS!$B$4,A256&lt;MAIN!$B$3),"Yes",IF(AND(A256=MAIN!$B$3,E256&lt;=MAIN!$L$3),"Yes","No")),IF(OR(MAIN!$F$3="Full Year",MAIN!$D$3="All"),"Yes",IF(MAIN!$F$3="Monthly",IF(E256=MAIN!$L$3,"Yes","No"),IF(E256&lt;=MAIN!$L$3,"Yes","No"))))</f>
        <v>Yes</v>
      </c>
      <c r="AA256" t="str">
        <f t="shared" si="23"/>
        <v>No</v>
      </c>
    </row>
    <row r="257" spans="1:27" x14ac:dyDescent="0.3">
      <c r="A257">
        <f>INDEX(SETTINGS!$A$15:$A$24,$B257)</f>
        <v>2026</v>
      </c>
      <c r="B257">
        <v>2</v>
      </c>
      <c r="C257" t="str">
        <f>IF(AND(A257&gt;=SETTINGS!$B$4,A257&lt;=SETTINGS!$B$5),"Yes","No")</f>
        <v>Yes</v>
      </c>
      <c r="D257" t="str">
        <f>IFERROR(INDEX(SETTINGS!$C$15:$C$24,MATCH(A257,SETTINGS!$A$15:$A$24,0)),"No")</f>
        <v>Yes</v>
      </c>
      <c r="E257">
        <v>2</v>
      </c>
      <c r="F257" t="s">
        <v>35</v>
      </c>
      <c r="G257">
        <v>42</v>
      </c>
      <c r="H257" t="s">
        <v>102</v>
      </c>
      <c r="I257" t="s">
        <v>15</v>
      </c>
      <c r="J257" t="s">
        <v>21</v>
      </c>
      <c r="K257" t="s">
        <v>3</v>
      </c>
      <c r="L257" s="36">
        <f ca="1">IF(C257&lt;&gt;"Yes",0,IF(A257=2025,N('2025'!D42),IF(A257=2026,N('2026'!D42),IF(A257=2027,N('2027'!D42),IF(A257=2028,N('2028'!D42),IF(A257=2029,N('2029'!D42),IF(A257=2030,N('2030'!D42),IF(A257=2031,N('2031'!D42),IF(A257=2032,N('2032'!D42),IF(A257=2033,N('2033'!D42),IF(A257=2034,N('2034'!D42),IFERROR(N(INDIRECT("'"&amp;A257&amp;"'!D"&amp;G257)),0))))))))))))</f>
        <v>0</v>
      </c>
      <c r="M257" s="36">
        <f>IFERROR(IF(NOT(ISBLANK(KPI_TARGETS!$H$13)),KPI_TARGETS!$H$13,IF(NOT(ISBLANK(KPI_TARGETS!$F$13)),KPI_TARGETS!$F$13,"")),"")</f>
        <v>0</v>
      </c>
      <c r="N257" s="36" t="str">
        <f>IFERROR(KPI_TARGETS!$E$13,"Higher is better")</f>
        <v>Lower is better</v>
      </c>
      <c r="O257" s="37">
        <f t="shared" ca="1" si="18"/>
        <v>1</v>
      </c>
      <c r="P257" t="str">
        <f t="shared" ca="1" si="19"/>
        <v>Green</v>
      </c>
      <c r="Q257" s="36">
        <f t="shared" ca="1" si="20"/>
        <v>0</v>
      </c>
      <c r="R257" s="36" t="str">
        <f>""</f>
        <v/>
      </c>
      <c r="S257" s="36" t="str">
        <f>""</f>
        <v/>
      </c>
      <c r="T257" s="36" t="str">
        <f>""</f>
        <v/>
      </c>
      <c r="U257" s="36" t="str">
        <f>""</f>
        <v/>
      </c>
      <c r="V257" s="36" t="str">
        <f>""</f>
        <v/>
      </c>
      <c r="W257" s="36">
        <f t="shared" si="21"/>
        <v>1</v>
      </c>
      <c r="X257" t="str">
        <f t="shared" si="22"/>
        <v>OK</v>
      </c>
      <c r="Y257" t="str">
        <f>IF(MAIN!$H$3="Selected Year",IF(A257=MAIN!$B$3,"Yes","No"),IF(MAIN!$H$3="Included Years",IF(D257="Yes","Yes","No"),IF(C257="Yes","Yes","No")))</f>
        <v>No</v>
      </c>
      <c r="Z257" t="str">
        <f>IF(MAIN!$F$3="Project to Date",IF(AND(A257&gt;=SETTINGS!$B$4,A257&lt;MAIN!$B$3),"Yes",IF(AND(A257=MAIN!$B$3,E257&lt;=MAIN!$L$3),"Yes","No")),IF(OR(MAIN!$F$3="Full Year",MAIN!$D$3="All"),"Yes",IF(MAIN!$F$3="Monthly",IF(E257=MAIN!$L$3,"Yes","No"),IF(E257&lt;=MAIN!$L$3,"Yes","No"))))</f>
        <v>Yes</v>
      </c>
      <c r="AA257" t="str">
        <f t="shared" si="23"/>
        <v>No</v>
      </c>
    </row>
    <row r="258" spans="1:27" x14ac:dyDescent="0.3">
      <c r="A258">
        <f>INDEX(SETTINGS!$A$15:$A$24,$B258)</f>
        <v>2026</v>
      </c>
      <c r="B258">
        <v>2</v>
      </c>
      <c r="C258" t="str">
        <f>IF(AND(A258&gt;=SETTINGS!$B$4,A258&lt;=SETTINGS!$B$5),"Yes","No")</f>
        <v>Yes</v>
      </c>
      <c r="D258" t="str">
        <f>IFERROR(INDEX(SETTINGS!$C$15:$C$24,MATCH(A258,SETTINGS!$A$15:$A$24,0)),"No")</f>
        <v>Yes</v>
      </c>
      <c r="E258">
        <v>2</v>
      </c>
      <c r="F258" t="s">
        <v>35</v>
      </c>
      <c r="G258">
        <v>44</v>
      </c>
      <c r="H258" t="s">
        <v>103</v>
      </c>
      <c r="I258" t="s">
        <v>22</v>
      </c>
      <c r="J258" t="s">
        <v>23</v>
      </c>
      <c r="K258" t="s">
        <v>3</v>
      </c>
      <c r="L258" s="36">
        <f ca="1">IF(C258&lt;&gt;"Yes",0,IF(A258=2025,N('2025'!D44),IF(A258=2026,N('2026'!D44),IF(A258=2027,N('2027'!D44),IF(A258=2028,N('2028'!D44),IF(A258=2029,N('2029'!D44),IF(A258=2030,N('2030'!D44),IF(A258=2031,N('2031'!D44),IF(A258=2032,N('2032'!D44),IF(A258=2033,N('2033'!D44),IF(A258=2034,N('2034'!D44),IFERROR(N(INDIRECT("'"&amp;A258&amp;"'!D"&amp;G258)),0))))))))))))</f>
        <v>31</v>
      </c>
      <c r="M258" s="36">
        <f>IFERROR(IF(NOT(ISBLANK(KPI_TARGETS!$H$14)),KPI_TARGETS!$H$14,IF(NOT(ISBLANK(KPI_TARGETS!$F$14)),KPI_TARGETS!$F$14,"")),"")</f>
        <v>35</v>
      </c>
      <c r="N258" s="36" t="str">
        <f>IFERROR(KPI_TARGETS!$E$14,"Higher is better")</f>
        <v>Higher is better</v>
      </c>
      <c r="O258" s="37">
        <f t="shared" ref="O258:O321" ca="1" si="24">IF(M258="","",IF(N258="Higher is better",IFERROR(L258/M258,""),IF(L258=0,1,IFERROR(M258/L258,""))))</f>
        <v>0.88571428571428568</v>
      </c>
      <c r="P258" t="str">
        <f t="shared" ref="P258:P321" ca="1" si="25">IF(M258="","Target Needed",IF(N258="Higher is better",IF(L258&gt;=M258,"Green",IF(L258&gt;=0.8*M258,"Amber","Red")),IF(M258=0,IF(L258=0,"Green","Red"),IF(L258&lt;=M258,"Green",IF(L258&lt;=1.25*M258,"Amber","Red")))))</f>
        <v>Amber</v>
      </c>
      <c r="Q258" s="36">
        <f t="shared" ref="Q258:Q321" ca="1" si="26">IF(M258="","",IF(N258="Higher is better",L258-M258,M258-L258))</f>
        <v>-4</v>
      </c>
      <c r="R258" s="36" t="str">
        <f>""</f>
        <v/>
      </c>
      <c r="S258" s="36" t="str">
        <f>""</f>
        <v/>
      </c>
      <c r="T258" s="36" t="str">
        <f>""</f>
        <v/>
      </c>
      <c r="U258" s="36" t="str">
        <f>""</f>
        <v/>
      </c>
      <c r="V258" s="36" t="str">
        <f>""</f>
        <v/>
      </c>
      <c r="W258" s="36">
        <f t="shared" ref="W258:W321" si="27">IF(LEN(M258&amp;"")&gt;0,1,0)</f>
        <v>1</v>
      </c>
      <c r="X258" t="str">
        <f t="shared" ref="X258:X321" si="28">IF(C258&lt;&gt;"Yes","Inactive",IF(M258="","Missing target","OK"))</f>
        <v>OK</v>
      </c>
      <c r="Y258" t="str">
        <f>IF(MAIN!$H$3="Selected Year",IF(A258=MAIN!$B$3,"Yes","No"),IF(MAIN!$H$3="Included Years",IF(D258="Yes","Yes","No"),IF(C258="Yes","Yes","No")))</f>
        <v>No</v>
      </c>
      <c r="Z258" t="str">
        <f>IF(MAIN!$F$3="Project to Date",IF(AND(A258&gt;=SETTINGS!$B$4,A258&lt;MAIN!$B$3),"Yes",IF(AND(A258=MAIN!$B$3,E258&lt;=MAIN!$L$3),"Yes","No")),IF(OR(MAIN!$F$3="Full Year",MAIN!$D$3="All"),"Yes",IF(MAIN!$F$3="Monthly",IF(E258=MAIN!$L$3,"Yes","No"),IF(E258&lt;=MAIN!$L$3,"Yes","No"))))</f>
        <v>Yes</v>
      </c>
      <c r="AA258" t="str">
        <f t="shared" ref="AA258:AA321" si="29">IF(AND(Y258="Yes",Z258="Yes"),"Yes","No")</f>
        <v>No</v>
      </c>
    </row>
    <row r="259" spans="1:27" x14ac:dyDescent="0.3">
      <c r="A259">
        <f>INDEX(SETTINGS!$A$15:$A$24,$B259)</f>
        <v>2026</v>
      </c>
      <c r="B259">
        <v>2</v>
      </c>
      <c r="C259" t="str">
        <f>IF(AND(A259&gt;=SETTINGS!$B$4,A259&lt;=SETTINGS!$B$5),"Yes","No")</f>
        <v>Yes</v>
      </c>
      <c r="D259" t="str">
        <f>IFERROR(INDEX(SETTINGS!$C$15:$C$24,MATCH(A259,SETTINGS!$A$15:$A$24,0)),"No")</f>
        <v>Yes</v>
      </c>
      <c r="E259">
        <v>2</v>
      </c>
      <c r="F259" t="s">
        <v>35</v>
      </c>
      <c r="G259">
        <v>45</v>
      </c>
      <c r="H259" t="s">
        <v>104</v>
      </c>
      <c r="I259" t="s">
        <v>22</v>
      </c>
      <c r="J259" t="s">
        <v>24</v>
      </c>
      <c r="K259" t="s">
        <v>3</v>
      </c>
      <c r="L259" s="36">
        <f ca="1">IF(C259&lt;&gt;"Yes",0,IF(A259=2025,N('2025'!D45),IF(A259=2026,N('2026'!D45),IF(A259=2027,N('2027'!D45),IF(A259=2028,N('2028'!D45),IF(A259=2029,N('2029'!D45),IF(A259=2030,N('2030'!D45),IF(A259=2031,N('2031'!D45),IF(A259=2032,N('2032'!D45),IF(A259=2033,N('2033'!D45),IF(A259=2034,N('2034'!D45),IFERROR(N(INDIRECT("'"&amp;A259&amp;"'!D"&amp;G259)),0))))))))))))</f>
        <v>4</v>
      </c>
      <c r="M259" s="36">
        <f>IFERROR(IF(NOT(ISBLANK(KPI_TARGETS!$H$15)),KPI_TARGETS!$H$15,IF(NOT(ISBLANK(KPI_TARGETS!$F$15)),KPI_TARGETS!$F$15,"")),"")</f>
        <v>5</v>
      </c>
      <c r="N259" s="36" t="str">
        <f>IFERROR(KPI_TARGETS!$E$15,"Higher is better")</f>
        <v>Higher is better</v>
      </c>
      <c r="O259" s="37">
        <f t="shared" ca="1" si="24"/>
        <v>0.8</v>
      </c>
      <c r="P259" t="str">
        <f t="shared" ca="1" si="25"/>
        <v>Amber</v>
      </c>
      <c r="Q259" s="36">
        <f t="shared" ca="1" si="26"/>
        <v>-1</v>
      </c>
      <c r="R259" s="36" t="str">
        <f>""</f>
        <v/>
      </c>
      <c r="S259" s="36" t="str">
        <f>""</f>
        <v/>
      </c>
      <c r="T259" s="36" t="str">
        <f>""</f>
        <v/>
      </c>
      <c r="U259" s="36" t="str">
        <f>""</f>
        <v/>
      </c>
      <c r="V259" s="36" t="str">
        <f>""</f>
        <v/>
      </c>
      <c r="W259" s="36">
        <f t="shared" si="27"/>
        <v>1</v>
      </c>
      <c r="X259" t="str">
        <f t="shared" si="28"/>
        <v>OK</v>
      </c>
      <c r="Y259" t="str">
        <f>IF(MAIN!$H$3="Selected Year",IF(A259=MAIN!$B$3,"Yes","No"),IF(MAIN!$H$3="Included Years",IF(D259="Yes","Yes","No"),IF(C259="Yes","Yes","No")))</f>
        <v>No</v>
      </c>
      <c r="Z259" t="str">
        <f>IF(MAIN!$F$3="Project to Date",IF(AND(A259&gt;=SETTINGS!$B$4,A259&lt;MAIN!$B$3),"Yes",IF(AND(A259=MAIN!$B$3,E259&lt;=MAIN!$L$3),"Yes","No")),IF(OR(MAIN!$F$3="Full Year",MAIN!$D$3="All"),"Yes",IF(MAIN!$F$3="Monthly",IF(E259=MAIN!$L$3,"Yes","No"),IF(E259&lt;=MAIN!$L$3,"Yes","No"))))</f>
        <v>Yes</v>
      </c>
      <c r="AA259" t="str">
        <f t="shared" si="29"/>
        <v>No</v>
      </c>
    </row>
    <row r="260" spans="1:27" x14ac:dyDescent="0.3">
      <c r="A260">
        <f>INDEX(SETTINGS!$A$15:$A$24,$B260)</f>
        <v>2026</v>
      </c>
      <c r="B260">
        <v>2</v>
      </c>
      <c r="C260" t="str">
        <f>IF(AND(A260&gt;=SETTINGS!$B$4,A260&lt;=SETTINGS!$B$5),"Yes","No")</f>
        <v>Yes</v>
      </c>
      <c r="D260" t="str">
        <f>IFERROR(INDEX(SETTINGS!$C$15:$C$24,MATCH(A260,SETTINGS!$A$15:$A$24,0)),"No")</f>
        <v>Yes</v>
      </c>
      <c r="E260">
        <v>2</v>
      </c>
      <c r="F260" t="s">
        <v>35</v>
      </c>
      <c r="G260">
        <v>46</v>
      </c>
      <c r="H260" t="s">
        <v>105</v>
      </c>
      <c r="I260" t="s">
        <v>22</v>
      </c>
      <c r="J260" t="s">
        <v>25</v>
      </c>
      <c r="K260" t="s">
        <v>3</v>
      </c>
      <c r="L260" s="36">
        <f ca="1">IF(C260&lt;&gt;"Yes",0,IF(A260=2025,N('2025'!D46),IF(A260=2026,N('2026'!D46),IF(A260=2027,N('2027'!D46),IF(A260=2028,N('2028'!D46),IF(A260=2029,N('2029'!D46),IF(A260=2030,N('2030'!D46),IF(A260=2031,N('2031'!D46),IF(A260=2032,N('2032'!D46),IF(A260=2033,N('2033'!D46),IF(A260=2034,N('2034'!D46),IFERROR(N(INDIRECT("'"&amp;A260&amp;"'!D"&amp;G260)),0))))))))))))</f>
        <v>4</v>
      </c>
      <c r="M260" s="36">
        <f>IFERROR(IF(NOT(ISBLANK(KPI_TARGETS!$H$16)),KPI_TARGETS!$H$16,IF(NOT(ISBLANK(KPI_TARGETS!$F$16)),KPI_TARGETS!$F$16,"")),"")</f>
        <v>4</v>
      </c>
      <c r="N260" s="36" t="str">
        <f>IFERROR(KPI_TARGETS!$E$16,"Higher is better")</f>
        <v>Higher is better</v>
      </c>
      <c r="O260" s="37">
        <f t="shared" ca="1" si="24"/>
        <v>1</v>
      </c>
      <c r="P260" t="str">
        <f t="shared" ca="1" si="25"/>
        <v>Green</v>
      </c>
      <c r="Q260" s="36">
        <f t="shared" ca="1" si="26"/>
        <v>0</v>
      </c>
      <c r="R260" s="36" t="str">
        <f>""</f>
        <v/>
      </c>
      <c r="S260" s="36" t="str">
        <f>""</f>
        <v/>
      </c>
      <c r="T260" s="36" t="str">
        <f>""</f>
        <v/>
      </c>
      <c r="U260" s="36" t="str">
        <f>""</f>
        <v/>
      </c>
      <c r="V260" s="36" t="str">
        <f>""</f>
        <v/>
      </c>
      <c r="W260" s="36">
        <f t="shared" si="27"/>
        <v>1</v>
      </c>
      <c r="X260" t="str">
        <f t="shared" si="28"/>
        <v>OK</v>
      </c>
      <c r="Y260" t="str">
        <f>IF(MAIN!$H$3="Selected Year",IF(A260=MAIN!$B$3,"Yes","No"),IF(MAIN!$H$3="Included Years",IF(D260="Yes","Yes","No"),IF(C260="Yes","Yes","No")))</f>
        <v>No</v>
      </c>
      <c r="Z260" t="str">
        <f>IF(MAIN!$F$3="Project to Date",IF(AND(A260&gt;=SETTINGS!$B$4,A260&lt;MAIN!$B$3),"Yes",IF(AND(A260=MAIN!$B$3,E260&lt;=MAIN!$L$3),"Yes","No")),IF(OR(MAIN!$F$3="Full Year",MAIN!$D$3="All"),"Yes",IF(MAIN!$F$3="Monthly",IF(E260=MAIN!$L$3,"Yes","No"),IF(E260&lt;=MAIN!$L$3,"Yes","No"))))</f>
        <v>Yes</v>
      </c>
      <c r="AA260" t="str">
        <f t="shared" si="29"/>
        <v>No</v>
      </c>
    </row>
    <row r="261" spans="1:27" x14ac:dyDescent="0.3">
      <c r="A261">
        <f>INDEX(SETTINGS!$A$15:$A$24,$B261)</f>
        <v>2026</v>
      </c>
      <c r="B261">
        <v>2</v>
      </c>
      <c r="C261" t="str">
        <f>IF(AND(A261&gt;=SETTINGS!$B$4,A261&lt;=SETTINGS!$B$5),"Yes","No")</f>
        <v>Yes</v>
      </c>
      <c r="D261" t="str">
        <f>IFERROR(INDEX(SETTINGS!$C$15:$C$24,MATCH(A261,SETTINGS!$A$15:$A$24,0)),"No")</f>
        <v>Yes</v>
      </c>
      <c r="E261">
        <v>2</v>
      </c>
      <c r="F261" t="s">
        <v>35</v>
      </c>
      <c r="G261">
        <v>47</v>
      </c>
      <c r="H261" t="s">
        <v>106</v>
      </c>
      <c r="I261" t="s">
        <v>22</v>
      </c>
      <c r="J261" t="s">
        <v>26</v>
      </c>
      <c r="K261" t="s">
        <v>3</v>
      </c>
      <c r="L261" s="36">
        <f ca="1">IF(C261&lt;&gt;"Yes",0,IF(A261=2025,N('2025'!D47),IF(A261=2026,N('2026'!D47),IF(A261=2027,N('2027'!D47),IF(A261=2028,N('2028'!D47),IF(A261=2029,N('2029'!D47),IF(A261=2030,N('2030'!D47),IF(A261=2031,N('2031'!D47),IF(A261=2032,N('2032'!D47),IF(A261=2033,N('2033'!D47),IF(A261=2034,N('2034'!D47),IFERROR(N(INDIRECT("'"&amp;A261&amp;"'!D"&amp;G261)),0))))))))))))</f>
        <v>20</v>
      </c>
      <c r="M261" s="36">
        <f>IFERROR(IF(NOT(ISBLANK(KPI_TARGETS!$H$17)),KPI_TARGETS!$H$17,IF(NOT(ISBLANK(KPI_TARGETS!$F$17)),KPI_TARGETS!$F$17,"")),"")</f>
        <v>12</v>
      </c>
      <c r="N261" s="36" t="str">
        <f>IFERROR(KPI_TARGETS!$E$17,"Higher is better")</f>
        <v>Higher is better</v>
      </c>
      <c r="O261" s="37">
        <f t="shared" ca="1" si="24"/>
        <v>1.6666666666666667</v>
      </c>
      <c r="P261" t="str">
        <f t="shared" ca="1" si="25"/>
        <v>Green</v>
      </c>
      <c r="Q261" s="36">
        <f t="shared" ca="1" si="26"/>
        <v>8</v>
      </c>
      <c r="R261" s="36" t="str">
        <f>""</f>
        <v/>
      </c>
      <c r="S261" s="36" t="str">
        <f>""</f>
        <v/>
      </c>
      <c r="T261" s="36" t="str">
        <f>""</f>
        <v/>
      </c>
      <c r="U261" s="36" t="str">
        <f>""</f>
        <v/>
      </c>
      <c r="V261" s="36" t="str">
        <f>""</f>
        <v/>
      </c>
      <c r="W261" s="36">
        <f t="shared" si="27"/>
        <v>1</v>
      </c>
      <c r="X261" t="str">
        <f t="shared" si="28"/>
        <v>OK</v>
      </c>
      <c r="Y261" t="str">
        <f>IF(MAIN!$H$3="Selected Year",IF(A261=MAIN!$B$3,"Yes","No"),IF(MAIN!$H$3="Included Years",IF(D261="Yes","Yes","No"),IF(C261="Yes","Yes","No")))</f>
        <v>No</v>
      </c>
      <c r="Z261" t="str">
        <f>IF(MAIN!$F$3="Project to Date",IF(AND(A261&gt;=SETTINGS!$B$4,A261&lt;MAIN!$B$3),"Yes",IF(AND(A261=MAIN!$B$3,E261&lt;=MAIN!$L$3),"Yes","No")),IF(OR(MAIN!$F$3="Full Year",MAIN!$D$3="All"),"Yes",IF(MAIN!$F$3="Monthly",IF(E261=MAIN!$L$3,"Yes","No"),IF(E261&lt;=MAIN!$L$3,"Yes","No"))))</f>
        <v>Yes</v>
      </c>
      <c r="AA261" t="str">
        <f t="shared" si="29"/>
        <v>No</v>
      </c>
    </row>
    <row r="262" spans="1:27" x14ac:dyDescent="0.3">
      <c r="A262">
        <f>INDEX(SETTINGS!$A$15:$A$24,$B262)</f>
        <v>2026</v>
      </c>
      <c r="B262">
        <v>2</v>
      </c>
      <c r="C262" t="str">
        <f>IF(AND(A262&gt;=SETTINGS!$B$4,A262&lt;=SETTINGS!$B$5),"Yes","No")</f>
        <v>Yes</v>
      </c>
      <c r="D262" t="str">
        <f>IFERROR(INDEX(SETTINGS!$C$15:$C$24,MATCH(A262,SETTINGS!$A$15:$A$24,0)),"No")</f>
        <v>Yes</v>
      </c>
      <c r="E262">
        <v>2</v>
      </c>
      <c r="F262" t="s">
        <v>35</v>
      </c>
      <c r="G262">
        <v>48</v>
      </c>
      <c r="H262" t="s">
        <v>107</v>
      </c>
      <c r="I262" t="s">
        <v>22</v>
      </c>
      <c r="J262" t="s">
        <v>27</v>
      </c>
      <c r="K262" t="s">
        <v>3</v>
      </c>
      <c r="L262" s="36">
        <f ca="1">IF(C262&lt;&gt;"Yes",0,IF(A262=2025,N('2025'!D48),IF(A262=2026,N('2026'!D48),IF(A262=2027,N('2027'!D48),IF(A262=2028,N('2028'!D48),IF(A262=2029,N('2029'!D48),IF(A262=2030,N('2030'!D48),IF(A262=2031,N('2031'!D48),IF(A262=2032,N('2032'!D48),IF(A262=2033,N('2033'!D48),IF(A262=2034,N('2034'!D48),IFERROR(N(INDIRECT("'"&amp;A262&amp;"'!D"&amp;G262)),0))))))))))))</f>
        <v>4</v>
      </c>
      <c r="M262" s="36">
        <f>IFERROR(IF(NOT(ISBLANK(KPI_TARGETS!$H$18)),KPI_TARGETS!$H$18,IF(NOT(ISBLANK(KPI_TARGETS!$F$18)),KPI_TARGETS!$F$18,"")),"")</f>
        <v>4</v>
      </c>
      <c r="N262" s="36" t="str">
        <f>IFERROR(KPI_TARGETS!$E$18,"Higher is better")</f>
        <v>Higher is better</v>
      </c>
      <c r="O262" s="37">
        <f t="shared" ca="1" si="24"/>
        <v>1</v>
      </c>
      <c r="P262" t="str">
        <f t="shared" ca="1" si="25"/>
        <v>Green</v>
      </c>
      <c r="Q262" s="36">
        <f t="shared" ca="1" si="26"/>
        <v>0</v>
      </c>
      <c r="R262" s="36" t="str">
        <f>""</f>
        <v/>
      </c>
      <c r="S262" s="36" t="str">
        <f>""</f>
        <v/>
      </c>
      <c r="T262" s="36" t="str">
        <f>""</f>
        <v/>
      </c>
      <c r="U262" s="36" t="str">
        <f>""</f>
        <v/>
      </c>
      <c r="V262" s="36" t="str">
        <f>""</f>
        <v/>
      </c>
      <c r="W262" s="36">
        <f t="shared" si="27"/>
        <v>1</v>
      </c>
      <c r="X262" t="str">
        <f t="shared" si="28"/>
        <v>OK</v>
      </c>
      <c r="Y262" t="str">
        <f>IF(MAIN!$H$3="Selected Year",IF(A262=MAIN!$B$3,"Yes","No"),IF(MAIN!$H$3="Included Years",IF(D262="Yes","Yes","No"),IF(C262="Yes","Yes","No")))</f>
        <v>No</v>
      </c>
      <c r="Z262" t="str">
        <f>IF(MAIN!$F$3="Project to Date",IF(AND(A262&gt;=SETTINGS!$B$4,A262&lt;MAIN!$B$3),"Yes",IF(AND(A262=MAIN!$B$3,E262&lt;=MAIN!$L$3),"Yes","No")),IF(OR(MAIN!$F$3="Full Year",MAIN!$D$3="All"),"Yes",IF(MAIN!$F$3="Monthly",IF(E262=MAIN!$L$3,"Yes","No"),IF(E262&lt;=MAIN!$L$3,"Yes","No"))))</f>
        <v>Yes</v>
      </c>
      <c r="AA262" t="str">
        <f t="shared" si="29"/>
        <v>No</v>
      </c>
    </row>
    <row r="263" spans="1:27" x14ac:dyDescent="0.3">
      <c r="A263">
        <f>INDEX(SETTINGS!$A$15:$A$24,$B263)</f>
        <v>2026</v>
      </c>
      <c r="B263">
        <v>2</v>
      </c>
      <c r="C263" t="str">
        <f>IF(AND(A263&gt;=SETTINGS!$B$4,A263&lt;=SETTINGS!$B$5),"Yes","No")</f>
        <v>Yes</v>
      </c>
      <c r="D263" t="str">
        <f>IFERROR(INDEX(SETTINGS!$C$15:$C$24,MATCH(A263,SETTINGS!$A$15:$A$24,0)),"No")</f>
        <v>Yes</v>
      </c>
      <c r="E263">
        <v>2</v>
      </c>
      <c r="F263" t="s">
        <v>35</v>
      </c>
      <c r="G263">
        <v>49</v>
      </c>
      <c r="H263" t="s">
        <v>108</v>
      </c>
      <c r="I263" t="s">
        <v>22</v>
      </c>
      <c r="J263" t="s">
        <v>28</v>
      </c>
      <c r="K263" t="s">
        <v>3</v>
      </c>
      <c r="L263" s="36">
        <f ca="1">IF(C263&lt;&gt;"Yes",0,IF(A263=2025,N('2025'!D49),IF(A263=2026,N('2026'!D49),IF(A263=2027,N('2027'!D49),IF(A263=2028,N('2028'!D49),IF(A263=2029,N('2029'!D49),IF(A263=2030,N('2030'!D49),IF(A263=2031,N('2031'!D49),IF(A263=2032,N('2032'!D49),IF(A263=2033,N('2033'!D49),IF(A263=2034,N('2034'!D49),IFERROR(N(INDIRECT("'"&amp;A263&amp;"'!D"&amp;G263)),0))))))))))))</f>
        <v>8</v>
      </c>
      <c r="M263" s="36">
        <f>IFERROR(IF(NOT(ISBLANK(KPI_TARGETS!$H$19)),KPI_TARGETS!$H$19,IF(NOT(ISBLANK(KPI_TARGETS!$F$19)),KPI_TARGETS!$F$19,"")),"")</f>
        <v>16</v>
      </c>
      <c r="N263" s="36" t="str">
        <f>IFERROR(KPI_TARGETS!$E$19,"Higher is better")</f>
        <v>Higher is better</v>
      </c>
      <c r="O263" s="37">
        <f t="shared" ca="1" si="24"/>
        <v>0.5</v>
      </c>
      <c r="P263" t="str">
        <f t="shared" ca="1" si="25"/>
        <v>Red</v>
      </c>
      <c r="Q263" s="36">
        <f t="shared" ca="1" si="26"/>
        <v>-8</v>
      </c>
      <c r="R263" s="36" t="str">
        <f>""</f>
        <v/>
      </c>
      <c r="S263" s="36" t="str">
        <f>""</f>
        <v/>
      </c>
      <c r="T263" s="36" t="str">
        <f>""</f>
        <v/>
      </c>
      <c r="U263" s="36" t="str">
        <f>""</f>
        <v/>
      </c>
      <c r="V263" s="36" t="str">
        <f>""</f>
        <v/>
      </c>
      <c r="W263" s="36">
        <f t="shared" si="27"/>
        <v>1</v>
      </c>
      <c r="X263" t="str">
        <f t="shared" si="28"/>
        <v>OK</v>
      </c>
      <c r="Y263" t="str">
        <f>IF(MAIN!$H$3="Selected Year",IF(A263=MAIN!$B$3,"Yes","No"),IF(MAIN!$H$3="Included Years",IF(D263="Yes","Yes","No"),IF(C263="Yes","Yes","No")))</f>
        <v>No</v>
      </c>
      <c r="Z263" t="str">
        <f>IF(MAIN!$F$3="Project to Date",IF(AND(A263&gt;=SETTINGS!$B$4,A263&lt;MAIN!$B$3),"Yes",IF(AND(A263=MAIN!$B$3,E263&lt;=MAIN!$L$3),"Yes","No")),IF(OR(MAIN!$F$3="Full Year",MAIN!$D$3="All"),"Yes",IF(MAIN!$F$3="Monthly",IF(E263=MAIN!$L$3,"Yes","No"),IF(E263&lt;=MAIN!$L$3,"Yes","No"))))</f>
        <v>Yes</v>
      </c>
      <c r="AA263" t="str">
        <f t="shared" si="29"/>
        <v>No</v>
      </c>
    </row>
    <row r="264" spans="1:27" x14ac:dyDescent="0.3">
      <c r="A264">
        <f>INDEX(SETTINGS!$A$15:$A$24,$B264)</f>
        <v>2026</v>
      </c>
      <c r="B264">
        <v>2</v>
      </c>
      <c r="C264" t="str">
        <f>IF(AND(A264&gt;=SETTINGS!$B$4,A264&lt;=SETTINGS!$B$5),"Yes","No")</f>
        <v>Yes</v>
      </c>
      <c r="D264" t="str">
        <f>IFERROR(INDEX(SETTINGS!$C$15:$C$24,MATCH(A264,SETTINGS!$A$15:$A$24,0)),"No")</f>
        <v>Yes</v>
      </c>
      <c r="E264">
        <v>2</v>
      </c>
      <c r="F264" t="s">
        <v>35</v>
      </c>
      <c r="G264">
        <v>50</v>
      </c>
      <c r="H264" t="s">
        <v>109</v>
      </c>
      <c r="I264" t="s">
        <v>22</v>
      </c>
      <c r="J264" t="s">
        <v>29</v>
      </c>
      <c r="K264" t="s">
        <v>3</v>
      </c>
      <c r="L264" s="36">
        <f ca="1">IF(C264&lt;&gt;"Yes",0,IF(A264=2025,N('2025'!D50),IF(A264=2026,N('2026'!D50),IF(A264=2027,N('2027'!D50),IF(A264=2028,N('2028'!D50),IF(A264=2029,N('2029'!D50),IF(A264=2030,N('2030'!D50),IF(A264=2031,N('2031'!D50),IF(A264=2032,N('2032'!D50),IF(A264=2033,N('2033'!D50),IF(A264=2034,N('2034'!D50),IFERROR(N(INDIRECT("'"&amp;A264&amp;"'!D"&amp;G264)),0))))))))))))</f>
        <v>1</v>
      </c>
      <c r="M264" s="36">
        <f>IFERROR(IF(NOT(ISBLANK(KPI_TARGETS!$H$20)),KPI_TARGETS!$H$20,IF(NOT(ISBLANK(KPI_TARGETS!$F$20)),KPI_TARGETS!$F$20,"")),"")</f>
        <v>1</v>
      </c>
      <c r="N264" s="36" t="str">
        <f>IFERROR(KPI_TARGETS!$E$20,"Higher is better")</f>
        <v>Higher is better</v>
      </c>
      <c r="O264" s="37">
        <f t="shared" ca="1" si="24"/>
        <v>1</v>
      </c>
      <c r="P264" t="str">
        <f t="shared" ca="1" si="25"/>
        <v>Green</v>
      </c>
      <c r="Q264" s="36">
        <f t="shared" ca="1" si="26"/>
        <v>0</v>
      </c>
      <c r="R264" s="36" t="str">
        <f>""</f>
        <v/>
      </c>
      <c r="S264" s="36" t="str">
        <f>""</f>
        <v/>
      </c>
      <c r="T264" s="36" t="str">
        <f>""</f>
        <v/>
      </c>
      <c r="U264" s="36" t="str">
        <f>""</f>
        <v/>
      </c>
      <c r="V264" s="36" t="str">
        <f>""</f>
        <v/>
      </c>
      <c r="W264" s="36">
        <f t="shared" si="27"/>
        <v>1</v>
      </c>
      <c r="X264" t="str">
        <f t="shared" si="28"/>
        <v>OK</v>
      </c>
      <c r="Y264" t="str">
        <f>IF(MAIN!$H$3="Selected Year",IF(A264=MAIN!$B$3,"Yes","No"),IF(MAIN!$H$3="Included Years",IF(D264="Yes","Yes","No"),IF(C264="Yes","Yes","No")))</f>
        <v>No</v>
      </c>
      <c r="Z264" t="str">
        <f>IF(MAIN!$F$3="Project to Date",IF(AND(A264&gt;=SETTINGS!$B$4,A264&lt;MAIN!$B$3),"Yes",IF(AND(A264=MAIN!$B$3,E264&lt;=MAIN!$L$3),"Yes","No")),IF(OR(MAIN!$F$3="Full Year",MAIN!$D$3="All"),"Yes",IF(MAIN!$F$3="Monthly",IF(E264=MAIN!$L$3,"Yes","No"),IF(E264&lt;=MAIN!$L$3,"Yes","No"))))</f>
        <v>Yes</v>
      </c>
      <c r="AA264" t="str">
        <f t="shared" si="29"/>
        <v>No</v>
      </c>
    </row>
    <row r="265" spans="1:27" x14ac:dyDescent="0.3">
      <c r="A265">
        <f>INDEX(SETTINGS!$A$15:$A$24,$B265)</f>
        <v>2026</v>
      </c>
      <c r="B265">
        <v>2</v>
      </c>
      <c r="C265" t="str">
        <f>IF(AND(A265&gt;=SETTINGS!$B$4,A265&lt;=SETTINGS!$B$5),"Yes","No")</f>
        <v>Yes</v>
      </c>
      <c r="D265" t="str">
        <f>IFERROR(INDEX(SETTINGS!$C$15:$C$24,MATCH(A265,SETTINGS!$A$15:$A$24,0)),"No")</f>
        <v>Yes</v>
      </c>
      <c r="E265">
        <v>2</v>
      </c>
      <c r="F265" t="s">
        <v>35</v>
      </c>
      <c r="G265">
        <v>52</v>
      </c>
      <c r="H265" t="s">
        <v>110</v>
      </c>
      <c r="I265" t="s">
        <v>30</v>
      </c>
      <c r="J265" t="s">
        <v>31</v>
      </c>
      <c r="K265" t="s">
        <v>3</v>
      </c>
      <c r="L265" s="36">
        <f ca="1">IF(C265&lt;&gt;"Yes",0,IF(A265=2025,N('2025'!D52),IF(A265=2026,N('2026'!D52),IF(A265=2027,N('2027'!D52),IF(A265=2028,N('2028'!D52),IF(A265=2029,N('2029'!D52),IF(A265=2030,N('2030'!D52),IF(A265=2031,N('2031'!D52),IF(A265=2032,N('2032'!D52),IF(A265=2033,N('2033'!D52),IF(A265=2034,N('2034'!D52),IFERROR(N(INDIRECT("'"&amp;A265&amp;"'!D"&amp;G265)),0))))))))))))</f>
        <v>0</v>
      </c>
      <c r="M265" s="36">
        <f>IFERROR(IF(NOT(ISBLANK(KPI_TARGETS!$H$21)),KPI_TARGETS!$H$21,IF(NOT(ISBLANK(KPI_TARGETS!$F$21)),KPI_TARGETS!$F$21,"")),"")</f>
        <v>0</v>
      </c>
      <c r="N265" s="36" t="str">
        <f>IFERROR(KPI_TARGETS!$E$21,"Higher is better")</f>
        <v>Lower is better</v>
      </c>
      <c r="O265" s="37">
        <f t="shared" ca="1" si="24"/>
        <v>1</v>
      </c>
      <c r="P265" t="str">
        <f t="shared" ca="1" si="25"/>
        <v>Green</v>
      </c>
      <c r="Q265" s="36">
        <f t="shared" ca="1" si="26"/>
        <v>0</v>
      </c>
      <c r="R265" s="36" t="str">
        <f>""</f>
        <v/>
      </c>
      <c r="S265" s="36" t="str">
        <f>""</f>
        <v/>
      </c>
      <c r="T265" s="36" t="str">
        <f>""</f>
        <v/>
      </c>
      <c r="U265" s="36" t="str">
        <f>""</f>
        <v/>
      </c>
      <c r="V265" s="36" t="str">
        <f>""</f>
        <v/>
      </c>
      <c r="W265" s="36">
        <f t="shared" si="27"/>
        <v>1</v>
      </c>
      <c r="X265" t="str">
        <f t="shared" si="28"/>
        <v>OK</v>
      </c>
      <c r="Y265" t="str">
        <f>IF(MAIN!$H$3="Selected Year",IF(A265=MAIN!$B$3,"Yes","No"),IF(MAIN!$H$3="Included Years",IF(D265="Yes","Yes","No"),IF(C265="Yes","Yes","No")))</f>
        <v>No</v>
      </c>
      <c r="Z265" t="str">
        <f>IF(MAIN!$F$3="Project to Date",IF(AND(A265&gt;=SETTINGS!$B$4,A265&lt;MAIN!$B$3),"Yes",IF(AND(A265=MAIN!$B$3,E265&lt;=MAIN!$L$3),"Yes","No")),IF(OR(MAIN!$F$3="Full Year",MAIN!$D$3="All"),"Yes",IF(MAIN!$F$3="Monthly",IF(E265=MAIN!$L$3,"Yes","No"),IF(E265&lt;=MAIN!$L$3,"Yes","No"))))</f>
        <v>Yes</v>
      </c>
      <c r="AA265" t="str">
        <f t="shared" si="29"/>
        <v>No</v>
      </c>
    </row>
    <row r="266" spans="1:27" x14ac:dyDescent="0.3">
      <c r="A266">
        <f>INDEX(SETTINGS!$A$15:$A$24,$B266)</f>
        <v>2026</v>
      </c>
      <c r="B266">
        <v>2</v>
      </c>
      <c r="C266" t="str">
        <f>IF(AND(A266&gt;=SETTINGS!$B$4,A266&lt;=SETTINGS!$B$5),"Yes","No")</f>
        <v>Yes</v>
      </c>
      <c r="D266" t="str">
        <f>IFERROR(INDEX(SETTINGS!$C$15:$C$24,MATCH(A266,SETTINGS!$A$15:$A$24,0)),"No")</f>
        <v>Yes</v>
      </c>
      <c r="E266">
        <v>2</v>
      </c>
      <c r="F266" t="s">
        <v>35</v>
      </c>
      <c r="G266">
        <v>53</v>
      </c>
      <c r="H266" t="s">
        <v>111</v>
      </c>
      <c r="I266" t="s">
        <v>30</v>
      </c>
      <c r="J266" t="s">
        <v>32</v>
      </c>
      <c r="K266" t="s">
        <v>3</v>
      </c>
      <c r="L266" s="36">
        <f ca="1">IF(C266&lt;&gt;"Yes",0,IF(A266=2025,N('2025'!D53),IF(A266=2026,N('2026'!D53),IF(A266=2027,N('2027'!D53),IF(A266=2028,N('2028'!D53),IF(A266=2029,N('2029'!D53),IF(A266=2030,N('2030'!D53),IF(A266=2031,N('2031'!D53),IF(A266=2032,N('2032'!D53),IF(A266=2033,N('2033'!D53),IF(A266=2034,N('2034'!D53),IFERROR(N(INDIRECT("'"&amp;A266&amp;"'!D"&amp;G266)),0))))))))))))</f>
        <v>1</v>
      </c>
      <c r="M266" s="36">
        <f>IFERROR(IF(NOT(ISBLANK(KPI_TARGETS!$H$22)),KPI_TARGETS!$H$22,IF(NOT(ISBLANK(KPI_TARGETS!$F$22)),KPI_TARGETS!$F$22,"")),"")</f>
        <v>1</v>
      </c>
      <c r="N266" s="36" t="str">
        <f>IFERROR(KPI_TARGETS!$E$22,"Higher is better")</f>
        <v>Higher is better</v>
      </c>
      <c r="O266" s="37">
        <f t="shared" ca="1" si="24"/>
        <v>1</v>
      </c>
      <c r="P266" t="str">
        <f t="shared" ca="1" si="25"/>
        <v>Green</v>
      </c>
      <c r="Q266" s="36">
        <f t="shared" ca="1" si="26"/>
        <v>0</v>
      </c>
      <c r="R266" s="36" t="str">
        <f>""</f>
        <v/>
      </c>
      <c r="S266" s="36" t="str">
        <f>""</f>
        <v/>
      </c>
      <c r="T266" s="36" t="str">
        <f>""</f>
        <v/>
      </c>
      <c r="U266" s="36" t="str">
        <f>""</f>
        <v/>
      </c>
      <c r="V266" s="36" t="str">
        <f>""</f>
        <v/>
      </c>
      <c r="W266" s="36">
        <f t="shared" si="27"/>
        <v>1</v>
      </c>
      <c r="X266" t="str">
        <f t="shared" si="28"/>
        <v>OK</v>
      </c>
      <c r="Y266" t="str">
        <f>IF(MAIN!$H$3="Selected Year",IF(A266=MAIN!$B$3,"Yes","No"),IF(MAIN!$H$3="Included Years",IF(D266="Yes","Yes","No"),IF(C266="Yes","Yes","No")))</f>
        <v>No</v>
      </c>
      <c r="Z266" t="str">
        <f>IF(MAIN!$F$3="Project to Date",IF(AND(A266&gt;=SETTINGS!$B$4,A266&lt;MAIN!$B$3),"Yes",IF(AND(A266=MAIN!$B$3,E266&lt;=MAIN!$L$3),"Yes","No")),IF(OR(MAIN!$F$3="Full Year",MAIN!$D$3="All"),"Yes",IF(MAIN!$F$3="Monthly",IF(E266=MAIN!$L$3,"Yes","No"),IF(E266&lt;=MAIN!$L$3,"Yes","No"))))</f>
        <v>Yes</v>
      </c>
      <c r="AA266" t="str">
        <f t="shared" si="29"/>
        <v>No</v>
      </c>
    </row>
    <row r="267" spans="1:27" x14ac:dyDescent="0.3">
      <c r="A267">
        <f>INDEX(SETTINGS!$A$15:$A$24,$B267)</f>
        <v>2026</v>
      </c>
      <c r="B267">
        <v>2</v>
      </c>
      <c r="C267" t="str">
        <f>IF(AND(A267&gt;=SETTINGS!$B$4,A267&lt;=SETTINGS!$B$5),"Yes","No")</f>
        <v>Yes</v>
      </c>
      <c r="D267" t="str">
        <f>IFERROR(INDEX(SETTINGS!$C$15:$C$24,MATCH(A267,SETTINGS!$A$15:$A$24,0)),"No")</f>
        <v>Yes</v>
      </c>
      <c r="E267">
        <v>2</v>
      </c>
      <c r="F267" t="s">
        <v>35</v>
      </c>
      <c r="G267">
        <v>54</v>
      </c>
      <c r="H267" t="s">
        <v>112</v>
      </c>
      <c r="I267" t="s">
        <v>30</v>
      </c>
      <c r="J267" t="s">
        <v>33</v>
      </c>
      <c r="K267" t="s">
        <v>34</v>
      </c>
      <c r="L267" s="36">
        <f ca="1">IF(C267&lt;&gt;"Yes",0,IF(A267=2025,N('2025'!D54),IF(A267=2026,N('2026'!D54),IF(A267=2027,N('2027'!D54),IF(A267=2028,N('2028'!D54),IF(A267=2029,N('2029'!D54),IF(A267=2030,N('2030'!D54),IF(A267=2031,N('2031'!D54),IF(A267=2032,N('2032'!D54),IF(A267=2033,N('2033'!D54),IF(A267=2034,N('2034'!D54),IFERROR(N(INDIRECT("'"&amp;A267&amp;"'!D"&amp;G267)),0))))))))))))</f>
        <v>1</v>
      </c>
      <c r="M267" s="36">
        <f>IFERROR(IF(NOT(ISBLANK(KPI_TARGETS!$H$23)),KPI_TARGETS!$H$23,IF(NOT(ISBLANK(KPI_TARGETS!$F$23)),KPI_TARGETS!$F$23,"")),"")</f>
        <v>1</v>
      </c>
      <c r="N267" s="36" t="str">
        <f>IFERROR(KPI_TARGETS!$E$23,"Higher is better")</f>
        <v>Higher is better</v>
      </c>
      <c r="O267" s="37">
        <f t="shared" ca="1" si="24"/>
        <v>1</v>
      </c>
      <c r="P267" t="str">
        <f t="shared" ca="1" si="25"/>
        <v>Green</v>
      </c>
      <c r="Q267" s="36">
        <f t="shared" ca="1" si="26"/>
        <v>0</v>
      </c>
      <c r="R267" s="36" t="str">
        <f>""</f>
        <v/>
      </c>
      <c r="S267" s="36" t="str">
        <f>""</f>
        <v/>
      </c>
      <c r="T267" s="36" t="str">
        <f>""</f>
        <v/>
      </c>
      <c r="U267" s="36" t="str">
        <f>""</f>
        <v/>
      </c>
      <c r="V267" s="36" t="str">
        <f>""</f>
        <v/>
      </c>
      <c r="W267" s="36">
        <f t="shared" si="27"/>
        <v>1</v>
      </c>
      <c r="X267" t="str">
        <f t="shared" si="28"/>
        <v>OK</v>
      </c>
      <c r="Y267" t="str">
        <f>IF(MAIN!$H$3="Selected Year",IF(A267=MAIN!$B$3,"Yes","No"),IF(MAIN!$H$3="Included Years",IF(D267="Yes","Yes","No"),IF(C267="Yes","Yes","No")))</f>
        <v>No</v>
      </c>
      <c r="Z267" t="str">
        <f>IF(MAIN!$F$3="Project to Date",IF(AND(A267&gt;=SETTINGS!$B$4,A267&lt;MAIN!$B$3),"Yes",IF(AND(A267=MAIN!$B$3,E267&lt;=MAIN!$L$3),"Yes","No")),IF(OR(MAIN!$F$3="Full Year",MAIN!$D$3="All"),"Yes",IF(MAIN!$F$3="Monthly",IF(E267=MAIN!$L$3,"Yes","No"),IF(E267&lt;=MAIN!$L$3,"Yes","No"))))</f>
        <v>Yes</v>
      </c>
      <c r="AA267" t="str">
        <f t="shared" si="29"/>
        <v>No</v>
      </c>
    </row>
    <row r="268" spans="1:27" x14ac:dyDescent="0.3">
      <c r="A268">
        <f>INDEX(SETTINGS!$A$15:$A$24,$B268)</f>
        <v>2026</v>
      </c>
      <c r="B268">
        <v>2</v>
      </c>
      <c r="C268" t="str">
        <f>IF(AND(A268&gt;=SETTINGS!$B$4,A268&lt;=SETTINGS!$B$5),"Yes","No")</f>
        <v>Yes</v>
      </c>
      <c r="D268" t="str">
        <f>IFERROR(INDEX(SETTINGS!$C$15:$C$24,MATCH(A268,SETTINGS!$A$15:$A$24,0)),"No")</f>
        <v>Yes</v>
      </c>
      <c r="E268">
        <v>3</v>
      </c>
      <c r="F268" t="s">
        <v>36</v>
      </c>
      <c r="G268">
        <v>57</v>
      </c>
      <c r="H268" t="s">
        <v>88</v>
      </c>
      <c r="I268" t="s">
        <v>89</v>
      </c>
      <c r="J268" t="s">
        <v>10</v>
      </c>
      <c r="K268" t="s">
        <v>3</v>
      </c>
      <c r="L268" s="36">
        <f ca="1">IF(C268&lt;&gt;"Yes",0,IF(A268=2025,N('2025'!D57),IF(A268=2026,N('2026'!D57),IF(A268=2027,N('2027'!D57),IF(A268=2028,N('2028'!D57),IF(A268=2029,N('2029'!D57),IF(A268=2030,N('2030'!D57),IF(A268=2031,N('2031'!D57),IF(A268=2032,N('2032'!D57),IF(A268=2033,N('2033'!D57),IF(A268=2034,N('2034'!D57),IFERROR(N(INDIRECT("'"&amp;A268&amp;"'!D"&amp;G268)),0))))))))))))</f>
        <v>0</v>
      </c>
      <c r="M268" s="36">
        <f>IFERROR(IF(NOT(ISBLANK(KPI_TARGETS!$H$5)),KPI_TARGETS!$H$5,IF(NOT(ISBLANK(KPI_TARGETS!$F$5)),KPI_TARGETS!$F$5,"")),"")</f>
        <v>104</v>
      </c>
      <c r="N268" s="36" t="str">
        <f>IFERROR(KPI_TARGETS!$E$5,"Higher is better")</f>
        <v>Higher is better</v>
      </c>
      <c r="O268" s="37">
        <f t="shared" ca="1" si="24"/>
        <v>0</v>
      </c>
      <c r="P268" t="str">
        <f t="shared" ca="1" si="25"/>
        <v>Red</v>
      </c>
      <c r="Q268" s="36">
        <f t="shared" ca="1" si="26"/>
        <v>-104</v>
      </c>
      <c r="R268" s="36" t="str">
        <f>""</f>
        <v/>
      </c>
      <c r="S268" s="36" t="str">
        <f>""</f>
        <v/>
      </c>
      <c r="T268" s="36" t="str">
        <f>""</f>
        <v/>
      </c>
      <c r="U268" s="36" t="str">
        <f>""</f>
        <v/>
      </c>
      <c r="V268" s="36" t="str">
        <f>""</f>
        <v/>
      </c>
      <c r="W268" s="36">
        <f t="shared" si="27"/>
        <v>1</v>
      </c>
      <c r="X268" t="str">
        <f t="shared" si="28"/>
        <v>OK</v>
      </c>
      <c r="Y268" t="str">
        <f>IF(MAIN!$H$3="Selected Year",IF(A268=MAIN!$B$3,"Yes","No"),IF(MAIN!$H$3="Included Years",IF(D268="Yes","Yes","No"),IF(C268="Yes","Yes","No")))</f>
        <v>No</v>
      </c>
      <c r="Z268" t="str">
        <f>IF(MAIN!$F$3="Project to Date",IF(AND(A268&gt;=SETTINGS!$B$4,A268&lt;MAIN!$B$3),"Yes",IF(AND(A268=MAIN!$B$3,E268&lt;=MAIN!$L$3),"Yes","No")),IF(OR(MAIN!$F$3="Full Year",MAIN!$D$3="All"),"Yes",IF(MAIN!$F$3="Monthly",IF(E268=MAIN!$L$3,"Yes","No"),IF(E268&lt;=MAIN!$L$3,"Yes","No"))))</f>
        <v>Yes</v>
      </c>
      <c r="AA268" t="str">
        <f t="shared" si="29"/>
        <v>No</v>
      </c>
    </row>
    <row r="269" spans="1:27" x14ac:dyDescent="0.3">
      <c r="A269">
        <f>INDEX(SETTINGS!$A$15:$A$24,$B269)</f>
        <v>2026</v>
      </c>
      <c r="B269">
        <v>2</v>
      </c>
      <c r="C269" t="str">
        <f>IF(AND(A269&gt;=SETTINGS!$B$4,A269&lt;=SETTINGS!$B$5),"Yes","No")</f>
        <v>Yes</v>
      </c>
      <c r="D269" t="str">
        <f>IFERROR(INDEX(SETTINGS!$C$15:$C$24,MATCH(A269,SETTINGS!$A$15:$A$24,0)),"No")</f>
        <v>Yes</v>
      </c>
      <c r="E269">
        <v>3</v>
      </c>
      <c r="F269" t="s">
        <v>36</v>
      </c>
      <c r="G269">
        <v>58</v>
      </c>
      <c r="H269" t="s">
        <v>91</v>
      </c>
      <c r="I269" t="s">
        <v>89</v>
      </c>
      <c r="J269" t="s">
        <v>11</v>
      </c>
      <c r="K269" t="s">
        <v>12</v>
      </c>
      <c r="L269" s="36">
        <f ca="1">IF(C269&lt;&gt;"Yes",0,IF(A269=2025,N('2025'!D58),IF(A269=2026,N('2026'!D58),IF(A269=2027,N('2027'!D58),IF(A269=2028,N('2028'!D58),IF(A269=2029,N('2029'!D58),IF(A269=2030,N('2030'!D58),IF(A269=2031,N('2031'!D58),IF(A269=2032,N('2032'!D58),IF(A269=2033,N('2033'!D58),IF(A269=2034,N('2034'!D58),IFERROR(N(INDIRECT("'"&amp;A269&amp;"'!D"&amp;G269)),0))))))))))))</f>
        <v>4859.95</v>
      </c>
      <c r="M269" s="36">
        <f>IFERROR(IF(NOT(ISBLANK(KPI_TARGETS!$H$6)),KPI_TARGETS!$H$6,IF(NOT(ISBLANK(KPI_TARGETS!$F$6)),KPI_TARGETS!$F$6,"")),"")</f>
        <v>4000</v>
      </c>
      <c r="N269" s="36" t="str">
        <f>IFERROR(KPI_TARGETS!$E$6,"Higher is better")</f>
        <v>Higher is better</v>
      </c>
      <c r="O269" s="37">
        <f t="shared" ca="1" si="24"/>
        <v>1.2149874999999999</v>
      </c>
      <c r="P269" t="str">
        <f t="shared" ca="1" si="25"/>
        <v>Green</v>
      </c>
      <c r="Q269" s="36">
        <f t="shared" ca="1" si="26"/>
        <v>859.94999999999982</v>
      </c>
      <c r="R269" s="36" t="str">
        <f>""</f>
        <v/>
      </c>
      <c r="S269" s="36" t="str">
        <f>""</f>
        <v/>
      </c>
      <c r="T269" s="36" t="str">
        <f>""</f>
        <v/>
      </c>
      <c r="U269" s="36" t="str">
        <f>""</f>
        <v/>
      </c>
      <c r="V269" s="36" t="str">
        <f>""</f>
        <v/>
      </c>
      <c r="W269" s="36">
        <f t="shared" si="27"/>
        <v>1</v>
      </c>
      <c r="X269" t="str">
        <f t="shared" si="28"/>
        <v>OK</v>
      </c>
      <c r="Y269" t="str">
        <f>IF(MAIN!$H$3="Selected Year",IF(A269=MAIN!$B$3,"Yes","No"),IF(MAIN!$H$3="Included Years",IF(D269="Yes","Yes","No"),IF(C269="Yes","Yes","No")))</f>
        <v>No</v>
      </c>
      <c r="Z269" t="str">
        <f>IF(MAIN!$F$3="Project to Date",IF(AND(A269&gt;=SETTINGS!$B$4,A269&lt;MAIN!$B$3),"Yes",IF(AND(A269=MAIN!$B$3,E269&lt;=MAIN!$L$3),"Yes","No")),IF(OR(MAIN!$F$3="Full Year",MAIN!$D$3="All"),"Yes",IF(MAIN!$F$3="Monthly",IF(E269=MAIN!$L$3,"Yes","No"),IF(E269&lt;=MAIN!$L$3,"Yes","No"))))</f>
        <v>Yes</v>
      </c>
      <c r="AA269" t="str">
        <f t="shared" si="29"/>
        <v>No</v>
      </c>
    </row>
    <row r="270" spans="1:27" x14ac:dyDescent="0.3">
      <c r="A270">
        <f>INDEX(SETTINGS!$A$15:$A$24,$B270)</f>
        <v>2026</v>
      </c>
      <c r="B270">
        <v>2</v>
      </c>
      <c r="C270" t="str">
        <f>IF(AND(A270&gt;=SETTINGS!$B$4,A270&lt;=SETTINGS!$B$5),"Yes","No")</f>
        <v>Yes</v>
      </c>
      <c r="D270" t="str">
        <f>IFERROR(INDEX(SETTINGS!$C$15:$C$24,MATCH(A270,SETTINGS!$A$15:$A$24,0)),"No")</f>
        <v>Yes</v>
      </c>
      <c r="E270">
        <v>3</v>
      </c>
      <c r="F270" t="s">
        <v>36</v>
      </c>
      <c r="G270">
        <v>59</v>
      </c>
      <c r="H270" t="s">
        <v>93</v>
      </c>
      <c r="I270" t="s">
        <v>89</v>
      </c>
      <c r="J270" t="s">
        <v>13</v>
      </c>
      <c r="K270" t="s">
        <v>14</v>
      </c>
      <c r="L270" s="36">
        <f ca="1">IF(C270&lt;&gt;"Yes",0,IF(A270=2025,N('2025'!D59),IF(A270=2026,N('2026'!D59),IF(A270=2027,N('2027'!D59),IF(A270=2028,N('2028'!D59),IF(A270=2029,N('2029'!D59),IF(A270=2030,N('2030'!D59),IF(A270=2031,N('2031'!D59),IF(A270=2032,N('2032'!D59),IF(A270=2033,N('2033'!D59),IF(A270=2034,N('2034'!D59),IFERROR(N(INDIRECT("'"&amp;A270&amp;"'!D"&amp;G270)),0))))))))))))</f>
        <v>0</v>
      </c>
      <c r="M270" s="36">
        <f>IFERROR(IF(NOT(ISBLANK(KPI_TARGETS!$H$7)),KPI_TARGETS!$H$7,IF(NOT(ISBLANK(KPI_TARGETS!$F$7)),KPI_TARGETS!$F$7,"")),"")</f>
        <v>8000</v>
      </c>
      <c r="N270" s="36" t="str">
        <f>IFERROR(KPI_TARGETS!$E$7,"Higher is better")</f>
        <v>Higher is better</v>
      </c>
      <c r="O270" s="37">
        <f t="shared" ca="1" si="24"/>
        <v>0</v>
      </c>
      <c r="P270" t="str">
        <f t="shared" ca="1" si="25"/>
        <v>Red</v>
      </c>
      <c r="Q270" s="36">
        <f t="shared" ca="1" si="26"/>
        <v>-8000</v>
      </c>
      <c r="R270" s="36" t="str">
        <f>""</f>
        <v/>
      </c>
      <c r="S270" s="36" t="str">
        <f>""</f>
        <v/>
      </c>
      <c r="T270" s="36" t="str">
        <f>""</f>
        <v/>
      </c>
      <c r="U270" s="36" t="str">
        <f>""</f>
        <v/>
      </c>
      <c r="V270" s="36" t="str">
        <f>""</f>
        <v/>
      </c>
      <c r="W270" s="36">
        <f t="shared" si="27"/>
        <v>1</v>
      </c>
      <c r="X270" t="str">
        <f t="shared" si="28"/>
        <v>OK</v>
      </c>
      <c r="Y270" t="str">
        <f>IF(MAIN!$H$3="Selected Year",IF(A270=MAIN!$B$3,"Yes","No"),IF(MAIN!$H$3="Included Years",IF(D270="Yes","Yes","No"),IF(C270="Yes","Yes","No")))</f>
        <v>No</v>
      </c>
      <c r="Z270" t="str">
        <f>IF(MAIN!$F$3="Project to Date",IF(AND(A270&gt;=SETTINGS!$B$4,A270&lt;MAIN!$B$3),"Yes",IF(AND(A270=MAIN!$B$3,E270&lt;=MAIN!$L$3),"Yes","No")),IF(OR(MAIN!$F$3="Full Year",MAIN!$D$3="All"),"Yes",IF(MAIN!$F$3="Monthly",IF(E270=MAIN!$L$3,"Yes","No"),IF(E270&lt;=MAIN!$L$3,"Yes","No"))))</f>
        <v>Yes</v>
      </c>
      <c r="AA270" t="str">
        <f t="shared" si="29"/>
        <v>No</v>
      </c>
    </row>
    <row r="271" spans="1:27" x14ac:dyDescent="0.3">
      <c r="A271">
        <f>INDEX(SETTINGS!$A$15:$A$24,$B271)</f>
        <v>2026</v>
      </c>
      <c r="B271">
        <v>2</v>
      </c>
      <c r="C271" t="str">
        <f>IF(AND(A271&gt;=SETTINGS!$B$4,A271&lt;=SETTINGS!$B$5),"Yes","No")</f>
        <v>Yes</v>
      </c>
      <c r="D271" t="str">
        <f>IFERROR(INDEX(SETTINGS!$C$15:$C$24,MATCH(A271,SETTINGS!$A$15:$A$24,0)),"No")</f>
        <v>Yes</v>
      </c>
      <c r="E271">
        <v>3</v>
      </c>
      <c r="F271" t="s">
        <v>36</v>
      </c>
      <c r="G271">
        <v>61</v>
      </c>
      <c r="H271" t="s">
        <v>95</v>
      </c>
      <c r="I271" t="s">
        <v>15</v>
      </c>
      <c r="J271" t="s">
        <v>16</v>
      </c>
      <c r="K271" t="s">
        <v>3</v>
      </c>
      <c r="L271" s="36">
        <f ca="1">IF(C271&lt;&gt;"Yes",0,IF(A271=2025,N('2025'!D61),IF(A271=2026,N('2026'!D61),IF(A271=2027,N('2027'!D61),IF(A271=2028,N('2028'!D61),IF(A271=2029,N('2029'!D61),IF(A271=2030,N('2030'!D61),IF(A271=2031,N('2031'!D61),IF(A271=2032,N('2032'!D61),IF(A271=2033,N('2033'!D61),IF(A271=2034,N('2034'!D61),IFERROR(N(INDIRECT("'"&amp;A271&amp;"'!D"&amp;G271)),0))))))))))))</f>
        <v>0</v>
      </c>
      <c r="M271" s="36">
        <f>IFERROR(IF(NOT(ISBLANK(KPI_TARGETS!$H$8)),KPI_TARGETS!$H$8,IF(NOT(ISBLANK(KPI_TARGETS!$F$8)),KPI_TARGETS!$F$8,"")),"")</f>
        <v>0</v>
      </c>
      <c r="N271" s="36" t="str">
        <f>IFERROR(KPI_TARGETS!$E$8,"Higher is better")</f>
        <v>Lower is better</v>
      </c>
      <c r="O271" s="37">
        <f t="shared" ca="1" si="24"/>
        <v>1</v>
      </c>
      <c r="P271" t="str">
        <f t="shared" ca="1" si="25"/>
        <v>Green</v>
      </c>
      <c r="Q271" s="36">
        <f t="shared" ca="1" si="26"/>
        <v>0</v>
      </c>
      <c r="R271" s="36" t="str">
        <f>""</f>
        <v/>
      </c>
      <c r="S271" s="36" t="str">
        <f>""</f>
        <v/>
      </c>
      <c r="T271" s="36" t="str">
        <f>""</f>
        <v/>
      </c>
      <c r="U271" s="36" t="str">
        <f>""</f>
        <v/>
      </c>
      <c r="V271" s="36" t="str">
        <f>""</f>
        <v/>
      </c>
      <c r="W271" s="36">
        <f t="shared" si="27"/>
        <v>1</v>
      </c>
      <c r="X271" t="str">
        <f t="shared" si="28"/>
        <v>OK</v>
      </c>
      <c r="Y271" t="str">
        <f>IF(MAIN!$H$3="Selected Year",IF(A271=MAIN!$B$3,"Yes","No"),IF(MAIN!$H$3="Included Years",IF(D271="Yes","Yes","No"),IF(C271="Yes","Yes","No")))</f>
        <v>No</v>
      </c>
      <c r="Z271" t="str">
        <f>IF(MAIN!$F$3="Project to Date",IF(AND(A271&gt;=SETTINGS!$B$4,A271&lt;MAIN!$B$3),"Yes",IF(AND(A271=MAIN!$B$3,E271&lt;=MAIN!$L$3),"Yes","No")),IF(OR(MAIN!$F$3="Full Year",MAIN!$D$3="All"),"Yes",IF(MAIN!$F$3="Monthly",IF(E271=MAIN!$L$3,"Yes","No"),IF(E271&lt;=MAIN!$L$3,"Yes","No"))))</f>
        <v>Yes</v>
      </c>
      <c r="AA271" t="str">
        <f t="shared" si="29"/>
        <v>No</v>
      </c>
    </row>
    <row r="272" spans="1:27" x14ac:dyDescent="0.3">
      <c r="A272">
        <f>INDEX(SETTINGS!$A$15:$A$24,$B272)</f>
        <v>2026</v>
      </c>
      <c r="B272">
        <v>2</v>
      </c>
      <c r="C272" t="str">
        <f>IF(AND(A272&gt;=SETTINGS!$B$4,A272&lt;=SETTINGS!$B$5),"Yes","No")</f>
        <v>Yes</v>
      </c>
      <c r="D272" t="str">
        <f>IFERROR(INDEX(SETTINGS!$C$15:$C$24,MATCH(A272,SETTINGS!$A$15:$A$24,0)),"No")</f>
        <v>Yes</v>
      </c>
      <c r="E272">
        <v>3</v>
      </c>
      <c r="F272" t="s">
        <v>36</v>
      </c>
      <c r="G272">
        <v>62</v>
      </c>
      <c r="H272" t="s">
        <v>97</v>
      </c>
      <c r="I272" t="s">
        <v>15</v>
      </c>
      <c r="J272" t="s">
        <v>17</v>
      </c>
      <c r="K272" t="s">
        <v>3</v>
      </c>
      <c r="L272" s="36">
        <f ca="1">IF(C272&lt;&gt;"Yes",0,IF(A272=2025,N('2025'!D62),IF(A272=2026,N('2026'!D62),IF(A272=2027,N('2027'!D62),IF(A272=2028,N('2028'!D62),IF(A272=2029,N('2029'!D62),IF(A272=2030,N('2030'!D62),IF(A272=2031,N('2031'!D62),IF(A272=2032,N('2032'!D62),IF(A272=2033,N('2033'!D62),IF(A272=2034,N('2034'!D62),IFERROR(N(INDIRECT("'"&amp;A272&amp;"'!D"&amp;G272)),0))))))))))))</f>
        <v>0</v>
      </c>
      <c r="M272" s="36">
        <f>IFERROR(IF(NOT(ISBLANK(KPI_TARGETS!$H$9)),KPI_TARGETS!$H$9,IF(NOT(ISBLANK(KPI_TARGETS!$F$9)),KPI_TARGETS!$F$9,"")),"")</f>
        <v>0</v>
      </c>
      <c r="N272" s="36" t="str">
        <f>IFERROR(KPI_TARGETS!$E$9,"Higher is better")</f>
        <v>Higher is better</v>
      </c>
      <c r="O272" s="37" t="str">
        <f t="shared" ca="1" si="24"/>
        <v/>
      </c>
      <c r="P272" t="str">
        <f t="shared" ca="1" si="25"/>
        <v>Green</v>
      </c>
      <c r="Q272" s="36">
        <f t="shared" ca="1" si="26"/>
        <v>0</v>
      </c>
      <c r="R272" s="36" t="str">
        <f>""</f>
        <v/>
      </c>
      <c r="S272" s="36" t="str">
        <f>""</f>
        <v/>
      </c>
      <c r="T272" s="36" t="str">
        <f>""</f>
        <v/>
      </c>
      <c r="U272" s="36" t="str">
        <f>""</f>
        <v/>
      </c>
      <c r="V272" s="36" t="str">
        <f>""</f>
        <v/>
      </c>
      <c r="W272" s="36">
        <f t="shared" si="27"/>
        <v>1</v>
      </c>
      <c r="X272" t="str">
        <f t="shared" si="28"/>
        <v>OK</v>
      </c>
      <c r="Y272" t="str">
        <f>IF(MAIN!$H$3="Selected Year",IF(A272=MAIN!$B$3,"Yes","No"),IF(MAIN!$H$3="Included Years",IF(D272="Yes","Yes","No"),IF(C272="Yes","Yes","No")))</f>
        <v>No</v>
      </c>
      <c r="Z272" t="str">
        <f>IF(MAIN!$F$3="Project to Date",IF(AND(A272&gt;=SETTINGS!$B$4,A272&lt;MAIN!$B$3),"Yes",IF(AND(A272=MAIN!$B$3,E272&lt;=MAIN!$L$3),"Yes","No")),IF(OR(MAIN!$F$3="Full Year",MAIN!$D$3="All"),"Yes",IF(MAIN!$F$3="Monthly",IF(E272=MAIN!$L$3,"Yes","No"),IF(E272&lt;=MAIN!$L$3,"Yes","No"))))</f>
        <v>Yes</v>
      </c>
      <c r="AA272" t="str">
        <f t="shared" si="29"/>
        <v>No</v>
      </c>
    </row>
    <row r="273" spans="1:27" x14ac:dyDescent="0.3">
      <c r="A273">
        <f>INDEX(SETTINGS!$A$15:$A$24,$B273)</f>
        <v>2026</v>
      </c>
      <c r="B273">
        <v>2</v>
      </c>
      <c r="C273" t="str">
        <f>IF(AND(A273&gt;=SETTINGS!$B$4,A273&lt;=SETTINGS!$B$5),"Yes","No")</f>
        <v>Yes</v>
      </c>
      <c r="D273" t="str">
        <f>IFERROR(INDEX(SETTINGS!$C$15:$C$24,MATCH(A273,SETTINGS!$A$15:$A$24,0)),"No")</f>
        <v>Yes</v>
      </c>
      <c r="E273">
        <v>3</v>
      </c>
      <c r="F273" t="s">
        <v>36</v>
      </c>
      <c r="G273">
        <v>63</v>
      </c>
      <c r="H273" t="s">
        <v>99</v>
      </c>
      <c r="I273" t="s">
        <v>15</v>
      </c>
      <c r="J273" t="s">
        <v>18</v>
      </c>
      <c r="K273" t="s">
        <v>3</v>
      </c>
      <c r="L273" s="36">
        <f ca="1">IF(C273&lt;&gt;"Yes",0,IF(A273=2025,N('2025'!D63),IF(A273=2026,N('2026'!D63),IF(A273=2027,N('2027'!D63),IF(A273=2028,N('2028'!D63),IF(A273=2029,N('2029'!D63),IF(A273=2030,N('2030'!D63),IF(A273=2031,N('2031'!D63),IF(A273=2032,N('2032'!D63),IF(A273=2033,N('2033'!D63),IF(A273=2034,N('2034'!D63),IFERROR(N(INDIRECT("'"&amp;A273&amp;"'!D"&amp;G273)),0))))))))))))</f>
        <v>0</v>
      </c>
      <c r="M273" s="36">
        <f>IFERROR(IF(NOT(ISBLANK(KPI_TARGETS!$H$10)),KPI_TARGETS!$H$10,IF(NOT(ISBLANK(KPI_TARGETS!$F$10)),KPI_TARGETS!$F$10,"")),"")</f>
        <v>0</v>
      </c>
      <c r="N273" s="36" t="str">
        <f>IFERROR(KPI_TARGETS!$E$10,"Higher is better")</f>
        <v>Lower is better</v>
      </c>
      <c r="O273" s="37">
        <f t="shared" ca="1" si="24"/>
        <v>1</v>
      </c>
      <c r="P273" t="str">
        <f t="shared" ca="1" si="25"/>
        <v>Green</v>
      </c>
      <c r="Q273" s="36">
        <f t="shared" ca="1" si="26"/>
        <v>0</v>
      </c>
      <c r="R273" s="36" t="str">
        <f>""</f>
        <v/>
      </c>
      <c r="S273" s="36" t="str">
        <f>""</f>
        <v/>
      </c>
      <c r="T273" s="36" t="str">
        <f>""</f>
        <v/>
      </c>
      <c r="U273" s="36" t="str">
        <f>""</f>
        <v/>
      </c>
      <c r="V273" s="36" t="str">
        <f>""</f>
        <v/>
      </c>
      <c r="W273" s="36">
        <f t="shared" si="27"/>
        <v>1</v>
      </c>
      <c r="X273" t="str">
        <f t="shared" si="28"/>
        <v>OK</v>
      </c>
      <c r="Y273" t="str">
        <f>IF(MAIN!$H$3="Selected Year",IF(A273=MAIN!$B$3,"Yes","No"),IF(MAIN!$H$3="Included Years",IF(D273="Yes","Yes","No"),IF(C273="Yes","Yes","No")))</f>
        <v>No</v>
      </c>
      <c r="Z273" t="str">
        <f>IF(MAIN!$F$3="Project to Date",IF(AND(A273&gt;=SETTINGS!$B$4,A273&lt;MAIN!$B$3),"Yes",IF(AND(A273=MAIN!$B$3,E273&lt;=MAIN!$L$3),"Yes","No")),IF(OR(MAIN!$F$3="Full Year",MAIN!$D$3="All"),"Yes",IF(MAIN!$F$3="Monthly",IF(E273=MAIN!$L$3,"Yes","No"),IF(E273&lt;=MAIN!$L$3,"Yes","No"))))</f>
        <v>Yes</v>
      </c>
      <c r="AA273" t="str">
        <f t="shared" si="29"/>
        <v>No</v>
      </c>
    </row>
    <row r="274" spans="1:27" x14ac:dyDescent="0.3">
      <c r="A274">
        <f>INDEX(SETTINGS!$A$15:$A$24,$B274)</f>
        <v>2026</v>
      </c>
      <c r="B274">
        <v>2</v>
      </c>
      <c r="C274" t="str">
        <f>IF(AND(A274&gt;=SETTINGS!$B$4,A274&lt;=SETTINGS!$B$5),"Yes","No")</f>
        <v>Yes</v>
      </c>
      <c r="D274" t="str">
        <f>IFERROR(INDEX(SETTINGS!$C$15:$C$24,MATCH(A274,SETTINGS!$A$15:$A$24,0)),"No")</f>
        <v>Yes</v>
      </c>
      <c r="E274">
        <v>3</v>
      </c>
      <c r="F274" t="s">
        <v>36</v>
      </c>
      <c r="G274">
        <v>64</v>
      </c>
      <c r="H274" t="s">
        <v>100</v>
      </c>
      <c r="I274" t="s">
        <v>15</v>
      </c>
      <c r="J274" t="s">
        <v>19</v>
      </c>
      <c r="K274" t="s">
        <v>3</v>
      </c>
      <c r="L274" s="36">
        <f ca="1">IF(C274&lt;&gt;"Yes",0,IF(A274=2025,N('2025'!D64),IF(A274=2026,N('2026'!D64),IF(A274=2027,N('2027'!D64),IF(A274=2028,N('2028'!D64),IF(A274=2029,N('2029'!D64),IF(A274=2030,N('2030'!D64),IF(A274=2031,N('2031'!D64),IF(A274=2032,N('2032'!D64),IF(A274=2033,N('2033'!D64),IF(A274=2034,N('2034'!D64),IFERROR(N(INDIRECT("'"&amp;A274&amp;"'!D"&amp;G274)),0))))))))))))</f>
        <v>0</v>
      </c>
      <c r="M274" s="36">
        <f>IFERROR(IF(NOT(ISBLANK(KPI_TARGETS!$H$11)),KPI_TARGETS!$H$11,IF(NOT(ISBLANK(KPI_TARGETS!$F$11)),KPI_TARGETS!$F$11,"")),"")</f>
        <v>0</v>
      </c>
      <c r="N274" s="36" t="str">
        <f>IFERROR(KPI_TARGETS!$E$11,"Higher is better")</f>
        <v>Lower is better</v>
      </c>
      <c r="O274" s="37">
        <f t="shared" ca="1" si="24"/>
        <v>1</v>
      </c>
      <c r="P274" t="str">
        <f t="shared" ca="1" si="25"/>
        <v>Green</v>
      </c>
      <c r="Q274" s="36">
        <f t="shared" ca="1" si="26"/>
        <v>0</v>
      </c>
      <c r="R274" s="36" t="str">
        <f>""</f>
        <v/>
      </c>
      <c r="S274" s="36" t="str">
        <f>""</f>
        <v/>
      </c>
      <c r="T274" s="36" t="str">
        <f>""</f>
        <v/>
      </c>
      <c r="U274" s="36" t="str">
        <f>""</f>
        <v/>
      </c>
      <c r="V274" s="36" t="str">
        <f>""</f>
        <v/>
      </c>
      <c r="W274" s="36">
        <f t="shared" si="27"/>
        <v>1</v>
      </c>
      <c r="X274" t="str">
        <f t="shared" si="28"/>
        <v>OK</v>
      </c>
      <c r="Y274" t="str">
        <f>IF(MAIN!$H$3="Selected Year",IF(A274=MAIN!$B$3,"Yes","No"),IF(MAIN!$H$3="Included Years",IF(D274="Yes","Yes","No"),IF(C274="Yes","Yes","No")))</f>
        <v>No</v>
      </c>
      <c r="Z274" t="str">
        <f>IF(MAIN!$F$3="Project to Date",IF(AND(A274&gt;=SETTINGS!$B$4,A274&lt;MAIN!$B$3),"Yes",IF(AND(A274=MAIN!$B$3,E274&lt;=MAIN!$L$3),"Yes","No")),IF(OR(MAIN!$F$3="Full Year",MAIN!$D$3="All"),"Yes",IF(MAIN!$F$3="Monthly",IF(E274=MAIN!$L$3,"Yes","No"),IF(E274&lt;=MAIN!$L$3,"Yes","No"))))</f>
        <v>Yes</v>
      </c>
      <c r="AA274" t="str">
        <f t="shared" si="29"/>
        <v>No</v>
      </c>
    </row>
    <row r="275" spans="1:27" x14ac:dyDescent="0.3">
      <c r="A275">
        <f>INDEX(SETTINGS!$A$15:$A$24,$B275)</f>
        <v>2026</v>
      </c>
      <c r="B275">
        <v>2</v>
      </c>
      <c r="C275" t="str">
        <f>IF(AND(A275&gt;=SETTINGS!$B$4,A275&lt;=SETTINGS!$B$5),"Yes","No")</f>
        <v>Yes</v>
      </c>
      <c r="D275" t="str">
        <f>IFERROR(INDEX(SETTINGS!$C$15:$C$24,MATCH(A275,SETTINGS!$A$15:$A$24,0)),"No")</f>
        <v>Yes</v>
      </c>
      <c r="E275">
        <v>3</v>
      </c>
      <c r="F275" t="s">
        <v>36</v>
      </c>
      <c r="G275">
        <v>65</v>
      </c>
      <c r="H275" t="s">
        <v>101</v>
      </c>
      <c r="I275" t="s">
        <v>15</v>
      </c>
      <c r="J275" t="s">
        <v>20</v>
      </c>
      <c r="K275" t="s">
        <v>3</v>
      </c>
      <c r="L275" s="36">
        <f ca="1">IF(C275&lt;&gt;"Yes",0,IF(A275=2025,N('2025'!D65),IF(A275=2026,N('2026'!D65),IF(A275=2027,N('2027'!D65),IF(A275=2028,N('2028'!D65),IF(A275=2029,N('2029'!D65),IF(A275=2030,N('2030'!D65),IF(A275=2031,N('2031'!D65),IF(A275=2032,N('2032'!D65),IF(A275=2033,N('2033'!D65),IF(A275=2034,N('2034'!D65),IFERROR(N(INDIRECT("'"&amp;A275&amp;"'!D"&amp;G275)),0))))))))))))</f>
        <v>0</v>
      </c>
      <c r="M275" s="36">
        <f>IFERROR(IF(NOT(ISBLANK(KPI_TARGETS!$H$12)),KPI_TARGETS!$H$12,IF(NOT(ISBLANK(KPI_TARGETS!$F$12)),KPI_TARGETS!$F$12,"")),"")</f>
        <v>0</v>
      </c>
      <c r="N275" s="36" t="str">
        <f>IFERROR(KPI_TARGETS!$E$12,"Higher is better")</f>
        <v>Lower is better</v>
      </c>
      <c r="O275" s="37">
        <f t="shared" ca="1" si="24"/>
        <v>1</v>
      </c>
      <c r="P275" t="str">
        <f t="shared" ca="1" si="25"/>
        <v>Green</v>
      </c>
      <c r="Q275" s="36">
        <f t="shared" ca="1" si="26"/>
        <v>0</v>
      </c>
      <c r="R275" s="36" t="str">
        <f>""</f>
        <v/>
      </c>
      <c r="S275" s="36" t="str">
        <f>""</f>
        <v/>
      </c>
      <c r="T275" s="36" t="str">
        <f>""</f>
        <v/>
      </c>
      <c r="U275" s="36" t="str">
        <f>""</f>
        <v/>
      </c>
      <c r="V275" s="36" t="str">
        <f>""</f>
        <v/>
      </c>
      <c r="W275" s="36">
        <f t="shared" si="27"/>
        <v>1</v>
      </c>
      <c r="X275" t="str">
        <f t="shared" si="28"/>
        <v>OK</v>
      </c>
      <c r="Y275" t="str">
        <f>IF(MAIN!$H$3="Selected Year",IF(A275=MAIN!$B$3,"Yes","No"),IF(MAIN!$H$3="Included Years",IF(D275="Yes","Yes","No"),IF(C275="Yes","Yes","No")))</f>
        <v>No</v>
      </c>
      <c r="Z275" t="str">
        <f>IF(MAIN!$F$3="Project to Date",IF(AND(A275&gt;=SETTINGS!$B$4,A275&lt;MAIN!$B$3),"Yes",IF(AND(A275=MAIN!$B$3,E275&lt;=MAIN!$L$3),"Yes","No")),IF(OR(MAIN!$F$3="Full Year",MAIN!$D$3="All"),"Yes",IF(MAIN!$F$3="Monthly",IF(E275=MAIN!$L$3,"Yes","No"),IF(E275&lt;=MAIN!$L$3,"Yes","No"))))</f>
        <v>Yes</v>
      </c>
      <c r="AA275" t="str">
        <f t="shared" si="29"/>
        <v>No</v>
      </c>
    </row>
    <row r="276" spans="1:27" x14ac:dyDescent="0.3">
      <c r="A276">
        <f>INDEX(SETTINGS!$A$15:$A$24,$B276)</f>
        <v>2026</v>
      </c>
      <c r="B276">
        <v>2</v>
      </c>
      <c r="C276" t="str">
        <f>IF(AND(A276&gt;=SETTINGS!$B$4,A276&lt;=SETTINGS!$B$5),"Yes","No")</f>
        <v>Yes</v>
      </c>
      <c r="D276" t="str">
        <f>IFERROR(INDEX(SETTINGS!$C$15:$C$24,MATCH(A276,SETTINGS!$A$15:$A$24,0)),"No")</f>
        <v>Yes</v>
      </c>
      <c r="E276">
        <v>3</v>
      </c>
      <c r="F276" t="s">
        <v>36</v>
      </c>
      <c r="G276">
        <v>66</v>
      </c>
      <c r="H276" t="s">
        <v>102</v>
      </c>
      <c r="I276" t="s">
        <v>15</v>
      </c>
      <c r="J276" t="s">
        <v>21</v>
      </c>
      <c r="K276" t="s">
        <v>3</v>
      </c>
      <c r="L276" s="36">
        <f ca="1">IF(C276&lt;&gt;"Yes",0,IF(A276=2025,N('2025'!D66),IF(A276=2026,N('2026'!D66),IF(A276=2027,N('2027'!D66),IF(A276=2028,N('2028'!D66),IF(A276=2029,N('2029'!D66),IF(A276=2030,N('2030'!D66),IF(A276=2031,N('2031'!D66),IF(A276=2032,N('2032'!D66),IF(A276=2033,N('2033'!D66),IF(A276=2034,N('2034'!D66),IFERROR(N(INDIRECT("'"&amp;A276&amp;"'!D"&amp;G276)),0))))))))))))</f>
        <v>0</v>
      </c>
      <c r="M276" s="36">
        <f>IFERROR(IF(NOT(ISBLANK(KPI_TARGETS!$H$13)),KPI_TARGETS!$H$13,IF(NOT(ISBLANK(KPI_TARGETS!$F$13)),KPI_TARGETS!$F$13,"")),"")</f>
        <v>0</v>
      </c>
      <c r="N276" s="36" t="str">
        <f>IFERROR(KPI_TARGETS!$E$13,"Higher is better")</f>
        <v>Lower is better</v>
      </c>
      <c r="O276" s="37">
        <f t="shared" ca="1" si="24"/>
        <v>1</v>
      </c>
      <c r="P276" t="str">
        <f t="shared" ca="1" si="25"/>
        <v>Green</v>
      </c>
      <c r="Q276" s="36">
        <f t="shared" ca="1" si="26"/>
        <v>0</v>
      </c>
      <c r="R276" s="36" t="str">
        <f>""</f>
        <v/>
      </c>
      <c r="S276" s="36" t="str">
        <f>""</f>
        <v/>
      </c>
      <c r="T276" s="36" t="str">
        <f>""</f>
        <v/>
      </c>
      <c r="U276" s="36" t="str">
        <f>""</f>
        <v/>
      </c>
      <c r="V276" s="36" t="str">
        <f>""</f>
        <v/>
      </c>
      <c r="W276" s="36">
        <f t="shared" si="27"/>
        <v>1</v>
      </c>
      <c r="X276" t="str">
        <f t="shared" si="28"/>
        <v>OK</v>
      </c>
      <c r="Y276" t="str">
        <f>IF(MAIN!$H$3="Selected Year",IF(A276=MAIN!$B$3,"Yes","No"),IF(MAIN!$H$3="Included Years",IF(D276="Yes","Yes","No"),IF(C276="Yes","Yes","No")))</f>
        <v>No</v>
      </c>
      <c r="Z276" t="str">
        <f>IF(MAIN!$F$3="Project to Date",IF(AND(A276&gt;=SETTINGS!$B$4,A276&lt;MAIN!$B$3),"Yes",IF(AND(A276=MAIN!$B$3,E276&lt;=MAIN!$L$3),"Yes","No")),IF(OR(MAIN!$F$3="Full Year",MAIN!$D$3="All"),"Yes",IF(MAIN!$F$3="Monthly",IF(E276=MAIN!$L$3,"Yes","No"),IF(E276&lt;=MAIN!$L$3,"Yes","No"))))</f>
        <v>Yes</v>
      </c>
      <c r="AA276" t="str">
        <f t="shared" si="29"/>
        <v>No</v>
      </c>
    </row>
    <row r="277" spans="1:27" x14ac:dyDescent="0.3">
      <c r="A277">
        <f>INDEX(SETTINGS!$A$15:$A$24,$B277)</f>
        <v>2026</v>
      </c>
      <c r="B277">
        <v>2</v>
      </c>
      <c r="C277" t="str">
        <f>IF(AND(A277&gt;=SETTINGS!$B$4,A277&lt;=SETTINGS!$B$5),"Yes","No")</f>
        <v>Yes</v>
      </c>
      <c r="D277" t="str">
        <f>IFERROR(INDEX(SETTINGS!$C$15:$C$24,MATCH(A277,SETTINGS!$A$15:$A$24,0)),"No")</f>
        <v>Yes</v>
      </c>
      <c r="E277">
        <v>3</v>
      </c>
      <c r="F277" t="s">
        <v>36</v>
      </c>
      <c r="G277">
        <v>68</v>
      </c>
      <c r="H277" t="s">
        <v>103</v>
      </c>
      <c r="I277" t="s">
        <v>22</v>
      </c>
      <c r="J277" t="s">
        <v>23</v>
      </c>
      <c r="K277" t="s">
        <v>3</v>
      </c>
      <c r="L277" s="36">
        <f ca="1">IF(C277&lt;&gt;"Yes",0,IF(A277=2025,N('2025'!D68),IF(A277=2026,N('2026'!D68),IF(A277=2027,N('2027'!D68),IF(A277=2028,N('2028'!D68),IF(A277=2029,N('2029'!D68),IF(A277=2030,N('2030'!D68),IF(A277=2031,N('2031'!D68),IF(A277=2032,N('2032'!D68),IF(A277=2033,N('2033'!D68),IF(A277=2034,N('2034'!D68),IFERROR(N(INDIRECT("'"&amp;A277&amp;"'!D"&amp;G277)),0))))))))))))</f>
        <v>28</v>
      </c>
      <c r="M277" s="36">
        <f>IFERROR(IF(NOT(ISBLANK(KPI_TARGETS!$H$14)),KPI_TARGETS!$H$14,IF(NOT(ISBLANK(KPI_TARGETS!$F$14)),KPI_TARGETS!$F$14,"")),"")</f>
        <v>35</v>
      </c>
      <c r="N277" s="36" t="str">
        <f>IFERROR(KPI_TARGETS!$E$14,"Higher is better")</f>
        <v>Higher is better</v>
      </c>
      <c r="O277" s="37">
        <f t="shared" ca="1" si="24"/>
        <v>0.8</v>
      </c>
      <c r="P277" t="str">
        <f t="shared" ca="1" si="25"/>
        <v>Amber</v>
      </c>
      <c r="Q277" s="36">
        <f t="shared" ca="1" si="26"/>
        <v>-7</v>
      </c>
      <c r="R277" s="36" t="str">
        <f>""</f>
        <v/>
      </c>
      <c r="S277" s="36" t="str">
        <f>""</f>
        <v/>
      </c>
      <c r="T277" s="36" t="str">
        <f>""</f>
        <v/>
      </c>
      <c r="U277" s="36" t="str">
        <f>""</f>
        <v/>
      </c>
      <c r="V277" s="36" t="str">
        <f>""</f>
        <v/>
      </c>
      <c r="W277" s="36">
        <f t="shared" si="27"/>
        <v>1</v>
      </c>
      <c r="X277" t="str">
        <f t="shared" si="28"/>
        <v>OK</v>
      </c>
      <c r="Y277" t="str">
        <f>IF(MAIN!$H$3="Selected Year",IF(A277=MAIN!$B$3,"Yes","No"),IF(MAIN!$H$3="Included Years",IF(D277="Yes","Yes","No"),IF(C277="Yes","Yes","No")))</f>
        <v>No</v>
      </c>
      <c r="Z277" t="str">
        <f>IF(MAIN!$F$3="Project to Date",IF(AND(A277&gt;=SETTINGS!$B$4,A277&lt;MAIN!$B$3),"Yes",IF(AND(A277=MAIN!$B$3,E277&lt;=MAIN!$L$3),"Yes","No")),IF(OR(MAIN!$F$3="Full Year",MAIN!$D$3="All"),"Yes",IF(MAIN!$F$3="Monthly",IF(E277=MAIN!$L$3,"Yes","No"),IF(E277&lt;=MAIN!$L$3,"Yes","No"))))</f>
        <v>Yes</v>
      </c>
      <c r="AA277" t="str">
        <f t="shared" si="29"/>
        <v>No</v>
      </c>
    </row>
    <row r="278" spans="1:27" x14ac:dyDescent="0.3">
      <c r="A278">
        <f>INDEX(SETTINGS!$A$15:$A$24,$B278)</f>
        <v>2026</v>
      </c>
      <c r="B278">
        <v>2</v>
      </c>
      <c r="C278" t="str">
        <f>IF(AND(A278&gt;=SETTINGS!$B$4,A278&lt;=SETTINGS!$B$5),"Yes","No")</f>
        <v>Yes</v>
      </c>
      <c r="D278" t="str">
        <f>IFERROR(INDEX(SETTINGS!$C$15:$C$24,MATCH(A278,SETTINGS!$A$15:$A$24,0)),"No")</f>
        <v>Yes</v>
      </c>
      <c r="E278">
        <v>3</v>
      </c>
      <c r="F278" t="s">
        <v>36</v>
      </c>
      <c r="G278">
        <v>69</v>
      </c>
      <c r="H278" t="s">
        <v>104</v>
      </c>
      <c r="I278" t="s">
        <v>22</v>
      </c>
      <c r="J278" t="s">
        <v>24</v>
      </c>
      <c r="K278" t="s">
        <v>3</v>
      </c>
      <c r="L278" s="36">
        <f ca="1">IF(C278&lt;&gt;"Yes",0,IF(A278=2025,N('2025'!D69),IF(A278=2026,N('2026'!D69),IF(A278=2027,N('2027'!D69),IF(A278=2028,N('2028'!D69),IF(A278=2029,N('2029'!D69),IF(A278=2030,N('2030'!D69),IF(A278=2031,N('2031'!D69),IF(A278=2032,N('2032'!D69),IF(A278=2033,N('2033'!D69),IF(A278=2034,N('2034'!D69),IFERROR(N(INDIRECT("'"&amp;A278&amp;"'!D"&amp;G278)),0))))))))))))</f>
        <v>4</v>
      </c>
      <c r="M278" s="36">
        <f>IFERROR(IF(NOT(ISBLANK(KPI_TARGETS!$H$15)),KPI_TARGETS!$H$15,IF(NOT(ISBLANK(KPI_TARGETS!$F$15)),KPI_TARGETS!$F$15,"")),"")</f>
        <v>5</v>
      </c>
      <c r="N278" s="36" t="str">
        <f>IFERROR(KPI_TARGETS!$E$15,"Higher is better")</f>
        <v>Higher is better</v>
      </c>
      <c r="O278" s="37">
        <f t="shared" ca="1" si="24"/>
        <v>0.8</v>
      </c>
      <c r="P278" t="str">
        <f t="shared" ca="1" si="25"/>
        <v>Amber</v>
      </c>
      <c r="Q278" s="36">
        <f t="shared" ca="1" si="26"/>
        <v>-1</v>
      </c>
      <c r="R278" s="36" t="str">
        <f>""</f>
        <v/>
      </c>
      <c r="S278" s="36" t="str">
        <f>""</f>
        <v/>
      </c>
      <c r="T278" s="36" t="str">
        <f>""</f>
        <v/>
      </c>
      <c r="U278" s="36" t="str">
        <f>""</f>
        <v/>
      </c>
      <c r="V278" s="36" t="str">
        <f>""</f>
        <v/>
      </c>
      <c r="W278" s="36">
        <f t="shared" si="27"/>
        <v>1</v>
      </c>
      <c r="X278" t="str">
        <f t="shared" si="28"/>
        <v>OK</v>
      </c>
      <c r="Y278" t="str">
        <f>IF(MAIN!$H$3="Selected Year",IF(A278=MAIN!$B$3,"Yes","No"),IF(MAIN!$H$3="Included Years",IF(D278="Yes","Yes","No"),IF(C278="Yes","Yes","No")))</f>
        <v>No</v>
      </c>
      <c r="Z278" t="str">
        <f>IF(MAIN!$F$3="Project to Date",IF(AND(A278&gt;=SETTINGS!$B$4,A278&lt;MAIN!$B$3),"Yes",IF(AND(A278=MAIN!$B$3,E278&lt;=MAIN!$L$3),"Yes","No")),IF(OR(MAIN!$F$3="Full Year",MAIN!$D$3="All"),"Yes",IF(MAIN!$F$3="Monthly",IF(E278=MAIN!$L$3,"Yes","No"),IF(E278&lt;=MAIN!$L$3,"Yes","No"))))</f>
        <v>Yes</v>
      </c>
      <c r="AA278" t="str">
        <f t="shared" si="29"/>
        <v>No</v>
      </c>
    </row>
    <row r="279" spans="1:27" x14ac:dyDescent="0.3">
      <c r="A279">
        <f>INDEX(SETTINGS!$A$15:$A$24,$B279)</f>
        <v>2026</v>
      </c>
      <c r="B279">
        <v>2</v>
      </c>
      <c r="C279" t="str">
        <f>IF(AND(A279&gt;=SETTINGS!$B$4,A279&lt;=SETTINGS!$B$5),"Yes","No")</f>
        <v>Yes</v>
      </c>
      <c r="D279" t="str">
        <f>IFERROR(INDEX(SETTINGS!$C$15:$C$24,MATCH(A279,SETTINGS!$A$15:$A$24,0)),"No")</f>
        <v>Yes</v>
      </c>
      <c r="E279">
        <v>3</v>
      </c>
      <c r="F279" t="s">
        <v>36</v>
      </c>
      <c r="G279">
        <v>70</v>
      </c>
      <c r="H279" t="s">
        <v>105</v>
      </c>
      <c r="I279" t="s">
        <v>22</v>
      </c>
      <c r="J279" t="s">
        <v>25</v>
      </c>
      <c r="K279" t="s">
        <v>3</v>
      </c>
      <c r="L279" s="36">
        <f ca="1">IF(C279&lt;&gt;"Yes",0,IF(A279=2025,N('2025'!D70),IF(A279=2026,N('2026'!D70),IF(A279=2027,N('2027'!D70),IF(A279=2028,N('2028'!D70),IF(A279=2029,N('2029'!D70),IF(A279=2030,N('2030'!D70),IF(A279=2031,N('2031'!D70),IF(A279=2032,N('2032'!D70),IF(A279=2033,N('2033'!D70),IF(A279=2034,N('2034'!D70),IFERROR(N(INDIRECT("'"&amp;A279&amp;"'!D"&amp;G279)),0))))))))))))</f>
        <v>4</v>
      </c>
      <c r="M279" s="36">
        <f>IFERROR(IF(NOT(ISBLANK(KPI_TARGETS!$H$16)),KPI_TARGETS!$H$16,IF(NOT(ISBLANK(KPI_TARGETS!$F$16)),KPI_TARGETS!$F$16,"")),"")</f>
        <v>4</v>
      </c>
      <c r="N279" s="36" t="str">
        <f>IFERROR(KPI_TARGETS!$E$16,"Higher is better")</f>
        <v>Higher is better</v>
      </c>
      <c r="O279" s="37">
        <f t="shared" ca="1" si="24"/>
        <v>1</v>
      </c>
      <c r="P279" t="str">
        <f t="shared" ca="1" si="25"/>
        <v>Green</v>
      </c>
      <c r="Q279" s="36">
        <f t="shared" ca="1" si="26"/>
        <v>0</v>
      </c>
      <c r="R279" s="36" t="str">
        <f>""</f>
        <v/>
      </c>
      <c r="S279" s="36" t="str">
        <f>""</f>
        <v/>
      </c>
      <c r="T279" s="36" t="str">
        <f>""</f>
        <v/>
      </c>
      <c r="U279" s="36" t="str">
        <f>""</f>
        <v/>
      </c>
      <c r="V279" s="36" t="str">
        <f>""</f>
        <v/>
      </c>
      <c r="W279" s="36">
        <f t="shared" si="27"/>
        <v>1</v>
      </c>
      <c r="X279" t="str">
        <f t="shared" si="28"/>
        <v>OK</v>
      </c>
      <c r="Y279" t="str">
        <f>IF(MAIN!$H$3="Selected Year",IF(A279=MAIN!$B$3,"Yes","No"),IF(MAIN!$H$3="Included Years",IF(D279="Yes","Yes","No"),IF(C279="Yes","Yes","No")))</f>
        <v>No</v>
      </c>
      <c r="Z279" t="str">
        <f>IF(MAIN!$F$3="Project to Date",IF(AND(A279&gt;=SETTINGS!$B$4,A279&lt;MAIN!$B$3),"Yes",IF(AND(A279=MAIN!$B$3,E279&lt;=MAIN!$L$3),"Yes","No")),IF(OR(MAIN!$F$3="Full Year",MAIN!$D$3="All"),"Yes",IF(MAIN!$F$3="Monthly",IF(E279=MAIN!$L$3,"Yes","No"),IF(E279&lt;=MAIN!$L$3,"Yes","No"))))</f>
        <v>Yes</v>
      </c>
      <c r="AA279" t="str">
        <f t="shared" si="29"/>
        <v>No</v>
      </c>
    </row>
    <row r="280" spans="1:27" x14ac:dyDescent="0.3">
      <c r="A280">
        <f>INDEX(SETTINGS!$A$15:$A$24,$B280)</f>
        <v>2026</v>
      </c>
      <c r="B280">
        <v>2</v>
      </c>
      <c r="C280" t="str">
        <f>IF(AND(A280&gt;=SETTINGS!$B$4,A280&lt;=SETTINGS!$B$5),"Yes","No")</f>
        <v>Yes</v>
      </c>
      <c r="D280" t="str">
        <f>IFERROR(INDEX(SETTINGS!$C$15:$C$24,MATCH(A280,SETTINGS!$A$15:$A$24,0)),"No")</f>
        <v>Yes</v>
      </c>
      <c r="E280">
        <v>3</v>
      </c>
      <c r="F280" t="s">
        <v>36</v>
      </c>
      <c r="G280">
        <v>71</v>
      </c>
      <c r="H280" t="s">
        <v>106</v>
      </c>
      <c r="I280" t="s">
        <v>22</v>
      </c>
      <c r="J280" t="s">
        <v>26</v>
      </c>
      <c r="K280" t="s">
        <v>3</v>
      </c>
      <c r="L280" s="36">
        <f ca="1">IF(C280&lt;&gt;"Yes",0,IF(A280=2025,N('2025'!D71),IF(A280=2026,N('2026'!D71),IF(A280=2027,N('2027'!D71),IF(A280=2028,N('2028'!D71),IF(A280=2029,N('2029'!D71),IF(A280=2030,N('2030'!D71),IF(A280=2031,N('2031'!D71),IF(A280=2032,N('2032'!D71),IF(A280=2033,N('2033'!D71),IF(A280=2034,N('2034'!D71),IFERROR(N(INDIRECT("'"&amp;A280&amp;"'!D"&amp;G280)),0))))))))))))</f>
        <v>20</v>
      </c>
      <c r="M280" s="36">
        <f>IFERROR(IF(NOT(ISBLANK(KPI_TARGETS!$H$17)),KPI_TARGETS!$H$17,IF(NOT(ISBLANK(KPI_TARGETS!$F$17)),KPI_TARGETS!$F$17,"")),"")</f>
        <v>12</v>
      </c>
      <c r="N280" s="36" t="str">
        <f>IFERROR(KPI_TARGETS!$E$17,"Higher is better")</f>
        <v>Higher is better</v>
      </c>
      <c r="O280" s="37">
        <f t="shared" ca="1" si="24"/>
        <v>1.6666666666666667</v>
      </c>
      <c r="P280" t="str">
        <f t="shared" ca="1" si="25"/>
        <v>Green</v>
      </c>
      <c r="Q280" s="36">
        <f t="shared" ca="1" si="26"/>
        <v>8</v>
      </c>
      <c r="R280" s="36" t="str">
        <f>""</f>
        <v/>
      </c>
      <c r="S280" s="36" t="str">
        <f>""</f>
        <v/>
      </c>
      <c r="T280" s="36" t="str">
        <f>""</f>
        <v/>
      </c>
      <c r="U280" s="36" t="str">
        <f>""</f>
        <v/>
      </c>
      <c r="V280" s="36" t="str">
        <f>""</f>
        <v/>
      </c>
      <c r="W280" s="36">
        <f t="shared" si="27"/>
        <v>1</v>
      </c>
      <c r="X280" t="str">
        <f t="shared" si="28"/>
        <v>OK</v>
      </c>
      <c r="Y280" t="str">
        <f>IF(MAIN!$H$3="Selected Year",IF(A280=MAIN!$B$3,"Yes","No"),IF(MAIN!$H$3="Included Years",IF(D280="Yes","Yes","No"),IF(C280="Yes","Yes","No")))</f>
        <v>No</v>
      </c>
      <c r="Z280" t="str">
        <f>IF(MAIN!$F$3="Project to Date",IF(AND(A280&gt;=SETTINGS!$B$4,A280&lt;MAIN!$B$3),"Yes",IF(AND(A280=MAIN!$B$3,E280&lt;=MAIN!$L$3),"Yes","No")),IF(OR(MAIN!$F$3="Full Year",MAIN!$D$3="All"),"Yes",IF(MAIN!$F$3="Monthly",IF(E280=MAIN!$L$3,"Yes","No"),IF(E280&lt;=MAIN!$L$3,"Yes","No"))))</f>
        <v>Yes</v>
      </c>
      <c r="AA280" t="str">
        <f t="shared" si="29"/>
        <v>No</v>
      </c>
    </row>
    <row r="281" spans="1:27" x14ac:dyDescent="0.3">
      <c r="A281">
        <f>INDEX(SETTINGS!$A$15:$A$24,$B281)</f>
        <v>2026</v>
      </c>
      <c r="B281">
        <v>2</v>
      </c>
      <c r="C281" t="str">
        <f>IF(AND(A281&gt;=SETTINGS!$B$4,A281&lt;=SETTINGS!$B$5),"Yes","No")</f>
        <v>Yes</v>
      </c>
      <c r="D281" t="str">
        <f>IFERROR(INDEX(SETTINGS!$C$15:$C$24,MATCH(A281,SETTINGS!$A$15:$A$24,0)),"No")</f>
        <v>Yes</v>
      </c>
      <c r="E281">
        <v>3</v>
      </c>
      <c r="F281" t="s">
        <v>36</v>
      </c>
      <c r="G281">
        <v>72</v>
      </c>
      <c r="H281" t="s">
        <v>107</v>
      </c>
      <c r="I281" t="s">
        <v>22</v>
      </c>
      <c r="J281" t="s">
        <v>27</v>
      </c>
      <c r="K281" t="s">
        <v>3</v>
      </c>
      <c r="L281" s="36">
        <f ca="1">IF(C281&lt;&gt;"Yes",0,IF(A281=2025,N('2025'!D72),IF(A281=2026,N('2026'!D72),IF(A281=2027,N('2027'!D72),IF(A281=2028,N('2028'!D72),IF(A281=2029,N('2029'!D72),IF(A281=2030,N('2030'!D72),IF(A281=2031,N('2031'!D72),IF(A281=2032,N('2032'!D72),IF(A281=2033,N('2033'!D72),IF(A281=2034,N('2034'!D72),IFERROR(N(INDIRECT("'"&amp;A281&amp;"'!D"&amp;G281)),0))))))))))))</f>
        <v>4</v>
      </c>
      <c r="M281" s="36">
        <f>IFERROR(IF(NOT(ISBLANK(KPI_TARGETS!$H$18)),KPI_TARGETS!$H$18,IF(NOT(ISBLANK(KPI_TARGETS!$F$18)),KPI_TARGETS!$F$18,"")),"")</f>
        <v>4</v>
      </c>
      <c r="N281" s="36" t="str">
        <f>IFERROR(KPI_TARGETS!$E$18,"Higher is better")</f>
        <v>Higher is better</v>
      </c>
      <c r="O281" s="37">
        <f t="shared" ca="1" si="24"/>
        <v>1</v>
      </c>
      <c r="P281" t="str">
        <f t="shared" ca="1" si="25"/>
        <v>Green</v>
      </c>
      <c r="Q281" s="36">
        <f t="shared" ca="1" si="26"/>
        <v>0</v>
      </c>
      <c r="R281" s="36" t="str">
        <f>""</f>
        <v/>
      </c>
      <c r="S281" s="36" t="str">
        <f>""</f>
        <v/>
      </c>
      <c r="T281" s="36" t="str">
        <f>""</f>
        <v/>
      </c>
      <c r="U281" s="36" t="str">
        <f>""</f>
        <v/>
      </c>
      <c r="V281" s="36" t="str">
        <f>""</f>
        <v/>
      </c>
      <c r="W281" s="36">
        <f t="shared" si="27"/>
        <v>1</v>
      </c>
      <c r="X281" t="str">
        <f t="shared" si="28"/>
        <v>OK</v>
      </c>
      <c r="Y281" t="str">
        <f>IF(MAIN!$H$3="Selected Year",IF(A281=MAIN!$B$3,"Yes","No"),IF(MAIN!$H$3="Included Years",IF(D281="Yes","Yes","No"),IF(C281="Yes","Yes","No")))</f>
        <v>No</v>
      </c>
      <c r="Z281" t="str">
        <f>IF(MAIN!$F$3="Project to Date",IF(AND(A281&gt;=SETTINGS!$B$4,A281&lt;MAIN!$B$3),"Yes",IF(AND(A281=MAIN!$B$3,E281&lt;=MAIN!$L$3),"Yes","No")),IF(OR(MAIN!$F$3="Full Year",MAIN!$D$3="All"),"Yes",IF(MAIN!$F$3="Monthly",IF(E281=MAIN!$L$3,"Yes","No"),IF(E281&lt;=MAIN!$L$3,"Yes","No"))))</f>
        <v>Yes</v>
      </c>
      <c r="AA281" t="str">
        <f t="shared" si="29"/>
        <v>No</v>
      </c>
    </row>
    <row r="282" spans="1:27" x14ac:dyDescent="0.3">
      <c r="A282">
        <f>INDEX(SETTINGS!$A$15:$A$24,$B282)</f>
        <v>2026</v>
      </c>
      <c r="B282">
        <v>2</v>
      </c>
      <c r="C282" t="str">
        <f>IF(AND(A282&gt;=SETTINGS!$B$4,A282&lt;=SETTINGS!$B$5),"Yes","No")</f>
        <v>Yes</v>
      </c>
      <c r="D282" t="str">
        <f>IFERROR(INDEX(SETTINGS!$C$15:$C$24,MATCH(A282,SETTINGS!$A$15:$A$24,0)),"No")</f>
        <v>Yes</v>
      </c>
      <c r="E282">
        <v>3</v>
      </c>
      <c r="F282" t="s">
        <v>36</v>
      </c>
      <c r="G282">
        <v>73</v>
      </c>
      <c r="H282" t="s">
        <v>108</v>
      </c>
      <c r="I282" t="s">
        <v>22</v>
      </c>
      <c r="J282" t="s">
        <v>28</v>
      </c>
      <c r="K282" t="s">
        <v>3</v>
      </c>
      <c r="L282" s="36">
        <f ca="1">IF(C282&lt;&gt;"Yes",0,IF(A282=2025,N('2025'!D73),IF(A282=2026,N('2026'!D73),IF(A282=2027,N('2027'!D73),IF(A282=2028,N('2028'!D73),IF(A282=2029,N('2029'!D73),IF(A282=2030,N('2030'!D73),IF(A282=2031,N('2031'!D73),IF(A282=2032,N('2032'!D73),IF(A282=2033,N('2033'!D73),IF(A282=2034,N('2034'!D73),IFERROR(N(INDIRECT("'"&amp;A282&amp;"'!D"&amp;G282)),0))))))))))))</f>
        <v>8</v>
      </c>
      <c r="M282" s="36">
        <f>IFERROR(IF(NOT(ISBLANK(KPI_TARGETS!$H$19)),KPI_TARGETS!$H$19,IF(NOT(ISBLANK(KPI_TARGETS!$F$19)),KPI_TARGETS!$F$19,"")),"")</f>
        <v>16</v>
      </c>
      <c r="N282" s="36" t="str">
        <f>IFERROR(KPI_TARGETS!$E$19,"Higher is better")</f>
        <v>Higher is better</v>
      </c>
      <c r="O282" s="37">
        <f t="shared" ca="1" si="24"/>
        <v>0.5</v>
      </c>
      <c r="P282" t="str">
        <f t="shared" ca="1" si="25"/>
        <v>Red</v>
      </c>
      <c r="Q282" s="36">
        <f t="shared" ca="1" si="26"/>
        <v>-8</v>
      </c>
      <c r="R282" s="36" t="str">
        <f>""</f>
        <v/>
      </c>
      <c r="S282" s="36" t="str">
        <f>""</f>
        <v/>
      </c>
      <c r="T282" s="36" t="str">
        <f>""</f>
        <v/>
      </c>
      <c r="U282" s="36" t="str">
        <f>""</f>
        <v/>
      </c>
      <c r="V282" s="36" t="str">
        <f>""</f>
        <v/>
      </c>
      <c r="W282" s="36">
        <f t="shared" si="27"/>
        <v>1</v>
      </c>
      <c r="X282" t="str">
        <f t="shared" si="28"/>
        <v>OK</v>
      </c>
      <c r="Y282" t="str">
        <f>IF(MAIN!$H$3="Selected Year",IF(A282=MAIN!$B$3,"Yes","No"),IF(MAIN!$H$3="Included Years",IF(D282="Yes","Yes","No"),IF(C282="Yes","Yes","No")))</f>
        <v>No</v>
      </c>
      <c r="Z282" t="str">
        <f>IF(MAIN!$F$3="Project to Date",IF(AND(A282&gt;=SETTINGS!$B$4,A282&lt;MAIN!$B$3),"Yes",IF(AND(A282=MAIN!$B$3,E282&lt;=MAIN!$L$3),"Yes","No")),IF(OR(MAIN!$F$3="Full Year",MAIN!$D$3="All"),"Yes",IF(MAIN!$F$3="Monthly",IF(E282=MAIN!$L$3,"Yes","No"),IF(E282&lt;=MAIN!$L$3,"Yes","No"))))</f>
        <v>Yes</v>
      </c>
      <c r="AA282" t="str">
        <f t="shared" si="29"/>
        <v>No</v>
      </c>
    </row>
    <row r="283" spans="1:27" x14ac:dyDescent="0.3">
      <c r="A283">
        <f>INDEX(SETTINGS!$A$15:$A$24,$B283)</f>
        <v>2026</v>
      </c>
      <c r="B283">
        <v>2</v>
      </c>
      <c r="C283" t="str">
        <f>IF(AND(A283&gt;=SETTINGS!$B$4,A283&lt;=SETTINGS!$B$5),"Yes","No")</f>
        <v>Yes</v>
      </c>
      <c r="D283" t="str">
        <f>IFERROR(INDEX(SETTINGS!$C$15:$C$24,MATCH(A283,SETTINGS!$A$15:$A$24,0)),"No")</f>
        <v>Yes</v>
      </c>
      <c r="E283">
        <v>3</v>
      </c>
      <c r="F283" t="s">
        <v>36</v>
      </c>
      <c r="G283">
        <v>74</v>
      </c>
      <c r="H283" t="s">
        <v>109</v>
      </c>
      <c r="I283" t="s">
        <v>22</v>
      </c>
      <c r="J283" t="s">
        <v>29</v>
      </c>
      <c r="K283" t="s">
        <v>3</v>
      </c>
      <c r="L283" s="36">
        <f ca="1">IF(C283&lt;&gt;"Yes",0,IF(A283=2025,N('2025'!D74),IF(A283=2026,N('2026'!D74),IF(A283=2027,N('2027'!D74),IF(A283=2028,N('2028'!D74),IF(A283=2029,N('2029'!D74),IF(A283=2030,N('2030'!D74),IF(A283=2031,N('2031'!D74),IF(A283=2032,N('2032'!D74),IF(A283=2033,N('2033'!D74),IF(A283=2034,N('2034'!D74),IFERROR(N(INDIRECT("'"&amp;A283&amp;"'!D"&amp;G283)),0))))))))))))</f>
        <v>1</v>
      </c>
      <c r="M283" s="36">
        <f>IFERROR(IF(NOT(ISBLANK(KPI_TARGETS!$H$20)),KPI_TARGETS!$H$20,IF(NOT(ISBLANK(KPI_TARGETS!$F$20)),KPI_TARGETS!$F$20,"")),"")</f>
        <v>1</v>
      </c>
      <c r="N283" s="36" t="str">
        <f>IFERROR(KPI_TARGETS!$E$20,"Higher is better")</f>
        <v>Higher is better</v>
      </c>
      <c r="O283" s="37">
        <f t="shared" ca="1" si="24"/>
        <v>1</v>
      </c>
      <c r="P283" t="str">
        <f t="shared" ca="1" si="25"/>
        <v>Green</v>
      </c>
      <c r="Q283" s="36">
        <f t="shared" ca="1" si="26"/>
        <v>0</v>
      </c>
      <c r="R283" s="36" t="str">
        <f>""</f>
        <v/>
      </c>
      <c r="S283" s="36" t="str">
        <f>""</f>
        <v/>
      </c>
      <c r="T283" s="36" t="str">
        <f>""</f>
        <v/>
      </c>
      <c r="U283" s="36" t="str">
        <f>""</f>
        <v/>
      </c>
      <c r="V283" s="36" t="str">
        <f>""</f>
        <v/>
      </c>
      <c r="W283" s="36">
        <f t="shared" si="27"/>
        <v>1</v>
      </c>
      <c r="X283" t="str">
        <f t="shared" si="28"/>
        <v>OK</v>
      </c>
      <c r="Y283" t="str">
        <f>IF(MAIN!$H$3="Selected Year",IF(A283=MAIN!$B$3,"Yes","No"),IF(MAIN!$H$3="Included Years",IF(D283="Yes","Yes","No"),IF(C283="Yes","Yes","No")))</f>
        <v>No</v>
      </c>
      <c r="Z283" t="str">
        <f>IF(MAIN!$F$3="Project to Date",IF(AND(A283&gt;=SETTINGS!$B$4,A283&lt;MAIN!$B$3),"Yes",IF(AND(A283=MAIN!$B$3,E283&lt;=MAIN!$L$3),"Yes","No")),IF(OR(MAIN!$F$3="Full Year",MAIN!$D$3="All"),"Yes",IF(MAIN!$F$3="Monthly",IF(E283=MAIN!$L$3,"Yes","No"),IF(E283&lt;=MAIN!$L$3,"Yes","No"))))</f>
        <v>Yes</v>
      </c>
      <c r="AA283" t="str">
        <f t="shared" si="29"/>
        <v>No</v>
      </c>
    </row>
    <row r="284" spans="1:27" x14ac:dyDescent="0.3">
      <c r="A284">
        <f>INDEX(SETTINGS!$A$15:$A$24,$B284)</f>
        <v>2026</v>
      </c>
      <c r="B284">
        <v>2</v>
      </c>
      <c r="C284" t="str">
        <f>IF(AND(A284&gt;=SETTINGS!$B$4,A284&lt;=SETTINGS!$B$5),"Yes","No")</f>
        <v>Yes</v>
      </c>
      <c r="D284" t="str">
        <f>IFERROR(INDEX(SETTINGS!$C$15:$C$24,MATCH(A284,SETTINGS!$A$15:$A$24,0)),"No")</f>
        <v>Yes</v>
      </c>
      <c r="E284">
        <v>3</v>
      </c>
      <c r="F284" t="s">
        <v>36</v>
      </c>
      <c r="G284">
        <v>76</v>
      </c>
      <c r="H284" t="s">
        <v>110</v>
      </c>
      <c r="I284" t="s">
        <v>30</v>
      </c>
      <c r="J284" t="s">
        <v>31</v>
      </c>
      <c r="K284" t="s">
        <v>3</v>
      </c>
      <c r="L284" s="36">
        <f ca="1">IF(C284&lt;&gt;"Yes",0,IF(A284=2025,N('2025'!D76),IF(A284=2026,N('2026'!D76),IF(A284=2027,N('2027'!D76),IF(A284=2028,N('2028'!D76),IF(A284=2029,N('2029'!D76),IF(A284=2030,N('2030'!D76),IF(A284=2031,N('2031'!D76),IF(A284=2032,N('2032'!D76),IF(A284=2033,N('2033'!D76),IF(A284=2034,N('2034'!D76),IFERROR(N(INDIRECT("'"&amp;A284&amp;"'!D"&amp;G284)),0))))))))))))</f>
        <v>0</v>
      </c>
      <c r="M284" s="36">
        <f>IFERROR(IF(NOT(ISBLANK(KPI_TARGETS!$H$21)),KPI_TARGETS!$H$21,IF(NOT(ISBLANK(KPI_TARGETS!$F$21)),KPI_TARGETS!$F$21,"")),"")</f>
        <v>0</v>
      </c>
      <c r="N284" s="36" t="str">
        <f>IFERROR(KPI_TARGETS!$E$21,"Higher is better")</f>
        <v>Lower is better</v>
      </c>
      <c r="O284" s="37">
        <f t="shared" ca="1" si="24"/>
        <v>1</v>
      </c>
      <c r="P284" t="str">
        <f t="shared" ca="1" si="25"/>
        <v>Green</v>
      </c>
      <c r="Q284" s="36">
        <f t="shared" ca="1" si="26"/>
        <v>0</v>
      </c>
      <c r="R284" s="36" t="str">
        <f>""</f>
        <v/>
      </c>
      <c r="S284" s="36" t="str">
        <f>""</f>
        <v/>
      </c>
      <c r="T284" s="36" t="str">
        <f>""</f>
        <v/>
      </c>
      <c r="U284" s="36" t="str">
        <f>""</f>
        <v/>
      </c>
      <c r="V284" s="36" t="str">
        <f>""</f>
        <v/>
      </c>
      <c r="W284" s="36">
        <f t="shared" si="27"/>
        <v>1</v>
      </c>
      <c r="X284" t="str">
        <f t="shared" si="28"/>
        <v>OK</v>
      </c>
      <c r="Y284" t="str">
        <f>IF(MAIN!$H$3="Selected Year",IF(A284=MAIN!$B$3,"Yes","No"),IF(MAIN!$H$3="Included Years",IF(D284="Yes","Yes","No"),IF(C284="Yes","Yes","No")))</f>
        <v>No</v>
      </c>
      <c r="Z284" t="str">
        <f>IF(MAIN!$F$3="Project to Date",IF(AND(A284&gt;=SETTINGS!$B$4,A284&lt;MAIN!$B$3),"Yes",IF(AND(A284=MAIN!$B$3,E284&lt;=MAIN!$L$3),"Yes","No")),IF(OR(MAIN!$F$3="Full Year",MAIN!$D$3="All"),"Yes",IF(MAIN!$F$3="Monthly",IF(E284=MAIN!$L$3,"Yes","No"),IF(E284&lt;=MAIN!$L$3,"Yes","No"))))</f>
        <v>Yes</v>
      </c>
      <c r="AA284" t="str">
        <f t="shared" si="29"/>
        <v>No</v>
      </c>
    </row>
    <row r="285" spans="1:27" x14ac:dyDescent="0.3">
      <c r="A285">
        <f>INDEX(SETTINGS!$A$15:$A$24,$B285)</f>
        <v>2026</v>
      </c>
      <c r="B285">
        <v>2</v>
      </c>
      <c r="C285" t="str">
        <f>IF(AND(A285&gt;=SETTINGS!$B$4,A285&lt;=SETTINGS!$B$5),"Yes","No")</f>
        <v>Yes</v>
      </c>
      <c r="D285" t="str">
        <f>IFERROR(INDEX(SETTINGS!$C$15:$C$24,MATCH(A285,SETTINGS!$A$15:$A$24,0)),"No")</f>
        <v>Yes</v>
      </c>
      <c r="E285">
        <v>3</v>
      </c>
      <c r="F285" t="s">
        <v>36</v>
      </c>
      <c r="G285">
        <v>77</v>
      </c>
      <c r="H285" t="s">
        <v>111</v>
      </c>
      <c r="I285" t="s">
        <v>30</v>
      </c>
      <c r="J285" t="s">
        <v>32</v>
      </c>
      <c r="K285" t="s">
        <v>3</v>
      </c>
      <c r="L285" s="36">
        <f ca="1">IF(C285&lt;&gt;"Yes",0,IF(A285=2025,N('2025'!D77),IF(A285=2026,N('2026'!D77),IF(A285=2027,N('2027'!D77),IF(A285=2028,N('2028'!D77),IF(A285=2029,N('2029'!D77),IF(A285=2030,N('2030'!D77),IF(A285=2031,N('2031'!D77),IF(A285=2032,N('2032'!D77),IF(A285=2033,N('2033'!D77),IF(A285=2034,N('2034'!D77),IFERROR(N(INDIRECT("'"&amp;A285&amp;"'!D"&amp;G285)),0))))))))))))</f>
        <v>1</v>
      </c>
      <c r="M285" s="36">
        <f>IFERROR(IF(NOT(ISBLANK(KPI_TARGETS!$H$22)),KPI_TARGETS!$H$22,IF(NOT(ISBLANK(KPI_TARGETS!$F$22)),KPI_TARGETS!$F$22,"")),"")</f>
        <v>1</v>
      </c>
      <c r="N285" s="36" t="str">
        <f>IFERROR(KPI_TARGETS!$E$22,"Higher is better")</f>
        <v>Higher is better</v>
      </c>
      <c r="O285" s="37">
        <f t="shared" ca="1" si="24"/>
        <v>1</v>
      </c>
      <c r="P285" t="str">
        <f t="shared" ca="1" si="25"/>
        <v>Green</v>
      </c>
      <c r="Q285" s="36">
        <f t="shared" ca="1" si="26"/>
        <v>0</v>
      </c>
      <c r="R285" s="36" t="str">
        <f>""</f>
        <v/>
      </c>
      <c r="S285" s="36" t="str">
        <f>""</f>
        <v/>
      </c>
      <c r="T285" s="36" t="str">
        <f>""</f>
        <v/>
      </c>
      <c r="U285" s="36" t="str">
        <f>""</f>
        <v/>
      </c>
      <c r="V285" s="36" t="str">
        <f>""</f>
        <v/>
      </c>
      <c r="W285" s="36">
        <f t="shared" si="27"/>
        <v>1</v>
      </c>
      <c r="X285" t="str">
        <f t="shared" si="28"/>
        <v>OK</v>
      </c>
      <c r="Y285" t="str">
        <f>IF(MAIN!$H$3="Selected Year",IF(A285=MAIN!$B$3,"Yes","No"),IF(MAIN!$H$3="Included Years",IF(D285="Yes","Yes","No"),IF(C285="Yes","Yes","No")))</f>
        <v>No</v>
      </c>
      <c r="Z285" t="str">
        <f>IF(MAIN!$F$3="Project to Date",IF(AND(A285&gt;=SETTINGS!$B$4,A285&lt;MAIN!$B$3),"Yes",IF(AND(A285=MAIN!$B$3,E285&lt;=MAIN!$L$3),"Yes","No")),IF(OR(MAIN!$F$3="Full Year",MAIN!$D$3="All"),"Yes",IF(MAIN!$F$3="Monthly",IF(E285=MAIN!$L$3,"Yes","No"),IF(E285&lt;=MAIN!$L$3,"Yes","No"))))</f>
        <v>Yes</v>
      </c>
      <c r="AA285" t="str">
        <f t="shared" si="29"/>
        <v>No</v>
      </c>
    </row>
    <row r="286" spans="1:27" x14ac:dyDescent="0.3">
      <c r="A286">
        <f>INDEX(SETTINGS!$A$15:$A$24,$B286)</f>
        <v>2026</v>
      </c>
      <c r="B286">
        <v>2</v>
      </c>
      <c r="C286" t="str">
        <f>IF(AND(A286&gt;=SETTINGS!$B$4,A286&lt;=SETTINGS!$B$5),"Yes","No")</f>
        <v>Yes</v>
      </c>
      <c r="D286" t="str">
        <f>IFERROR(INDEX(SETTINGS!$C$15:$C$24,MATCH(A286,SETTINGS!$A$15:$A$24,0)),"No")</f>
        <v>Yes</v>
      </c>
      <c r="E286">
        <v>3</v>
      </c>
      <c r="F286" t="s">
        <v>36</v>
      </c>
      <c r="G286">
        <v>78</v>
      </c>
      <c r="H286" t="s">
        <v>112</v>
      </c>
      <c r="I286" t="s">
        <v>30</v>
      </c>
      <c r="J286" t="s">
        <v>33</v>
      </c>
      <c r="K286" t="s">
        <v>34</v>
      </c>
      <c r="L286" s="36">
        <f ca="1">IF(C286&lt;&gt;"Yes",0,IF(A286=2025,N('2025'!D78),IF(A286=2026,N('2026'!D78),IF(A286=2027,N('2027'!D78),IF(A286=2028,N('2028'!D78),IF(A286=2029,N('2029'!D78),IF(A286=2030,N('2030'!D78),IF(A286=2031,N('2031'!D78),IF(A286=2032,N('2032'!D78),IF(A286=2033,N('2033'!D78),IF(A286=2034,N('2034'!D78),IFERROR(N(INDIRECT("'"&amp;A286&amp;"'!D"&amp;G286)),0))))))))))))</f>
        <v>1</v>
      </c>
      <c r="M286" s="36">
        <f>IFERROR(IF(NOT(ISBLANK(KPI_TARGETS!$H$23)),KPI_TARGETS!$H$23,IF(NOT(ISBLANK(KPI_TARGETS!$F$23)),KPI_TARGETS!$F$23,"")),"")</f>
        <v>1</v>
      </c>
      <c r="N286" s="36" t="str">
        <f>IFERROR(KPI_TARGETS!$E$23,"Higher is better")</f>
        <v>Higher is better</v>
      </c>
      <c r="O286" s="37">
        <f t="shared" ca="1" si="24"/>
        <v>1</v>
      </c>
      <c r="P286" t="str">
        <f t="shared" ca="1" si="25"/>
        <v>Green</v>
      </c>
      <c r="Q286" s="36">
        <f t="shared" ca="1" si="26"/>
        <v>0</v>
      </c>
      <c r="R286" s="36" t="str">
        <f>""</f>
        <v/>
      </c>
      <c r="S286" s="36" t="str">
        <f>""</f>
        <v/>
      </c>
      <c r="T286" s="36" t="str">
        <f>""</f>
        <v/>
      </c>
      <c r="U286" s="36" t="str">
        <f>""</f>
        <v/>
      </c>
      <c r="V286" s="36" t="str">
        <f>""</f>
        <v/>
      </c>
      <c r="W286" s="36">
        <f t="shared" si="27"/>
        <v>1</v>
      </c>
      <c r="X286" t="str">
        <f t="shared" si="28"/>
        <v>OK</v>
      </c>
      <c r="Y286" t="str">
        <f>IF(MAIN!$H$3="Selected Year",IF(A286=MAIN!$B$3,"Yes","No"),IF(MAIN!$H$3="Included Years",IF(D286="Yes","Yes","No"),IF(C286="Yes","Yes","No")))</f>
        <v>No</v>
      </c>
      <c r="Z286" t="str">
        <f>IF(MAIN!$F$3="Project to Date",IF(AND(A286&gt;=SETTINGS!$B$4,A286&lt;MAIN!$B$3),"Yes",IF(AND(A286=MAIN!$B$3,E286&lt;=MAIN!$L$3),"Yes","No")),IF(OR(MAIN!$F$3="Full Year",MAIN!$D$3="All"),"Yes",IF(MAIN!$F$3="Monthly",IF(E286=MAIN!$L$3,"Yes","No"),IF(E286&lt;=MAIN!$L$3,"Yes","No"))))</f>
        <v>Yes</v>
      </c>
      <c r="AA286" t="str">
        <f t="shared" si="29"/>
        <v>No</v>
      </c>
    </row>
    <row r="287" spans="1:27" x14ac:dyDescent="0.3">
      <c r="A287">
        <f>INDEX(SETTINGS!$A$15:$A$24,$B287)</f>
        <v>2026</v>
      </c>
      <c r="B287">
        <v>2</v>
      </c>
      <c r="C287" t="str">
        <f>IF(AND(A287&gt;=SETTINGS!$B$4,A287&lt;=SETTINGS!$B$5),"Yes","No")</f>
        <v>Yes</v>
      </c>
      <c r="D287" t="str">
        <f>IFERROR(INDEX(SETTINGS!$C$15:$C$24,MATCH(A287,SETTINGS!$A$15:$A$24,0)),"No")</f>
        <v>Yes</v>
      </c>
      <c r="E287">
        <v>4</v>
      </c>
      <c r="F287" t="s">
        <v>37</v>
      </c>
      <c r="G287">
        <v>81</v>
      </c>
      <c r="H287" t="s">
        <v>88</v>
      </c>
      <c r="I287" t="s">
        <v>89</v>
      </c>
      <c r="J287" t="s">
        <v>10</v>
      </c>
      <c r="K287" t="s">
        <v>3</v>
      </c>
      <c r="L287" s="36">
        <f ca="1">IF(C287&lt;&gt;"Yes",0,IF(A287=2025,N('2025'!D81),IF(A287=2026,N('2026'!D81),IF(A287=2027,N('2027'!D81),IF(A287=2028,N('2028'!D81),IF(A287=2029,N('2029'!D81),IF(A287=2030,N('2030'!D81),IF(A287=2031,N('2031'!D81),IF(A287=2032,N('2032'!D81),IF(A287=2033,N('2033'!D81),IF(A287=2034,N('2034'!D81),IFERROR(N(INDIRECT("'"&amp;A287&amp;"'!D"&amp;G287)),0))))))))))))</f>
        <v>0</v>
      </c>
      <c r="M287" s="36">
        <f>IFERROR(IF(NOT(ISBLANK(KPI_TARGETS!$H$5)),KPI_TARGETS!$H$5,IF(NOT(ISBLANK(KPI_TARGETS!$F$5)),KPI_TARGETS!$F$5,"")),"")</f>
        <v>104</v>
      </c>
      <c r="N287" s="36" t="str">
        <f>IFERROR(KPI_TARGETS!$E$5,"Higher is better")</f>
        <v>Higher is better</v>
      </c>
      <c r="O287" s="37">
        <f t="shared" ca="1" si="24"/>
        <v>0</v>
      </c>
      <c r="P287" t="str">
        <f t="shared" ca="1" si="25"/>
        <v>Red</v>
      </c>
      <c r="Q287" s="36">
        <f t="shared" ca="1" si="26"/>
        <v>-104</v>
      </c>
      <c r="R287" s="36" t="str">
        <f>""</f>
        <v/>
      </c>
      <c r="S287" s="36" t="str">
        <f>""</f>
        <v/>
      </c>
      <c r="T287" s="36" t="str">
        <f>""</f>
        <v/>
      </c>
      <c r="U287" s="36" t="str">
        <f>""</f>
        <v/>
      </c>
      <c r="V287" s="36" t="str">
        <f>""</f>
        <v/>
      </c>
      <c r="W287" s="36">
        <f t="shared" si="27"/>
        <v>1</v>
      </c>
      <c r="X287" t="str">
        <f t="shared" si="28"/>
        <v>OK</v>
      </c>
      <c r="Y287" t="str">
        <f>IF(MAIN!$H$3="Selected Year",IF(A287=MAIN!$B$3,"Yes","No"),IF(MAIN!$H$3="Included Years",IF(D287="Yes","Yes","No"),IF(C287="Yes","Yes","No")))</f>
        <v>No</v>
      </c>
      <c r="Z287" t="str">
        <f>IF(MAIN!$F$3="Project to Date",IF(AND(A287&gt;=SETTINGS!$B$4,A287&lt;MAIN!$B$3),"Yes",IF(AND(A287=MAIN!$B$3,E287&lt;=MAIN!$L$3),"Yes","No")),IF(OR(MAIN!$F$3="Full Year",MAIN!$D$3="All"),"Yes",IF(MAIN!$F$3="Monthly",IF(E287=MAIN!$L$3,"Yes","No"),IF(E287&lt;=MAIN!$L$3,"Yes","No"))))</f>
        <v>Yes</v>
      </c>
      <c r="AA287" t="str">
        <f t="shared" si="29"/>
        <v>No</v>
      </c>
    </row>
    <row r="288" spans="1:27" x14ac:dyDescent="0.3">
      <c r="A288">
        <f>INDEX(SETTINGS!$A$15:$A$24,$B288)</f>
        <v>2026</v>
      </c>
      <c r="B288">
        <v>2</v>
      </c>
      <c r="C288" t="str">
        <f>IF(AND(A288&gt;=SETTINGS!$B$4,A288&lt;=SETTINGS!$B$5),"Yes","No")</f>
        <v>Yes</v>
      </c>
      <c r="D288" t="str">
        <f>IFERROR(INDEX(SETTINGS!$C$15:$C$24,MATCH(A288,SETTINGS!$A$15:$A$24,0)),"No")</f>
        <v>Yes</v>
      </c>
      <c r="E288">
        <v>4</v>
      </c>
      <c r="F288" t="s">
        <v>37</v>
      </c>
      <c r="G288">
        <v>82</v>
      </c>
      <c r="H288" t="s">
        <v>91</v>
      </c>
      <c r="I288" t="s">
        <v>89</v>
      </c>
      <c r="J288" t="s">
        <v>11</v>
      </c>
      <c r="K288" t="s">
        <v>12</v>
      </c>
      <c r="L288" s="36">
        <f ca="1">IF(C288&lt;&gt;"Yes",0,IF(A288=2025,N('2025'!D82),IF(A288=2026,N('2026'!D82),IF(A288=2027,N('2027'!D82),IF(A288=2028,N('2028'!D82),IF(A288=2029,N('2029'!D82),IF(A288=2030,N('2030'!D82),IF(A288=2031,N('2031'!D82),IF(A288=2032,N('2032'!D82),IF(A288=2033,N('2033'!D82),IF(A288=2034,N('2034'!D82),IFERROR(N(INDIRECT("'"&amp;A288&amp;"'!D"&amp;G288)),0))))))))))))</f>
        <v>6042</v>
      </c>
      <c r="M288" s="36">
        <f>IFERROR(IF(NOT(ISBLANK(KPI_TARGETS!$H$6)),KPI_TARGETS!$H$6,IF(NOT(ISBLANK(KPI_TARGETS!$F$6)),KPI_TARGETS!$F$6,"")),"")</f>
        <v>4000</v>
      </c>
      <c r="N288" s="36" t="str">
        <f>IFERROR(KPI_TARGETS!$E$6,"Higher is better")</f>
        <v>Higher is better</v>
      </c>
      <c r="O288" s="37">
        <f t="shared" ca="1" si="24"/>
        <v>1.5105</v>
      </c>
      <c r="P288" t="str">
        <f t="shared" ca="1" si="25"/>
        <v>Green</v>
      </c>
      <c r="Q288" s="36">
        <f t="shared" ca="1" si="26"/>
        <v>2042</v>
      </c>
      <c r="R288" s="36" t="str">
        <f>""</f>
        <v/>
      </c>
      <c r="S288" s="36" t="str">
        <f>""</f>
        <v/>
      </c>
      <c r="T288" s="36" t="str">
        <f>""</f>
        <v/>
      </c>
      <c r="U288" s="36" t="str">
        <f>""</f>
        <v/>
      </c>
      <c r="V288" s="36" t="str">
        <f>""</f>
        <v/>
      </c>
      <c r="W288" s="36">
        <f t="shared" si="27"/>
        <v>1</v>
      </c>
      <c r="X288" t="str">
        <f t="shared" si="28"/>
        <v>OK</v>
      </c>
      <c r="Y288" t="str">
        <f>IF(MAIN!$H$3="Selected Year",IF(A288=MAIN!$B$3,"Yes","No"),IF(MAIN!$H$3="Included Years",IF(D288="Yes","Yes","No"),IF(C288="Yes","Yes","No")))</f>
        <v>No</v>
      </c>
      <c r="Z288" t="str">
        <f>IF(MAIN!$F$3="Project to Date",IF(AND(A288&gt;=SETTINGS!$B$4,A288&lt;MAIN!$B$3),"Yes",IF(AND(A288=MAIN!$B$3,E288&lt;=MAIN!$L$3),"Yes","No")),IF(OR(MAIN!$F$3="Full Year",MAIN!$D$3="All"),"Yes",IF(MAIN!$F$3="Monthly",IF(E288=MAIN!$L$3,"Yes","No"),IF(E288&lt;=MAIN!$L$3,"Yes","No"))))</f>
        <v>Yes</v>
      </c>
      <c r="AA288" t="str">
        <f t="shared" si="29"/>
        <v>No</v>
      </c>
    </row>
    <row r="289" spans="1:27" x14ac:dyDescent="0.3">
      <c r="A289">
        <f>INDEX(SETTINGS!$A$15:$A$24,$B289)</f>
        <v>2026</v>
      </c>
      <c r="B289">
        <v>2</v>
      </c>
      <c r="C289" t="str">
        <f>IF(AND(A289&gt;=SETTINGS!$B$4,A289&lt;=SETTINGS!$B$5),"Yes","No")</f>
        <v>Yes</v>
      </c>
      <c r="D289" t="str">
        <f>IFERROR(INDEX(SETTINGS!$C$15:$C$24,MATCH(A289,SETTINGS!$A$15:$A$24,0)),"No")</f>
        <v>Yes</v>
      </c>
      <c r="E289">
        <v>4</v>
      </c>
      <c r="F289" t="s">
        <v>37</v>
      </c>
      <c r="G289">
        <v>83</v>
      </c>
      <c r="H289" t="s">
        <v>93</v>
      </c>
      <c r="I289" t="s">
        <v>89</v>
      </c>
      <c r="J289" t="s">
        <v>13</v>
      </c>
      <c r="K289" t="s">
        <v>14</v>
      </c>
      <c r="L289" s="36">
        <f ca="1">IF(C289&lt;&gt;"Yes",0,IF(A289=2025,N('2025'!D83),IF(A289=2026,N('2026'!D83),IF(A289=2027,N('2027'!D83),IF(A289=2028,N('2028'!D83),IF(A289=2029,N('2029'!D83),IF(A289=2030,N('2030'!D83),IF(A289=2031,N('2031'!D83),IF(A289=2032,N('2032'!D83),IF(A289=2033,N('2033'!D83),IF(A289=2034,N('2034'!D83),IFERROR(N(INDIRECT("'"&amp;A289&amp;"'!D"&amp;G289)),0))))))))))))</f>
        <v>0</v>
      </c>
      <c r="M289" s="36">
        <f>IFERROR(IF(NOT(ISBLANK(KPI_TARGETS!$H$7)),KPI_TARGETS!$H$7,IF(NOT(ISBLANK(KPI_TARGETS!$F$7)),KPI_TARGETS!$F$7,"")),"")</f>
        <v>8000</v>
      </c>
      <c r="N289" s="36" t="str">
        <f>IFERROR(KPI_TARGETS!$E$7,"Higher is better")</f>
        <v>Higher is better</v>
      </c>
      <c r="O289" s="37">
        <f t="shared" ca="1" si="24"/>
        <v>0</v>
      </c>
      <c r="P289" t="str">
        <f t="shared" ca="1" si="25"/>
        <v>Red</v>
      </c>
      <c r="Q289" s="36">
        <f t="shared" ca="1" si="26"/>
        <v>-8000</v>
      </c>
      <c r="R289" s="36" t="str">
        <f>""</f>
        <v/>
      </c>
      <c r="S289" s="36" t="str">
        <f>""</f>
        <v/>
      </c>
      <c r="T289" s="36" t="str">
        <f>""</f>
        <v/>
      </c>
      <c r="U289" s="36" t="str">
        <f>""</f>
        <v/>
      </c>
      <c r="V289" s="36" t="str">
        <f>""</f>
        <v/>
      </c>
      <c r="W289" s="36">
        <f t="shared" si="27"/>
        <v>1</v>
      </c>
      <c r="X289" t="str">
        <f t="shared" si="28"/>
        <v>OK</v>
      </c>
      <c r="Y289" t="str">
        <f>IF(MAIN!$H$3="Selected Year",IF(A289=MAIN!$B$3,"Yes","No"),IF(MAIN!$H$3="Included Years",IF(D289="Yes","Yes","No"),IF(C289="Yes","Yes","No")))</f>
        <v>No</v>
      </c>
      <c r="Z289" t="str">
        <f>IF(MAIN!$F$3="Project to Date",IF(AND(A289&gt;=SETTINGS!$B$4,A289&lt;MAIN!$B$3),"Yes",IF(AND(A289=MAIN!$B$3,E289&lt;=MAIN!$L$3),"Yes","No")),IF(OR(MAIN!$F$3="Full Year",MAIN!$D$3="All"),"Yes",IF(MAIN!$F$3="Monthly",IF(E289=MAIN!$L$3,"Yes","No"),IF(E289&lt;=MAIN!$L$3,"Yes","No"))))</f>
        <v>Yes</v>
      </c>
      <c r="AA289" t="str">
        <f t="shared" si="29"/>
        <v>No</v>
      </c>
    </row>
    <row r="290" spans="1:27" x14ac:dyDescent="0.3">
      <c r="A290">
        <f>INDEX(SETTINGS!$A$15:$A$24,$B290)</f>
        <v>2026</v>
      </c>
      <c r="B290">
        <v>2</v>
      </c>
      <c r="C290" t="str">
        <f>IF(AND(A290&gt;=SETTINGS!$B$4,A290&lt;=SETTINGS!$B$5),"Yes","No")</f>
        <v>Yes</v>
      </c>
      <c r="D290" t="str">
        <f>IFERROR(INDEX(SETTINGS!$C$15:$C$24,MATCH(A290,SETTINGS!$A$15:$A$24,0)),"No")</f>
        <v>Yes</v>
      </c>
      <c r="E290">
        <v>4</v>
      </c>
      <c r="F290" t="s">
        <v>37</v>
      </c>
      <c r="G290">
        <v>85</v>
      </c>
      <c r="H290" t="s">
        <v>95</v>
      </c>
      <c r="I290" t="s">
        <v>15</v>
      </c>
      <c r="J290" t="s">
        <v>16</v>
      </c>
      <c r="K290" t="s">
        <v>3</v>
      </c>
      <c r="L290" s="36">
        <f ca="1">IF(C290&lt;&gt;"Yes",0,IF(A290=2025,N('2025'!D85),IF(A290=2026,N('2026'!D85),IF(A290=2027,N('2027'!D85),IF(A290=2028,N('2028'!D85),IF(A290=2029,N('2029'!D85),IF(A290=2030,N('2030'!D85),IF(A290=2031,N('2031'!D85),IF(A290=2032,N('2032'!D85),IF(A290=2033,N('2033'!D85),IF(A290=2034,N('2034'!D85),IFERROR(N(INDIRECT("'"&amp;A290&amp;"'!D"&amp;G290)),0))))))))))))</f>
        <v>0</v>
      </c>
      <c r="M290" s="36">
        <f>IFERROR(IF(NOT(ISBLANK(KPI_TARGETS!$H$8)),KPI_TARGETS!$H$8,IF(NOT(ISBLANK(KPI_TARGETS!$F$8)),KPI_TARGETS!$F$8,"")),"")</f>
        <v>0</v>
      </c>
      <c r="N290" s="36" t="str">
        <f>IFERROR(KPI_TARGETS!$E$8,"Higher is better")</f>
        <v>Lower is better</v>
      </c>
      <c r="O290" s="37">
        <f t="shared" ca="1" si="24"/>
        <v>1</v>
      </c>
      <c r="P290" t="str">
        <f t="shared" ca="1" si="25"/>
        <v>Green</v>
      </c>
      <c r="Q290" s="36">
        <f t="shared" ca="1" si="26"/>
        <v>0</v>
      </c>
      <c r="R290" s="36" t="str">
        <f>""</f>
        <v/>
      </c>
      <c r="S290" s="36" t="str">
        <f>""</f>
        <v/>
      </c>
      <c r="T290" s="36" t="str">
        <f>""</f>
        <v/>
      </c>
      <c r="U290" s="36" t="str">
        <f>""</f>
        <v/>
      </c>
      <c r="V290" s="36" t="str">
        <f>""</f>
        <v/>
      </c>
      <c r="W290" s="36">
        <f t="shared" si="27"/>
        <v>1</v>
      </c>
      <c r="X290" t="str">
        <f t="shared" si="28"/>
        <v>OK</v>
      </c>
      <c r="Y290" t="str">
        <f>IF(MAIN!$H$3="Selected Year",IF(A290=MAIN!$B$3,"Yes","No"),IF(MAIN!$H$3="Included Years",IF(D290="Yes","Yes","No"),IF(C290="Yes","Yes","No")))</f>
        <v>No</v>
      </c>
      <c r="Z290" t="str">
        <f>IF(MAIN!$F$3="Project to Date",IF(AND(A290&gt;=SETTINGS!$B$4,A290&lt;MAIN!$B$3),"Yes",IF(AND(A290=MAIN!$B$3,E290&lt;=MAIN!$L$3),"Yes","No")),IF(OR(MAIN!$F$3="Full Year",MAIN!$D$3="All"),"Yes",IF(MAIN!$F$3="Monthly",IF(E290=MAIN!$L$3,"Yes","No"),IF(E290&lt;=MAIN!$L$3,"Yes","No"))))</f>
        <v>Yes</v>
      </c>
      <c r="AA290" t="str">
        <f t="shared" si="29"/>
        <v>No</v>
      </c>
    </row>
    <row r="291" spans="1:27" x14ac:dyDescent="0.3">
      <c r="A291">
        <f>INDEX(SETTINGS!$A$15:$A$24,$B291)</f>
        <v>2026</v>
      </c>
      <c r="B291">
        <v>2</v>
      </c>
      <c r="C291" t="str">
        <f>IF(AND(A291&gt;=SETTINGS!$B$4,A291&lt;=SETTINGS!$B$5),"Yes","No")</f>
        <v>Yes</v>
      </c>
      <c r="D291" t="str">
        <f>IFERROR(INDEX(SETTINGS!$C$15:$C$24,MATCH(A291,SETTINGS!$A$15:$A$24,0)),"No")</f>
        <v>Yes</v>
      </c>
      <c r="E291">
        <v>4</v>
      </c>
      <c r="F291" t="s">
        <v>37</v>
      </c>
      <c r="G291">
        <v>86</v>
      </c>
      <c r="H291" t="s">
        <v>97</v>
      </c>
      <c r="I291" t="s">
        <v>15</v>
      </c>
      <c r="J291" t="s">
        <v>17</v>
      </c>
      <c r="K291" t="s">
        <v>3</v>
      </c>
      <c r="L291" s="36">
        <f ca="1">IF(C291&lt;&gt;"Yes",0,IF(A291=2025,N('2025'!D86),IF(A291=2026,N('2026'!D86),IF(A291=2027,N('2027'!D86),IF(A291=2028,N('2028'!D86),IF(A291=2029,N('2029'!D86),IF(A291=2030,N('2030'!D86),IF(A291=2031,N('2031'!D86),IF(A291=2032,N('2032'!D86),IF(A291=2033,N('2033'!D86),IF(A291=2034,N('2034'!D86),IFERROR(N(INDIRECT("'"&amp;A291&amp;"'!D"&amp;G291)),0))))))))))))</f>
        <v>0</v>
      </c>
      <c r="M291" s="36">
        <f>IFERROR(IF(NOT(ISBLANK(KPI_TARGETS!$H$9)),KPI_TARGETS!$H$9,IF(NOT(ISBLANK(KPI_TARGETS!$F$9)),KPI_TARGETS!$F$9,"")),"")</f>
        <v>0</v>
      </c>
      <c r="N291" s="36" t="str">
        <f>IFERROR(KPI_TARGETS!$E$9,"Higher is better")</f>
        <v>Higher is better</v>
      </c>
      <c r="O291" s="37" t="str">
        <f t="shared" ca="1" si="24"/>
        <v/>
      </c>
      <c r="P291" t="str">
        <f t="shared" ca="1" si="25"/>
        <v>Green</v>
      </c>
      <c r="Q291" s="36">
        <f t="shared" ca="1" si="26"/>
        <v>0</v>
      </c>
      <c r="R291" s="36" t="str">
        <f>""</f>
        <v/>
      </c>
      <c r="S291" s="36" t="str">
        <f>""</f>
        <v/>
      </c>
      <c r="T291" s="36" t="str">
        <f>""</f>
        <v/>
      </c>
      <c r="U291" s="36" t="str">
        <f>""</f>
        <v/>
      </c>
      <c r="V291" s="36" t="str">
        <f>""</f>
        <v/>
      </c>
      <c r="W291" s="36">
        <f t="shared" si="27"/>
        <v>1</v>
      </c>
      <c r="X291" t="str">
        <f t="shared" si="28"/>
        <v>OK</v>
      </c>
      <c r="Y291" t="str">
        <f>IF(MAIN!$H$3="Selected Year",IF(A291=MAIN!$B$3,"Yes","No"),IF(MAIN!$H$3="Included Years",IF(D291="Yes","Yes","No"),IF(C291="Yes","Yes","No")))</f>
        <v>No</v>
      </c>
      <c r="Z291" t="str">
        <f>IF(MAIN!$F$3="Project to Date",IF(AND(A291&gt;=SETTINGS!$B$4,A291&lt;MAIN!$B$3),"Yes",IF(AND(A291=MAIN!$B$3,E291&lt;=MAIN!$L$3),"Yes","No")),IF(OR(MAIN!$F$3="Full Year",MAIN!$D$3="All"),"Yes",IF(MAIN!$F$3="Monthly",IF(E291=MAIN!$L$3,"Yes","No"),IF(E291&lt;=MAIN!$L$3,"Yes","No"))))</f>
        <v>Yes</v>
      </c>
      <c r="AA291" t="str">
        <f t="shared" si="29"/>
        <v>No</v>
      </c>
    </row>
    <row r="292" spans="1:27" x14ac:dyDescent="0.3">
      <c r="A292">
        <f>INDEX(SETTINGS!$A$15:$A$24,$B292)</f>
        <v>2026</v>
      </c>
      <c r="B292">
        <v>2</v>
      </c>
      <c r="C292" t="str">
        <f>IF(AND(A292&gt;=SETTINGS!$B$4,A292&lt;=SETTINGS!$B$5),"Yes","No")</f>
        <v>Yes</v>
      </c>
      <c r="D292" t="str">
        <f>IFERROR(INDEX(SETTINGS!$C$15:$C$24,MATCH(A292,SETTINGS!$A$15:$A$24,0)),"No")</f>
        <v>Yes</v>
      </c>
      <c r="E292">
        <v>4</v>
      </c>
      <c r="F292" t="s">
        <v>37</v>
      </c>
      <c r="G292">
        <v>87</v>
      </c>
      <c r="H292" t="s">
        <v>99</v>
      </c>
      <c r="I292" t="s">
        <v>15</v>
      </c>
      <c r="J292" t="s">
        <v>18</v>
      </c>
      <c r="K292" t="s">
        <v>3</v>
      </c>
      <c r="L292" s="36">
        <f ca="1">IF(C292&lt;&gt;"Yes",0,IF(A292=2025,N('2025'!D87),IF(A292=2026,N('2026'!D87),IF(A292=2027,N('2027'!D87),IF(A292=2028,N('2028'!D87),IF(A292=2029,N('2029'!D87),IF(A292=2030,N('2030'!D87),IF(A292=2031,N('2031'!D87),IF(A292=2032,N('2032'!D87),IF(A292=2033,N('2033'!D87),IF(A292=2034,N('2034'!D87),IFERROR(N(INDIRECT("'"&amp;A292&amp;"'!D"&amp;G292)),0))))))))))))</f>
        <v>0</v>
      </c>
      <c r="M292" s="36">
        <f>IFERROR(IF(NOT(ISBLANK(KPI_TARGETS!$H$10)),KPI_TARGETS!$H$10,IF(NOT(ISBLANK(KPI_TARGETS!$F$10)),KPI_TARGETS!$F$10,"")),"")</f>
        <v>0</v>
      </c>
      <c r="N292" s="36" t="str">
        <f>IFERROR(KPI_TARGETS!$E$10,"Higher is better")</f>
        <v>Lower is better</v>
      </c>
      <c r="O292" s="37">
        <f t="shared" ca="1" si="24"/>
        <v>1</v>
      </c>
      <c r="P292" t="str">
        <f t="shared" ca="1" si="25"/>
        <v>Green</v>
      </c>
      <c r="Q292" s="36">
        <f t="shared" ca="1" si="26"/>
        <v>0</v>
      </c>
      <c r="R292" s="36" t="str">
        <f>""</f>
        <v/>
      </c>
      <c r="S292" s="36" t="str">
        <f>""</f>
        <v/>
      </c>
      <c r="T292" s="36" t="str">
        <f>""</f>
        <v/>
      </c>
      <c r="U292" s="36" t="str">
        <f>""</f>
        <v/>
      </c>
      <c r="V292" s="36" t="str">
        <f>""</f>
        <v/>
      </c>
      <c r="W292" s="36">
        <f t="shared" si="27"/>
        <v>1</v>
      </c>
      <c r="X292" t="str">
        <f t="shared" si="28"/>
        <v>OK</v>
      </c>
      <c r="Y292" t="str">
        <f>IF(MAIN!$H$3="Selected Year",IF(A292=MAIN!$B$3,"Yes","No"),IF(MAIN!$H$3="Included Years",IF(D292="Yes","Yes","No"),IF(C292="Yes","Yes","No")))</f>
        <v>No</v>
      </c>
      <c r="Z292" t="str">
        <f>IF(MAIN!$F$3="Project to Date",IF(AND(A292&gt;=SETTINGS!$B$4,A292&lt;MAIN!$B$3),"Yes",IF(AND(A292=MAIN!$B$3,E292&lt;=MAIN!$L$3),"Yes","No")),IF(OR(MAIN!$F$3="Full Year",MAIN!$D$3="All"),"Yes",IF(MAIN!$F$3="Monthly",IF(E292=MAIN!$L$3,"Yes","No"),IF(E292&lt;=MAIN!$L$3,"Yes","No"))))</f>
        <v>Yes</v>
      </c>
      <c r="AA292" t="str">
        <f t="shared" si="29"/>
        <v>No</v>
      </c>
    </row>
    <row r="293" spans="1:27" x14ac:dyDescent="0.3">
      <c r="A293">
        <f>INDEX(SETTINGS!$A$15:$A$24,$B293)</f>
        <v>2026</v>
      </c>
      <c r="B293">
        <v>2</v>
      </c>
      <c r="C293" t="str">
        <f>IF(AND(A293&gt;=SETTINGS!$B$4,A293&lt;=SETTINGS!$B$5),"Yes","No")</f>
        <v>Yes</v>
      </c>
      <c r="D293" t="str">
        <f>IFERROR(INDEX(SETTINGS!$C$15:$C$24,MATCH(A293,SETTINGS!$A$15:$A$24,0)),"No")</f>
        <v>Yes</v>
      </c>
      <c r="E293">
        <v>4</v>
      </c>
      <c r="F293" t="s">
        <v>37</v>
      </c>
      <c r="G293">
        <v>88</v>
      </c>
      <c r="H293" t="s">
        <v>100</v>
      </c>
      <c r="I293" t="s">
        <v>15</v>
      </c>
      <c r="J293" t="s">
        <v>19</v>
      </c>
      <c r="K293" t="s">
        <v>3</v>
      </c>
      <c r="L293" s="36">
        <f ca="1">IF(C293&lt;&gt;"Yes",0,IF(A293=2025,N('2025'!D88),IF(A293=2026,N('2026'!D88),IF(A293=2027,N('2027'!D88),IF(A293=2028,N('2028'!D88),IF(A293=2029,N('2029'!D88),IF(A293=2030,N('2030'!D88),IF(A293=2031,N('2031'!D88),IF(A293=2032,N('2032'!D88),IF(A293=2033,N('2033'!D88),IF(A293=2034,N('2034'!D88),IFERROR(N(INDIRECT("'"&amp;A293&amp;"'!D"&amp;G293)),0))))))))))))</f>
        <v>0</v>
      </c>
      <c r="M293" s="36">
        <f>IFERROR(IF(NOT(ISBLANK(KPI_TARGETS!$H$11)),KPI_TARGETS!$H$11,IF(NOT(ISBLANK(KPI_TARGETS!$F$11)),KPI_TARGETS!$F$11,"")),"")</f>
        <v>0</v>
      </c>
      <c r="N293" s="36" t="str">
        <f>IFERROR(KPI_TARGETS!$E$11,"Higher is better")</f>
        <v>Lower is better</v>
      </c>
      <c r="O293" s="37">
        <f t="shared" ca="1" si="24"/>
        <v>1</v>
      </c>
      <c r="P293" t="str">
        <f t="shared" ca="1" si="25"/>
        <v>Green</v>
      </c>
      <c r="Q293" s="36">
        <f t="shared" ca="1" si="26"/>
        <v>0</v>
      </c>
      <c r="R293" s="36" t="str">
        <f>""</f>
        <v/>
      </c>
      <c r="S293" s="36" t="str">
        <f>""</f>
        <v/>
      </c>
      <c r="T293" s="36" t="str">
        <f>""</f>
        <v/>
      </c>
      <c r="U293" s="36" t="str">
        <f>""</f>
        <v/>
      </c>
      <c r="V293" s="36" t="str">
        <f>""</f>
        <v/>
      </c>
      <c r="W293" s="36">
        <f t="shared" si="27"/>
        <v>1</v>
      </c>
      <c r="X293" t="str">
        <f t="shared" si="28"/>
        <v>OK</v>
      </c>
      <c r="Y293" t="str">
        <f>IF(MAIN!$H$3="Selected Year",IF(A293=MAIN!$B$3,"Yes","No"),IF(MAIN!$H$3="Included Years",IF(D293="Yes","Yes","No"),IF(C293="Yes","Yes","No")))</f>
        <v>No</v>
      </c>
      <c r="Z293" t="str">
        <f>IF(MAIN!$F$3="Project to Date",IF(AND(A293&gt;=SETTINGS!$B$4,A293&lt;MAIN!$B$3),"Yes",IF(AND(A293=MAIN!$B$3,E293&lt;=MAIN!$L$3),"Yes","No")),IF(OR(MAIN!$F$3="Full Year",MAIN!$D$3="All"),"Yes",IF(MAIN!$F$3="Monthly",IF(E293=MAIN!$L$3,"Yes","No"),IF(E293&lt;=MAIN!$L$3,"Yes","No"))))</f>
        <v>Yes</v>
      </c>
      <c r="AA293" t="str">
        <f t="shared" si="29"/>
        <v>No</v>
      </c>
    </row>
    <row r="294" spans="1:27" x14ac:dyDescent="0.3">
      <c r="A294">
        <f>INDEX(SETTINGS!$A$15:$A$24,$B294)</f>
        <v>2026</v>
      </c>
      <c r="B294">
        <v>2</v>
      </c>
      <c r="C294" t="str">
        <f>IF(AND(A294&gt;=SETTINGS!$B$4,A294&lt;=SETTINGS!$B$5),"Yes","No")</f>
        <v>Yes</v>
      </c>
      <c r="D294" t="str">
        <f>IFERROR(INDEX(SETTINGS!$C$15:$C$24,MATCH(A294,SETTINGS!$A$15:$A$24,0)),"No")</f>
        <v>Yes</v>
      </c>
      <c r="E294">
        <v>4</v>
      </c>
      <c r="F294" t="s">
        <v>37</v>
      </c>
      <c r="G294">
        <v>89</v>
      </c>
      <c r="H294" t="s">
        <v>101</v>
      </c>
      <c r="I294" t="s">
        <v>15</v>
      </c>
      <c r="J294" t="s">
        <v>20</v>
      </c>
      <c r="K294" t="s">
        <v>3</v>
      </c>
      <c r="L294" s="36">
        <f ca="1">IF(C294&lt;&gt;"Yes",0,IF(A294=2025,N('2025'!D89),IF(A294=2026,N('2026'!D89),IF(A294=2027,N('2027'!D89),IF(A294=2028,N('2028'!D89),IF(A294=2029,N('2029'!D89),IF(A294=2030,N('2030'!D89),IF(A294=2031,N('2031'!D89),IF(A294=2032,N('2032'!D89),IF(A294=2033,N('2033'!D89),IF(A294=2034,N('2034'!D89),IFERROR(N(INDIRECT("'"&amp;A294&amp;"'!D"&amp;G294)),0))))))))))))</f>
        <v>0</v>
      </c>
      <c r="M294" s="36">
        <f>IFERROR(IF(NOT(ISBLANK(KPI_TARGETS!$H$12)),KPI_TARGETS!$H$12,IF(NOT(ISBLANK(KPI_TARGETS!$F$12)),KPI_TARGETS!$F$12,"")),"")</f>
        <v>0</v>
      </c>
      <c r="N294" s="36" t="str">
        <f>IFERROR(KPI_TARGETS!$E$12,"Higher is better")</f>
        <v>Lower is better</v>
      </c>
      <c r="O294" s="37">
        <f t="shared" ca="1" si="24"/>
        <v>1</v>
      </c>
      <c r="P294" t="str">
        <f t="shared" ca="1" si="25"/>
        <v>Green</v>
      </c>
      <c r="Q294" s="36">
        <f t="shared" ca="1" si="26"/>
        <v>0</v>
      </c>
      <c r="R294" s="36" t="str">
        <f>""</f>
        <v/>
      </c>
      <c r="S294" s="36" t="str">
        <f>""</f>
        <v/>
      </c>
      <c r="T294" s="36" t="str">
        <f>""</f>
        <v/>
      </c>
      <c r="U294" s="36" t="str">
        <f>""</f>
        <v/>
      </c>
      <c r="V294" s="36" t="str">
        <f>""</f>
        <v/>
      </c>
      <c r="W294" s="36">
        <f t="shared" si="27"/>
        <v>1</v>
      </c>
      <c r="X294" t="str">
        <f t="shared" si="28"/>
        <v>OK</v>
      </c>
      <c r="Y294" t="str">
        <f>IF(MAIN!$H$3="Selected Year",IF(A294=MAIN!$B$3,"Yes","No"),IF(MAIN!$H$3="Included Years",IF(D294="Yes","Yes","No"),IF(C294="Yes","Yes","No")))</f>
        <v>No</v>
      </c>
      <c r="Z294" t="str">
        <f>IF(MAIN!$F$3="Project to Date",IF(AND(A294&gt;=SETTINGS!$B$4,A294&lt;MAIN!$B$3),"Yes",IF(AND(A294=MAIN!$B$3,E294&lt;=MAIN!$L$3),"Yes","No")),IF(OR(MAIN!$F$3="Full Year",MAIN!$D$3="All"),"Yes",IF(MAIN!$F$3="Monthly",IF(E294=MAIN!$L$3,"Yes","No"),IF(E294&lt;=MAIN!$L$3,"Yes","No"))))</f>
        <v>Yes</v>
      </c>
      <c r="AA294" t="str">
        <f t="shared" si="29"/>
        <v>No</v>
      </c>
    </row>
    <row r="295" spans="1:27" x14ac:dyDescent="0.3">
      <c r="A295">
        <f>INDEX(SETTINGS!$A$15:$A$24,$B295)</f>
        <v>2026</v>
      </c>
      <c r="B295">
        <v>2</v>
      </c>
      <c r="C295" t="str">
        <f>IF(AND(A295&gt;=SETTINGS!$B$4,A295&lt;=SETTINGS!$B$5),"Yes","No")</f>
        <v>Yes</v>
      </c>
      <c r="D295" t="str">
        <f>IFERROR(INDEX(SETTINGS!$C$15:$C$24,MATCH(A295,SETTINGS!$A$15:$A$24,0)),"No")</f>
        <v>Yes</v>
      </c>
      <c r="E295">
        <v>4</v>
      </c>
      <c r="F295" t="s">
        <v>37</v>
      </c>
      <c r="G295">
        <v>90</v>
      </c>
      <c r="H295" t="s">
        <v>102</v>
      </c>
      <c r="I295" t="s">
        <v>15</v>
      </c>
      <c r="J295" t="s">
        <v>21</v>
      </c>
      <c r="K295" t="s">
        <v>3</v>
      </c>
      <c r="L295" s="36">
        <f ca="1">IF(C295&lt;&gt;"Yes",0,IF(A295=2025,N('2025'!D90),IF(A295=2026,N('2026'!D90),IF(A295=2027,N('2027'!D90),IF(A295=2028,N('2028'!D90),IF(A295=2029,N('2029'!D90),IF(A295=2030,N('2030'!D90),IF(A295=2031,N('2031'!D90),IF(A295=2032,N('2032'!D90),IF(A295=2033,N('2033'!D90),IF(A295=2034,N('2034'!D90),IFERROR(N(INDIRECT("'"&amp;A295&amp;"'!D"&amp;G295)),0))))))))))))</f>
        <v>0</v>
      </c>
      <c r="M295" s="36">
        <f>IFERROR(IF(NOT(ISBLANK(KPI_TARGETS!$H$13)),KPI_TARGETS!$H$13,IF(NOT(ISBLANK(KPI_TARGETS!$F$13)),KPI_TARGETS!$F$13,"")),"")</f>
        <v>0</v>
      </c>
      <c r="N295" s="36" t="str">
        <f>IFERROR(KPI_TARGETS!$E$13,"Higher is better")</f>
        <v>Lower is better</v>
      </c>
      <c r="O295" s="37">
        <f t="shared" ca="1" si="24"/>
        <v>1</v>
      </c>
      <c r="P295" t="str">
        <f t="shared" ca="1" si="25"/>
        <v>Green</v>
      </c>
      <c r="Q295" s="36">
        <f t="shared" ca="1" si="26"/>
        <v>0</v>
      </c>
      <c r="R295" s="36" t="str">
        <f>""</f>
        <v/>
      </c>
      <c r="S295" s="36" t="str">
        <f>""</f>
        <v/>
      </c>
      <c r="T295" s="36" t="str">
        <f>""</f>
        <v/>
      </c>
      <c r="U295" s="36" t="str">
        <f>""</f>
        <v/>
      </c>
      <c r="V295" s="36" t="str">
        <f>""</f>
        <v/>
      </c>
      <c r="W295" s="36">
        <f t="shared" si="27"/>
        <v>1</v>
      </c>
      <c r="X295" t="str">
        <f t="shared" si="28"/>
        <v>OK</v>
      </c>
      <c r="Y295" t="str">
        <f>IF(MAIN!$H$3="Selected Year",IF(A295=MAIN!$B$3,"Yes","No"),IF(MAIN!$H$3="Included Years",IF(D295="Yes","Yes","No"),IF(C295="Yes","Yes","No")))</f>
        <v>No</v>
      </c>
      <c r="Z295" t="str">
        <f>IF(MAIN!$F$3="Project to Date",IF(AND(A295&gt;=SETTINGS!$B$4,A295&lt;MAIN!$B$3),"Yes",IF(AND(A295=MAIN!$B$3,E295&lt;=MAIN!$L$3),"Yes","No")),IF(OR(MAIN!$F$3="Full Year",MAIN!$D$3="All"),"Yes",IF(MAIN!$F$3="Monthly",IF(E295=MAIN!$L$3,"Yes","No"),IF(E295&lt;=MAIN!$L$3,"Yes","No"))))</f>
        <v>Yes</v>
      </c>
      <c r="AA295" t="str">
        <f t="shared" si="29"/>
        <v>No</v>
      </c>
    </row>
    <row r="296" spans="1:27" x14ac:dyDescent="0.3">
      <c r="A296">
        <f>INDEX(SETTINGS!$A$15:$A$24,$B296)</f>
        <v>2026</v>
      </c>
      <c r="B296">
        <v>2</v>
      </c>
      <c r="C296" t="str">
        <f>IF(AND(A296&gt;=SETTINGS!$B$4,A296&lt;=SETTINGS!$B$5),"Yes","No")</f>
        <v>Yes</v>
      </c>
      <c r="D296" t="str">
        <f>IFERROR(INDEX(SETTINGS!$C$15:$C$24,MATCH(A296,SETTINGS!$A$15:$A$24,0)),"No")</f>
        <v>Yes</v>
      </c>
      <c r="E296">
        <v>4</v>
      </c>
      <c r="F296" t="s">
        <v>37</v>
      </c>
      <c r="G296">
        <v>92</v>
      </c>
      <c r="H296" t="s">
        <v>103</v>
      </c>
      <c r="I296" t="s">
        <v>22</v>
      </c>
      <c r="J296" t="s">
        <v>23</v>
      </c>
      <c r="K296" t="s">
        <v>3</v>
      </c>
      <c r="L296" s="36">
        <f ca="1">IF(C296&lt;&gt;"Yes",0,IF(A296=2025,N('2025'!D92),IF(A296=2026,N('2026'!D92),IF(A296=2027,N('2027'!D92),IF(A296=2028,N('2028'!D92),IF(A296=2029,N('2029'!D92),IF(A296=2030,N('2030'!D92),IF(A296=2031,N('2031'!D92),IF(A296=2032,N('2032'!D92),IF(A296=2033,N('2033'!D92),IF(A296=2034,N('2034'!D92),IFERROR(N(INDIRECT("'"&amp;A296&amp;"'!D"&amp;G296)),0))))))))))))</f>
        <v>36</v>
      </c>
      <c r="M296" s="36">
        <f>IFERROR(IF(NOT(ISBLANK(KPI_TARGETS!$H$14)),KPI_TARGETS!$H$14,IF(NOT(ISBLANK(KPI_TARGETS!$F$14)),KPI_TARGETS!$F$14,"")),"")</f>
        <v>35</v>
      </c>
      <c r="N296" s="36" t="str">
        <f>IFERROR(KPI_TARGETS!$E$14,"Higher is better")</f>
        <v>Higher is better</v>
      </c>
      <c r="O296" s="37">
        <f t="shared" ca="1" si="24"/>
        <v>1.0285714285714285</v>
      </c>
      <c r="P296" t="str">
        <f t="shared" ca="1" si="25"/>
        <v>Green</v>
      </c>
      <c r="Q296" s="36">
        <f t="shared" ca="1" si="26"/>
        <v>1</v>
      </c>
      <c r="R296" s="36" t="str">
        <f>""</f>
        <v/>
      </c>
      <c r="S296" s="36" t="str">
        <f>""</f>
        <v/>
      </c>
      <c r="T296" s="36" t="str">
        <f>""</f>
        <v/>
      </c>
      <c r="U296" s="36" t="str">
        <f>""</f>
        <v/>
      </c>
      <c r="V296" s="36" t="str">
        <f>""</f>
        <v/>
      </c>
      <c r="W296" s="36">
        <f t="shared" si="27"/>
        <v>1</v>
      </c>
      <c r="X296" t="str">
        <f t="shared" si="28"/>
        <v>OK</v>
      </c>
      <c r="Y296" t="str">
        <f>IF(MAIN!$H$3="Selected Year",IF(A296=MAIN!$B$3,"Yes","No"),IF(MAIN!$H$3="Included Years",IF(D296="Yes","Yes","No"),IF(C296="Yes","Yes","No")))</f>
        <v>No</v>
      </c>
      <c r="Z296" t="str">
        <f>IF(MAIN!$F$3="Project to Date",IF(AND(A296&gt;=SETTINGS!$B$4,A296&lt;MAIN!$B$3),"Yes",IF(AND(A296=MAIN!$B$3,E296&lt;=MAIN!$L$3),"Yes","No")),IF(OR(MAIN!$F$3="Full Year",MAIN!$D$3="All"),"Yes",IF(MAIN!$F$3="Monthly",IF(E296=MAIN!$L$3,"Yes","No"),IF(E296&lt;=MAIN!$L$3,"Yes","No"))))</f>
        <v>Yes</v>
      </c>
      <c r="AA296" t="str">
        <f t="shared" si="29"/>
        <v>No</v>
      </c>
    </row>
    <row r="297" spans="1:27" x14ac:dyDescent="0.3">
      <c r="A297">
        <f>INDEX(SETTINGS!$A$15:$A$24,$B297)</f>
        <v>2026</v>
      </c>
      <c r="B297">
        <v>2</v>
      </c>
      <c r="C297" t="str">
        <f>IF(AND(A297&gt;=SETTINGS!$B$4,A297&lt;=SETTINGS!$B$5),"Yes","No")</f>
        <v>Yes</v>
      </c>
      <c r="D297" t="str">
        <f>IFERROR(INDEX(SETTINGS!$C$15:$C$24,MATCH(A297,SETTINGS!$A$15:$A$24,0)),"No")</f>
        <v>Yes</v>
      </c>
      <c r="E297">
        <v>4</v>
      </c>
      <c r="F297" t="s">
        <v>37</v>
      </c>
      <c r="G297">
        <v>93</v>
      </c>
      <c r="H297" t="s">
        <v>104</v>
      </c>
      <c r="I297" t="s">
        <v>22</v>
      </c>
      <c r="J297" t="s">
        <v>24</v>
      </c>
      <c r="K297" t="s">
        <v>3</v>
      </c>
      <c r="L297" s="36">
        <f ca="1">IF(C297&lt;&gt;"Yes",0,IF(A297=2025,N('2025'!D93),IF(A297=2026,N('2026'!D93),IF(A297=2027,N('2027'!D93),IF(A297=2028,N('2028'!D93),IF(A297=2029,N('2029'!D93),IF(A297=2030,N('2030'!D93),IF(A297=2031,N('2031'!D93),IF(A297=2032,N('2032'!D93),IF(A297=2033,N('2033'!D93),IF(A297=2034,N('2034'!D93),IFERROR(N(INDIRECT("'"&amp;A297&amp;"'!D"&amp;G297)),0))))))))))))</f>
        <v>4</v>
      </c>
      <c r="M297" s="36">
        <f>IFERROR(IF(NOT(ISBLANK(KPI_TARGETS!$H$15)),KPI_TARGETS!$H$15,IF(NOT(ISBLANK(KPI_TARGETS!$F$15)),KPI_TARGETS!$F$15,"")),"")</f>
        <v>5</v>
      </c>
      <c r="N297" s="36" t="str">
        <f>IFERROR(KPI_TARGETS!$E$15,"Higher is better")</f>
        <v>Higher is better</v>
      </c>
      <c r="O297" s="37">
        <f t="shared" ca="1" si="24"/>
        <v>0.8</v>
      </c>
      <c r="P297" t="str">
        <f t="shared" ca="1" si="25"/>
        <v>Amber</v>
      </c>
      <c r="Q297" s="36">
        <f t="shared" ca="1" si="26"/>
        <v>-1</v>
      </c>
      <c r="R297" s="36" t="str">
        <f>""</f>
        <v/>
      </c>
      <c r="S297" s="36" t="str">
        <f>""</f>
        <v/>
      </c>
      <c r="T297" s="36" t="str">
        <f>""</f>
        <v/>
      </c>
      <c r="U297" s="36" t="str">
        <f>""</f>
        <v/>
      </c>
      <c r="V297" s="36" t="str">
        <f>""</f>
        <v/>
      </c>
      <c r="W297" s="36">
        <f t="shared" si="27"/>
        <v>1</v>
      </c>
      <c r="X297" t="str">
        <f t="shared" si="28"/>
        <v>OK</v>
      </c>
      <c r="Y297" t="str">
        <f>IF(MAIN!$H$3="Selected Year",IF(A297=MAIN!$B$3,"Yes","No"),IF(MAIN!$H$3="Included Years",IF(D297="Yes","Yes","No"),IF(C297="Yes","Yes","No")))</f>
        <v>No</v>
      </c>
      <c r="Z297" t="str">
        <f>IF(MAIN!$F$3="Project to Date",IF(AND(A297&gt;=SETTINGS!$B$4,A297&lt;MAIN!$B$3),"Yes",IF(AND(A297=MAIN!$B$3,E297&lt;=MAIN!$L$3),"Yes","No")),IF(OR(MAIN!$F$3="Full Year",MAIN!$D$3="All"),"Yes",IF(MAIN!$F$3="Monthly",IF(E297=MAIN!$L$3,"Yes","No"),IF(E297&lt;=MAIN!$L$3,"Yes","No"))))</f>
        <v>Yes</v>
      </c>
      <c r="AA297" t="str">
        <f t="shared" si="29"/>
        <v>No</v>
      </c>
    </row>
    <row r="298" spans="1:27" x14ac:dyDescent="0.3">
      <c r="A298">
        <f>INDEX(SETTINGS!$A$15:$A$24,$B298)</f>
        <v>2026</v>
      </c>
      <c r="B298">
        <v>2</v>
      </c>
      <c r="C298" t="str">
        <f>IF(AND(A298&gt;=SETTINGS!$B$4,A298&lt;=SETTINGS!$B$5),"Yes","No")</f>
        <v>Yes</v>
      </c>
      <c r="D298" t="str">
        <f>IFERROR(INDEX(SETTINGS!$C$15:$C$24,MATCH(A298,SETTINGS!$A$15:$A$24,0)),"No")</f>
        <v>Yes</v>
      </c>
      <c r="E298">
        <v>4</v>
      </c>
      <c r="F298" t="s">
        <v>37</v>
      </c>
      <c r="G298">
        <v>94</v>
      </c>
      <c r="H298" t="s">
        <v>105</v>
      </c>
      <c r="I298" t="s">
        <v>22</v>
      </c>
      <c r="J298" t="s">
        <v>25</v>
      </c>
      <c r="K298" t="s">
        <v>3</v>
      </c>
      <c r="L298" s="36">
        <f ca="1">IF(C298&lt;&gt;"Yes",0,IF(A298=2025,N('2025'!D94),IF(A298=2026,N('2026'!D94),IF(A298=2027,N('2027'!D94),IF(A298=2028,N('2028'!D94),IF(A298=2029,N('2029'!D94),IF(A298=2030,N('2030'!D94),IF(A298=2031,N('2031'!D94),IF(A298=2032,N('2032'!D94),IF(A298=2033,N('2033'!D94),IF(A298=2034,N('2034'!D94),IFERROR(N(INDIRECT("'"&amp;A298&amp;"'!D"&amp;G298)),0))))))))))))</f>
        <v>4</v>
      </c>
      <c r="M298" s="36">
        <f>IFERROR(IF(NOT(ISBLANK(KPI_TARGETS!$H$16)),KPI_TARGETS!$H$16,IF(NOT(ISBLANK(KPI_TARGETS!$F$16)),KPI_TARGETS!$F$16,"")),"")</f>
        <v>4</v>
      </c>
      <c r="N298" s="36" t="str">
        <f>IFERROR(KPI_TARGETS!$E$16,"Higher is better")</f>
        <v>Higher is better</v>
      </c>
      <c r="O298" s="37">
        <f t="shared" ca="1" si="24"/>
        <v>1</v>
      </c>
      <c r="P298" t="str">
        <f t="shared" ca="1" si="25"/>
        <v>Green</v>
      </c>
      <c r="Q298" s="36">
        <f t="shared" ca="1" si="26"/>
        <v>0</v>
      </c>
      <c r="R298" s="36" t="str">
        <f>""</f>
        <v/>
      </c>
      <c r="S298" s="36" t="str">
        <f>""</f>
        <v/>
      </c>
      <c r="T298" s="36" t="str">
        <f>""</f>
        <v/>
      </c>
      <c r="U298" s="36" t="str">
        <f>""</f>
        <v/>
      </c>
      <c r="V298" s="36" t="str">
        <f>""</f>
        <v/>
      </c>
      <c r="W298" s="36">
        <f t="shared" si="27"/>
        <v>1</v>
      </c>
      <c r="X298" t="str">
        <f t="shared" si="28"/>
        <v>OK</v>
      </c>
      <c r="Y298" t="str">
        <f>IF(MAIN!$H$3="Selected Year",IF(A298=MAIN!$B$3,"Yes","No"),IF(MAIN!$H$3="Included Years",IF(D298="Yes","Yes","No"),IF(C298="Yes","Yes","No")))</f>
        <v>No</v>
      </c>
      <c r="Z298" t="str">
        <f>IF(MAIN!$F$3="Project to Date",IF(AND(A298&gt;=SETTINGS!$B$4,A298&lt;MAIN!$B$3),"Yes",IF(AND(A298=MAIN!$B$3,E298&lt;=MAIN!$L$3),"Yes","No")),IF(OR(MAIN!$F$3="Full Year",MAIN!$D$3="All"),"Yes",IF(MAIN!$F$3="Monthly",IF(E298=MAIN!$L$3,"Yes","No"),IF(E298&lt;=MAIN!$L$3,"Yes","No"))))</f>
        <v>Yes</v>
      </c>
      <c r="AA298" t="str">
        <f t="shared" si="29"/>
        <v>No</v>
      </c>
    </row>
    <row r="299" spans="1:27" x14ac:dyDescent="0.3">
      <c r="A299">
        <f>INDEX(SETTINGS!$A$15:$A$24,$B299)</f>
        <v>2026</v>
      </c>
      <c r="B299">
        <v>2</v>
      </c>
      <c r="C299" t="str">
        <f>IF(AND(A299&gt;=SETTINGS!$B$4,A299&lt;=SETTINGS!$B$5),"Yes","No")</f>
        <v>Yes</v>
      </c>
      <c r="D299" t="str">
        <f>IFERROR(INDEX(SETTINGS!$C$15:$C$24,MATCH(A299,SETTINGS!$A$15:$A$24,0)),"No")</f>
        <v>Yes</v>
      </c>
      <c r="E299">
        <v>4</v>
      </c>
      <c r="F299" t="s">
        <v>37</v>
      </c>
      <c r="G299">
        <v>95</v>
      </c>
      <c r="H299" t="s">
        <v>106</v>
      </c>
      <c r="I299" t="s">
        <v>22</v>
      </c>
      <c r="J299" t="s">
        <v>26</v>
      </c>
      <c r="K299" t="s">
        <v>3</v>
      </c>
      <c r="L299" s="36">
        <f ca="1">IF(C299&lt;&gt;"Yes",0,IF(A299=2025,N('2025'!D95),IF(A299=2026,N('2026'!D95),IF(A299=2027,N('2027'!D95),IF(A299=2028,N('2028'!D95),IF(A299=2029,N('2029'!D95),IF(A299=2030,N('2030'!D95),IF(A299=2031,N('2031'!D95),IF(A299=2032,N('2032'!D95),IF(A299=2033,N('2033'!D95),IF(A299=2034,N('2034'!D95),IFERROR(N(INDIRECT("'"&amp;A299&amp;"'!D"&amp;G299)),0))))))))))))</f>
        <v>20</v>
      </c>
      <c r="M299" s="36">
        <f>IFERROR(IF(NOT(ISBLANK(KPI_TARGETS!$H$17)),KPI_TARGETS!$H$17,IF(NOT(ISBLANK(KPI_TARGETS!$F$17)),KPI_TARGETS!$F$17,"")),"")</f>
        <v>12</v>
      </c>
      <c r="N299" s="36" t="str">
        <f>IFERROR(KPI_TARGETS!$E$17,"Higher is better")</f>
        <v>Higher is better</v>
      </c>
      <c r="O299" s="37">
        <f t="shared" ca="1" si="24"/>
        <v>1.6666666666666667</v>
      </c>
      <c r="P299" t="str">
        <f t="shared" ca="1" si="25"/>
        <v>Green</v>
      </c>
      <c r="Q299" s="36">
        <f t="shared" ca="1" si="26"/>
        <v>8</v>
      </c>
      <c r="R299" s="36" t="str">
        <f>""</f>
        <v/>
      </c>
      <c r="S299" s="36" t="str">
        <f>""</f>
        <v/>
      </c>
      <c r="T299" s="36" t="str">
        <f>""</f>
        <v/>
      </c>
      <c r="U299" s="36" t="str">
        <f>""</f>
        <v/>
      </c>
      <c r="V299" s="36" t="str">
        <f>""</f>
        <v/>
      </c>
      <c r="W299" s="36">
        <f t="shared" si="27"/>
        <v>1</v>
      </c>
      <c r="X299" t="str">
        <f t="shared" si="28"/>
        <v>OK</v>
      </c>
      <c r="Y299" t="str">
        <f>IF(MAIN!$H$3="Selected Year",IF(A299=MAIN!$B$3,"Yes","No"),IF(MAIN!$H$3="Included Years",IF(D299="Yes","Yes","No"),IF(C299="Yes","Yes","No")))</f>
        <v>No</v>
      </c>
      <c r="Z299" t="str">
        <f>IF(MAIN!$F$3="Project to Date",IF(AND(A299&gt;=SETTINGS!$B$4,A299&lt;MAIN!$B$3),"Yes",IF(AND(A299=MAIN!$B$3,E299&lt;=MAIN!$L$3),"Yes","No")),IF(OR(MAIN!$F$3="Full Year",MAIN!$D$3="All"),"Yes",IF(MAIN!$F$3="Monthly",IF(E299=MAIN!$L$3,"Yes","No"),IF(E299&lt;=MAIN!$L$3,"Yes","No"))))</f>
        <v>Yes</v>
      </c>
      <c r="AA299" t="str">
        <f t="shared" si="29"/>
        <v>No</v>
      </c>
    </row>
    <row r="300" spans="1:27" x14ac:dyDescent="0.3">
      <c r="A300">
        <f>INDEX(SETTINGS!$A$15:$A$24,$B300)</f>
        <v>2026</v>
      </c>
      <c r="B300">
        <v>2</v>
      </c>
      <c r="C300" t="str">
        <f>IF(AND(A300&gt;=SETTINGS!$B$4,A300&lt;=SETTINGS!$B$5),"Yes","No")</f>
        <v>Yes</v>
      </c>
      <c r="D300" t="str">
        <f>IFERROR(INDEX(SETTINGS!$C$15:$C$24,MATCH(A300,SETTINGS!$A$15:$A$24,0)),"No")</f>
        <v>Yes</v>
      </c>
      <c r="E300">
        <v>4</v>
      </c>
      <c r="F300" t="s">
        <v>37</v>
      </c>
      <c r="G300">
        <v>96</v>
      </c>
      <c r="H300" t="s">
        <v>107</v>
      </c>
      <c r="I300" t="s">
        <v>22</v>
      </c>
      <c r="J300" t="s">
        <v>27</v>
      </c>
      <c r="K300" t="s">
        <v>3</v>
      </c>
      <c r="L300" s="36">
        <f ca="1">IF(C300&lt;&gt;"Yes",0,IF(A300=2025,N('2025'!D96),IF(A300=2026,N('2026'!D96),IF(A300=2027,N('2027'!D96),IF(A300=2028,N('2028'!D96),IF(A300=2029,N('2029'!D96),IF(A300=2030,N('2030'!D96),IF(A300=2031,N('2031'!D96),IF(A300=2032,N('2032'!D96),IF(A300=2033,N('2033'!D96),IF(A300=2034,N('2034'!D96),IFERROR(N(INDIRECT("'"&amp;A300&amp;"'!D"&amp;G300)),0))))))))))))</f>
        <v>4</v>
      </c>
      <c r="M300" s="36">
        <f>IFERROR(IF(NOT(ISBLANK(KPI_TARGETS!$H$18)),KPI_TARGETS!$H$18,IF(NOT(ISBLANK(KPI_TARGETS!$F$18)),KPI_TARGETS!$F$18,"")),"")</f>
        <v>4</v>
      </c>
      <c r="N300" s="36" t="str">
        <f>IFERROR(KPI_TARGETS!$E$18,"Higher is better")</f>
        <v>Higher is better</v>
      </c>
      <c r="O300" s="37">
        <f t="shared" ca="1" si="24"/>
        <v>1</v>
      </c>
      <c r="P300" t="str">
        <f t="shared" ca="1" si="25"/>
        <v>Green</v>
      </c>
      <c r="Q300" s="36">
        <f t="shared" ca="1" si="26"/>
        <v>0</v>
      </c>
      <c r="R300" s="36" t="str">
        <f>""</f>
        <v/>
      </c>
      <c r="S300" s="36" t="str">
        <f>""</f>
        <v/>
      </c>
      <c r="T300" s="36" t="str">
        <f>""</f>
        <v/>
      </c>
      <c r="U300" s="36" t="str">
        <f>""</f>
        <v/>
      </c>
      <c r="V300" s="36" t="str">
        <f>""</f>
        <v/>
      </c>
      <c r="W300" s="36">
        <f t="shared" si="27"/>
        <v>1</v>
      </c>
      <c r="X300" t="str">
        <f t="shared" si="28"/>
        <v>OK</v>
      </c>
      <c r="Y300" t="str">
        <f>IF(MAIN!$H$3="Selected Year",IF(A300=MAIN!$B$3,"Yes","No"),IF(MAIN!$H$3="Included Years",IF(D300="Yes","Yes","No"),IF(C300="Yes","Yes","No")))</f>
        <v>No</v>
      </c>
      <c r="Z300" t="str">
        <f>IF(MAIN!$F$3="Project to Date",IF(AND(A300&gt;=SETTINGS!$B$4,A300&lt;MAIN!$B$3),"Yes",IF(AND(A300=MAIN!$B$3,E300&lt;=MAIN!$L$3),"Yes","No")),IF(OR(MAIN!$F$3="Full Year",MAIN!$D$3="All"),"Yes",IF(MAIN!$F$3="Monthly",IF(E300=MAIN!$L$3,"Yes","No"),IF(E300&lt;=MAIN!$L$3,"Yes","No"))))</f>
        <v>Yes</v>
      </c>
      <c r="AA300" t="str">
        <f t="shared" si="29"/>
        <v>No</v>
      </c>
    </row>
    <row r="301" spans="1:27" x14ac:dyDescent="0.3">
      <c r="A301">
        <f>INDEX(SETTINGS!$A$15:$A$24,$B301)</f>
        <v>2026</v>
      </c>
      <c r="B301">
        <v>2</v>
      </c>
      <c r="C301" t="str">
        <f>IF(AND(A301&gt;=SETTINGS!$B$4,A301&lt;=SETTINGS!$B$5),"Yes","No")</f>
        <v>Yes</v>
      </c>
      <c r="D301" t="str">
        <f>IFERROR(INDEX(SETTINGS!$C$15:$C$24,MATCH(A301,SETTINGS!$A$15:$A$24,0)),"No")</f>
        <v>Yes</v>
      </c>
      <c r="E301">
        <v>4</v>
      </c>
      <c r="F301" t="s">
        <v>37</v>
      </c>
      <c r="G301">
        <v>97</v>
      </c>
      <c r="H301" t="s">
        <v>108</v>
      </c>
      <c r="I301" t="s">
        <v>22</v>
      </c>
      <c r="J301" t="s">
        <v>28</v>
      </c>
      <c r="K301" t="s">
        <v>3</v>
      </c>
      <c r="L301" s="36">
        <f ca="1">IF(C301&lt;&gt;"Yes",0,IF(A301=2025,N('2025'!D97),IF(A301=2026,N('2026'!D97),IF(A301=2027,N('2027'!D97),IF(A301=2028,N('2028'!D97),IF(A301=2029,N('2029'!D97),IF(A301=2030,N('2030'!D97),IF(A301=2031,N('2031'!D97),IF(A301=2032,N('2032'!D97),IF(A301=2033,N('2033'!D97),IF(A301=2034,N('2034'!D97),IFERROR(N(INDIRECT("'"&amp;A301&amp;"'!D"&amp;G301)),0))))))))))))</f>
        <v>8</v>
      </c>
      <c r="M301" s="36">
        <f>IFERROR(IF(NOT(ISBLANK(KPI_TARGETS!$H$19)),KPI_TARGETS!$H$19,IF(NOT(ISBLANK(KPI_TARGETS!$F$19)),KPI_TARGETS!$F$19,"")),"")</f>
        <v>16</v>
      </c>
      <c r="N301" s="36" t="str">
        <f>IFERROR(KPI_TARGETS!$E$19,"Higher is better")</f>
        <v>Higher is better</v>
      </c>
      <c r="O301" s="37">
        <f t="shared" ca="1" si="24"/>
        <v>0.5</v>
      </c>
      <c r="P301" t="str">
        <f t="shared" ca="1" si="25"/>
        <v>Red</v>
      </c>
      <c r="Q301" s="36">
        <f t="shared" ca="1" si="26"/>
        <v>-8</v>
      </c>
      <c r="R301" s="36" t="str">
        <f>""</f>
        <v/>
      </c>
      <c r="S301" s="36" t="str">
        <f>""</f>
        <v/>
      </c>
      <c r="T301" s="36" t="str">
        <f>""</f>
        <v/>
      </c>
      <c r="U301" s="36" t="str">
        <f>""</f>
        <v/>
      </c>
      <c r="V301" s="36" t="str">
        <f>""</f>
        <v/>
      </c>
      <c r="W301" s="36">
        <f t="shared" si="27"/>
        <v>1</v>
      </c>
      <c r="X301" t="str">
        <f t="shared" si="28"/>
        <v>OK</v>
      </c>
      <c r="Y301" t="str">
        <f>IF(MAIN!$H$3="Selected Year",IF(A301=MAIN!$B$3,"Yes","No"),IF(MAIN!$H$3="Included Years",IF(D301="Yes","Yes","No"),IF(C301="Yes","Yes","No")))</f>
        <v>No</v>
      </c>
      <c r="Z301" t="str">
        <f>IF(MAIN!$F$3="Project to Date",IF(AND(A301&gt;=SETTINGS!$B$4,A301&lt;MAIN!$B$3),"Yes",IF(AND(A301=MAIN!$B$3,E301&lt;=MAIN!$L$3),"Yes","No")),IF(OR(MAIN!$F$3="Full Year",MAIN!$D$3="All"),"Yes",IF(MAIN!$F$3="Monthly",IF(E301=MAIN!$L$3,"Yes","No"),IF(E301&lt;=MAIN!$L$3,"Yes","No"))))</f>
        <v>Yes</v>
      </c>
      <c r="AA301" t="str">
        <f t="shared" si="29"/>
        <v>No</v>
      </c>
    </row>
    <row r="302" spans="1:27" x14ac:dyDescent="0.3">
      <c r="A302">
        <f>INDEX(SETTINGS!$A$15:$A$24,$B302)</f>
        <v>2026</v>
      </c>
      <c r="B302">
        <v>2</v>
      </c>
      <c r="C302" t="str">
        <f>IF(AND(A302&gt;=SETTINGS!$B$4,A302&lt;=SETTINGS!$B$5),"Yes","No")</f>
        <v>Yes</v>
      </c>
      <c r="D302" t="str">
        <f>IFERROR(INDEX(SETTINGS!$C$15:$C$24,MATCH(A302,SETTINGS!$A$15:$A$24,0)),"No")</f>
        <v>Yes</v>
      </c>
      <c r="E302">
        <v>4</v>
      </c>
      <c r="F302" t="s">
        <v>37</v>
      </c>
      <c r="G302">
        <v>98</v>
      </c>
      <c r="H302" t="s">
        <v>109</v>
      </c>
      <c r="I302" t="s">
        <v>22</v>
      </c>
      <c r="J302" t="s">
        <v>29</v>
      </c>
      <c r="K302" t="s">
        <v>3</v>
      </c>
      <c r="L302" s="36">
        <f ca="1">IF(C302&lt;&gt;"Yes",0,IF(A302=2025,N('2025'!D98),IF(A302=2026,N('2026'!D98),IF(A302=2027,N('2027'!D98),IF(A302=2028,N('2028'!D98),IF(A302=2029,N('2029'!D98),IF(A302=2030,N('2030'!D98),IF(A302=2031,N('2031'!D98),IF(A302=2032,N('2032'!D98),IF(A302=2033,N('2033'!D98),IF(A302=2034,N('2034'!D98),IFERROR(N(INDIRECT("'"&amp;A302&amp;"'!D"&amp;G302)),0))))))))))))</f>
        <v>1</v>
      </c>
      <c r="M302" s="36">
        <f>IFERROR(IF(NOT(ISBLANK(KPI_TARGETS!$H$20)),KPI_TARGETS!$H$20,IF(NOT(ISBLANK(KPI_TARGETS!$F$20)),KPI_TARGETS!$F$20,"")),"")</f>
        <v>1</v>
      </c>
      <c r="N302" s="36" t="str">
        <f>IFERROR(KPI_TARGETS!$E$20,"Higher is better")</f>
        <v>Higher is better</v>
      </c>
      <c r="O302" s="37">
        <f t="shared" ca="1" si="24"/>
        <v>1</v>
      </c>
      <c r="P302" t="str">
        <f t="shared" ca="1" si="25"/>
        <v>Green</v>
      </c>
      <c r="Q302" s="36">
        <f t="shared" ca="1" si="26"/>
        <v>0</v>
      </c>
      <c r="R302" s="36" t="str">
        <f>""</f>
        <v/>
      </c>
      <c r="S302" s="36" t="str">
        <f>""</f>
        <v/>
      </c>
      <c r="T302" s="36" t="str">
        <f>""</f>
        <v/>
      </c>
      <c r="U302" s="36" t="str">
        <f>""</f>
        <v/>
      </c>
      <c r="V302" s="36" t="str">
        <f>""</f>
        <v/>
      </c>
      <c r="W302" s="36">
        <f t="shared" si="27"/>
        <v>1</v>
      </c>
      <c r="X302" t="str">
        <f t="shared" si="28"/>
        <v>OK</v>
      </c>
      <c r="Y302" t="str">
        <f>IF(MAIN!$H$3="Selected Year",IF(A302=MAIN!$B$3,"Yes","No"),IF(MAIN!$H$3="Included Years",IF(D302="Yes","Yes","No"),IF(C302="Yes","Yes","No")))</f>
        <v>No</v>
      </c>
      <c r="Z302" t="str">
        <f>IF(MAIN!$F$3="Project to Date",IF(AND(A302&gt;=SETTINGS!$B$4,A302&lt;MAIN!$B$3),"Yes",IF(AND(A302=MAIN!$B$3,E302&lt;=MAIN!$L$3),"Yes","No")),IF(OR(MAIN!$F$3="Full Year",MAIN!$D$3="All"),"Yes",IF(MAIN!$F$3="Monthly",IF(E302=MAIN!$L$3,"Yes","No"),IF(E302&lt;=MAIN!$L$3,"Yes","No"))))</f>
        <v>Yes</v>
      </c>
      <c r="AA302" t="str">
        <f t="shared" si="29"/>
        <v>No</v>
      </c>
    </row>
    <row r="303" spans="1:27" x14ac:dyDescent="0.3">
      <c r="A303">
        <f>INDEX(SETTINGS!$A$15:$A$24,$B303)</f>
        <v>2026</v>
      </c>
      <c r="B303">
        <v>2</v>
      </c>
      <c r="C303" t="str">
        <f>IF(AND(A303&gt;=SETTINGS!$B$4,A303&lt;=SETTINGS!$B$5),"Yes","No")</f>
        <v>Yes</v>
      </c>
      <c r="D303" t="str">
        <f>IFERROR(INDEX(SETTINGS!$C$15:$C$24,MATCH(A303,SETTINGS!$A$15:$A$24,0)),"No")</f>
        <v>Yes</v>
      </c>
      <c r="E303">
        <v>4</v>
      </c>
      <c r="F303" t="s">
        <v>37</v>
      </c>
      <c r="G303">
        <v>100</v>
      </c>
      <c r="H303" t="s">
        <v>110</v>
      </c>
      <c r="I303" t="s">
        <v>30</v>
      </c>
      <c r="J303" t="s">
        <v>31</v>
      </c>
      <c r="K303" t="s">
        <v>3</v>
      </c>
      <c r="L303" s="36">
        <f ca="1">IF(C303&lt;&gt;"Yes",0,IF(A303=2025,N('2025'!D100),IF(A303=2026,N('2026'!D100),IF(A303=2027,N('2027'!D100),IF(A303=2028,N('2028'!D100),IF(A303=2029,N('2029'!D100),IF(A303=2030,N('2030'!D100),IF(A303=2031,N('2031'!D100),IF(A303=2032,N('2032'!D100),IF(A303=2033,N('2033'!D100),IF(A303=2034,N('2034'!D100),IFERROR(N(INDIRECT("'"&amp;A303&amp;"'!D"&amp;G303)),0))))))))))))</f>
        <v>0</v>
      </c>
      <c r="M303" s="36">
        <f>IFERROR(IF(NOT(ISBLANK(KPI_TARGETS!$H$21)),KPI_TARGETS!$H$21,IF(NOT(ISBLANK(KPI_TARGETS!$F$21)),KPI_TARGETS!$F$21,"")),"")</f>
        <v>0</v>
      </c>
      <c r="N303" s="36" t="str">
        <f>IFERROR(KPI_TARGETS!$E$21,"Higher is better")</f>
        <v>Lower is better</v>
      </c>
      <c r="O303" s="37">
        <f t="shared" ca="1" si="24"/>
        <v>1</v>
      </c>
      <c r="P303" t="str">
        <f t="shared" ca="1" si="25"/>
        <v>Green</v>
      </c>
      <c r="Q303" s="36">
        <f t="shared" ca="1" si="26"/>
        <v>0</v>
      </c>
      <c r="R303" s="36" t="str">
        <f>""</f>
        <v/>
      </c>
      <c r="S303" s="36" t="str">
        <f>""</f>
        <v/>
      </c>
      <c r="T303" s="36" t="str">
        <f>""</f>
        <v/>
      </c>
      <c r="U303" s="36" t="str">
        <f>""</f>
        <v/>
      </c>
      <c r="V303" s="36" t="str">
        <f>""</f>
        <v/>
      </c>
      <c r="W303" s="36">
        <f t="shared" si="27"/>
        <v>1</v>
      </c>
      <c r="X303" t="str">
        <f t="shared" si="28"/>
        <v>OK</v>
      </c>
      <c r="Y303" t="str">
        <f>IF(MAIN!$H$3="Selected Year",IF(A303=MAIN!$B$3,"Yes","No"),IF(MAIN!$H$3="Included Years",IF(D303="Yes","Yes","No"),IF(C303="Yes","Yes","No")))</f>
        <v>No</v>
      </c>
      <c r="Z303" t="str">
        <f>IF(MAIN!$F$3="Project to Date",IF(AND(A303&gt;=SETTINGS!$B$4,A303&lt;MAIN!$B$3),"Yes",IF(AND(A303=MAIN!$B$3,E303&lt;=MAIN!$L$3),"Yes","No")),IF(OR(MAIN!$F$3="Full Year",MAIN!$D$3="All"),"Yes",IF(MAIN!$F$3="Monthly",IF(E303=MAIN!$L$3,"Yes","No"),IF(E303&lt;=MAIN!$L$3,"Yes","No"))))</f>
        <v>Yes</v>
      </c>
      <c r="AA303" t="str">
        <f t="shared" si="29"/>
        <v>No</v>
      </c>
    </row>
    <row r="304" spans="1:27" x14ac:dyDescent="0.3">
      <c r="A304">
        <f>INDEX(SETTINGS!$A$15:$A$24,$B304)</f>
        <v>2026</v>
      </c>
      <c r="B304">
        <v>2</v>
      </c>
      <c r="C304" t="str">
        <f>IF(AND(A304&gt;=SETTINGS!$B$4,A304&lt;=SETTINGS!$B$5),"Yes","No")</f>
        <v>Yes</v>
      </c>
      <c r="D304" t="str">
        <f>IFERROR(INDEX(SETTINGS!$C$15:$C$24,MATCH(A304,SETTINGS!$A$15:$A$24,0)),"No")</f>
        <v>Yes</v>
      </c>
      <c r="E304">
        <v>4</v>
      </c>
      <c r="F304" t="s">
        <v>37</v>
      </c>
      <c r="G304">
        <v>101</v>
      </c>
      <c r="H304" t="s">
        <v>111</v>
      </c>
      <c r="I304" t="s">
        <v>30</v>
      </c>
      <c r="J304" t="s">
        <v>32</v>
      </c>
      <c r="K304" t="s">
        <v>3</v>
      </c>
      <c r="L304" s="36">
        <f ca="1">IF(C304&lt;&gt;"Yes",0,IF(A304=2025,N('2025'!D101),IF(A304=2026,N('2026'!D101),IF(A304=2027,N('2027'!D101),IF(A304=2028,N('2028'!D101),IF(A304=2029,N('2029'!D101),IF(A304=2030,N('2030'!D101),IF(A304=2031,N('2031'!D101),IF(A304=2032,N('2032'!D101),IF(A304=2033,N('2033'!D101),IF(A304=2034,N('2034'!D101),IFERROR(N(INDIRECT("'"&amp;A304&amp;"'!D"&amp;G304)),0))))))))))))</f>
        <v>1</v>
      </c>
      <c r="M304" s="36">
        <f>IFERROR(IF(NOT(ISBLANK(KPI_TARGETS!$H$22)),KPI_TARGETS!$H$22,IF(NOT(ISBLANK(KPI_TARGETS!$F$22)),KPI_TARGETS!$F$22,"")),"")</f>
        <v>1</v>
      </c>
      <c r="N304" s="36" t="str">
        <f>IFERROR(KPI_TARGETS!$E$22,"Higher is better")</f>
        <v>Higher is better</v>
      </c>
      <c r="O304" s="37">
        <f t="shared" ca="1" si="24"/>
        <v>1</v>
      </c>
      <c r="P304" t="str">
        <f t="shared" ca="1" si="25"/>
        <v>Green</v>
      </c>
      <c r="Q304" s="36">
        <f t="shared" ca="1" si="26"/>
        <v>0</v>
      </c>
      <c r="R304" s="36" t="str">
        <f>""</f>
        <v/>
      </c>
      <c r="S304" s="36" t="str">
        <f>""</f>
        <v/>
      </c>
      <c r="T304" s="36" t="str">
        <f>""</f>
        <v/>
      </c>
      <c r="U304" s="36" t="str">
        <f>""</f>
        <v/>
      </c>
      <c r="V304" s="36" t="str">
        <f>""</f>
        <v/>
      </c>
      <c r="W304" s="36">
        <f t="shared" si="27"/>
        <v>1</v>
      </c>
      <c r="X304" t="str">
        <f t="shared" si="28"/>
        <v>OK</v>
      </c>
      <c r="Y304" t="str">
        <f>IF(MAIN!$H$3="Selected Year",IF(A304=MAIN!$B$3,"Yes","No"),IF(MAIN!$H$3="Included Years",IF(D304="Yes","Yes","No"),IF(C304="Yes","Yes","No")))</f>
        <v>No</v>
      </c>
      <c r="Z304" t="str">
        <f>IF(MAIN!$F$3="Project to Date",IF(AND(A304&gt;=SETTINGS!$B$4,A304&lt;MAIN!$B$3),"Yes",IF(AND(A304=MAIN!$B$3,E304&lt;=MAIN!$L$3),"Yes","No")),IF(OR(MAIN!$F$3="Full Year",MAIN!$D$3="All"),"Yes",IF(MAIN!$F$3="Monthly",IF(E304=MAIN!$L$3,"Yes","No"),IF(E304&lt;=MAIN!$L$3,"Yes","No"))))</f>
        <v>Yes</v>
      </c>
      <c r="AA304" t="str">
        <f t="shared" si="29"/>
        <v>No</v>
      </c>
    </row>
    <row r="305" spans="1:27" x14ac:dyDescent="0.3">
      <c r="A305">
        <f>INDEX(SETTINGS!$A$15:$A$24,$B305)</f>
        <v>2026</v>
      </c>
      <c r="B305">
        <v>2</v>
      </c>
      <c r="C305" t="str">
        <f>IF(AND(A305&gt;=SETTINGS!$B$4,A305&lt;=SETTINGS!$B$5),"Yes","No")</f>
        <v>Yes</v>
      </c>
      <c r="D305" t="str">
        <f>IFERROR(INDEX(SETTINGS!$C$15:$C$24,MATCH(A305,SETTINGS!$A$15:$A$24,0)),"No")</f>
        <v>Yes</v>
      </c>
      <c r="E305">
        <v>4</v>
      </c>
      <c r="F305" t="s">
        <v>37</v>
      </c>
      <c r="G305">
        <v>102</v>
      </c>
      <c r="H305" t="s">
        <v>112</v>
      </c>
      <c r="I305" t="s">
        <v>30</v>
      </c>
      <c r="J305" t="s">
        <v>33</v>
      </c>
      <c r="K305" t="s">
        <v>34</v>
      </c>
      <c r="L305" s="36">
        <f ca="1">IF(C305&lt;&gt;"Yes",0,IF(A305=2025,N('2025'!D102),IF(A305=2026,N('2026'!D102),IF(A305=2027,N('2027'!D102),IF(A305=2028,N('2028'!D102),IF(A305=2029,N('2029'!D102),IF(A305=2030,N('2030'!D102),IF(A305=2031,N('2031'!D102),IF(A305=2032,N('2032'!D102),IF(A305=2033,N('2033'!D102),IF(A305=2034,N('2034'!D102),IFERROR(N(INDIRECT("'"&amp;A305&amp;"'!D"&amp;G305)),0))))))))))))</f>
        <v>1</v>
      </c>
      <c r="M305" s="36">
        <f>IFERROR(IF(NOT(ISBLANK(KPI_TARGETS!$H$23)),KPI_TARGETS!$H$23,IF(NOT(ISBLANK(KPI_TARGETS!$F$23)),KPI_TARGETS!$F$23,"")),"")</f>
        <v>1</v>
      </c>
      <c r="N305" s="36" t="str">
        <f>IFERROR(KPI_TARGETS!$E$23,"Higher is better")</f>
        <v>Higher is better</v>
      </c>
      <c r="O305" s="37">
        <f t="shared" ca="1" si="24"/>
        <v>1</v>
      </c>
      <c r="P305" t="str">
        <f t="shared" ca="1" si="25"/>
        <v>Green</v>
      </c>
      <c r="Q305" s="36">
        <f t="shared" ca="1" si="26"/>
        <v>0</v>
      </c>
      <c r="R305" s="36" t="str">
        <f>""</f>
        <v/>
      </c>
      <c r="S305" s="36" t="str">
        <f>""</f>
        <v/>
      </c>
      <c r="T305" s="36" t="str">
        <f>""</f>
        <v/>
      </c>
      <c r="U305" s="36" t="str">
        <f>""</f>
        <v/>
      </c>
      <c r="V305" s="36" t="str">
        <f>""</f>
        <v/>
      </c>
      <c r="W305" s="36">
        <f t="shared" si="27"/>
        <v>1</v>
      </c>
      <c r="X305" t="str">
        <f t="shared" si="28"/>
        <v>OK</v>
      </c>
      <c r="Y305" t="str">
        <f>IF(MAIN!$H$3="Selected Year",IF(A305=MAIN!$B$3,"Yes","No"),IF(MAIN!$H$3="Included Years",IF(D305="Yes","Yes","No"),IF(C305="Yes","Yes","No")))</f>
        <v>No</v>
      </c>
      <c r="Z305" t="str">
        <f>IF(MAIN!$F$3="Project to Date",IF(AND(A305&gt;=SETTINGS!$B$4,A305&lt;MAIN!$B$3),"Yes",IF(AND(A305=MAIN!$B$3,E305&lt;=MAIN!$L$3),"Yes","No")),IF(OR(MAIN!$F$3="Full Year",MAIN!$D$3="All"),"Yes",IF(MAIN!$F$3="Monthly",IF(E305=MAIN!$L$3,"Yes","No"),IF(E305&lt;=MAIN!$L$3,"Yes","No"))))</f>
        <v>Yes</v>
      </c>
      <c r="AA305" t="str">
        <f t="shared" si="29"/>
        <v>No</v>
      </c>
    </row>
    <row r="306" spans="1:27" x14ac:dyDescent="0.3">
      <c r="A306">
        <f>INDEX(SETTINGS!$A$15:$A$24,$B306)</f>
        <v>2026</v>
      </c>
      <c r="B306">
        <v>2</v>
      </c>
      <c r="C306" t="str">
        <f>IF(AND(A306&gt;=SETTINGS!$B$4,A306&lt;=SETTINGS!$B$5),"Yes","No")</f>
        <v>Yes</v>
      </c>
      <c r="D306" t="str">
        <f>IFERROR(INDEX(SETTINGS!$C$15:$C$24,MATCH(A306,SETTINGS!$A$15:$A$24,0)),"No")</f>
        <v>Yes</v>
      </c>
      <c r="E306">
        <v>5</v>
      </c>
      <c r="F306" t="s">
        <v>38</v>
      </c>
      <c r="G306">
        <v>105</v>
      </c>
      <c r="H306" t="s">
        <v>88</v>
      </c>
      <c r="I306" t="s">
        <v>89</v>
      </c>
      <c r="J306" t="s">
        <v>10</v>
      </c>
      <c r="K306" t="s">
        <v>3</v>
      </c>
      <c r="L306" s="36">
        <f ca="1">IF(C306&lt;&gt;"Yes",0,IF(A306=2025,N('2025'!D105),IF(A306=2026,N('2026'!D105),IF(A306=2027,N('2027'!D105),IF(A306=2028,N('2028'!D105),IF(A306=2029,N('2029'!D105),IF(A306=2030,N('2030'!D105),IF(A306=2031,N('2031'!D105),IF(A306=2032,N('2032'!D105),IF(A306=2033,N('2033'!D105),IF(A306=2034,N('2034'!D105),IFERROR(N(INDIRECT("'"&amp;A306&amp;"'!D"&amp;G306)),0))))))))))))</f>
        <v>0</v>
      </c>
      <c r="M306" s="36">
        <f>IFERROR(IF(NOT(ISBLANK(KPI_TARGETS!$H$5)),KPI_TARGETS!$H$5,IF(NOT(ISBLANK(KPI_TARGETS!$F$5)),KPI_TARGETS!$F$5,"")),"")</f>
        <v>104</v>
      </c>
      <c r="N306" s="36" t="str">
        <f>IFERROR(KPI_TARGETS!$E$5,"Higher is better")</f>
        <v>Higher is better</v>
      </c>
      <c r="O306" s="37">
        <f t="shared" ca="1" si="24"/>
        <v>0</v>
      </c>
      <c r="P306" t="str">
        <f t="shared" ca="1" si="25"/>
        <v>Red</v>
      </c>
      <c r="Q306" s="36">
        <f t="shared" ca="1" si="26"/>
        <v>-104</v>
      </c>
      <c r="R306" s="36" t="str">
        <f>""</f>
        <v/>
      </c>
      <c r="S306" s="36" t="str">
        <f>""</f>
        <v/>
      </c>
      <c r="T306" s="36" t="str">
        <f>""</f>
        <v/>
      </c>
      <c r="U306" s="36" t="str">
        <f>""</f>
        <v/>
      </c>
      <c r="V306" s="36" t="str">
        <f>""</f>
        <v/>
      </c>
      <c r="W306" s="36">
        <f t="shared" si="27"/>
        <v>1</v>
      </c>
      <c r="X306" t="str">
        <f t="shared" si="28"/>
        <v>OK</v>
      </c>
      <c r="Y306" t="str">
        <f>IF(MAIN!$H$3="Selected Year",IF(A306=MAIN!$B$3,"Yes","No"),IF(MAIN!$H$3="Included Years",IF(D306="Yes","Yes","No"),IF(C306="Yes","Yes","No")))</f>
        <v>No</v>
      </c>
      <c r="Z306" t="str">
        <f>IF(MAIN!$F$3="Project to Date",IF(AND(A306&gt;=SETTINGS!$B$4,A306&lt;MAIN!$B$3),"Yes",IF(AND(A306=MAIN!$B$3,E306&lt;=MAIN!$L$3),"Yes","No")),IF(OR(MAIN!$F$3="Full Year",MAIN!$D$3="All"),"Yes",IF(MAIN!$F$3="Monthly",IF(E306=MAIN!$L$3,"Yes","No"),IF(E306&lt;=MAIN!$L$3,"Yes","No"))))</f>
        <v>Yes</v>
      </c>
      <c r="AA306" t="str">
        <f t="shared" si="29"/>
        <v>No</v>
      </c>
    </row>
    <row r="307" spans="1:27" x14ac:dyDescent="0.3">
      <c r="A307">
        <f>INDEX(SETTINGS!$A$15:$A$24,$B307)</f>
        <v>2026</v>
      </c>
      <c r="B307">
        <v>2</v>
      </c>
      <c r="C307" t="str">
        <f>IF(AND(A307&gt;=SETTINGS!$B$4,A307&lt;=SETTINGS!$B$5),"Yes","No")</f>
        <v>Yes</v>
      </c>
      <c r="D307" t="str">
        <f>IFERROR(INDEX(SETTINGS!$C$15:$C$24,MATCH(A307,SETTINGS!$A$15:$A$24,0)),"No")</f>
        <v>Yes</v>
      </c>
      <c r="E307">
        <v>5</v>
      </c>
      <c r="F307" t="s">
        <v>38</v>
      </c>
      <c r="G307">
        <v>106</v>
      </c>
      <c r="H307" t="s">
        <v>91</v>
      </c>
      <c r="I307" t="s">
        <v>89</v>
      </c>
      <c r="J307" t="s">
        <v>11</v>
      </c>
      <c r="K307" t="s">
        <v>12</v>
      </c>
      <c r="L307" s="36">
        <f ca="1">IF(C307&lt;&gt;"Yes",0,IF(A307=2025,N('2025'!D106),IF(A307=2026,N('2026'!D106),IF(A307=2027,N('2027'!D106),IF(A307=2028,N('2028'!D106),IF(A307=2029,N('2029'!D106),IF(A307=2030,N('2030'!D106),IF(A307=2031,N('2031'!D106),IF(A307=2032,N('2032'!D106),IF(A307=2033,N('2033'!D106),IF(A307=2034,N('2034'!D106),IFERROR(N(INDIRECT("'"&amp;A307&amp;"'!D"&amp;G307)),0))))))))))))</f>
        <v>0</v>
      </c>
      <c r="M307" s="36">
        <f>IFERROR(IF(NOT(ISBLANK(KPI_TARGETS!$H$6)),KPI_TARGETS!$H$6,IF(NOT(ISBLANK(KPI_TARGETS!$F$6)),KPI_TARGETS!$F$6,"")),"")</f>
        <v>4000</v>
      </c>
      <c r="N307" s="36" t="str">
        <f>IFERROR(KPI_TARGETS!$E$6,"Higher is better")</f>
        <v>Higher is better</v>
      </c>
      <c r="O307" s="37">
        <f t="shared" ca="1" si="24"/>
        <v>0</v>
      </c>
      <c r="P307" t="str">
        <f t="shared" ca="1" si="25"/>
        <v>Red</v>
      </c>
      <c r="Q307" s="36">
        <f t="shared" ca="1" si="26"/>
        <v>-4000</v>
      </c>
      <c r="R307" s="36" t="str">
        <f>""</f>
        <v/>
      </c>
      <c r="S307" s="36" t="str">
        <f>""</f>
        <v/>
      </c>
      <c r="T307" s="36" t="str">
        <f>""</f>
        <v/>
      </c>
      <c r="U307" s="36" t="str">
        <f>""</f>
        <v/>
      </c>
      <c r="V307" s="36" t="str">
        <f>""</f>
        <v/>
      </c>
      <c r="W307" s="36">
        <f t="shared" si="27"/>
        <v>1</v>
      </c>
      <c r="X307" t="str">
        <f t="shared" si="28"/>
        <v>OK</v>
      </c>
      <c r="Y307" t="str">
        <f>IF(MAIN!$H$3="Selected Year",IF(A307=MAIN!$B$3,"Yes","No"),IF(MAIN!$H$3="Included Years",IF(D307="Yes","Yes","No"),IF(C307="Yes","Yes","No")))</f>
        <v>No</v>
      </c>
      <c r="Z307" t="str">
        <f>IF(MAIN!$F$3="Project to Date",IF(AND(A307&gt;=SETTINGS!$B$4,A307&lt;MAIN!$B$3),"Yes",IF(AND(A307=MAIN!$B$3,E307&lt;=MAIN!$L$3),"Yes","No")),IF(OR(MAIN!$F$3="Full Year",MAIN!$D$3="All"),"Yes",IF(MAIN!$F$3="Monthly",IF(E307=MAIN!$L$3,"Yes","No"),IF(E307&lt;=MAIN!$L$3,"Yes","No"))))</f>
        <v>Yes</v>
      </c>
      <c r="AA307" t="str">
        <f t="shared" si="29"/>
        <v>No</v>
      </c>
    </row>
    <row r="308" spans="1:27" x14ac:dyDescent="0.3">
      <c r="A308">
        <f>INDEX(SETTINGS!$A$15:$A$24,$B308)</f>
        <v>2026</v>
      </c>
      <c r="B308">
        <v>2</v>
      </c>
      <c r="C308" t="str">
        <f>IF(AND(A308&gt;=SETTINGS!$B$4,A308&lt;=SETTINGS!$B$5),"Yes","No")</f>
        <v>Yes</v>
      </c>
      <c r="D308" t="str">
        <f>IFERROR(INDEX(SETTINGS!$C$15:$C$24,MATCH(A308,SETTINGS!$A$15:$A$24,0)),"No")</f>
        <v>Yes</v>
      </c>
      <c r="E308">
        <v>5</v>
      </c>
      <c r="F308" t="s">
        <v>38</v>
      </c>
      <c r="G308">
        <v>107</v>
      </c>
      <c r="H308" t="s">
        <v>93</v>
      </c>
      <c r="I308" t="s">
        <v>89</v>
      </c>
      <c r="J308" t="s">
        <v>13</v>
      </c>
      <c r="K308" t="s">
        <v>14</v>
      </c>
      <c r="L308" s="36">
        <f ca="1">IF(C308&lt;&gt;"Yes",0,IF(A308=2025,N('2025'!D107),IF(A308=2026,N('2026'!D107),IF(A308=2027,N('2027'!D107),IF(A308=2028,N('2028'!D107),IF(A308=2029,N('2029'!D107),IF(A308=2030,N('2030'!D107),IF(A308=2031,N('2031'!D107),IF(A308=2032,N('2032'!D107),IF(A308=2033,N('2033'!D107),IF(A308=2034,N('2034'!D107),IFERROR(N(INDIRECT("'"&amp;A308&amp;"'!D"&amp;G308)),0))))))))))))</f>
        <v>0</v>
      </c>
      <c r="M308" s="36">
        <f>IFERROR(IF(NOT(ISBLANK(KPI_TARGETS!$H$7)),KPI_TARGETS!$H$7,IF(NOT(ISBLANK(KPI_TARGETS!$F$7)),KPI_TARGETS!$F$7,"")),"")</f>
        <v>8000</v>
      </c>
      <c r="N308" s="36" t="str">
        <f>IFERROR(KPI_TARGETS!$E$7,"Higher is better")</f>
        <v>Higher is better</v>
      </c>
      <c r="O308" s="37">
        <f t="shared" ca="1" si="24"/>
        <v>0</v>
      </c>
      <c r="P308" t="str">
        <f t="shared" ca="1" si="25"/>
        <v>Red</v>
      </c>
      <c r="Q308" s="36">
        <f t="shared" ca="1" si="26"/>
        <v>-8000</v>
      </c>
      <c r="R308" s="36" t="str">
        <f>""</f>
        <v/>
      </c>
      <c r="S308" s="36" t="str">
        <f>""</f>
        <v/>
      </c>
      <c r="T308" s="36" t="str">
        <f>""</f>
        <v/>
      </c>
      <c r="U308" s="36" t="str">
        <f>""</f>
        <v/>
      </c>
      <c r="V308" s="36" t="str">
        <f>""</f>
        <v/>
      </c>
      <c r="W308" s="36">
        <f t="shared" si="27"/>
        <v>1</v>
      </c>
      <c r="X308" t="str">
        <f t="shared" si="28"/>
        <v>OK</v>
      </c>
      <c r="Y308" t="str">
        <f>IF(MAIN!$H$3="Selected Year",IF(A308=MAIN!$B$3,"Yes","No"),IF(MAIN!$H$3="Included Years",IF(D308="Yes","Yes","No"),IF(C308="Yes","Yes","No")))</f>
        <v>No</v>
      </c>
      <c r="Z308" t="str">
        <f>IF(MAIN!$F$3="Project to Date",IF(AND(A308&gt;=SETTINGS!$B$4,A308&lt;MAIN!$B$3),"Yes",IF(AND(A308=MAIN!$B$3,E308&lt;=MAIN!$L$3),"Yes","No")),IF(OR(MAIN!$F$3="Full Year",MAIN!$D$3="All"),"Yes",IF(MAIN!$F$3="Monthly",IF(E308=MAIN!$L$3,"Yes","No"),IF(E308&lt;=MAIN!$L$3,"Yes","No"))))</f>
        <v>Yes</v>
      </c>
      <c r="AA308" t="str">
        <f t="shared" si="29"/>
        <v>No</v>
      </c>
    </row>
    <row r="309" spans="1:27" x14ac:dyDescent="0.3">
      <c r="A309">
        <f>INDEX(SETTINGS!$A$15:$A$24,$B309)</f>
        <v>2026</v>
      </c>
      <c r="B309">
        <v>2</v>
      </c>
      <c r="C309" t="str">
        <f>IF(AND(A309&gt;=SETTINGS!$B$4,A309&lt;=SETTINGS!$B$5),"Yes","No")</f>
        <v>Yes</v>
      </c>
      <c r="D309" t="str">
        <f>IFERROR(INDEX(SETTINGS!$C$15:$C$24,MATCH(A309,SETTINGS!$A$15:$A$24,0)),"No")</f>
        <v>Yes</v>
      </c>
      <c r="E309">
        <v>5</v>
      </c>
      <c r="F309" t="s">
        <v>38</v>
      </c>
      <c r="G309">
        <v>109</v>
      </c>
      <c r="H309" t="s">
        <v>95</v>
      </c>
      <c r="I309" t="s">
        <v>15</v>
      </c>
      <c r="J309" t="s">
        <v>16</v>
      </c>
      <c r="K309" t="s">
        <v>3</v>
      </c>
      <c r="L309" s="36">
        <f ca="1">IF(C309&lt;&gt;"Yes",0,IF(A309=2025,N('2025'!D109),IF(A309=2026,N('2026'!D109),IF(A309=2027,N('2027'!D109),IF(A309=2028,N('2028'!D109),IF(A309=2029,N('2029'!D109),IF(A309=2030,N('2030'!D109),IF(A309=2031,N('2031'!D109),IF(A309=2032,N('2032'!D109),IF(A309=2033,N('2033'!D109),IF(A309=2034,N('2034'!D109),IFERROR(N(INDIRECT("'"&amp;A309&amp;"'!D"&amp;G309)),0))))))))))))</f>
        <v>0</v>
      </c>
      <c r="M309" s="36">
        <f>IFERROR(IF(NOT(ISBLANK(KPI_TARGETS!$H$8)),KPI_TARGETS!$H$8,IF(NOT(ISBLANK(KPI_TARGETS!$F$8)),KPI_TARGETS!$F$8,"")),"")</f>
        <v>0</v>
      </c>
      <c r="N309" s="36" t="str">
        <f>IFERROR(KPI_TARGETS!$E$8,"Higher is better")</f>
        <v>Lower is better</v>
      </c>
      <c r="O309" s="37">
        <f t="shared" ca="1" si="24"/>
        <v>1</v>
      </c>
      <c r="P309" t="str">
        <f t="shared" ca="1" si="25"/>
        <v>Green</v>
      </c>
      <c r="Q309" s="36">
        <f t="shared" ca="1" si="26"/>
        <v>0</v>
      </c>
      <c r="R309" s="36" t="str">
        <f>""</f>
        <v/>
      </c>
      <c r="S309" s="36" t="str">
        <f>""</f>
        <v/>
      </c>
      <c r="T309" s="36" t="str">
        <f>""</f>
        <v/>
      </c>
      <c r="U309" s="36" t="str">
        <f>""</f>
        <v/>
      </c>
      <c r="V309" s="36" t="str">
        <f>""</f>
        <v/>
      </c>
      <c r="W309" s="36">
        <f t="shared" si="27"/>
        <v>1</v>
      </c>
      <c r="X309" t="str">
        <f t="shared" si="28"/>
        <v>OK</v>
      </c>
      <c r="Y309" t="str">
        <f>IF(MAIN!$H$3="Selected Year",IF(A309=MAIN!$B$3,"Yes","No"),IF(MAIN!$H$3="Included Years",IF(D309="Yes","Yes","No"),IF(C309="Yes","Yes","No")))</f>
        <v>No</v>
      </c>
      <c r="Z309" t="str">
        <f>IF(MAIN!$F$3="Project to Date",IF(AND(A309&gt;=SETTINGS!$B$4,A309&lt;MAIN!$B$3),"Yes",IF(AND(A309=MAIN!$B$3,E309&lt;=MAIN!$L$3),"Yes","No")),IF(OR(MAIN!$F$3="Full Year",MAIN!$D$3="All"),"Yes",IF(MAIN!$F$3="Monthly",IF(E309=MAIN!$L$3,"Yes","No"),IF(E309&lt;=MAIN!$L$3,"Yes","No"))))</f>
        <v>Yes</v>
      </c>
      <c r="AA309" t="str">
        <f t="shared" si="29"/>
        <v>No</v>
      </c>
    </row>
    <row r="310" spans="1:27" x14ac:dyDescent="0.3">
      <c r="A310">
        <f>INDEX(SETTINGS!$A$15:$A$24,$B310)</f>
        <v>2026</v>
      </c>
      <c r="B310">
        <v>2</v>
      </c>
      <c r="C310" t="str">
        <f>IF(AND(A310&gt;=SETTINGS!$B$4,A310&lt;=SETTINGS!$B$5),"Yes","No")</f>
        <v>Yes</v>
      </c>
      <c r="D310" t="str">
        <f>IFERROR(INDEX(SETTINGS!$C$15:$C$24,MATCH(A310,SETTINGS!$A$15:$A$24,0)),"No")</f>
        <v>Yes</v>
      </c>
      <c r="E310">
        <v>5</v>
      </c>
      <c r="F310" t="s">
        <v>38</v>
      </c>
      <c r="G310">
        <v>110</v>
      </c>
      <c r="H310" t="s">
        <v>97</v>
      </c>
      <c r="I310" t="s">
        <v>15</v>
      </c>
      <c r="J310" t="s">
        <v>17</v>
      </c>
      <c r="K310" t="s">
        <v>3</v>
      </c>
      <c r="L310" s="36">
        <f ca="1">IF(C310&lt;&gt;"Yes",0,IF(A310=2025,N('2025'!D110),IF(A310=2026,N('2026'!D110),IF(A310=2027,N('2027'!D110),IF(A310=2028,N('2028'!D110),IF(A310=2029,N('2029'!D110),IF(A310=2030,N('2030'!D110),IF(A310=2031,N('2031'!D110),IF(A310=2032,N('2032'!D110),IF(A310=2033,N('2033'!D110),IF(A310=2034,N('2034'!D110),IFERROR(N(INDIRECT("'"&amp;A310&amp;"'!D"&amp;G310)),0))))))))))))</f>
        <v>0</v>
      </c>
      <c r="M310" s="36">
        <f>IFERROR(IF(NOT(ISBLANK(KPI_TARGETS!$H$9)),KPI_TARGETS!$H$9,IF(NOT(ISBLANK(KPI_TARGETS!$F$9)),KPI_TARGETS!$F$9,"")),"")</f>
        <v>0</v>
      </c>
      <c r="N310" s="36" t="str">
        <f>IFERROR(KPI_TARGETS!$E$9,"Higher is better")</f>
        <v>Higher is better</v>
      </c>
      <c r="O310" s="37" t="str">
        <f t="shared" ca="1" si="24"/>
        <v/>
      </c>
      <c r="P310" t="str">
        <f t="shared" ca="1" si="25"/>
        <v>Green</v>
      </c>
      <c r="Q310" s="36">
        <f t="shared" ca="1" si="26"/>
        <v>0</v>
      </c>
      <c r="R310" s="36" t="str">
        <f>""</f>
        <v/>
      </c>
      <c r="S310" s="36" t="str">
        <f>""</f>
        <v/>
      </c>
      <c r="T310" s="36" t="str">
        <f>""</f>
        <v/>
      </c>
      <c r="U310" s="36" t="str">
        <f>""</f>
        <v/>
      </c>
      <c r="V310" s="36" t="str">
        <f>""</f>
        <v/>
      </c>
      <c r="W310" s="36">
        <f t="shared" si="27"/>
        <v>1</v>
      </c>
      <c r="X310" t="str">
        <f t="shared" si="28"/>
        <v>OK</v>
      </c>
      <c r="Y310" t="str">
        <f>IF(MAIN!$H$3="Selected Year",IF(A310=MAIN!$B$3,"Yes","No"),IF(MAIN!$H$3="Included Years",IF(D310="Yes","Yes","No"),IF(C310="Yes","Yes","No")))</f>
        <v>No</v>
      </c>
      <c r="Z310" t="str">
        <f>IF(MAIN!$F$3="Project to Date",IF(AND(A310&gt;=SETTINGS!$B$4,A310&lt;MAIN!$B$3),"Yes",IF(AND(A310=MAIN!$B$3,E310&lt;=MAIN!$L$3),"Yes","No")),IF(OR(MAIN!$F$3="Full Year",MAIN!$D$3="All"),"Yes",IF(MAIN!$F$3="Monthly",IF(E310=MAIN!$L$3,"Yes","No"),IF(E310&lt;=MAIN!$L$3,"Yes","No"))))</f>
        <v>Yes</v>
      </c>
      <c r="AA310" t="str">
        <f t="shared" si="29"/>
        <v>No</v>
      </c>
    </row>
    <row r="311" spans="1:27" x14ac:dyDescent="0.3">
      <c r="A311">
        <f>INDEX(SETTINGS!$A$15:$A$24,$B311)</f>
        <v>2026</v>
      </c>
      <c r="B311">
        <v>2</v>
      </c>
      <c r="C311" t="str">
        <f>IF(AND(A311&gt;=SETTINGS!$B$4,A311&lt;=SETTINGS!$B$5),"Yes","No")</f>
        <v>Yes</v>
      </c>
      <c r="D311" t="str">
        <f>IFERROR(INDEX(SETTINGS!$C$15:$C$24,MATCH(A311,SETTINGS!$A$15:$A$24,0)),"No")</f>
        <v>Yes</v>
      </c>
      <c r="E311">
        <v>5</v>
      </c>
      <c r="F311" t="s">
        <v>38</v>
      </c>
      <c r="G311">
        <v>111</v>
      </c>
      <c r="H311" t="s">
        <v>99</v>
      </c>
      <c r="I311" t="s">
        <v>15</v>
      </c>
      <c r="J311" t="s">
        <v>18</v>
      </c>
      <c r="K311" t="s">
        <v>3</v>
      </c>
      <c r="L311" s="36">
        <f ca="1">IF(C311&lt;&gt;"Yes",0,IF(A311=2025,N('2025'!D111),IF(A311=2026,N('2026'!D111),IF(A311=2027,N('2027'!D111),IF(A311=2028,N('2028'!D111),IF(A311=2029,N('2029'!D111),IF(A311=2030,N('2030'!D111),IF(A311=2031,N('2031'!D111),IF(A311=2032,N('2032'!D111),IF(A311=2033,N('2033'!D111),IF(A311=2034,N('2034'!D111),IFERROR(N(INDIRECT("'"&amp;A311&amp;"'!D"&amp;G311)),0))))))))))))</f>
        <v>0</v>
      </c>
      <c r="M311" s="36">
        <f>IFERROR(IF(NOT(ISBLANK(KPI_TARGETS!$H$10)),KPI_TARGETS!$H$10,IF(NOT(ISBLANK(KPI_TARGETS!$F$10)),KPI_TARGETS!$F$10,"")),"")</f>
        <v>0</v>
      </c>
      <c r="N311" s="36" t="str">
        <f>IFERROR(KPI_TARGETS!$E$10,"Higher is better")</f>
        <v>Lower is better</v>
      </c>
      <c r="O311" s="37">
        <f t="shared" ca="1" si="24"/>
        <v>1</v>
      </c>
      <c r="P311" t="str">
        <f t="shared" ca="1" si="25"/>
        <v>Green</v>
      </c>
      <c r="Q311" s="36">
        <f t="shared" ca="1" si="26"/>
        <v>0</v>
      </c>
      <c r="R311" s="36" t="str">
        <f>""</f>
        <v/>
      </c>
      <c r="S311" s="36" t="str">
        <f>""</f>
        <v/>
      </c>
      <c r="T311" s="36" t="str">
        <f>""</f>
        <v/>
      </c>
      <c r="U311" s="36" t="str">
        <f>""</f>
        <v/>
      </c>
      <c r="V311" s="36" t="str">
        <f>""</f>
        <v/>
      </c>
      <c r="W311" s="36">
        <f t="shared" si="27"/>
        <v>1</v>
      </c>
      <c r="X311" t="str">
        <f t="shared" si="28"/>
        <v>OK</v>
      </c>
      <c r="Y311" t="str">
        <f>IF(MAIN!$H$3="Selected Year",IF(A311=MAIN!$B$3,"Yes","No"),IF(MAIN!$H$3="Included Years",IF(D311="Yes","Yes","No"),IF(C311="Yes","Yes","No")))</f>
        <v>No</v>
      </c>
      <c r="Z311" t="str">
        <f>IF(MAIN!$F$3="Project to Date",IF(AND(A311&gt;=SETTINGS!$B$4,A311&lt;MAIN!$B$3),"Yes",IF(AND(A311=MAIN!$B$3,E311&lt;=MAIN!$L$3),"Yes","No")),IF(OR(MAIN!$F$3="Full Year",MAIN!$D$3="All"),"Yes",IF(MAIN!$F$3="Monthly",IF(E311=MAIN!$L$3,"Yes","No"),IF(E311&lt;=MAIN!$L$3,"Yes","No"))))</f>
        <v>Yes</v>
      </c>
      <c r="AA311" t="str">
        <f t="shared" si="29"/>
        <v>No</v>
      </c>
    </row>
    <row r="312" spans="1:27" x14ac:dyDescent="0.3">
      <c r="A312">
        <f>INDEX(SETTINGS!$A$15:$A$24,$B312)</f>
        <v>2026</v>
      </c>
      <c r="B312">
        <v>2</v>
      </c>
      <c r="C312" t="str">
        <f>IF(AND(A312&gt;=SETTINGS!$B$4,A312&lt;=SETTINGS!$B$5),"Yes","No")</f>
        <v>Yes</v>
      </c>
      <c r="D312" t="str">
        <f>IFERROR(INDEX(SETTINGS!$C$15:$C$24,MATCH(A312,SETTINGS!$A$15:$A$24,0)),"No")</f>
        <v>Yes</v>
      </c>
      <c r="E312">
        <v>5</v>
      </c>
      <c r="F312" t="s">
        <v>38</v>
      </c>
      <c r="G312">
        <v>112</v>
      </c>
      <c r="H312" t="s">
        <v>100</v>
      </c>
      <c r="I312" t="s">
        <v>15</v>
      </c>
      <c r="J312" t="s">
        <v>19</v>
      </c>
      <c r="K312" t="s">
        <v>3</v>
      </c>
      <c r="L312" s="36">
        <f ca="1">IF(C312&lt;&gt;"Yes",0,IF(A312=2025,N('2025'!D112),IF(A312=2026,N('2026'!D112),IF(A312=2027,N('2027'!D112),IF(A312=2028,N('2028'!D112),IF(A312=2029,N('2029'!D112),IF(A312=2030,N('2030'!D112),IF(A312=2031,N('2031'!D112),IF(A312=2032,N('2032'!D112),IF(A312=2033,N('2033'!D112),IF(A312=2034,N('2034'!D112),IFERROR(N(INDIRECT("'"&amp;A312&amp;"'!D"&amp;G312)),0))))))))))))</f>
        <v>0</v>
      </c>
      <c r="M312" s="36">
        <f>IFERROR(IF(NOT(ISBLANK(KPI_TARGETS!$H$11)),KPI_TARGETS!$H$11,IF(NOT(ISBLANK(KPI_TARGETS!$F$11)),KPI_TARGETS!$F$11,"")),"")</f>
        <v>0</v>
      </c>
      <c r="N312" s="36" t="str">
        <f>IFERROR(KPI_TARGETS!$E$11,"Higher is better")</f>
        <v>Lower is better</v>
      </c>
      <c r="O312" s="37">
        <f t="shared" ca="1" si="24"/>
        <v>1</v>
      </c>
      <c r="P312" t="str">
        <f t="shared" ca="1" si="25"/>
        <v>Green</v>
      </c>
      <c r="Q312" s="36">
        <f t="shared" ca="1" si="26"/>
        <v>0</v>
      </c>
      <c r="R312" s="36" t="str">
        <f>""</f>
        <v/>
      </c>
      <c r="S312" s="36" t="str">
        <f>""</f>
        <v/>
      </c>
      <c r="T312" s="36" t="str">
        <f>""</f>
        <v/>
      </c>
      <c r="U312" s="36" t="str">
        <f>""</f>
        <v/>
      </c>
      <c r="V312" s="36" t="str">
        <f>""</f>
        <v/>
      </c>
      <c r="W312" s="36">
        <f t="shared" si="27"/>
        <v>1</v>
      </c>
      <c r="X312" t="str">
        <f t="shared" si="28"/>
        <v>OK</v>
      </c>
      <c r="Y312" t="str">
        <f>IF(MAIN!$H$3="Selected Year",IF(A312=MAIN!$B$3,"Yes","No"),IF(MAIN!$H$3="Included Years",IF(D312="Yes","Yes","No"),IF(C312="Yes","Yes","No")))</f>
        <v>No</v>
      </c>
      <c r="Z312" t="str">
        <f>IF(MAIN!$F$3="Project to Date",IF(AND(A312&gt;=SETTINGS!$B$4,A312&lt;MAIN!$B$3),"Yes",IF(AND(A312=MAIN!$B$3,E312&lt;=MAIN!$L$3),"Yes","No")),IF(OR(MAIN!$F$3="Full Year",MAIN!$D$3="All"),"Yes",IF(MAIN!$F$3="Monthly",IF(E312=MAIN!$L$3,"Yes","No"),IF(E312&lt;=MAIN!$L$3,"Yes","No"))))</f>
        <v>Yes</v>
      </c>
      <c r="AA312" t="str">
        <f t="shared" si="29"/>
        <v>No</v>
      </c>
    </row>
    <row r="313" spans="1:27" x14ac:dyDescent="0.3">
      <c r="A313">
        <f>INDEX(SETTINGS!$A$15:$A$24,$B313)</f>
        <v>2026</v>
      </c>
      <c r="B313">
        <v>2</v>
      </c>
      <c r="C313" t="str">
        <f>IF(AND(A313&gt;=SETTINGS!$B$4,A313&lt;=SETTINGS!$B$5),"Yes","No")</f>
        <v>Yes</v>
      </c>
      <c r="D313" t="str">
        <f>IFERROR(INDEX(SETTINGS!$C$15:$C$24,MATCH(A313,SETTINGS!$A$15:$A$24,0)),"No")</f>
        <v>Yes</v>
      </c>
      <c r="E313">
        <v>5</v>
      </c>
      <c r="F313" t="s">
        <v>38</v>
      </c>
      <c r="G313">
        <v>113</v>
      </c>
      <c r="H313" t="s">
        <v>101</v>
      </c>
      <c r="I313" t="s">
        <v>15</v>
      </c>
      <c r="J313" t="s">
        <v>20</v>
      </c>
      <c r="K313" t="s">
        <v>3</v>
      </c>
      <c r="L313" s="36">
        <f ca="1">IF(C313&lt;&gt;"Yes",0,IF(A313=2025,N('2025'!D113),IF(A313=2026,N('2026'!D113),IF(A313=2027,N('2027'!D113),IF(A313=2028,N('2028'!D113),IF(A313=2029,N('2029'!D113),IF(A313=2030,N('2030'!D113),IF(A313=2031,N('2031'!D113),IF(A313=2032,N('2032'!D113),IF(A313=2033,N('2033'!D113),IF(A313=2034,N('2034'!D113),IFERROR(N(INDIRECT("'"&amp;A313&amp;"'!D"&amp;G313)),0))))))))))))</f>
        <v>0</v>
      </c>
      <c r="M313" s="36">
        <f>IFERROR(IF(NOT(ISBLANK(KPI_TARGETS!$H$12)),KPI_TARGETS!$H$12,IF(NOT(ISBLANK(KPI_TARGETS!$F$12)),KPI_TARGETS!$F$12,"")),"")</f>
        <v>0</v>
      </c>
      <c r="N313" s="36" t="str">
        <f>IFERROR(KPI_TARGETS!$E$12,"Higher is better")</f>
        <v>Lower is better</v>
      </c>
      <c r="O313" s="37">
        <f t="shared" ca="1" si="24"/>
        <v>1</v>
      </c>
      <c r="P313" t="str">
        <f t="shared" ca="1" si="25"/>
        <v>Green</v>
      </c>
      <c r="Q313" s="36">
        <f t="shared" ca="1" si="26"/>
        <v>0</v>
      </c>
      <c r="R313" s="36" t="str">
        <f>""</f>
        <v/>
      </c>
      <c r="S313" s="36" t="str">
        <f>""</f>
        <v/>
      </c>
      <c r="T313" s="36" t="str">
        <f>""</f>
        <v/>
      </c>
      <c r="U313" s="36" t="str">
        <f>""</f>
        <v/>
      </c>
      <c r="V313" s="36" t="str">
        <f>""</f>
        <v/>
      </c>
      <c r="W313" s="36">
        <f t="shared" si="27"/>
        <v>1</v>
      </c>
      <c r="X313" t="str">
        <f t="shared" si="28"/>
        <v>OK</v>
      </c>
      <c r="Y313" t="str">
        <f>IF(MAIN!$H$3="Selected Year",IF(A313=MAIN!$B$3,"Yes","No"),IF(MAIN!$H$3="Included Years",IF(D313="Yes","Yes","No"),IF(C313="Yes","Yes","No")))</f>
        <v>No</v>
      </c>
      <c r="Z313" t="str">
        <f>IF(MAIN!$F$3="Project to Date",IF(AND(A313&gt;=SETTINGS!$B$4,A313&lt;MAIN!$B$3),"Yes",IF(AND(A313=MAIN!$B$3,E313&lt;=MAIN!$L$3),"Yes","No")),IF(OR(MAIN!$F$3="Full Year",MAIN!$D$3="All"),"Yes",IF(MAIN!$F$3="Monthly",IF(E313=MAIN!$L$3,"Yes","No"),IF(E313&lt;=MAIN!$L$3,"Yes","No"))))</f>
        <v>Yes</v>
      </c>
      <c r="AA313" t="str">
        <f t="shared" si="29"/>
        <v>No</v>
      </c>
    </row>
    <row r="314" spans="1:27" x14ac:dyDescent="0.3">
      <c r="A314">
        <f>INDEX(SETTINGS!$A$15:$A$24,$B314)</f>
        <v>2026</v>
      </c>
      <c r="B314">
        <v>2</v>
      </c>
      <c r="C314" t="str">
        <f>IF(AND(A314&gt;=SETTINGS!$B$4,A314&lt;=SETTINGS!$B$5),"Yes","No")</f>
        <v>Yes</v>
      </c>
      <c r="D314" t="str">
        <f>IFERROR(INDEX(SETTINGS!$C$15:$C$24,MATCH(A314,SETTINGS!$A$15:$A$24,0)),"No")</f>
        <v>Yes</v>
      </c>
      <c r="E314">
        <v>5</v>
      </c>
      <c r="F314" t="s">
        <v>38</v>
      </c>
      <c r="G314">
        <v>114</v>
      </c>
      <c r="H314" t="s">
        <v>102</v>
      </c>
      <c r="I314" t="s">
        <v>15</v>
      </c>
      <c r="J314" t="s">
        <v>21</v>
      </c>
      <c r="K314" t="s">
        <v>3</v>
      </c>
      <c r="L314" s="36">
        <f ca="1">IF(C314&lt;&gt;"Yes",0,IF(A314=2025,N('2025'!D114),IF(A314=2026,N('2026'!D114),IF(A314=2027,N('2027'!D114),IF(A314=2028,N('2028'!D114),IF(A314=2029,N('2029'!D114),IF(A314=2030,N('2030'!D114),IF(A314=2031,N('2031'!D114),IF(A314=2032,N('2032'!D114),IF(A314=2033,N('2033'!D114),IF(A314=2034,N('2034'!D114),IFERROR(N(INDIRECT("'"&amp;A314&amp;"'!D"&amp;G314)),0))))))))))))</f>
        <v>0</v>
      </c>
      <c r="M314" s="36">
        <f>IFERROR(IF(NOT(ISBLANK(KPI_TARGETS!$H$13)),KPI_TARGETS!$H$13,IF(NOT(ISBLANK(KPI_TARGETS!$F$13)),KPI_TARGETS!$F$13,"")),"")</f>
        <v>0</v>
      </c>
      <c r="N314" s="36" t="str">
        <f>IFERROR(KPI_TARGETS!$E$13,"Higher is better")</f>
        <v>Lower is better</v>
      </c>
      <c r="O314" s="37">
        <f t="shared" ca="1" si="24"/>
        <v>1</v>
      </c>
      <c r="P314" t="str">
        <f t="shared" ca="1" si="25"/>
        <v>Green</v>
      </c>
      <c r="Q314" s="36">
        <f t="shared" ca="1" si="26"/>
        <v>0</v>
      </c>
      <c r="R314" s="36" t="str">
        <f>""</f>
        <v/>
      </c>
      <c r="S314" s="36" t="str">
        <f>""</f>
        <v/>
      </c>
      <c r="T314" s="36" t="str">
        <f>""</f>
        <v/>
      </c>
      <c r="U314" s="36" t="str">
        <f>""</f>
        <v/>
      </c>
      <c r="V314" s="36" t="str">
        <f>""</f>
        <v/>
      </c>
      <c r="W314" s="36">
        <f t="shared" si="27"/>
        <v>1</v>
      </c>
      <c r="X314" t="str">
        <f t="shared" si="28"/>
        <v>OK</v>
      </c>
      <c r="Y314" t="str">
        <f>IF(MAIN!$H$3="Selected Year",IF(A314=MAIN!$B$3,"Yes","No"),IF(MAIN!$H$3="Included Years",IF(D314="Yes","Yes","No"),IF(C314="Yes","Yes","No")))</f>
        <v>No</v>
      </c>
      <c r="Z314" t="str">
        <f>IF(MAIN!$F$3="Project to Date",IF(AND(A314&gt;=SETTINGS!$B$4,A314&lt;MAIN!$B$3),"Yes",IF(AND(A314=MAIN!$B$3,E314&lt;=MAIN!$L$3),"Yes","No")),IF(OR(MAIN!$F$3="Full Year",MAIN!$D$3="All"),"Yes",IF(MAIN!$F$3="Monthly",IF(E314=MAIN!$L$3,"Yes","No"),IF(E314&lt;=MAIN!$L$3,"Yes","No"))))</f>
        <v>Yes</v>
      </c>
      <c r="AA314" t="str">
        <f t="shared" si="29"/>
        <v>No</v>
      </c>
    </row>
    <row r="315" spans="1:27" x14ac:dyDescent="0.3">
      <c r="A315">
        <f>INDEX(SETTINGS!$A$15:$A$24,$B315)</f>
        <v>2026</v>
      </c>
      <c r="B315">
        <v>2</v>
      </c>
      <c r="C315" t="str">
        <f>IF(AND(A315&gt;=SETTINGS!$B$4,A315&lt;=SETTINGS!$B$5),"Yes","No")</f>
        <v>Yes</v>
      </c>
      <c r="D315" t="str">
        <f>IFERROR(INDEX(SETTINGS!$C$15:$C$24,MATCH(A315,SETTINGS!$A$15:$A$24,0)),"No")</f>
        <v>Yes</v>
      </c>
      <c r="E315">
        <v>5</v>
      </c>
      <c r="F315" t="s">
        <v>38</v>
      </c>
      <c r="G315">
        <v>116</v>
      </c>
      <c r="H315" t="s">
        <v>103</v>
      </c>
      <c r="I315" t="s">
        <v>22</v>
      </c>
      <c r="J315" t="s">
        <v>23</v>
      </c>
      <c r="K315" t="s">
        <v>3</v>
      </c>
      <c r="L315" s="36">
        <f ca="1">IF(C315&lt;&gt;"Yes",0,IF(A315=2025,N('2025'!D116),IF(A315=2026,N('2026'!D116),IF(A315=2027,N('2027'!D116),IF(A315=2028,N('2028'!D116),IF(A315=2029,N('2029'!D116),IF(A315=2030,N('2030'!D116),IF(A315=2031,N('2031'!D116),IF(A315=2032,N('2032'!D116),IF(A315=2033,N('2033'!D116),IF(A315=2034,N('2034'!D116),IFERROR(N(INDIRECT("'"&amp;A315&amp;"'!D"&amp;G315)),0))))))))))))</f>
        <v>0</v>
      </c>
      <c r="M315" s="36">
        <f>IFERROR(IF(NOT(ISBLANK(KPI_TARGETS!$H$14)),KPI_TARGETS!$H$14,IF(NOT(ISBLANK(KPI_TARGETS!$F$14)),KPI_TARGETS!$F$14,"")),"")</f>
        <v>35</v>
      </c>
      <c r="N315" s="36" t="str">
        <f>IFERROR(KPI_TARGETS!$E$14,"Higher is better")</f>
        <v>Higher is better</v>
      </c>
      <c r="O315" s="37">
        <f t="shared" ca="1" si="24"/>
        <v>0</v>
      </c>
      <c r="P315" t="str">
        <f t="shared" ca="1" si="25"/>
        <v>Red</v>
      </c>
      <c r="Q315" s="36">
        <f t="shared" ca="1" si="26"/>
        <v>-35</v>
      </c>
      <c r="R315" s="36" t="str">
        <f>""</f>
        <v/>
      </c>
      <c r="S315" s="36" t="str">
        <f>""</f>
        <v/>
      </c>
      <c r="T315" s="36" t="str">
        <f>""</f>
        <v/>
      </c>
      <c r="U315" s="36" t="str">
        <f>""</f>
        <v/>
      </c>
      <c r="V315" s="36" t="str">
        <f>""</f>
        <v/>
      </c>
      <c r="W315" s="36">
        <f t="shared" si="27"/>
        <v>1</v>
      </c>
      <c r="X315" t="str">
        <f t="shared" si="28"/>
        <v>OK</v>
      </c>
      <c r="Y315" t="str">
        <f>IF(MAIN!$H$3="Selected Year",IF(A315=MAIN!$B$3,"Yes","No"),IF(MAIN!$H$3="Included Years",IF(D315="Yes","Yes","No"),IF(C315="Yes","Yes","No")))</f>
        <v>No</v>
      </c>
      <c r="Z315" t="str">
        <f>IF(MAIN!$F$3="Project to Date",IF(AND(A315&gt;=SETTINGS!$B$4,A315&lt;MAIN!$B$3),"Yes",IF(AND(A315=MAIN!$B$3,E315&lt;=MAIN!$L$3),"Yes","No")),IF(OR(MAIN!$F$3="Full Year",MAIN!$D$3="All"),"Yes",IF(MAIN!$F$3="Monthly",IF(E315=MAIN!$L$3,"Yes","No"),IF(E315&lt;=MAIN!$L$3,"Yes","No"))))</f>
        <v>Yes</v>
      </c>
      <c r="AA315" t="str">
        <f t="shared" si="29"/>
        <v>No</v>
      </c>
    </row>
    <row r="316" spans="1:27" x14ac:dyDescent="0.3">
      <c r="A316">
        <f>INDEX(SETTINGS!$A$15:$A$24,$B316)</f>
        <v>2026</v>
      </c>
      <c r="B316">
        <v>2</v>
      </c>
      <c r="C316" t="str">
        <f>IF(AND(A316&gt;=SETTINGS!$B$4,A316&lt;=SETTINGS!$B$5),"Yes","No")</f>
        <v>Yes</v>
      </c>
      <c r="D316" t="str">
        <f>IFERROR(INDEX(SETTINGS!$C$15:$C$24,MATCH(A316,SETTINGS!$A$15:$A$24,0)),"No")</f>
        <v>Yes</v>
      </c>
      <c r="E316">
        <v>5</v>
      </c>
      <c r="F316" t="s">
        <v>38</v>
      </c>
      <c r="G316">
        <v>117</v>
      </c>
      <c r="H316" t="s">
        <v>104</v>
      </c>
      <c r="I316" t="s">
        <v>22</v>
      </c>
      <c r="J316" t="s">
        <v>24</v>
      </c>
      <c r="K316" t="s">
        <v>3</v>
      </c>
      <c r="L316" s="36">
        <f ca="1">IF(C316&lt;&gt;"Yes",0,IF(A316=2025,N('2025'!D117),IF(A316=2026,N('2026'!D117),IF(A316=2027,N('2027'!D117),IF(A316=2028,N('2028'!D117),IF(A316=2029,N('2029'!D117),IF(A316=2030,N('2030'!D117),IF(A316=2031,N('2031'!D117),IF(A316=2032,N('2032'!D117),IF(A316=2033,N('2033'!D117),IF(A316=2034,N('2034'!D117),IFERROR(N(INDIRECT("'"&amp;A316&amp;"'!D"&amp;G316)),0))))))))))))</f>
        <v>4</v>
      </c>
      <c r="M316" s="36">
        <f>IFERROR(IF(NOT(ISBLANK(KPI_TARGETS!$H$15)),KPI_TARGETS!$H$15,IF(NOT(ISBLANK(KPI_TARGETS!$F$15)),KPI_TARGETS!$F$15,"")),"")</f>
        <v>5</v>
      </c>
      <c r="N316" s="36" t="str">
        <f>IFERROR(KPI_TARGETS!$E$15,"Higher is better")</f>
        <v>Higher is better</v>
      </c>
      <c r="O316" s="37">
        <f t="shared" ca="1" si="24"/>
        <v>0.8</v>
      </c>
      <c r="P316" t="str">
        <f t="shared" ca="1" si="25"/>
        <v>Amber</v>
      </c>
      <c r="Q316" s="36">
        <f t="shared" ca="1" si="26"/>
        <v>-1</v>
      </c>
      <c r="R316" s="36" t="str">
        <f>""</f>
        <v/>
      </c>
      <c r="S316" s="36" t="str">
        <f>""</f>
        <v/>
      </c>
      <c r="T316" s="36" t="str">
        <f>""</f>
        <v/>
      </c>
      <c r="U316" s="36" t="str">
        <f>""</f>
        <v/>
      </c>
      <c r="V316" s="36" t="str">
        <f>""</f>
        <v/>
      </c>
      <c r="W316" s="36">
        <f t="shared" si="27"/>
        <v>1</v>
      </c>
      <c r="X316" t="str">
        <f t="shared" si="28"/>
        <v>OK</v>
      </c>
      <c r="Y316" t="str">
        <f>IF(MAIN!$H$3="Selected Year",IF(A316=MAIN!$B$3,"Yes","No"),IF(MAIN!$H$3="Included Years",IF(D316="Yes","Yes","No"),IF(C316="Yes","Yes","No")))</f>
        <v>No</v>
      </c>
      <c r="Z316" t="str">
        <f>IF(MAIN!$F$3="Project to Date",IF(AND(A316&gt;=SETTINGS!$B$4,A316&lt;MAIN!$B$3),"Yes",IF(AND(A316=MAIN!$B$3,E316&lt;=MAIN!$L$3),"Yes","No")),IF(OR(MAIN!$F$3="Full Year",MAIN!$D$3="All"),"Yes",IF(MAIN!$F$3="Monthly",IF(E316=MAIN!$L$3,"Yes","No"),IF(E316&lt;=MAIN!$L$3,"Yes","No"))))</f>
        <v>Yes</v>
      </c>
      <c r="AA316" t="str">
        <f t="shared" si="29"/>
        <v>No</v>
      </c>
    </row>
    <row r="317" spans="1:27" x14ac:dyDescent="0.3">
      <c r="A317">
        <f>INDEX(SETTINGS!$A$15:$A$24,$B317)</f>
        <v>2026</v>
      </c>
      <c r="B317">
        <v>2</v>
      </c>
      <c r="C317" t="str">
        <f>IF(AND(A317&gt;=SETTINGS!$B$4,A317&lt;=SETTINGS!$B$5),"Yes","No")</f>
        <v>Yes</v>
      </c>
      <c r="D317" t="str">
        <f>IFERROR(INDEX(SETTINGS!$C$15:$C$24,MATCH(A317,SETTINGS!$A$15:$A$24,0)),"No")</f>
        <v>Yes</v>
      </c>
      <c r="E317">
        <v>5</v>
      </c>
      <c r="F317" t="s">
        <v>38</v>
      </c>
      <c r="G317">
        <v>118</v>
      </c>
      <c r="H317" t="s">
        <v>105</v>
      </c>
      <c r="I317" t="s">
        <v>22</v>
      </c>
      <c r="J317" t="s">
        <v>25</v>
      </c>
      <c r="K317" t="s">
        <v>3</v>
      </c>
      <c r="L317" s="36">
        <f ca="1">IF(C317&lt;&gt;"Yes",0,IF(A317=2025,N('2025'!D118),IF(A317=2026,N('2026'!D118),IF(A317=2027,N('2027'!D118),IF(A317=2028,N('2028'!D118),IF(A317=2029,N('2029'!D118),IF(A317=2030,N('2030'!D118),IF(A317=2031,N('2031'!D118),IF(A317=2032,N('2032'!D118),IF(A317=2033,N('2033'!D118),IF(A317=2034,N('2034'!D118),IFERROR(N(INDIRECT("'"&amp;A317&amp;"'!D"&amp;G317)),0))))))))))))</f>
        <v>4</v>
      </c>
      <c r="M317" s="36">
        <f>IFERROR(IF(NOT(ISBLANK(KPI_TARGETS!$H$16)),KPI_TARGETS!$H$16,IF(NOT(ISBLANK(KPI_TARGETS!$F$16)),KPI_TARGETS!$F$16,"")),"")</f>
        <v>4</v>
      </c>
      <c r="N317" s="36" t="str">
        <f>IFERROR(KPI_TARGETS!$E$16,"Higher is better")</f>
        <v>Higher is better</v>
      </c>
      <c r="O317" s="37">
        <f t="shared" ca="1" si="24"/>
        <v>1</v>
      </c>
      <c r="P317" t="str">
        <f t="shared" ca="1" si="25"/>
        <v>Green</v>
      </c>
      <c r="Q317" s="36">
        <f t="shared" ca="1" si="26"/>
        <v>0</v>
      </c>
      <c r="R317" s="36" t="str">
        <f>""</f>
        <v/>
      </c>
      <c r="S317" s="36" t="str">
        <f>""</f>
        <v/>
      </c>
      <c r="T317" s="36" t="str">
        <f>""</f>
        <v/>
      </c>
      <c r="U317" s="36" t="str">
        <f>""</f>
        <v/>
      </c>
      <c r="V317" s="36" t="str">
        <f>""</f>
        <v/>
      </c>
      <c r="W317" s="36">
        <f t="shared" si="27"/>
        <v>1</v>
      </c>
      <c r="X317" t="str">
        <f t="shared" si="28"/>
        <v>OK</v>
      </c>
      <c r="Y317" t="str">
        <f>IF(MAIN!$H$3="Selected Year",IF(A317=MAIN!$B$3,"Yes","No"),IF(MAIN!$H$3="Included Years",IF(D317="Yes","Yes","No"),IF(C317="Yes","Yes","No")))</f>
        <v>No</v>
      </c>
      <c r="Z317" t="str">
        <f>IF(MAIN!$F$3="Project to Date",IF(AND(A317&gt;=SETTINGS!$B$4,A317&lt;MAIN!$B$3),"Yes",IF(AND(A317=MAIN!$B$3,E317&lt;=MAIN!$L$3),"Yes","No")),IF(OR(MAIN!$F$3="Full Year",MAIN!$D$3="All"),"Yes",IF(MAIN!$F$3="Monthly",IF(E317=MAIN!$L$3,"Yes","No"),IF(E317&lt;=MAIN!$L$3,"Yes","No"))))</f>
        <v>Yes</v>
      </c>
      <c r="AA317" t="str">
        <f t="shared" si="29"/>
        <v>No</v>
      </c>
    </row>
    <row r="318" spans="1:27" x14ac:dyDescent="0.3">
      <c r="A318">
        <f>INDEX(SETTINGS!$A$15:$A$24,$B318)</f>
        <v>2026</v>
      </c>
      <c r="B318">
        <v>2</v>
      </c>
      <c r="C318" t="str">
        <f>IF(AND(A318&gt;=SETTINGS!$B$4,A318&lt;=SETTINGS!$B$5),"Yes","No")</f>
        <v>Yes</v>
      </c>
      <c r="D318" t="str">
        <f>IFERROR(INDEX(SETTINGS!$C$15:$C$24,MATCH(A318,SETTINGS!$A$15:$A$24,0)),"No")</f>
        <v>Yes</v>
      </c>
      <c r="E318">
        <v>5</v>
      </c>
      <c r="F318" t="s">
        <v>38</v>
      </c>
      <c r="G318">
        <v>119</v>
      </c>
      <c r="H318" t="s">
        <v>106</v>
      </c>
      <c r="I318" t="s">
        <v>22</v>
      </c>
      <c r="J318" t="s">
        <v>26</v>
      </c>
      <c r="K318" t="s">
        <v>3</v>
      </c>
      <c r="L318" s="36">
        <f ca="1">IF(C318&lt;&gt;"Yes",0,IF(A318=2025,N('2025'!D119),IF(A318=2026,N('2026'!D119),IF(A318=2027,N('2027'!D119),IF(A318=2028,N('2028'!D119),IF(A318=2029,N('2029'!D119),IF(A318=2030,N('2030'!D119),IF(A318=2031,N('2031'!D119),IF(A318=2032,N('2032'!D119),IF(A318=2033,N('2033'!D119),IF(A318=2034,N('2034'!D119),IFERROR(N(INDIRECT("'"&amp;A318&amp;"'!D"&amp;G318)),0))))))))))))</f>
        <v>20</v>
      </c>
      <c r="M318" s="36">
        <f>IFERROR(IF(NOT(ISBLANK(KPI_TARGETS!$H$17)),KPI_TARGETS!$H$17,IF(NOT(ISBLANK(KPI_TARGETS!$F$17)),KPI_TARGETS!$F$17,"")),"")</f>
        <v>12</v>
      </c>
      <c r="N318" s="36" t="str">
        <f>IFERROR(KPI_TARGETS!$E$17,"Higher is better")</f>
        <v>Higher is better</v>
      </c>
      <c r="O318" s="37">
        <f t="shared" ca="1" si="24"/>
        <v>1.6666666666666667</v>
      </c>
      <c r="P318" t="str">
        <f t="shared" ca="1" si="25"/>
        <v>Green</v>
      </c>
      <c r="Q318" s="36">
        <f t="shared" ca="1" si="26"/>
        <v>8</v>
      </c>
      <c r="R318" s="36" t="str">
        <f>""</f>
        <v/>
      </c>
      <c r="S318" s="36" t="str">
        <f>""</f>
        <v/>
      </c>
      <c r="T318" s="36" t="str">
        <f>""</f>
        <v/>
      </c>
      <c r="U318" s="36" t="str">
        <f>""</f>
        <v/>
      </c>
      <c r="V318" s="36" t="str">
        <f>""</f>
        <v/>
      </c>
      <c r="W318" s="36">
        <f t="shared" si="27"/>
        <v>1</v>
      </c>
      <c r="X318" t="str">
        <f t="shared" si="28"/>
        <v>OK</v>
      </c>
      <c r="Y318" t="str">
        <f>IF(MAIN!$H$3="Selected Year",IF(A318=MAIN!$B$3,"Yes","No"),IF(MAIN!$H$3="Included Years",IF(D318="Yes","Yes","No"),IF(C318="Yes","Yes","No")))</f>
        <v>No</v>
      </c>
      <c r="Z318" t="str">
        <f>IF(MAIN!$F$3="Project to Date",IF(AND(A318&gt;=SETTINGS!$B$4,A318&lt;MAIN!$B$3),"Yes",IF(AND(A318=MAIN!$B$3,E318&lt;=MAIN!$L$3),"Yes","No")),IF(OR(MAIN!$F$3="Full Year",MAIN!$D$3="All"),"Yes",IF(MAIN!$F$3="Monthly",IF(E318=MAIN!$L$3,"Yes","No"),IF(E318&lt;=MAIN!$L$3,"Yes","No"))))</f>
        <v>Yes</v>
      </c>
      <c r="AA318" t="str">
        <f t="shared" si="29"/>
        <v>No</v>
      </c>
    </row>
    <row r="319" spans="1:27" x14ac:dyDescent="0.3">
      <c r="A319">
        <f>INDEX(SETTINGS!$A$15:$A$24,$B319)</f>
        <v>2026</v>
      </c>
      <c r="B319">
        <v>2</v>
      </c>
      <c r="C319" t="str">
        <f>IF(AND(A319&gt;=SETTINGS!$B$4,A319&lt;=SETTINGS!$B$5),"Yes","No")</f>
        <v>Yes</v>
      </c>
      <c r="D319" t="str">
        <f>IFERROR(INDEX(SETTINGS!$C$15:$C$24,MATCH(A319,SETTINGS!$A$15:$A$24,0)),"No")</f>
        <v>Yes</v>
      </c>
      <c r="E319">
        <v>5</v>
      </c>
      <c r="F319" t="s">
        <v>38</v>
      </c>
      <c r="G319">
        <v>120</v>
      </c>
      <c r="H319" t="s">
        <v>107</v>
      </c>
      <c r="I319" t="s">
        <v>22</v>
      </c>
      <c r="J319" t="s">
        <v>27</v>
      </c>
      <c r="K319" t="s">
        <v>3</v>
      </c>
      <c r="L319" s="36">
        <f ca="1">IF(C319&lt;&gt;"Yes",0,IF(A319=2025,N('2025'!D120),IF(A319=2026,N('2026'!D120),IF(A319=2027,N('2027'!D120),IF(A319=2028,N('2028'!D120),IF(A319=2029,N('2029'!D120),IF(A319=2030,N('2030'!D120),IF(A319=2031,N('2031'!D120),IF(A319=2032,N('2032'!D120),IF(A319=2033,N('2033'!D120),IF(A319=2034,N('2034'!D120),IFERROR(N(INDIRECT("'"&amp;A319&amp;"'!D"&amp;G319)),0))))))))))))</f>
        <v>4</v>
      </c>
      <c r="M319" s="36">
        <f>IFERROR(IF(NOT(ISBLANK(KPI_TARGETS!$H$18)),KPI_TARGETS!$H$18,IF(NOT(ISBLANK(KPI_TARGETS!$F$18)),KPI_TARGETS!$F$18,"")),"")</f>
        <v>4</v>
      </c>
      <c r="N319" s="36" t="str">
        <f>IFERROR(KPI_TARGETS!$E$18,"Higher is better")</f>
        <v>Higher is better</v>
      </c>
      <c r="O319" s="37">
        <f t="shared" ca="1" si="24"/>
        <v>1</v>
      </c>
      <c r="P319" t="str">
        <f t="shared" ca="1" si="25"/>
        <v>Green</v>
      </c>
      <c r="Q319" s="36">
        <f t="shared" ca="1" si="26"/>
        <v>0</v>
      </c>
      <c r="R319" s="36" t="str">
        <f>""</f>
        <v/>
      </c>
      <c r="S319" s="36" t="str">
        <f>""</f>
        <v/>
      </c>
      <c r="T319" s="36" t="str">
        <f>""</f>
        <v/>
      </c>
      <c r="U319" s="36" t="str">
        <f>""</f>
        <v/>
      </c>
      <c r="V319" s="36" t="str">
        <f>""</f>
        <v/>
      </c>
      <c r="W319" s="36">
        <f t="shared" si="27"/>
        <v>1</v>
      </c>
      <c r="X319" t="str">
        <f t="shared" si="28"/>
        <v>OK</v>
      </c>
      <c r="Y319" t="str">
        <f>IF(MAIN!$H$3="Selected Year",IF(A319=MAIN!$B$3,"Yes","No"),IF(MAIN!$H$3="Included Years",IF(D319="Yes","Yes","No"),IF(C319="Yes","Yes","No")))</f>
        <v>No</v>
      </c>
      <c r="Z319" t="str">
        <f>IF(MAIN!$F$3="Project to Date",IF(AND(A319&gt;=SETTINGS!$B$4,A319&lt;MAIN!$B$3),"Yes",IF(AND(A319=MAIN!$B$3,E319&lt;=MAIN!$L$3),"Yes","No")),IF(OR(MAIN!$F$3="Full Year",MAIN!$D$3="All"),"Yes",IF(MAIN!$F$3="Monthly",IF(E319=MAIN!$L$3,"Yes","No"),IF(E319&lt;=MAIN!$L$3,"Yes","No"))))</f>
        <v>Yes</v>
      </c>
      <c r="AA319" t="str">
        <f t="shared" si="29"/>
        <v>No</v>
      </c>
    </row>
    <row r="320" spans="1:27" x14ac:dyDescent="0.3">
      <c r="A320">
        <f>INDEX(SETTINGS!$A$15:$A$24,$B320)</f>
        <v>2026</v>
      </c>
      <c r="B320">
        <v>2</v>
      </c>
      <c r="C320" t="str">
        <f>IF(AND(A320&gt;=SETTINGS!$B$4,A320&lt;=SETTINGS!$B$5),"Yes","No")</f>
        <v>Yes</v>
      </c>
      <c r="D320" t="str">
        <f>IFERROR(INDEX(SETTINGS!$C$15:$C$24,MATCH(A320,SETTINGS!$A$15:$A$24,0)),"No")</f>
        <v>Yes</v>
      </c>
      <c r="E320">
        <v>5</v>
      </c>
      <c r="F320" t="s">
        <v>38</v>
      </c>
      <c r="G320">
        <v>121</v>
      </c>
      <c r="H320" t="s">
        <v>108</v>
      </c>
      <c r="I320" t="s">
        <v>22</v>
      </c>
      <c r="J320" t="s">
        <v>28</v>
      </c>
      <c r="K320" t="s">
        <v>3</v>
      </c>
      <c r="L320" s="36">
        <f ca="1">IF(C320&lt;&gt;"Yes",0,IF(A320=2025,N('2025'!D121),IF(A320=2026,N('2026'!D121),IF(A320=2027,N('2027'!D121),IF(A320=2028,N('2028'!D121),IF(A320=2029,N('2029'!D121),IF(A320=2030,N('2030'!D121),IF(A320=2031,N('2031'!D121),IF(A320=2032,N('2032'!D121),IF(A320=2033,N('2033'!D121),IF(A320=2034,N('2034'!D121),IFERROR(N(INDIRECT("'"&amp;A320&amp;"'!D"&amp;G320)),0))))))))))))</f>
        <v>8</v>
      </c>
      <c r="M320" s="36">
        <f>IFERROR(IF(NOT(ISBLANK(KPI_TARGETS!$H$19)),KPI_TARGETS!$H$19,IF(NOT(ISBLANK(KPI_TARGETS!$F$19)),KPI_TARGETS!$F$19,"")),"")</f>
        <v>16</v>
      </c>
      <c r="N320" s="36" t="str">
        <f>IFERROR(KPI_TARGETS!$E$19,"Higher is better")</f>
        <v>Higher is better</v>
      </c>
      <c r="O320" s="37">
        <f t="shared" ca="1" si="24"/>
        <v>0.5</v>
      </c>
      <c r="P320" t="str">
        <f t="shared" ca="1" si="25"/>
        <v>Red</v>
      </c>
      <c r="Q320" s="36">
        <f t="shared" ca="1" si="26"/>
        <v>-8</v>
      </c>
      <c r="R320" s="36" t="str">
        <f>""</f>
        <v/>
      </c>
      <c r="S320" s="36" t="str">
        <f>""</f>
        <v/>
      </c>
      <c r="T320" s="36" t="str">
        <f>""</f>
        <v/>
      </c>
      <c r="U320" s="36" t="str">
        <f>""</f>
        <v/>
      </c>
      <c r="V320" s="36" t="str">
        <f>""</f>
        <v/>
      </c>
      <c r="W320" s="36">
        <f t="shared" si="27"/>
        <v>1</v>
      </c>
      <c r="X320" t="str">
        <f t="shared" si="28"/>
        <v>OK</v>
      </c>
      <c r="Y320" t="str">
        <f>IF(MAIN!$H$3="Selected Year",IF(A320=MAIN!$B$3,"Yes","No"),IF(MAIN!$H$3="Included Years",IF(D320="Yes","Yes","No"),IF(C320="Yes","Yes","No")))</f>
        <v>No</v>
      </c>
      <c r="Z320" t="str">
        <f>IF(MAIN!$F$3="Project to Date",IF(AND(A320&gt;=SETTINGS!$B$4,A320&lt;MAIN!$B$3),"Yes",IF(AND(A320=MAIN!$B$3,E320&lt;=MAIN!$L$3),"Yes","No")),IF(OR(MAIN!$F$3="Full Year",MAIN!$D$3="All"),"Yes",IF(MAIN!$F$3="Monthly",IF(E320=MAIN!$L$3,"Yes","No"),IF(E320&lt;=MAIN!$L$3,"Yes","No"))))</f>
        <v>Yes</v>
      </c>
      <c r="AA320" t="str">
        <f t="shared" si="29"/>
        <v>No</v>
      </c>
    </row>
    <row r="321" spans="1:27" x14ac:dyDescent="0.3">
      <c r="A321">
        <f>INDEX(SETTINGS!$A$15:$A$24,$B321)</f>
        <v>2026</v>
      </c>
      <c r="B321">
        <v>2</v>
      </c>
      <c r="C321" t="str">
        <f>IF(AND(A321&gt;=SETTINGS!$B$4,A321&lt;=SETTINGS!$B$5),"Yes","No")</f>
        <v>Yes</v>
      </c>
      <c r="D321" t="str">
        <f>IFERROR(INDEX(SETTINGS!$C$15:$C$24,MATCH(A321,SETTINGS!$A$15:$A$24,0)),"No")</f>
        <v>Yes</v>
      </c>
      <c r="E321">
        <v>5</v>
      </c>
      <c r="F321" t="s">
        <v>38</v>
      </c>
      <c r="G321">
        <v>122</v>
      </c>
      <c r="H321" t="s">
        <v>109</v>
      </c>
      <c r="I321" t="s">
        <v>22</v>
      </c>
      <c r="J321" t="s">
        <v>29</v>
      </c>
      <c r="K321" t="s">
        <v>3</v>
      </c>
      <c r="L321" s="36">
        <f ca="1">IF(C321&lt;&gt;"Yes",0,IF(A321=2025,N('2025'!D122),IF(A321=2026,N('2026'!D122),IF(A321=2027,N('2027'!D122),IF(A321=2028,N('2028'!D122),IF(A321=2029,N('2029'!D122),IF(A321=2030,N('2030'!D122),IF(A321=2031,N('2031'!D122),IF(A321=2032,N('2032'!D122),IF(A321=2033,N('2033'!D122),IF(A321=2034,N('2034'!D122),IFERROR(N(INDIRECT("'"&amp;A321&amp;"'!D"&amp;G321)),0))))))))))))</f>
        <v>1</v>
      </c>
      <c r="M321" s="36">
        <f>IFERROR(IF(NOT(ISBLANK(KPI_TARGETS!$H$20)),KPI_TARGETS!$H$20,IF(NOT(ISBLANK(KPI_TARGETS!$F$20)),KPI_TARGETS!$F$20,"")),"")</f>
        <v>1</v>
      </c>
      <c r="N321" s="36" t="str">
        <f>IFERROR(KPI_TARGETS!$E$20,"Higher is better")</f>
        <v>Higher is better</v>
      </c>
      <c r="O321" s="37">
        <f t="shared" ca="1" si="24"/>
        <v>1</v>
      </c>
      <c r="P321" t="str">
        <f t="shared" ca="1" si="25"/>
        <v>Green</v>
      </c>
      <c r="Q321" s="36">
        <f t="shared" ca="1" si="26"/>
        <v>0</v>
      </c>
      <c r="R321" s="36" t="str">
        <f>""</f>
        <v/>
      </c>
      <c r="S321" s="36" t="str">
        <f>""</f>
        <v/>
      </c>
      <c r="T321" s="36" t="str">
        <f>""</f>
        <v/>
      </c>
      <c r="U321" s="36" t="str">
        <f>""</f>
        <v/>
      </c>
      <c r="V321" s="36" t="str">
        <f>""</f>
        <v/>
      </c>
      <c r="W321" s="36">
        <f t="shared" si="27"/>
        <v>1</v>
      </c>
      <c r="X321" t="str">
        <f t="shared" si="28"/>
        <v>OK</v>
      </c>
      <c r="Y321" t="str">
        <f>IF(MAIN!$H$3="Selected Year",IF(A321=MAIN!$B$3,"Yes","No"),IF(MAIN!$H$3="Included Years",IF(D321="Yes","Yes","No"),IF(C321="Yes","Yes","No")))</f>
        <v>No</v>
      </c>
      <c r="Z321" t="str">
        <f>IF(MAIN!$F$3="Project to Date",IF(AND(A321&gt;=SETTINGS!$B$4,A321&lt;MAIN!$B$3),"Yes",IF(AND(A321=MAIN!$B$3,E321&lt;=MAIN!$L$3),"Yes","No")),IF(OR(MAIN!$F$3="Full Year",MAIN!$D$3="All"),"Yes",IF(MAIN!$F$3="Monthly",IF(E321=MAIN!$L$3,"Yes","No"),IF(E321&lt;=MAIN!$L$3,"Yes","No"))))</f>
        <v>Yes</v>
      </c>
      <c r="AA321" t="str">
        <f t="shared" si="29"/>
        <v>No</v>
      </c>
    </row>
    <row r="322" spans="1:27" x14ac:dyDescent="0.3">
      <c r="A322">
        <f>INDEX(SETTINGS!$A$15:$A$24,$B322)</f>
        <v>2026</v>
      </c>
      <c r="B322">
        <v>2</v>
      </c>
      <c r="C322" t="str">
        <f>IF(AND(A322&gt;=SETTINGS!$B$4,A322&lt;=SETTINGS!$B$5),"Yes","No")</f>
        <v>Yes</v>
      </c>
      <c r="D322" t="str">
        <f>IFERROR(INDEX(SETTINGS!$C$15:$C$24,MATCH(A322,SETTINGS!$A$15:$A$24,0)),"No")</f>
        <v>Yes</v>
      </c>
      <c r="E322">
        <v>5</v>
      </c>
      <c r="F322" t="s">
        <v>38</v>
      </c>
      <c r="G322">
        <v>124</v>
      </c>
      <c r="H322" t="s">
        <v>110</v>
      </c>
      <c r="I322" t="s">
        <v>30</v>
      </c>
      <c r="J322" t="s">
        <v>31</v>
      </c>
      <c r="K322" t="s">
        <v>3</v>
      </c>
      <c r="L322" s="36">
        <f ca="1">IF(C322&lt;&gt;"Yes",0,IF(A322=2025,N('2025'!D124),IF(A322=2026,N('2026'!D124),IF(A322=2027,N('2027'!D124),IF(A322=2028,N('2028'!D124),IF(A322=2029,N('2029'!D124),IF(A322=2030,N('2030'!D124),IF(A322=2031,N('2031'!D124),IF(A322=2032,N('2032'!D124),IF(A322=2033,N('2033'!D124),IF(A322=2034,N('2034'!D124),IFERROR(N(INDIRECT("'"&amp;A322&amp;"'!D"&amp;G322)),0))))))))))))</f>
        <v>0</v>
      </c>
      <c r="M322" s="36">
        <f>IFERROR(IF(NOT(ISBLANK(KPI_TARGETS!$H$21)),KPI_TARGETS!$H$21,IF(NOT(ISBLANK(KPI_TARGETS!$F$21)),KPI_TARGETS!$F$21,"")),"")</f>
        <v>0</v>
      </c>
      <c r="N322" s="36" t="str">
        <f>IFERROR(KPI_TARGETS!$E$21,"Higher is better")</f>
        <v>Lower is better</v>
      </c>
      <c r="O322" s="37">
        <f t="shared" ref="O322:O385" ca="1" si="30">IF(M322="","",IF(N322="Higher is better",IFERROR(L322/M322,""),IF(L322=0,1,IFERROR(M322/L322,""))))</f>
        <v>1</v>
      </c>
      <c r="P322" t="str">
        <f t="shared" ref="P322:P385" ca="1" si="31">IF(M322="","Target Needed",IF(N322="Higher is better",IF(L322&gt;=M322,"Green",IF(L322&gt;=0.8*M322,"Amber","Red")),IF(M322=0,IF(L322=0,"Green","Red"),IF(L322&lt;=M322,"Green",IF(L322&lt;=1.25*M322,"Amber","Red")))))</f>
        <v>Green</v>
      </c>
      <c r="Q322" s="36">
        <f t="shared" ref="Q322:Q385" ca="1" si="32">IF(M322="","",IF(N322="Higher is better",L322-M322,M322-L322))</f>
        <v>0</v>
      </c>
      <c r="R322" s="36" t="str">
        <f>""</f>
        <v/>
      </c>
      <c r="S322" s="36" t="str">
        <f>""</f>
        <v/>
      </c>
      <c r="T322" s="36" t="str">
        <f>""</f>
        <v/>
      </c>
      <c r="U322" s="36" t="str">
        <f>""</f>
        <v/>
      </c>
      <c r="V322" s="36" t="str">
        <f>""</f>
        <v/>
      </c>
      <c r="W322" s="36">
        <f t="shared" ref="W322:W385" si="33">IF(LEN(M322&amp;"")&gt;0,1,0)</f>
        <v>1</v>
      </c>
      <c r="X322" t="str">
        <f t="shared" ref="X322:X385" si="34">IF(C322&lt;&gt;"Yes","Inactive",IF(M322="","Missing target","OK"))</f>
        <v>OK</v>
      </c>
      <c r="Y322" t="str">
        <f>IF(MAIN!$H$3="Selected Year",IF(A322=MAIN!$B$3,"Yes","No"),IF(MAIN!$H$3="Included Years",IF(D322="Yes","Yes","No"),IF(C322="Yes","Yes","No")))</f>
        <v>No</v>
      </c>
      <c r="Z322" t="str">
        <f>IF(MAIN!$F$3="Project to Date",IF(AND(A322&gt;=SETTINGS!$B$4,A322&lt;MAIN!$B$3),"Yes",IF(AND(A322=MAIN!$B$3,E322&lt;=MAIN!$L$3),"Yes","No")),IF(OR(MAIN!$F$3="Full Year",MAIN!$D$3="All"),"Yes",IF(MAIN!$F$3="Monthly",IF(E322=MAIN!$L$3,"Yes","No"),IF(E322&lt;=MAIN!$L$3,"Yes","No"))))</f>
        <v>Yes</v>
      </c>
      <c r="AA322" t="str">
        <f t="shared" ref="AA322:AA385" si="35">IF(AND(Y322="Yes",Z322="Yes"),"Yes","No")</f>
        <v>No</v>
      </c>
    </row>
    <row r="323" spans="1:27" x14ac:dyDescent="0.3">
      <c r="A323">
        <f>INDEX(SETTINGS!$A$15:$A$24,$B323)</f>
        <v>2026</v>
      </c>
      <c r="B323">
        <v>2</v>
      </c>
      <c r="C323" t="str">
        <f>IF(AND(A323&gt;=SETTINGS!$B$4,A323&lt;=SETTINGS!$B$5),"Yes","No")</f>
        <v>Yes</v>
      </c>
      <c r="D323" t="str">
        <f>IFERROR(INDEX(SETTINGS!$C$15:$C$24,MATCH(A323,SETTINGS!$A$15:$A$24,0)),"No")</f>
        <v>Yes</v>
      </c>
      <c r="E323">
        <v>5</v>
      </c>
      <c r="F323" t="s">
        <v>38</v>
      </c>
      <c r="G323">
        <v>125</v>
      </c>
      <c r="H323" t="s">
        <v>111</v>
      </c>
      <c r="I323" t="s">
        <v>30</v>
      </c>
      <c r="J323" t="s">
        <v>32</v>
      </c>
      <c r="K323" t="s">
        <v>3</v>
      </c>
      <c r="L323" s="36">
        <f ca="1">IF(C323&lt;&gt;"Yes",0,IF(A323=2025,N('2025'!D125),IF(A323=2026,N('2026'!D125),IF(A323=2027,N('2027'!D125),IF(A323=2028,N('2028'!D125),IF(A323=2029,N('2029'!D125),IF(A323=2030,N('2030'!D125),IF(A323=2031,N('2031'!D125),IF(A323=2032,N('2032'!D125),IF(A323=2033,N('2033'!D125),IF(A323=2034,N('2034'!D125),IFERROR(N(INDIRECT("'"&amp;A323&amp;"'!D"&amp;G323)),0))))))))))))</f>
        <v>1</v>
      </c>
      <c r="M323" s="36">
        <f>IFERROR(IF(NOT(ISBLANK(KPI_TARGETS!$H$22)),KPI_TARGETS!$H$22,IF(NOT(ISBLANK(KPI_TARGETS!$F$22)),KPI_TARGETS!$F$22,"")),"")</f>
        <v>1</v>
      </c>
      <c r="N323" s="36" t="str">
        <f>IFERROR(KPI_TARGETS!$E$22,"Higher is better")</f>
        <v>Higher is better</v>
      </c>
      <c r="O323" s="37">
        <f t="shared" ca="1" si="30"/>
        <v>1</v>
      </c>
      <c r="P323" t="str">
        <f t="shared" ca="1" si="31"/>
        <v>Green</v>
      </c>
      <c r="Q323" s="36">
        <f t="shared" ca="1" si="32"/>
        <v>0</v>
      </c>
      <c r="R323" s="36" t="str">
        <f>""</f>
        <v/>
      </c>
      <c r="S323" s="36" t="str">
        <f>""</f>
        <v/>
      </c>
      <c r="T323" s="36" t="str">
        <f>""</f>
        <v/>
      </c>
      <c r="U323" s="36" t="str">
        <f>""</f>
        <v/>
      </c>
      <c r="V323" s="36" t="str">
        <f>""</f>
        <v/>
      </c>
      <c r="W323" s="36">
        <f t="shared" si="33"/>
        <v>1</v>
      </c>
      <c r="X323" t="str">
        <f t="shared" si="34"/>
        <v>OK</v>
      </c>
      <c r="Y323" t="str">
        <f>IF(MAIN!$H$3="Selected Year",IF(A323=MAIN!$B$3,"Yes","No"),IF(MAIN!$H$3="Included Years",IF(D323="Yes","Yes","No"),IF(C323="Yes","Yes","No")))</f>
        <v>No</v>
      </c>
      <c r="Z323" t="str">
        <f>IF(MAIN!$F$3="Project to Date",IF(AND(A323&gt;=SETTINGS!$B$4,A323&lt;MAIN!$B$3),"Yes",IF(AND(A323=MAIN!$B$3,E323&lt;=MAIN!$L$3),"Yes","No")),IF(OR(MAIN!$F$3="Full Year",MAIN!$D$3="All"),"Yes",IF(MAIN!$F$3="Monthly",IF(E323=MAIN!$L$3,"Yes","No"),IF(E323&lt;=MAIN!$L$3,"Yes","No"))))</f>
        <v>Yes</v>
      </c>
      <c r="AA323" t="str">
        <f t="shared" si="35"/>
        <v>No</v>
      </c>
    </row>
    <row r="324" spans="1:27" x14ac:dyDescent="0.3">
      <c r="A324">
        <f>INDEX(SETTINGS!$A$15:$A$24,$B324)</f>
        <v>2026</v>
      </c>
      <c r="B324">
        <v>2</v>
      </c>
      <c r="C324" t="str">
        <f>IF(AND(A324&gt;=SETTINGS!$B$4,A324&lt;=SETTINGS!$B$5),"Yes","No")</f>
        <v>Yes</v>
      </c>
      <c r="D324" t="str">
        <f>IFERROR(INDEX(SETTINGS!$C$15:$C$24,MATCH(A324,SETTINGS!$A$15:$A$24,0)),"No")</f>
        <v>Yes</v>
      </c>
      <c r="E324">
        <v>5</v>
      </c>
      <c r="F324" t="s">
        <v>38</v>
      </c>
      <c r="G324">
        <v>126</v>
      </c>
      <c r="H324" t="s">
        <v>112</v>
      </c>
      <c r="I324" t="s">
        <v>30</v>
      </c>
      <c r="J324" t="s">
        <v>33</v>
      </c>
      <c r="K324" t="s">
        <v>34</v>
      </c>
      <c r="L324" s="36">
        <f ca="1">IF(C324&lt;&gt;"Yes",0,IF(A324=2025,N('2025'!D126),IF(A324=2026,N('2026'!D126),IF(A324=2027,N('2027'!D126),IF(A324=2028,N('2028'!D126),IF(A324=2029,N('2029'!D126),IF(A324=2030,N('2030'!D126),IF(A324=2031,N('2031'!D126),IF(A324=2032,N('2032'!D126),IF(A324=2033,N('2033'!D126),IF(A324=2034,N('2034'!D126),IFERROR(N(INDIRECT("'"&amp;A324&amp;"'!D"&amp;G324)),0))))))))))))</f>
        <v>1</v>
      </c>
      <c r="M324" s="36">
        <f>IFERROR(IF(NOT(ISBLANK(KPI_TARGETS!$H$23)),KPI_TARGETS!$H$23,IF(NOT(ISBLANK(KPI_TARGETS!$F$23)),KPI_TARGETS!$F$23,"")),"")</f>
        <v>1</v>
      </c>
      <c r="N324" s="36" t="str">
        <f>IFERROR(KPI_TARGETS!$E$23,"Higher is better")</f>
        <v>Higher is better</v>
      </c>
      <c r="O324" s="37">
        <f t="shared" ca="1" si="30"/>
        <v>1</v>
      </c>
      <c r="P324" t="str">
        <f t="shared" ca="1" si="31"/>
        <v>Green</v>
      </c>
      <c r="Q324" s="36">
        <f t="shared" ca="1" si="32"/>
        <v>0</v>
      </c>
      <c r="R324" s="36" t="str">
        <f>""</f>
        <v/>
      </c>
      <c r="S324" s="36" t="str">
        <f>""</f>
        <v/>
      </c>
      <c r="T324" s="36" t="str">
        <f>""</f>
        <v/>
      </c>
      <c r="U324" s="36" t="str">
        <f>""</f>
        <v/>
      </c>
      <c r="V324" s="36" t="str">
        <f>""</f>
        <v/>
      </c>
      <c r="W324" s="36">
        <f t="shared" si="33"/>
        <v>1</v>
      </c>
      <c r="X324" t="str">
        <f t="shared" si="34"/>
        <v>OK</v>
      </c>
      <c r="Y324" t="str">
        <f>IF(MAIN!$H$3="Selected Year",IF(A324=MAIN!$B$3,"Yes","No"),IF(MAIN!$H$3="Included Years",IF(D324="Yes","Yes","No"),IF(C324="Yes","Yes","No")))</f>
        <v>No</v>
      </c>
      <c r="Z324" t="str">
        <f>IF(MAIN!$F$3="Project to Date",IF(AND(A324&gt;=SETTINGS!$B$4,A324&lt;MAIN!$B$3),"Yes",IF(AND(A324=MAIN!$B$3,E324&lt;=MAIN!$L$3),"Yes","No")),IF(OR(MAIN!$F$3="Full Year",MAIN!$D$3="All"),"Yes",IF(MAIN!$F$3="Monthly",IF(E324=MAIN!$L$3,"Yes","No"),IF(E324&lt;=MAIN!$L$3,"Yes","No"))))</f>
        <v>Yes</v>
      </c>
      <c r="AA324" t="str">
        <f t="shared" si="35"/>
        <v>No</v>
      </c>
    </row>
    <row r="325" spans="1:27" x14ac:dyDescent="0.3">
      <c r="A325">
        <f>INDEX(SETTINGS!$A$15:$A$24,$B325)</f>
        <v>2026</v>
      </c>
      <c r="B325">
        <v>2</v>
      </c>
      <c r="C325" t="str">
        <f>IF(AND(A325&gt;=SETTINGS!$B$4,A325&lt;=SETTINGS!$B$5),"Yes","No")</f>
        <v>Yes</v>
      </c>
      <c r="D325" t="str">
        <f>IFERROR(INDEX(SETTINGS!$C$15:$C$24,MATCH(A325,SETTINGS!$A$15:$A$24,0)),"No")</f>
        <v>Yes</v>
      </c>
      <c r="E325">
        <v>6</v>
      </c>
      <c r="F325" t="s">
        <v>39</v>
      </c>
      <c r="G325">
        <v>129</v>
      </c>
      <c r="H325" t="s">
        <v>88</v>
      </c>
      <c r="I325" t="s">
        <v>89</v>
      </c>
      <c r="J325" t="s">
        <v>10</v>
      </c>
      <c r="K325" t="s">
        <v>3</v>
      </c>
      <c r="L325" s="36">
        <f ca="1">IF(C325&lt;&gt;"Yes",0,IF(A325=2025,N('2025'!D129),IF(A325=2026,N('2026'!D129),IF(A325=2027,N('2027'!D129),IF(A325=2028,N('2028'!D129),IF(A325=2029,N('2029'!D129),IF(A325=2030,N('2030'!D129),IF(A325=2031,N('2031'!D129),IF(A325=2032,N('2032'!D129),IF(A325=2033,N('2033'!D129),IF(A325=2034,N('2034'!D129),IFERROR(N(INDIRECT("'"&amp;A325&amp;"'!D"&amp;G325)),0))))))))))))</f>
        <v>0</v>
      </c>
      <c r="M325" s="36">
        <f>IFERROR(IF(NOT(ISBLANK(KPI_TARGETS!$H$5)),KPI_TARGETS!$H$5,IF(NOT(ISBLANK(KPI_TARGETS!$F$5)),KPI_TARGETS!$F$5,"")),"")</f>
        <v>104</v>
      </c>
      <c r="N325" s="36" t="str">
        <f>IFERROR(KPI_TARGETS!$E$5,"Higher is better")</f>
        <v>Higher is better</v>
      </c>
      <c r="O325" s="37">
        <f t="shared" ca="1" si="30"/>
        <v>0</v>
      </c>
      <c r="P325" t="str">
        <f t="shared" ca="1" si="31"/>
        <v>Red</v>
      </c>
      <c r="Q325" s="36">
        <f t="shared" ca="1" si="32"/>
        <v>-104</v>
      </c>
      <c r="R325" s="36" t="str">
        <f>""</f>
        <v/>
      </c>
      <c r="S325" s="36" t="str">
        <f>""</f>
        <v/>
      </c>
      <c r="T325" s="36" t="str">
        <f>""</f>
        <v/>
      </c>
      <c r="U325" s="36" t="str">
        <f>""</f>
        <v/>
      </c>
      <c r="V325" s="36" t="str">
        <f>""</f>
        <v/>
      </c>
      <c r="W325" s="36">
        <f t="shared" si="33"/>
        <v>1</v>
      </c>
      <c r="X325" t="str">
        <f t="shared" si="34"/>
        <v>OK</v>
      </c>
      <c r="Y325" t="str">
        <f>IF(MAIN!$H$3="Selected Year",IF(A325=MAIN!$B$3,"Yes","No"),IF(MAIN!$H$3="Included Years",IF(D325="Yes","Yes","No"),IF(C325="Yes","Yes","No")))</f>
        <v>No</v>
      </c>
      <c r="Z325" t="str">
        <f>IF(MAIN!$F$3="Project to Date",IF(AND(A325&gt;=SETTINGS!$B$4,A325&lt;MAIN!$B$3),"Yes",IF(AND(A325=MAIN!$B$3,E325&lt;=MAIN!$L$3),"Yes","No")),IF(OR(MAIN!$F$3="Full Year",MAIN!$D$3="All"),"Yes",IF(MAIN!$F$3="Monthly",IF(E325=MAIN!$L$3,"Yes","No"),IF(E325&lt;=MAIN!$L$3,"Yes","No"))))</f>
        <v>Yes</v>
      </c>
      <c r="AA325" t="str">
        <f t="shared" si="35"/>
        <v>No</v>
      </c>
    </row>
    <row r="326" spans="1:27" x14ac:dyDescent="0.3">
      <c r="A326">
        <f>INDEX(SETTINGS!$A$15:$A$24,$B326)</f>
        <v>2026</v>
      </c>
      <c r="B326">
        <v>2</v>
      </c>
      <c r="C326" t="str">
        <f>IF(AND(A326&gt;=SETTINGS!$B$4,A326&lt;=SETTINGS!$B$5),"Yes","No")</f>
        <v>Yes</v>
      </c>
      <c r="D326" t="str">
        <f>IFERROR(INDEX(SETTINGS!$C$15:$C$24,MATCH(A326,SETTINGS!$A$15:$A$24,0)),"No")</f>
        <v>Yes</v>
      </c>
      <c r="E326">
        <v>6</v>
      </c>
      <c r="F326" t="s">
        <v>39</v>
      </c>
      <c r="G326">
        <v>130</v>
      </c>
      <c r="H326" t="s">
        <v>91</v>
      </c>
      <c r="I326" t="s">
        <v>89</v>
      </c>
      <c r="J326" t="s">
        <v>11</v>
      </c>
      <c r="K326" t="s">
        <v>12</v>
      </c>
      <c r="L326" s="36">
        <f ca="1">IF(C326&lt;&gt;"Yes",0,IF(A326=2025,N('2025'!D130),IF(A326=2026,N('2026'!D130),IF(A326=2027,N('2027'!D130),IF(A326=2028,N('2028'!D130),IF(A326=2029,N('2029'!D130),IF(A326=2030,N('2030'!D130),IF(A326=2031,N('2031'!D130),IF(A326=2032,N('2032'!D130),IF(A326=2033,N('2033'!D130),IF(A326=2034,N('2034'!D130),IFERROR(N(INDIRECT("'"&amp;A326&amp;"'!D"&amp;G326)),0))))))))))))</f>
        <v>0</v>
      </c>
      <c r="M326" s="36">
        <f>IFERROR(IF(NOT(ISBLANK(KPI_TARGETS!$H$6)),KPI_TARGETS!$H$6,IF(NOT(ISBLANK(KPI_TARGETS!$F$6)),KPI_TARGETS!$F$6,"")),"")</f>
        <v>4000</v>
      </c>
      <c r="N326" s="36" t="str">
        <f>IFERROR(KPI_TARGETS!$E$6,"Higher is better")</f>
        <v>Higher is better</v>
      </c>
      <c r="O326" s="37">
        <f t="shared" ca="1" si="30"/>
        <v>0</v>
      </c>
      <c r="P326" t="str">
        <f t="shared" ca="1" si="31"/>
        <v>Red</v>
      </c>
      <c r="Q326" s="36">
        <f t="shared" ca="1" si="32"/>
        <v>-4000</v>
      </c>
      <c r="R326" s="36" t="str">
        <f>""</f>
        <v/>
      </c>
      <c r="S326" s="36" t="str">
        <f>""</f>
        <v/>
      </c>
      <c r="T326" s="36" t="str">
        <f>""</f>
        <v/>
      </c>
      <c r="U326" s="36" t="str">
        <f>""</f>
        <v/>
      </c>
      <c r="V326" s="36" t="str">
        <f>""</f>
        <v/>
      </c>
      <c r="W326" s="36">
        <f t="shared" si="33"/>
        <v>1</v>
      </c>
      <c r="X326" t="str">
        <f t="shared" si="34"/>
        <v>OK</v>
      </c>
      <c r="Y326" t="str">
        <f>IF(MAIN!$H$3="Selected Year",IF(A326=MAIN!$B$3,"Yes","No"),IF(MAIN!$H$3="Included Years",IF(D326="Yes","Yes","No"),IF(C326="Yes","Yes","No")))</f>
        <v>No</v>
      </c>
      <c r="Z326" t="str">
        <f>IF(MAIN!$F$3="Project to Date",IF(AND(A326&gt;=SETTINGS!$B$4,A326&lt;MAIN!$B$3),"Yes",IF(AND(A326=MAIN!$B$3,E326&lt;=MAIN!$L$3),"Yes","No")),IF(OR(MAIN!$F$3="Full Year",MAIN!$D$3="All"),"Yes",IF(MAIN!$F$3="Monthly",IF(E326=MAIN!$L$3,"Yes","No"),IF(E326&lt;=MAIN!$L$3,"Yes","No"))))</f>
        <v>Yes</v>
      </c>
      <c r="AA326" t="str">
        <f t="shared" si="35"/>
        <v>No</v>
      </c>
    </row>
    <row r="327" spans="1:27" x14ac:dyDescent="0.3">
      <c r="A327">
        <f>INDEX(SETTINGS!$A$15:$A$24,$B327)</f>
        <v>2026</v>
      </c>
      <c r="B327">
        <v>2</v>
      </c>
      <c r="C327" t="str">
        <f>IF(AND(A327&gt;=SETTINGS!$B$4,A327&lt;=SETTINGS!$B$5),"Yes","No")</f>
        <v>Yes</v>
      </c>
      <c r="D327" t="str">
        <f>IFERROR(INDEX(SETTINGS!$C$15:$C$24,MATCH(A327,SETTINGS!$A$15:$A$24,0)),"No")</f>
        <v>Yes</v>
      </c>
      <c r="E327">
        <v>6</v>
      </c>
      <c r="F327" t="s">
        <v>39</v>
      </c>
      <c r="G327">
        <v>131</v>
      </c>
      <c r="H327" t="s">
        <v>93</v>
      </c>
      <c r="I327" t="s">
        <v>89</v>
      </c>
      <c r="J327" t="s">
        <v>13</v>
      </c>
      <c r="K327" t="s">
        <v>14</v>
      </c>
      <c r="L327" s="36">
        <f ca="1">IF(C327&lt;&gt;"Yes",0,IF(A327=2025,N('2025'!D131),IF(A327=2026,N('2026'!D131),IF(A327=2027,N('2027'!D131),IF(A327=2028,N('2028'!D131),IF(A327=2029,N('2029'!D131),IF(A327=2030,N('2030'!D131),IF(A327=2031,N('2031'!D131),IF(A327=2032,N('2032'!D131),IF(A327=2033,N('2033'!D131),IF(A327=2034,N('2034'!D131),IFERROR(N(INDIRECT("'"&amp;A327&amp;"'!D"&amp;G327)),0))))))))))))</f>
        <v>0</v>
      </c>
      <c r="M327" s="36">
        <f>IFERROR(IF(NOT(ISBLANK(KPI_TARGETS!$H$7)),KPI_TARGETS!$H$7,IF(NOT(ISBLANK(KPI_TARGETS!$F$7)),KPI_TARGETS!$F$7,"")),"")</f>
        <v>8000</v>
      </c>
      <c r="N327" s="36" t="str">
        <f>IFERROR(KPI_TARGETS!$E$7,"Higher is better")</f>
        <v>Higher is better</v>
      </c>
      <c r="O327" s="37">
        <f t="shared" ca="1" si="30"/>
        <v>0</v>
      </c>
      <c r="P327" t="str">
        <f t="shared" ca="1" si="31"/>
        <v>Red</v>
      </c>
      <c r="Q327" s="36">
        <f t="shared" ca="1" si="32"/>
        <v>-8000</v>
      </c>
      <c r="R327" s="36" t="str">
        <f>""</f>
        <v/>
      </c>
      <c r="S327" s="36" t="str">
        <f>""</f>
        <v/>
      </c>
      <c r="T327" s="36" t="str">
        <f>""</f>
        <v/>
      </c>
      <c r="U327" s="36" t="str">
        <f>""</f>
        <v/>
      </c>
      <c r="V327" s="36" t="str">
        <f>""</f>
        <v/>
      </c>
      <c r="W327" s="36">
        <f t="shared" si="33"/>
        <v>1</v>
      </c>
      <c r="X327" t="str">
        <f t="shared" si="34"/>
        <v>OK</v>
      </c>
      <c r="Y327" t="str">
        <f>IF(MAIN!$H$3="Selected Year",IF(A327=MAIN!$B$3,"Yes","No"),IF(MAIN!$H$3="Included Years",IF(D327="Yes","Yes","No"),IF(C327="Yes","Yes","No")))</f>
        <v>No</v>
      </c>
      <c r="Z327" t="str">
        <f>IF(MAIN!$F$3="Project to Date",IF(AND(A327&gt;=SETTINGS!$B$4,A327&lt;MAIN!$B$3),"Yes",IF(AND(A327=MAIN!$B$3,E327&lt;=MAIN!$L$3),"Yes","No")),IF(OR(MAIN!$F$3="Full Year",MAIN!$D$3="All"),"Yes",IF(MAIN!$F$3="Monthly",IF(E327=MAIN!$L$3,"Yes","No"),IF(E327&lt;=MAIN!$L$3,"Yes","No"))))</f>
        <v>Yes</v>
      </c>
      <c r="AA327" t="str">
        <f t="shared" si="35"/>
        <v>No</v>
      </c>
    </row>
    <row r="328" spans="1:27" x14ac:dyDescent="0.3">
      <c r="A328">
        <f>INDEX(SETTINGS!$A$15:$A$24,$B328)</f>
        <v>2026</v>
      </c>
      <c r="B328">
        <v>2</v>
      </c>
      <c r="C328" t="str">
        <f>IF(AND(A328&gt;=SETTINGS!$B$4,A328&lt;=SETTINGS!$B$5),"Yes","No")</f>
        <v>Yes</v>
      </c>
      <c r="D328" t="str">
        <f>IFERROR(INDEX(SETTINGS!$C$15:$C$24,MATCH(A328,SETTINGS!$A$15:$A$24,0)),"No")</f>
        <v>Yes</v>
      </c>
      <c r="E328">
        <v>6</v>
      </c>
      <c r="F328" t="s">
        <v>39</v>
      </c>
      <c r="G328">
        <v>133</v>
      </c>
      <c r="H328" t="s">
        <v>95</v>
      </c>
      <c r="I328" t="s">
        <v>15</v>
      </c>
      <c r="J328" t="s">
        <v>16</v>
      </c>
      <c r="K328" t="s">
        <v>3</v>
      </c>
      <c r="L328" s="36">
        <f ca="1">IF(C328&lt;&gt;"Yes",0,IF(A328=2025,N('2025'!D133),IF(A328=2026,N('2026'!D133),IF(A328=2027,N('2027'!D133),IF(A328=2028,N('2028'!D133),IF(A328=2029,N('2029'!D133),IF(A328=2030,N('2030'!D133),IF(A328=2031,N('2031'!D133),IF(A328=2032,N('2032'!D133),IF(A328=2033,N('2033'!D133),IF(A328=2034,N('2034'!D133),IFERROR(N(INDIRECT("'"&amp;A328&amp;"'!D"&amp;G328)),0))))))))))))</f>
        <v>0</v>
      </c>
      <c r="M328" s="36">
        <f>IFERROR(IF(NOT(ISBLANK(KPI_TARGETS!$H$8)),KPI_TARGETS!$H$8,IF(NOT(ISBLANK(KPI_TARGETS!$F$8)),KPI_TARGETS!$F$8,"")),"")</f>
        <v>0</v>
      </c>
      <c r="N328" s="36" t="str">
        <f>IFERROR(KPI_TARGETS!$E$8,"Higher is better")</f>
        <v>Lower is better</v>
      </c>
      <c r="O328" s="37">
        <f t="shared" ca="1" si="30"/>
        <v>1</v>
      </c>
      <c r="P328" t="str">
        <f t="shared" ca="1" si="31"/>
        <v>Green</v>
      </c>
      <c r="Q328" s="36">
        <f t="shared" ca="1" si="32"/>
        <v>0</v>
      </c>
      <c r="R328" s="36" t="str">
        <f>""</f>
        <v/>
      </c>
      <c r="S328" s="36" t="str">
        <f>""</f>
        <v/>
      </c>
      <c r="T328" s="36" t="str">
        <f>""</f>
        <v/>
      </c>
      <c r="U328" s="36" t="str">
        <f>""</f>
        <v/>
      </c>
      <c r="V328" s="36" t="str">
        <f>""</f>
        <v/>
      </c>
      <c r="W328" s="36">
        <f t="shared" si="33"/>
        <v>1</v>
      </c>
      <c r="X328" t="str">
        <f t="shared" si="34"/>
        <v>OK</v>
      </c>
      <c r="Y328" t="str">
        <f>IF(MAIN!$H$3="Selected Year",IF(A328=MAIN!$B$3,"Yes","No"),IF(MAIN!$H$3="Included Years",IF(D328="Yes","Yes","No"),IF(C328="Yes","Yes","No")))</f>
        <v>No</v>
      </c>
      <c r="Z328" t="str">
        <f>IF(MAIN!$F$3="Project to Date",IF(AND(A328&gt;=SETTINGS!$B$4,A328&lt;MAIN!$B$3),"Yes",IF(AND(A328=MAIN!$B$3,E328&lt;=MAIN!$L$3),"Yes","No")),IF(OR(MAIN!$F$3="Full Year",MAIN!$D$3="All"),"Yes",IF(MAIN!$F$3="Monthly",IF(E328=MAIN!$L$3,"Yes","No"),IF(E328&lt;=MAIN!$L$3,"Yes","No"))))</f>
        <v>Yes</v>
      </c>
      <c r="AA328" t="str">
        <f t="shared" si="35"/>
        <v>No</v>
      </c>
    </row>
    <row r="329" spans="1:27" x14ac:dyDescent="0.3">
      <c r="A329">
        <f>INDEX(SETTINGS!$A$15:$A$24,$B329)</f>
        <v>2026</v>
      </c>
      <c r="B329">
        <v>2</v>
      </c>
      <c r="C329" t="str">
        <f>IF(AND(A329&gt;=SETTINGS!$B$4,A329&lt;=SETTINGS!$B$5),"Yes","No")</f>
        <v>Yes</v>
      </c>
      <c r="D329" t="str">
        <f>IFERROR(INDEX(SETTINGS!$C$15:$C$24,MATCH(A329,SETTINGS!$A$15:$A$24,0)),"No")</f>
        <v>Yes</v>
      </c>
      <c r="E329">
        <v>6</v>
      </c>
      <c r="F329" t="s">
        <v>39</v>
      </c>
      <c r="G329">
        <v>134</v>
      </c>
      <c r="H329" t="s">
        <v>97</v>
      </c>
      <c r="I329" t="s">
        <v>15</v>
      </c>
      <c r="J329" t="s">
        <v>17</v>
      </c>
      <c r="K329" t="s">
        <v>3</v>
      </c>
      <c r="L329" s="36">
        <f ca="1">IF(C329&lt;&gt;"Yes",0,IF(A329=2025,N('2025'!D134),IF(A329=2026,N('2026'!D134),IF(A329=2027,N('2027'!D134),IF(A329=2028,N('2028'!D134),IF(A329=2029,N('2029'!D134),IF(A329=2030,N('2030'!D134),IF(A329=2031,N('2031'!D134),IF(A329=2032,N('2032'!D134),IF(A329=2033,N('2033'!D134),IF(A329=2034,N('2034'!D134),IFERROR(N(INDIRECT("'"&amp;A329&amp;"'!D"&amp;G329)),0))))))))))))</f>
        <v>0</v>
      </c>
      <c r="M329" s="36">
        <f>IFERROR(IF(NOT(ISBLANK(KPI_TARGETS!$H$9)),KPI_TARGETS!$H$9,IF(NOT(ISBLANK(KPI_TARGETS!$F$9)),KPI_TARGETS!$F$9,"")),"")</f>
        <v>0</v>
      </c>
      <c r="N329" s="36" t="str">
        <f>IFERROR(KPI_TARGETS!$E$9,"Higher is better")</f>
        <v>Higher is better</v>
      </c>
      <c r="O329" s="37" t="str">
        <f t="shared" ca="1" si="30"/>
        <v/>
      </c>
      <c r="P329" t="str">
        <f t="shared" ca="1" si="31"/>
        <v>Green</v>
      </c>
      <c r="Q329" s="36">
        <f t="shared" ca="1" si="32"/>
        <v>0</v>
      </c>
      <c r="R329" s="36" t="str">
        <f>""</f>
        <v/>
      </c>
      <c r="S329" s="36" t="str">
        <f>""</f>
        <v/>
      </c>
      <c r="T329" s="36" t="str">
        <f>""</f>
        <v/>
      </c>
      <c r="U329" s="36" t="str">
        <f>""</f>
        <v/>
      </c>
      <c r="V329" s="36" t="str">
        <f>""</f>
        <v/>
      </c>
      <c r="W329" s="36">
        <f t="shared" si="33"/>
        <v>1</v>
      </c>
      <c r="X329" t="str">
        <f t="shared" si="34"/>
        <v>OK</v>
      </c>
      <c r="Y329" t="str">
        <f>IF(MAIN!$H$3="Selected Year",IF(A329=MAIN!$B$3,"Yes","No"),IF(MAIN!$H$3="Included Years",IF(D329="Yes","Yes","No"),IF(C329="Yes","Yes","No")))</f>
        <v>No</v>
      </c>
      <c r="Z329" t="str">
        <f>IF(MAIN!$F$3="Project to Date",IF(AND(A329&gt;=SETTINGS!$B$4,A329&lt;MAIN!$B$3),"Yes",IF(AND(A329=MAIN!$B$3,E329&lt;=MAIN!$L$3),"Yes","No")),IF(OR(MAIN!$F$3="Full Year",MAIN!$D$3="All"),"Yes",IF(MAIN!$F$3="Monthly",IF(E329=MAIN!$L$3,"Yes","No"),IF(E329&lt;=MAIN!$L$3,"Yes","No"))))</f>
        <v>Yes</v>
      </c>
      <c r="AA329" t="str">
        <f t="shared" si="35"/>
        <v>No</v>
      </c>
    </row>
    <row r="330" spans="1:27" x14ac:dyDescent="0.3">
      <c r="A330">
        <f>INDEX(SETTINGS!$A$15:$A$24,$B330)</f>
        <v>2026</v>
      </c>
      <c r="B330">
        <v>2</v>
      </c>
      <c r="C330" t="str">
        <f>IF(AND(A330&gt;=SETTINGS!$B$4,A330&lt;=SETTINGS!$B$5),"Yes","No")</f>
        <v>Yes</v>
      </c>
      <c r="D330" t="str">
        <f>IFERROR(INDEX(SETTINGS!$C$15:$C$24,MATCH(A330,SETTINGS!$A$15:$A$24,0)),"No")</f>
        <v>Yes</v>
      </c>
      <c r="E330">
        <v>6</v>
      </c>
      <c r="F330" t="s">
        <v>39</v>
      </c>
      <c r="G330">
        <v>135</v>
      </c>
      <c r="H330" t="s">
        <v>99</v>
      </c>
      <c r="I330" t="s">
        <v>15</v>
      </c>
      <c r="J330" t="s">
        <v>18</v>
      </c>
      <c r="K330" t="s">
        <v>3</v>
      </c>
      <c r="L330" s="36">
        <f ca="1">IF(C330&lt;&gt;"Yes",0,IF(A330=2025,N('2025'!D135),IF(A330=2026,N('2026'!D135),IF(A330=2027,N('2027'!D135),IF(A330=2028,N('2028'!D135),IF(A330=2029,N('2029'!D135),IF(A330=2030,N('2030'!D135),IF(A330=2031,N('2031'!D135),IF(A330=2032,N('2032'!D135),IF(A330=2033,N('2033'!D135),IF(A330=2034,N('2034'!D135),IFERROR(N(INDIRECT("'"&amp;A330&amp;"'!D"&amp;G330)),0))))))))))))</f>
        <v>0</v>
      </c>
      <c r="M330" s="36">
        <f>IFERROR(IF(NOT(ISBLANK(KPI_TARGETS!$H$10)),KPI_TARGETS!$H$10,IF(NOT(ISBLANK(KPI_TARGETS!$F$10)),KPI_TARGETS!$F$10,"")),"")</f>
        <v>0</v>
      </c>
      <c r="N330" s="36" t="str">
        <f>IFERROR(KPI_TARGETS!$E$10,"Higher is better")</f>
        <v>Lower is better</v>
      </c>
      <c r="O330" s="37">
        <f t="shared" ca="1" si="30"/>
        <v>1</v>
      </c>
      <c r="P330" t="str">
        <f t="shared" ca="1" si="31"/>
        <v>Green</v>
      </c>
      <c r="Q330" s="36">
        <f t="shared" ca="1" si="32"/>
        <v>0</v>
      </c>
      <c r="R330" s="36" t="str">
        <f>""</f>
        <v/>
      </c>
      <c r="S330" s="36" t="str">
        <f>""</f>
        <v/>
      </c>
      <c r="T330" s="36" t="str">
        <f>""</f>
        <v/>
      </c>
      <c r="U330" s="36" t="str">
        <f>""</f>
        <v/>
      </c>
      <c r="V330" s="36" t="str">
        <f>""</f>
        <v/>
      </c>
      <c r="W330" s="36">
        <f t="shared" si="33"/>
        <v>1</v>
      </c>
      <c r="X330" t="str">
        <f t="shared" si="34"/>
        <v>OK</v>
      </c>
      <c r="Y330" t="str">
        <f>IF(MAIN!$H$3="Selected Year",IF(A330=MAIN!$B$3,"Yes","No"),IF(MAIN!$H$3="Included Years",IF(D330="Yes","Yes","No"),IF(C330="Yes","Yes","No")))</f>
        <v>No</v>
      </c>
      <c r="Z330" t="str">
        <f>IF(MAIN!$F$3="Project to Date",IF(AND(A330&gt;=SETTINGS!$B$4,A330&lt;MAIN!$B$3),"Yes",IF(AND(A330=MAIN!$B$3,E330&lt;=MAIN!$L$3),"Yes","No")),IF(OR(MAIN!$F$3="Full Year",MAIN!$D$3="All"),"Yes",IF(MAIN!$F$3="Monthly",IF(E330=MAIN!$L$3,"Yes","No"),IF(E330&lt;=MAIN!$L$3,"Yes","No"))))</f>
        <v>Yes</v>
      </c>
      <c r="AA330" t="str">
        <f t="shared" si="35"/>
        <v>No</v>
      </c>
    </row>
    <row r="331" spans="1:27" x14ac:dyDescent="0.3">
      <c r="A331">
        <f>INDEX(SETTINGS!$A$15:$A$24,$B331)</f>
        <v>2026</v>
      </c>
      <c r="B331">
        <v>2</v>
      </c>
      <c r="C331" t="str">
        <f>IF(AND(A331&gt;=SETTINGS!$B$4,A331&lt;=SETTINGS!$B$5),"Yes","No")</f>
        <v>Yes</v>
      </c>
      <c r="D331" t="str">
        <f>IFERROR(INDEX(SETTINGS!$C$15:$C$24,MATCH(A331,SETTINGS!$A$15:$A$24,0)),"No")</f>
        <v>Yes</v>
      </c>
      <c r="E331">
        <v>6</v>
      </c>
      <c r="F331" t="s">
        <v>39</v>
      </c>
      <c r="G331">
        <v>136</v>
      </c>
      <c r="H331" t="s">
        <v>100</v>
      </c>
      <c r="I331" t="s">
        <v>15</v>
      </c>
      <c r="J331" t="s">
        <v>19</v>
      </c>
      <c r="K331" t="s">
        <v>3</v>
      </c>
      <c r="L331" s="36">
        <f ca="1">IF(C331&lt;&gt;"Yes",0,IF(A331=2025,N('2025'!D136),IF(A331=2026,N('2026'!D136),IF(A331=2027,N('2027'!D136),IF(A331=2028,N('2028'!D136),IF(A331=2029,N('2029'!D136),IF(A331=2030,N('2030'!D136),IF(A331=2031,N('2031'!D136),IF(A331=2032,N('2032'!D136),IF(A331=2033,N('2033'!D136),IF(A331=2034,N('2034'!D136),IFERROR(N(INDIRECT("'"&amp;A331&amp;"'!D"&amp;G331)),0))))))))))))</f>
        <v>0</v>
      </c>
      <c r="M331" s="36">
        <f>IFERROR(IF(NOT(ISBLANK(KPI_TARGETS!$H$11)),KPI_TARGETS!$H$11,IF(NOT(ISBLANK(KPI_TARGETS!$F$11)),KPI_TARGETS!$F$11,"")),"")</f>
        <v>0</v>
      </c>
      <c r="N331" s="36" t="str">
        <f>IFERROR(KPI_TARGETS!$E$11,"Higher is better")</f>
        <v>Lower is better</v>
      </c>
      <c r="O331" s="37">
        <f t="shared" ca="1" si="30"/>
        <v>1</v>
      </c>
      <c r="P331" t="str">
        <f t="shared" ca="1" si="31"/>
        <v>Green</v>
      </c>
      <c r="Q331" s="36">
        <f t="shared" ca="1" si="32"/>
        <v>0</v>
      </c>
      <c r="R331" s="36" t="str">
        <f>""</f>
        <v/>
      </c>
      <c r="S331" s="36" t="str">
        <f>""</f>
        <v/>
      </c>
      <c r="T331" s="36" t="str">
        <f>""</f>
        <v/>
      </c>
      <c r="U331" s="36" t="str">
        <f>""</f>
        <v/>
      </c>
      <c r="V331" s="36" t="str">
        <f>""</f>
        <v/>
      </c>
      <c r="W331" s="36">
        <f t="shared" si="33"/>
        <v>1</v>
      </c>
      <c r="X331" t="str">
        <f t="shared" si="34"/>
        <v>OK</v>
      </c>
      <c r="Y331" t="str">
        <f>IF(MAIN!$H$3="Selected Year",IF(A331=MAIN!$B$3,"Yes","No"),IF(MAIN!$H$3="Included Years",IF(D331="Yes","Yes","No"),IF(C331="Yes","Yes","No")))</f>
        <v>No</v>
      </c>
      <c r="Z331" t="str">
        <f>IF(MAIN!$F$3="Project to Date",IF(AND(A331&gt;=SETTINGS!$B$4,A331&lt;MAIN!$B$3),"Yes",IF(AND(A331=MAIN!$B$3,E331&lt;=MAIN!$L$3),"Yes","No")),IF(OR(MAIN!$F$3="Full Year",MAIN!$D$3="All"),"Yes",IF(MAIN!$F$3="Monthly",IF(E331=MAIN!$L$3,"Yes","No"),IF(E331&lt;=MAIN!$L$3,"Yes","No"))))</f>
        <v>Yes</v>
      </c>
      <c r="AA331" t="str">
        <f t="shared" si="35"/>
        <v>No</v>
      </c>
    </row>
    <row r="332" spans="1:27" x14ac:dyDescent="0.3">
      <c r="A332">
        <f>INDEX(SETTINGS!$A$15:$A$24,$B332)</f>
        <v>2026</v>
      </c>
      <c r="B332">
        <v>2</v>
      </c>
      <c r="C332" t="str">
        <f>IF(AND(A332&gt;=SETTINGS!$B$4,A332&lt;=SETTINGS!$B$5),"Yes","No")</f>
        <v>Yes</v>
      </c>
      <c r="D332" t="str">
        <f>IFERROR(INDEX(SETTINGS!$C$15:$C$24,MATCH(A332,SETTINGS!$A$15:$A$24,0)),"No")</f>
        <v>Yes</v>
      </c>
      <c r="E332">
        <v>6</v>
      </c>
      <c r="F332" t="s">
        <v>39</v>
      </c>
      <c r="G332">
        <v>137</v>
      </c>
      <c r="H332" t="s">
        <v>101</v>
      </c>
      <c r="I332" t="s">
        <v>15</v>
      </c>
      <c r="J332" t="s">
        <v>20</v>
      </c>
      <c r="K332" t="s">
        <v>3</v>
      </c>
      <c r="L332" s="36">
        <f ca="1">IF(C332&lt;&gt;"Yes",0,IF(A332=2025,N('2025'!D137),IF(A332=2026,N('2026'!D137),IF(A332=2027,N('2027'!D137),IF(A332=2028,N('2028'!D137),IF(A332=2029,N('2029'!D137),IF(A332=2030,N('2030'!D137),IF(A332=2031,N('2031'!D137),IF(A332=2032,N('2032'!D137),IF(A332=2033,N('2033'!D137),IF(A332=2034,N('2034'!D137),IFERROR(N(INDIRECT("'"&amp;A332&amp;"'!D"&amp;G332)),0))))))))))))</f>
        <v>0</v>
      </c>
      <c r="M332" s="36">
        <f>IFERROR(IF(NOT(ISBLANK(KPI_TARGETS!$H$12)),KPI_TARGETS!$H$12,IF(NOT(ISBLANK(KPI_TARGETS!$F$12)),KPI_TARGETS!$F$12,"")),"")</f>
        <v>0</v>
      </c>
      <c r="N332" s="36" t="str">
        <f>IFERROR(KPI_TARGETS!$E$12,"Higher is better")</f>
        <v>Lower is better</v>
      </c>
      <c r="O332" s="37">
        <f t="shared" ca="1" si="30"/>
        <v>1</v>
      </c>
      <c r="P332" t="str">
        <f t="shared" ca="1" si="31"/>
        <v>Green</v>
      </c>
      <c r="Q332" s="36">
        <f t="shared" ca="1" si="32"/>
        <v>0</v>
      </c>
      <c r="R332" s="36" t="str">
        <f>""</f>
        <v/>
      </c>
      <c r="S332" s="36" t="str">
        <f>""</f>
        <v/>
      </c>
      <c r="T332" s="36" t="str">
        <f>""</f>
        <v/>
      </c>
      <c r="U332" s="36" t="str">
        <f>""</f>
        <v/>
      </c>
      <c r="V332" s="36" t="str">
        <f>""</f>
        <v/>
      </c>
      <c r="W332" s="36">
        <f t="shared" si="33"/>
        <v>1</v>
      </c>
      <c r="X332" t="str">
        <f t="shared" si="34"/>
        <v>OK</v>
      </c>
      <c r="Y332" t="str">
        <f>IF(MAIN!$H$3="Selected Year",IF(A332=MAIN!$B$3,"Yes","No"),IF(MAIN!$H$3="Included Years",IF(D332="Yes","Yes","No"),IF(C332="Yes","Yes","No")))</f>
        <v>No</v>
      </c>
      <c r="Z332" t="str">
        <f>IF(MAIN!$F$3="Project to Date",IF(AND(A332&gt;=SETTINGS!$B$4,A332&lt;MAIN!$B$3),"Yes",IF(AND(A332=MAIN!$B$3,E332&lt;=MAIN!$L$3),"Yes","No")),IF(OR(MAIN!$F$3="Full Year",MAIN!$D$3="All"),"Yes",IF(MAIN!$F$3="Monthly",IF(E332=MAIN!$L$3,"Yes","No"),IF(E332&lt;=MAIN!$L$3,"Yes","No"))))</f>
        <v>Yes</v>
      </c>
      <c r="AA332" t="str">
        <f t="shared" si="35"/>
        <v>No</v>
      </c>
    </row>
    <row r="333" spans="1:27" x14ac:dyDescent="0.3">
      <c r="A333">
        <f>INDEX(SETTINGS!$A$15:$A$24,$B333)</f>
        <v>2026</v>
      </c>
      <c r="B333">
        <v>2</v>
      </c>
      <c r="C333" t="str">
        <f>IF(AND(A333&gt;=SETTINGS!$B$4,A333&lt;=SETTINGS!$B$5),"Yes","No")</f>
        <v>Yes</v>
      </c>
      <c r="D333" t="str">
        <f>IFERROR(INDEX(SETTINGS!$C$15:$C$24,MATCH(A333,SETTINGS!$A$15:$A$24,0)),"No")</f>
        <v>Yes</v>
      </c>
      <c r="E333">
        <v>6</v>
      </c>
      <c r="F333" t="s">
        <v>39</v>
      </c>
      <c r="G333">
        <v>138</v>
      </c>
      <c r="H333" t="s">
        <v>102</v>
      </c>
      <c r="I333" t="s">
        <v>15</v>
      </c>
      <c r="J333" t="s">
        <v>21</v>
      </c>
      <c r="K333" t="s">
        <v>3</v>
      </c>
      <c r="L333" s="36">
        <f ca="1">IF(C333&lt;&gt;"Yes",0,IF(A333=2025,N('2025'!D138),IF(A333=2026,N('2026'!D138),IF(A333=2027,N('2027'!D138),IF(A333=2028,N('2028'!D138),IF(A333=2029,N('2029'!D138),IF(A333=2030,N('2030'!D138),IF(A333=2031,N('2031'!D138),IF(A333=2032,N('2032'!D138),IF(A333=2033,N('2033'!D138),IF(A333=2034,N('2034'!D138),IFERROR(N(INDIRECT("'"&amp;A333&amp;"'!D"&amp;G333)),0))))))))))))</f>
        <v>0</v>
      </c>
      <c r="M333" s="36">
        <f>IFERROR(IF(NOT(ISBLANK(KPI_TARGETS!$H$13)),KPI_TARGETS!$H$13,IF(NOT(ISBLANK(KPI_TARGETS!$F$13)),KPI_TARGETS!$F$13,"")),"")</f>
        <v>0</v>
      </c>
      <c r="N333" s="36" t="str">
        <f>IFERROR(KPI_TARGETS!$E$13,"Higher is better")</f>
        <v>Lower is better</v>
      </c>
      <c r="O333" s="37">
        <f t="shared" ca="1" si="30"/>
        <v>1</v>
      </c>
      <c r="P333" t="str">
        <f t="shared" ca="1" si="31"/>
        <v>Green</v>
      </c>
      <c r="Q333" s="36">
        <f t="shared" ca="1" si="32"/>
        <v>0</v>
      </c>
      <c r="R333" s="36" t="str">
        <f>""</f>
        <v/>
      </c>
      <c r="S333" s="36" t="str">
        <f>""</f>
        <v/>
      </c>
      <c r="T333" s="36" t="str">
        <f>""</f>
        <v/>
      </c>
      <c r="U333" s="36" t="str">
        <f>""</f>
        <v/>
      </c>
      <c r="V333" s="36" t="str">
        <f>""</f>
        <v/>
      </c>
      <c r="W333" s="36">
        <f t="shared" si="33"/>
        <v>1</v>
      </c>
      <c r="X333" t="str">
        <f t="shared" si="34"/>
        <v>OK</v>
      </c>
      <c r="Y333" t="str">
        <f>IF(MAIN!$H$3="Selected Year",IF(A333=MAIN!$B$3,"Yes","No"),IF(MAIN!$H$3="Included Years",IF(D333="Yes","Yes","No"),IF(C333="Yes","Yes","No")))</f>
        <v>No</v>
      </c>
      <c r="Z333" t="str">
        <f>IF(MAIN!$F$3="Project to Date",IF(AND(A333&gt;=SETTINGS!$B$4,A333&lt;MAIN!$B$3),"Yes",IF(AND(A333=MAIN!$B$3,E333&lt;=MAIN!$L$3),"Yes","No")),IF(OR(MAIN!$F$3="Full Year",MAIN!$D$3="All"),"Yes",IF(MAIN!$F$3="Monthly",IF(E333=MAIN!$L$3,"Yes","No"),IF(E333&lt;=MAIN!$L$3,"Yes","No"))))</f>
        <v>Yes</v>
      </c>
      <c r="AA333" t="str">
        <f t="shared" si="35"/>
        <v>No</v>
      </c>
    </row>
    <row r="334" spans="1:27" x14ac:dyDescent="0.3">
      <c r="A334">
        <f>INDEX(SETTINGS!$A$15:$A$24,$B334)</f>
        <v>2026</v>
      </c>
      <c r="B334">
        <v>2</v>
      </c>
      <c r="C334" t="str">
        <f>IF(AND(A334&gt;=SETTINGS!$B$4,A334&lt;=SETTINGS!$B$5),"Yes","No")</f>
        <v>Yes</v>
      </c>
      <c r="D334" t="str">
        <f>IFERROR(INDEX(SETTINGS!$C$15:$C$24,MATCH(A334,SETTINGS!$A$15:$A$24,0)),"No")</f>
        <v>Yes</v>
      </c>
      <c r="E334">
        <v>6</v>
      </c>
      <c r="F334" t="s">
        <v>39</v>
      </c>
      <c r="G334">
        <v>140</v>
      </c>
      <c r="H334" t="s">
        <v>103</v>
      </c>
      <c r="I334" t="s">
        <v>22</v>
      </c>
      <c r="J334" t="s">
        <v>23</v>
      </c>
      <c r="K334" t="s">
        <v>3</v>
      </c>
      <c r="L334" s="36">
        <f ca="1">IF(C334&lt;&gt;"Yes",0,IF(A334=2025,N('2025'!D140),IF(A334=2026,N('2026'!D140),IF(A334=2027,N('2027'!D140),IF(A334=2028,N('2028'!D140),IF(A334=2029,N('2029'!D140),IF(A334=2030,N('2030'!D140),IF(A334=2031,N('2031'!D140),IF(A334=2032,N('2032'!D140),IF(A334=2033,N('2033'!D140),IF(A334=2034,N('2034'!D140),IFERROR(N(INDIRECT("'"&amp;A334&amp;"'!D"&amp;G334)),0))))))))))))</f>
        <v>55</v>
      </c>
      <c r="M334" s="36">
        <f>IFERROR(IF(NOT(ISBLANK(KPI_TARGETS!$H$14)),KPI_TARGETS!$H$14,IF(NOT(ISBLANK(KPI_TARGETS!$F$14)),KPI_TARGETS!$F$14,"")),"")</f>
        <v>35</v>
      </c>
      <c r="N334" s="36" t="str">
        <f>IFERROR(KPI_TARGETS!$E$14,"Higher is better")</f>
        <v>Higher is better</v>
      </c>
      <c r="O334" s="37">
        <f t="shared" ca="1" si="30"/>
        <v>1.5714285714285714</v>
      </c>
      <c r="P334" t="str">
        <f t="shared" ca="1" si="31"/>
        <v>Green</v>
      </c>
      <c r="Q334" s="36">
        <f t="shared" ca="1" si="32"/>
        <v>20</v>
      </c>
      <c r="R334" s="36" t="str">
        <f>""</f>
        <v/>
      </c>
      <c r="S334" s="36" t="str">
        <f>""</f>
        <v/>
      </c>
      <c r="T334" s="36" t="str">
        <f>""</f>
        <v/>
      </c>
      <c r="U334" s="36" t="str">
        <f>""</f>
        <v/>
      </c>
      <c r="V334" s="36" t="str">
        <f>""</f>
        <v/>
      </c>
      <c r="W334" s="36">
        <f t="shared" si="33"/>
        <v>1</v>
      </c>
      <c r="X334" t="str">
        <f t="shared" si="34"/>
        <v>OK</v>
      </c>
      <c r="Y334" t="str">
        <f>IF(MAIN!$H$3="Selected Year",IF(A334=MAIN!$B$3,"Yes","No"),IF(MAIN!$H$3="Included Years",IF(D334="Yes","Yes","No"),IF(C334="Yes","Yes","No")))</f>
        <v>No</v>
      </c>
      <c r="Z334" t="str">
        <f>IF(MAIN!$F$3="Project to Date",IF(AND(A334&gt;=SETTINGS!$B$4,A334&lt;MAIN!$B$3),"Yes",IF(AND(A334=MAIN!$B$3,E334&lt;=MAIN!$L$3),"Yes","No")),IF(OR(MAIN!$F$3="Full Year",MAIN!$D$3="All"),"Yes",IF(MAIN!$F$3="Monthly",IF(E334=MAIN!$L$3,"Yes","No"),IF(E334&lt;=MAIN!$L$3,"Yes","No"))))</f>
        <v>Yes</v>
      </c>
      <c r="AA334" t="str">
        <f t="shared" si="35"/>
        <v>No</v>
      </c>
    </row>
    <row r="335" spans="1:27" x14ac:dyDescent="0.3">
      <c r="A335">
        <f>INDEX(SETTINGS!$A$15:$A$24,$B335)</f>
        <v>2026</v>
      </c>
      <c r="B335">
        <v>2</v>
      </c>
      <c r="C335" t="str">
        <f>IF(AND(A335&gt;=SETTINGS!$B$4,A335&lt;=SETTINGS!$B$5),"Yes","No")</f>
        <v>Yes</v>
      </c>
      <c r="D335" t="str">
        <f>IFERROR(INDEX(SETTINGS!$C$15:$C$24,MATCH(A335,SETTINGS!$A$15:$A$24,0)),"No")</f>
        <v>Yes</v>
      </c>
      <c r="E335">
        <v>6</v>
      </c>
      <c r="F335" t="s">
        <v>39</v>
      </c>
      <c r="G335">
        <v>141</v>
      </c>
      <c r="H335" t="s">
        <v>104</v>
      </c>
      <c r="I335" t="s">
        <v>22</v>
      </c>
      <c r="J335" t="s">
        <v>24</v>
      </c>
      <c r="K335" t="s">
        <v>3</v>
      </c>
      <c r="L335" s="36">
        <f ca="1">IF(C335&lt;&gt;"Yes",0,IF(A335=2025,N('2025'!D141),IF(A335=2026,N('2026'!D141),IF(A335=2027,N('2027'!D141),IF(A335=2028,N('2028'!D141),IF(A335=2029,N('2029'!D141),IF(A335=2030,N('2030'!D141),IF(A335=2031,N('2031'!D141),IF(A335=2032,N('2032'!D141),IF(A335=2033,N('2033'!D141),IF(A335=2034,N('2034'!D141),IFERROR(N(INDIRECT("'"&amp;A335&amp;"'!D"&amp;G335)),0))))))))))))</f>
        <v>4</v>
      </c>
      <c r="M335" s="36">
        <f>IFERROR(IF(NOT(ISBLANK(KPI_TARGETS!$H$15)),KPI_TARGETS!$H$15,IF(NOT(ISBLANK(KPI_TARGETS!$F$15)),KPI_TARGETS!$F$15,"")),"")</f>
        <v>5</v>
      </c>
      <c r="N335" s="36" t="str">
        <f>IFERROR(KPI_TARGETS!$E$15,"Higher is better")</f>
        <v>Higher is better</v>
      </c>
      <c r="O335" s="37">
        <f t="shared" ca="1" si="30"/>
        <v>0.8</v>
      </c>
      <c r="P335" t="str">
        <f t="shared" ca="1" si="31"/>
        <v>Amber</v>
      </c>
      <c r="Q335" s="36">
        <f t="shared" ca="1" si="32"/>
        <v>-1</v>
      </c>
      <c r="R335" s="36" t="str">
        <f>""</f>
        <v/>
      </c>
      <c r="S335" s="36" t="str">
        <f>""</f>
        <v/>
      </c>
      <c r="T335" s="36" t="str">
        <f>""</f>
        <v/>
      </c>
      <c r="U335" s="36" t="str">
        <f>""</f>
        <v/>
      </c>
      <c r="V335" s="36" t="str">
        <f>""</f>
        <v/>
      </c>
      <c r="W335" s="36">
        <f t="shared" si="33"/>
        <v>1</v>
      </c>
      <c r="X335" t="str">
        <f t="shared" si="34"/>
        <v>OK</v>
      </c>
      <c r="Y335" t="str">
        <f>IF(MAIN!$H$3="Selected Year",IF(A335=MAIN!$B$3,"Yes","No"),IF(MAIN!$H$3="Included Years",IF(D335="Yes","Yes","No"),IF(C335="Yes","Yes","No")))</f>
        <v>No</v>
      </c>
      <c r="Z335" t="str">
        <f>IF(MAIN!$F$3="Project to Date",IF(AND(A335&gt;=SETTINGS!$B$4,A335&lt;MAIN!$B$3),"Yes",IF(AND(A335=MAIN!$B$3,E335&lt;=MAIN!$L$3),"Yes","No")),IF(OR(MAIN!$F$3="Full Year",MAIN!$D$3="All"),"Yes",IF(MAIN!$F$3="Monthly",IF(E335=MAIN!$L$3,"Yes","No"),IF(E335&lt;=MAIN!$L$3,"Yes","No"))))</f>
        <v>Yes</v>
      </c>
      <c r="AA335" t="str">
        <f t="shared" si="35"/>
        <v>No</v>
      </c>
    </row>
    <row r="336" spans="1:27" x14ac:dyDescent="0.3">
      <c r="A336">
        <f>INDEX(SETTINGS!$A$15:$A$24,$B336)</f>
        <v>2026</v>
      </c>
      <c r="B336">
        <v>2</v>
      </c>
      <c r="C336" t="str">
        <f>IF(AND(A336&gt;=SETTINGS!$B$4,A336&lt;=SETTINGS!$B$5),"Yes","No")</f>
        <v>Yes</v>
      </c>
      <c r="D336" t="str">
        <f>IFERROR(INDEX(SETTINGS!$C$15:$C$24,MATCH(A336,SETTINGS!$A$15:$A$24,0)),"No")</f>
        <v>Yes</v>
      </c>
      <c r="E336">
        <v>6</v>
      </c>
      <c r="F336" t="s">
        <v>39</v>
      </c>
      <c r="G336">
        <v>142</v>
      </c>
      <c r="H336" t="s">
        <v>105</v>
      </c>
      <c r="I336" t="s">
        <v>22</v>
      </c>
      <c r="J336" t="s">
        <v>25</v>
      </c>
      <c r="K336" t="s">
        <v>3</v>
      </c>
      <c r="L336" s="36">
        <f ca="1">IF(C336&lt;&gt;"Yes",0,IF(A336=2025,N('2025'!D142),IF(A336=2026,N('2026'!D142),IF(A336=2027,N('2027'!D142),IF(A336=2028,N('2028'!D142),IF(A336=2029,N('2029'!D142),IF(A336=2030,N('2030'!D142),IF(A336=2031,N('2031'!D142),IF(A336=2032,N('2032'!D142),IF(A336=2033,N('2033'!D142),IF(A336=2034,N('2034'!D142),IFERROR(N(INDIRECT("'"&amp;A336&amp;"'!D"&amp;G336)),0))))))))))))</f>
        <v>4</v>
      </c>
      <c r="M336" s="36">
        <f>IFERROR(IF(NOT(ISBLANK(KPI_TARGETS!$H$16)),KPI_TARGETS!$H$16,IF(NOT(ISBLANK(KPI_TARGETS!$F$16)),KPI_TARGETS!$F$16,"")),"")</f>
        <v>4</v>
      </c>
      <c r="N336" s="36" t="str">
        <f>IFERROR(KPI_TARGETS!$E$16,"Higher is better")</f>
        <v>Higher is better</v>
      </c>
      <c r="O336" s="37">
        <f t="shared" ca="1" si="30"/>
        <v>1</v>
      </c>
      <c r="P336" t="str">
        <f t="shared" ca="1" si="31"/>
        <v>Green</v>
      </c>
      <c r="Q336" s="36">
        <f t="shared" ca="1" si="32"/>
        <v>0</v>
      </c>
      <c r="R336" s="36" t="str">
        <f>""</f>
        <v/>
      </c>
      <c r="S336" s="36" t="str">
        <f>""</f>
        <v/>
      </c>
      <c r="T336" s="36" t="str">
        <f>""</f>
        <v/>
      </c>
      <c r="U336" s="36" t="str">
        <f>""</f>
        <v/>
      </c>
      <c r="V336" s="36" t="str">
        <f>""</f>
        <v/>
      </c>
      <c r="W336" s="36">
        <f t="shared" si="33"/>
        <v>1</v>
      </c>
      <c r="X336" t="str">
        <f t="shared" si="34"/>
        <v>OK</v>
      </c>
      <c r="Y336" t="str">
        <f>IF(MAIN!$H$3="Selected Year",IF(A336=MAIN!$B$3,"Yes","No"),IF(MAIN!$H$3="Included Years",IF(D336="Yes","Yes","No"),IF(C336="Yes","Yes","No")))</f>
        <v>No</v>
      </c>
      <c r="Z336" t="str">
        <f>IF(MAIN!$F$3="Project to Date",IF(AND(A336&gt;=SETTINGS!$B$4,A336&lt;MAIN!$B$3),"Yes",IF(AND(A336=MAIN!$B$3,E336&lt;=MAIN!$L$3),"Yes","No")),IF(OR(MAIN!$F$3="Full Year",MAIN!$D$3="All"),"Yes",IF(MAIN!$F$3="Monthly",IF(E336=MAIN!$L$3,"Yes","No"),IF(E336&lt;=MAIN!$L$3,"Yes","No"))))</f>
        <v>Yes</v>
      </c>
      <c r="AA336" t="str">
        <f t="shared" si="35"/>
        <v>No</v>
      </c>
    </row>
    <row r="337" spans="1:27" x14ac:dyDescent="0.3">
      <c r="A337">
        <f>INDEX(SETTINGS!$A$15:$A$24,$B337)</f>
        <v>2026</v>
      </c>
      <c r="B337">
        <v>2</v>
      </c>
      <c r="C337" t="str">
        <f>IF(AND(A337&gt;=SETTINGS!$B$4,A337&lt;=SETTINGS!$B$5),"Yes","No")</f>
        <v>Yes</v>
      </c>
      <c r="D337" t="str">
        <f>IFERROR(INDEX(SETTINGS!$C$15:$C$24,MATCH(A337,SETTINGS!$A$15:$A$24,0)),"No")</f>
        <v>Yes</v>
      </c>
      <c r="E337">
        <v>6</v>
      </c>
      <c r="F337" t="s">
        <v>39</v>
      </c>
      <c r="G337">
        <v>143</v>
      </c>
      <c r="H337" t="s">
        <v>106</v>
      </c>
      <c r="I337" t="s">
        <v>22</v>
      </c>
      <c r="J337" t="s">
        <v>26</v>
      </c>
      <c r="K337" t="s">
        <v>3</v>
      </c>
      <c r="L337" s="36">
        <f ca="1">IF(C337&lt;&gt;"Yes",0,IF(A337=2025,N('2025'!D143),IF(A337=2026,N('2026'!D143),IF(A337=2027,N('2027'!D143),IF(A337=2028,N('2028'!D143),IF(A337=2029,N('2029'!D143),IF(A337=2030,N('2030'!D143),IF(A337=2031,N('2031'!D143),IF(A337=2032,N('2032'!D143),IF(A337=2033,N('2033'!D143),IF(A337=2034,N('2034'!D143),IFERROR(N(INDIRECT("'"&amp;A337&amp;"'!D"&amp;G337)),0))))))))))))</f>
        <v>20</v>
      </c>
      <c r="M337" s="36">
        <f>IFERROR(IF(NOT(ISBLANK(KPI_TARGETS!$H$17)),KPI_TARGETS!$H$17,IF(NOT(ISBLANK(KPI_TARGETS!$F$17)),KPI_TARGETS!$F$17,"")),"")</f>
        <v>12</v>
      </c>
      <c r="N337" s="36" t="str">
        <f>IFERROR(KPI_TARGETS!$E$17,"Higher is better")</f>
        <v>Higher is better</v>
      </c>
      <c r="O337" s="37">
        <f t="shared" ca="1" si="30"/>
        <v>1.6666666666666667</v>
      </c>
      <c r="P337" t="str">
        <f t="shared" ca="1" si="31"/>
        <v>Green</v>
      </c>
      <c r="Q337" s="36">
        <f t="shared" ca="1" si="32"/>
        <v>8</v>
      </c>
      <c r="R337" s="36" t="str">
        <f>""</f>
        <v/>
      </c>
      <c r="S337" s="36" t="str">
        <f>""</f>
        <v/>
      </c>
      <c r="T337" s="36" t="str">
        <f>""</f>
        <v/>
      </c>
      <c r="U337" s="36" t="str">
        <f>""</f>
        <v/>
      </c>
      <c r="V337" s="36" t="str">
        <f>""</f>
        <v/>
      </c>
      <c r="W337" s="36">
        <f t="shared" si="33"/>
        <v>1</v>
      </c>
      <c r="X337" t="str">
        <f t="shared" si="34"/>
        <v>OK</v>
      </c>
      <c r="Y337" t="str">
        <f>IF(MAIN!$H$3="Selected Year",IF(A337=MAIN!$B$3,"Yes","No"),IF(MAIN!$H$3="Included Years",IF(D337="Yes","Yes","No"),IF(C337="Yes","Yes","No")))</f>
        <v>No</v>
      </c>
      <c r="Z337" t="str">
        <f>IF(MAIN!$F$3="Project to Date",IF(AND(A337&gt;=SETTINGS!$B$4,A337&lt;MAIN!$B$3),"Yes",IF(AND(A337=MAIN!$B$3,E337&lt;=MAIN!$L$3),"Yes","No")),IF(OR(MAIN!$F$3="Full Year",MAIN!$D$3="All"),"Yes",IF(MAIN!$F$3="Monthly",IF(E337=MAIN!$L$3,"Yes","No"),IF(E337&lt;=MAIN!$L$3,"Yes","No"))))</f>
        <v>Yes</v>
      </c>
      <c r="AA337" t="str">
        <f t="shared" si="35"/>
        <v>No</v>
      </c>
    </row>
    <row r="338" spans="1:27" x14ac:dyDescent="0.3">
      <c r="A338">
        <f>INDEX(SETTINGS!$A$15:$A$24,$B338)</f>
        <v>2026</v>
      </c>
      <c r="B338">
        <v>2</v>
      </c>
      <c r="C338" t="str">
        <f>IF(AND(A338&gt;=SETTINGS!$B$4,A338&lt;=SETTINGS!$B$5),"Yes","No")</f>
        <v>Yes</v>
      </c>
      <c r="D338" t="str">
        <f>IFERROR(INDEX(SETTINGS!$C$15:$C$24,MATCH(A338,SETTINGS!$A$15:$A$24,0)),"No")</f>
        <v>Yes</v>
      </c>
      <c r="E338">
        <v>6</v>
      </c>
      <c r="F338" t="s">
        <v>39</v>
      </c>
      <c r="G338">
        <v>144</v>
      </c>
      <c r="H338" t="s">
        <v>107</v>
      </c>
      <c r="I338" t="s">
        <v>22</v>
      </c>
      <c r="J338" t="s">
        <v>27</v>
      </c>
      <c r="K338" t="s">
        <v>3</v>
      </c>
      <c r="L338" s="36">
        <f ca="1">IF(C338&lt;&gt;"Yes",0,IF(A338=2025,N('2025'!D144),IF(A338=2026,N('2026'!D144),IF(A338=2027,N('2027'!D144),IF(A338=2028,N('2028'!D144),IF(A338=2029,N('2029'!D144),IF(A338=2030,N('2030'!D144),IF(A338=2031,N('2031'!D144),IF(A338=2032,N('2032'!D144),IF(A338=2033,N('2033'!D144),IF(A338=2034,N('2034'!D144),IFERROR(N(INDIRECT("'"&amp;A338&amp;"'!D"&amp;G338)),0))))))))))))</f>
        <v>4</v>
      </c>
      <c r="M338" s="36">
        <f>IFERROR(IF(NOT(ISBLANK(KPI_TARGETS!$H$18)),KPI_TARGETS!$H$18,IF(NOT(ISBLANK(KPI_TARGETS!$F$18)),KPI_TARGETS!$F$18,"")),"")</f>
        <v>4</v>
      </c>
      <c r="N338" s="36" t="str">
        <f>IFERROR(KPI_TARGETS!$E$18,"Higher is better")</f>
        <v>Higher is better</v>
      </c>
      <c r="O338" s="37">
        <f t="shared" ca="1" si="30"/>
        <v>1</v>
      </c>
      <c r="P338" t="str">
        <f t="shared" ca="1" si="31"/>
        <v>Green</v>
      </c>
      <c r="Q338" s="36">
        <f t="shared" ca="1" si="32"/>
        <v>0</v>
      </c>
      <c r="R338" s="36" t="str">
        <f>""</f>
        <v/>
      </c>
      <c r="S338" s="36" t="str">
        <f>""</f>
        <v/>
      </c>
      <c r="T338" s="36" t="str">
        <f>""</f>
        <v/>
      </c>
      <c r="U338" s="36" t="str">
        <f>""</f>
        <v/>
      </c>
      <c r="V338" s="36" t="str">
        <f>""</f>
        <v/>
      </c>
      <c r="W338" s="36">
        <f t="shared" si="33"/>
        <v>1</v>
      </c>
      <c r="X338" t="str">
        <f t="shared" si="34"/>
        <v>OK</v>
      </c>
      <c r="Y338" t="str">
        <f>IF(MAIN!$H$3="Selected Year",IF(A338=MAIN!$B$3,"Yes","No"),IF(MAIN!$H$3="Included Years",IF(D338="Yes","Yes","No"),IF(C338="Yes","Yes","No")))</f>
        <v>No</v>
      </c>
      <c r="Z338" t="str">
        <f>IF(MAIN!$F$3="Project to Date",IF(AND(A338&gt;=SETTINGS!$B$4,A338&lt;MAIN!$B$3),"Yes",IF(AND(A338=MAIN!$B$3,E338&lt;=MAIN!$L$3),"Yes","No")),IF(OR(MAIN!$F$3="Full Year",MAIN!$D$3="All"),"Yes",IF(MAIN!$F$3="Monthly",IF(E338=MAIN!$L$3,"Yes","No"),IF(E338&lt;=MAIN!$L$3,"Yes","No"))))</f>
        <v>Yes</v>
      </c>
      <c r="AA338" t="str">
        <f t="shared" si="35"/>
        <v>No</v>
      </c>
    </row>
    <row r="339" spans="1:27" x14ac:dyDescent="0.3">
      <c r="A339">
        <f>INDEX(SETTINGS!$A$15:$A$24,$B339)</f>
        <v>2026</v>
      </c>
      <c r="B339">
        <v>2</v>
      </c>
      <c r="C339" t="str">
        <f>IF(AND(A339&gt;=SETTINGS!$B$4,A339&lt;=SETTINGS!$B$5),"Yes","No")</f>
        <v>Yes</v>
      </c>
      <c r="D339" t="str">
        <f>IFERROR(INDEX(SETTINGS!$C$15:$C$24,MATCH(A339,SETTINGS!$A$15:$A$24,0)),"No")</f>
        <v>Yes</v>
      </c>
      <c r="E339">
        <v>6</v>
      </c>
      <c r="F339" t="s">
        <v>39</v>
      </c>
      <c r="G339">
        <v>145</v>
      </c>
      <c r="H339" t="s">
        <v>108</v>
      </c>
      <c r="I339" t="s">
        <v>22</v>
      </c>
      <c r="J339" t="s">
        <v>28</v>
      </c>
      <c r="K339" t="s">
        <v>3</v>
      </c>
      <c r="L339" s="36">
        <f ca="1">IF(C339&lt;&gt;"Yes",0,IF(A339=2025,N('2025'!D145),IF(A339=2026,N('2026'!D145),IF(A339=2027,N('2027'!D145),IF(A339=2028,N('2028'!D145),IF(A339=2029,N('2029'!D145),IF(A339=2030,N('2030'!D145),IF(A339=2031,N('2031'!D145),IF(A339=2032,N('2032'!D145),IF(A339=2033,N('2033'!D145),IF(A339=2034,N('2034'!D145),IFERROR(N(INDIRECT("'"&amp;A339&amp;"'!D"&amp;G339)),0))))))))))))</f>
        <v>8</v>
      </c>
      <c r="M339" s="36">
        <f>IFERROR(IF(NOT(ISBLANK(KPI_TARGETS!$H$19)),KPI_TARGETS!$H$19,IF(NOT(ISBLANK(KPI_TARGETS!$F$19)),KPI_TARGETS!$F$19,"")),"")</f>
        <v>16</v>
      </c>
      <c r="N339" s="36" t="str">
        <f>IFERROR(KPI_TARGETS!$E$19,"Higher is better")</f>
        <v>Higher is better</v>
      </c>
      <c r="O339" s="37">
        <f t="shared" ca="1" si="30"/>
        <v>0.5</v>
      </c>
      <c r="P339" t="str">
        <f t="shared" ca="1" si="31"/>
        <v>Red</v>
      </c>
      <c r="Q339" s="36">
        <f t="shared" ca="1" si="32"/>
        <v>-8</v>
      </c>
      <c r="R339" s="36" t="str">
        <f>""</f>
        <v/>
      </c>
      <c r="S339" s="36" t="str">
        <f>""</f>
        <v/>
      </c>
      <c r="T339" s="36" t="str">
        <f>""</f>
        <v/>
      </c>
      <c r="U339" s="36" t="str">
        <f>""</f>
        <v/>
      </c>
      <c r="V339" s="36" t="str">
        <f>""</f>
        <v/>
      </c>
      <c r="W339" s="36">
        <f t="shared" si="33"/>
        <v>1</v>
      </c>
      <c r="X339" t="str">
        <f t="shared" si="34"/>
        <v>OK</v>
      </c>
      <c r="Y339" t="str">
        <f>IF(MAIN!$H$3="Selected Year",IF(A339=MAIN!$B$3,"Yes","No"),IF(MAIN!$H$3="Included Years",IF(D339="Yes","Yes","No"),IF(C339="Yes","Yes","No")))</f>
        <v>No</v>
      </c>
      <c r="Z339" t="str">
        <f>IF(MAIN!$F$3="Project to Date",IF(AND(A339&gt;=SETTINGS!$B$4,A339&lt;MAIN!$B$3),"Yes",IF(AND(A339=MAIN!$B$3,E339&lt;=MAIN!$L$3),"Yes","No")),IF(OR(MAIN!$F$3="Full Year",MAIN!$D$3="All"),"Yes",IF(MAIN!$F$3="Monthly",IF(E339=MAIN!$L$3,"Yes","No"),IF(E339&lt;=MAIN!$L$3,"Yes","No"))))</f>
        <v>Yes</v>
      </c>
      <c r="AA339" t="str">
        <f t="shared" si="35"/>
        <v>No</v>
      </c>
    </row>
    <row r="340" spans="1:27" x14ac:dyDescent="0.3">
      <c r="A340">
        <f>INDEX(SETTINGS!$A$15:$A$24,$B340)</f>
        <v>2026</v>
      </c>
      <c r="B340">
        <v>2</v>
      </c>
      <c r="C340" t="str">
        <f>IF(AND(A340&gt;=SETTINGS!$B$4,A340&lt;=SETTINGS!$B$5),"Yes","No")</f>
        <v>Yes</v>
      </c>
      <c r="D340" t="str">
        <f>IFERROR(INDEX(SETTINGS!$C$15:$C$24,MATCH(A340,SETTINGS!$A$15:$A$24,0)),"No")</f>
        <v>Yes</v>
      </c>
      <c r="E340">
        <v>6</v>
      </c>
      <c r="F340" t="s">
        <v>39</v>
      </c>
      <c r="G340">
        <v>146</v>
      </c>
      <c r="H340" t="s">
        <v>109</v>
      </c>
      <c r="I340" t="s">
        <v>22</v>
      </c>
      <c r="J340" t="s">
        <v>29</v>
      </c>
      <c r="K340" t="s">
        <v>3</v>
      </c>
      <c r="L340" s="36">
        <f ca="1">IF(C340&lt;&gt;"Yes",0,IF(A340=2025,N('2025'!D146),IF(A340=2026,N('2026'!D146),IF(A340=2027,N('2027'!D146),IF(A340=2028,N('2028'!D146),IF(A340=2029,N('2029'!D146),IF(A340=2030,N('2030'!D146),IF(A340=2031,N('2031'!D146),IF(A340=2032,N('2032'!D146),IF(A340=2033,N('2033'!D146),IF(A340=2034,N('2034'!D146),IFERROR(N(INDIRECT("'"&amp;A340&amp;"'!D"&amp;G340)),0))))))))))))</f>
        <v>1</v>
      </c>
      <c r="M340" s="36">
        <f>IFERROR(IF(NOT(ISBLANK(KPI_TARGETS!$H$20)),KPI_TARGETS!$H$20,IF(NOT(ISBLANK(KPI_TARGETS!$F$20)),KPI_TARGETS!$F$20,"")),"")</f>
        <v>1</v>
      </c>
      <c r="N340" s="36" t="str">
        <f>IFERROR(KPI_TARGETS!$E$20,"Higher is better")</f>
        <v>Higher is better</v>
      </c>
      <c r="O340" s="37">
        <f t="shared" ca="1" si="30"/>
        <v>1</v>
      </c>
      <c r="P340" t="str">
        <f t="shared" ca="1" si="31"/>
        <v>Green</v>
      </c>
      <c r="Q340" s="36">
        <f t="shared" ca="1" si="32"/>
        <v>0</v>
      </c>
      <c r="R340" s="36" t="str">
        <f>""</f>
        <v/>
      </c>
      <c r="S340" s="36" t="str">
        <f>""</f>
        <v/>
      </c>
      <c r="T340" s="36" t="str">
        <f>""</f>
        <v/>
      </c>
      <c r="U340" s="36" t="str">
        <f>""</f>
        <v/>
      </c>
      <c r="V340" s="36" t="str">
        <f>""</f>
        <v/>
      </c>
      <c r="W340" s="36">
        <f t="shared" si="33"/>
        <v>1</v>
      </c>
      <c r="X340" t="str">
        <f t="shared" si="34"/>
        <v>OK</v>
      </c>
      <c r="Y340" t="str">
        <f>IF(MAIN!$H$3="Selected Year",IF(A340=MAIN!$B$3,"Yes","No"),IF(MAIN!$H$3="Included Years",IF(D340="Yes","Yes","No"),IF(C340="Yes","Yes","No")))</f>
        <v>No</v>
      </c>
      <c r="Z340" t="str">
        <f>IF(MAIN!$F$3="Project to Date",IF(AND(A340&gt;=SETTINGS!$B$4,A340&lt;MAIN!$B$3),"Yes",IF(AND(A340=MAIN!$B$3,E340&lt;=MAIN!$L$3),"Yes","No")),IF(OR(MAIN!$F$3="Full Year",MAIN!$D$3="All"),"Yes",IF(MAIN!$F$3="Monthly",IF(E340=MAIN!$L$3,"Yes","No"),IF(E340&lt;=MAIN!$L$3,"Yes","No"))))</f>
        <v>Yes</v>
      </c>
      <c r="AA340" t="str">
        <f t="shared" si="35"/>
        <v>No</v>
      </c>
    </row>
    <row r="341" spans="1:27" x14ac:dyDescent="0.3">
      <c r="A341">
        <f>INDEX(SETTINGS!$A$15:$A$24,$B341)</f>
        <v>2026</v>
      </c>
      <c r="B341">
        <v>2</v>
      </c>
      <c r="C341" t="str">
        <f>IF(AND(A341&gt;=SETTINGS!$B$4,A341&lt;=SETTINGS!$B$5),"Yes","No")</f>
        <v>Yes</v>
      </c>
      <c r="D341" t="str">
        <f>IFERROR(INDEX(SETTINGS!$C$15:$C$24,MATCH(A341,SETTINGS!$A$15:$A$24,0)),"No")</f>
        <v>Yes</v>
      </c>
      <c r="E341">
        <v>6</v>
      </c>
      <c r="F341" t="s">
        <v>39</v>
      </c>
      <c r="G341">
        <v>148</v>
      </c>
      <c r="H341" t="s">
        <v>110</v>
      </c>
      <c r="I341" t="s">
        <v>30</v>
      </c>
      <c r="J341" t="s">
        <v>31</v>
      </c>
      <c r="K341" t="s">
        <v>3</v>
      </c>
      <c r="L341" s="36">
        <f ca="1">IF(C341&lt;&gt;"Yes",0,IF(A341=2025,N('2025'!D148),IF(A341=2026,N('2026'!D148),IF(A341=2027,N('2027'!D148),IF(A341=2028,N('2028'!D148),IF(A341=2029,N('2029'!D148),IF(A341=2030,N('2030'!D148),IF(A341=2031,N('2031'!D148),IF(A341=2032,N('2032'!D148),IF(A341=2033,N('2033'!D148),IF(A341=2034,N('2034'!D148),IFERROR(N(INDIRECT("'"&amp;A341&amp;"'!D"&amp;G341)),0))))))))))))</f>
        <v>0</v>
      </c>
      <c r="M341" s="36">
        <f>IFERROR(IF(NOT(ISBLANK(KPI_TARGETS!$H$21)),KPI_TARGETS!$H$21,IF(NOT(ISBLANK(KPI_TARGETS!$F$21)),KPI_TARGETS!$F$21,"")),"")</f>
        <v>0</v>
      </c>
      <c r="N341" s="36" t="str">
        <f>IFERROR(KPI_TARGETS!$E$21,"Higher is better")</f>
        <v>Lower is better</v>
      </c>
      <c r="O341" s="37">
        <f t="shared" ca="1" si="30"/>
        <v>1</v>
      </c>
      <c r="P341" t="str">
        <f t="shared" ca="1" si="31"/>
        <v>Green</v>
      </c>
      <c r="Q341" s="36">
        <f t="shared" ca="1" si="32"/>
        <v>0</v>
      </c>
      <c r="R341" s="36" t="str">
        <f>""</f>
        <v/>
      </c>
      <c r="S341" s="36" t="str">
        <f>""</f>
        <v/>
      </c>
      <c r="T341" s="36" t="str">
        <f>""</f>
        <v/>
      </c>
      <c r="U341" s="36" t="str">
        <f>""</f>
        <v/>
      </c>
      <c r="V341" s="36" t="str">
        <f>""</f>
        <v/>
      </c>
      <c r="W341" s="36">
        <f t="shared" si="33"/>
        <v>1</v>
      </c>
      <c r="X341" t="str">
        <f t="shared" si="34"/>
        <v>OK</v>
      </c>
      <c r="Y341" t="str">
        <f>IF(MAIN!$H$3="Selected Year",IF(A341=MAIN!$B$3,"Yes","No"),IF(MAIN!$H$3="Included Years",IF(D341="Yes","Yes","No"),IF(C341="Yes","Yes","No")))</f>
        <v>No</v>
      </c>
      <c r="Z341" t="str">
        <f>IF(MAIN!$F$3="Project to Date",IF(AND(A341&gt;=SETTINGS!$B$4,A341&lt;MAIN!$B$3),"Yes",IF(AND(A341=MAIN!$B$3,E341&lt;=MAIN!$L$3),"Yes","No")),IF(OR(MAIN!$F$3="Full Year",MAIN!$D$3="All"),"Yes",IF(MAIN!$F$3="Monthly",IF(E341=MAIN!$L$3,"Yes","No"),IF(E341&lt;=MAIN!$L$3,"Yes","No"))))</f>
        <v>Yes</v>
      </c>
      <c r="AA341" t="str">
        <f t="shared" si="35"/>
        <v>No</v>
      </c>
    </row>
    <row r="342" spans="1:27" x14ac:dyDescent="0.3">
      <c r="A342">
        <f>INDEX(SETTINGS!$A$15:$A$24,$B342)</f>
        <v>2026</v>
      </c>
      <c r="B342">
        <v>2</v>
      </c>
      <c r="C342" t="str">
        <f>IF(AND(A342&gt;=SETTINGS!$B$4,A342&lt;=SETTINGS!$B$5),"Yes","No")</f>
        <v>Yes</v>
      </c>
      <c r="D342" t="str">
        <f>IFERROR(INDEX(SETTINGS!$C$15:$C$24,MATCH(A342,SETTINGS!$A$15:$A$24,0)),"No")</f>
        <v>Yes</v>
      </c>
      <c r="E342">
        <v>6</v>
      </c>
      <c r="F342" t="s">
        <v>39</v>
      </c>
      <c r="G342">
        <v>149</v>
      </c>
      <c r="H342" t="s">
        <v>111</v>
      </c>
      <c r="I342" t="s">
        <v>30</v>
      </c>
      <c r="J342" t="s">
        <v>32</v>
      </c>
      <c r="K342" t="s">
        <v>3</v>
      </c>
      <c r="L342" s="36">
        <f ca="1">IF(C342&lt;&gt;"Yes",0,IF(A342=2025,N('2025'!D149),IF(A342=2026,N('2026'!D149),IF(A342=2027,N('2027'!D149),IF(A342=2028,N('2028'!D149),IF(A342=2029,N('2029'!D149),IF(A342=2030,N('2030'!D149),IF(A342=2031,N('2031'!D149),IF(A342=2032,N('2032'!D149),IF(A342=2033,N('2033'!D149),IF(A342=2034,N('2034'!D149),IFERROR(N(INDIRECT("'"&amp;A342&amp;"'!D"&amp;G342)),0))))))))))))</f>
        <v>1</v>
      </c>
      <c r="M342" s="36">
        <f>IFERROR(IF(NOT(ISBLANK(KPI_TARGETS!$H$22)),KPI_TARGETS!$H$22,IF(NOT(ISBLANK(KPI_TARGETS!$F$22)),KPI_TARGETS!$F$22,"")),"")</f>
        <v>1</v>
      </c>
      <c r="N342" s="36" t="str">
        <f>IFERROR(KPI_TARGETS!$E$22,"Higher is better")</f>
        <v>Higher is better</v>
      </c>
      <c r="O342" s="37">
        <f t="shared" ca="1" si="30"/>
        <v>1</v>
      </c>
      <c r="P342" t="str">
        <f t="shared" ca="1" si="31"/>
        <v>Green</v>
      </c>
      <c r="Q342" s="36">
        <f t="shared" ca="1" si="32"/>
        <v>0</v>
      </c>
      <c r="R342" s="36" t="str">
        <f>""</f>
        <v/>
      </c>
      <c r="S342" s="36" t="str">
        <f>""</f>
        <v/>
      </c>
      <c r="T342" s="36" t="str">
        <f>""</f>
        <v/>
      </c>
      <c r="U342" s="36" t="str">
        <f>""</f>
        <v/>
      </c>
      <c r="V342" s="36" t="str">
        <f>""</f>
        <v/>
      </c>
      <c r="W342" s="36">
        <f t="shared" si="33"/>
        <v>1</v>
      </c>
      <c r="X342" t="str">
        <f t="shared" si="34"/>
        <v>OK</v>
      </c>
      <c r="Y342" t="str">
        <f>IF(MAIN!$H$3="Selected Year",IF(A342=MAIN!$B$3,"Yes","No"),IF(MAIN!$H$3="Included Years",IF(D342="Yes","Yes","No"),IF(C342="Yes","Yes","No")))</f>
        <v>No</v>
      </c>
      <c r="Z342" t="str">
        <f>IF(MAIN!$F$3="Project to Date",IF(AND(A342&gt;=SETTINGS!$B$4,A342&lt;MAIN!$B$3),"Yes",IF(AND(A342=MAIN!$B$3,E342&lt;=MAIN!$L$3),"Yes","No")),IF(OR(MAIN!$F$3="Full Year",MAIN!$D$3="All"),"Yes",IF(MAIN!$F$3="Monthly",IF(E342=MAIN!$L$3,"Yes","No"),IF(E342&lt;=MAIN!$L$3,"Yes","No"))))</f>
        <v>Yes</v>
      </c>
      <c r="AA342" t="str">
        <f t="shared" si="35"/>
        <v>No</v>
      </c>
    </row>
    <row r="343" spans="1:27" x14ac:dyDescent="0.3">
      <c r="A343">
        <f>INDEX(SETTINGS!$A$15:$A$24,$B343)</f>
        <v>2026</v>
      </c>
      <c r="B343">
        <v>2</v>
      </c>
      <c r="C343" t="str">
        <f>IF(AND(A343&gt;=SETTINGS!$B$4,A343&lt;=SETTINGS!$B$5),"Yes","No")</f>
        <v>Yes</v>
      </c>
      <c r="D343" t="str">
        <f>IFERROR(INDEX(SETTINGS!$C$15:$C$24,MATCH(A343,SETTINGS!$A$15:$A$24,0)),"No")</f>
        <v>Yes</v>
      </c>
      <c r="E343">
        <v>6</v>
      </c>
      <c r="F343" t="s">
        <v>39</v>
      </c>
      <c r="G343">
        <v>150</v>
      </c>
      <c r="H343" t="s">
        <v>112</v>
      </c>
      <c r="I343" t="s">
        <v>30</v>
      </c>
      <c r="J343" t="s">
        <v>33</v>
      </c>
      <c r="K343" t="s">
        <v>34</v>
      </c>
      <c r="L343" s="36">
        <f ca="1">IF(C343&lt;&gt;"Yes",0,IF(A343=2025,N('2025'!D150),IF(A343=2026,N('2026'!D150),IF(A343=2027,N('2027'!D150),IF(A343=2028,N('2028'!D150),IF(A343=2029,N('2029'!D150),IF(A343=2030,N('2030'!D150),IF(A343=2031,N('2031'!D150),IF(A343=2032,N('2032'!D150),IF(A343=2033,N('2033'!D150),IF(A343=2034,N('2034'!D150),IFERROR(N(INDIRECT("'"&amp;A343&amp;"'!D"&amp;G343)),0))))))))))))</f>
        <v>1</v>
      </c>
      <c r="M343" s="36">
        <f>IFERROR(IF(NOT(ISBLANK(KPI_TARGETS!$H$23)),KPI_TARGETS!$H$23,IF(NOT(ISBLANK(KPI_TARGETS!$F$23)),KPI_TARGETS!$F$23,"")),"")</f>
        <v>1</v>
      </c>
      <c r="N343" s="36" t="str">
        <f>IFERROR(KPI_TARGETS!$E$23,"Higher is better")</f>
        <v>Higher is better</v>
      </c>
      <c r="O343" s="37">
        <f t="shared" ca="1" si="30"/>
        <v>1</v>
      </c>
      <c r="P343" t="str">
        <f t="shared" ca="1" si="31"/>
        <v>Green</v>
      </c>
      <c r="Q343" s="36">
        <f t="shared" ca="1" si="32"/>
        <v>0</v>
      </c>
      <c r="R343" s="36" t="str">
        <f>""</f>
        <v/>
      </c>
      <c r="S343" s="36" t="str">
        <f>""</f>
        <v/>
      </c>
      <c r="T343" s="36" t="str">
        <f>""</f>
        <v/>
      </c>
      <c r="U343" s="36" t="str">
        <f>""</f>
        <v/>
      </c>
      <c r="V343" s="36" t="str">
        <f>""</f>
        <v/>
      </c>
      <c r="W343" s="36">
        <f t="shared" si="33"/>
        <v>1</v>
      </c>
      <c r="X343" t="str">
        <f t="shared" si="34"/>
        <v>OK</v>
      </c>
      <c r="Y343" t="str">
        <f>IF(MAIN!$H$3="Selected Year",IF(A343=MAIN!$B$3,"Yes","No"),IF(MAIN!$H$3="Included Years",IF(D343="Yes","Yes","No"),IF(C343="Yes","Yes","No")))</f>
        <v>No</v>
      </c>
      <c r="Z343" t="str">
        <f>IF(MAIN!$F$3="Project to Date",IF(AND(A343&gt;=SETTINGS!$B$4,A343&lt;MAIN!$B$3),"Yes",IF(AND(A343=MAIN!$B$3,E343&lt;=MAIN!$L$3),"Yes","No")),IF(OR(MAIN!$F$3="Full Year",MAIN!$D$3="All"),"Yes",IF(MAIN!$F$3="Monthly",IF(E343=MAIN!$L$3,"Yes","No"),IF(E343&lt;=MAIN!$L$3,"Yes","No"))))</f>
        <v>Yes</v>
      </c>
      <c r="AA343" t="str">
        <f t="shared" si="35"/>
        <v>No</v>
      </c>
    </row>
    <row r="344" spans="1:27" x14ac:dyDescent="0.3">
      <c r="A344">
        <f>INDEX(SETTINGS!$A$15:$A$24,$B344)</f>
        <v>2026</v>
      </c>
      <c r="B344">
        <v>2</v>
      </c>
      <c r="C344" t="str">
        <f>IF(AND(A344&gt;=SETTINGS!$B$4,A344&lt;=SETTINGS!$B$5),"Yes","No")</f>
        <v>Yes</v>
      </c>
      <c r="D344" t="str">
        <f>IFERROR(INDEX(SETTINGS!$C$15:$C$24,MATCH(A344,SETTINGS!$A$15:$A$24,0)),"No")</f>
        <v>Yes</v>
      </c>
      <c r="E344">
        <v>7</v>
      </c>
      <c r="F344" t="s">
        <v>40</v>
      </c>
      <c r="G344">
        <v>153</v>
      </c>
      <c r="H344" t="s">
        <v>88</v>
      </c>
      <c r="I344" t="s">
        <v>89</v>
      </c>
      <c r="J344" t="s">
        <v>10</v>
      </c>
      <c r="K344" t="s">
        <v>3</v>
      </c>
      <c r="L344" s="36">
        <f ca="1">IF(C344&lt;&gt;"Yes",0,IF(A344=2025,N('2025'!D153),IF(A344=2026,N('2026'!D153),IF(A344=2027,N('2027'!D153),IF(A344=2028,N('2028'!D153),IF(A344=2029,N('2029'!D153),IF(A344=2030,N('2030'!D153),IF(A344=2031,N('2031'!D153),IF(A344=2032,N('2032'!D153),IF(A344=2033,N('2033'!D153),IF(A344=2034,N('2034'!D153),IFERROR(N(INDIRECT("'"&amp;A344&amp;"'!D"&amp;G344)),0))))))))))))</f>
        <v>0</v>
      </c>
      <c r="M344" s="36">
        <f>IFERROR(IF(NOT(ISBLANK(KPI_TARGETS!$H$5)),KPI_TARGETS!$H$5,IF(NOT(ISBLANK(KPI_TARGETS!$F$5)),KPI_TARGETS!$F$5,"")),"")</f>
        <v>104</v>
      </c>
      <c r="N344" s="36" t="str">
        <f>IFERROR(KPI_TARGETS!$E$5,"Higher is better")</f>
        <v>Higher is better</v>
      </c>
      <c r="O344" s="37">
        <f t="shared" ca="1" si="30"/>
        <v>0</v>
      </c>
      <c r="P344" t="str">
        <f t="shared" ca="1" si="31"/>
        <v>Red</v>
      </c>
      <c r="Q344" s="36">
        <f t="shared" ca="1" si="32"/>
        <v>-104</v>
      </c>
      <c r="R344" s="36" t="str">
        <f>""</f>
        <v/>
      </c>
      <c r="S344" s="36" t="str">
        <f>""</f>
        <v/>
      </c>
      <c r="T344" s="36" t="str">
        <f>""</f>
        <v/>
      </c>
      <c r="U344" s="36" t="str">
        <f>""</f>
        <v/>
      </c>
      <c r="V344" s="36" t="str">
        <f>""</f>
        <v/>
      </c>
      <c r="W344" s="36">
        <f t="shared" si="33"/>
        <v>1</v>
      </c>
      <c r="X344" t="str">
        <f t="shared" si="34"/>
        <v>OK</v>
      </c>
      <c r="Y344" t="str">
        <f>IF(MAIN!$H$3="Selected Year",IF(A344=MAIN!$B$3,"Yes","No"),IF(MAIN!$H$3="Included Years",IF(D344="Yes","Yes","No"),IF(C344="Yes","Yes","No")))</f>
        <v>No</v>
      </c>
      <c r="Z344" t="str">
        <f>IF(MAIN!$F$3="Project to Date",IF(AND(A344&gt;=SETTINGS!$B$4,A344&lt;MAIN!$B$3),"Yes",IF(AND(A344=MAIN!$B$3,E344&lt;=MAIN!$L$3),"Yes","No")),IF(OR(MAIN!$F$3="Full Year",MAIN!$D$3="All"),"Yes",IF(MAIN!$F$3="Monthly",IF(E344=MAIN!$L$3,"Yes","No"),IF(E344&lt;=MAIN!$L$3,"Yes","No"))))</f>
        <v>Yes</v>
      </c>
      <c r="AA344" t="str">
        <f t="shared" si="35"/>
        <v>No</v>
      </c>
    </row>
    <row r="345" spans="1:27" x14ac:dyDescent="0.3">
      <c r="A345">
        <f>INDEX(SETTINGS!$A$15:$A$24,$B345)</f>
        <v>2026</v>
      </c>
      <c r="B345">
        <v>2</v>
      </c>
      <c r="C345" t="str">
        <f>IF(AND(A345&gt;=SETTINGS!$B$4,A345&lt;=SETTINGS!$B$5),"Yes","No")</f>
        <v>Yes</v>
      </c>
      <c r="D345" t="str">
        <f>IFERROR(INDEX(SETTINGS!$C$15:$C$24,MATCH(A345,SETTINGS!$A$15:$A$24,0)),"No")</f>
        <v>Yes</v>
      </c>
      <c r="E345">
        <v>7</v>
      </c>
      <c r="F345" t="s">
        <v>40</v>
      </c>
      <c r="G345">
        <v>154</v>
      </c>
      <c r="H345" t="s">
        <v>91</v>
      </c>
      <c r="I345" t="s">
        <v>89</v>
      </c>
      <c r="J345" t="s">
        <v>11</v>
      </c>
      <c r="K345" t="s">
        <v>12</v>
      </c>
      <c r="L345" s="36">
        <f ca="1">IF(C345&lt;&gt;"Yes",0,IF(A345=2025,N('2025'!D154),IF(A345=2026,N('2026'!D154),IF(A345=2027,N('2027'!D154),IF(A345=2028,N('2028'!D154),IF(A345=2029,N('2029'!D154),IF(A345=2030,N('2030'!D154),IF(A345=2031,N('2031'!D154),IF(A345=2032,N('2032'!D154),IF(A345=2033,N('2033'!D154),IF(A345=2034,N('2034'!D154),IFERROR(N(INDIRECT("'"&amp;A345&amp;"'!D"&amp;G345)),0))))))))))))</f>
        <v>0</v>
      </c>
      <c r="M345" s="36">
        <f>IFERROR(IF(NOT(ISBLANK(KPI_TARGETS!$H$6)),KPI_TARGETS!$H$6,IF(NOT(ISBLANK(KPI_TARGETS!$F$6)),KPI_TARGETS!$F$6,"")),"")</f>
        <v>4000</v>
      </c>
      <c r="N345" s="36" t="str">
        <f>IFERROR(KPI_TARGETS!$E$6,"Higher is better")</f>
        <v>Higher is better</v>
      </c>
      <c r="O345" s="37">
        <f t="shared" ca="1" si="30"/>
        <v>0</v>
      </c>
      <c r="P345" t="str">
        <f t="shared" ca="1" si="31"/>
        <v>Red</v>
      </c>
      <c r="Q345" s="36">
        <f t="shared" ca="1" si="32"/>
        <v>-4000</v>
      </c>
      <c r="R345" s="36" t="str">
        <f>""</f>
        <v/>
      </c>
      <c r="S345" s="36" t="str">
        <f>""</f>
        <v/>
      </c>
      <c r="T345" s="36" t="str">
        <f>""</f>
        <v/>
      </c>
      <c r="U345" s="36" t="str">
        <f>""</f>
        <v/>
      </c>
      <c r="V345" s="36" t="str">
        <f>""</f>
        <v/>
      </c>
      <c r="W345" s="36">
        <f t="shared" si="33"/>
        <v>1</v>
      </c>
      <c r="X345" t="str">
        <f t="shared" si="34"/>
        <v>OK</v>
      </c>
      <c r="Y345" t="str">
        <f>IF(MAIN!$H$3="Selected Year",IF(A345=MAIN!$B$3,"Yes","No"),IF(MAIN!$H$3="Included Years",IF(D345="Yes","Yes","No"),IF(C345="Yes","Yes","No")))</f>
        <v>No</v>
      </c>
      <c r="Z345" t="str">
        <f>IF(MAIN!$F$3="Project to Date",IF(AND(A345&gt;=SETTINGS!$B$4,A345&lt;MAIN!$B$3),"Yes",IF(AND(A345=MAIN!$B$3,E345&lt;=MAIN!$L$3),"Yes","No")),IF(OR(MAIN!$F$3="Full Year",MAIN!$D$3="All"),"Yes",IF(MAIN!$F$3="Monthly",IF(E345=MAIN!$L$3,"Yes","No"),IF(E345&lt;=MAIN!$L$3,"Yes","No"))))</f>
        <v>Yes</v>
      </c>
      <c r="AA345" t="str">
        <f t="shared" si="35"/>
        <v>No</v>
      </c>
    </row>
    <row r="346" spans="1:27" x14ac:dyDescent="0.3">
      <c r="A346">
        <f>INDEX(SETTINGS!$A$15:$A$24,$B346)</f>
        <v>2026</v>
      </c>
      <c r="B346">
        <v>2</v>
      </c>
      <c r="C346" t="str">
        <f>IF(AND(A346&gt;=SETTINGS!$B$4,A346&lt;=SETTINGS!$B$5),"Yes","No")</f>
        <v>Yes</v>
      </c>
      <c r="D346" t="str">
        <f>IFERROR(INDEX(SETTINGS!$C$15:$C$24,MATCH(A346,SETTINGS!$A$15:$A$24,0)),"No")</f>
        <v>Yes</v>
      </c>
      <c r="E346">
        <v>7</v>
      </c>
      <c r="F346" t="s">
        <v>40</v>
      </c>
      <c r="G346">
        <v>155</v>
      </c>
      <c r="H346" t="s">
        <v>93</v>
      </c>
      <c r="I346" t="s">
        <v>89</v>
      </c>
      <c r="J346" t="s">
        <v>13</v>
      </c>
      <c r="K346" t="s">
        <v>14</v>
      </c>
      <c r="L346" s="36">
        <f ca="1">IF(C346&lt;&gt;"Yes",0,IF(A346=2025,N('2025'!D155),IF(A346=2026,N('2026'!D155),IF(A346=2027,N('2027'!D155),IF(A346=2028,N('2028'!D155),IF(A346=2029,N('2029'!D155),IF(A346=2030,N('2030'!D155),IF(A346=2031,N('2031'!D155),IF(A346=2032,N('2032'!D155),IF(A346=2033,N('2033'!D155),IF(A346=2034,N('2034'!D155),IFERROR(N(INDIRECT("'"&amp;A346&amp;"'!D"&amp;G346)),0))))))))))))</f>
        <v>0</v>
      </c>
      <c r="M346" s="36">
        <f>IFERROR(IF(NOT(ISBLANK(KPI_TARGETS!$H$7)),KPI_TARGETS!$H$7,IF(NOT(ISBLANK(KPI_TARGETS!$F$7)),KPI_TARGETS!$F$7,"")),"")</f>
        <v>8000</v>
      </c>
      <c r="N346" s="36" t="str">
        <f>IFERROR(KPI_TARGETS!$E$7,"Higher is better")</f>
        <v>Higher is better</v>
      </c>
      <c r="O346" s="37">
        <f t="shared" ca="1" si="30"/>
        <v>0</v>
      </c>
      <c r="P346" t="str">
        <f t="shared" ca="1" si="31"/>
        <v>Red</v>
      </c>
      <c r="Q346" s="36">
        <f t="shared" ca="1" si="32"/>
        <v>-8000</v>
      </c>
      <c r="R346" s="36" t="str">
        <f>""</f>
        <v/>
      </c>
      <c r="S346" s="36" t="str">
        <f>""</f>
        <v/>
      </c>
      <c r="T346" s="36" t="str">
        <f>""</f>
        <v/>
      </c>
      <c r="U346" s="36" t="str">
        <f>""</f>
        <v/>
      </c>
      <c r="V346" s="36" t="str">
        <f>""</f>
        <v/>
      </c>
      <c r="W346" s="36">
        <f t="shared" si="33"/>
        <v>1</v>
      </c>
      <c r="X346" t="str">
        <f t="shared" si="34"/>
        <v>OK</v>
      </c>
      <c r="Y346" t="str">
        <f>IF(MAIN!$H$3="Selected Year",IF(A346=MAIN!$B$3,"Yes","No"),IF(MAIN!$H$3="Included Years",IF(D346="Yes","Yes","No"),IF(C346="Yes","Yes","No")))</f>
        <v>No</v>
      </c>
      <c r="Z346" t="str">
        <f>IF(MAIN!$F$3="Project to Date",IF(AND(A346&gt;=SETTINGS!$B$4,A346&lt;MAIN!$B$3),"Yes",IF(AND(A346=MAIN!$B$3,E346&lt;=MAIN!$L$3),"Yes","No")),IF(OR(MAIN!$F$3="Full Year",MAIN!$D$3="All"),"Yes",IF(MAIN!$F$3="Monthly",IF(E346=MAIN!$L$3,"Yes","No"),IF(E346&lt;=MAIN!$L$3,"Yes","No"))))</f>
        <v>Yes</v>
      </c>
      <c r="AA346" t="str">
        <f t="shared" si="35"/>
        <v>No</v>
      </c>
    </row>
    <row r="347" spans="1:27" x14ac:dyDescent="0.3">
      <c r="A347">
        <f>INDEX(SETTINGS!$A$15:$A$24,$B347)</f>
        <v>2026</v>
      </c>
      <c r="B347">
        <v>2</v>
      </c>
      <c r="C347" t="str">
        <f>IF(AND(A347&gt;=SETTINGS!$B$4,A347&lt;=SETTINGS!$B$5),"Yes","No")</f>
        <v>Yes</v>
      </c>
      <c r="D347" t="str">
        <f>IFERROR(INDEX(SETTINGS!$C$15:$C$24,MATCH(A347,SETTINGS!$A$15:$A$24,0)),"No")</f>
        <v>Yes</v>
      </c>
      <c r="E347">
        <v>7</v>
      </c>
      <c r="F347" t="s">
        <v>40</v>
      </c>
      <c r="G347">
        <v>157</v>
      </c>
      <c r="H347" t="s">
        <v>95</v>
      </c>
      <c r="I347" t="s">
        <v>15</v>
      </c>
      <c r="J347" t="s">
        <v>16</v>
      </c>
      <c r="K347" t="s">
        <v>3</v>
      </c>
      <c r="L347" s="36">
        <f ca="1">IF(C347&lt;&gt;"Yes",0,IF(A347=2025,N('2025'!D157),IF(A347=2026,N('2026'!D157),IF(A347=2027,N('2027'!D157),IF(A347=2028,N('2028'!D157),IF(A347=2029,N('2029'!D157),IF(A347=2030,N('2030'!D157),IF(A347=2031,N('2031'!D157),IF(A347=2032,N('2032'!D157),IF(A347=2033,N('2033'!D157),IF(A347=2034,N('2034'!D157),IFERROR(N(INDIRECT("'"&amp;A347&amp;"'!D"&amp;G347)),0))))))))))))</f>
        <v>0</v>
      </c>
      <c r="M347" s="36">
        <f>IFERROR(IF(NOT(ISBLANK(KPI_TARGETS!$H$8)),KPI_TARGETS!$H$8,IF(NOT(ISBLANK(KPI_TARGETS!$F$8)),KPI_TARGETS!$F$8,"")),"")</f>
        <v>0</v>
      </c>
      <c r="N347" s="36" t="str">
        <f>IFERROR(KPI_TARGETS!$E$8,"Higher is better")</f>
        <v>Lower is better</v>
      </c>
      <c r="O347" s="37">
        <f t="shared" ca="1" si="30"/>
        <v>1</v>
      </c>
      <c r="P347" t="str">
        <f t="shared" ca="1" si="31"/>
        <v>Green</v>
      </c>
      <c r="Q347" s="36">
        <f t="shared" ca="1" si="32"/>
        <v>0</v>
      </c>
      <c r="R347" s="36" t="str">
        <f>""</f>
        <v/>
      </c>
      <c r="S347" s="36" t="str">
        <f>""</f>
        <v/>
      </c>
      <c r="T347" s="36" t="str">
        <f>""</f>
        <v/>
      </c>
      <c r="U347" s="36" t="str">
        <f>""</f>
        <v/>
      </c>
      <c r="V347" s="36" t="str">
        <f>""</f>
        <v/>
      </c>
      <c r="W347" s="36">
        <f t="shared" si="33"/>
        <v>1</v>
      </c>
      <c r="X347" t="str">
        <f t="shared" si="34"/>
        <v>OK</v>
      </c>
      <c r="Y347" t="str">
        <f>IF(MAIN!$H$3="Selected Year",IF(A347=MAIN!$B$3,"Yes","No"),IF(MAIN!$H$3="Included Years",IF(D347="Yes","Yes","No"),IF(C347="Yes","Yes","No")))</f>
        <v>No</v>
      </c>
      <c r="Z347" t="str">
        <f>IF(MAIN!$F$3="Project to Date",IF(AND(A347&gt;=SETTINGS!$B$4,A347&lt;MAIN!$B$3),"Yes",IF(AND(A347=MAIN!$B$3,E347&lt;=MAIN!$L$3),"Yes","No")),IF(OR(MAIN!$F$3="Full Year",MAIN!$D$3="All"),"Yes",IF(MAIN!$F$3="Monthly",IF(E347=MAIN!$L$3,"Yes","No"),IF(E347&lt;=MAIN!$L$3,"Yes","No"))))</f>
        <v>Yes</v>
      </c>
      <c r="AA347" t="str">
        <f t="shared" si="35"/>
        <v>No</v>
      </c>
    </row>
    <row r="348" spans="1:27" x14ac:dyDescent="0.3">
      <c r="A348">
        <f>INDEX(SETTINGS!$A$15:$A$24,$B348)</f>
        <v>2026</v>
      </c>
      <c r="B348">
        <v>2</v>
      </c>
      <c r="C348" t="str">
        <f>IF(AND(A348&gt;=SETTINGS!$B$4,A348&lt;=SETTINGS!$B$5),"Yes","No")</f>
        <v>Yes</v>
      </c>
      <c r="D348" t="str">
        <f>IFERROR(INDEX(SETTINGS!$C$15:$C$24,MATCH(A348,SETTINGS!$A$15:$A$24,0)),"No")</f>
        <v>Yes</v>
      </c>
      <c r="E348">
        <v>7</v>
      </c>
      <c r="F348" t="s">
        <v>40</v>
      </c>
      <c r="G348">
        <v>158</v>
      </c>
      <c r="H348" t="s">
        <v>97</v>
      </c>
      <c r="I348" t="s">
        <v>15</v>
      </c>
      <c r="J348" t="s">
        <v>17</v>
      </c>
      <c r="K348" t="s">
        <v>3</v>
      </c>
      <c r="L348" s="36">
        <f ca="1">IF(C348&lt;&gt;"Yes",0,IF(A348=2025,N('2025'!D158),IF(A348=2026,N('2026'!D158),IF(A348=2027,N('2027'!D158),IF(A348=2028,N('2028'!D158),IF(A348=2029,N('2029'!D158),IF(A348=2030,N('2030'!D158),IF(A348=2031,N('2031'!D158),IF(A348=2032,N('2032'!D158),IF(A348=2033,N('2033'!D158),IF(A348=2034,N('2034'!D158),IFERROR(N(INDIRECT("'"&amp;A348&amp;"'!D"&amp;G348)),0))))))))))))</f>
        <v>0</v>
      </c>
      <c r="M348" s="36">
        <f>IFERROR(IF(NOT(ISBLANK(KPI_TARGETS!$H$9)),KPI_TARGETS!$H$9,IF(NOT(ISBLANK(KPI_TARGETS!$F$9)),KPI_TARGETS!$F$9,"")),"")</f>
        <v>0</v>
      </c>
      <c r="N348" s="36" t="str">
        <f>IFERROR(KPI_TARGETS!$E$9,"Higher is better")</f>
        <v>Higher is better</v>
      </c>
      <c r="O348" s="37" t="str">
        <f t="shared" ca="1" si="30"/>
        <v/>
      </c>
      <c r="P348" t="str">
        <f t="shared" ca="1" si="31"/>
        <v>Green</v>
      </c>
      <c r="Q348" s="36">
        <f t="shared" ca="1" si="32"/>
        <v>0</v>
      </c>
      <c r="R348" s="36" t="str">
        <f>""</f>
        <v/>
      </c>
      <c r="S348" s="36" t="str">
        <f>""</f>
        <v/>
      </c>
      <c r="T348" s="36" t="str">
        <f>""</f>
        <v/>
      </c>
      <c r="U348" s="36" t="str">
        <f>""</f>
        <v/>
      </c>
      <c r="V348" s="36" t="str">
        <f>""</f>
        <v/>
      </c>
      <c r="W348" s="36">
        <f t="shared" si="33"/>
        <v>1</v>
      </c>
      <c r="X348" t="str">
        <f t="shared" si="34"/>
        <v>OK</v>
      </c>
      <c r="Y348" t="str">
        <f>IF(MAIN!$H$3="Selected Year",IF(A348=MAIN!$B$3,"Yes","No"),IF(MAIN!$H$3="Included Years",IF(D348="Yes","Yes","No"),IF(C348="Yes","Yes","No")))</f>
        <v>No</v>
      </c>
      <c r="Z348" t="str">
        <f>IF(MAIN!$F$3="Project to Date",IF(AND(A348&gt;=SETTINGS!$B$4,A348&lt;MAIN!$B$3),"Yes",IF(AND(A348=MAIN!$B$3,E348&lt;=MAIN!$L$3),"Yes","No")),IF(OR(MAIN!$F$3="Full Year",MAIN!$D$3="All"),"Yes",IF(MAIN!$F$3="Monthly",IF(E348=MAIN!$L$3,"Yes","No"),IF(E348&lt;=MAIN!$L$3,"Yes","No"))))</f>
        <v>Yes</v>
      </c>
      <c r="AA348" t="str">
        <f t="shared" si="35"/>
        <v>No</v>
      </c>
    </row>
    <row r="349" spans="1:27" x14ac:dyDescent="0.3">
      <c r="A349">
        <f>INDEX(SETTINGS!$A$15:$A$24,$B349)</f>
        <v>2026</v>
      </c>
      <c r="B349">
        <v>2</v>
      </c>
      <c r="C349" t="str">
        <f>IF(AND(A349&gt;=SETTINGS!$B$4,A349&lt;=SETTINGS!$B$5),"Yes","No")</f>
        <v>Yes</v>
      </c>
      <c r="D349" t="str">
        <f>IFERROR(INDEX(SETTINGS!$C$15:$C$24,MATCH(A349,SETTINGS!$A$15:$A$24,0)),"No")</f>
        <v>Yes</v>
      </c>
      <c r="E349">
        <v>7</v>
      </c>
      <c r="F349" t="s">
        <v>40</v>
      </c>
      <c r="G349">
        <v>159</v>
      </c>
      <c r="H349" t="s">
        <v>99</v>
      </c>
      <c r="I349" t="s">
        <v>15</v>
      </c>
      <c r="J349" t="s">
        <v>18</v>
      </c>
      <c r="K349" t="s">
        <v>3</v>
      </c>
      <c r="L349" s="36">
        <f ca="1">IF(C349&lt;&gt;"Yes",0,IF(A349=2025,N('2025'!D159),IF(A349=2026,N('2026'!D159),IF(A349=2027,N('2027'!D159),IF(A349=2028,N('2028'!D159),IF(A349=2029,N('2029'!D159),IF(A349=2030,N('2030'!D159),IF(A349=2031,N('2031'!D159),IF(A349=2032,N('2032'!D159),IF(A349=2033,N('2033'!D159),IF(A349=2034,N('2034'!D159),IFERROR(N(INDIRECT("'"&amp;A349&amp;"'!D"&amp;G349)),0))))))))))))</f>
        <v>0</v>
      </c>
      <c r="M349" s="36">
        <f>IFERROR(IF(NOT(ISBLANK(KPI_TARGETS!$H$10)),KPI_TARGETS!$H$10,IF(NOT(ISBLANK(KPI_TARGETS!$F$10)),KPI_TARGETS!$F$10,"")),"")</f>
        <v>0</v>
      </c>
      <c r="N349" s="36" t="str">
        <f>IFERROR(KPI_TARGETS!$E$10,"Higher is better")</f>
        <v>Lower is better</v>
      </c>
      <c r="O349" s="37">
        <f t="shared" ca="1" si="30"/>
        <v>1</v>
      </c>
      <c r="P349" t="str">
        <f t="shared" ca="1" si="31"/>
        <v>Green</v>
      </c>
      <c r="Q349" s="36">
        <f t="shared" ca="1" si="32"/>
        <v>0</v>
      </c>
      <c r="R349" s="36" t="str">
        <f>""</f>
        <v/>
      </c>
      <c r="S349" s="36" t="str">
        <f>""</f>
        <v/>
      </c>
      <c r="T349" s="36" t="str">
        <f>""</f>
        <v/>
      </c>
      <c r="U349" s="36" t="str">
        <f>""</f>
        <v/>
      </c>
      <c r="V349" s="36" t="str">
        <f>""</f>
        <v/>
      </c>
      <c r="W349" s="36">
        <f t="shared" si="33"/>
        <v>1</v>
      </c>
      <c r="X349" t="str">
        <f t="shared" si="34"/>
        <v>OK</v>
      </c>
      <c r="Y349" t="str">
        <f>IF(MAIN!$H$3="Selected Year",IF(A349=MAIN!$B$3,"Yes","No"),IF(MAIN!$H$3="Included Years",IF(D349="Yes","Yes","No"),IF(C349="Yes","Yes","No")))</f>
        <v>No</v>
      </c>
      <c r="Z349" t="str">
        <f>IF(MAIN!$F$3="Project to Date",IF(AND(A349&gt;=SETTINGS!$B$4,A349&lt;MAIN!$B$3),"Yes",IF(AND(A349=MAIN!$B$3,E349&lt;=MAIN!$L$3),"Yes","No")),IF(OR(MAIN!$F$3="Full Year",MAIN!$D$3="All"),"Yes",IF(MAIN!$F$3="Monthly",IF(E349=MAIN!$L$3,"Yes","No"),IF(E349&lt;=MAIN!$L$3,"Yes","No"))))</f>
        <v>Yes</v>
      </c>
      <c r="AA349" t="str">
        <f t="shared" si="35"/>
        <v>No</v>
      </c>
    </row>
    <row r="350" spans="1:27" x14ac:dyDescent="0.3">
      <c r="A350">
        <f>INDEX(SETTINGS!$A$15:$A$24,$B350)</f>
        <v>2026</v>
      </c>
      <c r="B350">
        <v>2</v>
      </c>
      <c r="C350" t="str">
        <f>IF(AND(A350&gt;=SETTINGS!$B$4,A350&lt;=SETTINGS!$B$5),"Yes","No")</f>
        <v>Yes</v>
      </c>
      <c r="D350" t="str">
        <f>IFERROR(INDEX(SETTINGS!$C$15:$C$24,MATCH(A350,SETTINGS!$A$15:$A$24,0)),"No")</f>
        <v>Yes</v>
      </c>
      <c r="E350">
        <v>7</v>
      </c>
      <c r="F350" t="s">
        <v>40</v>
      </c>
      <c r="G350">
        <v>160</v>
      </c>
      <c r="H350" t="s">
        <v>100</v>
      </c>
      <c r="I350" t="s">
        <v>15</v>
      </c>
      <c r="J350" t="s">
        <v>19</v>
      </c>
      <c r="K350" t="s">
        <v>3</v>
      </c>
      <c r="L350" s="36">
        <f ca="1">IF(C350&lt;&gt;"Yes",0,IF(A350=2025,N('2025'!D160),IF(A350=2026,N('2026'!D160),IF(A350=2027,N('2027'!D160),IF(A350=2028,N('2028'!D160),IF(A350=2029,N('2029'!D160),IF(A350=2030,N('2030'!D160),IF(A350=2031,N('2031'!D160),IF(A350=2032,N('2032'!D160),IF(A350=2033,N('2033'!D160),IF(A350=2034,N('2034'!D160),IFERROR(N(INDIRECT("'"&amp;A350&amp;"'!D"&amp;G350)),0))))))))))))</f>
        <v>0</v>
      </c>
      <c r="M350" s="36">
        <f>IFERROR(IF(NOT(ISBLANK(KPI_TARGETS!$H$11)),KPI_TARGETS!$H$11,IF(NOT(ISBLANK(KPI_TARGETS!$F$11)),KPI_TARGETS!$F$11,"")),"")</f>
        <v>0</v>
      </c>
      <c r="N350" s="36" t="str">
        <f>IFERROR(KPI_TARGETS!$E$11,"Higher is better")</f>
        <v>Lower is better</v>
      </c>
      <c r="O350" s="37">
        <f t="shared" ca="1" si="30"/>
        <v>1</v>
      </c>
      <c r="P350" t="str">
        <f t="shared" ca="1" si="31"/>
        <v>Green</v>
      </c>
      <c r="Q350" s="36">
        <f t="shared" ca="1" si="32"/>
        <v>0</v>
      </c>
      <c r="R350" s="36" t="str">
        <f>""</f>
        <v/>
      </c>
      <c r="S350" s="36" t="str">
        <f>""</f>
        <v/>
      </c>
      <c r="T350" s="36" t="str">
        <f>""</f>
        <v/>
      </c>
      <c r="U350" s="36" t="str">
        <f>""</f>
        <v/>
      </c>
      <c r="V350" s="36" t="str">
        <f>""</f>
        <v/>
      </c>
      <c r="W350" s="36">
        <f t="shared" si="33"/>
        <v>1</v>
      </c>
      <c r="X350" t="str">
        <f t="shared" si="34"/>
        <v>OK</v>
      </c>
      <c r="Y350" t="str">
        <f>IF(MAIN!$H$3="Selected Year",IF(A350=MAIN!$B$3,"Yes","No"),IF(MAIN!$H$3="Included Years",IF(D350="Yes","Yes","No"),IF(C350="Yes","Yes","No")))</f>
        <v>No</v>
      </c>
      <c r="Z350" t="str">
        <f>IF(MAIN!$F$3="Project to Date",IF(AND(A350&gt;=SETTINGS!$B$4,A350&lt;MAIN!$B$3),"Yes",IF(AND(A350=MAIN!$B$3,E350&lt;=MAIN!$L$3),"Yes","No")),IF(OR(MAIN!$F$3="Full Year",MAIN!$D$3="All"),"Yes",IF(MAIN!$F$3="Monthly",IF(E350=MAIN!$L$3,"Yes","No"),IF(E350&lt;=MAIN!$L$3,"Yes","No"))))</f>
        <v>Yes</v>
      </c>
      <c r="AA350" t="str">
        <f t="shared" si="35"/>
        <v>No</v>
      </c>
    </row>
    <row r="351" spans="1:27" x14ac:dyDescent="0.3">
      <c r="A351">
        <f>INDEX(SETTINGS!$A$15:$A$24,$B351)</f>
        <v>2026</v>
      </c>
      <c r="B351">
        <v>2</v>
      </c>
      <c r="C351" t="str">
        <f>IF(AND(A351&gt;=SETTINGS!$B$4,A351&lt;=SETTINGS!$B$5),"Yes","No")</f>
        <v>Yes</v>
      </c>
      <c r="D351" t="str">
        <f>IFERROR(INDEX(SETTINGS!$C$15:$C$24,MATCH(A351,SETTINGS!$A$15:$A$24,0)),"No")</f>
        <v>Yes</v>
      </c>
      <c r="E351">
        <v>7</v>
      </c>
      <c r="F351" t="s">
        <v>40</v>
      </c>
      <c r="G351">
        <v>161</v>
      </c>
      <c r="H351" t="s">
        <v>101</v>
      </c>
      <c r="I351" t="s">
        <v>15</v>
      </c>
      <c r="J351" t="s">
        <v>20</v>
      </c>
      <c r="K351" t="s">
        <v>3</v>
      </c>
      <c r="L351" s="36">
        <f ca="1">IF(C351&lt;&gt;"Yes",0,IF(A351=2025,N('2025'!D161),IF(A351=2026,N('2026'!D161),IF(A351=2027,N('2027'!D161),IF(A351=2028,N('2028'!D161),IF(A351=2029,N('2029'!D161),IF(A351=2030,N('2030'!D161),IF(A351=2031,N('2031'!D161),IF(A351=2032,N('2032'!D161),IF(A351=2033,N('2033'!D161),IF(A351=2034,N('2034'!D161),IFERROR(N(INDIRECT("'"&amp;A351&amp;"'!D"&amp;G351)),0))))))))))))</f>
        <v>0</v>
      </c>
      <c r="M351" s="36">
        <f>IFERROR(IF(NOT(ISBLANK(KPI_TARGETS!$H$12)),KPI_TARGETS!$H$12,IF(NOT(ISBLANK(KPI_TARGETS!$F$12)),KPI_TARGETS!$F$12,"")),"")</f>
        <v>0</v>
      </c>
      <c r="N351" s="36" t="str">
        <f>IFERROR(KPI_TARGETS!$E$12,"Higher is better")</f>
        <v>Lower is better</v>
      </c>
      <c r="O351" s="37">
        <f t="shared" ca="1" si="30"/>
        <v>1</v>
      </c>
      <c r="P351" t="str">
        <f t="shared" ca="1" si="31"/>
        <v>Green</v>
      </c>
      <c r="Q351" s="36">
        <f t="shared" ca="1" si="32"/>
        <v>0</v>
      </c>
      <c r="R351" s="36" t="str">
        <f>""</f>
        <v/>
      </c>
      <c r="S351" s="36" t="str">
        <f>""</f>
        <v/>
      </c>
      <c r="T351" s="36" t="str">
        <f>""</f>
        <v/>
      </c>
      <c r="U351" s="36" t="str">
        <f>""</f>
        <v/>
      </c>
      <c r="V351" s="36" t="str">
        <f>""</f>
        <v/>
      </c>
      <c r="W351" s="36">
        <f t="shared" si="33"/>
        <v>1</v>
      </c>
      <c r="X351" t="str">
        <f t="shared" si="34"/>
        <v>OK</v>
      </c>
      <c r="Y351" t="str">
        <f>IF(MAIN!$H$3="Selected Year",IF(A351=MAIN!$B$3,"Yes","No"),IF(MAIN!$H$3="Included Years",IF(D351="Yes","Yes","No"),IF(C351="Yes","Yes","No")))</f>
        <v>No</v>
      </c>
      <c r="Z351" t="str">
        <f>IF(MAIN!$F$3="Project to Date",IF(AND(A351&gt;=SETTINGS!$B$4,A351&lt;MAIN!$B$3),"Yes",IF(AND(A351=MAIN!$B$3,E351&lt;=MAIN!$L$3),"Yes","No")),IF(OR(MAIN!$F$3="Full Year",MAIN!$D$3="All"),"Yes",IF(MAIN!$F$3="Monthly",IF(E351=MAIN!$L$3,"Yes","No"),IF(E351&lt;=MAIN!$L$3,"Yes","No"))))</f>
        <v>Yes</v>
      </c>
      <c r="AA351" t="str">
        <f t="shared" si="35"/>
        <v>No</v>
      </c>
    </row>
    <row r="352" spans="1:27" x14ac:dyDescent="0.3">
      <c r="A352">
        <f>INDEX(SETTINGS!$A$15:$A$24,$B352)</f>
        <v>2026</v>
      </c>
      <c r="B352">
        <v>2</v>
      </c>
      <c r="C352" t="str">
        <f>IF(AND(A352&gt;=SETTINGS!$B$4,A352&lt;=SETTINGS!$B$5),"Yes","No")</f>
        <v>Yes</v>
      </c>
      <c r="D352" t="str">
        <f>IFERROR(INDEX(SETTINGS!$C$15:$C$24,MATCH(A352,SETTINGS!$A$15:$A$24,0)),"No")</f>
        <v>Yes</v>
      </c>
      <c r="E352">
        <v>7</v>
      </c>
      <c r="F352" t="s">
        <v>40</v>
      </c>
      <c r="G352">
        <v>162</v>
      </c>
      <c r="H352" t="s">
        <v>102</v>
      </c>
      <c r="I352" t="s">
        <v>15</v>
      </c>
      <c r="J352" t="s">
        <v>21</v>
      </c>
      <c r="K352" t="s">
        <v>3</v>
      </c>
      <c r="L352" s="36">
        <f ca="1">IF(C352&lt;&gt;"Yes",0,IF(A352=2025,N('2025'!D162),IF(A352=2026,N('2026'!D162),IF(A352=2027,N('2027'!D162),IF(A352=2028,N('2028'!D162),IF(A352=2029,N('2029'!D162),IF(A352=2030,N('2030'!D162),IF(A352=2031,N('2031'!D162),IF(A352=2032,N('2032'!D162),IF(A352=2033,N('2033'!D162),IF(A352=2034,N('2034'!D162),IFERROR(N(INDIRECT("'"&amp;A352&amp;"'!D"&amp;G352)),0))))))))))))</f>
        <v>0</v>
      </c>
      <c r="M352" s="36">
        <f>IFERROR(IF(NOT(ISBLANK(KPI_TARGETS!$H$13)),KPI_TARGETS!$H$13,IF(NOT(ISBLANK(KPI_TARGETS!$F$13)),KPI_TARGETS!$F$13,"")),"")</f>
        <v>0</v>
      </c>
      <c r="N352" s="36" t="str">
        <f>IFERROR(KPI_TARGETS!$E$13,"Higher is better")</f>
        <v>Lower is better</v>
      </c>
      <c r="O352" s="37">
        <f t="shared" ca="1" si="30"/>
        <v>1</v>
      </c>
      <c r="P352" t="str">
        <f t="shared" ca="1" si="31"/>
        <v>Green</v>
      </c>
      <c r="Q352" s="36">
        <f t="shared" ca="1" si="32"/>
        <v>0</v>
      </c>
      <c r="R352" s="36" t="str">
        <f>""</f>
        <v/>
      </c>
      <c r="S352" s="36" t="str">
        <f>""</f>
        <v/>
      </c>
      <c r="T352" s="36" t="str">
        <f>""</f>
        <v/>
      </c>
      <c r="U352" s="36" t="str">
        <f>""</f>
        <v/>
      </c>
      <c r="V352" s="36" t="str">
        <f>""</f>
        <v/>
      </c>
      <c r="W352" s="36">
        <f t="shared" si="33"/>
        <v>1</v>
      </c>
      <c r="X352" t="str">
        <f t="shared" si="34"/>
        <v>OK</v>
      </c>
      <c r="Y352" t="str">
        <f>IF(MAIN!$H$3="Selected Year",IF(A352=MAIN!$B$3,"Yes","No"),IF(MAIN!$H$3="Included Years",IF(D352="Yes","Yes","No"),IF(C352="Yes","Yes","No")))</f>
        <v>No</v>
      </c>
      <c r="Z352" t="str">
        <f>IF(MAIN!$F$3="Project to Date",IF(AND(A352&gt;=SETTINGS!$B$4,A352&lt;MAIN!$B$3),"Yes",IF(AND(A352=MAIN!$B$3,E352&lt;=MAIN!$L$3),"Yes","No")),IF(OR(MAIN!$F$3="Full Year",MAIN!$D$3="All"),"Yes",IF(MAIN!$F$3="Monthly",IF(E352=MAIN!$L$3,"Yes","No"),IF(E352&lt;=MAIN!$L$3,"Yes","No"))))</f>
        <v>Yes</v>
      </c>
      <c r="AA352" t="str">
        <f t="shared" si="35"/>
        <v>No</v>
      </c>
    </row>
    <row r="353" spans="1:27" x14ac:dyDescent="0.3">
      <c r="A353">
        <f>INDEX(SETTINGS!$A$15:$A$24,$B353)</f>
        <v>2026</v>
      </c>
      <c r="B353">
        <v>2</v>
      </c>
      <c r="C353" t="str">
        <f>IF(AND(A353&gt;=SETTINGS!$B$4,A353&lt;=SETTINGS!$B$5),"Yes","No")</f>
        <v>Yes</v>
      </c>
      <c r="D353" t="str">
        <f>IFERROR(INDEX(SETTINGS!$C$15:$C$24,MATCH(A353,SETTINGS!$A$15:$A$24,0)),"No")</f>
        <v>Yes</v>
      </c>
      <c r="E353">
        <v>7</v>
      </c>
      <c r="F353" t="s">
        <v>40</v>
      </c>
      <c r="G353">
        <v>164</v>
      </c>
      <c r="H353" t="s">
        <v>103</v>
      </c>
      <c r="I353" t="s">
        <v>22</v>
      </c>
      <c r="J353" t="s">
        <v>23</v>
      </c>
      <c r="K353" t="s">
        <v>3</v>
      </c>
      <c r="L353" s="36">
        <f ca="1">IF(C353&lt;&gt;"Yes",0,IF(A353=2025,N('2025'!D164),IF(A353=2026,N('2026'!D164),IF(A353=2027,N('2027'!D164),IF(A353=2028,N('2028'!D164),IF(A353=2029,N('2029'!D164),IF(A353=2030,N('2030'!D164),IF(A353=2031,N('2031'!D164),IF(A353=2032,N('2032'!D164),IF(A353=2033,N('2033'!D164),IF(A353=2034,N('2034'!D164),IFERROR(N(INDIRECT("'"&amp;A353&amp;"'!D"&amp;G353)),0))))))))))))</f>
        <v>55</v>
      </c>
      <c r="M353" s="36">
        <f>IFERROR(IF(NOT(ISBLANK(KPI_TARGETS!$H$14)),KPI_TARGETS!$H$14,IF(NOT(ISBLANK(KPI_TARGETS!$F$14)),KPI_TARGETS!$F$14,"")),"")</f>
        <v>35</v>
      </c>
      <c r="N353" s="36" t="str">
        <f>IFERROR(KPI_TARGETS!$E$14,"Higher is better")</f>
        <v>Higher is better</v>
      </c>
      <c r="O353" s="37">
        <f t="shared" ca="1" si="30"/>
        <v>1.5714285714285714</v>
      </c>
      <c r="P353" t="str">
        <f t="shared" ca="1" si="31"/>
        <v>Green</v>
      </c>
      <c r="Q353" s="36">
        <f t="shared" ca="1" si="32"/>
        <v>20</v>
      </c>
      <c r="R353" s="36" t="str">
        <f>""</f>
        <v/>
      </c>
      <c r="S353" s="36" t="str">
        <f>""</f>
        <v/>
      </c>
      <c r="T353" s="36" t="str">
        <f>""</f>
        <v/>
      </c>
      <c r="U353" s="36" t="str">
        <f>""</f>
        <v/>
      </c>
      <c r="V353" s="36" t="str">
        <f>""</f>
        <v/>
      </c>
      <c r="W353" s="36">
        <f t="shared" si="33"/>
        <v>1</v>
      </c>
      <c r="X353" t="str">
        <f t="shared" si="34"/>
        <v>OK</v>
      </c>
      <c r="Y353" t="str">
        <f>IF(MAIN!$H$3="Selected Year",IF(A353=MAIN!$B$3,"Yes","No"),IF(MAIN!$H$3="Included Years",IF(D353="Yes","Yes","No"),IF(C353="Yes","Yes","No")))</f>
        <v>No</v>
      </c>
      <c r="Z353" t="str">
        <f>IF(MAIN!$F$3="Project to Date",IF(AND(A353&gt;=SETTINGS!$B$4,A353&lt;MAIN!$B$3),"Yes",IF(AND(A353=MAIN!$B$3,E353&lt;=MAIN!$L$3),"Yes","No")),IF(OR(MAIN!$F$3="Full Year",MAIN!$D$3="All"),"Yes",IF(MAIN!$F$3="Monthly",IF(E353=MAIN!$L$3,"Yes","No"),IF(E353&lt;=MAIN!$L$3,"Yes","No"))))</f>
        <v>Yes</v>
      </c>
      <c r="AA353" t="str">
        <f t="shared" si="35"/>
        <v>No</v>
      </c>
    </row>
    <row r="354" spans="1:27" x14ac:dyDescent="0.3">
      <c r="A354">
        <f>INDEX(SETTINGS!$A$15:$A$24,$B354)</f>
        <v>2026</v>
      </c>
      <c r="B354">
        <v>2</v>
      </c>
      <c r="C354" t="str">
        <f>IF(AND(A354&gt;=SETTINGS!$B$4,A354&lt;=SETTINGS!$B$5),"Yes","No")</f>
        <v>Yes</v>
      </c>
      <c r="D354" t="str">
        <f>IFERROR(INDEX(SETTINGS!$C$15:$C$24,MATCH(A354,SETTINGS!$A$15:$A$24,0)),"No")</f>
        <v>Yes</v>
      </c>
      <c r="E354">
        <v>7</v>
      </c>
      <c r="F354" t="s">
        <v>40</v>
      </c>
      <c r="G354">
        <v>165</v>
      </c>
      <c r="H354" t="s">
        <v>104</v>
      </c>
      <c r="I354" t="s">
        <v>22</v>
      </c>
      <c r="J354" t="s">
        <v>24</v>
      </c>
      <c r="K354" t="s">
        <v>3</v>
      </c>
      <c r="L354" s="36">
        <f ca="1">IF(C354&lt;&gt;"Yes",0,IF(A354=2025,N('2025'!D165),IF(A354=2026,N('2026'!D165),IF(A354=2027,N('2027'!D165),IF(A354=2028,N('2028'!D165),IF(A354=2029,N('2029'!D165),IF(A354=2030,N('2030'!D165),IF(A354=2031,N('2031'!D165),IF(A354=2032,N('2032'!D165),IF(A354=2033,N('2033'!D165),IF(A354=2034,N('2034'!D165),IFERROR(N(INDIRECT("'"&amp;A354&amp;"'!D"&amp;G354)),0))))))))))))</f>
        <v>4</v>
      </c>
      <c r="M354" s="36">
        <f>IFERROR(IF(NOT(ISBLANK(KPI_TARGETS!$H$15)),KPI_TARGETS!$H$15,IF(NOT(ISBLANK(KPI_TARGETS!$F$15)),KPI_TARGETS!$F$15,"")),"")</f>
        <v>5</v>
      </c>
      <c r="N354" s="36" t="str">
        <f>IFERROR(KPI_TARGETS!$E$15,"Higher is better")</f>
        <v>Higher is better</v>
      </c>
      <c r="O354" s="37">
        <f t="shared" ca="1" si="30"/>
        <v>0.8</v>
      </c>
      <c r="P354" t="str">
        <f t="shared" ca="1" si="31"/>
        <v>Amber</v>
      </c>
      <c r="Q354" s="36">
        <f t="shared" ca="1" si="32"/>
        <v>-1</v>
      </c>
      <c r="R354" s="36" t="str">
        <f>""</f>
        <v/>
      </c>
      <c r="S354" s="36" t="str">
        <f>""</f>
        <v/>
      </c>
      <c r="T354" s="36" t="str">
        <f>""</f>
        <v/>
      </c>
      <c r="U354" s="36" t="str">
        <f>""</f>
        <v/>
      </c>
      <c r="V354" s="36" t="str">
        <f>""</f>
        <v/>
      </c>
      <c r="W354" s="36">
        <f t="shared" si="33"/>
        <v>1</v>
      </c>
      <c r="X354" t="str">
        <f t="shared" si="34"/>
        <v>OK</v>
      </c>
      <c r="Y354" t="str">
        <f>IF(MAIN!$H$3="Selected Year",IF(A354=MAIN!$B$3,"Yes","No"),IF(MAIN!$H$3="Included Years",IF(D354="Yes","Yes","No"),IF(C354="Yes","Yes","No")))</f>
        <v>No</v>
      </c>
      <c r="Z354" t="str">
        <f>IF(MAIN!$F$3="Project to Date",IF(AND(A354&gt;=SETTINGS!$B$4,A354&lt;MAIN!$B$3),"Yes",IF(AND(A354=MAIN!$B$3,E354&lt;=MAIN!$L$3),"Yes","No")),IF(OR(MAIN!$F$3="Full Year",MAIN!$D$3="All"),"Yes",IF(MAIN!$F$3="Monthly",IF(E354=MAIN!$L$3,"Yes","No"),IF(E354&lt;=MAIN!$L$3,"Yes","No"))))</f>
        <v>Yes</v>
      </c>
      <c r="AA354" t="str">
        <f t="shared" si="35"/>
        <v>No</v>
      </c>
    </row>
    <row r="355" spans="1:27" x14ac:dyDescent="0.3">
      <c r="A355">
        <f>INDEX(SETTINGS!$A$15:$A$24,$B355)</f>
        <v>2026</v>
      </c>
      <c r="B355">
        <v>2</v>
      </c>
      <c r="C355" t="str">
        <f>IF(AND(A355&gt;=SETTINGS!$B$4,A355&lt;=SETTINGS!$B$5),"Yes","No")</f>
        <v>Yes</v>
      </c>
      <c r="D355" t="str">
        <f>IFERROR(INDEX(SETTINGS!$C$15:$C$24,MATCH(A355,SETTINGS!$A$15:$A$24,0)),"No")</f>
        <v>Yes</v>
      </c>
      <c r="E355">
        <v>7</v>
      </c>
      <c r="F355" t="s">
        <v>40</v>
      </c>
      <c r="G355">
        <v>166</v>
      </c>
      <c r="H355" t="s">
        <v>105</v>
      </c>
      <c r="I355" t="s">
        <v>22</v>
      </c>
      <c r="J355" t="s">
        <v>25</v>
      </c>
      <c r="K355" t="s">
        <v>3</v>
      </c>
      <c r="L355" s="36">
        <f ca="1">IF(C355&lt;&gt;"Yes",0,IF(A355=2025,N('2025'!D166),IF(A355=2026,N('2026'!D166),IF(A355=2027,N('2027'!D166),IF(A355=2028,N('2028'!D166),IF(A355=2029,N('2029'!D166),IF(A355=2030,N('2030'!D166),IF(A355=2031,N('2031'!D166),IF(A355=2032,N('2032'!D166),IF(A355=2033,N('2033'!D166),IF(A355=2034,N('2034'!D166),IFERROR(N(INDIRECT("'"&amp;A355&amp;"'!D"&amp;G355)),0))))))))))))</f>
        <v>4</v>
      </c>
      <c r="M355" s="36">
        <f>IFERROR(IF(NOT(ISBLANK(KPI_TARGETS!$H$16)),KPI_TARGETS!$H$16,IF(NOT(ISBLANK(KPI_TARGETS!$F$16)),KPI_TARGETS!$F$16,"")),"")</f>
        <v>4</v>
      </c>
      <c r="N355" s="36" t="str">
        <f>IFERROR(KPI_TARGETS!$E$16,"Higher is better")</f>
        <v>Higher is better</v>
      </c>
      <c r="O355" s="37">
        <f t="shared" ca="1" si="30"/>
        <v>1</v>
      </c>
      <c r="P355" t="str">
        <f t="shared" ca="1" si="31"/>
        <v>Green</v>
      </c>
      <c r="Q355" s="36">
        <f t="shared" ca="1" si="32"/>
        <v>0</v>
      </c>
      <c r="R355" s="36" t="str">
        <f>""</f>
        <v/>
      </c>
      <c r="S355" s="36" t="str">
        <f>""</f>
        <v/>
      </c>
      <c r="T355" s="36" t="str">
        <f>""</f>
        <v/>
      </c>
      <c r="U355" s="36" t="str">
        <f>""</f>
        <v/>
      </c>
      <c r="V355" s="36" t="str">
        <f>""</f>
        <v/>
      </c>
      <c r="W355" s="36">
        <f t="shared" si="33"/>
        <v>1</v>
      </c>
      <c r="X355" t="str">
        <f t="shared" si="34"/>
        <v>OK</v>
      </c>
      <c r="Y355" t="str">
        <f>IF(MAIN!$H$3="Selected Year",IF(A355=MAIN!$B$3,"Yes","No"),IF(MAIN!$H$3="Included Years",IF(D355="Yes","Yes","No"),IF(C355="Yes","Yes","No")))</f>
        <v>No</v>
      </c>
      <c r="Z355" t="str">
        <f>IF(MAIN!$F$3="Project to Date",IF(AND(A355&gt;=SETTINGS!$B$4,A355&lt;MAIN!$B$3),"Yes",IF(AND(A355=MAIN!$B$3,E355&lt;=MAIN!$L$3),"Yes","No")),IF(OR(MAIN!$F$3="Full Year",MAIN!$D$3="All"),"Yes",IF(MAIN!$F$3="Monthly",IF(E355=MAIN!$L$3,"Yes","No"),IF(E355&lt;=MAIN!$L$3,"Yes","No"))))</f>
        <v>Yes</v>
      </c>
      <c r="AA355" t="str">
        <f t="shared" si="35"/>
        <v>No</v>
      </c>
    </row>
    <row r="356" spans="1:27" x14ac:dyDescent="0.3">
      <c r="A356">
        <f>INDEX(SETTINGS!$A$15:$A$24,$B356)</f>
        <v>2026</v>
      </c>
      <c r="B356">
        <v>2</v>
      </c>
      <c r="C356" t="str">
        <f>IF(AND(A356&gt;=SETTINGS!$B$4,A356&lt;=SETTINGS!$B$5),"Yes","No")</f>
        <v>Yes</v>
      </c>
      <c r="D356" t="str">
        <f>IFERROR(INDEX(SETTINGS!$C$15:$C$24,MATCH(A356,SETTINGS!$A$15:$A$24,0)),"No")</f>
        <v>Yes</v>
      </c>
      <c r="E356">
        <v>7</v>
      </c>
      <c r="F356" t="s">
        <v>40</v>
      </c>
      <c r="G356">
        <v>167</v>
      </c>
      <c r="H356" t="s">
        <v>106</v>
      </c>
      <c r="I356" t="s">
        <v>22</v>
      </c>
      <c r="J356" t="s">
        <v>26</v>
      </c>
      <c r="K356" t="s">
        <v>3</v>
      </c>
      <c r="L356" s="36">
        <f ca="1">IF(C356&lt;&gt;"Yes",0,IF(A356=2025,N('2025'!D167),IF(A356=2026,N('2026'!D167),IF(A356=2027,N('2027'!D167),IF(A356=2028,N('2028'!D167),IF(A356=2029,N('2029'!D167),IF(A356=2030,N('2030'!D167),IF(A356=2031,N('2031'!D167),IF(A356=2032,N('2032'!D167),IF(A356=2033,N('2033'!D167),IF(A356=2034,N('2034'!D167),IFERROR(N(INDIRECT("'"&amp;A356&amp;"'!D"&amp;G356)),0))))))))))))</f>
        <v>20</v>
      </c>
      <c r="M356" s="36">
        <f>IFERROR(IF(NOT(ISBLANK(KPI_TARGETS!$H$17)),KPI_TARGETS!$H$17,IF(NOT(ISBLANK(KPI_TARGETS!$F$17)),KPI_TARGETS!$F$17,"")),"")</f>
        <v>12</v>
      </c>
      <c r="N356" s="36" t="str">
        <f>IFERROR(KPI_TARGETS!$E$17,"Higher is better")</f>
        <v>Higher is better</v>
      </c>
      <c r="O356" s="37">
        <f t="shared" ca="1" si="30"/>
        <v>1.6666666666666667</v>
      </c>
      <c r="P356" t="str">
        <f t="shared" ca="1" si="31"/>
        <v>Green</v>
      </c>
      <c r="Q356" s="36">
        <f t="shared" ca="1" si="32"/>
        <v>8</v>
      </c>
      <c r="R356" s="36" t="str">
        <f>""</f>
        <v/>
      </c>
      <c r="S356" s="36" t="str">
        <f>""</f>
        <v/>
      </c>
      <c r="T356" s="36" t="str">
        <f>""</f>
        <v/>
      </c>
      <c r="U356" s="36" t="str">
        <f>""</f>
        <v/>
      </c>
      <c r="V356" s="36" t="str">
        <f>""</f>
        <v/>
      </c>
      <c r="W356" s="36">
        <f t="shared" si="33"/>
        <v>1</v>
      </c>
      <c r="X356" t="str">
        <f t="shared" si="34"/>
        <v>OK</v>
      </c>
      <c r="Y356" t="str">
        <f>IF(MAIN!$H$3="Selected Year",IF(A356=MAIN!$B$3,"Yes","No"),IF(MAIN!$H$3="Included Years",IF(D356="Yes","Yes","No"),IF(C356="Yes","Yes","No")))</f>
        <v>No</v>
      </c>
      <c r="Z356" t="str">
        <f>IF(MAIN!$F$3="Project to Date",IF(AND(A356&gt;=SETTINGS!$B$4,A356&lt;MAIN!$B$3),"Yes",IF(AND(A356=MAIN!$B$3,E356&lt;=MAIN!$L$3),"Yes","No")),IF(OR(MAIN!$F$3="Full Year",MAIN!$D$3="All"),"Yes",IF(MAIN!$F$3="Monthly",IF(E356=MAIN!$L$3,"Yes","No"),IF(E356&lt;=MAIN!$L$3,"Yes","No"))))</f>
        <v>Yes</v>
      </c>
      <c r="AA356" t="str">
        <f t="shared" si="35"/>
        <v>No</v>
      </c>
    </row>
    <row r="357" spans="1:27" x14ac:dyDescent="0.3">
      <c r="A357">
        <f>INDEX(SETTINGS!$A$15:$A$24,$B357)</f>
        <v>2026</v>
      </c>
      <c r="B357">
        <v>2</v>
      </c>
      <c r="C357" t="str">
        <f>IF(AND(A357&gt;=SETTINGS!$B$4,A357&lt;=SETTINGS!$B$5),"Yes","No")</f>
        <v>Yes</v>
      </c>
      <c r="D357" t="str">
        <f>IFERROR(INDEX(SETTINGS!$C$15:$C$24,MATCH(A357,SETTINGS!$A$15:$A$24,0)),"No")</f>
        <v>Yes</v>
      </c>
      <c r="E357">
        <v>7</v>
      </c>
      <c r="F357" t="s">
        <v>40</v>
      </c>
      <c r="G357">
        <v>168</v>
      </c>
      <c r="H357" t="s">
        <v>107</v>
      </c>
      <c r="I357" t="s">
        <v>22</v>
      </c>
      <c r="J357" t="s">
        <v>27</v>
      </c>
      <c r="K357" t="s">
        <v>3</v>
      </c>
      <c r="L357" s="36">
        <f ca="1">IF(C357&lt;&gt;"Yes",0,IF(A357=2025,N('2025'!D168),IF(A357=2026,N('2026'!D168),IF(A357=2027,N('2027'!D168),IF(A357=2028,N('2028'!D168),IF(A357=2029,N('2029'!D168),IF(A357=2030,N('2030'!D168),IF(A357=2031,N('2031'!D168),IF(A357=2032,N('2032'!D168),IF(A357=2033,N('2033'!D168),IF(A357=2034,N('2034'!D168),IFERROR(N(INDIRECT("'"&amp;A357&amp;"'!D"&amp;G357)),0))))))))))))</f>
        <v>4</v>
      </c>
      <c r="M357" s="36">
        <f>IFERROR(IF(NOT(ISBLANK(KPI_TARGETS!$H$18)),KPI_TARGETS!$H$18,IF(NOT(ISBLANK(KPI_TARGETS!$F$18)),KPI_TARGETS!$F$18,"")),"")</f>
        <v>4</v>
      </c>
      <c r="N357" s="36" t="str">
        <f>IFERROR(KPI_TARGETS!$E$18,"Higher is better")</f>
        <v>Higher is better</v>
      </c>
      <c r="O357" s="37">
        <f t="shared" ca="1" si="30"/>
        <v>1</v>
      </c>
      <c r="P357" t="str">
        <f t="shared" ca="1" si="31"/>
        <v>Green</v>
      </c>
      <c r="Q357" s="36">
        <f t="shared" ca="1" si="32"/>
        <v>0</v>
      </c>
      <c r="R357" s="36" t="str">
        <f>""</f>
        <v/>
      </c>
      <c r="S357" s="36" t="str">
        <f>""</f>
        <v/>
      </c>
      <c r="T357" s="36" t="str">
        <f>""</f>
        <v/>
      </c>
      <c r="U357" s="36" t="str">
        <f>""</f>
        <v/>
      </c>
      <c r="V357" s="36" t="str">
        <f>""</f>
        <v/>
      </c>
      <c r="W357" s="36">
        <f t="shared" si="33"/>
        <v>1</v>
      </c>
      <c r="X357" t="str">
        <f t="shared" si="34"/>
        <v>OK</v>
      </c>
      <c r="Y357" t="str">
        <f>IF(MAIN!$H$3="Selected Year",IF(A357=MAIN!$B$3,"Yes","No"),IF(MAIN!$H$3="Included Years",IF(D357="Yes","Yes","No"),IF(C357="Yes","Yes","No")))</f>
        <v>No</v>
      </c>
      <c r="Z357" t="str">
        <f>IF(MAIN!$F$3="Project to Date",IF(AND(A357&gt;=SETTINGS!$B$4,A357&lt;MAIN!$B$3),"Yes",IF(AND(A357=MAIN!$B$3,E357&lt;=MAIN!$L$3),"Yes","No")),IF(OR(MAIN!$F$3="Full Year",MAIN!$D$3="All"),"Yes",IF(MAIN!$F$3="Monthly",IF(E357=MAIN!$L$3,"Yes","No"),IF(E357&lt;=MAIN!$L$3,"Yes","No"))))</f>
        <v>Yes</v>
      </c>
      <c r="AA357" t="str">
        <f t="shared" si="35"/>
        <v>No</v>
      </c>
    </row>
    <row r="358" spans="1:27" x14ac:dyDescent="0.3">
      <c r="A358">
        <f>INDEX(SETTINGS!$A$15:$A$24,$B358)</f>
        <v>2026</v>
      </c>
      <c r="B358">
        <v>2</v>
      </c>
      <c r="C358" t="str">
        <f>IF(AND(A358&gt;=SETTINGS!$B$4,A358&lt;=SETTINGS!$B$5),"Yes","No")</f>
        <v>Yes</v>
      </c>
      <c r="D358" t="str">
        <f>IFERROR(INDEX(SETTINGS!$C$15:$C$24,MATCH(A358,SETTINGS!$A$15:$A$24,0)),"No")</f>
        <v>Yes</v>
      </c>
      <c r="E358">
        <v>7</v>
      </c>
      <c r="F358" t="s">
        <v>40</v>
      </c>
      <c r="G358">
        <v>169</v>
      </c>
      <c r="H358" t="s">
        <v>108</v>
      </c>
      <c r="I358" t="s">
        <v>22</v>
      </c>
      <c r="J358" t="s">
        <v>28</v>
      </c>
      <c r="K358" t="s">
        <v>3</v>
      </c>
      <c r="L358" s="36">
        <f ca="1">IF(C358&lt;&gt;"Yes",0,IF(A358=2025,N('2025'!D169),IF(A358=2026,N('2026'!D169),IF(A358=2027,N('2027'!D169),IF(A358=2028,N('2028'!D169),IF(A358=2029,N('2029'!D169),IF(A358=2030,N('2030'!D169),IF(A358=2031,N('2031'!D169),IF(A358=2032,N('2032'!D169),IF(A358=2033,N('2033'!D169),IF(A358=2034,N('2034'!D169),IFERROR(N(INDIRECT("'"&amp;A358&amp;"'!D"&amp;G358)),0))))))))))))</f>
        <v>8</v>
      </c>
      <c r="M358" s="36">
        <f>IFERROR(IF(NOT(ISBLANK(KPI_TARGETS!$H$19)),KPI_TARGETS!$H$19,IF(NOT(ISBLANK(KPI_TARGETS!$F$19)),KPI_TARGETS!$F$19,"")),"")</f>
        <v>16</v>
      </c>
      <c r="N358" s="36" t="str">
        <f>IFERROR(KPI_TARGETS!$E$19,"Higher is better")</f>
        <v>Higher is better</v>
      </c>
      <c r="O358" s="37">
        <f t="shared" ca="1" si="30"/>
        <v>0.5</v>
      </c>
      <c r="P358" t="str">
        <f t="shared" ca="1" si="31"/>
        <v>Red</v>
      </c>
      <c r="Q358" s="36">
        <f t="shared" ca="1" si="32"/>
        <v>-8</v>
      </c>
      <c r="R358" s="36" t="str">
        <f>""</f>
        <v/>
      </c>
      <c r="S358" s="36" t="str">
        <f>""</f>
        <v/>
      </c>
      <c r="T358" s="36" t="str">
        <f>""</f>
        <v/>
      </c>
      <c r="U358" s="36" t="str">
        <f>""</f>
        <v/>
      </c>
      <c r="V358" s="36" t="str">
        <f>""</f>
        <v/>
      </c>
      <c r="W358" s="36">
        <f t="shared" si="33"/>
        <v>1</v>
      </c>
      <c r="X358" t="str">
        <f t="shared" si="34"/>
        <v>OK</v>
      </c>
      <c r="Y358" t="str">
        <f>IF(MAIN!$H$3="Selected Year",IF(A358=MAIN!$B$3,"Yes","No"),IF(MAIN!$H$3="Included Years",IF(D358="Yes","Yes","No"),IF(C358="Yes","Yes","No")))</f>
        <v>No</v>
      </c>
      <c r="Z358" t="str">
        <f>IF(MAIN!$F$3="Project to Date",IF(AND(A358&gt;=SETTINGS!$B$4,A358&lt;MAIN!$B$3),"Yes",IF(AND(A358=MAIN!$B$3,E358&lt;=MAIN!$L$3),"Yes","No")),IF(OR(MAIN!$F$3="Full Year",MAIN!$D$3="All"),"Yes",IF(MAIN!$F$3="Monthly",IF(E358=MAIN!$L$3,"Yes","No"),IF(E358&lt;=MAIN!$L$3,"Yes","No"))))</f>
        <v>Yes</v>
      </c>
      <c r="AA358" t="str">
        <f t="shared" si="35"/>
        <v>No</v>
      </c>
    </row>
    <row r="359" spans="1:27" x14ac:dyDescent="0.3">
      <c r="A359">
        <f>INDEX(SETTINGS!$A$15:$A$24,$B359)</f>
        <v>2026</v>
      </c>
      <c r="B359">
        <v>2</v>
      </c>
      <c r="C359" t="str">
        <f>IF(AND(A359&gt;=SETTINGS!$B$4,A359&lt;=SETTINGS!$B$5),"Yes","No")</f>
        <v>Yes</v>
      </c>
      <c r="D359" t="str">
        <f>IFERROR(INDEX(SETTINGS!$C$15:$C$24,MATCH(A359,SETTINGS!$A$15:$A$24,0)),"No")</f>
        <v>Yes</v>
      </c>
      <c r="E359">
        <v>7</v>
      </c>
      <c r="F359" t="s">
        <v>40</v>
      </c>
      <c r="G359">
        <v>170</v>
      </c>
      <c r="H359" t="s">
        <v>109</v>
      </c>
      <c r="I359" t="s">
        <v>22</v>
      </c>
      <c r="J359" t="s">
        <v>29</v>
      </c>
      <c r="K359" t="s">
        <v>3</v>
      </c>
      <c r="L359" s="36">
        <f ca="1">IF(C359&lt;&gt;"Yes",0,IF(A359=2025,N('2025'!D170),IF(A359=2026,N('2026'!D170),IF(A359=2027,N('2027'!D170),IF(A359=2028,N('2028'!D170),IF(A359=2029,N('2029'!D170),IF(A359=2030,N('2030'!D170),IF(A359=2031,N('2031'!D170),IF(A359=2032,N('2032'!D170),IF(A359=2033,N('2033'!D170),IF(A359=2034,N('2034'!D170),IFERROR(N(INDIRECT("'"&amp;A359&amp;"'!D"&amp;G359)),0))))))))))))</f>
        <v>1</v>
      </c>
      <c r="M359" s="36">
        <f>IFERROR(IF(NOT(ISBLANK(KPI_TARGETS!$H$20)),KPI_TARGETS!$H$20,IF(NOT(ISBLANK(KPI_TARGETS!$F$20)),KPI_TARGETS!$F$20,"")),"")</f>
        <v>1</v>
      </c>
      <c r="N359" s="36" t="str">
        <f>IFERROR(KPI_TARGETS!$E$20,"Higher is better")</f>
        <v>Higher is better</v>
      </c>
      <c r="O359" s="37">
        <f t="shared" ca="1" si="30"/>
        <v>1</v>
      </c>
      <c r="P359" t="str">
        <f t="shared" ca="1" si="31"/>
        <v>Green</v>
      </c>
      <c r="Q359" s="36">
        <f t="shared" ca="1" si="32"/>
        <v>0</v>
      </c>
      <c r="R359" s="36" t="str">
        <f>""</f>
        <v/>
      </c>
      <c r="S359" s="36" t="str">
        <f>""</f>
        <v/>
      </c>
      <c r="T359" s="36" t="str">
        <f>""</f>
        <v/>
      </c>
      <c r="U359" s="36" t="str">
        <f>""</f>
        <v/>
      </c>
      <c r="V359" s="36" t="str">
        <f>""</f>
        <v/>
      </c>
      <c r="W359" s="36">
        <f t="shared" si="33"/>
        <v>1</v>
      </c>
      <c r="X359" t="str">
        <f t="shared" si="34"/>
        <v>OK</v>
      </c>
      <c r="Y359" t="str">
        <f>IF(MAIN!$H$3="Selected Year",IF(A359=MAIN!$B$3,"Yes","No"),IF(MAIN!$H$3="Included Years",IF(D359="Yes","Yes","No"),IF(C359="Yes","Yes","No")))</f>
        <v>No</v>
      </c>
      <c r="Z359" t="str">
        <f>IF(MAIN!$F$3="Project to Date",IF(AND(A359&gt;=SETTINGS!$B$4,A359&lt;MAIN!$B$3),"Yes",IF(AND(A359=MAIN!$B$3,E359&lt;=MAIN!$L$3),"Yes","No")),IF(OR(MAIN!$F$3="Full Year",MAIN!$D$3="All"),"Yes",IF(MAIN!$F$3="Monthly",IF(E359=MAIN!$L$3,"Yes","No"),IF(E359&lt;=MAIN!$L$3,"Yes","No"))))</f>
        <v>Yes</v>
      </c>
      <c r="AA359" t="str">
        <f t="shared" si="35"/>
        <v>No</v>
      </c>
    </row>
    <row r="360" spans="1:27" x14ac:dyDescent="0.3">
      <c r="A360">
        <f>INDEX(SETTINGS!$A$15:$A$24,$B360)</f>
        <v>2026</v>
      </c>
      <c r="B360">
        <v>2</v>
      </c>
      <c r="C360" t="str">
        <f>IF(AND(A360&gt;=SETTINGS!$B$4,A360&lt;=SETTINGS!$B$5),"Yes","No")</f>
        <v>Yes</v>
      </c>
      <c r="D360" t="str">
        <f>IFERROR(INDEX(SETTINGS!$C$15:$C$24,MATCH(A360,SETTINGS!$A$15:$A$24,0)),"No")</f>
        <v>Yes</v>
      </c>
      <c r="E360">
        <v>7</v>
      </c>
      <c r="F360" t="s">
        <v>40</v>
      </c>
      <c r="G360">
        <v>172</v>
      </c>
      <c r="H360" t="s">
        <v>110</v>
      </c>
      <c r="I360" t="s">
        <v>30</v>
      </c>
      <c r="J360" t="s">
        <v>31</v>
      </c>
      <c r="K360" t="s">
        <v>3</v>
      </c>
      <c r="L360" s="36">
        <f ca="1">IF(C360&lt;&gt;"Yes",0,IF(A360=2025,N('2025'!D172),IF(A360=2026,N('2026'!D172),IF(A360=2027,N('2027'!D172),IF(A360=2028,N('2028'!D172),IF(A360=2029,N('2029'!D172),IF(A360=2030,N('2030'!D172),IF(A360=2031,N('2031'!D172),IF(A360=2032,N('2032'!D172),IF(A360=2033,N('2033'!D172),IF(A360=2034,N('2034'!D172),IFERROR(N(INDIRECT("'"&amp;A360&amp;"'!D"&amp;G360)),0))))))))))))</f>
        <v>0</v>
      </c>
      <c r="M360" s="36">
        <f>IFERROR(IF(NOT(ISBLANK(KPI_TARGETS!$H$21)),KPI_TARGETS!$H$21,IF(NOT(ISBLANK(KPI_TARGETS!$F$21)),KPI_TARGETS!$F$21,"")),"")</f>
        <v>0</v>
      </c>
      <c r="N360" s="36" t="str">
        <f>IFERROR(KPI_TARGETS!$E$21,"Higher is better")</f>
        <v>Lower is better</v>
      </c>
      <c r="O360" s="37">
        <f t="shared" ca="1" si="30"/>
        <v>1</v>
      </c>
      <c r="P360" t="str">
        <f t="shared" ca="1" si="31"/>
        <v>Green</v>
      </c>
      <c r="Q360" s="36">
        <f t="shared" ca="1" si="32"/>
        <v>0</v>
      </c>
      <c r="R360" s="36" t="str">
        <f>""</f>
        <v/>
      </c>
      <c r="S360" s="36" t="str">
        <f>""</f>
        <v/>
      </c>
      <c r="T360" s="36" t="str">
        <f>""</f>
        <v/>
      </c>
      <c r="U360" s="36" t="str">
        <f>""</f>
        <v/>
      </c>
      <c r="V360" s="36" t="str">
        <f>""</f>
        <v/>
      </c>
      <c r="W360" s="36">
        <f t="shared" si="33"/>
        <v>1</v>
      </c>
      <c r="X360" t="str">
        <f t="shared" si="34"/>
        <v>OK</v>
      </c>
      <c r="Y360" t="str">
        <f>IF(MAIN!$H$3="Selected Year",IF(A360=MAIN!$B$3,"Yes","No"),IF(MAIN!$H$3="Included Years",IF(D360="Yes","Yes","No"),IF(C360="Yes","Yes","No")))</f>
        <v>No</v>
      </c>
      <c r="Z360" t="str">
        <f>IF(MAIN!$F$3="Project to Date",IF(AND(A360&gt;=SETTINGS!$B$4,A360&lt;MAIN!$B$3),"Yes",IF(AND(A360=MAIN!$B$3,E360&lt;=MAIN!$L$3),"Yes","No")),IF(OR(MAIN!$F$3="Full Year",MAIN!$D$3="All"),"Yes",IF(MAIN!$F$3="Monthly",IF(E360=MAIN!$L$3,"Yes","No"),IF(E360&lt;=MAIN!$L$3,"Yes","No"))))</f>
        <v>Yes</v>
      </c>
      <c r="AA360" t="str">
        <f t="shared" si="35"/>
        <v>No</v>
      </c>
    </row>
    <row r="361" spans="1:27" x14ac:dyDescent="0.3">
      <c r="A361">
        <f>INDEX(SETTINGS!$A$15:$A$24,$B361)</f>
        <v>2026</v>
      </c>
      <c r="B361">
        <v>2</v>
      </c>
      <c r="C361" t="str">
        <f>IF(AND(A361&gt;=SETTINGS!$B$4,A361&lt;=SETTINGS!$B$5),"Yes","No")</f>
        <v>Yes</v>
      </c>
      <c r="D361" t="str">
        <f>IFERROR(INDEX(SETTINGS!$C$15:$C$24,MATCH(A361,SETTINGS!$A$15:$A$24,0)),"No")</f>
        <v>Yes</v>
      </c>
      <c r="E361">
        <v>7</v>
      </c>
      <c r="F361" t="s">
        <v>40</v>
      </c>
      <c r="G361">
        <v>173</v>
      </c>
      <c r="H361" t="s">
        <v>111</v>
      </c>
      <c r="I361" t="s">
        <v>30</v>
      </c>
      <c r="J361" t="s">
        <v>32</v>
      </c>
      <c r="K361" t="s">
        <v>3</v>
      </c>
      <c r="L361" s="36">
        <f ca="1">IF(C361&lt;&gt;"Yes",0,IF(A361=2025,N('2025'!D173),IF(A361=2026,N('2026'!D173),IF(A361=2027,N('2027'!D173),IF(A361=2028,N('2028'!D173),IF(A361=2029,N('2029'!D173),IF(A361=2030,N('2030'!D173),IF(A361=2031,N('2031'!D173),IF(A361=2032,N('2032'!D173),IF(A361=2033,N('2033'!D173),IF(A361=2034,N('2034'!D173),IFERROR(N(INDIRECT("'"&amp;A361&amp;"'!D"&amp;G361)),0))))))))))))</f>
        <v>1</v>
      </c>
      <c r="M361" s="36">
        <f>IFERROR(IF(NOT(ISBLANK(KPI_TARGETS!$H$22)),KPI_TARGETS!$H$22,IF(NOT(ISBLANK(KPI_TARGETS!$F$22)),KPI_TARGETS!$F$22,"")),"")</f>
        <v>1</v>
      </c>
      <c r="N361" s="36" t="str">
        <f>IFERROR(KPI_TARGETS!$E$22,"Higher is better")</f>
        <v>Higher is better</v>
      </c>
      <c r="O361" s="37">
        <f t="shared" ca="1" si="30"/>
        <v>1</v>
      </c>
      <c r="P361" t="str">
        <f t="shared" ca="1" si="31"/>
        <v>Green</v>
      </c>
      <c r="Q361" s="36">
        <f t="shared" ca="1" si="32"/>
        <v>0</v>
      </c>
      <c r="R361" s="36" t="str">
        <f>""</f>
        <v/>
      </c>
      <c r="S361" s="36" t="str">
        <f>""</f>
        <v/>
      </c>
      <c r="T361" s="36" t="str">
        <f>""</f>
        <v/>
      </c>
      <c r="U361" s="36" t="str">
        <f>""</f>
        <v/>
      </c>
      <c r="V361" s="36" t="str">
        <f>""</f>
        <v/>
      </c>
      <c r="W361" s="36">
        <f t="shared" si="33"/>
        <v>1</v>
      </c>
      <c r="X361" t="str">
        <f t="shared" si="34"/>
        <v>OK</v>
      </c>
      <c r="Y361" t="str">
        <f>IF(MAIN!$H$3="Selected Year",IF(A361=MAIN!$B$3,"Yes","No"),IF(MAIN!$H$3="Included Years",IF(D361="Yes","Yes","No"),IF(C361="Yes","Yes","No")))</f>
        <v>No</v>
      </c>
      <c r="Z361" t="str">
        <f>IF(MAIN!$F$3="Project to Date",IF(AND(A361&gt;=SETTINGS!$B$4,A361&lt;MAIN!$B$3),"Yes",IF(AND(A361=MAIN!$B$3,E361&lt;=MAIN!$L$3),"Yes","No")),IF(OR(MAIN!$F$3="Full Year",MAIN!$D$3="All"),"Yes",IF(MAIN!$F$3="Monthly",IF(E361=MAIN!$L$3,"Yes","No"),IF(E361&lt;=MAIN!$L$3,"Yes","No"))))</f>
        <v>Yes</v>
      </c>
      <c r="AA361" t="str">
        <f t="shared" si="35"/>
        <v>No</v>
      </c>
    </row>
    <row r="362" spans="1:27" x14ac:dyDescent="0.3">
      <c r="A362">
        <f>INDEX(SETTINGS!$A$15:$A$24,$B362)</f>
        <v>2026</v>
      </c>
      <c r="B362">
        <v>2</v>
      </c>
      <c r="C362" t="str">
        <f>IF(AND(A362&gt;=SETTINGS!$B$4,A362&lt;=SETTINGS!$B$5),"Yes","No")</f>
        <v>Yes</v>
      </c>
      <c r="D362" t="str">
        <f>IFERROR(INDEX(SETTINGS!$C$15:$C$24,MATCH(A362,SETTINGS!$A$15:$A$24,0)),"No")</f>
        <v>Yes</v>
      </c>
      <c r="E362">
        <v>7</v>
      </c>
      <c r="F362" t="s">
        <v>40</v>
      </c>
      <c r="G362">
        <v>174</v>
      </c>
      <c r="H362" t="s">
        <v>112</v>
      </c>
      <c r="I362" t="s">
        <v>30</v>
      </c>
      <c r="J362" t="s">
        <v>33</v>
      </c>
      <c r="K362" t="s">
        <v>34</v>
      </c>
      <c r="L362" s="36">
        <f ca="1">IF(C362&lt;&gt;"Yes",0,IF(A362=2025,N('2025'!D174),IF(A362=2026,N('2026'!D174),IF(A362=2027,N('2027'!D174),IF(A362=2028,N('2028'!D174),IF(A362=2029,N('2029'!D174),IF(A362=2030,N('2030'!D174),IF(A362=2031,N('2031'!D174),IF(A362=2032,N('2032'!D174),IF(A362=2033,N('2033'!D174),IF(A362=2034,N('2034'!D174),IFERROR(N(INDIRECT("'"&amp;A362&amp;"'!D"&amp;G362)),0))))))))))))</f>
        <v>1</v>
      </c>
      <c r="M362" s="36">
        <f>IFERROR(IF(NOT(ISBLANK(KPI_TARGETS!$H$23)),KPI_TARGETS!$H$23,IF(NOT(ISBLANK(KPI_TARGETS!$F$23)),KPI_TARGETS!$F$23,"")),"")</f>
        <v>1</v>
      </c>
      <c r="N362" s="36" t="str">
        <f>IFERROR(KPI_TARGETS!$E$23,"Higher is better")</f>
        <v>Higher is better</v>
      </c>
      <c r="O362" s="37">
        <f t="shared" ca="1" si="30"/>
        <v>1</v>
      </c>
      <c r="P362" t="str">
        <f t="shared" ca="1" si="31"/>
        <v>Green</v>
      </c>
      <c r="Q362" s="36">
        <f t="shared" ca="1" si="32"/>
        <v>0</v>
      </c>
      <c r="R362" s="36" t="str">
        <f>""</f>
        <v/>
      </c>
      <c r="S362" s="36" t="str">
        <f>""</f>
        <v/>
      </c>
      <c r="T362" s="36" t="str">
        <f>""</f>
        <v/>
      </c>
      <c r="U362" s="36" t="str">
        <f>""</f>
        <v/>
      </c>
      <c r="V362" s="36" t="str">
        <f>""</f>
        <v/>
      </c>
      <c r="W362" s="36">
        <f t="shared" si="33"/>
        <v>1</v>
      </c>
      <c r="X362" t="str">
        <f t="shared" si="34"/>
        <v>OK</v>
      </c>
      <c r="Y362" t="str">
        <f>IF(MAIN!$H$3="Selected Year",IF(A362=MAIN!$B$3,"Yes","No"),IF(MAIN!$H$3="Included Years",IF(D362="Yes","Yes","No"),IF(C362="Yes","Yes","No")))</f>
        <v>No</v>
      </c>
      <c r="Z362" t="str">
        <f>IF(MAIN!$F$3="Project to Date",IF(AND(A362&gt;=SETTINGS!$B$4,A362&lt;MAIN!$B$3),"Yes",IF(AND(A362=MAIN!$B$3,E362&lt;=MAIN!$L$3),"Yes","No")),IF(OR(MAIN!$F$3="Full Year",MAIN!$D$3="All"),"Yes",IF(MAIN!$F$3="Monthly",IF(E362=MAIN!$L$3,"Yes","No"),IF(E362&lt;=MAIN!$L$3,"Yes","No"))))</f>
        <v>Yes</v>
      </c>
      <c r="AA362" t="str">
        <f t="shared" si="35"/>
        <v>No</v>
      </c>
    </row>
    <row r="363" spans="1:27" x14ac:dyDescent="0.3">
      <c r="A363">
        <f>INDEX(SETTINGS!$A$15:$A$24,$B363)</f>
        <v>2026</v>
      </c>
      <c r="B363">
        <v>2</v>
      </c>
      <c r="C363" t="str">
        <f>IF(AND(A363&gt;=SETTINGS!$B$4,A363&lt;=SETTINGS!$B$5),"Yes","No")</f>
        <v>Yes</v>
      </c>
      <c r="D363" t="str">
        <f>IFERROR(INDEX(SETTINGS!$C$15:$C$24,MATCH(A363,SETTINGS!$A$15:$A$24,0)),"No")</f>
        <v>Yes</v>
      </c>
      <c r="E363">
        <v>8</v>
      </c>
      <c r="F363" t="s">
        <v>41</v>
      </c>
      <c r="G363">
        <v>177</v>
      </c>
      <c r="H363" t="s">
        <v>88</v>
      </c>
      <c r="I363" t="s">
        <v>89</v>
      </c>
      <c r="J363" t="s">
        <v>10</v>
      </c>
      <c r="K363" t="s">
        <v>3</v>
      </c>
      <c r="L363" s="36">
        <f ca="1">IF(C363&lt;&gt;"Yes",0,IF(A363=2025,N('2025'!D177),IF(A363=2026,N('2026'!D177),IF(A363=2027,N('2027'!D177),IF(A363=2028,N('2028'!D177),IF(A363=2029,N('2029'!D177),IF(A363=2030,N('2030'!D177),IF(A363=2031,N('2031'!D177),IF(A363=2032,N('2032'!D177),IF(A363=2033,N('2033'!D177),IF(A363=2034,N('2034'!D177),IFERROR(N(INDIRECT("'"&amp;A363&amp;"'!D"&amp;G363)),0))))))))))))</f>
        <v>0</v>
      </c>
      <c r="M363" s="36">
        <f>IFERROR(IF(NOT(ISBLANK(KPI_TARGETS!$H$5)),KPI_TARGETS!$H$5,IF(NOT(ISBLANK(KPI_TARGETS!$F$5)),KPI_TARGETS!$F$5,"")),"")</f>
        <v>104</v>
      </c>
      <c r="N363" s="36" t="str">
        <f>IFERROR(KPI_TARGETS!$E$5,"Higher is better")</f>
        <v>Higher is better</v>
      </c>
      <c r="O363" s="37">
        <f t="shared" ca="1" si="30"/>
        <v>0</v>
      </c>
      <c r="P363" t="str">
        <f t="shared" ca="1" si="31"/>
        <v>Red</v>
      </c>
      <c r="Q363" s="36">
        <f t="shared" ca="1" si="32"/>
        <v>-104</v>
      </c>
      <c r="R363" s="36" t="str">
        <f>""</f>
        <v/>
      </c>
      <c r="S363" s="36" t="str">
        <f>""</f>
        <v/>
      </c>
      <c r="T363" s="36" t="str">
        <f>""</f>
        <v/>
      </c>
      <c r="U363" s="36" t="str">
        <f>""</f>
        <v/>
      </c>
      <c r="V363" s="36" t="str">
        <f>""</f>
        <v/>
      </c>
      <c r="W363" s="36">
        <f t="shared" si="33"/>
        <v>1</v>
      </c>
      <c r="X363" t="str">
        <f t="shared" si="34"/>
        <v>OK</v>
      </c>
      <c r="Y363" t="str">
        <f>IF(MAIN!$H$3="Selected Year",IF(A363=MAIN!$B$3,"Yes","No"),IF(MAIN!$H$3="Included Years",IF(D363="Yes","Yes","No"),IF(C363="Yes","Yes","No")))</f>
        <v>No</v>
      </c>
      <c r="Z363" t="str">
        <f>IF(MAIN!$F$3="Project to Date",IF(AND(A363&gt;=SETTINGS!$B$4,A363&lt;MAIN!$B$3),"Yes",IF(AND(A363=MAIN!$B$3,E363&lt;=MAIN!$L$3),"Yes","No")),IF(OR(MAIN!$F$3="Full Year",MAIN!$D$3="All"),"Yes",IF(MAIN!$F$3="Monthly",IF(E363=MAIN!$L$3,"Yes","No"),IF(E363&lt;=MAIN!$L$3,"Yes","No"))))</f>
        <v>Yes</v>
      </c>
      <c r="AA363" t="str">
        <f t="shared" si="35"/>
        <v>No</v>
      </c>
    </row>
    <row r="364" spans="1:27" x14ac:dyDescent="0.3">
      <c r="A364">
        <f>INDEX(SETTINGS!$A$15:$A$24,$B364)</f>
        <v>2026</v>
      </c>
      <c r="B364">
        <v>2</v>
      </c>
      <c r="C364" t="str">
        <f>IF(AND(A364&gt;=SETTINGS!$B$4,A364&lt;=SETTINGS!$B$5),"Yes","No")</f>
        <v>Yes</v>
      </c>
      <c r="D364" t="str">
        <f>IFERROR(INDEX(SETTINGS!$C$15:$C$24,MATCH(A364,SETTINGS!$A$15:$A$24,0)),"No")</f>
        <v>Yes</v>
      </c>
      <c r="E364">
        <v>8</v>
      </c>
      <c r="F364" t="s">
        <v>41</v>
      </c>
      <c r="G364">
        <v>178</v>
      </c>
      <c r="H364" t="s">
        <v>91</v>
      </c>
      <c r="I364" t="s">
        <v>89</v>
      </c>
      <c r="J364" t="s">
        <v>11</v>
      </c>
      <c r="K364" t="s">
        <v>12</v>
      </c>
      <c r="L364" s="36">
        <f ca="1">IF(C364&lt;&gt;"Yes",0,IF(A364=2025,N('2025'!D178),IF(A364=2026,N('2026'!D178),IF(A364=2027,N('2027'!D178),IF(A364=2028,N('2028'!D178),IF(A364=2029,N('2029'!D178),IF(A364=2030,N('2030'!D178),IF(A364=2031,N('2031'!D178),IF(A364=2032,N('2032'!D178),IF(A364=2033,N('2033'!D178),IF(A364=2034,N('2034'!D178),IFERROR(N(INDIRECT("'"&amp;A364&amp;"'!D"&amp;G364)),0))))))))))))</f>
        <v>0</v>
      </c>
      <c r="M364" s="36">
        <f>IFERROR(IF(NOT(ISBLANK(KPI_TARGETS!$H$6)),KPI_TARGETS!$H$6,IF(NOT(ISBLANK(KPI_TARGETS!$F$6)),KPI_TARGETS!$F$6,"")),"")</f>
        <v>4000</v>
      </c>
      <c r="N364" s="36" t="str">
        <f>IFERROR(KPI_TARGETS!$E$6,"Higher is better")</f>
        <v>Higher is better</v>
      </c>
      <c r="O364" s="37">
        <f t="shared" ca="1" si="30"/>
        <v>0</v>
      </c>
      <c r="P364" t="str">
        <f t="shared" ca="1" si="31"/>
        <v>Red</v>
      </c>
      <c r="Q364" s="36">
        <f t="shared" ca="1" si="32"/>
        <v>-4000</v>
      </c>
      <c r="R364" s="36" t="str">
        <f>""</f>
        <v/>
      </c>
      <c r="S364" s="36" t="str">
        <f>""</f>
        <v/>
      </c>
      <c r="T364" s="36" t="str">
        <f>""</f>
        <v/>
      </c>
      <c r="U364" s="36" t="str">
        <f>""</f>
        <v/>
      </c>
      <c r="V364" s="36" t="str">
        <f>""</f>
        <v/>
      </c>
      <c r="W364" s="36">
        <f t="shared" si="33"/>
        <v>1</v>
      </c>
      <c r="X364" t="str">
        <f t="shared" si="34"/>
        <v>OK</v>
      </c>
      <c r="Y364" t="str">
        <f>IF(MAIN!$H$3="Selected Year",IF(A364=MAIN!$B$3,"Yes","No"),IF(MAIN!$H$3="Included Years",IF(D364="Yes","Yes","No"),IF(C364="Yes","Yes","No")))</f>
        <v>No</v>
      </c>
      <c r="Z364" t="str">
        <f>IF(MAIN!$F$3="Project to Date",IF(AND(A364&gt;=SETTINGS!$B$4,A364&lt;MAIN!$B$3),"Yes",IF(AND(A364=MAIN!$B$3,E364&lt;=MAIN!$L$3),"Yes","No")),IF(OR(MAIN!$F$3="Full Year",MAIN!$D$3="All"),"Yes",IF(MAIN!$F$3="Monthly",IF(E364=MAIN!$L$3,"Yes","No"),IF(E364&lt;=MAIN!$L$3,"Yes","No"))))</f>
        <v>Yes</v>
      </c>
      <c r="AA364" t="str">
        <f t="shared" si="35"/>
        <v>No</v>
      </c>
    </row>
    <row r="365" spans="1:27" x14ac:dyDescent="0.3">
      <c r="A365">
        <f>INDEX(SETTINGS!$A$15:$A$24,$B365)</f>
        <v>2026</v>
      </c>
      <c r="B365">
        <v>2</v>
      </c>
      <c r="C365" t="str">
        <f>IF(AND(A365&gt;=SETTINGS!$B$4,A365&lt;=SETTINGS!$B$5),"Yes","No")</f>
        <v>Yes</v>
      </c>
      <c r="D365" t="str">
        <f>IFERROR(INDEX(SETTINGS!$C$15:$C$24,MATCH(A365,SETTINGS!$A$15:$A$24,0)),"No")</f>
        <v>Yes</v>
      </c>
      <c r="E365">
        <v>8</v>
      </c>
      <c r="F365" t="s">
        <v>41</v>
      </c>
      <c r="G365">
        <v>179</v>
      </c>
      <c r="H365" t="s">
        <v>93</v>
      </c>
      <c r="I365" t="s">
        <v>89</v>
      </c>
      <c r="J365" t="s">
        <v>13</v>
      </c>
      <c r="K365" t="s">
        <v>14</v>
      </c>
      <c r="L365" s="36">
        <f ca="1">IF(C365&lt;&gt;"Yes",0,IF(A365=2025,N('2025'!D179),IF(A365=2026,N('2026'!D179),IF(A365=2027,N('2027'!D179),IF(A365=2028,N('2028'!D179),IF(A365=2029,N('2029'!D179),IF(A365=2030,N('2030'!D179),IF(A365=2031,N('2031'!D179),IF(A365=2032,N('2032'!D179),IF(A365=2033,N('2033'!D179),IF(A365=2034,N('2034'!D179),IFERROR(N(INDIRECT("'"&amp;A365&amp;"'!D"&amp;G365)),0))))))))))))</f>
        <v>0</v>
      </c>
      <c r="M365" s="36">
        <f>IFERROR(IF(NOT(ISBLANK(KPI_TARGETS!$H$7)),KPI_TARGETS!$H$7,IF(NOT(ISBLANK(KPI_TARGETS!$F$7)),KPI_TARGETS!$F$7,"")),"")</f>
        <v>8000</v>
      </c>
      <c r="N365" s="36" t="str">
        <f>IFERROR(KPI_TARGETS!$E$7,"Higher is better")</f>
        <v>Higher is better</v>
      </c>
      <c r="O365" s="37">
        <f t="shared" ca="1" si="30"/>
        <v>0</v>
      </c>
      <c r="P365" t="str">
        <f t="shared" ca="1" si="31"/>
        <v>Red</v>
      </c>
      <c r="Q365" s="36">
        <f t="shared" ca="1" si="32"/>
        <v>-8000</v>
      </c>
      <c r="R365" s="36" t="str">
        <f>""</f>
        <v/>
      </c>
      <c r="S365" s="36" t="str">
        <f>""</f>
        <v/>
      </c>
      <c r="T365" s="36" t="str">
        <f>""</f>
        <v/>
      </c>
      <c r="U365" s="36" t="str">
        <f>""</f>
        <v/>
      </c>
      <c r="V365" s="36" t="str">
        <f>""</f>
        <v/>
      </c>
      <c r="W365" s="36">
        <f t="shared" si="33"/>
        <v>1</v>
      </c>
      <c r="X365" t="str">
        <f t="shared" si="34"/>
        <v>OK</v>
      </c>
      <c r="Y365" t="str">
        <f>IF(MAIN!$H$3="Selected Year",IF(A365=MAIN!$B$3,"Yes","No"),IF(MAIN!$H$3="Included Years",IF(D365="Yes","Yes","No"),IF(C365="Yes","Yes","No")))</f>
        <v>No</v>
      </c>
      <c r="Z365" t="str">
        <f>IF(MAIN!$F$3="Project to Date",IF(AND(A365&gt;=SETTINGS!$B$4,A365&lt;MAIN!$B$3),"Yes",IF(AND(A365=MAIN!$B$3,E365&lt;=MAIN!$L$3),"Yes","No")),IF(OR(MAIN!$F$3="Full Year",MAIN!$D$3="All"),"Yes",IF(MAIN!$F$3="Monthly",IF(E365=MAIN!$L$3,"Yes","No"),IF(E365&lt;=MAIN!$L$3,"Yes","No"))))</f>
        <v>Yes</v>
      </c>
      <c r="AA365" t="str">
        <f t="shared" si="35"/>
        <v>No</v>
      </c>
    </row>
    <row r="366" spans="1:27" x14ac:dyDescent="0.3">
      <c r="A366">
        <f>INDEX(SETTINGS!$A$15:$A$24,$B366)</f>
        <v>2026</v>
      </c>
      <c r="B366">
        <v>2</v>
      </c>
      <c r="C366" t="str">
        <f>IF(AND(A366&gt;=SETTINGS!$B$4,A366&lt;=SETTINGS!$B$5),"Yes","No")</f>
        <v>Yes</v>
      </c>
      <c r="D366" t="str">
        <f>IFERROR(INDEX(SETTINGS!$C$15:$C$24,MATCH(A366,SETTINGS!$A$15:$A$24,0)),"No")</f>
        <v>Yes</v>
      </c>
      <c r="E366">
        <v>8</v>
      </c>
      <c r="F366" t="s">
        <v>41</v>
      </c>
      <c r="G366">
        <v>181</v>
      </c>
      <c r="H366" t="s">
        <v>95</v>
      </c>
      <c r="I366" t="s">
        <v>15</v>
      </c>
      <c r="J366" t="s">
        <v>16</v>
      </c>
      <c r="K366" t="s">
        <v>3</v>
      </c>
      <c r="L366" s="36">
        <f ca="1">IF(C366&lt;&gt;"Yes",0,IF(A366=2025,N('2025'!D181),IF(A366=2026,N('2026'!D181),IF(A366=2027,N('2027'!D181),IF(A366=2028,N('2028'!D181),IF(A366=2029,N('2029'!D181),IF(A366=2030,N('2030'!D181),IF(A366=2031,N('2031'!D181),IF(A366=2032,N('2032'!D181),IF(A366=2033,N('2033'!D181),IF(A366=2034,N('2034'!D181),IFERROR(N(INDIRECT("'"&amp;A366&amp;"'!D"&amp;G366)),0))))))))))))</f>
        <v>0</v>
      </c>
      <c r="M366" s="36">
        <f>IFERROR(IF(NOT(ISBLANK(KPI_TARGETS!$H$8)),KPI_TARGETS!$H$8,IF(NOT(ISBLANK(KPI_TARGETS!$F$8)),KPI_TARGETS!$F$8,"")),"")</f>
        <v>0</v>
      </c>
      <c r="N366" s="36" t="str">
        <f>IFERROR(KPI_TARGETS!$E$8,"Higher is better")</f>
        <v>Lower is better</v>
      </c>
      <c r="O366" s="37">
        <f t="shared" ca="1" si="30"/>
        <v>1</v>
      </c>
      <c r="P366" t="str">
        <f t="shared" ca="1" si="31"/>
        <v>Green</v>
      </c>
      <c r="Q366" s="36">
        <f t="shared" ca="1" si="32"/>
        <v>0</v>
      </c>
      <c r="R366" s="36" t="str">
        <f>""</f>
        <v/>
      </c>
      <c r="S366" s="36" t="str">
        <f>""</f>
        <v/>
      </c>
      <c r="T366" s="36" t="str">
        <f>""</f>
        <v/>
      </c>
      <c r="U366" s="36" t="str">
        <f>""</f>
        <v/>
      </c>
      <c r="V366" s="36" t="str">
        <f>""</f>
        <v/>
      </c>
      <c r="W366" s="36">
        <f t="shared" si="33"/>
        <v>1</v>
      </c>
      <c r="X366" t="str">
        <f t="shared" si="34"/>
        <v>OK</v>
      </c>
      <c r="Y366" t="str">
        <f>IF(MAIN!$H$3="Selected Year",IF(A366=MAIN!$B$3,"Yes","No"),IF(MAIN!$H$3="Included Years",IF(D366="Yes","Yes","No"),IF(C366="Yes","Yes","No")))</f>
        <v>No</v>
      </c>
      <c r="Z366" t="str">
        <f>IF(MAIN!$F$3="Project to Date",IF(AND(A366&gt;=SETTINGS!$B$4,A366&lt;MAIN!$B$3),"Yes",IF(AND(A366=MAIN!$B$3,E366&lt;=MAIN!$L$3),"Yes","No")),IF(OR(MAIN!$F$3="Full Year",MAIN!$D$3="All"),"Yes",IF(MAIN!$F$3="Monthly",IF(E366=MAIN!$L$3,"Yes","No"),IF(E366&lt;=MAIN!$L$3,"Yes","No"))))</f>
        <v>Yes</v>
      </c>
      <c r="AA366" t="str">
        <f t="shared" si="35"/>
        <v>No</v>
      </c>
    </row>
    <row r="367" spans="1:27" x14ac:dyDescent="0.3">
      <c r="A367">
        <f>INDEX(SETTINGS!$A$15:$A$24,$B367)</f>
        <v>2026</v>
      </c>
      <c r="B367">
        <v>2</v>
      </c>
      <c r="C367" t="str">
        <f>IF(AND(A367&gt;=SETTINGS!$B$4,A367&lt;=SETTINGS!$B$5),"Yes","No")</f>
        <v>Yes</v>
      </c>
      <c r="D367" t="str">
        <f>IFERROR(INDEX(SETTINGS!$C$15:$C$24,MATCH(A367,SETTINGS!$A$15:$A$24,0)),"No")</f>
        <v>Yes</v>
      </c>
      <c r="E367">
        <v>8</v>
      </c>
      <c r="F367" t="s">
        <v>41</v>
      </c>
      <c r="G367">
        <v>182</v>
      </c>
      <c r="H367" t="s">
        <v>97</v>
      </c>
      <c r="I367" t="s">
        <v>15</v>
      </c>
      <c r="J367" t="s">
        <v>17</v>
      </c>
      <c r="K367" t="s">
        <v>3</v>
      </c>
      <c r="L367" s="36">
        <f ca="1">IF(C367&lt;&gt;"Yes",0,IF(A367=2025,N('2025'!D182),IF(A367=2026,N('2026'!D182),IF(A367=2027,N('2027'!D182),IF(A367=2028,N('2028'!D182),IF(A367=2029,N('2029'!D182),IF(A367=2030,N('2030'!D182),IF(A367=2031,N('2031'!D182),IF(A367=2032,N('2032'!D182),IF(A367=2033,N('2033'!D182),IF(A367=2034,N('2034'!D182),IFERROR(N(INDIRECT("'"&amp;A367&amp;"'!D"&amp;G367)),0))))))))))))</f>
        <v>0</v>
      </c>
      <c r="M367" s="36">
        <f>IFERROR(IF(NOT(ISBLANK(KPI_TARGETS!$H$9)),KPI_TARGETS!$H$9,IF(NOT(ISBLANK(KPI_TARGETS!$F$9)),KPI_TARGETS!$F$9,"")),"")</f>
        <v>0</v>
      </c>
      <c r="N367" s="36" t="str">
        <f>IFERROR(KPI_TARGETS!$E$9,"Higher is better")</f>
        <v>Higher is better</v>
      </c>
      <c r="O367" s="37" t="str">
        <f t="shared" ca="1" si="30"/>
        <v/>
      </c>
      <c r="P367" t="str">
        <f t="shared" ca="1" si="31"/>
        <v>Green</v>
      </c>
      <c r="Q367" s="36">
        <f t="shared" ca="1" si="32"/>
        <v>0</v>
      </c>
      <c r="R367" s="36" t="str">
        <f>""</f>
        <v/>
      </c>
      <c r="S367" s="36" t="str">
        <f>""</f>
        <v/>
      </c>
      <c r="T367" s="36" t="str">
        <f>""</f>
        <v/>
      </c>
      <c r="U367" s="36" t="str">
        <f>""</f>
        <v/>
      </c>
      <c r="V367" s="36" t="str">
        <f>""</f>
        <v/>
      </c>
      <c r="W367" s="36">
        <f t="shared" si="33"/>
        <v>1</v>
      </c>
      <c r="X367" t="str">
        <f t="shared" si="34"/>
        <v>OK</v>
      </c>
      <c r="Y367" t="str">
        <f>IF(MAIN!$H$3="Selected Year",IF(A367=MAIN!$B$3,"Yes","No"),IF(MAIN!$H$3="Included Years",IF(D367="Yes","Yes","No"),IF(C367="Yes","Yes","No")))</f>
        <v>No</v>
      </c>
      <c r="Z367" t="str">
        <f>IF(MAIN!$F$3="Project to Date",IF(AND(A367&gt;=SETTINGS!$B$4,A367&lt;MAIN!$B$3),"Yes",IF(AND(A367=MAIN!$B$3,E367&lt;=MAIN!$L$3),"Yes","No")),IF(OR(MAIN!$F$3="Full Year",MAIN!$D$3="All"),"Yes",IF(MAIN!$F$3="Monthly",IF(E367=MAIN!$L$3,"Yes","No"),IF(E367&lt;=MAIN!$L$3,"Yes","No"))))</f>
        <v>Yes</v>
      </c>
      <c r="AA367" t="str">
        <f t="shared" si="35"/>
        <v>No</v>
      </c>
    </row>
    <row r="368" spans="1:27" x14ac:dyDescent="0.3">
      <c r="A368">
        <f>INDEX(SETTINGS!$A$15:$A$24,$B368)</f>
        <v>2026</v>
      </c>
      <c r="B368">
        <v>2</v>
      </c>
      <c r="C368" t="str">
        <f>IF(AND(A368&gt;=SETTINGS!$B$4,A368&lt;=SETTINGS!$B$5),"Yes","No")</f>
        <v>Yes</v>
      </c>
      <c r="D368" t="str">
        <f>IFERROR(INDEX(SETTINGS!$C$15:$C$24,MATCH(A368,SETTINGS!$A$15:$A$24,0)),"No")</f>
        <v>Yes</v>
      </c>
      <c r="E368">
        <v>8</v>
      </c>
      <c r="F368" t="s">
        <v>41</v>
      </c>
      <c r="G368">
        <v>183</v>
      </c>
      <c r="H368" t="s">
        <v>99</v>
      </c>
      <c r="I368" t="s">
        <v>15</v>
      </c>
      <c r="J368" t="s">
        <v>18</v>
      </c>
      <c r="K368" t="s">
        <v>3</v>
      </c>
      <c r="L368" s="36">
        <f ca="1">IF(C368&lt;&gt;"Yes",0,IF(A368=2025,N('2025'!D183),IF(A368=2026,N('2026'!D183),IF(A368=2027,N('2027'!D183),IF(A368=2028,N('2028'!D183),IF(A368=2029,N('2029'!D183),IF(A368=2030,N('2030'!D183),IF(A368=2031,N('2031'!D183),IF(A368=2032,N('2032'!D183),IF(A368=2033,N('2033'!D183),IF(A368=2034,N('2034'!D183),IFERROR(N(INDIRECT("'"&amp;A368&amp;"'!D"&amp;G368)),0))))))))))))</f>
        <v>0</v>
      </c>
      <c r="M368" s="36">
        <f>IFERROR(IF(NOT(ISBLANK(KPI_TARGETS!$H$10)),KPI_TARGETS!$H$10,IF(NOT(ISBLANK(KPI_TARGETS!$F$10)),KPI_TARGETS!$F$10,"")),"")</f>
        <v>0</v>
      </c>
      <c r="N368" s="36" t="str">
        <f>IFERROR(KPI_TARGETS!$E$10,"Higher is better")</f>
        <v>Lower is better</v>
      </c>
      <c r="O368" s="37">
        <f t="shared" ca="1" si="30"/>
        <v>1</v>
      </c>
      <c r="P368" t="str">
        <f t="shared" ca="1" si="31"/>
        <v>Green</v>
      </c>
      <c r="Q368" s="36">
        <f t="shared" ca="1" si="32"/>
        <v>0</v>
      </c>
      <c r="R368" s="36" t="str">
        <f>""</f>
        <v/>
      </c>
      <c r="S368" s="36" t="str">
        <f>""</f>
        <v/>
      </c>
      <c r="T368" s="36" t="str">
        <f>""</f>
        <v/>
      </c>
      <c r="U368" s="36" t="str">
        <f>""</f>
        <v/>
      </c>
      <c r="V368" s="36" t="str">
        <f>""</f>
        <v/>
      </c>
      <c r="W368" s="36">
        <f t="shared" si="33"/>
        <v>1</v>
      </c>
      <c r="X368" t="str">
        <f t="shared" si="34"/>
        <v>OK</v>
      </c>
      <c r="Y368" t="str">
        <f>IF(MAIN!$H$3="Selected Year",IF(A368=MAIN!$B$3,"Yes","No"),IF(MAIN!$H$3="Included Years",IF(D368="Yes","Yes","No"),IF(C368="Yes","Yes","No")))</f>
        <v>No</v>
      </c>
      <c r="Z368" t="str">
        <f>IF(MAIN!$F$3="Project to Date",IF(AND(A368&gt;=SETTINGS!$B$4,A368&lt;MAIN!$B$3),"Yes",IF(AND(A368=MAIN!$B$3,E368&lt;=MAIN!$L$3),"Yes","No")),IF(OR(MAIN!$F$3="Full Year",MAIN!$D$3="All"),"Yes",IF(MAIN!$F$3="Monthly",IF(E368=MAIN!$L$3,"Yes","No"),IF(E368&lt;=MAIN!$L$3,"Yes","No"))))</f>
        <v>Yes</v>
      </c>
      <c r="AA368" t="str">
        <f t="shared" si="35"/>
        <v>No</v>
      </c>
    </row>
    <row r="369" spans="1:27" x14ac:dyDescent="0.3">
      <c r="A369">
        <f>INDEX(SETTINGS!$A$15:$A$24,$B369)</f>
        <v>2026</v>
      </c>
      <c r="B369">
        <v>2</v>
      </c>
      <c r="C369" t="str">
        <f>IF(AND(A369&gt;=SETTINGS!$B$4,A369&lt;=SETTINGS!$B$5),"Yes","No")</f>
        <v>Yes</v>
      </c>
      <c r="D369" t="str">
        <f>IFERROR(INDEX(SETTINGS!$C$15:$C$24,MATCH(A369,SETTINGS!$A$15:$A$24,0)),"No")</f>
        <v>Yes</v>
      </c>
      <c r="E369">
        <v>8</v>
      </c>
      <c r="F369" t="s">
        <v>41</v>
      </c>
      <c r="G369">
        <v>184</v>
      </c>
      <c r="H369" t="s">
        <v>100</v>
      </c>
      <c r="I369" t="s">
        <v>15</v>
      </c>
      <c r="J369" t="s">
        <v>19</v>
      </c>
      <c r="K369" t="s">
        <v>3</v>
      </c>
      <c r="L369" s="36">
        <f ca="1">IF(C369&lt;&gt;"Yes",0,IF(A369=2025,N('2025'!D184),IF(A369=2026,N('2026'!D184),IF(A369=2027,N('2027'!D184),IF(A369=2028,N('2028'!D184),IF(A369=2029,N('2029'!D184),IF(A369=2030,N('2030'!D184),IF(A369=2031,N('2031'!D184),IF(A369=2032,N('2032'!D184),IF(A369=2033,N('2033'!D184),IF(A369=2034,N('2034'!D184),IFERROR(N(INDIRECT("'"&amp;A369&amp;"'!D"&amp;G369)),0))))))))))))</f>
        <v>0</v>
      </c>
      <c r="M369" s="36">
        <f>IFERROR(IF(NOT(ISBLANK(KPI_TARGETS!$H$11)),KPI_TARGETS!$H$11,IF(NOT(ISBLANK(KPI_TARGETS!$F$11)),KPI_TARGETS!$F$11,"")),"")</f>
        <v>0</v>
      </c>
      <c r="N369" s="36" t="str">
        <f>IFERROR(KPI_TARGETS!$E$11,"Higher is better")</f>
        <v>Lower is better</v>
      </c>
      <c r="O369" s="37">
        <f t="shared" ca="1" si="30"/>
        <v>1</v>
      </c>
      <c r="P369" t="str">
        <f t="shared" ca="1" si="31"/>
        <v>Green</v>
      </c>
      <c r="Q369" s="36">
        <f t="shared" ca="1" si="32"/>
        <v>0</v>
      </c>
      <c r="R369" s="36" t="str">
        <f>""</f>
        <v/>
      </c>
      <c r="S369" s="36" t="str">
        <f>""</f>
        <v/>
      </c>
      <c r="T369" s="36" t="str">
        <f>""</f>
        <v/>
      </c>
      <c r="U369" s="36" t="str">
        <f>""</f>
        <v/>
      </c>
      <c r="V369" s="36" t="str">
        <f>""</f>
        <v/>
      </c>
      <c r="W369" s="36">
        <f t="shared" si="33"/>
        <v>1</v>
      </c>
      <c r="X369" t="str">
        <f t="shared" si="34"/>
        <v>OK</v>
      </c>
      <c r="Y369" t="str">
        <f>IF(MAIN!$H$3="Selected Year",IF(A369=MAIN!$B$3,"Yes","No"),IF(MAIN!$H$3="Included Years",IF(D369="Yes","Yes","No"),IF(C369="Yes","Yes","No")))</f>
        <v>No</v>
      </c>
      <c r="Z369" t="str">
        <f>IF(MAIN!$F$3="Project to Date",IF(AND(A369&gt;=SETTINGS!$B$4,A369&lt;MAIN!$B$3),"Yes",IF(AND(A369=MAIN!$B$3,E369&lt;=MAIN!$L$3),"Yes","No")),IF(OR(MAIN!$F$3="Full Year",MAIN!$D$3="All"),"Yes",IF(MAIN!$F$3="Monthly",IF(E369=MAIN!$L$3,"Yes","No"),IF(E369&lt;=MAIN!$L$3,"Yes","No"))))</f>
        <v>Yes</v>
      </c>
      <c r="AA369" t="str">
        <f t="shared" si="35"/>
        <v>No</v>
      </c>
    </row>
    <row r="370" spans="1:27" x14ac:dyDescent="0.3">
      <c r="A370">
        <f>INDEX(SETTINGS!$A$15:$A$24,$B370)</f>
        <v>2026</v>
      </c>
      <c r="B370">
        <v>2</v>
      </c>
      <c r="C370" t="str">
        <f>IF(AND(A370&gt;=SETTINGS!$B$4,A370&lt;=SETTINGS!$B$5),"Yes","No")</f>
        <v>Yes</v>
      </c>
      <c r="D370" t="str">
        <f>IFERROR(INDEX(SETTINGS!$C$15:$C$24,MATCH(A370,SETTINGS!$A$15:$A$24,0)),"No")</f>
        <v>Yes</v>
      </c>
      <c r="E370">
        <v>8</v>
      </c>
      <c r="F370" t="s">
        <v>41</v>
      </c>
      <c r="G370">
        <v>185</v>
      </c>
      <c r="H370" t="s">
        <v>101</v>
      </c>
      <c r="I370" t="s">
        <v>15</v>
      </c>
      <c r="J370" t="s">
        <v>20</v>
      </c>
      <c r="K370" t="s">
        <v>3</v>
      </c>
      <c r="L370" s="36">
        <f ca="1">IF(C370&lt;&gt;"Yes",0,IF(A370=2025,N('2025'!D185),IF(A370=2026,N('2026'!D185),IF(A370=2027,N('2027'!D185),IF(A370=2028,N('2028'!D185),IF(A370=2029,N('2029'!D185),IF(A370=2030,N('2030'!D185),IF(A370=2031,N('2031'!D185),IF(A370=2032,N('2032'!D185),IF(A370=2033,N('2033'!D185),IF(A370=2034,N('2034'!D185),IFERROR(N(INDIRECT("'"&amp;A370&amp;"'!D"&amp;G370)),0))))))))))))</f>
        <v>0</v>
      </c>
      <c r="M370" s="36">
        <f>IFERROR(IF(NOT(ISBLANK(KPI_TARGETS!$H$12)),KPI_TARGETS!$H$12,IF(NOT(ISBLANK(KPI_TARGETS!$F$12)),KPI_TARGETS!$F$12,"")),"")</f>
        <v>0</v>
      </c>
      <c r="N370" s="36" t="str">
        <f>IFERROR(KPI_TARGETS!$E$12,"Higher is better")</f>
        <v>Lower is better</v>
      </c>
      <c r="O370" s="37">
        <f t="shared" ca="1" si="30"/>
        <v>1</v>
      </c>
      <c r="P370" t="str">
        <f t="shared" ca="1" si="31"/>
        <v>Green</v>
      </c>
      <c r="Q370" s="36">
        <f t="shared" ca="1" si="32"/>
        <v>0</v>
      </c>
      <c r="R370" s="36" t="str">
        <f>""</f>
        <v/>
      </c>
      <c r="S370" s="36" t="str">
        <f>""</f>
        <v/>
      </c>
      <c r="T370" s="36" t="str">
        <f>""</f>
        <v/>
      </c>
      <c r="U370" s="36" t="str">
        <f>""</f>
        <v/>
      </c>
      <c r="V370" s="36" t="str">
        <f>""</f>
        <v/>
      </c>
      <c r="W370" s="36">
        <f t="shared" si="33"/>
        <v>1</v>
      </c>
      <c r="X370" t="str">
        <f t="shared" si="34"/>
        <v>OK</v>
      </c>
      <c r="Y370" t="str">
        <f>IF(MAIN!$H$3="Selected Year",IF(A370=MAIN!$B$3,"Yes","No"),IF(MAIN!$H$3="Included Years",IF(D370="Yes","Yes","No"),IF(C370="Yes","Yes","No")))</f>
        <v>No</v>
      </c>
      <c r="Z370" t="str">
        <f>IF(MAIN!$F$3="Project to Date",IF(AND(A370&gt;=SETTINGS!$B$4,A370&lt;MAIN!$B$3),"Yes",IF(AND(A370=MAIN!$B$3,E370&lt;=MAIN!$L$3),"Yes","No")),IF(OR(MAIN!$F$3="Full Year",MAIN!$D$3="All"),"Yes",IF(MAIN!$F$3="Monthly",IF(E370=MAIN!$L$3,"Yes","No"),IF(E370&lt;=MAIN!$L$3,"Yes","No"))))</f>
        <v>Yes</v>
      </c>
      <c r="AA370" t="str">
        <f t="shared" si="35"/>
        <v>No</v>
      </c>
    </row>
    <row r="371" spans="1:27" x14ac:dyDescent="0.3">
      <c r="A371">
        <f>INDEX(SETTINGS!$A$15:$A$24,$B371)</f>
        <v>2026</v>
      </c>
      <c r="B371">
        <v>2</v>
      </c>
      <c r="C371" t="str">
        <f>IF(AND(A371&gt;=SETTINGS!$B$4,A371&lt;=SETTINGS!$B$5),"Yes","No")</f>
        <v>Yes</v>
      </c>
      <c r="D371" t="str">
        <f>IFERROR(INDEX(SETTINGS!$C$15:$C$24,MATCH(A371,SETTINGS!$A$15:$A$24,0)),"No")</f>
        <v>Yes</v>
      </c>
      <c r="E371">
        <v>8</v>
      </c>
      <c r="F371" t="s">
        <v>41</v>
      </c>
      <c r="G371">
        <v>186</v>
      </c>
      <c r="H371" t="s">
        <v>102</v>
      </c>
      <c r="I371" t="s">
        <v>15</v>
      </c>
      <c r="J371" t="s">
        <v>21</v>
      </c>
      <c r="K371" t="s">
        <v>3</v>
      </c>
      <c r="L371" s="36">
        <f ca="1">IF(C371&lt;&gt;"Yes",0,IF(A371=2025,N('2025'!D186),IF(A371=2026,N('2026'!D186),IF(A371=2027,N('2027'!D186),IF(A371=2028,N('2028'!D186),IF(A371=2029,N('2029'!D186),IF(A371=2030,N('2030'!D186),IF(A371=2031,N('2031'!D186),IF(A371=2032,N('2032'!D186),IF(A371=2033,N('2033'!D186),IF(A371=2034,N('2034'!D186),IFERROR(N(INDIRECT("'"&amp;A371&amp;"'!D"&amp;G371)),0))))))))))))</f>
        <v>0</v>
      </c>
      <c r="M371" s="36">
        <f>IFERROR(IF(NOT(ISBLANK(KPI_TARGETS!$H$13)),KPI_TARGETS!$H$13,IF(NOT(ISBLANK(KPI_TARGETS!$F$13)),KPI_TARGETS!$F$13,"")),"")</f>
        <v>0</v>
      </c>
      <c r="N371" s="36" t="str">
        <f>IFERROR(KPI_TARGETS!$E$13,"Higher is better")</f>
        <v>Lower is better</v>
      </c>
      <c r="O371" s="37">
        <f t="shared" ca="1" si="30"/>
        <v>1</v>
      </c>
      <c r="P371" t="str">
        <f t="shared" ca="1" si="31"/>
        <v>Green</v>
      </c>
      <c r="Q371" s="36">
        <f t="shared" ca="1" si="32"/>
        <v>0</v>
      </c>
      <c r="R371" s="36" t="str">
        <f>""</f>
        <v/>
      </c>
      <c r="S371" s="36" t="str">
        <f>""</f>
        <v/>
      </c>
      <c r="T371" s="36" t="str">
        <f>""</f>
        <v/>
      </c>
      <c r="U371" s="36" t="str">
        <f>""</f>
        <v/>
      </c>
      <c r="V371" s="36" t="str">
        <f>""</f>
        <v/>
      </c>
      <c r="W371" s="36">
        <f t="shared" si="33"/>
        <v>1</v>
      </c>
      <c r="X371" t="str">
        <f t="shared" si="34"/>
        <v>OK</v>
      </c>
      <c r="Y371" t="str">
        <f>IF(MAIN!$H$3="Selected Year",IF(A371=MAIN!$B$3,"Yes","No"),IF(MAIN!$H$3="Included Years",IF(D371="Yes","Yes","No"),IF(C371="Yes","Yes","No")))</f>
        <v>No</v>
      </c>
      <c r="Z371" t="str">
        <f>IF(MAIN!$F$3="Project to Date",IF(AND(A371&gt;=SETTINGS!$B$4,A371&lt;MAIN!$B$3),"Yes",IF(AND(A371=MAIN!$B$3,E371&lt;=MAIN!$L$3),"Yes","No")),IF(OR(MAIN!$F$3="Full Year",MAIN!$D$3="All"),"Yes",IF(MAIN!$F$3="Monthly",IF(E371=MAIN!$L$3,"Yes","No"),IF(E371&lt;=MAIN!$L$3,"Yes","No"))))</f>
        <v>Yes</v>
      </c>
      <c r="AA371" t="str">
        <f t="shared" si="35"/>
        <v>No</v>
      </c>
    </row>
    <row r="372" spans="1:27" x14ac:dyDescent="0.3">
      <c r="A372">
        <f>INDEX(SETTINGS!$A$15:$A$24,$B372)</f>
        <v>2026</v>
      </c>
      <c r="B372">
        <v>2</v>
      </c>
      <c r="C372" t="str">
        <f>IF(AND(A372&gt;=SETTINGS!$B$4,A372&lt;=SETTINGS!$B$5),"Yes","No")</f>
        <v>Yes</v>
      </c>
      <c r="D372" t="str">
        <f>IFERROR(INDEX(SETTINGS!$C$15:$C$24,MATCH(A372,SETTINGS!$A$15:$A$24,0)),"No")</f>
        <v>Yes</v>
      </c>
      <c r="E372">
        <v>8</v>
      </c>
      <c r="F372" t="s">
        <v>41</v>
      </c>
      <c r="G372">
        <v>188</v>
      </c>
      <c r="H372" t="s">
        <v>103</v>
      </c>
      <c r="I372" t="s">
        <v>22</v>
      </c>
      <c r="J372" t="s">
        <v>23</v>
      </c>
      <c r="K372" t="s">
        <v>3</v>
      </c>
      <c r="L372" s="36">
        <f ca="1">IF(C372&lt;&gt;"Yes",0,IF(A372=2025,N('2025'!D188),IF(A372=2026,N('2026'!D188),IF(A372=2027,N('2027'!D188),IF(A372=2028,N('2028'!D188),IF(A372=2029,N('2029'!D188),IF(A372=2030,N('2030'!D188),IF(A372=2031,N('2031'!D188),IF(A372=2032,N('2032'!D188),IF(A372=2033,N('2033'!D188),IF(A372=2034,N('2034'!D188),IFERROR(N(INDIRECT("'"&amp;A372&amp;"'!D"&amp;G372)),0))))))))))))</f>
        <v>55</v>
      </c>
      <c r="M372" s="36">
        <f>IFERROR(IF(NOT(ISBLANK(KPI_TARGETS!$H$14)),KPI_TARGETS!$H$14,IF(NOT(ISBLANK(KPI_TARGETS!$F$14)),KPI_TARGETS!$F$14,"")),"")</f>
        <v>35</v>
      </c>
      <c r="N372" s="36" t="str">
        <f>IFERROR(KPI_TARGETS!$E$14,"Higher is better")</f>
        <v>Higher is better</v>
      </c>
      <c r="O372" s="37">
        <f t="shared" ca="1" si="30"/>
        <v>1.5714285714285714</v>
      </c>
      <c r="P372" t="str">
        <f t="shared" ca="1" si="31"/>
        <v>Green</v>
      </c>
      <c r="Q372" s="36">
        <f t="shared" ca="1" si="32"/>
        <v>20</v>
      </c>
      <c r="R372" s="36" t="str">
        <f>""</f>
        <v/>
      </c>
      <c r="S372" s="36" t="str">
        <f>""</f>
        <v/>
      </c>
      <c r="T372" s="36" t="str">
        <f>""</f>
        <v/>
      </c>
      <c r="U372" s="36" t="str">
        <f>""</f>
        <v/>
      </c>
      <c r="V372" s="36" t="str">
        <f>""</f>
        <v/>
      </c>
      <c r="W372" s="36">
        <f t="shared" si="33"/>
        <v>1</v>
      </c>
      <c r="X372" t="str">
        <f t="shared" si="34"/>
        <v>OK</v>
      </c>
      <c r="Y372" t="str">
        <f>IF(MAIN!$H$3="Selected Year",IF(A372=MAIN!$B$3,"Yes","No"),IF(MAIN!$H$3="Included Years",IF(D372="Yes","Yes","No"),IF(C372="Yes","Yes","No")))</f>
        <v>No</v>
      </c>
      <c r="Z372" t="str">
        <f>IF(MAIN!$F$3="Project to Date",IF(AND(A372&gt;=SETTINGS!$B$4,A372&lt;MAIN!$B$3),"Yes",IF(AND(A372=MAIN!$B$3,E372&lt;=MAIN!$L$3),"Yes","No")),IF(OR(MAIN!$F$3="Full Year",MAIN!$D$3="All"),"Yes",IF(MAIN!$F$3="Monthly",IF(E372=MAIN!$L$3,"Yes","No"),IF(E372&lt;=MAIN!$L$3,"Yes","No"))))</f>
        <v>Yes</v>
      </c>
      <c r="AA372" t="str">
        <f t="shared" si="35"/>
        <v>No</v>
      </c>
    </row>
    <row r="373" spans="1:27" x14ac:dyDescent="0.3">
      <c r="A373">
        <f>INDEX(SETTINGS!$A$15:$A$24,$B373)</f>
        <v>2026</v>
      </c>
      <c r="B373">
        <v>2</v>
      </c>
      <c r="C373" t="str">
        <f>IF(AND(A373&gt;=SETTINGS!$B$4,A373&lt;=SETTINGS!$B$5),"Yes","No")</f>
        <v>Yes</v>
      </c>
      <c r="D373" t="str">
        <f>IFERROR(INDEX(SETTINGS!$C$15:$C$24,MATCH(A373,SETTINGS!$A$15:$A$24,0)),"No")</f>
        <v>Yes</v>
      </c>
      <c r="E373">
        <v>8</v>
      </c>
      <c r="F373" t="s">
        <v>41</v>
      </c>
      <c r="G373">
        <v>189</v>
      </c>
      <c r="H373" t="s">
        <v>104</v>
      </c>
      <c r="I373" t="s">
        <v>22</v>
      </c>
      <c r="J373" t="s">
        <v>24</v>
      </c>
      <c r="K373" t="s">
        <v>3</v>
      </c>
      <c r="L373" s="36">
        <f ca="1">IF(C373&lt;&gt;"Yes",0,IF(A373=2025,N('2025'!D189),IF(A373=2026,N('2026'!D189),IF(A373=2027,N('2027'!D189),IF(A373=2028,N('2028'!D189),IF(A373=2029,N('2029'!D189),IF(A373=2030,N('2030'!D189),IF(A373=2031,N('2031'!D189),IF(A373=2032,N('2032'!D189),IF(A373=2033,N('2033'!D189),IF(A373=2034,N('2034'!D189),IFERROR(N(INDIRECT("'"&amp;A373&amp;"'!D"&amp;G373)),0))))))))))))</f>
        <v>4</v>
      </c>
      <c r="M373" s="36">
        <f>IFERROR(IF(NOT(ISBLANK(KPI_TARGETS!$H$15)),KPI_TARGETS!$H$15,IF(NOT(ISBLANK(KPI_TARGETS!$F$15)),KPI_TARGETS!$F$15,"")),"")</f>
        <v>5</v>
      </c>
      <c r="N373" s="36" t="str">
        <f>IFERROR(KPI_TARGETS!$E$15,"Higher is better")</f>
        <v>Higher is better</v>
      </c>
      <c r="O373" s="37">
        <f t="shared" ca="1" si="30"/>
        <v>0.8</v>
      </c>
      <c r="P373" t="str">
        <f t="shared" ca="1" si="31"/>
        <v>Amber</v>
      </c>
      <c r="Q373" s="36">
        <f t="shared" ca="1" si="32"/>
        <v>-1</v>
      </c>
      <c r="R373" s="36" t="str">
        <f>""</f>
        <v/>
      </c>
      <c r="S373" s="36" t="str">
        <f>""</f>
        <v/>
      </c>
      <c r="T373" s="36" t="str">
        <f>""</f>
        <v/>
      </c>
      <c r="U373" s="36" t="str">
        <f>""</f>
        <v/>
      </c>
      <c r="V373" s="36" t="str">
        <f>""</f>
        <v/>
      </c>
      <c r="W373" s="36">
        <f t="shared" si="33"/>
        <v>1</v>
      </c>
      <c r="X373" t="str">
        <f t="shared" si="34"/>
        <v>OK</v>
      </c>
      <c r="Y373" t="str">
        <f>IF(MAIN!$H$3="Selected Year",IF(A373=MAIN!$B$3,"Yes","No"),IF(MAIN!$H$3="Included Years",IF(D373="Yes","Yes","No"),IF(C373="Yes","Yes","No")))</f>
        <v>No</v>
      </c>
      <c r="Z373" t="str">
        <f>IF(MAIN!$F$3="Project to Date",IF(AND(A373&gt;=SETTINGS!$B$4,A373&lt;MAIN!$B$3),"Yes",IF(AND(A373=MAIN!$B$3,E373&lt;=MAIN!$L$3),"Yes","No")),IF(OR(MAIN!$F$3="Full Year",MAIN!$D$3="All"),"Yes",IF(MAIN!$F$3="Monthly",IF(E373=MAIN!$L$3,"Yes","No"),IF(E373&lt;=MAIN!$L$3,"Yes","No"))))</f>
        <v>Yes</v>
      </c>
      <c r="AA373" t="str">
        <f t="shared" si="35"/>
        <v>No</v>
      </c>
    </row>
    <row r="374" spans="1:27" x14ac:dyDescent="0.3">
      <c r="A374">
        <f>INDEX(SETTINGS!$A$15:$A$24,$B374)</f>
        <v>2026</v>
      </c>
      <c r="B374">
        <v>2</v>
      </c>
      <c r="C374" t="str">
        <f>IF(AND(A374&gt;=SETTINGS!$B$4,A374&lt;=SETTINGS!$B$5),"Yes","No")</f>
        <v>Yes</v>
      </c>
      <c r="D374" t="str">
        <f>IFERROR(INDEX(SETTINGS!$C$15:$C$24,MATCH(A374,SETTINGS!$A$15:$A$24,0)),"No")</f>
        <v>Yes</v>
      </c>
      <c r="E374">
        <v>8</v>
      </c>
      <c r="F374" t="s">
        <v>41</v>
      </c>
      <c r="G374">
        <v>190</v>
      </c>
      <c r="H374" t="s">
        <v>105</v>
      </c>
      <c r="I374" t="s">
        <v>22</v>
      </c>
      <c r="J374" t="s">
        <v>25</v>
      </c>
      <c r="K374" t="s">
        <v>3</v>
      </c>
      <c r="L374" s="36">
        <f ca="1">IF(C374&lt;&gt;"Yes",0,IF(A374=2025,N('2025'!D190),IF(A374=2026,N('2026'!D190),IF(A374=2027,N('2027'!D190),IF(A374=2028,N('2028'!D190),IF(A374=2029,N('2029'!D190),IF(A374=2030,N('2030'!D190),IF(A374=2031,N('2031'!D190),IF(A374=2032,N('2032'!D190),IF(A374=2033,N('2033'!D190),IF(A374=2034,N('2034'!D190),IFERROR(N(INDIRECT("'"&amp;A374&amp;"'!D"&amp;G374)),0))))))))))))</f>
        <v>4</v>
      </c>
      <c r="M374" s="36">
        <f>IFERROR(IF(NOT(ISBLANK(KPI_TARGETS!$H$16)),KPI_TARGETS!$H$16,IF(NOT(ISBLANK(KPI_TARGETS!$F$16)),KPI_TARGETS!$F$16,"")),"")</f>
        <v>4</v>
      </c>
      <c r="N374" s="36" t="str">
        <f>IFERROR(KPI_TARGETS!$E$16,"Higher is better")</f>
        <v>Higher is better</v>
      </c>
      <c r="O374" s="37">
        <f t="shared" ca="1" si="30"/>
        <v>1</v>
      </c>
      <c r="P374" t="str">
        <f t="shared" ca="1" si="31"/>
        <v>Green</v>
      </c>
      <c r="Q374" s="36">
        <f t="shared" ca="1" si="32"/>
        <v>0</v>
      </c>
      <c r="R374" s="36" t="str">
        <f>""</f>
        <v/>
      </c>
      <c r="S374" s="36" t="str">
        <f>""</f>
        <v/>
      </c>
      <c r="T374" s="36" t="str">
        <f>""</f>
        <v/>
      </c>
      <c r="U374" s="36" t="str">
        <f>""</f>
        <v/>
      </c>
      <c r="V374" s="36" t="str">
        <f>""</f>
        <v/>
      </c>
      <c r="W374" s="36">
        <f t="shared" si="33"/>
        <v>1</v>
      </c>
      <c r="X374" t="str">
        <f t="shared" si="34"/>
        <v>OK</v>
      </c>
      <c r="Y374" t="str">
        <f>IF(MAIN!$H$3="Selected Year",IF(A374=MAIN!$B$3,"Yes","No"),IF(MAIN!$H$3="Included Years",IF(D374="Yes","Yes","No"),IF(C374="Yes","Yes","No")))</f>
        <v>No</v>
      </c>
      <c r="Z374" t="str">
        <f>IF(MAIN!$F$3="Project to Date",IF(AND(A374&gt;=SETTINGS!$B$4,A374&lt;MAIN!$B$3),"Yes",IF(AND(A374=MAIN!$B$3,E374&lt;=MAIN!$L$3),"Yes","No")),IF(OR(MAIN!$F$3="Full Year",MAIN!$D$3="All"),"Yes",IF(MAIN!$F$3="Monthly",IF(E374=MAIN!$L$3,"Yes","No"),IF(E374&lt;=MAIN!$L$3,"Yes","No"))))</f>
        <v>Yes</v>
      </c>
      <c r="AA374" t="str">
        <f t="shared" si="35"/>
        <v>No</v>
      </c>
    </row>
    <row r="375" spans="1:27" x14ac:dyDescent="0.3">
      <c r="A375">
        <f>INDEX(SETTINGS!$A$15:$A$24,$B375)</f>
        <v>2026</v>
      </c>
      <c r="B375">
        <v>2</v>
      </c>
      <c r="C375" t="str">
        <f>IF(AND(A375&gt;=SETTINGS!$B$4,A375&lt;=SETTINGS!$B$5),"Yes","No")</f>
        <v>Yes</v>
      </c>
      <c r="D375" t="str">
        <f>IFERROR(INDEX(SETTINGS!$C$15:$C$24,MATCH(A375,SETTINGS!$A$15:$A$24,0)),"No")</f>
        <v>Yes</v>
      </c>
      <c r="E375">
        <v>8</v>
      </c>
      <c r="F375" t="s">
        <v>41</v>
      </c>
      <c r="G375">
        <v>191</v>
      </c>
      <c r="H375" t="s">
        <v>106</v>
      </c>
      <c r="I375" t="s">
        <v>22</v>
      </c>
      <c r="J375" t="s">
        <v>26</v>
      </c>
      <c r="K375" t="s">
        <v>3</v>
      </c>
      <c r="L375" s="36">
        <f ca="1">IF(C375&lt;&gt;"Yes",0,IF(A375=2025,N('2025'!D191),IF(A375=2026,N('2026'!D191),IF(A375=2027,N('2027'!D191),IF(A375=2028,N('2028'!D191),IF(A375=2029,N('2029'!D191),IF(A375=2030,N('2030'!D191),IF(A375=2031,N('2031'!D191),IF(A375=2032,N('2032'!D191),IF(A375=2033,N('2033'!D191),IF(A375=2034,N('2034'!D191),IFERROR(N(INDIRECT("'"&amp;A375&amp;"'!D"&amp;G375)),0))))))))))))</f>
        <v>20</v>
      </c>
      <c r="M375" s="36">
        <f>IFERROR(IF(NOT(ISBLANK(KPI_TARGETS!$H$17)),KPI_TARGETS!$H$17,IF(NOT(ISBLANK(KPI_TARGETS!$F$17)),KPI_TARGETS!$F$17,"")),"")</f>
        <v>12</v>
      </c>
      <c r="N375" s="36" t="str">
        <f>IFERROR(KPI_TARGETS!$E$17,"Higher is better")</f>
        <v>Higher is better</v>
      </c>
      <c r="O375" s="37">
        <f t="shared" ca="1" si="30"/>
        <v>1.6666666666666667</v>
      </c>
      <c r="P375" t="str">
        <f t="shared" ca="1" si="31"/>
        <v>Green</v>
      </c>
      <c r="Q375" s="36">
        <f t="shared" ca="1" si="32"/>
        <v>8</v>
      </c>
      <c r="R375" s="36" t="str">
        <f>""</f>
        <v/>
      </c>
      <c r="S375" s="36" t="str">
        <f>""</f>
        <v/>
      </c>
      <c r="T375" s="36" t="str">
        <f>""</f>
        <v/>
      </c>
      <c r="U375" s="36" t="str">
        <f>""</f>
        <v/>
      </c>
      <c r="V375" s="36" t="str">
        <f>""</f>
        <v/>
      </c>
      <c r="W375" s="36">
        <f t="shared" si="33"/>
        <v>1</v>
      </c>
      <c r="X375" t="str">
        <f t="shared" si="34"/>
        <v>OK</v>
      </c>
      <c r="Y375" t="str">
        <f>IF(MAIN!$H$3="Selected Year",IF(A375=MAIN!$B$3,"Yes","No"),IF(MAIN!$H$3="Included Years",IF(D375="Yes","Yes","No"),IF(C375="Yes","Yes","No")))</f>
        <v>No</v>
      </c>
      <c r="Z375" t="str">
        <f>IF(MAIN!$F$3="Project to Date",IF(AND(A375&gt;=SETTINGS!$B$4,A375&lt;MAIN!$B$3),"Yes",IF(AND(A375=MAIN!$B$3,E375&lt;=MAIN!$L$3),"Yes","No")),IF(OR(MAIN!$F$3="Full Year",MAIN!$D$3="All"),"Yes",IF(MAIN!$F$3="Monthly",IF(E375=MAIN!$L$3,"Yes","No"),IF(E375&lt;=MAIN!$L$3,"Yes","No"))))</f>
        <v>Yes</v>
      </c>
      <c r="AA375" t="str">
        <f t="shared" si="35"/>
        <v>No</v>
      </c>
    </row>
    <row r="376" spans="1:27" x14ac:dyDescent="0.3">
      <c r="A376">
        <f>INDEX(SETTINGS!$A$15:$A$24,$B376)</f>
        <v>2026</v>
      </c>
      <c r="B376">
        <v>2</v>
      </c>
      <c r="C376" t="str">
        <f>IF(AND(A376&gt;=SETTINGS!$B$4,A376&lt;=SETTINGS!$B$5),"Yes","No")</f>
        <v>Yes</v>
      </c>
      <c r="D376" t="str">
        <f>IFERROR(INDEX(SETTINGS!$C$15:$C$24,MATCH(A376,SETTINGS!$A$15:$A$24,0)),"No")</f>
        <v>Yes</v>
      </c>
      <c r="E376">
        <v>8</v>
      </c>
      <c r="F376" t="s">
        <v>41</v>
      </c>
      <c r="G376">
        <v>192</v>
      </c>
      <c r="H376" t="s">
        <v>107</v>
      </c>
      <c r="I376" t="s">
        <v>22</v>
      </c>
      <c r="J376" t="s">
        <v>27</v>
      </c>
      <c r="K376" t="s">
        <v>3</v>
      </c>
      <c r="L376" s="36">
        <f ca="1">IF(C376&lt;&gt;"Yes",0,IF(A376=2025,N('2025'!D192),IF(A376=2026,N('2026'!D192),IF(A376=2027,N('2027'!D192),IF(A376=2028,N('2028'!D192),IF(A376=2029,N('2029'!D192),IF(A376=2030,N('2030'!D192),IF(A376=2031,N('2031'!D192),IF(A376=2032,N('2032'!D192),IF(A376=2033,N('2033'!D192),IF(A376=2034,N('2034'!D192),IFERROR(N(INDIRECT("'"&amp;A376&amp;"'!D"&amp;G376)),0))))))))))))</f>
        <v>4</v>
      </c>
      <c r="M376" s="36">
        <f>IFERROR(IF(NOT(ISBLANK(KPI_TARGETS!$H$18)),KPI_TARGETS!$H$18,IF(NOT(ISBLANK(KPI_TARGETS!$F$18)),KPI_TARGETS!$F$18,"")),"")</f>
        <v>4</v>
      </c>
      <c r="N376" s="36" t="str">
        <f>IFERROR(KPI_TARGETS!$E$18,"Higher is better")</f>
        <v>Higher is better</v>
      </c>
      <c r="O376" s="37">
        <f t="shared" ca="1" si="30"/>
        <v>1</v>
      </c>
      <c r="P376" t="str">
        <f t="shared" ca="1" si="31"/>
        <v>Green</v>
      </c>
      <c r="Q376" s="36">
        <f t="shared" ca="1" si="32"/>
        <v>0</v>
      </c>
      <c r="R376" s="36" t="str">
        <f>""</f>
        <v/>
      </c>
      <c r="S376" s="36" t="str">
        <f>""</f>
        <v/>
      </c>
      <c r="T376" s="36" t="str">
        <f>""</f>
        <v/>
      </c>
      <c r="U376" s="36" t="str">
        <f>""</f>
        <v/>
      </c>
      <c r="V376" s="36" t="str">
        <f>""</f>
        <v/>
      </c>
      <c r="W376" s="36">
        <f t="shared" si="33"/>
        <v>1</v>
      </c>
      <c r="X376" t="str">
        <f t="shared" si="34"/>
        <v>OK</v>
      </c>
      <c r="Y376" t="str">
        <f>IF(MAIN!$H$3="Selected Year",IF(A376=MAIN!$B$3,"Yes","No"),IF(MAIN!$H$3="Included Years",IF(D376="Yes","Yes","No"),IF(C376="Yes","Yes","No")))</f>
        <v>No</v>
      </c>
      <c r="Z376" t="str">
        <f>IF(MAIN!$F$3="Project to Date",IF(AND(A376&gt;=SETTINGS!$B$4,A376&lt;MAIN!$B$3),"Yes",IF(AND(A376=MAIN!$B$3,E376&lt;=MAIN!$L$3),"Yes","No")),IF(OR(MAIN!$F$3="Full Year",MAIN!$D$3="All"),"Yes",IF(MAIN!$F$3="Monthly",IF(E376=MAIN!$L$3,"Yes","No"),IF(E376&lt;=MAIN!$L$3,"Yes","No"))))</f>
        <v>Yes</v>
      </c>
      <c r="AA376" t="str">
        <f t="shared" si="35"/>
        <v>No</v>
      </c>
    </row>
    <row r="377" spans="1:27" x14ac:dyDescent="0.3">
      <c r="A377">
        <f>INDEX(SETTINGS!$A$15:$A$24,$B377)</f>
        <v>2026</v>
      </c>
      <c r="B377">
        <v>2</v>
      </c>
      <c r="C377" t="str">
        <f>IF(AND(A377&gt;=SETTINGS!$B$4,A377&lt;=SETTINGS!$B$5),"Yes","No")</f>
        <v>Yes</v>
      </c>
      <c r="D377" t="str">
        <f>IFERROR(INDEX(SETTINGS!$C$15:$C$24,MATCH(A377,SETTINGS!$A$15:$A$24,0)),"No")</f>
        <v>Yes</v>
      </c>
      <c r="E377">
        <v>8</v>
      </c>
      <c r="F377" t="s">
        <v>41</v>
      </c>
      <c r="G377">
        <v>193</v>
      </c>
      <c r="H377" t="s">
        <v>108</v>
      </c>
      <c r="I377" t="s">
        <v>22</v>
      </c>
      <c r="J377" t="s">
        <v>28</v>
      </c>
      <c r="K377" t="s">
        <v>3</v>
      </c>
      <c r="L377" s="36">
        <f ca="1">IF(C377&lt;&gt;"Yes",0,IF(A377=2025,N('2025'!D193),IF(A377=2026,N('2026'!D193),IF(A377=2027,N('2027'!D193),IF(A377=2028,N('2028'!D193),IF(A377=2029,N('2029'!D193),IF(A377=2030,N('2030'!D193),IF(A377=2031,N('2031'!D193),IF(A377=2032,N('2032'!D193),IF(A377=2033,N('2033'!D193),IF(A377=2034,N('2034'!D193),IFERROR(N(INDIRECT("'"&amp;A377&amp;"'!D"&amp;G377)),0))))))))))))</f>
        <v>8</v>
      </c>
      <c r="M377" s="36">
        <f>IFERROR(IF(NOT(ISBLANK(KPI_TARGETS!$H$19)),KPI_TARGETS!$H$19,IF(NOT(ISBLANK(KPI_TARGETS!$F$19)),KPI_TARGETS!$F$19,"")),"")</f>
        <v>16</v>
      </c>
      <c r="N377" s="36" t="str">
        <f>IFERROR(KPI_TARGETS!$E$19,"Higher is better")</f>
        <v>Higher is better</v>
      </c>
      <c r="O377" s="37">
        <f t="shared" ca="1" si="30"/>
        <v>0.5</v>
      </c>
      <c r="P377" t="str">
        <f t="shared" ca="1" si="31"/>
        <v>Red</v>
      </c>
      <c r="Q377" s="36">
        <f t="shared" ca="1" si="32"/>
        <v>-8</v>
      </c>
      <c r="R377" s="36" t="str">
        <f>""</f>
        <v/>
      </c>
      <c r="S377" s="36" t="str">
        <f>""</f>
        <v/>
      </c>
      <c r="T377" s="36" t="str">
        <f>""</f>
        <v/>
      </c>
      <c r="U377" s="36" t="str">
        <f>""</f>
        <v/>
      </c>
      <c r="V377" s="36" t="str">
        <f>""</f>
        <v/>
      </c>
      <c r="W377" s="36">
        <f t="shared" si="33"/>
        <v>1</v>
      </c>
      <c r="X377" t="str">
        <f t="shared" si="34"/>
        <v>OK</v>
      </c>
      <c r="Y377" t="str">
        <f>IF(MAIN!$H$3="Selected Year",IF(A377=MAIN!$B$3,"Yes","No"),IF(MAIN!$H$3="Included Years",IF(D377="Yes","Yes","No"),IF(C377="Yes","Yes","No")))</f>
        <v>No</v>
      </c>
      <c r="Z377" t="str">
        <f>IF(MAIN!$F$3="Project to Date",IF(AND(A377&gt;=SETTINGS!$B$4,A377&lt;MAIN!$B$3),"Yes",IF(AND(A377=MAIN!$B$3,E377&lt;=MAIN!$L$3),"Yes","No")),IF(OR(MAIN!$F$3="Full Year",MAIN!$D$3="All"),"Yes",IF(MAIN!$F$3="Monthly",IF(E377=MAIN!$L$3,"Yes","No"),IF(E377&lt;=MAIN!$L$3,"Yes","No"))))</f>
        <v>Yes</v>
      </c>
      <c r="AA377" t="str">
        <f t="shared" si="35"/>
        <v>No</v>
      </c>
    </row>
    <row r="378" spans="1:27" x14ac:dyDescent="0.3">
      <c r="A378">
        <f>INDEX(SETTINGS!$A$15:$A$24,$B378)</f>
        <v>2026</v>
      </c>
      <c r="B378">
        <v>2</v>
      </c>
      <c r="C378" t="str">
        <f>IF(AND(A378&gt;=SETTINGS!$B$4,A378&lt;=SETTINGS!$B$5),"Yes","No")</f>
        <v>Yes</v>
      </c>
      <c r="D378" t="str">
        <f>IFERROR(INDEX(SETTINGS!$C$15:$C$24,MATCH(A378,SETTINGS!$A$15:$A$24,0)),"No")</f>
        <v>Yes</v>
      </c>
      <c r="E378">
        <v>8</v>
      </c>
      <c r="F378" t="s">
        <v>41</v>
      </c>
      <c r="G378">
        <v>194</v>
      </c>
      <c r="H378" t="s">
        <v>109</v>
      </c>
      <c r="I378" t="s">
        <v>22</v>
      </c>
      <c r="J378" t="s">
        <v>29</v>
      </c>
      <c r="K378" t="s">
        <v>3</v>
      </c>
      <c r="L378" s="36">
        <f ca="1">IF(C378&lt;&gt;"Yes",0,IF(A378=2025,N('2025'!D194),IF(A378=2026,N('2026'!D194),IF(A378=2027,N('2027'!D194),IF(A378=2028,N('2028'!D194),IF(A378=2029,N('2029'!D194),IF(A378=2030,N('2030'!D194),IF(A378=2031,N('2031'!D194),IF(A378=2032,N('2032'!D194),IF(A378=2033,N('2033'!D194),IF(A378=2034,N('2034'!D194),IFERROR(N(INDIRECT("'"&amp;A378&amp;"'!D"&amp;G378)),0))))))))))))</f>
        <v>1</v>
      </c>
      <c r="M378" s="36">
        <f>IFERROR(IF(NOT(ISBLANK(KPI_TARGETS!$H$20)),KPI_TARGETS!$H$20,IF(NOT(ISBLANK(KPI_TARGETS!$F$20)),KPI_TARGETS!$F$20,"")),"")</f>
        <v>1</v>
      </c>
      <c r="N378" s="36" t="str">
        <f>IFERROR(KPI_TARGETS!$E$20,"Higher is better")</f>
        <v>Higher is better</v>
      </c>
      <c r="O378" s="37">
        <f t="shared" ca="1" si="30"/>
        <v>1</v>
      </c>
      <c r="P378" t="str">
        <f t="shared" ca="1" si="31"/>
        <v>Green</v>
      </c>
      <c r="Q378" s="36">
        <f t="shared" ca="1" si="32"/>
        <v>0</v>
      </c>
      <c r="R378" s="36" t="str">
        <f>""</f>
        <v/>
      </c>
      <c r="S378" s="36" t="str">
        <f>""</f>
        <v/>
      </c>
      <c r="T378" s="36" t="str">
        <f>""</f>
        <v/>
      </c>
      <c r="U378" s="36" t="str">
        <f>""</f>
        <v/>
      </c>
      <c r="V378" s="36" t="str">
        <f>""</f>
        <v/>
      </c>
      <c r="W378" s="36">
        <f t="shared" si="33"/>
        <v>1</v>
      </c>
      <c r="X378" t="str">
        <f t="shared" si="34"/>
        <v>OK</v>
      </c>
      <c r="Y378" t="str">
        <f>IF(MAIN!$H$3="Selected Year",IF(A378=MAIN!$B$3,"Yes","No"),IF(MAIN!$H$3="Included Years",IF(D378="Yes","Yes","No"),IF(C378="Yes","Yes","No")))</f>
        <v>No</v>
      </c>
      <c r="Z378" t="str">
        <f>IF(MAIN!$F$3="Project to Date",IF(AND(A378&gt;=SETTINGS!$B$4,A378&lt;MAIN!$B$3),"Yes",IF(AND(A378=MAIN!$B$3,E378&lt;=MAIN!$L$3),"Yes","No")),IF(OR(MAIN!$F$3="Full Year",MAIN!$D$3="All"),"Yes",IF(MAIN!$F$3="Monthly",IF(E378=MAIN!$L$3,"Yes","No"),IF(E378&lt;=MAIN!$L$3,"Yes","No"))))</f>
        <v>Yes</v>
      </c>
      <c r="AA378" t="str">
        <f t="shared" si="35"/>
        <v>No</v>
      </c>
    </row>
    <row r="379" spans="1:27" x14ac:dyDescent="0.3">
      <c r="A379">
        <f>INDEX(SETTINGS!$A$15:$A$24,$B379)</f>
        <v>2026</v>
      </c>
      <c r="B379">
        <v>2</v>
      </c>
      <c r="C379" t="str">
        <f>IF(AND(A379&gt;=SETTINGS!$B$4,A379&lt;=SETTINGS!$B$5),"Yes","No")</f>
        <v>Yes</v>
      </c>
      <c r="D379" t="str">
        <f>IFERROR(INDEX(SETTINGS!$C$15:$C$24,MATCH(A379,SETTINGS!$A$15:$A$24,0)),"No")</f>
        <v>Yes</v>
      </c>
      <c r="E379">
        <v>8</v>
      </c>
      <c r="F379" t="s">
        <v>41</v>
      </c>
      <c r="G379">
        <v>196</v>
      </c>
      <c r="H379" t="s">
        <v>110</v>
      </c>
      <c r="I379" t="s">
        <v>30</v>
      </c>
      <c r="J379" t="s">
        <v>31</v>
      </c>
      <c r="K379" t="s">
        <v>3</v>
      </c>
      <c r="L379" s="36">
        <f ca="1">IF(C379&lt;&gt;"Yes",0,IF(A379=2025,N('2025'!D196),IF(A379=2026,N('2026'!D196),IF(A379=2027,N('2027'!D196),IF(A379=2028,N('2028'!D196),IF(A379=2029,N('2029'!D196),IF(A379=2030,N('2030'!D196),IF(A379=2031,N('2031'!D196),IF(A379=2032,N('2032'!D196),IF(A379=2033,N('2033'!D196),IF(A379=2034,N('2034'!D196),IFERROR(N(INDIRECT("'"&amp;A379&amp;"'!D"&amp;G379)),0))))))))))))</f>
        <v>0</v>
      </c>
      <c r="M379" s="36">
        <f>IFERROR(IF(NOT(ISBLANK(KPI_TARGETS!$H$21)),KPI_TARGETS!$H$21,IF(NOT(ISBLANK(KPI_TARGETS!$F$21)),KPI_TARGETS!$F$21,"")),"")</f>
        <v>0</v>
      </c>
      <c r="N379" s="36" t="str">
        <f>IFERROR(KPI_TARGETS!$E$21,"Higher is better")</f>
        <v>Lower is better</v>
      </c>
      <c r="O379" s="37">
        <f t="shared" ca="1" si="30"/>
        <v>1</v>
      </c>
      <c r="P379" t="str">
        <f t="shared" ca="1" si="31"/>
        <v>Green</v>
      </c>
      <c r="Q379" s="36">
        <f t="shared" ca="1" si="32"/>
        <v>0</v>
      </c>
      <c r="R379" s="36" t="str">
        <f>""</f>
        <v/>
      </c>
      <c r="S379" s="36" t="str">
        <f>""</f>
        <v/>
      </c>
      <c r="T379" s="36" t="str">
        <f>""</f>
        <v/>
      </c>
      <c r="U379" s="36" t="str">
        <f>""</f>
        <v/>
      </c>
      <c r="V379" s="36" t="str">
        <f>""</f>
        <v/>
      </c>
      <c r="W379" s="36">
        <f t="shared" si="33"/>
        <v>1</v>
      </c>
      <c r="X379" t="str">
        <f t="shared" si="34"/>
        <v>OK</v>
      </c>
      <c r="Y379" t="str">
        <f>IF(MAIN!$H$3="Selected Year",IF(A379=MAIN!$B$3,"Yes","No"),IF(MAIN!$H$3="Included Years",IF(D379="Yes","Yes","No"),IF(C379="Yes","Yes","No")))</f>
        <v>No</v>
      </c>
      <c r="Z379" t="str">
        <f>IF(MAIN!$F$3="Project to Date",IF(AND(A379&gt;=SETTINGS!$B$4,A379&lt;MAIN!$B$3),"Yes",IF(AND(A379=MAIN!$B$3,E379&lt;=MAIN!$L$3),"Yes","No")),IF(OR(MAIN!$F$3="Full Year",MAIN!$D$3="All"),"Yes",IF(MAIN!$F$3="Monthly",IF(E379=MAIN!$L$3,"Yes","No"),IF(E379&lt;=MAIN!$L$3,"Yes","No"))))</f>
        <v>Yes</v>
      </c>
      <c r="AA379" t="str">
        <f t="shared" si="35"/>
        <v>No</v>
      </c>
    </row>
    <row r="380" spans="1:27" x14ac:dyDescent="0.3">
      <c r="A380">
        <f>INDEX(SETTINGS!$A$15:$A$24,$B380)</f>
        <v>2026</v>
      </c>
      <c r="B380">
        <v>2</v>
      </c>
      <c r="C380" t="str">
        <f>IF(AND(A380&gt;=SETTINGS!$B$4,A380&lt;=SETTINGS!$B$5),"Yes","No")</f>
        <v>Yes</v>
      </c>
      <c r="D380" t="str">
        <f>IFERROR(INDEX(SETTINGS!$C$15:$C$24,MATCH(A380,SETTINGS!$A$15:$A$24,0)),"No")</f>
        <v>Yes</v>
      </c>
      <c r="E380">
        <v>8</v>
      </c>
      <c r="F380" t="s">
        <v>41</v>
      </c>
      <c r="G380">
        <v>197</v>
      </c>
      <c r="H380" t="s">
        <v>111</v>
      </c>
      <c r="I380" t="s">
        <v>30</v>
      </c>
      <c r="J380" t="s">
        <v>32</v>
      </c>
      <c r="K380" t="s">
        <v>3</v>
      </c>
      <c r="L380" s="36">
        <f ca="1">IF(C380&lt;&gt;"Yes",0,IF(A380=2025,N('2025'!D197),IF(A380=2026,N('2026'!D197),IF(A380=2027,N('2027'!D197),IF(A380=2028,N('2028'!D197),IF(A380=2029,N('2029'!D197),IF(A380=2030,N('2030'!D197),IF(A380=2031,N('2031'!D197),IF(A380=2032,N('2032'!D197),IF(A380=2033,N('2033'!D197),IF(A380=2034,N('2034'!D197),IFERROR(N(INDIRECT("'"&amp;A380&amp;"'!D"&amp;G380)),0))))))))))))</f>
        <v>1</v>
      </c>
      <c r="M380" s="36">
        <f>IFERROR(IF(NOT(ISBLANK(KPI_TARGETS!$H$22)),KPI_TARGETS!$H$22,IF(NOT(ISBLANK(KPI_TARGETS!$F$22)),KPI_TARGETS!$F$22,"")),"")</f>
        <v>1</v>
      </c>
      <c r="N380" s="36" t="str">
        <f>IFERROR(KPI_TARGETS!$E$22,"Higher is better")</f>
        <v>Higher is better</v>
      </c>
      <c r="O380" s="37">
        <f t="shared" ca="1" si="30"/>
        <v>1</v>
      </c>
      <c r="P380" t="str">
        <f t="shared" ca="1" si="31"/>
        <v>Green</v>
      </c>
      <c r="Q380" s="36">
        <f t="shared" ca="1" si="32"/>
        <v>0</v>
      </c>
      <c r="R380" s="36" t="str">
        <f>""</f>
        <v/>
      </c>
      <c r="S380" s="36" t="str">
        <f>""</f>
        <v/>
      </c>
      <c r="T380" s="36" t="str">
        <f>""</f>
        <v/>
      </c>
      <c r="U380" s="36" t="str">
        <f>""</f>
        <v/>
      </c>
      <c r="V380" s="36" t="str">
        <f>""</f>
        <v/>
      </c>
      <c r="W380" s="36">
        <f t="shared" si="33"/>
        <v>1</v>
      </c>
      <c r="X380" t="str">
        <f t="shared" si="34"/>
        <v>OK</v>
      </c>
      <c r="Y380" t="str">
        <f>IF(MAIN!$H$3="Selected Year",IF(A380=MAIN!$B$3,"Yes","No"),IF(MAIN!$H$3="Included Years",IF(D380="Yes","Yes","No"),IF(C380="Yes","Yes","No")))</f>
        <v>No</v>
      </c>
      <c r="Z380" t="str">
        <f>IF(MAIN!$F$3="Project to Date",IF(AND(A380&gt;=SETTINGS!$B$4,A380&lt;MAIN!$B$3),"Yes",IF(AND(A380=MAIN!$B$3,E380&lt;=MAIN!$L$3),"Yes","No")),IF(OR(MAIN!$F$3="Full Year",MAIN!$D$3="All"),"Yes",IF(MAIN!$F$3="Monthly",IF(E380=MAIN!$L$3,"Yes","No"),IF(E380&lt;=MAIN!$L$3,"Yes","No"))))</f>
        <v>Yes</v>
      </c>
      <c r="AA380" t="str">
        <f t="shared" si="35"/>
        <v>No</v>
      </c>
    </row>
    <row r="381" spans="1:27" x14ac:dyDescent="0.3">
      <c r="A381">
        <f>INDEX(SETTINGS!$A$15:$A$24,$B381)</f>
        <v>2026</v>
      </c>
      <c r="B381">
        <v>2</v>
      </c>
      <c r="C381" t="str">
        <f>IF(AND(A381&gt;=SETTINGS!$B$4,A381&lt;=SETTINGS!$B$5),"Yes","No")</f>
        <v>Yes</v>
      </c>
      <c r="D381" t="str">
        <f>IFERROR(INDEX(SETTINGS!$C$15:$C$24,MATCH(A381,SETTINGS!$A$15:$A$24,0)),"No")</f>
        <v>Yes</v>
      </c>
      <c r="E381">
        <v>8</v>
      </c>
      <c r="F381" t="s">
        <v>41</v>
      </c>
      <c r="G381">
        <v>198</v>
      </c>
      <c r="H381" t="s">
        <v>112</v>
      </c>
      <c r="I381" t="s">
        <v>30</v>
      </c>
      <c r="J381" t="s">
        <v>33</v>
      </c>
      <c r="K381" t="s">
        <v>34</v>
      </c>
      <c r="L381" s="36">
        <f ca="1">IF(C381&lt;&gt;"Yes",0,IF(A381=2025,N('2025'!D198),IF(A381=2026,N('2026'!D198),IF(A381=2027,N('2027'!D198),IF(A381=2028,N('2028'!D198),IF(A381=2029,N('2029'!D198),IF(A381=2030,N('2030'!D198),IF(A381=2031,N('2031'!D198),IF(A381=2032,N('2032'!D198),IF(A381=2033,N('2033'!D198),IF(A381=2034,N('2034'!D198),IFERROR(N(INDIRECT("'"&amp;A381&amp;"'!D"&amp;G381)),0))))))))))))</f>
        <v>1</v>
      </c>
      <c r="M381" s="36">
        <f>IFERROR(IF(NOT(ISBLANK(KPI_TARGETS!$H$23)),KPI_TARGETS!$H$23,IF(NOT(ISBLANK(KPI_TARGETS!$F$23)),KPI_TARGETS!$F$23,"")),"")</f>
        <v>1</v>
      </c>
      <c r="N381" s="36" t="str">
        <f>IFERROR(KPI_TARGETS!$E$23,"Higher is better")</f>
        <v>Higher is better</v>
      </c>
      <c r="O381" s="37">
        <f t="shared" ca="1" si="30"/>
        <v>1</v>
      </c>
      <c r="P381" t="str">
        <f t="shared" ca="1" si="31"/>
        <v>Green</v>
      </c>
      <c r="Q381" s="36">
        <f t="shared" ca="1" si="32"/>
        <v>0</v>
      </c>
      <c r="R381" s="36" t="str">
        <f>""</f>
        <v/>
      </c>
      <c r="S381" s="36" t="str">
        <f>""</f>
        <v/>
      </c>
      <c r="T381" s="36" t="str">
        <f>""</f>
        <v/>
      </c>
      <c r="U381" s="36" t="str">
        <f>""</f>
        <v/>
      </c>
      <c r="V381" s="36" t="str">
        <f>""</f>
        <v/>
      </c>
      <c r="W381" s="36">
        <f t="shared" si="33"/>
        <v>1</v>
      </c>
      <c r="X381" t="str">
        <f t="shared" si="34"/>
        <v>OK</v>
      </c>
      <c r="Y381" t="str">
        <f>IF(MAIN!$H$3="Selected Year",IF(A381=MAIN!$B$3,"Yes","No"),IF(MAIN!$H$3="Included Years",IF(D381="Yes","Yes","No"),IF(C381="Yes","Yes","No")))</f>
        <v>No</v>
      </c>
      <c r="Z381" t="str">
        <f>IF(MAIN!$F$3="Project to Date",IF(AND(A381&gt;=SETTINGS!$B$4,A381&lt;MAIN!$B$3),"Yes",IF(AND(A381=MAIN!$B$3,E381&lt;=MAIN!$L$3),"Yes","No")),IF(OR(MAIN!$F$3="Full Year",MAIN!$D$3="All"),"Yes",IF(MAIN!$F$3="Monthly",IF(E381=MAIN!$L$3,"Yes","No"),IF(E381&lt;=MAIN!$L$3,"Yes","No"))))</f>
        <v>Yes</v>
      </c>
      <c r="AA381" t="str">
        <f t="shared" si="35"/>
        <v>No</v>
      </c>
    </row>
    <row r="382" spans="1:27" x14ac:dyDescent="0.3">
      <c r="A382">
        <f>INDEX(SETTINGS!$A$15:$A$24,$B382)</f>
        <v>2026</v>
      </c>
      <c r="B382">
        <v>2</v>
      </c>
      <c r="C382" t="str">
        <f>IF(AND(A382&gt;=SETTINGS!$B$4,A382&lt;=SETTINGS!$B$5),"Yes","No")</f>
        <v>Yes</v>
      </c>
      <c r="D382" t="str">
        <f>IFERROR(INDEX(SETTINGS!$C$15:$C$24,MATCH(A382,SETTINGS!$A$15:$A$24,0)),"No")</f>
        <v>Yes</v>
      </c>
      <c r="E382">
        <v>9</v>
      </c>
      <c r="F382" t="s">
        <v>42</v>
      </c>
      <c r="G382">
        <v>201</v>
      </c>
      <c r="H382" t="s">
        <v>88</v>
      </c>
      <c r="I382" t="s">
        <v>89</v>
      </c>
      <c r="J382" t="s">
        <v>10</v>
      </c>
      <c r="K382" t="s">
        <v>3</v>
      </c>
      <c r="L382" s="36">
        <f ca="1">IF(C382&lt;&gt;"Yes",0,IF(A382=2025,N('2025'!D201),IF(A382=2026,N('2026'!D201),IF(A382=2027,N('2027'!D201),IF(A382=2028,N('2028'!D201),IF(A382=2029,N('2029'!D201),IF(A382=2030,N('2030'!D201),IF(A382=2031,N('2031'!D201),IF(A382=2032,N('2032'!D201),IF(A382=2033,N('2033'!D201),IF(A382=2034,N('2034'!D201),IFERROR(N(INDIRECT("'"&amp;A382&amp;"'!D"&amp;G382)),0))))))))))))</f>
        <v>0</v>
      </c>
      <c r="M382" s="36">
        <f>IFERROR(IF(NOT(ISBLANK(KPI_TARGETS!$H$5)),KPI_TARGETS!$H$5,IF(NOT(ISBLANK(KPI_TARGETS!$F$5)),KPI_TARGETS!$F$5,"")),"")</f>
        <v>104</v>
      </c>
      <c r="N382" s="36" t="str">
        <f>IFERROR(KPI_TARGETS!$E$5,"Higher is better")</f>
        <v>Higher is better</v>
      </c>
      <c r="O382" s="37">
        <f t="shared" ca="1" si="30"/>
        <v>0</v>
      </c>
      <c r="P382" t="str">
        <f t="shared" ca="1" si="31"/>
        <v>Red</v>
      </c>
      <c r="Q382" s="36">
        <f t="shared" ca="1" si="32"/>
        <v>-104</v>
      </c>
      <c r="R382" s="36" t="str">
        <f>""</f>
        <v/>
      </c>
      <c r="S382" s="36" t="str">
        <f>""</f>
        <v/>
      </c>
      <c r="T382" s="36" t="str">
        <f>""</f>
        <v/>
      </c>
      <c r="U382" s="36" t="str">
        <f>""</f>
        <v/>
      </c>
      <c r="V382" s="36" t="str">
        <f>""</f>
        <v/>
      </c>
      <c r="W382" s="36">
        <f t="shared" si="33"/>
        <v>1</v>
      </c>
      <c r="X382" t="str">
        <f t="shared" si="34"/>
        <v>OK</v>
      </c>
      <c r="Y382" t="str">
        <f>IF(MAIN!$H$3="Selected Year",IF(A382=MAIN!$B$3,"Yes","No"),IF(MAIN!$H$3="Included Years",IF(D382="Yes","Yes","No"),IF(C382="Yes","Yes","No")))</f>
        <v>No</v>
      </c>
      <c r="Z382" t="str">
        <f>IF(MAIN!$F$3="Project to Date",IF(AND(A382&gt;=SETTINGS!$B$4,A382&lt;MAIN!$B$3),"Yes",IF(AND(A382=MAIN!$B$3,E382&lt;=MAIN!$L$3),"Yes","No")),IF(OR(MAIN!$F$3="Full Year",MAIN!$D$3="All"),"Yes",IF(MAIN!$F$3="Monthly",IF(E382=MAIN!$L$3,"Yes","No"),IF(E382&lt;=MAIN!$L$3,"Yes","No"))))</f>
        <v>Yes</v>
      </c>
      <c r="AA382" t="str">
        <f t="shared" si="35"/>
        <v>No</v>
      </c>
    </row>
    <row r="383" spans="1:27" x14ac:dyDescent="0.3">
      <c r="A383">
        <f>INDEX(SETTINGS!$A$15:$A$24,$B383)</f>
        <v>2026</v>
      </c>
      <c r="B383">
        <v>2</v>
      </c>
      <c r="C383" t="str">
        <f>IF(AND(A383&gt;=SETTINGS!$B$4,A383&lt;=SETTINGS!$B$5),"Yes","No")</f>
        <v>Yes</v>
      </c>
      <c r="D383" t="str">
        <f>IFERROR(INDEX(SETTINGS!$C$15:$C$24,MATCH(A383,SETTINGS!$A$15:$A$24,0)),"No")</f>
        <v>Yes</v>
      </c>
      <c r="E383">
        <v>9</v>
      </c>
      <c r="F383" t="s">
        <v>42</v>
      </c>
      <c r="G383">
        <v>202</v>
      </c>
      <c r="H383" t="s">
        <v>91</v>
      </c>
      <c r="I383" t="s">
        <v>89</v>
      </c>
      <c r="J383" t="s">
        <v>11</v>
      </c>
      <c r="K383" t="s">
        <v>12</v>
      </c>
      <c r="L383" s="36">
        <f ca="1">IF(C383&lt;&gt;"Yes",0,IF(A383=2025,N('2025'!D202),IF(A383=2026,N('2026'!D202),IF(A383=2027,N('2027'!D202),IF(A383=2028,N('2028'!D202),IF(A383=2029,N('2029'!D202),IF(A383=2030,N('2030'!D202),IF(A383=2031,N('2031'!D202),IF(A383=2032,N('2032'!D202),IF(A383=2033,N('2033'!D202),IF(A383=2034,N('2034'!D202),IFERROR(N(INDIRECT("'"&amp;A383&amp;"'!D"&amp;G383)),0))))))))))))</f>
        <v>0</v>
      </c>
      <c r="M383" s="36">
        <f>IFERROR(IF(NOT(ISBLANK(KPI_TARGETS!$H$6)),KPI_TARGETS!$H$6,IF(NOT(ISBLANK(KPI_TARGETS!$F$6)),KPI_TARGETS!$F$6,"")),"")</f>
        <v>4000</v>
      </c>
      <c r="N383" s="36" t="str">
        <f>IFERROR(KPI_TARGETS!$E$6,"Higher is better")</f>
        <v>Higher is better</v>
      </c>
      <c r="O383" s="37">
        <f t="shared" ca="1" si="30"/>
        <v>0</v>
      </c>
      <c r="P383" t="str">
        <f t="shared" ca="1" si="31"/>
        <v>Red</v>
      </c>
      <c r="Q383" s="36">
        <f t="shared" ca="1" si="32"/>
        <v>-4000</v>
      </c>
      <c r="R383" s="36" t="str">
        <f>""</f>
        <v/>
      </c>
      <c r="S383" s="36" t="str">
        <f>""</f>
        <v/>
      </c>
      <c r="T383" s="36" t="str">
        <f>""</f>
        <v/>
      </c>
      <c r="U383" s="36" t="str">
        <f>""</f>
        <v/>
      </c>
      <c r="V383" s="36" t="str">
        <f>""</f>
        <v/>
      </c>
      <c r="W383" s="36">
        <f t="shared" si="33"/>
        <v>1</v>
      </c>
      <c r="X383" t="str">
        <f t="shared" si="34"/>
        <v>OK</v>
      </c>
      <c r="Y383" t="str">
        <f>IF(MAIN!$H$3="Selected Year",IF(A383=MAIN!$B$3,"Yes","No"),IF(MAIN!$H$3="Included Years",IF(D383="Yes","Yes","No"),IF(C383="Yes","Yes","No")))</f>
        <v>No</v>
      </c>
      <c r="Z383" t="str">
        <f>IF(MAIN!$F$3="Project to Date",IF(AND(A383&gt;=SETTINGS!$B$4,A383&lt;MAIN!$B$3),"Yes",IF(AND(A383=MAIN!$B$3,E383&lt;=MAIN!$L$3),"Yes","No")),IF(OR(MAIN!$F$3="Full Year",MAIN!$D$3="All"),"Yes",IF(MAIN!$F$3="Monthly",IF(E383=MAIN!$L$3,"Yes","No"),IF(E383&lt;=MAIN!$L$3,"Yes","No"))))</f>
        <v>Yes</v>
      </c>
      <c r="AA383" t="str">
        <f t="shared" si="35"/>
        <v>No</v>
      </c>
    </row>
    <row r="384" spans="1:27" x14ac:dyDescent="0.3">
      <c r="A384">
        <f>INDEX(SETTINGS!$A$15:$A$24,$B384)</f>
        <v>2026</v>
      </c>
      <c r="B384">
        <v>2</v>
      </c>
      <c r="C384" t="str">
        <f>IF(AND(A384&gt;=SETTINGS!$B$4,A384&lt;=SETTINGS!$B$5),"Yes","No")</f>
        <v>Yes</v>
      </c>
      <c r="D384" t="str">
        <f>IFERROR(INDEX(SETTINGS!$C$15:$C$24,MATCH(A384,SETTINGS!$A$15:$A$24,0)),"No")</f>
        <v>Yes</v>
      </c>
      <c r="E384">
        <v>9</v>
      </c>
      <c r="F384" t="s">
        <v>42</v>
      </c>
      <c r="G384">
        <v>203</v>
      </c>
      <c r="H384" t="s">
        <v>93</v>
      </c>
      <c r="I384" t="s">
        <v>89</v>
      </c>
      <c r="J384" t="s">
        <v>13</v>
      </c>
      <c r="K384" t="s">
        <v>14</v>
      </c>
      <c r="L384" s="36">
        <f ca="1">IF(C384&lt;&gt;"Yes",0,IF(A384=2025,N('2025'!D203),IF(A384=2026,N('2026'!D203),IF(A384=2027,N('2027'!D203),IF(A384=2028,N('2028'!D203),IF(A384=2029,N('2029'!D203),IF(A384=2030,N('2030'!D203),IF(A384=2031,N('2031'!D203),IF(A384=2032,N('2032'!D203),IF(A384=2033,N('2033'!D203),IF(A384=2034,N('2034'!D203),IFERROR(N(INDIRECT("'"&amp;A384&amp;"'!D"&amp;G384)),0))))))))))))</f>
        <v>0</v>
      </c>
      <c r="M384" s="36">
        <f>IFERROR(IF(NOT(ISBLANK(KPI_TARGETS!$H$7)),KPI_TARGETS!$H$7,IF(NOT(ISBLANK(KPI_TARGETS!$F$7)),KPI_TARGETS!$F$7,"")),"")</f>
        <v>8000</v>
      </c>
      <c r="N384" s="36" t="str">
        <f>IFERROR(KPI_TARGETS!$E$7,"Higher is better")</f>
        <v>Higher is better</v>
      </c>
      <c r="O384" s="37">
        <f t="shared" ca="1" si="30"/>
        <v>0</v>
      </c>
      <c r="P384" t="str">
        <f t="shared" ca="1" si="31"/>
        <v>Red</v>
      </c>
      <c r="Q384" s="36">
        <f t="shared" ca="1" si="32"/>
        <v>-8000</v>
      </c>
      <c r="R384" s="36" t="str">
        <f>""</f>
        <v/>
      </c>
      <c r="S384" s="36" t="str">
        <f>""</f>
        <v/>
      </c>
      <c r="T384" s="36" t="str">
        <f>""</f>
        <v/>
      </c>
      <c r="U384" s="36" t="str">
        <f>""</f>
        <v/>
      </c>
      <c r="V384" s="36" t="str">
        <f>""</f>
        <v/>
      </c>
      <c r="W384" s="36">
        <f t="shared" si="33"/>
        <v>1</v>
      </c>
      <c r="X384" t="str">
        <f t="shared" si="34"/>
        <v>OK</v>
      </c>
      <c r="Y384" t="str">
        <f>IF(MAIN!$H$3="Selected Year",IF(A384=MAIN!$B$3,"Yes","No"),IF(MAIN!$H$3="Included Years",IF(D384="Yes","Yes","No"),IF(C384="Yes","Yes","No")))</f>
        <v>No</v>
      </c>
      <c r="Z384" t="str">
        <f>IF(MAIN!$F$3="Project to Date",IF(AND(A384&gt;=SETTINGS!$B$4,A384&lt;MAIN!$B$3),"Yes",IF(AND(A384=MAIN!$B$3,E384&lt;=MAIN!$L$3),"Yes","No")),IF(OR(MAIN!$F$3="Full Year",MAIN!$D$3="All"),"Yes",IF(MAIN!$F$3="Monthly",IF(E384=MAIN!$L$3,"Yes","No"),IF(E384&lt;=MAIN!$L$3,"Yes","No"))))</f>
        <v>Yes</v>
      </c>
      <c r="AA384" t="str">
        <f t="shared" si="35"/>
        <v>No</v>
      </c>
    </row>
    <row r="385" spans="1:27" x14ac:dyDescent="0.3">
      <c r="A385">
        <f>INDEX(SETTINGS!$A$15:$A$24,$B385)</f>
        <v>2026</v>
      </c>
      <c r="B385">
        <v>2</v>
      </c>
      <c r="C385" t="str">
        <f>IF(AND(A385&gt;=SETTINGS!$B$4,A385&lt;=SETTINGS!$B$5),"Yes","No")</f>
        <v>Yes</v>
      </c>
      <c r="D385" t="str">
        <f>IFERROR(INDEX(SETTINGS!$C$15:$C$24,MATCH(A385,SETTINGS!$A$15:$A$24,0)),"No")</f>
        <v>Yes</v>
      </c>
      <c r="E385">
        <v>9</v>
      </c>
      <c r="F385" t="s">
        <v>42</v>
      </c>
      <c r="G385">
        <v>205</v>
      </c>
      <c r="H385" t="s">
        <v>95</v>
      </c>
      <c r="I385" t="s">
        <v>15</v>
      </c>
      <c r="J385" t="s">
        <v>16</v>
      </c>
      <c r="K385" t="s">
        <v>3</v>
      </c>
      <c r="L385" s="36">
        <f ca="1">IF(C385&lt;&gt;"Yes",0,IF(A385=2025,N('2025'!D205),IF(A385=2026,N('2026'!D205),IF(A385=2027,N('2027'!D205),IF(A385=2028,N('2028'!D205),IF(A385=2029,N('2029'!D205),IF(A385=2030,N('2030'!D205),IF(A385=2031,N('2031'!D205),IF(A385=2032,N('2032'!D205),IF(A385=2033,N('2033'!D205),IF(A385=2034,N('2034'!D205),IFERROR(N(INDIRECT("'"&amp;A385&amp;"'!D"&amp;G385)),0))))))))))))</f>
        <v>0</v>
      </c>
      <c r="M385" s="36">
        <f>IFERROR(IF(NOT(ISBLANK(KPI_TARGETS!$H$8)),KPI_TARGETS!$H$8,IF(NOT(ISBLANK(KPI_TARGETS!$F$8)),KPI_TARGETS!$F$8,"")),"")</f>
        <v>0</v>
      </c>
      <c r="N385" s="36" t="str">
        <f>IFERROR(KPI_TARGETS!$E$8,"Higher is better")</f>
        <v>Lower is better</v>
      </c>
      <c r="O385" s="37">
        <f t="shared" ca="1" si="30"/>
        <v>1</v>
      </c>
      <c r="P385" t="str">
        <f t="shared" ca="1" si="31"/>
        <v>Green</v>
      </c>
      <c r="Q385" s="36">
        <f t="shared" ca="1" si="32"/>
        <v>0</v>
      </c>
      <c r="R385" s="36" t="str">
        <f>""</f>
        <v/>
      </c>
      <c r="S385" s="36" t="str">
        <f>""</f>
        <v/>
      </c>
      <c r="T385" s="36" t="str">
        <f>""</f>
        <v/>
      </c>
      <c r="U385" s="36" t="str">
        <f>""</f>
        <v/>
      </c>
      <c r="V385" s="36" t="str">
        <f>""</f>
        <v/>
      </c>
      <c r="W385" s="36">
        <f t="shared" si="33"/>
        <v>1</v>
      </c>
      <c r="X385" t="str">
        <f t="shared" si="34"/>
        <v>OK</v>
      </c>
      <c r="Y385" t="str">
        <f>IF(MAIN!$H$3="Selected Year",IF(A385=MAIN!$B$3,"Yes","No"),IF(MAIN!$H$3="Included Years",IF(D385="Yes","Yes","No"),IF(C385="Yes","Yes","No")))</f>
        <v>No</v>
      </c>
      <c r="Z385" t="str">
        <f>IF(MAIN!$F$3="Project to Date",IF(AND(A385&gt;=SETTINGS!$B$4,A385&lt;MAIN!$B$3),"Yes",IF(AND(A385=MAIN!$B$3,E385&lt;=MAIN!$L$3),"Yes","No")),IF(OR(MAIN!$F$3="Full Year",MAIN!$D$3="All"),"Yes",IF(MAIN!$F$3="Monthly",IF(E385=MAIN!$L$3,"Yes","No"),IF(E385&lt;=MAIN!$L$3,"Yes","No"))))</f>
        <v>Yes</v>
      </c>
      <c r="AA385" t="str">
        <f t="shared" si="35"/>
        <v>No</v>
      </c>
    </row>
    <row r="386" spans="1:27" x14ac:dyDescent="0.3">
      <c r="A386">
        <f>INDEX(SETTINGS!$A$15:$A$24,$B386)</f>
        <v>2026</v>
      </c>
      <c r="B386">
        <v>2</v>
      </c>
      <c r="C386" t="str">
        <f>IF(AND(A386&gt;=SETTINGS!$B$4,A386&lt;=SETTINGS!$B$5),"Yes","No")</f>
        <v>Yes</v>
      </c>
      <c r="D386" t="str">
        <f>IFERROR(INDEX(SETTINGS!$C$15:$C$24,MATCH(A386,SETTINGS!$A$15:$A$24,0)),"No")</f>
        <v>Yes</v>
      </c>
      <c r="E386">
        <v>9</v>
      </c>
      <c r="F386" t="s">
        <v>42</v>
      </c>
      <c r="G386">
        <v>206</v>
      </c>
      <c r="H386" t="s">
        <v>97</v>
      </c>
      <c r="I386" t="s">
        <v>15</v>
      </c>
      <c r="J386" t="s">
        <v>17</v>
      </c>
      <c r="K386" t="s">
        <v>3</v>
      </c>
      <c r="L386" s="36">
        <f ca="1">IF(C386&lt;&gt;"Yes",0,IF(A386=2025,N('2025'!D206),IF(A386=2026,N('2026'!D206),IF(A386=2027,N('2027'!D206),IF(A386=2028,N('2028'!D206),IF(A386=2029,N('2029'!D206),IF(A386=2030,N('2030'!D206),IF(A386=2031,N('2031'!D206),IF(A386=2032,N('2032'!D206),IF(A386=2033,N('2033'!D206),IF(A386=2034,N('2034'!D206),IFERROR(N(INDIRECT("'"&amp;A386&amp;"'!D"&amp;G386)),0))))))))))))</f>
        <v>0</v>
      </c>
      <c r="M386" s="36">
        <f>IFERROR(IF(NOT(ISBLANK(KPI_TARGETS!$H$9)),KPI_TARGETS!$H$9,IF(NOT(ISBLANK(KPI_TARGETS!$F$9)),KPI_TARGETS!$F$9,"")),"")</f>
        <v>0</v>
      </c>
      <c r="N386" s="36" t="str">
        <f>IFERROR(KPI_TARGETS!$E$9,"Higher is better")</f>
        <v>Higher is better</v>
      </c>
      <c r="O386" s="37" t="str">
        <f t="shared" ref="O386:O449" ca="1" si="36">IF(M386="","",IF(N386="Higher is better",IFERROR(L386/M386,""),IF(L386=0,1,IFERROR(M386/L386,""))))</f>
        <v/>
      </c>
      <c r="P386" t="str">
        <f t="shared" ref="P386:P449" ca="1" si="37">IF(M386="","Target Needed",IF(N386="Higher is better",IF(L386&gt;=M386,"Green",IF(L386&gt;=0.8*M386,"Amber","Red")),IF(M386=0,IF(L386=0,"Green","Red"),IF(L386&lt;=M386,"Green",IF(L386&lt;=1.25*M386,"Amber","Red")))))</f>
        <v>Green</v>
      </c>
      <c r="Q386" s="36">
        <f t="shared" ref="Q386:Q449" ca="1" si="38">IF(M386="","",IF(N386="Higher is better",L386-M386,M386-L386))</f>
        <v>0</v>
      </c>
      <c r="R386" s="36" t="str">
        <f>""</f>
        <v/>
      </c>
      <c r="S386" s="36" t="str">
        <f>""</f>
        <v/>
      </c>
      <c r="T386" s="36" t="str">
        <f>""</f>
        <v/>
      </c>
      <c r="U386" s="36" t="str">
        <f>""</f>
        <v/>
      </c>
      <c r="V386" s="36" t="str">
        <f>""</f>
        <v/>
      </c>
      <c r="W386" s="36">
        <f t="shared" ref="W386:W449" si="39">IF(LEN(M386&amp;"")&gt;0,1,0)</f>
        <v>1</v>
      </c>
      <c r="X386" t="str">
        <f t="shared" ref="X386:X449" si="40">IF(C386&lt;&gt;"Yes","Inactive",IF(M386="","Missing target","OK"))</f>
        <v>OK</v>
      </c>
      <c r="Y386" t="str">
        <f>IF(MAIN!$H$3="Selected Year",IF(A386=MAIN!$B$3,"Yes","No"),IF(MAIN!$H$3="Included Years",IF(D386="Yes","Yes","No"),IF(C386="Yes","Yes","No")))</f>
        <v>No</v>
      </c>
      <c r="Z386" t="str">
        <f>IF(MAIN!$F$3="Project to Date",IF(AND(A386&gt;=SETTINGS!$B$4,A386&lt;MAIN!$B$3),"Yes",IF(AND(A386=MAIN!$B$3,E386&lt;=MAIN!$L$3),"Yes","No")),IF(OR(MAIN!$F$3="Full Year",MAIN!$D$3="All"),"Yes",IF(MAIN!$F$3="Monthly",IF(E386=MAIN!$L$3,"Yes","No"),IF(E386&lt;=MAIN!$L$3,"Yes","No"))))</f>
        <v>Yes</v>
      </c>
      <c r="AA386" t="str">
        <f t="shared" ref="AA386:AA449" si="41">IF(AND(Y386="Yes",Z386="Yes"),"Yes","No")</f>
        <v>No</v>
      </c>
    </row>
    <row r="387" spans="1:27" x14ac:dyDescent="0.3">
      <c r="A387">
        <f>INDEX(SETTINGS!$A$15:$A$24,$B387)</f>
        <v>2026</v>
      </c>
      <c r="B387">
        <v>2</v>
      </c>
      <c r="C387" t="str">
        <f>IF(AND(A387&gt;=SETTINGS!$B$4,A387&lt;=SETTINGS!$B$5),"Yes","No")</f>
        <v>Yes</v>
      </c>
      <c r="D387" t="str">
        <f>IFERROR(INDEX(SETTINGS!$C$15:$C$24,MATCH(A387,SETTINGS!$A$15:$A$24,0)),"No")</f>
        <v>Yes</v>
      </c>
      <c r="E387">
        <v>9</v>
      </c>
      <c r="F387" t="s">
        <v>42</v>
      </c>
      <c r="G387">
        <v>207</v>
      </c>
      <c r="H387" t="s">
        <v>99</v>
      </c>
      <c r="I387" t="s">
        <v>15</v>
      </c>
      <c r="J387" t="s">
        <v>18</v>
      </c>
      <c r="K387" t="s">
        <v>3</v>
      </c>
      <c r="L387" s="36">
        <f ca="1">IF(C387&lt;&gt;"Yes",0,IF(A387=2025,N('2025'!D207),IF(A387=2026,N('2026'!D207),IF(A387=2027,N('2027'!D207),IF(A387=2028,N('2028'!D207),IF(A387=2029,N('2029'!D207),IF(A387=2030,N('2030'!D207),IF(A387=2031,N('2031'!D207),IF(A387=2032,N('2032'!D207),IF(A387=2033,N('2033'!D207),IF(A387=2034,N('2034'!D207),IFERROR(N(INDIRECT("'"&amp;A387&amp;"'!D"&amp;G387)),0))))))))))))</f>
        <v>0</v>
      </c>
      <c r="M387" s="36">
        <f>IFERROR(IF(NOT(ISBLANK(KPI_TARGETS!$H$10)),KPI_TARGETS!$H$10,IF(NOT(ISBLANK(KPI_TARGETS!$F$10)),KPI_TARGETS!$F$10,"")),"")</f>
        <v>0</v>
      </c>
      <c r="N387" s="36" t="str">
        <f>IFERROR(KPI_TARGETS!$E$10,"Higher is better")</f>
        <v>Lower is better</v>
      </c>
      <c r="O387" s="37">
        <f t="shared" ca="1" si="36"/>
        <v>1</v>
      </c>
      <c r="P387" t="str">
        <f t="shared" ca="1" si="37"/>
        <v>Green</v>
      </c>
      <c r="Q387" s="36">
        <f t="shared" ca="1" si="38"/>
        <v>0</v>
      </c>
      <c r="R387" s="36" t="str">
        <f>""</f>
        <v/>
      </c>
      <c r="S387" s="36" t="str">
        <f>""</f>
        <v/>
      </c>
      <c r="T387" s="36" t="str">
        <f>""</f>
        <v/>
      </c>
      <c r="U387" s="36" t="str">
        <f>""</f>
        <v/>
      </c>
      <c r="V387" s="36" t="str">
        <f>""</f>
        <v/>
      </c>
      <c r="W387" s="36">
        <f t="shared" si="39"/>
        <v>1</v>
      </c>
      <c r="X387" t="str">
        <f t="shared" si="40"/>
        <v>OK</v>
      </c>
      <c r="Y387" t="str">
        <f>IF(MAIN!$H$3="Selected Year",IF(A387=MAIN!$B$3,"Yes","No"),IF(MAIN!$H$3="Included Years",IF(D387="Yes","Yes","No"),IF(C387="Yes","Yes","No")))</f>
        <v>No</v>
      </c>
      <c r="Z387" t="str">
        <f>IF(MAIN!$F$3="Project to Date",IF(AND(A387&gt;=SETTINGS!$B$4,A387&lt;MAIN!$B$3),"Yes",IF(AND(A387=MAIN!$B$3,E387&lt;=MAIN!$L$3),"Yes","No")),IF(OR(MAIN!$F$3="Full Year",MAIN!$D$3="All"),"Yes",IF(MAIN!$F$3="Monthly",IF(E387=MAIN!$L$3,"Yes","No"),IF(E387&lt;=MAIN!$L$3,"Yes","No"))))</f>
        <v>Yes</v>
      </c>
      <c r="AA387" t="str">
        <f t="shared" si="41"/>
        <v>No</v>
      </c>
    </row>
    <row r="388" spans="1:27" x14ac:dyDescent="0.3">
      <c r="A388">
        <f>INDEX(SETTINGS!$A$15:$A$24,$B388)</f>
        <v>2026</v>
      </c>
      <c r="B388">
        <v>2</v>
      </c>
      <c r="C388" t="str">
        <f>IF(AND(A388&gt;=SETTINGS!$B$4,A388&lt;=SETTINGS!$B$5),"Yes","No")</f>
        <v>Yes</v>
      </c>
      <c r="D388" t="str">
        <f>IFERROR(INDEX(SETTINGS!$C$15:$C$24,MATCH(A388,SETTINGS!$A$15:$A$24,0)),"No")</f>
        <v>Yes</v>
      </c>
      <c r="E388">
        <v>9</v>
      </c>
      <c r="F388" t="s">
        <v>42</v>
      </c>
      <c r="G388">
        <v>208</v>
      </c>
      <c r="H388" t="s">
        <v>100</v>
      </c>
      <c r="I388" t="s">
        <v>15</v>
      </c>
      <c r="J388" t="s">
        <v>19</v>
      </c>
      <c r="K388" t="s">
        <v>3</v>
      </c>
      <c r="L388" s="36">
        <f ca="1">IF(C388&lt;&gt;"Yes",0,IF(A388=2025,N('2025'!D208),IF(A388=2026,N('2026'!D208),IF(A388=2027,N('2027'!D208),IF(A388=2028,N('2028'!D208),IF(A388=2029,N('2029'!D208),IF(A388=2030,N('2030'!D208),IF(A388=2031,N('2031'!D208),IF(A388=2032,N('2032'!D208),IF(A388=2033,N('2033'!D208),IF(A388=2034,N('2034'!D208),IFERROR(N(INDIRECT("'"&amp;A388&amp;"'!D"&amp;G388)),0))))))))))))</f>
        <v>0</v>
      </c>
      <c r="M388" s="36">
        <f>IFERROR(IF(NOT(ISBLANK(KPI_TARGETS!$H$11)),KPI_TARGETS!$H$11,IF(NOT(ISBLANK(KPI_TARGETS!$F$11)),KPI_TARGETS!$F$11,"")),"")</f>
        <v>0</v>
      </c>
      <c r="N388" s="36" t="str">
        <f>IFERROR(KPI_TARGETS!$E$11,"Higher is better")</f>
        <v>Lower is better</v>
      </c>
      <c r="O388" s="37">
        <f t="shared" ca="1" si="36"/>
        <v>1</v>
      </c>
      <c r="P388" t="str">
        <f t="shared" ca="1" si="37"/>
        <v>Green</v>
      </c>
      <c r="Q388" s="36">
        <f t="shared" ca="1" si="38"/>
        <v>0</v>
      </c>
      <c r="R388" s="36" t="str">
        <f>""</f>
        <v/>
      </c>
      <c r="S388" s="36" t="str">
        <f>""</f>
        <v/>
      </c>
      <c r="T388" s="36" t="str">
        <f>""</f>
        <v/>
      </c>
      <c r="U388" s="36" t="str">
        <f>""</f>
        <v/>
      </c>
      <c r="V388" s="36" t="str">
        <f>""</f>
        <v/>
      </c>
      <c r="W388" s="36">
        <f t="shared" si="39"/>
        <v>1</v>
      </c>
      <c r="X388" t="str">
        <f t="shared" si="40"/>
        <v>OK</v>
      </c>
      <c r="Y388" t="str">
        <f>IF(MAIN!$H$3="Selected Year",IF(A388=MAIN!$B$3,"Yes","No"),IF(MAIN!$H$3="Included Years",IF(D388="Yes","Yes","No"),IF(C388="Yes","Yes","No")))</f>
        <v>No</v>
      </c>
      <c r="Z388" t="str">
        <f>IF(MAIN!$F$3="Project to Date",IF(AND(A388&gt;=SETTINGS!$B$4,A388&lt;MAIN!$B$3),"Yes",IF(AND(A388=MAIN!$B$3,E388&lt;=MAIN!$L$3),"Yes","No")),IF(OR(MAIN!$F$3="Full Year",MAIN!$D$3="All"),"Yes",IF(MAIN!$F$3="Monthly",IF(E388=MAIN!$L$3,"Yes","No"),IF(E388&lt;=MAIN!$L$3,"Yes","No"))))</f>
        <v>Yes</v>
      </c>
      <c r="AA388" t="str">
        <f t="shared" si="41"/>
        <v>No</v>
      </c>
    </row>
    <row r="389" spans="1:27" x14ac:dyDescent="0.3">
      <c r="A389">
        <f>INDEX(SETTINGS!$A$15:$A$24,$B389)</f>
        <v>2026</v>
      </c>
      <c r="B389">
        <v>2</v>
      </c>
      <c r="C389" t="str">
        <f>IF(AND(A389&gt;=SETTINGS!$B$4,A389&lt;=SETTINGS!$B$5),"Yes","No")</f>
        <v>Yes</v>
      </c>
      <c r="D389" t="str">
        <f>IFERROR(INDEX(SETTINGS!$C$15:$C$24,MATCH(A389,SETTINGS!$A$15:$A$24,0)),"No")</f>
        <v>Yes</v>
      </c>
      <c r="E389">
        <v>9</v>
      </c>
      <c r="F389" t="s">
        <v>42</v>
      </c>
      <c r="G389">
        <v>209</v>
      </c>
      <c r="H389" t="s">
        <v>101</v>
      </c>
      <c r="I389" t="s">
        <v>15</v>
      </c>
      <c r="J389" t="s">
        <v>20</v>
      </c>
      <c r="K389" t="s">
        <v>3</v>
      </c>
      <c r="L389" s="36">
        <f ca="1">IF(C389&lt;&gt;"Yes",0,IF(A389=2025,N('2025'!D209),IF(A389=2026,N('2026'!D209),IF(A389=2027,N('2027'!D209),IF(A389=2028,N('2028'!D209),IF(A389=2029,N('2029'!D209),IF(A389=2030,N('2030'!D209),IF(A389=2031,N('2031'!D209),IF(A389=2032,N('2032'!D209),IF(A389=2033,N('2033'!D209),IF(A389=2034,N('2034'!D209),IFERROR(N(INDIRECT("'"&amp;A389&amp;"'!D"&amp;G389)),0))))))))))))</f>
        <v>0</v>
      </c>
      <c r="M389" s="36">
        <f>IFERROR(IF(NOT(ISBLANK(KPI_TARGETS!$H$12)),KPI_TARGETS!$H$12,IF(NOT(ISBLANK(KPI_TARGETS!$F$12)),KPI_TARGETS!$F$12,"")),"")</f>
        <v>0</v>
      </c>
      <c r="N389" s="36" t="str">
        <f>IFERROR(KPI_TARGETS!$E$12,"Higher is better")</f>
        <v>Lower is better</v>
      </c>
      <c r="O389" s="37">
        <f t="shared" ca="1" si="36"/>
        <v>1</v>
      </c>
      <c r="P389" t="str">
        <f t="shared" ca="1" si="37"/>
        <v>Green</v>
      </c>
      <c r="Q389" s="36">
        <f t="shared" ca="1" si="38"/>
        <v>0</v>
      </c>
      <c r="R389" s="36" t="str">
        <f>""</f>
        <v/>
      </c>
      <c r="S389" s="36" t="str">
        <f>""</f>
        <v/>
      </c>
      <c r="T389" s="36" t="str">
        <f>""</f>
        <v/>
      </c>
      <c r="U389" s="36" t="str">
        <f>""</f>
        <v/>
      </c>
      <c r="V389" s="36" t="str">
        <f>""</f>
        <v/>
      </c>
      <c r="W389" s="36">
        <f t="shared" si="39"/>
        <v>1</v>
      </c>
      <c r="X389" t="str">
        <f t="shared" si="40"/>
        <v>OK</v>
      </c>
      <c r="Y389" t="str">
        <f>IF(MAIN!$H$3="Selected Year",IF(A389=MAIN!$B$3,"Yes","No"),IF(MAIN!$H$3="Included Years",IF(D389="Yes","Yes","No"),IF(C389="Yes","Yes","No")))</f>
        <v>No</v>
      </c>
      <c r="Z389" t="str">
        <f>IF(MAIN!$F$3="Project to Date",IF(AND(A389&gt;=SETTINGS!$B$4,A389&lt;MAIN!$B$3),"Yes",IF(AND(A389=MAIN!$B$3,E389&lt;=MAIN!$L$3),"Yes","No")),IF(OR(MAIN!$F$3="Full Year",MAIN!$D$3="All"),"Yes",IF(MAIN!$F$3="Monthly",IF(E389=MAIN!$L$3,"Yes","No"),IF(E389&lt;=MAIN!$L$3,"Yes","No"))))</f>
        <v>Yes</v>
      </c>
      <c r="AA389" t="str">
        <f t="shared" si="41"/>
        <v>No</v>
      </c>
    </row>
    <row r="390" spans="1:27" x14ac:dyDescent="0.3">
      <c r="A390">
        <f>INDEX(SETTINGS!$A$15:$A$24,$B390)</f>
        <v>2026</v>
      </c>
      <c r="B390">
        <v>2</v>
      </c>
      <c r="C390" t="str">
        <f>IF(AND(A390&gt;=SETTINGS!$B$4,A390&lt;=SETTINGS!$B$5),"Yes","No")</f>
        <v>Yes</v>
      </c>
      <c r="D390" t="str">
        <f>IFERROR(INDEX(SETTINGS!$C$15:$C$24,MATCH(A390,SETTINGS!$A$15:$A$24,0)),"No")</f>
        <v>Yes</v>
      </c>
      <c r="E390">
        <v>9</v>
      </c>
      <c r="F390" t="s">
        <v>42</v>
      </c>
      <c r="G390">
        <v>210</v>
      </c>
      <c r="H390" t="s">
        <v>102</v>
      </c>
      <c r="I390" t="s">
        <v>15</v>
      </c>
      <c r="J390" t="s">
        <v>21</v>
      </c>
      <c r="K390" t="s">
        <v>3</v>
      </c>
      <c r="L390" s="36">
        <f ca="1">IF(C390&lt;&gt;"Yes",0,IF(A390=2025,N('2025'!D210),IF(A390=2026,N('2026'!D210),IF(A390=2027,N('2027'!D210),IF(A390=2028,N('2028'!D210),IF(A390=2029,N('2029'!D210),IF(A390=2030,N('2030'!D210),IF(A390=2031,N('2031'!D210),IF(A390=2032,N('2032'!D210),IF(A390=2033,N('2033'!D210),IF(A390=2034,N('2034'!D210),IFERROR(N(INDIRECT("'"&amp;A390&amp;"'!D"&amp;G390)),0))))))))))))</f>
        <v>0</v>
      </c>
      <c r="M390" s="36">
        <f>IFERROR(IF(NOT(ISBLANK(KPI_TARGETS!$H$13)),KPI_TARGETS!$H$13,IF(NOT(ISBLANK(KPI_TARGETS!$F$13)),KPI_TARGETS!$F$13,"")),"")</f>
        <v>0</v>
      </c>
      <c r="N390" s="36" t="str">
        <f>IFERROR(KPI_TARGETS!$E$13,"Higher is better")</f>
        <v>Lower is better</v>
      </c>
      <c r="O390" s="37">
        <f t="shared" ca="1" si="36"/>
        <v>1</v>
      </c>
      <c r="P390" t="str">
        <f t="shared" ca="1" si="37"/>
        <v>Green</v>
      </c>
      <c r="Q390" s="36">
        <f t="shared" ca="1" si="38"/>
        <v>0</v>
      </c>
      <c r="R390" s="36" t="str">
        <f>""</f>
        <v/>
      </c>
      <c r="S390" s="36" t="str">
        <f>""</f>
        <v/>
      </c>
      <c r="T390" s="36" t="str">
        <f>""</f>
        <v/>
      </c>
      <c r="U390" s="36" t="str">
        <f>""</f>
        <v/>
      </c>
      <c r="V390" s="36" t="str">
        <f>""</f>
        <v/>
      </c>
      <c r="W390" s="36">
        <f t="shared" si="39"/>
        <v>1</v>
      </c>
      <c r="X390" t="str">
        <f t="shared" si="40"/>
        <v>OK</v>
      </c>
      <c r="Y390" t="str">
        <f>IF(MAIN!$H$3="Selected Year",IF(A390=MAIN!$B$3,"Yes","No"),IF(MAIN!$H$3="Included Years",IF(D390="Yes","Yes","No"),IF(C390="Yes","Yes","No")))</f>
        <v>No</v>
      </c>
      <c r="Z390" t="str">
        <f>IF(MAIN!$F$3="Project to Date",IF(AND(A390&gt;=SETTINGS!$B$4,A390&lt;MAIN!$B$3),"Yes",IF(AND(A390=MAIN!$B$3,E390&lt;=MAIN!$L$3),"Yes","No")),IF(OR(MAIN!$F$3="Full Year",MAIN!$D$3="All"),"Yes",IF(MAIN!$F$3="Monthly",IF(E390=MAIN!$L$3,"Yes","No"),IF(E390&lt;=MAIN!$L$3,"Yes","No"))))</f>
        <v>Yes</v>
      </c>
      <c r="AA390" t="str">
        <f t="shared" si="41"/>
        <v>No</v>
      </c>
    </row>
    <row r="391" spans="1:27" x14ac:dyDescent="0.3">
      <c r="A391">
        <f>INDEX(SETTINGS!$A$15:$A$24,$B391)</f>
        <v>2026</v>
      </c>
      <c r="B391">
        <v>2</v>
      </c>
      <c r="C391" t="str">
        <f>IF(AND(A391&gt;=SETTINGS!$B$4,A391&lt;=SETTINGS!$B$5),"Yes","No")</f>
        <v>Yes</v>
      </c>
      <c r="D391" t="str">
        <f>IFERROR(INDEX(SETTINGS!$C$15:$C$24,MATCH(A391,SETTINGS!$A$15:$A$24,0)),"No")</f>
        <v>Yes</v>
      </c>
      <c r="E391">
        <v>9</v>
      </c>
      <c r="F391" t="s">
        <v>42</v>
      </c>
      <c r="G391">
        <v>212</v>
      </c>
      <c r="H391" t="s">
        <v>103</v>
      </c>
      <c r="I391" t="s">
        <v>22</v>
      </c>
      <c r="J391" t="s">
        <v>23</v>
      </c>
      <c r="K391" t="s">
        <v>3</v>
      </c>
      <c r="L391" s="36">
        <f ca="1">IF(C391&lt;&gt;"Yes",0,IF(A391=2025,N('2025'!D212),IF(A391=2026,N('2026'!D212),IF(A391=2027,N('2027'!D212),IF(A391=2028,N('2028'!D212),IF(A391=2029,N('2029'!D212),IF(A391=2030,N('2030'!D212),IF(A391=2031,N('2031'!D212),IF(A391=2032,N('2032'!D212),IF(A391=2033,N('2033'!D212),IF(A391=2034,N('2034'!D212),IFERROR(N(INDIRECT("'"&amp;A391&amp;"'!D"&amp;G391)),0))))))))))))</f>
        <v>55</v>
      </c>
      <c r="M391" s="36">
        <f>IFERROR(IF(NOT(ISBLANK(KPI_TARGETS!$H$14)),KPI_TARGETS!$H$14,IF(NOT(ISBLANK(KPI_TARGETS!$F$14)),KPI_TARGETS!$F$14,"")),"")</f>
        <v>35</v>
      </c>
      <c r="N391" s="36" t="str">
        <f>IFERROR(KPI_TARGETS!$E$14,"Higher is better")</f>
        <v>Higher is better</v>
      </c>
      <c r="O391" s="37">
        <f t="shared" ca="1" si="36"/>
        <v>1.5714285714285714</v>
      </c>
      <c r="P391" t="str">
        <f t="shared" ca="1" si="37"/>
        <v>Green</v>
      </c>
      <c r="Q391" s="36">
        <f t="shared" ca="1" si="38"/>
        <v>20</v>
      </c>
      <c r="R391" s="36" t="str">
        <f>""</f>
        <v/>
      </c>
      <c r="S391" s="36" t="str">
        <f>""</f>
        <v/>
      </c>
      <c r="T391" s="36" t="str">
        <f>""</f>
        <v/>
      </c>
      <c r="U391" s="36" t="str">
        <f>""</f>
        <v/>
      </c>
      <c r="V391" s="36" t="str">
        <f>""</f>
        <v/>
      </c>
      <c r="W391" s="36">
        <f t="shared" si="39"/>
        <v>1</v>
      </c>
      <c r="X391" t="str">
        <f t="shared" si="40"/>
        <v>OK</v>
      </c>
      <c r="Y391" t="str">
        <f>IF(MAIN!$H$3="Selected Year",IF(A391=MAIN!$B$3,"Yes","No"),IF(MAIN!$H$3="Included Years",IF(D391="Yes","Yes","No"),IF(C391="Yes","Yes","No")))</f>
        <v>No</v>
      </c>
      <c r="Z391" t="str">
        <f>IF(MAIN!$F$3="Project to Date",IF(AND(A391&gt;=SETTINGS!$B$4,A391&lt;MAIN!$B$3),"Yes",IF(AND(A391=MAIN!$B$3,E391&lt;=MAIN!$L$3),"Yes","No")),IF(OR(MAIN!$F$3="Full Year",MAIN!$D$3="All"),"Yes",IF(MAIN!$F$3="Monthly",IF(E391=MAIN!$L$3,"Yes","No"),IF(E391&lt;=MAIN!$L$3,"Yes","No"))))</f>
        <v>Yes</v>
      </c>
      <c r="AA391" t="str">
        <f t="shared" si="41"/>
        <v>No</v>
      </c>
    </row>
    <row r="392" spans="1:27" x14ac:dyDescent="0.3">
      <c r="A392">
        <f>INDEX(SETTINGS!$A$15:$A$24,$B392)</f>
        <v>2026</v>
      </c>
      <c r="B392">
        <v>2</v>
      </c>
      <c r="C392" t="str">
        <f>IF(AND(A392&gt;=SETTINGS!$B$4,A392&lt;=SETTINGS!$B$5),"Yes","No")</f>
        <v>Yes</v>
      </c>
      <c r="D392" t="str">
        <f>IFERROR(INDEX(SETTINGS!$C$15:$C$24,MATCH(A392,SETTINGS!$A$15:$A$24,0)),"No")</f>
        <v>Yes</v>
      </c>
      <c r="E392">
        <v>9</v>
      </c>
      <c r="F392" t="s">
        <v>42</v>
      </c>
      <c r="G392">
        <v>213</v>
      </c>
      <c r="H392" t="s">
        <v>104</v>
      </c>
      <c r="I392" t="s">
        <v>22</v>
      </c>
      <c r="J392" t="s">
        <v>24</v>
      </c>
      <c r="K392" t="s">
        <v>3</v>
      </c>
      <c r="L392" s="36">
        <f ca="1">IF(C392&lt;&gt;"Yes",0,IF(A392=2025,N('2025'!D213),IF(A392=2026,N('2026'!D213),IF(A392=2027,N('2027'!D213),IF(A392=2028,N('2028'!D213),IF(A392=2029,N('2029'!D213),IF(A392=2030,N('2030'!D213),IF(A392=2031,N('2031'!D213),IF(A392=2032,N('2032'!D213),IF(A392=2033,N('2033'!D213),IF(A392=2034,N('2034'!D213),IFERROR(N(INDIRECT("'"&amp;A392&amp;"'!D"&amp;G392)),0))))))))))))</f>
        <v>4</v>
      </c>
      <c r="M392" s="36">
        <f>IFERROR(IF(NOT(ISBLANK(KPI_TARGETS!$H$15)),KPI_TARGETS!$H$15,IF(NOT(ISBLANK(KPI_TARGETS!$F$15)),KPI_TARGETS!$F$15,"")),"")</f>
        <v>5</v>
      </c>
      <c r="N392" s="36" t="str">
        <f>IFERROR(KPI_TARGETS!$E$15,"Higher is better")</f>
        <v>Higher is better</v>
      </c>
      <c r="O392" s="37">
        <f t="shared" ca="1" si="36"/>
        <v>0.8</v>
      </c>
      <c r="P392" t="str">
        <f t="shared" ca="1" si="37"/>
        <v>Amber</v>
      </c>
      <c r="Q392" s="36">
        <f t="shared" ca="1" si="38"/>
        <v>-1</v>
      </c>
      <c r="R392" s="36" t="str">
        <f>""</f>
        <v/>
      </c>
      <c r="S392" s="36" t="str">
        <f>""</f>
        <v/>
      </c>
      <c r="T392" s="36" t="str">
        <f>""</f>
        <v/>
      </c>
      <c r="U392" s="36" t="str">
        <f>""</f>
        <v/>
      </c>
      <c r="V392" s="36" t="str">
        <f>""</f>
        <v/>
      </c>
      <c r="W392" s="36">
        <f t="shared" si="39"/>
        <v>1</v>
      </c>
      <c r="X392" t="str">
        <f t="shared" si="40"/>
        <v>OK</v>
      </c>
      <c r="Y392" t="str">
        <f>IF(MAIN!$H$3="Selected Year",IF(A392=MAIN!$B$3,"Yes","No"),IF(MAIN!$H$3="Included Years",IF(D392="Yes","Yes","No"),IF(C392="Yes","Yes","No")))</f>
        <v>No</v>
      </c>
      <c r="Z392" t="str">
        <f>IF(MAIN!$F$3="Project to Date",IF(AND(A392&gt;=SETTINGS!$B$4,A392&lt;MAIN!$B$3),"Yes",IF(AND(A392=MAIN!$B$3,E392&lt;=MAIN!$L$3),"Yes","No")),IF(OR(MAIN!$F$3="Full Year",MAIN!$D$3="All"),"Yes",IF(MAIN!$F$3="Monthly",IF(E392=MAIN!$L$3,"Yes","No"),IF(E392&lt;=MAIN!$L$3,"Yes","No"))))</f>
        <v>Yes</v>
      </c>
      <c r="AA392" t="str">
        <f t="shared" si="41"/>
        <v>No</v>
      </c>
    </row>
    <row r="393" spans="1:27" x14ac:dyDescent="0.3">
      <c r="A393">
        <f>INDEX(SETTINGS!$A$15:$A$24,$B393)</f>
        <v>2026</v>
      </c>
      <c r="B393">
        <v>2</v>
      </c>
      <c r="C393" t="str">
        <f>IF(AND(A393&gt;=SETTINGS!$B$4,A393&lt;=SETTINGS!$B$5),"Yes","No")</f>
        <v>Yes</v>
      </c>
      <c r="D393" t="str">
        <f>IFERROR(INDEX(SETTINGS!$C$15:$C$24,MATCH(A393,SETTINGS!$A$15:$A$24,0)),"No")</f>
        <v>Yes</v>
      </c>
      <c r="E393">
        <v>9</v>
      </c>
      <c r="F393" t="s">
        <v>42</v>
      </c>
      <c r="G393">
        <v>214</v>
      </c>
      <c r="H393" t="s">
        <v>105</v>
      </c>
      <c r="I393" t="s">
        <v>22</v>
      </c>
      <c r="J393" t="s">
        <v>25</v>
      </c>
      <c r="K393" t="s">
        <v>3</v>
      </c>
      <c r="L393" s="36">
        <f ca="1">IF(C393&lt;&gt;"Yes",0,IF(A393=2025,N('2025'!D214),IF(A393=2026,N('2026'!D214),IF(A393=2027,N('2027'!D214),IF(A393=2028,N('2028'!D214),IF(A393=2029,N('2029'!D214),IF(A393=2030,N('2030'!D214),IF(A393=2031,N('2031'!D214),IF(A393=2032,N('2032'!D214),IF(A393=2033,N('2033'!D214),IF(A393=2034,N('2034'!D214),IFERROR(N(INDIRECT("'"&amp;A393&amp;"'!D"&amp;G393)),0))))))))))))</f>
        <v>4</v>
      </c>
      <c r="M393" s="36">
        <f>IFERROR(IF(NOT(ISBLANK(KPI_TARGETS!$H$16)),KPI_TARGETS!$H$16,IF(NOT(ISBLANK(KPI_TARGETS!$F$16)),KPI_TARGETS!$F$16,"")),"")</f>
        <v>4</v>
      </c>
      <c r="N393" s="36" t="str">
        <f>IFERROR(KPI_TARGETS!$E$16,"Higher is better")</f>
        <v>Higher is better</v>
      </c>
      <c r="O393" s="37">
        <f t="shared" ca="1" si="36"/>
        <v>1</v>
      </c>
      <c r="P393" t="str">
        <f t="shared" ca="1" si="37"/>
        <v>Green</v>
      </c>
      <c r="Q393" s="36">
        <f t="shared" ca="1" si="38"/>
        <v>0</v>
      </c>
      <c r="R393" s="36" t="str">
        <f>""</f>
        <v/>
      </c>
      <c r="S393" s="36" t="str">
        <f>""</f>
        <v/>
      </c>
      <c r="T393" s="36" t="str">
        <f>""</f>
        <v/>
      </c>
      <c r="U393" s="36" t="str">
        <f>""</f>
        <v/>
      </c>
      <c r="V393" s="36" t="str">
        <f>""</f>
        <v/>
      </c>
      <c r="W393" s="36">
        <f t="shared" si="39"/>
        <v>1</v>
      </c>
      <c r="X393" t="str">
        <f t="shared" si="40"/>
        <v>OK</v>
      </c>
      <c r="Y393" t="str">
        <f>IF(MAIN!$H$3="Selected Year",IF(A393=MAIN!$B$3,"Yes","No"),IF(MAIN!$H$3="Included Years",IF(D393="Yes","Yes","No"),IF(C393="Yes","Yes","No")))</f>
        <v>No</v>
      </c>
      <c r="Z393" t="str">
        <f>IF(MAIN!$F$3="Project to Date",IF(AND(A393&gt;=SETTINGS!$B$4,A393&lt;MAIN!$B$3),"Yes",IF(AND(A393=MAIN!$B$3,E393&lt;=MAIN!$L$3),"Yes","No")),IF(OR(MAIN!$F$3="Full Year",MAIN!$D$3="All"),"Yes",IF(MAIN!$F$3="Monthly",IF(E393=MAIN!$L$3,"Yes","No"),IF(E393&lt;=MAIN!$L$3,"Yes","No"))))</f>
        <v>Yes</v>
      </c>
      <c r="AA393" t="str">
        <f t="shared" si="41"/>
        <v>No</v>
      </c>
    </row>
    <row r="394" spans="1:27" x14ac:dyDescent="0.3">
      <c r="A394">
        <f>INDEX(SETTINGS!$A$15:$A$24,$B394)</f>
        <v>2026</v>
      </c>
      <c r="B394">
        <v>2</v>
      </c>
      <c r="C394" t="str">
        <f>IF(AND(A394&gt;=SETTINGS!$B$4,A394&lt;=SETTINGS!$B$5),"Yes","No")</f>
        <v>Yes</v>
      </c>
      <c r="D394" t="str">
        <f>IFERROR(INDEX(SETTINGS!$C$15:$C$24,MATCH(A394,SETTINGS!$A$15:$A$24,0)),"No")</f>
        <v>Yes</v>
      </c>
      <c r="E394">
        <v>9</v>
      </c>
      <c r="F394" t="s">
        <v>42</v>
      </c>
      <c r="G394">
        <v>215</v>
      </c>
      <c r="H394" t="s">
        <v>106</v>
      </c>
      <c r="I394" t="s">
        <v>22</v>
      </c>
      <c r="J394" t="s">
        <v>26</v>
      </c>
      <c r="K394" t="s">
        <v>3</v>
      </c>
      <c r="L394" s="36">
        <f ca="1">IF(C394&lt;&gt;"Yes",0,IF(A394=2025,N('2025'!D215),IF(A394=2026,N('2026'!D215),IF(A394=2027,N('2027'!D215),IF(A394=2028,N('2028'!D215),IF(A394=2029,N('2029'!D215),IF(A394=2030,N('2030'!D215),IF(A394=2031,N('2031'!D215),IF(A394=2032,N('2032'!D215),IF(A394=2033,N('2033'!D215),IF(A394=2034,N('2034'!D215),IFERROR(N(INDIRECT("'"&amp;A394&amp;"'!D"&amp;G394)),0))))))))))))</f>
        <v>20</v>
      </c>
      <c r="M394" s="36">
        <f>IFERROR(IF(NOT(ISBLANK(KPI_TARGETS!$H$17)),KPI_TARGETS!$H$17,IF(NOT(ISBLANK(KPI_TARGETS!$F$17)),KPI_TARGETS!$F$17,"")),"")</f>
        <v>12</v>
      </c>
      <c r="N394" s="36" t="str">
        <f>IFERROR(KPI_TARGETS!$E$17,"Higher is better")</f>
        <v>Higher is better</v>
      </c>
      <c r="O394" s="37">
        <f t="shared" ca="1" si="36"/>
        <v>1.6666666666666667</v>
      </c>
      <c r="P394" t="str">
        <f t="shared" ca="1" si="37"/>
        <v>Green</v>
      </c>
      <c r="Q394" s="36">
        <f t="shared" ca="1" si="38"/>
        <v>8</v>
      </c>
      <c r="R394" s="36" t="str">
        <f>""</f>
        <v/>
      </c>
      <c r="S394" s="36" t="str">
        <f>""</f>
        <v/>
      </c>
      <c r="T394" s="36" t="str">
        <f>""</f>
        <v/>
      </c>
      <c r="U394" s="36" t="str">
        <f>""</f>
        <v/>
      </c>
      <c r="V394" s="36" t="str">
        <f>""</f>
        <v/>
      </c>
      <c r="W394" s="36">
        <f t="shared" si="39"/>
        <v>1</v>
      </c>
      <c r="X394" t="str">
        <f t="shared" si="40"/>
        <v>OK</v>
      </c>
      <c r="Y394" t="str">
        <f>IF(MAIN!$H$3="Selected Year",IF(A394=MAIN!$B$3,"Yes","No"),IF(MAIN!$H$3="Included Years",IF(D394="Yes","Yes","No"),IF(C394="Yes","Yes","No")))</f>
        <v>No</v>
      </c>
      <c r="Z394" t="str">
        <f>IF(MAIN!$F$3="Project to Date",IF(AND(A394&gt;=SETTINGS!$B$4,A394&lt;MAIN!$B$3),"Yes",IF(AND(A394=MAIN!$B$3,E394&lt;=MAIN!$L$3),"Yes","No")),IF(OR(MAIN!$F$3="Full Year",MAIN!$D$3="All"),"Yes",IF(MAIN!$F$3="Monthly",IF(E394=MAIN!$L$3,"Yes","No"),IF(E394&lt;=MAIN!$L$3,"Yes","No"))))</f>
        <v>Yes</v>
      </c>
      <c r="AA394" t="str">
        <f t="shared" si="41"/>
        <v>No</v>
      </c>
    </row>
    <row r="395" spans="1:27" x14ac:dyDescent="0.3">
      <c r="A395">
        <f>INDEX(SETTINGS!$A$15:$A$24,$B395)</f>
        <v>2026</v>
      </c>
      <c r="B395">
        <v>2</v>
      </c>
      <c r="C395" t="str">
        <f>IF(AND(A395&gt;=SETTINGS!$B$4,A395&lt;=SETTINGS!$B$5),"Yes","No")</f>
        <v>Yes</v>
      </c>
      <c r="D395" t="str">
        <f>IFERROR(INDEX(SETTINGS!$C$15:$C$24,MATCH(A395,SETTINGS!$A$15:$A$24,0)),"No")</f>
        <v>Yes</v>
      </c>
      <c r="E395">
        <v>9</v>
      </c>
      <c r="F395" t="s">
        <v>42</v>
      </c>
      <c r="G395">
        <v>216</v>
      </c>
      <c r="H395" t="s">
        <v>107</v>
      </c>
      <c r="I395" t="s">
        <v>22</v>
      </c>
      <c r="J395" t="s">
        <v>27</v>
      </c>
      <c r="K395" t="s">
        <v>3</v>
      </c>
      <c r="L395" s="36">
        <f ca="1">IF(C395&lt;&gt;"Yes",0,IF(A395=2025,N('2025'!D216),IF(A395=2026,N('2026'!D216),IF(A395=2027,N('2027'!D216),IF(A395=2028,N('2028'!D216),IF(A395=2029,N('2029'!D216),IF(A395=2030,N('2030'!D216),IF(A395=2031,N('2031'!D216),IF(A395=2032,N('2032'!D216),IF(A395=2033,N('2033'!D216),IF(A395=2034,N('2034'!D216),IFERROR(N(INDIRECT("'"&amp;A395&amp;"'!D"&amp;G395)),0))))))))))))</f>
        <v>4</v>
      </c>
      <c r="M395" s="36">
        <f>IFERROR(IF(NOT(ISBLANK(KPI_TARGETS!$H$18)),KPI_TARGETS!$H$18,IF(NOT(ISBLANK(KPI_TARGETS!$F$18)),KPI_TARGETS!$F$18,"")),"")</f>
        <v>4</v>
      </c>
      <c r="N395" s="36" t="str">
        <f>IFERROR(KPI_TARGETS!$E$18,"Higher is better")</f>
        <v>Higher is better</v>
      </c>
      <c r="O395" s="37">
        <f t="shared" ca="1" si="36"/>
        <v>1</v>
      </c>
      <c r="P395" t="str">
        <f t="shared" ca="1" si="37"/>
        <v>Green</v>
      </c>
      <c r="Q395" s="36">
        <f t="shared" ca="1" si="38"/>
        <v>0</v>
      </c>
      <c r="R395" s="36" t="str">
        <f>""</f>
        <v/>
      </c>
      <c r="S395" s="36" t="str">
        <f>""</f>
        <v/>
      </c>
      <c r="T395" s="36" t="str">
        <f>""</f>
        <v/>
      </c>
      <c r="U395" s="36" t="str">
        <f>""</f>
        <v/>
      </c>
      <c r="V395" s="36" t="str">
        <f>""</f>
        <v/>
      </c>
      <c r="W395" s="36">
        <f t="shared" si="39"/>
        <v>1</v>
      </c>
      <c r="X395" t="str">
        <f t="shared" si="40"/>
        <v>OK</v>
      </c>
      <c r="Y395" t="str">
        <f>IF(MAIN!$H$3="Selected Year",IF(A395=MAIN!$B$3,"Yes","No"),IF(MAIN!$H$3="Included Years",IF(D395="Yes","Yes","No"),IF(C395="Yes","Yes","No")))</f>
        <v>No</v>
      </c>
      <c r="Z395" t="str">
        <f>IF(MAIN!$F$3="Project to Date",IF(AND(A395&gt;=SETTINGS!$B$4,A395&lt;MAIN!$B$3),"Yes",IF(AND(A395=MAIN!$B$3,E395&lt;=MAIN!$L$3),"Yes","No")),IF(OR(MAIN!$F$3="Full Year",MAIN!$D$3="All"),"Yes",IF(MAIN!$F$3="Monthly",IF(E395=MAIN!$L$3,"Yes","No"),IF(E395&lt;=MAIN!$L$3,"Yes","No"))))</f>
        <v>Yes</v>
      </c>
      <c r="AA395" t="str">
        <f t="shared" si="41"/>
        <v>No</v>
      </c>
    </row>
    <row r="396" spans="1:27" x14ac:dyDescent="0.3">
      <c r="A396">
        <f>INDEX(SETTINGS!$A$15:$A$24,$B396)</f>
        <v>2026</v>
      </c>
      <c r="B396">
        <v>2</v>
      </c>
      <c r="C396" t="str">
        <f>IF(AND(A396&gt;=SETTINGS!$B$4,A396&lt;=SETTINGS!$B$5),"Yes","No")</f>
        <v>Yes</v>
      </c>
      <c r="D396" t="str">
        <f>IFERROR(INDEX(SETTINGS!$C$15:$C$24,MATCH(A396,SETTINGS!$A$15:$A$24,0)),"No")</f>
        <v>Yes</v>
      </c>
      <c r="E396">
        <v>9</v>
      </c>
      <c r="F396" t="s">
        <v>42</v>
      </c>
      <c r="G396">
        <v>217</v>
      </c>
      <c r="H396" t="s">
        <v>108</v>
      </c>
      <c r="I396" t="s">
        <v>22</v>
      </c>
      <c r="J396" t="s">
        <v>28</v>
      </c>
      <c r="K396" t="s">
        <v>3</v>
      </c>
      <c r="L396" s="36">
        <f ca="1">IF(C396&lt;&gt;"Yes",0,IF(A396=2025,N('2025'!D217),IF(A396=2026,N('2026'!D217),IF(A396=2027,N('2027'!D217),IF(A396=2028,N('2028'!D217),IF(A396=2029,N('2029'!D217),IF(A396=2030,N('2030'!D217),IF(A396=2031,N('2031'!D217),IF(A396=2032,N('2032'!D217),IF(A396=2033,N('2033'!D217),IF(A396=2034,N('2034'!D217),IFERROR(N(INDIRECT("'"&amp;A396&amp;"'!D"&amp;G396)),0))))))))))))</f>
        <v>8</v>
      </c>
      <c r="M396" s="36">
        <f>IFERROR(IF(NOT(ISBLANK(KPI_TARGETS!$H$19)),KPI_TARGETS!$H$19,IF(NOT(ISBLANK(KPI_TARGETS!$F$19)),KPI_TARGETS!$F$19,"")),"")</f>
        <v>16</v>
      </c>
      <c r="N396" s="36" t="str">
        <f>IFERROR(KPI_TARGETS!$E$19,"Higher is better")</f>
        <v>Higher is better</v>
      </c>
      <c r="O396" s="37">
        <f t="shared" ca="1" si="36"/>
        <v>0.5</v>
      </c>
      <c r="P396" t="str">
        <f t="shared" ca="1" si="37"/>
        <v>Red</v>
      </c>
      <c r="Q396" s="36">
        <f t="shared" ca="1" si="38"/>
        <v>-8</v>
      </c>
      <c r="R396" s="36" t="str">
        <f>""</f>
        <v/>
      </c>
      <c r="S396" s="36" t="str">
        <f>""</f>
        <v/>
      </c>
      <c r="T396" s="36" t="str">
        <f>""</f>
        <v/>
      </c>
      <c r="U396" s="36" t="str">
        <f>""</f>
        <v/>
      </c>
      <c r="V396" s="36" t="str">
        <f>""</f>
        <v/>
      </c>
      <c r="W396" s="36">
        <f t="shared" si="39"/>
        <v>1</v>
      </c>
      <c r="X396" t="str">
        <f t="shared" si="40"/>
        <v>OK</v>
      </c>
      <c r="Y396" t="str">
        <f>IF(MAIN!$H$3="Selected Year",IF(A396=MAIN!$B$3,"Yes","No"),IF(MAIN!$H$3="Included Years",IF(D396="Yes","Yes","No"),IF(C396="Yes","Yes","No")))</f>
        <v>No</v>
      </c>
      <c r="Z396" t="str">
        <f>IF(MAIN!$F$3="Project to Date",IF(AND(A396&gt;=SETTINGS!$B$4,A396&lt;MAIN!$B$3),"Yes",IF(AND(A396=MAIN!$B$3,E396&lt;=MAIN!$L$3),"Yes","No")),IF(OR(MAIN!$F$3="Full Year",MAIN!$D$3="All"),"Yes",IF(MAIN!$F$3="Monthly",IF(E396=MAIN!$L$3,"Yes","No"),IF(E396&lt;=MAIN!$L$3,"Yes","No"))))</f>
        <v>Yes</v>
      </c>
      <c r="AA396" t="str">
        <f t="shared" si="41"/>
        <v>No</v>
      </c>
    </row>
    <row r="397" spans="1:27" x14ac:dyDescent="0.3">
      <c r="A397">
        <f>INDEX(SETTINGS!$A$15:$A$24,$B397)</f>
        <v>2026</v>
      </c>
      <c r="B397">
        <v>2</v>
      </c>
      <c r="C397" t="str">
        <f>IF(AND(A397&gt;=SETTINGS!$B$4,A397&lt;=SETTINGS!$B$5),"Yes","No")</f>
        <v>Yes</v>
      </c>
      <c r="D397" t="str">
        <f>IFERROR(INDEX(SETTINGS!$C$15:$C$24,MATCH(A397,SETTINGS!$A$15:$A$24,0)),"No")</f>
        <v>Yes</v>
      </c>
      <c r="E397">
        <v>9</v>
      </c>
      <c r="F397" t="s">
        <v>42</v>
      </c>
      <c r="G397">
        <v>218</v>
      </c>
      <c r="H397" t="s">
        <v>109</v>
      </c>
      <c r="I397" t="s">
        <v>22</v>
      </c>
      <c r="J397" t="s">
        <v>29</v>
      </c>
      <c r="K397" t="s">
        <v>3</v>
      </c>
      <c r="L397" s="36">
        <f ca="1">IF(C397&lt;&gt;"Yes",0,IF(A397=2025,N('2025'!D218),IF(A397=2026,N('2026'!D218),IF(A397=2027,N('2027'!D218),IF(A397=2028,N('2028'!D218),IF(A397=2029,N('2029'!D218),IF(A397=2030,N('2030'!D218),IF(A397=2031,N('2031'!D218),IF(A397=2032,N('2032'!D218),IF(A397=2033,N('2033'!D218),IF(A397=2034,N('2034'!D218),IFERROR(N(INDIRECT("'"&amp;A397&amp;"'!D"&amp;G397)),0))))))))))))</f>
        <v>1</v>
      </c>
      <c r="M397" s="36">
        <f>IFERROR(IF(NOT(ISBLANK(KPI_TARGETS!$H$20)),KPI_TARGETS!$H$20,IF(NOT(ISBLANK(KPI_TARGETS!$F$20)),KPI_TARGETS!$F$20,"")),"")</f>
        <v>1</v>
      </c>
      <c r="N397" s="36" t="str">
        <f>IFERROR(KPI_TARGETS!$E$20,"Higher is better")</f>
        <v>Higher is better</v>
      </c>
      <c r="O397" s="37">
        <f t="shared" ca="1" si="36"/>
        <v>1</v>
      </c>
      <c r="P397" t="str">
        <f t="shared" ca="1" si="37"/>
        <v>Green</v>
      </c>
      <c r="Q397" s="36">
        <f t="shared" ca="1" si="38"/>
        <v>0</v>
      </c>
      <c r="R397" s="36" t="str">
        <f>""</f>
        <v/>
      </c>
      <c r="S397" s="36" t="str">
        <f>""</f>
        <v/>
      </c>
      <c r="T397" s="36" t="str">
        <f>""</f>
        <v/>
      </c>
      <c r="U397" s="36" t="str">
        <f>""</f>
        <v/>
      </c>
      <c r="V397" s="36" t="str">
        <f>""</f>
        <v/>
      </c>
      <c r="W397" s="36">
        <f t="shared" si="39"/>
        <v>1</v>
      </c>
      <c r="X397" t="str">
        <f t="shared" si="40"/>
        <v>OK</v>
      </c>
      <c r="Y397" t="str">
        <f>IF(MAIN!$H$3="Selected Year",IF(A397=MAIN!$B$3,"Yes","No"),IF(MAIN!$H$3="Included Years",IF(D397="Yes","Yes","No"),IF(C397="Yes","Yes","No")))</f>
        <v>No</v>
      </c>
      <c r="Z397" t="str">
        <f>IF(MAIN!$F$3="Project to Date",IF(AND(A397&gt;=SETTINGS!$B$4,A397&lt;MAIN!$B$3),"Yes",IF(AND(A397=MAIN!$B$3,E397&lt;=MAIN!$L$3),"Yes","No")),IF(OR(MAIN!$F$3="Full Year",MAIN!$D$3="All"),"Yes",IF(MAIN!$F$3="Monthly",IF(E397=MAIN!$L$3,"Yes","No"),IF(E397&lt;=MAIN!$L$3,"Yes","No"))))</f>
        <v>Yes</v>
      </c>
      <c r="AA397" t="str">
        <f t="shared" si="41"/>
        <v>No</v>
      </c>
    </row>
    <row r="398" spans="1:27" x14ac:dyDescent="0.3">
      <c r="A398">
        <f>INDEX(SETTINGS!$A$15:$A$24,$B398)</f>
        <v>2026</v>
      </c>
      <c r="B398">
        <v>2</v>
      </c>
      <c r="C398" t="str">
        <f>IF(AND(A398&gt;=SETTINGS!$B$4,A398&lt;=SETTINGS!$B$5),"Yes","No")</f>
        <v>Yes</v>
      </c>
      <c r="D398" t="str">
        <f>IFERROR(INDEX(SETTINGS!$C$15:$C$24,MATCH(A398,SETTINGS!$A$15:$A$24,0)),"No")</f>
        <v>Yes</v>
      </c>
      <c r="E398">
        <v>9</v>
      </c>
      <c r="F398" t="s">
        <v>42</v>
      </c>
      <c r="G398">
        <v>220</v>
      </c>
      <c r="H398" t="s">
        <v>110</v>
      </c>
      <c r="I398" t="s">
        <v>30</v>
      </c>
      <c r="J398" t="s">
        <v>31</v>
      </c>
      <c r="K398" t="s">
        <v>3</v>
      </c>
      <c r="L398" s="36">
        <f ca="1">IF(C398&lt;&gt;"Yes",0,IF(A398=2025,N('2025'!D220),IF(A398=2026,N('2026'!D220),IF(A398=2027,N('2027'!D220),IF(A398=2028,N('2028'!D220),IF(A398=2029,N('2029'!D220),IF(A398=2030,N('2030'!D220),IF(A398=2031,N('2031'!D220),IF(A398=2032,N('2032'!D220),IF(A398=2033,N('2033'!D220),IF(A398=2034,N('2034'!D220),IFERROR(N(INDIRECT("'"&amp;A398&amp;"'!D"&amp;G398)),0))))))))))))</f>
        <v>0</v>
      </c>
      <c r="M398" s="36">
        <f>IFERROR(IF(NOT(ISBLANK(KPI_TARGETS!$H$21)),KPI_TARGETS!$H$21,IF(NOT(ISBLANK(KPI_TARGETS!$F$21)),KPI_TARGETS!$F$21,"")),"")</f>
        <v>0</v>
      </c>
      <c r="N398" s="36" t="str">
        <f>IFERROR(KPI_TARGETS!$E$21,"Higher is better")</f>
        <v>Lower is better</v>
      </c>
      <c r="O398" s="37">
        <f t="shared" ca="1" si="36"/>
        <v>1</v>
      </c>
      <c r="P398" t="str">
        <f t="shared" ca="1" si="37"/>
        <v>Green</v>
      </c>
      <c r="Q398" s="36">
        <f t="shared" ca="1" si="38"/>
        <v>0</v>
      </c>
      <c r="R398" s="36" t="str">
        <f>""</f>
        <v/>
      </c>
      <c r="S398" s="36" t="str">
        <f>""</f>
        <v/>
      </c>
      <c r="T398" s="36" t="str">
        <f>""</f>
        <v/>
      </c>
      <c r="U398" s="36" t="str">
        <f>""</f>
        <v/>
      </c>
      <c r="V398" s="36" t="str">
        <f>""</f>
        <v/>
      </c>
      <c r="W398" s="36">
        <f t="shared" si="39"/>
        <v>1</v>
      </c>
      <c r="X398" t="str">
        <f t="shared" si="40"/>
        <v>OK</v>
      </c>
      <c r="Y398" t="str">
        <f>IF(MAIN!$H$3="Selected Year",IF(A398=MAIN!$B$3,"Yes","No"),IF(MAIN!$H$3="Included Years",IF(D398="Yes","Yes","No"),IF(C398="Yes","Yes","No")))</f>
        <v>No</v>
      </c>
      <c r="Z398" t="str">
        <f>IF(MAIN!$F$3="Project to Date",IF(AND(A398&gt;=SETTINGS!$B$4,A398&lt;MAIN!$B$3),"Yes",IF(AND(A398=MAIN!$B$3,E398&lt;=MAIN!$L$3),"Yes","No")),IF(OR(MAIN!$F$3="Full Year",MAIN!$D$3="All"),"Yes",IF(MAIN!$F$3="Monthly",IF(E398=MAIN!$L$3,"Yes","No"),IF(E398&lt;=MAIN!$L$3,"Yes","No"))))</f>
        <v>Yes</v>
      </c>
      <c r="AA398" t="str">
        <f t="shared" si="41"/>
        <v>No</v>
      </c>
    </row>
    <row r="399" spans="1:27" x14ac:dyDescent="0.3">
      <c r="A399">
        <f>INDEX(SETTINGS!$A$15:$A$24,$B399)</f>
        <v>2026</v>
      </c>
      <c r="B399">
        <v>2</v>
      </c>
      <c r="C399" t="str">
        <f>IF(AND(A399&gt;=SETTINGS!$B$4,A399&lt;=SETTINGS!$B$5),"Yes","No")</f>
        <v>Yes</v>
      </c>
      <c r="D399" t="str">
        <f>IFERROR(INDEX(SETTINGS!$C$15:$C$24,MATCH(A399,SETTINGS!$A$15:$A$24,0)),"No")</f>
        <v>Yes</v>
      </c>
      <c r="E399">
        <v>9</v>
      </c>
      <c r="F399" t="s">
        <v>42</v>
      </c>
      <c r="G399">
        <v>221</v>
      </c>
      <c r="H399" t="s">
        <v>111</v>
      </c>
      <c r="I399" t="s">
        <v>30</v>
      </c>
      <c r="J399" t="s">
        <v>32</v>
      </c>
      <c r="K399" t="s">
        <v>3</v>
      </c>
      <c r="L399" s="36">
        <f ca="1">IF(C399&lt;&gt;"Yes",0,IF(A399=2025,N('2025'!D221),IF(A399=2026,N('2026'!D221),IF(A399=2027,N('2027'!D221),IF(A399=2028,N('2028'!D221),IF(A399=2029,N('2029'!D221),IF(A399=2030,N('2030'!D221),IF(A399=2031,N('2031'!D221),IF(A399=2032,N('2032'!D221),IF(A399=2033,N('2033'!D221),IF(A399=2034,N('2034'!D221),IFERROR(N(INDIRECT("'"&amp;A399&amp;"'!D"&amp;G399)),0))))))))))))</f>
        <v>1</v>
      </c>
      <c r="M399" s="36">
        <f>IFERROR(IF(NOT(ISBLANK(KPI_TARGETS!$H$22)),KPI_TARGETS!$H$22,IF(NOT(ISBLANK(KPI_TARGETS!$F$22)),KPI_TARGETS!$F$22,"")),"")</f>
        <v>1</v>
      </c>
      <c r="N399" s="36" t="str">
        <f>IFERROR(KPI_TARGETS!$E$22,"Higher is better")</f>
        <v>Higher is better</v>
      </c>
      <c r="O399" s="37">
        <f t="shared" ca="1" si="36"/>
        <v>1</v>
      </c>
      <c r="P399" t="str">
        <f t="shared" ca="1" si="37"/>
        <v>Green</v>
      </c>
      <c r="Q399" s="36">
        <f t="shared" ca="1" si="38"/>
        <v>0</v>
      </c>
      <c r="R399" s="36" t="str">
        <f>""</f>
        <v/>
      </c>
      <c r="S399" s="36" t="str">
        <f>""</f>
        <v/>
      </c>
      <c r="T399" s="36" t="str">
        <f>""</f>
        <v/>
      </c>
      <c r="U399" s="36" t="str">
        <f>""</f>
        <v/>
      </c>
      <c r="V399" s="36" t="str">
        <f>""</f>
        <v/>
      </c>
      <c r="W399" s="36">
        <f t="shared" si="39"/>
        <v>1</v>
      </c>
      <c r="X399" t="str">
        <f t="shared" si="40"/>
        <v>OK</v>
      </c>
      <c r="Y399" t="str">
        <f>IF(MAIN!$H$3="Selected Year",IF(A399=MAIN!$B$3,"Yes","No"),IF(MAIN!$H$3="Included Years",IF(D399="Yes","Yes","No"),IF(C399="Yes","Yes","No")))</f>
        <v>No</v>
      </c>
      <c r="Z399" t="str">
        <f>IF(MAIN!$F$3="Project to Date",IF(AND(A399&gt;=SETTINGS!$B$4,A399&lt;MAIN!$B$3),"Yes",IF(AND(A399=MAIN!$B$3,E399&lt;=MAIN!$L$3),"Yes","No")),IF(OR(MAIN!$F$3="Full Year",MAIN!$D$3="All"),"Yes",IF(MAIN!$F$3="Monthly",IF(E399=MAIN!$L$3,"Yes","No"),IF(E399&lt;=MAIN!$L$3,"Yes","No"))))</f>
        <v>Yes</v>
      </c>
      <c r="AA399" t="str">
        <f t="shared" si="41"/>
        <v>No</v>
      </c>
    </row>
    <row r="400" spans="1:27" x14ac:dyDescent="0.3">
      <c r="A400">
        <f>INDEX(SETTINGS!$A$15:$A$24,$B400)</f>
        <v>2026</v>
      </c>
      <c r="B400">
        <v>2</v>
      </c>
      <c r="C400" t="str">
        <f>IF(AND(A400&gt;=SETTINGS!$B$4,A400&lt;=SETTINGS!$B$5),"Yes","No")</f>
        <v>Yes</v>
      </c>
      <c r="D400" t="str">
        <f>IFERROR(INDEX(SETTINGS!$C$15:$C$24,MATCH(A400,SETTINGS!$A$15:$A$24,0)),"No")</f>
        <v>Yes</v>
      </c>
      <c r="E400">
        <v>9</v>
      </c>
      <c r="F400" t="s">
        <v>42</v>
      </c>
      <c r="G400">
        <v>222</v>
      </c>
      <c r="H400" t="s">
        <v>112</v>
      </c>
      <c r="I400" t="s">
        <v>30</v>
      </c>
      <c r="J400" t="s">
        <v>33</v>
      </c>
      <c r="K400" t="s">
        <v>34</v>
      </c>
      <c r="L400" s="36">
        <f ca="1">IF(C400&lt;&gt;"Yes",0,IF(A400=2025,N('2025'!D222),IF(A400=2026,N('2026'!D222),IF(A400=2027,N('2027'!D222),IF(A400=2028,N('2028'!D222),IF(A400=2029,N('2029'!D222),IF(A400=2030,N('2030'!D222),IF(A400=2031,N('2031'!D222),IF(A400=2032,N('2032'!D222),IF(A400=2033,N('2033'!D222),IF(A400=2034,N('2034'!D222),IFERROR(N(INDIRECT("'"&amp;A400&amp;"'!D"&amp;G400)),0))))))))))))</f>
        <v>1</v>
      </c>
      <c r="M400" s="36">
        <f>IFERROR(IF(NOT(ISBLANK(KPI_TARGETS!$H$23)),KPI_TARGETS!$H$23,IF(NOT(ISBLANK(KPI_TARGETS!$F$23)),KPI_TARGETS!$F$23,"")),"")</f>
        <v>1</v>
      </c>
      <c r="N400" s="36" t="str">
        <f>IFERROR(KPI_TARGETS!$E$23,"Higher is better")</f>
        <v>Higher is better</v>
      </c>
      <c r="O400" s="37">
        <f t="shared" ca="1" si="36"/>
        <v>1</v>
      </c>
      <c r="P400" t="str">
        <f t="shared" ca="1" si="37"/>
        <v>Green</v>
      </c>
      <c r="Q400" s="36">
        <f t="shared" ca="1" si="38"/>
        <v>0</v>
      </c>
      <c r="R400" s="36" t="str">
        <f>""</f>
        <v/>
      </c>
      <c r="S400" s="36" t="str">
        <f>""</f>
        <v/>
      </c>
      <c r="T400" s="36" t="str">
        <f>""</f>
        <v/>
      </c>
      <c r="U400" s="36" t="str">
        <f>""</f>
        <v/>
      </c>
      <c r="V400" s="36" t="str">
        <f>""</f>
        <v/>
      </c>
      <c r="W400" s="36">
        <f t="shared" si="39"/>
        <v>1</v>
      </c>
      <c r="X400" t="str">
        <f t="shared" si="40"/>
        <v>OK</v>
      </c>
      <c r="Y400" t="str">
        <f>IF(MAIN!$H$3="Selected Year",IF(A400=MAIN!$B$3,"Yes","No"),IF(MAIN!$H$3="Included Years",IF(D400="Yes","Yes","No"),IF(C400="Yes","Yes","No")))</f>
        <v>No</v>
      </c>
      <c r="Z400" t="str">
        <f>IF(MAIN!$F$3="Project to Date",IF(AND(A400&gt;=SETTINGS!$B$4,A400&lt;MAIN!$B$3),"Yes",IF(AND(A400=MAIN!$B$3,E400&lt;=MAIN!$L$3),"Yes","No")),IF(OR(MAIN!$F$3="Full Year",MAIN!$D$3="All"),"Yes",IF(MAIN!$F$3="Monthly",IF(E400=MAIN!$L$3,"Yes","No"),IF(E400&lt;=MAIN!$L$3,"Yes","No"))))</f>
        <v>Yes</v>
      </c>
      <c r="AA400" t="str">
        <f t="shared" si="41"/>
        <v>No</v>
      </c>
    </row>
    <row r="401" spans="1:27" x14ac:dyDescent="0.3">
      <c r="A401">
        <f>INDEX(SETTINGS!$A$15:$A$24,$B401)</f>
        <v>2026</v>
      </c>
      <c r="B401">
        <v>2</v>
      </c>
      <c r="C401" t="str">
        <f>IF(AND(A401&gt;=SETTINGS!$B$4,A401&lt;=SETTINGS!$B$5),"Yes","No")</f>
        <v>Yes</v>
      </c>
      <c r="D401" t="str">
        <f>IFERROR(INDEX(SETTINGS!$C$15:$C$24,MATCH(A401,SETTINGS!$A$15:$A$24,0)),"No")</f>
        <v>Yes</v>
      </c>
      <c r="E401">
        <v>10</v>
      </c>
      <c r="F401" t="s">
        <v>43</v>
      </c>
      <c r="G401">
        <v>225</v>
      </c>
      <c r="H401" t="s">
        <v>88</v>
      </c>
      <c r="I401" t="s">
        <v>89</v>
      </c>
      <c r="J401" t="s">
        <v>10</v>
      </c>
      <c r="K401" t="s">
        <v>3</v>
      </c>
      <c r="L401" s="36">
        <f ca="1">IF(C401&lt;&gt;"Yes",0,IF(A401=2025,N('2025'!D225),IF(A401=2026,N('2026'!D225),IF(A401=2027,N('2027'!D225),IF(A401=2028,N('2028'!D225),IF(A401=2029,N('2029'!D225),IF(A401=2030,N('2030'!D225),IF(A401=2031,N('2031'!D225),IF(A401=2032,N('2032'!D225),IF(A401=2033,N('2033'!D225),IF(A401=2034,N('2034'!D225),IFERROR(N(INDIRECT("'"&amp;A401&amp;"'!D"&amp;G401)),0))))))))))))</f>
        <v>0</v>
      </c>
      <c r="M401" s="36">
        <f>IFERROR(IF(NOT(ISBLANK(KPI_TARGETS!$H$5)),KPI_TARGETS!$H$5,IF(NOT(ISBLANK(KPI_TARGETS!$F$5)),KPI_TARGETS!$F$5,"")),"")</f>
        <v>104</v>
      </c>
      <c r="N401" s="36" t="str">
        <f>IFERROR(KPI_TARGETS!$E$5,"Higher is better")</f>
        <v>Higher is better</v>
      </c>
      <c r="O401" s="37">
        <f t="shared" ca="1" si="36"/>
        <v>0</v>
      </c>
      <c r="P401" t="str">
        <f t="shared" ca="1" si="37"/>
        <v>Red</v>
      </c>
      <c r="Q401" s="36">
        <f t="shared" ca="1" si="38"/>
        <v>-104</v>
      </c>
      <c r="R401" s="36" t="str">
        <f>""</f>
        <v/>
      </c>
      <c r="S401" s="36" t="str">
        <f>""</f>
        <v/>
      </c>
      <c r="T401" s="36" t="str">
        <f>""</f>
        <v/>
      </c>
      <c r="U401" s="36" t="str">
        <f>""</f>
        <v/>
      </c>
      <c r="V401" s="36" t="str">
        <f>""</f>
        <v/>
      </c>
      <c r="W401" s="36">
        <f t="shared" si="39"/>
        <v>1</v>
      </c>
      <c r="X401" t="str">
        <f t="shared" si="40"/>
        <v>OK</v>
      </c>
      <c r="Y401" t="str">
        <f>IF(MAIN!$H$3="Selected Year",IF(A401=MAIN!$B$3,"Yes","No"),IF(MAIN!$H$3="Included Years",IF(D401="Yes","Yes","No"),IF(C401="Yes","Yes","No")))</f>
        <v>No</v>
      </c>
      <c r="Z401" t="str">
        <f>IF(MAIN!$F$3="Project to Date",IF(AND(A401&gt;=SETTINGS!$B$4,A401&lt;MAIN!$B$3),"Yes",IF(AND(A401=MAIN!$B$3,E401&lt;=MAIN!$L$3),"Yes","No")),IF(OR(MAIN!$F$3="Full Year",MAIN!$D$3="All"),"Yes",IF(MAIN!$F$3="Monthly",IF(E401=MAIN!$L$3,"Yes","No"),IF(E401&lt;=MAIN!$L$3,"Yes","No"))))</f>
        <v>Yes</v>
      </c>
      <c r="AA401" t="str">
        <f t="shared" si="41"/>
        <v>No</v>
      </c>
    </row>
    <row r="402" spans="1:27" x14ac:dyDescent="0.3">
      <c r="A402">
        <f>INDEX(SETTINGS!$A$15:$A$24,$B402)</f>
        <v>2026</v>
      </c>
      <c r="B402">
        <v>2</v>
      </c>
      <c r="C402" t="str">
        <f>IF(AND(A402&gt;=SETTINGS!$B$4,A402&lt;=SETTINGS!$B$5),"Yes","No")</f>
        <v>Yes</v>
      </c>
      <c r="D402" t="str">
        <f>IFERROR(INDEX(SETTINGS!$C$15:$C$24,MATCH(A402,SETTINGS!$A$15:$A$24,0)),"No")</f>
        <v>Yes</v>
      </c>
      <c r="E402">
        <v>10</v>
      </c>
      <c r="F402" t="s">
        <v>43</v>
      </c>
      <c r="G402">
        <v>226</v>
      </c>
      <c r="H402" t="s">
        <v>91</v>
      </c>
      <c r="I402" t="s">
        <v>89</v>
      </c>
      <c r="J402" t="s">
        <v>11</v>
      </c>
      <c r="K402" t="s">
        <v>12</v>
      </c>
      <c r="L402" s="36">
        <f ca="1">IF(C402&lt;&gt;"Yes",0,IF(A402=2025,N('2025'!D226),IF(A402=2026,N('2026'!D226),IF(A402=2027,N('2027'!D226),IF(A402=2028,N('2028'!D226),IF(A402=2029,N('2029'!D226),IF(A402=2030,N('2030'!D226),IF(A402=2031,N('2031'!D226),IF(A402=2032,N('2032'!D226),IF(A402=2033,N('2033'!D226),IF(A402=2034,N('2034'!D226),IFERROR(N(INDIRECT("'"&amp;A402&amp;"'!D"&amp;G402)),0))))))))))))</f>
        <v>0</v>
      </c>
      <c r="M402" s="36">
        <f>IFERROR(IF(NOT(ISBLANK(KPI_TARGETS!$H$6)),KPI_TARGETS!$H$6,IF(NOT(ISBLANK(KPI_TARGETS!$F$6)),KPI_TARGETS!$F$6,"")),"")</f>
        <v>4000</v>
      </c>
      <c r="N402" s="36" t="str">
        <f>IFERROR(KPI_TARGETS!$E$6,"Higher is better")</f>
        <v>Higher is better</v>
      </c>
      <c r="O402" s="37">
        <f t="shared" ca="1" si="36"/>
        <v>0</v>
      </c>
      <c r="P402" t="str">
        <f t="shared" ca="1" si="37"/>
        <v>Red</v>
      </c>
      <c r="Q402" s="36">
        <f t="shared" ca="1" si="38"/>
        <v>-4000</v>
      </c>
      <c r="R402" s="36" t="str">
        <f>""</f>
        <v/>
      </c>
      <c r="S402" s="36" t="str">
        <f>""</f>
        <v/>
      </c>
      <c r="T402" s="36" t="str">
        <f>""</f>
        <v/>
      </c>
      <c r="U402" s="36" t="str">
        <f>""</f>
        <v/>
      </c>
      <c r="V402" s="36" t="str">
        <f>""</f>
        <v/>
      </c>
      <c r="W402" s="36">
        <f t="shared" si="39"/>
        <v>1</v>
      </c>
      <c r="X402" t="str">
        <f t="shared" si="40"/>
        <v>OK</v>
      </c>
      <c r="Y402" t="str">
        <f>IF(MAIN!$H$3="Selected Year",IF(A402=MAIN!$B$3,"Yes","No"),IF(MAIN!$H$3="Included Years",IF(D402="Yes","Yes","No"),IF(C402="Yes","Yes","No")))</f>
        <v>No</v>
      </c>
      <c r="Z402" t="str">
        <f>IF(MAIN!$F$3="Project to Date",IF(AND(A402&gt;=SETTINGS!$B$4,A402&lt;MAIN!$B$3),"Yes",IF(AND(A402=MAIN!$B$3,E402&lt;=MAIN!$L$3),"Yes","No")),IF(OR(MAIN!$F$3="Full Year",MAIN!$D$3="All"),"Yes",IF(MAIN!$F$3="Monthly",IF(E402=MAIN!$L$3,"Yes","No"),IF(E402&lt;=MAIN!$L$3,"Yes","No"))))</f>
        <v>Yes</v>
      </c>
      <c r="AA402" t="str">
        <f t="shared" si="41"/>
        <v>No</v>
      </c>
    </row>
    <row r="403" spans="1:27" x14ac:dyDescent="0.3">
      <c r="A403">
        <f>INDEX(SETTINGS!$A$15:$A$24,$B403)</f>
        <v>2026</v>
      </c>
      <c r="B403">
        <v>2</v>
      </c>
      <c r="C403" t="str">
        <f>IF(AND(A403&gt;=SETTINGS!$B$4,A403&lt;=SETTINGS!$B$5),"Yes","No")</f>
        <v>Yes</v>
      </c>
      <c r="D403" t="str">
        <f>IFERROR(INDEX(SETTINGS!$C$15:$C$24,MATCH(A403,SETTINGS!$A$15:$A$24,0)),"No")</f>
        <v>Yes</v>
      </c>
      <c r="E403">
        <v>10</v>
      </c>
      <c r="F403" t="s">
        <v>43</v>
      </c>
      <c r="G403">
        <v>227</v>
      </c>
      <c r="H403" t="s">
        <v>93</v>
      </c>
      <c r="I403" t="s">
        <v>89</v>
      </c>
      <c r="J403" t="s">
        <v>13</v>
      </c>
      <c r="K403" t="s">
        <v>14</v>
      </c>
      <c r="L403" s="36">
        <f ca="1">IF(C403&lt;&gt;"Yes",0,IF(A403=2025,N('2025'!D227),IF(A403=2026,N('2026'!D227),IF(A403=2027,N('2027'!D227),IF(A403=2028,N('2028'!D227),IF(A403=2029,N('2029'!D227),IF(A403=2030,N('2030'!D227),IF(A403=2031,N('2031'!D227),IF(A403=2032,N('2032'!D227),IF(A403=2033,N('2033'!D227),IF(A403=2034,N('2034'!D227),IFERROR(N(INDIRECT("'"&amp;A403&amp;"'!D"&amp;G403)),0))))))))))))</f>
        <v>0</v>
      </c>
      <c r="M403" s="36">
        <f>IFERROR(IF(NOT(ISBLANK(KPI_TARGETS!$H$7)),KPI_TARGETS!$H$7,IF(NOT(ISBLANK(KPI_TARGETS!$F$7)),KPI_TARGETS!$F$7,"")),"")</f>
        <v>8000</v>
      </c>
      <c r="N403" s="36" t="str">
        <f>IFERROR(KPI_TARGETS!$E$7,"Higher is better")</f>
        <v>Higher is better</v>
      </c>
      <c r="O403" s="37">
        <f t="shared" ca="1" si="36"/>
        <v>0</v>
      </c>
      <c r="P403" t="str">
        <f t="shared" ca="1" si="37"/>
        <v>Red</v>
      </c>
      <c r="Q403" s="36">
        <f t="shared" ca="1" si="38"/>
        <v>-8000</v>
      </c>
      <c r="R403" s="36" t="str">
        <f>""</f>
        <v/>
      </c>
      <c r="S403" s="36" t="str">
        <f>""</f>
        <v/>
      </c>
      <c r="T403" s="36" t="str">
        <f>""</f>
        <v/>
      </c>
      <c r="U403" s="36" t="str">
        <f>""</f>
        <v/>
      </c>
      <c r="V403" s="36" t="str">
        <f>""</f>
        <v/>
      </c>
      <c r="W403" s="36">
        <f t="shared" si="39"/>
        <v>1</v>
      </c>
      <c r="X403" t="str">
        <f t="shared" si="40"/>
        <v>OK</v>
      </c>
      <c r="Y403" t="str">
        <f>IF(MAIN!$H$3="Selected Year",IF(A403=MAIN!$B$3,"Yes","No"),IF(MAIN!$H$3="Included Years",IF(D403="Yes","Yes","No"),IF(C403="Yes","Yes","No")))</f>
        <v>No</v>
      </c>
      <c r="Z403" t="str">
        <f>IF(MAIN!$F$3="Project to Date",IF(AND(A403&gt;=SETTINGS!$B$4,A403&lt;MAIN!$B$3),"Yes",IF(AND(A403=MAIN!$B$3,E403&lt;=MAIN!$L$3),"Yes","No")),IF(OR(MAIN!$F$3="Full Year",MAIN!$D$3="All"),"Yes",IF(MAIN!$F$3="Monthly",IF(E403=MAIN!$L$3,"Yes","No"),IF(E403&lt;=MAIN!$L$3,"Yes","No"))))</f>
        <v>Yes</v>
      </c>
      <c r="AA403" t="str">
        <f t="shared" si="41"/>
        <v>No</v>
      </c>
    </row>
    <row r="404" spans="1:27" x14ac:dyDescent="0.3">
      <c r="A404">
        <f>INDEX(SETTINGS!$A$15:$A$24,$B404)</f>
        <v>2026</v>
      </c>
      <c r="B404">
        <v>2</v>
      </c>
      <c r="C404" t="str">
        <f>IF(AND(A404&gt;=SETTINGS!$B$4,A404&lt;=SETTINGS!$B$5),"Yes","No")</f>
        <v>Yes</v>
      </c>
      <c r="D404" t="str">
        <f>IFERROR(INDEX(SETTINGS!$C$15:$C$24,MATCH(A404,SETTINGS!$A$15:$A$24,0)),"No")</f>
        <v>Yes</v>
      </c>
      <c r="E404">
        <v>10</v>
      </c>
      <c r="F404" t="s">
        <v>43</v>
      </c>
      <c r="G404">
        <v>229</v>
      </c>
      <c r="H404" t="s">
        <v>95</v>
      </c>
      <c r="I404" t="s">
        <v>15</v>
      </c>
      <c r="J404" t="s">
        <v>16</v>
      </c>
      <c r="K404" t="s">
        <v>3</v>
      </c>
      <c r="L404" s="36">
        <f ca="1">IF(C404&lt;&gt;"Yes",0,IF(A404=2025,N('2025'!D229),IF(A404=2026,N('2026'!D229),IF(A404=2027,N('2027'!D229),IF(A404=2028,N('2028'!D229),IF(A404=2029,N('2029'!D229),IF(A404=2030,N('2030'!D229),IF(A404=2031,N('2031'!D229),IF(A404=2032,N('2032'!D229),IF(A404=2033,N('2033'!D229),IF(A404=2034,N('2034'!D229),IFERROR(N(INDIRECT("'"&amp;A404&amp;"'!D"&amp;G404)),0))))))))))))</f>
        <v>0</v>
      </c>
      <c r="M404" s="36">
        <f>IFERROR(IF(NOT(ISBLANK(KPI_TARGETS!$H$8)),KPI_TARGETS!$H$8,IF(NOT(ISBLANK(KPI_TARGETS!$F$8)),KPI_TARGETS!$F$8,"")),"")</f>
        <v>0</v>
      </c>
      <c r="N404" s="36" t="str">
        <f>IFERROR(KPI_TARGETS!$E$8,"Higher is better")</f>
        <v>Lower is better</v>
      </c>
      <c r="O404" s="37">
        <f t="shared" ca="1" si="36"/>
        <v>1</v>
      </c>
      <c r="P404" t="str">
        <f t="shared" ca="1" si="37"/>
        <v>Green</v>
      </c>
      <c r="Q404" s="36">
        <f t="shared" ca="1" si="38"/>
        <v>0</v>
      </c>
      <c r="R404" s="36" t="str">
        <f>""</f>
        <v/>
      </c>
      <c r="S404" s="36" t="str">
        <f>""</f>
        <v/>
      </c>
      <c r="T404" s="36" t="str">
        <f>""</f>
        <v/>
      </c>
      <c r="U404" s="36" t="str">
        <f>""</f>
        <v/>
      </c>
      <c r="V404" s="36" t="str">
        <f>""</f>
        <v/>
      </c>
      <c r="W404" s="36">
        <f t="shared" si="39"/>
        <v>1</v>
      </c>
      <c r="X404" t="str">
        <f t="shared" si="40"/>
        <v>OK</v>
      </c>
      <c r="Y404" t="str">
        <f>IF(MAIN!$H$3="Selected Year",IF(A404=MAIN!$B$3,"Yes","No"),IF(MAIN!$H$3="Included Years",IF(D404="Yes","Yes","No"),IF(C404="Yes","Yes","No")))</f>
        <v>No</v>
      </c>
      <c r="Z404" t="str">
        <f>IF(MAIN!$F$3="Project to Date",IF(AND(A404&gt;=SETTINGS!$B$4,A404&lt;MAIN!$B$3),"Yes",IF(AND(A404=MAIN!$B$3,E404&lt;=MAIN!$L$3),"Yes","No")),IF(OR(MAIN!$F$3="Full Year",MAIN!$D$3="All"),"Yes",IF(MAIN!$F$3="Monthly",IF(E404=MAIN!$L$3,"Yes","No"),IF(E404&lt;=MAIN!$L$3,"Yes","No"))))</f>
        <v>Yes</v>
      </c>
      <c r="AA404" t="str">
        <f t="shared" si="41"/>
        <v>No</v>
      </c>
    </row>
    <row r="405" spans="1:27" x14ac:dyDescent="0.3">
      <c r="A405">
        <f>INDEX(SETTINGS!$A$15:$A$24,$B405)</f>
        <v>2026</v>
      </c>
      <c r="B405">
        <v>2</v>
      </c>
      <c r="C405" t="str">
        <f>IF(AND(A405&gt;=SETTINGS!$B$4,A405&lt;=SETTINGS!$B$5),"Yes","No")</f>
        <v>Yes</v>
      </c>
      <c r="D405" t="str">
        <f>IFERROR(INDEX(SETTINGS!$C$15:$C$24,MATCH(A405,SETTINGS!$A$15:$A$24,0)),"No")</f>
        <v>Yes</v>
      </c>
      <c r="E405">
        <v>10</v>
      </c>
      <c r="F405" t="s">
        <v>43</v>
      </c>
      <c r="G405">
        <v>230</v>
      </c>
      <c r="H405" t="s">
        <v>97</v>
      </c>
      <c r="I405" t="s">
        <v>15</v>
      </c>
      <c r="J405" t="s">
        <v>17</v>
      </c>
      <c r="K405" t="s">
        <v>3</v>
      </c>
      <c r="L405" s="36">
        <f ca="1">IF(C405&lt;&gt;"Yes",0,IF(A405=2025,N('2025'!D230),IF(A405=2026,N('2026'!D230),IF(A405=2027,N('2027'!D230),IF(A405=2028,N('2028'!D230),IF(A405=2029,N('2029'!D230),IF(A405=2030,N('2030'!D230),IF(A405=2031,N('2031'!D230),IF(A405=2032,N('2032'!D230),IF(A405=2033,N('2033'!D230),IF(A405=2034,N('2034'!D230),IFERROR(N(INDIRECT("'"&amp;A405&amp;"'!D"&amp;G405)),0))))))))))))</f>
        <v>0</v>
      </c>
      <c r="M405" s="36">
        <f>IFERROR(IF(NOT(ISBLANK(KPI_TARGETS!$H$9)),KPI_TARGETS!$H$9,IF(NOT(ISBLANK(KPI_TARGETS!$F$9)),KPI_TARGETS!$F$9,"")),"")</f>
        <v>0</v>
      </c>
      <c r="N405" s="36" t="str">
        <f>IFERROR(KPI_TARGETS!$E$9,"Higher is better")</f>
        <v>Higher is better</v>
      </c>
      <c r="O405" s="37" t="str">
        <f t="shared" ca="1" si="36"/>
        <v/>
      </c>
      <c r="P405" t="str">
        <f t="shared" ca="1" si="37"/>
        <v>Green</v>
      </c>
      <c r="Q405" s="36">
        <f t="shared" ca="1" si="38"/>
        <v>0</v>
      </c>
      <c r="R405" s="36" t="str">
        <f>""</f>
        <v/>
      </c>
      <c r="S405" s="36" t="str">
        <f>""</f>
        <v/>
      </c>
      <c r="T405" s="36" t="str">
        <f>""</f>
        <v/>
      </c>
      <c r="U405" s="36" t="str">
        <f>""</f>
        <v/>
      </c>
      <c r="V405" s="36" t="str">
        <f>""</f>
        <v/>
      </c>
      <c r="W405" s="36">
        <f t="shared" si="39"/>
        <v>1</v>
      </c>
      <c r="X405" t="str">
        <f t="shared" si="40"/>
        <v>OK</v>
      </c>
      <c r="Y405" t="str">
        <f>IF(MAIN!$H$3="Selected Year",IF(A405=MAIN!$B$3,"Yes","No"),IF(MAIN!$H$3="Included Years",IF(D405="Yes","Yes","No"),IF(C405="Yes","Yes","No")))</f>
        <v>No</v>
      </c>
      <c r="Z405" t="str">
        <f>IF(MAIN!$F$3="Project to Date",IF(AND(A405&gt;=SETTINGS!$B$4,A405&lt;MAIN!$B$3),"Yes",IF(AND(A405=MAIN!$B$3,E405&lt;=MAIN!$L$3),"Yes","No")),IF(OR(MAIN!$F$3="Full Year",MAIN!$D$3="All"),"Yes",IF(MAIN!$F$3="Monthly",IF(E405=MAIN!$L$3,"Yes","No"),IF(E405&lt;=MAIN!$L$3,"Yes","No"))))</f>
        <v>Yes</v>
      </c>
      <c r="AA405" t="str">
        <f t="shared" si="41"/>
        <v>No</v>
      </c>
    </row>
    <row r="406" spans="1:27" x14ac:dyDescent="0.3">
      <c r="A406">
        <f>INDEX(SETTINGS!$A$15:$A$24,$B406)</f>
        <v>2026</v>
      </c>
      <c r="B406">
        <v>2</v>
      </c>
      <c r="C406" t="str">
        <f>IF(AND(A406&gt;=SETTINGS!$B$4,A406&lt;=SETTINGS!$B$5),"Yes","No")</f>
        <v>Yes</v>
      </c>
      <c r="D406" t="str">
        <f>IFERROR(INDEX(SETTINGS!$C$15:$C$24,MATCH(A406,SETTINGS!$A$15:$A$24,0)),"No")</f>
        <v>Yes</v>
      </c>
      <c r="E406">
        <v>10</v>
      </c>
      <c r="F406" t="s">
        <v>43</v>
      </c>
      <c r="G406">
        <v>231</v>
      </c>
      <c r="H406" t="s">
        <v>99</v>
      </c>
      <c r="I406" t="s">
        <v>15</v>
      </c>
      <c r="J406" t="s">
        <v>18</v>
      </c>
      <c r="K406" t="s">
        <v>3</v>
      </c>
      <c r="L406" s="36">
        <f ca="1">IF(C406&lt;&gt;"Yes",0,IF(A406=2025,N('2025'!D231),IF(A406=2026,N('2026'!D231),IF(A406=2027,N('2027'!D231),IF(A406=2028,N('2028'!D231),IF(A406=2029,N('2029'!D231),IF(A406=2030,N('2030'!D231),IF(A406=2031,N('2031'!D231),IF(A406=2032,N('2032'!D231),IF(A406=2033,N('2033'!D231),IF(A406=2034,N('2034'!D231),IFERROR(N(INDIRECT("'"&amp;A406&amp;"'!D"&amp;G406)),0))))))))))))</f>
        <v>0</v>
      </c>
      <c r="M406" s="36">
        <f>IFERROR(IF(NOT(ISBLANK(KPI_TARGETS!$H$10)),KPI_TARGETS!$H$10,IF(NOT(ISBLANK(KPI_TARGETS!$F$10)),KPI_TARGETS!$F$10,"")),"")</f>
        <v>0</v>
      </c>
      <c r="N406" s="36" t="str">
        <f>IFERROR(KPI_TARGETS!$E$10,"Higher is better")</f>
        <v>Lower is better</v>
      </c>
      <c r="O406" s="37">
        <f t="shared" ca="1" si="36"/>
        <v>1</v>
      </c>
      <c r="P406" t="str">
        <f t="shared" ca="1" si="37"/>
        <v>Green</v>
      </c>
      <c r="Q406" s="36">
        <f t="shared" ca="1" si="38"/>
        <v>0</v>
      </c>
      <c r="R406" s="36" t="str">
        <f>""</f>
        <v/>
      </c>
      <c r="S406" s="36" t="str">
        <f>""</f>
        <v/>
      </c>
      <c r="T406" s="36" t="str">
        <f>""</f>
        <v/>
      </c>
      <c r="U406" s="36" t="str">
        <f>""</f>
        <v/>
      </c>
      <c r="V406" s="36" t="str">
        <f>""</f>
        <v/>
      </c>
      <c r="W406" s="36">
        <f t="shared" si="39"/>
        <v>1</v>
      </c>
      <c r="X406" t="str">
        <f t="shared" si="40"/>
        <v>OK</v>
      </c>
      <c r="Y406" t="str">
        <f>IF(MAIN!$H$3="Selected Year",IF(A406=MAIN!$B$3,"Yes","No"),IF(MAIN!$H$3="Included Years",IF(D406="Yes","Yes","No"),IF(C406="Yes","Yes","No")))</f>
        <v>No</v>
      </c>
      <c r="Z406" t="str">
        <f>IF(MAIN!$F$3="Project to Date",IF(AND(A406&gt;=SETTINGS!$B$4,A406&lt;MAIN!$B$3),"Yes",IF(AND(A406=MAIN!$B$3,E406&lt;=MAIN!$L$3),"Yes","No")),IF(OR(MAIN!$F$3="Full Year",MAIN!$D$3="All"),"Yes",IF(MAIN!$F$3="Monthly",IF(E406=MAIN!$L$3,"Yes","No"),IF(E406&lt;=MAIN!$L$3,"Yes","No"))))</f>
        <v>Yes</v>
      </c>
      <c r="AA406" t="str">
        <f t="shared" si="41"/>
        <v>No</v>
      </c>
    </row>
    <row r="407" spans="1:27" x14ac:dyDescent="0.3">
      <c r="A407">
        <f>INDEX(SETTINGS!$A$15:$A$24,$B407)</f>
        <v>2026</v>
      </c>
      <c r="B407">
        <v>2</v>
      </c>
      <c r="C407" t="str">
        <f>IF(AND(A407&gt;=SETTINGS!$B$4,A407&lt;=SETTINGS!$B$5),"Yes","No")</f>
        <v>Yes</v>
      </c>
      <c r="D407" t="str">
        <f>IFERROR(INDEX(SETTINGS!$C$15:$C$24,MATCH(A407,SETTINGS!$A$15:$A$24,0)),"No")</f>
        <v>Yes</v>
      </c>
      <c r="E407">
        <v>10</v>
      </c>
      <c r="F407" t="s">
        <v>43</v>
      </c>
      <c r="G407">
        <v>232</v>
      </c>
      <c r="H407" t="s">
        <v>100</v>
      </c>
      <c r="I407" t="s">
        <v>15</v>
      </c>
      <c r="J407" t="s">
        <v>19</v>
      </c>
      <c r="K407" t="s">
        <v>3</v>
      </c>
      <c r="L407" s="36">
        <f ca="1">IF(C407&lt;&gt;"Yes",0,IF(A407=2025,N('2025'!D232),IF(A407=2026,N('2026'!D232),IF(A407=2027,N('2027'!D232),IF(A407=2028,N('2028'!D232),IF(A407=2029,N('2029'!D232),IF(A407=2030,N('2030'!D232),IF(A407=2031,N('2031'!D232),IF(A407=2032,N('2032'!D232),IF(A407=2033,N('2033'!D232),IF(A407=2034,N('2034'!D232),IFERROR(N(INDIRECT("'"&amp;A407&amp;"'!D"&amp;G407)),0))))))))))))</f>
        <v>0</v>
      </c>
      <c r="M407" s="36">
        <f>IFERROR(IF(NOT(ISBLANK(KPI_TARGETS!$H$11)),KPI_TARGETS!$H$11,IF(NOT(ISBLANK(KPI_TARGETS!$F$11)),KPI_TARGETS!$F$11,"")),"")</f>
        <v>0</v>
      </c>
      <c r="N407" s="36" t="str">
        <f>IFERROR(KPI_TARGETS!$E$11,"Higher is better")</f>
        <v>Lower is better</v>
      </c>
      <c r="O407" s="37">
        <f t="shared" ca="1" si="36"/>
        <v>1</v>
      </c>
      <c r="P407" t="str">
        <f t="shared" ca="1" si="37"/>
        <v>Green</v>
      </c>
      <c r="Q407" s="36">
        <f t="shared" ca="1" si="38"/>
        <v>0</v>
      </c>
      <c r="R407" s="36" t="str">
        <f>""</f>
        <v/>
      </c>
      <c r="S407" s="36" t="str">
        <f>""</f>
        <v/>
      </c>
      <c r="T407" s="36" t="str">
        <f>""</f>
        <v/>
      </c>
      <c r="U407" s="36" t="str">
        <f>""</f>
        <v/>
      </c>
      <c r="V407" s="36" t="str">
        <f>""</f>
        <v/>
      </c>
      <c r="W407" s="36">
        <f t="shared" si="39"/>
        <v>1</v>
      </c>
      <c r="X407" t="str">
        <f t="shared" si="40"/>
        <v>OK</v>
      </c>
      <c r="Y407" t="str">
        <f>IF(MAIN!$H$3="Selected Year",IF(A407=MAIN!$B$3,"Yes","No"),IF(MAIN!$H$3="Included Years",IF(D407="Yes","Yes","No"),IF(C407="Yes","Yes","No")))</f>
        <v>No</v>
      </c>
      <c r="Z407" t="str">
        <f>IF(MAIN!$F$3="Project to Date",IF(AND(A407&gt;=SETTINGS!$B$4,A407&lt;MAIN!$B$3),"Yes",IF(AND(A407=MAIN!$B$3,E407&lt;=MAIN!$L$3),"Yes","No")),IF(OR(MAIN!$F$3="Full Year",MAIN!$D$3="All"),"Yes",IF(MAIN!$F$3="Monthly",IF(E407=MAIN!$L$3,"Yes","No"),IF(E407&lt;=MAIN!$L$3,"Yes","No"))))</f>
        <v>Yes</v>
      </c>
      <c r="AA407" t="str">
        <f t="shared" si="41"/>
        <v>No</v>
      </c>
    </row>
    <row r="408" spans="1:27" x14ac:dyDescent="0.3">
      <c r="A408">
        <f>INDEX(SETTINGS!$A$15:$A$24,$B408)</f>
        <v>2026</v>
      </c>
      <c r="B408">
        <v>2</v>
      </c>
      <c r="C408" t="str">
        <f>IF(AND(A408&gt;=SETTINGS!$B$4,A408&lt;=SETTINGS!$B$5),"Yes","No")</f>
        <v>Yes</v>
      </c>
      <c r="D408" t="str">
        <f>IFERROR(INDEX(SETTINGS!$C$15:$C$24,MATCH(A408,SETTINGS!$A$15:$A$24,0)),"No")</f>
        <v>Yes</v>
      </c>
      <c r="E408">
        <v>10</v>
      </c>
      <c r="F408" t="s">
        <v>43</v>
      </c>
      <c r="G408">
        <v>233</v>
      </c>
      <c r="H408" t="s">
        <v>101</v>
      </c>
      <c r="I408" t="s">
        <v>15</v>
      </c>
      <c r="J408" t="s">
        <v>20</v>
      </c>
      <c r="K408" t="s">
        <v>3</v>
      </c>
      <c r="L408" s="36">
        <f ca="1">IF(C408&lt;&gt;"Yes",0,IF(A408=2025,N('2025'!D233),IF(A408=2026,N('2026'!D233),IF(A408=2027,N('2027'!D233),IF(A408=2028,N('2028'!D233),IF(A408=2029,N('2029'!D233),IF(A408=2030,N('2030'!D233),IF(A408=2031,N('2031'!D233),IF(A408=2032,N('2032'!D233),IF(A408=2033,N('2033'!D233),IF(A408=2034,N('2034'!D233),IFERROR(N(INDIRECT("'"&amp;A408&amp;"'!D"&amp;G408)),0))))))))))))</f>
        <v>0</v>
      </c>
      <c r="M408" s="36">
        <f>IFERROR(IF(NOT(ISBLANK(KPI_TARGETS!$H$12)),KPI_TARGETS!$H$12,IF(NOT(ISBLANK(KPI_TARGETS!$F$12)),KPI_TARGETS!$F$12,"")),"")</f>
        <v>0</v>
      </c>
      <c r="N408" s="36" t="str">
        <f>IFERROR(KPI_TARGETS!$E$12,"Higher is better")</f>
        <v>Lower is better</v>
      </c>
      <c r="O408" s="37">
        <f t="shared" ca="1" si="36"/>
        <v>1</v>
      </c>
      <c r="P408" t="str">
        <f t="shared" ca="1" si="37"/>
        <v>Green</v>
      </c>
      <c r="Q408" s="36">
        <f t="shared" ca="1" si="38"/>
        <v>0</v>
      </c>
      <c r="R408" s="36" t="str">
        <f>""</f>
        <v/>
      </c>
      <c r="S408" s="36" t="str">
        <f>""</f>
        <v/>
      </c>
      <c r="T408" s="36" t="str">
        <f>""</f>
        <v/>
      </c>
      <c r="U408" s="36" t="str">
        <f>""</f>
        <v/>
      </c>
      <c r="V408" s="36" t="str">
        <f>""</f>
        <v/>
      </c>
      <c r="W408" s="36">
        <f t="shared" si="39"/>
        <v>1</v>
      </c>
      <c r="X408" t="str">
        <f t="shared" si="40"/>
        <v>OK</v>
      </c>
      <c r="Y408" t="str">
        <f>IF(MAIN!$H$3="Selected Year",IF(A408=MAIN!$B$3,"Yes","No"),IF(MAIN!$H$3="Included Years",IF(D408="Yes","Yes","No"),IF(C408="Yes","Yes","No")))</f>
        <v>No</v>
      </c>
      <c r="Z408" t="str">
        <f>IF(MAIN!$F$3="Project to Date",IF(AND(A408&gt;=SETTINGS!$B$4,A408&lt;MAIN!$B$3),"Yes",IF(AND(A408=MAIN!$B$3,E408&lt;=MAIN!$L$3),"Yes","No")),IF(OR(MAIN!$F$3="Full Year",MAIN!$D$3="All"),"Yes",IF(MAIN!$F$3="Monthly",IF(E408=MAIN!$L$3,"Yes","No"),IF(E408&lt;=MAIN!$L$3,"Yes","No"))))</f>
        <v>Yes</v>
      </c>
      <c r="AA408" t="str">
        <f t="shared" si="41"/>
        <v>No</v>
      </c>
    </row>
    <row r="409" spans="1:27" x14ac:dyDescent="0.3">
      <c r="A409">
        <f>INDEX(SETTINGS!$A$15:$A$24,$B409)</f>
        <v>2026</v>
      </c>
      <c r="B409">
        <v>2</v>
      </c>
      <c r="C409" t="str">
        <f>IF(AND(A409&gt;=SETTINGS!$B$4,A409&lt;=SETTINGS!$B$5),"Yes","No")</f>
        <v>Yes</v>
      </c>
      <c r="D409" t="str">
        <f>IFERROR(INDEX(SETTINGS!$C$15:$C$24,MATCH(A409,SETTINGS!$A$15:$A$24,0)),"No")</f>
        <v>Yes</v>
      </c>
      <c r="E409">
        <v>10</v>
      </c>
      <c r="F409" t="s">
        <v>43</v>
      </c>
      <c r="G409">
        <v>234</v>
      </c>
      <c r="H409" t="s">
        <v>102</v>
      </c>
      <c r="I409" t="s">
        <v>15</v>
      </c>
      <c r="J409" t="s">
        <v>21</v>
      </c>
      <c r="K409" t="s">
        <v>3</v>
      </c>
      <c r="L409" s="36">
        <f ca="1">IF(C409&lt;&gt;"Yes",0,IF(A409=2025,N('2025'!D234),IF(A409=2026,N('2026'!D234),IF(A409=2027,N('2027'!D234),IF(A409=2028,N('2028'!D234),IF(A409=2029,N('2029'!D234),IF(A409=2030,N('2030'!D234),IF(A409=2031,N('2031'!D234),IF(A409=2032,N('2032'!D234),IF(A409=2033,N('2033'!D234),IF(A409=2034,N('2034'!D234),IFERROR(N(INDIRECT("'"&amp;A409&amp;"'!D"&amp;G409)),0))))))))))))</f>
        <v>0</v>
      </c>
      <c r="M409" s="36">
        <f>IFERROR(IF(NOT(ISBLANK(KPI_TARGETS!$H$13)),KPI_TARGETS!$H$13,IF(NOT(ISBLANK(KPI_TARGETS!$F$13)),KPI_TARGETS!$F$13,"")),"")</f>
        <v>0</v>
      </c>
      <c r="N409" s="36" t="str">
        <f>IFERROR(KPI_TARGETS!$E$13,"Higher is better")</f>
        <v>Lower is better</v>
      </c>
      <c r="O409" s="37">
        <f t="shared" ca="1" si="36"/>
        <v>1</v>
      </c>
      <c r="P409" t="str">
        <f t="shared" ca="1" si="37"/>
        <v>Green</v>
      </c>
      <c r="Q409" s="36">
        <f t="shared" ca="1" si="38"/>
        <v>0</v>
      </c>
      <c r="R409" s="36" t="str">
        <f>""</f>
        <v/>
      </c>
      <c r="S409" s="36" t="str">
        <f>""</f>
        <v/>
      </c>
      <c r="T409" s="36" t="str">
        <f>""</f>
        <v/>
      </c>
      <c r="U409" s="36" t="str">
        <f>""</f>
        <v/>
      </c>
      <c r="V409" s="36" t="str">
        <f>""</f>
        <v/>
      </c>
      <c r="W409" s="36">
        <f t="shared" si="39"/>
        <v>1</v>
      </c>
      <c r="X409" t="str">
        <f t="shared" si="40"/>
        <v>OK</v>
      </c>
      <c r="Y409" t="str">
        <f>IF(MAIN!$H$3="Selected Year",IF(A409=MAIN!$B$3,"Yes","No"),IF(MAIN!$H$3="Included Years",IF(D409="Yes","Yes","No"),IF(C409="Yes","Yes","No")))</f>
        <v>No</v>
      </c>
      <c r="Z409" t="str">
        <f>IF(MAIN!$F$3="Project to Date",IF(AND(A409&gt;=SETTINGS!$B$4,A409&lt;MAIN!$B$3),"Yes",IF(AND(A409=MAIN!$B$3,E409&lt;=MAIN!$L$3),"Yes","No")),IF(OR(MAIN!$F$3="Full Year",MAIN!$D$3="All"),"Yes",IF(MAIN!$F$3="Monthly",IF(E409=MAIN!$L$3,"Yes","No"),IF(E409&lt;=MAIN!$L$3,"Yes","No"))))</f>
        <v>Yes</v>
      </c>
      <c r="AA409" t="str">
        <f t="shared" si="41"/>
        <v>No</v>
      </c>
    </row>
    <row r="410" spans="1:27" x14ac:dyDescent="0.3">
      <c r="A410">
        <f>INDEX(SETTINGS!$A$15:$A$24,$B410)</f>
        <v>2026</v>
      </c>
      <c r="B410">
        <v>2</v>
      </c>
      <c r="C410" t="str">
        <f>IF(AND(A410&gt;=SETTINGS!$B$4,A410&lt;=SETTINGS!$B$5),"Yes","No")</f>
        <v>Yes</v>
      </c>
      <c r="D410" t="str">
        <f>IFERROR(INDEX(SETTINGS!$C$15:$C$24,MATCH(A410,SETTINGS!$A$15:$A$24,0)),"No")</f>
        <v>Yes</v>
      </c>
      <c r="E410">
        <v>10</v>
      </c>
      <c r="F410" t="s">
        <v>43</v>
      </c>
      <c r="G410">
        <v>236</v>
      </c>
      <c r="H410" t="s">
        <v>103</v>
      </c>
      <c r="I410" t="s">
        <v>22</v>
      </c>
      <c r="J410" t="s">
        <v>23</v>
      </c>
      <c r="K410" t="s">
        <v>3</v>
      </c>
      <c r="L410" s="36">
        <f ca="1">IF(C410&lt;&gt;"Yes",0,IF(A410=2025,N('2025'!D236),IF(A410=2026,N('2026'!D236),IF(A410=2027,N('2027'!D236),IF(A410=2028,N('2028'!D236),IF(A410=2029,N('2029'!D236),IF(A410=2030,N('2030'!D236),IF(A410=2031,N('2031'!D236),IF(A410=2032,N('2032'!D236),IF(A410=2033,N('2033'!D236),IF(A410=2034,N('2034'!D236),IFERROR(N(INDIRECT("'"&amp;A410&amp;"'!D"&amp;G410)),0))))))))))))</f>
        <v>55</v>
      </c>
      <c r="M410" s="36">
        <f>IFERROR(IF(NOT(ISBLANK(KPI_TARGETS!$H$14)),KPI_TARGETS!$H$14,IF(NOT(ISBLANK(KPI_TARGETS!$F$14)),KPI_TARGETS!$F$14,"")),"")</f>
        <v>35</v>
      </c>
      <c r="N410" s="36" t="str">
        <f>IFERROR(KPI_TARGETS!$E$14,"Higher is better")</f>
        <v>Higher is better</v>
      </c>
      <c r="O410" s="37">
        <f t="shared" ca="1" si="36"/>
        <v>1.5714285714285714</v>
      </c>
      <c r="P410" t="str">
        <f t="shared" ca="1" si="37"/>
        <v>Green</v>
      </c>
      <c r="Q410" s="36">
        <f t="shared" ca="1" si="38"/>
        <v>20</v>
      </c>
      <c r="R410" s="36" t="str">
        <f>""</f>
        <v/>
      </c>
      <c r="S410" s="36" t="str">
        <f>""</f>
        <v/>
      </c>
      <c r="T410" s="36" t="str">
        <f>""</f>
        <v/>
      </c>
      <c r="U410" s="36" t="str">
        <f>""</f>
        <v/>
      </c>
      <c r="V410" s="36" t="str">
        <f>""</f>
        <v/>
      </c>
      <c r="W410" s="36">
        <f t="shared" si="39"/>
        <v>1</v>
      </c>
      <c r="X410" t="str">
        <f t="shared" si="40"/>
        <v>OK</v>
      </c>
      <c r="Y410" t="str">
        <f>IF(MAIN!$H$3="Selected Year",IF(A410=MAIN!$B$3,"Yes","No"),IF(MAIN!$H$3="Included Years",IF(D410="Yes","Yes","No"),IF(C410="Yes","Yes","No")))</f>
        <v>No</v>
      </c>
      <c r="Z410" t="str">
        <f>IF(MAIN!$F$3="Project to Date",IF(AND(A410&gt;=SETTINGS!$B$4,A410&lt;MAIN!$B$3),"Yes",IF(AND(A410=MAIN!$B$3,E410&lt;=MAIN!$L$3),"Yes","No")),IF(OR(MAIN!$F$3="Full Year",MAIN!$D$3="All"),"Yes",IF(MAIN!$F$3="Monthly",IF(E410=MAIN!$L$3,"Yes","No"),IF(E410&lt;=MAIN!$L$3,"Yes","No"))))</f>
        <v>Yes</v>
      </c>
      <c r="AA410" t="str">
        <f t="shared" si="41"/>
        <v>No</v>
      </c>
    </row>
    <row r="411" spans="1:27" x14ac:dyDescent="0.3">
      <c r="A411">
        <f>INDEX(SETTINGS!$A$15:$A$24,$B411)</f>
        <v>2026</v>
      </c>
      <c r="B411">
        <v>2</v>
      </c>
      <c r="C411" t="str">
        <f>IF(AND(A411&gt;=SETTINGS!$B$4,A411&lt;=SETTINGS!$B$5),"Yes","No")</f>
        <v>Yes</v>
      </c>
      <c r="D411" t="str">
        <f>IFERROR(INDEX(SETTINGS!$C$15:$C$24,MATCH(A411,SETTINGS!$A$15:$A$24,0)),"No")</f>
        <v>Yes</v>
      </c>
      <c r="E411">
        <v>10</v>
      </c>
      <c r="F411" t="s">
        <v>43</v>
      </c>
      <c r="G411">
        <v>237</v>
      </c>
      <c r="H411" t="s">
        <v>104</v>
      </c>
      <c r="I411" t="s">
        <v>22</v>
      </c>
      <c r="J411" t="s">
        <v>24</v>
      </c>
      <c r="K411" t="s">
        <v>3</v>
      </c>
      <c r="L411" s="36">
        <f ca="1">IF(C411&lt;&gt;"Yes",0,IF(A411=2025,N('2025'!D237),IF(A411=2026,N('2026'!D237),IF(A411=2027,N('2027'!D237),IF(A411=2028,N('2028'!D237),IF(A411=2029,N('2029'!D237),IF(A411=2030,N('2030'!D237),IF(A411=2031,N('2031'!D237),IF(A411=2032,N('2032'!D237),IF(A411=2033,N('2033'!D237),IF(A411=2034,N('2034'!D237),IFERROR(N(INDIRECT("'"&amp;A411&amp;"'!D"&amp;G411)),0))))))))))))</f>
        <v>4</v>
      </c>
      <c r="M411" s="36">
        <f>IFERROR(IF(NOT(ISBLANK(KPI_TARGETS!$H$15)),KPI_TARGETS!$H$15,IF(NOT(ISBLANK(KPI_TARGETS!$F$15)),KPI_TARGETS!$F$15,"")),"")</f>
        <v>5</v>
      </c>
      <c r="N411" s="36" t="str">
        <f>IFERROR(KPI_TARGETS!$E$15,"Higher is better")</f>
        <v>Higher is better</v>
      </c>
      <c r="O411" s="37">
        <f t="shared" ca="1" si="36"/>
        <v>0.8</v>
      </c>
      <c r="P411" t="str">
        <f t="shared" ca="1" si="37"/>
        <v>Amber</v>
      </c>
      <c r="Q411" s="36">
        <f t="shared" ca="1" si="38"/>
        <v>-1</v>
      </c>
      <c r="R411" s="36" t="str">
        <f>""</f>
        <v/>
      </c>
      <c r="S411" s="36" t="str">
        <f>""</f>
        <v/>
      </c>
      <c r="T411" s="36" t="str">
        <f>""</f>
        <v/>
      </c>
      <c r="U411" s="36" t="str">
        <f>""</f>
        <v/>
      </c>
      <c r="V411" s="36" t="str">
        <f>""</f>
        <v/>
      </c>
      <c r="W411" s="36">
        <f t="shared" si="39"/>
        <v>1</v>
      </c>
      <c r="X411" t="str">
        <f t="shared" si="40"/>
        <v>OK</v>
      </c>
      <c r="Y411" t="str">
        <f>IF(MAIN!$H$3="Selected Year",IF(A411=MAIN!$B$3,"Yes","No"),IF(MAIN!$H$3="Included Years",IF(D411="Yes","Yes","No"),IF(C411="Yes","Yes","No")))</f>
        <v>No</v>
      </c>
      <c r="Z411" t="str">
        <f>IF(MAIN!$F$3="Project to Date",IF(AND(A411&gt;=SETTINGS!$B$4,A411&lt;MAIN!$B$3),"Yes",IF(AND(A411=MAIN!$B$3,E411&lt;=MAIN!$L$3),"Yes","No")),IF(OR(MAIN!$F$3="Full Year",MAIN!$D$3="All"),"Yes",IF(MAIN!$F$3="Monthly",IF(E411=MAIN!$L$3,"Yes","No"),IF(E411&lt;=MAIN!$L$3,"Yes","No"))))</f>
        <v>Yes</v>
      </c>
      <c r="AA411" t="str">
        <f t="shared" si="41"/>
        <v>No</v>
      </c>
    </row>
    <row r="412" spans="1:27" x14ac:dyDescent="0.3">
      <c r="A412">
        <f>INDEX(SETTINGS!$A$15:$A$24,$B412)</f>
        <v>2026</v>
      </c>
      <c r="B412">
        <v>2</v>
      </c>
      <c r="C412" t="str">
        <f>IF(AND(A412&gt;=SETTINGS!$B$4,A412&lt;=SETTINGS!$B$5),"Yes","No")</f>
        <v>Yes</v>
      </c>
      <c r="D412" t="str">
        <f>IFERROR(INDEX(SETTINGS!$C$15:$C$24,MATCH(A412,SETTINGS!$A$15:$A$24,0)),"No")</f>
        <v>Yes</v>
      </c>
      <c r="E412">
        <v>10</v>
      </c>
      <c r="F412" t="s">
        <v>43</v>
      </c>
      <c r="G412">
        <v>238</v>
      </c>
      <c r="H412" t="s">
        <v>105</v>
      </c>
      <c r="I412" t="s">
        <v>22</v>
      </c>
      <c r="J412" t="s">
        <v>25</v>
      </c>
      <c r="K412" t="s">
        <v>3</v>
      </c>
      <c r="L412" s="36">
        <f ca="1">IF(C412&lt;&gt;"Yes",0,IF(A412=2025,N('2025'!D238),IF(A412=2026,N('2026'!D238),IF(A412=2027,N('2027'!D238),IF(A412=2028,N('2028'!D238),IF(A412=2029,N('2029'!D238),IF(A412=2030,N('2030'!D238),IF(A412=2031,N('2031'!D238),IF(A412=2032,N('2032'!D238),IF(A412=2033,N('2033'!D238),IF(A412=2034,N('2034'!D238),IFERROR(N(INDIRECT("'"&amp;A412&amp;"'!D"&amp;G412)),0))))))))))))</f>
        <v>4</v>
      </c>
      <c r="M412" s="36">
        <f>IFERROR(IF(NOT(ISBLANK(KPI_TARGETS!$H$16)),KPI_TARGETS!$H$16,IF(NOT(ISBLANK(KPI_TARGETS!$F$16)),KPI_TARGETS!$F$16,"")),"")</f>
        <v>4</v>
      </c>
      <c r="N412" s="36" t="str">
        <f>IFERROR(KPI_TARGETS!$E$16,"Higher is better")</f>
        <v>Higher is better</v>
      </c>
      <c r="O412" s="37">
        <f t="shared" ca="1" si="36"/>
        <v>1</v>
      </c>
      <c r="P412" t="str">
        <f t="shared" ca="1" si="37"/>
        <v>Green</v>
      </c>
      <c r="Q412" s="36">
        <f t="shared" ca="1" si="38"/>
        <v>0</v>
      </c>
      <c r="R412" s="36" t="str">
        <f>""</f>
        <v/>
      </c>
      <c r="S412" s="36" t="str">
        <f>""</f>
        <v/>
      </c>
      <c r="T412" s="36" t="str">
        <f>""</f>
        <v/>
      </c>
      <c r="U412" s="36" t="str">
        <f>""</f>
        <v/>
      </c>
      <c r="V412" s="36" t="str">
        <f>""</f>
        <v/>
      </c>
      <c r="W412" s="36">
        <f t="shared" si="39"/>
        <v>1</v>
      </c>
      <c r="X412" t="str">
        <f t="shared" si="40"/>
        <v>OK</v>
      </c>
      <c r="Y412" t="str">
        <f>IF(MAIN!$H$3="Selected Year",IF(A412=MAIN!$B$3,"Yes","No"),IF(MAIN!$H$3="Included Years",IF(D412="Yes","Yes","No"),IF(C412="Yes","Yes","No")))</f>
        <v>No</v>
      </c>
      <c r="Z412" t="str">
        <f>IF(MAIN!$F$3="Project to Date",IF(AND(A412&gt;=SETTINGS!$B$4,A412&lt;MAIN!$B$3),"Yes",IF(AND(A412=MAIN!$B$3,E412&lt;=MAIN!$L$3),"Yes","No")),IF(OR(MAIN!$F$3="Full Year",MAIN!$D$3="All"),"Yes",IF(MAIN!$F$3="Monthly",IF(E412=MAIN!$L$3,"Yes","No"),IF(E412&lt;=MAIN!$L$3,"Yes","No"))))</f>
        <v>Yes</v>
      </c>
      <c r="AA412" t="str">
        <f t="shared" si="41"/>
        <v>No</v>
      </c>
    </row>
    <row r="413" spans="1:27" x14ac:dyDescent="0.3">
      <c r="A413">
        <f>INDEX(SETTINGS!$A$15:$A$24,$B413)</f>
        <v>2026</v>
      </c>
      <c r="B413">
        <v>2</v>
      </c>
      <c r="C413" t="str">
        <f>IF(AND(A413&gt;=SETTINGS!$B$4,A413&lt;=SETTINGS!$B$5),"Yes","No")</f>
        <v>Yes</v>
      </c>
      <c r="D413" t="str">
        <f>IFERROR(INDEX(SETTINGS!$C$15:$C$24,MATCH(A413,SETTINGS!$A$15:$A$24,0)),"No")</f>
        <v>Yes</v>
      </c>
      <c r="E413">
        <v>10</v>
      </c>
      <c r="F413" t="s">
        <v>43</v>
      </c>
      <c r="G413">
        <v>239</v>
      </c>
      <c r="H413" t="s">
        <v>106</v>
      </c>
      <c r="I413" t="s">
        <v>22</v>
      </c>
      <c r="J413" t="s">
        <v>26</v>
      </c>
      <c r="K413" t="s">
        <v>3</v>
      </c>
      <c r="L413" s="36">
        <f ca="1">IF(C413&lt;&gt;"Yes",0,IF(A413=2025,N('2025'!D239),IF(A413=2026,N('2026'!D239),IF(A413=2027,N('2027'!D239),IF(A413=2028,N('2028'!D239),IF(A413=2029,N('2029'!D239),IF(A413=2030,N('2030'!D239),IF(A413=2031,N('2031'!D239),IF(A413=2032,N('2032'!D239),IF(A413=2033,N('2033'!D239),IF(A413=2034,N('2034'!D239),IFERROR(N(INDIRECT("'"&amp;A413&amp;"'!D"&amp;G413)),0))))))))))))</f>
        <v>20</v>
      </c>
      <c r="M413" s="36">
        <f>IFERROR(IF(NOT(ISBLANK(KPI_TARGETS!$H$17)),KPI_TARGETS!$H$17,IF(NOT(ISBLANK(KPI_TARGETS!$F$17)),KPI_TARGETS!$F$17,"")),"")</f>
        <v>12</v>
      </c>
      <c r="N413" s="36" t="str">
        <f>IFERROR(KPI_TARGETS!$E$17,"Higher is better")</f>
        <v>Higher is better</v>
      </c>
      <c r="O413" s="37">
        <f t="shared" ca="1" si="36"/>
        <v>1.6666666666666667</v>
      </c>
      <c r="P413" t="str">
        <f t="shared" ca="1" si="37"/>
        <v>Green</v>
      </c>
      <c r="Q413" s="36">
        <f t="shared" ca="1" si="38"/>
        <v>8</v>
      </c>
      <c r="R413" s="36" t="str">
        <f>""</f>
        <v/>
      </c>
      <c r="S413" s="36" t="str">
        <f>""</f>
        <v/>
      </c>
      <c r="T413" s="36" t="str">
        <f>""</f>
        <v/>
      </c>
      <c r="U413" s="36" t="str">
        <f>""</f>
        <v/>
      </c>
      <c r="V413" s="36" t="str">
        <f>""</f>
        <v/>
      </c>
      <c r="W413" s="36">
        <f t="shared" si="39"/>
        <v>1</v>
      </c>
      <c r="X413" t="str">
        <f t="shared" si="40"/>
        <v>OK</v>
      </c>
      <c r="Y413" t="str">
        <f>IF(MAIN!$H$3="Selected Year",IF(A413=MAIN!$B$3,"Yes","No"),IF(MAIN!$H$3="Included Years",IF(D413="Yes","Yes","No"),IF(C413="Yes","Yes","No")))</f>
        <v>No</v>
      </c>
      <c r="Z413" t="str">
        <f>IF(MAIN!$F$3="Project to Date",IF(AND(A413&gt;=SETTINGS!$B$4,A413&lt;MAIN!$B$3),"Yes",IF(AND(A413=MAIN!$B$3,E413&lt;=MAIN!$L$3),"Yes","No")),IF(OR(MAIN!$F$3="Full Year",MAIN!$D$3="All"),"Yes",IF(MAIN!$F$3="Monthly",IF(E413=MAIN!$L$3,"Yes","No"),IF(E413&lt;=MAIN!$L$3,"Yes","No"))))</f>
        <v>Yes</v>
      </c>
      <c r="AA413" t="str">
        <f t="shared" si="41"/>
        <v>No</v>
      </c>
    </row>
    <row r="414" spans="1:27" x14ac:dyDescent="0.3">
      <c r="A414">
        <f>INDEX(SETTINGS!$A$15:$A$24,$B414)</f>
        <v>2026</v>
      </c>
      <c r="B414">
        <v>2</v>
      </c>
      <c r="C414" t="str">
        <f>IF(AND(A414&gt;=SETTINGS!$B$4,A414&lt;=SETTINGS!$B$5),"Yes","No")</f>
        <v>Yes</v>
      </c>
      <c r="D414" t="str">
        <f>IFERROR(INDEX(SETTINGS!$C$15:$C$24,MATCH(A414,SETTINGS!$A$15:$A$24,0)),"No")</f>
        <v>Yes</v>
      </c>
      <c r="E414">
        <v>10</v>
      </c>
      <c r="F414" t="s">
        <v>43</v>
      </c>
      <c r="G414">
        <v>240</v>
      </c>
      <c r="H414" t="s">
        <v>107</v>
      </c>
      <c r="I414" t="s">
        <v>22</v>
      </c>
      <c r="J414" t="s">
        <v>27</v>
      </c>
      <c r="K414" t="s">
        <v>3</v>
      </c>
      <c r="L414" s="36">
        <f ca="1">IF(C414&lt;&gt;"Yes",0,IF(A414=2025,N('2025'!D240),IF(A414=2026,N('2026'!D240),IF(A414=2027,N('2027'!D240),IF(A414=2028,N('2028'!D240),IF(A414=2029,N('2029'!D240),IF(A414=2030,N('2030'!D240),IF(A414=2031,N('2031'!D240),IF(A414=2032,N('2032'!D240),IF(A414=2033,N('2033'!D240),IF(A414=2034,N('2034'!D240),IFERROR(N(INDIRECT("'"&amp;A414&amp;"'!D"&amp;G414)),0))))))))))))</f>
        <v>4</v>
      </c>
      <c r="M414" s="36">
        <f>IFERROR(IF(NOT(ISBLANK(KPI_TARGETS!$H$18)),KPI_TARGETS!$H$18,IF(NOT(ISBLANK(KPI_TARGETS!$F$18)),KPI_TARGETS!$F$18,"")),"")</f>
        <v>4</v>
      </c>
      <c r="N414" s="36" t="str">
        <f>IFERROR(KPI_TARGETS!$E$18,"Higher is better")</f>
        <v>Higher is better</v>
      </c>
      <c r="O414" s="37">
        <f t="shared" ca="1" si="36"/>
        <v>1</v>
      </c>
      <c r="P414" t="str">
        <f t="shared" ca="1" si="37"/>
        <v>Green</v>
      </c>
      <c r="Q414" s="36">
        <f t="shared" ca="1" si="38"/>
        <v>0</v>
      </c>
      <c r="R414" s="36" t="str">
        <f>""</f>
        <v/>
      </c>
      <c r="S414" s="36" t="str">
        <f>""</f>
        <v/>
      </c>
      <c r="T414" s="36" t="str">
        <f>""</f>
        <v/>
      </c>
      <c r="U414" s="36" t="str">
        <f>""</f>
        <v/>
      </c>
      <c r="V414" s="36" t="str">
        <f>""</f>
        <v/>
      </c>
      <c r="W414" s="36">
        <f t="shared" si="39"/>
        <v>1</v>
      </c>
      <c r="X414" t="str">
        <f t="shared" si="40"/>
        <v>OK</v>
      </c>
      <c r="Y414" t="str">
        <f>IF(MAIN!$H$3="Selected Year",IF(A414=MAIN!$B$3,"Yes","No"),IF(MAIN!$H$3="Included Years",IF(D414="Yes","Yes","No"),IF(C414="Yes","Yes","No")))</f>
        <v>No</v>
      </c>
      <c r="Z414" t="str">
        <f>IF(MAIN!$F$3="Project to Date",IF(AND(A414&gt;=SETTINGS!$B$4,A414&lt;MAIN!$B$3),"Yes",IF(AND(A414=MAIN!$B$3,E414&lt;=MAIN!$L$3),"Yes","No")),IF(OR(MAIN!$F$3="Full Year",MAIN!$D$3="All"),"Yes",IF(MAIN!$F$3="Monthly",IF(E414=MAIN!$L$3,"Yes","No"),IF(E414&lt;=MAIN!$L$3,"Yes","No"))))</f>
        <v>Yes</v>
      </c>
      <c r="AA414" t="str">
        <f t="shared" si="41"/>
        <v>No</v>
      </c>
    </row>
    <row r="415" spans="1:27" x14ac:dyDescent="0.3">
      <c r="A415">
        <f>INDEX(SETTINGS!$A$15:$A$24,$B415)</f>
        <v>2026</v>
      </c>
      <c r="B415">
        <v>2</v>
      </c>
      <c r="C415" t="str">
        <f>IF(AND(A415&gt;=SETTINGS!$B$4,A415&lt;=SETTINGS!$B$5),"Yes","No")</f>
        <v>Yes</v>
      </c>
      <c r="D415" t="str">
        <f>IFERROR(INDEX(SETTINGS!$C$15:$C$24,MATCH(A415,SETTINGS!$A$15:$A$24,0)),"No")</f>
        <v>Yes</v>
      </c>
      <c r="E415">
        <v>10</v>
      </c>
      <c r="F415" t="s">
        <v>43</v>
      </c>
      <c r="G415">
        <v>241</v>
      </c>
      <c r="H415" t="s">
        <v>108</v>
      </c>
      <c r="I415" t="s">
        <v>22</v>
      </c>
      <c r="J415" t="s">
        <v>28</v>
      </c>
      <c r="K415" t="s">
        <v>3</v>
      </c>
      <c r="L415" s="36">
        <f ca="1">IF(C415&lt;&gt;"Yes",0,IF(A415=2025,N('2025'!D241),IF(A415=2026,N('2026'!D241),IF(A415=2027,N('2027'!D241),IF(A415=2028,N('2028'!D241),IF(A415=2029,N('2029'!D241),IF(A415=2030,N('2030'!D241),IF(A415=2031,N('2031'!D241),IF(A415=2032,N('2032'!D241),IF(A415=2033,N('2033'!D241),IF(A415=2034,N('2034'!D241),IFERROR(N(INDIRECT("'"&amp;A415&amp;"'!D"&amp;G415)),0))))))))))))</f>
        <v>8</v>
      </c>
      <c r="M415" s="36">
        <f>IFERROR(IF(NOT(ISBLANK(KPI_TARGETS!$H$19)),KPI_TARGETS!$H$19,IF(NOT(ISBLANK(KPI_TARGETS!$F$19)),KPI_TARGETS!$F$19,"")),"")</f>
        <v>16</v>
      </c>
      <c r="N415" s="36" t="str">
        <f>IFERROR(KPI_TARGETS!$E$19,"Higher is better")</f>
        <v>Higher is better</v>
      </c>
      <c r="O415" s="37">
        <f t="shared" ca="1" si="36"/>
        <v>0.5</v>
      </c>
      <c r="P415" t="str">
        <f t="shared" ca="1" si="37"/>
        <v>Red</v>
      </c>
      <c r="Q415" s="36">
        <f t="shared" ca="1" si="38"/>
        <v>-8</v>
      </c>
      <c r="R415" s="36" t="str">
        <f>""</f>
        <v/>
      </c>
      <c r="S415" s="36" t="str">
        <f>""</f>
        <v/>
      </c>
      <c r="T415" s="36" t="str">
        <f>""</f>
        <v/>
      </c>
      <c r="U415" s="36" t="str">
        <f>""</f>
        <v/>
      </c>
      <c r="V415" s="36" t="str">
        <f>""</f>
        <v/>
      </c>
      <c r="W415" s="36">
        <f t="shared" si="39"/>
        <v>1</v>
      </c>
      <c r="X415" t="str">
        <f t="shared" si="40"/>
        <v>OK</v>
      </c>
      <c r="Y415" t="str">
        <f>IF(MAIN!$H$3="Selected Year",IF(A415=MAIN!$B$3,"Yes","No"),IF(MAIN!$H$3="Included Years",IF(D415="Yes","Yes","No"),IF(C415="Yes","Yes","No")))</f>
        <v>No</v>
      </c>
      <c r="Z415" t="str">
        <f>IF(MAIN!$F$3="Project to Date",IF(AND(A415&gt;=SETTINGS!$B$4,A415&lt;MAIN!$B$3),"Yes",IF(AND(A415=MAIN!$B$3,E415&lt;=MAIN!$L$3),"Yes","No")),IF(OR(MAIN!$F$3="Full Year",MAIN!$D$3="All"),"Yes",IF(MAIN!$F$3="Monthly",IF(E415=MAIN!$L$3,"Yes","No"),IF(E415&lt;=MAIN!$L$3,"Yes","No"))))</f>
        <v>Yes</v>
      </c>
      <c r="AA415" t="str">
        <f t="shared" si="41"/>
        <v>No</v>
      </c>
    </row>
    <row r="416" spans="1:27" x14ac:dyDescent="0.3">
      <c r="A416">
        <f>INDEX(SETTINGS!$A$15:$A$24,$B416)</f>
        <v>2026</v>
      </c>
      <c r="B416">
        <v>2</v>
      </c>
      <c r="C416" t="str">
        <f>IF(AND(A416&gt;=SETTINGS!$B$4,A416&lt;=SETTINGS!$B$5),"Yes","No")</f>
        <v>Yes</v>
      </c>
      <c r="D416" t="str">
        <f>IFERROR(INDEX(SETTINGS!$C$15:$C$24,MATCH(A416,SETTINGS!$A$15:$A$24,0)),"No")</f>
        <v>Yes</v>
      </c>
      <c r="E416">
        <v>10</v>
      </c>
      <c r="F416" t="s">
        <v>43</v>
      </c>
      <c r="G416">
        <v>242</v>
      </c>
      <c r="H416" t="s">
        <v>109</v>
      </c>
      <c r="I416" t="s">
        <v>22</v>
      </c>
      <c r="J416" t="s">
        <v>29</v>
      </c>
      <c r="K416" t="s">
        <v>3</v>
      </c>
      <c r="L416" s="36">
        <f ca="1">IF(C416&lt;&gt;"Yes",0,IF(A416=2025,N('2025'!D242),IF(A416=2026,N('2026'!D242),IF(A416=2027,N('2027'!D242),IF(A416=2028,N('2028'!D242),IF(A416=2029,N('2029'!D242),IF(A416=2030,N('2030'!D242),IF(A416=2031,N('2031'!D242),IF(A416=2032,N('2032'!D242),IF(A416=2033,N('2033'!D242),IF(A416=2034,N('2034'!D242),IFERROR(N(INDIRECT("'"&amp;A416&amp;"'!D"&amp;G416)),0))))))))))))</f>
        <v>1</v>
      </c>
      <c r="M416" s="36">
        <f>IFERROR(IF(NOT(ISBLANK(KPI_TARGETS!$H$20)),KPI_TARGETS!$H$20,IF(NOT(ISBLANK(KPI_TARGETS!$F$20)),KPI_TARGETS!$F$20,"")),"")</f>
        <v>1</v>
      </c>
      <c r="N416" s="36" t="str">
        <f>IFERROR(KPI_TARGETS!$E$20,"Higher is better")</f>
        <v>Higher is better</v>
      </c>
      <c r="O416" s="37">
        <f t="shared" ca="1" si="36"/>
        <v>1</v>
      </c>
      <c r="P416" t="str">
        <f t="shared" ca="1" si="37"/>
        <v>Green</v>
      </c>
      <c r="Q416" s="36">
        <f t="shared" ca="1" si="38"/>
        <v>0</v>
      </c>
      <c r="R416" s="36" t="str">
        <f>""</f>
        <v/>
      </c>
      <c r="S416" s="36" t="str">
        <f>""</f>
        <v/>
      </c>
      <c r="T416" s="36" t="str">
        <f>""</f>
        <v/>
      </c>
      <c r="U416" s="36" t="str">
        <f>""</f>
        <v/>
      </c>
      <c r="V416" s="36" t="str">
        <f>""</f>
        <v/>
      </c>
      <c r="W416" s="36">
        <f t="shared" si="39"/>
        <v>1</v>
      </c>
      <c r="X416" t="str">
        <f t="shared" si="40"/>
        <v>OK</v>
      </c>
      <c r="Y416" t="str">
        <f>IF(MAIN!$H$3="Selected Year",IF(A416=MAIN!$B$3,"Yes","No"),IF(MAIN!$H$3="Included Years",IF(D416="Yes","Yes","No"),IF(C416="Yes","Yes","No")))</f>
        <v>No</v>
      </c>
      <c r="Z416" t="str">
        <f>IF(MAIN!$F$3="Project to Date",IF(AND(A416&gt;=SETTINGS!$B$4,A416&lt;MAIN!$B$3),"Yes",IF(AND(A416=MAIN!$B$3,E416&lt;=MAIN!$L$3),"Yes","No")),IF(OR(MAIN!$F$3="Full Year",MAIN!$D$3="All"),"Yes",IF(MAIN!$F$3="Monthly",IF(E416=MAIN!$L$3,"Yes","No"),IF(E416&lt;=MAIN!$L$3,"Yes","No"))))</f>
        <v>Yes</v>
      </c>
      <c r="AA416" t="str">
        <f t="shared" si="41"/>
        <v>No</v>
      </c>
    </row>
    <row r="417" spans="1:27" x14ac:dyDescent="0.3">
      <c r="A417">
        <f>INDEX(SETTINGS!$A$15:$A$24,$B417)</f>
        <v>2026</v>
      </c>
      <c r="B417">
        <v>2</v>
      </c>
      <c r="C417" t="str">
        <f>IF(AND(A417&gt;=SETTINGS!$B$4,A417&lt;=SETTINGS!$B$5),"Yes","No")</f>
        <v>Yes</v>
      </c>
      <c r="D417" t="str">
        <f>IFERROR(INDEX(SETTINGS!$C$15:$C$24,MATCH(A417,SETTINGS!$A$15:$A$24,0)),"No")</f>
        <v>Yes</v>
      </c>
      <c r="E417">
        <v>10</v>
      </c>
      <c r="F417" t="s">
        <v>43</v>
      </c>
      <c r="G417">
        <v>244</v>
      </c>
      <c r="H417" t="s">
        <v>110</v>
      </c>
      <c r="I417" t="s">
        <v>30</v>
      </c>
      <c r="J417" t="s">
        <v>31</v>
      </c>
      <c r="K417" t="s">
        <v>3</v>
      </c>
      <c r="L417" s="36">
        <f ca="1">IF(C417&lt;&gt;"Yes",0,IF(A417=2025,N('2025'!D244),IF(A417=2026,N('2026'!D244),IF(A417=2027,N('2027'!D244),IF(A417=2028,N('2028'!D244),IF(A417=2029,N('2029'!D244),IF(A417=2030,N('2030'!D244),IF(A417=2031,N('2031'!D244),IF(A417=2032,N('2032'!D244),IF(A417=2033,N('2033'!D244),IF(A417=2034,N('2034'!D244),IFERROR(N(INDIRECT("'"&amp;A417&amp;"'!D"&amp;G417)),0))))))))))))</f>
        <v>0</v>
      </c>
      <c r="M417" s="36">
        <f>IFERROR(IF(NOT(ISBLANK(KPI_TARGETS!$H$21)),KPI_TARGETS!$H$21,IF(NOT(ISBLANK(KPI_TARGETS!$F$21)),KPI_TARGETS!$F$21,"")),"")</f>
        <v>0</v>
      </c>
      <c r="N417" s="36" t="str">
        <f>IFERROR(KPI_TARGETS!$E$21,"Higher is better")</f>
        <v>Lower is better</v>
      </c>
      <c r="O417" s="37">
        <f t="shared" ca="1" si="36"/>
        <v>1</v>
      </c>
      <c r="P417" t="str">
        <f t="shared" ca="1" si="37"/>
        <v>Green</v>
      </c>
      <c r="Q417" s="36">
        <f t="shared" ca="1" si="38"/>
        <v>0</v>
      </c>
      <c r="R417" s="36" t="str">
        <f>""</f>
        <v/>
      </c>
      <c r="S417" s="36" t="str">
        <f>""</f>
        <v/>
      </c>
      <c r="T417" s="36" t="str">
        <f>""</f>
        <v/>
      </c>
      <c r="U417" s="36" t="str">
        <f>""</f>
        <v/>
      </c>
      <c r="V417" s="36" t="str">
        <f>""</f>
        <v/>
      </c>
      <c r="W417" s="36">
        <f t="shared" si="39"/>
        <v>1</v>
      </c>
      <c r="X417" t="str">
        <f t="shared" si="40"/>
        <v>OK</v>
      </c>
      <c r="Y417" t="str">
        <f>IF(MAIN!$H$3="Selected Year",IF(A417=MAIN!$B$3,"Yes","No"),IF(MAIN!$H$3="Included Years",IF(D417="Yes","Yes","No"),IF(C417="Yes","Yes","No")))</f>
        <v>No</v>
      </c>
      <c r="Z417" t="str">
        <f>IF(MAIN!$F$3="Project to Date",IF(AND(A417&gt;=SETTINGS!$B$4,A417&lt;MAIN!$B$3),"Yes",IF(AND(A417=MAIN!$B$3,E417&lt;=MAIN!$L$3),"Yes","No")),IF(OR(MAIN!$F$3="Full Year",MAIN!$D$3="All"),"Yes",IF(MAIN!$F$3="Monthly",IF(E417=MAIN!$L$3,"Yes","No"),IF(E417&lt;=MAIN!$L$3,"Yes","No"))))</f>
        <v>Yes</v>
      </c>
      <c r="AA417" t="str">
        <f t="shared" si="41"/>
        <v>No</v>
      </c>
    </row>
    <row r="418" spans="1:27" x14ac:dyDescent="0.3">
      <c r="A418">
        <f>INDEX(SETTINGS!$A$15:$A$24,$B418)</f>
        <v>2026</v>
      </c>
      <c r="B418">
        <v>2</v>
      </c>
      <c r="C418" t="str">
        <f>IF(AND(A418&gt;=SETTINGS!$B$4,A418&lt;=SETTINGS!$B$5),"Yes","No")</f>
        <v>Yes</v>
      </c>
      <c r="D418" t="str">
        <f>IFERROR(INDEX(SETTINGS!$C$15:$C$24,MATCH(A418,SETTINGS!$A$15:$A$24,0)),"No")</f>
        <v>Yes</v>
      </c>
      <c r="E418">
        <v>10</v>
      </c>
      <c r="F418" t="s">
        <v>43</v>
      </c>
      <c r="G418">
        <v>245</v>
      </c>
      <c r="H418" t="s">
        <v>111</v>
      </c>
      <c r="I418" t="s">
        <v>30</v>
      </c>
      <c r="J418" t="s">
        <v>32</v>
      </c>
      <c r="K418" t="s">
        <v>3</v>
      </c>
      <c r="L418" s="36">
        <f ca="1">IF(C418&lt;&gt;"Yes",0,IF(A418=2025,N('2025'!D245),IF(A418=2026,N('2026'!D245),IF(A418=2027,N('2027'!D245),IF(A418=2028,N('2028'!D245),IF(A418=2029,N('2029'!D245),IF(A418=2030,N('2030'!D245),IF(A418=2031,N('2031'!D245),IF(A418=2032,N('2032'!D245),IF(A418=2033,N('2033'!D245),IF(A418=2034,N('2034'!D245),IFERROR(N(INDIRECT("'"&amp;A418&amp;"'!D"&amp;G418)),0))))))))))))</f>
        <v>1</v>
      </c>
      <c r="M418" s="36">
        <f>IFERROR(IF(NOT(ISBLANK(KPI_TARGETS!$H$22)),KPI_TARGETS!$H$22,IF(NOT(ISBLANK(KPI_TARGETS!$F$22)),KPI_TARGETS!$F$22,"")),"")</f>
        <v>1</v>
      </c>
      <c r="N418" s="36" t="str">
        <f>IFERROR(KPI_TARGETS!$E$22,"Higher is better")</f>
        <v>Higher is better</v>
      </c>
      <c r="O418" s="37">
        <f t="shared" ca="1" si="36"/>
        <v>1</v>
      </c>
      <c r="P418" t="str">
        <f t="shared" ca="1" si="37"/>
        <v>Green</v>
      </c>
      <c r="Q418" s="36">
        <f t="shared" ca="1" si="38"/>
        <v>0</v>
      </c>
      <c r="R418" s="36" t="str">
        <f>""</f>
        <v/>
      </c>
      <c r="S418" s="36" t="str">
        <f>""</f>
        <v/>
      </c>
      <c r="T418" s="36" t="str">
        <f>""</f>
        <v/>
      </c>
      <c r="U418" s="36" t="str">
        <f>""</f>
        <v/>
      </c>
      <c r="V418" s="36" t="str">
        <f>""</f>
        <v/>
      </c>
      <c r="W418" s="36">
        <f t="shared" si="39"/>
        <v>1</v>
      </c>
      <c r="X418" t="str">
        <f t="shared" si="40"/>
        <v>OK</v>
      </c>
      <c r="Y418" t="str">
        <f>IF(MAIN!$H$3="Selected Year",IF(A418=MAIN!$B$3,"Yes","No"),IF(MAIN!$H$3="Included Years",IF(D418="Yes","Yes","No"),IF(C418="Yes","Yes","No")))</f>
        <v>No</v>
      </c>
      <c r="Z418" t="str">
        <f>IF(MAIN!$F$3="Project to Date",IF(AND(A418&gt;=SETTINGS!$B$4,A418&lt;MAIN!$B$3),"Yes",IF(AND(A418=MAIN!$B$3,E418&lt;=MAIN!$L$3),"Yes","No")),IF(OR(MAIN!$F$3="Full Year",MAIN!$D$3="All"),"Yes",IF(MAIN!$F$3="Monthly",IF(E418=MAIN!$L$3,"Yes","No"),IF(E418&lt;=MAIN!$L$3,"Yes","No"))))</f>
        <v>Yes</v>
      </c>
      <c r="AA418" t="str">
        <f t="shared" si="41"/>
        <v>No</v>
      </c>
    </row>
    <row r="419" spans="1:27" x14ac:dyDescent="0.3">
      <c r="A419">
        <f>INDEX(SETTINGS!$A$15:$A$24,$B419)</f>
        <v>2026</v>
      </c>
      <c r="B419">
        <v>2</v>
      </c>
      <c r="C419" t="str">
        <f>IF(AND(A419&gt;=SETTINGS!$B$4,A419&lt;=SETTINGS!$B$5),"Yes","No")</f>
        <v>Yes</v>
      </c>
      <c r="D419" t="str">
        <f>IFERROR(INDEX(SETTINGS!$C$15:$C$24,MATCH(A419,SETTINGS!$A$15:$A$24,0)),"No")</f>
        <v>Yes</v>
      </c>
      <c r="E419">
        <v>10</v>
      </c>
      <c r="F419" t="s">
        <v>43</v>
      </c>
      <c r="G419">
        <v>246</v>
      </c>
      <c r="H419" t="s">
        <v>112</v>
      </c>
      <c r="I419" t="s">
        <v>30</v>
      </c>
      <c r="J419" t="s">
        <v>33</v>
      </c>
      <c r="K419" t="s">
        <v>34</v>
      </c>
      <c r="L419" s="36">
        <f ca="1">IF(C419&lt;&gt;"Yes",0,IF(A419=2025,N('2025'!D246),IF(A419=2026,N('2026'!D246),IF(A419=2027,N('2027'!D246),IF(A419=2028,N('2028'!D246),IF(A419=2029,N('2029'!D246),IF(A419=2030,N('2030'!D246),IF(A419=2031,N('2031'!D246),IF(A419=2032,N('2032'!D246),IF(A419=2033,N('2033'!D246),IF(A419=2034,N('2034'!D246),IFERROR(N(INDIRECT("'"&amp;A419&amp;"'!D"&amp;G419)),0))))))))))))</f>
        <v>1</v>
      </c>
      <c r="M419" s="36">
        <f>IFERROR(IF(NOT(ISBLANK(KPI_TARGETS!$H$23)),KPI_TARGETS!$H$23,IF(NOT(ISBLANK(KPI_TARGETS!$F$23)),KPI_TARGETS!$F$23,"")),"")</f>
        <v>1</v>
      </c>
      <c r="N419" s="36" t="str">
        <f>IFERROR(KPI_TARGETS!$E$23,"Higher is better")</f>
        <v>Higher is better</v>
      </c>
      <c r="O419" s="37">
        <f t="shared" ca="1" si="36"/>
        <v>1</v>
      </c>
      <c r="P419" t="str">
        <f t="shared" ca="1" si="37"/>
        <v>Green</v>
      </c>
      <c r="Q419" s="36">
        <f t="shared" ca="1" si="38"/>
        <v>0</v>
      </c>
      <c r="R419" s="36" t="str">
        <f>""</f>
        <v/>
      </c>
      <c r="S419" s="36" t="str">
        <f>""</f>
        <v/>
      </c>
      <c r="T419" s="36" t="str">
        <f>""</f>
        <v/>
      </c>
      <c r="U419" s="36" t="str">
        <f>""</f>
        <v/>
      </c>
      <c r="V419" s="36" t="str">
        <f>""</f>
        <v/>
      </c>
      <c r="W419" s="36">
        <f t="shared" si="39"/>
        <v>1</v>
      </c>
      <c r="X419" t="str">
        <f t="shared" si="40"/>
        <v>OK</v>
      </c>
      <c r="Y419" t="str">
        <f>IF(MAIN!$H$3="Selected Year",IF(A419=MAIN!$B$3,"Yes","No"),IF(MAIN!$H$3="Included Years",IF(D419="Yes","Yes","No"),IF(C419="Yes","Yes","No")))</f>
        <v>No</v>
      </c>
      <c r="Z419" t="str">
        <f>IF(MAIN!$F$3="Project to Date",IF(AND(A419&gt;=SETTINGS!$B$4,A419&lt;MAIN!$B$3),"Yes",IF(AND(A419=MAIN!$B$3,E419&lt;=MAIN!$L$3),"Yes","No")),IF(OR(MAIN!$F$3="Full Year",MAIN!$D$3="All"),"Yes",IF(MAIN!$F$3="Monthly",IF(E419=MAIN!$L$3,"Yes","No"),IF(E419&lt;=MAIN!$L$3,"Yes","No"))))</f>
        <v>Yes</v>
      </c>
      <c r="AA419" t="str">
        <f t="shared" si="41"/>
        <v>No</v>
      </c>
    </row>
    <row r="420" spans="1:27" x14ac:dyDescent="0.3">
      <c r="A420">
        <f>INDEX(SETTINGS!$A$15:$A$24,$B420)</f>
        <v>2026</v>
      </c>
      <c r="B420">
        <v>2</v>
      </c>
      <c r="C420" t="str">
        <f>IF(AND(A420&gt;=SETTINGS!$B$4,A420&lt;=SETTINGS!$B$5),"Yes","No")</f>
        <v>Yes</v>
      </c>
      <c r="D420" t="str">
        <f>IFERROR(INDEX(SETTINGS!$C$15:$C$24,MATCH(A420,SETTINGS!$A$15:$A$24,0)),"No")</f>
        <v>Yes</v>
      </c>
      <c r="E420">
        <v>11</v>
      </c>
      <c r="F420" t="s">
        <v>44</v>
      </c>
      <c r="G420">
        <v>249</v>
      </c>
      <c r="H420" t="s">
        <v>88</v>
      </c>
      <c r="I420" t="s">
        <v>89</v>
      </c>
      <c r="J420" t="s">
        <v>10</v>
      </c>
      <c r="K420" t="s">
        <v>3</v>
      </c>
      <c r="L420" s="36">
        <f ca="1">IF(C420&lt;&gt;"Yes",0,IF(A420=2025,N('2025'!D249),IF(A420=2026,N('2026'!D249),IF(A420=2027,N('2027'!D249),IF(A420=2028,N('2028'!D249),IF(A420=2029,N('2029'!D249),IF(A420=2030,N('2030'!D249),IF(A420=2031,N('2031'!D249),IF(A420=2032,N('2032'!D249),IF(A420=2033,N('2033'!D249),IF(A420=2034,N('2034'!D249),IFERROR(N(INDIRECT("'"&amp;A420&amp;"'!D"&amp;G420)),0))))))))))))</f>
        <v>0</v>
      </c>
      <c r="M420" s="36">
        <f>IFERROR(IF(NOT(ISBLANK(KPI_TARGETS!$H$5)),KPI_TARGETS!$H$5,IF(NOT(ISBLANK(KPI_TARGETS!$F$5)),KPI_TARGETS!$F$5,"")),"")</f>
        <v>104</v>
      </c>
      <c r="N420" s="36" t="str">
        <f>IFERROR(KPI_TARGETS!$E$5,"Higher is better")</f>
        <v>Higher is better</v>
      </c>
      <c r="O420" s="37">
        <f t="shared" ca="1" si="36"/>
        <v>0</v>
      </c>
      <c r="P420" t="str">
        <f t="shared" ca="1" si="37"/>
        <v>Red</v>
      </c>
      <c r="Q420" s="36">
        <f t="shared" ca="1" si="38"/>
        <v>-104</v>
      </c>
      <c r="R420" s="36" t="str">
        <f>""</f>
        <v/>
      </c>
      <c r="S420" s="36" t="str">
        <f>""</f>
        <v/>
      </c>
      <c r="T420" s="36" t="str">
        <f>""</f>
        <v/>
      </c>
      <c r="U420" s="36" t="str">
        <f>""</f>
        <v/>
      </c>
      <c r="V420" s="36" t="str">
        <f>""</f>
        <v/>
      </c>
      <c r="W420" s="36">
        <f t="shared" si="39"/>
        <v>1</v>
      </c>
      <c r="X420" t="str">
        <f t="shared" si="40"/>
        <v>OK</v>
      </c>
      <c r="Y420" t="str">
        <f>IF(MAIN!$H$3="Selected Year",IF(A420=MAIN!$B$3,"Yes","No"),IF(MAIN!$H$3="Included Years",IF(D420="Yes","Yes","No"),IF(C420="Yes","Yes","No")))</f>
        <v>No</v>
      </c>
      <c r="Z420" t="str">
        <f>IF(MAIN!$F$3="Project to Date",IF(AND(A420&gt;=SETTINGS!$B$4,A420&lt;MAIN!$B$3),"Yes",IF(AND(A420=MAIN!$B$3,E420&lt;=MAIN!$L$3),"Yes","No")),IF(OR(MAIN!$F$3="Full Year",MAIN!$D$3="All"),"Yes",IF(MAIN!$F$3="Monthly",IF(E420=MAIN!$L$3,"Yes","No"),IF(E420&lt;=MAIN!$L$3,"Yes","No"))))</f>
        <v>Yes</v>
      </c>
      <c r="AA420" t="str">
        <f t="shared" si="41"/>
        <v>No</v>
      </c>
    </row>
    <row r="421" spans="1:27" x14ac:dyDescent="0.3">
      <c r="A421">
        <f>INDEX(SETTINGS!$A$15:$A$24,$B421)</f>
        <v>2026</v>
      </c>
      <c r="B421">
        <v>2</v>
      </c>
      <c r="C421" t="str">
        <f>IF(AND(A421&gt;=SETTINGS!$B$4,A421&lt;=SETTINGS!$B$5),"Yes","No")</f>
        <v>Yes</v>
      </c>
      <c r="D421" t="str">
        <f>IFERROR(INDEX(SETTINGS!$C$15:$C$24,MATCH(A421,SETTINGS!$A$15:$A$24,0)),"No")</f>
        <v>Yes</v>
      </c>
      <c r="E421">
        <v>11</v>
      </c>
      <c r="F421" t="s">
        <v>44</v>
      </c>
      <c r="G421">
        <v>250</v>
      </c>
      <c r="H421" t="s">
        <v>91</v>
      </c>
      <c r="I421" t="s">
        <v>89</v>
      </c>
      <c r="J421" t="s">
        <v>11</v>
      </c>
      <c r="K421" t="s">
        <v>12</v>
      </c>
      <c r="L421" s="36">
        <f ca="1">IF(C421&lt;&gt;"Yes",0,IF(A421=2025,N('2025'!D250),IF(A421=2026,N('2026'!D250),IF(A421=2027,N('2027'!D250),IF(A421=2028,N('2028'!D250),IF(A421=2029,N('2029'!D250),IF(A421=2030,N('2030'!D250),IF(A421=2031,N('2031'!D250),IF(A421=2032,N('2032'!D250),IF(A421=2033,N('2033'!D250),IF(A421=2034,N('2034'!D250),IFERROR(N(INDIRECT("'"&amp;A421&amp;"'!D"&amp;G421)),0))))))))))))</f>
        <v>0</v>
      </c>
      <c r="M421" s="36">
        <f>IFERROR(IF(NOT(ISBLANK(KPI_TARGETS!$H$6)),KPI_TARGETS!$H$6,IF(NOT(ISBLANK(KPI_TARGETS!$F$6)),KPI_TARGETS!$F$6,"")),"")</f>
        <v>4000</v>
      </c>
      <c r="N421" s="36" t="str">
        <f>IFERROR(KPI_TARGETS!$E$6,"Higher is better")</f>
        <v>Higher is better</v>
      </c>
      <c r="O421" s="37">
        <f t="shared" ca="1" si="36"/>
        <v>0</v>
      </c>
      <c r="P421" t="str">
        <f t="shared" ca="1" si="37"/>
        <v>Red</v>
      </c>
      <c r="Q421" s="36">
        <f t="shared" ca="1" si="38"/>
        <v>-4000</v>
      </c>
      <c r="R421" s="36" t="str">
        <f>""</f>
        <v/>
      </c>
      <c r="S421" s="36" t="str">
        <f>""</f>
        <v/>
      </c>
      <c r="T421" s="36" t="str">
        <f>""</f>
        <v/>
      </c>
      <c r="U421" s="36" t="str">
        <f>""</f>
        <v/>
      </c>
      <c r="V421" s="36" t="str">
        <f>""</f>
        <v/>
      </c>
      <c r="W421" s="36">
        <f t="shared" si="39"/>
        <v>1</v>
      </c>
      <c r="X421" t="str">
        <f t="shared" si="40"/>
        <v>OK</v>
      </c>
      <c r="Y421" t="str">
        <f>IF(MAIN!$H$3="Selected Year",IF(A421=MAIN!$B$3,"Yes","No"),IF(MAIN!$H$3="Included Years",IF(D421="Yes","Yes","No"),IF(C421="Yes","Yes","No")))</f>
        <v>No</v>
      </c>
      <c r="Z421" t="str">
        <f>IF(MAIN!$F$3="Project to Date",IF(AND(A421&gt;=SETTINGS!$B$4,A421&lt;MAIN!$B$3),"Yes",IF(AND(A421=MAIN!$B$3,E421&lt;=MAIN!$L$3),"Yes","No")),IF(OR(MAIN!$F$3="Full Year",MAIN!$D$3="All"),"Yes",IF(MAIN!$F$3="Monthly",IF(E421=MAIN!$L$3,"Yes","No"),IF(E421&lt;=MAIN!$L$3,"Yes","No"))))</f>
        <v>Yes</v>
      </c>
      <c r="AA421" t="str">
        <f t="shared" si="41"/>
        <v>No</v>
      </c>
    </row>
    <row r="422" spans="1:27" x14ac:dyDescent="0.3">
      <c r="A422">
        <f>INDEX(SETTINGS!$A$15:$A$24,$B422)</f>
        <v>2026</v>
      </c>
      <c r="B422">
        <v>2</v>
      </c>
      <c r="C422" t="str">
        <f>IF(AND(A422&gt;=SETTINGS!$B$4,A422&lt;=SETTINGS!$B$5),"Yes","No")</f>
        <v>Yes</v>
      </c>
      <c r="D422" t="str">
        <f>IFERROR(INDEX(SETTINGS!$C$15:$C$24,MATCH(A422,SETTINGS!$A$15:$A$24,0)),"No")</f>
        <v>Yes</v>
      </c>
      <c r="E422">
        <v>11</v>
      </c>
      <c r="F422" t="s">
        <v>44</v>
      </c>
      <c r="G422">
        <v>251</v>
      </c>
      <c r="H422" t="s">
        <v>93</v>
      </c>
      <c r="I422" t="s">
        <v>89</v>
      </c>
      <c r="J422" t="s">
        <v>13</v>
      </c>
      <c r="K422" t="s">
        <v>14</v>
      </c>
      <c r="L422" s="36">
        <f ca="1">IF(C422&lt;&gt;"Yes",0,IF(A422=2025,N('2025'!D251),IF(A422=2026,N('2026'!D251),IF(A422=2027,N('2027'!D251),IF(A422=2028,N('2028'!D251),IF(A422=2029,N('2029'!D251),IF(A422=2030,N('2030'!D251),IF(A422=2031,N('2031'!D251),IF(A422=2032,N('2032'!D251),IF(A422=2033,N('2033'!D251),IF(A422=2034,N('2034'!D251),IFERROR(N(INDIRECT("'"&amp;A422&amp;"'!D"&amp;G422)),0))))))))))))</f>
        <v>0</v>
      </c>
      <c r="M422" s="36">
        <f>IFERROR(IF(NOT(ISBLANK(KPI_TARGETS!$H$7)),KPI_TARGETS!$H$7,IF(NOT(ISBLANK(KPI_TARGETS!$F$7)),KPI_TARGETS!$F$7,"")),"")</f>
        <v>8000</v>
      </c>
      <c r="N422" s="36" t="str">
        <f>IFERROR(KPI_TARGETS!$E$7,"Higher is better")</f>
        <v>Higher is better</v>
      </c>
      <c r="O422" s="37">
        <f t="shared" ca="1" si="36"/>
        <v>0</v>
      </c>
      <c r="P422" t="str">
        <f t="shared" ca="1" si="37"/>
        <v>Red</v>
      </c>
      <c r="Q422" s="36">
        <f t="shared" ca="1" si="38"/>
        <v>-8000</v>
      </c>
      <c r="R422" s="36" t="str">
        <f>""</f>
        <v/>
      </c>
      <c r="S422" s="36" t="str">
        <f>""</f>
        <v/>
      </c>
      <c r="T422" s="36" t="str">
        <f>""</f>
        <v/>
      </c>
      <c r="U422" s="36" t="str">
        <f>""</f>
        <v/>
      </c>
      <c r="V422" s="36" t="str">
        <f>""</f>
        <v/>
      </c>
      <c r="W422" s="36">
        <f t="shared" si="39"/>
        <v>1</v>
      </c>
      <c r="X422" t="str">
        <f t="shared" si="40"/>
        <v>OK</v>
      </c>
      <c r="Y422" t="str">
        <f>IF(MAIN!$H$3="Selected Year",IF(A422=MAIN!$B$3,"Yes","No"),IF(MAIN!$H$3="Included Years",IF(D422="Yes","Yes","No"),IF(C422="Yes","Yes","No")))</f>
        <v>No</v>
      </c>
      <c r="Z422" t="str">
        <f>IF(MAIN!$F$3="Project to Date",IF(AND(A422&gt;=SETTINGS!$B$4,A422&lt;MAIN!$B$3),"Yes",IF(AND(A422=MAIN!$B$3,E422&lt;=MAIN!$L$3),"Yes","No")),IF(OR(MAIN!$F$3="Full Year",MAIN!$D$3="All"),"Yes",IF(MAIN!$F$3="Monthly",IF(E422=MAIN!$L$3,"Yes","No"),IF(E422&lt;=MAIN!$L$3,"Yes","No"))))</f>
        <v>Yes</v>
      </c>
      <c r="AA422" t="str">
        <f t="shared" si="41"/>
        <v>No</v>
      </c>
    </row>
    <row r="423" spans="1:27" x14ac:dyDescent="0.3">
      <c r="A423">
        <f>INDEX(SETTINGS!$A$15:$A$24,$B423)</f>
        <v>2026</v>
      </c>
      <c r="B423">
        <v>2</v>
      </c>
      <c r="C423" t="str">
        <f>IF(AND(A423&gt;=SETTINGS!$B$4,A423&lt;=SETTINGS!$B$5),"Yes","No")</f>
        <v>Yes</v>
      </c>
      <c r="D423" t="str">
        <f>IFERROR(INDEX(SETTINGS!$C$15:$C$24,MATCH(A423,SETTINGS!$A$15:$A$24,0)),"No")</f>
        <v>Yes</v>
      </c>
      <c r="E423">
        <v>11</v>
      </c>
      <c r="F423" t="s">
        <v>44</v>
      </c>
      <c r="G423">
        <v>253</v>
      </c>
      <c r="H423" t="s">
        <v>95</v>
      </c>
      <c r="I423" t="s">
        <v>15</v>
      </c>
      <c r="J423" t="s">
        <v>16</v>
      </c>
      <c r="K423" t="s">
        <v>3</v>
      </c>
      <c r="L423" s="36">
        <f ca="1">IF(C423&lt;&gt;"Yes",0,IF(A423=2025,N('2025'!D253),IF(A423=2026,N('2026'!D253),IF(A423=2027,N('2027'!D253),IF(A423=2028,N('2028'!D253),IF(A423=2029,N('2029'!D253),IF(A423=2030,N('2030'!D253),IF(A423=2031,N('2031'!D253),IF(A423=2032,N('2032'!D253),IF(A423=2033,N('2033'!D253),IF(A423=2034,N('2034'!D253),IFERROR(N(INDIRECT("'"&amp;A423&amp;"'!D"&amp;G423)),0))))))))))))</f>
        <v>0</v>
      </c>
      <c r="M423" s="36">
        <f>IFERROR(IF(NOT(ISBLANK(KPI_TARGETS!$H$8)),KPI_TARGETS!$H$8,IF(NOT(ISBLANK(KPI_TARGETS!$F$8)),KPI_TARGETS!$F$8,"")),"")</f>
        <v>0</v>
      </c>
      <c r="N423" s="36" t="str">
        <f>IFERROR(KPI_TARGETS!$E$8,"Higher is better")</f>
        <v>Lower is better</v>
      </c>
      <c r="O423" s="37">
        <f t="shared" ca="1" si="36"/>
        <v>1</v>
      </c>
      <c r="P423" t="str">
        <f t="shared" ca="1" si="37"/>
        <v>Green</v>
      </c>
      <c r="Q423" s="36">
        <f t="shared" ca="1" si="38"/>
        <v>0</v>
      </c>
      <c r="R423" s="36" t="str">
        <f>""</f>
        <v/>
      </c>
      <c r="S423" s="36" t="str">
        <f>""</f>
        <v/>
      </c>
      <c r="T423" s="36" t="str">
        <f>""</f>
        <v/>
      </c>
      <c r="U423" s="36" t="str">
        <f>""</f>
        <v/>
      </c>
      <c r="V423" s="36" t="str">
        <f>""</f>
        <v/>
      </c>
      <c r="W423" s="36">
        <f t="shared" si="39"/>
        <v>1</v>
      </c>
      <c r="X423" t="str">
        <f t="shared" si="40"/>
        <v>OK</v>
      </c>
      <c r="Y423" t="str">
        <f>IF(MAIN!$H$3="Selected Year",IF(A423=MAIN!$B$3,"Yes","No"),IF(MAIN!$H$3="Included Years",IF(D423="Yes","Yes","No"),IF(C423="Yes","Yes","No")))</f>
        <v>No</v>
      </c>
      <c r="Z423" t="str">
        <f>IF(MAIN!$F$3="Project to Date",IF(AND(A423&gt;=SETTINGS!$B$4,A423&lt;MAIN!$B$3),"Yes",IF(AND(A423=MAIN!$B$3,E423&lt;=MAIN!$L$3),"Yes","No")),IF(OR(MAIN!$F$3="Full Year",MAIN!$D$3="All"),"Yes",IF(MAIN!$F$3="Monthly",IF(E423=MAIN!$L$3,"Yes","No"),IF(E423&lt;=MAIN!$L$3,"Yes","No"))))</f>
        <v>Yes</v>
      </c>
      <c r="AA423" t="str">
        <f t="shared" si="41"/>
        <v>No</v>
      </c>
    </row>
    <row r="424" spans="1:27" x14ac:dyDescent="0.3">
      <c r="A424">
        <f>INDEX(SETTINGS!$A$15:$A$24,$B424)</f>
        <v>2026</v>
      </c>
      <c r="B424">
        <v>2</v>
      </c>
      <c r="C424" t="str">
        <f>IF(AND(A424&gt;=SETTINGS!$B$4,A424&lt;=SETTINGS!$B$5),"Yes","No")</f>
        <v>Yes</v>
      </c>
      <c r="D424" t="str">
        <f>IFERROR(INDEX(SETTINGS!$C$15:$C$24,MATCH(A424,SETTINGS!$A$15:$A$24,0)),"No")</f>
        <v>Yes</v>
      </c>
      <c r="E424">
        <v>11</v>
      </c>
      <c r="F424" t="s">
        <v>44</v>
      </c>
      <c r="G424">
        <v>254</v>
      </c>
      <c r="H424" t="s">
        <v>97</v>
      </c>
      <c r="I424" t="s">
        <v>15</v>
      </c>
      <c r="J424" t="s">
        <v>17</v>
      </c>
      <c r="K424" t="s">
        <v>3</v>
      </c>
      <c r="L424" s="36">
        <f ca="1">IF(C424&lt;&gt;"Yes",0,IF(A424=2025,N('2025'!D254),IF(A424=2026,N('2026'!D254),IF(A424=2027,N('2027'!D254),IF(A424=2028,N('2028'!D254),IF(A424=2029,N('2029'!D254),IF(A424=2030,N('2030'!D254),IF(A424=2031,N('2031'!D254),IF(A424=2032,N('2032'!D254),IF(A424=2033,N('2033'!D254),IF(A424=2034,N('2034'!D254),IFERROR(N(INDIRECT("'"&amp;A424&amp;"'!D"&amp;G424)),0))))))))))))</f>
        <v>0</v>
      </c>
      <c r="M424" s="36">
        <f>IFERROR(IF(NOT(ISBLANK(KPI_TARGETS!$H$9)),KPI_TARGETS!$H$9,IF(NOT(ISBLANK(KPI_TARGETS!$F$9)),KPI_TARGETS!$F$9,"")),"")</f>
        <v>0</v>
      </c>
      <c r="N424" s="36" t="str">
        <f>IFERROR(KPI_TARGETS!$E$9,"Higher is better")</f>
        <v>Higher is better</v>
      </c>
      <c r="O424" s="37" t="str">
        <f t="shared" ca="1" si="36"/>
        <v/>
      </c>
      <c r="P424" t="str">
        <f t="shared" ca="1" si="37"/>
        <v>Green</v>
      </c>
      <c r="Q424" s="36">
        <f t="shared" ca="1" si="38"/>
        <v>0</v>
      </c>
      <c r="R424" s="36" t="str">
        <f>""</f>
        <v/>
      </c>
      <c r="S424" s="36" t="str">
        <f>""</f>
        <v/>
      </c>
      <c r="T424" s="36" t="str">
        <f>""</f>
        <v/>
      </c>
      <c r="U424" s="36" t="str">
        <f>""</f>
        <v/>
      </c>
      <c r="V424" s="36" t="str">
        <f>""</f>
        <v/>
      </c>
      <c r="W424" s="36">
        <f t="shared" si="39"/>
        <v>1</v>
      </c>
      <c r="X424" t="str">
        <f t="shared" si="40"/>
        <v>OK</v>
      </c>
      <c r="Y424" t="str">
        <f>IF(MAIN!$H$3="Selected Year",IF(A424=MAIN!$B$3,"Yes","No"),IF(MAIN!$H$3="Included Years",IF(D424="Yes","Yes","No"),IF(C424="Yes","Yes","No")))</f>
        <v>No</v>
      </c>
      <c r="Z424" t="str">
        <f>IF(MAIN!$F$3="Project to Date",IF(AND(A424&gt;=SETTINGS!$B$4,A424&lt;MAIN!$B$3),"Yes",IF(AND(A424=MAIN!$B$3,E424&lt;=MAIN!$L$3),"Yes","No")),IF(OR(MAIN!$F$3="Full Year",MAIN!$D$3="All"),"Yes",IF(MAIN!$F$3="Monthly",IF(E424=MAIN!$L$3,"Yes","No"),IF(E424&lt;=MAIN!$L$3,"Yes","No"))))</f>
        <v>Yes</v>
      </c>
      <c r="AA424" t="str">
        <f t="shared" si="41"/>
        <v>No</v>
      </c>
    </row>
    <row r="425" spans="1:27" x14ac:dyDescent="0.3">
      <c r="A425">
        <f>INDEX(SETTINGS!$A$15:$A$24,$B425)</f>
        <v>2026</v>
      </c>
      <c r="B425">
        <v>2</v>
      </c>
      <c r="C425" t="str">
        <f>IF(AND(A425&gt;=SETTINGS!$B$4,A425&lt;=SETTINGS!$B$5),"Yes","No")</f>
        <v>Yes</v>
      </c>
      <c r="D425" t="str">
        <f>IFERROR(INDEX(SETTINGS!$C$15:$C$24,MATCH(A425,SETTINGS!$A$15:$A$24,0)),"No")</f>
        <v>Yes</v>
      </c>
      <c r="E425">
        <v>11</v>
      </c>
      <c r="F425" t="s">
        <v>44</v>
      </c>
      <c r="G425">
        <v>255</v>
      </c>
      <c r="H425" t="s">
        <v>99</v>
      </c>
      <c r="I425" t="s">
        <v>15</v>
      </c>
      <c r="J425" t="s">
        <v>18</v>
      </c>
      <c r="K425" t="s">
        <v>3</v>
      </c>
      <c r="L425" s="36">
        <f ca="1">IF(C425&lt;&gt;"Yes",0,IF(A425=2025,N('2025'!D255),IF(A425=2026,N('2026'!D255),IF(A425=2027,N('2027'!D255),IF(A425=2028,N('2028'!D255),IF(A425=2029,N('2029'!D255),IF(A425=2030,N('2030'!D255),IF(A425=2031,N('2031'!D255),IF(A425=2032,N('2032'!D255),IF(A425=2033,N('2033'!D255),IF(A425=2034,N('2034'!D255),IFERROR(N(INDIRECT("'"&amp;A425&amp;"'!D"&amp;G425)),0))))))))))))</f>
        <v>0</v>
      </c>
      <c r="M425" s="36">
        <f>IFERROR(IF(NOT(ISBLANK(KPI_TARGETS!$H$10)),KPI_TARGETS!$H$10,IF(NOT(ISBLANK(KPI_TARGETS!$F$10)),KPI_TARGETS!$F$10,"")),"")</f>
        <v>0</v>
      </c>
      <c r="N425" s="36" t="str">
        <f>IFERROR(KPI_TARGETS!$E$10,"Higher is better")</f>
        <v>Lower is better</v>
      </c>
      <c r="O425" s="37">
        <f t="shared" ca="1" si="36"/>
        <v>1</v>
      </c>
      <c r="P425" t="str">
        <f t="shared" ca="1" si="37"/>
        <v>Green</v>
      </c>
      <c r="Q425" s="36">
        <f t="shared" ca="1" si="38"/>
        <v>0</v>
      </c>
      <c r="R425" s="36" t="str">
        <f>""</f>
        <v/>
      </c>
      <c r="S425" s="36" t="str">
        <f>""</f>
        <v/>
      </c>
      <c r="T425" s="36" t="str">
        <f>""</f>
        <v/>
      </c>
      <c r="U425" s="36" t="str">
        <f>""</f>
        <v/>
      </c>
      <c r="V425" s="36" t="str">
        <f>""</f>
        <v/>
      </c>
      <c r="W425" s="36">
        <f t="shared" si="39"/>
        <v>1</v>
      </c>
      <c r="X425" t="str">
        <f t="shared" si="40"/>
        <v>OK</v>
      </c>
      <c r="Y425" t="str">
        <f>IF(MAIN!$H$3="Selected Year",IF(A425=MAIN!$B$3,"Yes","No"),IF(MAIN!$H$3="Included Years",IF(D425="Yes","Yes","No"),IF(C425="Yes","Yes","No")))</f>
        <v>No</v>
      </c>
      <c r="Z425" t="str">
        <f>IF(MAIN!$F$3="Project to Date",IF(AND(A425&gt;=SETTINGS!$B$4,A425&lt;MAIN!$B$3),"Yes",IF(AND(A425=MAIN!$B$3,E425&lt;=MAIN!$L$3),"Yes","No")),IF(OR(MAIN!$F$3="Full Year",MAIN!$D$3="All"),"Yes",IF(MAIN!$F$3="Monthly",IF(E425=MAIN!$L$3,"Yes","No"),IF(E425&lt;=MAIN!$L$3,"Yes","No"))))</f>
        <v>Yes</v>
      </c>
      <c r="AA425" t="str">
        <f t="shared" si="41"/>
        <v>No</v>
      </c>
    </row>
    <row r="426" spans="1:27" x14ac:dyDescent="0.3">
      <c r="A426">
        <f>INDEX(SETTINGS!$A$15:$A$24,$B426)</f>
        <v>2026</v>
      </c>
      <c r="B426">
        <v>2</v>
      </c>
      <c r="C426" t="str">
        <f>IF(AND(A426&gt;=SETTINGS!$B$4,A426&lt;=SETTINGS!$B$5),"Yes","No")</f>
        <v>Yes</v>
      </c>
      <c r="D426" t="str">
        <f>IFERROR(INDEX(SETTINGS!$C$15:$C$24,MATCH(A426,SETTINGS!$A$15:$A$24,0)),"No")</f>
        <v>Yes</v>
      </c>
      <c r="E426">
        <v>11</v>
      </c>
      <c r="F426" t="s">
        <v>44</v>
      </c>
      <c r="G426">
        <v>256</v>
      </c>
      <c r="H426" t="s">
        <v>100</v>
      </c>
      <c r="I426" t="s">
        <v>15</v>
      </c>
      <c r="J426" t="s">
        <v>19</v>
      </c>
      <c r="K426" t="s">
        <v>3</v>
      </c>
      <c r="L426" s="36">
        <f ca="1">IF(C426&lt;&gt;"Yes",0,IF(A426=2025,N('2025'!D256),IF(A426=2026,N('2026'!D256),IF(A426=2027,N('2027'!D256),IF(A426=2028,N('2028'!D256),IF(A426=2029,N('2029'!D256),IF(A426=2030,N('2030'!D256),IF(A426=2031,N('2031'!D256),IF(A426=2032,N('2032'!D256),IF(A426=2033,N('2033'!D256),IF(A426=2034,N('2034'!D256),IFERROR(N(INDIRECT("'"&amp;A426&amp;"'!D"&amp;G426)),0))))))))))))</f>
        <v>0</v>
      </c>
      <c r="M426" s="36">
        <f>IFERROR(IF(NOT(ISBLANK(KPI_TARGETS!$H$11)),KPI_TARGETS!$H$11,IF(NOT(ISBLANK(KPI_TARGETS!$F$11)),KPI_TARGETS!$F$11,"")),"")</f>
        <v>0</v>
      </c>
      <c r="N426" s="36" t="str">
        <f>IFERROR(KPI_TARGETS!$E$11,"Higher is better")</f>
        <v>Lower is better</v>
      </c>
      <c r="O426" s="37">
        <f t="shared" ca="1" si="36"/>
        <v>1</v>
      </c>
      <c r="P426" t="str">
        <f t="shared" ca="1" si="37"/>
        <v>Green</v>
      </c>
      <c r="Q426" s="36">
        <f t="shared" ca="1" si="38"/>
        <v>0</v>
      </c>
      <c r="R426" s="36" t="str">
        <f>""</f>
        <v/>
      </c>
      <c r="S426" s="36" t="str">
        <f>""</f>
        <v/>
      </c>
      <c r="T426" s="36" t="str">
        <f>""</f>
        <v/>
      </c>
      <c r="U426" s="36" t="str">
        <f>""</f>
        <v/>
      </c>
      <c r="V426" s="36" t="str">
        <f>""</f>
        <v/>
      </c>
      <c r="W426" s="36">
        <f t="shared" si="39"/>
        <v>1</v>
      </c>
      <c r="X426" t="str">
        <f t="shared" si="40"/>
        <v>OK</v>
      </c>
      <c r="Y426" t="str">
        <f>IF(MAIN!$H$3="Selected Year",IF(A426=MAIN!$B$3,"Yes","No"),IF(MAIN!$H$3="Included Years",IF(D426="Yes","Yes","No"),IF(C426="Yes","Yes","No")))</f>
        <v>No</v>
      </c>
      <c r="Z426" t="str">
        <f>IF(MAIN!$F$3="Project to Date",IF(AND(A426&gt;=SETTINGS!$B$4,A426&lt;MAIN!$B$3),"Yes",IF(AND(A426=MAIN!$B$3,E426&lt;=MAIN!$L$3),"Yes","No")),IF(OR(MAIN!$F$3="Full Year",MAIN!$D$3="All"),"Yes",IF(MAIN!$F$3="Monthly",IF(E426=MAIN!$L$3,"Yes","No"),IF(E426&lt;=MAIN!$L$3,"Yes","No"))))</f>
        <v>Yes</v>
      </c>
      <c r="AA426" t="str">
        <f t="shared" si="41"/>
        <v>No</v>
      </c>
    </row>
    <row r="427" spans="1:27" x14ac:dyDescent="0.3">
      <c r="A427">
        <f>INDEX(SETTINGS!$A$15:$A$24,$B427)</f>
        <v>2026</v>
      </c>
      <c r="B427">
        <v>2</v>
      </c>
      <c r="C427" t="str">
        <f>IF(AND(A427&gt;=SETTINGS!$B$4,A427&lt;=SETTINGS!$B$5),"Yes","No")</f>
        <v>Yes</v>
      </c>
      <c r="D427" t="str">
        <f>IFERROR(INDEX(SETTINGS!$C$15:$C$24,MATCH(A427,SETTINGS!$A$15:$A$24,0)),"No")</f>
        <v>Yes</v>
      </c>
      <c r="E427">
        <v>11</v>
      </c>
      <c r="F427" t="s">
        <v>44</v>
      </c>
      <c r="G427">
        <v>257</v>
      </c>
      <c r="H427" t="s">
        <v>101</v>
      </c>
      <c r="I427" t="s">
        <v>15</v>
      </c>
      <c r="J427" t="s">
        <v>20</v>
      </c>
      <c r="K427" t="s">
        <v>3</v>
      </c>
      <c r="L427" s="36">
        <f ca="1">IF(C427&lt;&gt;"Yes",0,IF(A427=2025,N('2025'!D257),IF(A427=2026,N('2026'!D257),IF(A427=2027,N('2027'!D257),IF(A427=2028,N('2028'!D257),IF(A427=2029,N('2029'!D257),IF(A427=2030,N('2030'!D257),IF(A427=2031,N('2031'!D257),IF(A427=2032,N('2032'!D257),IF(A427=2033,N('2033'!D257),IF(A427=2034,N('2034'!D257),IFERROR(N(INDIRECT("'"&amp;A427&amp;"'!D"&amp;G427)),0))))))))))))</f>
        <v>0</v>
      </c>
      <c r="M427" s="36">
        <f>IFERROR(IF(NOT(ISBLANK(KPI_TARGETS!$H$12)),KPI_TARGETS!$H$12,IF(NOT(ISBLANK(KPI_TARGETS!$F$12)),KPI_TARGETS!$F$12,"")),"")</f>
        <v>0</v>
      </c>
      <c r="N427" s="36" t="str">
        <f>IFERROR(KPI_TARGETS!$E$12,"Higher is better")</f>
        <v>Lower is better</v>
      </c>
      <c r="O427" s="37">
        <f t="shared" ca="1" si="36"/>
        <v>1</v>
      </c>
      <c r="P427" t="str">
        <f t="shared" ca="1" si="37"/>
        <v>Green</v>
      </c>
      <c r="Q427" s="36">
        <f t="shared" ca="1" si="38"/>
        <v>0</v>
      </c>
      <c r="R427" s="36" t="str">
        <f>""</f>
        <v/>
      </c>
      <c r="S427" s="36" t="str">
        <f>""</f>
        <v/>
      </c>
      <c r="T427" s="36" t="str">
        <f>""</f>
        <v/>
      </c>
      <c r="U427" s="36" t="str">
        <f>""</f>
        <v/>
      </c>
      <c r="V427" s="36" t="str">
        <f>""</f>
        <v/>
      </c>
      <c r="W427" s="36">
        <f t="shared" si="39"/>
        <v>1</v>
      </c>
      <c r="X427" t="str">
        <f t="shared" si="40"/>
        <v>OK</v>
      </c>
      <c r="Y427" t="str">
        <f>IF(MAIN!$H$3="Selected Year",IF(A427=MAIN!$B$3,"Yes","No"),IF(MAIN!$H$3="Included Years",IF(D427="Yes","Yes","No"),IF(C427="Yes","Yes","No")))</f>
        <v>No</v>
      </c>
      <c r="Z427" t="str">
        <f>IF(MAIN!$F$3="Project to Date",IF(AND(A427&gt;=SETTINGS!$B$4,A427&lt;MAIN!$B$3),"Yes",IF(AND(A427=MAIN!$B$3,E427&lt;=MAIN!$L$3),"Yes","No")),IF(OR(MAIN!$F$3="Full Year",MAIN!$D$3="All"),"Yes",IF(MAIN!$F$3="Monthly",IF(E427=MAIN!$L$3,"Yes","No"),IF(E427&lt;=MAIN!$L$3,"Yes","No"))))</f>
        <v>Yes</v>
      </c>
      <c r="AA427" t="str">
        <f t="shared" si="41"/>
        <v>No</v>
      </c>
    </row>
    <row r="428" spans="1:27" x14ac:dyDescent="0.3">
      <c r="A428">
        <f>INDEX(SETTINGS!$A$15:$A$24,$B428)</f>
        <v>2026</v>
      </c>
      <c r="B428">
        <v>2</v>
      </c>
      <c r="C428" t="str">
        <f>IF(AND(A428&gt;=SETTINGS!$B$4,A428&lt;=SETTINGS!$B$5),"Yes","No")</f>
        <v>Yes</v>
      </c>
      <c r="D428" t="str">
        <f>IFERROR(INDEX(SETTINGS!$C$15:$C$24,MATCH(A428,SETTINGS!$A$15:$A$24,0)),"No")</f>
        <v>Yes</v>
      </c>
      <c r="E428">
        <v>11</v>
      </c>
      <c r="F428" t="s">
        <v>44</v>
      </c>
      <c r="G428">
        <v>258</v>
      </c>
      <c r="H428" t="s">
        <v>102</v>
      </c>
      <c r="I428" t="s">
        <v>15</v>
      </c>
      <c r="J428" t="s">
        <v>21</v>
      </c>
      <c r="K428" t="s">
        <v>3</v>
      </c>
      <c r="L428" s="36">
        <f ca="1">IF(C428&lt;&gt;"Yes",0,IF(A428=2025,N('2025'!D258),IF(A428=2026,N('2026'!D258),IF(A428=2027,N('2027'!D258),IF(A428=2028,N('2028'!D258),IF(A428=2029,N('2029'!D258),IF(A428=2030,N('2030'!D258),IF(A428=2031,N('2031'!D258),IF(A428=2032,N('2032'!D258),IF(A428=2033,N('2033'!D258),IF(A428=2034,N('2034'!D258),IFERROR(N(INDIRECT("'"&amp;A428&amp;"'!D"&amp;G428)),0))))))))))))</f>
        <v>0</v>
      </c>
      <c r="M428" s="36">
        <f>IFERROR(IF(NOT(ISBLANK(KPI_TARGETS!$H$13)),KPI_TARGETS!$H$13,IF(NOT(ISBLANK(KPI_TARGETS!$F$13)),KPI_TARGETS!$F$13,"")),"")</f>
        <v>0</v>
      </c>
      <c r="N428" s="36" t="str">
        <f>IFERROR(KPI_TARGETS!$E$13,"Higher is better")</f>
        <v>Lower is better</v>
      </c>
      <c r="O428" s="37">
        <f t="shared" ca="1" si="36"/>
        <v>1</v>
      </c>
      <c r="P428" t="str">
        <f t="shared" ca="1" si="37"/>
        <v>Green</v>
      </c>
      <c r="Q428" s="36">
        <f t="shared" ca="1" si="38"/>
        <v>0</v>
      </c>
      <c r="R428" s="36" t="str">
        <f>""</f>
        <v/>
      </c>
      <c r="S428" s="36" t="str">
        <f>""</f>
        <v/>
      </c>
      <c r="T428" s="36" t="str">
        <f>""</f>
        <v/>
      </c>
      <c r="U428" s="36" t="str">
        <f>""</f>
        <v/>
      </c>
      <c r="V428" s="36" t="str">
        <f>""</f>
        <v/>
      </c>
      <c r="W428" s="36">
        <f t="shared" si="39"/>
        <v>1</v>
      </c>
      <c r="X428" t="str">
        <f t="shared" si="40"/>
        <v>OK</v>
      </c>
      <c r="Y428" t="str">
        <f>IF(MAIN!$H$3="Selected Year",IF(A428=MAIN!$B$3,"Yes","No"),IF(MAIN!$H$3="Included Years",IF(D428="Yes","Yes","No"),IF(C428="Yes","Yes","No")))</f>
        <v>No</v>
      </c>
      <c r="Z428" t="str">
        <f>IF(MAIN!$F$3="Project to Date",IF(AND(A428&gt;=SETTINGS!$B$4,A428&lt;MAIN!$B$3),"Yes",IF(AND(A428=MAIN!$B$3,E428&lt;=MAIN!$L$3),"Yes","No")),IF(OR(MAIN!$F$3="Full Year",MAIN!$D$3="All"),"Yes",IF(MAIN!$F$3="Monthly",IF(E428=MAIN!$L$3,"Yes","No"),IF(E428&lt;=MAIN!$L$3,"Yes","No"))))</f>
        <v>Yes</v>
      </c>
      <c r="AA428" t="str">
        <f t="shared" si="41"/>
        <v>No</v>
      </c>
    </row>
    <row r="429" spans="1:27" x14ac:dyDescent="0.3">
      <c r="A429">
        <f>INDEX(SETTINGS!$A$15:$A$24,$B429)</f>
        <v>2026</v>
      </c>
      <c r="B429">
        <v>2</v>
      </c>
      <c r="C429" t="str">
        <f>IF(AND(A429&gt;=SETTINGS!$B$4,A429&lt;=SETTINGS!$B$5),"Yes","No")</f>
        <v>Yes</v>
      </c>
      <c r="D429" t="str">
        <f>IFERROR(INDEX(SETTINGS!$C$15:$C$24,MATCH(A429,SETTINGS!$A$15:$A$24,0)),"No")</f>
        <v>Yes</v>
      </c>
      <c r="E429">
        <v>11</v>
      </c>
      <c r="F429" t="s">
        <v>44</v>
      </c>
      <c r="G429">
        <v>260</v>
      </c>
      <c r="H429" t="s">
        <v>103</v>
      </c>
      <c r="I429" t="s">
        <v>22</v>
      </c>
      <c r="J429" t="s">
        <v>23</v>
      </c>
      <c r="K429" t="s">
        <v>3</v>
      </c>
      <c r="L429" s="36">
        <f ca="1">IF(C429&lt;&gt;"Yes",0,IF(A429=2025,N('2025'!D260),IF(A429=2026,N('2026'!D260),IF(A429=2027,N('2027'!D260),IF(A429=2028,N('2028'!D260),IF(A429=2029,N('2029'!D260),IF(A429=2030,N('2030'!D260),IF(A429=2031,N('2031'!D260),IF(A429=2032,N('2032'!D260),IF(A429=2033,N('2033'!D260),IF(A429=2034,N('2034'!D260),IFERROR(N(INDIRECT("'"&amp;A429&amp;"'!D"&amp;G429)),0))))))))))))</f>
        <v>55</v>
      </c>
      <c r="M429" s="36">
        <f>IFERROR(IF(NOT(ISBLANK(KPI_TARGETS!$H$14)),KPI_TARGETS!$H$14,IF(NOT(ISBLANK(KPI_TARGETS!$F$14)),KPI_TARGETS!$F$14,"")),"")</f>
        <v>35</v>
      </c>
      <c r="N429" s="36" t="str">
        <f>IFERROR(KPI_TARGETS!$E$14,"Higher is better")</f>
        <v>Higher is better</v>
      </c>
      <c r="O429" s="37">
        <f t="shared" ca="1" si="36"/>
        <v>1.5714285714285714</v>
      </c>
      <c r="P429" t="str">
        <f t="shared" ca="1" si="37"/>
        <v>Green</v>
      </c>
      <c r="Q429" s="36">
        <f t="shared" ca="1" si="38"/>
        <v>20</v>
      </c>
      <c r="R429" s="36" t="str">
        <f>""</f>
        <v/>
      </c>
      <c r="S429" s="36" t="str">
        <f>""</f>
        <v/>
      </c>
      <c r="T429" s="36" t="str">
        <f>""</f>
        <v/>
      </c>
      <c r="U429" s="36" t="str">
        <f>""</f>
        <v/>
      </c>
      <c r="V429" s="36" t="str">
        <f>""</f>
        <v/>
      </c>
      <c r="W429" s="36">
        <f t="shared" si="39"/>
        <v>1</v>
      </c>
      <c r="X429" t="str">
        <f t="shared" si="40"/>
        <v>OK</v>
      </c>
      <c r="Y429" t="str">
        <f>IF(MAIN!$H$3="Selected Year",IF(A429=MAIN!$B$3,"Yes","No"),IF(MAIN!$H$3="Included Years",IF(D429="Yes","Yes","No"),IF(C429="Yes","Yes","No")))</f>
        <v>No</v>
      </c>
      <c r="Z429" t="str">
        <f>IF(MAIN!$F$3="Project to Date",IF(AND(A429&gt;=SETTINGS!$B$4,A429&lt;MAIN!$B$3),"Yes",IF(AND(A429=MAIN!$B$3,E429&lt;=MAIN!$L$3),"Yes","No")),IF(OR(MAIN!$F$3="Full Year",MAIN!$D$3="All"),"Yes",IF(MAIN!$F$3="Monthly",IF(E429=MAIN!$L$3,"Yes","No"),IF(E429&lt;=MAIN!$L$3,"Yes","No"))))</f>
        <v>Yes</v>
      </c>
      <c r="AA429" t="str">
        <f t="shared" si="41"/>
        <v>No</v>
      </c>
    </row>
    <row r="430" spans="1:27" x14ac:dyDescent="0.3">
      <c r="A430">
        <f>INDEX(SETTINGS!$A$15:$A$24,$B430)</f>
        <v>2026</v>
      </c>
      <c r="B430">
        <v>2</v>
      </c>
      <c r="C430" t="str">
        <f>IF(AND(A430&gt;=SETTINGS!$B$4,A430&lt;=SETTINGS!$B$5),"Yes","No")</f>
        <v>Yes</v>
      </c>
      <c r="D430" t="str">
        <f>IFERROR(INDEX(SETTINGS!$C$15:$C$24,MATCH(A430,SETTINGS!$A$15:$A$24,0)),"No")</f>
        <v>Yes</v>
      </c>
      <c r="E430">
        <v>11</v>
      </c>
      <c r="F430" t="s">
        <v>44</v>
      </c>
      <c r="G430">
        <v>261</v>
      </c>
      <c r="H430" t="s">
        <v>104</v>
      </c>
      <c r="I430" t="s">
        <v>22</v>
      </c>
      <c r="J430" t="s">
        <v>24</v>
      </c>
      <c r="K430" t="s">
        <v>3</v>
      </c>
      <c r="L430" s="36">
        <f ca="1">IF(C430&lt;&gt;"Yes",0,IF(A430=2025,N('2025'!D261),IF(A430=2026,N('2026'!D261),IF(A430=2027,N('2027'!D261),IF(A430=2028,N('2028'!D261),IF(A430=2029,N('2029'!D261),IF(A430=2030,N('2030'!D261),IF(A430=2031,N('2031'!D261),IF(A430=2032,N('2032'!D261),IF(A430=2033,N('2033'!D261),IF(A430=2034,N('2034'!D261),IFERROR(N(INDIRECT("'"&amp;A430&amp;"'!D"&amp;G430)),0))))))))))))</f>
        <v>4</v>
      </c>
      <c r="M430" s="36">
        <f>IFERROR(IF(NOT(ISBLANK(KPI_TARGETS!$H$15)),KPI_TARGETS!$H$15,IF(NOT(ISBLANK(KPI_TARGETS!$F$15)),KPI_TARGETS!$F$15,"")),"")</f>
        <v>5</v>
      </c>
      <c r="N430" s="36" t="str">
        <f>IFERROR(KPI_TARGETS!$E$15,"Higher is better")</f>
        <v>Higher is better</v>
      </c>
      <c r="O430" s="37">
        <f t="shared" ca="1" si="36"/>
        <v>0.8</v>
      </c>
      <c r="P430" t="str">
        <f t="shared" ca="1" si="37"/>
        <v>Amber</v>
      </c>
      <c r="Q430" s="36">
        <f t="shared" ca="1" si="38"/>
        <v>-1</v>
      </c>
      <c r="R430" s="36" t="str">
        <f>""</f>
        <v/>
      </c>
      <c r="S430" s="36" t="str">
        <f>""</f>
        <v/>
      </c>
      <c r="T430" s="36" t="str">
        <f>""</f>
        <v/>
      </c>
      <c r="U430" s="36" t="str">
        <f>""</f>
        <v/>
      </c>
      <c r="V430" s="36" t="str">
        <f>""</f>
        <v/>
      </c>
      <c r="W430" s="36">
        <f t="shared" si="39"/>
        <v>1</v>
      </c>
      <c r="X430" t="str">
        <f t="shared" si="40"/>
        <v>OK</v>
      </c>
      <c r="Y430" t="str">
        <f>IF(MAIN!$H$3="Selected Year",IF(A430=MAIN!$B$3,"Yes","No"),IF(MAIN!$H$3="Included Years",IF(D430="Yes","Yes","No"),IF(C430="Yes","Yes","No")))</f>
        <v>No</v>
      </c>
      <c r="Z430" t="str">
        <f>IF(MAIN!$F$3="Project to Date",IF(AND(A430&gt;=SETTINGS!$B$4,A430&lt;MAIN!$B$3),"Yes",IF(AND(A430=MAIN!$B$3,E430&lt;=MAIN!$L$3),"Yes","No")),IF(OR(MAIN!$F$3="Full Year",MAIN!$D$3="All"),"Yes",IF(MAIN!$F$3="Monthly",IF(E430=MAIN!$L$3,"Yes","No"),IF(E430&lt;=MAIN!$L$3,"Yes","No"))))</f>
        <v>Yes</v>
      </c>
      <c r="AA430" t="str">
        <f t="shared" si="41"/>
        <v>No</v>
      </c>
    </row>
    <row r="431" spans="1:27" x14ac:dyDescent="0.3">
      <c r="A431">
        <f>INDEX(SETTINGS!$A$15:$A$24,$B431)</f>
        <v>2026</v>
      </c>
      <c r="B431">
        <v>2</v>
      </c>
      <c r="C431" t="str">
        <f>IF(AND(A431&gt;=SETTINGS!$B$4,A431&lt;=SETTINGS!$B$5),"Yes","No")</f>
        <v>Yes</v>
      </c>
      <c r="D431" t="str">
        <f>IFERROR(INDEX(SETTINGS!$C$15:$C$24,MATCH(A431,SETTINGS!$A$15:$A$24,0)),"No")</f>
        <v>Yes</v>
      </c>
      <c r="E431">
        <v>11</v>
      </c>
      <c r="F431" t="s">
        <v>44</v>
      </c>
      <c r="G431">
        <v>262</v>
      </c>
      <c r="H431" t="s">
        <v>105</v>
      </c>
      <c r="I431" t="s">
        <v>22</v>
      </c>
      <c r="J431" t="s">
        <v>25</v>
      </c>
      <c r="K431" t="s">
        <v>3</v>
      </c>
      <c r="L431" s="36">
        <f ca="1">IF(C431&lt;&gt;"Yes",0,IF(A431=2025,N('2025'!D262),IF(A431=2026,N('2026'!D262),IF(A431=2027,N('2027'!D262),IF(A431=2028,N('2028'!D262),IF(A431=2029,N('2029'!D262),IF(A431=2030,N('2030'!D262),IF(A431=2031,N('2031'!D262),IF(A431=2032,N('2032'!D262),IF(A431=2033,N('2033'!D262),IF(A431=2034,N('2034'!D262),IFERROR(N(INDIRECT("'"&amp;A431&amp;"'!D"&amp;G431)),0))))))))))))</f>
        <v>4</v>
      </c>
      <c r="M431" s="36">
        <f>IFERROR(IF(NOT(ISBLANK(KPI_TARGETS!$H$16)),KPI_TARGETS!$H$16,IF(NOT(ISBLANK(KPI_TARGETS!$F$16)),KPI_TARGETS!$F$16,"")),"")</f>
        <v>4</v>
      </c>
      <c r="N431" s="36" t="str">
        <f>IFERROR(KPI_TARGETS!$E$16,"Higher is better")</f>
        <v>Higher is better</v>
      </c>
      <c r="O431" s="37">
        <f t="shared" ca="1" si="36"/>
        <v>1</v>
      </c>
      <c r="P431" t="str">
        <f t="shared" ca="1" si="37"/>
        <v>Green</v>
      </c>
      <c r="Q431" s="36">
        <f t="shared" ca="1" si="38"/>
        <v>0</v>
      </c>
      <c r="R431" s="36" t="str">
        <f>""</f>
        <v/>
      </c>
      <c r="S431" s="36" t="str">
        <f>""</f>
        <v/>
      </c>
      <c r="T431" s="36" t="str">
        <f>""</f>
        <v/>
      </c>
      <c r="U431" s="36" t="str">
        <f>""</f>
        <v/>
      </c>
      <c r="V431" s="36" t="str">
        <f>""</f>
        <v/>
      </c>
      <c r="W431" s="36">
        <f t="shared" si="39"/>
        <v>1</v>
      </c>
      <c r="X431" t="str">
        <f t="shared" si="40"/>
        <v>OK</v>
      </c>
      <c r="Y431" t="str">
        <f>IF(MAIN!$H$3="Selected Year",IF(A431=MAIN!$B$3,"Yes","No"),IF(MAIN!$H$3="Included Years",IF(D431="Yes","Yes","No"),IF(C431="Yes","Yes","No")))</f>
        <v>No</v>
      </c>
      <c r="Z431" t="str">
        <f>IF(MAIN!$F$3="Project to Date",IF(AND(A431&gt;=SETTINGS!$B$4,A431&lt;MAIN!$B$3),"Yes",IF(AND(A431=MAIN!$B$3,E431&lt;=MAIN!$L$3),"Yes","No")),IF(OR(MAIN!$F$3="Full Year",MAIN!$D$3="All"),"Yes",IF(MAIN!$F$3="Monthly",IF(E431=MAIN!$L$3,"Yes","No"),IF(E431&lt;=MAIN!$L$3,"Yes","No"))))</f>
        <v>Yes</v>
      </c>
      <c r="AA431" t="str">
        <f t="shared" si="41"/>
        <v>No</v>
      </c>
    </row>
    <row r="432" spans="1:27" x14ac:dyDescent="0.3">
      <c r="A432">
        <f>INDEX(SETTINGS!$A$15:$A$24,$B432)</f>
        <v>2026</v>
      </c>
      <c r="B432">
        <v>2</v>
      </c>
      <c r="C432" t="str">
        <f>IF(AND(A432&gt;=SETTINGS!$B$4,A432&lt;=SETTINGS!$B$5),"Yes","No")</f>
        <v>Yes</v>
      </c>
      <c r="D432" t="str">
        <f>IFERROR(INDEX(SETTINGS!$C$15:$C$24,MATCH(A432,SETTINGS!$A$15:$A$24,0)),"No")</f>
        <v>Yes</v>
      </c>
      <c r="E432">
        <v>11</v>
      </c>
      <c r="F432" t="s">
        <v>44</v>
      </c>
      <c r="G432">
        <v>263</v>
      </c>
      <c r="H432" t="s">
        <v>106</v>
      </c>
      <c r="I432" t="s">
        <v>22</v>
      </c>
      <c r="J432" t="s">
        <v>26</v>
      </c>
      <c r="K432" t="s">
        <v>3</v>
      </c>
      <c r="L432" s="36">
        <f ca="1">IF(C432&lt;&gt;"Yes",0,IF(A432=2025,N('2025'!D263),IF(A432=2026,N('2026'!D263),IF(A432=2027,N('2027'!D263),IF(A432=2028,N('2028'!D263),IF(A432=2029,N('2029'!D263),IF(A432=2030,N('2030'!D263),IF(A432=2031,N('2031'!D263),IF(A432=2032,N('2032'!D263),IF(A432=2033,N('2033'!D263),IF(A432=2034,N('2034'!D263),IFERROR(N(INDIRECT("'"&amp;A432&amp;"'!D"&amp;G432)),0))))))))))))</f>
        <v>20</v>
      </c>
      <c r="M432" s="36">
        <f>IFERROR(IF(NOT(ISBLANK(KPI_TARGETS!$H$17)),KPI_TARGETS!$H$17,IF(NOT(ISBLANK(KPI_TARGETS!$F$17)),KPI_TARGETS!$F$17,"")),"")</f>
        <v>12</v>
      </c>
      <c r="N432" s="36" t="str">
        <f>IFERROR(KPI_TARGETS!$E$17,"Higher is better")</f>
        <v>Higher is better</v>
      </c>
      <c r="O432" s="37">
        <f t="shared" ca="1" si="36"/>
        <v>1.6666666666666667</v>
      </c>
      <c r="P432" t="str">
        <f t="shared" ca="1" si="37"/>
        <v>Green</v>
      </c>
      <c r="Q432" s="36">
        <f t="shared" ca="1" si="38"/>
        <v>8</v>
      </c>
      <c r="R432" s="36" t="str">
        <f>""</f>
        <v/>
      </c>
      <c r="S432" s="36" t="str">
        <f>""</f>
        <v/>
      </c>
      <c r="T432" s="36" t="str">
        <f>""</f>
        <v/>
      </c>
      <c r="U432" s="36" t="str">
        <f>""</f>
        <v/>
      </c>
      <c r="V432" s="36" t="str">
        <f>""</f>
        <v/>
      </c>
      <c r="W432" s="36">
        <f t="shared" si="39"/>
        <v>1</v>
      </c>
      <c r="X432" t="str">
        <f t="shared" si="40"/>
        <v>OK</v>
      </c>
      <c r="Y432" t="str">
        <f>IF(MAIN!$H$3="Selected Year",IF(A432=MAIN!$B$3,"Yes","No"),IF(MAIN!$H$3="Included Years",IF(D432="Yes","Yes","No"),IF(C432="Yes","Yes","No")))</f>
        <v>No</v>
      </c>
      <c r="Z432" t="str">
        <f>IF(MAIN!$F$3="Project to Date",IF(AND(A432&gt;=SETTINGS!$B$4,A432&lt;MAIN!$B$3),"Yes",IF(AND(A432=MAIN!$B$3,E432&lt;=MAIN!$L$3),"Yes","No")),IF(OR(MAIN!$F$3="Full Year",MAIN!$D$3="All"),"Yes",IF(MAIN!$F$3="Monthly",IF(E432=MAIN!$L$3,"Yes","No"),IF(E432&lt;=MAIN!$L$3,"Yes","No"))))</f>
        <v>Yes</v>
      </c>
      <c r="AA432" t="str">
        <f t="shared" si="41"/>
        <v>No</v>
      </c>
    </row>
    <row r="433" spans="1:27" x14ac:dyDescent="0.3">
      <c r="A433">
        <f>INDEX(SETTINGS!$A$15:$A$24,$B433)</f>
        <v>2026</v>
      </c>
      <c r="B433">
        <v>2</v>
      </c>
      <c r="C433" t="str">
        <f>IF(AND(A433&gt;=SETTINGS!$B$4,A433&lt;=SETTINGS!$B$5),"Yes","No")</f>
        <v>Yes</v>
      </c>
      <c r="D433" t="str">
        <f>IFERROR(INDEX(SETTINGS!$C$15:$C$24,MATCH(A433,SETTINGS!$A$15:$A$24,0)),"No")</f>
        <v>Yes</v>
      </c>
      <c r="E433">
        <v>11</v>
      </c>
      <c r="F433" t="s">
        <v>44</v>
      </c>
      <c r="G433">
        <v>264</v>
      </c>
      <c r="H433" t="s">
        <v>107</v>
      </c>
      <c r="I433" t="s">
        <v>22</v>
      </c>
      <c r="J433" t="s">
        <v>27</v>
      </c>
      <c r="K433" t="s">
        <v>3</v>
      </c>
      <c r="L433" s="36">
        <f ca="1">IF(C433&lt;&gt;"Yes",0,IF(A433=2025,N('2025'!D264),IF(A433=2026,N('2026'!D264),IF(A433=2027,N('2027'!D264),IF(A433=2028,N('2028'!D264),IF(A433=2029,N('2029'!D264),IF(A433=2030,N('2030'!D264),IF(A433=2031,N('2031'!D264),IF(A433=2032,N('2032'!D264),IF(A433=2033,N('2033'!D264),IF(A433=2034,N('2034'!D264),IFERROR(N(INDIRECT("'"&amp;A433&amp;"'!D"&amp;G433)),0))))))))))))</f>
        <v>4</v>
      </c>
      <c r="M433" s="36">
        <f>IFERROR(IF(NOT(ISBLANK(KPI_TARGETS!$H$18)),KPI_TARGETS!$H$18,IF(NOT(ISBLANK(KPI_TARGETS!$F$18)),KPI_TARGETS!$F$18,"")),"")</f>
        <v>4</v>
      </c>
      <c r="N433" s="36" t="str">
        <f>IFERROR(KPI_TARGETS!$E$18,"Higher is better")</f>
        <v>Higher is better</v>
      </c>
      <c r="O433" s="37">
        <f t="shared" ca="1" si="36"/>
        <v>1</v>
      </c>
      <c r="P433" t="str">
        <f t="shared" ca="1" si="37"/>
        <v>Green</v>
      </c>
      <c r="Q433" s="36">
        <f t="shared" ca="1" si="38"/>
        <v>0</v>
      </c>
      <c r="R433" s="36" t="str">
        <f>""</f>
        <v/>
      </c>
      <c r="S433" s="36" t="str">
        <f>""</f>
        <v/>
      </c>
      <c r="T433" s="36" t="str">
        <f>""</f>
        <v/>
      </c>
      <c r="U433" s="36" t="str">
        <f>""</f>
        <v/>
      </c>
      <c r="V433" s="36" t="str">
        <f>""</f>
        <v/>
      </c>
      <c r="W433" s="36">
        <f t="shared" si="39"/>
        <v>1</v>
      </c>
      <c r="X433" t="str">
        <f t="shared" si="40"/>
        <v>OK</v>
      </c>
      <c r="Y433" t="str">
        <f>IF(MAIN!$H$3="Selected Year",IF(A433=MAIN!$B$3,"Yes","No"),IF(MAIN!$H$3="Included Years",IF(D433="Yes","Yes","No"),IF(C433="Yes","Yes","No")))</f>
        <v>No</v>
      </c>
      <c r="Z433" t="str">
        <f>IF(MAIN!$F$3="Project to Date",IF(AND(A433&gt;=SETTINGS!$B$4,A433&lt;MAIN!$B$3),"Yes",IF(AND(A433=MAIN!$B$3,E433&lt;=MAIN!$L$3),"Yes","No")),IF(OR(MAIN!$F$3="Full Year",MAIN!$D$3="All"),"Yes",IF(MAIN!$F$3="Monthly",IF(E433=MAIN!$L$3,"Yes","No"),IF(E433&lt;=MAIN!$L$3,"Yes","No"))))</f>
        <v>Yes</v>
      </c>
      <c r="AA433" t="str">
        <f t="shared" si="41"/>
        <v>No</v>
      </c>
    </row>
    <row r="434" spans="1:27" x14ac:dyDescent="0.3">
      <c r="A434">
        <f>INDEX(SETTINGS!$A$15:$A$24,$B434)</f>
        <v>2026</v>
      </c>
      <c r="B434">
        <v>2</v>
      </c>
      <c r="C434" t="str">
        <f>IF(AND(A434&gt;=SETTINGS!$B$4,A434&lt;=SETTINGS!$B$5),"Yes","No")</f>
        <v>Yes</v>
      </c>
      <c r="D434" t="str">
        <f>IFERROR(INDEX(SETTINGS!$C$15:$C$24,MATCH(A434,SETTINGS!$A$15:$A$24,0)),"No")</f>
        <v>Yes</v>
      </c>
      <c r="E434">
        <v>11</v>
      </c>
      <c r="F434" t="s">
        <v>44</v>
      </c>
      <c r="G434">
        <v>265</v>
      </c>
      <c r="H434" t="s">
        <v>108</v>
      </c>
      <c r="I434" t="s">
        <v>22</v>
      </c>
      <c r="J434" t="s">
        <v>28</v>
      </c>
      <c r="K434" t="s">
        <v>3</v>
      </c>
      <c r="L434" s="36">
        <f ca="1">IF(C434&lt;&gt;"Yes",0,IF(A434=2025,N('2025'!D265),IF(A434=2026,N('2026'!D265),IF(A434=2027,N('2027'!D265),IF(A434=2028,N('2028'!D265),IF(A434=2029,N('2029'!D265),IF(A434=2030,N('2030'!D265),IF(A434=2031,N('2031'!D265),IF(A434=2032,N('2032'!D265),IF(A434=2033,N('2033'!D265),IF(A434=2034,N('2034'!D265),IFERROR(N(INDIRECT("'"&amp;A434&amp;"'!D"&amp;G434)),0))))))))))))</f>
        <v>8</v>
      </c>
      <c r="M434" s="36">
        <f>IFERROR(IF(NOT(ISBLANK(KPI_TARGETS!$H$19)),KPI_TARGETS!$H$19,IF(NOT(ISBLANK(KPI_TARGETS!$F$19)),KPI_TARGETS!$F$19,"")),"")</f>
        <v>16</v>
      </c>
      <c r="N434" s="36" t="str">
        <f>IFERROR(KPI_TARGETS!$E$19,"Higher is better")</f>
        <v>Higher is better</v>
      </c>
      <c r="O434" s="37">
        <f t="shared" ca="1" si="36"/>
        <v>0.5</v>
      </c>
      <c r="P434" t="str">
        <f t="shared" ca="1" si="37"/>
        <v>Red</v>
      </c>
      <c r="Q434" s="36">
        <f t="shared" ca="1" si="38"/>
        <v>-8</v>
      </c>
      <c r="R434" s="36" t="str">
        <f>""</f>
        <v/>
      </c>
      <c r="S434" s="36" t="str">
        <f>""</f>
        <v/>
      </c>
      <c r="T434" s="36" t="str">
        <f>""</f>
        <v/>
      </c>
      <c r="U434" s="36" t="str">
        <f>""</f>
        <v/>
      </c>
      <c r="V434" s="36" t="str">
        <f>""</f>
        <v/>
      </c>
      <c r="W434" s="36">
        <f t="shared" si="39"/>
        <v>1</v>
      </c>
      <c r="X434" t="str">
        <f t="shared" si="40"/>
        <v>OK</v>
      </c>
      <c r="Y434" t="str">
        <f>IF(MAIN!$H$3="Selected Year",IF(A434=MAIN!$B$3,"Yes","No"),IF(MAIN!$H$3="Included Years",IF(D434="Yes","Yes","No"),IF(C434="Yes","Yes","No")))</f>
        <v>No</v>
      </c>
      <c r="Z434" t="str">
        <f>IF(MAIN!$F$3="Project to Date",IF(AND(A434&gt;=SETTINGS!$B$4,A434&lt;MAIN!$B$3),"Yes",IF(AND(A434=MAIN!$B$3,E434&lt;=MAIN!$L$3),"Yes","No")),IF(OR(MAIN!$F$3="Full Year",MAIN!$D$3="All"),"Yes",IF(MAIN!$F$3="Monthly",IF(E434=MAIN!$L$3,"Yes","No"),IF(E434&lt;=MAIN!$L$3,"Yes","No"))))</f>
        <v>Yes</v>
      </c>
      <c r="AA434" t="str">
        <f t="shared" si="41"/>
        <v>No</v>
      </c>
    </row>
    <row r="435" spans="1:27" x14ac:dyDescent="0.3">
      <c r="A435">
        <f>INDEX(SETTINGS!$A$15:$A$24,$B435)</f>
        <v>2026</v>
      </c>
      <c r="B435">
        <v>2</v>
      </c>
      <c r="C435" t="str">
        <f>IF(AND(A435&gt;=SETTINGS!$B$4,A435&lt;=SETTINGS!$B$5),"Yes","No")</f>
        <v>Yes</v>
      </c>
      <c r="D435" t="str">
        <f>IFERROR(INDEX(SETTINGS!$C$15:$C$24,MATCH(A435,SETTINGS!$A$15:$A$24,0)),"No")</f>
        <v>Yes</v>
      </c>
      <c r="E435">
        <v>11</v>
      </c>
      <c r="F435" t="s">
        <v>44</v>
      </c>
      <c r="G435">
        <v>266</v>
      </c>
      <c r="H435" t="s">
        <v>109</v>
      </c>
      <c r="I435" t="s">
        <v>22</v>
      </c>
      <c r="J435" t="s">
        <v>29</v>
      </c>
      <c r="K435" t="s">
        <v>3</v>
      </c>
      <c r="L435" s="36">
        <f ca="1">IF(C435&lt;&gt;"Yes",0,IF(A435=2025,N('2025'!D266),IF(A435=2026,N('2026'!D266),IF(A435=2027,N('2027'!D266),IF(A435=2028,N('2028'!D266),IF(A435=2029,N('2029'!D266),IF(A435=2030,N('2030'!D266),IF(A435=2031,N('2031'!D266),IF(A435=2032,N('2032'!D266),IF(A435=2033,N('2033'!D266),IF(A435=2034,N('2034'!D266),IFERROR(N(INDIRECT("'"&amp;A435&amp;"'!D"&amp;G435)),0))))))))))))</f>
        <v>1</v>
      </c>
      <c r="M435" s="36">
        <f>IFERROR(IF(NOT(ISBLANK(KPI_TARGETS!$H$20)),KPI_TARGETS!$H$20,IF(NOT(ISBLANK(KPI_TARGETS!$F$20)),KPI_TARGETS!$F$20,"")),"")</f>
        <v>1</v>
      </c>
      <c r="N435" s="36" t="str">
        <f>IFERROR(KPI_TARGETS!$E$20,"Higher is better")</f>
        <v>Higher is better</v>
      </c>
      <c r="O435" s="37">
        <f t="shared" ca="1" si="36"/>
        <v>1</v>
      </c>
      <c r="P435" t="str">
        <f t="shared" ca="1" si="37"/>
        <v>Green</v>
      </c>
      <c r="Q435" s="36">
        <f t="shared" ca="1" si="38"/>
        <v>0</v>
      </c>
      <c r="R435" s="36" t="str">
        <f>""</f>
        <v/>
      </c>
      <c r="S435" s="36" t="str">
        <f>""</f>
        <v/>
      </c>
      <c r="T435" s="36" t="str">
        <f>""</f>
        <v/>
      </c>
      <c r="U435" s="36" t="str">
        <f>""</f>
        <v/>
      </c>
      <c r="V435" s="36" t="str">
        <f>""</f>
        <v/>
      </c>
      <c r="W435" s="36">
        <f t="shared" si="39"/>
        <v>1</v>
      </c>
      <c r="X435" t="str">
        <f t="shared" si="40"/>
        <v>OK</v>
      </c>
      <c r="Y435" t="str">
        <f>IF(MAIN!$H$3="Selected Year",IF(A435=MAIN!$B$3,"Yes","No"),IF(MAIN!$H$3="Included Years",IF(D435="Yes","Yes","No"),IF(C435="Yes","Yes","No")))</f>
        <v>No</v>
      </c>
      <c r="Z435" t="str">
        <f>IF(MAIN!$F$3="Project to Date",IF(AND(A435&gt;=SETTINGS!$B$4,A435&lt;MAIN!$B$3),"Yes",IF(AND(A435=MAIN!$B$3,E435&lt;=MAIN!$L$3),"Yes","No")),IF(OR(MAIN!$F$3="Full Year",MAIN!$D$3="All"),"Yes",IF(MAIN!$F$3="Monthly",IF(E435=MAIN!$L$3,"Yes","No"),IF(E435&lt;=MAIN!$L$3,"Yes","No"))))</f>
        <v>Yes</v>
      </c>
      <c r="AA435" t="str">
        <f t="shared" si="41"/>
        <v>No</v>
      </c>
    </row>
    <row r="436" spans="1:27" x14ac:dyDescent="0.3">
      <c r="A436">
        <f>INDEX(SETTINGS!$A$15:$A$24,$B436)</f>
        <v>2026</v>
      </c>
      <c r="B436">
        <v>2</v>
      </c>
      <c r="C436" t="str">
        <f>IF(AND(A436&gt;=SETTINGS!$B$4,A436&lt;=SETTINGS!$B$5),"Yes","No")</f>
        <v>Yes</v>
      </c>
      <c r="D436" t="str">
        <f>IFERROR(INDEX(SETTINGS!$C$15:$C$24,MATCH(A436,SETTINGS!$A$15:$A$24,0)),"No")</f>
        <v>Yes</v>
      </c>
      <c r="E436">
        <v>11</v>
      </c>
      <c r="F436" t="s">
        <v>44</v>
      </c>
      <c r="G436">
        <v>268</v>
      </c>
      <c r="H436" t="s">
        <v>110</v>
      </c>
      <c r="I436" t="s">
        <v>30</v>
      </c>
      <c r="J436" t="s">
        <v>31</v>
      </c>
      <c r="K436" t="s">
        <v>3</v>
      </c>
      <c r="L436" s="36">
        <f ca="1">IF(C436&lt;&gt;"Yes",0,IF(A436=2025,N('2025'!D268),IF(A436=2026,N('2026'!D268),IF(A436=2027,N('2027'!D268),IF(A436=2028,N('2028'!D268),IF(A436=2029,N('2029'!D268),IF(A436=2030,N('2030'!D268),IF(A436=2031,N('2031'!D268),IF(A436=2032,N('2032'!D268),IF(A436=2033,N('2033'!D268),IF(A436=2034,N('2034'!D268),IFERROR(N(INDIRECT("'"&amp;A436&amp;"'!D"&amp;G436)),0))))))))))))</f>
        <v>0</v>
      </c>
      <c r="M436" s="36">
        <f>IFERROR(IF(NOT(ISBLANK(KPI_TARGETS!$H$21)),KPI_TARGETS!$H$21,IF(NOT(ISBLANK(KPI_TARGETS!$F$21)),KPI_TARGETS!$F$21,"")),"")</f>
        <v>0</v>
      </c>
      <c r="N436" s="36" t="str">
        <f>IFERROR(KPI_TARGETS!$E$21,"Higher is better")</f>
        <v>Lower is better</v>
      </c>
      <c r="O436" s="37">
        <f t="shared" ca="1" si="36"/>
        <v>1</v>
      </c>
      <c r="P436" t="str">
        <f t="shared" ca="1" si="37"/>
        <v>Green</v>
      </c>
      <c r="Q436" s="36">
        <f t="shared" ca="1" si="38"/>
        <v>0</v>
      </c>
      <c r="R436" s="36" t="str">
        <f>""</f>
        <v/>
      </c>
      <c r="S436" s="36" t="str">
        <f>""</f>
        <v/>
      </c>
      <c r="T436" s="36" t="str">
        <f>""</f>
        <v/>
      </c>
      <c r="U436" s="36" t="str">
        <f>""</f>
        <v/>
      </c>
      <c r="V436" s="36" t="str">
        <f>""</f>
        <v/>
      </c>
      <c r="W436" s="36">
        <f t="shared" si="39"/>
        <v>1</v>
      </c>
      <c r="X436" t="str">
        <f t="shared" si="40"/>
        <v>OK</v>
      </c>
      <c r="Y436" t="str">
        <f>IF(MAIN!$H$3="Selected Year",IF(A436=MAIN!$B$3,"Yes","No"),IF(MAIN!$H$3="Included Years",IF(D436="Yes","Yes","No"),IF(C436="Yes","Yes","No")))</f>
        <v>No</v>
      </c>
      <c r="Z436" t="str">
        <f>IF(MAIN!$F$3="Project to Date",IF(AND(A436&gt;=SETTINGS!$B$4,A436&lt;MAIN!$B$3),"Yes",IF(AND(A436=MAIN!$B$3,E436&lt;=MAIN!$L$3),"Yes","No")),IF(OR(MAIN!$F$3="Full Year",MAIN!$D$3="All"),"Yes",IF(MAIN!$F$3="Monthly",IF(E436=MAIN!$L$3,"Yes","No"),IF(E436&lt;=MAIN!$L$3,"Yes","No"))))</f>
        <v>Yes</v>
      </c>
      <c r="AA436" t="str">
        <f t="shared" si="41"/>
        <v>No</v>
      </c>
    </row>
    <row r="437" spans="1:27" x14ac:dyDescent="0.3">
      <c r="A437">
        <f>INDEX(SETTINGS!$A$15:$A$24,$B437)</f>
        <v>2026</v>
      </c>
      <c r="B437">
        <v>2</v>
      </c>
      <c r="C437" t="str">
        <f>IF(AND(A437&gt;=SETTINGS!$B$4,A437&lt;=SETTINGS!$B$5),"Yes","No")</f>
        <v>Yes</v>
      </c>
      <c r="D437" t="str">
        <f>IFERROR(INDEX(SETTINGS!$C$15:$C$24,MATCH(A437,SETTINGS!$A$15:$A$24,0)),"No")</f>
        <v>Yes</v>
      </c>
      <c r="E437">
        <v>11</v>
      </c>
      <c r="F437" t="s">
        <v>44</v>
      </c>
      <c r="G437">
        <v>269</v>
      </c>
      <c r="H437" t="s">
        <v>111</v>
      </c>
      <c r="I437" t="s">
        <v>30</v>
      </c>
      <c r="J437" t="s">
        <v>32</v>
      </c>
      <c r="K437" t="s">
        <v>3</v>
      </c>
      <c r="L437" s="36">
        <f ca="1">IF(C437&lt;&gt;"Yes",0,IF(A437=2025,N('2025'!D269),IF(A437=2026,N('2026'!D269),IF(A437=2027,N('2027'!D269),IF(A437=2028,N('2028'!D269),IF(A437=2029,N('2029'!D269),IF(A437=2030,N('2030'!D269),IF(A437=2031,N('2031'!D269),IF(A437=2032,N('2032'!D269),IF(A437=2033,N('2033'!D269),IF(A437=2034,N('2034'!D269),IFERROR(N(INDIRECT("'"&amp;A437&amp;"'!D"&amp;G437)),0))))))))))))</f>
        <v>1</v>
      </c>
      <c r="M437" s="36">
        <f>IFERROR(IF(NOT(ISBLANK(KPI_TARGETS!$H$22)),KPI_TARGETS!$H$22,IF(NOT(ISBLANK(KPI_TARGETS!$F$22)),KPI_TARGETS!$F$22,"")),"")</f>
        <v>1</v>
      </c>
      <c r="N437" s="36" t="str">
        <f>IFERROR(KPI_TARGETS!$E$22,"Higher is better")</f>
        <v>Higher is better</v>
      </c>
      <c r="O437" s="37">
        <f t="shared" ca="1" si="36"/>
        <v>1</v>
      </c>
      <c r="P437" t="str">
        <f t="shared" ca="1" si="37"/>
        <v>Green</v>
      </c>
      <c r="Q437" s="36">
        <f t="shared" ca="1" si="38"/>
        <v>0</v>
      </c>
      <c r="R437" s="36" t="str">
        <f>""</f>
        <v/>
      </c>
      <c r="S437" s="36" t="str">
        <f>""</f>
        <v/>
      </c>
      <c r="T437" s="36" t="str">
        <f>""</f>
        <v/>
      </c>
      <c r="U437" s="36" t="str">
        <f>""</f>
        <v/>
      </c>
      <c r="V437" s="36" t="str">
        <f>""</f>
        <v/>
      </c>
      <c r="W437" s="36">
        <f t="shared" si="39"/>
        <v>1</v>
      </c>
      <c r="X437" t="str">
        <f t="shared" si="40"/>
        <v>OK</v>
      </c>
      <c r="Y437" t="str">
        <f>IF(MAIN!$H$3="Selected Year",IF(A437=MAIN!$B$3,"Yes","No"),IF(MAIN!$H$3="Included Years",IF(D437="Yes","Yes","No"),IF(C437="Yes","Yes","No")))</f>
        <v>No</v>
      </c>
      <c r="Z437" t="str">
        <f>IF(MAIN!$F$3="Project to Date",IF(AND(A437&gt;=SETTINGS!$B$4,A437&lt;MAIN!$B$3),"Yes",IF(AND(A437=MAIN!$B$3,E437&lt;=MAIN!$L$3),"Yes","No")),IF(OR(MAIN!$F$3="Full Year",MAIN!$D$3="All"),"Yes",IF(MAIN!$F$3="Monthly",IF(E437=MAIN!$L$3,"Yes","No"),IF(E437&lt;=MAIN!$L$3,"Yes","No"))))</f>
        <v>Yes</v>
      </c>
      <c r="AA437" t="str">
        <f t="shared" si="41"/>
        <v>No</v>
      </c>
    </row>
    <row r="438" spans="1:27" x14ac:dyDescent="0.3">
      <c r="A438">
        <f>INDEX(SETTINGS!$A$15:$A$24,$B438)</f>
        <v>2026</v>
      </c>
      <c r="B438">
        <v>2</v>
      </c>
      <c r="C438" t="str">
        <f>IF(AND(A438&gt;=SETTINGS!$B$4,A438&lt;=SETTINGS!$B$5),"Yes","No")</f>
        <v>Yes</v>
      </c>
      <c r="D438" t="str">
        <f>IFERROR(INDEX(SETTINGS!$C$15:$C$24,MATCH(A438,SETTINGS!$A$15:$A$24,0)),"No")</f>
        <v>Yes</v>
      </c>
      <c r="E438">
        <v>11</v>
      </c>
      <c r="F438" t="s">
        <v>44</v>
      </c>
      <c r="G438">
        <v>270</v>
      </c>
      <c r="H438" t="s">
        <v>112</v>
      </c>
      <c r="I438" t="s">
        <v>30</v>
      </c>
      <c r="J438" t="s">
        <v>33</v>
      </c>
      <c r="K438" t="s">
        <v>34</v>
      </c>
      <c r="L438" s="36">
        <f ca="1">IF(C438&lt;&gt;"Yes",0,IF(A438=2025,N('2025'!D270),IF(A438=2026,N('2026'!D270),IF(A438=2027,N('2027'!D270),IF(A438=2028,N('2028'!D270),IF(A438=2029,N('2029'!D270),IF(A438=2030,N('2030'!D270),IF(A438=2031,N('2031'!D270),IF(A438=2032,N('2032'!D270),IF(A438=2033,N('2033'!D270),IF(A438=2034,N('2034'!D270),IFERROR(N(INDIRECT("'"&amp;A438&amp;"'!D"&amp;G438)),0))))))))))))</f>
        <v>1</v>
      </c>
      <c r="M438" s="36">
        <f>IFERROR(IF(NOT(ISBLANK(KPI_TARGETS!$H$23)),KPI_TARGETS!$H$23,IF(NOT(ISBLANK(KPI_TARGETS!$F$23)),KPI_TARGETS!$F$23,"")),"")</f>
        <v>1</v>
      </c>
      <c r="N438" s="36" t="str">
        <f>IFERROR(KPI_TARGETS!$E$23,"Higher is better")</f>
        <v>Higher is better</v>
      </c>
      <c r="O438" s="37">
        <f t="shared" ca="1" si="36"/>
        <v>1</v>
      </c>
      <c r="P438" t="str">
        <f t="shared" ca="1" si="37"/>
        <v>Green</v>
      </c>
      <c r="Q438" s="36">
        <f t="shared" ca="1" si="38"/>
        <v>0</v>
      </c>
      <c r="R438" s="36" t="str">
        <f>""</f>
        <v/>
      </c>
      <c r="S438" s="36" t="str">
        <f>""</f>
        <v/>
      </c>
      <c r="T438" s="36" t="str">
        <f>""</f>
        <v/>
      </c>
      <c r="U438" s="36" t="str">
        <f>""</f>
        <v/>
      </c>
      <c r="V438" s="36" t="str">
        <f>""</f>
        <v/>
      </c>
      <c r="W438" s="36">
        <f t="shared" si="39"/>
        <v>1</v>
      </c>
      <c r="X438" t="str">
        <f t="shared" si="40"/>
        <v>OK</v>
      </c>
      <c r="Y438" t="str">
        <f>IF(MAIN!$H$3="Selected Year",IF(A438=MAIN!$B$3,"Yes","No"),IF(MAIN!$H$3="Included Years",IF(D438="Yes","Yes","No"),IF(C438="Yes","Yes","No")))</f>
        <v>No</v>
      </c>
      <c r="Z438" t="str">
        <f>IF(MAIN!$F$3="Project to Date",IF(AND(A438&gt;=SETTINGS!$B$4,A438&lt;MAIN!$B$3),"Yes",IF(AND(A438=MAIN!$B$3,E438&lt;=MAIN!$L$3),"Yes","No")),IF(OR(MAIN!$F$3="Full Year",MAIN!$D$3="All"),"Yes",IF(MAIN!$F$3="Monthly",IF(E438=MAIN!$L$3,"Yes","No"),IF(E438&lt;=MAIN!$L$3,"Yes","No"))))</f>
        <v>Yes</v>
      </c>
      <c r="AA438" t="str">
        <f t="shared" si="41"/>
        <v>No</v>
      </c>
    </row>
    <row r="439" spans="1:27" x14ac:dyDescent="0.3">
      <c r="A439">
        <f>INDEX(SETTINGS!$A$15:$A$24,$B439)</f>
        <v>2026</v>
      </c>
      <c r="B439">
        <v>2</v>
      </c>
      <c r="C439" t="str">
        <f>IF(AND(A439&gt;=SETTINGS!$B$4,A439&lt;=SETTINGS!$B$5),"Yes","No")</f>
        <v>Yes</v>
      </c>
      <c r="D439" t="str">
        <f>IFERROR(INDEX(SETTINGS!$C$15:$C$24,MATCH(A439,SETTINGS!$A$15:$A$24,0)),"No")</f>
        <v>Yes</v>
      </c>
      <c r="E439">
        <v>12</v>
      </c>
      <c r="F439" t="s">
        <v>45</v>
      </c>
      <c r="G439">
        <v>273</v>
      </c>
      <c r="H439" t="s">
        <v>88</v>
      </c>
      <c r="I439" t="s">
        <v>89</v>
      </c>
      <c r="J439" t="s">
        <v>10</v>
      </c>
      <c r="K439" t="s">
        <v>3</v>
      </c>
      <c r="L439" s="36">
        <f ca="1">IF(C439&lt;&gt;"Yes",0,IF(A439=2025,N('2025'!D273),IF(A439=2026,N('2026'!D273),IF(A439=2027,N('2027'!D273),IF(A439=2028,N('2028'!D273),IF(A439=2029,N('2029'!D273),IF(A439=2030,N('2030'!D273),IF(A439=2031,N('2031'!D273),IF(A439=2032,N('2032'!D273),IF(A439=2033,N('2033'!D273),IF(A439=2034,N('2034'!D273),IFERROR(N(INDIRECT("'"&amp;A439&amp;"'!D"&amp;G439)),0))))))))))))</f>
        <v>0</v>
      </c>
      <c r="M439" s="36">
        <f>IFERROR(IF(NOT(ISBLANK(KPI_TARGETS!$H$5)),KPI_TARGETS!$H$5,IF(NOT(ISBLANK(KPI_TARGETS!$F$5)),KPI_TARGETS!$F$5,"")),"")</f>
        <v>104</v>
      </c>
      <c r="N439" s="36" t="str">
        <f>IFERROR(KPI_TARGETS!$E$5,"Higher is better")</f>
        <v>Higher is better</v>
      </c>
      <c r="O439" s="37">
        <f t="shared" ca="1" si="36"/>
        <v>0</v>
      </c>
      <c r="P439" t="str">
        <f t="shared" ca="1" si="37"/>
        <v>Red</v>
      </c>
      <c r="Q439" s="36">
        <f t="shared" ca="1" si="38"/>
        <v>-104</v>
      </c>
      <c r="R439" s="36" t="str">
        <f>""</f>
        <v/>
      </c>
      <c r="S439" s="36" t="str">
        <f>""</f>
        <v/>
      </c>
      <c r="T439" s="36" t="str">
        <f>""</f>
        <v/>
      </c>
      <c r="U439" s="36" t="str">
        <f>""</f>
        <v/>
      </c>
      <c r="V439" s="36" t="str">
        <f>""</f>
        <v/>
      </c>
      <c r="W439" s="36">
        <f t="shared" si="39"/>
        <v>1</v>
      </c>
      <c r="X439" t="str">
        <f t="shared" si="40"/>
        <v>OK</v>
      </c>
      <c r="Y439" t="str">
        <f>IF(MAIN!$H$3="Selected Year",IF(A439=MAIN!$B$3,"Yes","No"),IF(MAIN!$H$3="Included Years",IF(D439="Yes","Yes","No"),IF(C439="Yes","Yes","No")))</f>
        <v>No</v>
      </c>
      <c r="Z439" t="str">
        <f>IF(MAIN!$F$3="Project to Date",IF(AND(A439&gt;=SETTINGS!$B$4,A439&lt;MAIN!$B$3),"Yes",IF(AND(A439=MAIN!$B$3,E439&lt;=MAIN!$L$3),"Yes","No")),IF(OR(MAIN!$F$3="Full Year",MAIN!$D$3="All"),"Yes",IF(MAIN!$F$3="Monthly",IF(E439=MAIN!$L$3,"Yes","No"),IF(E439&lt;=MAIN!$L$3,"Yes","No"))))</f>
        <v>Yes</v>
      </c>
      <c r="AA439" t="str">
        <f t="shared" si="41"/>
        <v>No</v>
      </c>
    </row>
    <row r="440" spans="1:27" x14ac:dyDescent="0.3">
      <c r="A440">
        <f>INDEX(SETTINGS!$A$15:$A$24,$B440)</f>
        <v>2026</v>
      </c>
      <c r="B440">
        <v>2</v>
      </c>
      <c r="C440" t="str">
        <f>IF(AND(A440&gt;=SETTINGS!$B$4,A440&lt;=SETTINGS!$B$5),"Yes","No")</f>
        <v>Yes</v>
      </c>
      <c r="D440" t="str">
        <f>IFERROR(INDEX(SETTINGS!$C$15:$C$24,MATCH(A440,SETTINGS!$A$15:$A$24,0)),"No")</f>
        <v>Yes</v>
      </c>
      <c r="E440">
        <v>12</v>
      </c>
      <c r="F440" t="s">
        <v>45</v>
      </c>
      <c r="G440">
        <v>274</v>
      </c>
      <c r="H440" t="s">
        <v>91</v>
      </c>
      <c r="I440" t="s">
        <v>89</v>
      </c>
      <c r="J440" t="s">
        <v>11</v>
      </c>
      <c r="K440" t="s">
        <v>12</v>
      </c>
      <c r="L440" s="36">
        <f ca="1">IF(C440&lt;&gt;"Yes",0,IF(A440=2025,N('2025'!D274),IF(A440=2026,N('2026'!D274),IF(A440=2027,N('2027'!D274),IF(A440=2028,N('2028'!D274),IF(A440=2029,N('2029'!D274),IF(A440=2030,N('2030'!D274),IF(A440=2031,N('2031'!D274),IF(A440=2032,N('2032'!D274),IF(A440=2033,N('2033'!D274),IF(A440=2034,N('2034'!D274),IFERROR(N(INDIRECT("'"&amp;A440&amp;"'!D"&amp;G440)),0))))))))))))</f>
        <v>0</v>
      </c>
      <c r="M440" s="36">
        <f>IFERROR(IF(NOT(ISBLANK(KPI_TARGETS!$H$6)),KPI_TARGETS!$H$6,IF(NOT(ISBLANK(KPI_TARGETS!$F$6)),KPI_TARGETS!$F$6,"")),"")</f>
        <v>4000</v>
      </c>
      <c r="N440" s="36" t="str">
        <f>IFERROR(KPI_TARGETS!$E$6,"Higher is better")</f>
        <v>Higher is better</v>
      </c>
      <c r="O440" s="37">
        <f t="shared" ca="1" si="36"/>
        <v>0</v>
      </c>
      <c r="P440" t="str">
        <f t="shared" ca="1" si="37"/>
        <v>Red</v>
      </c>
      <c r="Q440" s="36">
        <f t="shared" ca="1" si="38"/>
        <v>-4000</v>
      </c>
      <c r="R440" s="36" t="str">
        <f>""</f>
        <v/>
      </c>
      <c r="S440" s="36" t="str">
        <f>""</f>
        <v/>
      </c>
      <c r="T440" s="36" t="str">
        <f>""</f>
        <v/>
      </c>
      <c r="U440" s="36" t="str">
        <f>""</f>
        <v/>
      </c>
      <c r="V440" s="36" t="str">
        <f>""</f>
        <v/>
      </c>
      <c r="W440" s="36">
        <f t="shared" si="39"/>
        <v>1</v>
      </c>
      <c r="X440" t="str">
        <f t="shared" si="40"/>
        <v>OK</v>
      </c>
      <c r="Y440" t="str">
        <f>IF(MAIN!$H$3="Selected Year",IF(A440=MAIN!$B$3,"Yes","No"),IF(MAIN!$H$3="Included Years",IF(D440="Yes","Yes","No"),IF(C440="Yes","Yes","No")))</f>
        <v>No</v>
      </c>
      <c r="Z440" t="str">
        <f>IF(MAIN!$F$3="Project to Date",IF(AND(A440&gt;=SETTINGS!$B$4,A440&lt;MAIN!$B$3),"Yes",IF(AND(A440=MAIN!$B$3,E440&lt;=MAIN!$L$3),"Yes","No")),IF(OR(MAIN!$F$3="Full Year",MAIN!$D$3="All"),"Yes",IF(MAIN!$F$3="Monthly",IF(E440=MAIN!$L$3,"Yes","No"),IF(E440&lt;=MAIN!$L$3,"Yes","No"))))</f>
        <v>Yes</v>
      </c>
      <c r="AA440" t="str">
        <f t="shared" si="41"/>
        <v>No</v>
      </c>
    </row>
    <row r="441" spans="1:27" x14ac:dyDescent="0.3">
      <c r="A441">
        <f>INDEX(SETTINGS!$A$15:$A$24,$B441)</f>
        <v>2026</v>
      </c>
      <c r="B441">
        <v>2</v>
      </c>
      <c r="C441" t="str">
        <f>IF(AND(A441&gt;=SETTINGS!$B$4,A441&lt;=SETTINGS!$B$5),"Yes","No")</f>
        <v>Yes</v>
      </c>
      <c r="D441" t="str">
        <f>IFERROR(INDEX(SETTINGS!$C$15:$C$24,MATCH(A441,SETTINGS!$A$15:$A$24,0)),"No")</f>
        <v>Yes</v>
      </c>
      <c r="E441">
        <v>12</v>
      </c>
      <c r="F441" t="s">
        <v>45</v>
      </c>
      <c r="G441">
        <v>275</v>
      </c>
      <c r="H441" t="s">
        <v>93</v>
      </c>
      <c r="I441" t="s">
        <v>89</v>
      </c>
      <c r="J441" t="s">
        <v>13</v>
      </c>
      <c r="K441" t="s">
        <v>14</v>
      </c>
      <c r="L441" s="36">
        <f ca="1">IF(C441&lt;&gt;"Yes",0,IF(A441=2025,N('2025'!D275),IF(A441=2026,N('2026'!D275),IF(A441=2027,N('2027'!D275),IF(A441=2028,N('2028'!D275),IF(A441=2029,N('2029'!D275),IF(A441=2030,N('2030'!D275),IF(A441=2031,N('2031'!D275),IF(A441=2032,N('2032'!D275),IF(A441=2033,N('2033'!D275),IF(A441=2034,N('2034'!D275),IFERROR(N(INDIRECT("'"&amp;A441&amp;"'!D"&amp;G441)),0))))))))))))</f>
        <v>0</v>
      </c>
      <c r="M441" s="36">
        <f>IFERROR(IF(NOT(ISBLANK(KPI_TARGETS!$H$7)),KPI_TARGETS!$H$7,IF(NOT(ISBLANK(KPI_TARGETS!$F$7)),KPI_TARGETS!$F$7,"")),"")</f>
        <v>8000</v>
      </c>
      <c r="N441" s="36" t="str">
        <f>IFERROR(KPI_TARGETS!$E$7,"Higher is better")</f>
        <v>Higher is better</v>
      </c>
      <c r="O441" s="37">
        <f t="shared" ca="1" si="36"/>
        <v>0</v>
      </c>
      <c r="P441" t="str">
        <f t="shared" ca="1" si="37"/>
        <v>Red</v>
      </c>
      <c r="Q441" s="36">
        <f t="shared" ca="1" si="38"/>
        <v>-8000</v>
      </c>
      <c r="R441" s="36" t="str">
        <f>""</f>
        <v/>
      </c>
      <c r="S441" s="36" t="str">
        <f>""</f>
        <v/>
      </c>
      <c r="T441" s="36" t="str">
        <f>""</f>
        <v/>
      </c>
      <c r="U441" s="36" t="str">
        <f>""</f>
        <v/>
      </c>
      <c r="V441" s="36" t="str">
        <f>""</f>
        <v/>
      </c>
      <c r="W441" s="36">
        <f t="shared" si="39"/>
        <v>1</v>
      </c>
      <c r="X441" t="str">
        <f t="shared" si="40"/>
        <v>OK</v>
      </c>
      <c r="Y441" t="str">
        <f>IF(MAIN!$H$3="Selected Year",IF(A441=MAIN!$B$3,"Yes","No"),IF(MAIN!$H$3="Included Years",IF(D441="Yes","Yes","No"),IF(C441="Yes","Yes","No")))</f>
        <v>No</v>
      </c>
      <c r="Z441" t="str">
        <f>IF(MAIN!$F$3="Project to Date",IF(AND(A441&gt;=SETTINGS!$B$4,A441&lt;MAIN!$B$3),"Yes",IF(AND(A441=MAIN!$B$3,E441&lt;=MAIN!$L$3),"Yes","No")),IF(OR(MAIN!$F$3="Full Year",MAIN!$D$3="All"),"Yes",IF(MAIN!$F$3="Monthly",IF(E441=MAIN!$L$3,"Yes","No"),IF(E441&lt;=MAIN!$L$3,"Yes","No"))))</f>
        <v>Yes</v>
      </c>
      <c r="AA441" t="str">
        <f t="shared" si="41"/>
        <v>No</v>
      </c>
    </row>
    <row r="442" spans="1:27" x14ac:dyDescent="0.3">
      <c r="A442">
        <f>INDEX(SETTINGS!$A$15:$A$24,$B442)</f>
        <v>2026</v>
      </c>
      <c r="B442">
        <v>2</v>
      </c>
      <c r="C442" t="str">
        <f>IF(AND(A442&gt;=SETTINGS!$B$4,A442&lt;=SETTINGS!$B$5),"Yes","No")</f>
        <v>Yes</v>
      </c>
      <c r="D442" t="str">
        <f>IFERROR(INDEX(SETTINGS!$C$15:$C$24,MATCH(A442,SETTINGS!$A$15:$A$24,0)),"No")</f>
        <v>Yes</v>
      </c>
      <c r="E442">
        <v>12</v>
      </c>
      <c r="F442" t="s">
        <v>45</v>
      </c>
      <c r="G442">
        <v>277</v>
      </c>
      <c r="H442" t="s">
        <v>95</v>
      </c>
      <c r="I442" t="s">
        <v>15</v>
      </c>
      <c r="J442" t="s">
        <v>16</v>
      </c>
      <c r="K442" t="s">
        <v>3</v>
      </c>
      <c r="L442" s="36">
        <f ca="1">IF(C442&lt;&gt;"Yes",0,IF(A442=2025,N('2025'!D277),IF(A442=2026,N('2026'!D277),IF(A442=2027,N('2027'!D277),IF(A442=2028,N('2028'!D277),IF(A442=2029,N('2029'!D277),IF(A442=2030,N('2030'!D277),IF(A442=2031,N('2031'!D277),IF(A442=2032,N('2032'!D277),IF(A442=2033,N('2033'!D277),IF(A442=2034,N('2034'!D277),IFERROR(N(INDIRECT("'"&amp;A442&amp;"'!D"&amp;G442)),0))))))))))))</f>
        <v>0</v>
      </c>
      <c r="M442" s="36">
        <f>IFERROR(IF(NOT(ISBLANK(KPI_TARGETS!$H$8)),KPI_TARGETS!$H$8,IF(NOT(ISBLANK(KPI_TARGETS!$F$8)),KPI_TARGETS!$F$8,"")),"")</f>
        <v>0</v>
      </c>
      <c r="N442" s="36" t="str">
        <f>IFERROR(KPI_TARGETS!$E$8,"Higher is better")</f>
        <v>Lower is better</v>
      </c>
      <c r="O442" s="37">
        <f t="shared" ca="1" si="36"/>
        <v>1</v>
      </c>
      <c r="P442" t="str">
        <f t="shared" ca="1" si="37"/>
        <v>Green</v>
      </c>
      <c r="Q442" s="36">
        <f t="shared" ca="1" si="38"/>
        <v>0</v>
      </c>
      <c r="R442" s="36" t="str">
        <f>""</f>
        <v/>
      </c>
      <c r="S442" s="36" t="str">
        <f>""</f>
        <v/>
      </c>
      <c r="T442" s="36" t="str">
        <f>""</f>
        <v/>
      </c>
      <c r="U442" s="36" t="str">
        <f>""</f>
        <v/>
      </c>
      <c r="V442" s="36" t="str">
        <f>""</f>
        <v/>
      </c>
      <c r="W442" s="36">
        <f t="shared" si="39"/>
        <v>1</v>
      </c>
      <c r="X442" t="str">
        <f t="shared" si="40"/>
        <v>OK</v>
      </c>
      <c r="Y442" t="str">
        <f>IF(MAIN!$H$3="Selected Year",IF(A442=MAIN!$B$3,"Yes","No"),IF(MAIN!$H$3="Included Years",IF(D442="Yes","Yes","No"),IF(C442="Yes","Yes","No")))</f>
        <v>No</v>
      </c>
      <c r="Z442" t="str">
        <f>IF(MAIN!$F$3="Project to Date",IF(AND(A442&gt;=SETTINGS!$B$4,A442&lt;MAIN!$B$3),"Yes",IF(AND(A442=MAIN!$B$3,E442&lt;=MAIN!$L$3),"Yes","No")),IF(OR(MAIN!$F$3="Full Year",MAIN!$D$3="All"),"Yes",IF(MAIN!$F$3="Monthly",IF(E442=MAIN!$L$3,"Yes","No"),IF(E442&lt;=MAIN!$L$3,"Yes","No"))))</f>
        <v>Yes</v>
      </c>
      <c r="AA442" t="str">
        <f t="shared" si="41"/>
        <v>No</v>
      </c>
    </row>
    <row r="443" spans="1:27" x14ac:dyDescent="0.3">
      <c r="A443">
        <f>INDEX(SETTINGS!$A$15:$A$24,$B443)</f>
        <v>2026</v>
      </c>
      <c r="B443">
        <v>2</v>
      </c>
      <c r="C443" t="str">
        <f>IF(AND(A443&gt;=SETTINGS!$B$4,A443&lt;=SETTINGS!$B$5),"Yes","No")</f>
        <v>Yes</v>
      </c>
      <c r="D443" t="str">
        <f>IFERROR(INDEX(SETTINGS!$C$15:$C$24,MATCH(A443,SETTINGS!$A$15:$A$24,0)),"No")</f>
        <v>Yes</v>
      </c>
      <c r="E443">
        <v>12</v>
      </c>
      <c r="F443" t="s">
        <v>45</v>
      </c>
      <c r="G443">
        <v>278</v>
      </c>
      <c r="H443" t="s">
        <v>97</v>
      </c>
      <c r="I443" t="s">
        <v>15</v>
      </c>
      <c r="J443" t="s">
        <v>17</v>
      </c>
      <c r="K443" t="s">
        <v>3</v>
      </c>
      <c r="L443" s="36">
        <f ca="1">IF(C443&lt;&gt;"Yes",0,IF(A443=2025,N('2025'!D278),IF(A443=2026,N('2026'!D278),IF(A443=2027,N('2027'!D278),IF(A443=2028,N('2028'!D278),IF(A443=2029,N('2029'!D278),IF(A443=2030,N('2030'!D278),IF(A443=2031,N('2031'!D278),IF(A443=2032,N('2032'!D278),IF(A443=2033,N('2033'!D278),IF(A443=2034,N('2034'!D278),IFERROR(N(INDIRECT("'"&amp;A443&amp;"'!D"&amp;G443)),0))))))))))))</f>
        <v>0</v>
      </c>
      <c r="M443" s="36">
        <f>IFERROR(IF(NOT(ISBLANK(KPI_TARGETS!$H$9)),KPI_TARGETS!$H$9,IF(NOT(ISBLANK(KPI_TARGETS!$F$9)),KPI_TARGETS!$F$9,"")),"")</f>
        <v>0</v>
      </c>
      <c r="N443" s="36" t="str">
        <f>IFERROR(KPI_TARGETS!$E$9,"Higher is better")</f>
        <v>Higher is better</v>
      </c>
      <c r="O443" s="37" t="str">
        <f t="shared" ca="1" si="36"/>
        <v/>
      </c>
      <c r="P443" t="str">
        <f t="shared" ca="1" si="37"/>
        <v>Green</v>
      </c>
      <c r="Q443" s="36">
        <f t="shared" ca="1" si="38"/>
        <v>0</v>
      </c>
      <c r="R443" s="36" t="str">
        <f>""</f>
        <v/>
      </c>
      <c r="S443" s="36" t="str">
        <f>""</f>
        <v/>
      </c>
      <c r="T443" s="36" t="str">
        <f>""</f>
        <v/>
      </c>
      <c r="U443" s="36" t="str">
        <f>""</f>
        <v/>
      </c>
      <c r="V443" s="36" t="str">
        <f>""</f>
        <v/>
      </c>
      <c r="W443" s="36">
        <f t="shared" si="39"/>
        <v>1</v>
      </c>
      <c r="X443" t="str">
        <f t="shared" si="40"/>
        <v>OK</v>
      </c>
      <c r="Y443" t="str">
        <f>IF(MAIN!$H$3="Selected Year",IF(A443=MAIN!$B$3,"Yes","No"),IF(MAIN!$H$3="Included Years",IF(D443="Yes","Yes","No"),IF(C443="Yes","Yes","No")))</f>
        <v>No</v>
      </c>
      <c r="Z443" t="str">
        <f>IF(MAIN!$F$3="Project to Date",IF(AND(A443&gt;=SETTINGS!$B$4,A443&lt;MAIN!$B$3),"Yes",IF(AND(A443=MAIN!$B$3,E443&lt;=MAIN!$L$3),"Yes","No")),IF(OR(MAIN!$F$3="Full Year",MAIN!$D$3="All"),"Yes",IF(MAIN!$F$3="Monthly",IF(E443=MAIN!$L$3,"Yes","No"),IF(E443&lt;=MAIN!$L$3,"Yes","No"))))</f>
        <v>Yes</v>
      </c>
      <c r="AA443" t="str">
        <f t="shared" si="41"/>
        <v>No</v>
      </c>
    </row>
    <row r="444" spans="1:27" x14ac:dyDescent="0.3">
      <c r="A444">
        <f>INDEX(SETTINGS!$A$15:$A$24,$B444)</f>
        <v>2026</v>
      </c>
      <c r="B444">
        <v>2</v>
      </c>
      <c r="C444" t="str">
        <f>IF(AND(A444&gt;=SETTINGS!$B$4,A444&lt;=SETTINGS!$B$5),"Yes","No")</f>
        <v>Yes</v>
      </c>
      <c r="D444" t="str">
        <f>IFERROR(INDEX(SETTINGS!$C$15:$C$24,MATCH(A444,SETTINGS!$A$15:$A$24,0)),"No")</f>
        <v>Yes</v>
      </c>
      <c r="E444">
        <v>12</v>
      </c>
      <c r="F444" t="s">
        <v>45</v>
      </c>
      <c r="G444">
        <v>279</v>
      </c>
      <c r="H444" t="s">
        <v>99</v>
      </c>
      <c r="I444" t="s">
        <v>15</v>
      </c>
      <c r="J444" t="s">
        <v>18</v>
      </c>
      <c r="K444" t="s">
        <v>3</v>
      </c>
      <c r="L444" s="36">
        <f ca="1">IF(C444&lt;&gt;"Yes",0,IF(A444=2025,N('2025'!D279),IF(A444=2026,N('2026'!D279),IF(A444=2027,N('2027'!D279),IF(A444=2028,N('2028'!D279),IF(A444=2029,N('2029'!D279),IF(A444=2030,N('2030'!D279),IF(A444=2031,N('2031'!D279),IF(A444=2032,N('2032'!D279),IF(A444=2033,N('2033'!D279),IF(A444=2034,N('2034'!D279),IFERROR(N(INDIRECT("'"&amp;A444&amp;"'!D"&amp;G444)),0))))))))))))</f>
        <v>0</v>
      </c>
      <c r="M444" s="36">
        <f>IFERROR(IF(NOT(ISBLANK(KPI_TARGETS!$H$10)),KPI_TARGETS!$H$10,IF(NOT(ISBLANK(KPI_TARGETS!$F$10)),KPI_TARGETS!$F$10,"")),"")</f>
        <v>0</v>
      </c>
      <c r="N444" s="36" t="str">
        <f>IFERROR(KPI_TARGETS!$E$10,"Higher is better")</f>
        <v>Lower is better</v>
      </c>
      <c r="O444" s="37">
        <f t="shared" ca="1" si="36"/>
        <v>1</v>
      </c>
      <c r="P444" t="str">
        <f t="shared" ca="1" si="37"/>
        <v>Green</v>
      </c>
      <c r="Q444" s="36">
        <f t="shared" ca="1" si="38"/>
        <v>0</v>
      </c>
      <c r="R444" s="36" t="str">
        <f>""</f>
        <v/>
      </c>
      <c r="S444" s="36" t="str">
        <f>""</f>
        <v/>
      </c>
      <c r="T444" s="36" t="str">
        <f>""</f>
        <v/>
      </c>
      <c r="U444" s="36" t="str">
        <f>""</f>
        <v/>
      </c>
      <c r="V444" s="36" t="str">
        <f>""</f>
        <v/>
      </c>
      <c r="W444" s="36">
        <f t="shared" si="39"/>
        <v>1</v>
      </c>
      <c r="X444" t="str">
        <f t="shared" si="40"/>
        <v>OK</v>
      </c>
      <c r="Y444" t="str">
        <f>IF(MAIN!$H$3="Selected Year",IF(A444=MAIN!$B$3,"Yes","No"),IF(MAIN!$H$3="Included Years",IF(D444="Yes","Yes","No"),IF(C444="Yes","Yes","No")))</f>
        <v>No</v>
      </c>
      <c r="Z444" t="str">
        <f>IF(MAIN!$F$3="Project to Date",IF(AND(A444&gt;=SETTINGS!$B$4,A444&lt;MAIN!$B$3),"Yes",IF(AND(A444=MAIN!$B$3,E444&lt;=MAIN!$L$3),"Yes","No")),IF(OR(MAIN!$F$3="Full Year",MAIN!$D$3="All"),"Yes",IF(MAIN!$F$3="Monthly",IF(E444=MAIN!$L$3,"Yes","No"),IF(E444&lt;=MAIN!$L$3,"Yes","No"))))</f>
        <v>Yes</v>
      </c>
      <c r="AA444" t="str">
        <f t="shared" si="41"/>
        <v>No</v>
      </c>
    </row>
    <row r="445" spans="1:27" x14ac:dyDescent="0.3">
      <c r="A445">
        <f>INDEX(SETTINGS!$A$15:$A$24,$B445)</f>
        <v>2026</v>
      </c>
      <c r="B445">
        <v>2</v>
      </c>
      <c r="C445" t="str">
        <f>IF(AND(A445&gt;=SETTINGS!$B$4,A445&lt;=SETTINGS!$B$5),"Yes","No")</f>
        <v>Yes</v>
      </c>
      <c r="D445" t="str">
        <f>IFERROR(INDEX(SETTINGS!$C$15:$C$24,MATCH(A445,SETTINGS!$A$15:$A$24,0)),"No")</f>
        <v>Yes</v>
      </c>
      <c r="E445">
        <v>12</v>
      </c>
      <c r="F445" t="s">
        <v>45</v>
      </c>
      <c r="G445">
        <v>280</v>
      </c>
      <c r="H445" t="s">
        <v>100</v>
      </c>
      <c r="I445" t="s">
        <v>15</v>
      </c>
      <c r="J445" t="s">
        <v>19</v>
      </c>
      <c r="K445" t="s">
        <v>3</v>
      </c>
      <c r="L445" s="36">
        <f ca="1">IF(C445&lt;&gt;"Yes",0,IF(A445=2025,N('2025'!D280),IF(A445=2026,N('2026'!D280),IF(A445=2027,N('2027'!D280),IF(A445=2028,N('2028'!D280),IF(A445=2029,N('2029'!D280),IF(A445=2030,N('2030'!D280),IF(A445=2031,N('2031'!D280),IF(A445=2032,N('2032'!D280),IF(A445=2033,N('2033'!D280),IF(A445=2034,N('2034'!D280),IFERROR(N(INDIRECT("'"&amp;A445&amp;"'!D"&amp;G445)),0))))))))))))</f>
        <v>0</v>
      </c>
      <c r="M445" s="36">
        <f>IFERROR(IF(NOT(ISBLANK(KPI_TARGETS!$H$11)),KPI_TARGETS!$H$11,IF(NOT(ISBLANK(KPI_TARGETS!$F$11)),KPI_TARGETS!$F$11,"")),"")</f>
        <v>0</v>
      </c>
      <c r="N445" s="36" t="str">
        <f>IFERROR(KPI_TARGETS!$E$11,"Higher is better")</f>
        <v>Lower is better</v>
      </c>
      <c r="O445" s="37">
        <f t="shared" ca="1" si="36"/>
        <v>1</v>
      </c>
      <c r="P445" t="str">
        <f t="shared" ca="1" si="37"/>
        <v>Green</v>
      </c>
      <c r="Q445" s="36">
        <f t="shared" ca="1" si="38"/>
        <v>0</v>
      </c>
      <c r="R445" s="36" t="str">
        <f>""</f>
        <v/>
      </c>
      <c r="S445" s="36" t="str">
        <f>""</f>
        <v/>
      </c>
      <c r="T445" s="36" t="str">
        <f>""</f>
        <v/>
      </c>
      <c r="U445" s="36" t="str">
        <f>""</f>
        <v/>
      </c>
      <c r="V445" s="36" t="str">
        <f>""</f>
        <v/>
      </c>
      <c r="W445" s="36">
        <f t="shared" si="39"/>
        <v>1</v>
      </c>
      <c r="X445" t="str">
        <f t="shared" si="40"/>
        <v>OK</v>
      </c>
      <c r="Y445" t="str">
        <f>IF(MAIN!$H$3="Selected Year",IF(A445=MAIN!$B$3,"Yes","No"),IF(MAIN!$H$3="Included Years",IF(D445="Yes","Yes","No"),IF(C445="Yes","Yes","No")))</f>
        <v>No</v>
      </c>
      <c r="Z445" t="str">
        <f>IF(MAIN!$F$3="Project to Date",IF(AND(A445&gt;=SETTINGS!$B$4,A445&lt;MAIN!$B$3),"Yes",IF(AND(A445=MAIN!$B$3,E445&lt;=MAIN!$L$3),"Yes","No")),IF(OR(MAIN!$F$3="Full Year",MAIN!$D$3="All"),"Yes",IF(MAIN!$F$3="Monthly",IF(E445=MAIN!$L$3,"Yes","No"),IF(E445&lt;=MAIN!$L$3,"Yes","No"))))</f>
        <v>Yes</v>
      </c>
      <c r="AA445" t="str">
        <f t="shared" si="41"/>
        <v>No</v>
      </c>
    </row>
    <row r="446" spans="1:27" x14ac:dyDescent="0.3">
      <c r="A446">
        <f>INDEX(SETTINGS!$A$15:$A$24,$B446)</f>
        <v>2026</v>
      </c>
      <c r="B446">
        <v>2</v>
      </c>
      <c r="C446" t="str">
        <f>IF(AND(A446&gt;=SETTINGS!$B$4,A446&lt;=SETTINGS!$B$5),"Yes","No")</f>
        <v>Yes</v>
      </c>
      <c r="D446" t="str">
        <f>IFERROR(INDEX(SETTINGS!$C$15:$C$24,MATCH(A446,SETTINGS!$A$15:$A$24,0)),"No")</f>
        <v>Yes</v>
      </c>
      <c r="E446">
        <v>12</v>
      </c>
      <c r="F446" t="s">
        <v>45</v>
      </c>
      <c r="G446">
        <v>281</v>
      </c>
      <c r="H446" t="s">
        <v>101</v>
      </c>
      <c r="I446" t="s">
        <v>15</v>
      </c>
      <c r="J446" t="s">
        <v>20</v>
      </c>
      <c r="K446" t="s">
        <v>3</v>
      </c>
      <c r="L446" s="36">
        <f ca="1">IF(C446&lt;&gt;"Yes",0,IF(A446=2025,N('2025'!D281),IF(A446=2026,N('2026'!D281),IF(A446=2027,N('2027'!D281),IF(A446=2028,N('2028'!D281),IF(A446=2029,N('2029'!D281),IF(A446=2030,N('2030'!D281),IF(A446=2031,N('2031'!D281),IF(A446=2032,N('2032'!D281),IF(A446=2033,N('2033'!D281),IF(A446=2034,N('2034'!D281),IFERROR(N(INDIRECT("'"&amp;A446&amp;"'!D"&amp;G446)),0))))))))))))</f>
        <v>0</v>
      </c>
      <c r="M446" s="36">
        <f>IFERROR(IF(NOT(ISBLANK(KPI_TARGETS!$H$12)),KPI_TARGETS!$H$12,IF(NOT(ISBLANK(KPI_TARGETS!$F$12)),KPI_TARGETS!$F$12,"")),"")</f>
        <v>0</v>
      </c>
      <c r="N446" s="36" t="str">
        <f>IFERROR(KPI_TARGETS!$E$12,"Higher is better")</f>
        <v>Lower is better</v>
      </c>
      <c r="O446" s="37">
        <f t="shared" ca="1" si="36"/>
        <v>1</v>
      </c>
      <c r="P446" t="str">
        <f t="shared" ca="1" si="37"/>
        <v>Green</v>
      </c>
      <c r="Q446" s="36">
        <f t="shared" ca="1" si="38"/>
        <v>0</v>
      </c>
      <c r="R446" s="36" t="str">
        <f>""</f>
        <v/>
      </c>
      <c r="S446" s="36" t="str">
        <f>""</f>
        <v/>
      </c>
      <c r="T446" s="36" t="str">
        <f>""</f>
        <v/>
      </c>
      <c r="U446" s="36" t="str">
        <f>""</f>
        <v/>
      </c>
      <c r="V446" s="36" t="str">
        <f>""</f>
        <v/>
      </c>
      <c r="W446" s="36">
        <f t="shared" si="39"/>
        <v>1</v>
      </c>
      <c r="X446" t="str">
        <f t="shared" si="40"/>
        <v>OK</v>
      </c>
      <c r="Y446" t="str">
        <f>IF(MAIN!$H$3="Selected Year",IF(A446=MAIN!$B$3,"Yes","No"),IF(MAIN!$H$3="Included Years",IF(D446="Yes","Yes","No"),IF(C446="Yes","Yes","No")))</f>
        <v>No</v>
      </c>
      <c r="Z446" t="str">
        <f>IF(MAIN!$F$3="Project to Date",IF(AND(A446&gt;=SETTINGS!$B$4,A446&lt;MAIN!$B$3),"Yes",IF(AND(A446=MAIN!$B$3,E446&lt;=MAIN!$L$3),"Yes","No")),IF(OR(MAIN!$F$3="Full Year",MAIN!$D$3="All"),"Yes",IF(MAIN!$F$3="Monthly",IF(E446=MAIN!$L$3,"Yes","No"),IF(E446&lt;=MAIN!$L$3,"Yes","No"))))</f>
        <v>Yes</v>
      </c>
      <c r="AA446" t="str">
        <f t="shared" si="41"/>
        <v>No</v>
      </c>
    </row>
    <row r="447" spans="1:27" x14ac:dyDescent="0.3">
      <c r="A447">
        <f>INDEX(SETTINGS!$A$15:$A$24,$B447)</f>
        <v>2026</v>
      </c>
      <c r="B447">
        <v>2</v>
      </c>
      <c r="C447" t="str">
        <f>IF(AND(A447&gt;=SETTINGS!$B$4,A447&lt;=SETTINGS!$B$5),"Yes","No")</f>
        <v>Yes</v>
      </c>
      <c r="D447" t="str">
        <f>IFERROR(INDEX(SETTINGS!$C$15:$C$24,MATCH(A447,SETTINGS!$A$15:$A$24,0)),"No")</f>
        <v>Yes</v>
      </c>
      <c r="E447">
        <v>12</v>
      </c>
      <c r="F447" t="s">
        <v>45</v>
      </c>
      <c r="G447">
        <v>282</v>
      </c>
      <c r="H447" t="s">
        <v>102</v>
      </c>
      <c r="I447" t="s">
        <v>15</v>
      </c>
      <c r="J447" t="s">
        <v>21</v>
      </c>
      <c r="K447" t="s">
        <v>3</v>
      </c>
      <c r="L447" s="36">
        <f ca="1">IF(C447&lt;&gt;"Yes",0,IF(A447=2025,N('2025'!D282),IF(A447=2026,N('2026'!D282),IF(A447=2027,N('2027'!D282),IF(A447=2028,N('2028'!D282),IF(A447=2029,N('2029'!D282),IF(A447=2030,N('2030'!D282),IF(A447=2031,N('2031'!D282),IF(A447=2032,N('2032'!D282),IF(A447=2033,N('2033'!D282),IF(A447=2034,N('2034'!D282),IFERROR(N(INDIRECT("'"&amp;A447&amp;"'!D"&amp;G447)),0))))))))))))</f>
        <v>0</v>
      </c>
      <c r="M447" s="36">
        <f>IFERROR(IF(NOT(ISBLANK(KPI_TARGETS!$H$13)),KPI_TARGETS!$H$13,IF(NOT(ISBLANK(KPI_TARGETS!$F$13)),KPI_TARGETS!$F$13,"")),"")</f>
        <v>0</v>
      </c>
      <c r="N447" s="36" t="str">
        <f>IFERROR(KPI_TARGETS!$E$13,"Higher is better")</f>
        <v>Lower is better</v>
      </c>
      <c r="O447" s="37">
        <f t="shared" ca="1" si="36"/>
        <v>1</v>
      </c>
      <c r="P447" t="str">
        <f t="shared" ca="1" si="37"/>
        <v>Green</v>
      </c>
      <c r="Q447" s="36">
        <f t="shared" ca="1" si="38"/>
        <v>0</v>
      </c>
      <c r="R447" s="36" t="str">
        <f>""</f>
        <v/>
      </c>
      <c r="S447" s="36" t="str">
        <f>""</f>
        <v/>
      </c>
      <c r="T447" s="36" t="str">
        <f>""</f>
        <v/>
      </c>
      <c r="U447" s="36" t="str">
        <f>""</f>
        <v/>
      </c>
      <c r="V447" s="36" t="str">
        <f>""</f>
        <v/>
      </c>
      <c r="W447" s="36">
        <f t="shared" si="39"/>
        <v>1</v>
      </c>
      <c r="X447" t="str">
        <f t="shared" si="40"/>
        <v>OK</v>
      </c>
      <c r="Y447" t="str">
        <f>IF(MAIN!$H$3="Selected Year",IF(A447=MAIN!$B$3,"Yes","No"),IF(MAIN!$H$3="Included Years",IF(D447="Yes","Yes","No"),IF(C447="Yes","Yes","No")))</f>
        <v>No</v>
      </c>
      <c r="Z447" t="str">
        <f>IF(MAIN!$F$3="Project to Date",IF(AND(A447&gt;=SETTINGS!$B$4,A447&lt;MAIN!$B$3),"Yes",IF(AND(A447=MAIN!$B$3,E447&lt;=MAIN!$L$3),"Yes","No")),IF(OR(MAIN!$F$3="Full Year",MAIN!$D$3="All"),"Yes",IF(MAIN!$F$3="Monthly",IF(E447=MAIN!$L$3,"Yes","No"),IF(E447&lt;=MAIN!$L$3,"Yes","No"))))</f>
        <v>Yes</v>
      </c>
      <c r="AA447" t="str">
        <f t="shared" si="41"/>
        <v>No</v>
      </c>
    </row>
    <row r="448" spans="1:27" x14ac:dyDescent="0.3">
      <c r="A448">
        <f>INDEX(SETTINGS!$A$15:$A$24,$B448)</f>
        <v>2026</v>
      </c>
      <c r="B448">
        <v>2</v>
      </c>
      <c r="C448" t="str">
        <f>IF(AND(A448&gt;=SETTINGS!$B$4,A448&lt;=SETTINGS!$B$5),"Yes","No")</f>
        <v>Yes</v>
      </c>
      <c r="D448" t="str">
        <f>IFERROR(INDEX(SETTINGS!$C$15:$C$24,MATCH(A448,SETTINGS!$A$15:$A$24,0)),"No")</f>
        <v>Yes</v>
      </c>
      <c r="E448">
        <v>12</v>
      </c>
      <c r="F448" t="s">
        <v>45</v>
      </c>
      <c r="G448">
        <v>284</v>
      </c>
      <c r="H448" t="s">
        <v>103</v>
      </c>
      <c r="I448" t="s">
        <v>22</v>
      </c>
      <c r="J448" t="s">
        <v>23</v>
      </c>
      <c r="K448" t="s">
        <v>3</v>
      </c>
      <c r="L448" s="36">
        <f ca="1">IF(C448&lt;&gt;"Yes",0,IF(A448=2025,N('2025'!D284),IF(A448=2026,N('2026'!D284),IF(A448=2027,N('2027'!D284),IF(A448=2028,N('2028'!D284),IF(A448=2029,N('2029'!D284),IF(A448=2030,N('2030'!D284),IF(A448=2031,N('2031'!D284),IF(A448=2032,N('2032'!D284),IF(A448=2033,N('2033'!D284),IF(A448=2034,N('2034'!D284),IFERROR(N(INDIRECT("'"&amp;A448&amp;"'!D"&amp;G448)),0))))))))))))</f>
        <v>55</v>
      </c>
      <c r="M448" s="36">
        <f>IFERROR(IF(NOT(ISBLANK(KPI_TARGETS!$H$14)),KPI_TARGETS!$H$14,IF(NOT(ISBLANK(KPI_TARGETS!$F$14)),KPI_TARGETS!$F$14,"")),"")</f>
        <v>35</v>
      </c>
      <c r="N448" s="36" t="str">
        <f>IFERROR(KPI_TARGETS!$E$14,"Higher is better")</f>
        <v>Higher is better</v>
      </c>
      <c r="O448" s="37">
        <f t="shared" ca="1" si="36"/>
        <v>1.5714285714285714</v>
      </c>
      <c r="P448" t="str">
        <f t="shared" ca="1" si="37"/>
        <v>Green</v>
      </c>
      <c r="Q448" s="36">
        <f t="shared" ca="1" si="38"/>
        <v>20</v>
      </c>
      <c r="R448" s="36" t="str">
        <f>""</f>
        <v/>
      </c>
      <c r="S448" s="36" t="str">
        <f>""</f>
        <v/>
      </c>
      <c r="T448" s="36" t="str">
        <f>""</f>
        <v/>
      </c>
      <c r="U448" s="36" t="str">
        <f>""</f>
        <v/>
      </c>
      <c r="V448" s="36" t="str">
        <f>""</f>
        <v/>
      </c>
      <c r="W448" s="36">
        <f t="shared" si="39"/>
        <v>1</v>
      </c>
      <c r="X448" t="str">
        <f t="shared" si="40"/>
        <v>OK</v>
      </c>
      <c r="Y448" t="str">
        <f>IF(MAIN!$H$3="Selected Year",IF(A448=MAIN!$B$3,"Yes","No"),IF(MAIN!$H$3="Included Years",IF(D448="Yes","Yes","No"),IF(C448="Yes","Yes","No")))</f>
        <v>No</v>
      </c>
      <c r="Z448" t="str">
        <f>IF(MAIN!$F$3="Project to Date",IF(AND(A448&gt;=SETTINGS!$B$4,A448&lt;MAIN!$B$3),"Yes",IF(AND(A448=MAIN!$B$3,E448&lt;=MAIN!$L$3),"Yes","No")),IF(OR(MAIN!$F$3="Full Year",MAIN!$D$3="All"),"Yes",IF(MAIN!$F$3="Monthly",IF(E448=MAIN!$L$3,"Yes","No"),IF(E448&lt;=MAIN!$L$3,"Yes","No"))))</f>
        <v>Yes</v>
      </c>
      <c r="AA448" t="str">
        <f t="shared" si="41"/>
        <v>No</v>
      </c>
    </row>
    <row r="449" spans="1:27" x14ac:dyDescent="0.3">
      <c r="A449">
        <f>INDEX(SETTINGS!$A$15:$A$24,$B449)</f>
        <v>2026</v>
      </c>
      <c r="B449">
        <v>2</v>
      </c>
      <c r="C449" t="str">
        <f>IF(AND(A449&gt;=SETTINGS!$B$4,A449&lt;=SETTINGS!$B$5),"Yes","No")</f>
        <v>Yes</v>
      </c>
      <c r="D449" t="str">
        <f>IFERROR(INDEX(SETTINGS!$C$15:$C$24,MATCH(A449,SETTINGS!$A$15:$A$24,0)),"No")</f>
        <v>Yes</v>
      </c>
      <c r="E449">
        <v>12</v>
      </c>
      <c r="F449" t="s">
        <v>45</v>
      </c>
      <c r="G449">
        <v>285</v>
      </c>
      <c r="H449" t="s">
        <v>104</v>
      </c>
      <c r="I449" t="s">
        <v>22</v>
      </c>
      <c r="J449" t="s">
        <v>24</v>
      </c>
      <c r="K449" t="s">
        <v>3</v>
      </c>
      <c r="L449" s="36">
        <f ca="1">IF(C449&lt;&gt;"Yes",0,IF(A449=2025,N('2025'!D285),IF(A449=2026,N('2026'!D285),IF(A449=2027,N('2027'!D285),IF(A449=2028,N('2028'!D285),IF(A449=2029,N('2029'!D285),IF(A449=2030,N('2030'!D285),IF(A449=2031,N('2031'!D285),IF(A449=2032,N('2032'!D285),IF(A449=2033,N('2033'!D285),IF(A449=2034,N('2034'!D285),IFERROR(N(INDIRECT("'"&amp;A449&amp;"'!D"&amp;G449)),0))))))))))))</f>
        <v>4</v>
      </c>
      <c r="M449" s="36">
        <f>IFERROR(IF(NOT(ISBLANK(KPI_TARGETS!$H$15)),KPI_TARGETS!$H$15,IF(NOT(ISBLANK(KPI_TARGETS!$F$15)),KPI_TARGETS!$F$15,"")),"")</f>
        <v>5</v>
      </c>
      <c r="N449" s="36" t="str">
        <f>IFERROR(KPI_TARGETS!$E$15,"Higher is better")</f>
        <v>Higher is better</v>
      </c>
      <c r="O449" s="37">
        <f t="shared" ca="1" si="36"/>
        <v>0.8</v>
      </c>
      <c r="P449" t="str">
        <f t="shared" ca="1" si="37"/>
        <v>Amber</v>
      </c>
      <c r="Q449" s="36">
        <f t="shared" ca="1" si="38"/>
        <v>-1</v>
      </c>
      <c r="R449" s="36" t="str">
        <f>""</f>
        <v/>
      </c>
      <c r="S449" s="36" t="str">
        <f>""</f>
        <v/>
      </c>
      <c r="T449" s="36" t="str">
        <f>""</f>
        <v/>
      </c>
      <c r="U449" s="36" t="str">
        <f>""</f>
        <v/>
      </c>
      <c r="V449" s="36" t="str">
        <f>""</f>
        <v/>
      </c>
      <c r="W449" s="36">
        <f t="shared" si="39"/>
        <v>1</v>
      </c>
      <c r="X449" t="str">
        <f t="shared" si="40"/>
        <v>OK</v>
      </c>
      <c r="Y449" t="str">
        <f>IF(MAIN!$H$3="Selected Year",IF(A449=MAIN!$B$3,"Yes","No"),IF(MAIN!$H$3="Included Years",IF(D449="Yes","Yes","No"),IF(C449="Yes","Yes","No")))</f>
        <v>No</v>
      </c>
      <c r="Z449" t="str">
        <f>IF(MAIN!$F$3="Project to Date",IF(AND(A449&gt;=SETTINGS!$B$4,A449&lt;MAIN!$B$3),"Yes",IF(AND(A449=MAIN!$B$3,E449&lt;=MAIN!$L$3),"Yes","No")),IF(OR(MAIN!$F$3="Full Year",MAIN!$D$3="All"),"Yes",IF(MAIN!$F$3="Monthly",IF(E449=MAIN!$L$3,"Yes","No"),IF(E449&lt;=MAIN!$L$3,"Yes","No"))))</f>
        <v>Yes</v>
      </c>
      <c r="AA449" t="str">
        <f t="shared" si="41"/>
        <v>No</v>
      </c>
    </row>
    <row r="450" spans="1:27" x14ac:dyDescent="0.3">
      <c r="A450">
        <f>INDEX(SETTINGS!$A$15:$A$24,$B450)</f>
        <v>2026</v>
      </c>
      <c r="B450">
        <v>2</v>
      </c>
      <c r="C450" t="str">
        <f>IF(AND(A450&gt;=SETTINGS!$B$4,A450&lt;=SETTINGS!$B$5),"Yes","No")</f>
        <v>Yes</v>
      </c>
      <c r="D450" t="str">
        <f>IFERROR(INDEX(SETTINGS!$C$15:$C$24,MATCH(A450,SETTINGS!$A$15:$A$24,0)),"No")</f>
        <v>Yes</v>
      </c>
      <c r="E450">
        <v>12</v>
      </c>
      <c r="F450" t="s">
        <v>45</v>
      </c>
      <c r="G450">
        <v>286</v>
      </c>
      <c r="H450" t="s">
        <v>105</v>
      </c>
      <c r="I450" t="s">
        <v>22</v>
      </c>
      <c r="J450" t="s">
        <v>25</v>
      </c>
      <c r="K450" t="s">
        <v>3</v>
      </c>
      <c r="L450" s="36">
        <f ca="1">IF(C450&lt;&gt;"Yes",0,IF(A450=2025,N('2025'!D286),IF(A450=2026,N('2026'!D286),IF(A450=2027,N('2027'!D286),IF(A450=2028,N('2028'!D286),IF(A450=2029,N('2029'!D286),IF(A450=2030,N('2030'!D286),IF(A450=2031,N('2031'!D286),IF(A450=2032,N('2032'!D286),IF(A450=2033,N('2033'!D286),IF(A450=2034,N('2034'!D286),IFERROR(N(INDIRECT("'"&amp;A450&amp;"'!D"&amp;G450)),0))))))))))))</f>
        <v>4</v>
      </c>
      <c r="M450" s="36">
        <f>IFERROR(IF(NOT(ISBLANK(KPI_TARGETS!$H$16)),KPI_TARGETS!$H$16,IF(NOT(ISBLANK(KPI_TARGETS!$F$16)),KPI_TARGETS!$F$16,"")),"")</f>
        <v>4</v>
      </c>
      <c r="N450" s="36" t="str">
        <f>IFERROR(KPI_TARGETS!$E$16,"Higher is better")</f>
        <v>Higher is better</v>
      </c>
      <c r="O450" s="37">
        <f t="shared" ref="O450:O513" ca="1" si="42">IF(M450="","",IF(N450="Higher is better",IFERROR(L450/M450,""),IF(L450=0,1,IFERROR(M450/L450,""))))</f>
        <v>1</v>
      </c>
      <c r="P450" t="str">
        <f t="shared" ref="P450:P513" ca="1" si="43">IF(M450="","Target Needed",IF(N450="Higher is better",IF(L450&gt;=M450,"Green",IF(L450&gt;=0.8*M450,"Amber","Red")),IF(M450=0,IF(L450=0,"Green","Red"),IF(L450&lt;=M450,"Green",IF(L450&lt;=1.25*M450,"Amber","Red")))))</f>
        <v>Green</v>
      </c>
      <c r="Q450" s="36">
        <f t="shared" ref="Q450:Q513" ca="1" si="44">IF(M450="","",IF(N450="Higher is better",L450-M450,M450-L450))</f>
        <v>0</v>
      </c>
      <c r="R450" s="36" t="str">
        <f>""</f>
        <v/>
      </c>
      <c r="S450" s="36" t="str">
        <f>""</f>
        <v/>
      </c>
      <c r="T450" s="36" t="str">
        <f>""</f>
        <v/>
      </c>
      <c r="U450" s="36" t="str">
        <f>""</f>
        <v/>
      </c>
      <c r="V450" s="36" t="str">
        <f>""</f>
        <v/>
      </c>
      <c r="W450" s="36">
        <f t="shared" ref="W450:W513" si="45">IF(LEN(M450&amp;"")&gt;0,1,0)</f>
        <v>1</v>
      </c>
      <c r="X450" t="str">
        <f t="shared" ref="X450:X513" si="46">IF(C450&lt;&gt;"Yes","Inactive",IF(M450="","Missing target","OK"))</f>
        <v>OK</v>
      </c>
      <c r="Y450" t="str">
        <f>IF(MAIN!$H$3="Selected Year",IF(A450=MAIN!$B$3,"Yes","No"),IF(MAIN!$H$3="Included Years",IF(D450="Yes","Yes","No"),IF(C450="Yes","Yes","No")))</f>
        <v>No</v>
      </c>
      <c r="Z450" t="str">
        <f>IF(MAIN!$F$3="Project to Date",IF(AND(A450&gt;=SETTINGS!$B$4,A450&lt;MAIN!$B$3),"Yes",IF(AND(A450=MAIN!$B$3,E450&lt;=MAIN!$L$3),"Yes","No")),IF(OR(MAIN!$F$3="Full Year",MAIN!$D$3="All"),"Yes",IF(MAIN!$F$3="Monthly",IF(E450=MAIN!$L$3,"Yes","No"),IF(E450&lt;=MAIN!$L$3,"Yes","No"))))</f>
        <v>Yes</v>
      </c>
      <c r="AA450" t="str">
        <f t="shared" ref="AA450:AA513" si="47">IF(AND(Y450="Yes",Z450="Yes"),"Yes","No")</f>
        <v>No</v>
      </c>
    </row>
    <row r="451" spans="1:27" x14ac:dyDescent="0.3">
      <c r="A451">
        <f>INDEX(SETTINGS!$A$15:$A$24,$B451)</f>
        <v>2026</v>
      </c>
      <c r="B451">
        <v>2</v>
      </c>
      <c r="C451" t="str">
        <f>IF(AND(A451&gt;=SETTINGS!$B$4,A451&lt;=SETTINGS!$B$5),"Yes","No")</f>
        <v>Yes</v>
      </c>
      <c r="D451" t="str">
        <f>IFERROR(INDEX(SETTINGS!$C$15:$C$24,MATCH(A451,SETTINGS!$A$15:$A$24,0)),"No")</f>
        <v>Yes</v>
      </c>
      <c r="E451">
        <v>12</v>
      </c>
      <c r="F451" t="s">
        <v>45</v>
      </c>
      <c r="G451">
        <v>287</v>
      </c>
      <c r="H451" t="s">
        <v>106</v>
      </c>
      <c r="I451" t="s">
        <v>22</v>
      </c>
      <c r="J451" t="s">
        <v>26</v>
      </c>
      <c r="K451" t="s">
        <v>3</v>
      </c>
      <c r="L451" s="36">
        <f ca="1">IF(C451&lt;&gt;"Yes",0,IF(A451=2025,N('2025'!D287),IF(A451=2026,N('2026'!D287),IF(A451=2027,N('2027'!D287),IF(A451=2028,N('2028'!D287),IF(A451=2029,N('2029'!D287),IF(A451=2030,N('2030'!D287),IF(A451=2031,N('2031'!D287),IF(A451=2032,N('2032'!D287),IF(A451=2033,N('2033'!D287),IF(A451=2034,N('2034'!D287),IFERROR(N(INDIRECT("'"&amp;A451&amp;"'!D"&amp;G451)),0))))))))))))</f>
        <v>20</v>
      </c>
      <c r="M451" s="36">
        <f>IFERROR(IF(NOT(ISBLANK(KPI_TARGETS!$H$17)),KPI_TARGETS!$H$17,IF(NOT(ISBLANK(KPI_TARGETS!$F$17)),KPI_TARGETS!$F$17,"")),"")</f>
        <v>12</v>
      </c>
      <c r="N451" s="36" t="str">
        <f>IFERROR(KPI_TARGETS!$E$17,"Higher is better")</f>
        <v>Higher is better</v>
      </c>
      <c r="O451" s="37">
        <f t="shared" ca="1" si="42"/>
        <v>1.6666666666666667</v>
      </c>
      <c r="P451" t="str">
        <f t="shared" ca="1" si="43"/>
        <v>Green</v>
      </c>
      <c r="Q451" s="36">
        <f t="shared" ca="1" si="44"/>
        <v>8</v>
      </c>
      <c r="R451" s="36" t="str">
        <f>""</f>
        <v/>
      </c>
      <c r="S451" s="36" t="str">
        <f>""</f>
        <v/>
      </c>
      <c r="T451" s="36" t="str">
        <f>""</f>
        <v/>
      </c>
      <c r="U451" s="36" t="str">
        <f>""</f>
        <v/>
      </c>
      <c r="V451" s="36" t="str">
        <f>""</f>
        <v/>
      </c>
      <c r="W451" s="36">
        <f t="shared" si="45"/>
        <v>1</v>
      </c>
      <c r="X451" t="str">
        <f t="shared" si="46"/>
        <v>OK</v>
      </c>
      <c r="Y451" t="str">
        <f>IF(MAIN!$H$3="Selected Year",IF(A451=MAIN!$B$3,"Yes","No"),IF(MAIN!$H$3="Included Years",IF(D451="Yes","Yes","No"),IF(C451="Yes","Yes","No")))</f>
        <v>No</v>
      </c>
      <c r="Z451" t="str">
        <f>IF(MAIN!$F$3="Project to Date",IF(AND(A451&gt;=SETTINGS!$B$4,A451&lt;MAIN!$B$3),"Yes",IF(AND(A451=MAIN!$B$3,E451&lt;=MAIN!$L$3),"Yes","No")),IF(OR(MAIN!$F$3="Full Year",MAIN!$D$3="All"),"Yes",IF(MAIN!$F$3="Monthly",IF(E451=MAIN!$L$3,"Yes","No"),IF(E451&lt;=MAIN!$L$3,"Yes","No"))))</f>
        <v>Yes</v>
      </c>
      <c r="AA451" t="str">
        <f t="shared" si="47"/>
        <v>No</v>
      </c>
    </row>
    <row r="452" spans="1:27" x14ac:dyDescent="0.3">
      <c r="A452">
        <f>INDEX(SETTINGS!$A$15:$A$24,$B452)</f>
        <v>2026</v>
      </c>
      <c r="B452">
        <v>2</v>
      </c>
      <c r="C452" t="str">
        <f>IF(AND(A452&gt;=SETTINGS!$B$4,A452&lt;=SETTINGS!$B$5),"Yes","No")</f>
        <v>Yes</v>
      </c>
      <c r="D452" t="str">
        <f>IFERROR(INDEX(SETTINGS!$C$15:$C$24,MATCH(A452,SETTINGS!$A$15:$A$24,0)),"No")</f>
        <v>Yes</v>
      </c>
      <c r="E452">
        <v>12</v>
      </c>
      <c r="F452" t="s">
        <v>45</v>
      </c>
      <c r="G452">
        <v>288</v>
      </c>
      <c r="H452" t="s">
        <v>107</v>
      </c>
      <c r="I452" t="s">
        <v>22</v>
      </c>
      <c r="J452" t="s">
        <v>27</v>
      </c>
      <c r="K452" t="s">
        <v>3</v>
      </c>
      <c r="L452" s="36">
        <f ca="1">IF(C452&lt;&gt;"Yes",0,IF(A452=2025,N('2025'!D288),IF(A452=2026,N('2026'!D288),IF(A452=2027,N('2027'!D288),IF(A452=2028,N('2028'!D288),IF(A452=2029,N('2029'!D288),IF(A452=2030,N('2030'!D288),IF(A452=2031,N('2031'!D288),IF(A452=2032,N('2032'!D288),IF(A452=2033,N('2033'!D288),IF(A452=2034,N('2034'!D288),IFERROR(N(INDIRECT("'"&amp;A452&amp;"'!D"&amp;G452)),0))))))))))))</f>
        <v>4</v>
      </c>
      <c r="M452" s="36">
        <f>IFERROR(IF(NOT(ISBLANK(KPI_TARGETS!$H$18)),KPI_TARGETS!$H$18,IF(NOT(ISBLANK(KPI_TARGETS!$F$18)),KPI_TARGETS!$F$18,"")),"")</f>
        <v>4</v>
      </c>
      <c r="N452" s="36" t="str">
        <f>IFERROR(KPI_TARGETS!$E$18,"Higher is better")</f>
        <v>Higher is better</v>
      </c>
      <c r="O452" s="37">
        <f t="shared" ca="1" si="42"/>
        <v>1</v>
      </c>
      <c r="P452" t="str">
        <f t="shared" ca="1" si="43"/>
        <v>Green</v>
      </c>
      <c r="Q452" s="36">
        <f t="shared" ca="1" si="44"/>
        <v>0</v>
      </c>
      <c r="R452" s="36" t="str">
        <f>""</f>
        <v/>
      </c>
      <c r="S452" s="36" t="str">
        <f>""</f>
        <v/>
      </c>
      <c r="T452" s="36" t="str">
        <f>""</f>
        <v/>
      </c>
      <c r="U452" s="36" t="str">
        <f>""</f>
        <v/>
      </c>
      <c r="V452" s="36" t="str">
        <f>""</f>
        <v/>
      </c>
      <c r="W452" s="36">
        <f t="shared" si="45"/>
        <v>1</v>
      </c>
      <c r="X452" t="str">
        <f t="shared" si="46"/>
        <v>OK</v>
      </c>
      <c r="Y452" t="str">
        <f>IF(MAIN!$H$3="Selected Year",IF(A452=MAIN!$B$3,"Yes","No"),IF(MAIN!$H$3="Included Years",IF(D452="Yes","Yes","No"),IF(C452="Yes","Yes","No")))</f>
        <v>No</v>
      </c>
      <c r="Z452" t="str">
        <f>IF(MAIN!$F$3="Project to Date",IF(AND(A452&gt;=SETTINGS!$B$4,A452&lt;MAIN!$B$3),"Yes",IF(AND(A452=MAIN!$B$3,E452&lt;=MAIN!$L$3),"Yes","No")),IF(OR(MAIN!$F$3="Full Year",MAIN!$D$3="All"),"Yes",IF(MAIN!$F$3="Monthly",IF(E452=MAIN!$L$3,"Yes","No"),IF(E452&lt;=MAIN!$L$3,"Yes","No"))))</f>
        <v>Yes</v>
      </c>
      <c r="AA452" t="str">
        <f t="shared" si="47"/>
        <v>No</v>
      </c>
    </row>
    <row r="453" spans="1:27" x14ac:dyDescent="0.3">
      <c r="A453">
        <f>INDEX(SETTINGS!$A$15:$A$24,$B453)</f>
        <v>2026</v>
      </c>
      <c r="B453">
        <v>2</v>
      </c>
      <c r="C453" t="str">
        <f>IF(AND(A453&gt;=SETTINGS!$B$4,A453&lt;=SETTINGS!$B$5),"Yes","No")</f>
        <v>Yes</v>
      </c>
      <c r="D453" t="str">
        <f>IFERROR(INDEX(SETTINGS!$C$15:$C$24,MATCH(A453,SETTINGS!$A$15:$A$24,0)),"No")</f>
        <v>Yes</v>
      </c>
      <c r="E453">
        <v>12</v>
      </c>
      <c r="F453" t="s">
        <v>45</v>
      </c>
      <c r="G453">
        <v>289</v>
      </c>
      <c r="H453" t="s">
        <v>108</v>
      </c>
      <c r="I453" t="s">
        <v>22</v>
      </c>
      <c r="J453" t="s">
        <v>28</v>
      </c>
      <c r="K453" t="s">
        <v>3</v>
      </c>
      <c r="L453" s="36">
        <f ca="1">IF(C453&lt;&gt;"Yes",0,IF(A453=2025,N('2025'!D289),IF(A453=2026,N('2026'!D289),IF(A453=2027,N('2027'!D289),IF(A453=2028,N('2028'!D289),IF(A453=2029,N('2029'!D289),IF(A453=2030,N('2030'!D289),IF(A453=2031,N('2031'!D289),IF(A453=2032,N('2032'!D289),IF(A453=2033,N('2033'!D289),IF(A453=2034,N('2034'!D289),IFERROR(N(INDIRECT("'"&amp;A453&amp;"'!D"&amp;G453)),0))))))))))))</f>
        <v>8</v>
      </c>
      <c r="M453" s="36">
        <f>IFERROR(IF(NOT(ISBLANK(KPI_TARGETS!$H$19)),KPI_TARGETS!$H$19,IF(NOT(ISBLANK(KPI_TARGETS!$F$19)),KPI_TARGETS!$F$19,"")),"")</f>
        <v>16</v>
      </c>
      <c r="N453" s="36" t="str">
        <f>IFERROR(KPI_TARGETS!$E$19,"Higher is better")</f>
        <v>Higher is better</v>
      </c>
      <c r="O453" s="37">
        <f t="shared" ca="1" si="42"/>
        <v>0.5</v>
      </c>
      <c r="P453" t="str">
        <f t="shared" ca="1" si="43"/>
        <v>Red</v>
      </c>
      <c r="Q453" s="36">
        <f t="shared" ca="1" si="44"/>
        <v>-8</v>
      </c>
      <c r="R453" s="36" t="str">
        <f>""</f>
        <v/>
      </c>
      <c r="S453" s="36" t="str">
        <f>""</f>
        <v/>
      </c>
      <c r="T453" s="36" t="str">
        <f>""</f>
        <v/>
      </c>
      <c r="U453" s="36" t="str">
        <f>""</f>
        <v/>
      </c>
      <c r="V453" s="36" t="str">
        <f>""</f>
        <v/>
      </c>
      <c r="W453" s="36">
        <f t="shared" si="45"/>
        <v>1</v>
      </c>
      <c r="X453" t="str">
        <f t="shared" si="46"/>
        <v>OK</v>
      </c>
      <c r="Y453" t="str">
        <f>IF(MAIN!$H$3="Selected Year",IF(A453=MAIN!$B$3,"Yes","No"),IF(MAIN!$H$3="Included Years",IF(D453="Yes","Yes","No"),IF(C453="Yes","Yes","No")))</f>
        <v>No</v>
      </c>
      <c r="Z453" t="str">
        <f>IF(MAIN!$F$3="Project to Date",IF(AND(A453&gt;=SETTINGS!$B$4,A453&lt;MAIN!$B$3),"Yes",IF(AND(A453=MAIN!$B$3,E453&lt;=MAIN!$L$3),"Yes","No")),IF(OR(MAIN!$F$3="Full Year",MAIN!$D$3="All"),"Yes",IF(MAIN!$F$3="Monthly",IF(E453=MAIN!$L$3,"Yes","No"),IF(E453&lt;=MAIN!$L$3,"Yes","No"))))</f>
        <v>Yes</v>
      </c>
      <c r="AA453" t="str">
        <f t="shared" si="47"/>
        <v>No</v>
      </c>
    </row>
    <row r="454" spans="1:27" x14ac:dyDescent="0.3">
      <c r="A454">
        <f>INDEX(SETTINGS!$A$15:$A$24,$B454)</f>
        <v>2026</v>
      </c>
      <c r="B454">
        <v>2</v>
      </c>
      <c r="C454" t="str">
        <f>IF(AND(A454&gt;=SETTINGS!$B$4,A454&lt;=SETTINGS!$B$5),"Yes","No")</f>
        <v>Yes</v>
      </c>
      <c r="D454" t="str">
        <f>IFERROR(INDEX(SETTINGS!$C$15:$C$24,MATCH(A454,SETTINGS!$A$15:$A$24,0)),"No")</f>
        <v>Yes</v>
      </c>
      <c r="E454">
        <v>12</v>
      </c>
      <c r="F454" t="s">
        <v>45</v>
      </c>
      <c r="G454">
        <v>290</v>
      </c>
      <c r="H454" t="s">
        <v>109</v>
      </c>
      <c r="I454" t="s">
        <v>22</v>
      </c>
      <c r="J454" t="s">
        <v>29</v>
      </c>
      <c r="K454" t="s">
        <v>3</v>
      </c>
      <c r="L454" s="36">
        <f ca="1">IF(C454&lt;&gt;"Yes",0,IF(A454=2025,N('2025'!D290),IF(A454=2026,N('2026'!D290),IF(A454=2027,N('2027'!D290),IF(A454=2028,N('2028'!D290),IF(A454=2029,N('2029'!D290),IF(A454=2030,N('2030'!D290),IF(A454=2031,N('2031'!D290),IF(A454=2032,N('2032'!D290),IF(A454=2033,N('2033'!D290),IF(A454=2034,N('2034'!D290),IFERROR(N(INDIRECT("'"&amp;A454&amp;"'!D"&amp;G454)),0))))))))))))</f>
        <v>1</v>
      </c>
      <c r="M454" s="36">
        <f>IFERROR(IF(NOT(ISBLANK(KPI_TARGETS!$H$20)),KPI_TARGETS!$H$20,IF(NOT(ISBLANK(KPI_TARGETS!$F$20)),KPI_TARGETS!$F$20,"")),"")</f>
        <v>1</v>
      </c>
      <c r="N454" s="36" t="str">
        <f>IFERROR(KPI_TARGETS!$E$20,"Higher is better")</f>
        <v>Higher is better</v>
      </c>
      <c r="O454" s="37">
        <f t="shared" ca="1" si="42"/>
        <v>1</v>
      </c>
      <c r="P454" t="str">
        <f t="shared" ca="1" si="43"/>
        <v>Green</v>
      </c>
      <c r="Q454" s="36">
        <f t="shared" ca="1" si="44"/>
        <v>0</v>
      </c>
      <c r="R454" s="36" t="str">
        <f>""</f>
        <v/>
      </c>
      <c r="S454" s="36" t="str">
        <f>""</f>
        <v/>
      </c>
      <c r="T454" s="36" t="str">
        <f>""</f>
        <v/>
      </c>
      <c r="U454" s="36" t="str">
        <f>""</f>
        <v/>
      </c>
      <c r="V454" s="36" t="str">
        <f>""</f>
        <v/>
      </c>
      <c r="W454" s="36">
        <f t="shared" si="45"/>
        <v>1</v>
      </c>
      <c r="X454" t="str">
        <f t="shared" si="46"/>
        <v>OK</v>
      </c>
      <c r="Y454" t="str">
        <f>IF(MAIN!$H$3="Selected Year",IF(A454=MAIN!$B$3,"Yes","No"),IF(MAIN!$H$3="Included Years",IF(D454="Yes","Yes","No"),IF(C454="Yes","Yes","No")))</f>
        <v>No</v>
      </c>
      <c r="Z454" t="str">
        <f>IF(MAIN!$F$3="Project to Date",IF(AND(A454&gt;=SETTINGS!$B$4,A454&lt;MAIN!$B$3),"Yes",IF(AND(A454=MAIN!$B$3,E454&lt;=MAIN!$L$3),"Yes","No")),IF(OR(MAIN!$F$3="Full Year",MAIN!$D$3="All"),"Yes",IF(MAIN!$F$3="Monthly",IF(E454=MAIN!$L$3,"Yes","No"),IF(E454&lt;=MAIN!$L$3,"Yes","No"))))</f>
        <v>Yes</v>
      </c>
      <c r="AA454" t="str">
        <f t="shared" si="47"/>
        <v>No</v>
      </c>
    </row>
    <row r="455" spans="1:27" x14ac:dyDescent="0.3">
      <c r="A455">
        <f>INDEX(SETTINGS!$A$15:$A$24,$B455)</f>
        <v>2026</v>
      </c>
      <c r="B455">
        <v>2</v>
      </c>
      <c r="C455" t="str">
        <f>IF(AND(A455&gt;=SETTINGS!$B$4,A455&lt;=SETTINGS!$B$5),"Yes","No")</f>
        <v>Yes</v>
      </c>
      <c r="D455" t="str">
        <f>IFERROR(INDEX(SETTINGS!$C$15:$C$24,MATCH(A455,SETTINGS!$A$15:$A$24,0)),"No")</f>
        <v>Yes</v>
      </c>
      <c r="E455">
        <v>12</v>
      </c>
      <c r="F455" t="s">
        <v>45</v>
      </c>
      <c r="G455">
        <v>292</v>
      </c>
      <c r="H455" t="s">
        <v>110</v>
      </c>
      <c r="I455" t="s">
        <v>30</v>
      </c>
      <c r="J455" t="s">
        <v>31</v>
      </c>
      <c r="K455" t="s">
        <v>3</v>
      </c>
      <c r="L455" s="36">
        <f ca="1">IF(C455&lt;&gt;"Yes",0,IF(A455=2025,N('2025'!D292),IF(A455=2026,N('2026'!D292),IF(A455=2027,N('2027'!D292),IF(A455=2028,N('2028'!D292),IF(A455=2029,N('2029'!D292),IF(A455=2030,N('2030'!D292),IF(A455=2031,N('2031'!D292),IF(A455=2032,N('2032'!D292),IF(A455=2033,N('2033'!D292),IF(A455=2034,N('2034'!D292),IFERROR(N(INDIRECT("'"&amp;A455&amp;"'!D"&amp;G455)),0))))))))))))</f>
        <v>0</v>
      </c>
      <c r="M455" s="36">
        <f>IFERROR(IF(NOT(ISBLANK(KPI_TARGETS!$H$21)),KPI_TARGETS!$H$21,IF(NOT(ISBLANK(KPI_TARGETS!$F$21)),KPI_TARGETS!$F$21,"")),"")</f>
        <v>0</v>
      </c>
      <c r="N455" s="36" t="str">
        <f>IFERROR(KPI_TARGETS!$E$21,"Higher is better")</f>
        <v>Lower is better</v>
      </c>
      <c r="O455" s="37">
        <f t="shared" ca="1" si="42"/>
        <v>1</v>
      </c>
      <c r="P455" t="str">
        <f t="shared" ca="1" si="43"/>
        <v>Green</v>
      </c>
      <c r="Q455" s="36">
        <f t="shared" ca="1" si="44"/>
        <v>0</v>
      </c>
      <c r="R455" s="36" t="str">
        <f>""</f>
        <v/>
      </c>
      <c r="S455" s="36" t="str">
        <f>""</f>
        <v/>
      </c>
      <c r="T455" s="36" t="str">
        <f>""</f>
        <v/>
      </c>
      <c r="U455" s="36" t="str">
        <f>""</f>
        <v/>
      </c>
      <c r="V455" s="36" t="str">
        <f>""</f>
        <v/>
      </c>
      <c r="W455" s="36">
        <f t="shared" si="45"/>
        <v>1</v>
      </c>
      <c r="X455" t="str">
        <f t="shared" si="46"/>
        <v>OK</v>
      </c>
      <c r="Y455" t="str">
        <f>IF(MAIN!$H$3="Selected Year",IF(A455=MAIN!$B$3,"Yes","No"),IF(MAIN!$H$3="Included Years",IF(D455="Yes","Yes","No"),IF(C455="Yes","Yes","No")))</f>
        <v>No</v>
      </c>
      <c r="Z455" t="str">
        <f>IF(MAIN!$F$3="Project to Date",IF(AND(A455&gt;=SETTINGS!$B$4,A455&lt;MAIN!$B$3),"Yes",IF(AND(A455=MAIN!$B$3,E455&lt;=MAIN!$L$3),"Yes","No")),IF(OR(MAIN!$F$3="Full Year",MAIN!$D$3="All"),"Yes",IF(MAIN!$F$3="Monthly",IF(E455=MAIN!$L$3,"Yes","No"),IF(E455&lt;=MAIN!$L$3,"Yes","No"))))</f>
        <v>Yes</v>
      </c>
      <c r="AA455" t="str">
        <f t="shared" si="47"/>
        <v>No</v>
      </c>
    </row>
    <row r="456" spans="1:27" x14ac:dyDescent="0.3">
      <c r="A456">
        <f>INDEX(SETTINGS!$A$15:$A$24,$B456)</f>
        <v>2026</v>
      </c>
      <c r="B456">
        <v>2</v>
      </c>
      <c r="C456" t="str">
        <f>IF(AND(A456&gt;=SETTINGS!$B$4,A456&lt;=SETTINGS!$B$5),"Yes","No")</f>
        <v>Yes</v>
      </c>
      <c r="D456" t="str">
        <f>IFERROR(INDEX(SETTINGS!$C$15:$C$24,MATCH(A456,SETTINGS!$A$15:$A$24,0)),"No")</f>
        <v>Yes</v>
      </c>
      <c r="E456">
        <v>12</v>
      </c>
      <c r="F456" t="s">
        <v>45</v>
      </c>
      <c r="G456">
        <v>293</v>
      </c>
      <c r="H456" t="s">
        <v>111</v>
      </c>
      <c r="I456" t="s">
        <v>30</v>
      </c>
      <c r="J456" t="s">
        <v>32</v>
      </c>
      <c r="K456" t="s">
        <v>3</v>
      </c>
      <c r="L456" s="36">
        <f ca="1">IF(C456&lt;&gt;"Yes",0,IF(A456=2025,N('2025'!D293),IF(A456=2026,N('2026'!D293),IF(A456=2027,N('2027'!D293),IF(A456=2028,N('2028'!D293),IF(A456=2029,N('2029'!D293),IF(A456=2030,N('2030'!D293),IF(A456=2031,N('2031'!D293),IF(A456=2032,N('2032'!D293),IF(A456=2033,N('2033'!D293),IF(A456=2034,N('2034'!D293),IFERROR(N(INDIRECT("'"&amp;A456&amp;"'!D"&amp;G456)),0))))))))))))</f>
        <v>1</v>
      </c>
      <c r="M456" s="36">
        <f>IFERROR(IF(NOT(ISBLANK(KPI_TARGETS!$H$22)),KPI_TARGETS!$H$22,IF(NOT(ISBLANK(KPI_TARGETS!$F$22)),KPI_TARGETS!$F$22,"")),"")</f>
        <v>1</v>
      </c>
      <c r="N456" s="36" t="str">
        <f>IFERROR(KPI_TARGETS!$E$22,"Higher is better")</f>
        <v>Higher is better</v>
      </c>
      <c r="O456" s="37">
        <f t="shared" ca="1" si="42"/>
        <v>1</v>
      </c>
      <c r="P456" t="str">
        <f t="shared" ca="1" si="43"/>
        <v>Green</v>
      </c>
      <c r="Q456" s="36">
        <f t="shared" ca="1" si="44"/>
        <v>0</v>
      </c>
      <c r="R456" s="36" t="str">
        <f>""</f>
        <v/>
      </c>
      <c r="S456" s="36" t="str">
        <f>""</f>
        <v/>
      </c>
      <c r="T456" s="36" t="str">
        <f>""</f>
        <v/>
      </c>
      <c r="U456" s="36" t="str">
        <f>""</f>
        <v/>
      </c>
      <c r="V456" s="36" t="str">
        <f>""</f>
        <v/>
      </c>
      <c r="W456" s="36">
        <f t="shared" si="45"/>
        <v>1</v>
      </c>
      <c r="X456" t="str">
        <f t="shared" si="46"/>
        <v>OK</v>
      </c>
      <c r="Y456" t="str">
        <f>IF(MAIN!$H$3="Selected Year",IF(A456=MAIN!$B$3,"Yes","No"),IF(MAIN!$H$3="Included Years",IF(D456="Yes","Yes","No"),IF(C456="Yes","Yes","No")))</f>
        <v>No</v>
      </c>
      <c r="Z456" t="str">
        <f>IF(MAIN!$F$3="Project to Date",IF(AND(A456&gt;=SETTINGS!$B$4,A456&lt;MAIN!$B$3),"Yes",IF(AND(A456=MAIN!$B$3,E456&lt;=MAIN!$L$3),"Yes","No")),IF(OR(MAIN!$F$3="Full Year",MAIN!$D$3="All"),"Yes",IF(MAIN!$F$3="Monthly",IF(E456=MAIN!$L$3,"Yes","No"),IF(E456&lt;=MAIN!$L$3,"Yes","No"))))</f>
        <v>Yes</v>
      </c>
      <c r="AA456" t="str">
        <f t="shared" si="47"/>
        <v>No</v>
      </c>
    </row>
    <row r="457" spans="1:27" x14ac:dyDescent="0.3">
      <c r="A457">
        <f>INDEX(SETTINGS!$A$15:$A$24,$B457)</f>
        <v>2026</v>
      </c>
      <c r="B457">
        <v>2</v>
      </c>
      <c r="C457" t="str">
        <f>IF(AND(A457&gt;=SETTINGS!$B$4,A457&lt;=SETTINGS!$B$5),"Yes","No")</f>
        <v>Yes</v>
      </c>
      <c r="D457" t="str">
        <f>IFERROR(INDEX(SETTINGS!$C$15:$C$24,MATCH(A457,SETTINGS!$A$15:$A$24,0)),"No")</f>
        <v>Yes</v>
      </c>
      <c r="E457">
        <v>12</v>
      </c>
      <c r="F457" t="s">
        <v>45</v>
      </c>
      <c r="G457">
        <v>294</v>
      </c>
      <c r="H457" t="s">
        <v>112</v>
      </c>
      <c r="I457" t="s">
        <v>30</v>
      </c>
      <c r="J457" t="s">
        <v>33</v>
      </c>
      <c r="K457" t="s">
        <v>34</v>
      </c>
      <c r="L457" s="36">
        <f ca="1">IF(C457&lt;&gt;"Yes",0,IF(A457=2025,N('2025'!D294),IF(A457=2026,N('2026'!D294),IF(A457=2027,N('2027'!D294),IF(A457=2028,N('2028'!D294),IF(A457=2029,N('2029'!D294),IF(A457=2030,N('2030'!D294),IF(A457=2031,N('2031'!D294),IF(A457=2032,N('2032'!D294),IF(A457=2033,N('2033'!D294),IF(A457=2034,N('2034'!D294),IFERROR(N(INDIRECT("'"&amp;A457&amp;"'!D"&amp;G457)),0))))))))))))</f>
        <v>1</v>
      </c>
      <c r="M457" s="36">
        <f>IFERROR(IF(NOT(ISBLANK(KPI_TARGETS!$H$23)),KPI_TARGETS!$H$23,IF(NOT(ISBLANK(KPI_TARGETS!$F$23)),KPI_TARGETS!$F$23,"")),"")</f>
        <v>1</v>
      </c>
      <c r="N457" s="36" t="str">
        <f>IFERROR(KPI_TARGETS!$E$23,"Higher is better")</f>
        <v>Higher is better</v>
      </c>
      <c r="O457" s="37">
        <f t="shared" ca="1" si="42"/>
        <v>1</v>
      </c>
      <c r="P457" t="str">
        <f t="shared" ca="1" si="43"/>
        <v>Green</v>
      </c>
      <c r="Q457" s="36">
        <f t="shared" ca="1" si="44"/>
        <v>0</v>
      </c>
      <c r="R457" s="36" t="str">
        <f>""</f>
        <v/>
      </c>
      <c r="S457" s="36" t="str">
        <f>""</f>
        <v/>
      </c>
      <c r="T457" s="36" t="str">
        <f>""</f>
        <v/>
      </c>
      <c r="U457" s="36" t="str">
        <f>""</f>
        <v/>
      </c>
      <c r="V457" s="36" t="str">
        <f>""</f>
        <v/>
      </c>
      <c r="W457" s="36">
        <f t="shared" si="45"/>
        <v>1</v>
      </c>
      <c r="X457" t="str">
        <f t="shared" si="46"/>
        <v>OK</v>
      </c>
      <c r="Y457" t="str">
        <f>IF(MAIN!$H$3="Selected Year",IF(A457=MAIN!$B$3,"Yes","No"),IF(MAIN!$H$3="Included Years",IF(D457="Yes","Yes","No"),IF(C457="Yes","Yes","No")))</f>
        <v>No</v>
      </c>
      <c r="Z457" t="str">
        <f>IF(MAIN!$F$3="Project to Date",IF(AND(A457&gt;=SETTINGS!$B$4,A457&lt;MAIN!$B$3),"Yes",IF(AND(A457=MAIN!$B$3,E457&lt;=MAIN!$L$3),"Yes","No")),IF(OR(MAIN!$F$3="Full Year",MAIN!$D$3="All"),"Yes",IF(MAIN!$F$3="Monthly",IF(E457=MAIN!$L$3,"Yes","No"),IF(E457&lt;=MAIN!$L$3,"Yes","No"))))</f>
        <v>Yes</v>
      </c>
      <c r="AA457" t="str">
        <f t="shared" si="47"/>
        <v>No</v>
      </c>
    </row>
    <row r="458" spans="1:27" x14ac:dyDescent="0.3">
      <c r="A458">
        <f>INDEX(SETTINGS!$A$15:$A$24,$B458)</f>
        <v>2027</v>
      </c>
      <c r="B458">
        <v>3</v>
      </c>
      <c r="C458" t="str">
        <f>IF(AND(A458&gt;=SETTINGS!$B$4,A458&lt;=SETTINGS!$B$5),"Yes","No")</f>
        <v>No</v>
      </c>
      <c r="D458" t="str">
        <f>IFERROR(INDEX(SETTINGS!$C$15:$C$24,MATCH(A458,SETTINGS!$A$15:$A$24,0)),"No")</f>
        <v>No</v>
      </c>
      <c r="E458">
        <v>1</v>
      </c>
      <c r="F458" t="s">
        <v>2</v>
      </c>
      <c r="G458">
        <v>9</v>
      </c>
      <c r="H458" t="s">
        <v>88</v>
      </c>
      <c r="I458" t="s">
        <v>89</v>
      </c>
      <c r="J458" t="s">
        <v>10</v>
      </c>
      <c r="K458" t="s">
        <v>3</v>
      </c>
      <c r="L458" s="36">
        <f ca="1">IF(C458&lt;&gt;"Yes",0,IF(A458=2025,N('2025'!D9),IF(A458=2026,N('2026'!D9),IF(A458=2027,N('2027'!D9),IF(A458=2028,N('2028'!D9),IF(A458=2029,N('2029'!D9),IF(A458=2030,N('2030'!D9),IF(A458=2031,N('2031'!D9),IF(A458=2032,N('2032'!D9),IF(A458=2033,N('2033'!D9),IF(A458=2034,N('2034'!D9),IFERROR(N(INDIRECT("'"&amp;A458&amp;"'!D"&amp;G458)),0))))))))))))</f>
        <v>0</v>
      </c>
      <c r="M458" s="36">
        <f>IFERROR(IF(NOT(ISBLANK(KPI_TARGETS!$I$5)),KPI_TARGETS!$I$5,IF(NOT(ISBLANK(KPI_TARGETS!$F$5)),KPI_TARGETS!$F$5,"")),"")</f>
        <v>104</v>
      </c>
      <c r="N458" s="36" t="str">
        <f>IFERROR(KPI_TARGETS!$E$5,"Higher is better")</f>
        <v>Higher is better</v>
      </c>
      <c r="O458" s="37">
        <f t="shared" ca="1" si="42"/>
        <v>0</v>
      </c>
      <c r="P458" t="str">
        <f t="shared" ca="1" si="43"/>
        <v>Red</v>
      </c>
      <c r="Q458" s="36">
        <f t="shared" ca="1" si="44"/>
        <v>-104</v>
      </c>
      <c r="R458" s="36" t="str">
        <f>""</f>
        <v/>
      </c>
      <c r="S458" s="36" t="str">
        <f>""</f>
        <v/>
      </c>
      <c r="T458" s="36" t="str">
        <f>""</f>
        <v/>
      </c>
      <c r="U458" s="36" t="str">
        <f>""</f>
        <v/>
      </c>
      <c r="V458" s="36" t="str">
        <f>""</f>
        <v/>
      </c>
      <c r="W458" s="36">
        <f t="shared" si="45"/>
        <v>1</v>
      </c>
      <c r="X458" t="str">
        <f t="shared" si="46"/>
        <v>Inactive</v>
      </c>
      <c r="Y458" t="str">
        <f>IF(MAIN!$H$3="Selected Year",IF(A458=MAIN!$B$3,"Yes","No"),IF(MAIN!$H$3="Included Years",IF(D458="Yes","Yes","No"),IF(C458="Yes","Yes","No")))</f>
        <v>No</v>
      </c>
      <c r="Z458" t="str">
        <f>IF(MAIN!$F$3="Project to Date",IF(AND(A458&gt;=SETTINGS!$B$4,A458&lt;MAIN!$B$3),"Yes",IF(AND(A458=MAIN!$B$3,E458&lt;=MAIN!$L$3),"Yes","No")),IF(OR(MAIN!$F$3="Full Year",MAIN!$D$3="All"),"Yes",IF(MAIN!$F$3="Monthly",IF(E458=MAIN!$L$3,"Yes","No"),IF(E458&lt;=MAIN!$L$3,"Yes","No"))))</f>
        <v>Yes</v>
      </c>
      <c r="AA458" t="str">
        <f t="shared" si="47"/>
        <v>No</v>
      </c>
    </row>
    <row r="459" spans="1:27" x14ac:dyDescent="0.3">
      <c r="A459">
        <f>INDEX(SETTINGS!$A$15:$A$24,$B459)</f>
        <v>2027</v>
      </c>
      <c r="B459">
        <v>3</v>
      </c>
      <c r="C459" t="str">
        <f>IF(AND(A459&gt;=SETTINGS!$B$4,A459&lt;=SETTINGS!$B$5),"Yes","No")</f>
        <v>No</v>
      </c>
      <c r="D459" t="str">
        <f>IFERROR(INDEX(SETTINGS!$C$15:$C$24,MATCH(A459,SETTINGS!$A$15:$A$24,0)),"No")</f>
        <v>No</v>
      </c>
      <c r="E459">
        <v>1</v>
      </c>
      <c r="F459" t="s">
        <v>2</v>
      </c>
      <c r="G459">
        <v>10</v>
      </c>
      <c r="H459" t="s">
        <v>91</v>
      </c>
      <c r="I459" t="s">
        <v>89</v>
      </c>
      <c r="J459" t="s">
        <v>11</v>
      </c>
      <c r="K459" t="s">
        <v>12</v>
      </c>
      <c r="L459" s="36">
        <f ca="1">IF(C459&lt;&gt;"Yes",0,IF(A459=2025,N('2025'!D10),IF(A459=2026,N('2026'!D10),IF(A459=2027,N('2027'!D10),IF(A459=2028,N('2028'!D10),IF(A459=2029,N('2029'!D10),IF(A459=2030,N('2030'!D10),IF(A459=2031,N('2031'!D10),IF(A459=2032,N('2032'!D10),IF(A459=2033,N('2033'!D10),IF(A459=2034,N('2034'!D10),IFERROR(N(INDIRECT("'"&amp;A459&amp;"'!D"&amp;G459)),0))))))))))))</f>
        <v>0</v>
      </c>
      <c r="M459" s="36">
        <f>IFERROR(IF(NOT(ISBLANK(KPI_TARGETS!$I$6)),KPI_TARGETS!$I$6,IF(NOT(ISBLANK(KPI_TARGETS!$F$6)),KPI_TARGETS!$F$6,"")),"")</f>
        <v>4000</v>
      </c>
      <c r="N459" s="36" t="str">
        <f>IFERROR(KPI_TARGETS!$E$6,"Higher is better")</f>
        <v>Higher is better</v>
      </c>
      <c r="O459" s="37">
        <f t="shared" ca="1" si="42"/>
        <v>0</v>
      </c>
      <c r="P459" t="str">
        <f t="shared" ca="1" si="43"/>
        <v>Red</v>
      </c>
      <c r="Q459" s="36">
        <f t="shared" ca="1" si="44"/>
        <v>-4000</v>
      </c>
      <c r="R459" s="36" t="str">
        <f>""</f>
        <v/>
      </c>
      <c r="S459" s="36" t="str">
        <f>""</f>
        <v/>
      </c>
      <c r="T459" s="36" t="str">
        <f>""</f>
        <v/>
      </c>
      <c r="U459" s="36" t="str">
        <f>""</f>
        <v/>
      </c>
      <c r="V459" s="36" t="str">
        <f>""</f>
        <v/>
      </c>
      <c r="W459" s="36">
        <f t="shared" si="45"/>
        <v>1</v>
      </c>
      <c r="X459" t="str">
        <f t="shared" si="46"/>
        <v>Inactive</v>
      </c>
      <c r="Y459" t="str">
        <f>IF(MAIN!$H$3="Selected Year",IF(A459=MAIN!$B$3,"Yes","No"),IF(MAIN!$H$3="Included Years",IF(D459="Yes","Yes","No"),IF(C459="Yes","Yes","No")))</f>
        <v>No</v>
      </c>
      <c r="Z459" t="str">
        <f>IF(MAIN!$F$3="Project to Date",IF(AND(A459&gt;=SETTINGS!$B$4,A459&lt;MAIN!$B$3),"Yes",IF(AND(A459=MAIN!$B$3,E459&lt;=MAIN!$L$3),"Yes","No")),IF(OR(MAIN!$F$3="Full Year",MAIN!$D$3="All"),"Yes",IF(MAIN!$F$3="Monthly",IF(E459=MAIN!$L$3,"Yes","No"),IF(E459&lt;=MAIN!$L$3,"Yes","No"))))</f>
        <v>Yes</v>
      </c>
      <c r="AA459" t="str">
        <f t="shared" si="47"/>
        <v>No</v>
      </c>
    </row>
    <row r="460" spans="1:27" x14ac:dyDescent="0.3">
      <c r="A460">
        <f>INDEX(SETTINGS!$A$15:$A$24,$B460)</f>
        <v>2027</v>
      </c>
      <c r="B460">
        <v>3</v>
      </c>
      <c r="C460" t="str">
        <f>IF(AND(A460&gt;=SETTINGS!$B$4,A460&lt;=SETTINGS!$B$5),"Yes","No")</f>
        <v>No</v>
      </c>
      <c r="D460" t="str">
        <f>IFERROR(INDEX(SETTINGS!$C$15:$C$24,MATCH(A460,SETTINGS!$A$15:$A$24,0)),"No")</f>
        <v>No</v>
      </c>
      <c r="E460">
        <v>1</v>
      </c>
      <c r="F460" t="s">
        <v>2</v>
      </c>
      <c r="G460">
        <v>11</v>
      </c>
      <c r="H460" t="s">
        <v>93</v>
      </c>
      <c r="I460" t="s">
        <v>89</v>
      </c>
      <c r="J460" t="s">
        <v>13</v>
      </c>
      <c r="K460" t="s">
        <v>14</v>
      </c>
      <c r="L460" s="36">
        <f ca="1">IF(C460&lt;&gt;"Yes",0,IF(A460=2025,N('2025'!D11),IF(A460=2026,N('2026'!D11),IF(A460=2027,N('2027'!D11),IF(A460=2028,N('2028'!D11),IF(A460=2029,N('2029'!D11),IF(A460=2030,N('2030'!D11),IF(A460=2031,N('2031'!D11),IF(A460=2032,N('2032'!D11),IF(A460=2033,N('2033'!D11),IF(A460=2034,N('2034'!D11),IFERROR(N(INDIRECT("'"&amp;A460&amp;"'!D"&amp;G460)),0))))))))))))</f>
        <v>0</v>
      </c>
      <c r="M460" s="36">
        <f>IFERROR(IF(NOT(ISBLANK(KPI_TARGETS!$I$7)),KPI_TARGETS!$I$7,IF(NOT(ISBLANK(KPI_TARGETS!$F$7)),KPI_TARGETS!$F$7,"")),"")</f>
        <v>8000</v>
      </c>
      <c r="N460" s="36" t="str">
        <f>IFERROR(KPI_TARGETS!$E$7,"Higher is better")</f>
        <v>Higher is better</v>
      </c>
      <c r="O460" s="37">
        <f t="shared" ca="1" si="42"/>
        <v>0</v>
      </c>
      <c r="P460" t="str">
        <f t="shared" ca="1" si="43"/>
        <v>Red</v>
      </c>
      <c r="Q460" s="36">
        <f t="shared" ca="1" si="44"/>
        <v>-8000</v>
      </c>
      <c r="R460" s="36" t="str">
        <f>""</f>
        <v/>
      </c>
      <c r="S460" s="36" t="str">
        <f>""</f>
        <v/>
      </c>
      <c r="T460" s="36" t="str">
        <f>""</f>
        <v/>
      </c>
      <c r="U460" s="36" t="str">
        <f>""</f>
        <v/>
      </c>
      <c r="V460" s="36" t="str">
        <f>""</f>
        <v/>
      </c>
      <c r="W460" s="36">
        <f t="shared" si="45"/>
        <v>1</v>
      </c>
      <c r="X460" t="str">
        <f t="shared" si="46"/>
        <v>Inactive</v>
      </c>
      <c r="Y460" t="str">
        <f>IF(MAIN!$H$3="Selected Year",IF(A460=MAIN!$B$3,"Yes","No"),IF(MAIN!$H$3="Included Years",IF(D460="Yes","Yes","No"),IF(C460="Yes","Yes","No")))</f>
        <v>No</v>
      </c>
      <c r="Z460" t="str">
        <f>IF(MAIN!$F$3="Project to Date",IF(AND(A460&gt;=SETTINGS!$B$4,A460&lt;MAIN!$B$3),"Yes",IF(AND(A460=MAIN!$B$3,E460&lt;=MAIN!$L$3),"Yes","No")),IF(OR(MAIN!$F$3="Full Year",MAIN!$D$3="All"),"Yes",IF(MAIN!$F$3="Monthly",IF(E460=MAIN!$L$3,"Yes","No"),IF(E460&lt;=MAIN!$L$3,"Yes","No"))))</f>
        <v>Yes</v>
      </c>
      <c r="AA460" t="str">
        <f t="shared" si="47"/>
        <v>No</v>
      </c>
    </row>
    <row r="461" spans="1:27" x14ac:dyDescent="0.3">
      <c r="A461">
        <f>INDEX(SETTINGS!$A$15:$A$24,$B461)</f>
        <v>2027</v>
      </c>
      <c r="B461">
        <v>3</v>
      </c>
      <c r="C461" t="str">
        <f>IF(AND(A461&gt;=SETTINGS!$B$4,A461&lt;=SETTINGS!$B$5),"Yes","No")</f>
        <v>No</v>
      </c>
      <c r="D461" t="str">
        <f>IFERROR(INDEX(SETTINGS!$C$15:$C$24,MATCH(A461,SETTINGS!$A$15:$A$24,0)),"No")</f>
        <v>No</v>
      </c>
      <c r="E461">
        <v>1</v>
      </c>
      <c r="F461" t="s">
        <v>2</v>
      </c>
      <c r="G461">
        <v>13</v>
      </c>
      <c r="H461" t="s">
        <v>95</v>
      </c>
      <c r="I461" t="s">
        <v>15</v>
      </c>
      <c r="J461" t="s">
        <v>16</v>
      </c>
      <c r="K461" t="s">
        <v>3</v>
      </c>
      <c r="L461" s="36">
        <f ca="1">IF(C461&lt;&gt;"Yes",0,IF(A461=2025,N('2025'!D13),IF(A461=2026,N('2026'!D13),IF(A461=2027,N('2027'!D13),IF(A461=2028,N('2028'!D13),IF(A461=2029,N('2029'!D13),IF(A461=2030,N('2030'!D13),IF(A461=2031,N('2031'!D13),IF(A461=2032,N('2032'!D13),IF(A461=2033,N('2033'!D13),IF(A461=2034,N('2034'!D13),IFERROR(N(INDIRECT("'"&amp;A461&amp;"'!D"&amp;G461)),0))))))))))))</f>
        <v>0</v>
      </c>
      <c r="M461" s="36">
        <f>IFERROR(IF(NOT(ISBLANK(KPI_TARGETS!$I$8)),KPI_TARGETS!$I$8,IF(NOT(ISBLANK(KPI_TARGETS!$F$8)),KPI_TARGETS!$F$8,"")),"")</f>
        <v>0</v>
      </c>
      <c r="N461" s="36" t="str">
        <f>IFERROR(KPI_TARGETS!$E$8,"Higher is better")</f>
        <v>Lower is better</v>
      </c>
      <c r="O461" s="37">
        <f t="shared" ca="1" si="42"/>
        <v>1</v>
      </c>
      <c r="P461" t="str">
        <f t="shared" ca="1" si="43"/>
        <v>Green</v>
      </c>
      <c r="Q461" s="36">
        <f t="shared" ca="1" si="44"/>
        <v>0</v>
      </c>
      <c r="R461" s="36" t="str">
        <f>""</f>
        <v/>
      </c>
      <c r="S461" s="36" t="str">
        <f>""</f>
        <v/>
      </c>
      <c r="T461" s="36" t="str">
        <f>""</f>
        <v/>
      </c>
      <c r="U461" s="36" t="str">
        <f>""</f>
        <v/>
      </c>
      <c r="V461" s="36" t="str">
        <f>""</f>
        <v/>
      </c>
      <c r="W461" s="36">
        <f t="shared" si="45"/>
        <v>1</v>
      </c>
      <c r="X461" t="str">
        <f t="shared" si="46"/>
        <v>Inactive</v>
      </c>
      <c r="Y461" t="str">
        <f>IF(MAIN!$H$3="Selected Year",IF(A461=MAIN!$B$3,"Yes","No"),IF(MAIN!$H$3="Included Years",IF(D461="Yes","Yes","No"),IF(C461="Yes","Yes","No")))</f>
        <v>No</v>
      </c>
      <c r="Z461" t="str">
        <f>IF(MAIN!$F$3="Project to Date",IF(AND(A461&gt;=SETTINGS!$B$4,A461&lt;MAIN!$B$3),"Yes",IF(AND(A461=MAIN!$B$3,E461&lt;=MAIN!$L$3),"Yes","No")),IF(OR(MAIN!$F$3="Full Year",MAIN!$D$3="All"),"Yes",IF(MAIN!$F$3="Monthly",IF(E461=MAIN!$L$3,"Yes","No"),IF(E461&lt;=MAIN!$L$3,"Yes","No"))))</f>
        <v>Yes</v>
      </c>
      <c r="AA461" t="str">
        <f t="shared" si="47"/>
        <v>No</v>
      </c>
    </row>
    <row r="462" spans="1:27" x14ac:dyDescent="0.3">
      <c r="A462">
        <f>INDEX(SETTINGS!$A$15:$A$24,$B462)</f>
        <v>2027</v>
      </c>
      <c r="B462">
        <v>3</v>
      </c>
      <c r="C462" t="str">
        <f>IF(AND(A462&gt;=SETTINGS!$B$4,A462&lt;=SETTINGS!$B$5),"Yes","No")</f>
        <v>No</v>
      </c>
      <c r="D462" t="str">
        <f>IFERROR(INDEX(SETTINGS!$C$15:$C$24,MATCH(A462,SETTINGS!$A$15:$A$24,0)),"No")</f>
        <v>No</v>
      </c>
      <c r="E462">
        <v>1</v>
      </c>
      <c r="F462" t="s">
        <v>2</v>
      </c>
      <c r="G462">
        <v>14</v>
      </c>
      <c r="H462" t="s">
        <v>97</v>
      </c>
      <c r="I462" t="s">
        <v>15</v>
      </c>
      <c r="J462" t="s">
        <v>17</v>
      </c>
      <c r="K462" t="s">
        <v>3</v>
      </c>
      <c r="L462" s="36">
        <f ca="1">IF(C462&lt;&gt;"Yes",0,IF(A462=2025,N('2025'!D14),IF(A462=2026,N('2026'!D14),IF(A462=2027,N('2027'!D14),IF(A462=2028,N('2028'!D14),IF(A462=2029,N('2029'!D14),IF(A462=2030,N('2030'!D14),IF(A462=2031,N('2031'!D14),IF(A462=2032,N('2032'!D14),IF(A462=2033,N('2033'!D14),IF(A462=2034,N('2034'!D14),IFERROR(N(INDIRECT("'"&amp;A462&amp;"'!D"&amp;G462)),0))))))))))))</f>
        <v>0</v>
      </c>
      <c r="M462" s="36">
        <f>IFERROR(IF(NOT(ISBLANK(KPI_TARGETS!$I$9)),KPI_TARGETS!$I$9,IF(NOT(ISBLANK(KPI_TARGETS!$F$9)),KPI_TARGETS!$F$9,"")),"")</f>
        <v>0</v>
      </c>
      <c r="N462" s="36" t="str">
        <f>IFERROR(KPI_TARGETS!$E$9,"Higher is better")</f>
        <v>Higher is better</v>
      </c>
      <c r="O462" s="37" t="str">
        <f t="shared" ca="1" si="42"/>
        <v/>
      </c>
      <c r="P462" t="str">
        <f t="shared" ca="1" si="43"/>
        <v>Green</v>
      </c>
      <c r="Q462" s="36">
        <f t="shared" ca="1" si="44"/>
        <v>0</v>
      </c>
      <c r="R462" s="36" t="str">
        <f>""</f>
        <v/>
      </c>
      <c r="S462" s="36" t="str">
        <f>""</f>
        <v/>
      </c>
      <c r="T462" s="36" t="str">
        <f>""</f>
        <v/>
      </c>
      <c r="U462" s="36" t="str">
        <f>""</f>
        <v/>
      </c>
      <c r="V462" s="36" t="str">
        <f>""</f>
        <v/>
      </c>
      <c r="W462" s="36">
        <f t="shared" si="45"/>
        <v>1</v>
      </c>
      <c r="X462" t="str">
        <f t="shared" si="46"/>
        <v>Inactive</v>
      </c>
      <c r="Y462" t="str">
        <f>IF(MAIN!$H$3="Selected Year",IF(A462=MAIN!$B$3,"Yes","No"),IF(MAIN!$H$3="Included Years",IF(D462="Yes","Yes","No"),IF(C462="Yes","Yes","No")))</f>
        <v>No</v>
      </c>
      <c r="Z462" t="str">
        <f>IF(MAIN!$F$3="Project to Date",IF(AND(A462&gt;=SETTINGS!$B$4,A462&lt;MAIN!$B$3),"Yes",IF(AND(A462=MAIN!$B$3,E462&lt;=MAIN!$L$3),"Yes","No")),IF(OR(MAIN!$F$3="Full Year",MAIN!$D$3="All"),"Yes",IF(MAIN!$F$3="Monthly",IF(E462=MAIN!$L$3,"Yes","No"),IF(E462&lt;=MAIN!$L$3,"Yes","No"))))</f>
        <v>Yes</v>
      </c>
      <c r="AA462" t="str">
        <f t="shared" si="47"/>
        <v>No</v>
      </c>
    </row>
    <row r="463" spans="1:27" x14ac:dyDescent="0.3">
      <c r="A463">
        <f>INDEX(SETTINGS!$A$15:$A$24,$B463)</f>
        <v>2027</v>
      </c>
      <c r="B463">
        <v>3</v>
      </c>
      <c r="C463" t="str">
        <f>IF(AND(A463&gt;=SETTINGS!$B$4,A463&lt;=SETTINGS!$B$5),"Yes","No")</f>
        <v>No</v>
      </c>
      <c r="D463" t="str">
        <f>IFERROR(INDEX(SETTINGS!$C$15:$C$24,MATCH(A463,SETTINGS!$A$15:$A$24,0)),"No")</f>
        <v>No</v>
      </c>
      <c r="E463">
        <v>1</v>
      </c>
      <c r="F463" t="s">
        <v>2</v>
      </c>
      <c r="G463">
        <v>15</v>
      </c>
      <c r="H463" t="s">
        <v>99</v>
      </c>
      <c r="I463" t="s">
        <v>15</v>
      </c>
      <c r="J463" t="s">
        <v>18</v>
      </c>
      <c r="K463" t="s">
        <v>3</v>
      </c>
      <c r="L463" s="36">
        <f ca="1">IF(C463&lt;&gt;"Yes",0,IF(A463=2025,N('2025'!D15),IF(A463=2026,N('2026'!D15),IF(A463=2027,N('2027'!D15),IF(A463=2028,N('2028'!D15),IF(A463=2029,N('2029'!D15),IF(A463=2030,N('2030'!D15),IF(A463=2031,N('2031'!D15),IF(A463=2032,N('2032'!D15),IF(A463=2033,N('2033'!D15),IF(A463=2034,N('2034'!D15),IFERROR(N(INDIRECT("'"&amp;A463&amp;"'!D"&amp;G463)),0))))))))))))</f>
        <v>0</v>
      </c>
      <c r="M463" s="36">
        <f>IFERROR(IF(NOT(ISBLANK(KPI_TARGETS!$I$10)),KPI_TARGETS!$I$10,IF(NOT(ISBLANK(KPI_TARGETS!$F$10)),KPI_TARGETS!$F$10,"")),"")</f>
        <v>0</v>
      </c>
      <c r="N463" s="36" t="str">
        <f>IFERROR(KPI_TARGETS!$E$10,"Higher is better")</f>
        <v>Lower is better</v>
      </c>
      <c r="O463" s="37">
        <f t="shared" ca="1" si="42"/>
        <v>1</v>
      </c>
      <c r="P463" t="str">
        <f t="shared" ca="1" si="43"/>
        <v>Green</v>
      </c>
      <c r="Q463" s="36">
        <f t="shared" ca="1" si="44"/>
        <v>0</v>
      </c>
      <c r="R463" s="36" t="str">
        <f>""</f>
        <v/>
      </c>
      <c r="S463" s="36" t="str">
        <f>""</f>
        <v/>
      </c>
      <c r="T463" s="36" t="str">
        <f>""</f>
        <v/>
      </c>
      <c r="U463" s="36" t="str">
        <f>""</f>
        <v/>
      </c>
      <c r="V463" s="36" t="str">
        <f>""</f>
        <v/>
      </c>
      <c r="W463" s="36">
        <f t="shared" si="45"/>
        <v>1</v>
      </c>
      <c r="X463" t="str">
        <f t="shared" si="46"/>
        <v>Inactive</v>
      </c>
      <c r="Y463" t="str">
        <f>IF(MAIN!$H$3="Selected Year",IF(A463=MAIN!$B$3,"Yes","No"),IF(MAIN!$H$3="Included Years",IF(D463="Yes","Yes","No"),IF(C463="Yes","Yes","No")))</f>
        <v>No</v>
      </c>
      <c r="Z463" t="str">
        <f>IF(MAIN!$F$3="Project to Date",IF(AND(A463&gt;=SETTINGS!$B$4,A463&lt;MAIN!$B$3),"Yes",IF(AND(A463=MAIN!$B$3,E463&lt;=MAIN!$L$3),"Yes","No")),IF(OR(MAIN!$F$3="Full Year",MAIN!$D$3="All"),"Yes",IF(MAIN!$F$3="Monthly",IF(E463=MAIN!$L$3,"Yes","No"),IF(E463&lt;=MAIN!$L$3,"Yes","No"))))</f>
        <v>Yes</v>
      </c>
      <c r="AA463" t="str">
        <f t="shared" si="47"/>
        <v>No</v>
      </c>
    </row>
    <row r="464" spans="1:27" x14ac:dyDescent="0.3">
      <c r="A464">
        <f>INDEX(SETTINGS!$A$15:$A$24,$B464)</f>
        <v>2027</v>
      </c>
      <c r="B464">
        <v>3</v>
      </c>
      <c r="C464" t="str">
        <f>IF(AND(A464&gt;=SETTINGS!$B$4,A464&lt;=SETTINGS!$B$5),"Yes","No")</f>
        <v>No</v>
      </c>
      <c r="D464" t="str">
        <f>IFERROR(INDEX(SETTINGS!$C$15:$C$24,MATCH(A464,SETTINGS!$A$15:$A$24,0)),"No")</f>
        <v>No</v>
      </c>
      <c r="E464">
        <v>1</v>
      </c>
      <c r="F464" t="s">
        <v>2</v>
      </c>
      <c r="G464">
        <v>16</v>
      </c>
      <c r="H464" t="s">
        <v>100</v>
      </c>
      <c r="I464" t="s">
        <v>15</v>
      </c>
      <c r="J464" t="s">
        <v>19</v>
      </c>
      <c r="K464" t="s">
        <v>3</v>
      </c>
      <c r="L464" s="36">
        <f ca="1">IF(C464&lt;&gt;"Yes",0,IF(A464=2025,N('2025'!D16),IF(A464=2026,N('2026'!D16),IF(A464=2027,N('2027'!D16),IF(A464=2028,N('2028'!D16),IF(A464=2029,N('2029'!D16),IF(A464=2030,N('2030'!D16),IF(A464=2031,N('2031'!D16),IF(A464=2032,N('2032'!D16),IF(A464=2033,N('2033'!D16),IF(A464=2034,N('2034'!D16),IFERROR(N(INDIRECT("'"&amp;A464&amp;"'!D"&amp;G464)),0))))))))))))</f>
        <v>0</v>
      </c>
      <c r="M464" s="36">
        <f>IFERROR(IF(NOT(ISBLANK(KPI_TARGETS!$I$11)),KPI_TARGETS!$I$11,IF(NOT(ISBLANK(KPI_TARGETS!$F$11)),KPI_TARGETS!$F$11,"")),"")</f>
        <v>0</v>
      </c>
      <c r="N464" s="36" t="str">
        <f>IFERROR(KPI_TARGETS!$E$11,"Higher is better")</f>
        <v>Lower is better</v>
      </c>
      <c r="O464" s="37">
        <f t="shared" ca="1" si="42"/>
        <v>1</v>
      </c>
      <c r="P464" t="str">
        <f t="shared" ca="1" si="43"/>
        <v>Green</v>
      </c>
      <c r="Q464" s="36">
        <f t="shared" ca="1" si="44"/>
        <v>0</v>
      </c>
      <c r="R464" s="36" t="str">
        <f>""</f>
        <v/>
      </c>
      <c r="S464" s="36" t="str">
        <f>""</f>
        <v/>
      </c>
      <c r="T464" s="36" t="str">
        <f>""</f>
        <v/>
      </c>
      <c r="U464" s="36" t="str">
        <f>""</f>
        <v/>
      </c>
      <c r="V464" s="36" t="str">
        <f>""</f>
        <v/>
      </c>
      <c r="W464" s="36">
        <f t="shared" si="45"/>
        <v>1</v>
      </c>
      <c r="X464" t="str">
        <f t="shared" si="46"/>
        <v>Inactive</v>
      </c>
      <c r="Y464" t="str">
        <f>IF(MAIN!$H$3="Selected Year",IF(A464=MAIN!$B$3,"Yes","No"),IF(MAIN!$H$3="Included Years",IF(D464="Yes","Yes","No"),IF(C464="Yes","Yes","No")))</f>
        <v>No</v>
      </c>
      <c r="Z464" t="str">
        <f>IF(MAIN!$F$3="Project to Date",IF(AND(A464&gt;=SETTINGS!$B$4,A464&lt;MAIN!$B$3),"Yes",IF(AND(A464=MAIN!$B$3,E464&lt;=MAIN!$L$3),"Yes","No")),IF(OR(MAIN!$F$3="Full Year",MAIN!$D$3="All"),"Yes",IF(MAIN!$F$3="Monthly",IF(E464=MAIN!$L$3,"Yes","No"),IF(E464&lt;=MAIN!$L$3,"Yes","No"))))</f>
        <v>Yes</v>
      </c>
      <c r="AA464" t="str">
        <f t="shared" si="47"/>
        <v>No</v>
      </c>
    </row>
    <row r="465" spans="1:27" x14ac:dyDescent="0.3">
      <c r="A465">
        <f>INDEX(SETTINGS!$A$15:$A$24,$B465)</f>
        <v>2027</v>
      </c>
      <c r="B465">
        <v>3</v>
      </c>
      <c r="C465" t="str">
        <f>IF(AND(A465&gt;=SETTINGS!$B$4,A465&lt;=SETTINGS!$B$5),"Yes","No")</f>
        <v>No</v>
      </c>
      <c r="D465" t="str">
        <f>IFERROR(INDEX(SETTINGS!$C$15:$C$24,MATCH(A465,SETTINGS!$A$15:$A$24,0)),"No")</f>
        <v>No</v>
      </c>
      <c r="E465">
        <v>1</v>
      </c>
      <c r="F465" t="s">
        <v>2</v>
      </c>
      <c r="G465">
        <v>17</v>
      </c>
      <c r="H465" t="s">
        <v>101</v>
      </c>
      <c r="I465" t="s">
        <v>15</v>
      </c>
      <c r="J465" t="s">
        <v>20</v>
      </c>
      <c r="K465" t="s">
        <v>3</v>
      </c>
      <c r="L465" s="36">
        <f ca="1">IF(C465&lt;&gt;"Yes",0,IF(A465=2025,N('2025'!D17),IF(A465=2026,N('2026'!D17),IF(A465=2027,N('2027'!D17),IF(A465=2028,N('2028'!D17),IF(A465=2029,N('2029'!D17),IF(A465=2030,N('2030'!D17),IF(A465=2031,N('2031'!D17),IF(A465=2032,N('2032'!D17),IF(A465=2033,N('2033'!D17),IF(A465=2034,N('2034'!D17),IFERROR(N(INDIRECT("'"&amp;A465&amp;"'!D"&amp;G465)),0))))))))))))</f>
        <v>0</v>
      </c>
      <c r="M465" s="36">
        <f>IFERROR(IF(NOT(ISBLANK(KPI_TARGETS!$I$12)),KPI_TARGETS!$I$12,IF(NOT(ISBLANK(KPI_TARGETS!$F$12)),KPI_TARGETS!$F$12,"")),"")</f>
        <v>0</v>
      </c>
      <c r="N465" s="36" t="str">
        <f>IFERROR(KPI_TARGETS!$E$12,"Higher is better")</f>
        <v>Lower is better</v>
      </c>
      <c r="O465" s="37">
        <f t="shared" ca="1" si="42"/>
        <v>1</v>
      </c>
      <c r="P465" t="str">
        <f t="shared" ca="1" si="43"/>
        <v>Green</v>
      </c>
      <c r="Q465" s="36">
        <f t="shared" ca="1" si="44"/>
        <v>0</v>
      </c>
      <c r="R465" s="36" t="str">
        <f>""</f>
        <v/>
      </c>
      <c r="S465" s="36" t="str">
        <f>""</f>
        <v/>
      </c>
      <c r="T465" s="36" t="str">
        <f>""</f>
        <v/>
      </c>
      <c r="U465" s="36" t="str">
        <f>""</f>
        <v/>
      </c>
      <c r="V465" s="36" t="str">
        <f>""</f>
        <v/>
      </c>
      <c r="W465" s="36">
        <f t="shared" si="45"/>
        <v>1</v>
      </c>
      <c r="X465" t="str">
        <f t="shared" si="46"/>
        <v>Inactive</v>
      </c>
      <c r="Y465" t="str">
        <f>IF(MAIN!$H$3="Selected Year",IF(A465=MAIN!$B$3,"Yes","No"),IF(MAIN!$H$3="Included Years",IF(D465="Yes","Yes","No"),IF(C465="Yes","Yes","No")))</f>
        <v>No</v>
      </c>
      <c r="Z465" t="str">
        <f>IF(MAIN!$F$3="Project to Date",IF(AND(A465&gt;=SETTINGS!$B$4,A465&lt;MAIN!$B$3),"Yes",IF(AND(A465=MAIN!$B$3,E465&lt;=MAIN!$L$3),"Yes","No")),IF(OR(MAIN!$F$3="Full Year",MAIN!$D$3="All"),"Yes",IF(MAIN!$F$3="Monthly",IF(E465=MAIN!$L$3,"Yes","No"),IF(E465&lt;=MAIN!$L$3,"Yes","No"))))</f>
        <v>Yes</v>
      </c>
      <c r="AA465" t="str">
        <f t="shared" si="47"/>
        <v>No</v>
      </c>
    </row>
    <row r="466" spans="1:27" x14ac:dyDescent="0.3">
      <c r="A466">
        <f>INDEX(SETTINGS!$A$15:$A$24,$B466)</f>
        <v>2027</v>
      </c>
      <c r="B466">
        <v>3</v>
      </c>
      <c r="C466" t="str">
        <f>IF(AND(A466&gt;=SETTINGS!$B$4,A466&lt;=SETTINGS!$B$5),"Yes","No")</f>
        <v>No</v>
      </c>
      <c r="D466" t="str">
        <f>IFERROR(INDEX(SETTINGS!$C$15:$C$24,MATCH(A466,SETTINGS!$A$15:$A$24,0)),"No")</f>
        <v>No</v>
      </c>
      <c r="E466">
        <v>1</v>
      </c>
      <c r="F466" t="s">
        <v>2</v>
      </c>
      <c r="G466">
        <v>18</v>
      </c>
      <c r="H466" t="s">
        <v>102</v>
      </c>
      <c r="I466" t="s">
        <v>15</v>
      </c>
      <c r="J466" t="s">
        <v>21</v>
      </c>
      <c r="K466" t="s">
        <v>3</v>
      </c>
      <c r="L466" s="36">
        <f ca="1">IF(C466&lt;&gt;"Yes",0,IF(A466=2025,N('2025'!D18),IF(A466=2026,N('2026'!D18),IF(A466=2027,N('2027'!D18),IF(A466=2028,N('2028'!D18),IF(A466=2029,N('2029'!D18),IF(A466=2030,N('2030'!D18),IF(A466=2031,N('2031'!D18),IF(A466=2032,N('2032'!D18),IF(A466=2033,N('2033'!D18),IF(A466=2034,N('2034'!D18),IFERROR(N(INDIRECT("'"&amp;A466&amp;"'!D"&amp;G466)),0))))))))))))</f>
        <v>0</v>
      </c>
      <c r="M466" s="36">
        <f>IFERROR(IF(NOT(ISBLANK(KPI_TARGETS!$I$13)),KPI_TARGETS!$I$13,IF(NOT(ISBLANK(KPI_TARGETS!$F$13)),KPI_TARGETS!$F$13,"")),"")</f>
        <v>0</v>
      </c>
      <c r="N466" s="36" t="str">
        <f>IFERROR(KPI_TARGETS!$E$13,"Higher is better")</f>
        <v>Lower is better</v>
      </c>
      <c r="O466" s="37">
        <f t="shared" ca="1" si="42"/>
        <v>1</v>
      </c>
      <c r="P466" t="str">
        <f t="shared" ca="1" si="43"/>
        <v>Green</v>
      </c>
      <c r="Q466" s="36">
        <f t="shared" ca="1" si="44"/>
        <v>0</v>
      </c>
      <c r="R466" s="36" t="str">
        <f>""</f>
        <v/>
      </c>
      <c r="S466" s="36" t="str">
        <f>""</f>
        <v/>
      </c>
      <c r="T466" s="36" t="str">
        <f>""</f>
        <v/>
      </c>
      <c r="U466" s="36" t="str">
        <f>""</f>
        <v/>
      </c>
      <c r="V466" s="36" t="str">
        <f>""</f>
        <v/>
      </c>
      <c r="W466" s="36">
        <f t="shared" si="45"/>
        <v>1</v>
      </c>
      <c r="X466" t="str">
        <f t="shared" si="46"/>
        <v>Inactive</v>
      </c>
      <c r="Y466" t="str">
        <f>IF(MAIN!$H$3="Selected Year",IF(A466=MAIN!$B$3,"Yes","No"),IF(MAIN!$H$3="Included Years",IF(D466="Yes","Yes","No"),IF(C466="Yes","Yes","No")))</f>
        <v>No</v>
      </c>
      <c r="Z466" t="str">
        <f>IF(MAIN!$F$3="Project to Date",IF(AND(A466&gt;=SETTINGS!$B$4,A466&lt;MAIN!$B$3),"Yes",IF(AND(A466=MAIN!$B$3,E466&lt;=MAIN!$L$3),"Yes","No")),IF(OR(MAIN!$F$3="Full Year",MAIN!$D$3="All"),"Yes",IF(MAIN!$F$3="Monthly",IF(E466=MAIN!$L$3,"Yes","No"),IF(E466&lt;=MAIN!$L$3,"Yes","No"))))</f>
        <v>Yes</v>
      </c>
      <c r="AA466" t="str">
        <f t="shared" si="47"/>
        <v>No</v>
      </c>
    </row>
    <row r="467" spans="1:27" x14ac:dyDescent="0.3">
      <c r="A467">
        <f>INDEX(SETTINGS!$A$15:$A$24,$B467)</f>
        <v>2027</v>
      </c>
      <c r="B467">
        <v>3</v>
      </c>
      <c r="C467" t="str">
        <f>IF(AND(A467&gt;=SETTINGS!$B$4,A467&lt;=SETTINGS!$B$5),"Yes","No")</f>
        <v>No</v>
      </c>
      <c r="D467" t="str">
        <f>IFERROR(INDEX(SETTINGS!$C$15:$C$24,MATCH(A467,SETTINGS!$A$15:$A$24,0)),"No")</f>
        <v>No</v>
      </c>
      <c r="E467">
        <v>1</v>
      </c>
      <c r="F467" t="s">
        <v>2</v>
      </c>
      <c r="G467">
        <v>20</v>
      </c>
      <c r="H467" t="s">
        <v>103</v>
      </c>
      <c r="I467" t="s">
        <v>22</v>
      </c>
      <c r="J467" t="s">
        <v>23</v>
      </c>
      <c r="K467" t="s">
        <v>3</v>
      </c>
      <c r="L467" s="36">
        <f ca="1">IF(C467&lt;&gt;"Yes",0,IF(A467=2025,N('2025'!D20),IF(A467=2026,N('2026'!D20),IF(A467=2027,N('2027'!D20),IF(A467=2028,N('2028'!D20),IF(A467=2029,N('2029'!D20),IF(A467=2030,N('2030'!D20),IF(A467=2031,N('2031'!D20),IF(A467=2032,N('2032'!D20),IF(A467=2033,N('2033'!D20),IF(A467=2034,N('2034'!D20),IFERROR(N(INDIRECT("'"&amp;A467&amp;"'!D"&amp;G467)),0))))))))))))</f>
        <v>0</v>
      </c>
      <c r="M467" s="36">
        <f>IFERROR(IF(NOT(ISBLANK(KPI_TARGETS!$I$14)),KPI_TARGETS!$I$14,IF(NOT(ISBLANK(KPI_TARGETS!$F$14)),KPI_TARGETS!$F$14,"")),"")</f>
        <v>35</v>
      </c>
      <c r="N467" s="36" t="str">
        <f>IFERROR(KPI_TARGETS!$E$14,"Higher is better")</f>
        <v>Higher is better</v>
      </c>
      <c r="O467" s="37">
        <f t="shared" ca="1" si="42"/>
        <v>0</v>
      </c>
      <c r="P467" t="str">
        <f t="shared" ca="1" si="43"/>
        <v>Red</v>
      </c>
      <c r="Q467" s="36">
        <f t="shared" ca="1" si="44"/>
        <v>-35</v>
      </c>
      <c r="R467" s="36" t="str">
        <f>""</f>
        <v/>
      </c>
      <c r="S467" s="36" t="str">
        <f>""</f>
        <v/>
      </c>
      <c r="T467" s="36" t="str">
        <f>""</f>
        <v/>
      </c>
      <c r="U467" s="36" t="str">
        <f>""</f>
        <v/>
      </c>
      <c r="V467" s="36" t="str">
        <f>""</f>
        <v/>
      </c>
      <c r="W467" s="36">
        <f t="shared" si="45"/>
        <v>1</v>
      </c>
      <c r="X467" t="str">
        <f t="shared" si="46"/>
        <v>Inactive</v>
      </c>
      <c r="Y467" t="str">
        <f>IF(MAIN!$H$3="Selected Year",IF(A467=MAIN!$B$3,"Yes","No"),IF(MAIN!$H$3="Included Years",IF(D467="Yes","Yes","No"),IF(C467="Yes","Yes","No")))</f>
        <v>No</v>
      </c>
      <c r="Z467" t="str">
        <f>IF(MAIN!$F$3="Project to Date",IF(AND(A467&gt;=SETTINGS!$B$4,A467&lt;MAIN!$B$3),"Yes",IF(AND(A467=MAIN!$B$3,E467&lt;=MAIN!$L$3),"Yes","No")),IF(OR(MAIN!$F$3="Full Year",MAIN!$D$3="All"),"Yes",IF(MAIN!$F$3="Monthly",IF(E467=MAIN!$L$3,"Yes","No"),IF(E467&lt;=MAIN!$L$3,"Yes","No"))))</f>
        <v>Yes</v>
      </c>
      <c r="AA467" t="str">
        <f t="shared" si="47"/>
        <v>No</v>
      </c>
    </row>
    <row r="468" spans="1:27" x14ac:dyDescent="0.3">
      <c r="A468">
        <f>INDEX(SETTINGS!$A$15:$A$24,$B468)</f>
        <v>2027</v>
      </c>
      <c r="B468">
        <v>3</v>
      </c>
      <c r="C468" t="str">
        <f>IF(AND(A468&gt;=SETTINGS!$B$4,A468&lt;=SETTINGS!$B$5),"Yes","No")</f>
        <v>No</v>
      </c>
      <c r="D468" t="str">
        <f>IFERROR(INDEX(SETTINGS!$C$15:$C$24,MATCH(A468,SETTINGS!$A$15:$A$24,0)),"No")</f>
        <v>No</v>
      </c>
      <c r="E468">
        <v>1</v>
      </c>
      <c r="F468" t="s">
        <v>2</v>
      </c>
      <c r="G468">
        <v>21</v>
      </c>
      <c r="H468" t="s">
        <v>104</v>
      </c>
      <c r="I468" t="s">
        <v>22</v>
      </c>
      <c r="J468" t="s">
        <v>24</v>
      </c>
      <c r="K468" t="s">
        <v>3</v>
      </c>
      <c r="L468" s="36">
        <f ca="1">IF(C468&lt;&gt;"Yes",0,IF(A468=2025,N('2025'!D21),IF(A468=2026,N('2026'!D21),IF(A468=2027,N('2027'!D21),IF(A468=2028,N('2028'!D21),IF(A468=2029,N('2029'!D21),IF(A468=2030,N('2030'!D21),IF(A468=2031,N('2031'!D21),IF(A468=2032,N('2032'!D21),IF(A468=2033,N('2033'!D21),IF(A468=2034,N('2034'!D21),IFERROR(N(INDIRECT("'"&amp;A468&amp;"'!D"&amp;G468)),0))))))))))))</f>
        <v>0</v>
      </c>
      <c r="M468" s="36">
        <f>IFERROR(IF(NOT(ISBLANK(KPI_TARGETS!$I$15)),KPI_TARGETS!$I$15,IF(NOT(ISBLANK(KPI_TARGETS!$F$15)),KPI_TARGETS!$F$15,"")),"")</f>
        <v>5</v>
      </c>
      <c r="N468" s="36" t="str">
        <f>IFERROR(KPI_TARGETS!$E$15,"Higher is better")</f>
        <v>Higher is better</v>
      </c>
      <c r="O468" s="37">
        <f t="shared" ca="1" si="42"/>
        <v>0</v>
      </c>
      <c r="P468" t="str">
        <f t="shared" ca="1" si="43"/>
        <v>Red</v>
      </c>
      <c r="Q468" s="36">
        <f t="shared" ca="1" si="44"/>
        <v>-5</v>
      </c>
      <c r="R468" s="36" t="str">
        <f>""</f>
        <v/>
      </c>
      <c r="S468" s="36" t="str">
        <f>""</f>
        <v/>
      </c>
      <c r="T468" s="36" t="str">
        <f>""</f>
        <v/>
      </c>
      <c r="U468" s="36" t="str">
        <f>""</f>
        <v/>
      </c>
      <c r="V468" s="36" t="str">
        <f>""</f>
        <v/>
      </c>
      <c r="W468" s="36">
        <f t="shared" si="45"/>
        <v>1</v>
      </c>
      <c r="X468" t="str">
        <f t="shared" si="46"/>
        <v>Inactive</v>
      </c>
      <c r="Y468" t="str">
        <f>IF(MAIN!$H$3="Selected Year",IF(A468=MAIN!$B$3,"Yes","No"),IF(MAIN!$H$3="Included Years",IF(D468="Yes","Yes","No"),IF(C468="Yes","Yes","No")))</f>
        <v>No</v>
      </c>
      <c r="Z468" t="str">
        <f>IF(MAIN!$F$3="Project to Date",IF(AND(A468&gt;=SETTINGS!$B$4,A468&lt;MAIN!$B$3),"Yes",IF(AND(A468=MAIN!$B$3,E468&lt;=MAIN!$L$3),"Yes","No")),IF(OR(MAIN!$F$3="Full Year",MAIN!$D$3="All"),"Yes",IF(MAIN!$F$3="Monthly",IF(E468=MAIN!$L$3,"Yes","No"),IF(E468&lt;=MAIN!$L$3,"Yes","No"))))</f>
        <v>Yes</v>
      </c>
      <c r="AA468" t="str">
        <f t="shared" si="47"/>
        <v>No</v>
      </c>
    </row>
    <row r="469" spans="1:27" x14ac:dyDescent="0.3">
      <c r="A469">
        <f>INDEX(SETTINGS!$A$15:$A$24,$B469)</f>
        <v>2027</v>
      </c>
      <c r="B469">
        <v>3</v>
      </c>
      <c r="C469" t="str">
        <f>IF(AND(A469&gt;=SETTINGS!$B$4,A469&lt;=SETTINGS!$B$5),"Yes","No")</f>
        <v>No</v>
      </c>
      <c r="D469" t="str">
        <f>IFERROR(INDEX(SETTINGS!$C$15:$C$24,MATCH(A469,SETTINGS!$A$15:$A$24,0)),"No")</f>
        <v>No</v>
      </c>
      <c r="E469">
        <v>1</v>
      </c>
      <c r="F469" t="s">
        <v>2</v>
      </c>
      <c r="G469">
        <v>22</v>
      </c>
      <c r="H469" t="s">
        <v>105</v>
      </c>
      <c r="I469" t="s">
        <v>22</v>
      </c>
      <c r="J469" t="s">
        <v>25</v>
      </c>
      <c r="K469" t="s">
        <v>3</v>
      </c>
      <c r="L469" s="36">
        <f ca="1">IF(C469&lt;&gt;"Yes",0,IF(A469=2025,N('2025'!D22),IF(A469=2026,N('2026'!D22),IF(A469=2027,N('2027'!D22),IF(A469=2028,N('2028'!D22),IF(A469=2029,N('2029'!D22),IF(A469=2030,N('2030'!D22),IF(A469=2031,N('2031'!D22),IF(A469=2032,N('2032'!D22),IF(A469=2033,N('2033'!D22),IF(A469=2034,N('2034'!D22),IFERROR(N(INDIRECT("'"&amp;A469&amp;"'!D"&amp;G469)),0))))))))))))</f>
        <v>0</v>
      </c>
      <c r="M469" s="36">
        <f>IFERROR(IF(NOT(ISBLANK(KPI_TARGETS!$I$16)),KPI_TARGETS!$I$16,IF(NOT(ISBLANK(KPI_TARGETS!$F$16)),KPI_TARGETS!$F$16,"")),"")</f>
        <v>4</v>
      </c>
      <c r="N469" s="36" t="str">
        <f>IFERROR(KPI_TARGETS!$E$16,"Higher is better")</f>
        <v>Higher is better</v>
      </c>
      <c r="O469" s="37">
        <f t="shared" ca="1" si="42"/>
        <v>0</v>
      </c>
      <c r="P469" t="str">
        <f t="shared" ca="1" si="43"/>
        <v>Red</v>
      </c>
      <c r="Q469" s="36">
        <f t="shared" ca="1" si="44"/>
        <v>-4</v>
      </c>
      <c r="R469" s="36" t="str">
        <f>""</f>
        <v/>
      </c>
      <c r="S469" s="36" t="str">
        <f>""</f>
        <v/>
      </c>
      <c r="T469" s="36" t="str">
        <f>""</f>
        <v/>
      </c>
      <c r="U469" s="36" t="str">
        <f>""</f>
        <v/>
      </c>
      <c r="V469" s="36" t="str">
        <f>""</f>
        <v/>
      </c>
      <c r="W469" s="36">
        <f t="shared" si="45"/>
        <v>1</v>
      </c>
      <c r="X469" t="str">
        <f t="shared" si="46"/>
        <v>Inactive</v>
      </c>
      <c r="Y469" t="str">
        <f>IF(MAIN!$H$3="Selected Year",IF(A469=MAIN!$B$3,"Yes","No"),IF(MAIN!$H$3="Included Years",IF(D469="Yes","Yes","No"),IF(C469="Yes","Yes","No")))</f>
        <v>No</v>
      </c>
      <c r="Z469" t="str">
        <f>IF(MAIN!$F$3="Project to Date",IF(AND(A469&gt;=SETTINGS!$B$4,A469&lt;MAIN!$B$3),"Yes",IF(AND(A469=MAIN!$B$3,E469&lt;=MAIN!$L$3),"Yes","No")),IF(OR(MAIN!$F$3="Full Year",MAIN!$D$3="All"),"Yes",IF(MAIN!$F$3="Monthly",IF(E469=MAIN!$L$3,"Yes","No"),IF(E469&lt;=MAIN!$L$3,"Yes","No"))))</f>
        <v>Yes</v>
      </c>
      <c r="AA469" t="str">
        <f t="shared" si="47"/>
        <v>No</v>
      </c>
    </row>
    <row r="470" spans="1:27" x14ac:dyDescent="0.3">
      <c r="A470">
        <f>INDEX(SETTINGS!$A$15:$A$24,$B470)</f>
        <v>2027</v>
      </c>
      <c r="B470">
        <v>3</v>
      </c>
      <c r="C470" t="str">
        <f>IF(AND(A470&gt;=SETTINGS!$B$4,A470&lt;=SETTINGS!$B$5),"Yes","No")</f>
        <v>No</v>
      </c>
      <c r="D470" t="str">
        <f>IFERROR(INDEX(SETTINGS!$C$15:$C$24,MATCH(A470,SETTINGS!$A$15:$A$24,0)),"No")</f>
        <v>No</v>
      </c>
      <c r="E470">
        <v>1</v>
      </c>
      <c r="F470" t="s">
        <v>2</v>
      </c>
      <c r="G470">
        <v>23</v>
      </c>
      <c r="H470" t="s">
        <v>106</v>
      </c>
      <c r="I470" t="s">
        <v>22</v>
      </c>
      <c r="J470" t="s">
        <v>26</v>
      </c>
      <c r="K470" t="s">
        <v>3</v>
      </c>
      <c r="L470" s="36">
        <f ca="1">IF(C470&lt;&gt;"Yes",0,IF(A470=2025,N('2025'!D23),IF(A470=2026,N('2026'!D23),IF(A470=2027,N('2027'!D23),IF(A470=2028,N('2028'!D23),IF(A470=2029,N('2029'!D23),IF(A470=2030,N('2030'!D23),IF(A470=2031,N('2031'!D23),IF(A470=2032,N('2032'!D23),IF(A470=2033,N('2033'!D23),IF(A470=2034,N('2034'!D23),IFERROR(N(INDIRECT("'"&amp;A470&amp;"'!D"&amp;G470)),0))))))))))))</f>
        <v>0</v>
      </c>
      <c r="M470" s="36">
        <f>IFERROR(IF(NOT(ISBLANK(KPI_TARGETS!$I$17)),KPI_TARGETS!$I$17,IF(NOT(ISBLANK(KPI_TARGETS!$F$17)),KPI_TARGETS!$F$17,"")),"")</f>
        <v>12</v>
      </c>
      <c r="N470" s="36" t="str">
        <f>IFERROR(KPI_TARGETS!$E$17,"Higher is better")</f>
        <v>Higher is better</v>
      </c>
      <c r="O470" s="37">
        <f t="shared" ca="1" si="42"/>
        <v>0</v>
      </c>
      <c r="P470" t="str">
        <f t="shared" ca="1" si="43"/>
        <v>Red</v>
      </c>
      <c r="Q470" s="36">
        <f t="shared" ca="1" si="44"/>
        <v>-12</v>
      </c>
      <c r="R470" s="36" t="str">
        <f>""</f>
        <v/>
      </c>
      <c r="S470" s="36" t="str">
        <f>""</f>
        <v/>
      </c>
      <c r="T470" s="36" t="str">
        <f>""</f>
        <v/>
      </c>
      <c r="U470" s="36" t="str">
        <f>""</f>
        <v/>
      </c>
      <c r="V470" s="36" t="str">
        <f>""</f>
        <v/>
      </c>
      <c r="W470" s="36">
        <f t="shared" si="45"/>
        <v>1</v>
      </c>
      <c r="X470" t="str">
        <f t="shared" si="46"/>
        <v>Inactive</v>
      </c>
      <c r="Y470" t="str">
        <f>IF(MAIN!$H$3="Selected Year",IF(A470=MAIN!$B$3,"Yes","No"),IF(MAIN!$H$3="Included Years",IF(D470="Yes","Yes","No"),IF(C470="Yes","Yes","No")))</f>
        <v>No</v>
      </c>
      <c r="Z470" t="str">
        <f>IF(MAIN!$F$3="Project to Date",IF(AND(A470&gt;=SETTINGS!$B$4,A470&lt;MAIN!$B$3),"Yes",IF(AND(A470=MAIN!$B$3,E470&lt;=MAIN!$L$3),"Yes","No")),IF(OR(MAIN!$F$3="Full Year",MAIN!$D$3="All"),"Yes",IF(MAIN!$F$3="Monthly",IF(E470=MAIN!$L$3,"Yes","No"),IF(E470&lt;=MAIN!$L$3,"Yes","No"))))</f>
        <v>Yes</v>
      </c>
      <c r="AA470" t="str">
        <f t="shared" si="47"/>
        <v>No</v>
      </c>
    </row>
    <row r="471" spans="1:27" x14ac:dyDescent="0.3">
      <c r="A471">
        <f>INDEX(SETTINGS!$A$15:$A$24,$B471)</f>
        <v>2027</v>
      </c>
      <c r="B471">
        <v>3</v>
      </c>
      <c r="C471" t="str">
        <f>IF(AND(A471&gt;=SETTINGS!$B$4,A471&lt;=SETTINGS!$B$5),"Yes","No")</f>
        <v>No</v>
      </c>
      <c r="D471" t="str">
        <f>IFERROR(INDEX(SETTINGS!$C$15:$C$24,MATCH(A471,SETTINGS!$A$15:$A$24,0)),"No")</f>
        <v>No</v>
      </c>
      <c r="E471">
        <v>1</v>
      </c>
      <c r="F471" t="s">
        <v>2</v>
      </c>
      <c r="G471">
        <v>24</v>
      </c>
      <c r="H471" t="s">
        <v>107</v>
      </c>
      <c r="I471" t="s">
        <v>22</v>
      </c>
      <c r="J471" t="s">
        <v>27</v>
      </c>
      <c r="K471" t="s">
        <v>3</v>
      </c>
      <c r="L471" s="36">
        <f ca="1">IF(C471&lt;&gt;"Yes",0,IF(A471=2025,N('2025'!D24),IF(A471=2026,N('2026'!D24),IF(A471=2027,N('2027'!D24),IF(A471=2028,N('2028'!D24),IF(A471=2029,N('2029'!D24),IF(A471=2030,N('2030'!D24),IF(A471=2031,N('2031'!D24),IF(A471=2032,N('2032'!D24),IF(A471=2033,N('2033'!D24),IF(A471=2034,N('2034'!D24),IFERROR(N(INDIRECT("'"&amp;A471&amp;"'!D"&amp;G471)),0))))))))))))</f>
        <v>0</v>
      </c>
      <c r="M471" s="36">
        <f>IFERROR(IF(NOT(ISBLANK(KPI_TARGETS!$I$18)),KPI_TARGETS!$I$18,IF(NOT(ISBLANK(KPI_TARGETS!$F$18)),KPI_TARGETS!$F$18,"")),"")</f>
        <v>4</v>
      </c>
      <c r="N471" s="36" t="str">
        <f>IFERROR(KPI_TARGETS!$E$18,"Higher is better")</f>
        <v>Higher is better</v>
      </c>
      <c r="O471" s="37">
        <f t="shared" ca="1" si="42"/>
        <v>0</v>
      </c>
      <c r="P471" t="str">
        <f t="shared" ca="1" si="43"/>
        <v>Red</v>
      </c>
      <c r="Q471" s="36">
        <f t="shared" ca="1" si="44"/>
        <v>-4</v>
      </c>
      <c r="R471" s="36" t="str">
        <f>""</f>
        <v/>
      </c>
      <c r="S471" s="36" t="str">
        <f>""</f>
        <v/>
      </c>
      <c r="T471" s="36" t="str">
        <f>""</f>
        <v/>
      </c>
      <c r="U471" s="36" t="str">
        <f>""</f>
        <v/>
      </c>
      <c r="V471" s="36" t="str">
        <f>""</f>
        <v/>
      </c>
      <c r="W471" s="36">
        <f t="shared" si="45"/>
        <v>1</v>
      </c>
      <c r="X471" t="str">
        <f t="shared" si="46"/>
        <v>Inactive</v>
      </c>
      <c r="Y471" t="str">
        <f>IF(MAIN!$H$3="Selected Year",IF(A471=MAIN!$B$3,"Yes","No"),IF(MAIN!$H$3="Included Years",IF(D471="Yes","Yes","No"),IF(C471="Yes","Yes","No")))</f>
        <v>No</v>
      </c>
      <c r="Z471" t="str">
        <f>IF(MAIN!$F$3="Project to Date",IF(AND(A471&gt;=SETTINGS!$B$4,A471&lt;MAIN!$B$3),"Yes",IF(AND(A471=MAIN!$B$3,E471&lt;=MAIN!$L$3),"Yes","No")),IF(OR(MAIN!$F$3="Full Year",MAIN!$D$3="All"),"Yes",IF(MAIN!$F$3="Monthly",IF(E471=MAIN!$L$3,"Yes","No"),IF(E471&lt;=MAIN!$L$3,"Yes","No"))))</f>
        <v>Yes</v>
      </c>
      <c r="AA471" t="str">
        <f t="shared" si="47"/>
        <v>No</v>
      </c>
    </row>
    <row r="472" spans="1:27" x14ac:dyDescent="0.3">
      <c r="A472">
        <f>INDEX(SETTINGS!$A$15:$A$24,$B472)</f>
        <v>2027</v>
      </c>
      <c r="B472">
        <v>3</v>
      </c>
      <c r="C472" t="str">
        <f>IF(AND(A472&gt;=SETTINGS!$B$4,A472&lt;=SETTINGS!$B$5),"Yes","No")</f>
        <v>No</v>
      </c>
      <c r="D472" t="str">
        <f>IFERROR(INDEX(SETTINGS!$C$15:$C$24,MATCH(A472,SETTINGS!$A$15:$A$24,0)),"No")</f>
        <v>No</v>
      </c>
      <c r="E472">
        <v>1</v>
      </c>
      <c r="F472" t="s">
        <v>2</v>
      </c>
      <c r="G472">
        <v>25</v>
      </c>
      <c r="H472" t="s">
        <v>108</v>
      </c>
      <c r="I472" t="s">
        <v>22</v>
      </c>
      <c r="J472" t="s">
        <v>28</v>
      </c>
      <c r="K472" t="s">
        <v>3</v>
      </c>
      <c r="L472" s="36">
        <f ca="1">IF(C472&lt;&gt;"Yes",0,IF(A472=2025,N('2025'!D25),IF(A472=2026,N('2026'!D25),IF(A472=2027,N('2027'!D25),IF(A472=2028,N('2028'!D25),IF(A472=2029,N('2029'!D25),IF(A472=2030,N('2030'!D25),IF(A472=2031,N('2031'!D25),IF(A472=2032,N('2032'!D25),IF(A472=2033,N('2033'!D25),IF(A472=2034,N('2034'!D25),IFERROR(N(INDIRECT("'"&amp;A472&amp;"'!D"&amp;G472)),0))))))))))))</f>
        <v>0</v>
      </c>
      <c r="M472" s="36">
        <f>IFERROR(IF(NOT(ISBLANK(KPI_TARGETS!$I$19)),KPI_TARGETS!$I$19,IF(NOT(ISBLANK(KPI_TARGETS!$F$19)),KPI_TARGETS!$F$19,"")),"")</f>
        <v>16</v>
      </c>
      <c r="N472" s="36" t="str">
        <f>IFERROR(KPI_TARGETS!$E$19,"Higher is better")</f>
        <v>Higher is better</v>
      </c>
      <c r="O472" s="37">
        <f t="shared" ca="1" si="42"/>
        <v>0</v>
      </c>
      <c r="P472" t="str">
        <f t="shared" ca="1" si="43"/>
        <v>Red</v>
      </c>
      <c r="Q472" s="36">
        <f t="shared" ca="1" si="44"/>
        <v>-16</v>
      </c>
      <c r="R472" s="36" t="str">
        <f>""</f>
        <v/>
      </c>
      <c r="S472" s="36" t="str">
        <f>""</f>
        <v/>
      </c>
      <c r="T472" s="36" t="str">
        <f>""</f>
        <v/>
      </c>
      <c r="U472" s="36" t="str">
        <f>""</f>
        <v/>
      </c>
      <c r="V472" s="36" t="str">
        <f>""</f>
        <v/>
      </c>
      <c r="W472" s="36">
        <f t="shared" si="45"/>
        <v>1</v>
      </c>
      <c r="X472" t="str">
        <f t="shared" si="46"/>
        <v>Inactive</v>
      </c>
      <c r="Y472" t="str">
        <f>IF(MAIN!$H$3="Selected Year",IF(A472=MAIN!$B$3,"Yes","No"),IF(MAIN!$H$3="Included Years",IF(D472="Yes","Yes","No"),IF(C472="Yes","Yes","No")))</f>
        <v>No</v>
      </c>
      <c r="Z472" t="str">
        <f>IF(MAIN!$F$3="Project to Date",IF(AND(A472&gt;=SETTINGS!$B$4,A472&lt;MAIN!$B$3),"Yes",IF(AND(A472=MAIN!$B$3,E472&lt;=MAIN!$L$3),"Yes","No")),IF(OR(MAIN!$F$3="Full Year",MAIN!$D$3="All"),"Yes",IF(MAIN!$F$3="Monthly",IF(E472=MAIN!$L$3,"Yes","No"),IF(E472&lt;=MAIN!$L$3,"Yes","No"))))</f>
        <v>Yes</v>
      </c>
      <c r="AA472" t="str">
        <f t="shared" si="47"/>
        <v>No</v>
      </c>
    </row>
    <row r="473" spans="1:27" x14ac:dyDescent="0.3">
      <c r="A473">
        <f>INDEX(SETTINGS!$A$15:$A$24,$B473)</f>
        <v>2027</v>
      </c>
      <c r="B473">
        <v>3</v>
      </c>
      <c r="C473" t="str">
        <f>IF(AND(A473&gt;=SETTINGS!$B$4,A473&lt;=SETTINGS!$B$5),"Yes","No")</f>
        <v>No</v>
      </c>
      <c r="D473" t="str">
        <f>IFERROR(INDEX(SETTINGS!$C$15:$C$24,MATCH(A473,SETTINGS!$A$15:$A$24,0)),"No")</f>
        <v>No</v>
      </c>
      <c r="E473">
        <v>1</v>
      </c>
      <c r="F473" t="s">
        <v>2</v>
      </c>
      <c r="G473">
        <v>26</v>
      </c>
      <c r="H473" t="s">
        <v>109</v>
      </c>
      <c r="I473" t="s">
        <v>22</v>
      </c>
      <c r="J473" t="s">
        <v>29</v>
      </c>
      <c r="K473" t="s">
        <v>3</v>
      </c>
      <c r="L473" s="36">
        <f ca="1">IF(C473&lt;&gt;"Yes",0,IF(A473=2025,N('2025'!D26),IF(A473=2026,N('2026'!D26),IF(A473=2027,N('2027'!D26),IF(A473=2028,N('2028'!D26),IF(A473=2029,N('2029'!D26),IF(A473=2030,N('2030'!D26),IF(A473=2031,N('2031'!D26),IF(A473=2032,N('2032'!D26),IF(A473=2033,N('2033'!D26),IF(A473=2034,N('2034'!D26),IFERROR(N(INDIRECT("'"&amp;A473&amp;"'!D"&amp;G473)),0))))))))))))</f>
        <v>0</v>
      </c>
      <c r="M473" s="36">
        <f>IFERROR(IF(NOT(ISBLANK(KPI_TARGETS!$I$20)),KPI_TARGETS!$I$20,IF(NOT(ISBLANK(KPI_TARGETS!$F$20)),KPI_TARGETS!$F$20,"")),"")</f>
        <v>1</v>
      </c>
      <c r="N473" s="36" t="str">
        <f>IFERROR(KPI_TARGETS!$E$20,"Higher is better")</f>
        <v>Higher is better</v>
      </c>
      <c r="O473" s="37">
        <f t="shared" ca="1" si="42"/>
        <v>0</v>
      </c>
      <c r="P473" t="str">
        <f t="shared" ca="1" si="43"/>
        <v>Red</v>
      </c>
      <c r="Q473" s="36">
        <f t="shared" ca="1" si="44"/>
        <v>-1</v>
      </c>
      <c r="R473" s="36" t="str">
        <f>""</f>
        <v/>
      </c>
      <c r="S473" s="36" t="str">
        <f>""</f>
        <v/>
      </c>
      <c r="T473" s="36" t="str">
        <f>""</f>
        <v/>
      </c>
      <c r="U473" s="36" t="str">
        <f>""</f>
        <v/>
      </c>
      <c r="V473" s="36" t="str">
        <f>""</f>
        <v/>
      </c>
      <c r="W473" s="36">
        <f t="shared" si="45"/>
        <v>1</v>
      </c>
      <c r="X473" t="str">
        <f t="shared" si="46"/>
        <v>Inactive</v>
      </c>
      <c r="Y473" t="str">
        <f>IF(MAIN!$H$3="Selected Year",IF(A473=MAIN!$B$3,"Yes","No"),IF(MAIN!$H$3="Included Years",IF(D473="Yes","Yes","No"),IF(C473="Yes","Yes","No")))</f>
        <v>No</v>
      </c>
      <c r="Z473" t="str">
        <f>IF(MAIN!$F$3="Project to Date",IF(AND(A473&gt;=SETTINGS!$B$4,A473&lt;MAIN!$B$3),"Yes",IF(AND(A473=MAIN!$B$3,E473&lt;=MAIN!$L$3),"Yes","No")),IF(OR(MAIN!$F$3="Full Year",MAIN!$D$3="All"),"Yes",IF(MAIN!$F$3="Monthly",IF(E473=MAIN!$L$3,"Yes","No"),IF(E473&lt;=MAIN!$L$3,"Yes","No"))))</f>
        <v>Yes</v>
      </c>
      <c r="AA473" t="str">
        <f t="shared" si="47"/>
        <v>No</v>
      </c>
    </row>
    <row r="474" spans="1:27" x14ac:dyDescent="0.3">
      <c r="A474">
        <f>INDEX(SETTINGS!$A$15:$A$24,$B474)</f>
        <v>2027</v>
      </c>
      <c r="B474">
        <v>3</v>
      </c>
      <c r="C474" t="str">
        <f>IF(AND(A474&gt;=SETTINGS!$B$4,A474&lt;=SETTINGS!$B$5),"Yes","No")</f>
        <v>No</v>
      </c>
      <c r="D474" t="str">
        <f>IFERROR(INDEX(SETTINGS!$C$15:$C$24,MATCH(A474,SETTINGS!$A$15:$A$24,0)),"No")</f>
        <v>No</v>
      </c>
      <c r="E474">
        <v>1</v>
      </c>
      <c r="F474" t="s">
        <v>2</v>
      </c>
      <c r="G474">
        <v>28</v>
      </c>
      <c r="H474" t="s">
        <v>110</v>
      </c>
      <c r="I474" t="s">
        <v>30</v>
      </c>
      <c r="J474" t="s">
        <v>31</v>
      </c>
      <c r="K474" t="s">
        <v>3</v>
      </c>
      <c r="L474" s="36">
        <f ca="1">IF(C474&lt;&gt;"Yes",0,IF(A474=2025,N('2025'!D28),IF(A474=2026,N('2026'!D28),IF(A474=2027,N('2027'!D28),IF(A474=2028,N('2028'!D28),IF(A474=2029,N('2029'!D28),IF(A474=2030,N('2030'!D28),IF(A474=2031,N('2031'!D28),IF(A474=2032,N('2032'!D28),IF(A474=2033,N('2033'!D28),IF(A474=2034,N('2034'!D28),IFERROR(N(INDIRECT("'"&amp;A474&amp;"'!D"&amp;G474)),0))))))))))))</f>
        <v>0</v>
      </c>
      <c r="M474" s="36">
        <f>IFERROR(IF(NOT(ISBLANK(KPI_TARGETS!$I$21)),KPI_TARGETS!$I$21,IF(NOT(ISBLANK(KPI_TARGETS!$F$21)),KPI_TARGETS!$F$21,"")),"")</f>
        <v>0</v>
      </c>
      <c r="N474" s="36" t="str">
        <f>IFERROR(KPI_TARGETS!$E$21,"Higher is better")</f>
        <v>Lower is better</v>
      </c>
      <c r="O474" s="37">
        <f t="shared" ca="1" si="42"/>
        <v>1</v>
      </c>
      <c r="P474" t="str">
        <f t="shared" ca="1" si="43"/>
        <v>Green</v>
      </c>
      <c r="Q474" s="36">
        <f t="shared" ca="1" si="44"/>
        <v>0</v>
      </c>
      <c r="R474" s="36" t="str">
        <f>""</f>
        <v/>
      </c>
      <c r="S474" s="36" t="str">
        <f>""</f>
        <v/>
      </c>
      <c r="T474" s="36" t="str">
        <f>""</f>
        <v/>
      </c>
      <c r="U474" s="36" t="str">
        <f>""</f>
        <v/>
      </c>
      <c r="V474" s="36" t="str">
        <f>""</f>
        <v/>
      </c>
      <c r="W474" s="36">
        <f t="shared" si="45"/>
        <v>1</v>
      </c>
      <c r="X474" t="str">
        <f t="shared" si="46"/>
        <v>Inactive</v>
      </c>
      <c r="Y474" t="str">
        <f>IF(MAIN!$H$3="Selected Year",IF(A474=MAIN!$B$3,"Yes","No"),IF(MAIN!$H$3="Included Years",IF(D474="Yes","Yes","No"),IF(C474="Yes","Yes","No")))</f>
        <v>No</v>
      </c>
      <c r="Z474" t="str">
        <f>IF(MAIN!$F$3="Project to Date",IF(AND(A474&gt;=SETTINGS!$B$4,A474&lt;MAIN!$B$3),"Yes",IF(AND(A474=MAIN!$B$3,E474&lt;=MAIN!$L$3),"Yes","No")),IF(OR(MAIN!$F$3="Full Year",MAIN!$D$3="All"),"Yes",IF(MAIN!$F$3="Monthly",IF(E474=MAIN!$L$3,"Yes","No"),IF(E474&lt;=MAIN!$L$3,"Yes","No"))))</f>
        <v>Yes</v>
      </c>
      <c r="AA474" t="str">
        <f t="shared" si="47"/>
        <v>No</v>
      </c>
    </row>
    <row r="475" spans="1:27" x14ac:dyDescent="0.3">
      <c r="A475">
        <f>INDEX(SETTINGS!$A$15:$A$24,$B475)</f>
        <v>2027</v>
      </c>
      <c r="B475">
        <v>3</v>
      </c>
      <c r="C475" t="str">
        <f>IF(AND(A475&gt;=SETTINGS!$B$4,A475&lt;=SETTINGS!$B$5),"Yes","No")</f>
        <v>No</v>
      </c>
      <c r="D475" t="str">
        <f>IFERROR(INDEX(SETTINGS!$C$15:$C$24,MATCH(A475,SETTINGS!$A$15:$A$24,0)),"No")</f>
        <v>No</v>
      </c>
      <c r="E475">
        <v>1</v>
      </c>
      <c r="F475" t="s">
        <v>2</v>
      </c>
      <c r="G475">
        <v>29</v>
      </c>
      <c r="H475" t="s">
        <v>111</v>
      </c>
      <c r="I475" t="s">
        <v>30</v>
      </c>
      <c r="J475" t="s">
        <v>32</v>
      </c>
      <c r="K475" t="s">
        <v>3</v>
      </c>
      <c r="L475" s="36">
        <f ca="1">IF(C475&lt;&gt;"Yes",0,IF(A475=2025,N('2025'!D29),IF(A475=2026,N('2026'!D29),IF(A475=2027,N('2027'!D29),IF(A475=2028,N('2028'!D29),IF(A475=2029,N('2029'!D29),IF(A475=2030,N('2030'!D29),IF(A475=2031,N('2031'!D29),IF(A475=2032,N('2032'!D29),IF(A475=2033,N('2033'!D29),IF(A475=2034,N('2034'!D29),IFERROR(N(INDIRECT("'"&amp;A475&amp;"'!D"&amp;G475)),0))))))))))))</f>
        <v>0</v>
      </c>
      <c r="M475" s="36">
        <f>IFERROR(IF(NOT(ISBLANK(KPI_TARGETS!$I$22)),KPI_TARGETS!$I$22,IF(NOT(ISBLANK(KPI_TARGETS!$F$22)),KPI_TARGETS!$F$22,"")),"")</f>
        <v>1</v>
      </c>
      <c r="N475" s="36" t="str">
        <f>IFERROR(KPI_TARGETS!$E$22,"Higher is better")</f>
        <v>Higher is better</v>
      </c>
      <c r="O475" s="37">
        <f t="shared" ca="1" si="42"/>
        <v>0</v>
      </c>
      <c r="P475" t="str">
        <f t="shared" ca="1" si="43"/>
        <v>Red</v>
      </c>
      <c r="Q475" s="36">
        <f t="shared" ca="1" si="44"/>
        <v>-1</v>
      </c>
      <c r="R475" s="36" t="str">
        <f>""</f>
        <v/>
      </c>
      <c r="S475" s="36" t="str">
        <f>""</f>
        <v/>
      </c>
      <c r="T475" s="36" t="str">
        <f>""</f>
        <v/>
      </c>
      <c r="U475" s="36" t="str">
        <f>""</f>
        <v/>
      </c>
      <c r="V475" s="36" t="str">
        <f>""</f>
        <v/>
      </c>
      <c r="W475" s="36">
        <f t="shared" si="45"/>
        <v>1</v>
      </c>
      <c r="X475" t="str">
        <f t="shared" si="46"/>
        <v>Inactive</v>
      </c>
      <c r="Y475" t="str">
        <f>IF(MAIN!$H$3="Selected Year",IF(A475=MAIN!$B$3,"Yes","No"),IF(MAIN!$H$3="Included Years",IF(D475="Yes","Yes","No"),IF(C475="Yes","Yes","No")))</f>
        <v>No</v>
      </c>
      <c r="Z475" t="str">
        <f>IF(MAIN!$F$3="Project to Date",IF(AND(A475&gt;=SETTINGS!$B$4,A475&lt;MAIN!$B$3),"Yes",IF(AND(A475=MAIN!$B$3,E475&lt;=MAIN!$L$3),"Yes","No")),IF(OR(MAIN!$F$3="Full Year",MAIN!$D$3="All"),"Yes",IF(MAIN!$F$3="Monthly",IF(E475=MAIN!$L$3,"Yes","No"),IF(E475&lt;=MAIN!$L$3,"Yes","No"))))</f>
        <v>Yes</v>
      </c>
      <c r="AA475" t="str">
        <f t="shared" si="47"/>
        <v>No</v>
      </c>
    </row>
    <row r="476" spans="1:27" x14ac:dyDescent="0.3">
      <c r="A476">
        <f>INDEX(SETTINGS!$A$15:$A$24,$B476)</f>
        <v>2027</v>
      </c>
      <c r="B476">
        <v>3</v>
      </c>
      <c r="C476" t="str">
        <f>IF(AND(A476&gt;=SETTINGS!$B$4,A476&lt;=SETTINGS!$B$5),"Yes","No")</f>
        <v>No</v>
      </c>
      <c r="D476" t="str">
        <f>IFERROR(INDEX(SETTINGS!$C$15:$C$24,MATCH(A476,SETTINGS!$A$15:$A$24,0)),"No")</f>
        <v>No</v>
      </c>
      <c r="E476">
        <v>1</v>
      </c>
      <c r="F476" t="s">
        <v>2</v>
      </c>
      <c r="G476">
        <v>30</v>
      </c>
      <c r="H476" t="s">
        <v>112</v>
      </c>
      <c r="I476" t="s">
        <v>30</v>
      </c>
      <c r="J476" t="s">
        <v>33</v>
      </c>
      <c r="K476" t="s">
        <v>34</v>
      </c>
      <c r="L476" s="36">
        <f ca="1">IF(C476&lt;&gt;"Yes",0,IF(A476=2025,N('2025'!D30),IF(A476=2026,N('2026'!D30),IF(A476=2027,N('2027'!D30),IF(A476=2028,N('2028'!D30),IF(A476=2029,N('2029'!D30),IF(A476=2030,N('2030'!D30),IF(A476=2031,N('2031'!D30),IF(A476=2032,N('2032'!D30),IF(A476=2033,N('2033'!D30),IF(A476=2034,N('2034'!D30),IFERROR(N(INDIRECT("'"&amp;A476&amp;"'!D"&amp;G476)),0))))))))))))</f>
        <v>0</v>
      </c>
      <c r="M476" s="36">
        <f>IFERROR(IF(NOT(ISBLANK(KPI_TARGETS!$I$23)),KPI_TARGETS!$I$23,IF(NOT(ISBLANK(KPI_TARGETS!$F$23)),KPI_TARGETS!$F$23,"")),"")</f>
        <v>1</v>
      </c>
      <c r="N476" s="36" t="str">
        <f>IFERROR(KPI_TARGETS!$E$23,"Higher is better")</f>
        <v>Higher is better</v>
      </c>
      <c r="O476" s="37">
        <f t="shared" ca="1" si="42"/>
        <v>0</v>
      </c>
      <c r="P476" t="str">
        <f t="shared" ca="1" si="43"/>
        <v>Red</v>
      </c>
      <c r="Q476" s="36">
        <f t="shared" ca="1" si="44"/>
        <v>-1</v>
      </c>
      <c r="R476" s="36" t="str">
        <f>""</f>
        <v/>
      </c>
      <c r="S476" s="36" t="str">
        <f>""</f>
        <v/>
      </c>
      <c r="T476" s="36" t="str">
        <f>""</f>
        <v/>
      </c>
      <c r="U476" s="36" t="str">
        <f>""</f>
        <v/>
      </c>
      <c r="V476" s="36" t="str">
        <f>""</f>
        <v/>
      </c>
      <c r="W476" s="36">
        <f t="shared" si="45"/>
        <v>1</v>
      </c>
      <c r="X476" t="str">
        <f t="shared" si="46"/>
        <v>Inactive</v>
      </c>
      <c r="Y476" t="str">
        <f>IF(MAIN!$H$3="Selected Year",IF(A476=MAIN!$B$3,"Yes","No"),IF(MAIN!$H$3="Included Years",IF(D476="Yes","Yes","No"),IF(C476="Yes","Yes","No")))</f>
        <v>No</v>
      </c>
      <c r="Z476" t="str">
        <f>IF(MAIN!$F$3="Project to Date",IF(AND(A476&gt;=SETTINGS!$B$4,A476&lt;MAIN!$B$3),"Yes",IF(AND(A476=MAIN!$B$3,E476&lt;=MAIN!$L$3),"Yes","No")),IF(OR(MAIN!$F$3="Full Year",MAIN!$D$3="All"),"Yes",IF(MAIN!$F$3="Monthly",IF(E476=MAIN!$L$3,"Yes","No"),IF(E476&lt;=MAIN!$L$3,"Yes","No"))))</f>
        <v>Yes</v>
      </c>
      <c r="AA476" t="str">
        <f t="shared" si="47"/>
        <v>No</v>
      </c>
    </row>
    <row r="477" spans="1:27" x14ac:dyDescent="0.3">
      <c r="A477">
        <f>INDEX(SETTINGS!$A$15:$A$24,$B477)</f>
        <v>2027</v>
      </c>
      <c r="B477">
        <v>3</v>
      </c>
      <c r="C477" t="str">
        <f>IF(AND(A477&gt;=SETTINGS!$B$4,A477&lt;=SETTINGS!$B$5),"Yes","No")</f>
        <v>No</v>
      </c>
      <c r="D477" t="str">
        <f>IFERROR(INDEX(SETTINGS!$C$15:$C$24,MATCH(A477,SETTINGS!$A$15:$A$24,0)),"No")</f>
        <v>No</v>
      </c>
      <c r="E477">
        <v>2</v>
      </c>
      <c r="F477" t="s">
        <v>35</v>
      </c>
      <c r="G477">
        <v>33</v>
      </c>
      <c r="H477" t="s">
        <v>88</v>
      </c>
      <c r="I477" t="s">
        <v>89</v>
      </c>
      <c r="J477" t="s">
        <v>10</v>
      </c>
      <c r="K477" t="s">
        <v>3</v>
      </c>
      <c r="L477" s="36">
        <f ca="1">IF(C477&lt;&gt;"Yes",0,IF(A477=2025,N('2025'!D33),IF(A477=2026,N('2026'!D33),IF(A477=2027,N('2027'!D33),IF(A477=2028,N('2028'!D33),IF(A477=2029,N('2029'!D33),IF(A477=2030,N('2030'!D33),IF(A477=2031,N('2031'!D33),IF(A477=2032,N('2032'!D33),IF(A477=2033,N('2033'!D33),IF(A477=2034,N('2034'!D33),IFERROR(N(INDIRECT("'"&amp;A477&amp;"'!D"&amp;G477)),0))))))))))))</f>
        <v>0</v>
      </c>
      <c r="M477" s="36">
        <f>IFERROR(IF(NOT(ISBLANK(KPI_TARGETS!$I$5)),KPI_TARGETS!$I$5,IF(NOT(ISBLANK(KPI_TARGETS!$F$5)),KPI_TARGETS!$F$5,"")),"")</f>
        <v>104</v>
      </c>
      <c r="N477" s="36" t="str">
        <f>IFERROR(KPI_TARGETS!$E$5,"Higher is better")</f>
        <v>Higher is better</v>
      </c>
      <c r="O477" s="37">
        <f t="shared" ca="1" si="42"/>
        <v>0</v>
      </c>
      <c r="P477" t="str">
        <f t="shared" ca="1" si="43"/>
        <v>Red</v>
      </c>
      <c r="Q477" s="36">
        <f t="shared" ca="1" si="44"/>
        <v>-104</v>
      </c>
      <c r="R477" s="36" t="str">
        <f>""</f>
        <v/>
      </c>
      <c r="S477" s="36" t="str">
        <f>""</f>
        <v/>
      </c>
      <c r="T477" s="36" t="str">
        <f>""</f>
        <v/>
      </c>
      <c r="U477" s="36" t="str">
        <f>""</f>
        <v/>
      </c>
      <c r="V477" s="36" t="str">
        <f>""</f>
        <v/>
      </c>
      <c r="W477" s="36">
        <f t="shared" si="45"/>
        <v>1</v>
      </c>
      <c r="X477" t="str">
        <f t="shared" si="46"/>
        <v>Inactive</v>
      </c>
      <c r="Y477" t="str">
        <f>IF(MAIN!$H$3="Selected Year",IF(A477=MAIN!$B$3,"Yes","No"),IF(MAIN!$H$3="Included Years",IF(D477="Yes","Yes","No"),IF(C477="Yes","Yes","No")))</f>
        <v>No</v>
      </c>
      <c r="Z477" t="str">
        <f>IF(MAIN!$F$3="Project to Date",IF(AND(A477&gt;=SETTINGS!$B$4,A477&lt;MAIN!$B$3),"Yes",IF(AND(A477=MAIN!$B$3,E477&lt;=MAIN!$L$3),"Yes","No")),IF(OR(MAIN!$F$3="Full Year",MAIN!$D$3="All"),"Yes",IF(MAIN!$F$3="Monthly",IF(E477=MAIN!$L$3,"Yes","No"),IF(E477&lt;=MAIN!$L$3,"Yes","No"))))</f>
        <v>Yes</v>
      </c>
      <c r="AA477" t="str">
        <f t="shared" si="47"/>
        <v>No</v>
      </c>
    </row>
    <row r="478" spans="1:27" x14ac:dyDescent="0.3">
      <c r="A478">
        <f>INDEX(SETTINGS!$A$15:$A$24,$B478)</f>
        <v>2027</v>
      </c>
      <c r="B478">
        <v>3</v>
      </c>
      <c r="C478" t="str">
        <f>IF(AND(A478&gt;=SETTINGS!$B$4,A478&lt;=SETTINGS!$B$5),"Yes","No")</f>
        <v>No</v>
      </c>
      <c r="D478" t="str">
        <f>IFERROR(INDEX(SETTINGS!$C$15:$C$24,MATCH(A478,SETTINGS!$A$15:$A$24,0)),"No")</f>
        <v>No</v>
      </c>
      <c r="E478">
        <v>2</v>
      </c>
      <c r="F478" t="s">
        <v>35</v>
      </c>
      <c r="G478">
        <v>34</v>
      </c>
      <c r="H478" t="s">
        <v>91</v>
      </c>
      <c r="I478" t="s">
        <v>89</v>
      </c>
      <c r="J478" t="s">
        <v>11</v>
      </c>
      <c r="K478" t="s">
        <v>12</v>
      </c>
      <c r="L478" s="36">
        <f ca="1">IF(C478&lt;&gt;"Yes",0,IF(A478=2025,N('2025'!D34),IF(A478=2026,N('2026'!D34),IF(A478=2027,N('2027'!D34),IF(A478=2028,N('2028'!D34),IF(A478=2029,N('2029'!D34),IF(A478=2030,N('2030'!D34),IF(A478=2031,N('2031'!D34),IF(A478=2032,N('2032'!D34),IF(A478=2033,N('2033'!D34),IF(A478=2034,N('2034'!D34),IFERROR(N(INDIRECT("'"&amp;A478&amp;"'!D"&amp;G478)),0))))))))))))</f>
        <v>0</v>
      </c>
      <c r="M478" s="36">
        <f>IFERROR(IF(NOT(ISBLANK(KPI_TARGETS!$I$6)),KPI_TARGETS!$I$6,IF(NOT(ISBLANK(KPI_TARGETS!$F$6)),KPI_TARGETS!$F$6,"")),"")</f>
        <v>4000</v>
      </c>
      <c r="N478" s="36" t="str">
        <f>IFERROR(KPI_TARGETS!$E$6,"Higher is better")</f>
        <v>Higher is better</v>
      </c>
      <c r="O478" s="37">
        <f t="shared" ca="1" si="42"/>
        <v>0</v>
      </c>
      <c r="P478" t="str">
        <f t="shared" ca="1" si="43"/>
        <v>Red</v>
      </c>
      <c r="Q478" s="36">
        <f t="shared" ca="1" si="44"/>
        <v>-4000</v>
      </c>
      <c r="R478" s="36" t="str">
        <f>""</f>
        <v/>
      </c>
      <c r="S478" s="36" t="str">
        <f>""</f>
        <v/>
      </c>
      <c r="T478" s="36" t="str">
        <f>""</f>
        <v/>
      </c>
      <c r="U478" s="36" t="str">
        <f>""</f>
        <v/>
      </c>
      <c r="V478" s="36" t="str">
        <f>""</f>
        <v/>
      </c>
      <c r="W478" s="36">
        <f t="shared" si="45"/>
        <v>1</v>
      </c>
      <c r="X478" t="str">
        <f t="shared" si="46"/>
        <v>Inactive</v>
      </c>
      <c r="Y478" t="str">
        <f>IF(MAIN!$H$3="Selected Year",IF(A478=MAIN!$B$3,"Yes","No"),IF(MAIN!$H$3="Included Years",IF(D478="Yes","Yes","No"),IF(C478="Yes","Yes","No")))</f>
        <v>No</v>
      </c>
      <c r="Z478" t="str">
        <f>IF(MAIN!$F$3="Project to Date",IF(AND(A478&gt;=SETTINGS!$B$4,A478&lt;MAIN!$B$3),"Yes",IF(AND(A478=MAIN!$B$3,E478&lt;=MAIN!$L$3),"Yes","No")),IF(OR(MAIN!$F$3="Full Year",MAIN!$D$3="All"),"Yes",IF(MAIN!$F$3="Monthly",IF(E478=MAIN!$L$3,"Yes","No"),IF(E478&lt;=MAIN!$L$3,"Yes","No"))))</f>
        <v>Yes</v>
      </c>
      <c r="AA478" t="str">
        <f t="shared" si="47"/>
        <v>No</v>
      </c>
    </row>
    <row r="479" spans="1:27" x14ac:dyDescent="0.3">
      <c r="A479">
        <f>INDEX(SETTINGS!$A$15:$A$24,$B479)</f>
        <v>2027</v>
      </c>
      <c r="B479">
        <v>3</v>
      </c>
      <c r="C479" t="str">
        <f>IF(AND(A479&gt;=SETTINGS!$B$4,A479&lt;=SETTINGS!$B$5),"Yes","No")</f>
        <v>No</v>
      </c>
      <c r="D479" t="str">
        <f>IFERROR(INDEX(SETTINGS!$C$15:$C$24,MATCH(A479,SETTINGS!$A$15:$A$24,0)),"No")</f>
        <v>No</v>
      </c>
      <c r="E479">
        <v>2</v>
      </c>
      <c r="F479" t="s">
        <v>35</v>
      </c>
      <c r="G479">
        <v>35</v>
      </c>
      <c r="H479" t="s">
        <v>93</v>
      </c>
      <c r="I479" t="s">
        <v>89</v>
      </c>
      <c r="J479" t="s">
        <v>13</v>
      </c>
      <c r="K479" t="s">
        <v>14</v>
      </c>
      <c r="L479" s="36">
        <f ca="1">IF(C479&lt;&gt;"Yes",0,IF(A479=2025,N('2025'!D35),IF(A479=2026,N('2026'!D35),IF(A479=2027,N('2027'!D35),IF(A479=2028,N('2028'!D35),IF(A479=2029,N('2029'!D35),IF(A479=2030,N('2030'!D35),IF(A479=2031,N('2031'!D35),IF(A479=2032,N('2032'!D35),IF(A479=2033,N('2033'!D35),IF(A479=2034,N('2034'!D35),IFERROR(N(INDIRECT("'"&amp;A479&amp;"'!D"&amp;G479)),0))))))))))))</f>
        <v>0</v>
      </c>
      <c r="M479" s="36">
        <f>IFERROR(IF(NOT(ISBLANK(KPI_TARGETS!$I$7)),KPI_TARGETS!$I$7,IF(NOT(ISBLANK(KPI_TARGETS!$F$7)),KPI_TARGETS!$F$7,"")),"")</f>
        <v>8000</v>
      </c>
      <c r="N479" s="36" t="str">
        <f>IFERROR(KPI_TARGETS!$E$7,"Higher is better")</f>
        <v>Higher is better</v>
      </c>
      <c r="O479" s="37">
        <f t="shared" ca="1" si="42"/>
        <v>0</v>
      </c>
      <c r="P479" t="str">
        <f t="shared" ca="1" si="43"/>
        <v>Red</v>
      </c>
      <c r="Q479" s="36">
        <f t="shared" ca="1" si="44"/>
        <v>-8000</v>
      </c>
      <c r="R479" s="36" t="str">
        <f>""</f>
        <v/>
      </c>
      <c r="S479" s="36" t="str">
        <f>""</f>
        <v/>
      </c>
      <c r="T479" s="36" t="str">
        <f>""</f>
        <v/>
      </c>
      <c r="U479" s="36" t="str">
        <f>""</f>
        <v/>
      </c>
      <c r="V479" s="36" t="str">
        <f>""</f>
        <v/>
      </c>
      <c r="W479" s="36">
        <f t="shared" si="45"/>
        <v>1</v>
      </c>
      <c r="X479" t="str">
        <f t="shared" si="46"/>
        <v>Inactive</v>
      </c>
      <c r="Y479" t="str">
        <f>IF(MAIN!$H$3="Selected Year",IF(A479=MAIN!$B$3,"Yes","No"),IF(MAIN!$H$3="Included Years",IF(D479="Yes","Yes","No"),IF(C479="Yes","Yes","No")))</f>
        <v>No</v>
      </c>
      <c r="Z479" t="str">
        <f>IF(MAIN!$F$3="Project to Date",IF(AND(A479&gt;=SETTINGS!$B$4,A479&lt;MAIN!$B$3),"Yes",IF(AND(A479=MAIN!$B$3,E479&lt;=MAIN!$L$3),"Yes","No")),IF(OR(MAIN!$F$3="Full Year",MAIN!$D$3="All"),"Yes",IF(MAIN!$F$3="Monthly",IF(E479=MAIN!$L$3,"Yes","No"),IF(E479&lt;=MAIN!$L$3,"Yes","No"))))</f>
        <v>Yes</v>
      </c>
      <c r="AA479" t="str">
        <f t="shared" si="47"/>
        <v>No</v>
      </c>
    </row>
    <row r="480" spans="1:27" x14ac:dyDescent="0.3">
      <c r="A480">
        <f>INDEX(SETTINGS!$A$15:$A$24,$B480)</f>
        <v>2027</v>
      </c>
      <c r="B480">
        <v>3</v>
      </c>
      <c r="C480" t="str">
        <f>IF(AND(A480&gt;=SETTINGS!$B$4,A480&lt;=SETTINGS!$B$5),"Yes","No")</f>
        <v>No</v>
      </c>
      <c r="D480" t="str">
        <f>IFERROR(INDEX(SETTINGS!$C$15:$C$24,MATCH(A480,SETTINGS!$A$15:$A$24,0)),"No")</f>
        <v>No</v>
      </c>
      <c r="E480">
        <v>2</v>
      </c>
      <c r="F480" t="s">
        <v>35</v>
      </c>
      <c r="G480">
        <v>37</v>
      </c>
      <c r="H480" t="s">
        <v>95</v>
      </c>
      <c r="I480" t="s">
        <v>15</v>
      </c>
      <c r="J480" t="s">
        <v>16</v>
      </c>
      <c r="K480" t="s">
        <v>3</v>
      </c>
      <c r="L480" s="36">
        <f ca="1">IF(C480&lt;&gt;"Yes",0,IF(A480=2025,N('2025'!D37),IF(A480=2026,N('2026'!D37),IF(A480=2027,N('2027'!D37),IF(A480=2028,N('2028'!D37),IF(A480=2029,N('2029'!D37),IF(A480=2030,N('2030'!D37),IF(A480=2031,N('2031'!D37),IF(A480=2032,N('2032'!D37),IF(A480=2033,N('2033'!D37),IF(A480=2034,N('2034'!D37),IFERROR(N(INDIRECT("'"&amp;A480&amp;"'!D"&amp;G480)),0))))))))))))</f>
        <v>0</v>
      </c>
      <c r="M480" s="36">
        <f>IFERROR(IF(NOT(ISBLANK(KPI_TARGETS!$I$8)),KPI_TARGETS!$I$8,IF(NOT(ISBLANK(KPI_TARGETS!$F$8)),KPI_TARGETS!$F$8,"")),"")</f>
        <v>0</v>
      </c>
      <c r="N480" s="36" t="str">
        <f>IFERROR(KPI_TARGETS!$E$8,"Higher is better")</f>
        <v>Lower is better</v>
      </c>
      <c r="O480" s="37">
        <f t="shared" ca="1" si="42"/>
        <v>1</v>
      </c>
      <c r="P480" t="str">
        <f t="shared" ca="1" si="43"/>
        <v>Green</v>
      </c>
      <c r="Q480" s="36">
        <f t="shared" ca="1" si="44"/>
        <v>0</v>
      </c>
      <c r="R480" s="36" t="str">
        <f>""</f>
        <v/>
      </c>
      <c r="S480" s="36" t="str">
        <f>""</f>
        <v/>
      </c>
      <c r="T480" s="36" t="str">
        <f>""</f>
        <v/>
      </c>
      <c r="U480" s="36" t="str">
        <f>""</f>
        <v/>
      </c>
      <c r="V480" s="36" t="str">
        <f>""</f>
        <v/>
      </c>
      <c r="W480" s="36">
        <f t="shared" si="45"/>
        <v>1</v>
      </c>
      <c r="X480" t="str">
        <f t="shared" si="46"/>
        <v>Inactive</v>
      </c>
      <c r="Y480" t="str">
        <f>IF(MAIN!$H$3="Selected Year",IF(A480=MAIN!$B$3,"Yes","No"),IF(MAIN!$H$3="Included Years",IF(D480="Yes","Yes","No"),IF(C480="Yes","Yes","No")))</f>
        <v>No</v>
      </c>
      <c r="Z480" t="str">
        <f>IF(MAIN!$F$3="Project to Date",IF(AND(A480&gt;=SETTINGS!$B$4,A480&lt;MAIN!$B$3),"Yes",IF(AND(A480=MAIN!$B$3,E480&lt;=MAIN!$L$3),"Yes","No")),IF(OR(MAIN!$F$3="Full Year",MAIN!$D$3="All"),"Yes",IF(MAIN!$F$3="Monthly",IF(E480=MAIN!$L$3,"Yes","No"),IF(E480&lt;=MAIN!$L$3,"Yes","No"))))</f>
        <v>Yes</v>
      </c>
      <c r="AA480" t="str">
        <f t="shared" si="47"/>
        <v>No</v>
      </c>
    </row>
    <row r="481" spans="1:27" x14ac:dyDescent="0.3">
      <c r="A481">
        <f>INDEX(SETTINGS!$A$15:$A$24,$B481)</f>
        <v>2027</v>
      </c>
      <c r="B481">
        <v>3</v>
      </c>
      <c r="C481" t="str">
        <f>IF(AND(A481&gt;=SETTINGS!$B$4,A481&lt;=SETTINGS!$B$5),"Yes","No")</f>
        <v>No</v>
      </c>
      <c r="D481" t="str">
        <f>IFERROR(INDEX(SETTINGS!$C$15:$C$24,MATCH(A481,SETTINGS!$A$15:$A$24,0)),"No")</f>
        <v>No</v>
      </c>
      <c r="E481">
        <v>2</v>
      </c>
      <c r="F481" t="s">
        <v>35</v>
      </c>
      <c r="G481">
        <v>38</v>
      </c>
      <c r="H481" t="s">
        <v>97</v>
      </c>
      <c r="I481" t="s">
        <v>15</v>
      </c>
      <c r="J481" t="s">
        <v>17</v>
      </c>
      <c r="K481" t="s">
        <v>3</v>
      </c>
      <c r="L481" s="36">
        <f ca="1">IF(C481&lt;&gt;"Yes",0,IF(A481=2025,N('2025'!D38),IF(A481=2026,N('2026'!D38),IF(A481=2027,N('2027'!D38),IF(A481=2028,N('2028'!D38),IF(A481=2029,N('2029'!D38),IF(A481=2030,N('2030'!D38),IF(A481=2031,N('2031'!D38),IF(A481=2032,N('2032'!D38),IF(A481=2033,N('2033'!D38),IF(A481=2034,N('2034'!D38),IFERROR(N(INDIRECT("'"&amp;A481&amp;"'!D"&amp;G481)),0))))))))))))</f>
        <v>0</v>
      </c>
      <c r="M481" s="36">
        <f>IFERROR(IF(NOT(ISBLANK(KPI_TARGETS!$I$9)),KPI_TARGETS!$I$9,IF(NOT(ISBLANK(KPI_TARGETS!$F$9)),KPI_TARGETS!$F$9,"")),"")</f>
        <v>0</v>
      </c>
      <c r="N481" s="36" t="str">
        <f>IFERROR(KPI_TARGETS!$E$9,"Higher is better")</f>
        <v>Higher is better</v>
      </c>
      <c r="O481" s="37" t="str">
        <f t="shared" ca="1" si="42"/>
        <v/>
      </c>
      <c r="P481" t="str">
        <f t="shared" ca="1" si="43"/>
        <v>Green</v>
      </c>
      <c r="Q481" s="36">
        <f t="shared" ca="1" si="44"/>
        <v>0</v>
      </c>
      <c r="R481" s="36" t="str">
        <f>""</f>
        <v/>
      </c>
      <c r="S481" s="36" t="str">
        <f>""</f>
        <v/>
      </c>
      <c r="T481" s="36" t="str">
        <f>""</f>
        <v/>
      </c>
      <c r="U481" s="36" t="str">
        <f>""</f>
        <v/>
      </c>
      <c r="V481" s="36" t="str">
        <f>""</f>
        <v/>
      </c>
      <c r="W481" s="36">
        <f t="shared" si="45"/>
        <v>1</v>
      </c>
      <c r="X481" t="str">
        <f t="shared" si="46"/>
        <v>Inactive</v>
      </c>
      <c r="Y481" t="str">
        <f>IF(MAIN!$H$3="Selected Year",IF(A481=MAIN!$B$3,"Yes","No"),IF(MAIN!$H$3="Included Years",IF(D481="Yes","Yes","No"),IF(C481="Yes","Yes","No")))</f>
        <v>No</v>
      </c>
      <c r="Z481" t="str">
        <f>IF(MAIN!$F$3="Project to Date",IF(AND(A481&gt;=SETTINGS!$B$4,A481&lt;MAIN!$B$3),"Yes",IF(AND(A481=MAIN!$B$3,E481&lt;=MAIN!$L$3),"Yes","No")),IF(OR(MAIN!$F$3="Full Year",MAIN!$D$3="All"),"Yes",IF(MAIN!$F$3="Monthly",IF(E481=MAIN!$L$3,"Yes","No"),IF(E481&lt;=MAIN!$L$3,"Yes","No"))))</f>
        <v>Yes</v>
      </c>
      <c r="AA481" t="str">
        <f t="shared" si="47"/>
        <v>No</v>
      </c>
    </row>
    <row r="482" spans="1:27" x14ac:dyDescent="0.3">
      <c r="A482">
        <f>INDEX(SETTINGS!$A$15:$A$24,$B482)</f>
        <v>2027</v>
      </c>
      <c r="B482">
        <v>3</v>
      </c>
      <c r="C482" t="str">
        <f>IF(AND(A482&gt;=SETTINGS!$B$4,A482&lt;=SETTINGS!$B$5),"Yes","No")</f>
        <v>No</v>
      </c>
      <c r="D482" t="str">
        <f>IFERROR(INDEX(SETTINGS!$C$15:$C$24,MATCH(A482,SETTINGS!$A$15:$A$24,0)),"No")</f>
        <v>No</v>
      </c>
      <c r="E482">
        <v>2</v>
      </c>
      <c r="F482" t="s">
        <v>35</v>
      </c>
      <c r="G482">
        <v>39</v>
      </c>
      <c r="H482" t="s">
        <v>99</v>
      </c>
      <c r="I482" t="s">
        <v>15</v>
      </c>
      <c r="J482" t="s">
        <v>18</v>
      </c>
      <c r="K482" t="s">
        <v>3</v>
      </c>
      <c r="L482" s="36">
        <f ca="1">IF(C482&lt;&gt;"Yes",0,IF(A482=2025,N('2025'!D39),IF(A482=2026,N('2026'!D39),IF(A482=2027,N('2027'!D39),IF(A482=2028,N('2028'!D39),IF(A482=2029,N('2029'!D39),IF(A482=2030,N('2030'!D39),IF(A482=2031,N('2031'!D39),IF(A482=2032,N('2032'!D39),IF(A482=2033,N('2033'!D39),IF(A482=2034,N('2034'!D39),IFERROR(N(INDIRECT("'"&amp;A482&amp;"'!D"&amp;G482)),0))))))))))))</f>
        <v>0</v>
      </c>
      <c r="M482" s="36">
        <f>IFERROR(IF(NOT(ISBLANK(KPI_TARGETS!$I$10)),KPI_TARGETS!$I$10,IF(NOT(ISBLANK(KPI_TARGETS!$F$10)),KPI_TARGETS!$F$10,"")),"")</f>
        <v>0</v>
      </c>
      <c r="N482" s="36" t="str">
        <f>IFERROR(KPI_TARGETS!$E$10,"Higher is better")</f>
        <v>Lower is better</v>
      </c>
      <c r="O482" s="37">
        <f t="shared" ca="1" si="42"/>
        <v>1</v>
      </c>
      <c r="P482" t="str">
        <f t="shared" ca="1" si="43"/>
        <v>Green</v>
      </c>
      <c r="Q482" s="36">
        <f t="shared" ca="1" si="44"/>
        <v>0</v>
      </c>
      <c r="R482" s="36" t="str">
        <f>""</f>
        <v/>
      </c>
      <c r="S482" s="36" t="str">
        <f>""</f>
        <v/>
      </c>
      <c r="T482" s="36" t="str">
        <f>""</f>
        <v/>
      </c>
      <c r="U482" s="36" t="str">
        <f>""</f>
        <v/>
      </c>
      <c r="V482" s="36" t="str">
        <f>""</f>
        <v/>
      </c>
      <c r="W482" s="36">
        <f t="shared" si="45"/>
        <v>1</v>
      </c>
      <c r="X482" t="str">
        <f t="shared" si="46"/>
        <v>Inactive</v>
      </c>
      <c r="Y482" t="str">
        <f>IF(MAIN!$H$3="Selected Year",IF(A482=MAIN!$B$3,"Yes","No"),IF(MAIN!$H$3="Included Years",IF(D482="Yes","Yes","No"),IF(C482="Yes","Yes","No")))</f>
        <v>No</v>
      </c>
      <c r="Z482" t="str">
        <f>IF(MAIN!$F$3="Project to Date",IF(AND(A482&gt;=SETTINGS!$B$4,A482&lt;MAIN!$B$3),"Yes",IF(AND(A482=MAIN!$B$3,E482&lt;=MAIN!$L$3),"Yes","No")),IF(OR(MAIN!$F$3="Full Year",MAIN!$D$3="All"),"Yes",IF(MAIN!$F$3="Monthly",IF(E482=MAIN!$L$3,"Yes","No"),IF(E482&lt;=MAIN!$L$3,"Yes","No"))))</f>
        <v>Yes</v>
      </c>
      <c r="AA482" t="str">
        <f t="shared" si="47"/>
        <v>No</v>
      </c>
    </row>
    <row r="483" spans="1:27" x14ac:dyDescent="0.3">
      <c r="A483">
        <f>INDEX(SETTINGS!$A$15:$A$24,$B483)</f>
        <v>2027</v>
      </c>
      <c r="B483">
        <v>3</v>
      </c>
      <c r="C483" t="str">
        <f>IF(AND(A483&gt;=SETTINGS!$B$4,A483&lt;=SETTINGS!$B$5),"Yes","No")</f>
        <v>No</v>
      </c>
      <c r="D483" t="str">
        <f>IFERROR(INDEX(SETTINGS!$C$15:$C$24,MATCH(A483,SETTINGS!$A$15:$A$24,0)),"No")</f>
        <v>No</v>
      </c>
      <c r="E483">
        <v>2</v>
      </c>
      <c r="F483" t="s">
        <v>35</v>
      </c>
      <c r="G483">
        <v>40</v>
      </c>
      <c r="H483" t="s">
        <v>100</v>
      </c>
      <c r="I483" t="s">
        <v>15</v>
      </c>
      <c r="J483" t="s">
        <v>19</v>
      </c>
      <c r="K483" t="s">
        <v>3</v>
      </c>
      <c r="L483" s="36">
        <f ca="1">IF(C483&lt;&gt;"Yes",0,IF(A483=2025,N('2025'!D40),IF(A483=2026,N('2026'!D40),IF(A483=2027,N('2027'!D40),IF(A483=2028,N('2028'!D40),IF(A483=2029,N('2029'!D40),IF(A483=2030,N('2030'!D40),IF(A483=2031,N('2031'!D40),IF(A483=2032,N('2032'!D40),IF(A483=2033,N('2033'!D40),IF(A483=2034,N('2034'!D40),IFERROR(N(INDIRECT("'"&amp;A483&amp;"'!D"&amp;G483)),0))))))))))))</f>
        <v>0</v>
      </c>
      <c r="M483" s="36">
        <f>IFERROR(IF(NOT(ISBLANK(KPI_TARGETS!$I$11)),KPI_TARGETS!$I$11,IF(NOT(ISBLANK(KPI_TARGETS!$F$11)),KPI_TARGETS!$F$11,"")),"")</f>
        <v>0</v>
      </c>
      <c r="N483" s="36" t="str">
        <f>IFERROR(KPI_TARGETS!$E$11,"Higher is better")</f>
        <v>Lower is better</v>
      </c>
      <c r="O483" s="37">
        <f t="shared" ca="1" si="42"/>
        <v>1</v>
      </c>
      <c r="P483" t="str">
        <f t="shared" ca="1" si="43"/>
        <v>Green</v>
      </c>
      <c r="Q483" s="36">
        <f t="shared" ca="1" si="44"/>
        <v>0</v>
      </c>
      <c r="R483" s="36" t="str">
        <f>""</f>
        <v/>
      </c>
      <c r="S483" s="36" t="str">
        <f>""</f>
        <v/>
      </c>
      <c r="T483" s="36" t="str">
        <f>""</f>
        <v/>
      </c>
      <c r="U483" s="36" t="str">
        <f>""</f>
        <v/>
      </c>
      <c r="V483" s="36" t="str">
        <f>""</f>
        <v/>
      </c>
      <c r="W483" s="36">
        <f t="shared" si="45"/>
        <v>1</v>
      </c>
      <c r="X483" t="str">
        <f t="shared" si="46"/>
        <v>Inactive</v>
      </c>
      <c r="Y483" t="str">
        <f>IF(MAIN!$H$3="Selected Year",IF(A483=MAIN!$B$3,"Yes","No"),IF(MAIN!$H$3="Included Years",IF(D483="Yes","Yes","No"),IF(C483="Yes","Yes","No")))</f>
        <v>No</v>
      </c>
      <c r="Z483" t="str">
        <f>IF(MAIN!$F$3="Project to Date",IF(AND(A483&gt;=SETTINGS!$B$4,A483&lt;MAIN!$B$3),"Yes",IF(AND(A483=MAIN!$B$3,E483&lt;=MAIN!$L$3),"Yes","No")),IF(OR(MAIN!$F$3="Full Year",MAIN!$D$3="All"),"Yes",IF(MAIN!$F$3="Monthly",IF(E483=MAIN!$L$3,"Yes","No"),IF(E483&lt;=MAIN!$L$3,"Yes","No"))))</f>
        <v>Yes</v>
      </c>
      <c r="AA483" t="str">
        <f t="shared" si="47"/>
        <v>No</v>
      </c>
    </row>
    <row r="484" spans="1:27" x14ac:dyDescent="0.3">
      <c r="A484">
        <f>INDEX(SETTINGS!$A$15:$A$24,$B484)</f>
        <v>2027</v>
      </c>
      <c r="B484">
        <v>3</v>
      </c>
      <c r="C484" t="str">
        <f>IF(AND(A484&gt;=SETTINGS!$B$4,A484&lt;=SETTINGS!$B$5),"Yes","No")</f>
        <v>No</v>
      </c>
      <c r="D484" t="str">
        <f>IFERROR(INDEX(SETTINGS!$C$15:$C$24,MATCH(A484,SETTINGS!$A$15:$A$24,0)),"No")</f>
        <v>No</v>
      </c>
      <c r="E484">
        <v>2</v>
      </c>
      <c r="F484" t="s">
        <v>35</v>
      </c>
      <c r="G484">
        <v>41</v>
      </c>
      <c r="H484" t="s">
        <v>101</v>
      </c>
      <c r="I484" t="s">
        <v>15</v>
      </c>
      <c r="J484" t="s">
        <v>20</v>
      </c>
      <c r="K484" t="s">
        <v>3</v>
      </c>
      <c r="L484" s="36">
        <f ca="1">IF(C484&lt;&gt;"Yes",0,IF(A484=2025,N('2025'!D41),IF(A484=2026,N('2026'!D41),IF(A484=2027,N('2027'!D41),IF(A484=2028,N('2028'!D41),IF(A484=2029,N('2029'!D41),IF(A484=2030,N('2030'!D41),IF(A484=2031,N('2031'!D41),IF(A484=2032,N('2032'!D41),IF(A484=2033,N('2033'!D41),IF(A484=2034,N('2034'!D41),IFERROR(N(INDIRECT("'"&amp;A484&amp;"'!D"&amp;G484)),0))))))))))))</f>
        <v>0</v>
      </c>
      <c r="M484" s="36">
        <f>IFERROR(IF(NOT(ISBLANK(KPI_TARGETS!$I$12)),KPI_TARGETS!$I$12,IF(NOT(ISBLANK(KPI_TARGETS!$F$12)),KPI_TARGETS!$F$12,"")),"")</f>
        <v>0</v>
      </c>
      <c r="N484" s="36" t="str">
        <f>IFERROR(KPI_TARGETS!$E$12,"Higher is better")</f>
        <v>Lower is better</v>
      </c>
      <c r="O484" s="37">
        <f t="shared" ca="1" si="42"/>
        <v>1</v>
      </c>
      <c r="P484" t="str">
        <f t="shared" ca="1" si="43"/>
        <v>Green</v>
      </c>
      <c r="Q484" s="36">
        <f t="shared" ca="1" si="44"/>
        <v>0</v>
      </c>
      <c r="R484" s="36" t="str">
        <f>""</f>
        <v/>
      </c>
      <c r="S484" s="36" t="str">
        <f>""</f>
        <v/>
      </c>
      <c r="T484" s="36" t="str">
        <f>""</f>
        <v/>
      </c>
      <c r="U484" s="36" t="str">
        <f>""</f>
        <v/>
      </c>
      <c r="V484" s="36" t="str">
        <f>""</f>
        <v/>
      </c>
      <c r="W484" s="36">
        <f t="shared" si="45"/>
        <v>1</v>
      </c>
      <c r="X484" t="str">
        <f t="shared" si="46"/>
        <v>Inactive</v>
      </c>
      <c r="Y484" t="str">
        <f>IF(MAIN!$H$3="Selected Year",IF(A484=MAIN!$B$3,"Yes","No"),IF(MAIN!$H$3="Included Years",IF(D484="Yes","Yes","No"),IF(C484="Yes","Yes","No")))</f>
        <v>No</v>
      </c>
      <c r="Z484" t="str">
        <f>IF(MAIN!$F$3="Project to Date",IF(AND(A484&gt;=SETTINGS!$B$4,A484&lt;MAIN!$B$3),"Yes",IF(AND(A484=MAIN!$B$3,E484&lt;=MAIN!$L$3),"Yes","No")),IF(OR(MAIN!$F$3="Full Year",MAIN!$D$3="All"),"Yes",IF(MAIN!$F$3="Monthly",IF(E484=MAIN!$L$3,"Yes","No"),IF(E484&lt;=MAIN!$L$3,"Yes","No"))))</f>
        <v>Yes</v>
      </c>
      <c r="AA484" t="str">
        <f t="shared" si="47"/>
        <v>No</v>
      </c>
    </row>
    <row r="485" spans="1:27" x14ac:dyDescent="0.3">
      <c r="A485">
        <f>INDEX(SETTINGS!$A$15:$A$24,$B485)</f>
        <v>2027</v>
      </c>
      <c r="B485">
        <v>3</v>
      </c>
      <c r="C485" t="str">
        <f>IF(AND(A485&gt;=SETTINGS!$B$4,A485&lt;=SETTINGS!$B$5),"Yes","No")</f>
        <v>No</v>
      </c>
      <c r="D485" t="str">
        <f>IFERROR(INDEX(SETTINGS!$C$15:$C$24,MATCH(A485,SETTINGS!$A$15:$A$24,0)),"No")</f>
        <v>No</v>
      </c>
      <c r="E485">
        <v>2</v>
      </c>
      <c r="F485" t="s">
        <v>35</v>
      </c>
      <c r="G485">
        <v>42</v>
      </c>
      <c r="H485" t="s">
        <v>102</v>
      </c>
      <c r="I485" t="s">
        <v>15</v>
      </c>
      <c r="J485" t="s">
        <v>21</v>
      </c>
      <c r="K485" t="s">
        <v>3</v>
      </c>
      <c r="L485" s="36">
        <f ca="1">IF(C485&lt;&gt;"Yes",0,IF(A485=2025,N('2025'!D42),IF(A485=2026,N('2026'!D42),IF(A485=2027,N('2027'!D42),IF(A485=2028,N('2028'!D42),IF(A485=2029,N('2029'!D42),IF(A485=2030,N('2030'!D42),IF(A485=2031,N('2031'!D42),IF(A485=2032,N('2032'!D42),IF(A485=2033,N('2033'!D42),IF(A485=2034,N('2034'!D42),IFERROR(N(INDIRECT("'"&amp;A485&amp;"'!D"&amp;G485)),0))))))))))))</f>
        <v>0</v>
      </c>
      <c r="M485" s="36">
        <f>IFERROR(IF(NOT(ISBLANK(KPI_TARGETS!$I$13)),KPI_TARGETS!$I$13,IF(NOT(ISBLANK(KPI_TARGETS!$F$13)),KPI_TARGETS!$F$13,"")),"")</f>
        <v>0</v>
      </c>
      <c r="N485" s="36" t="str">
        <f>IFERROR(KPI_TARGETS!$E$13,"Higher is better")</f>
        <v>Lower is better</v>
      </c>
      <c r="O485" s="37">
        <f t="shared" ca="1" si="42"/>
        <v>1</v>
      </c>
      <c r="P485" t="str">
        <f t="shared" ca="1" si="43"/>
        <v>Green</v>
      </c>
      <c r="Q485" s="36">
        <f t="shared" ca="1" si="44"/>
        <v>0</v>
      </c>
      <c r="R485" s="36" t="str">
        <f>""</f>
        <v/>
      </c>
      <c r="S485" s="36" t="str">
        <f>""</f>
        <v/>
      </c>
      <c r="T485" s="36" t="str">
        <f>""</f>
        <v/>
      </c>
      <c r="U485" s="36" t="str">
        <f>""</f>
        <v/>
      </c>
      <c r="V485" s="36" t="str">
        <f>""</f>
        <v/>
      </c>
      <c r="W485" s="36">
        <f t="shared" si="45"/>
        <v>1</v>
      </c>
      <c r="X485" t="str">
        <f t="shared" si="46"/>
        <v>Inactive</v>
      </c>
      <c r="Y485" t="str">
        <f>IF(MAIN!$H$3="Selected Year",IF(A485=MAIN!$B$3,"Yes","No"),IF(MAIN!$H$3="Included Years",IF(D485="Yes","Yes","No"),IF(C485="Yes","Yes","No")))</f>
        <v>No</v>
      </c>
      <c r="Z485" t="str">
        <f>IF(MAIN!$F$3="Project to Date",IF(AND(A485&gt;=SETTINGS!$B$4,A485&lt;MAIN!$B$3),"Yes",IF(AND(A485=MAIN!$B$3,E485&lt;=MAIN!$L$3),"Yes","No")),IF(OR(MAIN!$F$3="Full Year",MAIN!$D$3="All"),"Yes",IF(MAIN!$F$3="Monthly",IF(E485=MAIN!$L$3,"Yes","No"),IF(E485&lt;=MAIN!$L$3,"Yes","No"))))</f>
        <v>Yes</v>
      </c>
      <c r="AA485" t="str">
        <f t="shared" si="47"/>
        <v>No</v>
      </c>
    </row>
    <row r="486" spans="1:27" x14ac:dyDescent="0.3">
      <c r="A486">
        <f>INDEX(SETTINGS!$A$15:$A$24,$B486)</f>
        <v>2027</v>
      </c>
      <c r="B486">
        <v>3</v>
      </c>
      <c r="C486" t="str">
        <f>IF(AND(A486&gt;=SETTINGS!$B$4,A486&lt;=SETTINGS!$B$5),"Yes","No")</f>
        <v>No</v>
      </c>
      <c r="D486" t="str">
        <f>IFERROR(INDEX(SETTINGS!$C$15:$C$24,MATCH(A486,SETTINGS!$A$15:$A$24,0)),"No")</f>
        <v>No</v>
      </c>
      <c r="E486">
        <v>2</v>
      </c>
      <c r="F486" t="s">
        <v>35</v>
      </c>
      <c r="G486">
        <v>44</v>
      </c>
      <c r="H486" t="s">
        <v>103</v>
      </c>
      <c r="I486" t="s">
        <v>22</v>
      </c>
      <c r="J486" t="s">
        <v>23</v>
      </c>
      <c r="K486" t="s">
        <v>3</v>
      </c>
      <c r="L486" s="36">
        <f ca="1">IF(C486&lt;&gt;"Yes",0,IF(A486=2025,N('2025'!D44),IF(A486=2026,N('2026'!D44),IF(A486=2027,N('2027'!D44),IF(A486=2028,N('2028'!D44),IF(A486=2029,N('2029'!D44),IF(A486=2030,N('2030'!D44),IF(A486=2031,N('2031'!D44),IF(A486=2032,N('2032'!D44),IF(A486=2033,N('2033'!D44),IF(A486=2034,N('2034'!D44),IFERROR(N(INDIRECT("'"&amp;A486&amp;"'!D"&amp;G486)),0))))))))))))</f>
        <v>0</v>
      </c>
      <c r="M486" s="36">
        <f>IFERROR(IF(NOT(ISBLANK(KPI_TARGETS!$I$14)),KPI_TARGETS!$I$14,IF(NOT(ISBLANK(KPI_TARGETS!$F$14)),KPI_TARGETS!$F$14,"")),"")</f>
        <v>35</v>
      </c>
      <c r="N486" s="36" t="str">
        <f>IFERROR(KPI_TARGETS!$E$14,"Higher is better")</f>
        <v>Higher is better</v>
      </c>
      <c r="O486" s="37">
        <f t="shared" ca="1" si="42"/>
        <v>0</v>
      </c>
      <c r="P486" t="str">
        <f t="shared" ca="1" si="43"/>
        <v>Red</v>
      </c>
      <c r="Q486" s="36">
        <f t="shared" ca="1" si="44"/>
        <v>-35</v>
      </c>
      <c r="R486" s="36" t="str">
        <f>""</f>
        <v/>
      </c>
      <c r="S486" s="36" t="str">
        <f>""</f>
        <v/>
      </c>
      <c r="T486" s="36" t="str">
        <f>""</f>
        <v/>
      </c>
      <c r="U486" s="36" t="str">
        <f>""</f>
        <v/>
      </c>
      <c r="V486" s="36" t="str">
        <f>""</f>
        <v/>
      </c>
      <c r="W486" s="36">
        <f t="shared" si="45"/>
        <v>1</v>
      </c>
      <c r="X486" t="str">
        <f t="shared" si="46"/>
        <v>Inactive</v>
      </c>
      <c r="Y486" t="str">
        <f>IF(MAIN!$H$3="Selected Year",IF(A486=MAIN!$B$3,"Yes","No"),IF(MAIN!$H$3="Included Years",IF(D486="Yes","Yes","No"),IF(C486="Yes","Yes","No")))</f>
        <v>No</v>
      </c>
      <c r="Z486" t="str">
        <f>IF(MAIN!$F$3="Project to Date",IF(AND(A486&gt;=SETTINGS!$B$4,A486&lt;MAIN!$B$3),"Yes",IF(AND(A486=MAIN!$B$3,E486&lt;=MAIN!$L$3),"Yes","No")),IF(OR(MAIN!$F$3="Full Year",MAIN!$D$3="All"),"Yes",IF(MAIN!$F$3="Monthly",IF(E486=MAIN!$L$3,"Yes","No"),IF(E486&lt;=MAIN!$L$3,"Yes","No"))))</f>
        <v>Yes</v>
      </c>
      <c r="AA486" t="str">
        <f t="shared" si="47"/>
        <v>No</v>
      </c>
    </row>
    <row r="487" spans="1:27" x14ac:dyDescent="0.3">
      <c r="A487">
        <f>INDEX(SETTINGS!$A$15:$A$24,$B487)</f>
        <v>2027</v>
      </c>
      <c r="B487">
        <v>3</v>
      </c>
      <c r="C487" t="str">
        <f>IF(AND(A487&gt;=SETTINGS!$B$4,A487&lt;=SETTINGS!$B$5),"Yes","No")</f>
        <v>No</v>
      </c>
      <c r="D487" t="str">
        <f>IFERROR(INDEX(SETTINGS!$C$15:$C$24,MATCH(A487,SETTINGS!$A$15:$A$24,0)),"No")</f>
        <v>No</v>
      </c>
      <c r="E487">
        <v>2</v>
      </c>
      <c r="F487" t="s">
        <v>35</v>
      </c>
      <c r="G487">
        <v>45</v>
      </c>
      <c r="H487" t="s">
        <v>104</v>
      </c>
      <c r="I487" t="s">
        <v>22</v>
      </c>
      <c r="J487" t="s">
        <v>24</v>
      </c>
      <c r="K487" t="s">
        <v>3</v>
      </c>
      <c r="L487" s="36">
        <f ca="1">IF(C487&lt;&gt;"Yes",0,IF(A487=2025,N('2025'!D45),IF(A487=2026,N('2026'!D45),IF(A487=2027,N('2027'!D45),IF(A487=2028,N('2028'!D45),IF(A487=2029,N('2029'!D45),IF(A487=2030,N('2030'!D45),IF(A487=2031,N('2031'!D45),IF(A487=2032,N('2032'!D45),IF(A487=2033,N('2033'!D45),IF(A487=2034,N('2034'!D45),IFERROR(N(INDIRECT("'"&amp;A487&amp;"'!D"&amp;G487)),0))))))))))))</f>
        <v>0</v>
      </c>
      <c r="M487" s="36">
        <f>IFERROR(IF(NOT(ISBLANK(KPI_TARGETS!$I$15)),KPI_TARGETS!$I$15,IF(NOT(ISBLANK(KPI_TARGETS!$F$15)),KPI_TARGETS!$F$15,"")),"")</f>
        <v>5</v>
      </c>
      <c r="N487" s="36" t="str">
        <f>IFERROR(KPI_TARGETS!$E$15,"Higher is better")</f>
        <v>Higher is better</v>
      </c>
      <c r="O487" s="37">
        <f t="shared" ca="1" si="42"/>
        <v>0</v>
      </c>
      <c r="P487" t="str">
        <f t="shared" ca="1" si="43"/>
        <v>Red</v>
      </c>
      <c r="Q487" s="36">
        <f t="shared" ca="1" si="44"/>
        <v>-5</v>
      </c>
      <c r="R487" s="36" t="str">
        <f>""</f>
        <v/>
      </c>
      <c r="S487" s="36" t="str">
        <f>""</f>
        <v/>
      </c>
      <c r="T487" s="36" t="str">
        <f>""</f>
        <v/>
      </c>
      <c r="U487" s="36" t="str">
        <f>""</f>
        <v/>
      </c>
      <c r="V487" s="36" t="str">
        <f>""</f>
        <v/>
      </c>
      <c r="W487" s="36">
        <f t="shared" si="45"/>
        <v>1</v>
      </c>
      <c r="X487" t="str">
        <f t="shared" si="46"/>
        <v>Inactive</v>
      </c>
      <c r="Y487" t="str">
        <f>IF(MAIN!$H$3="Selected Year",IF(A487=MAIN!$B$3,"Yes","No"),IF(MAIN!$H$3="Included Years",IF(D487="Yes","Yes","No"),IF(C487="Yes","Yes","No")))</f>
        <v>No</v>
      </c>
      <c r="Z487" t="str">
        <f>IF(MAIN!$F$3="Project to Date",IF(AND(A487&gt;=SETTINGS!$B$4,A487&lt;MAIN!$B$3),"Yes",IF(AND(A487=MAIN!$B$3,E487&lt;=MAIN!$L$3),"Yes","No")),IF(OR(MAIN!$F$3="Full Year",MAIN!$D$3="All"),"Yes",IF(MAIN!$F$3="Monthly",IF(E487=MAIN!$L$3,"Yes","No"),IF(E487&lt;=MAIN!$L$3,"Yes","No"))))</f>
        <v>Yes</v>
      </c>
      <c r="AA487" t="str">
        <f t="shared" si="47"/>
        <v>No</v>
      </c>
    </row>
    <row r="488" spans="1:27" x14ac:dyDescent="0.3">
      <c r="A488">
        <f>INDEX(SETTINGS!$A$15:$A$24,$B488)</f>
        <v>2027</v>
      </c>
      <c r="B488">
        <v>3</v>
      </c>
      <c r="C488" t="str">
        <f>IF(AND(A488&gt;=SETTINGS!$B$4,A488&lt;=SETTINGS!$B$5),"Yes","No")</f>
        <v>No</v>
      </c>
      <c r="D488" t="str">
        <f>IFERROR(INDEX(SETTINGS!$C$15:$C$24,MATCH(A488,SETTINGS!$A$15:$A$24,0)),"No")</f>
        <v>No</v>
      </c>
      <c r="E488">
        <v>2</v>
      </c>
      <c r="F488" t="s">
        <v>35</v>
      </c>
      <c r="G488">
        <v>46</v>
      </c>
      <c r="H488" t="s">
        <v>105</v>
      </c>
      <c r="I488" t="s">
        <v>22</v>
      </c>
      <c r="J488" t="s">
        <v>25</v>
      </c>
      <c r="K488" t="s">
        <v>3</v>
      </c>
      <c r="L488" s="36">
        <f ca="1">IF(C488&lt;&gt;"Yes",0,IF(A488=2025,N('2025'!D46),IF(A488=2026,N('2026'!D46),IF(A488=2027,N('2027'!D46),IF(A488=2028,N('2028'!D46),IF(A488=2029,N('2029'!D46),IF(A488=2030,N('2030'!D46),IF(A488=2031,N('2031'!D46),IF(A488=2032,N('2032'!D46),IF(A488=2033,N('2033'!D46),IF(A488=2034,N('2034'!D46),IFERROR(N(INDIRECT("'"&amp;A488&amp;"'!D"&amp;G488)),0))))))))))))</f>
        <v>0</v>
      </c>
      <c r="M488" s="36">
        <f>IFERROR(IF(NOT(ISBLANK(KPI_TARGETS!$I$16)),KPI_TARGETS!$I$16,IF(NOT(ISBLANK(KPI_TARGETS!$F$16)),KPI_TARGETS!$F$16,"")),"")</f>
        <v>4</v>
      </c>
      <c r="N488" s="36" t="str">
        <f>IFERROR(KPI_TARGETS!$E$16,"Higher is better")</f>
        <v>Higher is better</v>
      </c>
      <c r="O488" s="37">
        <f t="shared" ca="1" si="42"/>
        <v>0</v>
      </c>
      <c r="P488" t="str">
        <f t="shared" ca="1" si="43"/>
        <v>Red</v>
      </c>
      <c r="Q488" s="36">
        <f t="shared" ca="1" si="44"/>
        <v>-4</v>
      </c>
      <c r="R488" s="36" t="str">
        <f>""</f>
        <v/>
      </c>
      <c r="S488" s="36" t="str">
        <f>""</f>
        <v/>
      </c>
      <c r="T488" s="36" t="str">
        <f>""</f>
        <v/>
      </c>
      <c r="U488" s="36" t="str">
        <f>""</f>
        <v/>
      </c>
      <c r="V488" s="36" t="str">
        <f>""</f>
        <v/>
      </c>
      <c r="W488" s="36">
        <f t="shared" si="45"/>
        <v>1</v>
      </c>
      <c r="X488" t="str">
        <f t="shared" si="46"/>
        <v>Inactive</v>
      </c>
      <c r="Y488" t="str">
        <f>IF(MAIN!$H$3="Selected Year",IF(A488=MAIN!$B$3,"Yes","No"),IF(MAIN!$H$3="Included Years",IF(D488="Yes","Yes","No"),IF(C488="Yes","Yes","No")))</f>
        <v>No</v>
      </c>
      <c r="Z488" t="str">
        <f>IF(MAIN!$F$3="Project to Date",IF(AND(A488&gt;=SETTINGS!$B$4,A488&lt;MAIN!$B$3),"Yes",IF(AND(A488=MAIN!$B$3,E488&lt;=MAIN!$L$3),"Yes","No")),IF(OR(MAIN!$F$3="Full Year",MAIN!$D$3="All"),"Yes",IF(MAIN!$F$3="Monthly",IF(E488=MAIN!$L$3,"Yes","No"),IF(E488&lt;=MAIN!$L$3,"Yes","No"))))</f>
        <v>Yes</v>
      </c>
      <c r="AA488" t="str">
        <f t="shared" si="47"/>
        <v>No</v>
      </c>
    </row>
    <row r="489" spans="1:27" x14ac:dyDescent="0.3">
      <c r="A489">
        <f>INDEX(SETTINGS!$A$15:$A$24,$B489)</f>
        <v>2027</v>
      </c>
      <c r="B489">
        <v>3</v>
      </c>
      <c r="C489" t="str">
        <f>IF(AND(A489&gt;=SETTINGS!$B$4,A489&lt;=SETTINGS!$B$5),"Yes","No")</f>
        <v>No</v>
      </c>
      <c r="D489" t="str">
        <f>IFERROR(INDEX(SETTINGS!$C$15:$C$24,MATCH(A489,SETTINGS!$A$15:$A$24,0)),"No")</f>
        <v>No</v>
      </c>
      <c r="E489">
        <v>2</v>
      </c>
      <c r="F489" t="s">
        <v>35</v>
      </c>
      <c r="G489">
        <v>47</v>
      </c>
      <c r="H489" t="s">
        <v>106</v>
      </c>
      <c r="I489" t="s">
        <v>22</v>
      </c>
      <c r="J489" t="s">
        <v>26</v>
      </c>
      <c r="K489" t="s">
        <v>3</v>
      </c>
      <c r="L489" s="36">
        <f ca="1">IF(C489&lt;&gt;"Yes",0,IF(A489=2025,N('2025'!D47),IF(A489=2026,N('2026'!D47),IF(A489=2027,N('2027'!D47),IF(A489=2028,N('2028'!D47),IF(A489=2029,N('2029'!D47),IF(A489=2030,N('2030'!D47),IF(A489=2031,N('2031'!D47),IF(A489=2032,N('2032'!D47),IF(A489=2033,N('2033'!D47),IF(A489=2034,N('2034'!D47),IFERROR(N(INDIRECT("'"&amp;A489&amp;"'!D"&amp;G489)),0))))))))))))</f>
        <v>0</v>
      </c>
      <c r="M489" s="36">
        <f>IFERROR(IF(NOT(ISBLANK(KPI_TARGETS!$I$17)),KPI_TARGETS!$I$17,IF(NOT(ISBLANK(KPI_TARGETS!$F$17)),KPI_TARGETS!$F$17,"")),"")</f>
        <v>12</v>
      </c>
      <c r="N489" s="36" t="str">
        <f>IFERROR(KPI_TARGETS!$E$17,"Higher is better")</f>
        <v>Higher is better</v>
      </c>
      <c r="O489" s="37">
        <f t="shared" ca="1" si="42"/>
        <v>0</v>
      </c>
      <c r="P489" t="str">
        <f t="shared" ca="1" si="43"/>
        <v>Red</v>
      </c>
      <c r="Q489" s="36">
        <f t="shared" ca="1" si="44"/>
        <v>-12</v>
      </c>
      <c r="R489" s="36" t="str">
        <f>""</f>
        <v/>
      </c>
      <c r="S489" s="36" t="str">
        <f>""</f>
        <v/>
      </c>
      <c r="T489" s="36" t="str">
        <f>""</f>
        <v/>
      </c>
      <c r="U489" s="36" t="str">
        <f>""</f>
        <v/>
      </c>
      <c r="V489" s="36" t="str">
        <f>""</f>
        <v/>
      </c>
      <c r="W489" s="36">
        <f t="shared" si="45"/>
        <v>1</v>
      </c>
      <c r="X489" t="str">
        <f t="shared" si="46"/>
        <v>Inactive</v>
      </c>
      <c r="Y489" t="str">
        <f>IF(MAIN!$H$3="Selected Year",IF(A489=MAIN!$B$3,"Yes","No"),IF(MAIN!$H$3="Included Years",IF(D489="Yes","Yes","No"),IF(C489="Yes","Yes","No")))</f>
        <v>No</v>
      </c>
      <c r="Z489" t="str">
        <f>IF(MAIN!$F$3="Project to Date",IF(AND(A489&gt;=SETTINGS!$B$4,A489&lt;MAIN!$B$3),"Yes",IF(AND(A489=MAIN!$B$3,E489&lt;=MAIN!$L$3),"Yes","No")),IF(OR(MAIN!$F$3="Full Year",MAIN!$D$3="All"),"Yes",IF(MAIN!$F$3="Monthly",IF(E489=MAIN!$L$3,"Yes","No"),IF(E489&lt;=MAIN!$L$3,"Yes","No"))))</f>
        <v>Yes</v>
      </c>
      <c r="AA489" t="str">
        <f t="shared" si="47"/>
        <v>No</v>
      </c>
    </row>
    <row r="490" spans="1:27" x14ac:dyDescent="0.3">
      <c r="A490">
        <f>INDEX(SETTINGS!$A$15:$A$24,$B490)</f>
        <v>2027</v>
      </c>
      <c r="B490">
        <v>3</v>
      </c>
      <c r="C490" t="str">
        <f>IF(AND(A490&gt;=SETTINGS!$B$4,A490&lt;=SETTINGS!$B$5),"Yes","No")</f>
        <v>No</v>
      </c>
      <c r="D490" t="str">
        <f>IFERROR(INDEX(SETTINGS!$C$15:$C$24,MATCH(A490,SETTINGS!$A$15:$A$24,0)),"No")</f>
        <v>No</v>
      </c>
      <c r="E490">
        <v>2</v>
      </c>
      <c r="F490" t="s">
        <v>35</v>
      </c>
      <c r="G490">
        <v>48</v>
      </c>
      <c r="H490" t="s">
        <v>107</v>
      </c>
      <c r="I490" t="s">
        <v>22</v>
      </c>
      <c r="J490" t="s">
        <v>27</v>
      </c>
      <c r="K490" t="s">
        <v>3</v>
      </c>
      <c r="L490" s="36">
        <f ca="1">IF(C490&lt;&gt;"Yes",0,IF(A490=2025,N('2025'!D48),IF(A490=2026,N('2026'!D48),IF(A490=2027,N('2027'!D48),IF(A490=2028,N('2028'!D48),IF(A490=2029,N('2029'!D48),IF(A490=2030,N('2030'!D48),IF(A490=2031,N('2031'!D48),IF(A490=2032,N('2032'!D48),IF(A490=2033,N('2033'!D48),IF(A490=2034,N('2034'!D48),IFERROR(N(INDIRECT("'"&amp;A490&amp;"'!D"&amp;G490)),0))))))))))))</f>
        <v>0</v>
      </c>
      <c r="M490" s="36">
        <f>IFERROR(IF(NOT(ISBLANK(KPI_TARGETS!$I$18)),KPI_TARGETS!$I$18,IF(NOT(ISBLANK(KPI_TARGETS!$F$18)),KPI_TARGETS!$F$18,"")),"")</f>
        <v>4</v>
      </c>
      <c r="N490" s="36" t="str">
        <f>IFERROR(KPI_TARGETS!$E$18,"Higher is better")</f>
        <v>Higher is better</v>
      </c>
      <c r="O490" s="37">
        <f t="shared" ca="1" si="42"/>
        <v>0</v>
      </c>
      <c r="P490" t="str">
        <f t="shared" ca="1" si="43"/>
        <v>Red</v>
      </c>
      <c r="Q490" s="36">
        <f t="shared" ca="1" si="44"/>
        <v>-4</v>
      </c>
      <c r="R490" s="36" t="str">
        <f>""</f>
        <v/>
      </c>
      <c r="S490" s="36" t="str">
        <f>""</f>
        <v/>
      </c>
      <c r="T490" s="36" t="str">
        <f>""</f>
        <v/>
      </c>
      <c r="U490" s="36" t="str">
        <f>""</f>
        <v/>
      </c>
      <c r="V490" s="36" t="str">
        <f>""</f>
        <v/>
      </c>
      <c r="W490" s="36">
        <f t="shared" si="45"/>
        <v>1</v>
      </c>
      <c r="X490" t="str">
        <f t="shared" si="46"/>
        <v>Inactive</v>
      </c>
      <c r="Y490" t="str">
        <f>IF(MAIN!$H$3="Selected Year",IF(A490=MAIN!$B$3,"Yes","No"),IF(MAIN!$H$3="Included Years",IF(D490="Yes","Yes","No"),IF(C490="Yes","Yes","No")))</f>
        <v>No</v>
      </c>
      <c r="Z490" t="str">
        <f>IF(MAIN!$F$3="Project to Date",IF(AND(A490&gt;=SETTINGS!$B$4,A490&lt;MAIN!$B$3),"Yes",IF(AND(A490=MAIN!$B$3,E490&lt;=MAIN!$L$3),"Yes","No")),IF(OR(MAIN!$F$3="Full Year",MAIN!$D$3="All"),"Yes",IF(MAIN!$F$3="Monthly",IF(E490=MAIN!$L$3,"Yes","No"),IF(E490&lt;=MAIN!$L$3,"Yes","No"))))</f>
        <v>Yes</v>
      </c>
      <c r="AA490" t="str">
        <f t="shared" si="47"/>
        <v>No</v>
      </c>
    </row>
    <row r="491" spans="1:27" x14ac:dyDescent="0.3">
      <c r="A491">
        <f>INDEX(SETTINGS!$A$15:$A$24,$B491)</f>
        <v>2027</v>
      </c>
      <c r="B491">
        <v>3</v>
      </c>
      <c r="C491" t="str">
        <f>IF(AND(A491&gt;=SETTINGS!$B$4,A491&lt;=SETTINGS!$B$5),"Yes","No")</f>
        <v>No</v>
      </c>
      <c r="D491" t="str">
        <f>IFERROR(INDEX(SETTINGS!$C$15:$C$24,MATCH(A491,SETTINGS!$A$15:$A$24,0)),"No")</f>
        <v>No</v>
      </c>
      <c r="E491">
        <v>2</v>
      </c>
      <c r="F491" t="s">
        <v>35</v>
      </c>
      <c r="G491">
        <v>49</v>
      </c>
      <c r="H491" t="s">
        <v>108</v>
      </c>
      <c r="I491" t="s">
        <v>22</v>
      </c>
      <c r="J491" t="s">
        <v>28</v>
      </c>
      <c r="K491" t="s">
        <v>3</v>
      </c>
      <c r="L491" s="36">
        <f ca="1">IF(C491&lt;&gt;"Yes",0,IF(A491=2025,N('2025'!D49),IF(A491=2026,N('2026'!D49),IF(A491=2027,N('2027'!D49),IF(A491=2028,N('2028'!D49),IF(A491=2029,N('2029'!D49),IF(A491=2030,N('2030'!D49),IF(A491=2031,N('2031'!D49),IF(A491=2032,N('2032'!D49),IF(A491=2033,N('2033'!D49),IF(A491=2034,N('2034'!D49),IFERROR(N(INDIRECT("'"&amp;A491&amp;"'!D"&amp;G491)),0))))))))))))</f>
        <v>0</v>
      </c>
      <c r="M491" s="36">
        <f>IFERROR(IF(NOT(ISBLANK(KPI_TARGETS!$I$19)),KPI_TARGETS!$I$19,IF(NOT(ISBLANK(KPI_TARGETS!$F$19)),KPI_TARGETS!$F$19,"")),"")</f>
        <v>16</v>
      </c>
      <c r="N491" s="36" t="str">
        <f>IFERROR(KPI_TARGETS!$E$19,"Higher is better")</f>
        <v>Higher is better</v>
      </c>
      <c r="O491" s="37">
        <f t="shared" ca="1" si="42"/>
        <v>0</v>
      </c>
      <c r="P491" t="str">
        <f t="shared" ca="1" si="43"/>
        <v>Red</v>
      </c>
      <c r="Q491" s="36">
        <f t="shared" ca="1" si="44"/>
        <v>-16</v>
      </c>
      <c r="R491" s="36" t="str">
        <f>""</f>
        <v/>
      </c>
      <c r="S491" s="36" t="str">
        <f>""</f>
        <v/>
      </c>
      <c r="T491" s="36" t="str">
        <f>""</f>
        <v/>
      </c>
      <c r="U491" s="36" t="str">
        <f>""</f>
        <v/>
      </c>
      <c r="V491" s="36" t="str">
        <f>""</f>
        <v/>
      </c>
      <c r="W491" s="36">
        <f t="shared" si="45"/>
        <v>1</v>
      </c>
      <c r="X491" t="str">
        <f t="shared" si="46"/>
        <v>Inactive</v>
      </c>
      <c r="Y491" t="str">
        <f>IF(MAIN!$H$3="Selected Year",IF(A491=MAIN!$B$3,"Yes","No"),IF(MAIN!$H$3="Included Years",IF(D491="Yes","Yes","No"),IF(C491="Yes","Yes","No")))</f>
        <v>No</v>
      </c>
      <c r="Z491" t="str">
        <f>IF(MAIN!$F$3="Project to Date",IF(AND(A491&gt;=SETTINGS!$B$4,A491&lt;MAIN!$B$3),"Yes",IF(AND(A491=MAIN!$B$3,E491&lt;=MAIN!$L$3),"Yes","No")),IF(OR(MAIN!$F$3="Full Year",MAIN!$D$3="All"),"Yes",IF(MAIN!$F$3="Monthly",IF(E491=MAIN!$L$3,"Yes","No"),IF(E491&lt;=MAIN!$L$3,"Yes","No"))))</f>
        <v>Yes</v>
      </c>
      <c r="AA491" t="str">
        <f t="shared" si="47"/>
        <v>No</v>
      </c>
    </row>
    <row r="492" spans="1:27" x14ac:dyDescent="0.3">
      <c r="A492">
        <f>INDEX(SETTINGS!$A$15:$A$24,$B492)</f>
        <v>2027</v>
      </c>
      <c r="B492">
        <v>3</v>
      </c>
      <c r="C492" t="str">
        <f>IF(AND(A492&gt;=SETTINGS!$B$4,A492&lt;=SETTINGS!$B$5),"Yes","No")</f>
        <v>No</v>
      </c>
      <c r="D492" t="str">
        <f>IFERROR(INDEX(SETTINGS!$C$15:$C$24,MATCH(A492,SETTINGS!$A$15:$A$24,0)),"No")</f>
        <v>No</v>
      </c>
      <c r="E492">
        <v>2</v>
      </c>
      <c r="F492" t="s">
        <v>35</v>
      </c>
      <c r="G492">
        <v>50</v>
      </c>
      <c r="H492" t="s">
        <v>109</v>
      </c>
      <c r="I492" t="s">
        <v>22</v>
      </c>
      <c r="J492" t="s">
        <v>29</v>
      </c>
      <c r="K492" t="s">
        <v>3</v>
      </c>
      <c r="L492" s="36">
        <f ca="1">IF(C492&lt;&gt;"Yes",0,IF(A492=2025,N('2025'!D50),IF(A492=2026,N('2026'!D50),IF(A492=2027,N('2027'!D50),IF(A492=2028,N('2028'!D50),IF(A492=2029,N('2029'!D50),IF(A492=2030,N('2030'!D50),IF(A492=2031,N('2031'!D50),IF(A492=2032,N('2032'!D50),IF(A492=2033,N('2033'!D50),IF(A492=2034,N('2034'!D50),IFERROR(N(INDIRECT("'"&amp;A492&amp;"'!D"&amp;G492)),0))))))))))))</f>
        <v>0</v>
      </c>
      <c r="M492" s="36">
        <f>IFERROR(IF(NOT(ISBLANK(KPI_TARGETS!$I$20)),KPI_TARGETS!$I$20,IF(NOT(ISBLANK(KPI_TARGETS!$F$20)),KPI_TARGETS!$F$20,"")),"")</f>
        <v>1</v>
      </c>
      <c r="N492" s="36" t="str">
        <f>IFERROR(KPI_TARGETS!$E$20,"Higher is better")</f>
        <v>Higher is better</v>
      </c>
      <c r="O492" s="37">
        <f t="shared" ca="1" si="42"/>
        <v>0</v>
      </c>
      <c r="P492" t="str">
        <f t="shared" ca="1" si="43"/>
        <v>Red</v>
      </c>
      <c r="Q492" s="36">
        <f t="shared" ca="1" si="44"/>
        <v>-1</v>
      </c>
      <c r="R492" s="36" t="str">
        <f>""</f>
        <v/>
      </c>
      <c r="S492" s="36" t="str">
        <f>""</f>
        <v/>
      </c>
      <c r="T492" s="36" t="str">
        <f>""</f>
        <v/>
      </c>
      <c r="U492" s="36" t="str">
        <f>""</f>
        <v/>
      </c>
      <c r="V492" s="36" t="str">
        <f>""</f>
        <v/>
      </c>
      <c r="W492" s="36">
        <f t="shared" si="45"/>
        <v>1</v>
      </c>
      <c r="X492" t="str">
        <f t="shared" si="46"/>
        <v>Inactive</v>
      </c>
      <c r="Y492" t="str">
        <f>IF(MAIN!$H$3="Selected Year",IF(A492=MAIN!$B$3,"Yes","No"),IF(MAIN!$H$3="Included Years",IF(D492="Yes","Yes","No"),IF(C492="Yes","Yes","No")))</f>
        <v>No</v>
      </c>
      <c r="Z492" t="str">
        <f>IF(MAIN!$F$3="Project to Date",IF(AND(A492&gt;=SETTINGS!$B$4,A492&lt;MAIN!$B$3),"Yes",IF(AND(A492=MAIN!$B$3,E492&lt;=MAIN!$L$3),"Yes","No")),IF(OR(MAIN!$F$3="Full Year",MAIN!$D$3="All"),"Yes",IF(MAIN!$F$3="Monthly",IF(E492=MAIN!$L$3,"Yes","No"),IF(E492&lt;=MAIN!$L$3,"Yes","No"))))</f>
        <v>Yes</v>
      </c>
      <c r="AA492" t="str">
        <f t="shared" si="47"/>
        <v>No</v>
      </c>
    </row>
    <row r="493" spans="1:27" x14ac:dyDescent="0.3">
      <c r="A493">
        <f>INDEX(SETTINGS!$A$15:$A$24,$B493)</f>
        <v>2027</v>
      </c>
      <c r="B493">
        <v>3</v>
      </c>
      <c r="C493" t="str">
        <f>IF(AND(A493&gt;=SETTINGS!$B$4,A493&lt;=SETTINGS!$B$5),"Yes","No")</f>
        <v>No</v>
      </c>
      <c r="D493" t="str">
        <f>IFERROR(INDEX(SETTINGS!$C$15:$C$24,MATCH(A493,SETTINGS!$A$15:$A$24,0)),"No")</f>
        <v>No</v>
      </c>
      <c r="E493">
        <v>2</v>
      </c>
      <c r="F493" t="s">
        <v>35</v>
      </c>
      <c r="G493">
        <v>52</v>
      </c>
      <c r="H493" t="s">
        <v>110</v>
      </c>
      <c r="I493" t="s">
        <v>30</v>
      </c>
      <c r="J493" t="s">
        <v>31</v>
      </c>
      <c r="K493" t="s">
        <v>3</v>
      </c>
      <c r="L493" s="36">
        <f ca="1">IF(C493&lt;&gt;"Yes",0,IF(A493=2025,N('2025'!D52),IF(A493=2026,N('2026'!D52),IF(A493=2027,N('2027'!D52),IF(A493=2028,N('2028'!D52),IF(A493=2029,N('2029'!D52),IF(A493=2030,N('2030'!D52),IF(A493=2031,N('2031'!D52),IF(A493=2032,N('2032'!D52),IF(A493=2033,N('2033'!D52),IF(A493=2034,N('2034'!D52),IFERROR(N(INDIRECT("'"&amp;A493&amp;"'!D"&amp;G493)),0))))))))))))</f>
        <v>0</v>
      </c>
      <c r="M493" s="36">
        <f>IFERROR(IF(NOT(ISBLANK(KPI_TARGETS!$I$21)),KPI_TARGETS!$I$21,IF(NOT(ISBLANK(KPI_TARGETS!$F$21)),KPI_TARGETS!$F$21,"")),"")</f>
        <v>0</v>
      </c>
      <c r="N493" s="36" t="str">
        <f>IFERROR(KPI_TARGETS!$E$21,"Higher is better")</f>
        <v>Lower is better</v>
      </c>
      <c r="O493" s="37">
        <f t="shared" ca="1" si="42"/>
        <v>1</v>
      </c>
      <c r="P493" t="str">
        <f t="shared" ca="1" si="43"/>
        <v>Green</v>
      </c>
      <c r="Q493" s="36">
        <f t="shared" ca="1" si="44"/>
        <v>0</v>
      </c>
      <c r="R493" s="36" t="str">
        <f>""</f>
        <v/>
      </c>
      <c r="S493" s="36" t="str">
        <f>""</f>
        <v/>
      </c>
      <c r="T493" s="36" t="str">
        <f>""</f>
        <v/>
      </c>
      <c r="U493" s="36" t="str">
        <f>""</f>
        <v/>
      </c>
      <c r="V493" s="36" t="str">
        <f>""</f>
        <v/>
      </c>
      <c r="W493" s="36">
        <f t="shared" si="45"/>
        <v>1</v>
      </c>
      <c r="X493" t="str">
        <f t="shared" si="46"/>
        <v>Inactive</v>
      </c>
      <c r="Y493" t="str">
        <f>IF(MAIN!$H$3="Selected Year",IF(A493=MAIN!$B$3,"Yes","No"),IF(MAIN!$H$3="Included Years",IF(D493="Yes","Yes","No"),IF(C493="Yes","Yes","No")))</f>
        <v>No</v>
      </c>
      <c r="Z493" t="str">
        <f>IF(MAIN!$F$3="Project to Date",IF(AND(A493&gt;=SETTINGS!$B$4,A493&lt;MAIN!$B$3),"Yes",IF(AND(A493=MAIN!$B$3,E493&lt;=MAIN!$L$3),"Yes","No")),IF(OR(MAIN!$F$3="Full Year",MAIN!$D$3="All"),"Yes",IF(MAIN!$F$3="Monthly",IF(E493=MAIN!$L$3,"Yes","No"),IF(E493&lt;=MAIN!$L$3,"Yes","No"))))</f>
        <v>Yes</v>
      </c>
      <c r="AA493" t="str">
        <f t="shared" si="47"/>
        <v>No</v>
      </c>
    </row>
    <row r="494" spans="1:27" x14ac:dyDescent="0.3">
      <c r="A494">
        <f>INDEX(SETTINGS!$A$15:$A$24,$B494)</f>
        <v>2027</v>
      </c>
      <c r="B494">
        <v>3</v>
      </c>
      <c r="C494" t="str">
        <f>IF(AND(A494&gt;=SETTINGS!$B$4,A494&lt;=SETTINGS!$B$5),"Yes","No")</f>
        <v>No</v>
      </c>
      <c r="D494" t="str">
        <f>IFERROR(INDEX(SETTINGS!$C$15:$C$24,MATCH(A494,SETTINGS!$A$15:$A$24,0)),"No")</f>
        <v>No</v>
      </c>
      <c r="E494">
        <v>2</v>
      </c>
      <c r="F494" t="s">
        <v>35</v>
      </c>
      <c r="G494">
        <v>53</v>
      </c>
      <c r="H494" t="s">
        <v>111</v>
      </c>
      <c r="I494" t="s">
        <v>30</v>
      </c>
      <c r="J494" t="s">
        <v>32</v>
      </c>
      <c r="K494" t="s">
        <v>3</v>
      </c>
      <c r="L494" s="36">
        <f ca="1">IF(C494&lt;&gt;"Yes",0,IF(A494=2025,N('2025'!D53),IF(A494=2026,N('2026'!D53),IF(A494=2027,N('2027'!D53),IF(A494=2028,N('2028'!D53),IF(A494=2029,N('2029'!D53),IF(A494=2030,N('2030'!D53),IF(A494=2031,N('2031'!D53),IF(A494=2032,N('2032'!D53),IF(A494=2033,N('2033'!D53),IF(A494=2034,N('2034'!D53),IFERROR(N(INDIRECT("'"&amp;A494&amp;"'!D"&amp;G494)),0))))))))))))</f>
        <v>0</v>
      </c>
      <c r="M494" s="36">
        <f>IFERROR(IF(NOT(ISBLANK(KPI_TARGETS!$I$22)),KPI_TARGETS!$I$22,IF(NOT(ISBLANK(KPI_TARGETS!$F$22)),KPI_TARGETS!$F$22,"")),"")</f>
        <v>1</v>
      </c>
      <c r="N494" s="36" t="str">
        <f>IFERROR(KPI_TARGETS!$E$22,"Higher is better")</f>
        <v>Higher is better</v>
      </c>
      <c r="O494" s="37">
        <f t="shared" ca="1" si="42"/>
        <v>0</v>
      </c>
      <c r="P494" t="str">
        <f t="shared" ca="1" si="43"/>
        <v>Red</v>
      </c>
      <c r="Q494" s="36">
        <f t="shared" ca="1" si="44"/>
        <v>-1</v>
      </c>
      <c r="R494" s="36" t="str">
        <f>""</f>
        <v/>
      </c>
      <c r="S494" s="36" t="str">
        <f>""</f>
        <v/>
      </c>
      <c r="T494" s="36" t="str">
        <f>""</f>
        <v/>
      </c>
      <c r="U494" s="36" t="str">
        <f>""</f>
        <v/>
      </c>
      <c r="V494" s="36" t="str">
        <f>""</f>
        <v/>
      </c>
      <c r="W494" s="36">
        <f t="shared" si="45"/>
        <v>1</v>
      </c>
      <c r="X494" t="str">
        <f t="shared" si="46"/>
        <v>Inactive</v>
      </c>
      <c r="Y494" t="str">
        <f>IF(MAIN!$H$3="Selected Year",IF(A494=MAIN!$B$3,"Yes","No"),IF(MAIN!$H$3="Included Years",IF(D494="Yes","Yes","No"),IF(C494="Yes","Yes","No")))</f>
        <v>No</v>
      </c>
      <c r="Z494" t="str">
        <f>IF(MAIN!$F$3="Project to Date",IF(AND(A494&gt;=SETTINGS!$B$4,A494&lt;MAIN!$B$3),"Yes",IF(AND(A494=MAIN!$B$3,E494&lt;=MAIN!$L$3),"Yes","No")),IF(OR(MAIN!$F$3="Full Year",MAIN!$D$3="All"),"Yes",IF(MAIN!$F$3="Monthly",IF(E494=MAIN!$L$3,"Yes","No"),IF(E494&lt;=MAIN!$L$3,"Yes","No"))))</f>
        <v>Yes</v>
      </c>
      <c r="AA494" t="str">
        <f t="shared" si="47"/>
        <v>No</v>
      </c>
    </row>
    <row r="495" spans="1:27" x14ac:dyDescent="0.3">
      <c r="A495">
        <f>INDEX(SETTINGS!$A$15:$A$24,$B495)</f>
        <v>2027</v>
      </c>
      <c r="B495">
        <v>3</v>
      </c>
      <c r="C495" t="str">
        <f>IF(AND(A495&gt;=SETTINGS!$B$4,A495&lt;=SETTINGS!$B$5),"Yes","No")</f>
        <v>No</v>
      </c>
      <c r="D495" t="str">
        <f>IFERROR(INDEX(SETTINGS!$C$15:$C$24,MATCH(A495,SETTINGS!$A$15:$A$24,0)),"No")</f>
        <v>No</v>
      </c>
      <c r="E495">
        <v>2</v>
      </c>
      <c r="F495" t="s">
        <v>35</v>
      </c>
      <c r="G495">
        <v>54</v>
      </c>
      <c r="H495" t="s">
        <v>112</v>
      </c>
      <c r="I495" t="s">
        <v>30</v>
      </c>
      <c r="J495" t="s">
        <v>33</v>
      </c>
      <c r="K495" t="s">
        <v>34</v>
      </c>
      <c r="L495" s="36">
        <f ca="1">IF(C495&lt;&gt;"Yes",0,IF(A495=2025,N('2025'!D54),IF(A495=2026,N('2026'!D54),IF(A495=2027,N('2027'!D54),IF(A495=2028,N('2028'!D54),IF(A495=2029,N('2029'!D54),IF(A495=2030,N('2030'!D54),IF(A495=2031,N('2031'!D54),IF(A495=2032,N('2032'!D54),IF(A495=2033,N('2033'!D54),IF(A495=2034,N('2034'!D54),IFERROR(N(INDIRECT("'"&amp;A495&amp;"'!D"&amp;G495)),0))))))))))))</f>
        <v>0</v>
      </c>
      <c r="M495" s="36">
        <f>IFERROR(IF(NOT(ISBLANK(KPI_TARGETS!$I$23)),KPI_TARGETS!$I$23,IF(NOT(ISBLANK(KPI_TARGETS!$F$23)),KPI_TARGETS!$F$23,"")),"")</f>
        <v>1</v>
      </c>
      <c r="N495" s="36" t="str">
        <f>IFERROR(KPI_TARGETS!$E$23,"Higher is better")</f>
        <v>Higher is better</v>
      </c>
      <c r="O495" s="37">
        <f t="shared" ca="1" si="42"/>
        <v>0</v>
      </c>
      <c r="P495" t="str">
        <f t="shared" ca="1" si="43"/>
        <v>Red</v>
      </c>
      <c r="Q495" s="36">
        <f t="shared" ca="1" si="44"/>
        <v>-1</v>
      </c>
      <c r="R495" s="36" t="str">
        <f>""</f>
        <v/>
      </c>
      <c r="S495" s="36" t="str">
        <f>""</f>
        <v/>
      </c>
      <c r="T495" s="36" t="str">
        <f>""</f>
        <v/>
      </c>
      <c r="U495" s="36" t="str">
        <f>""</f>
        <v/>
      </c>
      <c r="V495" s="36" t="str">
        <f>""</f>
        <v/>
      </c>
      <c r="W495" s="36">
        <f t="shared" si="45"/>
        <v>1</v>
      </c>
      <c r="X495" t="str">
        <f t="shared" si="46"/>
        <v>Inactive</v>
      </c>
      <c r="Y495" t="str">
        <f>IF(MAIN!$H$3="Selected Year",IF(A495=MAIN!$B$3,"Yes","No"),IF(MAIN!$H$3="Included Years",IF(D495="Yes","Yes","No"),IF(C495="Yes","Yes","No")))</f>
        <v>No</v>
      </c>
      <c r="Z495" t="str">
        <f>IF(MAIN!$F$3="Project to Date",IF(AND(A495&gt;=SETTINGS!$B$4,A495&lt;MAIN!$B$3),"Yes",IF(AND(A495=MAIN!$B$3,E495&lt;=MAIN!$L$3),"Yes","No")),IF(OR(MAIN!$F$3="Full Year",MAIN!$D$3="All"),"Yes",IF(MAIN!$F$3="Monthly",IF(E495=MAIN!$L$3,"Yes","No"),IF(E495&lt;=MAIN!$L$3,"Yes","No"))))</f>
        <v>Yes</v>
      </c>
      <c r="AA495" t="str">
        <f t="shared" si="47"/>
        <v>No</v>
      </c>
    </row>
    <row r="496" spans="1:27" x14ac:dyDescent="0.3">
      <c r="A496">
        <f>INDEX(SETTINGS!$A$15:$A$24,$B496)</f>
        <v>2027</v>
      </c>
      <c r="B496">
        <v>3</v>
      </c>
      <c r="C496" t="str">
        <f>IF(AND(A496&gt;=SETTINGS!$B$4,A496&lt;=SETTINGS!$B$5),"Yes","No")</f>
        <v>No</v>
      </c>
      <c r="D496" t="str">
        <f>IFERROR(INDEX(SETTINGS!$C$15:$C$24,MATCH(A496,SETTINGS!$A$15:$A$24,0)),"No")</f>
        <v>No</v>
      </c>
      <c r="E496">
        <v>3</v>
      </c>
      <c r="F496" t="s">
        <v>36</v>
      </c>
      <c r="G496">
        <v>57</v>
      </c>
      <c r="H496" t="s">
        <v>88</v>
      </c>
      <c r="I496" t="s">
        <v>89</v>
      </c>
      <c r="J496" t="s">
        <v>10</v>
      </c>
      <c r="K496" t="s">
        <v>3</v>
      </c>
      <c r="L496" s="36">
        <f ca="1">IF(C496&lt;&gt;"Yes",0,IF(A496=2025,N('2025'!D57),IF(A496=2026,N('2026'!D57),IF(A496=2027,N('2027'!D57),IF(A496=2028,N('2028'!D57),IF(A496=2029,N('2029'!D57),IF(A496=2030,N('2030'!D57),IF(A496=2031,N('2031'!D57),IF(A496=2032,N('2032'!D57),IF(A496=2033,N('2033'!D57),IF(A496=2034,N('2034'!D57),IFERROR(N(INDIRECT("'"&amp;A496&amp;"'!D"&amp;G496)),0))))))))))))</f>
        <v>0</v>
      </c>
      <c r="M496" s="36">
        <f>IFERROR(IF(NOT(ISBLANK(KPI_TARGETS!$I$5)),KPI_TARGETS!$I$5,IF(NOT(ISBLANK(KPI_TARGETS!$F$5)),KPI_TARGETS!$F$5,"")),"")</f>
        <v>104</v>
      </c>
      <c r="N496" s="36" t="str">
        <f>IFERROR(KPI_TARGETS!$E$5,"Higher is better")</f>
        <v>Higher is better</v>
      </c>
      <c r="O496" s="37">
        <f t="shared" ca="1" si="42"/>
        <v>0</v>
      </c>
      <c r="P496" t="str">
        <f t="shared" ca="1" si="43"/>
        <v>Red</v>
      </c>
      <c r="Q496" s="36">
        <f t="shared" ca="1" si="44"/>
        <v>-104</v>
      </c>
      <c r="R496" s="36" t="str">
        <f>""</f>
        <v/>
      </c>
      <c r="S496" s="36" t="str">
        <f>""</f>
        <v/>
      </c>
      <c r="T496" s="36" t="str">
        <f>""</f>
        <v/>
      </c>
      <c r="U496" s="36" t="str">
        <f>""</f>
        <v/>
      </c>
      <c r="V496" s="36" t="str">
        <f>""</f>
        <v/>
      </c>
      <c r="W496" s="36">
        <f t="shared" si="45"/>
        <v>1</v>
      </c>
      <c r="X496" t="str">
        <f t="shared" si="46"/>
        <v>Inactive</v>
      </c>
      <c r="Y496" t="str">
        <f>IF(MAIN!$H$3="Selected Year",IF(A496=MAIN!$B$3,"Yes","No"),IF(MAIN!$H$3="Included Years",IF(D496="Yes","Yes","No"),IF(C496="Yes","Yes","No")))</f>
        <v>No</v>
      </c>
      <c r="Z496" t="str">
        <f>IF(MAIN!$F$3="Project to Date",IF(AND(A496&gt;=SETTINGS!$B$4,A496&lt;MAIN!$B$3),"Yes",IF(AND(A496=MAIN!$B$3,E496&lt;=MAIN!$L$3),"Yes","No")),IF(OR(MAIN!$F$3="Full Year",MAIN!$D$3="All"),"Yes",IF(MAIN!$F$3="Monthly",IF(E496=MAIN!$L$3,"Yes","No"),IF(E496&lt;=MAIN!$L$3,"Yes","No"))))</f>
        <v>Yes</v>
      </c>
      <c r="AA496" t="str">
        <f t="shared" si="47"/>
        <v>No</v>
      </c>
    </row>
    <row r="497" spans="1:27" x14ac:dyDescent="0.3">
      <c r="A497">
        <f>INDEX(SETTINGS!$A$15:$A$24,$B497)</f>
        <v>2027</v>
      </c>
      <c r="B497">
        <v>3</v>
      </c>
      <c r="C497" t="str">
        <f>IF(AND(A497&gt;=SETTINGS!$B$4,A497&lt;=SETTINGS!$B$5),"Yes","No")</f>
        <v>No</v>
      </c>
      <c r="D497" t="str">
        <f>IFERROR(INDEX(SETTINGS!$C$15:$C$24,MATCH(A497,SETTINGS!$A$15:$A$24,0)),"No")</f>
        <v>No</v>
      </c>
      <c r="E497">
        <v>3</v>
      </c>
      <c r="F497" t="s">
        <v>36</v>
      </c>
      <c r="G497">
        <v>58</v>
      </c>
      <c r="H497" t="s">
        <v>91</v>
      </c>
      <c r="I497" t="s">
        <v>89</v>
      </c>
      <c r="J497" t="s">
        <v>11</v>
      </c>
      <c r="K497" t="s">
        <v>12</v>
      </c>
      <c r="L497" s="36">
        <f ca="1">IF(C497&lt;&gt;"Yes",0,IF(A497=2025,N('2025'!D58),IF(A497=2026,N('2026'!D58),IF(A497=2027,N('2027'!D58),IF(A497=2028,N('2028'!D58),IF(A497=2029,N('2029'!D58),IF(A497=2030,N('2030'!D58),IF(A497=2031,N('2031'!D58),IF(A497=2032,N('2032'!D58),IF(A497=2033,N('2033'!D58),IF(A497=2034,N('2034'!D58),IFERROR(N(INDIRECT("'"&amp;A497&amp;"'!D"&amp;G497)),0))))))))))))</f>
        <v>0</v>
      </c>
      <c r="M497" s="36">
        <f>IFERROR(IF(NOT(ISBLANK(KPI_TARGETS!$I$6)),KPI_TARGETS!$I$6,IF(NOT(ISBLANK(KPI_TARGETS!$F$6)),KPI_TARGETS!$F$6,"")),"")</f>
        <v>4000</v>
      </c>
      <c r="N497" s="36" t="str">
        <f>IFERROR(KPI_TARGETS!$E$6,"Higher is better")</f>
        <v>Higher is better</v>
      </c>
      <c r="O497" s="37">
        <f t="shared" ca="1" si="42"/>
        <v>0</v>
      </c>
      <c r="P497" t="str">
        <f t="shared" ca="1" si="43"/>
        <v>Red</v>
      </c>
      <c r="Q497" s="36">
        <f t="shared" ca="1" si="44"/>
        <v>-4000</v>
      </c>
      <c r="R497" s="36" t="str">
        <f>""</f>
        <v/>
      </c>
      <c r="S497" s="36" t="str">
        <f>""</f>
        <v/>
      </c>
      <c r="T497" s="36" t="str">
        <f>""</f>
        <v/>
      </c>
      <c r="U497" s="36" t="str">
        <f>""</f>
        <v/>
      </c>
      <c r="V497" s="36" t="str">
        <f>""</f>
        <v/>
      </c>
      <c r="W497" s="36">
        <f t="shared" si="45"/>
        <v>1</v>
      </c>
      <c r="X497" t="str">
        <f t="shared" si="46"/>
        <v>Inactive</v>
      </c>
      <c r="Y497" t="str">
        <f>IF(MAIN!$H$3="Selected Year",IF(A497=MAIN!$B$3,"Yes","No"),IF(MAIN!$H$3="Included Years",IF(D497="Yes","Yes","No"),IF(C497="Yes","Yes","No")))</f>
        <v>No</v>
      </c>
      <c r="Z497" t="str">
        <f>IF(MAIN!$F$3="Project to Date",IF(AND(A497&gt;=SETTINGS!$B$4,A497&lt;MAIN!$B$3),"Yes",IF(AND(A497=MAIN!$B$3,E497&lt;=MAIN!$L$3),"Yes","No")),IF(OR(MAIN!$F$3="Full Year",MAIN!$D$3="All"),"Yes",IF(MAIN!$F$3="Monthly",IF(E497=MAIN!$L$3,"Yes","No"),IF(E497&lt;=MAIN!$L$3,"Yes","No"))))</f>
        <v>Yes</v>
      </c>
      <c r="AA497" t="str">
        <f t="shared" si="47"/>
        <v>No</v>
      </c>
    </row>
    <row r="498" spans="1:27" x14ac:dyDescent="0.3">
      <c r="A498">
        <f>INDEX(SETTINGS!$A$15:$A$24,$B498)</f>
        <v>2027</v>
      </c>
      <c r="B498">
        <v>3</v>
      </c>
      <c r="C498" t="str">
        <f>IF(AND(A498&gt;=SETTINGS!$B$4,A498&lt;=SETTINGS!$B$5),"Yes","No")</f>
        <v>No</v>
      </c>
      <c r="D498" t="str">
        <f>IFERROR(INDEX(SETTINGS!$C$15:$C$24,MATCH(A498,SETTINGS!$A$15:$A$24,0)),"No")</f>
        <v>No</v>
      </c>
      <c r="E498">
        <v>3</v>
      </c>
      <c r="F498" t="s">
        <v>36</v>
      </c>
      <c r="G498">
        <v>59</v>
      </c>
      <c r="H498" t="s">
        <v>93</v>
      </c>
      <c r="I498" t="s">
        <v>89</v>
      </c>
      <c r="J498" t="s">
        <v>13</v>
      </c>
      <c r="K498" t="s">
        <v>14</v>
      </c>
      <c r="L498" s="36">
        <f ca="1">IF(C498&lt;&gt;"Yes",0,IF(A498=2025,N('2025'!D59),IF(A498=2026,N('2026'!D59),IF(A498=2027,N('2027'!D59),IF(A498=2028,N('2028'!D59),IF(A498=2029,N('2029'!D59),IF(A498=2030,N('2030'!D59),IF(A498=2031,N('2031'!D59),IF(A498=2032,N('2032'!D59),IF(A498=2033,N('2033'!D59),IF(A498=2034,N('2034'!D59),IFERROR(N(INDIRECT("'"&amp;A498&amp;"'!D"&amp;G498)),0))))))))))))</f>
        <v>0</v>
      </c>
      <c r="M498" s="36">
        <f>IFERROR(IF(NOT(ISBLANK(KPI_TARGETS!$I$7)),KPI_TARGETS!$I$7,IF(NOT(ISBLANK(KPI_TARGETS!$F$7)),KPI_TARGETS!$F$7,"")),"")</f>
        <v>8000</v>
      </c>
      <c r="N498" s="36" t="str">
        <f>IFERROR(KPI_TARGETS!$E$7,"Higher is better")</f>
        <v>Higher is better</v>
      </c>
      <c r="O498" s="37">
        <f t="shared" ca="1" si="42"/>
        <v>0</v>
      </c>
      <c r="P498" t="str">
        <f t="shared" ca="1" si="43"/>
        <v>Red</v>
      </c>
      <c r="Q498" s="36">
        <f t="shared" ca="1" si="44"/>
        <v>-8000</v>
      </c>
      <c r="R498" s="36" t="str">
        <f>""</f>
        <v/>
      </c>
      <c r="S498" s="36" t="str">
        <f>""</f>
        <v/>
      </c>
      <c r="T498" s="36" t="str">
        <f>""</f>
        <v/>
      </c>
      <c r="U498" s="36" t="str">
        <f>""</f>
        <v/>
      </c>
      <c r="V498" s="36" t="str">
        <f>""</f>
        <v/>
      </c>
      <c r="W498" s="36">
        <f t="shared" si="45"/>
        <v>1</v>
      </c>
      <c r="X498" t="str">
        <f t="shared" si="46"/>
        <v>Inactive</v>
      </c>
      <c r="Y498" t="str">
        <f>IF(MAIN!$H$3="Selected Year",IF(A498=MAIN!$B$3,"Yes","No"),IF(MAIN!$H$3="Included Years",IF(D498="Yes","Yes","No"),IF(C498="Yes","Yes","No")))</f>
        <v>No</v>
      </c>
      <c r="Z498" t="str">
        <f>IF(MAIN!$F$3="Project to Date",IF(AND(A498&gt;=SETTINGS!$B$4,A498&lt;MAIN!$B$3),"Yes",IF(AND(A498=MAIN!$B$3,E498&lt;=MAIN!$L$3),"Yes","No")),IF(OR(MAIN!$F$3="Full Year",MAIN!$D$3="All"),"Yes",IF(MAIN!$F$3="Monthly",IF(E498=MAIN!$L$3,"Yes","No"),IF(E498&lt;=MAIN!$L$3,"Yes","No"))))</f>
        <v>Yes</v>
      </c>
      <c r="AA498" t="str">
        <f t="shared" si="47"/>
        <v>No</v>
      </c>
    </row>
    <row r="499" spans="1:27" x14ac:dyDescent="0.3">
      <c r="A499">
        <f>INDEX(SETTINGS!$A$15:$A$24,$B499)</f>
        <v>2027</v>
      </c>
      <c r="B499">
        <v>3</v>
      </c>
      <c r="C499" t="str">
        <f>IF(AND(A499&gt;=SETTINGS!$B$4,A499&lt;=SETTINGS!$B$5),"Yes","No")</f>
        <v>No</v>
      </c>
      <c r="D499" t="str">
        <f>IFERROR(INDEX(SETTINGS!$C$15:$C$24,MATCH(A499,SETTINGS!$A$15:$A$24,0)),"No")</f>
        <v>No</v>
      </c>
      <c r="E499">
        <v>3</v>
      </c>
      <c r="F499" t="s">
        <v>36</v>
      </c>
      <c r="G499">
        <v>61</v>
      </c>
      <c r="H499" t="s">
        <v>95</v>
      </c>
      <c r="I499" t="s">
        <v>15</v>
      </c>
      <c r="J499" t="s">
        <v>16</v>
      </c>
      <c r="K499" t="s">
        <v>3</v>
      </c>
      <c r="L499" s="36">
        <f ca="1">IF(C499&lt;&gt;"Yes",0,IF(A499=2025,N('2025'!D61),IF(A499=2026,N('2026'!D61),IF(A499=2027,N('2027'!D61),IF(A499=2028,N('2028'!D61),IF(A499=2029,N('2029'!D61),IF(A499=2030,N('2030'!D61),IF(A499=2031,N('2031'!D61),IF(A499=2032,N('2032'!D61),IF(A499=2033,N('2033'!D61),IF(A499=2034,N('2034'!D61),IFERROR(N(INDIRECT("'"&amp;A499&amp;"'!D"&amp;G499)),0))))))))))))</f>
        <v>0</v>
      </c>
      <c r="M499" s="36">
        <f>IFERROR(IF(NOT(ISBLANK(KPI_TARGETS!$I$8)),KPI_TARGETS!$I$8,IF(NOT(ISBLANK(KPI_TARGETS!$F$8)),KPI_TARGETS!$F$8,"")),"")</f>
        <v>0</v>
      </c>
      <c r="N499" s="36" t="str">
        <f>IFERROR(KPI_TARGETS!$E$8,"Higher is better")</f>
        <v>Lower is better</v>
      </c>
      <c r="O499" s="37">
        <f t="shared" ca="1" si="42"/>
        <v>1</v>
      </c>
      <c r="P499" t="str">
        <f t="shared" ca="1" si="43"/>
        <v>Green</v>
      </c>
      <c r="Q499" s="36">
        <f t="shared" ca="1" si="44"/>
        <v>0</v>
      </c>
      <c r="R499" s="36" t="str">
        <f>""</f>
        <v/>
      </c>
      <c r="S499" s="36" t="str">
        <f>""</f>
        <v/>
      </c>
      <c r="T499" s="36" t="str">
        <f>""</f>
        <v/>
      </c>
      <c r="U499" s="36" t="str">
        <f>""</f>
        <v/>
      </c>
      <c r="V499" s="36" t="str">
        <f>""</f>
        <v/>
      </c>
      <c r="W499" s="36">
        <f t="shared" si="45"/>
        <v>1</v>
      </c>
      <c r="X499" t="str">
        <f t="shared" si="46"/>
        <v>Inactive</v>
      </c>
      <c r="Y499" t="str">
        <f>IF(MAIN!$H$3="Selected Year",IF(A499=MAIN!$B$3,"Yes","No"),IF(MAIN!$H$3="Included Years",IF(D499="Yes","Yes","No"),IF(C499="Yes","Yes","No")))</f>
        <v>No</v>
      </c>
      <c r="Z499" t="str">
        <f>IF(MAIN!$F$3="Project to Date",IF(AND(A499&gt;=SETTINGS!$B$4,A499&lt;MAIN!$B$3),"Yes",IF(AND(A499=MAIN!$B$3,E499&lt;=MAIN!$L$3),"Yes","No")),IF(OR(MAIN!$F$3="Full Year",MAIN!$D$3="All"),"Yes",IF(MAIN!$F$3="Monthly",IF(E499=MAIN!$L$3,"Yes","No"),IF(E499&lt;=MAIN!$L$3,"Yes","No"))))</f>
        <v>Yes</v>
      </c>
      <c r="AA499" t="str">
        <f t="shared" si="47"/>
        <v>No</v>
      </c>
    </row>
    <row r="500" spans="1:27" x14ac:dyDescent="0.3">
      <c r="A500">
        <f>INDEX(SETTINGS!$A$15:$A$24,$B500)</f>
        <v>2027</v>
      </c>
      <c r="B500">
        <v>3</v>
      </c>
      <c r="C500" t="str">
        <f>IF(AND(A500&gt;=SETTINGS!$B$4,A500&lt;=SETTINGS!$B$5),"Yes","No")</f>
        <v>No</v>
      </c>
      <c r="D500" t="str">
        <f>IFERROR(INDEX(SETTINGS!$C$15:$C$24,MATCH(A500,SETTINGS!$A$15:$A$24,0)),"No")</f>
        <v>No</v>
      </c>
      <c r="E500">
        <v>3</v>
      </c>
      <c r="F500" t="s">
        <v>36</v>
      </c>
      <c r="G500">
        <v>62</v>
      </c>
      <c r="H500" t="s">
        <v>97</v>
      </c>
      <c r="I500" t="s">
        <v>15</v>
      </c>
      <c r="J500" t="s">
        <v>17</v>
      </c>
      <c r="K500" t="s">
        <v>3</v>
      </c>
      <c r="L500" s="36">
        <f ca="1">IF(C500&lt;&gt;"Yes",0,IF(A500=2025,N('2025'!D62),IF(A500=2026,N('2026'!D62),IF(A500=2027,N('2027'!D62),IF(A500=2028,N('2028'!D62),IF(A500=2029,N('2029'!D62),IF(A500=2030,N('2030'!D62),IF(A500=2031,N('2031'!D62),IF(A500=2032,N('2032'!D62),IF(A500=2033,N('2033'!D62),IF(A500=2034,N('2034'!D62),IFERROR(N(INDIRECT("'"&amp;A500&amp;"'!D"&amp;G500)),0))))))))))))</f>
        <v>0</v>
      </c>
      <c r="M500" s="36">
        <f>IFERROR(IF(NOT(ISBLANK(KPI_TARGETS!$I$9)),KPI_TARGETS!$I$9,IF(NOT(ISBLANK(KPI_TARGETS!$F$9)),KPI_TARGETS!$F$9,"")),"")</f>
        <v>0</v>
      </c>
      <c r="N500" s="36" t="str">
        <f>IFERROR(KPI_TARGETS!$E$9,"Higher is better")</f>
        <v>Higher is better</v>
      </c>
      <c r="O500" s="37" t="str">
        <f t="shared" ca="1" si="42"/>
        <v/>
      </c>
      <c r="P500" t="str">
        <f t="shared" ca="1" si="43"/>
        <v>Green</v>
      </c>
      <c r="Q500" s="36">
        <f t="shared" ca="1" si="44"/>
        <v>0</v>
      </c>
      <c r="R500" s="36" t="str">
        <f>""</f>
        <v/>
      </c>
      <c r="S500" s="36" t="str">
        <f>""</f>
        <v/>
      </c>
      <c r="T500" s="36" t="str">
        <f>""</f>
        <v/>
      </c>
      <c r="U500" s="36" t="str">
        <f>""</f>
        <v/>
      </c>
      <c r="V500" s="36" t="str">
        <f>""</f>
        <v/>
      </c>
      <c r="W500" s="36">
        <f t="shared" si="45"/>
        <v>1</v>
      </c>
      <c r="X500" t="str">
        <f t="shared" si="46"/>
        <v>Inactive</v>
      </c>
      <c r="Y500" t="str">
        <f>IF(MAIN!$H$3="Selected Year",IF(A500=MAIN!$B$3,"Yes","No"),IF(MAIN!$H$3="Included Years",IF(D500="Yes","Yes","No"),IF(C500="Yes","Yes","No")))</f>
        <v>No</v>
      </c>
      <c r="Z500" t="str">
        <f>IF(MAIN!$F$3="Project to Date",IF(AND(A500&gt;=SETTINGS!$B$4,A500&lt;MAIN!$B$3),"Yes",IF(AND(A500=MAIN!$B$3,E500&lt;=MAIN!$L$3),"Yes","No")),IF(OR(MAIN!$F$3="Full Year",MAIN!$D$3="All"),"Yes",IF(MAIN!$F$3="Monthly",IF(E500=MAIN!$L$3,"Yes","No"),IF(E500&lt;=MAIN!$L$3,"Yes","No"))))</f>
        <v>Yes</v>
      </c>
      <c r="AA500" t="str">
        <f t="shared" si="47"/>
        <v>No</v>
      </c>
    </row>
    <row r="501" spans="1:27" x14ac:dyDescent="0.3">
      <c r="A501">
        <f>INDEX(SETTINGS!$A$15:$A$24,$B501)</f>
        <v>2027</v>
      </c>
      <c r="B501">
        <v>3</v>
      </c>
      <c r="C501" t="str">
        <f>IF(AND(A501&gt;=SETTINGS!$B$4,A501&lt;=SETTINGS!$B$5),"Yes","No")</f>
        <v>No</v>
      </c>
      <c r="D501" t="str">
        <f>IFERROR(INDEX(SETTINGS!$C$15:$C$24,MATCH(A501,SETTINGS!$A$15:$A$24,0)),"No")</f>
        <v>No</v>
      </c>
      <c r="E501">
        <v>3</v>
      </c>
      <c r="F501" t="s">
        <v>36</v>
      </c>
      <c r="G501">
        <v>63</v>
      </c>
      <c r="H501" t="s">
        <v>99</v>
      </c>
      <c r="I501" t="s">
        <v>15</v>
      </c>
      <c r="J501" t="s">
        <v>18</v>
      </c>
      <c r="K501" t="s">
        <v>3</v>
      </c>
      <c r="L501" s="36">
        <f ca="1">IF(C501&lt;&gt;"Yes",0,IF(A501=2025,N('2025'!D63),IF(A501=2026,N('2026'!D63),IF(A501=2027,N('2027'!D63),IF(A501=2028,N('2028'!D63),IF(A501=2029,N('2029'!D63),IF(A501=2030,N('2030'!D63),IF(A501=2031,N('2031'!D63),IF(A501=2032,N('2032'!D63),IF(A501=2033,N('2033'!D63),IF(A501=2034,N('2034'!D63),IFERROR(N(INDIRECT("'"&amp;A501&amp;"'!D"&amp;G501)),0))))))))))))</f>
        <v>0</v>
      </c>
      <c r="M501" s="36">
        <f>IFERROR(IF(NOT(ISBLANK(KPI_TARGETS!$I$10)),KPI_TARGETS!$I$10,IF(NOT(ISBLANK(KPI_TARGETS!$F$10)),KPI_TARGETS!$F$10,"")),"")</f>
        <v>0</v>
      </c>
      <c r="N501" s="36" t="str">
        <f>IFERROR(KPI_TARGETS!$E$10,"Higher is better")</f>
        <v>Lower is better</v>
      </c>
      <c r="O501" s="37">
        <f t="shared" ca="1" si="42"/>
        <v>1</v>
      </c>
      <c r="P501" t="str">
        <f t="shared" ca="1" si="43"/>
        <v>Green</v>
      </c>
      <c r="Q501" s="36">
        <f t="shared" ca="1" si="44"/>
        <v>0</v>
      </c>
      <c r="R501" s="36" t="str">
        <f>""</f>
        <v/>
      </c>
      <c r="S501" s="36" t="str">
        <f>""</f>
        <v/>
      </c>
      <c r="T501" s="36" t="str">
        <f>""</f>
        <v/>
      </c>
      <c r="U501" s="36" t="str">
        <f>""</f>
        <v/>
      </c>
      <c r="V501" s="36" t="str">
        <f>""</f>
        <v/>
      </c>
      <c r="W501" s="36">
        <f t="shared" si="45"/>
        <v>1</v>
      </c>
      <c r="X501" t="str">
        <f t="shared" si="46"/>
        <v>Inactive</v>
      </c>
      <c r="Y501" t="str">
        <f>IF(MAIN!$H$3="Selected Year",IF(A501=MAIN!$B$3,"Yes","No"),IF(MAIN!$H$3="Included Years",IF(D501="Yes","Yes","No"),IF(C501="Yes","Yes","No")))</f>
        <v>No</v>
      </c>
      <c r="Z501" t="str">
        <f>IF(MAIN!$F$3="Project to Date",IF(AND(A501&gt;=SETTINGS!$B$4,A501&lt;MAIN!$B$3),"Yes",IF(AND(A501=MAIN!$B$3,E501&lt;=MAIN!$L$3),"Yes","No")),IF(OR(MAIN!$F$3="Full Year",MAIN!$D$3="All"),"Yes",IF(MAIN!$F$3="Monthly",IF(E501=MAIN!$L$3,"Yes","No"),IF(E501&lt;=MAIN!$L$3,"Yes","No"))))</f>
        <v>Yes</v>
      </c>
      <c r="AA501" t="str">
        <f t="shared" si="47"/>
        <v>No</v>
      </c>
    </row>
    <row r="502" spans="1:27" x14ac:dyDescent="0.3">
      <c r="A502">
        <f>INDEX(SETTINGS!$A$15:$A$24,$B502)</f>
        <v>2027</v>
      </c>
      <c r="B502">
        <v>3</v>
      </c>
      <c r="C502" t="str">
        <f>IF(AND(A502&gt;=SETTINGS!$B$4,A502&lt;=SETTINGS!$B$5),"Yes","No")</f>
        <v>No</v>
      </c>
      <c r="D502" t="str">
        <f>IFERROR(INDEX(SETTINGS!$C$15:$C$24,MATCH(A502,SETTINGS!$A$15:$A$24,0)),"No")</f>
        <v>No</v>
      </c>
      <c r="E502">
        <v>3</v>
      </c>
      <c r="F502" t="s">
        <v>36</v>
      </c>
      <c r="G502">
        <v>64</v>
      </c>
      <c r="H502" t="s">
        <v>100</v>
      </c>
      <c r="I502" t="s">
        <v>15</v>
      </c>
      <c r="J502" t="s">
        <v>19</v>
      </c>
      <c r="K502" t="s">
        <v>3</v>
      </c>
      <c r="L502" s="36">
        <f ca="1">IF(C502&lt;&gt;"Yes",0,IF(A502=2025,N('2025'!D64),IF(A502=2026,N('2026'!D64),IF(A502=2027,N('2027'!D64),IF(A502=2028,N('2028'!D64),IF(A502=2029,N('2029'!D64),IF(A502=2030,N('2030'!D64),IF(A502=2031,N('2031'!D64),IF(A502=2032,N('2032'!D64),IF(A502=2033,N('2033'!D64),IF(A502=2034,N('2034'!D64),IFERROR(N(INDIRECT("'"&amp;A502&amp;"'!D"&amp;G502)),0))))))))))))</f>
        <v>0</v>
      </c>
      <c r="M502" s="36">
        <f>IFERROR(IF(NOT(ISBLANK(KPI_TARGETS!$I$11)),KPI_TARGETS!$I$11,IF(NOT(ISBLANK(KPI_TARGETS!$F$11)),KPI_TARGETS!$F$11,"")),"")</f>
        <v>0</v>
      </c>
      <c r="N502" s="36" t="str">
        <f>IFERROR(KPI_TARGETS!$E$11,"Higher is better")</f>
        <v>Lower is better</v>
      </c>
      <c r="O502" s="37">
        <f t="shared" ca="1" si="42"/>
        <v>1</v>
      </c>
      <c r="P502" t="str">
        <f t="shared" ca="1" si="43"/>
        <v>Green</v>
      </c>
      <c r="Q502" s="36">
        <f t="shared" ca="1" si="44"/>
        <v>0</v>
      </c>
      <c r="R502" s="36" t="str">
        <f>""</f>
        <v/>
      </c>
      <c r="S502" s="36" t="str">
        <f>""</f>
        <v/>
      </c>
      <c r="T502" s="36" t="str">
        <f>""</f>
        <v/>
      </c>
      <c r="U502" s="36" t="str">
        <f>""</f>
        <v/>
      </c>
      <c r="V502" s="36" t="str">
        <f>""</f>
        <v/>
      </c>
      <c r="W502" s="36">
        <f t="shared" si="45"/>
        <v>1</v>
      </c>
      <c r="X502" t="str">
        <f t="shared" si="46"/>
        <v>Inactive</v>
      </c>
      <c r="Y502" t="str">
        <f>IF(MAIN!$H$3="Selected Year",IF(A502=MAIN!$B$3,"Yes","No"),IF(MAIN!$H$3="Included Years",IF(D502="Yes","Yes","No"),IF(C502="Yes","Yes","No")))</f>
        <v>No</v>
      </c>
      <c r="Z502" t="str">
        <f>IF(MAIN!$F$3="Project to Date",IF(AND(A502&gt;=SETTINGS!$B$4,A502&lt;MAIN!$B$3),"Yes",IF(AND(A502=MAIN!$B$3,E502&lt;=MAIN!$L$3),"Yes","No")),IF(OR(MAIN!$F$3="Full Year",MAIN!$D$3="All"),"Yes",IF(MAIN!$F$3="Monthly",IF(E502=MAIN!$L$3,"Yes","No"),IF(E502&lt;=MAIN!$L$3,"Yes","No"))))</f>
        <v>Yes</v>
      </c>
      <c r="AA502" t="str">
        <f t="shared" si="47"/>
        <v>No</v>
      </c>
    </row>
    <row r="503" spans="1:27" x14ac:dyDescent="0.3">
      <c r="A503">
        <f>INDEX(SETTINGS!$A$15:$A$24,$B503)</f>
        <v>2027</v>
      </c>
      <c r="B503">
        <v>3</v>
      </c>
      <c r="C503" t="str">
        <f>IF(AND(A503&gt;=SETTINGS!$B$4,A503&lt;=SETTINGS!$B$5),"Yes","No")</f>
        <v>No</v>
      </c>
      <c r="D503" t="str">
        <f>IFERROR(INDEX(SETTINGS!$C$15:$C$24,MATCH(A503,SETTINGS!$A$15:$A$24,0)),"No")</f>
        <v>No</v>
      </c>
      <c r="E503">
        <v>3</v>
      </c>
      <c r="F503" t="s">
        <v>36</v>
      </c>
      <c r="G503">
        <v>65</v>
      </c>
      <c r="H503" t="s">
        <v>101</v>
      </c>
      <c r="I503" t="s">
        <v>15</v>
      </c>
      <c r="J503" t="s">
        <v>20</v>
      </c>
      <c r="K503" t="s">
        <v>3</v>
      </c>
      <c r="L503" s="36">
        <f ca="1">IF(C503&lt;&gt;"Yes",0,IF(A503=2025,N('2025'!D65),IF(A503=2026,N('2026'!D65),IF(A503=2027,N('2027'!D65),IF(A503=2028,N('2028'!D65),IF(A503=2029,N('2029'!D65),IF(A503=2030,N('2030'!D65),IF(A503=2031,N('2031'!D65),IF(A503=2032,N('2032'!D65),IF(A503=2033,N('2033'!D65),IF(A503=2034,N('2034'!D65),IFERROR(N(INDIRECT("'"&amp;A503&amp;"'!D"&amp;G503)),0))))))))))))</f>
        <v>0</v>
      </c>
      <c r="M503" s="36">
        <f>IFERROR(IF(NOT(ISBLANK(KPI_TARGETS!$I$12)),KPI_TARGETS!$I$12,IF(NOT(ISBLANK(KPI_TARGETS!$F$12)),KPI_TARGETS!$F$12,"")),"")</f>
        <v>0</v>
      </c>
      <c r="N503" s="36" t="str">
        <f>IFERROR(KPI_TARGETS!$E$12,"Higher is better")</f>
        <v>Lower is better</v>
      </c>
      <c r="O503" s="37">
        <f t="shared" ca="1" si="42"/>
        <v>1</v>
      </c>
      <c r="P503" t="str">
        <f t="shared" ca="1" si="43"/>
        <v>Green</v>
      </c>
      <c r="Q503" s="36">
        <f t="shared" ca="1" si="44"/>
        <v>0</v>
      </c>
      <c r="R503" s="36" t="str">
        <f>""</f>
        <v/>
      </c>
      <c r="S503" s="36" t="str">
        <f>""</f>
        <v/>
      </c>
      <c r="T503" s="36" t="str">
        <f>""</f>
        <v/>
      </c>
      <c r="U503" s="36" t="str">
        <f>""</f>
        <v/>
      </c>
      <c r="V503" s="36" t="str">
        <f>""</f>
        <v/>
      </c>
      <c r="W503" s="36">
        <f t="shared" si="45"/>
        <v>1</v>
      </c>
      <c r="X503" t="str">
        <f t="shared" si="46"/>
        <v>Inactive</v>
      </c>
      <c r="Y503" t="str">
        <f>IF(MAIN!$H$3="Selected Year",IF(A503=MAIN!$B$3,"Yes","No"),IF(MAIN!$H$3="Included Years",IF(D503="Yes","Yes","No"),IF(C503="Yes","Yes","No")))</f>
        <v>No</v>
      </c>
      <c r="Z503" t="str">
        <f>IF(MAIN!$F$3="Project to Date",IF(AND(A503&gt;=SETTINGS!$B$4,A503&lt;MAIN!$B$3),"Yes",IF(AND(A503=MAIN!$B$3,E503&lt;=MAIN!$L$3),"Yes","No")),IF(OR(MAIN!$F$3="Full Year",MAIN!$D$3="All"),"Yes",IF(MAIN!$F$3="Monthly",IF(E503=MAIN!$L$3,"Yes","No"),IF(E503&lt;=MAIN!$L$3,"Yes","No"))))</f>
        <v>Yes</v>
      </c>
      <c r="AA503" t="str">
        <f t="shared" si="47"/>
        <v>No</v>
      </c>
    </row>
    <row r="504" spans="1:27" x14ac:dyDescent="0.3">
      <c r="A504">
        <f>INDEX(SETTINGS!$A$15:$A$24,$B504)</f>
        <v>2027</v>
      </c>
      <c r="B504">
        <v>3</v>
      </c>
      <c r="C504" t="str">
        <f>IF(AND(A504&gt;=SETTINGS!$B$4,A504&lt;=SETTINGS!$B$5),"Yes","No")</f>
        <v>No</v>
      </c>
      <c r="D504" t="str">
        <f>IFERROR(INDEX(SETTINGS!$C$15:$C$24,MATCH(A504,SETTINGS!$A$15:$A$24,0)),"No")</f>
        <v>No</v>
      </c>
      <c r="E504">
        <v>3</v>
      </c>
      <c r="F504" t="s">
        <v>36</v>
      </c>
      <c r="G504">
        <v>66</v>
      </c>
      <c r="H504" t="s">
        <v>102</v>
      </c>
      <c r="I504" t="s">
        <v>15</v>
      </c>
      <c r="J504" t="s">
        <v>21</v>
      </c>
      <c r="K504" t="s">
        <v>3</v>
      </c>
      <c r="L504" s="36">
        <f ca="1">IF(C504&lt;&gt;"Yes",0,IF(A504=2025,N('2025'!D66),IF(A504=2026,N('2026'!D66),IF(A504=2027,N('2027'!D66),IF(A504=2028,N('2028'!D66),IF(A504=2029,N('2029'!D66),IF(A504=2030,N('2030'!D66),IF(A504=2031,N('2031'!D66),IF(A504=2032,N('2032'!D66),IF(A504=2033,N('2033'!D66),IF(A504=2034,N('2034'!D66),IFERROR(N(INDIRECT("'"&amp;A504&amp;"'!D"&amp;G504)),0))))))))))))</f>
        <v>0</v>
      </c>
      <c r="M504" s="36">
        <f>IFERROR(IF(NOT(ISBLANK(KPI_TARGETS!$I$13)),KPI_TARGETS!$I$13,IF(NOT(ISBLANK(KPI_TARGETS!$F$13)),KPI_TARGETS!$F$13,"")),"")</f>
        <v>0</v>
      </c>
      <c r="N504" s="36" t="str">
        <f>IFERROR(KPI_TARGETS!$E$13,"Higher is better")</f>
        <v>Lower is better</v>
      </c>
      <c r="O504" s="37">
        <f t="shared" ca="1" si="42"/>
        <v>1</v>
      </c>
      <c r="P504" t="str">
        <f t="shared" ca="1" si="43"/>
        <v>Green</v>
      </c>
      <c r="Q504" s="36">
        <f t="shared" ca="1" si="44"/>
        <v>0</v>
      </c>
      <c r="R504" s="36" t="str">
        <f>""</f>
        <v/>
      </c>
      <c r="S504" s="36" t="str">
        <f>""</f>
        <v/>
      </c>
      <c r="T504" s="36" t="str">
        <f>""</f>
        <v/>
      </c>
      <c r="U504" s="36" t="str">
        <f>""</f>
        <v/>
      </c>
      <c r="V504" s="36" t="str">
        <f>""</f>
        <v/>
      </c>
      <c r="W504" s="36">
        <f t="shared" si="45"/>
        <v>1</v>
      </c>
      <c r="X504" t="str">
        <f t="shared" si="46"/>
        <v>Inactive</v>
      </c>
      <c r="Y504" t="str">
        <f>IF(MAIN!$H$3="Selected Year",IF(A504=MAIN!$B$3,"Yes","No"),IF(MAIN!$H$3="Included Years",IF(D504="Yes","Yes","No"),IF(C504="Yes","Yes","No")))</f>
        <v>No</v>
      </c>
      <c r="Z504" t="str">
        <f>IF(MAIN!$F$3="Project to Date",IF(AND(A504&gt;=SETTINGS!$B$4,A504&lt;MAIN!$B$3),"Yes",IF(AND(A504=MAIN!$B$3,E504&lt;=MAIN!$L$3),"Yes","No")),IF(OR(MAIN!$F$3="Full Year",MAIN!$D$3="All"),"Yes",IF(MAIN!$F$3="Monthly",IF(E504=MAIN!$L$3,"Yes","No"),IF(E504&lt;=MAIN!$L$3,"Yes","No"))))</f>
        <v>Yes</v>
      </c>
      <c r="AA504" t="str">
        <f t="shared" si="47"/>
        <v>No</v>
      </c>
    </row>
    <row r="505" spans="1:27" x14ac:dyDescent="0.3">
      <c r="A505">
        <f>INDEX(SETTINGS!$A$15:$A$24,$B505)</f>
        <v>2027</v>
      </c>
      <c r="B505">
        <v>3</v>
      </c>
      <c r="C505" t="str">
        <f>IF(AND(A505&gt;=SETTINGS!$B$4,A505&lt;=SETTINGS!$B$5),"Yes","No")</f>
        <v>No</v>
      </c>
      <c r="D505" t="str">
        <f>IFERROR(INDEX(SETTINGS!$C$15:$C$24,MATCH(A505,SETTINGS!$A$15:$A$24,0)),"No")</f>
        <v>No</v>
      </c>
      <c r="E505">
        <v>3</v>
      </c>
      <c r="F505" t="s">
        <v>36</v>
      </c>
      <c r="G505">
        <v>68</v>
      </c>
      <c r="H505" t="s">
        <v>103</v>
      </c>
      <c r="I505" t="s">
        <v>22</v>
      </c>
      <c r="J505" t="s">
        <v>23</v>
      </c>
      <c r="K505" t="s">
        <v>3</v>
      </c>
      <c r="L505" s="36">
        <f ca="1">IF(C505&lt;&gt;"Yes",0,IF(A505=2025,N('2025'!D68),IF(A505=2026,N('2026'!D68),IF(A505=2027,N('2027'!D68),IF(A505=2028,N('2028'!D68),IF(A505=2029,N('2029'!D68),IF(A505=2030,N('2030'!D68),IF(A505=2031,N('2031'!D68),IF(A505=2032,N('2032'!D68),IF(A505=2033,N('2033'!D68),IF(A505=2034,N('2034'!D68),IFERROR(N(INDIRECT("'"&amp;A505&amp;"'!D"&amp;G505)),0))))))))))))</f>
        <v>0</v>
      </c>
      <c r="M505" s="36">
        <f>IFERROR(IF(NOT(ISBLANK(KPI_TARGETS!$I$14)),KPI_TARGETS!$I$14,IF(NOT(ISBLANK(KPI_TARGETS!$F$14)),KPI_TARGETS!$F$14,"")),"")</f>
        <v>35</v>
      </c>
      <c r="N505" s="36" t="str">
        <f>IFERROR(KPI_TARGETS!$E$14,"Higher is better")</f>
        <v>Higher is better</v>
      </c>
      <c r="O505" s="37">
        <f t="shared" ca="1" si="42"/>
        <v>0</v>
      </c>
      <c r="P505" t="str">
        <f t="shared" ca="1" si="43"/>
        <v>Red</v>
      </c>
      <c r="Q505" s="36">
        <f t="shared" ca="1" si="44"/>
        <v>-35</v>
      </c>
      <c r="R505" s="36" t="str">
        <f>""</f>
        <v/>
      </c>
      <c r="S505" s="36" t="str">
        <f>""</f>
        <v/>
      </c>
      <c r="T505" s="36" t="str">
        <f>""</f>
        <v/>
      </c>
      <c r="U505" s="36" t="str">
        <f>""</f>
        <v/>
      </c>
      <c r="V505" s="36" t="str">
        <f>""</f>
        <v/>
      </c>
      <c r="W505" s="36">
        <f t="shared" si="45"/>
        <v>1</v>
      </c>
      <c r="X505" t="str">
        <f t="shared" si="46"/>
        <v>Inactive</v>
      </c>
      <c r="Y505" t="str">
        <f>IF(MAIN!$H$3="Selected Year",IF(A505=MAIN!$B$3,"Yes","No"),IF(MAIN!$H$3="Included Years",IF(D505="Yes","Yes","No"),IF(C505="Yes","Yes","No")))</f>
        <v>No</v>
      </c>
      <c r="Z505" t="str">
        <f>IF(MAIN!$F$3="Project to Date",IF(AND(A505&gt;=SETTINGS!$B$4,A505&lt;MAIN!$B$3),"Yes",IF(AND(A505=MAIN!$B$3,E505&lt;=MAIN!$L$3),"Yes","No")),IF(OR(MAIN!$F$3="Full Year",MAIN!$D$3="All"),"Yes",IF(MAIN!$F$3="Monthly",IF(E505=MAIN!$L$3,"Yes","No"),IF(E505&lt;=MAIN!$L$3,"Yes","No"))))</f>
        <v>Yes</v>
      </c>
      <c r="AA505" t="str">
        <f t="shared" si="47"/>
        <v>No</v>
      </c>
    </row>
    <row r="506" spans="1:27" x14ac:dyDescent="0.3">
      <c r="A506">
        <f>INDEX(SETTINGS!$A$15:$A$24,$B506)</f>
        <v>2027</v>
      </c>
      <c r="B506">
        <v>3</v>
      </c>
      <c r="C506" t="str">
        <f>IF(AND(A506&gt;=SETTINGS!$B$4,A506&lt;=SETTINGS!$B$5),"Yes","No")</f>
        <v>No</v>
      </c>
      <c r="D506" t="str">
        <f>IFERROR(INDEX(SETTINGS!$C$15:$C$24,MATCH(A506,SETTINGS!$A$15:$A$24,0)),"No")</f>
        <v>No</v>
      </c>
      <c r="E506">
        <v>3</v>
      </c>
      <c r="F506" t="s">
        <v>36</v>
      </c>
      <c r="G506">
        <v>69</v>
      </c>
      <c r="H506" t="s">
        <v>104</v>
      </c>
      <c r="I506" t="s">
        <v>22</v>
      </c>
      <c r="J506" t="s">
        <v>24</v>
      </c>
      <c r="K506" t="s">
        <v>3</v>
      </c>
      <c r="L506" s="36">
        <f ca="1">IF(C506&lt;&gt;"Yes",0,IF(A506=2025,N('2025'!D69),IF(A506=2026,N('2026'!D69),IF(A506=2027,N('2027'!D69),IF(A506=2028,N('2028'!D69),IF(A506=2029,N('2029'!D69),IF(A506=2030,N('2030'!D69),IF(A506=2031,N('2031'!D69),IF(A506=2032,N('2032'!D69),IF(A506=2033,N('2033'!D69),IF(A506=2034,N('2034'!D69),IFERROR(N(INDIRECT("'"&amp;A506&amp;"'!D"&amp;G506)),0))))))))))))</f>
        <v>0</v>
      </c>
      <c r="M506" s="36">
        <f>IFERROR(IF(NOT(ISBLANK(KPI_TARGETS!$I$15)),KPI_TARGETS!$I$15,IF(NOT(ISBLANK(KPI_TARGETS!$F$15)),KPI_TARGETS!$F$15,"")),"")</f>
        <v>5</v>
      </c>
      <c r="N506" s="36" t="str">
        <f>IFERROR(KPI_TARGETS!$E$15,"Higher is better")</f>
        <v>Higher is better</v>
      </c>
      <c r="O506" s="37">
        <f t="shared" ca="1" si="42"/>
        <v>0</v>
      </c>
      <c r="P506" t="str">
        <f t="shared" ca="1" si="43"/>
        <v>Red</v>
      </c>
      <c r="Q506" s="36">
        <f t="shared" ca="1" si="44"/>
        <v>-5</v>
      </c>
      <c r="R506" s="36" t="str">
        <f>""</f>
        <v/>
      </c>
      <c r="S506" s="36" t="str">
        <f>""</f>
        <v/>
      </c>
      <c r="T506" s="36" t="str">
        <f>""</f>
        <v/>
      </c>
      <c r="U506" s="36" t="str">
        <f>""</f>
        <v/>
      </c>
      <c r="V506" s="36" t="str">
        <f>""</f>
        <v/>
      </c>
      <c r="W506" s="36">
        <f t="shared" si="45"/>
        <v>1</v>
      </c>
      <c r="X506" t="str">
        <f t="shared" si="46"/>
        <v>Inactive</v>
      </c>
      <c r="Y506" t="str">
        <f>IF(MAIN!$H$3="Selected Year",IF(A506=MAIN!$B$3,"Yes","No"),IF(MAIN!$H$3="Included Years",IF(D506="Yes","Yes","No"),IF(C506="Yes","Yes","No")))</f>
        <v>No</v>
      </c>
      <c r="Z506" t="str">
        <f>IF(MAIN!$F$3="Project to Date",IF(AND(A506&gt;=SETTINGS!$B$4,A506&lt;MAIN!$B$3),"Yes",IF(AND(A506=MAIN!$B$3,E506&lt;=MAIN!$L$3),"Yes","No")),IF(OR(MAIN!$F$3="Full Year",MAIN!$D$3="All"),"Yes",IF(MAIN!$F$3="Monthly",IF(E506=MAIN!$L$3,"Yes","No"),IF(E506&lt;=MAIN!$L$3,"Yes","No"))))</f>
        <v>Yes</v>
      </c>
      <c r="AA506" t="str">
        <f t="shared" si="47"/>
        <v>No</v>
      </c>
    </row>
    <row r="507" spans="1:27" x14ac:dyDescent="0.3">
      <c r="A507">
        <f>INDEX(SETTINGS!$A$15:$A$24,$B507)</f>
        <v>2027</v>
      </c>
      <c r="B507">
        <v>3</v>
      </c>
      <c r="C507" t="str">
        <f>IF(AND(A507&gt;=SETTINGS!$B$4,A507&lt;=SETTINGS!$B$5),"Yes","No")</f>
        <v>No</v>
      </c>
      <c r="D507" t="str">
        <f>IFERROR(INDEX(SETTINGS!$C$15:$C$24,MATCH(A507,SETTINGS!$A$15:$A$24,0)),"No")</f>
        <v>No</v>
      </c>
      <c r="E507">
        <v>3</v>
      </c>
      <c r="F507" t="s">
        <v>36</v>
      </c>
      <c r="G507">
        <v>70</v>
      </c>
      <c r="H507" t="s">
        <v>105</v>
      </c>
      <c r="I507" t="s">
        <v>22</v>
      </c>
      <c r="J507" t="s">
        <v>25</v>
      </c>
      <c r="K507" t="s">
        <v>3</v>
      </c>
      <c r="L507" s="36">
        <f ca="1">IF(C507&lt;&gt;"Yes",0,IF(A507=2025,N('2025'!D70),IF(A507=2026,N('2026'!D70),IF(A507=2027,N('2027'!D70),IF(A507=2028,N('2028'!D70),IF(A507=2029,N('2029'!D70),IF(A507=2030,N('2030'!D70),IF(A507=2031,N('2031'!D70),IF(A507=2032,N('2032'!D70),IF(A507=2033,N('2033'!D70),IF(A507=2034,N('2034'!D70),IFERROR(N(INDIRECT("'"&amp;A507&amp;"'!D"&amp;G507)),0))))))))))))</f>
        <v>0</v>
      </c>
      <c r="M507" s="36">
        <f>IFERROR(IF(NOT(ISBLANK(KPI_TARGETS!$I$16)),KPI_TARGETS!$I$16,IF(NOT(ISBLANK(KPI_TARGETS!$F$16)),KPI_TARGETS!$F$16,"")),"")</f>
        <v>4</v>
      </c>
      <c r="N507" s="36" t="str">
        <f>IFERROR(KPI_TARGETS!$E$16,"Higher is better")</f>
        <v>Higher is better</v>
      </c>
      <c r="O507" s="37">
        <f t="shared" ca="1" si="42"/>
        <v>0</v>
      </c>
      <c r="P507" t="str">
        <f t="shared" ca="1" si="43"/>
        <v>Red</v>
      </c>
      <c r="Q507" s="36">
        <f t="shared" ca="1" si="44"/>
        <v>-4</v>
      </c>
      <c r="R507" s="36" t="str">
        <f>""</f>
        <v/>
      </c>
      <c r="S507" s="36" t="str">
        <f>""</f>
        <v/>
      </c>
      <c r="T507" s="36" t="str">
        <f>""</f>
        <v/>
      </c>
      <c r="U507" s="36" t="str">
        <f>""</f>
        <v/>
      </c>
      <c r="V507" s="36" t="str">
        <f>""</f>
        <v/>
      </c>
      <c r="W507" s="36">
        <f t="shared" si="45"/>
        <v>1</v>
      </c>
      <c r="X507" t="str">
        <f t="shared" si="46"/>
        <v>Inactive</v>
      </c>
      <c r="Y507" t="str">
        <f>IF(MAIN!$H$3="Selected Year",IF(A507=MAIN!$B$3,"Yes","No"),IF(MAIN!$H$3="Included Years",IF(D507="Yes","Yes","No"),IF(C507="Yes","Yes","No")))</f>
        <v>No</v>
      </c>
      <c r="Z507" t="str">
        <f>IF(MAIN!$F$3="Project to Date",IF(AND(A507&gt;=SETTINGS!$B$4,A507&lt;MAIN!$B$3),"Yes",IF(AND(A507=MAIN!$B$3,E507&lt;=MAIN!$L$3),"Yes","No")),IF(OR(MAIN!$F$3="Full Year",MAIN!$D$3="All"),"Yes",IF(MAIN!$F$3="Monthly",IF(E507=MAIN!$L$3,"Yes","No"),IF(E507&lt;=MAIN!$L$3,"Yes","No"))))</f>
        <v>Yes</v>
      </c>
      <c r="AA507" t="str">
        <f t="shared" si="47"/>
        <v>No</v>
      </c>
    </row>
    <row r="508" spans="1:27" x14ac:dyDescent="0.3">
      <c r="A508">
        <f>INDEX(SETTINGS!$A$15:$A$24,$B508)</f>
        <v>2027</v>
      </c>
      <c r="B508">
        <v>3</v>
      </c>
      <c r="C508" t="str">
        <f>IF(AND(A508&gt;=SETTINGS!$B$4,A508&lt;=SETTINGS!$B$5),"Yes","No")</f>
        <v>No</v>
      </c>
      <c r="D508" t="str">
        <f>IFERROR(INDEX(SETTINGS!$C$15:$C$24,MATCH(A508,SETTINGS!$A$15:$A$24,0)),"No")</f>
        <v>No</v>
      </c>
      <c r="E508">
        <v>3</v>
      </c>
      <c r="F508" t="s">
        <v>36</v>
      </c>
      <c r="G508">
        <v>71</v>
      </c>
      <c r="H508" t="s">
        <v>106</v>
      </c>
      <c r="I508" t="s">
        <v>22</v>
      </c>
      <c r="J508" t="s">
        <v>26</v>
      </c>
      <c r="K508" t="s">
        <v>3</v>
      </c>
      <c r="L508" s="36">
        <f ca="1">IF(C508&lt;&gt;"Yes",0,IF(A508=2025,N('2025'!D71),IF(A508=2026,N('2026'!D71),IF(A508=2027,N('2027'!D71),IF(A508=2028,N('2028'!D71),IF(A508=2029,N('2029'!D71),IF(A508=2030,N('2030'!D71),IF(A508=2031,N('2031'!D71),IF(A508=2032,N('2032'!D71),IF(A508=2033,N('2033'!D71),IF(A508=2034,N('2034'!D71),IFERROR(N(INDIRECT("'"&amp;A508&amp;"'!D"&amp;G508)),0))))))))))))</f>
        <v>0</v>
      </c>
      <c r="M508" s="36">
        <f>IFERROR(IF(NOT(ISBLANK(KPI_TARGETS!$I$17)),KPI_TARGETS!$I$17,IF(NOT(ISBLANK(KPI_TARGETS!$F$17)),KPI_TARGETS!$F$17,"")),"")</f>
        <v>12</v>
      </c>
      <c r="N508" s="36" t="str">
        <f>IFERROR(KPI_TARGETS!$E$17,"Higher is better")</f>
        <v>Higher is better</v>
      </c>
      <c r="O508" s="37">
        <f t="shared" ca="1" si="42"/>
        <v>0</v>
      </c>
      <c r="P508" t="str">
        <f t="shared" ca="1" si="43"/>
        <v>Red</v>
      </c>
      <c r="Q508" s="36">
        <f t="shared" ca="1" si="44"/>
        <v>-12</v>
      </c>
      <c r="R508" s="36" t="str">
        <f>""</f>
        <v/>
      </c>
      <c r="S508" s="36" t="str">
        <f>""</f>
        <v/>
      </c>
      <c r="T508" s="36" t="str">
        <f>""</f>
        <v/>
      </c>
      <c r="U508" s="36" t="str">
        <f>""</f>
        <v/>
      </c>
      <c r="V508" s="36" t="str">
        <f>""</f>
        <v/>
      </c>
      <c r="W508" s="36">
        <f t="shared" si="45"/>
        <v>1</v>
      </c>
      <c r="X508" t="str">
        <f t="shared" si="46"/>
        <v>Inactive</v>
      </c>
      <c r="Y508" t="str">
        <f>IF(MAIN!$H$3="Selected Year",IF(A508=MAIN!$B$3,"Yes","No"),IF(MAIN!$H$3="Included Years",IF(D508="Yes","Yes","No"),IF(C508="Yes","Yes","No")))</f>
        <v>No</v>
      </c>
      <c r="Z508" t="str">
        <f>IF(MAIN!$F$3="Project to Date",IF(AND(A508&gt;=SETTINGS!$B$4,A508&lt;MAIN!$B$3),"Yes",IF(AND(A508=MAIN!$B$3,E508&lt;=MAIN!$L$3),"Yes","No")),IF(OR(MAIN!$F$3="Full Year",MAIN!$D$3="All"),"Yes",IF(MAIN!$F$3="Monthly",IF(E508=MAIN!$L$3,"Yes","No"),IF(E508&lt;=MAIN!$L$3,"Yes","No"))))</f>
        <v>Yes</v>
      </c>
      <c r="AA508" t="str">
        <f t="shared" si="47"/>
        <v>No</v>
      </c>
    </row>
    <row r="509" spans="1:27" x14ac:dyDescent="0.3">
      <c r="A509">
        <f>INDEX(SETTINGS!$A$15:$A$24,$B509)</f>
        <v>2027</v>
      </c>
      <c r="B509">
        <v>3</v>
      </c>
      <c r="C509" t="str">
        <f>IF(AND(A509&gt;=SETTINGS!$B$4,A509&lt;=SETTINGS!$B$5),"Yes","No")</f>
        <v>No</v>
      </c>
      <c r="D509" t="str">
        <f>IFERROR(INDEX(SETTINGS!$C$15:$C$24,MATCH(A509,SETTINGS!$A$15:$A$24,0)),"No")</f>
        <v>No</v>
      </c>
      <c r="E509">
        <v>3</v>
      </c>
      <c r="F509" t="s">
        <v>36</v>
      </c>
      <c r="G509">
        <v>72</v>
      </c>
      <c r="H509" t="s">
        <v>107</v>
      </c>
      <c r="I509" t="s">
        <v>22</v>
      </c>
      <c r="J509" t="s">
        <v>27</v>
      </c>
      <c r="K509" t="s">
        <v>3</v>
      </c>
      <c r="L509" s="36">
        <f ca="1">IF(C509&lt;&gt;"Yes",0,IF(A509=2025,N('2025'!D72),IF(A509=2026,N('2026'!D72),IF(A509=2027,N('2027'!D72),IF(A509=2028,N('2028'!D72),IF(A509=2029,N('2029'!D72),IF(A509=2030,N('2030'!D72),IF(A509=2031,N('2031'!D72),IF(A509=2032,N('2032'!D72),IF(A509=2033,N('2033'!D72),IF(A509=2034,N('2034'!D72),IFERROR(N(INDIRECT("'"&amp;A509&amp;"'!D"&amp;G509)),0))))))))))))</f>
        <v>0</v>
      </c>
      <c r="M509" s="36">
        <f>IFERROR(IF(NOT(ISBLANK(KPI_TARGETS!$I$18)),KPI_TARGETS!$I$18,IF(NOT(ISBLANK(KPI_TARGETS!$F$18)),KPI_TARGETS!$F$18,"")),"")</f>
        <v>4</v>
      </c>
      <c r="N509" s="36" t="str">
        <f>IFERROR(KPI_TARGETS!$E$18,"Higher is better")</f>
        <v>Higher is better</v>
      </c>
      <c r="O509" s="37">
        <f t="shared" ca="1" si="42"/>
        <v>0</v>
      </c>
      <c r="P509" t="str">
        <f t="shared" ca="1" si="43"/>
        <v>Red</v>
      </c>
      <c r="Q509" s="36">
        <f t="shared" ca="1" si="44"/>
        <v>-4</v>
      </c>
      <c r="R509" s="36" t="str">
        <f>""</f>
        <v/>
      </c>
      <c r="S509" s="36" t="str">
        <f>""</f>
        <v/>
      </c>
      <c r="T509" s="36" t="str">
        <f>""</f>
        <v/>
      </c>
      <c r="U509" s="36" t="str">
        <f>""</f>
        <v/>
      </c>
      <c r="V509" s="36" t="str">
        <f>""</f>
        <v/>
      </c>
      <c r="W509" s="36">
        <f t="shared" si="45"/>
        <v>1</v>
      </c>
      <c r="X509" t="str">
        <f t="shared" si="46"/>
        <v>Inactive</v>
      </c>
      <c r="Y509" t="str">
        <f>IF(MAIN!$H$3="Selected Year",IF(A509=MAIN!$B$3,"Yes","No"),IF(MAIN!$H$3="Included Years",IF(D509="Yes","Yes","No"),IF(C509="Yes","Yes","No")))</f>
        <v>No</v>
      </c>
      <c r="Z509" t="str">
        <f>IF(MAIN!$F$3="Project to Date",IF(AND(A509&gt;=SETTINGS!$B$4,A509&lt;MAIN!$B$3),"Yes",IF(AND(A509=MAIN!$B$3,E509&lt;=MAIN!$L$3),"Yes","No")),IF(OR(MAIN!$F$3="Full Year",MAIN!$D$3="All"),"Yes",IF(MAIN!$F$3="Monthly",IF(E509=MAIN!$L$3,"Yes","No"),IF(E509&lt;=MAIN!$L$3,"Yes","No"))))</f>
        <v>Yes</v>
      </c>
      <c r="AA509" t="str">
        <f t="shared" si="47"/>
        <v>No</v>
      </c>
    </row>
    <row r="510" spans="1:27" x14ac:dyDescent="0.3">
      <c r="A510">
        <f>INDEX(SETTINGS!$A$15:$A$24,$B510)</f>
        <v>2027</v>
      </c>
      <c r="B510">
        <v>3</v>
      </c>
      <c r="C510" t="str">
        <f>IF(AND(A510&gt;=SETTINGS!$B$4,A510&lt;=SETTINGS!$B$5),"Yes","No")</f>
        <v>No</v>
      </c>
      <c r="D510" t="str">
        <f>IFERROR(INDEX(SETTINGS!$C$15:$C$24,MATCH(A510,SETTINGS!$A$15:$A$24,0)),"No")</f>
        <v>No</v>
      </c>
      <c r="E510">
        <v>3</v>
      </c>
      <c r="F510" t="s">
        <v>36</v>
      </c>
      <c r="G510">
        <v>73</v>
      </c>
      <c r="H510" t="s">
        <v>108</v>
      </c>
      <c r="I510" t="s">
        <v>22</v>
      </c>
      <c r="J510" t="s">
        <v>28</v>
      </c>
      <c r="K510" t="s">
        <v>3</v>
      </c>
      <c r="L510" s="36">
        <f ca="1">IF(C510&lt;&gt;"Yes",0,IF(A510=2025,N('2025'!D73),IF(A510=2026,N('2026'!D73),IF(A510=2027,N('2027'!D73),IF(A510=2028,N('2028'!D73),IF(A510=2029,N('2029'!D73),IF(A510=2030,N('2030'!D73),IF(A510=2031,N('2031'!D73),IF(A510=2032,N('2032'!D73),IF(A510=2033,N('2033'!D73),IF(A510=2034,N('2034'!D73),IFERROR(N(INDIRECT("'"&amp;A510&amp;"'!D"&amp;G510)),0))))))))))))</f>
        <v>0</v>
      </c>
      <c r="M510" s="36">
        <f>IFERROR(IF(NOT(ISBLANK(KPI_TARGETS!$I$19)),KPI_TARGETS!$I$19,IF(NOT(ISBLANK(KPI_TARGETS!$F$19)),KPI_TARGETS!$F$19,"")),"")</f>
        <v>16</v>
      </c>
      <c r="N510" s="36" t="str">
        <f>IFERROR(KPI_TARGETS!$E$19,"Higher is better")</f>
        <v>Higher is better</v>
      </c>
      <c r="O510" s="37">
        <f t="shared" ca="1" si="42"/>
        <v>0</v>
      </c>
      <c r="P510" t="str">
        <f t="shared" ca="1" si="43"/>
        <v>Red</v>
      </c>
      <c r="Q510" s="36">
        <f t="shared" ca="1" si="44"/>
        <v>-16</v>
      </c>
      <c r="R510" s="36" t="str">
        <f>""</f>
        <v/>
      </c>
      <c r="S510" s="36" t="str">
        <f>""</f>
        <v/>
      </c>
      <c r="T510" s="36" t="str">
        <f>""</f>
        <v/>
      </c>
      <c r="U510" s="36" t="str">
        <f>""</f>
        <v/>
      </c>
      <c r="V510" s="36" t="str">
        <f>""</f>
        <v/>
      </c>
      <c r="W510" s="36">
        <f t="shared" si="45"/>
        <v>1</v>
      </c>
      <c r="X510" t="str">
        <f t="shared" si="46"/>
        <v>Inactive</v>
      </c>
      <c r="Y510" t="str">
        <f>IF(MAIN!$H$3="Selected Year",IF(A510=MAIN!$B$3,"Yes","No"),IF(MAIN!$H$3="Included Years",IF(D510="Yes","Yes","No"),IF(C510="Yes","Yes","No")))</f>
        <v>No</v>
      </c>
      <c r="Z510" t="str">
        <f>IF(MAIN!$F$3="Project to Date",IF(AND(A510&gt;=SETTINGS!$B$4,A510&lt;MAIN!$B$3),"Yes",IF(AND(A510=MAIN!$B$3,E510&lt;=MAIN!$L$3),"Yes","No")),IF(OR(MAIN!$F$3="Full Year",MAIN!$D$3="All"),"Yes",IF(MAIN!$F$3="Monthly",IF(E510=MAIN!$L$3,"Yes","No"),IF(E510&lt;=MAIN!$L$3,"Yes","No"))))</f>
        <v>Yes</v>
      </c>
      <c r="AA510" t="str">
        <f t="shared" si="47"/>
        <v>No</v>
      </c>
    </row>
    <row r="511" spans="1:27" x14ac:dyDescent="0.3">
      <c r="A511">
        <f>INDEX(SETTINGS!$A$15:$A$24,$B511)</f>
        <v>2027</v>
      </c>
      <c r="B511">
        <v>3</v>
      </c>
      <c r="C511" t="str">
        <f>IF(AND(A511&gt;=SETTINGS!$B$4,A511&lt;=SETTINGS!$B$5),"Yes","No")</f>
        <v>No</v>
      </c>
      <c r="D511" t="str">
        <f>IFERROR(INDEX(SETTINGS!$C$15:$C$24,MATCH(A511,SETTINGS!$A$15:$A$24,0)),"No")</f>
        <v>No</v>
      </c>
      <c r="E511">
        <v>3</v>
      </c>
      <c r="F511" t="s">
        <v>36</v>
      </c>
      <c r="G511">
        <v>74</v>
      </c>
      <c r="H511" t="s">
        <v>109</v>
      </c>
      <c r="I511" t="s">
        <v>22</v>
      </c>
      <c r="J511" t="s">
        <v>29</v>
      </c>
      <c r="K511" t="s">
        <v>3</v>
      </c>
      <c r="L511" s="36">
        <f ca="1">IF(C511&lt;&gt;"Yes",0,IF(A511=2025,N('2025'!D74),IF(A511=2026,N('2026'!D74),IF(A511=2027,N('2027'!D74),IF(A511=2028,N('2028'!D74),IF(A511=2029,N('2029'!D74),IF(A511=2030,N('2030'!D74),IF(A511=2031,N('2031'!D74),IF(A511=2032,N('2032'!D74),IF(A511=2033,N('2033'!D74),IF(A511=2034,N('2034'!D74),IFERROR(N(INDIRECT("'"&amp;A511&amp;"'!D"&amp;G511)),0))))))))))))</f>
        <v>0</v>
      </c>
      <c r="M511" s="36">
        <f>IFERROR(IF(NOT(ISBLANK(KPI_TARGETS!$I$20)),KPI_TARGETS!$I$20,IF(NOT(ISBLANK(KPI_TARGETS!$F$20)),KPI_TARGETS!$F$20,"")),"")</f>
        <v>1</v>
      </c>
      <c r="N511" s="36" t="str">
        <f>IFERROR(KPI_TARGETS!$E$20,"Higher is better")</f>
        <v>Higher is better</v>
      </c>
      <c r="O511" s="37">
        <f t="shared" ca="1" si="42"/>
        <v>0</v>
      </c>
      <c r="P511" t="str">
        <f t="shared" ca="1" si="43"/>
        <v>Red</v>
      </c>
      <c r="Q511" s="36">
        <f t="shared" ca="1" si="44"/>
        <v>-1</v>
      </c>
      <c r="R511" s="36" t="str">
        <f>""</f>
        <v/>
      </c>
      <c r="S511" s="36" t="str">
        <f>""</f>
        <v/>
      </c>
      <c r="T511" s="36" t="str">
        <f>""</f>
        <v/>
      </c>
      <c r="U511" s="36" t="str">
        <f>""</f>
        <v/>
      </c>
      <c r="V511" s="36" t="str">
        <f>""</f>
        <v/>
      </c>
      <c r="W511" s="36">
        <f t="shared" si="45"/>
        <v>1</v>
      </c>
      <c r="X511" t="str">
        <f t="shared" si="46"/>
        <v>Inactive</v>
      </c>
      <c r="Y511" t="str">
        <f>IF(MAIN!$H$3="Selected Year",IF(A511=MAIN!$B$3,"Yes","No"),IF(MAIN!$H$3="Included Years",IF(D511="Yes","Yes","No"),IF(C511="Yes","Yes","No")))</f>
        <v>No</v>
      </c>
      <c r="Z511" t="str">
        <f>IF(MAIN!$F$3="Project to Date",IF(AND(A511&gt;=SETTINGS!$B$4,A511&lt;MAIN!$B$3),"Yes",IF(AND(A511=MAIN!$B$3,E511&lt;=MAIN!$L$3),"Yes","No")),IF(OR(MAIN!$F$3="Full Year",MAIN!$D$3="All"),"Yes",IF(MAIN!$F$3="Monthly",IF(E511=MAIN!$L$3,"Yes","No"),IF(E511&lt;=MAIN!$L$3,"Yes","No"))))</f>
        <v>Yes</v>
      </c>
      <c r="AA511" t="str">
        <f t="shared" si="47"/>
        <v>No</v>
      </c>
    </row>
    <row r="512" spans="1:27" x14ac:dyDescent="0.3">
      <c r="A512">
        <f>INDEX(SETTINGS!$A$15:$A$24,$B512)</f>
        <v>2027</v>
      </c>
      <c r="B512">
        <v>3</v>
      </c>
      <c r="C512" t="str">
        <f>IF(AND(A512&gt;=SETTINGS!$B$4,A512&lt;=SETTINGS!$B$5),"Yes","No")</f>
        <v>No</v>
      </c>
      <c r="D512" t="str">
        <f>IFERROR(INDEX(SETTINGS!$C$15:$C$24,MATCH(A512,SETTINGS!$A$15:$A$24,0)),"No")</f>
        <v>No</v>
      </c>
      <c r="E512">
        <v>3</v>
      </c>
      <c r="F512" t="s">
        <v>36</v>
      </c>
      <c r="G512">
        <v>76</v>
      </c>
      <c r="H512" t="s">
        <v>110</v>
      </c>
      <c r="I512" t="s">
        <v>30</v>
      </c>
      <c r="J512" t="s">
        <v>31</v>
      </c>
      <c r="K512" t="s">
        <v>3</v>
      </c>
      <c r="L512" s="36">
        <f ca="1">IF(C512&lt;&gt;"Yes",0,IF(A512=2025,N('2025'!D76),IF(A512=2026,N('2026'!D76),IF(A512=2027,N('2027'!D76),IF(A512=2028,N('2028'!D76),IF(A512=2029,N('2029'!D76),IF(A512=2030,N('2030'!D76),IF(A512=2031,N('2031'!D76),IF(A512=2032,N('2032'!D76),IF(A512=2033,N('2033'!D76),IF(A512=2034,N('2034'!D76),IFERROR(N(INDIRECT("'"&amp;A512&amp;"'!D"&amp;G512)),0))))))))))))</f>
        <v>0</v>
      </c>
      <c r="M512" s="36">
        <f>IFERROR(IF(NOT(ISBLANK(KPI_TARGETS!$I$21)),KPI_TARGETS!$I$21,IF(NOT(ISBLANK(KPI_TARGETS!$F$21)),KPI_TARGETS!$F$21,"")),"")</f>
        <v>0</v>
      </c>
      <c r="N512" s="36" t="str">
        <f>IFERROR(KPI_TARGETS!$E$21,"Higher is better")</f>
        <v>Lower is better</v>
      </c>
      <c r="O512" s="37">
        <f t="shared" ca="1" si="42"/>
        <v>1</v>
      </c>
      <c r="P512" t="str">
        <f t="shared" ca="1" si="43"/>
        <v>Green</v>
      </c>
      <c r="Q512" s="36">
        <f t="shared" ca="1" si="44"/>
        <v>0</v>
      </c>
      <c r="R512" s="36" t="str">
        <f>""</f>
        <v/>
      </c>
      <c r="S512" s="36" t="str">
        <f>""</f>
        <v/>
      </c>
      <c r="T512" s="36" t="str">
        <f>""</f>
        <v/>
      </c>
      <c r="U512" s="36" t="str">
        <f>""</f>
        <v/>
      </c>
      <c r="V512" s="36" t="str">
        <f>""</f>
        <v/>
      </c>
      <c r="W512" s="36">
        <f t="shared" si="45"/>
        <v>1</v>
      </c>
      <c r="X512" t="str">
        <f t="shared" si="46"/>
        <v>Inactive</v>
      </c>
      <c r="Y512" t="str">
        <f>IF(MAIN!$H$3="Selected Year",IF(A512=MAIN!$B$3,"Yes","No"),IF(MAIN!$H$3="Included Years",IF(D512="Yes","Yes","No"),IF(C512="Yes","Yes","No")))</f>
        <v>No</v>
      </c>
      <c r="Z512" t="str">
        <f>IF(MAIN!$F$3="Project to Date",IF(AND(A512&gt;=SETTINGS!$B$4,A512&lt;MAIN!$B$3),"Yes",IF(AND(A512=MAIN!$B$3,E512&lt;=MAIN!$L$3),"Yes","No")),IF(OR(MAIN!$F$3="Full Year",MAIN!$D$3="All"),"Yes",IF(MAIN!$F$3="Monthly",IF(E512=MAIN!$L$3,"Yes","No"),IF(E512&lt;=MAIN!$L$3,"Yes","No"))))</f>
        <v>Yes</v>
      </c>
      <c r="AA512" t="str">
        <f t="shared" si="47"/>
        <v>No</v>
      </c>
    </row>
    <row r="513" spans="1:27" x14ac:dyDescent="0.3">
      <c r="A513">
        <f>INDEX(SETTINGS!$A$15:$A$24,$B513)</f>
        <v>2027</v>
      </c>
      <c r="B513">
        <v>3</v>
      </c>
      <c r="C513" t="str">
        <f>IF(AND(A513&gt;=SETTINGS!$B$4,A513&lt;=SETTINGS!$B$5),"Yes","No")</f>
        <v>No</v>
      </c>
      <c r="D513" t="str">
        <f>IFERROR(INDEX(SETTINGS!$C$15:$C$24,MATCH(A513,SETTINGS!$A$15:$A$24,0)),"No")</f>
        <v>No</v>
      </c>
      <c r="E513">
        <v>3</v>
      </c>
      <c r="F513" t="s">
        <v>36</v>
      </c>
      <c r="G513">
        <v>77</v>
      </c>
      <c r="H513" t="s">
        <v>111</v>
      </c>
      <c r="I513" t="s">
        <v>30</v>
      </c>
      <c r="J513" t="s">
        <v>32</v>
      </c>
      <c r="K513" t="s">
        <v>3</v>
      </c>
      <c r="L513" s="36">
        <f ca="1">IF(C513&lt;&gt;"Yes",0,IF(A513=2025,N('2025'!D77),IF(A513=2026,N('2026'!D77),IF(A513=2027,N('2027'!D77),IF(A513=2028,N('2028'!D77),IF(A513=2029,N('2029'!D77),IF(A513=2030,N('2030'!D77),IF(A513=2031,N('2031'!D77),IF(A513=2032,N('2032'!D77),IF(A513=2033,N('2033'!D77),IF(A513=2034,N('2034'!D77),IFERROR(N(INDIRECT("'"&amp;A513&amp;"'!D"&amp;G513)),0))))))))))))</f>
        <v>0</v>
      </c>
      <c r="M513" s="36">
        <f>IFERROR(IF(NOT(ISBLANK(KPI_TARGETS!$I$22)),KPI_TARGETS!$I$22,IF(NOT(ISBLANK(KPI_TARGETS!$F$22)),KPI_TARGETS!$F$22,"")),"")</f>
        <v>1</v>
      </c>
      <c r="N513" s="36" t="str">
        <f>IFERROR(KPI_TARGETS!$E$22,"Higher is better")</f>
        <v>Higher is better</v>
      </c>
      <c r="O513" s="37">
        <f t="shared" ca="1" si="42"/>
        <v>0</v>
      </c>
      <c r="P513" t="str">
        <f t="shared" ca="1" si="43"/>
        <v>Red</v>
      </c>
      <c r="Q513" s="36">
        <f t="shared" ca="1" si="44"/>
        <v>-1</v>
      </c>
      <c r="R513" s="36" t="str">
        <f>""</f>
        <v/>
      </c>
      <c r="S513" s="36" t="str">
        <f>""</f>
        <v/>
      </c>
      <c r="T513" s="36" t="str">
        <f>""</f>
        <v/>
      </c>
      <c r="U513" s="36" t="str">
        <f>""</f>
        <v/>
      </c>
      <c r="V513" s="36" t="str">
        <f>""</f>
        <v/>
      </c>
      <c r="W513" s="36">
        <f t="shared" si="45"/>
        <v>1</v>
      </c>
      <c r="X513" t="str">
        <f t="shared" si="46"/>
        <v>Inactive</v>
      </c>
      <c r="Y513" t="str">
        <f>IF(MAIN!$H$3="Selected Year",IF(A513=MAIN!$B$3,"Yes","No"),IF(MAIN!$H$3="Included Years",IF(D513="Yes","Yes","No"),IF(C513="Yes","Yes","No")))</f>
        <v>No</v>
      </c>
      <c r="Z513" t="str">
        <f>IF(MAIN!$F$3="Project to Date",IF(AND(A513&gt;=SETTINGS!$B$4,A513&lt;MAIN!$B$3),"Yes",IF(AND(A513=MAIN!$B$3,E513&lt;=MAIN!$L$3),"Yes","No")),IF(OR(MAIN!$F$3="Full Year",MAIN!$D$3="All"),"Yes",IF(MAIN!$F$3="Monthly",IF(E513=MAIN!$L$3,"Yes","No"),IF(E513&lt;=MAIN!$L$3,"Yes","No"))))</f>
        <v>Yes</v>
      </c>
      <c r="AA513" t="str">
        <f t="shared" si="47"/>
        <v>No</v>
      </c>
    </row>
    <row r="514" spans="1:27" x14ac:dyDescent="0.3">
      <c r="A514">
        <f>INDEX(SETTINGS!$A$15:$A$24,$B514)</f>
        <v>2027</v>
      </c>
      <c r="B514">
        <v>3</v>
      </c>
      <c r="C514" t="str">
        <f>IF(AND(A514&gt;=SETTINGS!$B$4,A514&lt;=SETTINGS!$B$5),"Yes","No")</f>
        <v>No</v>
      </c>
      <c r="D514" t="str">
        <f>IFERROR(INDEX(SETTINGS!$C$15:$C$24,MATCH(A514,SETTINGS!$A$15:$A$24,0)),"No")</f>
        <v>No</v>
      </c>
      <c r="E514">
        <v>3</v>
      </c>
      <c r="F514" t="s">
        <v>36</v>
      </c>
      <c r="G514">
        <v>78</v>
      </c>
      <c r="H514" t="s">
        <v>112</v>
      </c>
      <c r="I514" t="s">
        <v>30</v>
      </c>
      <c r="J514" t="s">
        <v>33</v>
      </c>
      <c r="K514" t="s">
        <v>34</v>
      </c>
      <c r="L514" s="36">
        <f ca="1">IF(C514&lt;&gt;"Yes",0,IF(A514=2025,N('2025'!D78),IF(A514=2026,N('2026'!D78),IF(A514=2027,N('2027'!D78),IF(A514=2028,N('2028'!D78),IF(A514=2029,N('2029'!D78),IF(A514=2030,N('2030'!D78),IF(A514=2031,N('2031'!D78),IF(A514=2032,N('2032'!D78),IF(A514=2033,N('2033'!D78),IF(A514=2034,N('2034'!D78),IFERROR(N(INDIRECT("'"&amp;A514&amp;"'!D"&amp;G514)),0))))))))))))</f>
        <v>0</v>
      </c>
      <c r="M514" s="36">
        <f>IFERROR(IF(NOT(ISBLANK(KPI_TARGETS!$I$23)),KPI_TARGETS!$I$23,IF(NOT(ISBLANK(KPI_TARGETS!$F$23)),KPI_TARGETS!$F$23,"")),"")</f>
        <v>1</v>
      </c>
      <c r="N514" s="36" t="str">
        <f>IFERROR(KPI_TARGETS!$E$23,"Higher is better")</f>
        <v>Higher is better</v>
      </c>
      <c r="O514" s="37">
        <f t="shared" ref="O514:O577" ca="1" si="48">IF(M514="","",IF(N514="Higher is better",IFERROR(L514/M514,""),IF(L514=0,1,IFERROR(M514/L514,""))))</f>
        <v>0</v>
      </c>
      <c r="P514" t="str">
        <f t="shared" ref="P514:P577" ca="1" si="49">IF(M514="","Target Needed",IF(N514="Higher is better",IF(L514&gt;=M514,"Green",IF(L514&gt;=0.8*M514,"Amber","Red")),IF(M514=0,IF(L514=0,"Green","Red"),IF(L514&lt;=M514,"Green",IF(L514&lt;=1.25*M514,"Amber","Red")))))</f>
        <v>Red</v>
      </c>
      <c r="Q514" s="36">
        <f t="shared" ref="Q514:Q577" ca="1" si="50">IF(M514="","",IF(N514="Higher is better",L514-M514,M514-L514))</f>
        <v>-1</v>
      </c>
      <c r="R514" s="36" t="str">
        <f>""</f>
        <v/>
      </c>
      <c r="S514" s="36" t="str">
        <f>""</f>
        <v/>
      </c>
      <c r="T514" s="36" t="str">
        <f>""</f>
        <v/>
      </c>
      <c r="U514" s="36" t="str">
        <f>""</f>
        <v/>
      </c>
      <c r="V514" s="36" t="str">
        <f>""</f>
        <v/>
      </c>
      <c r="W514" s="36">
        <f t="shared" ref="W514:W577" si="51">IF(LEN(M514&amp;"")&gt;0,1,0)</f>
        <v>1</v>
      </c>
      <c r="X514" t="str">
        <f t="shared" ref="X514:X577" si="52">IF(C514&lt;&gt;"Yes","Inactive",IF(M514="","Missing target","OK"))</f>
        <v>Inactive</v>
      </c>
      <c r="Y514" t="str">
        <f>IF(MAIN!$H$3="Selected Year",IF(A514=MAIN!$B$3,"Yes","No"),IF(MAIN!$H$3="Included Years",IF(D514="Yes","Yes","No"),IF(C514="Yes","Yes","No")))</f>
        <v>No</v>
      </c>
      <c r="Z514" t="str">
        <f>IF(MAIN!$F$3="Project to Date",IF(AND(A514&gt;=SETTINGS!$B$4,A514&lt;MAIN!$B$3),"Yes",IF(AND(A514=MAIN!$B$3,E514&lt;=MAIN!$L$3),"Yes","No")),IF(OR(MAIN!$F$3="Full Year",MAIN!$D$3="All"),"Yes",IF(MAIN!$F$3="Monthly",IF(E514=MAIN!$L$3,"Yes","No"),IF(E514&lt;=MAIN!$L$3,"Yes","No"))))</f>
        <v>Yes</v>
      </c>
      <c r="AA514" t="str">
        <f t="shared" ref="AA514:AA577" si="53">IF(AND(Y514="Yes",Z514="Yes"),"Yes","No")</f>
        <v>No</v>
      </c>
    </row>
    <row r="515" spans="1:27" x14ac:dyDescent="0.3">
      <c r="A515">
        <f>INDEX(SETTINGS!$A$15:$A$24,$B515)</f>
        <v>2027</v>
      </c>
      <c r="B515">
        <v>3</v>
      </c>
      <c r="C515" t="str">
        <f>IF(AND(A515&gt;=SETTINGS!$B$4,A515&lt;=SETTINGS!$B$5),"Yes","No")</f>
        <v>No</v>
      </c>
      <c r="D515" t="str">
        <f>IFERROR(INDEX(SETTINGS!$C$15:$C$24,MATCH(A515,SETTINGS!$A$15:$A$24,0)),"No")</f>
        <v>No</v>
      </c>
      <c r="E515">
        <v>4</v>
      </c>
      <c r="F515" t="s">
        <v>37</v>
      </c>
      <c r="G515">
        <v>81</v>
      </c>
      <c r="H515" t="s">
        <v>88</v>
      </c>
      <c r="I515" t="s">
        <v>89</v>
      </c>
      <c r="J515" t="s">
        <v>10</v>
      </c>
      <c r="K515" t="s">
        <v>3</v>
      </c>
      <c r="L515" s="36">
        <f ca="1">IF(C515&lt;&gt;"Yes",0,IF(A515=2025,N('2025'!D81),IF(A515=2026,N('2026'!D81),IF(A515=2027,N('2027'!D81),IF(A515=2028,N('2028'!D81),IF(A515=2029,N('2029'!D81),IF(A515=2030,N('2030'!D81),IF(A515=2031,N('2031'!D81),IF(A515=2032,N('2032'!D81),IF(A515=2033,N('2033'!D81),IF(A515=2034,N('2034'!D81),IFERROR(N(INDIRECT("'"&amp;A515&amp;"'!D"&amp;G515)),0))))))))))))</f>
        <v>0</v>
      </c>
      <c r="M515" s="36">
        <f>IFERROR(IF(NOT(ISBLANK(KPI_TARGETS!$I$5)),KPI_TARGETS!$I$5,IF(NOT(ISBLANK(KPI_TARGETS!$F$5)),KPI_TARGETS!$F$5,"")),"")</f>
        <v>104</v>
      </c>
      <c r="N515" s="36" t="str">
        <f>IFERROR(KPI_TARGETS!$E$5,"Higher is better")</f>
        <v>Higher is better</v>
      </c>
      <c r="O515" s="37">
        <f t="shared" ca="1" si="48"/>
        <v>0</v>
      </c>
      <c r="P515" t="str">
        <f t="shared" ca="1" si="49"/>
        <v>Red</v>
      </c>
      <c r="Q515" s="36">
        <f t="shared" ca="1" si="50"/>
        <v>-104</v>
      </c>
      <c r="R515" s="36" t="str">
        <f>""</f>
        <v/>
      </c>
      <c r="S515" s="36" t="str">
        <f>""</f>
        <v/>
      </c>
      <c r="T515" s="36" t="str">
        <f>""</f>
        <v/>
      </c>
      <c r="U515" s="36" t="str">
        <f>""</f>
        <v/>
      </c>
      <c r="V515" s="36" t="str">
        <f>""</f>
        <v/>
      </c>
      <c r="W515" s="36">
        <f t="shared" si="51"/>
        <v>1</v>
      </c>
      <c r="X515" t="str">
        <f t="shared" si="52"/>
        <v>Inactive</v>
      </c>
      <c r="Y515" t="str">
        <f>IF(MAIN!$H$3="Selected Year",IF(A515=MAIN!$B$3,"Yes","No"),IF(MAIN!$H$3="Included Years",IF(D515="Yes","Yes","No"),IF(C515="Yes","Yes","No")))</f>
        <v>No</v>
      </c>
      <c r="Z515" t="str">
        <f>IF(MAIN!$F$3="Project to Date",IF(AND(A515&gt;=SETTINGS!$B$4,A515&lt;MAIN!$B$3),"Yes",IF(AND(A515=MAIN!$B$3,E515&lt;=MAIN!$L$3),"Yes","No")),IF(OR(MAIN!$F$3="Full Year",MAIN!$D$3="All"),"Yes",IF(MAIN!$F$3="Monthly",IF(E515=MAIN!$L$3,"Yes","No"),IF(E515&lt;=MAIN!$L$3,"Yes","No"))))</f>
        <v>Yes</v>
      </c>
      <c r="AA515" t="str">
        <f t="shared" si="53"/>
        <v>No</v>
      </c>
    </row>
    <row r="516" spans="1:27" x14ac:dyDescent="0.3">
      <c r="A516">
        <f>INDEX(SETTINGS!$A$15:$A$24,$B516)</f>
        <v>2027</v>
      </c>
      <c r="B516">
        <v>3</v>
      </c>
      <c r="C516" t="str">
        <f>IF(AND(A516&gt;=SETTINGS!$B$4,A516&lt;=SETTINGS!$B$5),"Yes","No")</f>
        <v>No</v>
      </c>
      <c r="D516" t="str">
        <f>IFERROR(INDEX(SETTINGS!$C$15:$C$24,MATCH(A516,SETTINGS!$A$15:$A$24,0)),"No")</f>
        <v>No</v>
      </c>
      <c r="E516">
        <v>4</v>
      </c>
      <c r="F516" t="s">
        <v>37</v>
      </c>
      <c r="G516">
        <v>82</v>
      </c>
      <c r="H516" t="s">
        <v>91</v>
      </c>
      <c r="I516" t="s">
        <v>89</v>
      </c>
      <c r="J516" t="s">
        <v>11</v>
      </c>
      <c r="K516" t="s">
        <v>12</v>
      </c>
      <c r="L516" s="36">
        <f ca="1">IF(C516&lt;&gt;"Yes",0,IF(A516=2025,N('2025'!D82),IF(A516=2026,N('2026'!D82),IF(A516=2027,N('2027'!D82),IF(A516=2028,N('2028'!D82),IF(A516=2029,N('2029'!D82),IF(A516=2030,N('2030'!D82),IF(A516=2031,N('2031'!D82),IF(A516=2032,N('2032'!D82),IF(A516=2033,N('2033'!D82),IF(A516=2034,N('2034'!D82),IFERROR(N(INDIRECT("'"&amp;A516&amp;"'!D"&amp;G516)),0))))))))))))</f>
        <v>0</v>
      </c>
      <c r="M516" s="36">
        <f>IFERROR(IF(NOT(ISBLANK(KPI_TARGETS!$I$6)),KPI_TARGETS!$I$6,IF(NOT(ISBLANK(KPI_TARGETS!$F$6)),KPI_TARGETS!$F$6,"")),"")</f>
        <v>4000</v>
      </c>
      <c r="N516" s="36" t="str">
        <f>IFERROR(KPI_TARGETS!$E$6,"Higher is better")</f>
        <v>Higher is better</v>
      </c>
      <c r="O516" s="37">
        <f t="shared" ca="1" si="48"/>
        <v>0</v>
      </c>
      <c r="P516" t="str">
        <f t="shared" ca="1" si="49"/>
        <v>Red</v>
      </c>
      <c r="Q516" s="36">
        <f t="shared" ca="1" si="50"/>
        <v>-4000</v>
      </c>
      <c r="R516" s="36" t="str">
        <f>""</f>
        <v/>
      </c>
      <c r="S516" s="36" t="str">
        <f>""</f>
        <v/>
      </c>
      <c r="T516" s="36" t="str">
        <f>""</f>
        <v/>
      </c>
      <c r="U516" s="36" t="str">
        <f>""</f>
        <v/>
      </c>
      <c r="V516" s="36" t="str">
        <f>""</f>
        <v/>
      </c>
      <c r="W516" s="36">
        <f t="shared" si="51"/>
        <v>1</v>
      </c>
      <c r="X516" t="str">
        <f t="shared" si="52"/>
        <v>Inactive</v>
      </c>
      <c r="Y516" t="str">
        <f>IF(MAIN!$H$3="Selected Year",IF(A516=MAIN!$B$3,"Yes","No"),IF(MAIN!$H$3="Included Years",IF(D516="Yes","Yes","No"),IF(C516="Yes","Yes","No")))</f>
        <v>No</v>
      </c>
      <c r="Z516" t="str">
        <f>IF(MAIN!$F$3="Project to Date",IF(AND(A516&gt;=SETTINGS!$B$4,A516&lt;MAIN!$B$3),"Yes",IF(AND(A516=MAIN!$B$3,E516&lt;=MAIN!$L$3),"Yes","No")),IF(OR(MAIN!$F$3="Full Year",MAIN!$D$3="All"),"Yes",IF(MAIN!$F$3="Monthly",IF(E516=MAIN!$L$3,"Yes","No"),IF(E516&lt;=MAIN!$L$3,"Yes","No"))))</f>
        <v>Yes</v>
      </c>
      <c r="AA516" t="str">
        <f t="shared" si="53"/>
        <v>No</v>
      </c>
    </row>
    <row r="517" spans="1:27" x14ac:dyDescent="0.3">
      <c r="A517">
        <f>INDEX(SETTINGS!$A$15:$A$24,$B517)</f>
        <v>2027</v>
      </c>
      <c r="B517">
        <v>3</v>
      </c>
      <c r="C517" t="str">
        <f>IF(AND(A517&gt;=SETTINGS!$B$4,A517&lt;=SETTINGS!$B$5),"Yes","No")</f>
        <v>No</v>
      </c>
      <c r="D517" t="str">
        <f>IFERROR(INDEX(SETTINGS!$C$15:$C$24,MATCH(A517,SETTINGS!$A$15:$A$24,0)),"No")</f>
        <v>No</v>
      </c>
      <c r="E517">
        <v>4</v>
      </c>
      <c r="F517" t="s">
        <v>37</v>
      </c>
      <c r="G517">
        <v>83</v>
      </c>
      <c r="H517" t="s">
        <v>93</v>
      </c>
      <c r="I517" t="s">
        <v>89</v>
      </c>
      <c r="J517" t="s">
        <v>13</v>
      </c>
      <c r="K517" t="s">
        <v>14</v>
      </c>
      <c r="L517" s="36">
        <f ca="1">IF(C517&lt;&gt;"Yes",0,IF(A517=2025,N('2025'!D83),IF(A517=2026,N('2026'!D83),IF(A517=2027,N('2027'!D83),IF(A517=2028,N('2028'!D83),IF(A517=2029,N('2029'!D83),IF(A517=2030,N('2030'!D83),IF(A517=2031,N('2031'!D83),IF(A517=2032,N('2032'!D83),IF(A517=2033,N('2033'!D83),IF(A517=2034,N('2034'!D83),IFERROR(N(INDIRECT("'"&amp;A517&amp;"'!D"&amp;G517)),0))))))))))))</f>
        <v>0</v>
      </c>
      <c r="M517" s="36">
        <f>IFERROR(IF(NOT(ISBLANK(KPI_TARGETS!$I$7)),KPI_TARGETS!$I$7,IF(NOT(ISBLANK(KPI_TARGETS!$F$7)),KPI_TARGETS!$F$7,"")),"")</f>
        <v>8000</v>
      </c>
      <c r="N517" s="36" t="str">
        <f>IFERROR(KPI_TARGETS!$E$7,"Higher is better")</f>
        <v>Higher is better</v>
      </c>
      <c r="O517" s="37">
        <f t="shared" ca="1" si="48"/>
        <v>0</v>
      </c>
      <c r="P517" t="str">
        <f t="shared" ca="1" si="49"/>
        <v>Red</v>
      </c>
      <c r="Q517" s="36">
        <f t="shared" ca="1" si="50"/>
        <v>-8000</v>
      </c>
      <c r="R517" s="36" t="str">
        <f>""</f>
        <v/>
      </c>
      <c r="S517" s="36" t="str">
        <f>""</f>
        <v/>
      </c>
      <c r="T517" s="36" t="str">
        <f>""</f>
        <v/>
      </c>
      <c r="U517" s="36" t="str">
        <f>""</f>
        <v/>
      </c>
      <c r="V517" s="36" t="str">
        <f>""</f>
        <v/>
      </c>
      <c r="W517" s="36">
        <f t="shared" si="51"/>
        <v>1</v>
      </c>
      <c r="X517" t="str">
        <f t="shared" si="52"/>
        <v>Inactive</v>
      </c>
      <c r="Y517" t="str">
        <f>IF(MAIN!$H$3="Selected Year",IF(A517=MAIN!$B$3,"Yes","No"),IF(MAIN!$H$3="Included Years",IF(D517="Yes","Yes","No"),IF(C517="Yes","Yes","No")))</f>
        <v>No</v>
      </c>
      <c r="Z517" t="str">
        <f>IF(MAIN!$F$3="Project to Date",IF(AND(A517&gt;=SETTINGS!$B$4,A517&lt;MAIN!$B$3),"Yes",IF(AND(A517=MAIN!$B$3,E517&lt;=MAIN!$L$3),"Yes","No")),IF(OR(MAIN!$F$3="Full Year",MAIN!$D$3="All"),"Yes",IF(MAIN!$F$3="Monthly",IF(E517=MAIN!$L$3,"Yes","No"),IF(E517&lt;=MAIN!$L$3,"Yes","No"))))</f>
        <v>Yes</v>
      </c>
      <c r="AA517" t="str">
        <f t="shared" si="53"/>
        <v>No</v>
      </c>
    </row>
    <row r="518" spans="1:27" x14ac:dyDescent="0.3">
      <c r="A518">
        <f>INDEX(SETTINGS!$A$15:$A$24,$B518)</f>
        <v>2027</v>
      </c>
      <c r="B518">
        <v>3</v>
      </c>
      <c r="C518" t="str">
        <f>IF(AND(A518&gt;=SETTINGS!$B$4,A518&lt;=SETTINGS!$B$5),"Yes","No")</f>
        <v>No</v>
      </c>
      <c r="D518" t="str">
        <f>IFERROR(INDEX(SETTINGS!$C$15:$C$24,MATCH(A518,SETTINGS!$A$15:$A$24,0)),"No")</f>
        <v>No</v>
      </c>
      <c r="E518">
        <v>4</v>
      </c>
      <c r="F518" t="s">
        <v>37</v>
      </c>
      <c r="G518">
        <v>85</v>
      </c>
      <c r="H518" t="s">
        <v>95</v>
      </c>
      <c r="I518" t="s">
        <v>15</v>
      </c>
      <c r="J518" t="s">
        <v>16</v>
      </c>
      <c r="K518" t="s">
        <v>3</v>
      </c>
      <c r="L518" s="36">
        <f ca="1">IF(C518&lt;&gt;"Yes",0,IF(A518=2025,N('2025'!D85),IF(A518=2026,N('2026'!D85),IF(A518=2027,N('2027'!D85),IF(A518=2028,N('2028'!D85),IF(A518=2029,N('2029'!D85),IF(A518=2030,N('2030'!D85),IF(A518=2031,N('2031'!D85),IF(A518=2032,N('2032'!D85),IF(A518=2033,N('2033'!D85),IF(A518=2034,N('2034'!D85),IFERROR(N(INDIRECT("'"&amp;A518&amp;"'!D"&amp;G518)),0))))))))))))</f>
        <v>0</v>
      </c>
      <c r="M518" s="36">
        <f>IFERROR(IF(NOT(ISBLANK(KPI_TARGETS!$I$8)),KPI_TARGETS!$I$8,IF(NOT(ISBLANK(KPI_TARGETS!$F$8)),KPI_TARGETS!$F$8,"")),"")</f>
        <v>0</v>
      </c>
      <c r="N518" s="36" t="str">
        <f>IFERROR(KPI_TARGETS!$E$8,"Higher is better")</f>
        <v>Lower is better</v>
      </c>
      <c r="O518" s="37">
        <f t="shared" ca="1" si="48"/>
        <v>1</v>
      </c>
      <c r="P518" t="str">
        <f t="shared" ca="1" si="49"/>
        <v>Green</v>
      </c>
      <c r="Q518" s="36">
        <f t="shared" ca="1" si="50"/>
        <v>0</v>
      </c>
      <c r="R518" s="36" t="str">
        <f>""</f>
        <v/>
      </c>
      <c r="S518" s="36" t="str">
        <f>""</f>
        <v/>
      </c>
      <c r="T518" s="36" t="str">
        <f>""</f>
        <v/>
      </c>
      <c r="U518" s="36" t="str">
        <f>""</f>
        <v/>
      </c>
      <c r="V518" s="36" t="str">
        <f>""</f>
        <v/>
      </c>
      <c r="W518" s="36">
        <f t="shared" si="51"/>
        <v>1</v>
      </c>
      <c r="X518" t="str">
        <f t="shared" si="52"/>
        <v>Inactive</v>
      </c>
      <c r="Y518" t="str">
        <f>IF(MAIN!$H$3="Selected Year",IF(A518=MAIN!$B$3,"Yes","No"),IF(MAIN!$H$3="Included Years",IF(D518="Yes","Yes","No"),IF(C518="Yes","Yes","No")))</f>
        <v>No</v>
      </c>
      <c r="Z518" t="str">
        <f>IF(MAIN!$F$3="Project to Date",IF(AND(A518&gt;=SETTINGS!$B$4,A518&lt;MAIN!$B$3),"Yes",IF(AND(A518=MAIN!$B$3,E518&lt;=MAIN!$L$3),"Yes","No")),IF(OR(MAIN!$F$3="Full Year",MAIN!$D$3="All"),"Yes",IF(MAIN!$F$3="Monthly",IF(E518=MAIN!$L$3,"Yes","No"),IF(E518&lt;=MAIN!$L$3,"Yes","No"))))</f>
        <v>Yes</v>
      </c>
      <c r="AA518" t="str">
        <f t="shared" si="53"/>
        <v>No</v>
      </c>
    </row>
    <row r="519" spans="1:27" x14ac:dyDescent="0.3">
      <c r="A519">
        <f>INDEX(SETTINGS!$A$15:$A$24,$B519)</f>
        <v>2027</v>
      </c>
      <c r="B519">
        <v>3</v>
      </c>
      <c r="C519" t="str">
        <f>IF(AND(A519&gt;=SETTINGS!$B$4,A519&lt;=SETTINGS!$B$5),"Yes","No")</f>
        <v>No</v>
      </c>
      <c r="D519" t="str">
        <f>IFERROR(INDEX(SETTINGS!$C$15:$C$24,MATCH(A519,SETTINGS!$A$15:$A$24,0)),"No")</f>
        <v>No</v>
      </c>
      <c r="E519">
        <v>4</v>
      </c>
      <c r="F519" t="s">
        <v>37</v>
      </c>
      <c r="G519">
        <v>86</v>
      </c>
      <c r="H519" t="s">
        <v>97</v>
      </c>
      <c r="I519" t="s">
        <v>15</v>
      </c>
      <c r="J519" t="s">
        <v>17</v>
      </c>
      <c r="K519" t="s">
        <v>3</v>
      </c>
      <c r="L519" s="36">
        <f ca="1">IF(C519&lt;&gt;"Yes",0,IF(A519=2025,N('2025'!D86),IF(A519=2026,N('2026'!D86),IF(A519=2027,N('2027'!D86),IF(A519=2028,N('2028'!D86),IF(A519=2029,N('2029'!D86),IF(A519=2030,N('2030'!D86),IF(A519=2031,N('2031'!D86),IF(A519=2032,N('2032'!D86),IF(A519=2033,N('2033'!D86),IF(A519=2034,N('2034'!D86),IFERROR(N(INDIRECT("'"&amp;A519&amp;"'!D"&amp;G519)),0))))))))))))</f>
        <v>0</v>
      </c>
      <c r="M519" s="36">
        <f>IFERROR(IF(NOT(ISBLANK(KPI_TARGETS!$I$9)),KPI_TARGETS!$I$9,IF(NOT(ISBLANK(KPI_TARGETS!$F$9)),KPI_TARGETS!$F$9,"")),"")</f>
        <v>0</v>
      </c>
      <c r="N519" s="36" t="str">
        <f>IFERROR(KPI_TARGETS!$E$9,"Higher is better")</f>
        <v>Higher is better</v>
      </c>
      <c r="O519" s="37" t="str">
        <f t="shared" ca="1" si="48"/>
        <v/>
      </c>
      <c r="P519" t="str">
        <f t="shared" ca="1" si="49"/>
        <v>Green</v>
      </c>
      <c r="Q519" s="36">
        <f t="shared" ca="1" si="50"/>
        <v>0</v>
      </c>
      <c r="R519" s="36" t="str">
        <f>""</f>
        <v/>
      </c>
      <c r="S519" s="36" t="str">
        <f>""</f>
        <v/>
      </c>
      <c r="T519" s="36" t="str">
        <f>""</f>
        <v/>
      </c>
      <c r="U519" s="36" t="str">
        <f>""</f>
        <v/>
      </c>
      <c r="V519" s="36" t="str">
        <f>""</f>
        <v/>
      </c>
      <c r="W519" s="36">
        <f t="shared" si="51"/>
        <v>1</v>
      </c>
      <c r="X519" t="str">
        <f t="shared" si="52"/>
        <v>Inactive</v>
      </c>
      <c r="Y519" t="str">
        <f>IF(MAIN!$H$3="Selected Year",IF(A519=MAIN!$B$3,"Yes","No"),IF(MAIN!$H$3="Included Years",IF(D519="Yes","Yes","No"),IF(C519="Yes","Yes","No")))</f>
        <v>No</v>
      </c>
      <c r="Z519" t="str">
        <f>IF(MAIN!$F$3="Project to Date",IF(AND(A519&gt;=SETTINGS!$B$4,A519&lt;MAIN!$B$3),"Yes",IF(AND(A519=MAIN!$B$3,E519&lt;=MAIN!$L$3),"Yes","No")),IF(OR(MAIN!$F$3="Full Year",MAIN!$D$3="All"),"Yes",IF(MAIN!$F$3="Monthly",IF(E519=MAIN!$L$3,"Yes","No"),IF(E519&lt;=MAIN!$L$3,"Yes","No"))))</f>
        <v>Yes</v>
      </c>
      <c r="AA519" t="str">
        <f t="shared" si="53"/>
        <v>No</v>
      </c>
    </row>
    <row r="520" spans="1:27" x14ac:dyDescent="0.3">
      <c r="A520">
        <f>INDEX(SETTINGS!$A$15:$A$24,$B520)</f>
        <v>2027</v>
      </c>
      <c r="B520">
        <v>3</v>
      </c>
      <c r="C520" t="str">
        <f>IF(AND(A520&gt;=SETTINGS!$B$4,A520&lt;=SETTINGS!$B$5),"Yes","No")</f>
        <v>No</v>
      </c>
      <c r="D520" t="str">
        <f>IFERROR(INDEX(SETTINGS!$C$15:$C$24,MATCH(A520,SETTINGS!$A$15:$A$24,0)),"No")</f>
        <v>No</v>
      </c>
      <c r="E520">
        <v>4</v>
      </c>
      <c r="F520" t="s">
        <v>37</v>
      </c>
      <c r="G520">
        <v>87</v>
      </c>
      <c r="H520" t="s">
        <v>99</v>
      </c>
      <c r="I520" t="s">
        <v>15</v>
      </c>
      <c r="J520" t="s">
        <v>18</v>
      </c>
      <c r="K520" t="s">
        <v>3</v>
      </c>
      <c r="L520" s="36">
        <f ca="1">IF(C520&lt;&gt;"Yes",0,IF(A520=2025,N('2025'!D87),IF(A520=2026,N('2026'!D87),IF(A520=2027,N('2027'!D87),IF(A520=2028,N('2028'!D87),IF(A520=2029,N('2029'!D87),IF(A520=2030,N('2030'!D87),IF(A520=2031,N('2031'!D87),IF(A520=2032,N('2032'!D87),IF(A520=2033,N('2033'!D87),IF(A520=2034,N('2034'!D87),IFERROR(N(INDIRECT("'"&amp;A520&amp;"'!D"&amp;G520)),0))))))))))))</f>
        <v>0</v>
      </c>
      <c r="M520" s="36">
        <f>IFERROR(IF(NOT(ISBLANK(KPI_TARGETS!$I$10)),KPI_TARGETS!$I$10,IF(NOT(ISBLANK(KPI_TARGETS!$F$10)),KPI_TARGETS!$F$10,"")),"")</f>
        <v>0</v>
      </c>
      <c r="N520" s="36" t="str">
        <f>IFERROR(KPI_TARGETS!$E$10,"Higher is better")</f>
        <v>Lower is better</v>
      </c>
      <c r="O520" s="37">
        <f t="shared" ca="1" si="48"/>
        <v>1</v>
      </c>
      <c r="P520" t="str">
        <f t="shared" ca="1" si="49"/>
        <v>Green</v>
      </c>
      <c r="Q520" s="36">
        <f t="shared" ca="1" si="50"/>
        <v>0</v>
      </c>
      <c r="R520" s="36" t="str">
        <f>""</f>
        <v/>
      </c>
      <c r="S520" s="36" t="str">
        <f>""</f>
        <v/>
      </c>
      <c r="T520" s="36" t="str">
        <f>""</f>
        <v/>
      </c>
      <c r="U520" s="36" t="str">
        <f>""</f>
        <v/>
      </c>
      <c r="V520" s="36" t="str">
        <f>""</f>
        <v/>
      </c>
      <c r="W520" s="36">
        <f t="shared" si="51"/>
        <v>1</v>
      </c>
      <c r="X520" t="str">
        <f t="shared" si="52"/>
        <v>Inactive</v>
      </c>
      <c r="Y520" t="str">
        <f>IF(MAIN!$H$3="Selected Year",IF(A520=MAIN!$B$3,"Yes","No"),IF(MAIN!$H$3="Included Years",IF(D520="Yes","Yes","No"),IF(C520="Yes","Yes","No")))</f>
        <v>No</v>
      </c>
      <c r="Z520" t="str">
        <f>IF(MAIN!$F$3="Project to Date",IF(AND(A520&gt;=SETTINGS!$B$4,A520&lt;MAIN!$B$3),"Yes",IF(AND(A520=MAIN!$B$3,E520&lt;=MAIN!$L$3),"Yes","No")),IF(OR(MAIN!$F$3="Full Year",MAIN!$D$3="All"),"Yes",IF(MAIN!$F$3="Monthly",IF(E520=MAIN!$L$3,"Yes","No"),IF(E520&lt;=MAIN!$L$3,"Yes","No"))))</f>
        <v>Yes</v>
      </c>
      <c r="AA520" t="str">
        <f t="shared" si="53"/>
        <v>No</v>
      </c>
    </row>
    <row r="521" spans="1:27" x14ac:dyDescent="0.3">
      <c r="A521">
        <f>INDEX(SETTINGS!$A$15:$A$24,$B521)</f>
        <v>2027</v>
      </c>
      <c r="B521">
        <v>3</v>
      </c>
      <c r="C521" t="str">
        <f>IF(AND(A521&gt;=SETTINGS!$B$4,A521&lt;=SETTINGS!$B$5),"Yes","No")</f>
        <v>No</v>
      </c>
      <c r="D521" t="str">
        <f>IFERROR(INDEX(SETTINGS!$C$15:$C$24,MATCH(A521,SETTINGS!$A$15:$A$24,0)),"No")</f>
        <v>No</v>
      </c>
      <c r="E521">
        <v>4</v>
      </c>
      <c r="F521" t="s">
        <v>37</v>
      </c>
      <c r="G521">
        <v>88</v>
      </c>
      <c r="H521" t="s">
        <v>100</v>
      </c>
      <c r="I521" t="s">
        <v>15</v>
      </c>
      <c r="J521" t="s">
        <v>19</v>
      </c>
      <c r="K521" t="s">
        <v>3</v>
      </c>
      <c r="L521" s="36">
        <f ca="1">IF(C521&lt;&gt;"Yes",0,IF(A521=2025,N('2025'!D88),IF(A521=2026,N('2026'!D88),IF(A521=2027,N('2027'!D88),IF(A521=2028,N('2028'!D88),IF(A521=2029,N('2029'!D88),IF(A521=2030,N('2030'!D88),IF(A521=2031,N('2031'!D88),IF(A521=2032,N('2032'!D88),IF(A521=2033,N('2033'!D88),IF(A521=2034,N('2034'!D88),IFERROR(N(INDIRECT("'"&amp;A521&amp;"'!D"&amp;G521)),0))))))))))))</f>
        <v>0</v>
      </c>
      <c r="M521" s="36">
        <f>IFERROR(IF(NOT(ISBLANK(KPI_TARGETS!$I$11)),KPI_TARGETS!$I$11,IF(NOT(ISBLANK(KPI_TARGETS!$F$11)),KPI_TARGETS!$F$11,"")),"")</f>
        <v>0</v>
      </c>
      <c r="N521" s="36" t="str">
        <f>IFERROR(KPI_TARGETS!$E$11,"Higher is better")</f>
        <v>Lower is better</v>
      </c>
      <c r="O521" s="37">
        <f t="shared" ca="1" si="48"/>
        <v>1</v>
      </c>
      <c r="P521" t="str">
        <f t="shared" ca="1" si="49"/>
        <v>Green</v>
      </c>
      <c r="Q521" s="36">
        <f t="shared" ca="1" si="50"/>
        <v>0</v>
      </c>
      <c r="R521" s="36" t="str">
        <f>""</f>
        <v/>
      </c>
      <c r="S521" s="36" t="str">
        <f>""</f>
        <v/>
      </c>
      <c r="T521" s="36" t="str">
        <f>""</f>
        <v/>
      </c>
      <c r="U521" s="36" t="str">
        <f>""</f>
        <v/>
      </c>
      <c r="V521" s="36" t="str">
        <f>""</f>
        <v/>
      </c>
      <c r="W521" s="36">
        <f t="shared" si="51"/>
        <v>1</v>
      </c>
      <c r="X521" t="str">
        <f t="shared" si="52"/>
        <v>Inactive</v>
      </c>
      <c r="Y521" t="str">
        <f>IF(MAIN!$H$3="Selected Year",IF(A521=MAIN!$B$3,"Yes","No"),IF(MAIN!$H$3="Included Years",IF(D521="Yes","Yes","No"),IF(C521="Yes","Yes","No")))</f>
        <v>No</v>
      </c>
      <c r="Z521" t="str">
        <f>IF(MAIN!$F$3="Project to Date",IF(AND(A521&gt;=SETTINGS!$B$4,A521&lt;MAIN!$B$3),"Yes",IF(AND(A521=MAIN!$B$3,E521&lt;=MAIN!$L$3),"Yes","No")),IF(OR(MAIN!$F$3="Full Year",MAIN!$D$3="All"),"Yes",IF(MAIN!$F$3="Monthly",IF(E521=MAIN!$L$3,"Yes","No"),IF(E521&lt;=MAIN!$L$3,"Yes","No"))))</f>
        <v>Yes</v>
      </c>
      <c r="AA521" t="str">
        <f t="shared" si="53"/>
        <v>No</v>
      </c>
    </row>
    <row r="522" spans="1:27" x14ac:dyDescent="0.3">
      <c r="A522">
        <f>INDEX(SETTINGS!$A$15:$A$24,$B522)</f>
        <v>2027</v>
      </c>
      <c r="B522">
        <v>3</v>
      </c>
      <c r="C522" t="str">
        <f>IF(AND(A522&gt;=SETTINGS!$B$4,A522&lt;=SETTINGS!$B$5),"Yes","No")</f>
        <v>No</v>
      </c>
      <c r="D522" t="str">
        <f>IFERROR(INDEX(SETTINGS!$C$15:$C$24,MATCH(A522,SETTINGS!$A$15:$A$24,0)),"No")</f>
        <v>No</v>
      </c>
      <c r="E522">
        <v>4</v>
      </c>
      <c r="F522" t="s">
        <v>37</v>
      </c>
      <c r="G522">
        <v>89</v>
      </c>
      <c r="H522" t="s">
        <v>101</v>
      </c>
      <c r="I522" t="s">
        <v>15</v>
      </c>
      <c r="J522" t="s">
        <v>20</v>
      </c>
      <c r="K522" t="s">
        <v>3</v>
      </c>
      <c r="L522" s="36">
        <f ca="1">IF(C522&lt;&gt;"Yes",0,IF(A522=2025,N('2025'!D89),IF(A522=2026,N('2026'!D89),IF(A522=2027,N('2027'!D89),IF(A522=2028,N('2028'!D89),IF(A522=2029,N('2029'!D89),IF(A522=2030,N('2030'!D89),IF(A522=2031,N('2031'!D89),IF(A522=2032,N('2032'!D89),IF(A522=2033,N('2033'!D89),IF(A522=2034,N('2034'!D89),IFERROR(N(INDIRECT("'"&amp;A522&amp;"'!D"&amp;G522)),0))))))))))))</f>
        <v>0</v>
      </c>
      <c r="M522" s="36">
        <f>IFERROR(IF(NOT(ISBLANK(KPI_TARGETS!$I$12)),KPI_TARGETS!$I$12,IF(NOT(ISBLANK(KPI_TARGETS!$F$12)),KPI_TARGETS!$F$12,"")),"")</f>
        <v>0</v>
      </c>
      <c r="N522" s="36" t="str">
        <f>IFERROR(KPI_TARGETS!$E$12,"Higher is better")</f>
        <v>Lower is better</v>
      </c>
      <c r="O522" s="37">
        <f t="shared" ca="1" si="48"/>
        <v>1</v>
      </c>
      <c r="P522" t="str">
        <f t="shared" ca="1" si="49"/>
        <v>Green</v>
      </c>
      <c r="Q522" s="36">
        <f t="shared" ca="1" si="50"/>
        <v>0</v>
      </c>
      <c r="R522" s="36" t="str">
        <f>""</f>
        <v/>
      </c>
      <c r="S522" s="36" t="str">
        <f>""</f>
        <v/>
      </c>
      <c r="T522" s="36" t="str">
        <f>""</f>
        <v/>
      </c>
      <c r="U522" s="36" t="str">
        <f>""</f>
        <v/>
      </c>
      <c r="V522" s="36" t="str">
        <f>""</f>
        <v/>
      </c>
      <c r="W522" s="36">
        <f t="shared" si="51"/>
        <v>1</v>
      </c>
      <c r="X522" t="str">
        <f t="shared" si="52"/>
        <v>Inactive</v>
      </c>
      <c r="Y522" t="str">
        <f>IF(MAIN!$H$3="Selected Year",IF(A522=MAIN!$B$3,"Yes","No"),IF(MAIN!$H$3="Included Years",IF(D522="Yes","Yes","No"),IF(C522="Yes","Yes","No")))</f>
        <v>No</v>
      </c>
      <c r="Z522" t="str">
        <f>IF(MAIN!$F$3="Project to Date",IF(AND(A522&gt;=SETTINGS!$B$4,A522&lt;MAIN!$B$3),"Yes",IF(AND(A522=MAIN!$B$3,E522&lt;=MAIN!$L$3),"Yes","No")),IF(OR(MAIN!$F$3="Full Year",MAIN!$D$3="All"),"Yes",IF(MAIN!$F$3="Monthly",IF(E522=MAIN!$L$3,"Yes","No"),IF(E522&lt;=MAIN!$L$3,"Yes","No"))))</f>
        <v>Yes</v>
      </c>
      <c r="AA522" t="str">
        <f t="shared" si="53"/>
        <v>No</v>
      </c>
    </row>
    <row r="523" spans="1:27" x14ac:dyDescent="0.3">
      <c r="A523">
        <f>INDEX(SETTINGS!$A$15:$A$24,$B523)</f>
        <v>2027</v>
      </c>
      <c r="B523">
        <v>3</v>
      </c>
      <c r="C523" t="str">
        <f>IF(AND(A523&gt;=SETTINGS!$B$4,A523&lt;=SETTINGS!$B$5),"Yes","No")</f>
        <v>No</v>
      </c>
      <c r="D523" t="str">
        <f>IFERROR(INDEX(SETTINGS!$C$15:$C$24,MATCH(A523,SETTINGS!$A$15:$A$24,0)),"No")</f>
        <v>No</v>
      </c>
      <c r="E523">
        <v>4</v>
      </c>
      <c r="F523" t="s">
        <v>37</v>
      </c>
      <c r="G523">
        <v>90</v>
      </c>
      <c r="H523" t="s">
        <v>102</v>
      </c>
      <c r="I523" t="s">
        <v>15</v>
      </c>
      <c r="J523" t="s">
        <v>21</v>
      </c>
      <c r="K523" t="s">
        <v>3</v>
      </c>
      <c r="L523" s="36">
        <f ca="1">IF(C523&lt;&gt;"Yes",0,IF(A523=2025,N('2025'!D90),IF(A523=2026,N('2026'!D90),IF(A523=2027,N('2027'!D90),IF(A523=2028,N('2028'!D90),IF(A523=2029,N('2029'!D90),IF(A523=2030,N('2030'!D90),IF(A523=2031,N('2031'!D90),IF(A523=2032,N('2032'!D90),IF(A523=2033,N('2033'!D90),IF(A523=2034,N('2034'!D90),IFERROR(N(INDIRECT("'"&amp;A523&amp;"'!D"&amp;G523)),0))))))))))))</f>
        <v>0</v>
      </c>
      <c r="M523" s="36">
        <f>IFERROR(IF(NOT(ISBLANK(KPI_TARGETS!$I$13)),KPI_TARGETS!$I$13,IF(NOT(ISBLANK(KPI_TARGETS!$F$13)),KPI_TARGETS!$F$13,"")),"")</f>
        <v>0</v>
      </c>
      <c r="N523" s="36" t="str">
        <f>IFERROR(KPI_TARGETS!$E$13,"Higher is better")</f>
        <v>Lower is better</v>
      </c>
      <c r="O523" s="37">
        <f t="shared" ca="1" si="48"/>
        <v>1</v>
      </c>
      <c r="P523" t="str">
        <f t="shared" ca="1" si="49"/>
        <v>Green</v>
      </c>
      <c r="Q523" s="36">
        <f t="shared" ca="1" si="50"/>
        <v>0</v>
      </c>
      <c r="R523" s="36" t="str">
        <f>""</f>
        <v/>
      </c>
      <c r="S523" s="36" t="str">
        <f>""</f>
        <v/>
      </c>
      <c r="T523" s="36" t="str">
        <f>""</f>
        <v/>
      </c>
      <c r="U523" s="36" t="str">
        <f>""</f>
        <v/>
      </c>
      <c r="V523" s="36" t="str">
        <f>""</f>
        <v/>
      </c>
      <c r="W523" s="36">
        <f t="shared" si="51"/>
        <v>1</v>
      </c>
      <c r="X523" t="str">
        <f t="shared" si="52"/>
        <v>Inactive</v>
      </c>
      <c r="Y523" t="str">
        <f>IF(MAIN!$H$3="Selected Year",IF(A523=MAIN!$B$3,"Yes","No"),IF(MAIN!$H$3="Included Years",IF(D523="Yes","Yes","No"),IF(C523="Yes","Yes","No")))</f>
        <v>No</v>
      </c>
      <c r="Z523" t="str">
        <f>IF(MAIN!$F$3="Project to Date",IF(AND(A523&gt;=SETTINGS!$B$4,A523&lt;MAIN!$B$3),"Yes",IF(AND(A523=MAIN!$B$3,E523&lt;=MAIN!$L$3),"Yes","No")),IF(OR(MAIN!$F$3="Full Year",MAIN!$D$3="All"),"Yes",IF(MAIN!$F$3="Monthly",IF(E523=MAIN!$L$3,"Yes","No"),IF(E523&lt;=MAIN!$L$3,"Yes","No"))))</f>
        <v>Yes</v>
      </c>
      <c r="AA523" t="str">
        <f t="shared" si="53"/>
        <v>No</v>
      </c>
    </row>
    <row r="524" spans="1:27" x14ac:dyDescent="0.3">
      <c r="A524">
        <f>INDEX(SETTINGS!$A$15:$A$24,$B524)</f>
        <v>2027</v>
      </c>
      <c r="B524">
        <v>3</v>
      </c>
      <c r="C524" t="str">
        <f>IF(AND(A524&gt;=SETTINGS!$B$4,A524&lt;=SETTINGS!$B$5),"Yes","No")</f>
        <v>No</v>
      </c>
      <c r="D524" t="str">
        <f>IFERROR(INDEX(SETTINGS!$C$15:$C$24,MATCH(A524,SETTINGS!$A$15:$A$24,0)),"No")</f>
        <v>No</v>
      </c>
      <c r="E524">
        <v>4</v>
      </c>
      <c r="F524" t="s">
        <v>37</v>
      </c>
      <c r="G524">
        <v>92</v>
      </c>
      <c r="H524" t="s">
        <v>103</v>
      </c>
      <c r="I524" t="s">
        <v>22</v>
      </c>
      <c r="J524" t="s">
        <v>23</v>
      </c>
      <c r="K524" t="s">
        <v>3</v>
      </c>
      <c r="L524" s="36">
        <f ca="1">IF(C524&lt;&gt;"Yes",0,IF(A524=2025,N('2025'!D92),IF(A524=2026,N('2026'!D92),IF(A524=2027,N('2027'!D92),IF(A524=2028,N('2028'!D92),IF(A524=2029,N('2029'!D92),IF(A524=2030,N('2030'!D92),IF(A524=2031,N('2031'!D92),IF(A524=2032,N('2032'!D92),IF(A524=2033,N('2033'!D92),IF(A524=2034,N('2034'!D92),IFERROR(N(INDIRECT("'"&amp;A524&amp;"'!D"&amp;G524)),0))))))))))))</f>
        <v>0</v>
      </c>
      <c r="M524" s="36">
        <f>IFERROR(IF(NOT(ISBLANK(KPI_TARGETS!$I$14)),KPI_TARGETS!$I$14,IF(NOT(ISBLANK(KPI_TARGETS!$F$14)),KPI_TARGETS!$F$14,"")),"")</f>
        <v>35</v>
      </c>
      <c r="N524" s="36" t="str">
        <f>IFERROR(KPI_TARGETS!$E$14,"Higher is better")</f>
        <v>Higher is better</v>
      </c>
      <c r="O524" s="37">
        <f t="shared" ca="1" si="48"/>
        <v>0</v>
      </c>
      <c r="P524" t="str">
        <f t="shared" ca="1" si="49"/>
        <v>Red</v>
      </c>
      <c r="Q524" s="36">
        <f t="shared" ca="1" si="50"/>
        <v>-35</v>
      </c>
      <c r="R524" s="36" t="str">
        <f>""</f>
        <v/>
      </c>
      <c r="S524" s="36" t="str">
        <f>""</f>
        <v/>
      </c>
      <c r="T524" s="36" t="str">
        <f>""</f>
        <v/>
      </c>
      <c r="U524" s="36" t="str">
        <f>""</f>
        <v/>
      </c>
      <c r="V524" s="36" t="str">
        <f>""</f>
        <v/>
      </c>
      <c r="W524" s="36">
        <f t="shared" si="51"/>
        <v>1</v>
      </c>
      <c r="X524" t="str">
        <f t="shared" si="52"/>
        <v>Inactive</v>
      </c>
      <c r="Y524" t="str">
        <f>IF(MAIN!$H$3="Selected Year",IF(A524=MAIN!$B$3,"Yes","No"),IF(MAIN!$H$3="Included Years",IF(D524="Yes","Yes","No"),IF(C524="Yes","Yes","No")))</f>
        <v>No</v>
      </c>
      <c r="Z524" t="str">
        <f>IF(MAIN!$F$3="Project to Date",IF(AND(A524&gt;=SETTINGS!$B$4,A524&lt;MAIN!$B$3),"Yes",IF(AND(A524=MAIN!$B$3,E524&lt;=MAIN!$L$3),"Yes","No")),IF(OR(MAIN!$F$3="Full Year",MAIN!$D$3="All"),"Yes",IF(MAIN!$F$3="Monthly",IF(E524=MAIN!$L$3,"Yes","No"),IF(E524&lt;=MAIN!$L$3,"Yes","No"))))</f>
        <v>Yes</v>
      </c>
      <c r="AA524" t="str">
        <f t="shared" si="53"/>
        <v>No</v>
      </c>
    </row>
    <row r="525" spans="1:27" x14ac:dyDescent="0.3">
      <c r="A525">
        <f>INDEX(SETTINGS!$A$15:$A$24,$B525)</f>
        <v>2027</v>
      </c>
      <c r="B525">
        <v>3</v>
      </c>
      <c r="C525" t="str">
        <f>IF(AND(A525&gt;=SETTINGS!$B$4,A525&lt;=SETTINGS!$B$5),"Yes","No")</f>
        <v>No</v>
      </c>
      <c r="D525" t="str">
        <f>IFERROR(INDEX(SETTINGS!$C$15:$C$24,MATCH(A525,SETTINGS!$A$15:$A$24,0)),"No")</f>
        <v>No</v>
      </c>
      <c r="E525">
        <v>4</v>
      </c>
      <c r="F525" t="s">
        <v>37</v>
      </c>
      <c r="G525">
        <v>93</v>
      </c>
      <c r="H525" t="s">
        <v>104</v>
      </c>
      <c r="I525" t="s">
        <v>22</v>
      </c>
      <c r="J525" t="s">
        <v>24</v>
      </c>
      <c r="K525" t="s">
        <v>3</v>
      </c>
      <c r="L525" s="36">
        <f ca="1">IF(C525&lt;&gt;"Yes",0,IF(A525=2025,N('2025'!D93),IF(A525=2026,N('2026'!D93),IF(A525=2027,N('2027'!D93),IF(A525=2028,N('2028'!D93),IF(A525=2029,N('2029'!D93),IF(A525=2030,N('2030'!D93),IF(A525=2031,N('2031'!D93),IF(A525=2032,N('2032'!D93),IF(A525=2033,N('2033'!D93),IF(A525=2034,N('2034'!D93),IFERROR(N(INDIRECT("'"&amp;A525&amp;"'!D"&amp;G525)),0))))))))))))</f>
        <v>0</v>
      </c>
      <c r="M525" s="36">
        <f>IFERROR(IF(NOT(ISBLANK(KPI_TARGETS!$I$15)),KPI_TARGETS!$I$15,IF(NOT(ISBLANK(KPI_TARGETS!$F$15)),KPI_TARGETS!$F$15,"")),"")</f>
        <v>5</v>
      </c>
      <c r="N525" s="36" t="str">
        <f>IFERROR(KPI_TARGETS!$E$15,"Higher is better")</f>
        <v>Higher is better</v>
      </c>
      <c r="O525" s="37">
        <f t="shared" ca="1" si="48"/>
        <v>0</v>
      </c>
      <c r="P525" t="str">
        <f t="shared" ca="1" si="49"/>
        <v>Red</v>
      </c>
      <c r="Q525" s="36">
        <f t="shared" ca="1" si="50"/>
        <v>-5</v>
      </c>
      <c r="R525" s="36" t="str">
        <f>""</f>
        <v/>
      </c>
      <c r="S525" s="36" t="str">
        <f>""</f>
        <v/>
      </c>
      <c r="T525" s="36" t="str">
        <f>""</f>
        <v/>
      </c>
      <c r="U525" s="36" t="str">
        <f>""</f>
        <v/>
      </c>
      <c r="V525" s="36" t="str">
        <f>""</f>
        <v/>
      </c>
      <c r="W525" s="36">
        <f t="shared" si="51"/>
        <v>1</v>
      </c>
      <c r="X525" t="str">
        <f t="shared" si="52"/>
        <v>Inactive</v>
      </c>
      <c r="Y525" t="str">
        <f>IF(MAIN!$H$3="Selected Year",IF(A525=MAIN!$B$3,"Yes","No"),IF(MAIN!$H$3="Included Years",IF(D525="Yes","Yes","No"),IF(C525="Yes","Yes","No")))</f>
        <v>No</v>
      </c>
      <c r="Z525" t="str">
        <f>IF(MAIN!$F$3="Project to Date",IF(AND(A525&gt;=SETTINGS!$B$4,A525&lt;MAIN!$B$3),"Yes",IF(AND(A525=MAIN!$B$3,E525&lt;=MAIN!$L$3),"Yes","No")),IF(OR(MAIN!$F$3="Full Year",MAIN!$D$3="All"),"Yes",IF(MAIN!$F$3="Monthly",IF(E525=MAIN!$L$3,"Yes","No"),IF(E525&lt;=MAIN!$L$3,"Yes","No"))))</f>
        <v>Yes</v>
      </c>
      <c r="AA525" t="str">
        <f t="shared" si="53"/>
        <v>No</v>
      </c>
    </row>
    <row r="526" spans="1:27" x14ac:dyDescent="0.3">
      <c r="A526">
        <f>INDEX(SETTINGS!$A$15:$A$24,$B526)</f>
        <v>2027</v>
      </c>
      <c r="B526">
        <v>3</v>
      </c>
      <c r="C526" t="str">
        <f>IF(AND(A526&gt;=SETTINGS!$B$4,A526&lt;=SETTINGS!$B$5),"Yes","No")</f>
        <v>No</v>
      </c>
      <c r="D526" t="str">
        <f>IFERROR(INDEX(SETTINGS!$C$15:$C$24,MATCH(A526,SETTINGS!$A$15:$A$24,0)),"No")</f>
        <v>No</v>
      </c>
      <c r="E526">
        <v>4</v>
      </c>
      <c r="F526" t="s">
        <v>37</v>
      </c>
      <c r="G526">
        <v>94</v>
      </c>
      <c r="H526" t="s">
        <v>105</v>
      </c>
      <c r="I526" t="s">
        <v>22</v>
      </c>
      <c r="J526" t="s">
        <v>25</v>
      </c>
      <c r="K526" t="s">
        <v>3</v>
      </c>
      <c r="L526" s="36">
        <f ca="1">IF(C526&lt;&gt;"Yes",0,IF(A526=2025,N('2025'!D94),IF(A526=2026,N('2026'!D94),IF(A526=2027,N('2027'!D94),IF(A526=2028,N('2028'!D94),IF(A526=2029,N('2029'!D94),IF(A526=2030,N('2030'!D94),IF(A526=2031,N('2031'!D94),IF(A526=2032,N('2032'!D94),IF(A526=2033,N('2033'!D94),IF(A526=2034,N('2034'!D94),IFERROR(N(INDIRECT("'"&amp;A526&amp;"'!D"&amp;G526)),0))))))))))))</f>
        <v>0</v>
      </c>
      <c r="M526" s="36">
        <f>IFERROR(IF(NOT(ISBLANK(KPI_TARGETS!$I$16)),KPI_TARGETS!$I$16,IF(NOT(ISBLANK(KPI_TARGETS!$F$16)),KPI_TARGETS!$F$16,"")),"")</f>
        <v>4</v>
      </c>
      <c r="N526" s="36" t="str">
        <f>IFERROR(KPI_TARGETS!$E$16,"Higher is better")</f>
        <v>Higher is better</v>
      </c>
      <c r="O526" s="37">
        <f t="shared" ca="1" si="48"/>
        <v>0</v>
      </c>
      <c r="P526" t="str">
        <f t="shared" ca="1" si="49"/>
        <v>Red</v>
      </c>
      <c r="Q526" s="36">
        <f t="shared" ca="1" si="50"/>
        <v>-4</v>
      </c>
      <c r="R526" s="36" t="str">
        <f>""</f>
        <v/>
      </c>
      <c r="S526" s="36" t="str">
        <f>""</f>
        <v/>
      </c>
      <c r="T526" s="36" t="str">
        <f>""</f>
        <v/>
      </c>
      <c r="U526" s="36" t="str">
        <f>""</f>
        <v/>
      </c>
      <c r="V526" s="36" t="str">
        <f>""</f>
        <v/>
      </c>
      <c r="W526" s="36">
        <f t="shared" si="51"/>
        <v>1</v>
      </c>
      <c r="X526" t="str">
        <f t="shared" si="52"/>
        <v>Inactive</v>
      </c>
      <c r="Y526" t="str">
        <f>IF(MAIN!$H$3="Selected Year",IF(A526=MAIN!$B$3,"Yes","No"),IF(MAIN!$H$3="Included Years",IF(D526="Yes","Yes","No"),IF(C526="Yes","Yes","No")))</f>
        <v>No</v>
      </c>
      <c r="Z526" t="str">
        <f>IF(MAIN!$F$3="Project to Date",IF(AND(A526&gt;=SETTINGS!$B$4,A526&lt;MAIN!$B$3),"Yes",IF(AND(A526=MAIN!$B$3,E526&lt;=MAIN!$L$3),"Yes","No")),IF(OR(MAIN!$F$3="Full Year",MAIN!$D$3="All"),"Yes",IF(MAIN!$F$3="Monthly",IF(E526=MAIN!$L$3,"Yes","No"),IF(E526&lt;=MAIN!$L$3,"Yes","No"))))</f>
        <v>Yes</v>
      </c>
      <c r="AA526" t="str">
        <f t="shared" si="53"/>
        <v>No</v>
      </c>
    </row>
    <row r="527" spans="1:27" x14ac:dyDescent="0.3">
      <c r="A527">
        <f>INDEX(SETTINGS!$A$15:$A$24,$B527)</f>
        <v>2027</v>
      </c>
      <c r="B527">
        <v>3</v>
      </c>
      <c r="C527" t="str">
        <f>IF(AND(A527&gt;=SETTINGS!$B$4,A527&lt;=SETTINGS!$B$5),"Yes","No")</f>
        <v>No</v>
      </c>
      <c r="D527" t="str">
        <f>IFERROR(INDEX(SETTINGS!$C$15:$C$24,MATCH(A527,SETTINGS!$A$15:$A$24,0)),"No")</f>
        <v>No</v>
      </c>
      <c r="E527">
        <v>4</v>
      </c>
      <c r="F527" t="s">
        <v>37</v>
      </c>
      <c r="G527">
        <v>95</v>
      </c>
      <c r="H527" t="s">
        <v>106</v>
      </c>
      <c r="I527" t="s">
        <v>22</v>
      </c>
      <c r="J527" t="s">
        <v>26</v>
      </c>
      <c r="K527" t="s">
        <v>3</v>
      </c>
      <c r="L527" s="36">
        <f ca="1">IF(C527&lt;&gt;"Yes",0,IF(A527=2025,N('2025'!D95),IF(A527=2026,N('2026'!D95),IF(A527=2027,N('2027'!D95),IF(A527=2028,N('2028'!D95),IF(A527=2029,N('2029'!D95),IF(A527=2030,N('2030'!D95),IF(A527=2031,N('2031'!D95),IF(A527=2032,N('2032'!D95),IF(A527=2033,N('2033'!D95),IF(A527=2034,N('2034'!D95),IFERROR(N(INDIRECT("'"&amp;A527&amp;"'!D"&amp;G527)),0))))))))))))</f>
        <v>0</v>
      </c>
      <c r="M527" s="36">
        <f>IFERROR(IF(NOT(ISBLANK(KPI_TARGETS!$I$17)),KPI_TARGETS!$I$17,IF(NOT(ISBLANK(KPI_TARGETS!$F$17)),KPI_TARGETS!$F$17,"")),"")</f>
        <v>12</v>
      </c>
      <c r="N527" s="36" t="str">
        <f>IFERROR(KPI_TARGETS!$E$17,"Higher is better")</f>
        <v>Higher is better</v>
      </c>
      <c r="O527" s="37">
        <f t="shared" ca="1" si="48"/>
        <v>0</v>
      </c>
      <c r="P527" t="str">
        <f t="shared" ca="1" si="49"/>
        <v>Red</v>
      </c>
      <c r="Q527" s="36">
        <f t="shared" ca="1" si="50"/>
        <v>-12</v>
      </c>
      <c r="R527" s="36" t="str">
        <f>""</f>
        <v/>
      </c>
      <c r="S527" s="36" t="str">
        <f>""</f>
        <v/>
      </c>
      <c r="T527" s="36" t="str">
        <f>""</f>
        <v/>
      </c>
      <c r="U527" s="36" t="str">
        <f>""</f>
        <v/>
      </c>
      <c r="V527" s="36" t="str">
        <f>""</f>
        <v/>
      </c>
      <c r="W527" s="36">
        <f t="shared" si="51"/>
        <v>1</v>
      </c>
      <c r="X527" t="str">
        <f t="shared" si="52"/>
        <v>Inactive</v>
      </c>
      <c r="Y527" t="str">
        <f>IF(MAIN!$H$3="Selected Year",IF(A527=MAIN!$B$3,"Yes","No"),IF(MAIN!$H$3="Included Years",IF(D527="Yes","Yes","No"),IF(C527="Yes","Yes","No")))</f>
        <v>No</v>
      </c>
      <c r="Z527" t="str">
        <f>IF(MAIN!$F$3="Project to Date",IF(AND(A527&gt;=SETTINGS!$B$4,A527&lt;MAIN!$B$3),"Yes",IF(AND(A527=MAIN!$B$3,E527&lt;=MAIN!$L$3),"Yes","No")),IF(OR(MAIN!$F$3="Full Year",MAIN!$D$3="All"),"Yes",IF(MAIN!$F$3="Monthly",IF(E527=MAIN!$L$3,"Yes","No"),IF(E527&lt;=MAIN!$L$3,"Yes","No"))))</f>
        <v>Yes</v>
      </c>
      <c r="AA527" t="str">
        <f t="shared" si="53"/>
        <v>No</v>
      </c>
    </row>
    <row r="528" spans="1:27" x14ac:dyDescent="0.3">
      <c r="A528">
        <f>INDEX(SETTINGS!$A$15:$A$24,$B528)</f>
        <v>2027</v>
      </c>
      <c r="B528">
        <v>3</v>
      </c>
      <c r="C528" t="str">
        <f>IF(AND(A528&gt;=SETTINGS!$B$4,A528&lt;=SETTINGS!$B$5),"Yes","No")</f>
        <v>No</v>
      </c>
      <c r="D528" t="str">
        <f>IFERROR(INDEX(SETTINGS!$C$15:$C$24,MATCH(A528,SETTINGS!$A$15:$A$24,0)),"No")</f>
        <v>No</v>
      </c>
      <c r="E528">
        <v>4</v>
      </c>
      <c r="F528" t="s">
        <v>37</v>
      </c>
      <c r="G528">
        <v>96</v>
      </c>
      <c r="H528" t="s">
        <v>107</v>
      </c>
      <c r="I528" t="s">
        <v>22</v>
      </c>
      <c r="J528" t="s">
        <v>27</v>
      </c>
      <c r="K528" t="s">
        <v>3</v>
      </c>
      <c r="L528" s="36">
        <f ca="1">IF(C528&lt;&gt;"Yes",0,IF(A528=2025,N('2025'!D96),IF(A528=2026,N('2026'!D96),IF(A528=2027,N('2027'!D96),IF(A528=2028,N('2028'!D96),IF(A528=2029,N('2029'!D96),IF(A528=2030,N('2030'!D96),IF(A528=2031,N('2031'!D96),IF(A528=2032,N('2032'!D96),IF(A528=2033,N('2033'!D96),IF(A528=2034,N('2034'!D96),IFERROR(N(INDIRECT("'"&amp;A528&amp;"'!D"&amp;G528)),0))))))))))))</f>
        <v>0</v>
      </c>
      <c r="M528" s="36">
        <f>IFERROR(IF(NOT(ISBLANK(KPI_TARGETS!$I$18)),KPI_TARGETS!$I$18,IF(NOT(ISBLANK(KPI_TARGETS!$F$18)),KPI_TARGETS!$F$18,"")),"")</f>
        <v>4</v>
      </c>
      <c r="N528" s="36" t="str">
        <f>IFERROR(KPI_TARGETS!$E$18,"Higher is better")</f>
        <v>Higher is better</v>
      </c>
      <c r="O528" s="37">
        <f t="shared" ca="1" si="48"/>
        <v>0</v>
      </c>
      <c r="P528" t="str">
        <f t="shared" ca="1" si="49"/>
        <v>Red</v>
      </c>
      <c r="Q528" s="36">
        <f t="shared" ca="1" si="50"/>
        <v>-4</v>
      </c>
      <c r="R528" s="36" t="str">
        <f>""</f>
        <v/>
      </c>
      <c r="S528" s="36" t="str">
        <f>""</f>
        <v/>
      </c>
      <c r="T528" s="36" t="str">
        <f>""</f>
        <v/>
      </c>
      <c r="U528" s="36" t="str">
        <f>""</f>
        <v/>
      </c>
      <c r="V528" s="36" t="str">
        <f>""</f>
        <v/>
      </c>
      <c r="W528" s="36">
        <f t="shared" si="51"/>
        <v>1</v>
      </c>
      <c r="X528" t="str">
        <f t="shared" si="52"/>
        <v>Inactive</v>
      </c>
      <c r="Y528" t="str">
        <f>IF(MAIN!$H$3="Selected Year",IF(A528=MAIN!$B$3,"Yes","No"),IF(MAIN!$H$3="Included Years",IF(D528="Yes","Yes","No"),IF(C528="Yes","Yes","No")))</f>
        <v>No</v>
      </c>
      <c r="Z528" t="str">
        <f>IF(MAIN!$F$3="Project to Date",IF(AND(A528&gt;=SETTINGS!$B$4,A528&lt;MAIN!$B$3),"Yes",IF(AND(A528=MAIN!$B$3,E528&lt;=MAIN!$L$3),"Yes","No")),IF(OR(MAIN!$F$3="Full Year",MAIN!$D$3="All"),"Yes",IF(MAIN!$F$3="Monthly",IF(E528=MAIN!$L$3,"Yes","No"),IF(E528&lt;=MAIN!$L$3,"Yes","No"))))</f>
        <v>Yes</v>
      </c>
      <c r="AA528" t="str">
        <f t="shared" si="53"/>
        <v>No</v>
      </c>
    </row>
    <row r="529" spans="1:27" x14ac:dyDescent="0.3">
      <c r="A529">
        <f>INDEX(SETTINGS!$A$15:$A$24,$B529)</f>
        <v>2027</v>
      </c>
      <c r="B529">
        <v>3</v>
      </c>
      <c r="C529" t="str">
        <f>IF(AND(A529&gt;=SETTINGS!$B$4,A529&lt;=SETTINGS!$B$5),"Yes","No")</f>
        <v>No</v>
      </c>
      <c r="D529" t="str">
        <f>IFERROR(INDEX(SETTINGS!$C$15:$C$24,MATCH(A529,SETTINGS!$A$15:$A$24,0)),"No")</f>
        <v>No</v>
      </c>
      <c r="E529">
        <v>4</v>
      </c>
      <c r="F529" t="s">
        <v>37</v>
      </c>
      <c r="G529">
        <v>97</v>
      </c>
      <c r="H529" t="s">
        <v>108</v>
      </c>
      <c r="I529" t="s">
        <v>22</v>
      </c>
      <c r="J529" t="s">
        <v>28</v>
      </c>
      <c r="K529" t="s">
        <v>3</v>
      </c>
      <c r="L529" s="36">
        <f ca="1">IF(C529&lt;&gt;"Yes",0,IF(A529=2025,N('2025'!D97),IF(A529=2026,N('2026'!D97),IF(A529=2027,N('2027'!D97),IF(A529=2028,N('2028'!D97),IF(A529=2029,N('2029'!D97),IF(A529=2030,N('2030'!D97),IF(A529=2031,N('2031'!D97),IF(A529=2032,N('2032'!D97),IF(A529=2033,N('2033'!D97),IF(A529=2034,N('2034'!D97),IFERROR(N(INDIRECT("'"&amp;A529&amp;"'!D"&amp;G529)),0))))))))))))</f>
        <v>0</v>
      </c>
      <c r="M529" s="36">
        <f>IFERROR(IF(NOT(ISBLANK(KPI_TARGETS!$I$19)),KPI_TARGETS!$I$19,IF(NOT(ISBLANK(KPI_TARGETS!$F$19)),KPI_TARGETS!$F$19,"")),"")</f>
        <v>16</v>
      </c>
      <c r="N529" s="36" t="str">
        <f>IFERROR(KPI_TARGETS!$E$19,"Higher is better")</f>
        <v>Higher is better</v>
      </c>
      <c r="O529" s="37">
        <f t="shared" ca="1" si="48"/>
        <v>0</v>
      </c>
      <c r="P529" t="str">
        <f t="shared" ca="1" si="49"/>
        <v>Red</v>
      </c>
      <c r="Q529" s="36">
        <f t="shared" ca="1" si="50"/>
        <v>-16</v>
      </c>
      <c r="R529" s="36" t="str">
        <f>""</f>
        <v/>
      </c>
      <c r="S529" s="36" t="str">
        <f>""</f>
        <v/>
      </c>
      <c r="T529" s="36" t="str">
        <f>""</f>
        <v/>
      </c>
      <c r="U529" s="36" t="str">
        <f>""</f>
        <v/>
      </c>
      <c r="V529" s="36" t="str">
        <f>""</f>
        <v/>
      </c>
      <c r="W529" s="36">
        <f t="shared" si="51"/>
        <v>1</v>
      </c>
      <c r="X529" t="str">
        <f t="shared" si="52"/>
        <v>Inactive</v>
      </c>
      <c r="Y529" t="str">
        <f>IF(MAIN!$H$3="Selected Year",IF(A529=MAIN!$B$3,"Yes","No"),IF(MAIN!$H$3="Included Years",IF(D529="Yes","Yes","No"),IF(C529="Yes","Yes","No")))</f>
        <v>No</v>
      </c>
      <c r="Z529" t="str">
        <f>IF(MAIN!$F$3="Project to Date",IF(AND(A529&gt;=SETTINGS!$B$4,A529&lt;MAIN!$B$3),"Yes",IF(AND(A529=MAIN!$B$3,E529&lt;=MAIN!$L$3),"Yes","No")),IF(OR(MAIN!$F$3="Full Year",MAIN!$D$3="All"),"Yes",IF(MAIN!$F$3="Monthly",IF(E529=MAIN!$L$3,"Yes","No"),IF(E529&lt;=MAIN!$L$3,"Yes","No"))))</f>
        <v>Yes</v>
      </c>
      <c r="AA529" t="str">
        <f t="shared" si="53"/>
        <v>No</v>
      </c>
    </row>
    <row r="530" spans="1:27" x14ac:dyDescent="0.3">
      <c r="A530">
        <f>INDEX(SETTINGS!$A$15:$A$24,$B530)</f>
        <v>2027</v>
      </c>
      <c r="B530">
        <v>3</v>
      </c>
      <c r="C530" t="str">
        <f>IF(AND(A530&gt;=SETTINGS!$B$4,A530&lt;=SETTINGS!$B$5),"Yes","No")</f>
        <v>No</v>
      </c>
      <c r="D530" t="str">
        <f>IFERROR(INDEX(SETTINGS!$C$15:$C$24,MATCH(A530,SETTINGS!$A$15:$A$24,0)),"No")</f>
        <v>No</v>
      </c>
      <c r="E530">
        <v>4</v>
      </c>
      <c r="F530" t="s">
        <v>37</v>
      </c>
      <c r="G530">
        <v>98</v>
      </c>
      <c r="H530" t="s">
        <v>109</v>
      </c>
      <c r="I530" t="s">
        <v>22</v>
      </c>
      <c r="J530" t="s">
        <v>29</v>
      </c>
      <c r="K530" t="s">
        <v>3</v>
      </c>
      <c r="L530" s="36">
        <f ca="1">IF(C530&lt;&gt;"Yes",0,IF(A530=2025,N('2025'!D98),IF(A530=2026,N('2026'!D98),IF(A530=2027,N('2027'!D98),IF(A530=2028,N('2028'!D98),IF(A530=2029,N('2029'!D98),IF(A530=2030,N('2030'!D98),IF(A530=2031,N('2031'!D98),IF(A530=2032,N('2032'!D98),IF(A530=2033,N('2033'!D98),IF(A530=2034,N('2034'!D98),IFERROR(N(INDIRECT("'"&amp;A530&amp;"'!D"&amp;G530)),0))))))))))))</f>
        <v>0</v>
      </c>
      <c r="M530" s="36">
        <f>IFERROR(IF(NOT(ISBLANK(KPI_TARGETS!$I$20)),KPI_TARGETS!$I$20,IF(NOT(ISBLANK(KPI_TARGETS!$F$20)),KPI_TARGETS!$F$20,"")),"")</f>
        <v>1</v>
      </c>
      <c r="N530" s="36" t="str">
        <f>IFERROR(KPI_TARGETS!$E$20,"Higher is better")</f>
        <v>Higher is better</v>
      </c>
      <c r="O530" s="37">
        <f t="shared" ca="1" si="48"/>
        <v>0</v>
      </c>
      <c r="P530" t="str">
        <f t="shared" ca="1" si="49"/>
        <v>Red</v>
      </c>
      <c r="Q530" s="36">
        <f t="shared" ca="1" si="50"/>
        <v>-1</v>
      </c>
      <c r="R530" s="36" t="str">
        <f>""</f>
        <v/>
      </c>
      <c r="S530" s="36" t="str">
        <f>""</f>
        <v/>
      </c>
      <c r="T530" s="36" t="str">
        <f>""</f>
        <v/>
      </c>
      <c r="U530" s="36" t="str">
        <f>""</f>
        <v/>
      </c>
      <c r="V530" s="36" t="str">
        <f>""</f>
        <v/>
      </c>
      <c r="W530" s="36">
        <f t="shared" si="51"/>
        <v>1</v>
      </c>
      <c r="X530" t="str">
        <f t="shared" si="52"/>
        <v>Inactive</v>
      </c>
      <c r="Y530" t="str">
        <f>IF(MAIN!$H$3="Selected Year",IF(A530=MAIN!$B$3,"Yes","No"),IF(MAIN!$H$3="Included Years",IF(D530="Yes","Yes","No"),IF(C530="Yes","Yes","No")))</f>
        <v>No</v>
      </c>
      <c r="Z530" t="str">
        <f>IF(MAIN!$F$3="Project to Date",IF(AND(A530&gt;=SETTINGS!$B$4,A530&lt;MAIN!$B$3),"Yes",IF(AND(A530=MAIN!$B$3,E530&lt;=MAIN!$L$3),"Yes","No")),IF(OR(MAIN!$F$3="Full Year",MAIN!$D$3="All"),"Yes",IF(MAIN!$F$3="Monthly",IF(E530=MAIN!$L$3,"Yes","No"),IF(E530&lt;=MAIN!$L$3,"Yes","No"))))</f>
        <v>Yes</v>
      </c>
      <c r="AA530" t="str">
        <f t="shared" si="53"/>
        <v>No</v>
      </c>
    </row>
    <row r="531" spans="1:27" x14ac:dyDescent="0.3">
      <c r="A531">
        <f>INDEX(SETTINGS!$A$15:$A$24,$B531)</f>
        <v>2027</v>
      </c>
      <c r="B531">
        <v>3</v>
      </c>
      <c r="C531" t="str">
        <f>IF(AND(A531&gt;=SETTINGS!$B$4,A531&lt;=SETTINGS!$B$5),"Yes","No")</f>
        <v>No</v>
      </c>
      <c r="D531" t="str">
        <f>IFERROR(INDEX(SETTINGS!$C$15:$C$24,MATCH(A531,SETTINGS!$A$15:$A$24,0)),"No")</f>
        <v>No</v>
      </c>
      <c r="E531">
        <v>4</v>
      </c>
      <c r="F531" t="s">
        <v>37</v>
      </c>
      <c r="G531">
        <v>100</v>
      </c>
      <c r="H531" t="s">
        <v>110</v>
      </c>
      <c r="I531" t="s">
        <v>30</v>
      </c>
      <c r="J531" t="s">
        <v>31</v>
      </c>
      <c r="K531" t="s">
        <v>3</v>
      </c>
      <c r="L531" s="36">
        <f ca="1">IF(C531&lt;&gt;"Yes",0,IF(A531=2025,N('2025'!D100),IF(A531=2026,N('2026'!D100),IF(A531=2027,N('2027'!D100),IF(A531=2028,N('2028'!D100),IF(A531=2029,N('2029'!D100),IF(A531=2030,N('2030'!D100),IF(A531=2031,N('2031'!D100),IF(A531=2032,N('2032'!D100),IF(A531=2033,N('2033'!D100),IF(A531=2034,N('2034'!D100),IFERROR(N(INDIRECT("'"&amp;A531&amp;"'!D"&amp;G531)),0))))))))))))</f>
        <v>0</v>
      </c>
      <c r="M531" s="36">
        <f>IFERROR(IF(NOT(ISBLANK(KPI_TARGETS!$I$21)),KPI_TARGETS!$I$21,IF(NOT(ISBLANK(KPI_TARGETS!$F$21)),KPI_TARGETS!$F$21,"")),"")</f>
        <v>0</v>
      </c>
      <c r="N531" s="36" t="str">
        <f>IFERROR(KPI_TARGETS!$E$21,"Higher is better")</f>
        <v>Lower is better</v>
      </c>
      <c r="O531" s="37">
        <f t="shared" ca="1" si="48"/>
        <v>1</v>
      </c>
      <c r="P531" t="str">
        <f t="shared" ca="1" si="49"/>
        <v>Green</v>
      </c>
      <c r="Q531" s="36">
        <f t="shared" ca="1" si="50"/>
        <v>0</v>
      </c>
      <c r="R531" s="36" t="str">
        <f>""</f>
        <v/>
      </c>
      <c r="S531" s="36" t="str">
        <f>""</f>
        <v/>
      </c>
      <c r="T531" s="36" t="str">
        <f>""</f>
        <v/>
      </c>
      <c r="U531" s="36" t="str">
        <f>""</f>
        <v/>
      </c>
      <c r="V531" s="36" t="str">
        <f>""</f>
        <v/>
      </c>
      <c r="W531" s="36">
        <f t="shared" si="51"/>
        <v>1</v>
      </c>
      <c r="X531" t="str">
        <f t="shared" si="52"/>
        <v>Inactive</v>
      </c>
      <c r="Y531" t="str">
        <f>IF(MAIN!$H$3="Selected Year",IF(A531=MAIN!$B$3,"Yes","No"),IF(MAIN!$H$3="Included Years",IF(D531="Yes","Yes","No"),IF(C531="Yes","Yes","No")))</f>
        <v>No</v>
      </c>
      <c r="Z531" t="str">
        <f>IF(MAIN!$F$3="Project to Date",IF(AND(A531&gt;=SETTINGS!$B$4,A531&lt;MAIN!$B$3),"Yes",IF(AND(A531=MAIN!$B$3,E531&lt;=MAIN!$L$3),"Yes","No")),IF(OR(MAIN!$F$3="Full Year",MAIN!$D$3="All"),"Yes",IF(MAIN!$F$3="Monthly",IF(E531=MAIN!$L$3,"Yes","No"),IF(E531&lt;=MAIN!$L$3,"Yes","No"))))</f>
        <v>Yes</v>
      </c>
      <c r="AA531" t="str">
        <f t="shared" si="53"/>
        <v>No</v>
      </c>
    </row>
    <row r="532" spans="1:27" x14ac:dyDescent="0.3">
      <c r="A532">
        <f>INDEX(SETTINGS!$A$15:$A$24,$B532)</f>
        <v>2027</v>
      </c>
      <c r="B532">
        <v>3</v>
      </c>
      <c r="C532" t="str">
        <f>IF(AND(A532&gt;=SETTINGS!$B$4,A532&lt;=SETTINGS!$B$5),"Yes","No")</f>
        <v>No</v>
      </c>
      <c r="D532" t="str">
        <f>IFERROR(INDEX(SETTINGS!$C$15:$C$24,MATCH(A532,SETTINGS!$A$15:$A$24,0)),"No")</f>
        <v>No</v>
      </c>
      <c r="E532">
        <v>4</v>
      </c>
      <c r="F532" t="s">
        <v>37</v>
      </c>
      <c r="G532">
        <v>101</v>
      </c>
      <c r="H532" t="s">
        <v>111</v>
      </c>
      <c r="I532" t="s">
        <v>30</v>
      </c>
      <c r="J532" t="s">
        <v>32</v>
      </c>
      <c r="K532" t="s">
        <v>3</v>
      </c>
      <c r="L532" s="36">
        <f ca="1">IF(C532&lt;&gt;"Yes",0,IF(A532=2025,N('2025'!D101),IF(A532=2026,N('2026'!D101),IF(A532=2027,N('2027'!D101),IF(A532=2028,N('2028'!D101),IF(A532=2029,N('2029'!D101),IF(A532=2030,N('2030'!D101),IF(A532=2031,N('2031'!D101),IF(A532=2032,N('2032'!D101),IF(A532=2033,N('2033'!D101),IF(A532=2034,N('2034'!D101),IFERROR(N(INDIRECT("'"&amp;A532&amp;"'!D"&amp;G532)),0))))))))))))</f>
        <v>0</v>
      </c>
      <c r="M532" s="36">
        <f>IFERROR(IF(NOT(ISBLANK(KPI_TARGETS!$I$22)),KPI_TARGETS!$I$22,IF(NOT(ISBLANK(KPI_TARGETS!$F$22)),KPI_TARGETS!$F$22,"")),"")</f>
        <v>1</v>
      </c>
      <c r="N532" s="36" t="str">
        <f>IFERROR(KPI_TARGETS!$E$22,"Higher is better")</f>
        <v>Higher is better</v>
      </c>
      <c r="O532" s="37">
        <f t="shared" ca="1" si="48"/>
        <v>0</v>
      </c>
      <c r="P532" t="str">
        <f t="shared" ca="1" si="49"/>
        <v>Red</v>
      </c>
      <c r="Q532" s="36">
        <f t="shared" ca="1" si="50"/>
        <v>-1</v>
      </c>
      <c r="R532" s="36" t="str">
        <f>""</f>
        <v/>
      </c>
      <c r="S532" s="36" t="str">
        <f>""</f>
        <v/>
      </c>
      <c r="T532" s="36" t="str">
        <f>""</f>
        <v/>
      </c>
      <c r="U532" s="36" t="str">
        <f>""</f>
        <v/>
      </c>
      <c r="V532" s="36" t="str">
        <f>""</f>
        <v/>
      </c>
      <c r="W532" s="36">
        <f t="shared" si="51"/>
        <v>1</v>
      </c>
      <c r="X532" t="str">
        <f t="shared" si="52"/>
        <v>Inactive</v>
      </c>
      <c r="Y532" t="str">
        <f>IF(MAIN!$H$3="Selected Year",IF(A532=MAIN!$B$3,"Yes","No"),IF(MAIN!$H$3="Included Years",IF(D532="Yes","Yes","No"),IF(C532="Yes","Yes","No")))</f>
        <v>No</v>
      </c>
      <c r="Z532" t="str">
        <f>IF(MAIN!$F$3="Project to Date",IF(AND(A532&gt;=SETTINGS!$B$4,A532&lt;MAIN!$B$3),"Yes",IF(AND(A532=MAIN!$B$3,E532&lt;=MAIN!$L$3),"Yes","No")),IF(OR(MAIN!$F$3="Full Year",MAIN!$D$3="All"),"Yes",IF(MAIN!$F$3="Monthly",IF(E532=MAIN!$L$3,"Yes","No"),IF(E532&lt;=MAIN!$L$3,"Yes","No"))))</f>
        <v>Yes</v>
      </c>
      <c r="AA532" t="str">
        <f t="shared" si="53"/>
        <v>No</v>
      </c>
    </row>
    <row r="533" spans="1:27" x14ac:dyDescent="0.3">
      <c r="A533">
        <f>INDEX(SETTINGS!$A$15:$A$24,$B533)</f>
        <v>2027</v>
      </c>
      <c r="B533">
        <v>3</v>
      </c>
      <c r="C533" t="str">
        <f>IF(AND(A533&gt;=SETTINGS!$B$4,A533&lt;=SETTINGS!$B$5),"Yes","No")</f>
        <v>No</v>
      </c>
      <c r="D533" t="str">
        <f>IFERROR(INDEX(SETTINGS!$C$15:$C$24,MATCH(A533,SETTINGS!$A$15:$A$24,0)),"No")</f>
        <v>No</v>
      </c>
      <c r="E533">
        <v>4</v>
      </c>
      <c r="F533" t="s">
        <v>37</v>
      </c>
      <c r="G533">
        <v>102</v>
      </c>
      <c r="H533" t="s">
        <v>112</v>
      </c>
      <c r="I533" t="s">
        <v>30</v>
      </c>
      <c r="J533" t="s">
        <v>33</v>
      </c>
      <c r="K533" t="s">
        <v>34</v>
      </c>
      <c r="L533" s="36">
        <f ca="1">IF(C533&lt;&gt;"Yes",0,IF(A533=2025,N('2025'!D102),IF(A533=2026,N('2026'!D102),IF(A533=2027,N('2027'!D102),IF(A533=2028,N('2028'!D102),IF(A533=2029,N('2029'!D102),IF(A533=2030,N('2030'!D102),IF(A533=2031,N('2031'!D102),IF(A533=2032,N('2032'!D102),IF(A533=2033,N('2033'!D102),IF(A533=2034,N('2034'!D102),IFERROR(N(INDIRECT("'"&amp;A533&amp;"'!D"&amp;G533)),0))))))))))))</f>
        <v>0</v>
      </c>
      <c r="M533" s="36">
        <f>IFERROR(IF(NOT(ISBLANK(KPI_TARGETS!$I$23)),KPI_TARGETS!$I$23,IF(NOT(ISBLANK(KPI_TARGETS!$F$23)),KPI_TARGETS!$F$23,"")),"")</f>
        <v>1</v>
      </c>
      <c r="N533" s="36" t="str">
        <f>IFERROR(KPI_TARGETS!$E$23,"Higher is better")</f>
        <v>Higher is better</v>
      </c>
      <c r="O533" s="37">
        <f t="shared" ca="1" si="48"/>
        <v>0</v>
      </c>
      <c r="P533" t="str">
        <f t="shared" ca="1" si="49"/>
        <v>Red</v>
      </c>
      <c r="Q533" s="36">
        <f t="shared" ca="1" si="50"/>
        <v>-1</v>
      </c>
      <c r="R533" s="36" t="str">
        <f>""</f>
        <v/>
      </c>
      <c r="S533" s="36" t="str">
        <f>""</f>
        <v/>
      </c>
      <c r="T533" s="36" t="str">
        <f>""</f>
        <v/>
      </c>
      <c r="U533" s="36" t="str">
        <f>""</f>
        <v/>
      </c>
      <c r="V533" s="36" t="str">
        <f>""</f>
        <v/>
      </c>
      <c r="W533" s="36">
        <f t="shared" si="51"/>
        <v>1</v>
      </c>
      <c r="X533" t="str">
        <f t="shared" si="52"/>
        <v>Inactive</v>
      </c>
      <c r="Y533" t="str">
        <f>IF(MAIN!$H$3="Selected Year",IF(A533=MAIN!$B$3,"Yes","No"),IF(MAIN!$H$3="Included Years",IF(D533="Yes","Yes","No"),IF(C533="Yes","Yes","No")))</f>
        <v>No</v>
      </c>
      <c r="Z533" t="str">
        <f>IF(MAIN!$F$3="Project to Date",IF(AND(A533&gt;=SETTINGS!$B$4,A533&lt;MAIN!$B$3),"Yes",IF(AND(A533=MAIN!$B$3,E533&lt;=MAIN!$L$3),"Yes","No")),IF(OR(MAIN!$F$3="Full Year",MAIN!$D$3="All"),"Yes",IF(MAIN!$F$3="Monthly",IF(E533=MAIN!$L$3,"Yes","No"),IF(E533&lt;=MAIN!$L$3,"Yes","No"))))</f>
        <v>Yes</v>
      </c>
      <c r="AA533" t="str">
        <f t="shared" si="53"/>
        <v>No</v>
      </c>
    </row>
    <row r="534" spans="1:27" x14ac:dyDescent="0.3">
      <c r="A534">
        <f>INDEX(SETTINGS!$A$15:$A$24,$B534)</f>
        <v>2027</v>
      </c>
      <c r="B534">
        <v>3</v>
      </c>
      <c r="C534" t="str">
        <f>IF(AND(A534&gt;=SETTINGS!$B$4,A534&lt;=SETTINGS!$B$5),"Yes","No")</f>
        <v>No</v>
      </c>
      <c r="D534" t="str">
        <f>IFERROR(INDEX(SETTINGS!$C$15:$C$24,MATCH(A534,SETTINGS!$A$15:$A$24,0)),"No")</f>
        <v>No</v>
      </c>
      <c r="E534">
        <v>5</v>
      </c>
      <c r="F534" t="s">
        <v>38</v>
      </c>
      <c r="G534">
        <v>105</v>
      </c>
      <c r="H534" t="s">
        <v>88</v>
      </c>
      <c r="I534" t="s">
        <v>89</v>
      </c>
      <c r="J534" t="s">
        <v>10</v>
      </c>
      <c r="K534" t="s">
        <v>3</v>
      </c>
      <c r="L534" s="36">
        <f ca="1">IF(C534&lt;&gt;"Yes",0,IF(A534=2025,N('2025'!D105),IF(A534=2026,N('2026'!D105),IF(A534=2027,N('2027'!D105),IF(A534=2028,N('2028'!D105),IF(A534=2029,N('2029'!D105),IF(A534=2030,N('2030'!D105),IF(A534=2031,N('2031'!D105),IF(A534=2032,N('2032'!D105),IF(A534=2033,N('2033'!D105),IF(A534=2034,N('2034'!D105),IFERROR(N(INDIRECT("'"&amp;A534&amp;"'!D"&amp;G534)),0))))))))))))</f>
        <v>0</v>
      </c>
      <c r="M534" s="36">
        <f>IFERROR(IF(NOT(ISBLANK(KPI_TARGETS!$I$5)),KPI_TARGETS!$I$5,IF(NOT(ISBLANK(KPI_TARGETS!$F$5)),KPI_TARGETS!$F$5,"")),"")</f>
        <v>104</v>
      </c>
      <c r="N534" s="36" t="str">
        <f>IFERROR(KPI_TARGETS!$E$5,"Higher is better")</f>
        <v>Higher is better</v>
      </c>
      <c r="O534" s="37">
        <f t="shared" ca="1" si="48"/>
        <v>0</v>
      </c>
      <c r="P534" t="str">
        <f t="shared" ca="1" si="49"/>
        <v>Red</v>
      </c>
      <c r="Q534" s="36">
        <f t="shared" ca="1" si="50"/>
        <v>-104</v>
      </c>
      <c r="R534" s="36" t="str">
        <f>""</f>
        <v/>
      </c>
      <c r="S534" s="36" t="str">
        <f>""</f>
        <v/>
      </c>
      <c r="T534" s="36" t="str">
        <f>""</f>
        <v/>
      </c>
      <c r="U534" s="36" t="str">
        <f>""</f>
        <v/>
      </c>
      <c r="V534" s="36" t="str">
        <f>""</f>
        <v/>
      </c>
      <c r="W534" s="36">
        <f t="shared" si="51"/>
        <v>1</v>
      </c>
      <c r="X534" t="str">
        <f t="shared" si="52"/>
        <v>Inactive</v>
      </c>
      <c r="Y534" t="str">
        <f>IF(MAIN!$H$3="Selected Year",IF(A534=MAIN!$B$3,"Yes","No"),IF(MAIN!$H$3="Included Years",IF(D534="Yes","Yes","No"),IF(C534="Yes","Yes","No")))</f>
        <v>No</v>
      </c>
      <c r="Z534" t="str">
        <f>IF(MAIN!$F$3="Project to Date",IF(AND(A534&gt;=SETTINGS!$B$4,A534&lt;MAIN!$B$3),"Yes",IF(AND(A534=MAIN!$B$3,E534&lt;=MAIN!$L$3),"Yes","No")),IF(OR(MAIN!$F$3="Full Year",MAIN!$D$3="All"),"Yes",IF(MAIN!$F$3="Monthly",IF(E534=MAIN!$L$3,"Yes","No"),IF(E534&lt;=MAIN!$L$3,"Yes","No"))))</f>
        <v>Yes</v>
      </c>
      <c r="AA534" t="str">
        <f t="shared" si="53"/>
        <v>No</v>
      </c>
    </row>
    <row r="535" spans="1:27" x14ac:dyDescent="0.3">
      <c r="A535">
        <f>INDEX(SETTINGS!$A$15:$A$24,$B535)</f>
        <v>2027</v>
      </c>
      <c r="B535">
        <v>3</v>
      </c>
      <c r="C535" t="str">
        <f>IF(AND(A535&gt;=SETTINGS!$B$4,A535&lt;=SETTINGS!$B$5),"Yes","No")</f>
        <v>No</v>
      </c>
      <c r="D535" t="str">
        <f>IFERROR(INDEX(SETTINGS!$C$15:$C$24,MATCH(A535,SETTINGS!$A$15:$A$24,0)),"No")</f>
        <v>No</v>
      </c>
      <c r="E535">
        <v>5</v>
      </c>
      <c r="F535" t="s">
        <v>38</v>
      </c>
      <c r="G535">
        <v>106</v>
      </c>
      <c r="H535" t="s">
        <v>91</v>
      </c>
      <c r="I535" t="s">
        <v>89</v>
      </c>
      <c r="J535" t="s">
        <v>11</v>
      </c>
      <c r="K535" t="s">
        <v>12</v>
      </c>
      <c r="L535" s="36">
        <f ca="1">IF(C535&lt;&gt;"Yes",0,IF(A535=2025,N('2025'!D106),IF(A535=2026,N('2026'!D106),IF(A535=2027,N('2027'!D106),IF(A535=2028,N('2028'!D106),IF(A535=2029,N('2029'!D106),IF(A535=2030,N('2030'!D106),IF(A535=2031,N('2031'!D106),IF(A535=2032,N('2032'!D106),IF(A535=2033,N('2033'!D106),IF(A535=2034,N('2034'!D106),IFERROR(N(INDIRECT("'"&amp;A535&amp;"'!D"&amp;G535)),0))))))))))))</f>
        <v>0</v>
      </c>
      <c r="M535" s="36">
        <f>IFERROR(IF(NOT(ISBLANK(KPI_TARGETS!$I$6)),KPI_TARGETS!$I$6,IF(NOT(ISBLANK(KPI_TARGETS!$F$6)),KPI_TARGETS!$F$6,"")),"")</f>
        <v>4000</v>
      </c>
      <c r="N535" s="36" t="str">
        <f>IFERROR(KPI_TARGETS!$E$6,"Higher is better")</f>
        <v>Higher is better</v>
      </c>
      <c r="O535" s="37">
        <f t="shared" ca="1" si="48"/>
        <v>0</v>
      </c>
      <c r="P535" t="str">
        <f t="shared" ca="1" si="49"/>
        <v>Red</v>
      </c>
      <c r="Q535" s="36">
        <f t="shared" ca="1" si="50"/>
        <v>-4000</v>
      </c>
      <c r="R535" s="36" t="str">
        <f>""</f>
        <v/>
      </c>
      <c r="S535" s="36" t="str">
        <f>""</f>
        <v/>
      </c>
      <c r="T535" s="36" t="str">
        <f>""</f>
        <v/>
      </c>
      <c r="U535" s="36" t="str">
        <f>""</f>
        <v/>
      </c>
      <c r="V535" s="36" t="str">
        <f>""</f>
        <v/>
      </c>
      <c r="W535" s="36">
        <f t="shared" si="51"/>
        <v>1</v>
      </c>
      <c r="X535" t="str">
        <f t="shared" si="52"/>
        <v>Inactive</v>
      </c>
      <c r="Y535" t="str">
        <f>IF(MAIN!$H$3="Selected Year",IF(A535=MAIN!$B$3,"Yes","No"),IF(MAIN!$H$3="Included Years",IF(D535="Yes","Yes","No"),IF(C535="Yes","Yes","No")))</f>
        <v>No</v>
      </c>
      <c r="Z535" t="str">
        <f>IF(MAIN!$F$3="Project to Date",IF(AND(A535&gt;=SETTINGS!$B$4,A535&lt;MAIN!$B$3),"Yes",IF(AND(A535=MAIN!$B$3,E535&lt;=MAIN!$L$3),"Yes","No")),IF(OR(MAIN!$F$3="Full Year",MAIN!$D$3="All"),"Yes",IF(MAIN!$F$3="Monthly",IF(E535=MAIN!$L$3,"Yes","No"),IF(E535&lt;=MAIN!$L$3,"Yes","No"))))</f>
        <v>Yes</v>
      </c>
      <c r="AA535" t="str">
        <f t="shared" si="53"/>
        <v>No</v>
      </c>
    </row>
    <row r="536" spans="1:27" x14ac:dyDescent="0.3">
      <c r="A536">
        <f>INDEX(SETTINGS!$A$15:$A$24,$B536)</f>
        <v>2027</v>
      </c>
      <c r="B536">
        <v>3</v>
      </c>
      <c r="C536" t="str">
        <f>IF(AND(A536&gt;=SETTINGS!$B$4,A536&lt;=SETTINGS!$B$5),"Yes","No")</f>
        <v>No</v>
      </c>
      <c r="D536" t="str">
        <f>IFERROR(INDEX(SETTINGS!$C$15:$C$24,MATCH(A536,SETTINGS!$A$15:$A$24,0)),"No")</f>
        <v>No</v>
      </c>
      <c r="E536">
        <v>5</v>
      </c>
      <c r="F536" t="s">
        <v>38</v>
      </c>
      <c r="G536">
        <v>107</v>
      </c>
      <c r="H536" t="s">
        <v>93</v>
      </c>
      <c r="I536" t="s">
        <v>89</v>
      </c>
      <c r="J536" t="s">
        <v>13</v>
      </c>
      <c r="K536" t="s">
        <v>14</v>
      </c>
      <c r="L536" s="36">
        <f ca="1">IF(C536&lt;&gt;"Yes",0,IF(A536=2025,N('2025'!D107),IF(A536=2026,N('2026'!D107),IF(A536=2027,N('2027'!D107),IF(A536=2028,N('2028'!D107),IF(A536=2029,N('2029'!D107),IF(A536=2030,N('2030'!D107),IF(A536=2031,N('2031'!D107),IF(A536=2032,N('2032'!D107),IF(A536=2033,N('2033'!D107),IF(A536=2034,N('2034'!D107),IFERROR(N(INDIRECT("'"&amp;A536&amp;"'!D"&amp;G536)),0))))))))))))</f>
        <v>0</v>
      </c>
      <c r="M536" s="36">
        <f>IFERROR(IF(NOT(ISBLANK(KPI_TARGETS!$I$7)),KPI_TARGETS!$I$7,IF(NOT(ISBLANK(KPI_TARGETS!$F$7)),KPI_TARGETS!$F$7,"")),"")</f>
        <v>8000</v>
      </c>
      <c r="N536" s="36" t="str">
        <f>IFERROR(KPI_TARGETS!$E$7,"Higher is better")</f>
        <v>Higher is better</v>
      </c>
      <c r="O536" s="37">
        <f t="shared" ca="1" si="48"/>
        <v>0</v>
      </c>
      <c r="P536" t="str">
        <f t="shared" ca="1" si="49"/>
        <v>Red</v>
      </c>
      <c r="Q536" s="36">
        <f t="shared" ca="1" si="50"/>
        <v>-8000</v>
      </c>
      <c r="R536" s="36" t="str">
        <f>""</f>
        <v/>
      </c>
      <c r="S536" s="36" t="str">
        <f>""</f>
        <v/>
      </c>
      <c r="T536" s="36" t="str">
        <f>""</f>
        <v/>
      </c>
      <c r="U536" s="36" t="str">
        <f>""</f>
        <v/>
      </c>
      <c r="V536" s="36" t="str">
        <f>""</f>
        <v/>
      </c>
      <c r="W536" s="36">
        <f t="shared" si="51"/>
        <v>1</v>
      </c>
      <c r="X536" t="str">
        <f t="shared" si="52"/>
        <v>Inactive</v>
      </c>
      <c r="Y536" t="str">
        <f>IF(MAIN!$H$3="Selected Year",IF(A536=MAIN!$B$3,"Yes","No"),IF(MAIN!$H$3="Included Years",IF(D536="Yes","Yes","No"),IF(C536="Yes","Yes","No")))</f>
        <v>No</v>
      </c>
      <c r="Z536" t="str">
        <f>IF(MAIN!$F$3="Project to Date",IF(AND(A536&gt;=SETTINGS!$B$4,A536&lt;MAIN!$B$3),"Yes",IF(AND(A536=MAIN!$B$3,E536&lt;=MAIN!$L$3),"Yes","No")),IF(OR(MAIN!$F$3="Full Year",MAIN!$D$3="All"),"Yes",IF(MAIN!$F$3="Monthly",IF(E536=MAIN!$L$3,"Yes","No"),IF(E536&lt;=MAIN!$L$3,"Yes","No"))))</f>
        <v>Yes</v>
      </c>
      <c r="AA536" t="str">
        <f t="shared" si="53"/>
        <v>No</v>
      </c>
    </row>
    <row r="537" spans="1:27" x14ac:dyDescent="0.3">
      <c r="A537">
        <f>INDEX(SETTINGS!$A$15:$A$24,$B537)</f>
        <v>2027</v>
      </c>
      <c r="B537">
        <v>3</v>
      </c>
      <c r="C537" t="str">
        <f>IF(AND(A537&gt;=SETTINGS!$B$4,A537&lt;=SETTINGS!$B$5),"Yes","No")</f>
        <v>No</v>
      </c>
      <c r="D537" t="str">
        <f>IFERROR(INDEX(SETTINGS!$C$15:$C$24,MATCH(A537,SETTINGS!$A$15:$A$24,0)),"No")</f>
        <v>No</v>
      </c>
      <c r="E537">
        <v>5</v>
      </c>
      <c r="F537" t="s">
        <v>38</v>
      </c>
      <c r="G537">
        <v>109</v>
      </c>
      <c r="H537" t="s">
        <v>95</v>
      </c>
      <c r="I537" t="s">
        <v>15</v>
      </c>
      <c r="J537" t="s">
        <v>16</v>
      </c>
      <c r="K537" t="s">
        <v>3</v>
      </c>
      <c r="L537" s="36">
        <f ca="1">IF(C537&lt;&gt;"Yes",0,IF(A537=2025,N('2025'!D109),IF(A537=2026,N('2026'!D109),IF(A537=2027,N('2027'!D109),IF(A537=2028,N('2028'!D109),IF(A537=2029,N('2029'!D109),IF(A537=2030,N('2030'!D109),IF(A537=2031,N('2031'!D109),IF(A537=2032,N('2032'!D109),IF(A537=2033,N('2033'!D109),IF(A537=2034,N('2034'!D109),IFERROR(N(INDIRECT("'"&amp;A537&amp;"'!D"&amp;G537)),0))))))))))))</f>
        <v>0</v>
      </c>
      <c r="M537" s="36">
        <f>IFERROR(IF(NOT(ISBLANK(KPI_TARGETS!$I$8)),KPI_TARGETS!$I$8,IF(NOT(ISBLANK(KPI_TARGETS!$F$8)),KPI_TARGETS!$F$8,"")),"")</f>
        <v>0</v>
      </c>
      <c r="N537" s="36" t="str">
        <f>IFERROR(KPI_TARGETS!$E$8,"Higher is better")</f>
        <v>Lower is better</v>
      </c>
      <c r="O537" s="37">
        <f t="shared" ca="1" si="48"/>
        <v>1</v>
      </c>
      <c r="P537" t="str">
        <f t="shared" ca="1" si="49"/>
        <v>Green</v>
      </c>
      <c r="Q537" s="36">
        <f t="shared" ca="1" si="50"/>
        <v>0</v>
      </c>
      <c r="R537" s="36" t="str">
        <f>""</f>
        <v/>
      </c>
      <c r="S537" s="36" t="str">
        <f>""</f>
        <v/>
      </c>
      <c r="T537" s="36" t="str">
        <f>""</f>
        <v/>
      </c>
      <c r="U537" s="36" t="str">
        <f>""</f>
        <v/>
      </c>
      <c r="V537" s="36" t="str">
        <f>""</f>
        <v/>
      </c>
      <c r="W537" s="36">
        <f t="shared" si="51"/>
        <v>1</v>
      </c>
      <c r="X537" t="str">
        <f t="shared" si="52"/>
        <v>Inactive</v>
      </c>
      <c r="Y537" t="str">
        <f>IF(MAIN!$H$3="Selected Year",IF(A537=MAIN!$B$3,"Yes","No"),IF(MAIN!$H$3="Included Years",IF(D537="Yes","Yes","No"),IF(C537="Yes","Yes","No")))</f>
        <v>No</v>
      </c>
      <c r="Z537" t="str">
        <f>IF(MAIN!$F$3="Project to Date",IF(AND(A537&gt;=SETTINGS!$B$4,A537&lt;MAIN!$B$3),"Yes",IF(AND(A537=MAIN!$B$3,E537&lt;=MAIN!$L$3),"Yes","No")),IF(OR(MAIN!$F$3="Full Year",MAIN!$D$3="All"),"Yes",IF(MAIN!$F$3="Monthly",IF(E537=MAIN!$L$3,"Yes","No"),IF(E537&lt;=MAIN!$L$3,"Yes","No"))))</f>
        <v>Yes</v>
      </c>
      <c r="AA537" t="str">
        <f t="shared" si="53"/>
        <v>No</v>
      </c>
    </row>
    <row r="538" spans="1:27" x14ac:dyDescent="0.3">
      <c r="A538">
        <f>INDEX(SETTINGS!$A$15:$A$24,$B538)</f>
        <v>2027</v>
      </c>
      <c r="B538">
        <v>3</v>
      </c>
      <c r="C538" t="str">
        <f>IF(AND(A538&gt;=SETTINGS!$B$4,A538&lt;=SETTINGS!$B$5),"Yes","No")</f>
        <v>No</v>
      </c>
      <c r="D538" t="str">
        <f>IFERROR(INDEX(SETTINGS!$C$15:$C$24,MATCH(A538,SETTINGS!$A$15:$A$24,0)),"No")</f>
        <v>No</v>
      </c>
      <c r="E538">
        <v>5</v>
      </c>
      <c r="F538" t="s">
        <v>38</v>
      </c>
      <c r="G538">
        <v>110</v>
      </c>
      <c r="H538" t="s">
        <v>97</v>
      </c>
      <c r="I538" t="s">
        <v>15</v>
      </c>
      <c r="J538" t="s">
        <v>17</v>
      </c>
      <c r="K538" t="s">
        <v>3</v>
      </c>
      <c r="L538" s="36">
        <f ca="1">IF(C538&lt;&gt;"Yes",0,IF(A538=2025,N('2025'!D110),IF(A538=2026,N('2026'!D110),IF(A538=2027,N('2027'!D110),IF(A538=2028,N('2028'!D110),IF(A538=2029,N('2029'!D110),IF(A538=2030,N('2030'!D110),IF(A538=2031,N('2031'!D110),IF(A538=2032,N('2032'!D110),IF(A538=2033,N('2033'!D110),IF(A538=2034,N('2034'!D110),IFERROR(N(INDIRECT("'"&amp;A538&amp;"'!D"&amp;G538)),0))))))))))))</f>
        <v>0</v>
      </c>
      <c r="M538" s="36">
        <f>IFERROR(IF(NOT(ISBLANK(KPI_TARGETS!$I$9)),KPI_TARGETS!$I$9,IF(NOT(ISBLANK(KPI_TARGETS!$F$9)),KPI_TARGETS!$F$9,"")),"")</f>
        <v>0</v>
      </c>
      <c r="N538" s="36" t="str">
        <f>IFERROR(KPI_TARGETS!$E$9,"Higher is better")</f>
        <v>Higher is better</v>
      </c>
      <c r="O538" s="37" t="str">
        <f t="shared" ca="1" si="48"/>
        <v/>
      </c>
      <c r="P538" t="str">
        <f t="shared" ca="1" si="49"/>
        <v>Green</v>
      </c>
      <c r="Q538" s="36">
        <f t="shared" ca="1" si="50"/>
        <v>0</v>
      </c>
      <c r="R538" s="36" t="str">
        <f>""</f>
        <v/>
      </c>
      <c r="S538" s="36" t="str">
        <f>""</f>
        <v/>
      </c>
      <c r="T538" s="36" t="str">
        <f>""</f>
        <v/>
      </c>
      <c r="U538" s="36" t="str">
        <f>""</f>
        <v/>
      </c>
      <c r="V538" s="36" t="str">
        <f>""</f>
        <v/>
      </c>
      <c r="W538" s="36">
        <f t="shared" si="51"/>
        <v>1</v>
      </c>
      <c r="X538" t="str">
        <f t="shared" si="52"/>
        <v>Inactive</v>
      </c>
      <c r="Y538" t="str">
        <f>IF(MAIN!$H$3="Selected Year",IF(A538=MAIN!$B$3,"Yes","No"),IF(MAIN!$H$3="Included Years",IF(D538="Yes","Yes","No"),IF(C538="Yes","Yes","No")))</f>
        <v>No</v>
      </c>
      <c r="Z538" t="str">
        <f>IF(MAIN!$F$3="Project to Date",IF(AND(A538&gt;=SETTINGS!$B$4,A538&lt;MAIN!$B$3),"Yes",IF(AND(A538=MAIN!$B$3,E538&lt;=MAIN!$L$3),"Yes","No")),IF(OR(MAIN!$F$3="Full Year",MAIN!$D$3="All"),"Yes",IF(MAIN!$F$3="Monthly",IF(E538=MAIN!$L$3,"Yes","No"),IF(E538&lt;=MAIN!$L$3,"Yes","No"))))</f>
        <v>Yes</v>
      </c>
      <c r="AA538" t="str">
        <f t="shared" si="53"/>
        <v>No</v>
      </c>
    </row>
    <row r="539" spans="1:27" x14ac:dyDescent="0.3">
      <c r="A539">
        <f>INDEX(SETTINGS!$A$15:$A$24,$B539)</f>
        <v>2027</v>
      </c>
      <c r="B539">
        <v>3</v>
      </c>
      <c r="C539" t="str">
        <f>IF(AND(A539&gt;=SETTINGS!$B$4,A539&lt;=SETTINGS!$B$5),"Yes","No")</f>
        <v>No</v>
      </c>
      <c r="D539" t="str">
        <f>IFERROR(INDEX(SETTINGS!$C$15:$C$24,MATCH(A539,SETTINGS!$A$15:$A$24,0)),"No")</f>
        <v>No</v>
      </c>
      <c r="E539">
        <v>5</v>
      </c>
      <c r="F539" t="s">
        <v>38</v>
      </c>
      <c r="G539">
        <v>111</v>
      </c>
      <c r="H539" t="s">
        <v>99</v>
      </c>
      <c r="I539" t="s">
        <v>15</v>
      </c>
      <c r="J539" t="s">
        <v>18</v>
      </c>
      <c r="K539" t="s">
        <v>3</v>
      </c>
      <c r="L539" s="36">
        <f ca="1">IF(C539&lt;&gt;"Yes",0,IF(A539=2025,N('2025'!D111),IF(A539=2026,N('2026'!D111),IF(A539=2027,N('2027'!D111),IF(A539=2028,N('2028'!D111),IF(A539=2029,N('2029'!D111),IF(A539=2030,N('2030'!D111),IF(A539=2031,N('2031'!D111),IF(A539=2032,N('2032'!D111),IF(A539=2033,N('2033'!D111),IF(A539=2034,N('2034'!D111),IFERROR(N(INDIRECT("'"&amp;A539&amp;"'!D"&amp;G539)),0))))))))))))</f>
        <v>0</v>
      </c>
      <c r="M539" s="36">
        <f>IFERROR(IF(NOT(ISBLANK(KPI_TARGETS!$I$10)),KPI_TARGETS!$I$10,IF(NOT(ISBLANK(KPI_TARGETS!$F$10)),KPI_TARGETS!$F$10,"")),"")</f>
        <v>0</v>
      </c>
      <c r="N539" s="36" t="str">
        <f>IFERROR(KPI_TARGETS!$E$10,"Higher is better")</f>
        <v>Lower is better</v>
      </c>
      <c r="O539" s="37">
        <f t="shared" ca="1" si="48"/>
        <v>1</v>
      </c>
      <c r="P539" t="str">
        <f t="shared" ca="1" si="49"/>
        <v>Green</v>
      </c>
      <c r="Q539" s="36">
        <f t="shared" ca="1" si="50"/>
        <v>0</v>
      </c>
      <c r="R539" s="36" t="str">
        <f>""</f>
        <v/>
      </c>
      <c r="S539" s="36" t="str">
        <f>""</f>
        <v/>
      </c>
      <c r="T539" s="36" t="str">
        <f>""</f>
        <v/>
      </c>
      <c r="U539" s="36" t="str">
        <f>""</f>
        <v/>
      </c>
      <c r="V539" s="36" t="str">
        <f>""</f>
        <v/>
      </c>
      <c r="W539" s="36">
        <f t="shared" si="51"/>
        <v>1</v>
      </c>
      <c r="X539" t="str">
        <f t="shared" si="52"/>
        <v>Inactive</v>
      </c>
      <c r="Y539" t="str">
        <f>IF(MAIN!$H$3="Selected Year",IF(A539=MAIN!$B$3,"Yes","No"),IF(MAIN!$H$3="Included Years",IF(D539="Yes","Yes","No"),IF(C539="Yes","Yes","No")))</f>
        <v>No</v>
      </c>
      <c r="Z539" t="str">
        <f>IF(MAIN!$F$3="Project to Date",IF(AND(A539&gt;=SETTINGS!$B$4,A539&lt;MAIN!$B$3),"Yes",IF(AND(A539=MAIN!$B$3,E539&lt;=MAIN!$L$3),"Yes","No")),IF(OR(MAIN!$F$3="Full Year",MAIN!$D$3="All"),"Yes",IF(MAIN!$F$3="Monthly",IF(E539=MAIN!$L$3,"Yes","No"),IF(E539&lt;=MAIN!$L$3,"Yes","No"))))</f>
        <v>Yes</v>
      </c>
      <c r="AA539" t="str">
        <f t="shared" si="53"/>
        <v>No</v>
      </c>
    </row>
    <row r="540" spans="1:27" x14ac:dyDescent="0.3">
      <c r="A540">
        <f>INDEX(SETTINGS!$A$15:$A$24,$B540)</f>
        <v>2027</v>
      </c>
      <c r="B540">
        <v>3</v>
      </c>
      <c r="C540" t="str">
        <f>IF(AND(A540&gt;=SETTINGS!$B$4,A540&lt;=SETTINGS!$B$5),"Yes","No")</f>
        <v>No</v>
      </c>
      <c r="D540" t="str">
        <f>IFERROR(INDEX(SETTINGS!$C$15:$C$24,MATCH(A540,SETTINGS!$A$15:$A$24,0)),"No")</f>
        <v>No</v>
      </c>
      <c r="E540">
        <v>5</v>
      </c>
      <c r="F540" t="s">
        <v>38</v>
      </c>
      <c r="G540">
        <v>112</v>
      </c>
      <c r="H540" t="s">
        <v>100</v>
      </c>
      <c r="I540" t="s">
        <v>15</v>
      </c>
      <c r="J540" t="s">
        <v>19</v>
      </c>
      <c r="K540" t="s">
        <v>3</v>
      </c>
      <c r="L540" s="36">
        <f ca="1">IF(C540&lt;&gt;"Yes",0,IF(A540=2025,N('2025'!D112),IF(A540=2026,N('2026'!D112),IF(A540=2027,N('2027'!D112),IF(A540=2028,N('2028'!D112),IF(A540=2029,N('2029'!D112),IF(A540=2030,N('2030'!D112),IF(A540=2031,N('2031'!D112),IF(A540=2032,N('2032'!D112),IF(A540=2033,N('2033'!D112),IF(A540=2034,N('2034'!D112),IFERROR(N(INDIRECT("'"&amp;A540&amp;"'!D"&amp;G540)),0))))))))))))</f>
        <v>0</v>
      </c>
      <c r="M540" s="36">
        <f>IFERROR(IF(NOT(ISBLANK(KPI_TARGETS!$I$11)),KPI_TARGETS!$I$11,IF(NOT(ISBLANK(KPI_TARGETS!$F$11)),KPI_TARGETS!$F$11,"")),"")</f>
        <v>0</v>
      </c>
      <c r="N540" s="36" t="str">
        <f>IFERROR(KPI_TARGETS!$E$11,"Higher is better")</f>
        <v>Lower is better</v>
      </c>
      <c r="O540" s="37">
        <f t="shared" ca="1" si="48"/>
        <v>1</v>
      </c>
      <c r="P540" t="str">
        <f t="shared" ca="1" si="49"/>
        <v>Green</v>
      </c>
      <c r="Q540" s="36">
        <f t="shared" ca="1" si="50"/>
        <v>0</v>
      </c>
      <c r="R540" s="36" t="str">
        <f>""</f>
        <v/>
      </c>
      <c r="S540" s="36" t="str">
        <f>""</f>
        <v/>
      </c>
      <c r="T540" s="36" t="str">
        <f>""</f>
        <v/>
      </c>
      <c r="U540" s="36" t="str">
        <f>""</f>
        <v/>
      </c>
      <c r="V540" s="36" t="str">
        <f>""</f>
        <v/>
      </c>
      <c r="W540" s="36">
        <f t="shared" si="51"/>
        <v>1</v>
      </c>
      <c r="X540" t="str">
        <f t="shared" si="52"/>
        <v>Inactive</v>
      </c>
      <c r="Y540" t="str">
        <f>IF(MAIN!$H$3="Selected Year",IF(A540=MAIN!$B$3,"Yes","No"),IF(MAIN!$H$3="Included Years",IF(D540="Yes","Yes","No"),IF(C540="Yes","Yes","No")))</f>
        <v>No</v>
      </c>
      <c r="Z540" t="str">
        <f>IF(MAIN!$F$3="Project to Date",IF(AND(A540&gt;=SETTINGS!$B$4,A540&lt;MAIN!$B$3),"Yes",IF(AND(A540=MAIN!$B$3,E540&lt;=MAIN!$L$3),"Yes","No")),IF(OR(MAIN!$F$3="Full Year",MAIN!$D$3="All"),"Yes",IF(MAIN!$F$3="Monthly",IF(E540=MAIN!$L$3,"Yes","No"),IF(E540&lt;=MAIN!$L$3,"Yes","No"))))</f>
        <v>Yes</v>
      </c>
      <c r="AA540" t="str">
        <f t="shared" si="53"/>
        <v>No</v>
      </c>
    </row>
    <row r="541" spans="1:27" x14ac:dyDescent="0.3">
      <c r="A541">
        <f>INDEX(SETTINGS!$A$15:$A$24,$B541)</f>
        <v>2027</v>
      </c>
      <c r="B541">
        <v>3</v>
      </c>
      <c r="C541" t="str">
        <f>IF(AND(A541&gt;=SETTINGS!$B$4,A541&lt;=SETTINGS!$B$5),"Yes","No")</f>
        <v>No</v>
      </c>
      <c r="D541" t="str">
        <f>IFERROR(INDEX(SETTINGS!$C$15:$C$24,MATCH(A541,SETTINGS!$A$15:$A$24,0)),"No")</f>
        <v>No</v>
      </c>
      <c r="E541">
        <v>5</v>
      </c>
      <c r="F541" t="s">
        <v>38</v>
      </c>
      <c r="G541">
        <v>113</v>
      </c>
      <c r="H541" t="s">
        <v>101</v>
      </c>
      <c r="I541" t="s">
        <v>15</v>
      </c>
      <c r="J541" t="s">
        <v>20</v>
      </c>
      <c r="K541" t="s">
        <v>3</v>
      </c>
      <c r="L541" s="36">
        <f ca="1">IF(C541&lt;&gt;"Yes",0,IF(A541=2025,N('2025'!D113),IF(A541=2026,N('2026'!D113),IF(A541=2027,N('2027'!D113),IF(A541=2028,N('2028'!D113),IF(A541=2029,N('2029'!D113),IF(A541=2030,N('2030'!D113),IF(A541=2031,N('2031'!D113),IF(A541=2032,N('2032'!D113),IF(A541=2033,N('2033'!D113),IF(A541=2034,N('2034'!D113),IFERROR(N(INDIRECT("'"&amp;A541&amp;"'!D"&amp;G541)),0))))))))))))</f>
        <v>0</v>
      </c>
      <c r="M541" s="36">
        <f>IFERROR(IF(NOT(ISBLANK(KPI_TARGETS!$I$12)),KPI_TARGETS!$I$12,IF(NOT(ISBLANK(KPI_TARGETS!$F$12)),KPI_TARGETS!$F$12,"")),"")</f>
        <v>0</v>
      </c>
      <c r="N541" s="36" t="str">
        <f>IFERROR(KPI_TARGETS!$E$12,"Higher is better")</f>
        <v>Lower is better</v>
      </c>
      <c r="O541" s="37">
        <f t="shared" ca="1" si="48"/>
        <v>1</v>
      </c>
      <c r="P541" t="str">
        <f t="shared" ca="1" si="49"/>
        <v>Green</v>
      </c>
      <c r="Q541" s="36">
        <f t="shared" ca="1" si="50"/>
        <v>0</v>
      </c>
      <c r="R541" s="36" t="str">
        <f>""</f>
        <v/>
      </c>
      <c r="S541" s="36" t="str">
        <f>""</f>
        <v/>
      </c>
      <c r="T541" s="36" t="str">
        <f>""</f>
        <v/>
      </c>
      <c r="U541" s="36" t="str">
        <f>""</f>
        <v/>
      </c>
      <c r="V541" s="36" t="str">
        <f>""</f>
        <v/>
      </c>
      <c r="W541" s="36">
        <f t="shared" si="51"/>
        <v>1</v>
      </c>
      <c r="X541" t="str">
        <f t="shared" si="52"/>
        <v>Inactive</v>
      </c>
      <c r="Y541" t="str">
        <f>IF(MAIN!$H$3="Selected Year",IF(A541=MAIN!$B$3,"Yes","No"),IF(MAIN!$H$3="Included Years",IF(D541="Yes","Yes","No"),IF(C541="Yes","Yes","No")))</f>
        <v>No</v>
      </c>
      <c r="Z541" t="str">
        <f>IF(MAIN!$F$3="Project to Date",IF(AND(A541&gt;=SETTINGS!$B$4,A541&lt;MAIN!$B$3),"Yes",IF(AND(A541=MAIN!$B$3,E541&lt;=MAIN!$L$3),"Yes","No")),IF(OR(MAIN!$F$3="Full Year",MAIN!$D$3="All"),"Yes",IF(MAIN!$F$3="Monthly",IF(E541=MAIN!$L$3,"Yes","No"),IF(E541&lt;=MAIN!$L$3,"Yes","No"))))</f>
        <v>Yes</v>
      </c>
      <c r="AA541" t="str">
        <f t="shared" si="53"/>
        <v>No</v>
      </c>
    </row>
    <row r="542" spans="1:27" x14ac:dyDescent="0.3">
      <c r="A542">
        <f>INDEX(SETTINGS!$A$15:$A$24,$B542)</f>
        <v>2027</v>
      </c>
      <c r="B542">
        <v>3</v>
      </c>
      <c r="C542" t="str">
        <f>IF(AND(A542&gt;=SETTINGS!$B$4,A542&lt;=SETTINGS!$B$5),"Yes","No")</f>
        <v>No</v>
      </c>
      <c r="D542" t="str">
        <f>IFERROR(INDEX(SETTINGS!$C$15:$C$24,MATCH(A542,SETTINGS!$A$15:$A$24,0)),"No")</f>
        <v>No</v>
      </c>
      <c r="E542">
        <v>5</v>
      </c>
      <c r="F542" t="s">
        <v>38</v>
      </c>
      <c r="G542">
        <v>114</v>
      </c>
      <c r="H542" t="s">
        <v>102</v>
      </c>
      <c r="I542" t="s">
        <v>15</v>
      </c>
      <c r="J542" t="s">
        <v>21</v>
      </c>
      <c r="K542" t="s">
        <v>3</v>
      </c>
      <c r="L542" s="36">
        <f ca="1">IF(C542&lt;&gt;"Yes",0,IF(A542=2025,N('2025'!D114),IF(A542=2026,N('2026'!D114),IF(A542=2027,N('2027'!D114),IF(A542=2028,N('2028'!D114),IF(A542=2029,N('2029'!D114),IF(A542=2030,N('2030'!D114),IF(A542=2031,N('2031'!D114),IF(A542=2032,N('2032'!D114),IF(A542=2033,N('2033'!D114),IF(A542=2034,N('2034'!D114),IFERROR(N(INDIRECT("'"&amp;A542&amp;"'!D"&amp;G542)),0))))))))))))</f>
        <v>0</v>
      </c>
      <c r="M542" s="36">
        <f>IFERROR(IF(NOT(ISBLANK(KPI_TARGETS!$I$13)),KPI_TARGETS!$I$13,IF(NOT(ISBLANK(KPI_TARGETS!$F$13)),KPI_TARGETS!$F$13,"")),"")</f>
        <v>0</v>
      </c>
      <c r="N542" s="36" t="str">
        <f>IFERROR(KPI_TARGETS!$E$13,"Higher is better")</f>
        <v>Lower is better</v>
      </c>
      <c r="O542" s="37">
        <f t="shared" ca="1" si="48"/>
        <v>1</v>
      </c>
      <c r="P542" t="str">
        <f t="shared" ca="1" si="49"/>
        <v>Green</v>
      </c>
      <c r="Q542" s="36">
        <f t="shared" ca="1" si="50"/>
        <v>0</v>
      </c>
      <c r="R542" s="36" t="str">
        <f>""</f>
        <v/>
      </c>
      <c r="S542" s="36" t="str">
        <f>""</f>
        <v/>
      </c>
      <c r="T542" s="36" t="str">
        <f>""</f>
        <v/>
      </c>
      <c r="U542" s="36" t="str">
        <f>""</f>
        <v/>
      </c>
      <c r="V542" s="36" t="str">
        <f>""</f>
        <v/>
      </c>
      <c r="W542" s="36">
        <f t="shared" si="51"/>
        <v>1</v>
      </c>
      <c r="X542" t="str">
        <f t="shared" si="52"/>
        <v>Inactive</v>
      </c>
      <c r="Y542" t="str">
        <f>IF(MAIN!$H$3="Selected Year",IF(A542=MAIN!$B$3,"Yes","No"),IF(MAIN!$H$3="Included Years",IF(D542="Yes","Yes","No"),IF(C542="Yes","Yes","No")))</f>
        <v>No</v>
      </c>
      <c r="Z542" t="str">
        <f>IF(MAIN!$F$3="Project to Date",IF(AND(A542&gt;=SETTINGS!$B$4,A542&lt;MAIN!$B$3),"Yes",IF(AND(A542=MAIN!$B$3,E542&lt;=MAIN!$L$3),"Yes","No")),IF(OR(MAIN!$F$3="Full Year",MAIN!$D$3="All"),"Yes",IF(MAIN!$F$3="Monthly",IF(E542=MAIN!$L$3,"Yes","No"),IF(E542&lt;=MAIN!$L$3,"Yes","No"))))</f>
        <v>Yes</v>
      </c>
      <c r="AA542" t="str">
        <f t="shared" si="53"/>
        <v>No</v>
      </c>
    </row>
    <row r="543" spans="1:27" x14ac:dyDescent="0.3">
      <c r="A543">
        <f>INDEX(SETTINGS!$A$15:$A$24,$B543)</f>
        <v>2027</v>
      </c>
      <c r="B543">
        <v>3</v>
      </c>
      <c r="C543" t="str">
        <f>IF(AND(A543&gt;=SETTINGS!$B$4,A543&lt;=SETTINGS!$B$5),"Yes","No")</f>
        <v>No</v>
      </c>
      <c r="D543" t="str">
        <f>IFERROR(INDEX(SETTINGS!$C$15:$C$24,MATCH(A543,SETTINGS!$A$15:$A$24,0)),"No")</f>
        <v>No</v>
      </c>
      <c r="E543">
        <v>5</v>
      </c>
      <c r="F543" t="s">
        <v>38</v>
      </c>
      <c r="G543">
        <v>116</v>
      </c>
      <c r="H543" t="s">
        <v>103</v>
      </c>
      <c r="I543" t="s">
        <v>22</v>
      </c>
      <c r="J543" t="s">
        <v>23</v>
      </c>
      <c r="K543" t="s">
        <v>3</v>
      </c>
      <c r="L543" s="36">
        <f ca="1">IF(C543&lt;&gt;"Yes",0,IF(A543=2025,N('2025'!D116),IF(A543=2026,N('2026'!D116),IF(A543=2027,N('2027'!D116),IF(A543=2028,N('2028'!D116),IF(A543=2029,N('2029'!D116),IF(A543=2030,N('2030'!D116),IF(A543=2031,N('2031'!D116),IF(A543=2032,N('2032'!D116),IF(A543=2033,N('2033'!D116),IF(A543=2034,N('2034'!D116),IFERROR(N(INDIRECT("'"&amp;A543&amp;"'!D"&amp;G543)),0))))))))))))</f>
        <v>0</v>
      </c>
      <c r="M543" s="36">
        <f>IFERROR(IF(NOT(ISBLANK(KPI_TARGETS!$I$14)),KPI_TARGETS!$I$14,IF(NOT(ISBLANK(KPI_TARGETS!$F$14)),KPI_TARGETS!$F$14,"")),"")</f>
        <v>35</v>
      </c>
      <c r="N543" s="36" t="str">
        <f>IFERROR(KPI_TARGETS!$E$14,"Higher is better")</f>
        <v>Higher is better</v>
      </c>
      <c r="O543" s="37">
        <f t="shared" ca="1" si="48"/>
        <v>0</v>
      </c>
      <c r="P543" t="str">
        <f t="shared" ca="1" si="49"/>
        <v>Red</v>
      </c>
      <c r="Q543" s="36">
        <f t="shared" ca="1" si="50"/>
        <v>-35</v>
      </c>
      <c r="R543" s="36" t="str">
        <f>""</f>
        <v/>
      </c>
      <c r="S543" s="36" t="str">
        <f>""</f>
        <v/>
      </c>
      <c r="T543" s="36" t="str">
        <f>""</f>
        <v/>
      </c>
      <c r="U543" s="36" t="str">
        <f>""</f>
        <v/>
      </c>
      <c r="V543" s="36" t="str">
        <f>""</f>
        <v/>
      </c>
      <c r="W543" s="36">
        <f t="shared" si="51"/>
        <v>1</v>
      </c>
      <c r="X543" t="str">
        <f t="shared" si="52"/>
        <v>Inactive</v>
      </c>
      <c r="Y543" t="str">
        <f>IF(MAIN!$H$3="Selected Year",IF(A543=MAIN!$B$3,"Yes","No"),IF(MAIN!$H$3="Included Years",IF(D543="Yes","Yes","No"),IF(C543="Yes","Yes","No")))</f>
        <v>No</v>
      </c>
      <c r="Z543" t="str">
        <f>IF(MAIN!$F$3="Project to Date",IF(AND(A543&gt;=SETTINGS!$B$4,A543&lt;MAIN!$B$3),"Yes",IF(AND(A543=MAIN!$B$3,E543&lt;=MAIN!$L$3),"Yes","No")),IF(OR(MAIN!$F$3="Full Year",MAIN!$D$3="All"),"Yes",IF(MAIN!$F$3="Monthly",IF(E543=MAIN!$L$3,"Yes","No"),IF(E543&lt;=MAIN!$L$3,"Yes","No"))))</f>
        <v>Yes</v>
      </c>
      <c r="AA543" t="str">
        <f t="shared" si="53"/>
        <v>No</v>
      </c>
    </row>
    <row r="544" spans="1:27" x14ac:dyDescent="0.3">
      <c r="A544">
        <f>INDEX(SETTINGS!$A$15:$A$24,$B544)</f>
        <v>2027</v>
      </c>
      <c r="B544">
        <v>3</v>
      </c>
      <c r="C544" t="str">
        <f>IF(AND(A544&gt;=SETTINGS!$B$4,A544&lt;=SETTINGS!$B$5),"Yes","No")</f>
        <v>No</v>
      </c>
      <c r="D544" t="str">
        <f>IFERROR(INDEX(SETTINGS!$C$15:$C$24,MATCH(A544,SETTINGS!$A$15:$A$24,0)),"No")</f>
        <v>No</v>
      </c>
      <c r="E544">
        <v>5</v>
      </c>
      <c r="F544" t="s">
        <v>38</v>
      </c>
      <c r="G544">
        <v>117</v>
      </c>
      <c r="H544" t="s">
        <v>104</v>
      </c>
      <c r="I544" t="s">
        <v>22</v>
      </c>
      <c r="J544" t="s">
        <v>24</v>
      </c>
      <c r="K544" t="s">
        <v>3</v>
      </c>
      <c r="L544" s="36">
        <f ca="1">IF(C544&lt;&gt;"Yes",0,IF(A544=2025,N('2025'!D117),IF(A544=2026,N('2026'!D117),IF(A544=2027,N('2027'!D117),IF(A544=2028,N('2028'!D117),IF(A544=2029,N('2029'!D117),IF(A544=2030,N('2030'!D117),IF(A544=2031,N('2031'!D117),IF(A544=2032,N('2032'!D117),IF(A544=2033,N('2033'!D117),IF(A544=2034,N('2034'!D117),IFERROR(N(INDIRECT("'"&amp;A544&amp;"'!D"&amp;G544)),0))))))))))))</f>
        <v>0</v>
      </c>
      <c r="M544" s="36">
        <f>IFERROR(IF(NOT(ISBLANK(KPI_TARGETS!$I$15)),KPI_TARGETS!$I$15,IF(NOT(ISBLANK(KPI_TARGETS!$F$15)),KPI_TARGETS!$F$15,"")),"")</f>
        <v>5</v>
      </c>
      <c r="N544" s="36" t="str">
        <f>IFERROR(KPI_TARGETS!$E$15,"Higher is better")</f>
        <v>Higher is better</v>
      </c>
      <c r="O544" s="37">
        <f t="shared" ca="1" si="48"/>
        <v>0</v>
      </c>
      <c r="P544" t="str">
        <f t="shared" ca="1" si="49"/>
        <v>Red</v>
      </c>
      <c r="Q544" s="36">
        <f t="shared" ca="1" si="50"/>
        <v>-5</v>
      </c>
      <c r="R544" s="36" t="str">
        <f>""</f>
        <v/>
      </c>
      <c r="S544" s="36" t="str">
        <f>""</f>
        <v/>
      </c>
      <c r="T544" s="36" t="str">
        <f>""</f>
        <v/>
      </c>
      <c r="U544" s="36" t="str">
        <f>""</f>
        <v/>
      </c>
      <c r="V544" s="36" t="str">
        <f>""</f>
        <v/>
      </c>
      <c r="W544" s="36">
        <f t="shared" si="51"/>
        <v>1</v>
      </c>
      <c r="X544" t="str">
        <f t="shared" si="52"/>
        <v>Inactive</v>
      </c>
      <c r="Y544" t="str">
        <f>IF(MAIN!$H$3="Selected Year",IF(A544=MAIN!$B$3,"Yes","No"),IF(MAIN!$H$3="Included Years",IF(D544="Yes","Yes","No"),IF(C544="Yes","Yes","No")))</f>
        <v>No</v>
      </c>
      <c r="Z544" t="str">
        <f>IF(MAIN!$F$3="Project to Date",IF(AND(A544&gt;=SETTINGS!$B$4,A544&lt;MAIN!$B$3),"Yes",IF(AND(A544=MAIN!$B$3,E544&lt;=MAIN!$L$3),"Yes","No")),IF(OR(MAIN!$F$3="Full Year",MAIN!$D$3="All"),"Yes",IF(MAIN!$F$3="Monthly",IF(E544=MAIN!$L$3,"Yes","No"),IF(E544&lt;=MAIN!$L$3,"Yes","No"))))</f>
        <v>Yes</v>
      </c>
      <c r="AA544" t="str">
        <f t="shared" si="53"/>
        <v>No</v>
      </c>
    </row>
    <row r="545" spans="1:27" x14ac:dyDescent="0.3">
      <c r="A545">
        <f>INDEX(SETTINGS!$A$15:$A$24,$B545)</f>
        <v>2027</v>
      </c>
      <c r="B545">
        <v>3</v>
      </c>
      <c r="C545" t="str">
        <f>IF(AND(A545&gt;=SETTINGS!$B$4,A545&lt;=SETTINGS!$B$5),"Yes","No")</f>
        <v>No</v>
      </c>
      <c r="D545" t="str">
        <f>IFERROR(INDEX(SETTINGS!$C$15:$C$24,MATCH(A545,SETTINGS!$A$15:$A$24,0)),"No")</f>
        <v>No</v>
      </c>
      <c r="E545">
        <v>5</v>
      </c>
      <c r="F545" t="s">
        <v>38</v>
      </c>
      <c r="G545">
        <v>118</v>
      </c>
      <c r="H545" t="s">
        <v>105</v>
      </c>
      <c r="I545" t="s">
        <v>22</v>
      </c>
      <c r="J545" t="s">
        <v>25</v>
      </c>
      <c r="K545" t="s">
        <v>3</v>
      </c>
      <c r="L545" s="36">
        <f ca="1">IF(C545&lt;&gt;"Yes",0,IF(A545=2025,N('2025'!D118),IF(A545=2026,N('2026'!D118),IF(A545=2027,N('2027'!D118),IF(A545=2028,N('2028'!D118),IF(A545=2029,N('2029'!D118),IF(A545=2030,N('2030'!D118),IF(A545=2031,N('2031'!D118),IF(A545=2032,N('2032'!D118),IF(A545=2033,N('2033'!D118),IF(A545=2034,N('2034'!D118),IFERROR(N(INDIRECT("'"&amp;A545&amp;"'!D"&amp;G545)),0))))))))))))</f>
        <v>0</v>
      </c>
      <c r="M545" s="36">
        <f>IFERROR(IF(NOT(ISBLANK(KPI_TARGETS!$I$16)),KPI_TARGETS!$I$16,IF(NOT(ISBLANK(KPI_TARGETS!$F$16)),KPI_TARGETS!$F$16,"")),"")</f>
        <v>4</v>
      </c>
      <c r="N545" s="36" t="str">
        <f>IFERROR(KPI_TARGETS!$E$16,"Higher is better")</f>
        <v>Higher is better</v>
      </c>
      <c r="O545" s="37">
        <f t="shared" ca="1" si="48"/>
        <v>0</v>
      </c>
      <c r="P545" t="str">
        <f t="shared" ca="1" si="49"/>
        <v>Red</v>
      </c>
      <c r="Q545" s="36">
        <f t="shared" ca="1" si="50"/>
        <v>-4</v>
      </c>
      <c r="R545" s="36" t="str">
        <f>""</f>
        <v/>
      </c>
      <c r="S545" s="36" t="str">
        <f>""</f>
        <v/>
      </c>
      <c r="T545" s="36" t="str">
        <f>""</f>
        <v/>
      </c>
      <c r="U545" s="36" t="str">
        <f>""</f>
        <v/>
      </c>
      <c r="V545" s="36" t="str">
        <f>""</f>
        <v/>
      </c>
      <c r="W545" s="36">
        <f t="shared" si="51"/>
        <v>1</v>
      </c>
      <c r="X545" t="str">
        <f t="shared" si="52"/>
        <v>Inactive</v>
      </c>
      <c r="Y545" t="str">
        <f>IF(MAIN!$H$3="Selected Year",IF(A545=MAIN!$B$3,"Yes","No"),IF(MAIN!$H$3="Included Years",IF(D545="Yes","Yes","No"),IF(C545="Yes","Yes","No")))</f>
        <v>No</v>
      </c>
      <c r="Z545" t="str">
        <f>IF(MAIN!$F$3="Project to Date",IF(AND(A545&gt;=SETTINGS!$B$4,A545&lt;MAIN!$B$3),"Yes",IF(AND(A545=MAIN!$B$3,E545&lt;=MAIN!$L$3),"Yes","No")),IF(OR(MAIN!$F$3="Full Year",MAIN!$D$3="All"),"Yes",IF(MAIN!$F$3="Monthly",IF(E545=MAIN!$L$3,"Yes","No"),IF(E545&lt;=MAIN!$L$3,"Yes","No"))))</f>
        <v>Yes</v>
      </c>
      <c r="AA545" t="str">
        <f t="shared" si="53"/>
        <v>No</v>
      </c>
    </row>
    <row r="546" spans="1:27" x14ac:dyDescent="0.3">
      <c r="A546">
        <f>INDEX(SETTINGS!$A$15:$A$24,$B546)</f>
        <v>2027</v>
      </c>
      <c r="B546">
        <v>3</v>
      </c>
      <c r="C546" t="str">
        <f>IF(AND(A546&gt;=SETTINGS!$B$4,A546&lt;=SETTINGS!$B$5),"Yes","No")</f>
        <v>No</v>
      </c>
      <c r="D546" t="str">
        <f>IFERROR(INDEX(SETTINGS!$C$15:$C$24,MATCH(A546,SETTINGS!$A$15:$A$24,0)),"No")</f>
        <v>No</v>
      </c>
      <c r="E546">
        <v>5</v>
      </c>
      <c r="F546" t="s">
        <v>38</v>
      </c>
      <c r="G546">
        <v>119</v>
      </c>
      <c r="H546" t="s">
        <v>106</v>
      </c>
      <c r="I546" t="s">
        <v>22</v>
      </c>
      <c r="J546" t="s">
        <v>26</v>
      </c>
      <c r="K546" t="s">
        <v>3</v>
      </c>
      <c r="L546" s="36">
        <f ca="1">IF(C546&lt;&gt;"Yes",0,IF(A546=2025,N('2025'!D119),IF(A546=2026,N('2026'!D119),IF(A546=2027,N('2027'!D119),IF(A546=2028,N('2028'!D119),IF(A546=2029,N('2029'!D119),IF(A546=2030,N('2030'!D119),IF(A546=2031,N('2031'!D119),IF(A546=2032,N('2032'!D119),IF(A546=2033,N('2033'!D119),IF(A546=2034,N('2034'!D119),IFERROR(N(INDIRECT("'"&amp;A546&amp;"'!D"&amp;G546)),0))))))))))))</f>
        <v>0</v>
      </c>
      <c r="M546" s="36">
        <f>IFERROR(IF(NOT(ISBLANK(KPI_TARGETS!$I$17)),KPI_TARGETS!$I$17,IF(NOT(ISBLANK(KPI_TARGETS!$F$17)),KPI_TARGETS!$F$17,"")),"")</f>
        <v>12</v>
      </c>
      <c r="N546" s="36" t="str">
        <f>IFERROR(KPI_TARGETS!$E$17,"Higher is better")</f>
        <v>Higher is better</v>
      </c>
      <c r="O546" s="37">
        <f t="shared" ca="1" si="48"/>
        <v>0</v>
      </c>
      <c r="P546" t="str">
        <f t="shared" ca="1" si="49"/>
        <v>Red</v>
      </c>
      <c r="Q546" s="36">
        <f t="shared" ca="1" si="50"/>
        <v>-12</v>
      </c>
      <c r="R546" s="36" t="str">
        <f>""</f>
        <v/>
      </c>
      <c r="S546" s="36" t="str">
        <f>""</f>
        <v/>
      </c>
      <c r="T546" s="36" t="str">
        <f>""</f>
        <v/>
      </c>
      <c r="U546" s="36" t="str">
        <f>""</f>
        <v/>
      </c>
      <c r="V546" s="36" t="str">
        <f>""</f>
        <v/>
      </c>
      <c r="W546" s="36">
        <f t="shared" si="51"/>
        <v>1</v>
      </c>
      <c r="X546" t="str">
        <f t="shared" si="52"/>
        <v>Inactive</v>
      </c>
      <c r="Y546" t="str">
        <f>IF(MAIN!$H$3="Selected Year",IF(A546=MAIN!$B$3,"Yes","No"),IF(MAIN!$H$3="Included Years",IF(D546="Yes","Yes","No"),IF(C546="Yes","Yes","No")))</f>
        <v>No</v>
      </c>
      <c r="Z546" t="str">
        <f>IF(MAIN!$F$3="Project to Date",IF(AND(A546&gt;=SETTINGS!$B$4,A546&lt;MAIN!$B$3),"Yes",IF(AND(A546=MAIN!$B$3,E546&lt;=MAIN!$L$3),"Yes","No")),IF(OR(MAIN!$F$3="Full Year",MAIN!$D$3="All"),"Yes",IF(MAIN!$F$3="Monthly",IF(E546=MAIN!$L$3,"Yes","No"),IF(E546&lt;=MAIN!$L$3,"Yes","No"))))</f>
        <v>Yes</v>
      </c>
      <c r="AA546" t="str">
        <f t="shared" si="53"/>
        <v>No</v>
      </c>
    </row>
    <row r="547" spans="1:27" x14ac:dyDescent="0.3">
      <c r="A547">
        <f>INDEX(SETTINGS!$A$15:$A$24,$B547)</f>
        <v>2027</v>
      </c>
      <c r="B547">
        <v>3</v>
      </c>
      <c r="C547" t="str">
        <f>IF(AND(A547&gt;=SETTINGS!$B$4,A547&lt;=SETTINGS!$B$5),"Yes","No")</f>
        <v>No</v>
      </c>
      <c r="D547" t="str">
        <f>IFERROR(INDEX(SETTINGS!$C$15:$C$24,MATCH(A547,SETTINGS!$A$15:$A$24,0)),"No")</f>
        <v>No</v>
      </c>
      <c r="E547">
        <v>5</v>
      </c>
      <c r="F547" t="s">
        <v>38</v>
      </c>
      <c r="G547">
        <v>120</v>
      </c>
      <c r="H547" t="s">
        <v>107</v>
      </c>
      <c r="I547" t="s">
        <v>22</v>
      </c>
      <c r="J547" t="s">
        <v>27</v>
      </c>
      <c r="K547" t="s">
        <v>3</v>
      </c>
      <c r="L547" s="36">
        <f ca="1">IF(C547&lt;&gt;"Yes",0,IF(A547=2025,N('2025'!D120),IF(A547=2026,N('2026'!D120),IF(A547=2027,N('2027'!D120),IF(A547=2028,N('2028'!D120),IF(A547=2029,N('2029'!D120),IF(A547=2030,N('2030'!D120),IF(A547=2031,N('2031'!D120),IF(A547=2032,N('2032'!D120),IF(A547=2033,N('2033'!D120),IF(A547=2034,N('2034'!D120),IFERROR(N(INDIRECT("'"&amp;A547&amp;"'!D"&amp;G547)),0))))))))))))</f>
        <v>0</v>
      </c>
      <c r="M547" s="36">
        <f>IFERROR(IF(NOT(ISBLANK(KPI_TARGETS!$I$18)),KPI_TARGETS!$I$18,IF(NOT(ISBLANK(KPI_TARGETS!$F$18)),KPI_TARGETS!$F$18,"")),"")</f>
        <v>4</v>
      </c>
      <c r="N547" s="36" t="str">
        <f>IFERROR(KPI_TARGETS!$E$18,"Higher is better")</f>
        <v>Higher is better</v>
      </c>
      <c r="O547" s="37">
        <f t="shared" ca="1" si="48"/>
        <v>0</v>
      </c>
      <c r="P547" t="str">
        <f t="shared" ca="1" si="49"/>
        <v>Red</v>
      </c>
      <c r="Q547" s="36">
        <f t="shared" ca="1" si="50"/>
        <v>-4</v>
      </c>
      <c r="R547" s="36" t="str">
        <f>""</f>
        <v/>
      </c>
      <c r="S547" s="36" t="str">
        <f>""</f>
        <v/>
      </c>
      <c r="T547" s="36" t="str">
        <f>""</f>
        <v/>
      </c>
      <c r="U547" s="36" t="str">
        <f>""</f>
        <v/>
      </c>
      <c r="V547" s="36" t="str">
        <f>""</f>
        <v/>
      </c>
      <c r="W547" s="36">
        <f t="shared" si="51"/>
        <v>1</v>
      </c>
      <c r="X547" t="str">
        <f t="shared" si="52"/>
        <v>Inactive</v>
      </c>
      <c r="Y547" t="str">
        <f>IF(MAIN!$H$3="Selected Year",IF(A547=MAIN!$B$3,"Yes","No"),IF(MAIN!$H$3="Included Years",IF(D547="Yes","Yes","No"),IF(C547="Yes","Yes","No")))</f>
        <v>No</v>
      </c>
      <c r="Z547" t="str">
        <f>IF(MAIN!$F$3="Project to Date",IF(AND(A547&gt;=SETTINGS!$B$4,A547&lt;MAIN!$B$3),"Yes",IF(AND(A547=MAIN!$B$3,E547&lt;=MAIN!$L$3),"Yes","No")),IF(OR(MAIN!$F$3="Full Year",MAIN!$D$3="All"),"Yes",IF(MAIN!$F$3="Monthly",IF(E547=MAIN!$L$3,"Yes","No"),IF(E547&lt;=MAIN!$L$3,"Yes","No"))))</f>
        <v>Yes</v>
      </c>
      <c r="AA547" t="str">
        <f t="shared" si="53"/>
        <v>No</v>
      </c>
    </row>
    <row r="548" spans="1:27" x14ac:dyDescent="0.3">
      <c r="A548">
        <f>INDEX(SETTINGS!$A$15:$A$24,$B548)</f>
        <v>2027</v>
      </c>
      <c r="B548">
        <v>3</v>
      </c>
      <c r="C548" t="str">
        <f>IF(AND(A548&gt;=SETTINGS!$B$4,A548&lt;=SETTINGS!$B$5),"Yes","No")</f>
        <v>No</v>
      </c>
      <c r="D548" t="str">
        <f>IFERROR(INDEX(SETTINGS!$C$15:$C$24,MATCH(A548,SETTINGS!$A$15:$A$24,0)),"No")</f>
        <v>No</v>
      </c>
      <c r="E548">
        <v>5</v>
      </c>
      <c r="F548" t="s">
        <v>38</v>
      </c>
      <c r="G548">
        <v>121</v>
      </c>
      <c r="H548" t="s">
        <v>108</v>
      </c>
      <c r="I548" t="s">
        <v>22</v>
      </c>
      <c r="J548" t="s">
        <v>28</v>
      </c>
      <c r="K548" t="s">
        <v>3</v>
      </c>
      <c r="L548" s="36">
        <f ca="1">IF(C548&lt;&gt;"Yes",0,IF(A548=2025,N('2025'!D121),IF(A548=2026,N('2026'!D121),IF(A548=2027,N('2027'!D121),IF(A548=2028,N('2028'!D121),IF(A548=2029,N('2029'!D121),IF(A548=2030,N('2030'!D121),IF(A548=2031,N('2031'!D121),IF(A548=2032,N('2032'!D121),IF(A548=2033,N('2033'!D121),IF(A548=2034,N('2034'!D121),IFERROR(N(INDIRECT("'"&amp;A548&amp;"'!D"&amp;G548)),0))))))))))))</f>
        <v>0</v>
      </c>
      <c r="M548" s="36">
        <f>IFERROR(IF(NOT(ISBLANK(KPI_TARGETS!$I$19)),KPI_TARGETS!$I$19,IF(NOT(ISBLANK(KPI_TARGETS!$F$19)),KPI_TARGETS!$F$19,"")),"")</f>
        <v>16</v>
      </c>
      <c r="N548" s="36" t="str">
        <f>IFERROR(KPI_TARGETS!$E$19,"Higher is better")</f>
        <v>Higher is better</v>
      </c>
      <c r="O548" s="37">
        <f t="shared" ca="1" si="48"/>
        <v>0</v>
      </c>
      <c r="P548" t="str">
        <f t="shared" ca="1" si="49"/>
        <v>Red</v>
      </c>
      <c r="Q548" s="36">
        <f t="shared" ca="1" si="50"/>
        <v>-16</v>
      </c>
      <c r="R548" s="36" t="str">
        <f>""</f>
        <v/>
      </c>
      <c r="S548" s="36" t="str">
        <f>""</f>
        <v/>
      </c>
      <c r="T548" s="36" t="str">
        <f>""</f>
        <v/>
      </c>
      <c r="U548" s="36" t="str">
        <f>""</f>
        <v/>
      </c>
      <c r="V548" s="36" t="str">
        <f>""</f>
        <v/>
      </c>
      <c r="W548" s="36">
        <f t="shared" si="51"/>
        <v>1</v>
      </c>
      <c r="X548" t="str">
        <f t="shared" si="52"/>
        <v>Inactive</v>
      </c>
      <c r="Y548" t="str">
        <f>IF(MAIN!$H$3="Selected Year",IF(A548=MAIN!$B$3,"Yes","No"),IF(MAIN!$H$3="Included Years",IF(D548="Yes","Yes","No"),IF(C548="Yes","Yes","No")))</f>
        <v>No</v>
      </c>
      <c r="Z548" t="str">
        <f>IF(MAIN!$F$3="Project to Date",IF(AND(A548&gt;=SETTINGS!$B$4,A548&lt;MAIN!$B$3),"Yes",IF(AND(A548=MAIN!$B$3,E548&lt;=MAIN!$L$3),"Yes","No")),IF(OR(MAIN!$F$3="Full Year",MAIN!$D$3="All"),"Yes",IF(MAIN!$F$3="Monthly",IF(E548=MAIN!$L$3,"Yes","No"),IF(E548&lt;=MAIN!$L$3,"Yes","No"))))</f>
        <v>Yes</v>
      </c>
      <c r="AA548" t="str">
        <f t="shared" si="53"/>
        <v>No</v>
      </c>
    </row>
    <row r="549" spans="1:27" x14ac:dyDescent="0.3">
      <c r="A549">
        <f>INDEX(SETTINGS!$A$15:$A$24,$B549)</f>
        <v>2027</v>
      </c>
      <c r="B549">
        <v>3</v>
      </c>
      <c r="C549" t="str">
        <f>IF(AND(A549&gt;=SETTINGS!$B$4,A549&lt;=SETTINGS!$B$5),"Yes","No")</f>
        <v>No</v>
      </c>
      <c r="D549" t="str">
        <f>IFERROR(INDEX(SETTINGS!$C$15:$C$24,MATCH(A549,SETTINGS!$A$15:$A$24,0)),"No")</f>
        <v>No</v>
      </c>
      <c r="E549">
        <v>5</v>
      </c>
      <c r="F549" t="s">
        <v>38</v>
      </c>
      <c r="G549">
        <v>122</v>
      </c>
      <c r="H549" t="s">
        <v>109</v>
      </c>
      <c r="I549" t="s">
        <v>22</v>
      </c>
      <c r="J549" t="s">
        <v>29</v>
      </c>
      <c r="K549" t="s">
        <v>3</v>
      </c>
      <c r="L549" s="36">
        <f ca="1">IF(C549&lt;&gt;"Yes",0,IF(A549=2025,N('2025'!D122),IF(A549=2026,N('2026'!D122),IF(A549=2027,N('2027'!D122),IF(A549=2028,N('2028'!D122),IF(A549=2029,N('2029'!D122),IF(A549=2030,N('2030'!D122),IF(A549=2031,N('2031'!D122),IF(A549=2032,N('2032'!D122),IF(A549=2033,N('2033'!D122),IF(A549=2034,N('2034'!D122),IFERROR(N(INDIRECT("'"&amp;A549&amp;"'!D"&amp;G549)),0))))))))))))</f>
        <v>0</v>
      </c>
      <c r="M549" s="36">
        <f>IFERROR(IF(NOT(ISBLANK(KPI_TARGETS!$I$20)),KPI_TARGETS!$I$20,IF(NOT(ISBLANK(KPI_TARGETS!$F$20)),KPI_TARGETS!$F$20,"")),"")</f>
        <v>1</v>
      </c>
      <c r="N549" s="36" t="str">
        <f>IFERROR(KPI_TARGETS!$E$20,"Higher is better")</f>
        <v>Higher is better</v>
      </c>
      <c r="O549" s="37">
        <f t="shared" ca="1" si="48"/>
        <v>0</v>
      </c>
      <c r="P549" t="str">
        <f t="shared" ca="1" si="49"/>
        <v>Red</v>
      </c>
      <c r="Q549" s="36">
        <f t="shared" ca="1" si="50"/>
        <v>-1</v>
      </c>
      <c r="R549" s="36" t="str">
        <f>""</f>
        <v/>
      </c>
      <c r="S549" s="36" t="str">
        <f>""</f>
        <v/>
      </c>
      <c r="T549" s="36" t="str">
        <f>""</f>
        <v/>
      </c>
      <c r="U549" s="36" t="str">
        <f>""</f>
        <v/>
      </c>
      <c r="V549" s="36" t="str">
        <f>""</f>
        <v/>
      </c>
      <c r="W549" s="36">
        <f t="shared" si="51"/>
        <v>1</v>
      </c>
      <c r="X549" t="str">
        <f t="shared" si="52"/>
        <v>Inactive</v>
      </c>
      <c r="Y549" t="str">
        <f>IF(MAIN!$H$3="Selected Year",IF(A549=MAIN!$B$3,"Yes","No"),IF(MAIN!$H$3="Included Years",IF(D549="Yes","Yes","No"),IF(C549="Yes","Yes","No")))</f>
        <v>No</v>
      </c>
      <c r="Z549" t="str">
        <f>IF(MAIN!$F$3="Project to Date",IF(AND(A549&gt;=SETTINGS!$B$4,A549&lt;MAIN!$B$3),"Yes",IF(AND(A549=MAIN!$B$3,E549&lt;=MAIN!$L$3),"Yes","No")),IF(OR(MAIN!$F$3="Full Year",MAIN!$D$3="All"),"Yes",IF(MAIN!$F$3="Monthly",IF(E549=MAIN!$L$3,"Yes","No"),IF(E549&lt;=MAIN!$L$3,"Yes","No"))))</f>
        <v>Yes</v>
      </c>
      <c r="AA549" t="str">
        <f t="shared" si="53"/>
        <v>No</v>
      </c>
    </row>
    <row r="550" spans="1:27" x14ac:dyDescent="0.3">
      <c r="A550">
        <f>INDEX(SETTINGS!$A$15:$A$24,$B550)</f>
        <v>2027</v>
      </c>
      <c r="B550">
        <v>3</v>
      </c>
      <c r="C550" t="str">
        <f>IF(AND(A550&gt;=SETTINGS!$B$4,A550&lt;=SETTINGS!$B$5),"Yes","No")</f>
        <v>No</v>
      </c>
      <c r="D550" t="str">
        <f>IFERROR(INDEX(SETTINGS!$C$15:$C$24,MATCH(A550,SETTINGS!$A$15:$A$24,0)),"No")</f>
        <v>No</v>
      </c>
      <c r="E550">
        <v>5</v>
      </c>
      <c r="F550" t="s">
        <v>38</v>
      </c>
      <c r="G550">
        <v>124</v>
      </c>
      <c r="H550" t="s">
        <v>110</v>
      </c>
      <c r="I550" t="s">
        <v>30</v>
      </c>
      <c r="J550" t="s">
        <v>31</v>
      </c>
      <c r="K550" t="s">
        <v>3</v>
      </c>
      <c r="L550" s="36">
        <f ca="1">IF(C550&lt;&gt;"Yes",0,IF(A550=2025,N('2025'!D124),IF(A550=2026,N('2026'!D124),IF(A550=2027,N('2027'!D124),IF(A550=2028,N('2028'!D124),IF(A550=2029,N('2029'!D124),IF(A550=2030,N('2030'!D124),IF(A550=2031,N('2031'!D124),IF(A550=2032,N('2032'!D124),IF(A550=2033,N('2033'!D124),IF(A550=2034,N('2034'!D124),IFERROR(N(INDIRECT("'"&amp;A550&amp;"'!D"&amp;G550)),0))))))))))))</f>
        <v>0</v>
      </c>
      <c r="M550" s="36">
        <f>IFERROR(IF(NOT(ISBLANK(KPI_TARGETS!$I$21)),KPI_TARGETS!$I$21,IF(NOT(ISBLANK(KPI_TARGETS!$F$21)),KPI_TARGETS!$F$21,"")),"")</f>
        <v>0</v>
      </c>
      <c r="N550" s="36" t="str">
        <f>IFERROR(KPI_TARGETS!$E$21,"Higher is better")</f>
        <v>Lower is better</v>
      </c>
      <c r="O550" s="37">
        <f t="shared" ca="1" si="48"/>
        <v>1</v>
      </c>
      <c r="P550" t="str">
        <f t="shared" ca="1" si="49"/>
        <v>Green</v>
      </c>
      <c r="Q550" s="36">
        <f t="shared" ca="1" si="50"/>
        <v>0</v>
      </c>
      <c r="R550" s="36" t="str">
        <f>""</f>
        <v/>
      </c>
      <c r="S550" s="36" t="str">
        <f>""</f>
        <v/>
      </c>
      <c r="T550" s="36" t="str">
        <f>""</f>
        <v/>
      </c>
      <c r="U550" s="36" t="str">
        <f>""</f>
        <v/>
      </c>
      <c r="V550" s="36" t="str">
        <f>""</f>
        <v/>
      </c>
      <c r="W550" s="36">
        <f t="shared" si="51"/>
        <v>1</v>
      </c>
      <c r="X550" t="str">
        <f t="shared" si="52"/>
        <v>Inactive</v>
      </c>
      <c r="Y550" t="str">
        <f>IF(MAIN!$H$3="Selected Year",IF(A550=MAIN!$B$3,"Yes","No"),IF(MAIN!$H$3="Included Years",IF(D550="Yes","Yes","No"),IF(C550="Yes","Yes","No")))</f>
        <v>No</v>
      </c>
      <c r="Z550" t="str">
        <f>IF(MAIN!$F$3="Project to Date",IF(AND(A550&gt;=SETTINGS!$B$4,A550&lt;MAIN!$B$3),"Yes",IF(AND(A550=MAIN!$B$3,E550&lt;=MAIN!$L$3),"Yes","No")),IF(OR(MAIN!$F$3="Full Year",MAIN!$D$3="All"),"Yes",IF(MAIN!$F$3="Monthly",IF(E550=MAIN!$L$3,"Yes","No"),IF(E550&lt;=MAIN!$L$3,"Yes","No"))))</f>
        <v>Yes</v>
      </c>
      <c r="AA550" t="str">
        <f t="shared" si="53"/>
        <v>No</v>
      </c>
    </row>
    <row r="551" spans="1:27" x14ac:dyDescent="0.3">
      <c r="A551">
        <f>INDEX(SETTINGS!$A$15:$A$24,$B551)</f>
        <v>2027</v>
      </c>
      <c r="B551">
        <v>3</v>
      </c>
      <c r="C551" t="str">
        <f>IF(AND(A551&gt;=SETTINGS!$B$4,A551&lt;=SETTINGS!$B$5),"Yes","No")</f>
        <v>No</v>
      </c>
      <c r="D551" t="str">
        <f>IFERROR(INDEX(SETTINGS!$C$15:$C$24,MATCH(A551,SETTINGS!$A$15:$A$24,0)),"No")</f>
        <v>No</v>
      </c>
      <c r="E551">
        <v>5</v>
      </c>
      <c r="F551" t="s">
        <v>38</v>
      </c>
      <c r="G551">
        <v>125</v>
      </c>
      <c r="H551" t="s">
        <v>111</v>
      </c>
      <c r="I551" t="s">
        <v>30</v>
      </c>
      <c r="J551" t="s">
        <v>32</v>
      </c>
      <c r="K551" t="s">
        <v>3</v>
      </c>
      <c r="L551" s="36">
        <f ca="1">IF(C551&lt;&gt;"Yes",0,IF(A551=2025,N('2025'!D125),IF(A551=2026,N('2026'!D125),IF(A551=2027,N('2027'!D125),IF(A551=2028,N('2028'!D125),IF(A551=2029,N('2029'!D125),IF(A551=2030,N('2030'!D125),IF(A551=2031,N('2031'!D125),IF(A551=2032,N('2032'!D125),IF(A551=2033,N('2033'!D125),IF(A551=2034,N('2034'!D125),IFERROR(N(INDIRECT("'"&amp;A551&amp;"'!D"&amp;G551)),0))))))))))))</f>
        <v>0</v>
      </c>
      <c r="M551" s="36">
        <f>IFERROR(IF(NOT(ISBLANK(KPI_TARGETS!$I$22)),KPI_TARGETS!$I$22,IF(NOT(ISBLANK(KPI_TARGETS!$F$22)),KPI_TARGETS!$F$22,"")),"")</f>
        <v>1</v>
      </c>
      <c r="N551" s="36" t="str">
        <f>IFERROR(KPI_TARGETS!$E$22,"Higher is better")</f>
        <v>Higher is better</v>
      </c>
      <c r="O551" s="37">
        <f t="shared" ca="1" si="48"/>
        <v>0</v>
      </c>
      <c r="P551" t="str">
        <f t="shared" ca="1" si="49"/>
        <v>Red</v>
      </c>
      <c r="Q551" s="36">
        <f t="shared" ca="1" si="50"/>
        <v>-1</v>
      </c>
      <c r="R551" s="36" t="str">
        <f>""</f>
        <v/>
      </c>
      <c r="S551" s="36" t="str">
        <f>""</f>
        <v/>
      </c>
      <c r="T551" s="36" t="str">
        <f>""</f>
        <v/>
      </c>
      <c r="U551" s="36" t="str">
        <f>""</f>
        <v/>
      </c>
      <c r="V551" s="36" t="str">
        <f>""</f>
        <v/>
      </c>
      <c r="W551" s="36">
        <f t="shared" si="51"/>
        <v>1</v>
      </c>
      <c r="X551" t="str">
        <f t="shared" si="52"/>
        <v>Inactive</v>
      </c>
      <c r="Y551" t="str">
        <f>IF(MAIN!$H$3="Selected Year",IF(A551=MAIN!$B$3,"Yes","No"),IF(MAIN!$H$3="Included Years",IF(D551="Yes","Yes","No"),IF(C551="Yes","Yes","No")))</f>
        <v>No</v>
      </c>
      <c r="Z551" t="str">
        <f>IF(MAIN!$F$3="Project to Date",IF(AND(A551&gt;=SETTINGS!$B$4,A551&lt;MAIN!$B$3),"Yes",IF(AND(A551=MAIN!$B$3,E551&lt;=MAIN!$L$3),"Yes","No")),IF(OR(MAIN!$F$3="Full Year",MAIN!$D$3="All"),"Yes",IF(MAIN!$F$3="Monthly",IF(E551=MAIN!$L$3,"Yes","No"),IF(E551&lt;=MAIN!$L$3,"Yes","No"))))</f>
        <v>Yes</v>
      </c>
      <c r="AA551" t="str">
        <f t="shared" si="53"/>
        <v>No</v>
      </c>
    </row>
    <row r="552" spans="1:27" x14ac:dyDescent="0.3">
      <c r="A552">
        <f>INDEX(SETTINGS!$A$15:$A$24,$B552)</f>
        <v>2027</v>
      </c>
      <c r="B552">
        <v>3</v>
      </c>
      <c r="C552" t="str">
        <f>IF(AND(A552&gt;=SETTINGS!$B$4,A552&lt;=SETTINGS!$B$5),"Yes","No")</f>
        <v>No</v>
      </c>
      <c r="D552" t="str">
        <f>IFERROR(INDEX(SETTINGS!$C$15:$C$24,MATCH(A552,SETTINGS!$A$15:$A$24,0)),"No")</f>
        <v>No</v>
      </c>
      <c r="E552">
        <v>5</v>
      </c>
      <c r="F552" t="s">
        <v>38</v>
      </c>
      <c r="G552">
        <v>126</v>
      </c>
      <c r="H552" t="s">
        <v>112</v>
      </c>
      <c r="I552" t="s">
        <v>30</v>
      </c>
      <c r="J552" t="s">
        <v>33</v>
      </c>
      <c r="K552" t="s">
        <v>34</v>
      </c>
      <c r="L552" s="36">
        <f ca="1">IF(C552&lt;&gt;"Yes",0,IF(A552=2025,N('2025'!D126),IF(A552=2026,N('2026'!D126),IF(A552=2027,N('2027'!D126),IF(A552=2028,N('2028'!D126),IF(A552=2029,N('2029'!D126),IF(A552=2030,N('2030'!D126),IF(A552=2031,N('2031'!D126),IF(A552=2032,N('2032'!D126),IF(A552=2033,N('2033'!D126),IF(A552=2034,N('2034'!D126),IFERROR(N(INDIRECT("'"&amp;A552&amp;"'!D"&amp;G552)),0))))))))))))</f>
        <v>0</v>
      </c>
      <c r="M552" s="36">
        <f>IFERROR(IF(NOT(ISBLANK(KPI_TARGETS!$I$23)),KPI_TARGETS!$I$23,IF(NOT(ISBLANK(KPI_TARGETS!$F$23)),KPI_TARGETS!$F$23,"")),"")</f>
        <v>1</v>
      </c>
      <c r="N552" s="36" t="str">
        <f>IFERROR(KPI_TARGETS!$E$23,"Higher is better")</f>
        <v>Higher is better</v>
      </c>
      <c r="O552" s="37">
        <f t="shared" ca="1" si="48"/>
        <v>0</v>
      </c>
      <c r="P552" t="str">
        <f t="shared" ca="1" si="49"/>
        <v>Red</v>
      </c>
      <c r="Q552" s="36">
        <f t="shared" ca="1" si="50"/>
        <v>-1</v>
      </c>
      <c r="R552" s="36" t="str">
        <f>""</f>
        <v/>
      </c>
      <c r="S552" s="36" t="str">
        <f>""</f>
        <v/>
      </c>
      <c r="T552" s="36" t="str">
        <f>""</f>
        <v/>
      </c>
      <c r="U552" s="36" t="str">
        <f>""</f>
        <v/>
      </c>
      <c r="V552" s="36" t="str">
        <f>""</f>
        <v/>
      </c>
      <c r="W552" s="36">
        <f t="shared" si="51"/>
        <v>1</v>
      </c>
      <c r="X552" t="str">
        <f t="shared" si="52"/>
        <v>Inactive</v>
      </c>
      <c r="Y552" t="str">
        <f>IF(MAIN!$H$3="Selected Year",IF(A552=MAIN!$B$3,"Yes","No"),IF(MAIN!$H$3="Included Years",IF(D552="Yes","Yes","No"),IF(C552="Yes","Yes","No")))</f>
        <v>No</v>
      </c>
      <c r="Z552" t="str">
        <f>IF(MAIN!$F$3="Project to Date",IF(AND(A552&gt;=SETTINGS!$B$4,A552&lt;MAIN!$B$3),"Yes",IF(AND(A552=MAIN!$B$3,E552&lt;=MAIN!$L$3),"Yes","No")),IF(OR(MAIN!$F$3="Full Year",MAIN!$D$3="All"),"Yes",IF(MAIN!$F$3="Monthly",IF(E552=MAIN!$L$3,"Yes","No"),IF(E552&lt;=MAIN!$L$3,"Yes","No"))))</f>
        <v>Yes</v>
      </c>
      <c r="AA552" t="str">
        <f t="shared" si="53"/>
        <v>No</v>
      </c>
    </row>
    <row r="553" spans="1:27" x14ac:dyDescent="0.3">
      <c r="A553">
        <f>INDEX(SETTINGS!$A$15:$A$24,$B553)</f>
        <v>2027</v>
      </c>
      <c r="B553">
        <v>3</v>
      </c>
      <c r="C553" t="str">
        <f>IF(AND(A553&gt;=SETTINGS!$B$4,A553&lt;=SETTINGS!$B$5),"Yes","No")</f>
        <v>No</v>
      </c>
      <c r="D553" t="str">
        <f>IFERROR(INDEX(SETTINGS!$C$15:$C$24,MATCH(A553,SETTINGS!$A$15:$A$24,0)),"No")</f>
        <v>No</v>
      </c>
      <c r="E553">
        <v>6</v>
      </c>
      <c r="F553" t="s">
        <v>39</v>
      </c>
      <c r="G553">
        <v>129</v>
      </c>
      <c r="H553" t="s">
        <v>88</v>
      </c>
      <c r="I553" t="s">
        <v>89</v>
      </c>
      <c r="J553" t="s">
        <v>10</v>
      </c>
      <c r="K553" t="s">
        <v>3</v>
      </c>
      <c r="L553" s="36">
        <f ca="1">IF(C553&lt;&gt;"Yes",0,IF(A553=2025,N('2025'!D129),IF(A553=2026,N('2026'!D129),IF(A553=2027,N('2027'!D129),IF(A553=2028,N('2028'!D129),IF(A553=2029,N('2029'!D129),IF(A553=2030,N('2030'!D129),IF(A553=2031,N('2031'!D129),IF(A553=2032,N('2032'!D129),IF(A553=2033,N('2033'!D129),IF(A553=2034,N('2034'!D129),IFERROR(N(INDIRECT("'"&amp;A553&amp;"'!D"&amp;G553)),0))))))))))))</f>
        <v>0</v>
      </c>
      <c r="M553" s="36">
        <f>IFERROR(IF(NOT(ISBLANK(KPI_TARGETS!$I$5)),KPI_TARGETS!$I$5,IF(NOT(ISBLANK(KPI_TARGETS!$F$5)),KPI_TARGETS!$F$5,"")),"")</f>
        <v>104</v>
      </c>
      <c r="N553" s="36" t="str">
        <f>IFERROR(KPI_TARGETS!$E$5,"Higher is better")</f>
        <v>Higher is better</v>
      </c>
      <c r="O553" s="37">
        <f t="shared" ca="1" si="48"/>
        <v>0</v>
      </c>
      <c r="P553" t="str">
        <f t="shared" ca="1" si="49"/>
        <v>Red</v>
      </c>
      <c r="Q553" s="36">
        <f t="shared" ca="1" si="50"/>
        <v>-104</v>
      </c>
      <c r="R553" s="36" t="str">
        <f>""</f>
        <v/>
      </c>
      <c r="S553" s="36" t="str">
        <f>""</f>
        <v/>
      </c>
      <c r="T553" s="36" t="str">
        <f>""</f>
        <v/>
      </c>
      <c r="U553" s="36" t="str">
        <f>""</f>
        <v/>
      </c>
      <c r="V553" s="36" t="str">
        <f>""</f>
        <v/>
      </c>
      <c r="W553" s="36">
        <f t="shared" si="51"/>
        <v>1</v>
      </c>
      <c r="X553" t="str">
        <f t="shared" si="52"/>
        <v>Inactive</v>
      </c>
      <c r="Y553" t="str">
        <f>IF(MAIN!$H$3="Selected Year",IF(A553=MAIN!$B$3,"Yes","No"),IF(MAIN!$H$3="Included Years",IF(D553="Yes","Yes","No"),IF(C553="Yes","Yes","No")))</f>
        <v>No</v>
      </c>
      <c r="Z553" t="str">
        <f>IF(MAIN!$F$3="Project to Date",IF(AND(A553&gt;=SETTINGS!$B$4,A553&lt;MAIN!$B$3),"Yes",IF(AND(A553=MAIN!$B$3,E553&lt;=MAIN!$L$3),"Yes","No")),IF(OR(MAIN!$F$3="Full Year",MAIN!$D$3="All"),"Yes",IF(MAIN!$F$3="Monthly",IF(E553=MAIN!$L$3,"Yes","No"),IF(E553&lt;=MAIN!$L$3,"Yes","No"))))</f>
        <v>Yes</v>
      </c>
      <c r="AA553" t="str">
        <f t="shared" si="53"/>
        <v>No</v>
      </c>
    </row>
    <row r="554" spans="1:27" x14ac:dyDescent="0.3">
      <c r="A554">
        <f>INDEX(SETTINGS!$A$15:$A$24,$B554)</f>
        <v>2027</v>
      </c>
      <c r="B554">
        <v>3</v>
      </c>
      <c r="C554" t="str">
        <f>IF(AND(A554&gt;=SETTINGS!$B$4,A554&lt;=SETTINGS!$B$5),"Yes","No")</f>
        <v>No</v>
      </c>
      <c r="D554" t="str">
        <f>IFERROR(INDEX(SETTINGS!$C$15:$C$24,MATCH(A554,SETTINGS!$A$15:$A$24,0)),"No")</f>
        <v>No</v>
      </c>
      <c r="E554">
        <v>6</v>
      </c>
      <c r="F554" t="s">
        <v>39</v>
      </c>
      <c r="G554">
        <v>130</v>
      </c>
      <c r="H554" t="s">
        <v>91</v>
      </c>
      <c r="I554" t="s">
        <v>89</v>
      </c>
      <c r="J554" t="s">
        <v>11</v>
      </c>
      <c r="K554" t="s">
        <v>12</v>
      </c>
      <c r="L554" s="36">
        <f ca="1">IF(C554&lt;&gt;"Yes",0,IF(A554=2025,N('2025'!D130),IF(A554=2026,N('2026'!D130),IF(A554=2027,N('2027'!D130),IF(A554=2028,N('2028'!D130),IF(A554=2029,N('2029'!D130),IF(A554=2030,N('2030'!D130),IF(A554=2031,N('2031'!D130),IF(A554=2032,N('2032'!D130),IF(A554=2033,N('2033'!D130),IF(A554=2034,N('2034'!D130),IFERROR(N(INDIRECT("'"&amp;A554&amp;"'!D"&amp;G554)),0))))))))))))</f>
        <v>0</v>
      </c>
      <c r="M554" s="36">
        <f>IFERROR(IF(NOT(ISBLANK(KPI_TARGETS!$I$6)),KPI_TARGETS!$I$6,IF(NOT(ISBLANK(KPI_TARGETS!$F$6)),KPI_TARGETS!$F$6,"")),"")</f>
        <v>4000</v>
      </c>
      <c r="N554" s="36" t="str">
        <f>IFERROR(KPI_TARGETS!$E$6,"Higher is better")</f>
        <v>Higher is better</v>
      </c>
      <c r="O554" s="37">
        <f t="shared" ca="1" si="48"/>
        <v>0</v>
      </c>
      <c r="P554" t="str">
        <f t="shared" ca="1" si="49"/>
        <v>Red</v>
      </c>
      <c r="Q554" s="36">
        <f t="shared" ca="1" si="50"/>
        <v>-4000</v>
      </c>
      <c r="R554" s="36" t="str">
        <f>""</f>
        <v/>
      </c>
      <c r="S554" s="36" t="str">
        <f>""</f>
        <v/>
      </c>
      <c r="T554" s="36" t="str">
        <f>""</f>
        <v/>
      </c>
      <c r="U554" s="36" t="str">
        <f>""</f>
        <v/>
      </c>
      <c r="V554" s="36" t="str">
        <f>""</f>
        <v/>
      </c>
      <c r="W554" s="36">
        <f t="shared" si="51"/>
        <v>1</v>
      </c>
      <c r="X554" t="str">
        <f t="shared" si="52"/>
        <v>Inactive</v>
      </c>
      <c r="Y554" t="str">
        <f>IF(MAIN!$H$3="Selected Year",IF(A554=MAIN!$B$3,"Yes","No"),IF(MAIN!$H$3="Included Years",IF(D554="Yes","Yes","No"),IF(C554="Yes","Yes","No")))</f>
        <v>No</v>
      </c>
      <c r="Z554" t="str">
        <f>IF(MAIN!$F$3="Project to Date",IF(AND(A554&gt;=SETTINGS!$B$4,A554&lt;MAIN!$B$3),"Yes",IF(AND(A554=MAIN!$B$3,E554&lt;=MAIN!$L$3),"Yes","No")),IF(OR(MAIN!$F$3="Full Year",MAIN!$D$3="All"),"Yes",IF(MAIN!$F$3="Monthly",IF(E554=MAIN!$L$3,"Yes","No"),IF(E554&lt;=MAIN!$L$3,"Yes","No"))))</f>
        <v>Yes</v>
      </c>
      <c r="AA554" t="str">
        <f t="shared" si="53"/>
        <v>No</v>
      </c>
    </row>
    <row r="555" spans="1:27" x14ac:dyDescent="0.3">
      <c r="A555">
        <f>INDEX(SETTINGS!$A$15:$A$24,$B555)</f>
        <v>2027</v>
      </c>
      <c r="B555">
        <v>3</v>
      </c>
      <c r="C555" t="str">
        <f>IF(AND(A555&gt;=SETTINGS!$B$4,A555&lt;=SETTINGS!$B$5),"Yes","No")</f>
        <v>No</v>
      </c>
      <c r="D555" t="str">
        <f>IFERROR(INDEX(SETTINGS!$C$15:$C$24,MATCH(A555,SETTINGS!$A$15:$A$24,0)),"No")</f>
        <v>No</v>
      </c>
      <c r="E555">
        <v>6</v>
      </c>
      <c r="F555" t="s">
        <v>39</v>
      </c>
      <c r="G555">
        <v>131</v>
      </c>
      <c r="H555" t="s">
        <v>93</v>
      </c>
      <c r="I555" t="s">
        <v>89</v>
      </c>
      <c r="J555" t="s">
        <v>13</v>
      </c>
      <c r="K555" t="s">
        <v>14</v>
      </c>
      <c r="L555" s="36">
        <f ca="1">IF(C555&lt;&gt;"Yes",0,IF(A555=2025,N('2025'!D131),IF(A555=2026,N('2026'!D131),IF(A555=2027,N('2027'!D131),IF(A555=2028,N('2028'!D131),IF(A555=2029,N('2029'!D131),IF(A555=2030,N('2030'!D131),IF(A555=2031,N('2031'!D131),IF(A555=2032,N('2032'!D131),IF(A555=2033,N('2033'!D131),IF(A555=2034,N('2034'!D131),IFERROR(N(INDIRECT("'"&amp;A555&amp;"'!D"&amp;G555)),0))))))))))))</f>
        <v>0</v>
      </c>
      <c r="M555" s="36">
        <f>IFERROR(IF(NOT(ISBLANK(KPI_TARGETS!$I$7)),KPI_TARGETS!$I$7,IF(NOT(ISBLANK(KPI_TARGETS!$F$7)),KPI_TARGETS!$F$7,"")),"")</f>
        <v>8000</v>
      </c>
      <c r="N555" s="36" t="str">
        <f>IFERROR(KPI_TARGETS!$E$7,"Higher is better")</f>
        <v>Higher is better</v>
      </c>
      <c r="O555" s="37">
        <f t="shared" ca="1" si="48"/>
        <v>0</v>
      </c>
      <c r="P555" t="str">
        <f t="shared" ca="1" si="49"/>
        <v>Red</v>
      </c>
      <c r="Q555" s="36">
        <f t="shared" ca="1" si="50"/>
        <v>-8000</v>
      </c>
      <c r="R555" s="36" t="str">
        <f>""</f>
        <v/>
      </c>
      <c r="S555" s="36" t="str">
        <f>""</f>
        <v/>
      </c>
      <c r="T555" s="36" t="str">
        <f>""</f>
        <v/>
      </c>
      <c r="U555" s="36" t="str">
        <f>""</f>
        <v/>
      </c>
      <c r="V555" s="36" t="str">
        <f>""</f>
        <v/>
      </c>
      <c r="W555" s="36">
        <f t="shared" si="51"/>
        <v>1</v>
      </c>
      <c r="X555" t="str">
        <f t="shared" si="52"/>
        <v>Inactive</v>
      </c>
      <c r="Y555" t="str">
        <f>IF(MAIN!$H$3="Selected Year",IF(A555=MAIN!$B$3,"Yes","No"),IF(MAIN!$H$3="Included Years",IF(D555="Yes","Yes","No"),IF(C555="Yes","Yes","No")))</f>
        <v>No</v>
      </c>
      <c r="Z555" t="str">
        <f>IF(MAIN!$F$3="Project to Date",IF(AND(A555&gt;=SETTINGS!$B$4,A555&lt;MAIN!$B$3),"Yes",IF(AND(A555=MAIN!$B$3,E555&lt;=MAIN!$L$3),"Yes","No")),IF(OR(MAIN!$F$3="Full Year",MAIN!$D$3="All"),"Yes",IF(MAIN!$F$3="Monthly",IF(E555=MAIN!$L$3,"Yes","No"),IF(E555&lt;=MAIN!$L$3,"Yes","No"))))</f>
        <v>Yes</v>
      </c>
      <c r="AA555" t="str">
        <f t="shared" si="53"/>
        <v>No</v>
      </c>
    </row>
    <row r="556" spans="1:27" x14ac:dyDescent="0.3">
      <c r="A556">
        <f>INDEX(SETTINGS!$A$15:$A$24,$B556)</f>
        <v>2027</v>
      </c>
      <c r="B556">
        <v>3</v>
      </c>
      <c r="C556" t="str">
        <f>IF(AND(A556&gt;=SETTINGS!$B$4,A556&lt;=SETTINGS!$B$5),"Yes","No")</f>
        <v>No</v>
      </c>
      <c r="D556" t="str">
        <f>IFERROR(INDEX(SETTINGS!$C$15:$C$24,MATCH(A556,SETTINGS!$A$15:$A$24,0)),"No")</f>
        <v>No</v>
      </c>
      <c r="E556">
        <v>6</v>
      </c>
      <c r="F556" t="s">
        <v>39</v>
      </c>
      <c r="G556">
        <v>133</v>
      </c>
      <c r="H556" t="s">
        <v>95</v>
      </c>
      <c r="I556" t="s">
        <v>15</v>
      </c>
      <c r="J556" t="s">
        <v>16</v>
      </c>
      <c r="K556" t="s">
        <v>3</v>
      </c>
      <c r="L556" s="36">
        <f ca="1">IF(C556&lt;&gt;"Yes",0,IF(A556=2025,N('2025'!D133),IF(A556=2026,N('2026'!D133),IF(A556=2027,N('2027'!D133),IF(A556=2028,N('2028'!D133),IF(A556=2029,N('2029'!D133),IF(A556=2030,N('2030'!D133),IF(A556=2031,N('2031'!D133),IF(A556=2032,N('2032'!D133),IF(A556=2033,N('2033'!D133),IF(A556=2034,N('2034'!D133),IFERROR(N(INDIRECT("'"&amp;A556&amp;"'!D"&amp;G556)),0))))))))))))</f>
        <v>0</v>
      </c>
      <c r="M556" s="36">
        <f>IFERROR(IF(NOT(ISBLANK(KPI_TARGETS!$I$8)),KPI_TARGETS!$I$8,IF(NOT(ISBLANK(KPI_TARGETS!$F$8)),KPI_TARGETS!$F$8,"")),"")</f>
        <v>0</v>
      </c>
      <c r="N556" s="36" t="str">
        <f>IFERROR(KPI_TARGETS!$E$8,"Higher is better")</f>
        <v>Lower is better</v>
      </c>
      <c r="O556" s="37">
        <f t="shared" ca="1" si="48"/>
        <v>1</v>
      </c>
      <c r="P556" t="str">
        <f t="shared" ca="1" si="49"/>
        <v>Green</v>
      </c>
      <c r="Q556" s="36">
        <f t="shared" ca="1" si="50"/>
        <v>0</v>
      </c>
      <c r="R556" s="36" t="str">
        <f>""</f>
        <v/>
      </c>
      <c r="S556" s="36" t="str">
        <f>""</f>
        <v/>
      </c>
      <c r="T556" s="36" t="str">
        <f>""</f>
        <v/>
      </c>
      <c r="U556" s="36" t="str">
        <f>""</f>
        <v/>
      </c>
      <c r="V556" s="36" t="str">
        <f>""</f>
        <v/>
      </c>
      <c r="W556" s="36">
        <f t="shared" si="51"/>
        <v>1</v>
      </c>
      <c r="X556" t="str">
        <f t="shared" si="52"/>
        <v>Inactive</v>
      </c>
      <c r="Y556" t="str">
        <f>IF(MAIN!$H$3="Selected Year",IF(A556=MAIN!$B$3,"Yes","No"),IF(MAIN!$H$3="Included Years",IF(D556="Yes","Yes","No"),IF(C556="Yes","Yes","No")))</f>
        <v>No</v>
      </c>
      <c r="Z556" t="str">
        <f>IF(MAIN!$F$3="Project to Date",IF(AND(A556&gt;=SETTINGS!$B$4,A556&lt;MAIN!$B$3),"Yes",IF(AND(A556=MAIN!$B$3,E556&lt;=MAIN!$L$3),"Yes","No")),IF(OR(MAIN!$F$3="Full Year",MAIN!$D$3="All"),"Yes",IF(MAIN!$F$3="Monthly",IF(E556=MAIN!$L$3,"Yes","No"),IF(E556&lt;=MAIN!$L$3,"Yes","No"))))</f>
        <v>Yes</v>
      </c>
      <c r="AA556" t="str">
        <f t="shared" si="53"/>
        <v>No</v>
      </c>
    </row>
    <row r="557" spans="1:27" x14ac:dyDescent="0.3">
      <c r="A557">
        <f>INDEX(SETTINGS!$A$15:$A$24,$B557)</f>
        <v>2027</v>
      </c>
      <c r="B557">
        <v>3</v>
      </c>
      <c r="C557" t="str">
        <f>IF(AND(A557&gt;=SETTINGS!$B$4,A557&lt;=SETTINGS!$B$5),"Yes","No")</f>
        <v>No</v>
      </c>
      <c r="D557" t="str">
        <f>IFERROR(INDEX(SETTINGS!$C$15:$C$24,MATCH(A557,SETTINGS!$A$15:$A$24,0)),"No")</f>
        <v>No</v>
      </c>
      <c r="E557">
        <v>6</v>
      </c>
      <c r="F557" t="s">
        <v>39</v>
      </c>
      <c r="G557">
        <v>134</v>
      </c>
      <c r="H557" t="s">
        <v>97</v>
      </c>
      <c r="I557" t="s">
        <v>15</v>
      </c>
      <c r="J557" t="s">
        <v>17</v>
      </c>
      <c r="K557" t="s">
        <v>3</v>
      </c>
      <c r="L557" s="36">
        <f ca="1">IF(C557&lt;&gt;"Yes",0,IF(A557=2025,N('2025'!D134),IF(A557=2026,N('2026'!D134),IF(A557=2027,N('2027'!D134),IF(A557=2028,N('2028'!D134),IF(A557=2029,N('2029'!D134),IF(A557=2030,N('2030'!D134),IF(A557=2031,N('2031'!D134),IF(A557=2032,N('2032'!D134),IF(A557=2033,N('2033'!D134),IF(A557=2034,N('2034'!D134),IFERROR(N(INDIRECT("'"&amp;A557&amp;"'!D"&amp;G557)),0))))))))))))</f>
        <v>0</v>
      </c>
      <c r="M557" s="36">
        <f>IFERROR(IF(NOT(ISBLANK(KPI_TARGETS!$I$9)),KPI_TARGETS!$I$9,IF(NOT(ISBLANK(KPI_TARGETS!$F$9)),KPI_TARGETS!$F$9,"")),"")</f>
        <v>0</v>
      </c>
      <c r="N557" s="36" t="str">
        <f>IFERROR(KPI_TARGETS!$E$9,"Higher is better")</f>
        <v>Higher is better</v>
      </c>
      <c r="O557" s="37" t="str">
        <f t="shared" ca="1" si="48"/>
        <v/>
      </c>
      <c r="P557" t="str">
        <f t="shared" ca="1" si="49"/>
        <v>Green</v>
      </c>
      <c r="Q557" s="36">
        <f t="shared" ca="1" si="50"/>
        <v>0</v>
      </c>
      <c r="R557" s="36" t="str">
        <f>""</f>
        <v/>
      </c>
      <c r="S557" s="36" t="str">
        <f>""</f>
        <v/>
      </c>
      <c r="T557" s="36" t="str">
        <f>""</f>
        <v/>
      </c>
      <c r="U557" s="36" t="str">
        <f>""</f>
        <v/>
      </c>
      <c r="V557" s="36" t="str">
        <f>""</f>
        <v/>
      </c>
      <c r="W557" s="36">
        <f t="shared" si="51"/>
        <v>1</v>
      </c>
      <c r="X557" t="str">
        <f t="shared" si="52"/>
        <v>Inactive</v>
      </c>
      <c r="Y557" t="str">
        <f>IF(MAIN!$H$3="Selected Year",IF(A557=MAIN!$B$3,"Yes","No"),IF(MAIN!$H$3="Included Years",IF(D557="Yes","Yes","No"),IF(C557="Yes","Yes","No")))</f>
        <v>No</v>
      </c>
      <c r="Z557" t="str">
        <f>IF(MAIN!$F$3="Project to Date",IF(AND(A557&gt;=SETTINGS!$B$4,A557&lt;MAIN!$B$3),"Yes",IF(AND(A557=MAIN!$B$3,E557&lt;=MAIN!$L$3),"Yes","No")),IF(OR(MAIN!$F$3="Full Year",MAIN!$D$3="All"),"Yes",IF(MAIN!$F$3="Monthly",IF(E557=MAIN!$L$3,"Yes","No"),IF(E557&lt;=MAIN!$L$3,"Yes","No"))))</f>
        <v>Yes</v>
      </c>
      <c r="AA557" t="str">
        <f t="shared" si="53"/>
        <v>No</v>
      </c>
    </row>
    <row r="558" spans="1:27" x14ac:dyDescent="0.3">
      <c r="A558">
        <f>INDEX(SETTINGS!$A$15:$A$24,$B558)</f>
        <v>2027</v>
      </c>
      <c r="B558">
        <v>3</v>
      </c>
      <c r="C558" t="str">
        <f>IF(AND(A558&gt;=SETTINGS!$B$4,A558&lt;=SETTINGS!$B$5),"Yes","No")</f>
        <v>No</v>
      </c>
      <c r="D558" t="str">
        <f>IFERROR(INDEX(SETTINGS!$C$15:$C$24,MATCH(A558,SETTINGS!$A$15:$A$24,0)),"No")</f>
        <v>No</v>
      </c>
      <c r="E558">
        <v>6</v>
      </c>
      <c r="F558" t="s">
        <v>39</v>
      </c>
      <c r="G558">
        <v>135</v>
      </c>
      <c r="H558" t="s">
        <v>99</v>
      </c>
      <c r="I558" t="s">
        <v>15</v>
      </c>
      <c r="J558" t="s">
        <v>18</v>
      </c>
      <c r="K558" t="s">
        <v>3</v>
      </c>
      <c r="L558" s="36">
        <f ca="1">IF(C558&lt;&gt;"Yes",0,IF(A558=2025,N('2025'!D135),IF(A558=2026,N('2026'!D135),IF(A558=2027,N('2027'!D135),IF(A558=2028,N('2028'!D135),IF(A558=2029,N('2029'!D135),IF(A558=2030,N('2030'!D135),IF(A558=2031,N('2031'!D135),IF(A558=2032,N('2032'!D135),IF(A558=2033,N('2033'!D135),IF(A558=2034,N('2034'!D135),IFERROR(N(INDIRECT("'"&amp;A558&amp;"'!D"&amp;G558)),0))))))))))))</f>
        <v>0</v>
      </c>
      <c r="M558" s="36">
        <f>IFERROR(IF(NOT(ISBLANK(KPI_TARGETS!$I$10)),KPI_TARGETS!$I$10,IF(NOT(ISBLANK(KPI_TARGETS!$F$10)),KPI_TARGETS!$F$10,"")),"")</f>
        <v>0</v>
      </c>
      <c r="N558" s="36" t="str">
        <f>IFERROR(KPI_TARGETS!$E$10,"Higher is better")</f>
        <v>Lower is better</v>
      </c>
      <c r="O558" s="37">
        <f t="shared" ca="1" si="48"/>
        <v>1</v>
      </c>
      <c r="P558" t="str">
        <f t="shared" ca="1" si="49"/>
        <v>Green</v>
      </c>
      <c r="Q558" s="36">
        <f t="shared" ca="1" si="50"/>
        <v>0</v>
      </c>
      <c r="R558" s="36" t="str">
        <f>""</f>
        <v/>
      </c>
      <c r="S558" s="36" t="str">
        <f>""</f>
        <v/>
      </c>
      <c r="T558" s="36" t="str">
        <f>""</f>
        <v/>
      </c>
      <c r="U558" s="36" t="str">
        <f>""</f>
        <v/>
      </c>
      <c r="V558" s="36" t="str">
        <f>""</f>
        <v/>
      </c>
      <c r="W558" s="36">
        <f t="shared" si="51"/>
        <v>1</v>
      </c>
      <c r="X558" t="str">
        <f t="shared" si="52"/>
        <v>Inactive</v>
      </c>
      <c r="Y558" t="str">
        <f>IF(MAIN!$H$3="Selected Year",IF(A558=MAIN!$B$3,"Yes","No"),IF(MAIN!$H$3="Included Years",IF(D558="Yes","Yes","No"),IF(C558="Yes","Yes","No")))</f>
        <v>No</v>
      </c>
      <c r="Z558" t="str">
        <f>IF(MAIN!$F$3="Project to Date",IF(AND(A558&gt;=SETTINGS!$B$4,A558&lt;MAIN!$B$3),"Yes",IF(AND(A558=MAIN!$B$3,E558&lt;=MAIN!$L$3),"Yes","No")),IF(OR(MAIN!$F$3="Full Year",MAIN!$D$3="All"),"Yes",IF(MAIN!$F$3="Monthly",IF(E558=MAIN!$L$3,"Yes","No"),IF(E558&lt;=MAIN!$L$3,"Yes","No"))))</f>
        <v>Yes</v>
      </c>
      <c r="AA558" t="str">
        <f t="shared" si="53"/>
        <v>No</v>
      </c>
    </row>
    <row r="559" spans="1:27" x14ac:dyDescent="0.3">
      <c r="A559">
        <f>INDEX(SETTINGS!$A$15:$A$24,$B559)</f>
        <v>2027</v>
      </c>
      <c r="B559">
        <v>3</v>
      </c>
      <c r="C559" t="str">
        <f>IF(AND(A559&gt;=SETTINGS!$B$4,A559&lt;=SETTINGS!$B$5),"Yes","No")</f>
        <v>No</v>
      </c>
      <c r="D559" t="str">
        <f>IFERROR(INDEX(SETTINGS!$C$15:$C$24,MATCH(A559,SETTINGS!$A$15:$A$24,0)),"No")</f>
        <v>No</v>
      </c>
      <c r="E559">
        <v>6</v>
      </c>
      <c r="F559" t="s">
        <v>39</v>
      </c>
      <c r="G559">
        <v>136</v>
      </c>
      <c r="H559" t="s">
        <v>100</v>
      </c>
      <c r="I559" t="s">
        <v>15</v>
      </c>
      <c r="J559" t="s">
        <v>19</v>
      </c>
      <c r="K559" t="s">
        <v>3</v>
      </c>
      <c r="L559" s="36">
        <f ca="1">IF(C559&lt;&gt;"Yes",0,IF(A559=2025,N('2025'!D136),IF(A559=2026,N('2026'!D136),IF(A559=2027,N('2027'!D136),IF(A559=2028,N('2028'!D136),IF(A559=2029,N('2029'!D136),IF(A559=2030,N('2030'!D136),IF(A559=2031,N('2031'!D136),IF(A559=2032,N('2032'!D136),IF(A559=2033,N('2033'!D136),IF(A559=2034,N('2034'!D136),IFERROR(N(INDIRECT("'"&amp;A559&amp;"'!D"&amp;G559)),0))))))))))))</f>
        <v>0</v>
      </c>
      <c r="M559" s="36">
        <f>IFERROR(IF(NOT(ISBLANK(KPI_TARGETS!$I$11)),KPI_TARGETS!$I$11,IF(NOT(ISBLANK(KPI_TARGETS!$F$11)),KPI_TARGETS!$F$11,"")),"")</f>
        <v>0</v>
      </c>
      <c r="N559" s="36" t="str">
        <f>IFERROR(KPI_TARGETS!$E$11,"Higher is better")</f>
        <v>Lower is better</v>
      </c>
      <c r="O559" s="37">
        <f t="shared" ca="1" si="48"/>
        <v>1</v>
      </c>
      <c r="P559" t="str">
        <f t="shared" ca="1" si="49"/>
        <v>Green</v>
      </c>
      <c r="Q559" s="36">
        <f t="shared" ca="1" si="50"/>
        <v>0</v>
      </c>
      <c r="R559" s="36" t="str">
        <f>""</f>
        <v/>
      </c>
      <c r="S559" s="36" t="str">
        <f>""</f>
        <v/>
      </c>
      <c r="T559" s="36" t="str">
        <f>""</f>
        <v/>
      </c>
      <c r="U559" s="36" t="str">
        <f>""</f>
        <v/>
      </c>
      <c r="V559" s="36" t="str">
        <f>""</f>
        <v/>
      </c>
      <c r="W559" s="36">
        <f t="shared" si="51"/>
        <v>1</v>
      </c>
      <c r="X559" t="str">
        <f t="shared" si="52"/>
        <v>Inactive</v>
      </c>
      <c r="Y559" t="str">
        <f>IF(MAIN!$H$3="Selected Year",IF(A559=MAIN!$B$3,"Yes","No"),IF(MAIN!$H$3="Included Years",IF(D559="Yes","Yes","No"),IF(C559="Yes","Yes","No")))</f>
        <v>No</v>
      </c>
      <c r="Z559" t="str">
        <f>IF(MAIN!$F$3="Project to Date",IF(AND(A559&gt;=SETTINGS!$B$4,A559&lt;MAIN!$B$3),"Yes",IF(AND(A559=MAIN!$B$3,E559&lt;=MAIN!$L$3),"Yes","No")),IF(OR(MAIN!$F$3="Full Year",MAIN!$D$3="All"),"Yes",IF(MAIN!$F$3="Monthly",IF(E559=MAIN!$L$3,"Yes","No"),IF(E559&lt;=MAIN!$L$3,"Yes","No"))))</f>
        <v>Yes</v>
      </c>
      <c r="AA559" t="str">
        <f t="shared" si="53"/>
        <v>No</v>
      </c>
    </row>
    <row r="560" spans="1:27" x14ac:dyDescent="0.3">
      <c r="A560">
        <f>INDEX(SETTINGS!$A$15:$A$24,$B560)</f>
        <v>2027</v>
      </c>
      <c r="B560">
        <v>3</v>
      </c>
      <c r="C560" t="str">
        <f>IF(AND(A560&gt;=SETTINGS!$B$4,A560&lt;=SETTINGS!$B$5),"Yes","No")</f>
        <v>No</v>
      </c>
      <c r="D560" t="str">
        <f>IFERROR(INDEX(SETTINGS!$C$15:$C$24,MATCH(A560,SETTINGS!$A$15:$A$24,0)),"No")</f>
        <v>No</v>
      </c>
      <c r="E560">
        <v>6</v>
      </c>
      <c r="F560" t="s">
        <v>39</v>
      </c>
      <c r="G560">
        <v>137</v>
      </c>
      <c r="H560" t="s">
        <v>101</v>
      </c>
      <c r="I560" t="s">
        <v>15</v>
      </c>
      <c r="J560" t="s">
        <v>20</v>
      </c>
      <c r="K560" t="s">
        <v>3</v>
      </c>
      <c r="L560" s="36">
        <f ca="1">IF(C560&lt;&gt;"Yes",0,IF(A560=2025,N('2025'!D137),IF(A560=2026,N('2026'!D137),IF(A560=2027,N('2027'!D137),IF(A560=2028,N('2028'!D137),IF(A560=2029,N('2029'!D137),IF(A560=2030,N('2030'!D137),IF(A560=2031,N('2031'!D137),IF(A560=2032,N('2032'!D137),IF(A560=2033,N('2033'!D137),IF(A560=2034,N('2034'!D137),IFERROR(N(INDIRECT("'"&amp;A560&amp;"'!D"&amp;G560)),0))))))))))))</f>
        <v>0</v>
      </c>
      <c r="M560" s="36">
        <f>IFERROR(IF(NOT(ISBLANK(KPI_TARGETS!$I$12)),KPI_TARGETS!$I$12,IF(NOT(ISBLANK(KPI_TARGETS!$F$12)),KPI_TARGETS!$F$12,"")),"")</f>
        <v>0</v>
      </c>
      <c r="N560" s="36" t="str">
        <f>IFERROR(KPI_TARGETS!$E$12,"Higher is better")</f>
        <v>Lower is better</v>
      </c>
      <c r="O560" s="37">
        <f t="shared" ca="1" si="48"/>
        <v>1</v>
      </c>
      <c r="P560" t="str">
        <f t="shared" ca="1" si="49"/>
        <v>Green</v>
      </c>
      <c r="Q560" s="36">
        <f t="shared" ca="1" si="50"/>
        <v>0</v>
      </c>
      <c r="R560" s="36" t="str">
        <f>""</f>
        <v/>
      </c>
      <c r="S560" s="36" t="str">
        <f>""</f>
        <v/>
      </c>
      <c r="T560" s="36" t="str">
        <f>""</f>
        <v/>
      </c>
      <c r="U560" s="36" t="str">
        <f>""</f>
        <v/>
      </c>
      <c r="V560" s="36" t="str">
        <f>""</f>
        <v/>
      </c>
      <c r="W560" s="36">
        <f t="shared" si="51"/>
        <v>1</v>
      </c>
      <c r="X560" t="str">
        <f t="shared" si="52"/>
        <v>Inactive</v>
      </c>
      <c r="Y560" t="str">
        <f>IF(MAIN!$H$3="Selected Year",IF(A560=MAIN!$B$3,"Yes","No"),IF(MAIN!$H$3="Included Years",IF(D560="Yes","Yes","No"),IF(C560="Yes","Yes","No")))</f>
        <v>No</v>
      </c>
      <c r="Z560" t="str">
        <f>IF(MAIN!$F$3="Project to Date",IF(AND(A560&gt;=SETTINGS!$B$4,A560&lt;MAIN!$B$3),"Yes",IF(AND(A560=MAIN!$B$3,E560&lt;=MAIN!$L$3),"Yes","No")),IF(OR(MAIN!$F$3="Full Year",MAIN!$D$3="All"),"Yes",IF(MAIN!$F$3="Monthly",IF(E560=MAIN!$L$3,"Yes","No"),IF(E560&lt;=MAIN!$L$3,"Yes","No"))))</f>
        <v>Yes</v>
      </c>
      <c r="AA560" t="str">
        <f t="shared" si="53"/>
        <v>No</v>
      </c>
    </row>
    <row r="561" spans="1:27" x14ac:dyDescent="0.3">
      <c r="A561">
        <f>INDEX(SETTINGS!$A$15:$A$24,$B561)</f>
        <v>2027</v>
      </c>
      <c r="B561">
        <v>3</v>
      </c>
      <c r="C561" t="str">
        <f>IF(AND(A561&gt;=SETTINGS!$B$4,A561&lt;=SETTINGS!$B$5),"Yes","No")</f>
        <v>No</v>
      </c>
      <c r="D561" t="str">
        <f>IFERROR(INDEX(SETTINGS!$C$15:$C$24,MATCH(A561,SETTINGS!$A$15:$A$24,0)),"No")</f>
        <v>No</v>
      </c>
      <c r="E561">
        <v>6</v>
      </c>
      <c r="F561" t="s">
        <v>39</v>
      </c>
      <c r="G561">
        <v>138</v>
      </c>
      <c r="H561" t="s">
        <v>102</v>
      </c>
      <c r="I561" t="s">
        <v>15</v>
      </c>
      <c r="J561" t="s">
        <v>21</v>
      </c>
      <c r="K561" t="s">
        <v>3</v>
      </c>
      <c r="L561" s="36">
        <f ca="1">IF(C561&lt;&gt;"Yes",0,IF(A561=2025,N('2025'!D138),IF(A561=2026,N('2026'!D138),IF(A561=2027,N('2027'!D138),IF(A561=2028,N('2028'!D138),IF(A561=2029,N('2029'!D138),IF(A561=2030,N('2030'!D138),IF(A561=2031,N('2031'!D138),IF(A561=2032,N('2032'!D138),IF(A561=2033,N('2033'!D138),IF(A561=2034,N('2034'!D138),IFERROR(N(INDIRECT("'"&amp;A561&amp;"'!D"&amp;G561)),0))))))))))))</f>
        <v>0</v>
      </c>
      <c r="M561" s="36">
        <f>IFERROR(IF(NOT(ISBLANK(KPI_TARGETS!$I$13)),KPI_TARGETS!$I$13,IF(NOT(ISBLANK(KPI_TARGETS!$F$13)),KPI_TARGETS!$F$13,"")),"")</f>
        <v>0</v>
      </c>
      <c r="N561" s="36" t="str">
        <f>IFERROR(KPI_TARGETS!$E$13,"Higher is better")</f>
        <v>Lower is better</v>
      </c>
      <c r="O561" s="37">
        <f t="shared" ca="1" si="48"/>
        <v>1</v>
      </c>
      <c r="P561" t="str">
        <f t="shared" ca="1" si="49"/>
        <v>Green</v>
      </c>
      <c r="Q561" s="36">
        <f t="shared" ca="1" si="50"/>
        <v>0</v>
      </c>
      <c r="R561" s="36" t="str">
        <f>""</f>
        <v/>
      </c>
      <c r="S561" s="36" t="str">
        <f>""</f>
        <v/>
      </c>
      <c r="T561" s="36" t="str">
        <f>""</f>
        <v/>
      </c>
      <c r="U561" s="36" t="str">
        <f>""</f>
        <v/>
      </c>
      <c r="V561" s="36" t="str">
        <f>""</f>
        <v/>
      </c>
      <c r="W561" s="36">
        <f t="shared" si="51"/>
        <v>1</v>
      </c>
      <c r="X561" t="str">
        <f t="shared" si="52"/>
        <v>Inactive</v>
      </c>
      <c r="Y561" t="str">
        <f>IF(MAIN!$H$3="Selected Year",IF(A561=MAIN!$B$3,"Yes","No"),IF(MAIN!$H$3="Included Years",IF(D561="Yes","Yes","No"),IF(C561="Yes","Yes","No")))</f>
        <v>No</v>
      </c>
      <c r="Z561" t="str">
        <f>IF(MAIN!$F$3="Project to Date",IF(AND(A561&gt;=SETTINGS!$B$4,A561&lt;MAIN!$B$3),"Yes",IF(AND(A561=MAIN!$B$3,E561&lt;=MAIN!$L$3),"Yes","No")),IF(OR(MAIN!$F$3="Full Year",MAIN!$D$3="All"),"Yes",IF(MAIN!$F$3="Monthly",IF(E561=MAIN!$L$3,"Yes","No"),IF(E561&lt;=MAIN!$L$3,"Yes","No"))))</f>
        <v>Yes</v>
      </c>
      <c r="AA561" t="str">
        <f t="shared" si="53"/>
        <v>No</v>
      </c>
    </row>
    <row r="562" spans="1:27" x14ac:dyDescent="0.3">
      <c r="A562">
        <f>INDEX(SETTINGS!$A$15:$A$24,$B562)</f>
        <v>2027</v>
      </c>
      <c r="B562">
        <v>3</v>
      </c>
      <c r="C562" t="str">
        <f>IF(AND(A562&gt;=SETTINGS!$B$4,A562&lt;=SETTINGS!$B$5),"Yes","No")</f>
        <v>No</v>
      </c>
      <c r="D562" t="str">
        <f>IFERROR(INDEX(SETTINGS!$C$15:$C$24,MATCH(A562,SETTINGS!$A$15:$A$24,0)),"No")</f>
        <v>No</v>
      </c>
      <c r="E562">
        <v>6</v>
      </c>
      <c r="F562" t="s">
        <v>39</v>
      </c>
      <c r="G562">
        <v>140</v>
      </c>
      <c r="H562" t="s">
        <v>103</v>
      </c>
      <c r="I562" t="s">
        <v>22</v>
      </c>
      <c r="J562" t="s">
        <v>23</v>
      </c>
      <c r="K562" t="s">
        <v>3</v>
      </c>
      <c r="L562" s="36">
        <f ca="1">IF(C562&lt;&gt;"Yes",0,IF(A562=2025,N('2025'!D140),IF(A562=2026,N('2026'!D140),IF(A562=2027,N('2027'!D140),IF(A562=2028,N('2028'!D140),IF(A562=2029,N('2029'!D140),IF(A562=2030,N('2030'!D140),IF(A562=2031,N('2031'!D140),IF(A562=2032,N('2032'!D140),IF(A562=2033,N('2033'!D140),IF(A562=2034,N('2034'!D140),IFERROR(N(INDIRECT("'"&amp;A562&amp;"'!D"&amp;G562)),0))))))))))))</f>
        <v>0</v>
      </c>
      <c r="M562" s="36">
        <f>IFERROR(IF(NOT(ISBLANK(KPI_TARGETS!$I$14)),KPI_TARGETS!$I$14,IF(NOT(ISBLANK(KPI_TARGETS!$F$14)),KPI_TARGETS!$F$14,"")),"")</f>
        <v>35</v>
      </c>
      <c r="N562" s="36" t="str">
        <f>IFERROR(KPI_TARGETS!$E$14,"Higher is better")</f>
        <v>Higher is better</v>
      </c>
      <c r="O562" s="37">
        <f t="shared" ca="1" si="48"/>
        <v>0</v>
      </c>
      <c r="P562" t="str">
        <f t="shared" ca="1" si="49"/>
        <v>Red</v>
      </c>
      <c r="Q562" s="36">
        <f t="shared" ca="1" si="50"/>
        <v>-35</v>
      </c>
      <c r="R562" s="36" t="str">
        <f>""</f>
        <v/>
      </c>
      <c r="S562" s="36" t="str">
        <f>""</f>
        <v/>
      </c>
      <c r="T562" s="36" t="str">
        <f>""</f>
        <v/>
      </c>
      <c r="U562" s="36" t="str">
        <f>""</f>
        <v/>
      </c>
      <c r="V562" s="36" t="str">
        <f>""</f>
        <v/>
      </c>
      <c r="W562" s="36">
        <f t="shared" si="51"/>
        <v>1</v>
      </c>
      <c r="X562" t="str">
        <f t="shared" si="52"/>
        <v>Inactive</v>
      </c>
      <c r="Y562" t="str">
        <f>IF(MAIN!$H$3="Selected Year",IF(A562=MAIN!$B$3,"Yes","No"),IF(MAIN!$H$3="Included Years",IF(D562="Yes","Yes","No"),IF(C562="Yes","Yes","No")))</f>
        <v>No</v>
      </c>
      <c r="Z562" t="str">
        <f>IF(MAIN!$F$3="Project to Date",IF(AND(A562&gt;=SETTINGS!$B$4,A562&lt;MAIN!$B$3),"Yes",IF(AND(A562=MAIN!$B$3,E562&lt;=MAIN!$L$3),"Yes","No")),IF(OR(MAIN!$F$3="Full Year",MAIN!$D$3="All"),"Yes",IF(MAIN!$F$3="Monthly",IF(E562=MAIN!$L$3,"Yes","No"),IF(E562&lt;=MAIN!$L$3,"Yes","No"))))</f>
        <v>Yes</v>
      </c>
      <c r="AA562" t="str">
        <f t="shared" si="53"/>
        <v>No</v>
      </c>
    </row>
    <row r="563" spans="1:27" x14ac:dyDescent="0.3">
      <c r="A563">
        <f>INDEX(SETTINGS!$A$15:$A$24,$B563)</f>
        <v>2027</v>
      </c>
      <c r="B563">
        <v>3</v>
      </c>
      <c r="C563" t="str">
        <f>IF(AND(A563&gt;=SETTINGS!$B$4,A563&lt;=SETTINGS!$B$5),"Yes","No")</f>
        <v>No</v>
      </c>
      <c r="D563" t="str">
        <f>IFERROR(INDEX(SETTINGS!$C$15:$C$24,MATCH(A563,SETTINGS!$A$15:$A$24,0)),"No")</f>
        <v>No</v>
      </c>
      <c r="E563">
        <v>6</v>
      </c>
      <c r="F563" t="s">
        <v>39</v>
      </c>
      <c r="G563">
        <v>141</v>
      </c>
      <c r="H563" t="s">
        <v>104</v>
      </c>
      <c r="I563" t="s">
        <v>22</v>
      </c>
      <c r="J563" t="s">
        <v>24</v>
      </c>
      <c r="K563" t="s">
        <v>3</v>
      </c>
      <c r="L563" s="36">
        <f ca="1">IF(C563&lt;&gt;"Yes",0,IF(A563=2025,N('2025'!D141),IF(A563=2026,N('2026'!D141),IF(A563=2027,N('2027'!D141),IF(A563=2028,N('2028'!D141),IF(A563=2029,N('2029'!D141),IF(A563=2030,N('2030'!D141),IF(A563=2031,N('2031'!D141),IF(A563=2032,N('2032'!D141),IF(A563=2033,N('2033'!D141),IF(A563=2034,N('2034'!D141),IFERROR(N(INDIRECT("'"&amp;A563&amp;"'!D"&amp;G563)),0))))))))))))</f>
        <v>0</v>
      </c>
      <c r="M563" s="36">
        <f>IFERROR(IF(NOT(ISBLANK(KPI_TARGETS!$I$15)),KPI_TARGETS!$I$15,IF(NOT(ISBLANK(KPI_TARGETS!$F$15)),KPI_TARGETS!$F$15,"")),"")</f>
        <v>5</v>
      </c>
      <c r="N563" s="36" t="str">
        <f>IFERROR(KPI_TARGETS!$E$15,"Higher is better")</f>
        <v>Higher is better</v>
      </c>
      <c r="O563" s="37">
        <f t="shared" ca="1" si="48"/>
        <v>0</v>
      </c>
      <c r="P563" t="str">
        <f t="shared" ca="1" si="49"/>
        <v>Red</v>
      </c>
      <c r="Q563" s="36">
        <f t="shared" ca="1" si="50"/>
        <v>-5</v>
      </c>
      <c r="R563" s="36" t="str">
        <f>""</f>
        <v/>
      </c>
      <c r="S563" s="36" t="str">
        <f>""</f>
        <v/>
      </c>
      <c r="T563" s="36" t="str">
        <f>""</f>
        <v/>
      </c>
      <c r="U563" s="36" t="str">
        <f>""</f>
        <v/>
      </c>
      <c r="V563" s="36" t="str">
        <f>""</f>
        <v/>
      </c>
      <c r="W563" s="36">
        <f t="shared" si="51"/>
        <v>1</v>
      </c>
      <c r="X563" t="str">
        <f t="shared" si="52"/>
        <v>Inactive</v>
      </c>
      <c r="Y563" t="str">
        <f>IF(MAIN!$H$3="Selected Year",IF(A563=MAIN!$B$3,"Yes","No"),IF(MAIN!$H$3="Included Years",IF(D563="Yes","Yes","No"),IF(C563="Yes","Yes","No")))</f>
        <v>No</v>
      </c>
      <c r="Z563" t="str">
        <f>IF(MAIN!$F$3="Project to Date",IF(AND(A563&gt;=SETTINGS!$B$4,A563&lt;MAIN!$B$3),"Yes",IF(AND(A563=MAIN!$B$3,E563&lt;=MAIN!$L$3),"Yes","No")),IF(OR(MAIN!$F$3="Full Year",MAIN!$D$3="All"),"Yes",IF(MAIN!$F$3="Monthly",IF(E563=MAIN!$L$3,"Yes","No"),IF(E563&lt;=MAIN!$L$3,"Yes","No"))))</f>
        <v>Yes</v>
      </c>
      <c r="AA563" t="str">
        <f t="shared" si="53"/>
        <v>No</v>
      </c>
    </row>
    <row r="564" spans="1:27" x14ac:dyDescent="0.3">
      <c r="A564">
        <f>INDEX(SETTINGS!$A$15:$A$24,$B564)</f>
        <v>2027</v>
      </c>
      <c r="B564">
        <v>3</v>
      </c>
      <c r="C564" t="str">
        <f>IF(AND(A564&gt;=SETTINGS!$B$4,A564&lt;=SETTINGS!$B$5),"Yes","No")</f>
        <v>No</v>
      </c>
      <c r="D564" t="str">
        <f>IFERROR(INDEX(SETTINGS!$C$15:$C$24,MATCH(A564,SETTINGS!$A$15:$A$24,0)),"No")</f>
        <v>No</v>
      </c>
      <c r="E564">
        <v>6</v>
      </c>
      <c r="F564" t="s">
        <v>39</v>
      </c>
      <c r="G564">
        <v>142</v>
      </c>
      <c r="H564" t="s">
        <v>105</v>
      </c>
      <c r="I564" t="s">
        <v>22</v>
      </c>
      <c r="J564" t="s">
        <v>25</v>
      </c>
      <c r="K564" t="s">
        <v>3</v>
      </c>
      <c r="L564" s="36">
        <f ca="1">IF(C564&lt;&gt;"Yes",0,IF(A564=2025,N('2025'!D142),IF(A564=2026,N('2026'!D142),IF(A564=2027,N('2027'!D142),IF(A564=2028,N('2028'!D142),IF(A564=2029,N('2029'!D142),IF(A564=2030,N('2030'!D142),IF(A564=2031,N('2031'!D142),IF(A564=2032,N('2032'!D142),IF(A564=2033,N('2033'!D142),IF(A564=2034,N('2034'!D142),IFERROR(N(INDIRECT("'"&amp;A564&amp;"'!D"&amp;G564)),0))))))))))))</f>
        <v>0</v>
      </c>
      <c r="M564" s="36">
        <f>IFERROR(IF(NOT(ISBLANK(KPI_TARGETS!$I$16)),KPI_TARGETS!$I$16,IF(NOT(ISBLANK(KPI_TARGETS!$F$16)),KPI_TARGETS!$F$16,"")),"")</f>
        <v>4</v>
      </c>
      <c r="N564" s="36" t="str">
        <f>IFERROR(KPI_TARGETS!$E$16,"Higher is better")</f>
        <v>Higher is better</v>
      </c>
      <c r="O564" s="37">
        <f t="shared" ca="1" si="48"/>
        <v>0</v>
      </c>
      <c r="P564" t="str">
        <f t="shared" ca="1" si="49"/>
        <v>Red</v>
      </c>
      <c r="Q564" s="36">
        <f t="shared" ca="1" si="50"/>
        <v>-4</v>
      </c>
      <c r="R564" s="36" t="str">
        <f>""</f>
        <v/>
      </c>
      <c r="S564" s="36" t="str">
        <f>""</f>
        <v/>
      </c>
      <c r="T564" s="36" t="str">
        <f>""</f>
        <v/>
      </c>
      <c r="U564" s="36" t="str">
        <f>""</f>
        <v/>
      </c>
      <c r="V564" s="36" t="str">
        <f>""</f>
        <v/>
      </c>
      <c r="W564" s="36">
        <f t="shared" si="51"/>
        <v>1</v>
      </c>
      <c r="X564" t="str">
        <f t="shared" si="52"/>
        <v>Inactive</v>
      </c>
      <c r="Y564" t="str">
        <f>IF(MAIN!$H$3="Selected Year",IF(A564=MAIN!$B$3,"Yes","No"),IF(MAIN!$H$3="Included Years",IF(D564="Yes","Yes","No"),IF(C564="Yes","Yes","No")))</f>
        <v>No</v>
      </c>
      <c r="Z564" t="str">
        <f>IF(MAIN!$F$3="Project to Date",IF(AND(A564&gt;=SETTINGS!$B$4,A564&lt;MAIN!$B$3),"Yes",IF(AND(A564=MAIN!$B$3,E564&lt;=MAIN!$L$3),"Yes","No")),IF(OR(MAIN!$F$3="Full Year",MAIN!$D$3="All"),"Yes",IF(MAIN!$F$3="Monthly",IF(E564=MAIN!$L$3,"Yes","No"),IF(E564&lt;=MAIN!$L$3,"Yes","No"))))</f>
        <v>Yes</v>
      </c>
      <c r="AA564" t="str">
        <f t="shared" si="53"/>
        <v>No</v>
      </c>
    </row>
    <row r="565" spans="1:27" x14ac:dyDescent="0.3">
      <c r="A565">
        <f>INDEX(SETTINGS!$A$15:$A$24,$B565)</f>
        <v>2027</v>
      </c>
      <c r="B565">
        <v>3</v>
      </c>
      <c r="C565" t="str">
        <f>IF(AND(A565&gt;=SETTINGS!$B$4,A565&lt;=SETTINGS!$B$5),"Yes","No")</f>
        <v>No</v>
      </c>
      <c r="D565" t="str">
        <f>IFERROR(INDEX(SETTINGS!$C$15:$C$24,MATCH(A565,SETTINGS!$A$15:$A$24,0)),"No")</f>
        <v>No</v>
      </c>
      <c r="E565">
        <v>6</v>
      </c>
      <c r="F565" t="s">
        <v>39</v>
      </c>
      <c r="G565">
        <v>143</v>
      </c>
      <c r="H565" t="s">
        <v>106</v>
      </c>
      <c r="I565" t="s">
        <v>22</v>
      </c>
      <c r="J565" t="s">
        <v>26</v>
      </c>
      <c r="K565" t="s">
        <v>3</v>
      </c>
      <c r="L565" s="36">
        <f ca="1">IF(C565&lt;&gt;"Yes",0,IF(A565=2025,N('2025'!D143),IF(A565=2026,N('2026'!D143),IF(A565=2027,N('2027'!D143),IF(A565=2028,N('2028'!D143),IF(A565=2029,N('2029'!D143),IF(A565=2030,N('2030'!D143),IF(A565=2031,N('2031'!D143),IF(A565=2032,N('2032'!D143),IF(A565=2033,N('2033'!D143),IF(A565=2034,N('2034'!D143),IFERROR(N(INDIRECT("'"&amp;A565&amp;"'!D"&amp;G565)),0))))))))))))</f>
        <v>0</v>
      </c>
      <c r="M565" s="36">
        <f>IFERROR(IF(NOT(ISBLANK(KPI_TARGETS!$I$17)),KPI_TARGETS!$I$17,IF(NOT(ISBLANK(KPI_TARGETS!$F$17)),KPI_TARGETS!$F$17,"")),"")</f>
        <v>12</v>
      </c>
      <c r="N565" s="36" t="str">
        <f>IFERROR(KPI_TARGETS!$E$17,"Higher is better")</f>
        <v>Higher is better</v>
      </c>
      <c r="O565" s="37">
        <f t="shared" ca="1" si="48"/>
        <v>0</v>
      </c>
      <c r="P565" t="str">
        <f t="shared" ca="1" si="49"/>
        <v>Red</v>
      </c>
      <c r="Q565" s="36">
        <f t="shared" ca="1" si="50"/>
        <v>-12</v>
      </c>
      <c r="R565" s="36" t="str">
        <f>""</f>
        <v/>
      </c>
      <c r="S565" s="36" t="str">
        <f>""</f>
        <v/>
      </c>
      <c r="T565" s="36" t="str">
        <f>""</f>
        <v/>
      </c>
      <c r="U565" s="36" t="str">
        <f>""</f>
        <v/>
      </c>
      <c r="V565" s="36" t="str">
        <f>""</f>
        <v/>
      </c>
      <c r="W565" s="36">
        <f t="shared" si="51"/>
        <v>1</v>
      </c>
      <c r="X565" t="str">
        <f t="shared" si="52"/>
        <v>Inactive</v>
      </c>
      <c r="Y565" t="str">
        <f>IF(MAIN!$H$3="Selected Year",IF(A565=MAIN!$B$3,"Yes","No"),IF(MAIN!$H$3="Included Years",IF(D565="Yes","Yes","No"),IF(C565="Yes","Yes","No")))</f>
        <v>No</v>
      </c>
      <c r="Z565" t="str">
        <f>IF(MAIN!$F$3="Project to Date",IF(AND(A565&gt;=SETTINGS!$B$4,A565&lt;MAIN!$B$3),"Yes",IF(AND(A565=MAIN!$B$3,E565&lt;=MAIN!$L$3),"Yes","No")),IF(OR(MAIN!$F$3="Full Year",MAIN!$D$3="All"),"Yes",IF(MAIN!$F$3="Monthly",IF(E565=MAIN!$L$3,"Yes","No"),IF(E565&lt;=MAIN!$L$3,"Yes","No"))))</f>
        <v>Yes</v>
      </c>
      <c r="AA565" t="str">
        <f t="shared" si="53"/>
        <v>No</v>
      </c>
    </row>
    <row r="566" spans="1:27" x14ac:dyDescent="0.3">
      <c r="A566">
        <f>INDEX(SETTINGS!$A$15:$A$24,$B566)</f>
        <v>2027</v>
      </c>
      <c r="B566">
        <v>3</v>
      </c>
      <c r="C566" t="str">
        <f>IF(AND(A566&gt;=SETTINGS!$B$4,A566&lt;=SETTINGS!$B$5),"Yes","No")</f>
        <v>No</v>
      </c>
      <c r="D566" t="str">
        <f>IFERROR(INDEX(SETTINGS!$C$15:$C$24,MATCH(A566,SETTINGS!$A$15:$A$24,0)),"No")</f>
        <v>No</v>
      </c>
      <c r="E566">
        <v>6</v>
      </c>
      <c r="F566" t="s">
        <v>39</v>
      </c>
      <c r="G566">
        <v>144</v>
      </c>
      <c r="H566" t="s">
        <v>107</v>
      </c>
      <c r="I566" t="s">
        <v>22</v>
      </c>
      <c r="J566" t="s">
        <v>27</v>
      </c>
      <c r="K566" t="s">
        <v>3</v>
      </c>
      <c r="L566" s="36">
        <f ca="1">IF(C566&lt;&gt;"Yes",0,IF(A566=2025,N('2025'!D144),IF(A566=2026,N('2026'!D144),IF(A566=2027,N('2027'!D144),IF(A566=2028,N('2028'!D144),IF(A566=2029,N('2029'!D144),IF(A566=2030,N('2030'!D144),IF(A566=2031,N('2031'!D144),IF(A566=2032,N('2032'!D144),IF(A566=2033,N('2033'!D144),IF(A566=2034,N('2034'!D144),IFERROR(N(INDIRECT("'"&amp;A566&amp;"'!D"&amp;G566)),0))))))))))))</f>
        <v>0</v>
      </c>
      <c r="M566" s="36">
        <f>IFERROR(IF(NOT(ISBLANK(KPI_TARGETS!$I$18)),KPI_TARGETS!$I$18,IF(NOT(ISBLANK(KPI_TARGETS!$F$18)),KPI_TARGETS!$F$18,"")),"")</f>
        <v>4</v>
      </c>
      <c r="N566" s="36" t="str">
        <f>IFERROR(KPI_TARGETS!$E$18,"Higher is better")</f>
        <v>Higher is better</v>
      </c>
      <c r="O566" s="37">
        <f t="shared" ca="1" si="48"/>
        <v>0</v>
      </c>
      <c r="P566" t="str">
        <f t="shared" ca="1" si="49"/>
        <v>Red</v>
      </c>
      <c r="Q566" s="36">
        <f t="shared" ca="1" si="50"/>
        <v>-4</v>
      </c>
      <c r="R566" s="36" t="str">
        <f>""</f>
        <v/>
      </c>
      <c r="S566" s="36" t="str">
        <f>""</f>
        <v/>
      </c>
      <c r="T566" s="36" t="str">
        <f>""</f>
        <v/>
      </c>
      <c r="U566" s="36" t="str">
        <f>""</f>
        <v/>
      </c>
      <c r="V566" s="36" t="str">
        <f>""</f>
        <v/>
      </c>
      <c r="W566" s="36">
        <f t="shared" si="51"/>
        <v>1</v>
      </c>
      <c r="X566" t="str">
        <f t="shared" si="52"/>
        <v>Inactive</v>
      </c>
      <c r="Y566" t="str">
        <f>IF(MAIN!$H$3="Selected Year",IF(A566=MAIN!$B$3,"Yes","No"),IF(MAIN!$H$3="Included Years",IF(D566="Yes","Yes","No"),IF(C566="Yes","Yes","No")))</f>
        <v>No</v>
      </c>
      <c r="Z566" t="str">
        <f>IF(MAIN!$F$3="Project to Date",IF(AND(A566&gt;=SETTINGS!$B$4,A566&lt;MAIN!$B$3),"Yes",IF(AND(A566=MAIN!$B$3,E566&lt;=MAIN!$L$3),"Yes","No")),IF(OR(MAIN!$F$3="Full Year",MAIN!$D$3="All"),"Yes",IF(MAIN!$F$3="Monthly",IF(E566=MAIN!$L$3,"Yes","No"),IF(E566&lt;=MAIN!$L$3,"Yes","No"))))</f>
        <v>Yes</v>
      </c>
      <c r="AA566" t="str">
        <f t="shared" si="53"/>
        <v>No</v>
      </c>
    </row>
    <row r="567" spans="1:27" x14ac:dyDescent="0.3">
      <c r="A567">
        <f>INDEX(SETTINGS!$A$15:$A$24,$B567)</f>
        <v>2027</v>
      </c>
      <c r="B567">
        <v>3</v>
      </c>
      <c r="C567" t="str">
        <f>IF(AND(A567&gt;=SETTINGS!$B$4,A567&lt;=SETTINGS!$B$5),"Yes","No")</f>
        <v>No</v>
      </c>
      <c r="D567" t="str">
        <f>IFERROR(INDEX(SETTINGS!$C$15:$C$24,MATCH(A567,SETTINGS!$A$15:$A$24,0)),"No")</f>
        <v>No</v>
      </c>
      <c r="E567">
        <v>6</v>
      </c>
      <c r="F567" t="s">
        <v>39</v>
      </c>
      <c r="G567">
        <v>145</v>
      </c>
      <c r="H567" t="s">
        <v>108</v>
      </c>
      <c r="I567" t="s">
        <v>22</v>
      </c>
      <c r="J567" t="s">
        <v>28</v>
      </c>
      <c r="K567" t="s">
        <v>3</v>
      </c>
      <c r="L567" s="36">
        <f ca="1">IF(C567&lt;&gt;"Yes",0,IF(A567=2025,N('2025'!D145),IF(A567=2026,N('2026'!D145),IF(A567=2027,N('2027'!D145),IF(A567=2028,N('2028'!D145),IF(A567=2029,N('2029'!D145),IF(A567=2030,N('2030'!D145),IF(A567=2031,N('2031'!D145),IF(A567=2032,N('2032'!D145),IF(A567=2033,N('2033'!D145),IF(A567=2034,N('2034'!D145),IFERROR(N(INDIRECT("'"&amp;A567&amp;"'!D"&amp;G567)),0))))))))))))</f>
        <v>0</v>
      </c>
      <c r="M567" s="36">
        <f>IFERROR(IF(NOT(ISBLANK(KPI_TARGETS!$I$19)),KPI_TARGETS!$I$19,IF(NOT(ISBLANK(KPI_TARGETS!$F$19)),KPI_TARGETS!$F$19,"")),"")</f>
        <v>16</v>
      </c>
      <c r="N567" s="36" t="str">
        <f>IFERROR(KPI_TARGETS!$E$19,"Higher is better")</f>
        <v>Higher is better</v>
      </c>
      <c r="O567" s="37">
        <f t="shared" ca="1" si="48"/>
        <v>0</v>
      </c>
      <c r="P567" t="str">
        <f t="shared" ca="1" si="49"/>
        <v>Red</v>
      </c>
      <c r="Q567" s="36">
        <f t="shared" ca="1" si="50"/>
        <v>-16</v>
      </c>
      <c r="R567" s="36" t="str">
        <f>""</f>
        <v/>
      </c>
      <c r="S567" s="36" t="str">
        <f>""</f>
        <v/>
      </c>
      <c r="T567" s="36" t="str">
        <f>""</f>
        <v/>
      </c>
      <c r="U567" s="36" t="str">
        <f>""</f>
        <v/>
      </c>
      <c r="V567" s="36" t="str">
        <f>""</f>
        <v/>
      </c>
      <c r="W567" s="36">
        <f t="shared" si="51"/>
        <v>1</v>
      </c>
      <c r="X567" t="str">
        <f t="shared" si="52"/>
        <v>Inactive</v>
      </c>
      <c r="Y567" t="str">
        <f>IF(MAIN!$H$3="Selected Year",IF(A567=MAIN!$B$3,"Yes","No"),IF(MAIN!$H$3="Included Years",IF(D567="Yes","Yes","No"),IF(C567="Yes","Yes","No")))</f>
        <v>No</v>
      </c>
      <c r="Z567" t="str">
        <f>IF(MAIN!$F$3="Project to Date",IF(AND(A567&gt;=SETTINGS!$B$4,A567&lt;MAIN!$B$3),"Yes",IF(AND(A567=MAIN!$B$3,E567&lt;=MAIN!$L$3),"Yes","No")),IF(OR(MAIN!$F$3="Full Year",MAIN!$D$3="All"),"Yes",IF(MAIN!$F$3="Monthly",IF(E567=MAIN!$L$3,"Yes","No"),IF(E567&lt;=MAIN!$L$3,"Yes","No"))))</f>
        <v>Yes</v>
      </c>
      <c r="AA567" t="str">
        <f t="shared" si="53"/>
        <v>No</v>
      </c>
    </row>
    <row r="568" spans="1:27" x14ac:dyDescent="0.3">
      <c r="A568">
        <f>INDEX(SETTINGS!$A$15:$A$24,$B568)</f>
        <v>2027</v>
      </c>
      <c r="B568">
        <v>3</v>
      </c>
      <c r="C568" t="str">
        <f>IF(AND(A568&gt;=SETTINGS!$B$4,A568&lt;=SETTINGS!$B$5),"Yes","No")</f>
        <v>No</v>
      </c>
      <c r="D568" t="str">
        <f>IFERROR(INDEX(SETTINGS!$C$15:$C$24,MATCH(A568,SETTINGS!$A$15:$A$24,0)),"No")</f>
        <v>No</v>
      </c>
      <c r="E568">
        <v>6</v>
      </c>
      <c r="F568" t="s">
        <v>39</v>
      </c>
      <c r="G568">
        <v>146</v>
      </c>
      <c r="H568" t="s">
        <v>109</v>
      </c>
      <c r="I568" t="s">
        <v>22</v>
      </c>
      <c r="J568" t="s">
        <v>29</v>
      </c>
      <c r="K568" t="s">
        <v>3</v>
      </c>
      <c r="L568" s="36">
        <f ca="1">IF(C568&lt;&gt;"Yes",0,IF(A568=2025,N('2025'!D146),IF(A568=2026,N('2026'!D146),IF(A568=2027,N('2027'!D146),IF(A568=2028,N('2028'!D146),IF(A568=2029,N('2029'!D146),IF(A568=2030,N('2030'!D146),IF(A568=2031,N('2031'!D146),IF(A568=2032,N('2032'!D146),IF(A568=2033,N('2033'!D146),IF(A568=2034,N('2034'!D146),IFERROR(N(INDIRECT("'"&amp;A568&amp;"'!D"&amp;G568)),0))))))))))))</f>
        <v>0</v>
      </c>
      <c r="M568" s="36">
        <f>IFERROR(IF(NOT(ISBLANK(KPI_TARGETS!$I$20)),KPI_TARGETS!$I$20,IF(NOT(ISBLANK(KPI_TARGETS!$F$20)),KPI_TARGETS!$F$20,"")),"")</f>
        <v>1</v>
      </c>
      <c r="N568" s="36" t="str">
        <f>IFERROR(KPI_TARGETS!$E$20,"Higher is better")</f>
        <v>Higher is better</v>
      </c>
      <c r="O568" s="37">
        <f t="shared" ca="1" si="48"/>
        <v>0</v>
      </c>
      <c r="P568" t="str">
        <f t="shared" ca="1" si="49"/>
        <v>Red</v>
      </c>
      <c r="Q568" s="36">
        <f t="shared" ca="1" si="50"/>
        <v>-1</v>
      </c>
      <c r="R568" s="36" t="str">
        <f>""</f>
        <v/>
      </c>
      <c r="S568" s="36" t="str">
        <f>""</f>
        <v/>
      </c>
      <c r="T568" s="36" t="str">
        <f>""</f>
        <v/>
      </c>
      <c r="U568" s="36" t="str">
        <f>""</f>
        <v/>
      </c>
      <c r="V568" s="36" t="str">
        <f>""</f>
        <v/>
      </c>
      <c r="W568" s="36">
        <f t="shared" si="51"/>
        <v>1</v>
      </c>
      <c r="X568" t="str">
        <f t="shared" si="52"/>
        <v>Inactive</v>
      </c>
      <c r="Y568" t="str">
        <f>IF(MAIN!$H$3="Selected Year",IF(A568=MAIN!$B$3,"Yes","No"),IF(MAIN!$H$3="Included Years",IF(D568="Yes","Yes","No"),IF(C568="Yes","Yes","No")))</f>
        <v>No</v>
      </c>
      <c r="Z568" t="str">
        <f>IF(MAIN!$F$3="Project to Date",IF(AND(A568&gt;=SETTINGS!$B$4,A568&lt;MAIN!$B$3),"Yes",IF(AND(A568=MAIN!$B$3,E568&lt;=MAIN!$L$3),"Yes","No")),IF(OR(MAIN!$F$3="Full Year",MAIN!$D$3="All"),"Yes",IF(MAIN!$F$3="Monthly",IF(E568=MAIN!$L$3,"Yes","No"),IF(E568&lt;=MAIN!$L$3,"Yes","No"))))</f>
        <v>Yes</v>
      </c>
      <c r="AA568" t="str">
        <f t="shared" si="53"/>
        <v>No</v>
      </c>
    </row>
    <row r="569" spans="1:27" x14ac:dyDescent="0.3">
      <c r="A569">
        <f>INDEX(SETTINGS!$A$15:$A$24,$B569)</f>
        <v>2027</v>
      </c>
      <c r="B569">
        <v>3</v>
      </c>
      <c r="C569" t="str">
        <f>IF(AND(A569&gt;=SETTINGS!$B$4,A569&lt;=SETTINGS!$B$5),"Yes","No")</f>
        <v>No</v>
      </c>
      <c r="D569" t="str">
        <f>IFERROR(INDEX(SETTINGS!$C$15:$C$24,MATCH(A569,SETTINGS!$A$15:$A$24,0)),"No")</f>
        <v>No</v>
      </c>
      <c r="E569">
        <v>6</v>
      </c>
      <c r="F569" t="s">
        <v>39</v>
      </c>
      <c r="G569">
        <v>148</v>
      </c>
      <c r="H569" t="s">
        <v>110</v>
      </c>
      <c r="I569" t="s">
        <v>30</v>
      </c>
      <c r="J569" t="s">
        <v>31</v>
      </c>
      <c r="K569" t="s">
        <v>3</v>
      </c>
      <c r="L569" s="36">
        <f ca="1">IF(C569&lt;&gt;"Yes",0,IF(A569=2025,N('2025'!D148),IF(A569=2026,N('2026'!D148),IF(A569=2027,N('2027'!D148),IF(A569=2028,N('2028'!D148),IF(A569=2029,N('2029'!D148),IF(A569=2030,N('2030'!D148),IF(A569=2031,N('2031'!D148),IF(A569=2032,N('2032'!D148),IF(A569=2033,N('2033'!D148),IF(A569=2034,N('2034'!D148),IFERROR(N(INDIRECT("'"&amp;A569&amp;"'!D"&amp;G569)),0))))))))))))</f>
        <v>0</v>
      </c>
      <c r="M569" s="36">
        <f>IFERROR(IF(NOT(ISBLANK(KPI_TARGETS!$I$21)),KPI_TARGETS!$I$21,IF(NOT(ISBLANK(KPI_TARGETS!$F$21)),KPI_TARGETS!$F$21,"")),"")</f>
        <v>0</v>
      </c>
      <c r="N569" s="36" t="str">
        <f>IFERROR(KPI_TARGETS!$E$21,"Higher is better")</f>
        <v>Lower is better</v>
      </c>
      <c r="O569" s="37">
        <f t="shared" ca="1" si="48"/>
        <v>1</v>
      </c>
      <c r="P569" t="str">
        <f t="shared" ca="1" si="49"/>
        <v>Green</v>
      </c>
      <c r="Q569" s="36">
        <f t="shared" ca="1" si="50"/>
        <v>0</v>
      </c>
      <c r="R569" s="36" t="str">
        <f>""</f>
        <v/>
      </c>
      <c r="S569" s="36" t="str">
        <f>""</f>
        <v/>
      </c>
      <c r="T569" s="36" t="str">
        <f>""</f>
        <v/>
      </c>
      <c r="U569" s="36" t="str">
        <f>""</f>
        <v/>
      </c>
      <c r="V569" s="36" t="str">
        <f>""</f>
        <v/>
      </c>
      <c r="W569" s="36">
        <f t="shared" si="51"/>
        <v>1</v>
      </c>
      <c r="X569" t="str">
        <f t="shared" si="52"/>
        <v>Inactive</v>
      </c>
      <c r="Y569" t="str">
        <f>IF(MAIN!$H$3="Selected Year",IF(A569=MAIN!$B$3,"Yes","No"),IF(MAIN!$H$3="Included Years",IF(D569="Yes","Yes","No"),IF(C569="Yes","Yes","No")))</f>
        <v>No</v>
      </c>
      <c r="Z569" t="str">
        <f>IF(MAIN!$F$3="Project to Date",IF(AND(A569&gt;=SETTINGS!$B$4,A569&lt;MAIN!$B$3),"Yes",IF(AND(A569=MAIN!$B$3,E569&lt;=MAIN!$L$3),"Yes","No")),IF(OR(MAIN!$F$3="Full Year",MAIN!$D$3="All"),"Yes",IF(MAIN!$F$3="Monthly",IF(E569=MAIN!$L$3,"Yes","No"),IF(E569&lt;=MAIN!$L$3,"Yes","No"))))</f>
        <v>Yes</v>
      </c>
      <c r="AA569" t="str">
        <f t="shared" si="53"/>
        <v>No</v>
      </c>
    </row>
    <row r="570" spans="1:27" x14ac:dyDescent="0.3">
      <c r="A570">
        <f>INDEX(SETTINGS!$A$15:$A$24,$B570)</f>
        <v>2027</v>
      </c>
      <c r="B570">
        <v>3</v>
      </c>
      <c r="C570" t="str">
        <f>IF(AND(A570&gt;=SETTINGS!$B$4,A570&lt;=SETTINGS!$B$5),"Yes","No")</f>
        <v>No</v>
      </c>
      <c r="D570" t="str">
        <f>IFERROR(INDEX(SETTINGS!$C$15:$C$24,MATCH(A570,SETTINGS!$A$15:$A$24,0)),"No")</f>
        <v>No</v>
      </c>
      <c r="E570">
        <v>6</v>
      </c>
      <c r="F570" t="s">
        <v>39</v>
      </c>
      <c r="G570">
        <v>149</v>
      </c>
      <c r="H570" t="s">
        <v>111</v>
      </c>
      <c r="I570" t="s">
        <v>30</v>
      </c>
      <c r="J570" t="s">
        <v>32</v>
      </c>
      <c r="K570" t="s">
        <v>3</v>
      </c>
      <c r="L570" s="36">
        <f ca="1">IF(C570&lt;&gt;"Yes",0,IF(A570=2025,N('2025'!D149),IF(A570=2026,N('2026'!D149),IF(A570=2027,N('2027'!D149),IF(A570=2028,N('2028'!D149),IF(A570=2029,N('2029'!D149),IF(A570=2030,N('2030'!D149),IF(A570=2031,N('2031'!D149),IF(A570=2032,N('2032'!D149),IF(A570=2033,N('2033'!D149),IF(A570=2034,N('2034'!D149),IFERROR(N(INDIRECT("'"&amp;A570&amp;"'!D"&amp;G570)),0))))))))))))</f>
        <v>0</v>
      </c>
      <c r="M570" s="36">
        <f>IFERROR(IF(NOT(ISBLANK(KPI_TARGETS!$I$22)),KPI_TARGETS!$I$22,IF(NOT(ISBLANK(KPI_TARGETS!$F$22)),KPI_TARGETS!$F$22,"")),"")</f>
        <v>1</v>
      </c>
      <c r="N570" s="36" t="str">
        <f>IFERROR(KPI_TARGETS!$E$22,"Higher is better")</f>
        <v>Higher is better</v>
      </c>
      <c r="O570" s="37">
        <f t="shared" ca="1" si="48"/>
        <v>0</v>
      </c>
      <c r="P570" t="str">
        <f t="shared" ca="1" si="49"/>
        <v>Red</v>
      </c>
      <c r="Q570" s="36">
        <f t="shared" ca="1" si="50"/>
        <v>-1</v>
      </c>
      <c r="R570" s="36" t="str">
        <f>""</f>
        <v/>
      </c>
      <c r="S570" s="36" t="str">
        <f>""</f>
        <v/>
      </c>
      <c r="T570" s="36" t="str">
        <f>""</f>
        <v/>
      </c>
      <c r="U570" s="36" t="str">
        <f>""</f>
        <v/>
      </c>
      <c r="V570" s="36" t="str">
        <f>""</f>
        <v/>
      </c>
      <c r="W570" s="36">
        <f t="shared" si="51"/>
        <v>1</v>
      </c>
      <c r="X570" t="str">
        <f t="shared" si="52"/>
        <v>Inactive</v>
      </c>
      <c r="Y570" t="str">
        <f>IF(MAIN!$H$3="Selected Year",IF(A570=MAIN!$B$3,"Yes","No"),IF(MAIN!$H$3="Included Years",IF(D570="Yes","Yes","No"),IF(C570="Yes","Yes","No")))</f>
        <v>No</v>
      </c>
      <c r="Z570" t="str">
        <f>IF(MAIN!$F$3="Project to Date",IF(AND(A570&gt;=SETTINGS!$B$4,A570&lt;MAIN!$B$3),"Yes",IF(AND(A570=MAIN!$B$3,E570&lt;=MAIN!$L$3),"Yes","No")),IF(OR(MAIN!$F$3="Full Year",MAIN!$D$3="All"),"Yes",IF(MAIN!$F$3="Monthly",IF(E570=MAIN!$L$3,"Yes","No"),IF(E570&lt;=MAIN!$L$3,"Yes","No"))))</f>
        <v>Yes</v>
      </c>
      <c r="AA570" t="str">
        <f t="shared" si="53"/>
        <v>No</v>
      </c>
    </row>
    <row r="571" spans="1:27" x14ac:dyDescent="0.3">
      <c r="A571">
        <f>INDEX(SETTINGS!$A$15:$A$24,$B571)</f>
        <v>2027</v>
      </c>
      <c r="B571">
        <v>3</v>
      </c>
      <c r="C571" t="str">
        <f>IF(AND(A571&gt;=SETTINGS!$B$4,A571&lt;=SETTINGS!$B$5),"Yes","No")</f>
        <v>No</v>
      </c>
      <c r="D571" t="str">
        <f>IFERROR(INDEX(SETTINGS!$C$15:$C$24,MATCH(A571,SETTINGS!$A$15:$A$24,0)),"No")</f>
        <v>No</v>
      </c>
      <c r="E571">
        <v>6</v>
      </c>
      <c r="F571" t="s">
        <v>39</v>
      </c>
      <c r="G571">
        <v>150</v>
      </c>
      <c r="H571" t="s">
        <v>112</v>
      </c>
      <c r="I571" t="s">
        <v>30</v>
      </c>
      <c r="J571" t="s">
        <v>33</v>
      </c>
      <c r="K571" t="s">
        <v>34</v>
      </c>
      <c r="L571" s="36">
        <f ca="1">IF(C571&lt;&gt;"Yes",0,IF(A571=2025,N('2025'!D150),IF(A571=2026,N('2026'!D150),IF(A571=2027,N('2027'!D150),IF(A571=2028,N('2028'!D150),IF(A571=2029,N('2029'!D150),IF(A571=2030,N('2030'!D150),IF(A571=2031,N('2031'!D150),IF(A571=2032,N('2032'!D150),IF(A571=2033,N('2033'!D150),IF(A571=2034,N('2034'!D150),IFERROR(N(INDIRECT("'"&amp;A571&amp;"'!D"&amp;G571)),0))))))))))))</f>
        <v>0</v>
      </c>
      <c r="M571" s="36">
        <f>IFERROR(IF(NOT(ISBLANK(KPI_TARGETS!$I$23)),KPI_TARGETS!$I$23,IF(NOT(ISBLANK(KPI_TARGETS!$F$23)),KPI_TARGETS!$F$23,"")),"")</f>
        <v>1</v>
      </c>
      <c r="N571" s="36" t="str">
        <f>IFERROR(KPI_TARGETS!$E$23,"Higher is better")</f>
        <v>Higher is better</v>
      </c>
      <c r="O571" s="37">
        <f t="shared" ca="1" si="48"/>
        <v>0</v>
      </c>
      <c r="P571" t="str">
        <f t="shared" ca="1" si="49"/>
        <v>Red</v>
      </c>
      <c r="Q571" s="36">
        <f t="shared" ca="1" si="50"/>
        <v>-1</v>
      </c>
      <c r="R571" s="36" t="str">
        <f>""</f>
        <v/>
      </c>
      <c r="S571" s="36" t="str">
        <f>""</f>
        <v/>
      </c>
      <c r="T571" s="36" t="str">
        <f>""</f>
        <v/>
      </c>
      <c r="U571" s="36" t="str">
        <f>""</f>
        <v/>
      </c>
      <c r="V571" s="36" t="str">
        <f>""</f>
        <v/>
      </c>
      <c r="W571" s="36">
        <f t="shared" si="51"/>
        <v>1</v>
      </c>
      <c r="X571" t="str">
        <f t="shared" si="52"/>
        <v>Inactive</v>
      </c>
      <c r="Y571" t="str">
        <f>IF(MAIN!$H$3="Selected Year",IF(A571=MAIN!$B$3,"Yes","No"),IF(MAIN!$H$3="Included Years",IF(D571="Yes","Yes","No"),IF(C571="Yes","Yes","No")))</f>
        <v>No</v>
      </c>
      <c r="Z571" t="str">
        <f>IF(MAIN!$F$3="Project to Date",IF(AND(A571&gt;=SETTINGS!$B$4,A571&lt;MAIN!$B$3),"Yes",IF(AND(A571=MAIN!$B$3,E571&lt;=MAIN!$L$3),"Yes","No")),IF(OR(MAIN!$F$3="Full Year",MAIN!$D$3="All"),"Yes",IF(MAIN!$F$3="Monthly",IF(E571=MAIN!$L$3,"Yes","No"),IF(E571&lt;=MAIN!$L$3,"Yes","No"))))</f>
        <v>Yes</v>
      </c>
      <c r="AA571" t="str">
        <f t="shared" si="53"/>
        <v>No</v>
      </c>
    </row>
    <row r="572" spans="1:27" x14ac:dyDescent="0.3">
      <c r="A572">
        <f>INDEX(SETTINGS!$A$15:$A$24,$B572)</f>
        <v>2027</v>
      </c>
      <c r="B572">
        <v>3</v>
      </c>
      <c r="C572" t="str">
        <f>IF(AND(A572&gt;=SETTINGS!$B$4,A572&lt;=SETTINGS!$B$5),"Yes","No")</f>
        <v>No</v>
      </c>
      <c r="D572" t="str">
        <f>IFERROR(INDEX(SETTINGS!$C$15:$C$24,MATCH(A572,SETTINGS!$A$15:$A$24,0)),"No")</f>
        <v>No</v>
      </c>
      <c r="E572">
        <v>7</v>
      </c>
      <c r="F572" t="s">
        <v>40</v>
      </c>
      <c r="G572">
        <v>153</v>
      </c>
      <c r="H572" t="s">
        <v>88</v>
      </c>
      <c r="I572" t="s">
        <v>89</v>
      </c>
      <c r="J572" t="s">
        <v>10</v>
      </c>
      <c r="K572" t="s">
        <v>3</v>
      </c>
      <c r="L572" s="36">
        <f ca="1">IF(C572&lt;&gt;"Yes",0,IF(A572=2025,N('2025'!D153),IF(A572=2026,N('2026'!D153),IF(A572=2027,N('2027'!D153),IF(A572=2028,N('2028'!D153),IF(A572=2029,N('2029'!D153),IF(A572=2030,N('2030'!D153),IF(A572=2031,N('2031'!D153),IF(A572=2032,N('2032'!D153),IF(A572=2033,N('2033'!D153),IF(A572=2034,N('2034'!D153),IFERROR(N(INDIRECT("'"&amp;A572&amp;"'!D"&amp;G572)),0))))))))))))</f>
        <v>0</v>
      </c>
      <c r="M572" s="36">
        <f>IFERROR(IF(NOT(ISBLANK(KPI_TARGETS!$I$5)),KPI_TARGETS!$I$5,IF(NOT(ISBLANK(KPI_TARGETS!$F$5)),KPI_TARGETS!$F$5,"")),"")</f>
        <v>104</v>
      </c>
      <c r="N572" s="36" t="str">
        <f>IFERROR(KPI_TARGETS!$E$5,"Higher is better")</f>
        <v>Higher is better</v>
      </c>
      <c r="O572" s="37">
        <f t="shared" ca="1" si="48"/>
        <v>0</v>
      </c>
      <c r="P572" t="str">
        <f t="shared" ca="1" si="49"/>
        <v>Red</v>
      </c>
      <c r="Q572" s="36">
        <f t="shared" ca="1" si="50"/>
        <v>-104</v>
      </c>
      <c r="R572" s="36" t="str">
        <f>""</f>
        <v/>
      </c>
      <c r="S572" s="36" t="str">
        <f>""</f>
        <v/>
      </c>
      <c r="T572" s="36" t="str">
        <f>""</f>
        <v/>
      </c>
      <c r="U572" s="36" t="str">
        <f>""</f>
        <v/>
      </c>
      <c r="V572" s="36" t="str">
        <f>""</f>
        <v/>
      </c>
      <c r="W572" s="36">
        <f t="shared" si="51"/>
        <v>1</v>
      </c>
      <c r="X572" t="str">
        <f t="shared" si="52"/>
        <v>Inactive</v>
      </c>
      <c r="Y572" t="str">
        <f>IF(MAIN!$H$3="Selected Year",IF(A572=MAIN!$B$3,"Yes","No"),IF(MAIN!$H$3="Included Years",IF(D572="Yes","Yes","No"),IF(C572="Yes","Yes","No")))</f>
        <v>No</v>
      </c>
      <c r="Z572" t="str">
        <f>IF(MAIN!$F$3="Project to Date",IF(AND(A572&gt;=SETTINGS!$B$4,A572&lt;MAIN!$B$3),"Yes",IF(AND(A572=MAIN!$B$3,E572&lt;=MAIN!$L$3),"Yes","No")),IF(OR(MAIN!$F$3="Full Year",MAIN!$D$3="All"),"Yes",IF(MAIN!$F$3="Monthly",IF(E572=MAIN!$L$3,"Yes","No"),IF(E572&lt;=MAIN!$L$3,"Yes","No"))))</f>
        <v>Yes</v>
      </c>
      <c r="AA572" t="str">
        <f t="shared" si="53"/>
        <v>No</v>
      </c>
    </row>
    <row r="573" spans="1:27" x14ac:dyDescent="0.3">
      <c r="A573">
        <f>INDEX(SETTINGS!$A$15:$A$24,$B573)</f>
        <v>2027</v>
      </c>
      <c r="B573">
        <v>3</v>
      </c>
      <c r="C573" t="str">
        <f>IF(AND(A573&gt;=SETTINGS!$B$4,A573&lt;=SETTINGS!$B$5),"Yes","No")</f>
        <v>No</v>
      </c>
      <c r="D573" t="str">
        <f>IFERROR(INDEX(SETTINGS!$C$15:$C$24,MATCH(A573,SETTINGS!$A$15:$A$24,0)),"No")</f>
        <v>No</v>
      </c>
      <c r="E573">
        <v>7</v>
      </c>
      <c r="F573" t="s">
        <v>40</v>
      </c>
      <c r="G573">
        <v>154</v>
      </c>
      <c r="H573" t="s">
        <v>91</v>
      </c>
      <c r="I573" t="s">
        <v>89</v>
      </c>
      <c r="J573" t="s">
        <v>11</v>
      </c>
      <c r="K573" t="s">
        <v>12</v>
      </c>
      <c r="L573" s="36">
        <f ca="1">IF(C573&lt;&gt;"Yes",0,IF(A573=2025,N('2025'!D154),IF(A573=2026,N('2026'!D154),IF(A573=2027,N('2027'!D154),IF(A573=2028,N('2028'!D154),IF(A573=2029,N('2029'!D154),IF(A573=2030,N('2030'!D154),IF(A573=2031,N('2031'!D154),IF(A573=2032,N('2032'!D154),IF(A573=2033,N('2033'!D154),IF(A573=2034,N('2034'!D154),IFERROR(N(INDIRECT("'"&amp;A573&amp;"'!D"&amp;G573)),0))))))))))))</f>
        <v>0</v>
      </c>
      <c r="M573" s="36">
        <f>IFERROR(IF(NOT(ISBLANK(KPI_TARGETS!$I$6)),KPI_TARGETS!$I$6,IF(NOT(ISBLANK(KPI_TARGETS!$F$6)),KPI_TARGETS!$F$6,"")),"")</f>
        <v>4000</v>
      </c>
      <c r="N573" s="36" t="str">
        <f>IFERROR(KPI_TARGETS!$E$6,"Higher is better")</f>
        <v>Higher is better</v>
      </c>
      <c r="O573" s="37">
        <f t="shared" ca="1" si="48"/>
        <v>0</v>
      </c>
      <c r="P573" t="str">
        <f t="shared" ca="1" si="49"/>
        <v>Red</v>
      </c>
      <c r="Q573" s="36">
        <f t="shared" ca="1" si="50"/>
        <v>-4000</v>
      </c>
      <c r="R573" s="36" t="str">
        <f>""</f>
        <v/>
      </c>
      <c r="S573" s="36" t="str">
        <f>""</f>
        <v/>
      </c>
      <c r="T573" s="36" t="str">
        <f>""</f>
        <v/>
      </c>
      <c r="U573" s="36" t="str">
        <f>""</f>
        <v/>
      </c>
      <c r="V573" s="36" t="str">
        <f>""</f>
        <v/>
      </c>
      <c r="W573" s="36">
        <f t="shared" si="51"/>
        <v>1</v>
      </c>
      <c r="X573" t="str">
        <f t="shared" si="52"/>
        <v>Inactive</v>
      </c>
      <c r="Y573" t="str">
        <f>IF(MAIN!$H$3="Selected Year",IF(A573=MAIN!$B$3,"Yes","No"),IF(MAIN!$H$3="Included Years",IF(D573="Yes","Yes","No"),IF(C573="Yes","Yes","No")))</f>
        <v>No</v>
      </c>
      <c r="Z573" t="str">
        <f>IF(MAIN!$F$3="Project to Date",IF(AND(A573&gt;=SETTINGS!$B$4,A573&lt;MAIN!$B$3),"Yes",IF(AND(A573=MAIN!$B$3,E573&lt;=MAIN!$L$3),"Yes","No")),IF(OR(MAIN!$F$3="Full Year",MAIN!$D$3="All"),"Yes",IF(MAIN!$F$3="Monthly",IF(E573=MAIN!$L$3,"Yes","No"),IF(E573&lt;=MAIN!$L$3,"Yes","No"))))</f>
        <v>Yes</v>
      </c>
      <c r="AA573" t="str">
        <f t="shared" si="53"/>
        <v>No</v>
      </c>
    </row>
    <row r="574" spans="1:27" x14ac:dyDescent="0.3">
      <c r="A574">
        <f>INDEX(SETTINGS!$A$15:$A$24,$B574)</f>
        <v>2027</v>
      </c>
      <c r="B574">
        <v>3</v>
      </c>
      <c r="C574" t="str">
        <f>IF(AND(A574&gt;=SETTINGS!$B$4,A574&lt;=SETTINGS!$B$5),"Yes","No")</f>
        <v>No</v>
      </c>
      <c r="D574" t="str">
        <f>IFERROR(INDEX(SETTINGS!$C$15:$C$24,MATCH(A574,SETTINGS!$A$15:$A$24,0)),"No")</f>
        <v>No</v>
      </c>
      <c r="E574">
        <v>7</v>
      </c>
      <c r="F574" t="s">
        <v>40</v>
      </c>
      <c r="G574">
        <v>155</v>
      </c>
      <c r="H574" t="s">
        <v>93</v>
      </c>
      <c r="I574" t="s">
        <v>89</v>
      </c>
      <c r="J574" t="s">
        <v>13</v>
      </c>
      <c r="K574" t="s">
        <v>14</v>
      </c>
      <c r="L574" s="36">
        <f ca="1">IF(C574&lt;&gt;"Yes",0,IF(A574=2025,N('2025'!D155),IF(A574=2026,N('2026'!D155),IF(A574=2027,N('2027'!D155),IF(A574=2028,N('2028'!D155),IF(A574=2029,N('2029'!D155),IF(A574=2030,N('2030'!D155),IF(A574=2031,N('2031'!D155),IF(A574=2032,N('2032'!D155),IF(A574=2033,N('2033'!D155),IF(A574=2034,N('2034'!D155),IFERROR(N(INDIRECT("'"&amp;A574&amp;"'!D"&amp;G574)),0))))))))))))</f>
        <v>0</v>
      </c>
      <c r="M574" s="36">
        <f>IFERROR(IF(NOT(ISBLANK(KPI_TARGETS!$I$7)),KPI_TARGETS!$I$7,IF(NOT(ISBLANK(KPI_TARGETS!$F$7)),KPI_TARGETS!$F$7,"")),"")</f>
        <v>8000</v>
      </c>
      <c r="N574" s="36" t="str">
        <f>IFERROR(KPI_TARGETS!$E$7,"Higher is better")</f>
        <v>Higher is better</v>
      </c>
      <c r="O574" s="37">
        <f t="shared" ca="1" si="48"/>
        <v>0</v>
      </c>
      <c r="P574" t="str">
        <f t="shared" ca="1" si="49"/>
        <v>Red</v>
      </c>
      <c r="Q574" s="36">
        <f t="shared" ca="1" si="50"/>
        <v>-8000</v>
      </c>
      <c r="R574" s="36" t="str">
        <f>""</f>
        <v/>
      </c>
      <c r="S574" s="36" t="str">
        <f>""</f>
        <v/>
      </c>
      <c r="T574" s="36" t="str">
        <f>""</f>
        <v/>
      </c>
      <c r="U574" s="36" t="str">
        <f>""</f>
        <v/>
      </c>
      <c r="V574" s="36" t="str">
        <f>""</f>
        <v/>
      </c>
      <c r="W574" s="36">
        <f t="shared" si="51"/>
        <v>1</v>
      </c>
      <c r="X574" t="str">
        <f t="shared" si="52"/>
        <v>Inactive</v>
      </c>
      <c r="Y574" t="str">
        <f>IF(MAIN!$H$3="Selected Year",IF(A574=MAIN!$B$3,"Yes","No"),IF(MAIN!$H$3="Included Years",IF(D574="Yes","Yes","No"),IF(C574="Yes","Yes","No")))</f>
        <v>No</v>
      </c>
      <c r="Z574" t="str">
        <f>IF(MAIN!$F$3="Project to Date",IF(AND(A574&gt;=SETTINGS!$B$4,A574&lt;MAIN!$B$3),"Yes",IF(AND(A574=MAIN!$B$3,E574&lt;=MAIN!$L$3),"Yes","No")),IF(OR(MAIN!$F$3="Full Year",MAIN!$D$3="All"),"Yes",IF(MAIN!$F$3="Monthly",IF(E574=MAIN!$L$3,"Yes","No"),IF(E574&lt;=MAIN!$L$3,"Yes","No"))))</f>
        <v>Yes</v>
      </c>
      <c r="AA574" t="str">
        <f t="shared" si="53"/>
        <v>No</v>
      </c>
    </row>
    <row r="575" spans="1:27" x14ac:dyDescent="0.3">
      <c r="A575">
        <f>INDEX(SETTINGS!$A$15:$A$24,$B575)</f>
        <v>2027</v>
      </c>
      <c r="B575">
        <v>3</v>
      </c>
      <c r="C575" t="str">
        <f>IF(AND(A575&gt;=SETTINGS!$B$4,A575&lt;=SETTINGS!$B$5),"Yes","No")</f>
        <v>No</v>
      </c>
      <c r="D575" t="str">
        <f>IFERROR(INDEX(SETTINGS!$C$15:$C$24,MATCH(A575,SETTINGS!$A$15:$A$24,0)),"No")</f>
        <v>No</v>
      </c>
      <c r="E575">
        <v>7</v>
      </c>
      <c r="F575" t="s">
        <v>40</v>
      </c>
      <c r="G575">
        <v>157</v>
      </c>
      <c r="H575" t="s">
        <v>95</v>
      </c>
      <c r="I575" t="s">
        <v>15</v>
      </c>
      <c r="J575" t="s">
        <v>16</v>
      </c>
      <c r="K575" t="s">
        <v>3</v>
      </c>
      <c r="L575" s="36">
        <f ca="1">IF(C575&lt;&gt;"Yes",0,IF(A575=2025,N('2025'!D157),IF(A575=2026,N('2026'!D157),IF(A575=2027,N('2027'!D157),IF(A575=2028,N('2028'!D157),IF(A575=2029,N('2029'!D157),IF(A575=2030,N('2030'!D157),IF(A575=2031,N('2031'!D157),IF(A575=2032,N('2032'!D157),IF(A575=2033,N('2033'!D157),IF(A575=2034,N('2034'!D157),IFERROR(N(INDIRECT("'"&amp;A575&amp;"'!D"&amp;G575)),0))))))))))))</f>
        <v>0</v>
      </c>
      <c r="M575" s="36">
        <f>IFERROR(IF(NOT(ISBLANK(KPI_TARGETS!$I$8)),KPI_TARGETS!$I$8,IF(NOT(ISBLANK(KPI_TARGETS!$F$8)),KPI_TARGETS!$F$8,"")),"")</f>
        <v>0</v>
      </c>
      <c r="N575" s="36" t="str">
        <f>IFERROR(KPI_TARGETS!$E$8,"Higher is better")</f>
        <v>Lower is better</v>
      </c>
      <c r="O575" s="37">
        <f t="shared" ca="1" si="48"/>
        <v>1</v>
      </c>
      <c r="P575" t="str">
        <f t="shared" ca="1" si="49"/>
        <v>Green</v>
      </c>
      <c r="Q575" s="36">
        <f t="shared" ca="1" si="50"/>
        <v>0</v>
      </c>
      <c r="R575" s="36" t="str">
        <f>""</f>
        <v/>
      </c>
      <c r="S575" s="36" t="str">
        <f>""</f>
        <v/>
      </c>
      <c r="T575" s="36" t="str">
        <f>""</f>
        <v/>
      </c>
      <c r="U575" s="36" t="str">
        <f>""</f>
        <v/>
      </c>
      <c r="V575" s="36" t="str">
        <f>""</f>
        <v/>
      </c>
      <c r="W575" s="36">
        <f t="shared" si="51"/>
        <v>1</v>
      </c>
      <c r="X575" t="str">
        <f t="shared" si="52"/>
        <v>Inactive</v>
      </c>
      <c r="Y575" t="str">
        <f>IF(MAIN!$H$3="Selected Year",IF(A575=MAIN!$B$3,"Yes","No"),IF(MAIN!$H$3="Included Years",IF(D575="Yes","Yes","No"),IF(C575="Yes","Yes","No")))</f>
        <v>No</v>
      </c>
      <c r="Z575" t="str">
        <f>IF(MAIN!$F$3="Project to Date",IF(AND(A575&gt;=SETTINGS!$B$4,A575&lt;MAIN!$B$3),"Yes",IF(AND(A575=MAIN!$B$3,E575&lt;=MAIN!$L$3),"Yes","No")),IF(OR(MAIN!$F$3="Full Year",MAIN!$D$3="All"),"Yes",IF(MAIN!$F$3="Monthly",IF(E575=MAIN!$L$3,"Yes","No"),IF(E575&lt;=MAIN!$L$3,"Yes","No"))))</f>
        <v>Yes</v>
      </c>
      <c r="AA575" t="str">
        <f t="shared" si="53"/>
        <v>No</v>
      </c>
    </row>
    <row r="576" spans="1:27" x14ac:dyDescent="0.3">
      <c r="A576">
        <f>INDEX(SETTINGS!$A$15:$A$24,$B576)</f>
        <v>2027</v>
      </c>
      <c r="B576">
        <v>3</v>
      </c>
      <c r="C576" t="str">
        <f>IF(AND(A576&gt;=SETTINGS!$B$4,A576&lt;=SETTINGS!$B$5),"Yes","No")</f>
        <v>No</v>
      </c>
      <c r="D576" t="str">
        <f>IFERROR(INDEX(SETTINGS!$C$15:$C$24,MATCH(A576,SETTINGS!$A$15:$A$24,0)),"No")</f>
        <v>No</v>
      </c>
      <c r="E576">
        <v>7</v>
      </c>
      <c r="F576" t="s">
        <v>40</v>
      </c>
      <c r="G576">
        <v>158</v>
      </c>
      <c r="H576" t="s">
        <v>97</v>
      </c>
      <c r="I576" t="s">
        <v>15</v>
      </c>
      <c r="J576" t="s">
        <v>17</v>
      </c>
      <c r="K576" t="s">
        <v>3</v>
      </c>
      <c r="L576" s="36">
        <f ca="1">IF(C576&lt;&gt;"Yes",0,IF(A576=2025,N('2025'!D158),IF(A576=2026,N('2026'!D158),IF(A576=2027,N('2027'!D158),IF(A576=2028,N('2028'!D158),IF(A576=2029,N('2029'!D158),IF(A576=2030,N('2030'!D158),IF(A576=2031,N('2031'!D158),IF(A576=2032,N('2032'!D158),IF(A576=2033,N('2033'!D158),IF(A576=2034,N('2034'!D158),IFERROR(N(INDIRECT("'"&amp;A576&amp;"'!D"&amp;G576)),0))))))))))))</f>
        <v>0</v>
      </c>
      <c r="M576" s="36">
        <f>IFERROR(IF(NOT(ISBLANK(KPI_TARGETS!$I$9)),KPI_TARGETS!$I$9,IF(NOT(ISBLANK(KPI_TARGETS!$F$9)),KPI_TARGETS!$F$9,"")),"")</f>
        <v>0</v>
      </c>
      <c r="N576" s="36" t="str">
        <f>IFERROR(KPI_TARGETS!$E$9,"Higher is better")</f>
        <v>Higher is better</v>
      </c>
      <c r="O576" s="37" t="str">
        <f t="shared" ca="1" si="48"/>
        <v/>
      </c>
      <c r="P576" t="str">
        <f t="shared" ca="1" si="49"/>
        <v>Green</v>
      </c>
      <c r="Q576" s="36">
        <f t="shared" ca="1" si="50"/>
        <v>0</v>
      </c>
      <c r="R576" s="36" t="str">
        <f>""</f>
        <v/>
      </c>
      <c r="S576" s="36" t="str">
        <f>""</f>
        <v/>
      </c>
      <c r="T576" s="36" t="str">
        <f>""</f>
        <v/>
      </c>
      <c r="U576" s="36" t="str">
        <f>""</f>
        <v/>
      </c>
      <c r="V576" s="36" t="str">
        <f>""</f>
        <v/>
      </c>
      <c r="W576" s="36">
        <f t="shared" si="51"/>
        <v>1</v>
      </c>
      <c r="X576" t="str">
        <f t="shared" si="52"/>
        <v>Inactive</v>
      </c>
      <c r="Y576" t="str">
        <f>IF(MAIN!$H$3="Selected Year",IF(A576=MAIN!$B$3,"Yes","No"),IF(MAIN!$H$3="Included Years",IF(D576="Yes","Yes","No"),IF(C576="Yes","Yes","No")))</f>
        <v>No</v>
      </c>
      <c r="Z576" t="str">
        <f>IF(MAIN!$F$3="Project to Date",IF(AND(A576&gt;=SETTINGS!$B$4,A576&lt;MAIN!$B$3),"Yes",IF(AND(A576=MAIN!$B$3,E576&lt;=MAIN!$L$3),"Yes","No")),IF(OR(MAIN!$F$3="Full Year",MAIN!$D$3="All"),"Yes",IF(MAIN!$F$3="Monthly",IF(E576=MAIN!$L$3,"Yes","No"),IF(E576&lt;=MAIN!$L$3,"Yes","No"))))</f>
        <v>Yes</v>
      </c>
      <c r="AA576" t="str">
        <f t="shared" si="53"/>
        <v>No</v>
      </c>
    </row>
    <row r="577" spans="1:27" x14ac:dyDescent="0.3">
      <c r="A577">
        <f>INDEX(SETTINGS!$A$15:$A$24,$B577)</f>
        <v>2027</v>
      </c>
      <c r="B577">
        <v>3</v>
      </c>
      <c r="C577" t="str">
        <f>IF(AND(A577&gt;=SETTINGS!$B$4,A577&lt;=SETTINGS!$B$5),"Yes","No")</f>
        <v>No</v>
      </c>
      <c r="D577" t="str">
        <f>IFERROR(INDEX(SETTINGS!$C$15:$C$24,MATCH(A577,SETTINGS!$A$15:$A$24,0)),"No")</f>
        <v>No</v>
      </c>
      <c r="E577">
        <v>7</v>
      </c>
      <c r="F577" t="s">
        <v>40</v>
      </c>
      <c r="G577">
        <v>159</v>
      </c>
      <c r="H577" t="s">
        <v>99</v>
      </c>
      <c r="I577" t="s">
        <v>15</v>
      </c>
      <c r="J577" t="s">
        <v>18</v>
      </c>
      <c r="K577" t="s">
        <v>3</v>
      </c>
      <c r="L577" s="36">
        <f ca="1">IF(C577&lt;&gt;"Yes",0,IF(A577=2025,N('2025'!D159),IF(A577=2026,N('2026'!D159),IF(A577=2027,N('2027'!D159),IF(A577=2028,N('2028'!D159),IF(A577=2029,N('2029'!D159),IF(A577=2030,N('2030'!D159),IF(A577=2031,N('2031'!D159),IF(A577=2032,N('2032'!D159),IF(A577=2033,N('2033'!D159),IF(A577=2034,N('2034'!D159),IFERROR(N(INDIRECT("'"&amp;A577&amp;"'!D"&amp;G577)),0))))))))))))</f>
        <v>0</v>
      </c>
      <c r="M577" s="36">
        <f>IFERROR(IF(NOT(ISBLANK(KPI_TARGETS!$I$10)),KPI_TARGETS!$I$10,IF(NOT(ISBLANK(KPI_TARGETS!$F$10)),KPI_TARGETS!$F$10,"")),"")</f>
        <v>0</v>
      </c>
      <c r="N577" s="36" t="str">
        <f>IFERROR(KPI_TARGETS!$E$10,"Higher is better")</f>
        <v>Lower is better</v>
      </c>
      <c r="O577" s="37">
        <f t="shared" ca="1" si="48"/>
        <v>1</v>
      </c>
      <c r="P577" t="str">
        <f t="shared" ca="1" si="49"/>
        <v>Green</v>
      </c>
      <c r="Q577" s="36">
        <f t="shared" ca="1" si="50"/>
        <v>0</v>
      </c>
      <c r="R577" s="36" t="str">
        <f>""</f>
        <v/>
      </c>
      <c r="S577" s="36" t="str">
        <f>""</f>
        <v/>
      </c>
      <c r="T577" s="36" t="str">
        <f>""</f>
        <v/>
      </c>
      <c r="U577" s="36" t="str">
        <f>""</f>
        <v/>
      </c>
      <c r="V577" s="36" t="str">
        <f>""</f>
        <v/>
      </c>
      <c r="W577" s="36">
        <f t="shared" si="51"/>
        <v>1</v>
      </c>
      <c r="X577" t="str">
        <f t="shared" si="52"/>
        <v>Inactive</v>
      </c>
      <c r="Y577" t="str">
        <f>IF(MAIN!$H$3="Selected Year",IF(A577=MAIN!$B$3,"Yes","No"),IF(MAIN!$H$3="Included Years",IF(D577="Yes","Yes","No"),IF(C577="Yes","Yes","No")))</f>
        <v>No</v>
      </c>
      <c r="Z577" t="str">
        <f>IF(MAIN!$F$3="Project to Date",IF(AND(A577&gt;=SETTINGS!$B$4,A577&lt;MAIN!$B$3),"Yes",IF(AND(A577=MAIN!$B$3,E577&lt;=MAIN!$L$3),"Yes","No")),IF(OR(MAIN!$F$3="Full Year",MAIN!$D$3="All"),"Yes",IF(MAIN!$F$3="Monthly",IF(E577=MAIN!$L$3,"Yes","No"),IF(E577&lt;=MAIN!$L$3,"Yes","No"))))</f>
        <v>Yes</v>
      </c>
      <c r="AA577" t="str">
        <f t="shared" si="53"/>
        <v>No</v>
      </c>
    </row>
    <row r="578" spans="1:27" x14ac:dyDescent="0.3">
      <c r="A578">
        <f>INDEX(SETTINGS!$A$15:$A$24,$B578)</f>
        <v>2027</v>
      </c>
      <c r="B578">
        <v>3</v>
      </c>
      <c r="C578" t="str">
        <f>IF(AND(A578&gt;=SETTINGS!$B$4,A578&lt;=SETTINGS!$B$5),"Yes","No")</f>
        <v>No</v>
      </c>
      <c r="D578" t="str">
        <f>IFERROR(INDEX(SETTINGS!$C$15:$C$24,MATCH(A578,SETTINGS!$A$15:$A$24,0)),"No")</f>
        <v>No</v>
      </c>
      <c r="E578">
        <v>7</v>
      </c>
      <c r="F578" t="s">
        <v>40</v>
      </c>
      <c r="G578">
        <v>160</v>
      </c>
      <c r="H578" t="s">
        <v>100</v>
      </c>
      <c r="I578" t="s">
        <v>15</v>
      </c>
      <c r="J578" t="s">
        <v>19</v>
      </c>
      <c r="K578" t="s">
        <v>3</v>
      </c>
      <c r="L578" s="36">
        <f ca="1">IF(C578&lt;&gt;"Yes",0,IF(A578=2025,N('2025'!D160),IF(A578=2026,N('2026'!D160),IF(A578=2027,N('2027'!D160),IF(A578=2028,N('2028'!D160),IF(A578=2029,N('2029'!D160),IF(A578=2030,N('2030'!D160),IF(A578=2031,N('2031'!D160),IF(A578=2032,N('2032'!D160),IF(A578=2033,N('2033'!D160),IF(A578=2034,N('2034'!D160),IFERROR(N(INDIRECT("'"&amp;A578&amp;"'!D"&amp;G578)),0))))))))))))</f>
        <v>0</v>
      </c>
      <c r="M578" s="36">
        <f>IFERROR(IF(NOT(ISBLANK(KPI_TARGETS!$I$11)),KPI_TARGETS!$I$11,IF(NOT(ISBLANK(KPI_TARGETS!$F$11)),KPI_TARGETS!$F$11,"")),"")</f>
        <v>0</v>
      </c>
      <c r="N578" s="36" t="str">
        <f>IFERROR(KPI_TARGETS!$E$11,"Higher is better")</f>
        <v>Lower is better</v>
      </c>
      <c r="O578" s="37">
        <f t="shared" ref="O578:O641" ca="1" si="54">IF(M578="","",IF(N578="Higher is better",IFERROR(L578/M578,""),IF(L578=0,1,IFERROR(M578/L578,""))))</f>
        <v>1</v>
      </c>
      <c r="P578" t="str">
        <f t="shared" ref="P578:P641" ca="1" si="55">IF(M578="","Target Needed",IF(N578="Higher is better",IF(L578&gt;=M578,"Green",IF(L578&gt;=0.8*M578,"Amber","Red")),IF(M578=0,IF(L578=0,"Green","Red"),IF(L578&lt;=M578,"Green",IF(L578&lt;=1.25*M578,"Amber","Red")))))</f>
        <v>Green</v>
      </c>
      <c r="Q578" s="36">
        <f t="shared" ref="Q578:Q641" ca="1" si="56">IF(M578="","",IF(N578="Higher is better",L578-M578,M578-L578))</f>
        <v>0</v>
      </c>
      <c r="R578" s="36" t="str">
        <f>""</f>
        <v/>
      </c>
      <c r="S578" s="36" t="str">
        <f>""</f>
        <v/>
      </c>
      <c r="T578" s="36" t="str">
        <f>""</f>
        <v/>
      </c>
      <c r="U578" s="36" t="str">
        <f>""</f>
        <v/>
      </c>
      <c r="V578" s="36" t="str">
        <f>""</f>
        <v/>
      </c>
      <c r="W578" s="36">
        <f t="shared" ref="W578:W641" si="57">IF(LEN(M578&amp;"")&gt;0,1,0)</f>
        <v>1</v>
      </c>
      <c r="X578" t="str">
        <f t="shared" ref="X578:X641" si="58">IF(C578&lt;&gt;"Yes","Inactive",IF(M578="","Missing target","OK"))</f>
        <v>Inactive</v>
      </c>
      <c r="Y578" t="str">
        <f>IF(MAIN!$H$3="Selected Year",IF(A578=MAIN!$B$3,"Yes","No"),IF(MAIN!$H$3="Included Years",IF(D578="Yes","Yes","No"),IF(C578="Yes","Yes","No")))</f>
        <v>No</v>
      </c>
      <c r="Z578" t="str">
        <f>IF(MAIN!$F$3="Project to Date",IF(AND(A578&gt;=SETTINGS!$B$4,A578&lt;MAIN!$B$3),"Yes",IF(AND(A578=MAIN!$B$3,E578&lt;=MAIN!$L$3),"Yes","No")),IF(OR(MAIN!$F$3="Full Year",MAIN!$D$3="All"),"Yes",IF(MAIN!$F$3="Monthly",IF(E578=MAIN!$L$3,"Yes","No"),IF(E578&lt;=MAIN!$L$3,"Yes","No"))))</f>
        <v>Yes</v>
      </c>
      <c r="AA578" t="str">
        <f t="shared" ref="AA578:AA641" si="59">IF(AND(Y578="Yes",Z578="Yes"),"Yes","No")</f>
        <v>No</v>
      </c>
    </row>
    <row r="579" spans="1:27" x14ac:dyDescent="0.3">
      <c r="A579">
        <f>INDEX(SETTINGS!$A$15:$A$24,$B579)</f>
        <v>2027</v>
      </c>
      <c r="B579">
        <v>3</v>
      </c>
      <c r="C579" t="str">
        <f>IF(AND(A579&gt;=SETTINGS!$B$4,A579&lt;=SETTINGS!$B$5),"Yes","No")</f>
        <v>No</v>
      </c>
      <c r="D579" t="str">
        <f>IFERROR(INDEX(SETTINGS!$C$15:$C$24,MATCH(A579,SETTINGS!$A$15:$A$24,0)),"No")</f>
        <v>No</v>
      </c>
      <c r="E579">
        <v>7</v>
      </c>
      <c r="F579" t="s">
        <v>40</v>
      </c>
      <c r="G579">
        <v>161</v>
      </c>
      <c r="H579" t="s">
        <v>101</v>
      </c>
      <c r="I579" t="s">
        <v>15</v>
      </c>
      <c r="J579" t="s">
        <v>20</v>
      </c>
      <c r="K579" t="s">
        <v>3</v>
      </c>
      <c r="L579" s="36">
        <f ca="1">IF(C579&lt;&gt;"Yes",0,IF(A579=2025,N('2025'!D161),IF(A579=2026,N('2026'!D161),IF(A579=2027,N('2027'!D161),IF(A579=2028,N('2028'!D161),IF(A579=2029,N('2029'!D161),IF(A579=2030,N('2030'!D161),IF(A579=2031,N('2031'!D161),IF(A579=2032,N('2032'!D161),IF(A579=2033,N('2033'!D161),IF(A579=2034,N('2034'!D161),IFERROR(N(INDIRECT("'"&amp;A579&amp;"'!D"&amp;G579)),0))))))))))))</f>
        <v>0</v>
      </c>
      <c r="M579" s="36">
        <f>IFERROR(IF(NOT(ISBLANK(KPI_TARGETS!$I$12)),KPI_TARGETS!$I$12,IF(NOT(ISBLANK(KPI_TARGETS!$F$12)),KPI_TARGETS!$F$12,"")),"")</f>
        <v>0</v>
      </c>
      <c r="N579" s="36" t="str">
        <f>IFERROR(KPI_TARGETS!$E$12,"Higher is better")</f>
        <v>Lower is better</v>
      </c>
      <c r="O579" s="37">
        <f t="shared" ca="1" si="54"/>
        <v>1</v>
      </c>
      <c r="P579" t="str">
        <f t="shared" ca="1" si="55"/>
        <v>Green</v>
      </c>
      <c r="Q579" s="36">
        <f t="shared" ca="1" si="56"/>
        <v>0</v>
      </c>
      <c r="R579" s="36" t="str">
        <f>""</f>
        <v/>
      </c>
      <c r="S579" s="36" t="str">
        <f>""</f>
        <v/>
      </c>
      <c r="T579" s="36" t="str">
        <f>""</f>
        <v/>
      </c>
      <c r="U579" s="36" t="str">
        <f>""</f>
        <v/>
      </c>
      <c r="V579" s="36" t="str">
        <f>""</f>
        <v/>
      </c>
      <c r="W579" s="36">
        <f t="shared" si="57"/>
        <v>1</v>
      </c>
      <c r="X579" t="str">
        <f t="shared" si="58"/>
        <v>Inactive</v>
      </c>
      <c r="Y579" t="str">
        <f>IF(MAIN!$H$3="Selected Year",IF(A579=MAIN!$B$3,"Yes","No"),IF(MAIN!$H$3="Included Years",IF(D579="Yes","Yes","No"),IF(C579="Yes","Yes","No")))</f>
        <v>No</v>
      </c>
      <c r="Z579" t="str">
        <f>IF(MAIN!$F$3="Project to Date",IF(AND(A579&gt;=SETTINGS!$B$4,A579&lt;MAIN!$B$3),"Yes",IF(AND(A579=MAIN!$B$3,E579&lt;=MAIN!$L$3),"Yes","No")),IF(OR(MAIN!$F$3="Full Year",MAIN!$D$3="All"),"Yes",IF(MAIN!$F$3="Monthly",IF(E579=MAIN!$L$3,"Yes","No"),IF(E579&lt;=MAIN!$L$3,"Yes","No"))))</f>
        <v>Yes</v>
      </c>
      <c r="AA579" t="str">
        <f t="shared" si="59"/>
        <v>No</v>
      </c>
    </row>
    <row r="580" spans="1:27" x14ac:dyDescent="0.3">
      <c r="A580">
        <f>INDEX(SETTINGS!$A$15:$A$24,$B580)</f>
        <v>2027</v>
      </c>
      <c r="B580">
        <v>3</v>
      </c>
      <c r="C580" t="str">
        <f>IF(AND(A580&gt;=SETTINGS!$B$4,A580&lt;=SETTINGS!$B$5),"Yes","No")</f>
        <v>No</v>
      </c>
      <c r="D580" t="str">
        <f>IFERROR(INDEX(SETTINGS!$C$15:$C$24,MATCH(A580,SETTINGS!$A$15:$A$24,0)),"No")</f>
        <v>No</v>
      </c>
      <c r="E580">
        <v>7</v>
      </c>
      <c r="F580" t="s">
        <v>40</v>
      </c>
      <c r="G580">
        <v>162</v>
      </c>
      <c r="H580" t="s">
        <v>102</v>
      </c>
      <c r="I580" t="s">
        <v>15</v>
      </c>
      <c r="J580" t="s">
        <v>21</v>
      </c>
      <c r="K580" t="s">
        <v>3</v>
      </c>
      <c r="L580" s="36">
        <f ca="1">IF(C580&lt;&gt;"Yes",0,IF(A580=2025,N('2025'!D162),IF(A580=2026,N('2026'!D162),IF(A580=2027,N('2027'!D162),IF(A580=2028,N('2028'!D162),IF(A580=2029,N('2029'!D162),IF(A580=2030,N('2030'!D162),IF(A580=2031,N('2031'!D162),IF(A580=2032,N('2032'!D162),IF(A580=2033,N('2033'!D162),IF(A580=2034,N('2034'!D162),IFERROR(N(INDIRECT("'"&amp;A580&amp;"'!D"&amp;G580)),0))))))))))))</f>
        <v>0</v>
      </c>
      <c r="M580" s="36">
        <f>IFERROR(IF(NOT(ISBLANK(KPI_TARGETS!$I$13)),KPI_TARGETS!$I$13,IF(NOT(ISBLANK(KPI_TARGETS!$F$13)),KPI_TARGETS!$F$13,"")),"")</f>
        <v>0</v>
      </c>
      <c r="N580" s="36" t="str">
        <f>IFERROR(KPI_TARGETS!$E$13,"Higher is better")</f>
        <v>Lower is better</v>
      </c>
      <c r="O580" s="37">
        <f t="shared" ca="1" si="54"/>
        <v>1</v>
      </c>
      <c r="P580" t="str">
        <f t="shared" ca="1" si="55"/>
        <v>Green</v>
      </c>
      <c r="Q580" s="36">
        <f t="shared" ca="1" si="56"/>
        <v>0</v>
      </c>
      <c r="R580" s="36" t="str">
        <f>""</f>
        <v/>
      </c>
      <c r="S580" s="36" t="str">
        <f>""</f>
        <v/>
      </c>
      <c r="T580" s="36" t="str">
        <f>""</f>
        <v/>
      </c>
      <c r="U580" s="36" t="str">
        <f>""</f>
        <v/>
      </c>
      <c r="V580" s="36" t="str">
        <f>""</f>
        <v/>
      </c>
      <c r="W580" s="36">
        <f t="shared" si="57"/>
        <v>1</v>
      </c>
      <c r="X580" t="str">
        <f t="shared" si="58"/>
        <v>Inactive</v>
      </c>
      <c r="Y580" t="str">
        <f>IF(MAIN!$H$3="Selected Year",IF(A580=MAIN!$B$3,"Yes","No"),IF(MAIN!$H$3="Included Years",IF(D580="Yes","Yes","No"),IF(C580="Yes","Yes","No")))</f>
        <v>No</v>
      </c>
      <c r="Z580" t="str">
        <f>IF(MAIN!$F$3="Project to Date",IF(AND(A580&gt;=SETTINGS!$B$4,A580&lt;MAIN!$B$3),"Yes",IF(AND(A580=MAIN!$B$3,E580&lt;=MAIN!$L$3),"Yes","No")),IF(OR(MAIN!$F$3="Full Year",MAIN!$D$3="All"),"Yes",IF(MAIN!$F$3="Monthly",IF(E580=MAIN!$L$3,"Yes","No"),IF(E580&lt;=MAIN!$L$3,"Yes","No"))))</f>
        <v>Yes</v>
      </c>
      <c r="AA580" t="str">
        <f t="shared" si="59"/>
        <v>No</v>
      </c>
    </row>
    <row r="581" spans="1:27" x14ac:dyDescent="0.3">
      <c r="A581">
        <f>INDEX(SETTINGS!$A$15:$A$24,$B581)</f>
        <v>2027</v>
      </c>
      <c r="B581">
        <v>3</v>
      </c>
      <c r="C581" t="str">
        <f>IF(AND(A581&gt;=SETTINGS!$B$4,A581&lt;=SETTINGS!$B$5),"Yes","No")</f>
        <v>No</v>
      </c>
      <c r="D581" t="str">
        <f>IFERROR(INDEX(SETTINGS!$C$15:$C$24,MATCH(A581,SETTINGS!$A$15:$A$24,0)),"No")</f>
        <v>No</v>
      </c>
      <c r="E581">
        <v>7</v>
      </c>
      <c r="F581" t="s">
        <v>40</v>
      </c>
      <c r="G581">
        <v>164</v>
      </c>
      <c r="H581" t="s">
        <v>103</v>
      </c>
      <c r="I581" t="s">
        <v>22</v>
      </c>
      <c r="J581" t="s">
        <v>23</v>
      </c>
      <c r="K581" t="s">
        <v>3</v>
      </c>
      <c r="L581" s="36">
        <f ca="1">IF(C581&lt;&gt;"Yes",0,IF(A581=2025,N('2025'!D164),IF(A581=2026,N('2026'!D164),IF(A581=2027,N('2027'!D164),IF(A581=2028,N('2028'!D164),IF(A581=2029,N('2029'!D164),IF(A581=2030,N('2030'!D164),IF(A581=2031,N('2031'!D164),IF(A581=2032,N('2032'!D164),IF(A581=2033,N('2033'!D164),IF(A581=2034,N('2034'!D164),IFERROR(N(INDIRECT("'"&amp;A581&amp;"'!D"&amp;G581)),0))))))))))))</f>
        <v>0</v>
      </c>
      <c r="M581" s="36">
        <f>IFERROR(IF(NOT(ISBLANK(KPI_TARGETS!$I$14)),KPI_TARGETS!$I$14,IF(NOT(ISBLANK(KPI_TARGETS!$F$14)),KPI_TARGETS!$F$14,"")),"")</f>
        <v>35</v>
      </c>
      <c r="N581" s="36" t="str">
        <f>IFERROR(KPI_TARGETS!$E$14,"Higher is better")</f>
        <v>Higher is better</v>
      </c>
      <c r="O581" s="37">
        <f t="shared" ca="1" si="54"/>
        <v>0</v>
      </c>
      <c r="P581" t="str">
        <f t="shared" ca="1" si="55"/>
        <v>Red</v>
      </c>
      <c r="Q581" s="36">
        <f t="shared" ca="1" si="56"/>
        <v>-35</v>
      </c>
      <c r="R581" s="36" t="str">
        <f>""</f>
        <v/>
      </c>
      <c r="S581" s="36" t="str">
        <f>""</f>
        <v/>
      </c>
      <c r="T581" s="36" t="str">
        <f>""</f>
        <v/>
      </c>
      <c r="U581" s="36" t="str">
        <f>""</f>
        <v/>
      </c>
      <c r="V581" s="36" t="str">
        <f>""</f>
        <v/>
      </c>
      <c r="W581" s="36">
        <f t="shared" si="57"/>
        <v>1</v>
      </c>
      <c r="X581" t="str">
        <f t="shared" si="58"/>
        <v>Inactive</v>
      </c>
      <c r="Y581" t="str">
        <f>IF(MAIN!$H$3="Selected Year",IF(A581=MAIN!$B$3,"Yes","No"),IF(MAIN!$H$3="Included Years",IF(D581="Yes","Yes","No"),IF(C581="Yes","Yes","No")))</f>
        <v>No</v>
      </c>
      <c r="Z581" t="str">
        <f>IF(MAIN!$F$3="Project to Date",IF(AND(A581&gt;=SETTINGS!$B$4,A581&lt;MAIN!$B$3),"Yes",IF(AND(A581=MAIN!$B$3,E581&lt;=MAIN!$L$3),"Yes","No")),IF(OR(MAIN!$F$3="Full Year",MAIN!$D$3="All"),"Yes",IF(MAIN!$F$3="Monthly",IF(E581=MAIN!$L$3,"Yes","No"),IF(E581&lt;=MAIN!$L$3,"Yes","No"))))</f>
        <v>Yes</v>
      </c>
      <c r="AA581" t="str">
        <f t="shared" si="59"/>
        <v>No</v>
      </c>
    </row>
    <row r="582" spans="1:27" x14ac:dyDescent="0.3">
      <c r="A582">
        <f>INDEX(SETTINGS!$A$15:$A$24,$B582)</f>
        <v>2027</v>
      </c>
      <c r="B582">
        <v>3</v>
      </c>
      <c r="C582" t="str">
        <f>IF(AND(A582&gt;=SETTINGS!$B$4,A582&lt;=SETTINGS!$B$5),"Yes","No")</f>
        <v>No</v>
      </c>
      <c r="D582" t="str">
        <f>IFERROR(INDEX(SETTINGS!$C$15:$C$24,MATCH(A582,SETTINGS!$A$15:$A$24,0)),"No")</f>
        <v>No</v>
      </c>
      <c r="E582">
        <v>7</v>
      </c>
      <c r="F582" t="s">
        <v>40</v>
      </c>
      <c r="G582">
        <v>165</v>
      </c>
      <c r="H582" t="s">
        <v>104</v>
      </c>
      <c r="I582" t="s">
        <v>22</v>
      </c>
      <c r="J582" t="s">
        <v>24</v>
      </c>
      <c r="K582" t="s">
        <v>3</v>
      </c>
      <c r="L582" s="36">
        <f ca="1">IF(C582&lt;&gt;"Yes",0,IF(A582=2025,N('2025'!D165),IF(A582=2026,N('2026'!D165),IF(A582=2027,N('2027'!D165),IF(A582=2028,N('2028'!D165),IF(A582=2029,N('2029'!D165),IF(A582=2030,N('2030'!D165),IF(A582=2031,N('2031'!D165),IF(A582=2032,N('2032'!D165),IF(A582=2033,N('2033'!D165),IF(A582=2034,N('2034'!D165),IFERROR(N(INDIRECT("'"&amp;A582&amp;"'!D"&amp;G582)),0))))))))))))</f>
        <v>0</v>
      </c>
      <c r="M582" s="36">
        <f>IFERROR(IF(NOT(ISBLANK(KPI_TARGETS!$I$15)),KPI_TARGETS!$I$15,IF(NOT(ISBLANK(KPI_TARGETS!$F$15)),KPI_TARGETS!$F$15,"")),"")</f>
        <v>5</v>
      </c>
      <c r="N582" s="36" t="str">
        <f>IFERROR(KPI_TARGETS!$E$15,"Higher is better")</f>
        <v>Higher is better</v>
      </c>
      <c r="O582" s="37">
        <f t="shared" ca="1" si="54"/>
        <v>0</v>
      </c>
      <c r="P582" t="str">
        <f t="shared" ca="1" si="55"/>
        <v>Red</v>
      </c>
      <c r="Q582" s="36">
        <f t="shared" ca="1" si="56"/>
        <v>-5</v>
      </c>
      <c r="R582" s="36" t="str">
        <f>""</f>
        <v/>
      </c>
      <c r="S582" s="36" t="str">
        <f>""</f>
        <v/>
      </c>
      <c r="T582" s="36" t="str">
        <f>""</f>
        <v/>
      </c>
      <c r="U582" s="36" t="str">
        <f>""</f>
        <v/>
      </c>
      <c r="V582" s="36" t="str">
        <f>""</f>
        <v/>
      </c>
      <c r="W582" s="36">
        <f t="shared" si="57"/>
        <v>1</v>
      </c>
      <c r="X582" t="str">
        <f t="shared" si="58"/>
        <v>Inactive</v>
      </c>
      <c r="Y582" t="str">
        <f>IF(MAIN!$H$3="Selected Year",IF(A582=MAIN!$B$3,"Yes","No"),IF(MAIN!$H$3="Included Years",IF(D582="Yes","Yes","No"),IF(C582="Yes","Yes","No")))</f>
        <v>No</v>
      </c>
      <c r="Z582" t="str">
        <f>IF(MAIN!$F$3="Project to Date",IF(AND(A582&gt;=SETTINGS!$B$4,A582&lt;MAIN!$B$3),"Yes",IF(AND(A582=MAIN!$B$3,E582&lt;=MAIN!$L$3),"Yes","No")),IF(OR(MAIN!$F$3="Full Year",MAIN!$D$3="All"),"Yes",IF(MAIN!$F$3="Monthly",IF(E582=MAIN!$L$3,"Yes","No"),IF(E582&lt;=MAIN!$L$3,"Yes","No"))))</f>
        <v>Yes</v>
      </c>
      <c r="AA582" t="str">
        <f t="shared" si="59"/>
        <v>No</v>
      </c>
    </row>
    <row r="583" spans="1:27" x14ac:dyDescent="0.3">
      <c r="A583">
        <f>INDEX(SETTINGS!$A$15:$A$24,$B583)</f>
        <v>2027</v>
      </c>
      <c r="B583">
        <v>3</v>
      </c>
      <c r="C583" t="str">
        <f>IF(AND(A583&gt;=SETTINGS!$B$4,A583&lt;=SETTINGS!$B$5),"Yes","No")</f>
        <v>No</v>
      </c>
      <c r="D583" t="str">
        <f>IFERROR(INDEX(SETTINGS!$C$15:$C$24,MATCH(A583,SETTINGS!$A$15:$A$24,0)),"No")</f>
        <v>No</v>
      </c>
      <c r="E583">
        <v>7</v>
      </c>
      <c r="F583" t="s">
        <v>40</v>
      </c>
      <c r="G583">
        <v>166</v>
      </c>
      <c r="H583" t="s">
        <v>105</v>
      </c>
      <c r="I583" t="s">
        <v>22</v>
      </c>
      <c r="J583" t="s">
        <v>25</v>
      </c>
      <c r="K583" t="s">
        <v>3</v>
      </c>
      <c r="L583" s="36">
        <f ca="1">IF(C583&lt;&gt;"Yes",0,IF(A583=2025,N('2025'!D166),IF(A583=2026,N('2026'!D166),IF(A583=2027,N('2027'!D166),IF(A583=2028,N('2028'!D166),IF(A583=2029,N('2029'!D166),IF(A583=2030,N('2030'!D166),IF(A583=2031,N('2031'!D166),IF(A583=2032,N('2032'!D166),IF(A583=2033,N('2033'!D166),IF(A583=2034,N('2034'!D166),IFERROR(N(INDIRECT("'"&amp;A583&amp;"'!D"&amp;G583)),0))))))))))))</f>
        <v>0</v>
      </c>
      <c r="M583" s="36">
        <f>IFERROR(IF(NOT(ISBLANK(KPI_TARGETS!$I$16)),KPI_TARGETS!$I$16,IF(NOT(ISBLANK(KPI_TARGETS!$F$16)),KPI_TARGETS!$F$16,"")),"")</f>
        <v>4</v>
      </c>
      <c r="N583" s="36" t="str">
        <f>IFERROR(KPI_TARGETS!$E$16,"Higher is better")</f>
        <v>Higher is better</v>
      </c>
      <c r="O583" s="37">
        <f t="shared" ca="1" si="54"/>
        <v>0</v>
      </c>
      <c r="P583" t="str">
        <f t="shared" ca="1" si="55"/>
        <v>Red</v>
      </c>
      <c r="Q583" s="36">
        <f t="shared" ca="1" si="56"/>
        <v>-4</v>
      </c>
      <c r="R583" s="36" t="str">
        <f>""</f>
        <v/>
      </c>
      <c r="S583" s="36" t="str">
        <f>""</f>
        <v/>
      </c>
      <c r="T583" s="36" t="str">
        <f>""</f>
        <v/>
      </c>
      <c r="U583" s="36" t="str">
        <f>""</f>
        <v/>
      </c>
      <c r="V583" s="36" t="str">
        <f>""</f>
        <v/>
      </c>
      <c r="W583" s="36">
        <f t="shared" si="57"/>
        <v>1</v>
      </c>
      <c r="X583" t="str">
        <f t="shared" si="58"/>
        <v>Inactive</v>
      </c>
      <c r="Y583" t="str">
        <f>IF(MAIN!$H$3="Selected Year",IF(A583=MAIN!$B$3,"Yes","No"),IF(MAIN!$H$3="Included Years",IF(D583="Yes","Yes","No"),IF(C583="Yes","Yes","No")))</f>
        <v>No</v>
      </c>
      <c r="Z583" t="str">
        <f>IF(MAIN!$F$3="Project to Date",IF(AND(A583&gt;=SETTINGS!$B$4,A583&lt;MAIN!$B$3),"Yes",IF(AND(A583=MAIN!$B$3,E583&lt;=MAIN!$L$3),"Yes","No")),IF(OR(MAIN!$F$3="Full Year",MAIN!$D$3="All"),"Yes",IF(MAIN!$F$3="Monthly",IF(E583=MAIN!$L$3,"Yes","No"),IF(E583&lt;=MAIN!$L$3,"Yes","No"))))</f>
        <v>Yes</v>
      </c>
      <c r="AA583" t="str">
        <f t="shared" si="59"/>
        <v>No</v>
      </c>
    </row>
    <row r="584" spans="1:27" x14ac:dyDescent="0.3">
      <c r="A584">
        <f>INDEX(SETTINGS!$A$15:$A$24,$B584)</f>
        <v>2027</v>
      </c>
      <c r="B584">
        <v>3</v>
      </c>
      <c r="C584" t="str">
        <f>IF(AND(A584&gt;=SETTINGS!$B$4,A584&lt;=SETTINGS!$B$5),"Yes","No")</f>
        <v>No</v>
      </c>
      <c r="D584" t="str">
        <f>IFERROR(INDEX(SETTINGS!$C$15:$C$24,MATCH(A584,SETTINGS!$A$15:$A$24,0)),"No")</f>
        <v>No</v>
      </c>
      <c r="E584">
        <v>7</v>
      </c>
      <c r="F584" t="s">
        <v>40</v>
      </c>
      <c r="G584">
        <v>167</v>
      </c>
      <c r="H584" t="s">
        <v>106</v>
      </c>
      <c r="I584" t="s">
        <v>22</v>
      </c>
      <c r="J584" t="s">
        <v>26</v>
      </c>
      <c r="K584" t="s">
        <v>3</v>
      </c>
      <c r="L584" s="36">
        <f ca="1">IF(C584&lt;&gt;"Yes",0,IF(A584=2025,N('2025'!D167),IF(A584=2026,N('2026'!D167),IF(A584=2027,N('2027'!D167),IF(A584=2028,N('2028'!D167),IF(A584=2029,N('2029'!D167),IF(A584=2030,N('2030'!D167),IF(A584=2031,N('2031'!D167),IF(A584=2032,N('2032'!D167),IF(A584=2033,N('2033'!D167),IF(A584=2034,N('2034'!D167),IFERROR(N(INDIRECT("'"&amp;A584&amp;"'!D"&amp;G584)),0))))))))))))</f>
        <v>0</v>
      </c>
      <c r="M584" s="36">
        <f>IFERROR(IF(NOT(ISBLANK(KPI_TARGETS!$I$17)),KPI_TARGETS!$I$17,IF(NOT(ISBLANK(KPI_TARGETS!$F$17)),KPI_TARGETS!$F$17,"")),"")</f>
        <v>12</v>
      </c>
      <c r="N584" s="36" t="str">
        <f>IFERROR(KPI_TARGETS!$E$17,"Higher is better")</f>
        <v>Higher is better</v>
      </c>
      <c r="O584" s="37">
        <f t="shared" ca="1" si="54"/>
        <v>0</v>
      </c>
      <c r="P584" t="str">
        <f t="shared" ca="1" si="55"/>
        <v>Red</v>
      </c>
      <c r="Q584" s="36">
        <f t="shared" ca="1" si="56"/>
        <v>-12</v>
      </c>
      <c r="R584" s="36" t="str">
        <f>""</f>
        <v/>
      </c>
      <c r="S584" s="36" t="str">
        <f>""</f>
        <v/>
      </c>
      <c r="T584" s="36" t="str">
        <f>""</f>
        <v/>
      </c>
      <c r="U584" s="36" t="str">
        <f>""</f>
        <v/>
      </c>
      <c r="V584" s="36" t="str">
        <f>""</f>
        <v/>
      </c>
      <c r="W584" s="36">
        <f t="shared" si="57"/>
        <v>1</v>
      </c>
      <c r="X584" t="str">
        <f t="shared" si="58"/>
        <v>Inactive</v>
      </c>
      <c r="Y584" t="str">
        <f>IF(MAIN!$H$3="Selected Year",IF(A584=MAIN!$B$3,"Yes","No"),IF(MAIN!$H$3="Included Years",IF(D584="Yes","Yes","No"),IF(C584="Yes","Yes","No")))</f>
        <v>No</v>
      </c>
      <c r="Z584" t="str">
        <f>IF(MAIN!$F$3="Project to Date",IF(AND(A584&gt;=SETTINGS!$B$4,A584&lt;MAIN!$B$3),"Yes",IF(AND(A584=MAIN!$B$3,E584&lt;=MAIN!$L$3),"Yes","No")),IF(OR(MAIN!$F$3="Full Year",MAIN!$D$3="All"),"Yes",IF(MAIN!$F$3="Monthly",IF(E584=MAIN!$L$3,"Yes","No"),IF(E584&lt;=MAIN!$L$3,"Yes","No"))))</f>
        <v>Yes</v>
      </c>
      <c r="AA584" t="str">
        <f t="shared" si="59"/>
        <v>No</v>
      </c>
    </row>
    <row r="585" spans="1:27" x14ac:dyDescent="0.3">
      <c r="A585">
        <f>INDEX(SETTINGS!$A$15:$A$24,$B585)</f>
        <v>2027</v>
      </c>
      <c r="B585">
        <v>3</v>
      </c>
      <c r="C585" t="str">
        <f>IF(AND(A585&gt;=SETTINGS!$B$4,A585&lt;=SETTINGS!$B$5),"Yes","No")</f>
        <v>No</v>
      </c>
      <c r="D585" t="str">
        <f>IFERROR(INDEX(SETTINGS!$C$15:$C$24,MATCH(A585,SETTINGS!$A$15:$A$24,0)),"No")</f>
        <v>No</v>
      </c>
      <c r="E585">
        <v>7</v>
      </c>
      <c r="F585" t="s">
        <v>40</v>
      </c>
      <c r="G585">
        <v>168</v>
      </c>
      <c r="H585" t="s">
        <v>107</v>
      </c>
      <c r="I585" t="s">
        <v>22</v>
      </c>
      <c r="J585" t="s">
        <v>27</v>
      </c>
      <c r="K585" t="s">
        <v>3</v>
      </c>
      <c r="L585" s="36">
        <f ca="1">IF(C585&lt;&gt;"Yes",0,IF(A585=2025,N('2025'!D168),IF(A585=2026,N('2026'!D168),IF(A585=2027,N('2027'!D168),IF(A585=2028,N('2028'!D168),IF(A585=2029,N('2029'!D168),IF(A585=2030,N('2030'!D168),IF(A585=2031,N('2031'!D168),IF(A585=2032,N('2032'!D168),IF(A585=2033,N('2033'!D168),IF(A585=2034,N('2034'!D168),IFERROR(N(INDIRECT("'"&amp;A585&amp;"'!D"&amp;G585)),0))))))))))))</f>
        <v>0</v>
      </c>
      <c r="M585" s="36">
        <f>IFERROR(IF(NOT(ISBLANK(KPI_TARGETS!$I$18)),KPI_TARGETS!$I$18,IF(NOT(ISBLANK(KPI_TARGETS!$F$18)),KPI_TARGETS!$F$18,"")),"")</f>
        <v>4</v>
      </c>
      <c r="N585" s="36" t="str">
        <f>IFERROR(KPI_TARGETS!$E$18,"Higher is better")</f>
        <v>Higher is better</v>
      </c>
      <c r="O585" s="37">
        <f t="shared" ca="1" si="54"/>
        <v>0</v>
      </c>
      <c r="P585" t="str">
        <f t="shared" ca="1" si="55"/>
        <v>Red</v>
      </c>
      <c r="Q585" s="36">
        <f t="shared" ca="1" si="56"/>
        <v>-4</v>
      </c>
      <c r="R585" s="36" t="str">
        <f>""</f>
        <v/>
      </c>
      <c r="S585" s="36" t="str">
        <f>""</f>
        <v/>
      </c>
      <c r="T585" s="36" t="str">
        <f>""</f>
        <v/>
      </c>
      <c r="U585" s="36" t="str">
        <f>""</f>
        <v/>
      </c>
      <c r="V585" s="36" t="str">
        <f>""</f>
        <v/>
      </c>
      <c r="W585" s="36">
        <f t="shared" si="57"/>
        <v>1</v>
      </c>
      <c r="X585" t="str">
        <f t="shared" si="58"/>
        <v>Inactive</v>
      </c>
      <c r="Y585" t="str">
        <f>IF(MAIN!$H$3="Selected Year",IF(A585=MAIN!$B$3,"Yes","No"),IF(MAIN!$H$3="Included Years",IF(D585="Yes","Yes","No"),IF(C585="Yes","Yes","No")))</f>
        <v>No</v>
      </c>
      <c r="Z585" t="str">
        <f>IF(MAIN!$F$3="Project to Date",IF(AND(A585&gt;=SETTINGS!$B$4,A585&lt;MAIN!$B$3),"Yes",IF(AND(A585=MAIN!$B$3,E585&lt;=MAIN!$L$3),"Yes","No")),IF(OR(MAIN!$F$3="Full Year",MAIN!$D$3="All"),"Yes",IF(MAIN!$F$3="Monthly",IF(E585=MAIN!$L$3,"Yes","No"),IF(E585&lt;=MAIN!$L$3,"Yes","No"))))</f>
        <v>Yes</v>
      </c>
      <c r="AA585" t="str">
        <f t="shared" si="59"/>
        <v>No</v>
      </c>
    </row>
    <row r="586" spans="1:27" x14ac:dyDescent="0.3">
      <c r="A586">
        <f>INDEX(SETTINGS!$A$15:$A$24,$B586)</f>
        <v>2027</v>
      </c>
      <c r="B586">
        <v>3</v>
      </c>
      <c r="C586" t="str">
        <f>IF(AND(A586&gt;=SETTINGS!$B$4,A586&lt;=SETTINGS!$B$5),"Yes","No")</f>
        <v>No</v>
      </c>
      <c r="D586" t="str">
        <f>IFERROR(INDEX(SETTINGS!$C$15:$C$24,MATCH(A586,SETTINGS!$A$15:$A$24,0)),"No")</f>
        <v>No</v>
      </c>
      <c r="E586">
        <v>7</v>
      </c>
      <c r="F586" t="s">
        <v>40</v>
      </c>
      <c r="G586">
        <v>169</v>
      </c>
      <c r="H586" t="s">
        <v>108</v>
      </c>
      <c r="I586" t="s">
        <v>22</v>
      </c>
      <c r="J586" t="s">
        <v>28</v>
      </c>
      <c r="K586" t="s">
        <v>3</v>
      </c>
      <c r="L586" s="36">
        <f ca="1">IF(C586&lt;&gt;"Yes",0,IF(A586=2025,N('2025'!D169),IF(A586=2026,N('2026'!D169),IF(A586=2027,N('2027'!D169),IF(A586=2028,N('2028'!D169),IF(A586=2029,N('2029'!D169),IF(A586=2030,N('2030'!D169),IF(A586=2031,N('2031'!D169),IF(A586=2032,N('2032'!D169),IF(A586=2033,N('2033'!D169),IF(A586=2034,N('2034'!D169),IFERROR(N(INDIRECT("'"&amp;A586&amp;"'!D"&amp;G586)),0))))))))))))</f>
        <v>0</v>
      </c>
      <c r="M586" s="36">
        <f>IFERROR(IF(NOT(ISBLANK(KPI_TARGETS!$I$19)),KPI_TARGETS!$I$19,IF(NOT(ISBLANK(KPI_TARGETS!$F$19)),KPI_TARGETS!$F$19,"")),"")</f>
        <v>16</v>
      </c>
      <c r="N586" s="36" t="str">
        <f>IFERROR(KPI_TARGETS!$E$19,"Higher is better")</f>
        <v>Higher is better</v>
      </c>
      <c r="O586" s="37">
        <f t="shared" ca="1" si="54"/>
        <v>0</v>
      </c>
      <c r="P586" t="str">
        <f t="shared" ca="1" si="55"/>
        <v>Red</v>
      </c>
      <c r="Q586" s="36">
        <f t="shared" ca="1" si="56"/>
        <v>-16</v>
      </c>
      <c r="R586" s="36" t="str">
        <f>""</f>
        <v/>
      </c>
      <c r="S586" s="36" t="str">
        <f>""</f>
        <v/>
      </c>
      <c r="T586" s="36" t="str">
        <f>""</f>
        <v/>
      </c>
      <c r="U586" s="36" t="str">
        <f>""</f>
        <v/>
      </c>
      <c r="V586" s="36" t="str">
        <f>""</f>
        <v/>
      </c>
      <c r="W586" s="36">
        <f t="shared" si="57"/>
        <v>1</v>
      </c>
      <c r="X586" t="str">
        <f t="shared" si="58"/>
        <v>Inactive</v>
      </c>
      <c r="Y586" t="str">
        <f>IF(MAIN!$H$3="Selected Year",IF(A586=MAIN!$B$3,"Yes","No"),IF(MAIN!$H$3="Included Years",IF(D586="Yes","Yes","No"),IF(C586="Yes","Yes","No")))</f>
        <v>No</v>
      </c>
      <c r="Z586" t="str">
        <f>IF(MAIN!$F$3="Project to Date",IF(AND(A586&gt;=SETTINGS!$B$4,A586&lt;MAIN!$B$3),"Yes",IF(AND(A586=MAIN!$B$3,E586&lt;=MAIN!$L$3),"Yes","No")),IF(OR(MAIN!$F$3="Full Year",MAIN!$D$3="All"),"Yes",IF(MAIN!$F$3="Monthly",IF(E586=MAIN!$L$3,"Yes","No"),IF(E586&lt;=MAIN!$L$3,"Yes","No"))))</f>
        <v>Yes</v>
      </c>
      <c r="AA586" t="str">
        <f t="shared" si="59"/>
        <v>No</v>
      </c>
    </row>
    <row r="587" spans="1:27" x14ac:dyDescent="0.3">
      <c r="A587">
        <f>INDEX(SETTINGS!$A$15:$A$24,$B587)</f>
        <v>2027</v>
      </c>
      <c r="B587">
        <v>3</v>
      </c>
      <c r="C587" t="str">
        <f>IF(AND(A587&gt;=SETTINGS!$B$4,A587&lt;=SETTINGS!$B$5),"Yes","No")</f>
        <v>No</v>
      </c>
      <c r="D587" t="str">
        <f>IFERROR(INDEX(SETTINGS!$C$15:$C$24,MATCH(A587,SETTINGS!$A$15:$A$24,0)),"No")</f>
        <v>No</v>
      </c>
      <c r="E587">
        <v>7</v>
      </c>
      <c r="F587" t="s">
        <v>40</v>
      </c>
      <c r="G587">
        <v>170</v>
      </c>
      <c r="H587" t="s">
        <v>109</v>
      </c>
      <c r="I587" t="s">
        <v>22</v>
      </c>
      <c r="J587" t="s">
        <v>29</v>
      </c>
      <c r="K587" t="s">
        <v>3</v>
      </c>
      <c r="L587" s="36">
        <f ca="1">IF(C587&lt;&gt;"Yes",0,IF(A587=2025,N('2025'!D170),IF(A587=2026,N('2026'!D170),IF(A587=2027,N('2027'!D170),IF(A587=2028,N('2028'!D170),IF(A587=2029,N('2029'!D170),IF(A587=2030,N('2030'!D170),IF(A587=2031,N('2031'!D170),IF(A587=2032,N('2032'!D170),IF(A587=2033,N('2033'!D170),IF(A587=2034,N('2034'!D170),IFERROR(N(INDIRECT("'"&amp;A587&amp;"'!D"&amp;G587)),0))))))))))))</f>
        <v>0</v>
      </c>
      <c r="M587" s="36">
        <f>IFERROR(IF(NOT(ISBLANK(KPI_TARGETS!$I$20)),KPI_TARGETS!$I$20,IF(NOT(ISBLANK(KPI_TARGETS!$F$20)),KPI_TARGETS!$F$20,"")),"")</f>
        <v>1</v>
      </c>
      <c r="N587" s="36" t="str">
        <f>IFERROR(KPI_TARGETS!$E$20,"Higher is better")</f>
        <v>Higher is better</v>
      </c>
      <c r="O587" s="37">
        <f t="shared" ca="1" si="54"/>
        <v>0</v>
      </c>
      <c r="P587" t="str">
        <f t="shared" ca="1" si="55"/>
        <v>Red</v>
      </c>
      <c r="Q587" s="36">
        <f t="shared" ca="1" si="56"/>
        <v>-1</v>
      </c>
      <c r="R587" s="36" t="str">
        <f>""</f>
        <v/>
      </c>
      <c r="S587" s="36" t="str">
        <f>""</f>
        <v/>
      </c>
      <c r="T587" s="36" t="str">
        <f>""</f>
        <v/>
      </c>
      <c r="U587" s="36" t="str">
        <f>""</f>
        <v/>
      </c>
      <c r="V587" s="36" t="str">
        <f>""</f>
        <v/>
      </c>
      <c r="W587" s="36">
        <f t="shared" si="57"/>
        <v>1</v>
      </c>
      <c r="X587" t="str">
        <f t="shared" si="58"/>
        <v>Inactive</v>
      </c>
      <c r="Y587" t="str">
        <f>IF(MAIN!$H$3="Selected Year",IF(A587=MAIN!$B$3,"Yes","No"),IF(MAIN!$H$3="Included Years",IF(D587="Yes","Yes","No"),IF(C587="Yes","Yes","No")))</f>
        <v>No</v>
      </c>
      <c r="Z587" t="str">
        <f>IF(MAIN!$F$3="Project to Date",IF(AND(A587&gt;=SETTINGS!$B$4,A587&lt;MAIN!$B$3),"Yes",IF(AND(A587=MAIN!$B$3,E587&lt;=MAIN!$L$3),"Yes","No")),IF(OR(MAIN!$F$3="Full Year",MAIN!$D$3="All"),"Yes",IF(MAIN!$F$3="Monthly",IF(E587=MAIN!$L$3,"Yes","No"),IF(E587&lt;=MAIN!$L$3,"Yes","No"))))</f>
        <v>Yes</v>
      </c>
      <c r="AA587" t="str">
        <f t="shared" si="59"/>
        <v>No</v>
      </c>
    </row>
    <row r="588" spans="1:27" x14ac:dyDescent="0.3">
      <c r="A588">
        <f>INDEX(SETTINGS!$A$15:$A$24,$B588)</f>
        <v>2027</v>
      </c>
      <c r="B588">
        <v>3</v>
      </c>
      <c r="C588" t="str">
        <f>IF(AND(A588&gt;=SETTINGS!$B$4,A588&lt;=SETTINGS!$B$5),"Yes","No")</f>
        <v>No</v>
      </c>
      <c r="D588" t="str">
        <f>IFERROR(INDEX(SETTINGS!$C$15:$C$24,MATCH(A588,SETTINGS!$A$15:$A$24,0)),"No")</f>
        <v>No</v>
      </c>
      <c r="E588">
        <v>7</v>
      </c>
      <c r="F588" t="s">
        <v>40</v>
      </c>
      <c r="G588">
        <v>172</v>
      </c>
      <c r="H588" t="s">
        <v>110</v>
      </c>
      <c r="I588" t="s">
        <v>30</v>
      </c>
      <c r="J588" t="s">
        <v>31</v>
      </c>
      <c r="K588" t="s">
        <v>3</v>
      </c>
      <c r="L588" s="36">
        <f ca="1">IF(C588&lt;&gt;"Yes",0,IF(A588=2025,N('2025'!D172),IF(A588=2026,N('2026'!D172),IF(A588=2027,N('2027'!D172),IF(A588=2028,N('2028'!D172),IF(A588=2029,N('2029'!D172),IF(A588=2030,N('2030'!D172),IF(A588=2031,N('2031'!D172),IF(A588=2032,N('2032'!D172),IF(A588=2033,N('2033'!D172),IF(A588=2034,N('2034'!D172),IFERROR(N(INDIRECT("'"&amp;A588&amp;"'!D"&amp;G588)),0))))))))))))</f>
        <v>0</v>
      </c>
      <c r="M588" s="36">
        <f>IFERROR(IF(NOT(ISBLANK(KPI_TARGETS!$I$21)),KPI_TARGETS!$I$21,IF(NOT(ISBLANK(KPI_TARGETS!$F$21)),KPI_TARGETS!$F$21,"")),"")</f>
        <v>0</v>
      </c>
      <c r="N588" s="36" t="str">
        <f>IFERROR(KPI_TARGETS!$E$21,"Higher is better")</f>
        <v>Lower is better</v>
      </c>
      <c r="O588" s="37">
        <f t="shared" ca="1" si="54"/>
        <v>1</v>
      </c>
      <c r="P588" t="str">
        <f t="shared" ca="1" si="55"/>
        <v>Green</v>
      </c>
      <c r="Q588" s="36">
        <f t="shared" ca="1" si="56"/>
        <v>0</v>
      </c>
      <c r="R588" s="36" t="str">
        <f>""</f>
        <v/>
      </c>
      <c r="S588" s="36" t="str">
        <f>""</f>
        <v/>
      </c>
      <c r="T588" s="36" t="str">
        <f>""</f>
        <v/>
      </c>
      <c r="U588" s="36" t="str">
        <f>""</f>
        <v/>
      </c>
      <c r="V588" s="36" t="str">
        <f>""</f>
        <v/>
      </c>
      <c r="W588" s="36">
        <f t="shared" si="57"/>
        <v>1</v>
      </c>
      <c r="X588" t="str">
        <f t="shared" si="58"/>
        <v>Inactive</v>
      </c>
      <c r="Y588" t="str">
        <f>IF(MAIN!$H$3="Selected Year",IF(A588=MAIN!$B$3,"Yes","No"),IF(MAIN!$H$3="Included Years",IF(D588="Yes","Yes","No"),IF(C588="Yes","Yes","No")))</f>
        <v>No</v>
      </c>
      <c r="Z588" t="str">
        <f>IF(MAIN!$F$3="Project to Date",IF(AND(A588&gt;=SETTINGS!$B$4,A588&lt;MAIN!$B$3),"Yes",IF(AND(A588=MAIN!$B$3,E588&lt;=MAIN!$L$3),"Yes","No")),IF(OR(MAIN!$F$3="Full Year",MAIN!$D$3="All"),"Yes",IF(MAIN!$F$3="Monthly",IF(E588=MAIN!$L$3,"Yes","No"),IF(E588&lt;=MAIN!$L$3,"Yes","No"))))</f>
        <v>Yes</v>
      </c>
      <c r="AA588" t="str">
        <f t="shared" si="59"/>
        <v>No</v>
      </c>
    </row>
    <row r="589" spans="1:27" x14ac:dyDescent="0.3">
      <c r="A589">
        <f>INDEX(SETTINGS!$A$15:$A$24,$B589)</f>
        <v>2027</v>
      </c>
      <c r="B589">
        <v>3</v>
      </c>
      <c r="C589" t="str">
        <f>IF(AND(A589&gt;=SETTINGS!$B$4,A589&lt;=SETTINGS!$B$5),"Yes","No")</f>
        <v>No</v>
      </c>
      <c r="D589" t="str">
        <f>IFERROR(INDEX(SETTINGS!$C$15:$C$24,MATCH(A589,SETTINGS!$A$15:$A$24,0)),"No")</f>
        <v>No</v>
      </c>
      <c r="E589">
        <v>7</v>
      </c>
      <c r="F589" t="s">
        <v>40</v>
      </c>
      <c r="G589">
        <v>173</v>
      </c>
      <c r="H589" t="s">
        <v>111</v>
      </c>
      <c r="I589" t="s">
        <v>30</v>
      </c>
      <c r="J589" t="s">
        <v>32</v>
      </c>
      <c r="K589" t="s">
        <v>3</v>
      </c>
      <c r="L589" s="36">
        <f ca="1">IF(C589&lt;&gt;"Yes",0,IF(A589=2025,N('2025'!D173),IF(A589=2026,N('2026'!D173),IF(A589=2027,N('2027'!D173),IF(A589=2028,N('2028'!D173),IF(A589=2029,N('2029'!D173),IF(A589=2030,N('2030'!D173),IF(A589=2031,N('2031'!D173),IF(A589=2032,N('2032'!D173),IF(A589=2033,N('2033'!D173),IF(A589=2034,N('2034'!D173),IFERROR(N(INDIRECT("'"&amp;A589&amp;"'!D"&amp;G589)),0))))))))))))</f>
        <v>0</v>
      </c>
      <c r="M589" s="36">
        <f>IFERROR(IF(NOT(ISBLANK(KPI_TARGETS!$I$22)),KPI_TARGETS!$I$22,IF(NOT(ISBLANK(KPI_TARGETS!$F$22)),KPI_TARGETS!$F$22,"")),"")</f>
        <v>1</v>
      </c>
      <c r="N589" s="36" t="str">
        <f>IFERROR(KPI_TARGETS!$E$22,"Higher is better")</f>
        <v>Higher is better</v>
      </c>
      <c r="O589" s="37">
        <f t="shared" ca="1" si="54"/>
        <v>0</v>
      </c>
      <c r="P589" t="str">
        <f t="shared" ca="1" si="55"/>
        <v>Red</v>
      </c>
      <c r="Q589" s="36">
        <f t="shared" ca="1" si="56"/>
        <v>-1</v>
      </c>
      <c r="R589" s="36" t="str">
        <f>""</f>
        <v/>
      </c>
      <c r="S589" s="36" t="str">
        <f>""</f>
        <v/>
      </c>
      <c r="T589" s="36" t="str">
        <f>""</f>
        <v/>
      </c>
      <c r="U589" s="36" t="str">
        <f>""</f>
        <v/>
      </c>
      <c r="V589" s="36" t="str">
        <f>""</f>
        <v/>
      </c>
      <c r="W589" s="36">
        <f t="shared" si="57"/>
        <v>1</v>
      </c>
      <c r="X589" t="str">
        <f t="shared" si="58"/>
        <v>Inactive</v>
      </c>
      <c r="Y589" t="str">
        <f>IF(MAIN!$H$3="Selected Year",IF(A589=MAIN!$B$3,"Yes","No"),IF(MAIN!$H$3="Included Years",IF(D589="Yes","Yes","No"),IF(C589="Yes","Yes","No")))</f>
        <v>No</v>
      </c>
      <c r="Z589" t="str">
        <f>IF(MAIN!$F$3="Project to Date",IF(AND(A589&gt;=SETTINGS!$B$4,A589&lt;MAIN!$B$3),"Yes",IF(AND(A589=MAIN!$B$3,E589&lt;=MAIN!$L$3),"Yes","No")),IF(OR(MAIN!$F$3="Full Year",MAIN!$D$3="All"),"Yes",IF(MAIN!$F$3="Monthly",IF(E589=MAIN!$L$3,"Yes","No"),IF(E589&lt;=MAIN!$L$3,"Yes","No"))))</f>
        <v>Yes</v>
      </c>
      <c r="AA589" t="str">
        <f t="shared" si="59"/>
        <v>No</v>
      </c>
    </row>
    <row r="590" spans="1:27" x14ac:dyDescent="0.3">
      <c r="A590">
        <f>INDEX(SETTINGS!$A$15:$A$24,$B590)</f>
        <v>2027</v>
      </c>
      <c r="B590">
        <v>3</v>
      </c>
      <c r="C590" t="str">
        <f>IF(AND(A590&gt;=SETTINGS!$B$4,A590&lt;=SETTINGS!$B$5),"Yes","No")</f>
        <v>No</v>
      </c>
      <c r="D590" t="str">
        <f>IFERROR(INDEX(SETTINGS!$C$15:$C$24,MATCH(A590,SETTINGS!$A$15:$A$24,0)),"No")</f>
        <v>No</v>
      </c>
      <c r="E590">
        <v>7</v>
      </c>
      <c r="F590" t="s">
        <v>40</v>
      </c>
      <c r="G590">
        <v>174</v>
      </c>
      <c r="H590" t="s">
        <v>112</v>
      </c>
      <c r="I590" t="s">
        <v>30</v>
      </c>
      <c r="J590" t="s">
        <v>33</v>
      </c>
      <c r="K590" t="s">
        <v>34</v>
      </c>
      <c r="L590" s="36">
        <f ca="1">IF(C590&lt;&gt;"Yes",0,IF(A590=2025,N('2025'!D174),IF(A590=2026,N('2026'!D174),IF(A590=2027,N('2027'!D174),IF(A590=2028,N('2028'!D174),IF(A590=2029,N('2029'!D174),IF(A590=2030,N('2030'!D174),IF(A590=2031,N('2031'!D174),IF(A590=2032,N('2032'!D174),IF(A590=2033,N('2033'!D174),IF(A590=2034,N('2034'!D174),IFERROR(N(INDIRECT("'"&amp;A590&amp;"'!D"&amp;G590)),0))))))))))))</f>
        <v>0</v>
      </c>
      <c r="M590" s="36">
        <f>IFERROR(IF(NOT(ISBLANK(KPI_TARGETS!$I$23)),KPI_TARGETS!$I$23,IF(NOT(ISBLANK(KPI_TARGETS!$F$23)),KPI_TARGETS!$F$23,"")),"")</f>
        <v>1</v>
      </c>
      <c r="N590" s="36" t="str">
        <f>IFERROR(KPI_TARGETS!$E$23,"Higher is better")</f>
        <v>Higher is better</v>
      </c>
      <c r="O590" s="37">
        <f t="shared" ca="1" si="54"/>
        <v>0</v>
      </c>
      <c r="P590" t="str">
        <f t="shared" ca="1" si="55"/>
        <v>Red</v>
      </c>
      <c r="Q590" s="36">
        <f t="shared" ca="1" si="56"/>
        <v>-1</v>
      </c>
      <c r="R590" s="36" t="str">
        <f>""</f>
        <v/>
      </c>
      <c r="S590" s="36" t="str">
        <f>""</f>
        <v/>
      </c>
      <c r="T590" s="36" t="str">
        <f>""</f>
        <v/>
      </c>
      <c r="U590" s="36" t="str">
        <f>""</f>
        <v/>
      </c>
      <c r="V590" s="36" t="str">
        <f>""</f>
        <v/>
      </c>
      <c r="W590" s="36">
        <f t="shared" si="57"/>
        <v>1</v>
      </c>
      <c r="X590" t="str">
        <f t="shared" si="58"/>
        <v>Inactive</v>
      </c>
      <c r="Y590" t="str">
        <f>IF(MAIN!$H$3="Selected Year",IF(A590=MAIN!$B$3,"Yes","No"),IF(MAIN!$H$3="Included Years",IF(D590="Yes","Yes","No"),IF(C590="Yes","Yes","No")))</f>
        <v>No</v>
      </c>
      <c r="Z590" t="str">
        <f>IF(MAIN!$F$3="Project to Date",IF(AND(A590&gt;=SETTINGS!$B$4,A590&lt;MAIN!$B$3),"Yes",IF(AND(A590=MAIN!$B$3,E590&lt;=MAIN!$L$3),"Yes","No")),IF(OR(MAIN!$F$3="Full Year",MAIN!$D$3="All"),"Yes",IF(MAIN!$F$3="Monthly",IF(E590=MAIN!$L$3,"Yes","No"),IF(E590&lt;=MAIN!$L$3,"Yes","No"))))</f>
        <v>Yes</v>
      </c>
      <c r="AA590" t="str">
        <f t="shared" si="59"/>
        <v>No</v>
      </c>
    </row>
    <row r="591" spans="1:27" x14ac:dyDescent="0.3">
      <c r="A591">
        <f>INDEX(SETTINGS!$A$15:$A$24,$B591)</f>
        <v>2027</v>
      </c>
      <c r="B591">
        <v>3</v>
      </c>
      <c r="C591" t="str">
        <f>IF(AND(A591&gt;=SETTINGS!$B$4,A591&lt;=SETTINGS!$B$5),"Yes","No")</f>
        <v>No</v>
      </c>
      <c r="D591" t="str">
        <f>IFERROR(INDEX(SETTINGS!$C$15:$C$24,MATCH(A591,SETTINGS!$A$15:$A$24,0)),"No")</f>
        <v>No</v>
      </c>
      <c r="E591">
        <v>8</v>
      </c>
      <c r="F591" t="s">
        <v>41</v>
      </c>
      <c r="G591">
        <v>177</v>
      </c>
      <c r="H591" t="s">
        <v>88</v>
      </c>
      <c r="I591" t="s">
        <v>89</v>
      </c>
      <c r="J591" t="s">
        <v>10</v>
      </c>
      <c r="K591" t="s">
        <v>3</v>
      </c>
      <c r="L591" s="36">
        <f ca="1">IF(C591&lt;&gt;"Yes",0,IF(A591=2025,N('2025'!D177),IF(A591=2026,N('2026'!D177),IF(A591=2027,N('2027'!D177),IF(A591=2028,N('2028'!D177),IF(A591=2029,N('2029'!D177),IF(A591=2030,N('2030'!D177),IF(A591=2031,N('2031'!D177),IF(A591=2032,N('2032'!D177),IF(A591=2033,N('2033'!D177),IF(A591=2034,N('2034'!D177),IFERROR(N(INDIRECT("'"&amp;A591&amp;"'!D"&amp;G591)),0))))))))))))</f>
        <v>0</v>
      </c>
      <c r="M591" s="36">
        <f>IFERROR(IF(NOT(ISBLANK(KPI_TARGETS!$I$5)),KPI_TARGETS!$I$5,IF(NOT(ISBLANK(KPI_TARGETS!$F$5)),KPI_TARGETS!$F$5,"")),"")</f>
        <v>104</v>
      </c>
      <c r="N591" s="36" t="str">
        <f>IFERROR(KPI_TARGETS!$E$5,"Higher is better")</f>
        <v>Higher is better</v>
      </c>
      <c r="O591" s="37">
        <f t="shared" ca="1" si="54"/>
        <v>0</v>
      </c>
      <c r="P591" t="str">
        <f t="shared" ca="1" si="55"/>
        <v>Red</v>
      </c>
      <c r="Q591" s="36">
        <f t="shared" ca="1" si="56"/>
        <v>-104</v>
      </c>
      <c r="R591" s="36" t="str">
        <f>""</f>
        <v/>
      </c>
      <c r="S591" s="36" t="str">
        <f>""</f>
        <v/>
      </c>
      <c r="T591" s="36" t="str">
        <f>""</f>
        <v/>
      </c>
      <c r="U591" s="36" t="str">
        <f>""</f>
        <v/>
      </c>
      <c r="V591" s="36" t="str">
        <f>""</f>
        <v/>
      </c>
      <c r="W591" s="36">
        <f t="shared" si="57"/>
        <v>1</v>
      </c>
      <c r="X591" t="str">
        <f t="shared" si="58"/>
        <v>Inactive</v>
      </c>
      <c r="Y591" t="str">
        <f>IF(MAIN!$H$3="Selected Year",IF(A591=MAIN!$B$3,"Yes","No"),IF(MAIN!$H$3="Included Years",IF(D591="Yes","Yes","No"),IF(C591="Yes","Yes","No")))</f>
        <v>No</v>
      </c>
      <c r="Z591" t="str">
        <f>IF(MAIN!$F$3="Project to Date",IF(AND(A591&gt;=SETTINGS!$B$4,A591&lt;MAIN!$B$3),"Yes",IF(AND(A591=MAIN!$B$3,E591&lt;=MAIN!$L$3),"Yes","No")),IF(OR(MAIN!$F$3="Full Year",MAIN!$D$3="All"),"Yes",IF(MAIN!$F$3="Monthly",IF(E591=MAIN!$L$3,"Yes","No"),IF(E591&lt;=MAIN!$L$3,"Yes","No"))))</f>
        <v>Yes</v>
      </c>
      <c r="AA591" t="str">
        <f t="shared" si="59"/>
        <v>No</v>
      </c>
    </row>
    <row r="592" spans="1:27" x14ac:dyDescent="0.3">
      <c r="A592">
        <f>INDEX(SETTINGS!$A$15:$A$24,$B592)</f>
        <v>2027</v>
      </c>
      <c r="B592">
        <v>3</v>
      </c>
      <c r="C592" t="str">
        <f>IF(AND(A592&gt;=SETTINGS!$B$4,A592&lt;=SETTINGS!$B$5),"Yes","No")</f>
        <v>No</v>
      </c>
      <c r="D592" t="str">
        <f>IFERROR(INDEX(SETTINGS!$C$15:$C$24,MATCH(A592,SETTINGS!$A$15:$A$24,0)),"No")</f>
        <v>No</v>
      </c>
      <c r="E592">
        <v>8</v>
      </c>
      <c r="F592" t="s">
        <v>41</v>
      </c>
      <c r="G592">
        <v>178</v>
      </c>
      <c r="H592" t="s">
        <v>91</v>
      </c>
      <c r="I592" t="s">
        <v>89</v>
      </c>
      <c r="J592" t="s">
        <v>11</v>
      </c>
      <c r="K592" t="s">
        <v>12</v>
      </c>
      <c r="L592" s="36">
        <f ca="1">IF(C592&lt;&gt;"Yes",0,IF(A592=2025,N('2025'!D178),IF(A592=2026,N('2026'!D178),IF(A592=2027,N('2027'!D178),IF(A592=2028,N('2028'!D178),IF(A592=2029,N('2029'!D178),IF(A592=2030,N('2030'!D178),IF(A592=2031,N('2031'!D178),IF(A592=2032,N('2032'!D178),IF(A592=2033,N('2033'!D178),IF(A592=2034,N('2034'!D178),IFERROR(N(INDIRECT("'"&amp;A592&amp;"'!D"&amp;G592)),0))))))))))))</f>
        <v>0</v>
      </c>
      <c r="M592" s="36">
        <f>IFERROR(IF(NOT(ISBLANK(KPI_TARGETS!$I$6)),KPI_TARGETS!$I$6,IF(NOT(ISBLANK(KPI_TARGETS!$F$6)),KPI_TARGETS!$F$6,"")),"")</f>
        <v>4000</v>
      </c>
      <c r="N592" s="36" t="str">
        <f>IFERROR(KPI_TARGETS!$E$6,"Higher is better")</f>
        <v>Higher is better</v>
      </c>
      <c r="O592" s="37">
        <f t="shared" ca="1" si="54"/>
        <v>0</v>
      </c>
      <c r="P592" t="str">
        <f t="shared" ca="1" si="55"/>
        <v>Red</v>
      </c>
      <c r="Q592" s="36">
        <f t="shared" ca="1" si="56"/>
        <v>-4000</v>
      </c>
      <c r="R592" s="36" t="str">
        <f>""</f>
        <v/>
      </c>
      <c r="S592" s="36" t="str">
        <f>""</f>
        <v/>
      </c>
      <c r="T592" s="36" t="str">
        <f>""</f>
        <v/>
      </c>
      <c r="U592" s="36" t="str">
        <f>""</f>
        <v/>
      </c>
      <c r="V592" s="36" t="str">
        <f>""</f>
        <v/>
      </c>
      <c r="W592" s="36">
        <f t="shared" si="57"/>
        <v>1</v>
      </c>
      <c r="X592" t="str">
        <f t="shared" si="58"/>
        <v>Inactive</v>
      </c>
      <c r="Y592" t="str">
        <f>IF(MAIN!$H$3="Selected Year",IF(A592=MAIN!$B$3,"Yes","No"),IF(MAIN!$H$3="Included Years",IF(D592="Yes","Yes","No"),IF(C592="Yes","Yes","No")))</f>
        <v>No</v>
      </c>
      <c r="Z592" t="str">
        <f>IF(MAIN!$F$3="Project to Date",IF(AND(A592&gt;=SETTINGS!$B$4,A592&lt;MAIN!$B$3),"Yes",IF(AND(A592=MAIN!$B$3,E592&lt;=MAIN!$L$3),"Yes","No")),IF(OR(MAIN!$F$3="Full Year",MAIN!$D$3="All"),"Yes",IF(MAIN!$F$3="Monthly",IF(E592=MAIN!$L$3,"Yes","No"),IF(E592&lt;=MAIN!$L$3,"Yes","No"))))</f>
        <v>Yes</v>
      </c>
      <c r="AA592" t="str">
        <f t="shared" si="59"/>
        <v>No</v>
      </c>
    </row>
    <row r="593" spans="1:27" x14ac:dyDescent="0.3">
      <c r="A593">
        <f>INDEX(SETTINGS!$A$15:$A$24,$B593)</f>
        <v>2027</v>
      </c>
      <c r="B593">
        <v>3</v>
      </c>
      <c r="C593" t="str">
        <f>IF(AND(A593&gt;=SETTINGS!$B$4,A593&lt;=SETTINGS!$B$5),"Yes","No")</f>
        <v>No</v>
      </c>
      <c r="D593" t="str">
        <f>IFERROR(INDEX(SETTINGS!$C$15:$C$24,MATCH(A593,SETTINGS!$A$15:$A$24,0)),"No")</f>
        <v>No</v>
      </c>
      <c r="E593">
        <v>8</v>
      </c>
      <c r="F593" t="s">
        <v>41</v>
      </c>
      <c r="G593">
        <v>179</v>
      </c>
      <c r="H593" t="s">
        <v>93</v>
      </c>
      <c r="I593" t="s">
        <v>89</v>
      </c>
      <c r="J593" t="s">
        <v>13</v>
      </c>
      <c r="K593" t="s">
        <v>14</v>
      </c>
      <c r="L593" s="36">
        <f ca="1">IF(C593&lt;&gt;"Yes",0,IF(A593=2025,N('2025'!D179),IF(A593=2026,N('2026'!D179),IF(A593=2027,N('2027'!D179),IF(A593=2028,N('2028'!D179),IF(A593=2029,N('2029'!D179),IF(A593=2030,N('2030'!D179),IF(A593=2031,N('2031'!D179),IF(A593=2032,N('2032'!D179),IF(A593=2033,N('2033'!D179),IF(A593=2034,N('2034'!D179),IFERROR(N(INDIRECT("'"&amp;A593&amp;"'!D"&amp;G593)),0))))))))))))</f>
        <v>0</v>
      </c>
      <c r="M593" s="36">
        <f>IFERROR(IF(NOT(ISBLANK(KPI_TARGETS!$I$7)),KPI_TARGETS!$I$7,IF(NOT(ISBLANK(KPI_TARGETS!$F$7)),KPI_TARGETS!$F$7,"")),"")</f>
        <v>8000</v>
      </c>
      <c r="N593" s="36" t="str">
        <f>IFERROR(KPI_TARGETS!$E$7,"Higher is better")</f>
        <v>Higher is better</v>
      </c>
      <c r="O593" s="37">
        <f t="shared" ca="1" si="54"/>
        <v>0</v>
      </c>
      <c r="P593" t="str">
        <f t="shared" ca="1" si="55"/>
        <v>Red</v>
      </c>
      <c r="Q593" s="36">
        <f t="shared" ca="1" si="56"/>
        <v>-8000</v>
      </c>
      <c r="R593" s="36" t="str">
        <f>""</f>
        <v/>
      </c>
      <c r="S593" s="36" t="str">
        <f>""</f>
        <v/>
      </c>
      <c r="T593" s="36" t="str">
        <f>""</f>
        <v/>
      </c>
      <c r="U593" s="36" t="str">
        <f>""</f>
        <v/>
      </c>
      <c r="V593" s="36" t="str">
        <f>""</f>
        <v/>
      </c>
      <c r="W593" s="36">
        <f t="shared" si="57"/>
        <v>1</v>
      </c>
      <c r="X593" t="str">
        <f t="shared" si="58"/>
        <v>Inactive</v>
      </c>
      <c r="Y593" t="str">
        <f>IF(MAIN!$H$3="Selected Year",IF(A593=MAIN!$B$3,"Yes","No"),IF(MAIN!$H$3="Included Years",IF(D593="Yes","Yes","No"),IF(C593="Yes","Yes","No")))</f>
        <v>No</v>
      </c>
      <c r="Z593" t="str">
        <f>IF(MAIN!$F$3="Project to Date",IF(AND(A593&gt;=SETTINGS!$B$4,A593&lt;MAIN!$B$3),"Yes",IF(AND(A593=MAIN!$B$3,E593&lt;=MAIN!$L$3),"Yes","No")),IF(OR(MAIN!$F$3="Full Year",MAIN!$D$3="All"),"Yes",IF(MAIN!$F$3="Monthly",IF(E593=MAIN!$L$3,"Yes","No"),IF(E593&lt;=MAIN!$L$3,"Yes","No"))))</f>
        <v>Yes</v>
      </c>
      <c r="AA593" t="str">
        <f t="shared" si="59"/>
        <v>No</v>
      </c>
    </row>
    <row r="594" spans="1:27" x14ac:dyDescent="0.3">
      <c r="A594">
        <f>INDEX(SETTINGS!$A$15:$A$24,$B594)</f>
        <v>2027</v>
      </c>
      <c r="B594">
        <v>3</v>
      </c>
      <c r="C594" t="str">
        <f>IF(AND(A594&gt;=SETTINGS!$B$4,A594&lt;=SETTINGS!$B$5),"Yes","No")</f>
        <v>No</v>
      </c>
      <c r="D594" t="str">
        <f>IFERROR(INDEX(SETTINGS!$C$15:$C$24,MATCH(A594,SETTINGS!$A$15:$A$24,0)),"No")</f>
        <v>No</v>
      </c>
      <c r="E594">
        <v>8</v>
      </c>
      <c r="F594" t="s">
        <v>41</v>
      </c>
      <c r="G594">
        <v>181</v>
      </c>
      <c r="H594" t="s">
        <v>95</v>
      </c>
      <c r="I594" t="s">
        <v>15</v>
      </c>
      <c r="J594" t="s">
        <v>16</v>
      </c>
      <c r="K594" t="s">
        <v>3</v>
      </c>
      <c r="L594" s="36">
        <f ca="1">IF(C594&lt;&gt;"Yes",0,IF(A594=2025,N('2025'!D181),IF(A594=2026,N('2026'!D181),IF(A594=2027,N('2027'!D181),IF(A594=2028,N('2028'!D181),IF(A594=2029,N('2029'!D181),IF(A594=2030,N('2030'!D181),IF(A594=2031,N('2031'!D181),IF(A594=2032,N('2032'!D181),IF(A594=2033,N('2033'!D181),IF(A594=2034,N('2034'!D181),IFERROR(N(INDIRECT("'"&amp;A594&amp;"'!D"&amp;G594)),0))))))))))))</f>
        <v>0</v>
      </c>
      <c r="M594" s="36">
        <f>IFERROR(IF(NOT(ISBLANK(KPI_TARGETS!$I$8)),KPI_TARGETS!$I$8,IF(NOT(ISBLANK(KPI_TARGETS!$F$8)),KPI_TARGETS!$F$8,"")),"")</f>
        <v>0</v>
      </c>
      <c r="N594" s="36" t="str">
        <f>IFERROR(KPI_TARGETS!$E$8,"Higher is better")</f>
        <v>Lower is better</v>
      </c>
      <c r="O594" s="37">
        <f t="shared" ca="1" si="54"/>
        <v>1</v>
      </c>
      <c r="P594" t="str">
        <f t="shared" ca="1" si="55"/>
        <v>Green</v>
      </c>
      <c r="Q594" s="36">
        <f t="shared" ca="1" si="56"/>
        <v>0</v>
      </c>
      <c r="R594" s="36" t="str">
        <f>""</f>
        <v/>
      </c>
      <c r="S594" s="36" t="str">
        <f>""</f>
        <v/>
      </c>
      <c r="T594" s="36" t="str">
        <f>""</f>
        <v/>
      </c>
      <c r="U594" s="36" t="str">
        <f>""</f>
        <v/>
      </c>
      <c r="V594" s="36" t="str">
        <f>""</f>
        <v/>
      </c>
      <c r="W594" s="36">
        <f t="shared" si="57"/>
        <v>1</v>
      </c>
      <c r="X594" t="str">
        <f t="shared" si="58"/>
        <v>Inactive</v>
      </c>
      <c r="Y594" t="str">
        <f>IF(MAIN!$H$3="Selected Year",IF(A594=MAIN!$B$3,"Yes","No"),IF(MAIN!$H$3="Included Years",IF(D594="Yes","Yes","No"),IF(C594="Yes","Yes","No")))</f>
        <v>No</v>
      </c>
      <c r="Z594" t="str">
        <f>IF(MAIN!$F$3="Project to Date",IF(AND(A594&gt;=SETTINGS!$B$4,A594&lt;MAIN!$B$3),"Yes",IF(AND(A594=MAIN!$B$3,E594&lt;=MAIN!$L$3),"Yes","No")),IF(OR(MAIN!$F$3="Full Year",MAIN!$D$3="All"),"Yes",IF(MAIN!$F$3="Monthly",IF(E594=MAIN!$L$3,"Yes","No"),IF(E594&lt;=MAIN!$L$3,"Yes","No"))))</f>
        <v>Yes</v>
      </c>
      <c r="AA594" t="str">
        <f t="shared" si="59"/>
        <v>No</v>
      </c>
    </row>
    <row r="595" spans="1:27" x14ac:dyDescent="0.3">
      <c r="A595">
        <f>INDEX(SETTINGS!$A$15:$A$24,$B595)</f>
        <v>2027</v>
      </c>
      <c r="B595">
        <v>3</v>
      </c>
      <c r="C595" t="str">
        <f>IF(AND(A595&gt;=SETTINGS!$B$4,A595&lt;=SETTINGS!$B$5),"Yes","No")</f>
        <v>No</v>
      </c>
      <c r="D595" t="str">
        <f>IFERROR(INDEX(SETTINGS!$C$15:$C$24,MATCH(A595,SETTINGS!$A$15:$A$24,0)),"No")</f>
        <v>No</v>
      </c>
      <c r="E595">
        <v>8</v>
      </c>
      <c r="F595" t="s">
        <v>41</v>
      </c>
      <c r="G595">
        <v>182</v>
      </c>
      <c r="H595" t="s">
        <v>97</v>
      </c>
      <c r="I595" t="s">
        <v>15</v>
      </c>
      <c r="J595" t="s">
        <v>17</v>
      </c>
      <c r="K595" t="s">
        <v>3</v>
      </c>
      <c r="L595" s="36">
        <f ca="1">IF(C595&lt;&gt;"Yes",0,IF(A595=2025,N('2025'!D182),IF(A595=2026,N('2026'!D182),IF(A595=2027,N('2027'!D182),IF(A595=2028,N('2028'!D182),IF(A595=2029,N('2029'!D182),IF(A595=2030,N('2030'!D182),IF(A595=2031,N('2031'!D182),IF(A595=2032,N('2032'!D182),IF(A595=2033,N('2033'!D182),IF(A595=2034,N('2034'!D182),IFERROR(N(INDIRECT("'"&amp;A595&amp;"'!D"&amp;G595)),0))))))))))))</f>
        <v>0</v>
      </c>
      <c r="M595" s="36">
        <f>IFERROR(IF(NOT(ISBLANK(KPI_TARGETS!$I$9)),KPI_TARGETS!$I$9,IF(NOT(ISBLANK(KPI_TARGETS!$F$9)),KPI_TARGETS!$F$9,"")),"")</f>
        <v>0</v>
      </c>
      <c r="N595" s="36" t="str">
        <f>IFERROR(KPI_TARGETS!$E$9,"Higher is better")</f>
        <v>Higher is better</v>
      </c>
      <c r="O595" s="37" t="str">
        <f t="shared" ca="1" si="54"/>
        <v/>
      </c>
      <c r="P595" t="str">
        <f t="shared" ca="1" si="55"/>
        <v>Green</v>
      </c>
      <c r="Q595" s="36">
        <f t="shared" ca="1" si="56"/>
        <v>0</v>
      </c>
      <c r="R595" s="36" t="str">
        <f>""</f>
        <v/>
      </c>
      <c r="S595" s="36" t="str">
        <f>""</f>
        <v/>
      </c>
      <c r="T595" s="36" t="str">
        <f>""</f>
        <v/>
      </c>
      <c r="U595" s="36" t="str">
        <f>""</f>
        <v/>
      </c>
      <c r="V595" s="36" t="str">
        <f>""</f>
        <v/>
      </c>
      <c r="W595" s="36">
        <f t="shared" si="57"/>
        <v>1</v>
      </c>
      <c r="X595" t="str">
        <f t="shared" si="58"/>
        <v>Inactive</v>
      </c>
      <c r="Y595" t="str">
        <f>IF(MAIN!$H$3="Selected Year",IF(A595=MAIN!$B$3,"Yes","No"),IF(MAIN!$H$3="Included Years",IF(D595="Yes","Yes","No"),IF(C595="Yes","Yes","No")))</f>
        <v>No</v>
      </c>
      <c r="Z595" t="str">
        <f>IF(MAIN!$F$3="Project to Date",IF(AND(A595&gt;=SETTINGS!$B$4,A595&lt;MAIN!$B$3),"Yes",IF(AND(A595=MAIN!$B$3,E595&lt;=MAIN!$L$3),"Yes","No")),IF(OR(MAIN!$F$3="Full Year",MAIN!$D$3="All"),"Yes",IF(MAIN!$F$3="Monthly",IF(E595=MAIN!$L$3,"Yes","No"),IF(E595&lt;=MAIN!$L$3,"Yes","No"))))</f>
        <v>Yes</v>
      </c>
      <c r="AA595" t="str">
        <f t="shared" si="59"/>
        <v>No</v>
      </c>
    </row>
    <row r="596" spans="1:27" x14ac:dyDescent="0.3">
      <c r="A596">
        <f>INDEX(SETTINGS!$A$15:$A$24,$B596)</f>
        <v>2027</v>
      </c>
      <c r="B596">
        <v>3</v>
      </c>
      <c r="C596" t="str">
        <f>IF(AND(A596&gt;=SETTINGS!$B$4,A596&lt;=SETTINGS!$B$5),"Yes","No")</f>
        <v>No</v>
      </c>
      <c r="D596" t="str">
        <f>IFERROR(INDEX(SETTINGS!$C$15:$C$24,MATCH(A596,SETTINGS!$A$15:$A$24,0)),"No")</f>
        <v>No</v>
      </c>
      <c r="E596">
        <v>8</v>
      </c>
      <c r="F596" t="s">
        <v>41</v>
      </c>
      <c r="G596">
        <v>183</v>
      </c>
      <c r="H596" t="s">
        <v>99</v>
      </c>
      <c r="I596" t="s">
        <v>15</v>
      </c>
      <c r="J596" t="s">
        <v>18</v>
      </c>
      <c r="K596" t="s">
        <v>3</v>
      </c>
      <c r="L596" s="36">
        <f ca="1">IF(C596&lt;&gt;"Yes",0,IF(A596=2025,N('2025'!D183),IF(A596=2026,N('2026'!D183),IF(A596=2027,N('2027'!D183),IF(A596=2028,N('2028'!D183),IF(A596=2029,N('2029'!D183),IF(A596=2030,N('2030'!D183),IF(A596=2031,N('2031'!D183),IF(A596=2032,N('2032'!D183),IF(A596=2033,N('2033'!D183),IF(A596=2034,N('2034'!D183),IFERROR(N(INDIRECT("'"&amp;A596&amp;"'!D"&amp;G596)),0))))))))))))</f>
        <v>0</v>
      </c>
      <c r="M596" s="36">
        <f>IFERROR(IF(NOT(ISBLANK(KPI_TARGETS!$I$10)),KPI_TARGETS!$I$10,IF(NOT(ISBLANK(KPI_TARGETS!$F$10)),KPI_TARGETS!$F$10,"")),"")</f>
        <v>0</v>
      </c>
      <c r="N596" s="36" t="str">
        <f>IFERROR(KPI_TARGETS!$E$10,"Higher is better")</f>
        <v>Lower is better</v>
      </c>
      <c r="O596" s="37">
        <f t="shared" ca="1" si="54"/>
        <v>1</v>
      </c>
      <c r="P596" t="str">
        <f t="shared" ca="1" si="55"/>
        <v>Green</v>
      </c>
      <c r="Q596" s="36">
        <f t="shared" ca="1" si="56"/>
        <v>0</v>
      </c>
      <c r="R596" s="36" t="str">
        <f>""</f>
        <v/>
      </c>
      <c r="S596" s="36" t="str">
        <f>""</f>
        <v/>
      </c>
      <c r="T596" s="36" t="str">
        <f>""</f>
        <v/>
      </c>
      <c r="U596" s="36" t="str">
        <f>""</f>
        <v/>
      </c>
      <c r="V596" s="36" t="str">
        <f>""</f>
        <v/>
      </c>
      <c r="W596" s="36">
        <f t="shared" si="57"/>
        <v>1</v>
      </c>
      <c r="X596" t="str">
        <f t="shared" si="58"/>
        <v>Inactive</v>
      </c>
      <c r="Y596" t="str">
        <f>IF(MAIN!$H$3="Selected Year",IF(A596=MAIN!$B$3,"Yes","No"),IF(MAIN!$H$3="Included Years",IF(D596="Yes","Yes","No"),IF(C596="Yes","Yes","No")))</f>
        <v>No</v>
      </c>
      <c r="Z596" t="str">
        <f>IF(MAIN!$F$3="Project to Date",IF(AND(A596&gt;=SETTINGS!$B$4,A596&lt;MAIN!$B$3),"Yes",IF(AND(A596=MAIN!$B$3,E596&lt;=MAIN!$L$3),"Yes","No")),IF(OR(MAIN!$F$3="Full Year",MAIN!$D$3="All"),"Yes",IF(MAIN!$F$3="Monthly",IF(E596=MAIN!$L$3,"Yes","No"),IF(E596&lt;=MAIN!$L$3,"Yes","No"))))</f>
        <v>Yes</v>
      </c>
      <c r="AA596" t="str">
        <f t="shared" si="59"/>
        <v>No</v>
      </c>
    </row>
    <row r="597" spans="1:27" x14ac:dyDescent="0.3">
      <c r="A597">
        <f>INDEX(SETTINGS!$A$15:$A$24,$B597)</f>
        <v>2027</v>
      </c>
      <c r="B597">
        <v>3</v>
      </c>
      <c r="C597" t="str">
        <f>IF(AND(A597&gt;=SETTINGS!$B$4,A597&lt;=SETTINGS!$B$5),"Yes","No")</f>
        <v>No</v>
      </c>
      <c r="D597" t="str">
        <f>IFERROR(INDEX(SETTINGS!$C$15:$C$24,MATCH(A597,SETTINGS!$A$15:$A$24,0)),"No")</f>
        <v>No</v>
      </c>
      <c r="E597">
        <v>8</v>
      </c>
      <c r="F597" t="s">
        <v>41</v>
      </c>
      <c r="G597">
        <v>184</v>
      </c>
      <c r="H597" t="s">
        <v>100</v>
      </c>
      <c r="I597" t="s">
        <v>15</v>
      </c>
      <c r="J597" t="s">
        <v>19</v>
      </c>
      <c r="K597" t="s">
        <v>3</v>
      </c>
      <c r="L597" s="36">
        <f ca="1">IF(C597&lt;&gt;"Yes",0,IF(A597=2025,N('2025'!D184),IF(A597=2026,N('2026'!D184),IF(A597=2027,N('2027'!D184),IF(A597=2028,N('2028'!D184),IF(A597=2029,N('2029'!D184),IF(A597=2030,N('2030'!D184),IF(A597=2031,N('2031'!D184),IF(A597=2032,N('2032'!D184),IF(A597=2033,N('2033'!D184),IF(A597=2034,N('2034'!D184),IFERROR(N(INDIRECT("'"&amp;A597&amp;"'!D"&amp;G597)),0))))))))))))</f>
        <v>0</v>
      </c>
      <c r="M597" s="36">
        <f>IFERROR(IF(NOT(ISBLANK(KPI_TARGETS!$I$11)),KPI_TARGETS!$I$11,IF(NOT(ISBLANK(KPI_TARGETS!$F$11)),KPI_TARGETS!$F$11,"")),"")</f>
        <v>0</v>
      </c>
      <c r="N597" s="36" t="str">
        <f>IFERROR(KPI_TARGETS!$E$11,"Higher is better")</f>
        <v>Lower is better</v>
      </c>
      <c r="O597" s="37">
        <f t="shared" ca="1" si="54"/>
        <v>1</v>
      </c>
      <c r="P597" t="str">
        <f t="shared" ca="1" si="55"/>
        <v>Green</v>
      </c>
      <c r="Q597" s="36">
        <f t="shared" ca="1" si="56"/>
        <v>0</v>
      </c>
      <c r="R597" s="36" t="str">
        <f>""</f>
        <v/>
      </c>
      <c r="S597" s="36" t="str">
        <f>""</f>
        <v/>
      </c>
      <c r="T597" s="36" t="str">
        <f>""</f>
        <v/>
      </c>
      <c r="U597" s="36" t="str">
        <f>""</f>
        <v/>
      </c>
      <c r="V597" s="36" t="str">
        <f>""</f>
        <v/>
      </c>
      <c r="W597" s="36">
        <f t="shared" si="57"/>
        <v>1</v>
      </c>
      <c r="X597" t="str">
        <f t="shared" si="58"/>
        <v>Inactive</v>
      </c>
      <c r="Y597" t="str">
        <f>IF(MAIN!$H$3="Selected Year",IF(A597=MAIN!$B$3,"Yes","No"),IF(MAIN!$H$3="Included Years",IF(D597="Yes","Yes","No"),IF(C597="Yes","Yes","No")))</f>
        <v>No</v>
      </c>
      <c r="Z597" t="str">
        <f>IF(MAIN!$F$3="Project to Date",IF(AND(A597&gt;=SETTINGS!$B$4,A597&lt;MAIN!$B$3),"Yes",IF(AND(A597=MAIN!$B$3,E597&lt;=MAIN!$L$3),"Yes","No")),IF(OR(MAIN!$F$3="Full Year",MAIN!$D$3="All"),"Yes",IF(MAIN!$F$3="Monthly",IF(E597=MAIN!$L$3,"Yes","No"),IF(E597&lt;=MAIN!$L$3,"Yes","No"))))</f>
        <v>Yes</v>
      </c>
      <c r="AA597" t="str">
        <f t="shared" si="59"/>
        <v>No</v>
      </c>
    </row>
    <row r="598" spans="1:27" x14ac:dyDescent="0.3">
      <c r="A598">
        <f>INDEX(SETTINGS!$A$15:$A$24,$B598)</f>
        <v>2027</v>
      </c>
      <c r="B598">
        <v>3</v>
      </c>
      <c r="C598" t="str">
        <f>IF(AND(A598&gt;=SETTINGS!$B$4,A598&lt;=SETTINGS!$B$5),"Yes","No")</f>
        <v>No</v>
      </c>
      <c r="D598" t="str">
        <f>IFERROR(INDEX(SETTINGS!$C$15:$C$24,MATCH(A598,SETTINGS!$A$15:$A$24,0)),"No")</f>
        <v>No</v>
      </c>
      <c r="E598">
        <v>8</v>
      </c>
      <c r="F598" t="s">
        <v>41</v>
      </c>
      <c r="G598">
        <v>185</v>
      </c>
      <c r="H598" t="s">
        <v>101</v>
      </c>
      <c r="I598" t="s">
        <v>15</v>
      </c>
      <c r="J598" t="s">
        <v>20</v>
      </c>
      <c r="K598" t="s">
        <v>3</v>
      </c>
      <c r="L598" s="36">
        <f ca="1">IF(C598&lt;&gt;"Yes",0,IF(A598=2025,N('2025'!D185),IF(A598=2026,N('2026'!D185),IF(A598=2027,N('2027'!D185),IF(A598=2028,N('2028'!D185),IF(A598=2029,N('2029'!D185),IF(A598=2030,N('2030'!D185),IF(A598=2031,N('2031'!D185),IF(A598=2032,N('2032'!D185),IF(A598=2033,N('2033'!D185),IF(A598=2034,N('2034'!D185),IFERROR(N(INDIRECT("'"&amp;A598&amp;"'!D"&amp;G598)),0))))))))))))</f>
        <v>0</v>
      </c>
      <c r="M598" s="36">
        <f>IFERROR(IF(NOT(ISBLANK(KPI_TARGETS!$I$12)),KPI_TARGETS!$I$12,IF(NOT(ISBLANK(KPI_TARGETS!$F$12)),KPI_TARGETS!$F$12,"")),"")</f>
        <v>0</v>
      </c>
      <c r="N598" s="36" t="str">
        <f>IFERROR(KPI_TARGETS!$E$12,"Higher is better")</f>
        <v>Lower is better</v>
      </c>
      <c r="O598" s="37">
        <f t="shared" ca="1" si="54"/>
        <v>1</v>
      </c>
      <c r="P598" t="str">
        <f t="shared" ca="1" si="55"/>
        <v>Green</v>
      </c>
      <c r="Q598" s="36">
        <f t="shared" ca="1" si="56"/>
        <v>0</v>
      </c>
      <c r="R598" s="36" t="str">
        <f>""</f>
        <v/>
      </c>
      <c r="S598" s="36" t="str">
        <f>""</f>
        <v/>
      </c>
      <c r="T598" s="36" t="str">
        <f>""</f>
        <v/>
      </c>
      <c r="U598" s="36" t="str">
        <f>""</f>
        <v/>
      </c>
      <c r="V598" s="36" t="str">
        <f>""</f>
        <v/>
      </c>
      <c r="W598" s="36">
        <f t="shared" si="57"/>
        <v>1</v>
      </c>
      <c r="X598" t="str">
        <f t="shared" si="58"/>
        <v>Inactive</v>
      </c>
      <c r="Y598" t="str">
        <f>IF(MAIN!$H$3="Selected Year",IF(A598=MAIN!$B$3,"Yes","No"),IF(MAIN!$H$3="Included Years",IF(D598="Yes","Yes","No"),IF(C598="Yes","Yes","No")))</f>
        <v>No</v>
      </c>
      <c r="Z598" t="str">
        <f>IF(MAIN!$F$3="Project to Date",IF(AND(A598&gt;=SETTINGS!$B$4,A598&lt;MAIN!$B$3),"Yes",IF(AND(A598=MAIN!$B$3,E598&lt;=MAIN!$L$3),"Yes","No")),IF(OR(MAIN!$F$3="Full Year",MAIN!$D$3="All"),"Yes",IF(MAIN!$F$3="Monthly",IF(E598=MAIN!$L$3,"Yes","No"),IF(E598&lt;=MAIN!$L$3,"Yes","No"))))</f>
        <v>Yes</v>
      </c>
      <c r="AA598" t="str">
        <f t="shared" si="59"/>
        <v>No</v>
      </c>
    </row>
    <row r="599" spans="1:27" x14ac:dyDescent="0.3">
      <c r="A599">
        <f>INDEX(SETTINGS!$A$15:$A$24,$B599)</f>
        <v>2027</v>
      </c>
      <c r="B599">
        <v>3</v>
      </c>
      <c r="C599" t="str">
        <f>IF(AND(A599&gt;=SETTINGS!$B$4,A599&lt;=SETTINGS!$B$5),"Yes","No")</f>
        <v>No</v>
      </c>
      <c r="D599" t="str">
        <f>IFERROR(INDEX(SETTINGS!$C$15:$C$24,MATCH(A599,SETTINGS!$A$15:$A$24,0)),"No")</f>
        <v>No</v>
      </c>
      <c r="E599">
        <v>8</v>
      </c>
      <c r="F599" t="s">
        <v>41</v>
      </c>
      <c r="G599">
        <v>186</v>
      </c>
      <c r="H599" t="s">
        <v>102</v>
      </c>
      <c r="I599" t="s">
        <v>15</v>
      </c>
      <c r="J599" t="s">
        <v>21</v>
      </c>
      <c r="K599" t="s">
        <v>3</v>
      </c>
      <c r="L599" s="36">
        <f ca="1">IF(C599&lt;&gt;"Yes",0,IF(A599=2025,N('2025'!D186),IF(A599=2026,N('2026'!D186),IF(A599=2027,N('2027'!D186),IF(A599=2028,N('2028'!D186),IF(A599=2029,N('2029'!D186),IF(A599=2030,N('2030'!D186),IF(A599=2031,N('2031'!D186),IF(A599=2032,N('2032'!D186),IF(A599=2033,N('2033'!D186),IF(A599=2034,N('2034'!D186),IFERROR(N(INDIRECT("'"&amp;A599&amp;"'!D"&amp;G599)),0))))))))))))</f>
        <v>0</v>
      </c>
      <c r="M599" s="36">
        <f>IFERROR(IF(NOT(ISBLANK(KPI_TARGETS!$I$13)),KPI_TARGETS!$I$13,IF(NOT(ISBLANK(KPI_TARGETS!$F$13)),KPI_TARGETS!$F$13,"")),"")</f>
        <v>0</v>
      </c>
      <c r="N599" s="36" t="str">
        <f>IFERROR(KPI_TARGETS!$E$13,"Higher is better")</f>
        <v>Lower is better</v>
      </c>
      <c r="O599" s="37">
        <f t="shared" ca="1" si="54"/>
        <v>1</v>
      </c>
      <c r="P599" t="str">
        <f t="shared" ca="1" si="55"/>
        <v>Green</v>
      </c>
      <c r="Q599" s="36">
        <f t="shared" ca="1" si="56"/>
        <v>0</v>
      </c>
      <c r="R599" s="36" t="str">
        <f>""</f>
        <v/>
      </c>
      <c r="S599" s="36" t="str">
        <f>""</f>
        <v/>
      </c>
      <c r="T599" s="36" t="str">
        <f>""</f>
        <v/>
      </c>
      <c r="U599" s="36" t="str">
        <f>""</f>
        <v/>
      </c>
      <c r="V599" s="36" t="str">
        <f>""</f>
        <v/>
      </c>
      <c r="W599" s="36">
        <f t="shared" si="57"/>
        <v>1</v>
      </c>
      <c r="X599" t="str">
        <f t="shared" si="58"/>
        <v>Inactive</v>
      </c>
      <c r="Y599" t="str">
        <f>IF(MAIN!$H$3="Selected Year",IF(A599=MAIN!$B$3,"Yes","No"),IF(MAIN!$H$3="Included Years",IF(D599="Yes","Yes","No"),IF(C599="Yes","Yes","No")))</f>
        <v>No</v>
      </c>
      <c r="Z599" t="str">
        <f>IF(MAIN!$F$3="Project to Date",IF(AND(A599&gt;=SETTINGS!$B$4,A599&lt;MAIN!$B$3),"Yes",IF(AND(A599=MAIN!$B$3,E599&lt;=MAIN!$L$3),"Yes","No")),IF(OR(MAIN!$F$3="Full Year",MAIN!$D$3="All"),"Yes",IF(MAIN!$F$3="Monthly",IF(E599=MAIN!$L$3,"Yes","No"),IF(E599&lt;=MAIN!$L$3,"Yes","No"))))</f>
        <v>Yes</v>
      </c>
      <c r="AA599" t="str">
        <f t="shared" si="59"/>
        <v>No</v>
      </c>
    </row>
    <row r="600" spans="1:27" x14ac:dyDescent="0.3">
      <c r="A600">
        <f>INDEX(SETTINGS!$A$15:$A$24,$B600)</f>
        <v>2027</v>
      </c>
      <c r="B600">
        <v>3</v>
      </c>
      <c r="C600" t="str">
        <f>IF(AND(A600&gt;=SETTINGS!$B$4,A600&lt;=SETTINGS!$B$5),"Yes","No")</f>
        <v>No</v>
      </c>
      <c r="D600" t="str">
        <f>IFERROR(INDEX(SETTINGS!$C$15:$C$24,MATCH(A600,SETTINGS!$A$15:$A$24,0)),"No")</f>
        <v>No</v>
      </c>
      <c r="E600">
        <v>8</v>
      </c>
      <c r="F600" t="s">
        <v>41</v>
      </c>
      <c r="G600">
        <v>188</v>
      </c>
      <c r="H600" t="s">
        <v>103</v>
      </c>
      <c r="I600" t="s">
        <v>22</v>
      </c>
      <c r="J600" t="s">
        <v>23</v>
      </c>
      <c r="K600" t="s">
        <v>3</v>
      </c>
      <c r="L600" s="36">
        <f ca="1">IF(C600&lt;&gt;"Yes",0,IF(A600=2025,N('2025'!D188),IF(A600=2026,N('2026'!D188),IF(A600=2027,N('2027'!D188),IF(A600=2028,N('2028'!D188),IF(A600=2029,N('2029'!D188),IF(A600=2030,N('2030'!D188),IF(A600=2031,N('2031'!D188),IF(A600=2032,N('2032'!D188),IF(A600=2033,N('2033'!D188),IF(A600=2034,N('2034'!D188),IFERROR(N(INDIRECT("'"&amp;A600&amp;"'!D"&amp;G600)),0))))))))))))</f>
        <v>0</v>
      </c>
      <c r="M600" s="36">
        <f>IFERROR(IF(NOT(ISBLANK(KPI_TARGETS!$I$14)),KPI_TARGETS!$I$14,IF(NOT(ISBLANK(KPI_TARGETS!$F$14)),KPI_TARGETS!$F$14,"")),"")</f>
        <v>35</v>
      </c>
      <c r="N600" s="36" t="str">
        <f>IFERROR(KPI_TARGETS!$E$14,"Higher is better")</f>
        <v>Higher is better</v>
      </c>
      <c r="O600" s="37">
        <f t="shared" ca="1" si="54"/>
        <v>0</v>
      </c>
      <c r="P600" t="str">
        <f t="shared" ca="1" si="55"/>
        <v>Red</v>
      </c>
      <c r="Q600" s="36">
        <f t="shared" ca="1" si="56"/>
        <v>-35</v>
      </c>
      <c r="R600" s="36" t="str">
        <f>""</f>
        <v/>
      </c>
      <c r="S600" s="36" t="str">
        <f>""</f>
        <v/>
      </c>
      <c r="T600" s="36" t="str">
        <f>""</f>
        <v/>
      </c>
      <c r="U600" s="36" t="str">
        <f>""</f>
        <v/>
      </c>
      <c r="V600" s="36" t="str">
        <f>""</f>
        <v/>
      </c>
      <c r="W600" s="36">
        <f t="shared" si="57"/>
        <v>1</v>
      </c>
      <c r="X600" t="str">
        <f t="shared" si="58"/>
        <v>Inactive</v>
      </c>
      <c r="Y600" t="str">
        <f>IF(MAIN!$H$3="Selected Year",IF(A600=MAIN!$B$3,"Yes","No"),IF(MAIN!$H$3="Included Years",IF(D600="Yes","Yes","No"),IF(C600="Yes","Yes","No")))</f>
        <v>No</v>
      </c>
      <c r="Z600" t="str">
        <f>IF(MAIN!$F$3="Project to Date",IF(AND(A600&gt;=SETTINGS!$B$4,A600&lt;MAIN!$B$3),"Yes",IF(AND(A600=MAIN!$B$3,E600&lt;=MAIN!$L$3),"Yes","No")),IF(OR(MAIN!$F$3="Full Year",MAIN!$D$3="All"),"Yes",IF(MAIN!$F$3="Monthly",IF(E600=MAIN!$L$3,"Yes","No"),IF(E600&lt;=MAIN!$L$3,"Yes","No"))))</f>
        <v>Yes</v>
      </c>
      <c r="AA600" t="str">
        <f t="shared" si="59"/>
        <v>No</v>
      </c>
    </row>
    <row r="601" spans="1:27" x14ac:dyDescent="0.3">
      <c r="A601">
        <f>INDEX(SETTINGS!$A$15:$A$24,$B601)</f>
        <v>2027</v>
      </c>
      <c r="B601">
        <v>3</v>
      </c>
      <c r="C601" t="str">
        <f>IF(AND(A601&gt;=SETTINGS!$B$4,A601&lt;=SETTINGS!$B$5),"Yes","No")</f>
        <v>No</v>
      </c>
      <c r="D601" t="str">
        <f>IFERROR(INDEX(SETTINGS!$C$15:$C$24,MATCH(A601,SETTINGS!$A$15:$A$24,0)),"No")</f>
        <v>No</v>
      </c>
      <c r="E601">
        <v>8</v>
      </c>
      <c r="F601" t="s">
        <v>41</v>
      </c>
      <c r="G601">
        <v>189</v>
      </c>
      <c r="H601" t="s">
        <v>104</v>
      </c>
      <c r="I601" t="s">
        <v>22</v>
      </c>
      <c r="J601" t="s">
        <v>24</v>
      </c>
      <c r="K601" t="s">
        <v>3</v>
      </c>
      <c r="L601" s="36">
        <f ca="1">IF(C601&lt;&gt;"Yes",0,IF(A601=2025,N('2025'!D189),IF(A601=2026,N('2026'!D189),IF(A601=2027,N('2027'!D189),IF(A601=2028,N('2028'!D189),IF(A601=2029,N('2029'!D189),IF(A601=2030,N('2030'!D189),IF(A601=2031,N('2031'!D189),IF(A601=2032,N('2032'!D189),IF(A601=2033,N('2033'!D189),IF(A601=2034,N('2034'!D189),IFERROR(N(INDIRECT("'"&amp;A601&amp;"'!D"&amp;G601)),0))))))))))))</f>
        <v>0</v>
      </c>
      <c r="M601" s="36">
        <f>IFERROR(IF(NOT(ISBLANK(KPI_TARGETS!$I$15)),KPI_TARGETS!$I$15,IF(NOT(ISBLANK(KPI_TARGETS!$F$15)),KPI_TARGETS!$F$15,"")),"")</f>
        <v>5</v>
      </c>
      <c r="N601" s="36" t="str">
        <f>IFERROR(KPI_TARGETS!$E$15,"Higher is better")</f>
        <v>Higher is better</v>
      </c>
      <c r="O601" s="37">
        <f t="shared" ca="1" si="54"/>
        <v>0</v>
      </c>
      <c r="P601" t="str">
        <f t="shared" ca="1" si="55"/>
        <v>Red</v>
      </c>
      <c r="Q601" s="36">
        <f t="shared" ca="1" si="56"/>
        <v>-5</v>
      </c>
      <c r="R601" s="36" t="str">
        <f>""</f>
        <v/>
      </c>
      <c r="S601" s="36" t="str">
        <f>""</f>
        <v/>
      </c>
      <c r="T601" s="36" t="str">
        <f>""</f>
        <v/>
      </c>
      <c r="U601" s="36" t="str">
        <f>""</f>
        <v/>
      </c>
      <c r="V601" s="36" t="str">
        <f>""</f>
        <v/>
      </c>
      <c r="W601" s="36">
        <f t="shared" si="57"/>
        <v>1</v>
      </c>
      <c r="X601" t="str">
        <f t="shared" si="58"/>
        <v>Inactive</v>
      </c>
      <c r="Y601" t="str">
        <f>IF(MAIN!$H$3="Selected Year",IF(A601=MAIN!$B$3,"Yes","No"),IF(MAIN!$H$3="Included Years",IF(D601="Yes","Yes","No"),IF(C601="Yes","Yes","No")))</f>
        <v>No</v>
      </c>
      <c r="Z601" t="str">
        <f>IF(MAIN!$F$3="Project to Date",IF(AND(A601&gt;=SETTINGS!$B$4,A601&lt;MAIN!$B$3),"Yes",IF(AND(A601=MAIN!$B$3,E601&lt;=MAIN!$L$3),"Yes","No")),IF(OR(MAIN!$F$3="Full Year",MAIN!$D$3="All"),"Yes",IF(MAIN!$F$3="Monthly",IF(E601=MAIN!$L$3,"Yes","No"),IF(E601&lt;=MAIN!$L$3,"Yes","No"))))</f>
        <v>Yes</v>
      </c>
      <c r="AA601" t="str">
        <f t="shared" si="59"/>
        <v>No</v>
      </c>
    </row>
    <row r="602" spans="1:27" x14ac:dyDescent="0.3">
      <c r="A602">
        <f>INDEX(SETTINGS!$A$15:$A$24,$B602)</f>
        <v>2027</v>
      </c>
      <c r="B602">
        <v>3</v>
      </c>
      <c r="C602" t="str">
        <f>IF(AND(A602&gt;=SETTINGS!$B$4,A602&lt;=SETTINGS!$B$5),"Yes","No")</f>
        <v>No</v>
      </c>
      <c r="D602" t="str">
        <f>IFERROR(INDEX(SETTINGS!$C$15:$C$24,MATCH(A602,SETTINGS!$A$15:$A$24,0)),"No")</f>
        <v>No</v>
      </c>
      <c r="E602">
        <v>8</v>
      </c>
      <c r="F602" t="s">
        <v>41</v>
      </c>
      <c r="G602">
        <v>190</v>
      </c>
      <c r="H602" t="s">
        <v>105</v>
      </c>
      <c r="I602" t="s">
        <v>22</v>
      </c>
      <c r="J602" t="s">
        <v>25</v>
      </c>
      <c r="K602" t="s">
        <v>3</v>
      </c>
      <c r="L602" s="36">
        <f ca="1">IF(C602&lt;&gt;"Yes",0,IF(A602=2025,N('2025'!D190),IF(A602=2026,N('2026'!D190),IF(A602=2027,N('2027'!D190),IF(A602=2028,N('2028'!D190),IF(A602=2029,N('2029'!D190),IF(A602=2030,N('2030'!D190),IF(A602=2031,N('2031'!D190),IF(A602=2032,N('2032'!D190),IF(A602=2033,N('2033'!D190),IF(A602=2034,N('2034'!D190),IFERROR(N(INDIRECT("'"&amp;A602&amp;"'!D"&amp;G602)),0))))))))))))</f>
        <v>0</v>
      </c>
      <c r="M602" s="36">
        <f>IFERROR(IF(NOT(ISBLANK(KPI_TARGETS!$I$16)),KPI_TARGETS!$I$16,IF(NOT(ISBLANK(KPI_TARGETS!$F$16)),KPI_TARGETS!$F$16,"")),"")</f>
        <v>4</v>
      </c>
      <c r="N602" s="36" t="str">
        <f>IFERROR(KPI_TARGETS!$E$16,"Higher is better")</f>
        <v>Higher is better</v>
      </c>
      <c r="O602" s="37">
        <f t="shared" ca="1" si="54"/>
        <v>0</v>
      </c>
      <c r="P602" t="str">
        <f t="shared" ca="1" si="55"/>
        <v>Red</v>
      </c>
      <c r="Q602" s="36">
        <f t="shared" ca="1" si="56"/>
        <v>-4</v>
      </c>
      <c r="R602" s="36" t="str">
        <f>""</f>
        <v/>
      </c>
      <c r="S602" s="36" t="str">
        <f>""</f>
        <v/>
      </c>
      <c r="T602" s="36" t="str">
        <f>""</f>
        <v/>
      </c>
      <c r="U602" s="36" t="str">
        <f>""</f>
        <v/>
      </c>
      <c r="V602" s="36" t="str">
        <f>""</f>
        <v/>
      </c>
      <c r="W602" s="36">
        <f t="shared" si="57"/>
        <v>1</v>
      </c>
      <c r="X602" t="str">
        <f t="shared" si="58"/>
        <v>Inactive</v>
      </c>
      <c r="Y602" t="str">
        <f>IF(MAIN!$H$3="Selected Year",IF(A602=MAIN!$B$3,"Yes","No"),IF(MAIN!$H$3="Included Years",IF(D602="Yes","Yes","No"),IF(C602="Yes","Yes","No")))</f>
        <v>No</v>
      </c>
      <c r="Z602" t="str">
        <f>IF(MAIN!$F$3="Project to Date",IF(AND(A602&gt;=SETTINGS!$B$4,A602&lt;MAIN!$B$3),"Yes",IF(AND(A602=MAIN!$B$3,E602&lt;=MAIN!$L$3),"Yes","No")),IF(OR(MAIN!$F$3="Full Year",MAIN!$D$3="All"),"Yes",IF(MAIN!$F$3="Monthly",IF(E602=MAIN!$L$3,"Yes","No"),IF(E602&lt;=MAIN!$L$3,"Yes","No"))))</f>
        <v>Yes</v>
      </c>
      <c r="AA602" t="str">
        <f t="shared" si="59"/>
        <v>No</v>
      </c>
    </row>
    <row r="603" spans="1:27" x14ac:dyDescent="0.3">
      <c r="A603">
        <f>INDEX(SETTINGS!$A$15:$A$24,$B603)</f>
        <v>2027</v>
      </c>
      <c r="B603">
        <v>3</v>
      </c>
      <c r="C603" t="str">
        <f>IF(AND(A603&gt;=SETTINGS!$B$4,A603&lt;=SETTINGS!$B$5),"Yes","No")</f>
        <v>No</v>
      </c>
      <c r="D603" t="str">
        <f>IFERROR(INDEX(SETTINGS!$C$15:$C$24,MATCH(A603,SETTINGS!$A$15:$A$24,0)),"No")</f>
        <v>No</v>
      </c>
      <c r="E603">
        <v>8</v>
      </c>
      <c r="F603" t="s">
        <v>41</v>
      </c>
      <c r="G603">
        <v>191</v>
      </c>
      <c r="H603" t="s">
        <v>106</v>
      </c>
      <c r="I603" t="s">
        <v>22</v>
      </c>
      <c r="J603" t="s">
        <v>26</v>
      </c>
      <c r="K603" t="s">
        <v>3</v>
      </c>
      <c r="L603" s="36">
        <f ca="1">IF(C603&lt;&gt;"Yes",0,IF(A603=2025,N('2025'!D191),IF(A603=2026,N('2026'!D191),IF(A603=2027,N('2027'!D191),IF(A603=2028,N('2028'!D191),IF(A603=2029,N('2029'!D191),IF(A603=2030,N('2030'!D191),IF(A603=2031,N('2031'!D191),IF(A603=2032,N('2032'!D191),IF(A603=2033,N('2033'!D191),IF(A603=2034,N('2034'!D191),IFERROR(N(INDIRECT("'"&amp;A603&amp;"'!D"&amp;G603)),0))))))))))))</f>
        <v>0</v>
      </c>
      <c r="M603" s="36">
        <f>IFERROR(IF(NOT(ISBLANK(KPI_TARGETS!$I$17)),KPI_TARGETS!$I$17,IF(NOT(ISBLANK(KPI_TARGETS!$F$17)),KPI_TARGETS!$F$17,"")),"")</f>
        <v>12</v>
      </c>
      <c r="N603" s="36" t="str">
        <f>IFERROR(KPI_TARGETS!$E$17,"Higher is better")</f>
        <v>Higher is better</v>
      </c>
      <c r="O603" s="37">
        <f t="shared" ca="1" si="54"/>
        <v>0</v>
      </c>
      <c r="P603" t="str">
        <f t="shared" ca="1" si="55"/>
        <v>Red</v>
      </c>
      <c r="Q603" s="36">
        <f t="shared" ca="1" si="56"/>
        <v>-12</v>
      </c>
      <c r="R603" s="36" t="str">
        <f>""</f>
        <v/>
      </c>
      <c r="S603" s="36" t="str">
        <f>""</f>
        <v/>
      </c>
      <c r="T603" s="36" t="str">
        <f>""</f>
        <v/>
      </c>
      <c r="U603" s="36" t="str">
        <f>""</f>
        <v/>
      </c>
      <c r="V603" s="36" t="str">
        <f>""</f>
        <v/>
      </c>
      <c r="W603" s="36">
        <f t="shared" si="57"/>
        <v>1</v>
      </c>
      <c r="X603" t="str">
        <f t="shared" si="58"/>
        <v>Inactive</v>
      </c>
      <c r="Y603" t="str">
        <f>IF(MAIN!$H$3="Selected Year",IF(A603=MAIN!$B$3,"Yes","No"),IF(MAIN!$H$3="Included Years",IF(D603="Yes","Yes","No"),IF(C603="Yes","Yes","No")))</f>
        <v>No</v>
      </c>
      <c r="Z603" t="str">
        <f>IF(MAIN!$F$3="Project to Date",IF(AND(A603&gt;=SETTINGS!$B$4,A603&lt;MAIN!$B$3),"Yes",IF(AND(A603=MAIN!$B$3,E603&lt;=MAIN!$L$3),"Yes","No")),IF(OR(MAIN!$F$3="Full Year",MAIN!$D$3="All"),"Yes",IF(MAIN!$F$3="Monthly",IF(E603=MAIN!$L$3,"Yes","No"),IF(E603&lt;=MAIN!$L$3,"Yes","No"))))</f>
        <v>Yes</v>
      </c>
      <c r="AA603" t="str">
        <f t="shared" si="59"/>
        <v>No</v>
      </c>
    </row>
    <row r="604" spans="1:27" x14ac:dyDescent="0.3">
      <c r="A604">
        <f>INDEX(SETTINGS!$A$15:$A$24,$B604)</f>
        <v>2027</v>
      </c>
      <c r="B604">
        <v>3</v>
      </c>
      <c r="C604" t="str">
        <f>IF(AND(A604&gt;=SETTINGS!$B$4,A604&lt;=SETTINGS!$B$5),"Yes","No")</f>
        <v>No</v>
      </c>
      <c r="D604" t="str">
        <f>IFERROR(INDEX(SETTINGS!$C$15:$C$24,MATCH(A604,SETTINGS!$A$15:$A$24,0)),"No")</f>
        <v>No</v>
      </c>
      <c r="E604">
        <v>8</v>
      </c>
      <c r="F604" t="s">
        <v>41</v>
      </c>
      <c r="G604">
        <v>192</v>
      </c>
      <c r="H604" t="s">
        <v>107</v>
      </c>
      <c r="I604" t="s">
        <v>22</v>
      </c>
      <c r="J604" t="s">
        <v>27</v>
      </c>
      <c r="K604" t="s">
        <v>3</v>
      </c>
      <c r="L604" s="36">
        <f ca="1">IF(C604&lt;&gt;"Yes",0,IF(A604=2025,N('2025'!D192),IF(A604=2026,N('2026'!D192),IF(A604=2027,N('2027'!D192),IF(A604=2028,N('2028'!D192),IF(A604=2029,N('2029'!D192),IF(A604=2030,N('2030'!D192),IF(A604=2031,N('2031'!D192),IF(A604=2032,N('2032'!D192),IF(A604=2033,N('2033'!D192),IF(A604=2034,N('2034'!D192),IFERROR(N(INDIRECT("'"&amp;A604&amp;"'!D"&amp;G604)),0))))))))))))</f>
        <v>0</v>
      </c>
      <c r="M604" s="36">
        <f>IFERROR(IF(NOT(ISBLANK(KPI_TARGETS!$I$18)),KPI_TARGETS!$I$18,IF(NOT(ISBLANK(KPI_TARGETS!$F$18)),KPI_TARGETS!$F$18,"")),"")</f>
        <v>4</v>
      </c>
      <c r="N604" s="36" t="str">
        <f>IFERROR(KPI_TARGETS!$E$18,"Higher is better")</f>
        <v>Higher is better</v>
      </c>
      <c r="O604" s="37">
        <f t="shared" ca="1" si="54"/>
        <v>0</v>
      </c>
      <c r="P604" t="str">
        <f t="shared" ca="1" si="55"/>
        <v>Red</v>
      </c>
      <c r="Q604" s="36">
        <f t="shared" ca="1" si="56"/>
        <v>-4</v>
      </c>
      <c r="R604" s="36" t="str">
        <f>""</f>
        <v/>
      </c>
      <c r="S604" s="36" t="str">
        <f>""</f>
        <v/>
      </c>
      <c r="T604" s="36" t="str">
        <f>""</f>
        <v/>
      </c>
      <c r="U604" s="36" t="str">
        <f>""</f>
        <v/>
      </c>
      <c r="V604" s="36" t="str">
        <f>""</f>
        <v/>
      </c>
      <c r="W604" s="36">
        <f t="shared" si="57"/>
        <v>1</v>
      </c>
      <c r="X604" t="str">
        <f t="shared" si="58"/>
        <v>Inactive</v>
      </c>
      <c r="Y604" t="str">
        <f>IF(MAIN!$H$3="Selected Year",IF(A604=MAIN!$B$3,"Yes","No"),IF(MAIN!$H$3="Included Years",IF(D604="Yes","Yes","No"),IF(C604="Yes","Yes","No")))</f>
        <v>No</v>
      </c>
      <c r="Z604" t="str">
        <f>IF(MAIN!$F$3="Project to Date",IF(AND(A604&gt;=SETTINGS!$B$4,A604&lt;MAIN!$B$3),"Yes",IF(AND(A604=MAIN!$B$3,E604&lt;=MAIN!$L$3),"Yes","No")),IF(OR(MAIN!$F$3="Full Year",MAIN!$D$3="All"),"Yes",IF(MAIN!$F$3="Monthly",IF(E604=MAIN!$L$3,"Yes","No"),IF(E604&lt;=MAIN!$L$3,"Yes","No"))))</f>
        <v>Yes</v>
      </c>
      <c r="AA604" t="str">
        <f t="shared" si="59"/>
        <v>No</v>
      </c>
    </row>
    <row r="605" spans="1:27" x14ac:dyDescent="0.3">
      <c r="A605">
        <f>INDEX(SETTINGS!$A$15:$A$24,$B605)</f>
        <v>2027</v>
      </c>
      <c r="B605">
        <v>3</v>
      </c>
      <c r="C605" t="str">
        <f>IF(AND(A605&gt;=SETTINGS!$B$4,A605&lt;=SETTINGS!$B$5),"Yes","No")</f>
        <v>No</v>
      </c>
      <c r="D605" t="str">
        <f>IFERROR(INDEX(SETTINGS!$C$15:$C$24,MATCH(A605,SETTINGS!$A$15:$A$24,0)),"No")</f>
        <v>No</v>
      </c>
      <c r="E605">
        <v>8</v>
      </c>
      <c r="F605" t="s">
        <v>41</v>
      </c>
      <c r="G605">
        <v>193</v>
      </c>
      <c r="H605" t="s">
        <v>108</v>
      </c>
      <c r="I605" t="s">
        <v>22</v>
      </c>
      <c r="J605" t="s">
        <v>28</v>
      </c>
      <c r="K605" t="s">
        <v>3</v>
      </c>
      <c r="L605" s="36">
        <f ca="1">IF(C605&lt;&gt;"Yes",0,IF(A605=2025,N('2025'!D193),IF(A605=2026,N('2026'!D193),IF(A605=2027,N('2027'!D193),IF(A605=2028,N('2028'!D193),IF(A605=2029,N('2029'!D193),IF(A605=2030,N('2030'!D193),IF(A605=2031,N('2031'!D193),IF(A605=2032,N('2032'!D193),IF(A605=2033,N('2033'!D193),IF(A605=2034,N('2034'!D193),IFERROR(N(INDIRECT("'"&amp;A605&amp;"'!D"&amp;G605)),0))))))))))))</f>
        <v>0</v>
      </c>
      <c r="M605" s="36">
        <f>IFERROR(IF(NOT(ISBLANK(KPI_TARGETS!$I$19)),KPI_TARGETS!$I$19,IF(NOT(ISBLANK(KPI_TARGETS!$F$19)),KPI_TARGETS!$F$19,"")),"")</f>
        <v>16</v>
      </c>
      <c r="N605" s="36" t="str">
        <f>IFERROR(KPI_TARGETS!$E$19,"Higher is better")</f>
        <v>Higher is better</v>
      </c>
      <c r="O605" s="37">
        <f t="shared" ca="1" si="54"/>
        <v>0</v>
      </c>
      <c r="P605" t="str">
        <f t="shared" ca="1" si="55"/>
        <v>Red</v>
      </c>
      <c r="Q605" s="36">
        <f t="shared" ca="1" si="56"/>
        <v>-16</v>
      </c>
      <c r="R605" s="36" t="str">
        <f>""</f>
        <v/>
      </c>
      <c r="S605" s="36" t="str">
        <f>""</f>
        <v/>
      </c>
      <c r="T605" s="36" t="str">
        <f>""</f>
        <v/>
      </c>
      <c r="U605" s="36" t="str">
        <f>""</f>
        <v/>
      </c>
      <c r="V605" s="36" t="str">
        <f>""</f>
        <v/>
      </c>
      <c r="W605" s="36">
        <f t="shared" si="57"/>
        <v>1</v>
      </c>
      <c r="X605" t="str">
        <f t="shared" si="58"/>
        <v>Inactive</v>
      </c>
      <c r="Y605" t="str">
        <f>IF(MAIN!$H$3="Selected Year",IF(A605=MAIN!$B$3,"Yes","No"),IF(MAIN!$H$3="Included Years",IF(D605="Yes","Yes","No"),IF(C605="Yes","Yes","No")))</f>
        <v>No</v>
      </c>
      <c r="Z605" t="str">
        <f>IF(MAIN!$F$3="Project to Date",IF(AND(A605&gt;=SETTINGS!$B$4,A605&lt;MAIN!$B$3),"Yes",IF(AND(A605=MAIN!$B$3,E605&lt;=MAIN!$L$3),"Yes","No")),IF(OR(MAIN!$F$3="Full Year",MAIN!$D$3="All"),"Yes",IF(MAIN!$F$3="Monthly",IF(E605=MAIN!$L$3,"Yes","No"),IF(E605&lt;=MAIN!$L$3,"Yes","No"))))</f>
        <v>Yes</v>
      </c>
      <c r="AA605" t="str">
        <f t="shared" si="59"/>
        <v>No</v>
      </c>
    </row>
    <row r="606" spans="1:27" x14ac:dyDescent="0.3">
      <c r="A606">
        <f>INDEX(SETTINGS!$A$15:$A$24,$B606)</f>
        <v>2027</v>
      </c>
      <c r="B606">
        <v>3</v>
      </c>
      <c r="C606" t="str">
        <f>IF(AND(A606&gt;=SETTINGS!$B$4,A606&lt;=SETTINGS!$B$5),"Yes","No")</f>
        <v>No</v>
      </c>
      <c r="D606" t="str">
        <f>IFERROR(INDEX(SETTINGS!$C$15:$C$24,MATCH(A606,SETTINGS!$A$15:$A$24,0)),"No")</f>
        <v>No</v>
      </c>
      <c r="E606">
        <v>8</v>
      </c>
      <c r="F606" t="s">
        <v>41</v>
      </c>
      <c r="G606">
        <v>194</v>
      </c>
      <c r="H606" t="s">
        <v>109</v>
      </c>
      <c r="I606" t="s">
        <v>22</v>
      </c>
      <c r="J606" t="s">
        <v>29</v>
      </c>
      <c r="K606" t="s">
        <v>3</v>
      </c>
      <c r="L606" s="36">
        <f ca="1">IF(C606&lt;&gt;"Yes",0,IF(A606=2025,N('2025'!D194),IF(A606=2026,N('2026'!D194),IF(A606=2027,N('2027'!D194),IF(A606=2028,N('2028'!D194),IF(A606=2029,N('2029'!D194),IF(A606=2030,N('2030'!D194),IF(A606=2031,N('2031'!D194),IF(A606=2032,N('2032'!D194),IF(A606=2033,N('2033'!D194),IF(A606=2034,N('2034'!D194),IFERROR(N(INDIRECT("'"&amp;A606&amp;"'!D"&amp;G606)),0))))))))))))</f>
        <v>0</v>
      </c>
      <c r="M606" s="36">
        <f>IFERROR(IF(NOT(ISBLANK(KPI_TARGETS!$I$20)),KPI_TARGETS!$I$20,IF(NOT(ISBLANK(KPI_TARGETS!$F$20)),KPI_TARGETS!$F$20,"")),"")</f>
        <v>1</v>
      </c>
      <c r="N606" s="36" t="str">
        <f>IFERROR(KPI_TARGETS!$E$20,"Higher is better")</f>
        <v>Higher is better</v>
      </c>
      <c r="O606" s="37">
        <f t="shared" ca="1" si="54"/>
        <v>0</v>
      </c>
      <c r="P606" t="str">
        <f t="shared" ca="1" si="55"/>
        <v>Red</v>
      </c>
      <c r="Q606" s="36">
        <f t="shared" ca="1" si="56"/>
        <v>-1</v>
      </c>
      <c r="R606" s="36" t="str">
        <f>""</f>
        <v/>
      </c>
      <c r="S606" s="36" t="str">
        <f>""</f>
        <v/>
      </c>
      <c r="T606" s="36" t="str">
        <f>""</f>
        <v/>
      </c>
      <c r="U606" s="36" t="str">
        <f>""</f>
        <v/>
      </c>
      <c r="V606" s="36" t="str">
        <f>""</f>
        <v/>
      </c>
      <c r="W606" s="36">
        <f t="shared" si="57"/>
        <v>1</v>
      </c>
      <c r="X606" t="str">
        <f t="shared" si="58"/>
        <v>Inactive</v>
      </c>
      <c r="Y606" t="str">
        <f>IF(MAIN!$H$3="Selected Year",IF(A606=MAIN!$B$3,"Yes","No"),IF(MAIN!$H$3="Included Years",IF(D606="Yes","Yes","No"),IF(C606="Yes","Yes","No")))</f>
        <v>No</v>
      </c>
      <c r="Z606" t="str">
        <f>IF(MAIN!$F$3="Project to Date",IF(AND(A606&gt;=SETTINGS!$B$4,A606&lt;MAIN!$B$3),"Yes",IF(AND(A606=MAIN!$B$3,E606&lt;=MAIN!$L$3),"Yes","No")),IF(OR(MAIN!$F$3="Full Year",MAIN!$D$3="All"),"Yes",IF(MAIN!$F$3="Monthly",IF(E606=MAIN!$L$3,"Yes","No"),IF(E606&lt;=MAIN!$L$3,"Yes","No"))))</f>
        <v>Yes</v>
      </c>
      <c r="AA606" t="str">
        <f t="shared" si="59"/>
        <v>No</v>
      </c>
    </row>
    <row r="607" spans="1:27" x14ac:dyDescent="0.3">
      <c r="A607">
        <f>INDEX(SETTINGS!$A$15:$A$24,$B607)</f>
        <v>2027</v>
      </c>
      <c r="B607">
        <v>3</v>
      </c>
      <c r="C607" t="str">
        <f>IF(AND(A607&gt;=SETTINGS!$B$4,A607&lt;=SETTINGS!$B$5),"Yes","No")</f>
        <v>No</v>
      </c>
      <c r="D607" t="str">
        <f>IFERROR(INDEX(SETTINGS!$C$15:$C$24,MATCH(A607,SETTINGS!$A$15:$A$24,0)),"No")</f>
        <v>No</v>
      </c>
      <c r="E607">
        <v>8</v>
      </c>
      <c r="F607" t="s">
        <v>41</v>
      </c>
      <c r="G607">
        <v>196</v>
      </c>
      <c r="H607" t="s">
        <v>110</v>
      </c>
      <c r="I607" t="s">
        <v>30</v>
      </c>
      <c r="J607" t="s">
        <v>31</v>
      </c>
      <c r="K607" t="s">
        <v>3</v>
      </c>
      <c r="L607" s="36">
        <f ca="1">IF(C607&lt;&gt;"Yes",0,IF(A607=2025,N('2025'!D196),IF(A607=2026,N('2026'!D196),IF(A607=2027,N('2027'!D196),IF(A607=2028,N('2028'!D196),IF(A607=2029,N('2029'!D196),IF(A607=2030,N('2030'!D196),IF(A607=2031,N('2031'!D196),IF(A607=2032,N('2032'!D196),IF(A607=2033,N('2033'!D196),IF(A607=2034,N('2034'!D196),IFERROR(N(INDIRECT("'"&amp;A607&amp;"'!D"&amp;G607)),0))))))))))))</f>
        <v>0</v>
      </c>
      <c r="M607" s="36">
        <f>IFERROR(IF(NOT(ISBLANK(KPI_TARGETS!$I$21)),KPI_TARGETS!$I$21,IF(NOT(ISBLANK(KPI_TARGETS!$F$21)),KPI_TARGETS!$F$21,"")),"")</f>
        <v>0</v>
      </c>
      <c r="N607" s="36" t="str">
        <f>IFERROR(KPI_TARGETS!$E$21,"Higher is better")</f>
        <v>Lower is better</v>
      </c>
      <c r="O607" s="37">
        <f t="shared" ca="1" si="54"/>
        <v>1</v>
      </c>
      <c r="P607" t="str">
        <f t="shared" ca="1" si="55"/>
        <v>Green</v>
      </c>
      <c r="Q607" s="36">
        <f t="shared" ca="1" si="56"/>
        <v>0</v>
      </c>
      <c r="R607" s="36" t="str">
        <f>""</f>
        <v/>
      </c>
      <c r="S607" s="36" t="str">
        <f>""</f>
        <v/>
      </c>
      <c r="T607" s="36" t="str">
        <f>""</f>
        <v/>
      </c>
      <c r="U607" s="36" t="str">
        <f>""</f>
        <v/>
      </c>
      <c r="V607" s="36" t="str">
        <f>""</f>
        <v/>
      </c>
      <c r="W607" s="36">
        <f t="shared" si="57"/>
        <v>1</v>
      </c>
      <c r="X607" t="str">
        <f t="shared" si="58"/>
        <v>Inactive</v>
      </c>
      <c r="Y607" t="str">
        <f>IF(MAIN!$H$3="Selected Year",IF(A607=MAIN!$B$3,"Yes","No"),IF(MAIN!$H$3="Included Years",IF(D607="Yes","Yes","No"),IF(C607="Yes","Yes","No")))</f>
        <v>No</v>
      </c>
      <c r="Z607" t="str">
        <f>IF(MAIN!$F$3="Project to Date",IF(AND(A607&gt;=SETTINGS!$B$4,A607&lt;MAIN!$B$3),"Yes",IF(AND(A607=MAIN!$B$3,E607&lt;=MAIN!$L$3),"Yes","No")),IF(OR(MAIN!$F$3="Full Year",MAIN!$D$3="All"),"Yes",IF(MAIN!$F$3="Monthly",IF(E607=MAIN!$L$3,"Yes","No"),IF(E607&lt;=MAIN!$L$3,"Yes","No"))))</f>
        <v>Yes</v>
      </c>
      <c r="AA607" t="str">
        <f t="shared" si="59"/>
        <v>No</v>
      </c>
    </row>
    <row r="608" spans="1:27" x14ac:dyDescent="0.3">
      <c r="A608">
        <f>INDEX(SETTINGS!$A$15:$A$24,$B608)</f>
        <v>2027</v>
      </c>
      <c r="B608">
        <v>3</v>
      </c>
      <c r="C608" t="str">
        <f>IF(AND(A608&gt;=SETTINGS!$B$4,A608&lt;=SETTINGS!$B$5),"Yes","No")</f>
        <v>No</v>
      </c>
      <c r="D608" t="str">
        <f>IFERROR(INDEX(SETTINGS!$C$15:$C$24,MATCH(A608,SETTINGS!$A$15:$A$24,0)),"No")</f>
        <v>No</v>
      </c>
      <c r="E608">
        <v>8</v>
      </c>
      <c r="F608" t="s">
        <v>41</v>
      </c>
      <c r="G608">
        <v>197</v>
      </c>
      <c r="H608" t="s">
        <v>111</v>
      </c>
      <c r="I608" t="s">
        <v>30</v>
      </c>
      <c r="J608" t="s">
        <v>32</v>
      </c>
      <c r="K608" t="s">
        <v>3</v>
      </c>
      <c r="L608" s="36">
        <f ca="1">IF(C608&lt;&gt;"Yes",0,IF(A608=2025,N('2025'!D197),IF(A608=2026,N('2026'!D197),IF(A608=2027,N('2027'!D197),IF(A608=2028,N('2028'!D197),IF(A608=2029,N('2029'!D197),IF(A608=2030,N('2030'!D197),IF(A608=2031,N('2031'!D197),IF(A608=2032,N('2032'!D197),IF(A608=2033,N('2033'!D197),IF(A608=2034,N('2034'!D197),IFERROR(N(INDIRECT("'"&amp;A608&amp;"'!D"&amp;G608)),0))))))))))))</f>
        <v>0</v>
      </c>
      <c r="M608" s="36">
        <f>IFERROR(IF(NOT(ISBLANK(KPI_TARGETS!$I$22)),KPI_TARGETS!$I$22,IF(NOT(ISBLANK(KPI_TARGETS!$F$22)),KPI_TARGETS!$F$22,"")),"")</f>
        <v>1</v>
      </c>
      <c r="N608" s="36" t="str">
        <f>IFERROR(KPI_TARGETS!$E$22,"Higher is better")</f>
        <v>Higher is better</v>
      </c>
      <c r="O608" s="37">
        <f t="shared" ca="1" si="54"/>
        <v>0</v>
      </c>
      <c r="P608" t="str">
        <f t="shared" ca="1" si="55"/>
        <v>Red</v>
      </c>
      <c r="Q608" s="36">
        <f t="shared" ca="1" si="56"/>
        <v>-1</v>
      </c>
      <c r="R608" s="36" t="str">
        <f>""</f>
        <v/>
      </c>
      <c r="S608" s="36" t="str">
        <f>""</f>
        <v/>
      </c>
      <c r="T608" s="36" t="str">
        <f>""</f>
        <v/>
      </c>
      <c r="U608" s="36" t="str">
        <f>""</f>
        <v/>
      </c>
      <c r="V608" s="36" t="str">
        <f>""</f>
        <v/>
      </c>
      <c r="W608" s="36">
        <f t="shared" si="57"/>
        <v>1</v>
      </c>
      <c r="X608" t="str">
        <f t="shared" si="58"/>
        <v>Inactive</v>
      </c>
      <c r="Y608" t="str">
        <f>IF(MAIN!$H$3="Selected Year",IF(A608=MAIN!$B$3,"Yes","No"),IF(MAIN!$H$3="Included Years",IF(D608="Yes","Yes","No"),IF(C608="Yes","Yes","No")))</f>
        <v>No</v>
      </c>
      <c r="Z608" t="str">
        <f>IF(MAIN!$F$3="Project to Date",IF(AND(A608&gt;=SETTINGS!$B$4,A608&lt;MAIN!$B$3),"Yes",IF(AND(A608=MAIN!$B$3,E608&lt;=MAIN!$L$3),"Yes","No")),IF(OR(MAIN!$F$3="Full Year",MAIN!$D$3="All"),"Yes",IF(MAIN!$F$3="Monthly",IF(E608=MAIN!$L$3,"Yes","No"),IF(E608&lt;=MAIN!$L$3,"Yes","No"))))</f>
        <v>Yes</v>
      </c>
      <c r="AA608" t="str">
        <f t="shared" si="59"/>
        <v>No</v>
      </c>
    </row>
    <row r="609" spans="1:27" x14ac:dyDescent="0.3">
      <c r="A609">
        <f>INDEX(SETTINGS!$A$15:$A$24,$B609)</f>
        <v>2027</v>
      </c>
      <c r="B609">
        <v>3</v>
      </c>
      <c r="C609" t="str">
        <f>IF(AND(A609&gt;=SETTINGS!$B$4,A609&lt;=SETTINGS!$B$5),"Yes","No")</f>
        <v>No</v>
      </c>
      <c r="D609" t="str">
        <f>IFERROR(INDEX(SETTINGS!$C$15:$C$24,MATCH(A609,SETTINGS!$A$15:$A$24,0)),"No")</f>
        <v>No</v>
      </c>
      <c r="E609">
        <v>8</v>
      </c>
      <c r="F609" t="s">
        <v>41</v>
      </c>
      <c r="G609">
        <v>198</v>
      </c>
      <c r="H609" t="s">
        <v>112</v>
      </c>
      <c r="I609" t="s">
        <v>30</v>
      </c>
      <c r="J609" t="s">
        <v>33</v>
      </c>
      <c r="K609" t="s">
        <v>34</v>
      </c>
      <c r="L609" s="36">
        <f ca="1">IF(C609&lt;&gt;"Yes",0,IF(A609=2025,N('2025'!D198),IF(A609=2026,N('2026'!D198),IF(A609=2027,N('2027'!D198),IF(A609=2028,N('2028'!D198),IF(A609=2029,N('2029'!D198),IF(A609=2030,N('2030'!D198),IF(A609=2031,N('2031'!D198),IF(A609=2032,N('2032'!D198),IF(A609=2033,N('2033'!D198),IF(A609=2034,N('2034'!D198),IFERROR(N(INDIRECT("'"&amp;A609&amp;"'!D"&amp;G609)),0))))))))))))</f>
        <v>0</v>
      </c>
      <c r="M609" s="36">
        <f>IFERROR(IF(NOT(ISBLANK(KPI_TARGETS!$I$23)),KPI_TARGETS!$I$23,IF(NOT(ISBLANK(KPI_TARGETS!$F$23)),KPI_TARGETS!$F$23,"")),"")</f>
        <v>1</v>
      </c>
      <c r="N609" s="36" t="str">
        <f>IFERROR(KPI_TARGETS!$E$23,"Higher is better")</f>
        <v>Higher is better</v>
      </c>
      <c r="O609" s="37">
        <f t="shared" ca="1" si="54"/>
        <v>0</v>
      </c>
      <c r="P609" t="str">
        <f t="shared" ca="1" si="55"/>
        <v>Red</v>
      </c>
      <c r="Q609" s="36">
        <f t="shared" ca="1" si="56"/>
        <v>-1</v>
      </c>
      <c r="R609" s="36" t="str">
        <f>""</f>
        <v/>
      </c>
      <c r="S609" s="36" t="str">
        <f>""</f>
        <v/>
      </c>
      <c r="T609" s="36" t="str">
        <f>""</f>
        <v/>
      </c>
      <c r="U609" s="36" t="str">
        <f>""</f>
        <v/>
      </c>
      <c r="V609" s="36" t="str">
        <f>""</f>
        <v/>
      </c>
      <c r="W609" s="36">
        <f t="shared" si="57"/>
        <v>1</v>
      </c>
      <c r="X609" t="str">
        <f t="shared" si="58"/>
        <v>Inactive</v>
      </c>
      <c r="Y609" t="str">
        <f>IF(MAIN!$H$3="Selected Year",IF(A609=MAIN!$B$3,"Yes","No"),IF(MAIN!$H$3="Included Years",IF(D609="Yes","Yes","No"),IF(C609="Yes","Yes","No")))</f>
        <v>No</v>
      </c>
      <c r="Z609" t="str">
        <f>IF(MAIN!$F$3="Project to Date",IF(AND(A609&gt;=SETTINGS!$B$4,A609&lt;MAIN!$B$3),"Yes",IF(AND(A609=MAIN!$B$3,E609&lt;=MAIN!$L$3),"Yes","No")),IF(OR(MAIN!$F$3="Full Year",MAIN!$D$3="All"),"Yes",IF(MAIN!$F$3="Monthly",IF(E609=MAIN!$L$3,"Yes","No"),IF(E609&lt;=MAIN!$L$3,"Yes","No"))))</f>
        <v>Yes</v>
      </c>
      <c r="AA609" t="str">
        <f t="shared" si="59"/>
        <v>No</v>
      </c>
    </row>
    <row r="610" spans="1:27" x14ac:dyDescent="0.3">
      <c r="A610">
        <f>INDEX(SETTINGS!$A$15:$A$24,$B610)</f>
        <v>2027</v>
      </c>
      <c r="B610">
        <v>3</v>
      </c>
      <c r="C610" t="str">
        <f>IF(AND(A610&gt;=SETTINGS!$B$4,A610&lt;=SETTINGS!$B$5),"Yes","No")</f>
        <v>No</v>
      </c>
      <c r="D610" t="str">
        <f>IFERROR(INDEX(SETTINGS!$C$15:$C$24,MATCH(A610,SETTINGS!$A$15:$A$24,0)),"No")</f>
        <v>No</v>
      </c>
      <c r="E610">
        <v>9</v>
      </c>
      <c r="F610" t="s">
        <v>42</v>
      </c>
      <c r="G610">
        <v>201</v>
      </c>
      <c r="H610" t="s">
        <v>88</v>
      </c>
      <c r="I610" t="s">
        <v>89</v>
      </c>
      <c r="J610" t="s">
        <v>10</v>
      </c>
      <c r="K610" t="s">
        <v>3</v>
      </c>
      <c r="L610" s="36">
        <f ca="1">IF(C610&lt;&gt;"Yes",0,IF(A610=2025,N('2025'!D201),IF(A610=2026,N('2026'!D201),IF(A610=2027,N('2027'!D201),IF(A610=2028,N('2028'!D201),IF(A610=2029,N('2029'!D201),IF(A610=2030,N('2030'!D201),IF(A610=2031,N('2031'!D201),IF(A610=2032,N('2032'!D201),IF(A610=2033,N('2033'!D201),IF(A610=2034,N('2034'!D201),IFERROR(N(INDIRECT("'"&amp;A610&amp;"'!D"&amp;G610)),0))))))))))))</f>
        <v>0</v>
      </c>
      <c r="M610" s="36">
        <f>IFERROR(IF(NOT(ISBLANK(KPI_TARGETS!$I$5)),KPI_TARGETS!$I$5,IF(NOT(ISBLANK(KPI_TARGETS!$F$5)),KPI_TARGETS!$F$5,"")),"")</f>
        <v>104</v>
      </c>
      <c r="N610" s="36" t="str">
        <f>IFERROR(KPI_TARGETS!$E$5,"Higher is better")</f>
        <v>Higher is better</v>
      </c>
      <c r="O610" s="37">
        <f t="shared" ca="1" si="54"/>
        <v>0</v>
      </c>
      <c r="P610" t="str">
        <f t="shared" ca="1" si="55"/>
        <v>Red</v>
      </c>
      <c r="Q610" s="36">
        <f t="shared" ca="1" si="56"/>
        <v>-104</v>
      </c>
      <c r="R610" s="36" t="str">
        <f>""</f>
        <v/>
      </c>
      <c r="S610" s="36" t="str">
        <f>""</f>
        <v/>
      </c>
      <c r="T610" s="36" t="str">
        <f>""</f>
        <v/>
      </c>
      <c r="U610" s="36" t="str">
        <f>""</f>
        <v/>
      </c>
      <c r="V610" s="36" t="str">
        <f>""</f>
        <v/>
      </c>
      <c r="W610" s="36">
        <f t="shared" si="57"/>
        <v>1</v>
      </c>
      <c r="X610" t="str">
        <f t="shared" si="58"/>
        <v>Inactive</v>
      </c>
      <c r="Y610" t="str">
        <f>IF(MAIN!$H$3="Selected Year",IF(A610=MAIN!$B$3,"Yes","No"),IF(MAIN!$H$3="Included Years",IF(D610="Yes","Yes","No"),IF(C610="Yes","Yes","No")))</f>
        <v>No</v>
      </c>
      <c r="Z610" t="str">
        <f>IF(MAIN!$F$3="Project to Date",IF(AND(A610&gt;=SETTINGS!$B$4,A610&lt;MAIN!$B$3),"Yes",IF(AND(A610=MAIN!$B$3,E610&lt;=MAIN!$L$3),"Yes","No")),IF(OR(MAIN!$F$3="Full Year",MAIN!$D$3="All"),"Yes",IF(MAIN!$F$3="Monthly",IF(E610=MAIN!$L$3,"Yes","No"),IF(E610&lt;=MAIN!$L$3,"Yes","No"))))</f>
        <v>Yes</v>
      </c>
      <c r="AA610" t="str">
        <f t="shared" si="59"/>
        <v>No</v>
      </c>
    </row>
    <row r="611" spans="1:27" x14ac:dyDescent="0.3">
      <c r="A611">
        <f>INDEX(SETTINGS!$A$15:$A$24,$B611)</f>
        <v>2027</v>
      </c>
      <c r="B611">
        <v>3</v>
      </c>
      <c r="C611" t="str">
        <f>IF(AND(A611&gt;=SETTINGS!$B$4,A611&lt;=SETTINGS!$B$5),"Yes","No")</f>
        <v>No</v>
      </c>
      <c r="D611" t="str">
        <f>IFERROR(INDEX(SETTINGS!$C$15:$C$24,MATCH(A611,SETTINGS!$A$15:$A$24,0)),"No")</f>
        <v>No</v>
      </c>
      <c r="E611">
        <v>9</v>
      </c>
      <c r="F611" t="s">
        <v>42</v>
      </c>
      <c r="G611">
        <v>202</v>
      </c>
      <c r="H611" t="s">
        <v>91</v>
      </c>
      <c r="I611" t="s">
        <v>89</v>
      </c>
      <c r="J611" t="s">
        <v>11</v>
      </c>
      <c r="K611" t="s">
        <v>12</v>
      </c>
      <c r="L611" s="36">
        <f ca="1">IF(C611&lt;&gt;"Yes",0,IF(A611=2025,N('2025'!D202),IF(A611=2026,N('2026'!D202),IF(A611=2027,N('2027'!D202),IF(A611=2028,N('2028'!D202),IF(A611=2029,N('2029'!D202),IF(A611=2030,N('2030'!D202),IF(A611=2031,N('2031'!D202),IF(A611=2032,N('2032'!D202),IF(A611=2033,N('2033'!D202),IF(A611=2034,N('2034'!D202),IFERROR(N(INDIRECT("'"&amp;A611&amp;"'!D"&amp;G611)),0))))))))))))</f>
        <v>0</v>
      </c>
      <c r="M611" s="36">
        <f>IFERROR(IF(NOT(ISBLANK(KPI_TARGETS!$I$6)),KPI_TARGETS!$I$6,IF(NOT(ISBLANK(KPI_TARGETS!$F$6)),KPI_TARGETS!$F$6,"")),"")</f>
        <v>4000</v>
      </c>
      <c r="N611" s="36" t="str">
        <f>IFERROR(KPI_TARGETS!$E$6,"Higher is better")</f>
        <v>Higher is better</v>
      </c>
      <c r="O611" s="37">
        <f t="shared" ca="1" si="54"/>
        <v>0</v>
      </c>
      <c r="P611" t="str">
        <f t="shared" ca="1" si="55"/>
        <v>Red</v>
      </c>
      <c r="Q611" s="36">
        <f t="shared" ca="1" si="56"/>
        <v>-4000</v>
      </c>
      <c r="R611" s="36" t="str">
        <f>""</f>
        <v/>
      </c>
      <c r="S611" s="36" t="str">
        <f>""</f>
        <v/>
      </c>
      <c r="T611" s="36" t="str">
        <f>""</f>
        <v/>
      </c>
      <c r="U611" s="36" t="str">
        <f>""</f>
        <v/>
      </c>
      <c r="V611" s="36" t="str">
        <f>""</f>
        <v/>
      </c>
      <c r="W611" s="36">
        <f t="shared" si="57"/>
        <v>1</v>
      </c>
      <c r="X611" t="str">
        <f t="shared" si="58"/>
        <v>Inactive</v>
      </c>
      <c r="Y611" t="str">
        <f>IF(MAIN!$H$3="Selected Year",IF(A611=MAIN!$B$3,"Yes","No"),IF(MAIN!$H$3="Included Years",IF(D611="Yes","Yes","No"),IF(C611="Yes","Yes","No")))</f>
        <v>No</v>
      </c>
      <c r="Z611" t="str">
        <f>IF(MAIN!$F$3="Project to Date",IF(AND(A611&gt;=SETTINGS!$B$4,A611&lt;MAIN!$B$3),"Yes",IF(AND(A611=MAIN!$B$3,E611&lt;=MAIN!$L$3),"Yes","No")),IF(OR(MAIN!$F$3="Full Year",MAIN!$D$3="All"),"Yes",IF(MAIN!$F$3="Monthly",IF(E611=MAIN!$L$3,"Yes","No"),IF(E611&lt;=MAIN!$L$3,"Yes","No"))))</f>
        <v>Yes</v>
      </c>
      <c r="AA611" t="str">
        <f t="shared" si="59"/>
        <v>No</v>
      </c>
    </row>
    <row r="612" spans="1:27" x14ac:dyDescent="0.3">
      <c r="A612">
        <f>INDEX(SETTINGS!$A$15:$A$24,$B612)</f>
        <v>2027</v>
      </c>
      <c r="B612">
        <v>3</v>
      </c>
      <c r="C612" t="str">
        <f>IF(AND(A612&gt;=SETTINGS!$B$4,A612&lt;=SETTINGS!$B$5),"Yes","No")</f>
        <v>No</v>
      </c>
      <c r="D612" t="str">
        <f>IFERROR(INDEX(SETTINGS!$C$15:$C$24,MATCH(A612,SETTINGS!$A$15:$A$24,0)),"No")</f>
        <v>No</v>
      </c>
      <c r="E612">
        <v>9</v>
      </c>
      <c r="F612" t="s">
        <v>42</v>
      </c>
      <c r="G612">
        <v>203</v>
      </c>
      <c r="H612" t="s">
        <v>93</v>
      </c>
      <c r="I612" t="s">
        <v>89</v>
      </c>
      <c r="J612" t="s">
        <v>13</v>
      </c>
      <c r="K612" t="s">
        <v>14</v>
      </c>
      <c r="L612" s="36">
        <f ca="1">IF(C612&lt;&gt;"Yes",0,IF(A612=2025,N('2025'!D203),IF(A612=2026,N('2026'!D203),IF(A612=2027,N('2027'!D203),IF(A612=2028,N('2028'!D203),IF(A612=2029,N('2029'!D203),IF(A612=2030,N('2030'!D203),IF(A612=2031,N('2031'!D203),IF(A612=2032,N('2032'!D203),IF(A612=2033,N('2033'!D203),IF(A612=2034,N('2034'!D203),IFERROR(N(INDIRECT("'"&amp;A612&amp;"'!D"&amp;G612)),0))))))))))))</f>
        <v>0</v>
      </c>
      <c r="M612" s="36">
        <f>IFERROR(IF(NOT(ISBLANK(KPI_TARGETS!$I$7)),KPI_TARGETS!$I$7,IF(NOT(ISBLANK(KPI_TARGETS!$F$7)),KPI_TARGETS!$F$7,"")),"")</f>
        <v>8000</v>
      </c>
      <c r="N612" s="36" t="str">
        <f>IFERROR(KPI_TARGETS!$E$7,"Higher is better")</f>
        <v>Higher is better</v>
      </c>
      <c r="O612" s="37">
        <f t="shared" ca="1" si="54"/>
        <v>0</v>
      </c>
      <c r="P612" t="str">
        <f t="shared" ca="1" si="55"/>
        <v>Red</v>
      </c>
      <c r="Q612" s="36">
        <f t="shared" ca="1" si="56"/>
        <v>-8000</v>
      </c>
      <c r="R612" s="36" t="str">
        <f>""</f>
        <v/>
      </c>
      <c r="S612" s="36" t="str">
        <f>""</f>
        <v/>
      </c>
      <c r="T612" s="36" t="str">
        <f>""</f>
        <v/>
      </c>
      <c r="U612" s="36" t="str">
        <f>""</f>
        <v/>
      </c>
      <c r="V612" s="36" t="str">
        <f>""</f>
        <v/>
      </c>
      <c r="W612" s="36">
        <f t="shared" si="57"/>
        <v>1</v>
      </c>
      <c r="X612" t="str">
        <f t="shared" si="58"/>
        <v>Inactive</v>
      </c>
      <c r="Y612" t="str">
        <f>IF(MAIN!$H$3="Selected Year",IF(A612=MAIN!$B$3,"Yes","No"),IF(MAIN!$H$3="Included Years",IF(D612="Yes","Yes","No"),IF(C612="Yes","Yes","No")))</f>
        <v>No</v>
      </c>
      <c r="Z612" t="str">
        <f>IF(MAIN!$F$3="Project to Date",IF(AND(A612&gt;=SETTINGS!$B$4,A612&lt;MAIN!$B$3),"Yes",IF(AND(A612=MAIN!$B$3,E612&lt;=MAIN!$L$3),"Yes","No")),IF(OR(MAIN!$F$3="Full Year",MAIN!$D$3="All"),"Yes",IF(MAIN!$F$3="Monthly",IF(E612=MAIN!$L$3,"Yes","No"),IF(E612&lt;=MAIN!$L$3,"Yes","No"))))</f>
        <v>Yes</v>
      </c>
      <c r="AA612" t="str">
        <f t="shared" si="59"/>
        <v>No</v>
      </c>
    </row>
    <row r="613" spans="1:27" x14ac:dyDescent="0.3">
      <c r="A613">
        <f>INDEX(SETTINGS!$A$15:$A$24,$B613)</f>
        <v>2027</v>
      </c>
      <c r="B613">
        <v>3</v>
      </c>
      <c r="C613" t="str">
        <f>IF(AND(A613&gt;=SETTINGS!$B$4,A613&lt;=SETTINGS!$B$5),"Yes","No")</f>
        <v>No</v>
      </c>
      <c r="D613" t="str">
        <f>IFERROR(INDEX(SETTINGS!$C$15:$C$24,MATCH(A613,SETTINGS!$A$15:$A$24,0)),"No")</f>
        <v>No</v>
      </c>
      <c r="E613">
        <v>9</v>
      </c>
      <c r="F613" t="s">
        <v>42</v>
      </c>
      <c r="G613">
        <v>205</v>
      </c>
      <c r="H613" t="s">
        <v>95</v>
      </c>
      <c r="I613" t="s">
        <v>15</v>
      </c>
      <c r="J613" t="s">
        <v>16</v>
      </c>
      <c r="K613" t="s">
        <v>3</v>
      </c>
      <c r="L613" s="36">
        <f ca="1">IF(C613&lt;&gt;"Yes",0,IF(A613=2025,N('2025'!D205),IF(A613=2026,N('2026'!D205),IF(A613=2027,N('2027'!D205),IF(A613=2028,N('2028'!D205),IF(A613=2029,N('2029'!D205),IF(A613=2030,N('2030'!D205),IF(A613=2031,N('2031'!D205),IF(A613=2032,N('2032'!D205),IF(A613=2033,N('2033'!D205),IF(A613=2034,N('2034'!D205),IFERROR(N(INDIRECT("'"&amp;A613&amp;"'!D"&amp;G613)),0))))))))))))</f>
        <v>0</v>
      </c>
      <c r="M613" s="36">
        <f>IFERROR(IF(NOT(ISBLANK(KPI_TARGETS!$I$8)),KPI_TARGETS!$I$8,IF(NOT(ISBLANK(KPI_TARGETS!$F$8)),KPI_TARGETS!$F$8,"")),"")</f>
        <v>0</v>
      </c>
      <c r="N613" s="36" t="str">
        <f>IFERROR(KPI_TARGETS!$E$8,"Higher is better")</f>
        <v>Lower is better</v>
      </c>
      <c r="O613" s="37">
        <f t="shared" ca="1" si="54"/>
        <v>1</v>
      </c>
      <c r="P613" t="str">
        <f t="shared" ca="1" si="55"/>
        <v>Green</v>
      </c>
      <c r="Q613" s="36">
        <f t="shared" ca="1" si="56"/>
        <v>0</v>
      </c>
      <c r="R613" s="36" t="str">
        <f>""</f>
        <v/>
      </c>
      <c r="S613" s="36" t="str">
        <f>""</f>
        <v/>
      </c>
      <c r="T613" s="36" t="str">
        <f>""</f>
        <v/>
      </c>
      <c r="U613" s="36" t="str">
        <f>""</f>
        <v/>
      </c>
      <c r="V613" s="36" t="str">
        <f>""</f>
        <v/>
      </c>
      <c r="W613" s="36">
        <f t="shared" si="57"/>
        <v>1</v>
      </c>
      <c r="X613" t="str">
        <f t="shared" si="58"/>
        <v>Inactive</v>
      </c>
      <c r="Y613" t="str">
        <f>IF(MAIN!$H$3="Selected Year",IF(A613=MAIN!$B$3,"Yes","No"),IF(MAIN!$H$3="Included Years",IF(D613="Yes","Yes","No"),IF(C613="Yes","Yes","No")))</f>
        <v>No</v>
      </c>
      <c r="Z613" t="str">
        <f>IF(MAIN!$F$3="Project to Date",IF(AND(A613&gt;=SETTINGS!$B$4,A613&lt;MAIN!$B$3),"Yes",IF(AND(A613=MAIN!$B$3,E613&lt;=MAIN!$L$3),"Yes","No")),IF(OR(MAIN!$F$3="Full Year",MAIN!$D$3="All"),"Yes",IF(MAIN!$F$3="Monthly",IF(E613=MAIN!$L$3,"Yes","No"),IF(E613&lt;=MAIN!$L$3,"Yes","No"))))</f>
        <v>Yes</v>
      </c>
      <c r="AA613" t="str">
        <f t="shared" si="59"/>
        <v>No</v>
      </c>
    </row>
    <row r="614" spans="1:27" x14ac:dyDescent="0.3">
      <c r="A614">
        <f>INDEX(SETTINGS!$A$15:$A$24,$B614)</f>
        <v>2027</v>
      </c>
      <c r="B614">
        <v>3</v>
      </c>
      <c r="C614" t="str">
        <f>IF(AND(A614&gt;=SETTINGS!$B$4,A614&lt;=SETTINGS!$B$5),"Yes","No")</f>
        <v>No</v>
      </c>
      <c r="D614" t="str">
        <f>IFERROR(INDEX(SETTINGS!$C$15:$C$24,MATCH(A614,SETTINGS!$A$15:$A$24,0)),"No")</f>
        <v>No</v>
      </c>
      <c r="E614">
        <v>9</v>
      </c>
      <c r="F614" t="s">
        <v>42</v>
      </c>
      <c r="G614">
        <v>206</v>
      </c>
      <c r="H614" t="s">
        <v>97</v>
      </c>
      <c r="I614" t="s">
        <v>15</v>
      </c>
      <c r="J614" t="s">
        <v>17</v>
      </c>
      <c r="K614" t="s">
        <v>3</v>
      </c>
      <c r="L614" s="36">
        <f ca="1">IF(C614&lt;&gt;"Yes",0,IF(A614=2025,N('2025'!D206),IF(A614=2026,N('2026'!D206),IF(A614=2027,N('2027'!D206),IF(A614=2028,N('2028'!D206),IF(A614=2029,N('2029'!D206),IF(A614=2030,N('2030'!D206),IF(A614=2031,N('2031'!D206),IF(A614=2032,N('2032'!D206),IF(A614=2033,N('2033'!D206),IF(A614=2034,N('2034'!D206),IFERROR(N(INDIRECT("'"&amp;A614&amp;"'!D"&amp;G614)),0))))))))))))</f>
        <v>0</v>
      </c>
      <c r="M614" s="36">
        <f>IFERROR(IF(NOT(ISBLANK(KPI_TARGETS!$I$9)),KPI_TARGETS!$I$9,IF(NOT(ISBLANK(KPI_TARGETS!$F$9)),KPI_TARGETS!$F$9,"")),"")</f>
        <v>0</v>
      </c>
      <c r="N614" s="36" t="str">
        <f>IFERROR(KPI_TARGETS!$E$9,"Higher is better")</f>
        <v>Higher is better</v>
      </c>
      <c r="O614" s="37" t="str">
        <f t="shared" ca="1" si="54"/>
        <v/>
      </c>
      <c r="P614" t="str">
        <f t="shared" ca="1" si="55"/>
        <v>Green</v>
      </c>
      <c r="Q614" s="36">
        <f t="shared" ca="1" si="56"/>
        <v>0</v>
      </c>
      <c r="R614" s="36" t="str">
        <f>""</f>
        <v/>
      </c>
      <c r="S614" s="36" t="str">
        <f>""</f>
        <v/>
      </c>
      <c r="T614" s="36" t="str">
        <f>""</f>
        <v/>
      </c>
      <c r="U614" s="36" t="str">
        <f>""</f>
        <v/>
      </c>
      <c r="V614" s="36" t="str">
        <f>""</f>
        <v/>
      </c>
      <c r="W614" s="36">
        <f t="shared" si="57"/>
        <v>1</v>
      </c>
      <c r="X614" t="str">
        <f t="shared" si="58"/>
        <v>Inactive</v>
      </c>
      <c r="Y614" t="str">
        <f>IF(MAIN!$H$3="Selected Year",IF(A614=MAIN!$B$3,"Yes","No"),IF(MAIN!$H$3="Included Years",IF(D614="Yes","Yes","No"),IF(C614="Yes","Yes","No")))</f>
        <v>No</v>
      </c>
      <c r="Z614" t="str">
        <f>IF(MAIN!$F$3="Project to Date",IF(AND(A614&gt;=SETTINGS!$B$4,A614&lt;MAIN!$B$3),"Yes",IF(AND(A614=MAIN!$B$3,E614&lt;=MAIN!$L$3),"Yes","No")),IF(OR(MAIN!$F$3="Full Year",MAIN!$D$3="All"),"Yes",IF(MAIN!$F$3="Monthly",IF(E614=MAIN!$L$3,"Yes","No"),IF(E614&lt;=MAIN!$L$3,"Yes","No"))))</f>
        <v>Yes</v>
      </c>
      <c r="AA614" t="str">
        <f t="shared" si="59"/>
        <v>No</v>
      </c>
    </row>
    <row r="615" spans="1:27" x14ac:dyDescent="0.3">
      <c r="A615">
        <f>INDEX(SETTINGS!$A$15:$A$24,$B615)</f>
        <v>2027</v>
      </c>
      <c r="B615">
        <v>3</v>
      </c>
      <c r="C615" t="str">
        <f>IF(AND(A615&gt;=SETTINGS!$B$4,A615&lt;=SETTINGS!$B$5),"Yes","No")</f>
        <v>No</v>
      </c>
      <c r="D615" t="str">
        <f>IFERROR(INDEX(SETTINGS!$C$15:$C$24,MATCH(A615,SETTINGS!$A$15:$A$24,0)),"No")</f>
        <v>No</v>
      </c>
      <c r="E615">
        <v>9</v>
      </c>
      <c r="F615" t="s">
        <v>42</v>
      </c>
      <c r="G615">
        <v>207</v>
      </c>
      <c r="H615" t="s">
        <v>99</v>
      </c>
      <c r="I615" t="s">
        <v>15</v>
      </c>
      <c r="J615" t="s">
        <v>18</v>
      </c>
      <c r="K615" t="s">
        <v>3</v>
      </c>
      <c r="L615" s="36">
        <f ca="1">IF(C615&lt;&gt;"Yes",0,IF(A615=2025,N('2025'!D207),IF(A615=2026,N('2026'!D207),IF(A615=2027,N('2027'!D207),IF(A615=2028,N('2028'!D207),IF(A615=2029,N('2029'!D207),IF(A615=2030,N('2030'!D207),IF(A615=2031,N('2031'!D207),IF(A615=2032,N('2032'!D207),IF(A615=2033,N('2033'!D207),IF(A615=2034,N('2034'!D207),IFERROR(N(INDIRECT("'"&amp;A615&amp;"'!D"&amp;G615)),0))))))))))))</f>
        <v>0</v>
      </c>
      <c r="M615" s="36">
        <f>IFERROR(IF(NOT(ISBLANK(KPI_TARGETS!$I$10)),KPI_TARGETS!$I$10,IF(NOT(ISBLANK(KPI_TARGETS!$F$10)),KPI_TARGETS!$F$10,"")),"")</f>
        <v>0</v>
      </c>
      <c r="N615" s="36" t="str">
        <f>IFERROR(KPI_TARGETS!$E$10,"Higher is better")</f>
        <v>Lower is better</v>
      </c>
      <c r="O615" s="37">
        <f t="shared" ca="1" si="54"/>
        <v>1</v>
      </c>
      <c r="P615" t="str">
        <f t="shared" ca="1" si="55"/>
        <v>Green</v>
      </c>
      <c r="Q615" s="36">
        <f t="shared" ca="1" si="56"/>
        <v>0</v>
      </c>
      <c r="R615" s="36" t="str">
        <f>""</f>
        <v/>
      </c>
      <c r="S615" s="36" t="str">
        <f>""</f>
        <v/>
      </c>
      <c r="T615" s="36" t="str">
        <f>""</f>
        <v/>
      </c>
      <c r="U615" s="36" t="str">
        <f>""</f>
        <v/>
      </c>
      <c r="V615" s="36" t="str">
        <f>""</f>
        <v/>
      </c>
      <c r="W615" s="36">
        <f t="shared" si="57"/>
        <v>1</v>
      </c>
      <c r="X615" t="str">
        <f t="shared" si="58"/>
        <v>Inactive</v>
      </c>
      <c r="Y615" t="str">
        <f>IF(MAIN!$H$3="Selected Year",IF(A615=MAIN!$B$3,"Yes","No"),IF(MAIN!$H$3="Included Years",IF(D615="Yes","Yes","No"),IF(C615="Yes","Yes","No")))</f>
        <v>No</v>
      </c>
      <c r="Z615" t="str">
        <f>IF(MAIN!$F$3="Project to Date",IF(AND(A615&gt;=SETTINGS!$B$4,A615&lt;MAIN!$B$3),"Yes",IF(AND(A615=MAIN!$B$3,E615&lt;=MAIN!$L$3),"Yes","No")),IF(OR(MAIN!$F$3="Full Year",MAIN!$D$3="All"),"Yes",IF(MAIN!$F$3="Monthly",IF(E615=MAIN!$L$3,"Yes","No"),IF(E615&lt;=MAIN!$L$3,"Yes","No"))))</f>
        <v>Yes</v>
      </c>
      <c r="AA615" t="str">
        <f t="shared" si="59"/>
        <v>No</v>
      </c>
    </row>
    <row r="616" spans="1:27" x14ac:dyDescent="0.3">
      <c r="A616">
        <f>INDEX(SETTINGS!$A$15:$A$24,$B616)</f>
        <v>2027</v>
      </c>
      <c r="B616">
        <v>3</v>
      </c>
      <c r="C616" t="str">
        <f>IF(AND(A616&gt;=SETTINGS!$B$4,A616&lt;=SETTINGS!$B$5),"Yes","No")</f>
        <v>No</v>
      </c>
      <c r="D616" t="str">
        <f>IFERROR(INDEX(SETTINGS!$C$15:$C$24,MATCH(A616,SETTINGS!$A$15:$A$24,0)),"No")</f>
        <v>No</v>
      </c>
      <c r="E616">
        <v>9</v>
      </c>
      <c r="F616" t="s">
        <v>42</v>
      </c>
      <c r="G616">
        <v>208</v>
      </c>
      <c r="H616" t="s">
        <v>100</v>
      </c>
      <c r="I616" t="s">
        <v>15</v>
      </c>
      <c r="J616" t="s">
        <v>19</v>
      </c>
      <c r="K616" t="s">
        <v>3</v>
      </c>
      <c r="L616" s="36">
        <f ca="1">IF(C616&lt;&gt;"Yes",0,IF(A616=2025,N('2025'!D208),IF(A616=2026,N('2026'!D208),IF(A616=2027,N('2027'!D208),IF(A616=2028,N('2028'!D208),IF(A616=2029,N('2029'!D208),IF(A616=2030,N('2030'!D208),IF(A616=2031,N('2031'!D208),IF(A616=2032,N('2032'!D208),IF(A616=2033,N('2033'!D208),IF(A616=2034,N('2034'!D208),IFERROR(N(INDIRECT("'"&amp;A616&amp;"'!D"&amp;G616)),0))))))))))))</f>
        <v>0</v>
      </c>
      <c r="M616" s="36">
        <f>IFERROR(IF(NOT(ISBLANK(KPI_TARGETS!$I$11)),KPI_TARGETS!$I$11,IF(NOT(ISBLANK(KPI_TARGETS!$F$11)),KPI_TARGETS!$F$11,"")),"")</f>
        <v>0</v>
      </c>
      <c r="N616" s="36" t="str">
        <f>IFERROR(KPI_TARGETS!$E$11,"Higher is better")</f>
        <v>Lower is better</v>
      </c>
      <c r="O616" s="37">
        <f t="shared" ca="1" si="54"/>
        <v>1</v>
      </c>
      <c r="P616" t="str">
        <f t="shared" ca="1" si="55"/>
        <v>Green</v>
      </c>
      <c r="Q616" s="36">
        <f t="shared" ca="1" si="56"/>
        <v>0</v>
      </c>
      <c r="R616" s="36" t="str">
        <f>""</f>
        <v/>
      </c>
      <c r="S616" s="36" t="str">
        <f>""</f>
        <v/>
      </c>
      <c r="T616" s="36" t="str">
        <f>""</f>
        <v/>
      </c>
      <c r="U616" s="36" t="str">
        <f>""</f>
        <v/>
      </c>
      <c r="V616" s="36" t="str">
        <f>""</f>
        <v/>
      </c>
      <c r="W616" s="36">
        <f t="shared" si="57"/>
        <v>1</v>
      </c>
      <c r="X616" t="str">
        <f t="shared" si="58"/>
        <v>Inactive</v>
      </c>
      <c r="Y616" t="str">
        <f>IF(MAIN!$H$3="Selected Year",IF(A616=MAIN!$B$3,"Yes","No"),IF(MAIN!$H$3="Included Years",IF(D616="Yes","Yes","No"),IF(C616="Yes","Yes","No")))</f>
        <v>No</v>
      </c>
      <c r="Z616" t="str">
        <f>IF(MAIN!$F$3="Project to Date",IF(AND(A616&gt;=SETTINGS!$B$4,A616&lt;MAIN!$B$3),"Yes",IF(AND(A616=MAIN!$B$3,E616&lt;=MAIN!$L$3),"Yes","No")),IF(OR(MAIN!$F$3="Full Year",MAIN!$D$3="All"),"Yes",IF(MAIN!$F$3="Monthly",IF(E616=MAIN!$L$3,"Yes","No"),IF(E616&lt;=MAIN!$L$3,"Yes","No"))))</f>
        <v>Yes</v>
      </c>
      <c r="AA616" t="str">
        <f t="shared" si="59"/>
        <v>No</v>
      </c>
    </row>
    <row r="617" spans="1:27" x14ac:dyDescent="0.3">
      <c r="A617">
        <f>INDEX(SETTINGS!$A$15:$A$24,$B617)</f>
        <v>2027</v>
      </c>
      <c r="B617">
        <v>3</v>
      </c>
      <c r="C617" t="str">
        <f>IF(AND(A617&gt;=SETTINGS!$B$4,A617&lt;=SETTINGS!$B$5),"Yes","No")</f>
        <v>No</v>
      </c>
      <c r="D617" t="str">
        <f>IFERROR(INDEX(SETTINGS!$C$15:$C$24,MATCH(A617,SETTINGS!$A$15:$A$24,0)),"No")</f>
        <v>No</v>
      </c>
      <c r="E617">
        <v>9</v>
      </c>
      <c r="F617" t="s">
        <v>42</v>
      </c>
      <c r="G617">
        <v>209</v>
      </c>
      <c r="H617" t="s">
        <v>101</v>
      </c>
      <c r="I617" t="s">
        <v>15</v>
      </c>
      <c r="J617" t="s">
        <v>20</v>
      </c>
      <c r="K617" t="s">
        <v>3</v>
      </c>
      <c r="L617" s="36">
        <f ca="1">IF(C617&lt;&gt;"Yes",0,IF(A617=2025,N('2025'!D209),IF(A617=2026,N('2026'!D209),IF(A617=2027,N('2027'!D209),IF(A617=2028,N('2028'!D209),IF(A617=2029,N('2029'!D209),IF(A617=2030,N('2030'!D209),IF(A617=2031,N('2031'!D209),IF(A617=2032,N('2032'!D209),IF(A617=2033,N('2033'!D209),IF(A617=2034,N('2034'!D209),IFERROR(N(INDIRECT("'"&amp;A617&amp;"'!D"&amp;G617)),0))))))))))))</f>
        <v>0</v>
      </c>
      <c r="M617" s="36">
        <f>IFERROR(IF(NOT(ISBLANK(KPI_TARGETS!$I$12)),KPI_TARGETS!$I$12,IF(NOT(ISBLANK(KPI_TARGETS!$F$12)),KPI_TARGETS!$F$12,"")),"")</f>
        <v>0</v>
      </c>
      <c r="N617" s="36" t="str">
        <f>IFERROR(KPI_TARGETS!$E$12,"Higher is better")</f>
        <v>Lower is better</v>
      </c>
      <c r="O617" s="37">
        <f t="shared" ca="1" si="54"/>
        <v>1</v>
      </c>
      <c r="P617" t="str">
        <f t="shared" ca="1" si="55"/>
        <v>Green</v>
      </c>
      <c r="Q617" s="36">
        <f t="shared" ca="1" si="56"/>
        <v>0</v>
      </c>
      <c r="R617" s="36" t="str">
        <f>""</f>
        <v/>
      </c>
      <c r="S617" s="36" t="str">
        <f>""</f>
        <v/>
      </c>
      <c r="T617" s="36" t="str">
        <f>""</f>
        <v/>
      </c>
      <c r="U617" s="36" t="str">
        <f>""</f>
        <v/>
      </c>
      <c r="V617" s="36" t="str">
        <f>""</f>
        <v/>
      </c>
      <c r="W617" s="36">
        <f t="shared" si="57"/>
        <v>1</v>
      </c>
      <c r="X617" t="str">
        <f t="shared" si="58"/>
        <v>Inactive</v>
      </c>
      <c r="Y617" t="str">
        <f>IF(MAIN!$H$3="Selected Year",IF(A617=MAIN!$B$3,"Yes","No"),IF(MAIN!$H$3="Included Years",IF(D617="Yes","Yes","No"),IF(C617="Yes","Yes","No")))</f>
        <v>No</v>
      </c>
      <c r="Z617" t="str">
        <f>IF(MAIN!$F$3="Project to Date",IF(AND(A617&gt;=SETTINGS!$B$4,A617&lt;MAIN!$B$3),"Yes",IF(AND(A617=MAIN!$B$3,E617&lt;=MAIN!$L$3),"Yes","No")),IF(OR(MAIN!$F$3="Full Year",MAIN!$D$3="All"),"Yes",IF(MAIN!$F$3="Monthly",IF(E617=MAIN!$L$3,"Yes","No"),IF(E617&lt;=MAIN!$L$3,"Yes","No"))))</f>
        <v>Yes</v>
      </c>
      <c r="AA617" t="str">
        <f t="shared" si="59"/>
        <v>No</v>
      </c>
    </row>
    <row r="618" spans="1:27" x14ac:dyDescent="0.3">
      <c r="A618">
        <f>INDEX(SETTINGS!$A$15:$A$24,$B618)</f>
        <v>2027</v>
      </c>
      <c r="B618">
        <v>3</v>
      </c>
      <c r="C618" t="str">
        <f>IF(AND(A618&gt;=SETTINGS!$B$4,A618&lt;=SETTINGS!$B$5),"Yes","No")</f>
        <v>No</v>
      </c>
      <c r="D618" t="str">
        <f>IFERROR(INDEX(SETTINGS!$C$15:$C$24,MATCH(A618,SETTINGS!$A$15:$A$24,0)),"No")</f>
        <v>No</v>
      </c>
      <c r="E618">
        <v>9</v>
      </c>
      <c r="F618" t="s">
        <v>42</v>
      </c>
      <c r="G618">
        <v>210</v>
      </c>
      <c r="H618" t="s">
        <v>102</v>
      </c>
      <c r="I618" t="s">
        <v>15</v>
      </c>
      <c r="J618" t="s">
        <v>21</v>
      </c>
      <c r="K618" t="s">
        <v>3</v>
      </c>
      <c r="L618" s="36">
        <f ca="1">IF(C618&lt;&gt;"Yes",0,IF(A618=2025,N('2025'!D210),IF(A618=2026,N('2026'!D210),IF(A618=2027,N('2027'!D210),IF(A618=2028,N('2028'!D210),IF(A618=2029,N('2029'!D210),IF(A618=2030,N('2030'!D210),IF(A618=2031,N('2031'!D210),IF(A618=2032,N('2032'!D210),IF(A618=2033,N('2033'!D210),IF(A618=2034,N('2034'!D210),IFERROR(N(INDIRECT("'"&amp;A618&amp;"'!D"&amp;G618)),0))))))))))))</f>
        <v>0</v>
      </c>
      <c r="M618" s="36">
        <f>IFERROR(IF(NOT(ISBLANK(KPI_TARGETS!$I$13)),KPI_TARGETS!$I$13,IF(NOT(ISBLANK(KPI_TARGETS!$F$13)),KPI_TARGETS!$F$13,"")),"")</f>
        <v>0</v>
      </c>
      <c r="N618" s="36" t="str">
        <f>IFERROR(KPI_TARGETS!$E$13,"Higher is better")</f>
        <v>Lower is better</v>
      </c>
      <c r="O618" s="37">
        <f t="shared" ca="1" si="54"/>
        <v>1</v>
      </c>
      <c r="P618" t="str">
        <f t="shared" ca="1" si="55"/>
        <v>Green</v>
      </c>
      <c r="Q618" s="36">
        <f t="shared" ca="1" si="56"/>
        <v>0</v>
      </c>
      <c r="R618" s="36" t="str">
        <f>""</f>
        <v/>
      </c>
      <c r="S618" s="36" t="str">
        <f>""</f>
        <v/>
      </c>
      <c r="T618" s="36" t="str">
        <f>""</f>
        <v/>
      </c>
      <c r="U618" s="36" t="str">
        <f>""</f>
        <v/>
      </c>
      <c r="V618" s="36" t="str">
        <f>""</f>
        <v/>
      </c>
      <c r="W618" s="36">
        <f t="shared" si="57"/>
        <v>1</v>
      </c>
      <c r="X618" t="str">
        <f t="shared" si="58"/>
        <v>Inactive</v>
      </c>
      <c r="Y618" t="str">
        <f>IF(MAIN!$H$3="Selected Year",IF(A618=MAIN!$B$3,"Yes","No"),IF(MAIN!$H$3="Included Years",IF(D618="Yes","Yes","No"),IF(C618="Yes","Yes","No")))</f>
        <v>No</v>
      </c>
      <c r="Z618" t="str">
        <f>IF(MAIN!$F$3="Project to Date",IF(AND(A618&gt;=SETTINGS!$B$4,A618&lt;MAIN!$B$3),"Yes",IF(AND(A618=MAIN!$B$3,E618&lt;=MAIN!$L$3),"Yes","No")),IF(OR(MAIN!$F$3="Full Year",MAIN!$D$3="All"),"Yes",IF(MAIN!$F$3="Monthly",IF(E618=MAIN!$L$3,"Yes","No"),IF(E618&lt;=MAIN!$L$3,"Yes","No"))))</f>
        <v>Yes</v>
      </c>
      <c r="AA618" t="str">
        <f t="shared" si="59"/>
        <v>No</v>
      </c>
    </row>
    <row r="619" spans="1:27" x14ac:dyDescent="0.3">
      <c r="A619">
        <f>INDEX(SETTINGS!$A$15:$A$24,$B619)</f>
        <v>2027</v>
      </c>
      <c r="B619">
        <v>3</v>
      </c>
      <c r="C619" t="str">
        <f>IF(AND(A619&gt;=SETTINGS!$B$4,A619&lt;=SETTINGS!$B$5),"Yes","No")</f>
        <v>No</v>
      </c>
      <c r="D619" t="str">
        <f>IFERROR(INDEX(SETTINGS!$C$15:$C$24,MATCH(A619,SETTINGS!$A$15:$A$24,0)),"No")</f>
        <v>No</v>
      </c>
      <c r="E619">
        <v>9</v>
      </c>
      <c r="F619" t="s">
        <v>42</v>
      </c>
      <c r="G619">
        <v>212</v>
      </c>
      <c r="H619" t="s">
        <v>103</v>
      </c>
      <c r="I619" t="s">
        <v>22</v>
      </c>
      <c r="J619" t="s">
        <v>23</v>
      </c>
      <c r="K619" t="s">
        <v>3</v>
      </c>
      <c r="L619" s="36">
        <f ca="1">IF(C619&lt;&gt;"Yes",0,IF(A619=2025,N('2025'!D212),IF(A619=2026,N('2026'!D212),IF(A619=2027,N('2027'!D212),IF(A619=2028,N('2028'!D212),IF(A619=2029,N('2029'!D212),IF(A619=2030,N('2030'!D212),IF(A619=2031,N('2031'!D212),IF(A619=2032,N('2032'!D212),IF(A619=2033,N('2033'!D212),IF(A619=2034,N('2034'!D212),IFERROR(N(INDIRECT("'"&amp;A619&amp;"'!D"&amp;G619)),0))))))))))))</f>
        <v>0</v>
      </c>
      <c r="M619" s="36">
        <f>IFERROR(IF(NOT(ISBLANK(KPI_TARGETS!$I$14)),KPI_TARGETS!$I$14,IF(NOT(ISBLANK(KPI_TARGETS!$F$14)),KPI_TARGETS!$F$14,"")),"")</f>
        <v>35</v>
      </c>
      <c r="N619" s="36" t="str">
        <f>IFERROR(KPI_TARGETS!$E$14,"Higher is better")</f>
        <v>Higher is better</v>
      </c>
      <c r="O619" s="37">
        <f t="shared" ca="1" si="54"/>
        <v>0</v>
      </c>
      <c r="P619" t="str">
        <f t="shared" ca="1" si="55"/>
        <v>Red</v>
      </c>
      <c r="Q619" s="36">
        <f t="shared" ca="1" si="56"/>
        <v>-35</v>
      </c>
      <c r="R619" s="36" t="str">
        <f>""</f>
        <v/>
      </c>
      <c r="S619" s="36" t="str">
        <f>""</f>
        <v/>
      </c>
      <c r="T619" s="36" t="str">
        <f>""</f>
        <v/>
      </c>
      <c r="U619" s="36" t="str">
        <f>""</f>
        <v/>
      </c>
      <c r="V619" s="36" t="str">
        <f>""</f>
        <v/>
      </c>
      <c r="W619" s="36">
        <f t="shared" si="57"/>
        <v>1</v>
      </c>
      <c r="X619" t="str">
        <f t="shared" si="58"/>
        <v>Inactive</v>
      </c>
      <c r="Y619" t="str">
        <f>IF(MAIN!$H$3="Selected Year",IF(A619=MAIN!$B$3,"Yes","No"),IF(MAIN!$H$3="Included Years",IF(D619="Yes","Yes","No"),IF(C619="Yes","Yes","No")))</f>
        <v>No</v>
      </c>
      <c r="Z619" t="str">
        <f>IF(MAIN!$F$3="Project to Date",IF(AND(A619&gt;=SETTINGS!$B$4,A619&lt;MAIN!$B$3),"Yes",IF(AND(A619=MAIN!$B$3,E619&lt;=MAIN!$L$3),"Yes","No")),IF(OR(MAIN!$F$3="Full Year",MAIN!$D$3="All"),"Yes",IF(MAIN!$F$3="Monthly",IF(E619=MAIN!$L$3,"Yes","No"),IF(E619&lt;=MAIN!$L$3,"Yes","No"))))</f>
        <v>Yes</v>
      </c>
      <c r="AA619" t="str">
        <f t="shared" si="59"/>
        <v>No</v>
      </c>
    </row>
    <row r="620" spans="1:27" x14ac:dyDescent="0.3">
      <c r="A620">
        <f>INDEX(SETTINGS!$A$15:$A$24,$B620)</f>
        <v>2027</v>
      </c>
      <c r="B620">
        <v>3</v>
      </c>
      <c r="C620" t="str">
        <f>IF(AND(A620&gt;=SETTINGS!$B$4,A620&lt;=SETTINGS!$B$5),"Yes","No")</f>
        <v>No</v>
      </c>
      <c r="D620" t="str">
        <f>IFERROR(INDEX(SETTINGS!$C$15:$C$24,MATCH(A620,SETTINGS!$A$15:$A$24,0)),"No")</f>
        <v>No</v>
      </c>
      <c r="E620">
        <v>9</v>
      </c>
      <c r="F620" t="s">
        <v>42</v>
      </c>
      <c r="G620">
        <v>213</v>
      </c>
      <c r="H620" t="s">
        <v>104</v>
      </c>
      <c r="I620" t="s">
        <v>22</v>
      </c>
      <c r="J620" t="s">
        <v>24</v>
      </c>
      <c r="K620" t="s">
        <v>3</v>
      </c>
      <c r="L620" s="36">
        <f ca="1">IF(C620&lt;&gt;"Yes",0,IF(A620=2025,N('2025'!D213),IF(A620=2026,N('2026'!D213),IF(A620=2027,N('2027'!D213),IF(A620=2028,N('2028'!D213),IF(A620=2029,N('2029'!D213),IF(A620=2030,N('2030'!D213),IF(A620=2031,N('2031'!D213),IF(A620=2032,N('2032'!D213),IF(A620=2033,N('2033'!D213),IF(A620=2034,N('2034'!D213),IFERROR(N(INDIRECT("'"&amp;A620&amp;"'!D"&amp;G620)),0))))))))))))</f>
        <v>0</v>
      </c>
      <c r="M620" s="36">
        <f>IFERROR(IF(NOT(ISBLANK(KPI_TARGETS!$I$15)),KPI_TARGETS!$I$15,IF(NOT(ISBLANK(KPI_TARGETS!$F$15)),KPI_TARGETS!$F$15,"")),"")</f>
        <v>5</v>
      </c>
      <c r="N620" s="36" t="str">
        <f>IFERROR(KPI_TARGETS!$E$15,"Higher is better")</f>
        <v>Higher is better</v>
      </c>
      <c r="O620" s="37">
        <f t="shared" ca="1" si="54"/>
        <v>0</v>
      </c>
      <c r="P620" t="str">
        <f t="shared" ca="1" si="55"/>
        <v>Red</v>
      </c>
      <c r="Q620" s="36">
        <f t="shared" ca="1" si="56"/>
        <v>-5</v>
      </c>
      <c r="R620" s="36" t="str">
        <f>""</f>
        <v/>
      </c>
      <c r="S620" s="36" t="str">
        <f>""</f>
        <v/>
      </c>
      <c r="T620" s="36" t="str">
        <f>""</f>
        <v/>
      </c>
      <c r="U620" s="36" t="str">
        <f>""</f>
        <v/>
      </c>
      <c r="V620" s="36" t="str">
        <f>""</f>
        <v/>
      </c>
      <c r="W620" s="36">
        <f t="shared" si="57"/>
        <v>1</v>
      </c>
      <c r="X620" t="str">
        <f t="shared" si="58"/>
        <v>Inactive</v>
      </c>
      <c r="Y620" t="str">
        <f>IF(MAIN!$H$3="Selected Year",IF(A620=MAIN!$B$3,"Yes","No"),IF(MAIN!$H$3="Included Years",IF(D620="Yes","Yes","No"),IF(C620="Yes","Yes","No")))</f>
        <v>No</v>
      </c>
      <c r="Z620" t="str">
        <f>IF(MAIN!$F$3="Project to Date",IF(AND(A620&gt;=SETTINGS!$B$4,A620&lt;MAIN!$B$3),"Yes",IF(AND(A620=MAIN!$B$3,E620&lt;=MAIN!$L$3),"Yes","No")),IF(OR(MAIN!$F$3="Full Year",MAIN!$D$3="All"),"Yes",IF(MAIN!$F$3="Monthly",IF(E620=MAIN!$L$3,"Yes","No"),IF(E620&lt;=MAIN!$L$3,"Yes","No"))))</f>
        <v>Yes</v>
      </c>
      <c r="AA620" t="str">
        <f t="shared" si="59"/>
        <v>No</v>
      </c>
    </row>
    <row r="621" spans="1:27" x14ac:dyDescent="0.3">
      <c r="A621">
        <f>INDEX(SETTINGS!$A$15:$A$24,$B621)</f>
        <v>2027</v>
      </c>
      <c r="B621">
        <v>3</v>
      </c>
      <c r="C621" t="str">
        <f>IF(AND(A621&gt;=SETTINGS!$B$4,A621&lt;=SETTINGS!$B$5),"Yes","No")</f>
        <v>No</v>
      </c>
      <c r="D621" t="str">
        <f>IFERROR(INDEX(SETTINGS!$C$15:$C$24,MATCH(A621,SETTINGS!$A$15:$A$24,0)),"No")</f>
        <v>No</v>
      </c>
      <c r="E621">
        <v>9</v>
      </c>
      <c r="F621" t="s">
        <v>42</v>
      </c>
      <c r="G621">
        <v>214</v>
      </c>
      <c r="H621" t="s">
        <v>105</v>
      </c>
      <c r="I621" t="s">
        <v>22</v>
      </c>
      <c r="J621" t="s">
        <v>25</v>
      </c>
      <c r="K621" t="s">
        <v>3</v>
      </c>
      <c r="L621" s="36">
        <f ca="1">IF(C621&lt;&gt;"Yes",0,IF(A621=2025,N('2025'!D214),IF(A621=2026,N('2026'!D214),IF(A621=2027,N('2027'!D214),IF(A621=2028,N('2028'!D214),IF(A621=2029,N('2029'!D214),IF(A621=2030,N('2030'!D214),IF(A621=2031,N('2031'!D214),IF(A621=2032,N('2032'!D214),IF(A621=2033,N('2033'!D214),IF(A621=2034,N('2034'!D214),IFERROR(N(INDIRECT("'"&amp;A621&amp;"'!D"&amp;G621)),0))))))))))))</f>
        <v>0</v>
      </c>
      <c r="M621" s="36">
        <f>IFERROR(IF(NOT(ISBLANK(KPI_TARGETS!$I$16)),KPI_TARGETS!$I$16,IF(NOT(ISBLANK(KPI_TARGETS!$F$16)),KPI_TARGETS!$F$16,"")),"")</f>
        <v>4</v>
      </c>
      <c r="N621" s="36" t="str">
        <f>IFERROR(KPI_TARGETS!$E$16,"Higher is better")</f>
        <v>Higher is better</v>
      </c>
      <c r="O621" s="37">
        <f t="shared" ca="1" si="54"/>
        <v>0</v>
      </c>
      <c r="P621" t="str">
        <f t="shared" ca="1" si="55"/>
        <v>Red</v>
      </c>
      <c r="Q621" s="36">
        <f t="shared" ca="1" si="56"/>
        <v>-4</v>
      </c>
      <c r="R621" s="36" t="str">
        <f>""</f>
        <v/>
      </c>
      <c r="S621" s="36" t="str">
        <f>""</f>
        <v/>
      </c>
      <c r="T621" s="36" t="str">
        <f>""</f>
        <v/>
      </c>
      <c r="U621" s="36" t="str">
        <f>""</f>
        <v/>
      </c>
      <c r="V621" s="36" t="str">
        <f>""</f>
        <v/>
      </c>
      <c r="W621" s="36">
        <f t="shared" si="57"/>
        <v>1</v>
      </c>
      <c r="X621" t="str">
        <f t="shared" si="58"/>
        <v>Inactive</v>
      </c>
      <c r="Y621" t="str">
        <f>IF(MAIN!$H$3="Selected Year",IF(A621=MAIN!$B$3,"Yes","No"),IF(MAIN!$H$3="Included Years",IF(D621="Yes","Yes","No"),IF(C621="Yes","Yes","No")))</f>
        <v>No</v>
      </c>
      <c r="Z621" t="str">
        <f>IF(MAIN!$F$3="Project to Date",IF(AND(A621&gt;=SETTINGS!$B$4,A621&lt;MAIN!$B$3),"Yes",IF(AND(A621=MAIN!$B$3,E621&lt;=MAIN!$L$3),"Yes","No")),IF(OR(MAIN!$F$3="Full Year",MAIN!$D$3="All"),"Yes",IF(MAIN!$F$3="Monthly",IF(E621=MAIN!$L$3,"Yes","No"),IF(E621&lt;=MAIN!$L$3,"Yes","No"))))</f>
        <v>Yes</v>
      </c>
      <c r="AA621" t="str">
        <f t="shared" si="59"/>
        <v>No</v>
      </c>
    </row>
    <row r="622" spans="1:27" x14ac:dyDescent="0.3">
      <c r="A622">
        <f>INDEX(SETTINGS!$A$15:$A$24,$B622)</f>
        <v>2027</v>
      </c>
      <c r="B622">
        <v>3</v>
      </c>
      <c r="C622" t="str">
        <f>IF(AND(A622&gt;=SETTINGS!$B$4,A622&lt;=SETTINGS!$B$5),"Yes","No")</f>
        <v>No</v>
      </c>
      <c r="D622" t="str">
        <f>IFERROR(INDEX(SETTINGS!$C$15:$C$24,MATCH(A622,SETTINGS!$A$15:$A$24,0)),"No")</f>
        <v>No</v>
      </c>
      <c r="E622">
        <v>9</v>
      </c>
      <c r="F622" t="s">
        <v>42</v>
      </c>
      <c r="G622">
        <v>215</v>
      </c>
      <c r="H622" t="s">
        <v>106</v>
      </c>
      <c r="I622" t="s">
        <v>22</v>
      </c>
      <c r="J622" t="s">
        <v>26</v>
      </c>
      <c r="K622" t="s">
        <v>3</v>
      </c>
      <c r="L622" s="36">
        <f ca="1">IF(C622&lt;&gt;"Yes",0,IF(A622=2025,N('2025'!D215),IF(A622=2026,N('2026'!D215),IF(A622=2027,N('2027'!D215),IF(A622=2028,N('2028'!D215),IF(A622=2029,N('2029'!D215),IF(A622=2030,N('2030'!D215),IF(A622=2031,N('2031'!D215),IF(A622=2032,N('2032'!D215),IF(A622=2033,N('2033'!D215),IF(A622=2034,N('2034'!D215),IFERROR(N(INDIRECT("'"&amp;A622&amp;"'!D"&amp;G622)),0))))))))))))</f>
        <v>0</v>
      </c>
      <c r="M622" s="36">
        <f>IFERROR(IF(NOT(ISBLANK(KPI_TARGETS!$I$17)),KPI_TARGETS!$I$17,IF(NOT(ISBLANK(KPI_TARGETS!$F$17)),KPI_TARGETS!$F$17,"")),"")</f>
        <v>12</v>
      </c>
      <c r="N622" s="36" t="str">
        <f>IFERROR(KPI_TARGETS!$E$17,"Higher is better")</f>
        <v>Higher is better</v>
      </c>
      <c r="O622" s="37">
        <f t="shared" ca="1" si="54"/>
        <v>0</v>
      </c>
      <c r="P622" t="str">
        <f t="shared" ca="1" si="55"/>
        <v>Red</v>
      </c>
      <c r="Q622" s="36">
        <f t="shared" ca="1" si="56"/>
        <v>-12</v>
      </c>
      <c r="R622" s="36" t="str">
        <f>""</f>
        <v/>
      </c>
      <c r="S622" s="36" t="str">
        <f>""</f>
        <v/>
      </c>
      <c r="T622" s="36" t="str">
        <f>""</f>
        <v/>
      </c>
      <c r="U622" s="36" t="str">
        <f>""</f>
        <v/>
      </c>
      <c r="V622" s="36" t="str">
        <f>""</f>
        <v/>
      </c>
      <c r="W622" s="36">
        <f t="shared" si="57"/>
        <v>1</v>
      </c>
      <c r="X622" t="str">
        <f t="shared" si="58"/>
        <v>Inactive</v>
      </c>
      <c r="Y622" t="str">
        <f>IF(MAIN!$H$3="Selected Year",IF(A622=MAIN!$B$3,"Yes","No"),IF(MAIN!$H$3="Included Years",IF(D622="Yes","Yes","No"),IF(C622="Yes","Yes","No")))</f>
        <v>No</v>
      </c>
      <c r="Z622" t="str">
        <f>IF(MAIN!$F$3="Project to Date",IF(AND(A622&gt;=SETTINGS!$B$4,A622&lt;MAIN!$B$3),"Yes",IF(AND(A622=MAIN!$B$3,E622&lt;=MAIN!$L$3),"Yes","No")),IF(OR(MAIN!$F$3="Full Year",MAIN!$D$3="All"),"Yes",IF(MAIN!$F$3="Monthly",IF(E622=MAIN!$L$3,"Yes","No"),IF(E622&lt;=MAIN!$L$3,"Yes","No"))))</f>
        <v>Yes</v>
      </c>
      <c r="AA622" t="str">
        <f t="shared" si="59"/>
        <v>No</v>
      </c>
    </row>
    <row r="623" spans="1:27" x14ac:dyDescent="0.3">
      <c r="A623">
        <f>INDEX(SETTINGS!$A$15:$A$24,$B623)</f>
        <v>2027</v>
      </c>
      <c r="B623">
        <v>3</v>
      </c>
      <c r="C623" t="str">
        <f>IF(AND(A623&gt;=SETTINGS!$B$4,A623&lt;=SETTINGS!$B$5),"Yes","No")</f>
        <v>No</v>
      </c>
      <c r="D623" t="str">
        <f>IFERROR(INDEX(SETTINGS!$C$15:$C$24,MATCH(A623,SETTINGS!$A$15:$A$24,0)),"No")</f>
        <v>No</v>
      </c>
      <c r="E623">
        <v>9</v>
      </c>
      <c r="F623" t="s">
        <v>42</v>
      </c>
      <c r="G623">
        <v>216</v>
      </c>
      <c r="H623" t="s">
        <v>107</v>
      </c>
      <c r="I623" t="s">
        <v>22</v>
      </c>
      <c r="J623" t="s">
        <v>27</v>
      </c>
      <c r="K623" t="s">
        <v>3</v>
      </c>
      <c r="L623" s="36">
        <f ca="1">IF(C623&lt;&gt;"Yes",0,IF(A623=2025,N('2025'!D216),IF(A623=2026,N('2026'!D216),IF(A623=2027,N('2027'!D216),IF(A623=2028,N('2028'!D216),IF(A623=2029,N('2029'!D216),IF(A623=2030,N('2030'!D216),IF(A623=2031,N('2031'!D216),IF(A623=2032,N('2032'!D216),IF(A623=2033,N('2033'!D216),IF(A623=2034,N('2034'!D216),IFERROR(N(INDIRECT("'"&amp;A623&amp;"'!D"&amp;G623)),0))))))))))))</f>
        <v>0</v>
      </c>
      <c r="M623" s="36">
        <f>IFERROR(IF(NOT(ISBLANK(KPI_TARGETS!$I$18)),KPI_TARGETS!$I$18,IF(NOT(ISBLANK(KPI_TARGETS!$F$18)),KPI_TARGETS!$F$18,"")),"")</f>
        <v>4</v>
      </c>
      <c r="N623" s="36" t="str">
        <f>IFERROR(KPI_TARGETS!$E$18,"Higher is better")</f>
        <v>Higher is better</v>
      </c>
      <c r="O623" s="37">
        <f t="shared" ca="1" si="54"/>
        <v>0</v>
      </c>
      <c r="P623" t="str">
        <f t="shared" ca="1" si="55"/>
        <v>Red</v>
      </c>
      <c r="Q623" s="36">
        <f t="shared" ca="1" si="56"/>
        <v>-4</v>
      </c>
      <c r="R623" s="36" t="str">
        <f>""</f>
        <v/>
      </c>
      <c r="S623" s="36" t="str">
        <f>""</f>
        <v/>
      </c>
      <c r="T623" s="36" t="str">
        <f>""</f>
        <v/>
      </c>
      <c r="U623" s="36" t="str">
        <f>""</f>
        <v/>
      </c>
      <c r="V623" s="36" t="str">
        <f>""</f>
        <v/>
      </c>
      <c r="W623" s="36">
        <f t="shared" si="57"/>
        <v>1</v>
      </c>
      <c r="X623" t="str">
        <f t="shared" si="58"/>
        <v>Inactive</v>
      </c>
      <c r="Y623" t="str">
        <f>IF(MAIN!$H$3="Selected Year",IF(A623=MAIN!$B$3,"Yes","No"),IF(MAIN!$H$3="Included Years",IF(D623="Yes","Yes","No"),IF(C623="Yes","Yes","No")))</f>
        <v>No</v>
      </c>
      <c r="Z623" t="str">
        <f>IF(MAIN!$F$3="Project to Date",IF(AND(A623&gt;=SETTINGS!$B$4,A623&lt;MAIN!$B$3),"Yes",IF(AND(A623=MAIN!$B$3,E623&lt;=MAIN!$L$3),"Yes","No")),IF(OR(MAIN!$F$3="Full Year",MAIN!$D$3="All"),"Yes",IF(MAIN!$F$3="Monthly",IF(E623=MAIN!$L$3,"Yes","No"),IF(E623&lt;=MAIN!$L$3,"Yes","No"))))</f>
        <v>Yes</v>
      </c>
      <c r="AA623" t="str">
        <f t="shared" si="59"/>
        <v>No</v>
      </c>
    </row>
    <row r="624" spans="1:27" x14ac:dyDescent="0.3">
      <c r="A624">
        <f>INDEX(SETTINGS!$A$15:$A$24,$B624)</f>
        <v>2027</v>
      </c>
      <c r="B624">
        <v>3</v>
      </c>
      <c r="C624" t="str">
        <f>IF(AND(A624&gt;=SETTINGS!$B$4,A624&lt;=SETTINGS!$B$5),"Yes","No")</f>
        <v>No</v>
      </c>
      <c r="D624" t="str">
        <f>IFERROR(INDEX(SETTINGS!$C$15:$C$24,MATCH(A624,SETTINGS!$A$15:$A$24,0)),"No")</f>
        <v>No</v>
      </c>
      <c r="E624">
        <v>9</v>
      </c>
      <c r="F624" t="s">
        <v>42</v>
      </c>
      <c r="G624">
        <v>217</v>
      </c>
      <c r="H624" t="s">
        <v>108</v>
      </c>
      <c r="I624" t="s">
        <v>22</v>
      </c>
      <c r="J624" t="s">
        <v>28</v>
      </c>
      <c r="K624" t="s">
        <v>3</v>
      </c>
      <c r="L624" s="36">
        <f ca="1">IF(C624&lt;&gt;"Yes",0,IF(A624=2025,N('2025'!D217),IF(A624=2026,N('2026'!D217),IF(A624=2027,N('2027'!D217),IF(A624=2028,N('2028'!D217),IF(A624=2029,N('2029'!D217),IF(A624=2030,N('2030'!D217),IF(A624=2031,N('2031'!D217),IF(A624=2032,N('2032'!D217),IF(A624=2033,N('2033'!D217),IF(A624=2034,N('2034'!D217),IFERROR(N(INDIRECT("'"&amp;A624&amp;"'!D"&amp;G624)),0))))))))))))</f>
        <v>0</v>
      </c>
      <c r="M624" s="36">
        <f>IFERROR(IF(NOT(ISBLANK(KPI_TARGETS!$I$19)),KPI_TARGETS!$I$19,IF(NOT(ISBLANK(KPI_TARGETS!$F$19)),KPI_TARGETS!$F$19,"")),"")</f>
        <v>16</v>
      </c>
      <c r="N624" s="36" t="str">
        <f>IFERROR(KPI_TARGETS!$E$19,"Higher is better")</f>
        <v>Higher is better</v>
      </c>
      <c r="O624" s="37">
        <f t="shared" ca="1" si="54"/>
        <v>0</v>
      </c>
      <c r="P624" t="str">
        <f t="shared" ca="1" si="55"/>
        <v>Red</v>
      </c>
      <c r="Q624" s="36">
        <f t="shared" ca="1" si="56"/>
        <v>-16</v>
      </c>
      <c r="R624" s="36" t="str">
        <f>""</f>
        <v/>
      </c>
      <c r="S624" s="36" t="str">
        <f>""</f>
        <v/>
      </c>
      <c r="T624" s="36" t="str">
        <f>""</f>
        <v/>
      </c>
      <c r="U624" s="36" t="str">
        <f>""</f>
        <v/>
      </c>
      <c r="V624" s="36" t="str">
        <f>""</f>
        <v/>
      </c>
      <c r="W624" s="36">
        <f t="shared" si="57"/>
        <v>1</v>
      </c>
      <c r="X624" t="str">
        <f t="shared" si="58"/>
        <v>Inactive</v>
      </c>
      <c r="Y624" t="str">
        <f>IF(MAIN!$H$3="Selected Year",IF(A624=MAIN!$B$3,"Yes","No"),IF(MAIN!$H$3="Included Years",IF(D624="Yes","Yes","No"),IF(C624="Yes","Yes","No")))</f>
        <v>No</v>
      </c>
      <c r="Z624" t="str">
        <f>IF(MAIN!$F$3="Project to Date",IF(AND(A624&gt;=SETTINGS!$B$4,A624&lt;MAIN!$B$3),"Yes",IF(AND(A624=MAIN!$B$3,E624&lt;=MAIN!$L$3),"Yes","No")),IF(OR(MAIN!$F$3="Full Year",MAIN!$D$3="All"),"Yes",IF(MAIN!$F$3="Monthly",IF(E624=MAIN!$L$3,"Yes","No"),IF(E624&lt;=MAIN!$L$3,"Yes","No"))))</f>
        <v>Yes</v>
      </c>
      <c r="AA624" t="str">
        <f t="shared" si="59"/>
        <v>No</v>
      </c>
    </row>
    <row r="625" spans="1:27" x14ac:dyDescent="0.3">
      <c r="A625">
        <f>INDEX(SETTINGS!$A$15:$A$24,$B625)</f>
        <v>2027</v>
      </c>
      <c r="B625">
        <v>3</v>
      </c>
      <c r="C625" t="str">
        <f>IF(AND(A625&gt;=SETTINGS!$B$4,A625&lt;=SETTINGS!$B$5),"Yes","No")</f>
        <v>No</v>
      </c>
      <c r="D625" t="str">
        <f>IFERROR(INDEX(SETTINGS!$C$15:$C$24,MATCH(A625,SETTINGS!$A$15:$A$24,0)),"No")</f>
        <v>No</v>
      </c>
      <c r="E625">
        <v>9</v>
      </c>
      <c r="F625" t="s">
        <v>42</v>
      </c>
      <c r="G625">
        <v>218</v>
      </c>
      <c r="H625" t="s">
        <v>109</v>
      </c>
      <c r="I625" t="s">
        <v>22</v>
      </c>
      <c r="J625" t="s">
        <v>29</v>
      </c>
      <c r="K625" t="s">
        <v>3</v>
      </c>
      <c r="L625" s="36">
        <f ca="1">IF(C625&lt;&gt;"Yes",0,IF(A625=2025,N('2025'!D218),IF(A625=2026,N('2026'!D218),IF(A625=2027,N('2027'!D218),IF(A625=2028,N('2028'!D218),IF(A625=2029,N('2029'!D218),IF(A625=2030,N('2030'!D218),IF(A625=2031,N('2031'!D218),IF(A625=2032,N('2032'!D218),IF(A625=2033,N('2033'!D218),IF(A625=2034,N('2034'!D218),IFERROR(N(INDIRECT("'"&amp;A625&amp;"'!D"&amp;G625)),0))))))))))))</f>
        <v>0</v>
      </c>
      <c r="M625" s="36">
        <f>IFERROR(IF(NOT(ISBLANK(KPI_TARGETS!$I$20)),KPI_TARGETS!$I$20,IF(NOT(ISBLANK(KPI_TARGETS!$F$20)),KPI_TARGETS!$F$20,"")),"")</f>
        <v>1</v>
      </c>
      <c r="N625" s="36" t="str">
        <f>IFERROR(KPI_TARGETS!$E$20,"Higher is better")</f>
        <v>Higher is better</v>
      </c>
      <c r="O625" s="37">
        <f t="shared" ca="1" si="54"/>
        <v>0</v>
      </c>
      <c r="P625" t="str">
        <f t="shared" ca="1" si="55"/>
        <v>Red</v>
      </c>
      <c r="Q625" s="36">
        <f t="shared" ca="1" si="56"/>
        <v>-1</v>
      </c>
      <c r="R625" s="36" t="str">
        <f>""</f>
        <v/>
      </c>
      <c r="S625" s="36" t="str">
        <f>""</f>
        <v/>
      </c>
      <c r="T625" s="36" t="str">
        <f>""</f>
        <v/>
      </c>
      <c r="U625" s="36" t="str">
        <f>""</f>
        <v/>
      </c>
      <c r="V625" s="36" t="str">
        <f>""</f>
        <v/>
      </c>
      <c r="W625" s="36">
        <f t="shared" si="57"/>
        <v>1</v>
      </c>
      <c r="X625" t="str">
        <f t="shared" si="58"/>
        <v>Inactive</v>
      </c>
      <c r="Y625" t="str">
        <f>IF(MAIN!$H$3="Selected Year",IF(A625=MAIN!$B$3,"Yes","No"),IF(MAIN!$H$3="Included Years",IF(D625="Yes","Yes","No"),IF(C625="Yes","Yes","No")))</f>
        <v>No</v>
      </c>
      <c r="Z625" t="str">
        <f>IF(MAIN!$F$3="Project to Date",IF(AND(A625&gt;=SETTINGS!$B$4,A625&lt;MAIN!$B$3),"Yes",IF(AND(A625=MAIN!$B$3,E625&lt;=MAIN!$L$3),"Yes","No")),IF(OR(MAIN!$F$3="Full Year",MAIN!$D$3="All"),"Yes",IF(MAIN!$F$3="Monthly",IF(E625=MAIN!$L$3,"Yes","No"),IF(E625&lt;=MAIN!$L$3,"Yes","No"))))</f>
        <v>Yes</v>
      </c>
      <c r="AA625" t="str">
        <f t="shared" si="59"/>
        <v>No</v>
      </c>
    </row>
    <row r="626" spans="1:27" x14ac:dyDescent="0.3">
      <c r="A626">
        <f>INDEX(SETTINGS!$A$15:$A$24,$B626)</f>
        <v>2027</v>
      </c>
      <c r="B626">
        <v>3</v>
      </c>
      <c r="C626" t="str">
        <f>IF(AND(A626&gt;=SETTINGS!$B$4,A626&lt;=SETTINGS!$B$5),"Yes","No")</f>
        <v>No</v>
      </c>
      <c r="D626" t="str">
        <f>IFERROR(INDEX(SETTINGS!$C$15:$C$24,MATCH(A626,SETTINGS!$A$15:$A$24,0)),"No")</f>
        <v>No</v>
      </c>
      <c r="E626">
        <v>9</v>
      </c>
      <c r="F626" t="s">
        <v>42</v>
      </c>
      <c r="G626">
        <v>220</v>
      </c>
      <c r="H626" t="s">
        <v>110</v>
      </c>
      <c r="I626" t="s">
        <v>30</v>
      </c>
      <c r="J626" t="s">
        <v>31</v>
      </c>
      <c r="K626" t="s">
        <v>3</v>
      </c>
      <c r="L626" s="36">
        <f ca="1">IF(C626&lt;&gt;"Yes",0,IF(A626=2025,N('2025'!D220),IF(A626=2026,N('2026'!D220),IF(A626=2027,N('2027'!D220),IF(A626=2028,N('2028'!D220),IF(A626=2029,N('2029'!D220),IF(A626=2030,N('2030'!D220),IF(A626=2031,N('2031'!D220),IF(A626=2032,N('2032'!D220),IF(A626=2033,N('2033'!D220),IF(A626=2034,N('2034'!D220),IFERROR(N(INDIRECT("'"&amp;A626&amp;"'!D"&amp;G626)),0))))))))))))</f>
        <v>0</v>
      </c>
      <c r="M626" s="36">
        <f>IFERROR(IF(NOT(ISBLANK(KPI_TARGETS!$I$21)),KPI_TARGETS!$I$21,IF(NOT(ISBLANK(KPI_TARGETS!$F$21)),KPI_TARGETS!$F$21,"")),"")</f>
        <v>0</v>
      </c>
      <c r="N626" s="36" t="str">
        <f>IFERROR(KPI_TARGETS!$E$21,"Higher is better")</f>
        <v>Lower is better</v>
      </c>
      <c r="O626" s="37">
        <f t="shared" ca="1" si="54"/>
        <v>1</v>
      </c>
      <c r="P626" t="str">
        <f t="shared" ca="1" si="55"/>
        <v>Green</v>
      </c>
      <c r="Q626" s="36">
        <f t="shared" ca="1" si="56"/>
        <v>0</v>
      </c>
      <c r="R626" s="36" t="str">
        <f>""</f>
        <v/>
      </c>
      <c r="S626" s="36" t="str">
        <f>""</f>
        <v/>
      </c>
      <c r="T626" s="36" t="str">
        <f>""</f>
        <v/>
      </c>
      <c r="U626" s="36" t="str">
        <f>""</f>
        <v/>
      </c>
      <c r="V626" s="36" t="str">
        <f>""</f>
        <v/>
      </c>
      <c r="W626" s="36">
        <f t="shared" si="57"/>
        <v>1</v>
      </c>
      <c r="X626" t="str">
        <f t="shared" si="58"/>
        <v>Inactive</v>
      </c>
      <c r="Y626" t="str">
        <f>IF(MAIN!$H$3="Selected Year",IF(A626=MAIN!$B$3,"Yes","No"),IF(MAIN!$H$3="Included Years",IF(D626="Yes","Yes","No"),IF(C626="Yes","Yes","No")))</f>
        <v>No</v>
      </c>
      <c r="Z626" t="str">
        <f>IF(MAIN!$F$3="Project to Date",IF(AND(A626&gt;=SETTINGS!$B$4,A626&lt;MAIN!$B$3),"Yes",IF(AND(A626=MAIN!$B$3,E626&lt;=MAIN!$L$3),"Yes","No")),IF(OR(MAIN!$F$3="Full Year",MAIN!$D$3="All"),"Yes",IF(MAIN!$F$3="Monthly",IF(E626=MAIN!$L$3,"Yes","No"),IF(E626&lt;=MAIN!$L$3,"Yes","No"))))</f>
        <v>Yes</v>
      </c>
      <c r="AA626" t="str">
        <f t="shared" si="59"/>
        <v>No</v>
      </c>
    </row>
    <row r="627" spans="1:27" x14ac:dyDescent="0.3">
      <c r="A627">
        <f>INDEX(SETTINGS!$A$15:$A$24,$B627)</f>
        <v>2027</v>
      </c>
      <c r="B627">
        <v>3</v>
      </c>
      <c r="C627" t="str">
        <f>IF(AND(A627&gt;=SETTINGS!$B$4,A627&lt;=SETTINGS!$B$5),"Yes","No")</f>
        <v>No</v>
      </c>
      <c r="D627" t="str">
        <f>IFERROR(INDEX(SETTINGS!$C$15:$C$24,MATCH(A627,SETTINGS!$A$15:$A$24,0)),"No")</f>
        <v>No</v>
      </c>
      <c r="E627">
        <v>9</v>
      </c>
      <c r="F627" t="s">
        <v>42</v>
      </c>
      <c r="G627">
        <v>221</v>
      </c>
      <c r="H627" t="s">
        <v>111</v>
      </c>
      <c r="I627" t="s">
        <v>30</v>
      </c>
      <c r="J627" t="s">
        <v>32</v>
      </c>
      <c r="K627" t="s">
        <v>3</v>
      </c>
      <c r="L627" s="36">
        <f ca="1">IF(C627&lt;&gt;"Yes",0,IF(A627=2025,N('2025'!D221),IF(A627=2026,N('2026'!D221),IF(A627=2027,N('2027'!D221),IF(A627=2028,N('2028'!D221),IF(A627=2029,N('2029'!D221),IF(A627=2030,N('2030'!D221),IF(A627=2031,N('2031'!D221),IF(A627=2032,N('2032'!D221),IF(A627=2033,N('2033'!D221),IF(A627=2034,N('2034'!D221),IFERROR(N(INDIRECT("'"&amp;A627&amp;"'!D"&amp;G627)),0))))))))))))</f>
        <v>0</v>
      </c>
      <c r="M627" s="36">
        <f>IFERROR(IF(NOT(ISBLANK(KPI_TARGETS!$I$22)),KPI_TARGETS!$I$22,IF(NOT(ISBLANK(KPI_TARGETS!$F$22)),KPI_TARGETS!$F$22,"")),"")</f>
        <v>1</v>
      </c>
      <c r="N627" s="36" t="str">
        <f>IFERROR(KPI_TARGETS!$E$22,"Higher is better")</f>
        <v>Higher is better</v>
      </c>
      <c r="O627" s="37">
        <f t="shared" ca="1" si="54"/>
        <v>0</v>
      </c>
      <c r="P627" t="str">
        <f t="shared" ca="1" si="55"/>
        <v>Red</v>
      </c>
      <c r="Q627" s="36">
        <f t="shared" ca="1" si="56"/>
        <v>-1</v>
      </c>
      <c r="R627" s="36" t="str">
        <f>""</f>
        <v/>
      </c>
      <c r="S627" s="36" t="str">
        <f>""</f>
        <v/>
      </c>
      <c r="T627" s="36" t="str">
        <f>""</f>
        <v/>
      </c>
      <c r="U627" s="36" t="str">
        <f>""</f>
        <v/>
      </c>
      <c r="V627" s="36" t="str">
        <f>""</f>
        <v/>
      </c>
      <c r="W627" s="36">
        <f t="shared" si="57"/>
        <v>1</v>
      </c>
      <c r="X627" t="str">
        <f t="shared" si="58"/>
        <v>Inactive</v>
      </c>
      <c r="Y627" t="str">
        <f>IF(MAIN!$H$3="Selected Year",IF(A627=MAIN!$B$3,"Yes","No"),IF(MAIN!$H$3="Included Years",IF(D627="Yes","Yes","No"),IF(C627="Yes","Yes","No")))</f>
        <v>No</v>
      </c>
      <c r="Z627" t="str">
        <f>IF(MAIN!$F$3="Project to Date",IF(AND(A627&gt;=SETTINGS!$B$4,A627&lt;MAIN!$B$3),"Yes",IF(AND(A627=MAIN!$B$3,E627&lt;=MAIN!$L$3),"Yes","No")),IF(OR(MAIN!$F$3="Full Year",MAIN!$D$3="All"),"Yes",IF(MAIN!$F$3="Monthly",IF(E627=MAIN!$L$3,"Yes","No"),IF(E627&lt;=MAIN!$L$3,"Yes","No"))))</f>
        <v>Yes</v>
      </c>
      <c r="AA627" t="str">
        <f t="shared" si="59"/>
        <v>No</v>
      </c>
    </row>
    <row r="628" spans="1:27" x14ac:dyDescent="0.3">
      <c r="A628">
        <f>INDEX(SETTINGS!$A$15:$A$24,$B628)</f>
        <v>2027</v>
      </c>
      <c r="B628">
        <v>3</v>
      </c>
      <c r="C628" t="str">
        <f>IF(AND(A628&gt;=SETTINGS!$B$4,A628&lt;=SETTINGS!$B$5),"Yes","No")</f>
        <v>No</v>
      </c>
      <c r="D628" t="str">
        <f>IFERROR(INDEX(SETTINGS!$C$15:$C$24,MATCH(A628,SETTINGS!$A$15:$A$24,0)),"No")</f>
        <v>No</v>
      </c>
      <c r="E628">
        <v>9</v>
      </c>
      <c r="F628" t="s">
        <v>42</v>
      </c>
      <c r="G628">
        <v>222</v>
      </c>
      <c r="H628" t="s">
        <v>112</v>
      </c>
      <c r="I628" t="s">
        <v>30</v>
      </c>
      <c r="J628" t="s">
        <v>33</v>
      </c>
      <c r="K628" t="s">
        <v>34</v>
      </c>
      <c r="L628" s="36">
        <f ca="1">IF(C628&lt;&gt;"Yes",0,IF(A628=2025,N('2025'!D222),IF(A628=2026,N('2026'!D222),IF(A628=2027,N('2027'!D222),IF(A628=2028,N('2028'!D222),IF(A628=2029,N('2029'!D222),IF(A628=2030,N('2030'!D222),IF(A628=2031,N('2031'!D222),IF(A628=2032,N('2032'!D222),IF(A628=2033,N('2033'!D222),IF(A628=2034,N('2034'!D222),IFERROR(N(INDIRECT("'"&amp;A628&amp;"'!D"&amp;G628)),0))))))))))))</f>
        <v>0</v>
      </c>
      <c r="M628" s="36">
        <f>IFERROR(IF(NOT(ISBLANK(KPI_TARGETS!$I$23)),KPI_TARGETS!$I$23,IF(NOT(ISBLANK(KPI_TARGETS!$F$23)),KPI_TARGETS!$F$23,"")),"")</f>
        <v>1</v>
      </c>
      <c r="N628" s="36" t="str">
        <f>IFERROR(KPI_TARGETS!$E$23,"Higher is better")</f>
        <v>Higher is better</v>
      </c>
      <c r="O628" s="37">
        <f t="shared" ca="1" si="54"/>
        <v>0</v>
      </c>
      <c r="P628" t="str">
        <f t="shared" ca="1" si="55"/>
        <v>Red</v>
      </c>
      <c r="Q628" s="36">
        <f t="shared" ca="1" si="56"/>
        <v>-1</v>
      </c>
      <c r="R628" s="36" t="str">
        <f>""</f>
        <v/>
      </c>
      <c r="S628" s="36" t="str">
        <f>""</f>
        <v/>
      </c>
      <c r="T628" s="36" t="str">
        <f>""</f>
        <v/>
      </c>
      <c r="U628" s="36" t="str">
        <f>""</f>
        <v/>
      </c>
      <c r="V628" s="36" t="str">
        <f>""</f>
        <v/>
      </c>
      <c r="W628" s="36">
        <f t="shared" si="57"/>
        <v>1</v>
      </c>
      <c r="X628" t="str">
        <f t="shared" si="58"/>
        <v>Inactive</v>
      </c>
      <c r="Y628" t="str">
        <f>IF(MAIN!$H$3="Selected Year",IF(A628=MAIN!$B$3,"Yes","No"),IF(MAIN!$H$3="Included Years",IF(D628="Yes","Yes","No"),IF(C628="Yes","Yes","No")))</f>
        <v>No</v>
      </c>
      <c r="Z628" t="str">
        <f>IF(MAIN!$F$3="Project to Date",IF(AND(A628&gt;=SETTINGS!$B$4,A628&lt;MAIN!$B$3),"Yes",IF(AND(A628=MAIN!$B$3,E628&lt;=MAIN!$L$3),"Yes","No")),IF(OR(MAIN!$F$3="Full Year",MAIN!$D$3="All"),"Yes",IF(MAIN!$F$3="Monthly",IF(E628=MAIN!$L$3,"Yes","No"),IF(E628&lt;=MAIN!$L$3,"Yes","No"))))</f>
        <v>Yes</v>
      </c>
      <c r="AA628" t="str">
        <f t="shared" si="59"/>
        <v>No</v>
      </c>
    </row>
    <row r="629" spans="1:27" x14ac:dyDescent="0.3">
      <c r="A629">
        <f>INDEX(SETTINGS!$A$15:$A$24,$B629)</f>
        <v>2027</v>
      </c>
      <c r="B629">
        <v>3</v>
      </c>
      <c r="C629" t="str">
        <f>IF(AND(A629&gt;=SETTINGS!$B$4,A629&lt;=SETTINGS!$B$5),"Yes","No")</f>
        <v>No</v>
      </c>
      <c r="D629" t="str">
        <f>IFERROR(INDEX(SETTINGS!$C$15:$C$24,MATCH(A629,SETTINGS!$A$15:$A$24,0)),"No")</f>
        <v>No</v>
      </c>
      <c r="E629">
        <v>10</v>
      </c>
      <c r="F629" t="s">
        <v>43</v>
      </c>
      <c r="G629">
        <v>225</v>
      </c>
      <c r="H629" t="s">
        <v>88</v>
      </c>
      <c r="I629" t="s">
        <v>89</v>
      </c>
      <c r="J629" t="s">
        <v>10</v>
      </c>
      <c r="K629" t="s">
        <v>3</v>
      </c>
      <c r="L629" s="36">
        <f ca="1">IF(C629&lt;&gt;"Yes",0,IF(A629=2025,N('2025'!D225),IF(A629=2026,N('2026'!D225),IF(A629=2027,N('2027'!D225),IF(A629=2028,N('2028'!D225),IF(A629=2029,N('2029'!D225),IF(A629=2030,N('2030'!D225),IF(A629=2031,N('2031'!D225),IF(A629=2032,N('2032'!D225),IF(A629=2033,N('2033'!D225),IF(A629=2034,N('2034'!D225),IFERROR(N(INDIRECT("'"&amp;A629&amp;"'!D"&amp;G629)),0))))))))))))</f>
        <v>0</v>
      </c>
      <c r="M629" s="36">
        <f>IFERROR(IF(NOT(ISBLANK(KPI_TARGETS!$I$5)),KPI_TARGETS!$I$5,IF(NOT(ISBLANK(KPI_TARGETS!$F$5)),KPI_TARGETS!$F$5,"")),"")</f>
        <v>104</v>
      </c>
      <c r="N629" s="36" t="str">
        <f>IFERROR(KPI_TARGETS!$E$5,"Higher is better")</f>
        <v>Higher is better</v>
      </c>
      <c r="O629" s="37">
        <f t="shared" ca="1" si="54"/>
        <v>0</v>
      </c>
      <c r="P629" t="str">
        <f t="shared" ca="1" si="55"/>
        <v>Red</v>
      </c>
      <c r="Q629" s="36">
        <f t="shared" ca="1" si="56"/>
        <v>-104</v>
      </c>
      <c r="R629" s="36" t="str">
        <f>""</f>
        <v/>
      </c>
      <c r="S629" s="36" t="str">
        <f>""</f>
        <v/>
      </c>
      <c r="T629" s="36" t="str">
        <f>""</f>
        <v/>
      </c>
      <c r="U629" s="36" t="str">
        <f>""</f>
        <v/>
      </c>
      <c r="V629" s="36" t="str">
        <f>""</f>
        <v/>
      </c>
      <c r="W629" s="36">
        <f t="shared" si="57"/>
        <v>1</v>
      </c>
      <c r="X629" t="str">
        <f t="shared" si="58"/>
        <v>Inactive</v>
      </c>
      <c r="Y629" t="str">
        <f>IF(MAIN!$H$3="Selected Year",IF(A629=MAIN!$B$3,"Yes","No"),IF(MAIN!$H$3="Included Years",IF(D629="Yes","Yes","No"),IF(C629="Yes","Yes","No")))</f>
        <v>No</v>
      </c>
      <c r="Z629" t="str">
        <f>IF(MAIN!$F$3="Project to Date",IF(AND(A629&gt;=SETTINGS!$B$4,A629&lt;MAIN!$B$3),"Yes",IF(AND(A629=MAIN!$B$3,E629&lt;=MAIN!$L$3),"Yes","No")),IF(OR(MAIN!$F$3="Full Year",MAIN!$D$3="All"),"Yes",IF(MAIN!$F$3="Monthly",IF(E629=MAIN!$L$3,"Yes","No"),IF(E629&lt;=MAIN!$L$3,"Yes","No"))))</f>
        <v>Yes</v>
      </c>
      <c r="AA629" t="str">
        <f t="shared" si="59"/>
        <v>No</v>
      </c>
    </row>
    <row r="630" spans="1:27" x14ac:dyDescent="0.3">
      <c r="A630">
        <f>INDEX(SETTINGS!$A$15:$A$24,$B630)</f>
        <v>2027</v>
      </c>
      <c r="B630">
        <v>3</v>
      </c>
      <c r="C630" t="str">
        <f>IF(AND(A630&gt;=SETTINGS!$B$4,A630&lt;=SETTINGS!$B$5),"Yes","No")</f>
        <v>No</v>
      </c>
      <c r="D630" t="str">
        <f>IFERROR(INDEX(SETTINGS!$C$15:$C$24,MATCH(A630,SETTINGS!$A$15:$A$24,0)),"No")</f>
        <v>No</v>
      </c>
      <c r="E630">
        <v>10</v>
      </c>
      <c r="F630" t="s">
        <v>43</v>
      </c>
      <c r="G630">
        <v>226</v>
      </c>
      <c r="H630" t="s">
        <v>91</v>
      </c>
      <c r="I630" t="s">
        <v>89</v>
      </c>
      <c r="J630" t="s">
        <v>11</v>
      </c>
      <c r="K630" t="s">
        <v>12</v>
      </c>
      <c r="L630" s="36">
        <f ca="1">IF(C630&lt;&gt;"Yes",0,IF(A630=2025,N('2025'!D226),IF(A630=2026,N('2026'!D226),IF(A630=2027,N('2027'!D226),IF(A630=2028,N('2028'!D226),IF(A630=2029,N('2029'!D226),IF(A630=2030,N('2030'!D226),IF(A630=2031,N('2031'!D226),IF(A630=2032,N('2032'!D226),IF(A630=2033,N('2033'!D226),IF(A630=2034,N('2034'!D226),IFERROR(N(INDIRECT("'"&amp;A630&amp;"'!D"&amp;G630)),0))))))))))))</f>
        <v>0</v>
      </c>
      <c r="M630" s="36">
        <f>IFERROR(IF(NOT(ISBLANK(KPI_TARGETS!$I$6)),KPI_TARGETS!$I$6,IF(NOT(ISBLANK(KPI_TARGETS!$F$6)),KPI_TARGETS!$F$6,"")),"")</f>
        <v>4000</v>
      </c>
      <c r="N630" s="36" t="str">
        <f>IFERROR(KPI_TARGETS!$E$6,"Higher is better")</f>
        <v>Higher is better</v>
      </c>
      <c r="O630" s="37">
        <f t="shared" ca="1" si="54"/>
        <v>0</v>
      </c>
      <c r="P630" t="str">
        <f t="shared" ca="1" si="55"/>
        <v>Red</v>
      </c>
      <c r="Q630" s="36">
        <f t="shared" ca="1" si="56"/>
        <v>-4000</v>
      </c>
      <c r="R630" s="36" t="str">
        <f>""</f>
        <v/>
      </c>
      <c r="S630" s="36" t="str">
        <f>""</f>
        <v/>
      </c>
      <c r="T630" s="36" t="str">
        <f>""</f>
        <v/>
      </c>
      <c r="U630" s="36" t="str">
        <f>""</f>
        <v/>
      </c>
      <c r="V630" s="36" t="str">
        <f>""</f>
        <v/>
      </c>
      <c r="W630" s="36">
        <f t="shared" si="57"/>
        <v>1</v>
      </c>
      <c r="X630" t="str">
        <f t="shared" si="58"/>
        <v>Inactive</v>
      </c>
      <c r="Y630" t="str">
        <f>IF(MAIN!$H$3="Selected Year",IF(A630=MAIN!$B$3,"Yes","No"),IF(MAIN!$H$3="Included Years",IF(D630="Yes","Yes","No"),IF(C630="Yes","Yes","No")))</f>
        <v>No</v>
      </c>
      <c r="Z630" t="str">
        <f>IF(MAIN!$F$3="Project to Date",IF(AND(A630&gt;=SETTINGS!$B$4,A630&lt;MAIN!$B$3),"Yes",IF(AND(A630=MAIN!$B$3,E630&lt;=MAIN!$L$3),"Yes","No")),IF(OR(MAIN!$F$3="Full Year",MAIN!$D$3="All"),"Yes",IF(MAIN!$F$3="Monthly",IF(E630=MAIN!$L$3,"Yes","No"),IF(E630&lt;=MAIN!$L$3,"Yes","No"))))</f>
        <v>Yes</v>
      </c>
      <c r="AA630" t="str">
        <f t="shared" si="59"/>
        <v>No</v>
      </c>
    </row>
    <row r="631" spans="1:27" x14ac:dyDescent="0.3">
      <c r="A631">
        <f>INDEX(SETTINGS!$A$15:$A$24,$B631)</f>
        <v>2027</v>
      </c>
      <c r="B631">
        <v>3</v>
      </c>
      <c r="C631" t="str">
        <f>IF(AND(A631&gt;=SETTINGS!$B$4,A631&lt;=SETTINGS!$B$5),"Yes","No")</f>
        <v>No</v>
      </c>
      <c r="D631" t="str">
        <f>IFERROR(INDEX(SETTINGS!$C$15:$C$24,MATCH(A631,SETTINGS!$A$15:$A$24,0)),"No")</f>
        <v>No</v>
      </c>
      <c r="E631">
        <v>10</v>
      </c>
      <c r="F631" t="s">
        <v>43</v>
      </c>
      <c r="G631">
        <v>227</v>
      </c>
      <c r="H631" t="s">
        <v>93</v>
      </c>
      <c r="I631" t="s">
        <v>89</v>
      </c>
      <c r="J631" t="s">
        <v>13</v>
      </c>
      <c r="K631" t="s">
        <v>14</v>
      </c>
      <c r="L631" s="36">
        <f ca="1">IF(C631&lt;&gt;"Yes",0,IF(A631=2025,N('2025'!D227),IF(A631=2026,N('2026'!D227),IF(A631=2027,N('2027'!D227),IF(A631=2028,N('2028'!D227),IF(A631=2029,N('2029'!D227),IF(A631=2030,N('2030'!D227),IF(A631=2031,N('2031'!D227),IF(A631=2032,N('2032'!D227),IF(A631=2033,N('2033'!D227),IF(A631=2034,N('2034'!D227),IFERROR(N(INDIRECT("'"&amp;A631&amp;"'!D"&amp;G631)),0))))))))))))</f>
        <v>0</v>
      </c>
      <c r="M631" s="36">
        <f>IFERROR(IF(NOT(ISBLANK(KPI_TARGETS!$I$7)),KPI_TARGETS!$I$7,IF(NOT(ISBLANK(KPI_TARGETS!$F$7)),KPI_TARGETS!$F$7,"")),"")</f>
        <v>8000</v>
      </c>
      <c r="N631" s="36" t="str">
        <f>IFERROR(KPI_TARGETS!$E$7,"Higher is better")</f>
        <v>Higher is better</v>
      </c>
      <c r="O631" s="37">
        <f t="shared" ca="1" si="54"/>
        <v>0</v>
      </c>
      <c r="P631" t="str">
        <f t="shared" ca="1" si="55"/>
        <v>Red</v>
      </c>
      <c r="Q631" s="36">
        <f t="shared" ca="1" si="56"/>
        <v>-8000</v>
      </c>
      <c r="R631" s="36" t="str">
        <f>""</f>
        <v/>
      </c>
      <c r="S631" s="36" t="str">
        <f>""</f>
        <v/>
      </c>
      <c r="T631" s="36" t="str">
        <f>""</f>
        <v/>
      </c>
      <c r="U631" s="36" t="str">
        <f>""</f>
        <v/>
      </c>
      <c r="V631" s="36" t="str">
        <f>""</f>
        <v/>
      </c>
      <c r="W631" s="36">
        <f t="shared" si="57"/>
        <v>1</v>
      </c>
      <c r="X631" t="str">
        <f t="shared" si="58"/>
        <v>Inactive</v>
      </c>
      <c r="Y631" t="str">
        <f>IF(MAIN!$H$3="Selected Year",IF(A631=MAIN!$B$3,"Yes","No"),IF(MAIN!$H$3="Included Years",IF(D631="Yes","Yes","No"),IF(C631="Yes","Yes","No")))</f>
        <v>No</v>
      </c>
      <c r="Z631" t="str">
        <f>IF(MAIN!$F$3="Project to Date",IF(AND(A631&gt;=SETTINGS!$B$4,A631&lt;MAIN!$B$3),"Yes",IF(AND(A631=MAIN!$B$3,E631&lt;=MAIN!$L$3),"Yes","No")),IF(OR(MAIN!$F$3="Full Year",MAIN!$D$3="All"),"Yes",IF(MAIN!$F$3="Monthly",IF(E631=MAIN!$L$3,"Yes","No"),IF(E631&lt;=MAIN!$L$3,"Yes","No"))))</f>
        <v>Yes</v>
      </c>
      <c r="AA631" t="str">
        <f t="shared" si="59"/>
        <v>No</v>
      </c>
    </row>
    <row r="632" spans="1:27" x14ac:dyDescent="0.3">
      <c r="A632">
        <f>INDEX(SETTINGS!$A$15:$A$24,$B632)</f>
        <v>2027</v>
      </c>
      <c r="B632">
        <v>3</v>
      </c>
      <c r="C632" t="str">
        <f>IF(AND(A632&gt;=SETTINGS!$B$4,A632&lt;=SETTINGS!$B$5),"Yes","No")</f>
        <v>No</v>
      </c>
      <c r="D632" t="str">
        <f>IFERROR(INDEX(SETTINGS!$C$15:$C$24,MATCH(A632,SETTINGS!$A$15:$A$24,0)),"No")</f>
        <v>No</v>
      </c>
      <c r="E632">
        <v>10</v>
      </c>
      <c r="F632" t="s">
        <v>43</v>
      </c>
      <c r="G632">
        <v>229</v>
      </c>
      <c r="H632" t="s">
        <v>95</v>
      </c>
      <c r="I632" t="s">
        <v>15</v>
      </c>
      <c r="J632" t="s">
        <v>16</v>
      </c>
      <c r="K632" t="s">
        <v>3</v>
      </c>
      <c r="L632" s="36">
        <f ca="1">IF(C632&lt;&gt;"Yes",0,IF(A632=2025,N('2025'!D229),IF(A632=2026,N('2026'!D229),IF(A632=2027,N('2027'!D229),IF(A632=2028,N('2028'!D229),IF(A632=2029,N('2029'!D229),IF(A632=2030,N('2030'!D229),IF(A632=2031,N('2031'!D229),IF(A632=2032,N('2032'!D229),IF(A632=2033,N('2033'!D229),IF(A632=2034,N('2034'!D229),IFERROR(N(INDIRECT("'"&amp;A632&amp;"'!D"&amp;G632)),0))))))))))))</f>
        <v>0</v>
      </c>
      <c r="M632" s="36">
        <f>IFERROR(IF(NOT(ISBLANK(KPI_TARGETS!$I$8)),KPI_TARGETS!$I$8,IF(NOT(ISBLANK(KPI_TARGETS!$F$8)),KPI_TARGETS!$F$8,"")),"")</f>
        <v>0</v>
      </c>
      <c r="N632" s="36" t="str">
        <f>IFERROR(KPI_TARGETS!$E$8,"Higher is better")</f>
        <v>Lower is better</v>
      </c>
      <c r="O632" s="37">
        <f t="shared" ca="1" si="54"/>
        <v>1</v>
      </c>
      <c r="P632" t="str">
        <f t="shared" ca="1" si="55"/>
        <v>Green</v>
      </c>
      <c r="Q632" s="36">
        <f t="shared" ca="1" si="56"/>
        <v>0</v>
      </c>
      <c r="R632" s="36" t="str">
        <f>""</f>
        <v/>
      </c>
      <c r="S632" s="36" t="str">
        <f>""</f>
        <v/>
      </c>
      <c r="T632" s="36" t="str">
        <f>""</f>
        <v/>
      </c>
      <c r="U632" s="36" t="str">
        <f>""</f>
        <v/>
      </c>
      <c r="V632" s="36" t="str">
        <f>""</f>
        <v/>
      </c>
      <c r="W632" s="36">
        <f t="shared" si="57"/>
        <v>1</v>
      </c>
      <c r="X632" t="str">
        <f t="shared" si="58"/>
        <v>Inactive</v>
      </c>
      <c r="Y632" t="str">
        <f>IF(MAIN!$H$3="Selected Year",IF(A632=MAIN!$B$3,"Yes","No"),IF(MAIN!$H$3="Included Years",IF(D632="Yes","Yes","No"),IF(C632="Yes","Yes","No")))</f>
        <v>No</v>
      </c>
      <c r="Z632" t="str">
        <f>IF(MAIN!$F$3="Project to Date",IF(AND(A632&gt;=SETTINGS!$B$4,A632&lt;MAIN!$B$3),"Yes",IF(AND(A632=MAIN!$B$3,E632&lt;=MAIN!$L$3),"Yes","No")),IF(OR(MAIN!$F$3="Full Year",MAIN!$D$3="All"),"Yes",IF(MAIN!$F$3="Monthly",IF(E632=MAIN!$L$3,"Yes","No"),IF(E632&lt;=MAIN!$L$3,"Yes","No"))))</f>
        <v>Yes</v>
      </c>
      <c r="AA632" t="str">
        <f t="shared" si="59"/>
        <v>No</v>
      </c>
    </row>
    <row r="633" spans="1:27" x14ac:dyDescent="0.3">
      <c r="A633">
        <f>INDEX(SETTINGS!$A$15:$A$24,$B633)</f>
        <v>2027</v>
      </c>
      <c r="B633">
        <v>3</v>
      </c>
      <c r="C633" t="str">
        <f>IF(AND(A633&gt;=SETTINGS!$B$4,A633&lt;=SETTINGS!$B$5),"Yes","No")</f>
        <v>No</v>
      </c>
      <c r="D633" t="str">
        <f>IFERROR(INDEX(SETTINGS!$C$15:$C$24,MATCH(A633,SETTINGS!$A$15:$A$24,0)),"No")</f>
        <v>No</v>
      </c>
      <c r="E633">
        <v>10</v>
      </c>
      <c r="F633" t="s">
        <v>43</v>
      </c>
      <c r="G633">
        <v>230</v>
      </c>
      <c r="H633" t="s">
        <v>97</v>
      </c>
      <c r="I633" t="s">
        <v>15</v>
      </c>
      <c r="J633" t="s">
        <v>17</v>
      </c>
      <c r="K633" t="s">
        <v>3</v>
      </c>
      <c r="L633" s="36">
        <f ca="1">IF(C633&lt;&gt;"Yes",0,IF(A633=2025,N('2025'!D230),IF(A633=2026,N('2026'!D230),IF(A633=2027,N('2027'!D230),IF(A633=2028,N('2028'!D230),IF(A633=2029,N('2029'!D230),IF(A633=2030,N('2030'!D230),IF(A633=2031,N('2031'!D230),IF(A633=2032,N('2032'!D230),IF(A633=2033,N('2033'!D230),IF(A633=2034,N('2034'!D230),IFERROR(N(INDIRECT("'"&amp;A633&amp;"'!D"&amp;G633)),0))))))))))))</f>
        <v>0</v>
      </c>
      <c r="M633" s="36">
        <f>IFERROR(IF(NOT(ISBLANK(KPI_TARGETS!$I$9)),KPI_TARGETS!$I$9,IF(NOT(ISBLANK(KPI_TARGETS!$F$9)),KPI_TARGETS!$F$9,"")),"")</f>
        <v>0</v>
      </c>
      <c r="N633" s="36" t="str">
        <f>IFERROR(KPI_TARGETS!$E$9,"Higher is better")</f>
        <v>Higher is better</v>
      </c>
      <c r="O633" s="37" t="str">
        <f t="shared" ca="1" si="54"/>
        <v/>
      </c>
      <c r="P633" t="str">
        <f t="shared" ca="1" si="55"/>
        <v>Green</v>
      </c>
      <c r="Q633" s="36">
        <f t="shared" ca="1" si="56"/>
        <v>0</v>
      </c>
      <c r="R633" s="36" t="str">
        <f>""</f>
        <v/>
      </c>
      <c r="S633" s="36" t="str">
        <f>""</f>
        <v/>
      </c>
      <c r="T633" s="36" t="str">
        <f>""</f>
        <v/>
      </c>
      <c r="U633" s="36" t="str">
        <f>""</f>
        <v/>
      </c>
      <c r="V633" s="36" t="str">
        <f>""</f>
        <v/>
      </c>
      <c r="W633" s="36">
        <f t="shared" si="57"/>
        <v>1</v>
      </c>
      <c r="X633" t="str">
        <f t="shared" si="58"/>
        <v>Inactive</v>
      </c>
      <c r="Y633" t="str">
        <f>IF(MAIN!$H$3="Selected Year",IF(A633=MAIN!$B$3,"Yes","No"),IF(MAIN!$H$3="Included Years",IF(D633="Yes","Yes","No"),IF(C633="Yes","Yes","No")))</f>
        <v>No</v>
      </c>
      <c r="Z633" t="str">
        <f>IF(MAIN!$F$3="Project to Date",IF(AND(A633&gt;=SETTINGS!$B$4,A633&lt;MAIN!$B$3),"Yes",IF(AND(A633=MAIN!$B$3,E633&lt;=MAIN!$L$3),"Yes","No")),IF(OR(MAIN!$F$3="Full Year",MAIN!$D$3="All"),"Yes",IF(MAIN!$F$3="Monthly",IF(E633=MAIN!$L$3,"Yes","No"),IF(E633&lt;=MAIN!$L$3,"Yes","No"))))</f>
        <v>Yes</v>
      </c>
      <c r="AA633" t="str">
        <f t="shared" si="59"/>
        <v>No</v>
      </c>
    </row>
    <row r="634" spans="1:27" x14ac:dyDescent="0.3">
      <c r="A634">
        <f>INDEX(SETTINGS!$A$15:$A$24,$B634)</f>
        <v>2027</v>
      </c>
      <c r="B634">
        <v>3</v>
      </c>
      <c r="C634" t="str">
        <f>IF(AND(A634&gt;=SETTINGS!$B$4,A634&lt;=SETTINGS!$B$5),"Yes","No")</f>
        <v>No</v>
      </c>
      <c r="D634" t="str">
        <f>IFERROR(INDEX(SETTINGS!$C$15:$C$24,MATCH(A634,SETTINGS!$A$15:$A$24,0)),"No")</f>
        <v>No</v>
      </c>
      <c r="E634">
        <v>10</v>
      </c>
      <c r="F634" t="s">
        <v>43</v>
      </c>
      <c r="G634">
        <v>231</v>
      </c>
      <c r="H634" t="s">
        <v>99</v>
      </c>
      <c r="I634" t="s">
        <v>15</v>
      </c>
      <c r="J634" t="s">
        <v>18</v>
      </c>
      <c r="K634" t="s">
        <v>3</v>
      </c>
      <c r="L634" s="36">
        <f ca="1">IF(C634&lt;&gt;"Yes",0,IF(A634=2025,N('2025'!D231),IF(A634=2026,N('2026'!D231),IF(A634=2027,N('2027'!D231),IF(A634=2028,N('2028'!D231),IF(A634=2029,N('2029'!D231),IF(A634=2030,N('2030'!D231),IF(A634=2031,N('2031'!D231),IF(A634=2032,N('2032'!D231),IF(A634=2033,N('2033'!D231),IF(A634=2034,N('2034'!D231),IFERROR(N(INDIRECT("'"&amp;A634&amp;"'!D"&amp;G634)),0))))))))))))</f>
        <v>0</v>
      </c>
      <c r="M634" s="36">
        <f>IFERROR(IF(NOT(ISBLANK(KPI_TARGETS!$I$10)),KPI_TARGETS!$I$10,IF(NOT(ISBLANK(KPI_TARGETS!$F$10)),KPI_TARGETS!$F$10,"")),"")</f>
        <v>0</v>
      </c>
      <c r="N634" s="36" t="str">
        <f>IFERROR(KPI_TARGETS!$E$10,"Higher is better")</f>
        <v>Lower is better</v>
      </c>
      <c r="O634" s="37">
        <f t="shared" ca="1" si="54"/>
        <v>1</v>
      </c>
      <c r="P634" t="str">
        <f t="shared" ca="1" si="55"/>
        <v>Green</v>
      </c>
      <c r="Q634" s="36">
        <f t="shared" ca="1" si="56"/>
        <v>0</v>
      </c>
      <c r="R634" s="36" t="str">
        <f>""</f>
        <v/>
      </c>
      <c r="S634" s="36" t="str">
        <f>""</f>
        <v/>
      </c>
      <c r="T634" s="36" t="str">
        <f>""</f>
        <v/>
      </c>
      <c r="U634" s="36" t="str">
        <f>""</f>
        <v/>
      </c>
      <c r="V634" s="36" t="str">
        <f>""</f>
        <v/>
      </c>
      <c r="W634" s="36">
        <f t="shared" si="57"/>
        <v>1</v>
      </c>
      <c r="X634" t="str">
        <f t="shared" si="58"/>
        <v>Inactive</v>
      </c>
      <c r="Y634" t="str">
        <f>IF(MAIN!$H$3="Selected Year",IF(A634=MAIN!$B$3,"Yes","No"),IF(MAIN!$H$3="Included Years",IF(D634="Yes","Yes","No"),IF(C634="Yes","Yes","No")))</f>
        <v>No</v>
      </c>
      <c r="Z634" t="str">
        <f>IF(MAIN!$F$3="Project to Date",IF(AND(A634&gt;=SETTINGS!$B$4,A634&lt;MAIN!$B$3),"Yes",IF(AND(A634=MAIN!$B$3,E634&lt;=MAIN!$L$3),"Yes","No")),IF(OR(MAIN!$F$3="Full Year",MAIN!$D$3="All"),"Yes",IF(MAIN!$F$3="Monthly",IF(E634=MAIN!$L$3,"Yes","No"),IF(E634&lt;=MAIN!$L$3,"Yes","No"))))</f>
        <v>Yes</v>
      </c>
      <c r="AA634" t="str">
        <f t="shared" si="59"/>
        <v>No</v>
      </c>
    </row>
    <row r="635" spans="1:27" x14ac:dyDescent="0.3">
      <c r="A635">
        <f>INDEX(SETTINGS!$A$15:$A$24,$B635)</f>
        <v>2027</v>
      </c>
      <c r="B635">
        <v>3</v>
      </c>
      <c r="C635" t="str">
        <f>IF(AND(A635&gt;=SETTINGS!$B$4,A635&lt;=SETTINGS!$B$5),"Yes","No")</f>
        <v>No</v>
      </c>
      <c r="D635" t="str">
        <f>IFERROR(INDEX(SETTINGS!$C$15:$C$24,MATCH(A635,SETTINGS!$A$15:$A$24,0)),"No")</f>
        <v>No</v>
      </c>
      <c r="E635">
        <v>10</v>
      </c>
      <c r="F635" t="s">
        <v>43</v>
      </c>
      <c r="G635">
        <v>232</v>
      </c>
      <c r="H635" t="s">
        <v>100</v>
      </c>
      <c r="I635" t="s">
        <v>15</v>
      </c>
      <c r="J635" t="s">
        <v>19</v>
      </c>
      <c r="K635" t="s">
        <v>3</v>
      </c>
      <c r="L635" s="36">
        <f ca="1">IF(C635&lt;&gt;"Yes",0,IF(A635=2025,N('2025'!D232),IF(A635=2026,N('2026'!D232),IF(A635=2027,N('2027'!D232),IF(A635=2028,N('2028'!D232),IF(A635=2029,N('2029'!D232),IF(A635=2030,N('2030'!D232),IF(A635=2031,N('2031'!D232),IF(A635=2032,N('2032'!D232),IF(A635=2033,N('2033'!D232),IF(A635=2034,N('2034'!D232),IFERROR(N(INDIRECT("'"&amp;A635&amp;"'!D"&amp;G635)),0))))))))))))</f>
        <v>0</v>
      </c>
      <c r="M635" s="36">
        <f>IFERROR(IF(NOT(ISBLANK(KPI_TARGETS!$I$11)),KPI_TARGETS!$I$11,IF(NOT(ISBLANK(KPI_TARGETS!$F$11)),KPI_TARGETS!$F$11,"")),"")</f>
        <v>0</v>
      </c>
      <c r="N635" s="36" t="str">
        <f>IFERROR(KPI_TARGETS!$E$11,"Higher is better")</f>
        <v>Lower is better</v>
      </c>
      <c r="O635" s="37">
        <f t="shared" ca="1" si="54"/>
        <v>1</v>
      </c>
      <c r="P635" t="str">
        <f t="shared" ca="1" si="55"/>
        <v>Green</v>
      </c>
      <c r="Q635" s="36">
        <f t="shared" ca="1" si="56"/>
        <v>0</v>
      </c>
      <c r="R635" s="36" t="str">
        <f>""</f>
        <v/>
      </c>
      <c r="S635" s="36" t="str">
        <f>""</f>
        <v/>
      </c>
      <c r="T635" s="36" t="str">
        <f>""</f>
        <v/>
      </c>
      <c r="U635" s="36" t="str">
        <f>""</f>
        <v/>
      </c>
      <c r="V635" s="36" t="str">
        <f>""</f>
        <v/>
      </c>
      <c r="W635" s="36">
        <f t="shared" si="57"/>
        <v>1</v>
      </c>
      <c r="X635" t="str">
        <f t="shared" si="58"/>
        <v>Inactive</v>
      </c>
      <c r="Y635" t="str">
        <f>IF(MAIN!$H$3="Selected Year",IF(A635=MAIN!$B$3,"Yes","No"),IF(MAIN!$H$3="Included Years",IF(D635="Yes","Yes","No"),IF(C635="Yes","Yes","No")))</f>
        <v>No</v>
      </c>
      <c r="Z635" t="str">
        <f>IF(MAIN!$F$3="Project to Date",IF(AND(A635&gt;=SETTINGS!$B$4,A635&lt;MAIN!$B$3),"Yes",IF(AND(A635=MAIN!$B$3,E635&lt;=MAIN!$L$3),"Yes","No")),IF(OR(MAIN!$F$3="Full Year",MAIN!$D$3="All"),"Yes",IF(MAIN!$F$3="Monthly",IF(E635=MAIN!$L$3,"Yes","No"),IF(E635&lt;=MAIN!$L$3,"Yes","No"))))</f>
        <v>Yes</v>
      </c>
      <c r="AA635" t="str">
        <f t="shared" si="59"/>
        <v>No</v>
      </c>
    </row>
    <row r="636" spans="1:27" x14ac:dyDescent="0.3">
      <c r="A636">
        <f>INDEX(SETTINGS!$A$15:$A$24,$B636)</f>
        <v>2027</v>
      </c>
      <c r="B636">
        <v>3</v>
      </c>
      <c r="C636" t="str">
        <f>IF(AND(A636&gt;=SETTINGS!$B$4,A636&lt;=SETTINGS!$B$5),"Yes","No")</f>
        <v>No</v>
      </c>
      <c r="D636" t="str">
        <f>IFERROR(INDEX(SETTINGS!$C$15:$C$24,MATCH(A636,SETTINGS!$A$15:$A$24,0)),"No")</f>
        <v>No</v>
      </c>
      <c r="E636">
        <v>10</v>
      </c>
      <c r="F636" t="s">
        <v>43</v>
      </c>
      <c r="G636">
        <v>233</v>
      </c>
      <c r="H636" t="s">
        <v>101</v>
      </c>
      <c r="I636" t="s">
        <v>15</v>
      </c>
      <c r="J636" t="s">
        <v>20</v>
      </c>
      <c r="K636" t="s">
        <v>3</v>
      </c>
      <c r="L636" s="36">
        <f ca="1">IF(C636&lt;&gt;"Yes",0,IF(A636=2025,N('2025'!D233),IF(A636=2026,N('2026'!D233),IF(A636=2027,N('2027'!D233),IF(A636=2028,N('2028'!D233),IF(A636=2029,N('2029'!D233),IF(A636=2030,N('2030'!D233),IF(A636=2031,N('2031'!D233),IF(A636=2032,N('2032'!D233),IF(A636=2033,N('2033'!D233),IF(A636=2034,N('2034'!D233),IFERROR(N(INDIRECT("'"&amp;A636&amp;"'!D"&amp;G636)),0))))))))))))</f>
        <v>0</v>
      </c>
      <c r="M636" s="36">
        <f>IFERROR(IF(NOT(ISBLANK(KPI_TARGETS!$I$12)),KPI_TARGETS!$I$12,IF(NOT(ISBLANK(KPI_TARGETS!$F$12)),KPI_TARGETS!$F$12,"")),"")</f>
        <v>0</v>
      </c>
      <c r="N636" s="36" t="str">
        <f>IFERROR(KPI_TARGETS!$E$12,"Higher is better")</f>
        <v>Lower is better</v>
      </c>
      <c r="O636" s="37">
        <f t="shared" ca="1" si="54"/>
        <v>1</v>
      </c>
      <c r="P636" t="str">
        <f t="shared" ca="1" si="55"/>
        <v>Green</v>
      </c>
      <c r="Q636" s="36">
        <f t="shared" ca="1" si="56"/>
        <v>0</v>
      </c>
      <c r="R636" s="36" t="str">
        <f>""</f>
        <v/>
      </c>
      <c r="S636" s="36" t="str">
        <f>""</f>
        <v/>
      </c>
      <c r="T636" s="36" t="str">
        <f>""</f>
        <v/>
      </c>
      <c r="U636" s="36" t="str">
        <f>""</f>
        <v/>
      </c>
      <c r="V636" s="36" t="str">
        <f>""</f>
        <v/>
      </c>
      <c r="W636" s="36">
        <f t="shared" si="57"/>
        <v>1</v>
      </c>
      <c r="X636" t="str">
        <f t="shared" si="58"/>
        <v>Inactive</v>
      </c>
      <c r="Y636" t="str">
        <f>IF(MAIN!$H$3="Selected Year",IF(A636=MAIN!$B$3,"Yes","No"),IF(MAIN!$H$3="Included Years",IF(D636="Yes","Yes","No"),IF(C636="Yes","Yes","No")))</f>
        <v>No</v>
      </c>
      <c r="Z636" t="str">
        <f>IF(MAIN!$F$3="Project to Date",IF(AND(A636&gt;=SETTINGS!$B$4,A636&lt;MAIN!$B$3),"Yes",IF(AND(A636=MAIN!$B$3,E636&lt;=MAIN!$L$3),"Yes","No")),IF(OR(MAIN!$F$3="Full Year",MAIN!$D$3="All"),"Yes",IF(MAIN!$F$3="Monthly",IF(E636=MAIN!$L$3,"Yes","No"),IF(E636&lt;=MAIN!$L$3,"Yes","No"))))</f>
        <v>Yes</v>
      </c>
      <c r="AA636" t="str">
        <f t="shared" si="59"/>
        <v>No</v>
      </c>
    </row>
    <row r="637" spans="1:27" x14ac:dyDescent="0.3">
      <c r="A637">
        <f>INDEX(SETTINGS!$A$15:$A$24,$B637)</f>
        <v>2027</v>
      </c>
      <c r="B637">
        <v>3</v>
      </c>
      <c r="C637" t="str">
        <f>IF(AND(A637&gt;=SETTINGS!$B$4,A637&lt;=SETTINGS!$B$5),"Yes","No")</f>
        <v>No</v>
      </c>
      <c r="D637" t="str">
        <f>IFERROR(INDEX(SETTINGS!$C$15:$C$24,MATCH(A637,SETTINGS!$A$15:$A$24,0)),"No")</f>
        <v>No</v>
      </c>
      <c r="E637">
        <v>10</v>
      </c>
      <c r="F637" t="s">
        <v>43</v>
      </c>
      <c r="G637">
        <v>234</v>
      </c>
      <c r="H637" t="s">
        <v>102</v>
      </c>
      <c r="I637" t="s">
        <v>15</v>
      </c>
      <c r="J637" t="s">
        <v>21</v>
      </c>
      <c r="K637" t="s">
        <v>3</v>
      </c>
      <c r="L637" s="36">
        <f ca="1">IF(C637&lt;&gt;"Yes",0,IF(A637=2025,N('2025'!D234),IF(A637=2026,N('2026'!D234),IF(A637=2027,N('2027'!D234),IF(A637=2028,N('2028'!D234),IF(A637=2029,N('2029'!D234),IF(A637=2030,N('2030'!D234),IF(A637=2031,N('2031'!D234),IF(A637=2032,N('2032'!D234),IF(A637=2033,N('2033'!D234),IF(A637=2034,N('2034'!D234),IFERROR(N(INDIRECT("'"&amp;A637&amp;"'!D"&amp;G637)),0))))))))))))</f>
        <v>0</v>
      </c>
      <c r="M637" s="36">
        <f>IFERROR(IF(NOT(ISBLANK(KPI_TARGETS!$I$13)),KPI_TARGETS!$I$13,IF(NOT(ISBLANK(KPI_TARGETS!$F$13)),KPI_TARGETS!$F$13,"")),"")</f>
        <v>0</v>
      </c>
      <c r="N637" s="36" t="str">
        <f>IFERROR(KPI_TARGETS!$E$13,"Higher is better")</f>
        <v>Lower is better</v>
      </c>
      <c r="O637" s="37">
        <f t="shared" ca="1" si="54"/>
        <v>1</v>
      </c>
      <c r="P637" t="str">
        <f t="shared" ca="1" si="55"/>
        <v>Green</v>
      </c>
      <c r="Q637" s="36">
        <f t="shared" ca="1" si="56"/>
        <v>0</v>
      </c>
      <c r="R637" s="36" t="str">
        <f>""</f>
        <v/>
      </c>
      <c r="S637" s="36" t="str">
        <f>""</f>
        <v/>
      </c>
      <c r="T637" s="36" t="str">
        <f>""</f>
        <v/>
      </c>
      <c r="U637" s="36" t="str">
        <f>""</f>
        <v/>
      </c>
      <c r="V637" s="36" t="str">
        <f>""</f>
        <v/>
      </c>
      <c r="W637" s="36">
        <f t="shared" si="57"/>
        <v>1</v>
      </c>
      <c r="X637" t="str">
        <f t="shared" si="58"/>
        <v>Inactive</v>
      </c>
      <c r="Y637" t="str">
        <f>IF(MAIN!$H$3="Selected Year",IF(A637=MAIN!$B$3,"Yes","No"),IF(MAIN!$H$3="Included Years",IF(D637="Yes","Yes","No"),IF(C637="Yes","Yes","No")))</f>
        <v>No</v>
      </c>
      <c r="Z637" t="str">
        <f>IF(MAIN!$F$3="Project to Date",IF(AND(A637&gt;=SETTINGS!$B$4,A637&lt;MAIN!$B$3),"Yes",IF(AND(A637=MAIN!$B$3,E637&lt;=MAIN!$L$3),"Yes","No")),IF(OR(MAIN!$F$3="Full Year",MAIN!$D$3="All"),"Yes",IF(MAIN!$F$3="Monthly",IF(E637=MAIN!$L$3,"Yes","No"),IF(E637&lt;=MAIN!$L$3,"Yes","No"))))</f>
        <v>Yes</v>
      </c>
      <c r="AA637" t="str">
        <f t="shared" si="59"/>
        <v>No</v>
      </c>
    </row>
    <row r="638" spans="1:27" x14ac:dyDescent="0.3">
      <c r="A638">
        <f>INDEX(SETTINGS!$A$15:$A$24,$B638)</f>
        <v>2027</v>
      </c>
      <c r="B638">
        <v>3</v>
      </c>
      <c r="C638" t="str">
        <f>IF(AND(A638&gt;=SETTINGS!$B$4,A638&lt;=SETTINGS!$B$5),"Yes","No")</f>
        <v>No</v>
      </c>
      <c r="D638" t="str">
        <f>IFERROR(INDEX(SETTINGS!$C$15:$C$24,MATCH(A638,SETTINGS!$A$15:$A$24,0)),"No")</f>
        <v>No</v>
      </c>
      <c r="E638">
        <v>10</v>
      </c>
      <c r="F638" t="s">
        <v>43</v>
      </c>
      <c r="G638">
        <v>236</v>
      </c>
      <c r="H638" t="s">
        <v>103</v>
      </c>
      <c r="I638" t="s">
        <v>22</v>
      </c>
      <c r="J638" t="s">
        <v>23</v>
      </c>
      <c r="K638" t="s">
        <v>3</v>
      </c>
      <c r="L638" s="36">
        <f ca="1">IF(C638&lt;&gt;"Yes",0,IF(A638=2025,N('2025'!D236),IF(A638=2026,N('2026'!D236),IF(A638=2027,N('2027'!D236),IF(A638=2028,N('2028'!D236),IF(A638=2029,N('2029'!D236),IF(A638=2030,N('2030'!D236),IF(A638=2031,N('2031'!D236),IF(A638=2032,N('2032'!D236),IF(A638=2033,N('2033'!D236),IF(A638=2034,N('2034'!D236),IFERROR(N(INDIRECT("'"&amp;A638&amp;"'!D"&amp;G638)),0))))))))))))</f>
        <v>0</v>
      </c>
      <c r="M638" s="36">
        <f>IFERROR(IF(NOT(ISBLANK(KPI_TARGETS!$I$14)),KPI_TARGETS!$I$14,IF(NOT(ISBLANK(KPI_TARGETS!$F$14)),KPI_TARGETS!$F$14,"")),"")</f>
        <v>35</v>
      </c>
      <c r="N638" s="36" t="str">
        <f>IFERROR(KPI_TARGETS!$E$14,"Higher is better")</f>
        <v>Higher is better</v>
      </c>
      <c r="O638" s="37">
        <f t="shared" ca="1" si="54"/>
        <v>0</v>
      </c>
      <c r="P638" t="str">
        <f t="shared" ca="1" si="55"/>
        <v>Red</v>
      </c>
      <c r="Q638" s="36">
        <f t="shared" ca="1" si="56"/>
        <v>-35</v>
      </c>
      <c r="R638" s="36" t="str">
        <f>""</f>
        <v/>
      </c>
      <c r="S638" s="36" t="str">
        <f>""</f>
        <v/>
      </c>
      <c r="T638" s="36" t="str">
        <f>""</f>
        <v/>
      </c>
      <c r="U638" s="36" t="str">
        <f>""</f>
        <v/>
      </c>
      <c r="V638" s="36" t="str">
        <f>""</f>
        <v/>
      </c>
      <c r="W638" s="36">
        <f t="shared" si="57"/>
        <v>1</v>
      </c>
      <c r="X638" t="str">
        <f t="shared" si="58"/>
        <v>Inactive</v>
      </c>
      <c r="Y638" t="str">
        <f>IF(MAIN!$H$3="Selected Year",IF(A638=MAIN!$B$3,"Yes","No"),IF(MAIN!$H$3="Included Years",IF(D638="Yes","Yes","No"),IF(C638="Yes","Yes","No")))</f>
        <v>No</v>
      </c>
      <c r="Z638" t="str">
        <f>IF(MAIN!$F$3="Project to Date",IF(AND(A638&gt;=SETTINGS!$B$4,A638&lt;MAIN!$B$3),"Yes",IF(AND(A638=MAIN!$B$3,E638&lt;=MAIN!$L$3),"Yes","No")),IF(OR(MAIN!$F$3="Full Year",MAIN!$D$3="All"),"Yes",IF(MAIN!$F$3="Monthly",IF(E638=MAIN!$L$3,"Yes","No"),IF(E638&lt;=MAIN!$L$3,"Yes","No"))))</f>
        <v>Yes</v>
      </c>
      <c r="AA638" t="str">
        <f t="shared" si="59"/>
        <v>No</v>
      </c>
    </row>
    <row r="639" spans="1:27" x14ac:dyDescent="0.3">
      <c r="A639">
        <f>INDEX(SETTINGS!$A$15:$A$24,$B639)</f>
        <v>2027</v>
      </c>
      <c r="B639">
        <v>3</v>
      </c>
      <c r="C639" t="str">
        <f>IF(AND(A639&gt;=SETTINGS!$B$4,A639&lt;=SETTINGS!$B$5),"Yes","No")</f>
        <v>No</v>
      </c>
      <c r="D639" t="str">
        <f>IFERROR(INDEX(SETTINGS!$C$15:$C$24,MATCH(A639,SETTINGS!$A$15:$A$24,0)),"No")</f>
        <v>No</v>
      </c>
      <c r="E639">
        <v>10</v>
      </c>
      <c r="F639" t="s">
        <v>43</v>
      </c>
      <c r="G639">
        <v>237</v>
      </c>
      <c r="H639" t="s">
        <v>104</v>
      </c>
      <c r="I639" t="s">
        <v>22</v>
      </c>
      <c r="J639" t="s">
        <v>24</v>
      </c>
      <c r="K639" t="s">
        <v>3</v>
      </c>
      <c r="L639" s="36">
        <f ca="1">IF(C639&lt;&gt;"Yes",0,IF(A639=2025,N('2025'!D237),IF(A639=2026,N('2026'!D237),IF(A639=2027,N('2027'!D237),IF(A639=2028,N('2028'!D237),IF(A639=2029,N('2029'!D237),IF(A639=2030,N('2030'!D237),IF(A639=2031,N('2031'!D237),IF(A639=2032,N('2032'!D237),IF(A639=2033,N('2033'!D237),IF(A639=2034,N('2034'!D237),IFERROR(N(INDIRECT("'"&amp;A639&amp;"'!D"&amp;G639)),0))))))))))))</f>
        <v>0</v>
      </c>
      <c r="M639" s="36">
        <f>IFERROR(IF(NOT(ISBLANK(KPI_TARGETS!$I$15)),KPI_TARGETS!$I$15,IF(NOT(ISBLANK(KPI_TARGETS!$F$15)),KPI_TARGETS!$F$15,"")),"")</f>
        <v>5</v>
      </c>
      <c r="N639" s="36" t="str">
        <f>IFERROR(KPI_TARGETS!$E$15,"Higher is better")</f>
        <v>Higher is better</v>
      </c>
      <c r="O639" s="37">
        <f t="shared" ca="1" si="54"/>
        <v>0</v>
      </c>
      <c r="P639" t="str">
        <f t="shared" ca="1" si="55"/>
        <v>Red</v>
      </c>
      <c r="Q639" s="36">
        <f t="shared" ca="1" si="56"/>
        <v>-5</v>
      </c>
      <c r="R639" s="36" t="str">
        <f>""</f>
        <v/>
      </c>
      <c r="S639" s="36" t="str">
        <f>""</f>
        <v/>
      </c>
      <c r="T639" s="36" t="str">
        <f>""</f>
        <v/>
      </c>
      <c r="U639" s="36" t="str">
        <f>""</f>
        <v/>
      </c>
      <c r="V639" s="36" t="str">
        <f>""</f>
        <v/>
      </c>
      <c r="W639" s="36">
        <f t="shared" si="57"/>
        <v>1</v>
      </c>
      <c r="X639" t="str">
        <f t="shared" si="58"/>
        <v>Inactive</v>
      </c>
      <c r="Y639" t="str">
        <f>IF(MAIN!$H$3="Selected Year",IF(A639=MAIN!$B$3,"Yes","No"),IF(MAIN!$H$3="Included Years",IF(D639="Yes","Yes","No"),IF(C639="Yes","Yes","No")))</f>
        <v>No</v>
      </c>
      <c r="Z639" t="str">
        <f>IF(MAIN!$F$3="Project to Date",IF(AND(A639&gt;=SETTINGS!$B$4,A639&lt;MAIN!$B$3),"Yes",IF(AND(A639=MAIN!$B$3,E639&lt;=MAIN!$L$3),"Yes","No")),IF(OR(MAIN!$F$3="Full Year",MAIN!$D$3="All"),"Yes",IF(MAIN!$F$3="Monthly",IF(E639=MAIN!$L$3,"Yes","No"),IF(E639&lt;=MAIN!$L$3,"Yes","No"))))</f>
        <v>Yes</v>
      </c>
      <c r="AA639" t="str">
        <f t="shared" si="59"/>
        <v>No</v>
      </c>
    </row>
    <row r="640" spans="1:27" x14ac:dyDescent="0.3">
      <c r="A640">
        <f>INDEX(SETTINGS!$A$15:$A$24,$B640)</f>
        <v>2027</v>
      </c>
      <c r="B640">
        <v>3</v>
      </c>
      <c r="C640" t="str">
        <f>IF(AND(A640&gt;=SETTINGS!$B$4,A640&lt;=SETTINGS!$B$5),"Yes","No")</f>
        <v>No</v>
      </c>
      <c r="D640" t="str">
        <f>IFERROR(INDEX(SETTINGS!$C$15:$C$24,MATCH(A640,SETTINGS!$A$15:$A$24,0)),"No")</f>
        <v>No</v>
      </c>
      <c r="E640">
        <v>10</v>
      </c>
      <c r="F640" t="s">
        <v>43</v>
      </c>
      <c r="G640">
        <v>238</v>
      </c>
      <c r="H640" t="s">
        <v>105</v>
      </c>
      <c r="I640" t="s">
        <v>22</v>
      </c>
      <c r="J640" t="s">
        <v>25</v>
      </c>
      <c r="K640" t="s">
        <v>3</v>
      </c>
      <c r="L640" s="36">
        <f ca="1">IF(C640&lt;&gt;"Yes",0,IF(A640=2025,N('2025'!D238),IF(A640=2026,N('2026'!D238),IF(A640=2027,N('2027'!D238),IF(A640=2028,N('2028'!D238),IF(A640=2029,N('2029'!D238),IF(A640=2030,N('2030'!D238),IF(A640=2031,N('2031'!D238),IF(A640=2032,N('2032'!D238),IF(A640=2033,N('2033'!D238),IF(A640=2034,N('2034'!D238),IFERROR(N(INDIRECT("'"&amp;A640&amp;"'!D"&amp;G640)),0))))))))))))</f>
        <v>0</v>
      </c>
      <c r="M640" s="36">
        <f>IFERROR(IF(NOT(ISBLANK(KPI_TARGETS!$I$16)),KPI_TARGETS!$I$16,IF(NOT(ISBLANK(KPI_TARGETS!$F$16)),KPI_TARGETS!$F$16,"")),"")</f>
        <v>4</v>
      </c>
      <c r="N640" s="36" t="str">
        <f>IFERROR(KPI_TARGETS!$E$16,"Higher is better")</f>
        <v>Higher is better</v>
      </c>
      <c r="O640" s="37">
        <f t="shared" ca="1" si="54"/>
        <v>0</v>
      </c>
      <c r="P640" t="str">
        <f t="shared" ca="1" si="55"/>
        <v>Red</v>
      </c>
      <c r="Q640" s="36">
        <f t="shared" ca="1" si="56"/>
        <v>-4</v>
      </c>
      <c r="R640" s="36" t="str">
        <f>""</f>
        <v/>
      </c>
      <c r="S640" s="36" t="str">
        <f>""</f>
        <v/>
      </c>
      <c r="T640" s="36" t="str">
        <f>""</f>
        <v/>
      </c>
      <c r="U640" s="36" t="str">
        <f>""</f>
        <v/>
      </c>
      <c r="V640" s="36" t="str">
        <f>""</f>
        <v/>
      </c>
      <c r="W640" s="36">
        <f t="shared" si="57"/>
        <v>1</v>
      </c>
      <c r="X640" t="str">
        <f t="shared" si="58"/>
        <v>Inactive</v>
      </c>
      <c r="Y640" t="str">
        <f>IF(MAIN!$H$3="Selected Year",IF(A640=MAIN!$B$3,"Yes","No"),IF(MAIN!$H$3="Included Years",IF(D640="Yes","Yes","No"),IF(C640="Yes","Yes","No")))</f>
        <v>No</v>
      </c>
      <c r="Z640" t="str">
        <f>IF(MAIN!$F$3="Project to Date",IF(AND(A640&gt;=SETTINGS!$B$4,A640&lt;MAIN!$B$3),"Yes",IF(AND(A640=MAIN!$B$3,E640&lt;=MAIN!$L$3),"Yes","No")),IF(OR(MAIN!$F$3="Full Year",MAIN!$D$3="All"),"Yes",IF(MAIN!$F$3="Monthly",IF(E640=MAIN!$L$3,"Yes","No"),IF(E640&lt;=MAIN!$L$3,"Yes","No"))))</f>
        <v>Yes</v>
      </c>
      <c r="AA640" t="str">
        <f t="shared" si="59"/>
        <v>No</v>
      </c>
    </row>
    <row r="641" spans="1:27" x14ac:dyDescent="0.3">
      <c r="A641">
        <f>INDEX(SETTINGS!$A$15:$A$24,$B641)</f>
        <v>2027</v>
      </c>
      <c r="B641">
        <v>3</v>
      </c>
      <c r="C641" t="str">
        <f>IF(AND(A641&gt;=SETTINGS!$B$4,A641&lt;=SETTINGS!$B$5),"Yes","No")</f>
        <v>No</v>
      </c>
      <c r="D641" t="str">
        <f>IFERROR(INDEX(SETTINGS!$C$15:$C$24,MATCH(A641,SETTINGS!$A$15:$A$24,0)),"No")</f>
        <v>No</v>
      </c>
      <c r="E641">
        <v>10</v>
      </c>
      <c r="F641" t="s">
        <v>43</v>
      </c>
      <c r="G641">
        <v>239</v>
      </c>
      <c r="H641" t="s">
        <v>106</v>
      </c>
      <c r="I641" t="s">
        <v>22</v>
      </c>
      <c r="J641" t="s">
        <v>26</v>
      </c>
      <c r="K641" t="s">
        <v>3</v>
      </c>
      <c r="L641" s="36">
        <f ca="1">IF(C641&lt;&gt;"Yes",0,IF(A641=2025,N('2025'!D239),IF(A641=2026,N('2026'!D239),IF(A641=2027,N('2027'!D239),IF(A641=2028,N('2028'!D239),IF(A641=2029,N('2029'!D239),IF(A641=2030,N('2030'!D239),IF(A641=2031,N('2031'!D239),IF(A641=2032,N('2032'!D239),IF(A641=2033,N('2033'!D239),IF(A641=2034,N('2034'!D239),IFERROR(N(INDIRECT("'"&amp;A641&amp;"'!D"&amp;G641)),0))))))))))))</f>
        <v>0</v>
      </c>
      <c r="M641" s="36">
        <f>IFERROR(IF(NOT(ISBLANK(KPI_TARGETS!$I$17)),KPI_TARGETS!$I$17,IF(NOT(ISBLANK(KPI_TARGETS!$F$17)),KPI_TARGETS!$F$17,"")),"")</f>
        <v>12</v>
      </c>
      <c r="N641" s="36" t="str">
        <f>IFERROR(KPI_TARGETS!$E$17,"Higher is better")</f>
        <v>Higher is better</v>
      </c>
      <c r="O641" s="37">
        <f t="shared" ca="1" si="54"/>
        <v>0</v>
      </c>
      <c r="P641" t="str">
        <f t="shared" ca="1" si="55"/>
        <v>Red</v>
      </c>
      <c r="Q641" s="36">
        <f t="shared" ca="1" si="56"/>
        <v>-12</v>
      </c>
      <c r="R641" s="36" t="str">
        <f>""</f>
        <v/>
      </c>
      <c r="S641" s="36" t="str">
        <f>""</f>
        <v/>
      </c>
      <c r="T641" s="36" t="str">
        <f>""</f>
        <v/>
      </c>
      <c r="U641" s="36" t="str">
        <f>""</f>
        <v/>
      </c>
      <c r="V641" s="36" t="str">
        <f>""</f>
        <v/>
      </c>
      <c r="W641" s="36">
        <f t="shared" si="57"/>
        <v>1</v>
      </c>
      <c r="X641" t="str">
        <f t="shared" si="58"/>
        <v>Inactive</v>
      </c>
      <c r="Y641" t="str">
        <f>IF(MAIN!$H$3="Selected Year",IF(A641=MAIN!$B$3,"Yes","No"),IF(MAIN!$H$3="Included Years",IF(D641="Yes","Yes","No"),IF(C641="Yes","Yes","No")))</f>
        <v>No</v>
      </c>
      <c r="Z641" t="str">
        <f>IF(MAIN!$F$3="Project to Date",IF(AND(A641&gt;=SETTINGS!$B$4,A641&lt;MAIN!$B$3),"Yes",IF(AND(A641=MAIN!$B$3,E641&lt;=MAIN!$L$3),"Yes","No")),IF(OR(MAIN!$F$3="Full Year",MAIN!$D$3="All"),"Yes",IF(MAIN!$F$3="Monthly",IF(E641=MAIN!$L$3,"Yes","No"),IF(E641&lt;=MAIN!$L$3,"Yes","No"))))</f>
        <v>Yes</v>
      </c>
      <c r="AA641" t="str">
        <f t="shared" si="59"/>
        <v>No</v>
      </c>
    </row>
    <row r="642" spans="1:27" x14ac:dyDescent="0.3">
      <c r="A642">
        <f>INDEX(SETTINGS!$A$15:$A$24,$B642)</f>
        <v>2027</v>
      </c>
      <c r="B642">
        <v>3</v>
      </c>
      <c r="C642" t="str">
        <f>IF(AND(A642&gt;=SETTINGS!$B$4,A642&lt;=SETTINGS!$B$5),"Yes","No")</f>
        <v>No</v>
      </c>
      <c r="D642" t="str">
        <f>IFERROR(INDEX(SETTINGS!$C$15:$C$24,MATCH(A642,SETTINGS!$A$15:$A$24,0)),"No")</f>
        <v>No</v>
      </c>
      <c r="E642">
        <v>10</v>
      </c>
      <c r="F642" t="s">
        <v>43</v>
      </c>
      <c r="G642">
        <v>240</v>
      </c>
      <c r="H642" t="s">
        <v>107</v>
      </c>
      <c r="I642" t="s">
        <v>22</v>
      </c>
      <c r="J642" t="s">
        <v>27</v>
      </c>
      <c r="K642" t="s">
        <v>3</v>
      </c>
      <c r="L642" s="36">
        <f ca="1">IF(C642&lt;&gt;"Yes",0,IF(A642=2025,N('2025'!D240),IF(A642=2026,N('2026'!D240),IF(A642=2027,N('2027'!D240),IF(A642=2028,N('2028'!D240),IF(A642=2029,N('2029'!D240),IF(A642=2030,N('2030'!D240),IF(A642=2031,N('2031'!D240),IF(A642=2032,N('2032'!D240),IF(A642=2033,N('2033'!D240),IF(A642=2034,N('2034'!D240),IFERROR(N(INDIRECT("'"&amp;A642&amp;"'!D"&amp;G642)),0))))))))))))</f>
        <v>0</v>
      </c>
      <c r="M642" s="36">
        <f>IFERROR(IF(NOT(ISBLANK(KPI_TARGETS!$I$18)),KPI_TARGETS!$I$18,IF(NOT(ISBLANK(KPI_TARGETS!$F$18)),KPI_TARGETS!$F$18,"")),"")</f>
        <v>4</v>
      </c>
      <c r="N642" s="36" t="str">
        <f>IFERROR(KPI_TARGETS!$E$18,"Higher is better")</f>
        <v>Higher is better</v>
      </c>
      <c r="O642" s="37">
        <f t="shared" ref="O642:O705" ca="1" si="60">IF(M642="","",IF(N642="Higher is better",IFERROR(L642/M642,""),IF(L642=0,1,IFERROR(M642/L642,""))))</f>
        <v>0</v>
      </c>
      <c r="P642" t="str">
        <f t="shared" ref="P642:P705" ca="1" si="61">IF(M642="","Target Needed",IF(N642="Higher is better",IF(L642&gt;=M642,"Green",IF(L642&gt;=0.8*M642,"Amber","Red")),IF(M642=0,IF(L642=0,"Green","Red"),IF(L642&lt;=M642,"Green",IF(L642&lt;=1.25*M642,"Amber","Red")))))</f>
        <v>Red</v>
      </c>
      <c r="Q642" s="36">
        <f t="shared" ref="Q642:Q705" ca="1" si="62">IF(M642="","",IF(N642="Higher is better",L642-M642,M642-L642))</f>
        <v>-4</v>
      </c>
      <c r="R642" s="36" t="str">
        <f>""</f>
        <v/>
      </c>
      <c r="S642" s="36" t="str">
        <f>""</f>
        <v/>
      </c>
      <c r="T642" s="36" t="str">
        <f>""</f>
        <v/>
      </c>
      <c r="U642" s="36" t="str">
        <f>""</f>
        <v/>
      </c>
      <c r="V642" s="36" t="str">
        <f>""</f>
        <v/>
      </c>
      <c r="W642" s="36">
        <f t="shared" ref="W642:W705" si="63">IF(LEN(M642&amp;"")&gt;0,1,0)</f>
        <v>1</v>
      </c>
      <c r="X642" t="str">
        <f t="shared" ref="X642:X705" si="64">IF(C642&lt;&gt;"Yes","Inactive",IF(M642="","Missing target","OK"))</f>
        <v>Inactive</v>
      </c>
      <c r="Y642" t="str">
        <f>IF(MAIN!$H$3="Selected Year",IF(A642=MAIN!$B$3,"Yes","No"),IF(MAIN!$H$3="Included Years",IF(D642="Yes","Yes","No"),IF(C642="Yes","Yes","No")))</f>
        <v>No</v>
      </c>
      <c r="Z642" t="str">
        <f>IF(MAIN!$F$3="Project to Date",IF(AND(A642&gt;=SETTINGS!$B$4,A642&lt;MAIN!$B$3),"Yes",IF(AND(A642=MAIN!$B$3,E642&lt;=MAIN!$L$3),"Yes","No")),IF(OR(MAIN!$F$3="Full Year",MAIN!$D$3="All"),"Yes",IF(MAIN!$F$3="Monthly",IF(E642=MAIN!$L$3,"Yes","No"),IF(E642&lt;=MAIN!$L$3,"Yes","No"))))</f>
        <v>Yes</v>
      </c>
      <c r="AA642" t="str">
        <f t="shared" ref="AA642:AA705" si="65">IF(AND(Y642="Yes",Z642="Yes"),"Yes","No")</f>
        <v>No</v>
      </c>
    </row>
    <row r="643" spans="1:27" x14ac:dyDescent="0.3">
      <c r="A643">
        <f>INDEX(SETTINGS!$A$15:$A$24,$B643)</f>
        <v>2027</v>
      </c>
      <c r="B643">
        <v>3</v>
      </c>
      <c r="C643" t="str">
        <f>IF(AND(A643&gt;=SETTINGS!$B$4,A643&lt;=SETTINGS!$B$5),"Yes","No")</f>
        <v>No</v>
      </c>
      <c r="D643" t="str">
        <f>IFERROR(INDEX(SETTINGS!$C$15:$C$24,MATCH(A643,SETTINGS!$A$15:$A$24,0)),"No")</f>
        <v>No</v>
      </c>
      <c r="E643">
        <v>10</v>
      </c>
      <c r="F643" t="s">
        <v>43</v>
      </c>
      <c r="G643">
        <v>241</v>
      </c>
      <c r="H643" t="s">
        <v>108</v>
      </c>
      <c r="I643" t="s">
        <v>22</v>
      </c>
      <c r="J643" t="s">
        <v>28</v>
      </c>
      <c r="K643" t="s">
        <v>3</v>
      </c>
      <c r="L643" s="36">
        <f ca="1">IF(C643&lt;&gt;"Yes",0,IF(A643=2025,N('2025'!D241),IF(A643=2026,N('2026'!D241),IF(A643=2027,N('2027'!D241),IF(A643=2028,N('2028'!D241),IF(A643=2029,N('2029'!D241),IF(A643=2030,N('2030'!D241),IF(A643=2031,N('2031'!D241),IF(A643=2032,N('2032'!D241),IF(A643=2033,N('2033'!D241),IF(A643=2034,N('2034'!D241),IFERROR(N(INDIRECT("'"&amp;A643&amp;"'!D"&amp;G643)),0))))))))))))</f>
        <v>0</v>
      </c>
      <c r="M643" s="36">
        <f>IFERROR(IF(NOT(ISBLANK(KPI_TARGETS!$I$19)),KPI_TARGETS!$I$19,IF(NOT(ISBLANK(KPI_TARGETS!$F$19)),KPI_TARGETS!$F$19,"")),"")</f>
        <v>16</v>
      </c>
      <c r="N643" s="36" t="str">
        <f>IFERROR(KPI_TARGETS!$E$19,"Higher is better")</f>
        <v>Higher is better</v>
      </c>
      <c r="O643" s="37">
        <f t="shared" ca="1" si="60"/>
        <v>0</v>
      </c>
      <c r="P643" t="str">
        <f t="shared" ca="1" si="61"/>
        <v>Red</v>
      </c>
      <c r="Q643" s="36">
        <f t="shared" ca="1" si="62"/>
        <v>-16</v>
      </c>
      <c r="R643" s="36" t="str">
        <f>""</f>
        <v/>
      </c>
      <c r="S643" s="36" t="str">
        <f>""</f>
        <v/>
      </c>
      <c r="T643" s="36" t="str">
        <f>""</f>
        <v/>
      </c>
      <c r="U643" s="36" t="str">
        <f>""</f>
        <v/>
      </c>
      <c r="V643" s="36" t="str">
        <f>""</f>
        <v/>
      </c>
      <c r="W643" s="36">
        <f t="shared" si="63"/>
        <v>1</v>
      </c>
      <c r="X643" t="str">
        <f t="shared" si="64"/>
        <v>Inactive</v>
      </c>
      <c r="Y643" t="str">
        <f>IF(MAIN!$H$3="Selected Year",IF(A643=MAIN!$B$3,"Yes","No"),IF(MAIN!$H$3="Included Years",IF(D643="Yes","Yes","No"),IF(C643="Yes","Yes","No")))</f>
        <v>No</v>
      </c>
      <c r="Z643" t="str">
        <f>IF(MAIN!$F$3="Project to Date",IF(AND(A643&gt;=SETTINGS!$B$4,A643&lt;MAIN!$B$3),"Yes",IF(AND(A643=MAIN!$B$3,E643&lt;=MAIN!$L$3),"Yes","No")),IF(OR(MAIN!$F$3="Full Year",MAIN!$D$3="All"),"Yes",IF(MAIN!$F$3="Monthly",IF(E643=MAIN!$L$3,"Yes","No"),IF(E643&lt;=MAIN!$L$3,"Yes","No"))))</f>
        <v>Yes</v>
      </c>
      <c r="AA643" t="str">
        <f t="shared" si="65"/>
        <v>No</v>
      </c>
    </row>
    <row r="644" spans="1:27" x14ac:dyDescent="0.3">
      <c r="A644">
        <f>INDEX(SETTINGS!$A$15:$A$24,$B644)</f>
        <v>2027</v>
      </c>
      <c r="B644">
        <v>3</v>
      </c>
      <c r="C644" t="str">
        <f>IF(AND(A644&gt;=SETTINGS!$B$4,A644&lt;=SETTINGS!$B$5),"Yes","No")</f>
        <v>No</v>
      </c>
      <c r="D644" t="str">
        <f>IFERROR(INDEX(SETTINGS!$C$15:$C$24,MATCH(A644,SETTINGS!$A$15:$A$24,0)),"No")</f>
        <v>No</v>
      </c>
      <c r="E644">
        <v>10</v>
      </c>
      <c r="F644" t="s">
        <v>43</v>
      </c>
      <c r="G644">
        <v>242</v>
      </c>
      <c r="H644" t="s">
        <v>109</v>
      </c>
      <c r="I644" t="s">
        <v>22</v>
      </c>
      <c r="J644" t="s">
        <v>29</v>
      </c>
      <c r="K644" t="s">
        <v>3</v>
      </c>
      <c r="L644" s="36">
        <f ca="1">IF(C644&lt;&gt;"Yes",0,IF(A644=2025,N('2025'!D242),IF(A644=2026,N('2026'!D242),IF(A644=2027,N('2027'!D242),IF(A644=2028,N('2028'!D242),IF(A644=2029,N('2029'!D242),IF(A644=2030,N('2030'!D242),IF(A644=2031,N('2031'!D242),IF(A644=2032,N('2032'!D242),IF(A644=2033,N('2033'!D242),IF(A644=2034,N('2034'!D242),IFERROR(N(INDIRECT("'"&amp;A644&amp;"'!D"&amp;G644)),0))))))))))))</f>
        <v>0</v>
      </c>
      <c r="M644" s="36">
        <f>IFERROR(IF(NOT(ISBLANK(KPI_TARGETS!$I$20)),KPI_TARGETS!$I$20,IF(NOT(ISBLANK(KPI_TARGETS!$F$20)),KPI_TARGETS!$F$20,"")),"")</f>
        <v>1</v>
      </c>
      <c r="N644" s="36" t="str">
        <f>IFERROR(KPI_TARGETS!$E$20,"Higher is better")</f>
        <v>Higher is better</v>
      </c>
      <c r="O644" s="37">
        <f t="shared" ca="1" si="60"/>
        <v>0</v>
      </c>
      <c r="P644" t="str">
        <f t="shared" ca="1" si="61"/>
        <v>Red</v>
      </c>
      <c r="Q644" s="36">
        <f t="shared" ca="1" si="62"/>
        <v>-1</v>
      </c>
      <c r="R644" s="36" t="str">
        <f>""</f>
        <v/>
      </c>
      <c r="S644" s="36" t="str">
        <f>""</f>
        <v/>
      </c>
      <c r="T644" s="36" t="str">
        <f>""</f>
        <v/>
      </c>
      <c r="U644" s="36" t="str">
        <f>""</f>
        <v/>
      </c>
      <c r="V644" s="36" t="str">
        <f>""</f>
        <v/>
      </c>
      <c r="W644" s="36">
        <f t="shared" si="63"/>
        <v>1</v>
      </c>
      <c r="X644" t="str">
        <f t="shared" si="64"/>
        <v>Inactive</v>
      </c>
      <c r="Y644" t="str">
        <f>IF(MAIN!$H$3="Selected Year",IF(A644=MAIN!$B$3,"Yes","No"),IF(MAIN!$H$3="Included Years",IF(D644="Yes","Yes","No"),IF(C644="Yes","Yes","No")))</f>
        <v>No</v>
      </c>
      <c r="Z644" t="str">
        <f>IF(MAIN!$F$3="Project to Date",IF(AND(A644&gt;=SETTINGS!$B$4,A644&lt;MAIN!$B$3),"Yes",IF(AND(A644=MAIN!$B$3,E644&lt;=MAIN!$L$3),"Yes","No")),IF(OR(MAIN!$F$3="Full Year",MAIN!$D$3="All"),"Yes",IF(MAIN!$F$3="Monthly",IF(E644=MAIN!$L$3,"Yes","No"),IF(E644&lt;=MAIN!$L$3,"Yes","No"))))</f>
        <v>Yes</v>
      </c>
      <c r="AA644" t="str">
        <f t="shared" si="65"/>
        <v>No</v>
      </c>
    </row>
    <row r="645" spans="1:27" x14ac:dyDescent="0.3">
      <c r="A645">
        <f>INDEX(SETTINGS!$A$15:$A$24,$B645)</f>
        <v>2027</v>
      </c>
      <c r="B645">
        <v>3</v>
      </c>
      <c r="C645" t="str">
        <f>IF(AND(A645&gt;=SETTINGS!$B$4,A645&lt;=SETTINGS!$B$5),"Yes","No")</f>
        <v>No</v>
      </c>
      <c r="D645" t="str">
        <f>IFERROR(INDEX(SETTINGS!$C$15:$C$24,MATCH(A645,SETTINGS!$A$15:$A$24,0)),"No")</f>
        <v>No</v>
      </c>
      <c r="E645">
        <v>10</v>
      </c>
      <c r="F645" t="s">
        <v>43</v>
      </c>
      <c r="G645">
        <v>244</v>
      </c>
      <c r="H645" t="s">
        <v>110</v>
      </c>
      <c r="I645" t="s">
        <v>30</v>
      </c>
      <c r="J645" t="s">
        <v>31</v>
      </c>
      <c r="K645" t="s">
        <v>3</v>
      </c>
      <c r="L645" s="36">
        <f ca="1">IF(C645&lt;&gt;"Yes",0,IF(A645=2025,N('2025'!D244),IF(A645=2026,N('2026'!D244),IF(A645=2027,N('2027'!D244),IF(A645=2028,N('2028'!D244),IF(A645=2029,N('2029'!D244),IF(A645=2030,N('2030'!D244),IF(A645=2031,N('2031'!D244),IF(A645=2032,N('2032'!D244),IF(A645=2033,N('2033'!D244),IF(A645=2034,N('2034'!D244),IFERROR(N(INDIRECT("'"&amp;A645&amp;"'!D"&amp;G645)),0))))))))))))</f>
        <v>0</v>
      </c>
      <c r="M645" s="36">
        <f>IFERROR(IF(NOT(ISBLANK(KPI_TARGETS!$I$21)),KPI_TARGETS!$I$21,IF(NOT(ISBLANK(KPI_TARGETS!$F$21)),KPI_TARGETS!$F$21,"")),"")</f>
        <v>0</v>
      </c>
      <c r="N645" s="36" t="str">
        <f>IFERROR(KPI_TARGETS!$E$21,"Higher is better")</f>
        <v>Lower is better</v>
      </c>
      <c r="O645" s="37">
        <f t="shared" ca="1" si="60"/>
        <v>1</v>
      </c>
      <c r="P645" t="str">
        <f t="shared" ca="1" si="61"/>
        <v>Green</v>
      </c>
      <c r="Q645" s="36">
        <f t="shared" ca="1" si="62"/>
        <v>0</v>
      </c>
      <c r="R645" s="36" t="str">
        <f>""</f>
        <v/>
      </c>
      <c r="S645" s="36" t="str">
        <f>""</f>
        <v/>
      </c>
      <c r="T645" s="36" t="str">
        <f>""</f>
        <v/>
      </c>
      <c r="U645" s="36" t="str">
        <f>""</f>
        <v/>
      </c>
      <c r="V645" s="36" t="str">
        <f>""</f>
        <v/>
      </c>
      <c r="W645" s="36">
        <f t="shared" si="63"/>
        <v>1</v>
      </c>
      <c r="X645" t="str">
        <f t="shared" si="64"/>
        <v>Inactive</v>
      </c>
      <c r="Y645" t="str">
        <f>IF(MAIN!$H$3="Selected Year",IF(A645=MAIN!$B$3,"Yes","No"),IF(MAIN!$H$3="Included Years",IF(D645="Yes","Yes","No"),IF(C645="Yes","Yes","No")))</f>
        <v>No</v>
      </c>
      <c r="Z645" t="str">
        <f>IF(MAIN!$F$3="Project to Date",IF(AND(A645&gt;=SETTINGS!$B$4,A645&lt;MAIN!$B$3),"Yes",IF(AND(A645=MAIN!$B$3,E645&lt;=MAIN!$L$3),"Yes","No")),IF(OR(MAIN!$F$3="Full Year",MAIN!$D$3="All"),"Yes",IF(MAIN!$F$3="Monthly",IF(E645=MAIN!$L$3,"Yes","No"),IF(E645&lt;=MAIN!$L$3,"Yes","No"))))</f>
        <v>Yes</v>
      </c>
      <c r="AA645" t="str">
        <f t="shared" si="65"/>
        <v>No</v>
      </c>
    </row>
    <row r="646" spans="1:27" x14ac:dyDescent="0.3">
      <c r="A646">
        <f>INDEX(SETTINGS!$A$15:$A$24,$B646)</f>
        <v>2027</v>
      </c>
      <c r="B646">
        <v>3</v>
      </c>
      <c r="C646" t="str">
        <f>IF(AND(A646&gt;=SETTINGS!$B$4,A646&lt;=SETTINGS!$B$5),"Yes","No")</f>
        <v>No</v>
      </c>
      <c r="D646" t="str">
        <f>IFERROR(INDEX(SETTINGS!$C$15:$C$24,MATCH(A646,SETTINGS!$A$15:$A$24,0)),"No")</f>
        <v>No</v>
      </c>
      <c r="E646">
        <v>10</v>
      </c>
      <c r="F646" t="s">
        <v>43</v>
      </c>
      <c r="G646">
        <v>245</v>
      </c>
      <c r="H646" t="s">
        <v>111</v>
      </c>
      <c r="I646" t="s">
        <v>30</v>
      </c>
      <c r="J646" t="s">
        <v>32</v>
      </c>
      <c r="K646" t="s">
        <v>3</v>
      </c>
      <c r="L646" s="36">
        <f ca="1">IF(C646&lt;&gt;"Yes",0,IF(A646=2025,N('2025'!D245),IF(A646=2026,N('2026'!D245),IF(A646=2027,N('2027'!D245),IF(A646=2028,N('2028'!D245),IF(A646=2029,N('2029'!D245),IF(A646=2030,N('2030'!D245),IF(A646=2031,N('2031'!D245),IF(A646=2032,N('2032'!D245),IF(A646=2033,N('2033'!D245),IF(A646=2034,N('2034'!D245),IFERROR(N(INDIRECT("'"&amp;A646&amp;"'!D"&amp;G646)),0))))))))))))</f>
        <v>0</v>
      </c>
      <c r="M646" s="36">
        <f>IFERROR(IF(NOT(ISBLANK(KPI_TARGETS!$I$22)),KPI_TARGETS!$I$22,IF(NOT(ISBLANK(KPI_TARGETS!$F$22)),KPI_TARGETS!$F$22,"")),"")</f>
        <v>1</v>
      </c>
      <c r="N646" s="36" t="str">
        <f>IFERROR(KPI_TARGETS!$E$22,"Higher is better")</f>
        <v>Higher is better</v>
      </c>
      <c r="O646" s="37">
        <f t="shared" ca="1" si="60"/>
        <v>0</v>
      </c>
      <c r="P646" t="str">
        <f t="shared" ca="1" si="61"/>
        <v>Red</v>
      </c>
      <c r="Q646" s="36">
        <f t="shared" ca="1" si="62"/>
        <v>-1</v>
      </c>
      <c r="R646" s="36" t="str">
        <f>""</f>
        <v/>
      </c>
      <c r="S646" s="36" t="str">
        <f>""</f>
        <v/>
      </c>
      <c r="T646" s="36" t="str">
        <f>""</f>
        <v/>
      </c>
      <c r="U646" s="36" t="str">
        <f>""</f>
        <v/>
      </c>
      <c r="V646" s="36" t="str">
        <f>""</f>
        <v/>
      </c>
      <c r="W646" s="36">
        <f t="shared" si="63"/>
        <v>1</v>
      </c>
      <c r="X646" t="str">
        <f t="shared" si="64"/>
        <v>Inactive</v>
      </c>
      <c r="Y646" t="str">
        <f>IF(MAIN!$H$3="Selected Year",IF(A646=MAIN!$B$3,"Yes","No"),IF(MAIN!$H$3="Included Years",IF(D646="Yes","Yes","No"),IF(C646="Yes","Yes","No")))</f>
        <v>No</v>
      </c>
      <c r="Z646" t="str">
        <f>IF(MAIN!$F$3="Project to Date",IF(AND(A646&gt;=SETTINGS!$B$4,A646&lt;MAIN!$B$3),"Yes",IF(AND(A646=MAIN!$B$3,E646&lt;=MAIN!$L$3),"Yes","No")),IF(OR(MAIN!$F$3="Full Year",MAIN!$D$3="All"),"Yes",IF(MAIN!$F$3="Monthly",IF(E646=MAIN!$L$3,"Yes","No"),IF(E646&lt;=MAIN!$L$3,"Yes","No"))))</f>
        <v>Yes</v>
      </c>
      <c r="AA646" t="str">
        <f t="shared" si="65"/>
        <v>No</v>
      </c>
    </row>
    <row r="647" spans="1:27" x14ac:dyDescent="0.3">
      <c r="A647">
        <f>INDEX(SETTINGS!$A$15:$A$24,$B647)</f>
        <v>2027</v>
      </c>
      <c r="B647">
        <v>3</v>
      </c>
      <c r="C647" t="str">
        <f>IF(AND(A647&gt;=SETTINGS!$B$4,A647&lt;=SETTINGS!$B$5),"Yes","No")</f>
        <v>No</v>
      </c>
      <c r="D647" t="str">
        <f>IFERROR(INDEX(SETTINGS!$C$15:$C$24,MATCH(A647,SETTINGS!$A$15:$A$24,0)),"No")</f>
        <v>No</v>
      </c>
      <c r="E647">
        <v>10</v>
      </c>
      <c r="F647" t="s">
        <v>43</v>
      </c>
      <c r="G647">
        <v>246</v>
      </c>
      <c r="H647" t="s">
        <v>112</v>
      </c>
      <c r="I647" t="s">
        <v>30</v>
      </c>
      <c r="J647" t="s">
        <v>33</v>
      </c>
      <c r="K647" t="s">
        <v>34</v>
      </c>
      <c r="L647" s="36">
        <f ca="1">IF(C647&lt;&gt;"Yes",0,IF(A647=2025,N('2025'!D246),IF(A647=2026,N('2026'!D246),IF(A647=2027,N('2027'!D246),IF(A647=2028,N('2028'!D246),IF(A647=2029,N('2029'!D246),IF(A647=2030,N('2030'!D246),IF(A647=2031,N('2031'!D246),IF(A647=2032,N('2032'!D246),IF(A647=2033,N('2033'!D246),IF(A647=2034,N('2034'!D246),IFERROR(N(INDIRECT("'"&amp;A647&amp;"'!D"&amp;G647)),0))))))))))))</f>
        <v>0</v>
      </c>
      <c r="M647" s="36">
        <f>IFERROR(IF(NOT(ISBLANK(KPI_TARGETS!$I$23)),KPI_TARGETS!$I$23,IF(NOT(ISBLANK(KPI_TARGETS!$F$23)),KPI_TARGETS!$F$23,"")),"")</f>
        <v>1</v>
      </c>
      <c r="N647" s="36" t="str">
        <f>IFERROR(KPI_TARGETS!$E$23,"Higher is better")</f>
        <v>Higher is better</v>
      </c>
      <c r="O647" s="37">
        <f t="shared" ca="1" si="60"/>
        <v>0</v>
      </c>
      <c r="P647" t="str">
        <f t="shared" ca="1" si="61"/>
        <v>Red</v>
      </c>
      <c r="Q647" s="36">
        <f t="shared" ca="1" si="62"/>
        <v>-1</v>
      </c>
      <c r="R647" s="36" t="str">
        <f>""</f>
        <v/>
      </c>
      <c r="S647" s="36" t="str">
        <f>""</f>
        <v/>
      </c>
      <c r="T647" s="36" t="str">
        <f>""</f>
        <v/>
      </c>
      <c r="U647" s="36" t="str">
        <f>""</f>
        <v/>
      </c>
      <c r="V647" s="36" t="str">
        <f>""</f>
        <v/>
      </c>
      <c r="W647" s="36">
        <f t="shared" si="63"/>
        <v>1</v>
      </c>
      <c r="X647" t="str">
        <f t="shared" si="64"/>
        <v>Inactive</v>
      </c>
      <c r="Y647" t="str">
        <f>IF(MAIN!$H$3="Selected Year",IF(A647=MAIN!$B$3,"Yes","No"),IF(MAIN!$H$3="Included Years",IF(D647="Yes","Yes","No"),IF(C647="Yes","Yes","No")))</f>
        <v>No</v>
      </c>
      <c r="Z647" t="str">
        <f>IF(MAIN!$F$3="Project to Date",IF(AND(A647&gt;=SETTINGS!$B$4,A647&lt;MAIN!$B$3),"Yes",IF(AND(A647=MAIN!$B$3,E647&lt;=MAIN!$L$3),"Yes","No")),IF(OR(MAIN!$F$3="Full Year",MAIN!$D$3="All"),"Yes",IF(MAIN!$F$3="Monthly",IF(E647=MAIN!$L$3,"Yes","No"),IF(E647&lt;=MAIN!$L$3,"Yes","No"))))</f>
        <v>Yes</v>
      </c>
      <c r="AA647" t="str">
        <f t="shared" si="65"/>
        <v>No</v>
      </c>
    </row>
    <row r="648" spans="1:27" x14ac:dyDescent="0.3">
      <c r="A648">
        <f>INDEX(SETTINGS!$A$15:$A$24,$B648)</f>
        <v>2027</v>
      </c>
      <c r="B648">
        <v>3</v>
      </c>
      <c r="C648" t="str">
        <f>IF(AND(A648&gt;=SETTINGS!$B$4,A648&lt;=SETTINGS!$B$5),"Yes","No")</f>
        <v>No</v>
      </c>
      <c r="D648" t="str">
        <f>IFERROR(INDEX(SETTINGS!$C$15:$C$24,MATCH(A648,SETTINGS!$A$15:$A$24,0)),"No")</f>
        <v>No</v>
      </c>
      <c r="E648">
        <v>11</v>
      </c>
      <c r="F648" t="s">
        <v>44</v>
      </c>
      <c r="G648">
        <v>249</v>
      </c>
      <c r="H648" t="s">
        <v>88</v>
      </c>
      <c r="I648" t="s">
        <v>89</v>
      </c>
      <c r="J648" t="s">
        <v>10</v>
      </c>
      <c r="K648" t="s">
        <v>3</v>
      </c>
      <c r="L648" s="36">
        <f ca="1">IF(C648&lt;&gt;"Yes",0,IF(A648=2025,N('2025'!D249),IF(A648=2026,N('2026'!D249),IF(A648=2027,N('2027'!D249),IF(A648=2028,N('2028'!D249),IF(A648=2029,N('2029'!D249),IF(A648=2030,N('2030'!D249),IF(A648=2031,N('2031'!D249),IF(A648=2032,N('2032'!D249),IF(A648=2033,N('2033'!D249),IF(A648=2034,N('2034'!D249),IFERROR(N(INDIRECT("'"&amp;A648&amp;"'!D"&amp;G648)),0))))))))))))</f>
        <v>0</v>
      </c>
      <c r="M648" s="36">
        <f>IFERROR(IF(NOT(ISBLANK(KPI_TARGETS!$I$5)),KPI_TARGETS!$I$5,IF(NOT(ISBLANK(KPI_TARGETS!$F$5)),KPI_TARGETS!$F$5,"")),"")</f>
        <v>104</v>
      </c>
      <c r="N648" s="36" t="str">
        <f>IFERROR(KPI_TARGETS!$E$5,"Higher is better")</f>
        <v>Higher is better</v>
      </c>
      <c r="O648" s="37">
        <f t="shared" ca="1" si="60"/>
        <v>0</v>
      </c>
      <c r="P648" t="str">
        <f t="shared" ca="1" si="61"/>
        <v>Red</v>
      </c>
      <c r="Q648" s="36">
        <f t="shared" ca="1" si="62"/>
        <v>-104</v>
      </c>
      <c r="R648" s="36" t="str">
        <f>""</f>
        <v/>
      </c>
      <c r="S648" s="36" t="str">
        <f>""</f>
        <v/>
      </c>
      <c r="T648" s="36" t="str">
        <f>""</f>
        <v/>
      </c>
      <c r="U648" s="36" t="str">
        <f>""</f>
        <v/>
      </c>
      <c r="V648" s="36" t="str">
        <f>""</f>
        <v/>
      </c>
      <c r="W648" s="36">
        <f t="shared" si="63"/>
        <v>1</v>
      </c>
      <c r="X648" t="str">
        <f t="shared" si="64"/>
        <v>Inactive</v>
      </c>
      <c r="Y648" t="str">
        <f>IF(MAIN!$H$3="Selected Year",IF(A648=MAIN!$B$3,"Yes","No"),IF(MAIN!$H$3="Included Years",IF(D648="Yes","Yes","No"),IF(C648="Yes","Yes","No")))</f>
        <v>No</v>
      </c>
      <c r="Z648" t="str">
        <f>IF(MAIN!$F$3="Project to Date",IF(AND(A648&gt;=SETTINGS!$B$4,A648&lt;MAIN!$B$3),"Yes",IF(AND(A648=MAIN!$B$3,E648&lt;=MAIN!$L$3),"Yes","No")),IF(OR(MAIN!$F$3="Full Year",MAIN!$D$3="All"),"Yes",IF(MAIN!$F$3="Monthly",IF(E648=MAIN!$L$3,"Yes","No"),IF(E648&lt;=MAIN!$L$3,"Yes","No"))))</f>
        <v>Yes</v>
      </c>
      <c r="AA648" t="str">
        <f t="shared" si="65"/>
        <v>No</v>
      </c>
    </row>
    <row r="649" spans="1:27" x14ac:dyDescent="0.3">
      <c r="A649">
        <f>INDEX(SETTINGS!$A$15:$A$24,$B649)</f>
        <v>2027</v>
      </c>
      <c r="B649">
        <v>3</v>
      </c>
      <c r="C649" t="str">
        <f>IF(AND(A649&gt;=SETTINGS!$B$4,A649&lt;=SETTINGS!$B$5),"Yes","No")</f>
        <v>No</v>
      </c>
      <c r="D649" t="str">
        <f>IFERROR(INDEX(SETTINGS!$C$15:$C$24,MATCH(A649,SETTINGS!$A$15:$A$24,0)),"No")</f>
        <v>No</v>
      </c>
      <c r="E649">
        <v>11</v>
      </c>
      <c r="F649" t="s">
        <v>44</v>
      </c>
      <c r="G649">
        <v>250</v>
      </c>
      <c r="H649" t="s">
        <v>91</v>
      </c>
      <c r="I649" t="s">
        <v>89</v>
      </c>
      <c r="J649" t="s">
        <v>11</v>
      </c>
      <c r="K649" t="s">
        <v>12</v>
      </c>
      <c r="L649" s="36">
        <f ca="1">IF(C649&lt;&gt;"Yes",0,IF(A649=2025,N('2025'!D250),IF(A649=2026,N('2026'!D250),IF(A649=2027,N('2027'!D250),IF(A649=2028,N('2028'!D250),IF(A649=2029,N('2029'!D250),IF(A649=2030,N('2030'!D250),IF(A649=2031,N('2031'!D250),IF(A649=2032,N('2032'!D250),IF(A649=2033,N('2033'!D250),IF(A649=2034,N('2034'!D250),IFERROR(N(INDIRECT("'"&amp;A649&amp;"'!D"&amp;G649)),0))))))))))))</f>
        <v>0</v>
      </c>
      <c r="M649" s="36">
        <f>IFERROR(IF(NOT(ISBLANK(KPI_TARGETS!$I$6)),KPI_TARGETS!$I$6,IF(NOT(ISBLANK(KPI_TARGETS!$F$6)),KPI_TARGETS!$F$6,"")),"")</f>
        <v>4000</v>
      </c>
      <c r="N649" s="36" t="str">
        <f>IFERROR(KPI_TARGETS!$E$6,"Higher is better")</f>
        <v>Higher is better</v>
      </c>
      <c r="O649" s="37">
        <f t="shared" ca="1" si="60"/>
        <v>0</v>
      </c>
      <c r="P649" t="str">
        <f t="shared" ca="1" si="61"/>
        <v>Red</v>
      </c>
      <c r="Q649" s="36">
        <f t="shared" ca="1" si="62"/>
        <v>-4000</v>
      </c>
      <c r="R649" s="36" t="str">
        <f>""</f>
        <v/>
      </c>
      <c r="S649" s="36" t="str">
        <f>""</f>
        <v/>
      </c>
      <c r="T649" s="36" t="str">
        <f>""</f>
        <v/>
      </c>
      <c r="U649" s="36" t="str">
        <f>""</f>
        <v/>
      </c>
      <c r="V649" s="36" t="str">
        <f>""</f>
        <v/>
      </c>
      <c r="W649" s="36">
        <f t="shared" si="63"/>
        <v>1</v>
      </c>
      <c r="X649" t="str">
        <f t="shared" si="64"/>
        <v>Inactive</v>
      </c>
      <c r="Y649" t="str">
        <f>IF(MAIN!$H$3="Selected Year",IF(A649=MAIN!$B$3,"Yes","No"),IF(MAIN!$H$3="Included Years",IF(D649="Yes","Yes","No"),IF(C649="Yes","Yes","No")))</f>
        <v>No</v>
      </c>
      <c r="Z649" t="str">
        <f>IF(MAIN!$F$3="Project to Date",IF(AND(A649&gt;=SETTINGS!$B$4,A649&lt;MAIN!$B$3),"Yes",IF(AND(A649=MAIN!$B$3,E649&lt;=MAIN!$L$3),"Yes","No")),IF(OR(MAIN!$F$3="Full Year",MAIN!$D$3="All"),"Yes",IF(MAIN!$F$3="Monthly",IF(E649=MAIN!$L$3,"Yes","No"),IF(E649&lt;=MAIN!$L$3,"Yes","No"))))</f>
        <v>Yes</v>
      </c>
      <c r="AA649" t="str">
        <f t="shared" si="65"/>
        <v>No</v>
      </c>
    </row>
    <row r="650" spans="1:27" x14ac:dyDescent="0.3">
      <c r="A650">
        <f>INDEX(SETTINGS!$A$15:$A$24,$B650)</f>
        <v>2027</v>
      </c>
      <c r="B650">
        <v>3</v>
      </c>
      <c r="C650" t="str">
        <f>IF(AND(A650&gt;=SETTINGS!$B$4,A650&lt;=SETTINGS!$B$5),"Yes","No")</f>
        <v>No</v>
      </c>
      <c r="D650" t="str">
        <f>IFERROR(INDEX(SETTINGS!$C$15:$C$24,MATCH(A650,SETTINGS!$A$15:$A$24,0)),"No")</f>
        <v>No</v>
      </c>
      <c r="E650">
        <v>11</v>
      </c>
      <c r="F650" t="s">
        <v>44</v>
      </c>
      <c r="G650">
        <v>251</v>
      </c>
      <c r="H650" t="s">
        <v>93</v>
      </c>
      <c r="I650" t="s">
        <v>89</v>
      </c>
      <c r="J650" t="s">
        <v>13</v>
      </c>
      <c r="K650" t="s">
        <v>14</v>
      </c>
      <c r="L650" s="36">
        <f ca="1">IF(C650&lt;&gt;"Yes",0,IF(A650=2025,N('2025'!D251),IF(A650=2026,N('2026'!D251),IF(A650=2027,N('2027'!D251),IF(A650=2028,N('2028'!D251),IF(A650=2029,N('2029'!D251),IF(A650=2030,N('2030'!D251),IF(A650=2031,N('2031'!D251),IF(A650=2032,N('2032'!D251),IF(A650=2033,N('2033'!D251),IF(A650=2034,N('2034'!D251),IFERROR(N(INDIRECT("'"&amp;A650&amp;"'!D"&amp;G650)),0))))))))))))</f>
        <v>0</v>
      </c>
      <c r="M650" s="36">
        <f>IFERROR(IF(NOT(ISBLANK(KPI_TARGETS!$I$7)),KPI_TARGETS!$I$7,IF(NOT(ISBLANK(KPI_TARGETS!$F$7)),KPI_TARGETS!$F$7,"")),"")</f>
        <v>8000</v>
      </c>
      <c r="N650" s="36" t="str">
        <f>IFERROR(KPI_TARGETS!$E$7,"Higher is better")</f>
        <v>Higher is better</v>
      </c>
      <c r="O650" s="37">
        <f t="shared" ca="1" si="60"/>
        <v>0</v>
      </c>
      <c r="P650" t="str">
        <f t="shared" ca="1" si="61"/>
        <v>Red</v>
      </c>
      <c r="Q650" s="36">
        <f t="shared" ca="1" si="62"/>
        <v>-8000</v>
      </c>
      <c r="R650" s="36" t="str">
        <f>""</f>
        <v/>
      </c>
      <c r="S650" s="36" t="str">
        <f>""</f>
        <v/>
      </c>
      <c r="T650" s="36" t="str">
        <f>""</f>
        <v/>
      </c>
      <c r="U650" s="36" t="str">
        <f>""</f>
        <v/>
      </c>
      <c r="V650" s="36" t="str">
        <f>""</f>
        <v/>
      </c>
      <c r="W650" s="36">
        <f t="shared" si="63"/>
        <v>1</v>
      </c>
      <c r="X650" t="str">
        <f t="shared" si="64"/>
        <v>Inactive</v>
      </c>
      <c r="Y650" t="str">
        <f>IF(MAIN!$H$3="Selected Year",IF(A650=MAIN!$B$3,"Yes","No"),IF(MAIN!$H$3="Included Years",IF(D650="Yes","Yes","No"),IF(C650="Yes","Yes","No")))</f>
        <v>No</v>
      </c>
      <c r="Z650" t="str">
        <f>IF(MAIN!$F$3="Project to Date",IF(AND(A650&gt;=SETTINGS!$B$4,A650&lt;MAIN!$B$3),"Yes",IF(AND(A650=MAIN!$B$3,E650&lt;=MAIN!$L$3),"Yes","No")),IF(OR(MAIN!$F$3="Full Year",MAIN!$D$3="All"),"Yes",IF(MAIN!$F$3="Monthly",IF(E650=MAIN!$L$3,"Yes","No"),IF(E650&lt;=MAIN!$L$3,"Yes","No"))))</f>
        <v>Yes</v>
      </c>
      <c r="AA650" t="str">
        <f t="shared" si="65"/>
        <v>No</v>
      </c>
    </row>
    <row r="651" spans="1:27" x14ac:dyDescent="0.3">
      <c r="A651">
        <f>INDEX(SETTINGS!$A$15:$A$24,$B651)</f>
        <v>2027</v>
      </c>
      <c r="B651">
        <v>3</v>
      </c>
      <c r="C651" t="str">
        <f>IF(AND(A651&gt;=SETTINGS!$B$4,A651&lt;=SETTINGS!$B$5),"Yes","No")</f>
        <v>No</v>
      </c>
      <c r="D651" t="str">
        <f>IFERROR(INDEX(SETTINGS!$C$15:$C$24,MATCH(A651,SETTINGS!$A$15:$A$24,0)),"No")</f>
        <v>No</v>
      </c>
      <c r="E651">
        <v>11</v>
      </c>
      <c r="F651" t="s">
        <v>44</v>
      </c>
      <c r="G651">
        <v>253</v>
      </c>
      <c r="H651" t="s">
        <v>95</v>
      </c>
      <c r="I651" t="s">
        <v>15</v>
      </c>
      <c r="J651" t="s">
        <v>16</v>
      </c>
      <c r="K651" t="s">
        <v>3</v>
      </c>
      <c r="L651" s="36">
        <f ca="1">IF(C651&lt;&gt;"Yes",0,IF(A651=2025,N('2025'!D253),IF(A651=2026,N('2026'!D253),IF(A651=2027,N('2027'!D253),IF(A651=2028,N('2028'!D253),IF(A651=2029,N('2029'!D253),IF(A651=2030,N('2030'!D253),IF(A651=2031,N('2031'!D253),IF(A651=2032,N('2032'!D253),IF(A651=2033,N('2033'!D253),IF(A651=2034,N('2034'!D253),IFERROR(N(INDIRECT("'"&amp;A651&amp;"'!D"&amp;G651)),0))))))))))))</f>
        <v>0</v>
      </c>
      <c r="M651" s="36">
        <f>IFERROR(IF(NOT(ISBLANK(KPI_TARGETS!$I$8)),KPI_TARGETS!$I$8,IF(NOT(ISBLANK(KPI_TARGETS!$F$8)),KPI_TARGETS!$F$8,"")),"")</f>
        <v>0</v>
      </c>
      <c r="N651" s="36" t="str">
        <f>IFERROR(KPI_TARGETS!$E$8,"Higher is better")</f>
        <v>Lower is better</v>
      </c>
      <c r="O651" s="37">
        <f t="shared" ca="1" si="60"/>
        <v>1</v>
      </c>
      <c r="P651" t="str">
        <f t="shared" ca="1" si="61"/>
        <v>Green</v>
      </c>
      <c r="Q651" s="36">
        <f t="shared" ca="1" si="62"/>
        <v>0</v>
      </c>
      <c r="R651" s="36" t="str">
        <f>""</f>
        <v/>
      </c>
      <c r="S651" s="36" t="str">
        <f>""</f>
        <v/>
      </c>
      <c r="T651" s="36" t="str">
        <f>""</f>
        <v/>
      </c>
      <c r="U651" s="36" t="str">
        <f>""</f>
        <v/>
      </c>
      <c r="V651" s="36" t="str">
        <f>""</f>
        <v/>
      </c>
      <c r="W651" s="36">
        <f t="shared" si="63"/>
        <v>1</v>
      </c>
      <c r="X651" t="str">
        <f t="shared" si="64"/>
        <v>Inactive</v>
      </c>
      <c r="Y651" t="str">
        <f>IF(MAIN!$H$3="Selected Year",IF(A651=MAIN!$B$3,"Yes","No"),IF(MAIN!$H$3="Included Years",IF(D651="Yes","Yes","No"),IF(C651="Yes","Yes","No")))</f>
        <v>No</v>
      </c>
      <c r="Z651" t="str">
        <f>IF(MAIN!$F$3="Project to Date",IF(AND(A651&gt;=SETTINGS!$B$4,A651&lt;MAIN!$B$3),"Yes",IF(AND(A651=MAIN!$B$3,E651&lt;=MAIN!$L$3),"Yes","No")),IF(OR(MAIN!$F$3="Full Year",MAIN!$D$3="All"),"Yes",IF(MAIN!$F$3="Monthly",IF(E651=MAIN!$L$3,"Yes","No"),IF(E651&lt;=MAIN!$L$3,"Yes","No"))))</f>
        <v>Yes</v>
      </c>
      <c r="AA651" t="str">
        <f t="shared" si="65"/>
        <v>No</v>
      </c>
    </row>
    <row r="652" spans="1:27" x14ac:dyDescent="0.3">
      <c r="A652">
        <f>INDEX(SETTINGS!$A$15:$A$24,$B652)</f>
        <v>2027</v>
      </c>
      <c r="B652">
        <v>3</v>
      </c>
      <c r="C652" t="str">
        <f>IF(AND(A652&gt;=SETTINGS!$B$4,A652&lt;=SETTINGS!$B$5),"Yes","No")</f>
        <v>No</v>
      </c>
      <c r="D652" t="str">
        <f>IFERROR(INDEX(SETTINGS!$C$15:$C$24,MATCH(A652,SETTINGS!$A$15:$A$24,0)),"No")</f>
        <v>No</v>
      </c>
      <c r="E652">
        <v>11</v>
      </c>
      <c r="F652" t="s">
        <v>44</v>
      </c>
      <c r="G652">
        <v>254</v>
      </c>
      <c r="H652" t="s">
        <v>97</v>
      </c>
      <c r="I652" t="s">
        <v>15</v>
      </c>
      <c r="J652" t="s">
        <v>17</v>
      </c>
      <c r="K652" t="s">
        <v>3</v>
      </c>
      <c r="L652" s="36">
        <f ca="1">IF(C652&lt;&gt;"Yes",0,IF(A652=2025,N('2025'!D254),IF(A652=2026,N('2026'!D254),IF(A652=2027,N('2027'!D254),IF(A652=2028,N('2028'!D254),IF(A652=2029,N('2029'!D254),IF(A652=2030,N('2030'!D254),IF(A652=2031,N('2031'!D254),IF(A652=2032,N('2032'!D254),IF(A652=2033,N('2033'!D254),IF(A652=2034,N('2034'!D254),IFERROR(N(INDIRECT("'"&amp;A652&amp;"'!D"&amp;G652)),0))))))))))))</f>
        <v>0</v>
      </c>
      <c r="M652" s="36">
        <f>IFERROR(IF(NOT(ISBLANK(KPI_TARGETS!$I$9)),KPI_TARGETS!$I$9,IF(NOT(ISBLANK(KPI_TARGETS!$F$9)),KPI_TARGETS!$F$9,"")),"")</f>
        <v>0</v>
      </c>
      <c r="N652" s="36" t="str">
        <f>IFERROR(KPI_TARGETS!$E$9,"Higher is better")</f>
        <v>Higher is better</v>
      </c>
      <c r="O652" s="37" t="str">
        <f t="shared" ca="1" si="60"/>
        <v/>
      </c>
      <c r="P652" t="str">
        <f t="shared" ca="1" si="61"/>
        <v>Green</v>
      </c>
      <c r="Q652" s="36">
        <f t="shared" ca="1" si="62"/>
        <v>0</v>
      </c>
      <c r="R652" s="36" t="str">
        <f>""</f>
        <v/>
      </c>
      <c r="S652" s="36" t="str">
        <f>""</f>
        <v/>
      </c>
      <c r="T652" s="36" t="str">
        <f>""</f>
        <v/>
      </c>
      <c r="U652" s="36" t="str">
        <f>""</f>
        <v/>
      </c>
      <c r="V652" s="36" t="str">
        <f>""</f>
        <v/>
      </c>
      <c r="W652" s="36">
        <f t="shared" si="63"/>
        <v>1</v>
      </c>
      <c r="X652" t="str">
        <f t="shared" si="64"/>
        <v>Inactive</v>
      </c>
      <c r="Y652" t="str">
        <f>IF(MAIN!$H$3="Selected Year",IF(A652=MAIN!$B$3,"Yes","No"),IF(MAIN!$H$3="Included Years",IF(D652="Yes","Yes","No"),IF(C652="Yes","Yes","No")))</f>
        <v>No</v>
      </c>
      <c r="Z652" t="str">
        <f>IF(MAIN!$F$3="Project to Date",IF(AND(A652&gt;=SETTINGS!$B$4,A652&lt;MAIN!$B$3),"Yes",IF(AND(A652=MAIN!$B$3,E652&lt;=MAIN!$L$3),"Yes","No")),IF(OR(MAIN!$F$3="Full Year",MAIN!$D$3="All"),"Yes",IF(MAIN!$F$3="Monthly",IF(E652=MAIN!$L$3,"Yes","No"),IF(E652&lt;=MAIN!$L$3,"Yes","No"))))</f>
        <v>Yes</v>
      </c>
      <c r="AA652" t="str">
        <f t="shared" si="65"/>
        <v>No</v>
      </c>
    </row>
    <row r="653" spans="1:27" x14ac:dyDescent="0.3">
      <c r="A653">
        <f>INDEX(SETTINGS!$A$15:$A$24,$B653)</f>
        <v>2027</v>
      </c>
      <c r="B653">
        <v>3</v>
      </c>
      <c r="C653" t="str">
        <f>IF(AND(A653&gt;=SETTINGS!$B$4,A653&lt;=SETTINGS!$B$5),"Yes","No")</f>
        <v>No</v>
      </c>
      <c r="D653" t="str">
        <f>IFERROR(INDEX(SETTINGS!$C$15:$C$24,MATCH(A653,SETTINGS!$A$15:$A$24,0)),"No")</f>
        <v>No</v>
      </c>
      <c r="E653">
        <v>11</v>
      </c>
      <c r="F653" t="s">
        <v>44</v>
      </c>
      <c r="G653">
        <v>255</v>
      </c>
      <c r="H653" t="s">
        <v>99</v>
      </c>
      <c r="I653" t="s">
        <v>15</v>
      </c>
      <c r="J653" t="s">
        <v>18</v>
      </c>
      <c r="K653" t="s">
        <v>3</v>
      </c>
      <c r="L653" s="36">
        <f ca="1">IF(C653&lt;&gt;"Yes",0,IF(A653=2025,N('2025'!D255),IF(A653=2026,N('2026'!D255),IF(A653=2027,N('2027'!D255),IF(A653=2028,N('2028'!D255),IF(A653=2029,N('2029'!D255),IF(A653=2030,N('2030'!D255),IF(A653=2031,N('2031'!D255),IF(A653=2032,N('2032'!D255),IF(A653=2033,N('2033'!D255),IF(A653=2034,N('2034'!D255),IFERROR(N(INDIRECT("'"&amp;A653&amp;"'!D"&amp;G653)),0))))))))))))</f>
        <v>0</v>
      </c>
      <c r="M653" s="36">
        <f>IFERROR(IF(NOT(ISBLANK(KPI_TARGETS!$I$10)),KPI_TARGETS!$I$10,IF(NOT(ISBLANK(KPI_TARGETS!$F$10)),KPI_TARGETS!$F$10,"")),"")</f>
        <v>0</v>
      </c>
      <c r="N653" s="36" t="str">
        <f>IFERROR(KPI_TARGETS!$E$10,"Higher is better")</f>
        <v>Lower is better</v>
      </c>
      <c r="O653" s="37">
        <f t="shared" ca="1" si="60"/>
        <v>1</v>
      </c>
      <c r="P653" t="str">
        <f t="shared" ca="1" si="61"/>
        <v>Green</v>
      </c>
      <c r="Q653" s="36">
        <f t="shared" ca="1" si="62"/>
        <v>0</v>
      </c>
      <c r="R653" s="36" t="str">
        <f>""</f>
        <v/>
      </c>
      <c r="S653" s="36" t="str">
        <f>""</f>
        <v/>
      </c>
      <c r="T653" s="36" t="str">
        <f>""</f>
        <v/>
      </c>
      <c r="U653" s="36" t="str">
        <f>""</f>
        <v/>
      </c>
      <c r="V653" s="36" t="str">
        <f>""</f>
        <v/>
      </c>
      <c r="W653" s="36">
        <f t="shared" si="63"/>
        <v>1</v>
      </c>
      <c r="X653" t="str">
        <f t="shared" si="64"/>
        <v>Inactive</v>
      </c>
      <c r="Y653" t="str">
        <f>IF(MAIN!$H$3="Selected Year",IF(A653=MAIN!$B$3,"Yes","No"),IF(MAIN!$H$3="Included Years",IF(D653="Yes","Yes","No"),IF(C653="Yes","Yes","No")))</f>
        <v>No</v>
      </c>
      <c r="Z653" t="str">
        <f>IF(MAIN!$F$3="Project to Date",IF(AND(A653&gt;=SETTINGS!$B$4,A653&lt;MAIN!$B$3),"Yes",IF(AND(A653=MAIN!$B$3,E653&lt;=MAIN!$L$3),"Yes","No")),IF(OR(MAIN!$F$3="Full Year",MAIN!$D$3="All"),"Yes",IF(MAIN!$F$3="Monthly",IF(E653=MAIN!$L$3,"Yes","No"),IF(E653&lt;=MAIN!$L$3,"Yes","No"))))</f>
        <v>Yes</v>
      </c>
      <c r="AA653" t="str">
        <f t="shared" si="65"/>
        <v>No</v>
      </c>
    </row>
    <row r="654" spans="1:27" x14ac:dyDescent="0.3">
      <c r="A654">
        <f>INDEX(SETTINGS!$A$15:$A$24,$B654)</f>
        <v>2027</v>
      </c>
      <c r="B654">
        <v>3</v>
      </c>
      <c r="C654" t="str">
        <f>IF(AND(A654&gt;=SETTINGS!$B$4,A654&lt;=SETTINGS!$B$5),"Yes","No")</f>
        <v>No</v>
      </c>
      <c r="D654" t="str">
        <f>IFERROR(INDEX(SETTINGS!$C$15:$C$24,MATCH(A654,SETTINGS!$A$15:$A$24,0)),"No")</f>
        <v>No</v>
      </c>
      <c r="E654">
        <v>11</v>
      </c>
      <c r="F654" t="s">
        <v>44</v>
      </c>
      <c r="G654">
        <v>256</v>
      </c>
      <c r="H654" t="s">
        <v>100</v>
      </c>
      <c r="I654" t="s">
        <v>15</v>
      </c>
      <c r="J654" t="s">
        <v>19</v>
      </c>
      <c r="K654" t="s">
        <v>3</v>
      </c>
      <c r="L654" s="36">
        <f ca="1">IF(C654&lt;&gt;"Yes",0,IF(A654=2025,N('2025'!D256),IF(A654=2026,N('2026'!D256),IF(A654=2027,N('2027'!D256),IF(A654=2028,N('2028'!D256),IF(A654=2029,N('2029'!D256),IF(A654=2030,N('2030'!D256),IF(A654=2031,N('2031'!D256),IF(A654=2032,N('2032'!D256),IF(A654=2033,N('2033'!D256),IF(A654=2034,N('2034'!D256),IFERROR(N(INDIRECT("'"&amp;A654&amp;"'!D"&amp;G654)),0))))))))))))</f>
        <v>0</v>
      </c>
      <c r="M654" s="36">
        <f>IFERROR(IF(NOT(ISBLANK(KPI_TARGETS!$I$11)),KPI_TARGETS!$I$11,IF(NOT(ISBLANK(KPI_TARGETS!$F$11)),KPI_TARGETS!$F$11,"")),"")</f>
        <v>0</v>
      </c>
      <c r="N654" s="36" t="str">
        <f>IFERROR(KPI_TARGETS!$E$11,"Higher is better")</f>
        <v>Lower is better</v>
      </c>
      <c r="O654" s="37">
        <f t="shared" ca="1" si="60"/>
        <v>1</v>
      </c>
      <c r="P654" t="str">
        <f t="shared" ca="1" si="61"/>
        <v>Green</v>
      </c>
      <c r="Q654" s="36">
        <f t="shared" ca="1" si="62"/>
        <v>0</v>
      </c>
      <c r="R654" s="36" t="str">
        <f>""</f>
        <v/>
      </c>
      <c r="S654" s="36" t="str">
        <f>""</f>
        <v/>
      </c>
      <c r="T654" s="36" t="str">
        <f>""</f>
        <v/>
      </c>
      <c r="U654" s="36" t="str">
        <f>""</f>
        <v/>
      </c>
      <c r="V654" s="36" t="str">
        <f>""</f>
        <v/>
      </c>
      <c r="W654" s="36">
        <f t="shared" si="63"/>
        <v>1</v>
      </c>
      <c r="X654" t="str">
        <f t="shared" si="64"/>
        <v>Inactive</v>
      </c>
      <c r="Y654" t="str">
        <f>IF(MAIN!$H$3="Selected Year",IF(A654=MAIN!$B$3,"Yes","No"),IF(MAIN!$H$3="Included Years",IF(D654="Yes","Yes","No"),IF(C654="Yes","Yes","No")))</f>
        <v>No</v>
      </c>
      <c r="Z654" t="str">
        <f>IF(MAIN!$F$3="Project to Date",IF(AND(A654&gt;=SETTINGS!$B$4,A654&lt;MAIN!$B$3),"Yes",IF(AND(A654=MAIN!$B$3,E654&lt;=MAIN!$L$3),"Yes","No")),IF(OR(MAIN!$F$3="Full Year",MAIN!$D$3="All"),"Yes",IF(MAIN!$F$3="Monthly",IF(E654=MAIN!$L$3,"Yes","No"),IF(E654&lt;=MAIN!$L$3,"Yes","No"))))</f>
        <v>Yes</v>
      </c>
      <c r="AA654" t="str">
        <f t="shared" si="65"/>
        <v>No</v>
      </c>
    </row>
    <row r="655" spans="1:27" x14ac:dyDescent="0.3">
      <c r="A655">
        <f>INDEX(SETTINGS!$A$15:$A$24,$B655)</f>
        <v>2027</v>
      </c>
      <c r="B655">
        <v>3</v>
      </c>
      <c r="C655" t="str">
        <f>IF(AND(A655&gt;=SETTINGS!$B$4,A655&lt;=SETTINGS!$B$5),"Yes","No")</f>
        <v>No</v>
      </c>
      <c r="D655" t="str">
        <f>IFERROR(INDEX(SETTINGS!$C$15:$C$24,MATCH(A655,SETTINGS!$A$15:$A$24,0)),"No")</f>
        <v>No</v>
      </c>
      <c r="E655">
        <v>11</v>
      </c>
      <c r="F655" t="s">
        <v>44</v>
      </c>
      <c r="G655">
        <v>257</v>
      </c>
      <c r="H655" t="s">
        <v>101</v>
      </c>
      <c r="I655" t="s">
        <v>15</v>
      </c>
      <c r="J655" t="s">
        <v>20</v>
      </c>
      <c r="K655" t="s">
        <v>3</v>
      </c>
      <c r="L655" s="36">
        <f ca="1">IF(C655&lt;&gt;"Yes",0,IF(A655=2025,N('2025'!D257),IF(A655=2026,N('2026'!D257),IF(A655=2027,N('2027'!D257),IF(A655=2028,N('2028'!D257),IF(A655=2029,N('2029'!D257),IF(A655=2030,N('2030'!D257),IF(A655=2031,N('2031'!D257),IF(A655=2032,N('2032'!D257),IF(A655=2033,N('2033'!D257),IF(A655=2034,N('2034'!D257),IFERROR(N(INDIRECT("'"&amp;A655&amp;"'!D"&amp;G655)),0))))))))))))</f>
        <v>0</v>
      </c>
      <c r="M655" s="36">
        <f>IFERROR(IF(NOT(ISBLANK(KPI_TARGETS!$I$12)),KPI_TARGETS!$I$12,IF(NOT(ISBLANK(KPI_TARGETS!$F$12)),KPI_TARGETS!$F$12,"")),"")</f>
        <v>0</v>
      </c>
      <c r="N655" s="36" t="str">
        <f>IFERROR(KPI_TARGETS!$E$12,"Higher is better")</f>
        <v>Lower is better</v>
      </c>
      <c r="O655" s="37">
        <f t="shared" ca="1" si="60"/>
        <v>1</v>
      </c>
      <c r="P655" t="str">
        <f t="shared" ca="1" si="61"/>
        <v>Green</v>
      </c>
      <c r="Q655" s="36">
        <f t="shared" ca="1" si="62"/>
        <v>0</v>
      </c>
      <c r="R655" s="36" t="str">
        <f>""</f>
        <v/>
      </c>
      <c r="S655" s="36" t="str">
        <f>""</f>
        <v/>
      </c>
      <c r="T655" s="36" t="str">
        <f>""</f>
        <v/>
      </c>
      <c r="U655" s="36" t="str">
        <f>""</f>
        <v/>
      </c>
      <c r="V655" s="36" t="str">
        <f>""</f>
        <v/>
      </c>
      <c r="W655" s="36">
        <f t="shared" si="63"/>
        <v>1</v>
      </c>
      <c r="X655" t="str">
        <f t="shared" si="64"/>
        <v>Inactive</v>
      </c>
      <c r="Y655" t="str">
        <f>IF(MAIN!$H$3="Selected Year",IF(A655=MAIN!$B$3,"Yes","No"),IF(MAIN!$H$3="Included Years",IF(D655="Yes","Yes","No"),IF(C655="Yes","Yes","No")))</f>
        <v>No</v>
      </c>
      <c r="Z655" t="str">
        <f>IF(MAIN!$F$3="Project to Date",IF(AND(A655&gt;=SETTINGS!$B$4,A655&lt;MAIN!$B$3),"Yes",IF(AND(A655=MAIN!$B$3,E655&lt;=MAIN!$L$3),"Yes","No")),IF(OR(MAIN!$F$3="Full Year",MAIN!$D$3="All"),"Yes",IF(MAIN!$F$3="Monthly",IF(E655=MAIN!$L$3,"Yes","No"),IF(E655&lt;=MAIN!$L$3,"Yes","No"))))</f>
        <v>Yes</v>
      </c>
      <c r="AA655" t="str">
        <f t="shared" si="65"/>
        <v>No</v>
      </c>
    </row>
    <row r="656" spans="1:27" x14ac:dyDescent="0.3">
      <c r="A656">
        <f>INDEX(SETTINGS!$A$15:$A$24,$B656)</f>
        <v>2027</v>
      </c>
      <c r="B656">
        <v>3</v>
      </c>
      <c r="C656" t="str">
        <f>IF(AND(A656&gt;=SETTINGS!$B$4,A656&lt;=SETTINGS!$B$5),"Yes","No")</f>
        <v>No</v>
      </c>
      <c r="D656" t="str">
        <f>IFERROR(INDEX(SETTINGS!$C$15:$C$24,MATCH(A656,SETTINGS!$A$15:$A$24,0)),"No")</f>
        <v>No</v>
      </c>
      <c r="E656">
        <v>11</v>
      </c>
      <c r="F656" t="s">
        <v>44</v>
      </c>
      <c r="G656">
        <v>258</v>
      </c>
      <c r="H656" t="s">
        <v>102</v>
      </c>
      <c r="I656" t="s">
        <v>15</v>
      </c>
      <c r="J656" t="s">
        <v>21</v>
      </c>
      <c r="K656" t="s">
        <v>3</v>
      </c>
      <c r="L656" s="36">
        <f ca="1">IF(C656&lt;&gt;"Yes",0,IF(A656=2025,N('2025'!D258),IF(A656=2026,N('2026'!D258),IF(A656=2027,N('2027'!D258),IF(A656=2028,N('2028'!D258),IF(A656=2029,N('2029'!D258),IF(A656=2030,N('2030'!D258),IF(A656=2031,N('2031'!D258),IF(A656=2032,N('2032'!D258),IF(A656=2033,N('2033'!D258),IF(A656=2034,N('2034'!D258),IFERROR(N(INDIRECT("'"&amp;A656&amp;"'!D"&amp;G656)),0))))))))))))</f>
        <v>0</v>
      </c>
      <c r="M656" s="36">
        <f>IFERROR(IF(NOT(ISBLANK(KPI_TARGETS!$I$13)),KPI_TARGETS!$I$13,IF(NOT(ISBLANK(KPI_TARGETS!$F$13)),KPI_TARGETS!$F$13,"")),"")</f>
        <v>0</v>
      </c>
      <c r="N656" s="36" t="str">
        <f>IFERROR(KPI_TARGETS!$E$13,"Higher is better")</f>
        <v>Lower is better</v>
      </c>
      <c r="O656" s="37">
        <f t="shared" ca="1" si="60"/>
        <v>1</v>
      </c>
      <c r="P656" t="str">
        <f t="shared" ca="1" si="61"/>
        <v>Green</v>
      </c>
      <c r="Q656" s="36">
        <f t="shared" ca="1" si="62"/>
        <v>0</v>
      </c>
      <c r="R656" s="36" t="str">
        <f>""</f>
        <v/>
      </c>
      <c r="S656" s="36" t="str">
        <f>""</f>
        <v/>
      </c>
      <c r="T656" s="36" t="str">
        <f>""</f>
        <v/>
      </c>
      <c r="U656" s="36" t="str">
        <f>""</f>
        <v/>
      </c>
      <c r="V656" s="36" t="str">
        <f>""</f>
        <v/>
      </c>
      <c r="W656" s="36">
        <f t="shared" si="63"/>
        <v>1</v>
      </c>
      <c r="X656" t="str">
        <f t="shared" si="64"/>
        <v>Inactive</v>
      </c>
      <c r="Y656" t="str">
        <f>IF(MAIN!$H$3="Selected Year",IF(A656=MAIN!$B$3,"Yes","No"),IF(MAIN!$H$3="Included Years",IF(D656="Yes","Yes","No"),IF(C656="Yes","Yes","No")))</f>
        <v>No</v>
      </c>
      <c r="Z656" t="str">
        <f>IF(MAIN!$F$3="Project to Date",IF(AND(A656&gt;=SETTINGS!$B$4,A656&lt;MAIN!$B$3),"Yes",IF(AND(A656=MAIN!$B$3,E656&lt;=MAIN!$L$3),"Yes","No")),IF(OR(MAIN!$F$3="Full Year",MAIN!$D$3="All"),"Yes",IF(MAIN!$F$3="Monthly",IF(E656=MAIN!$L$3,"Yes","No"),IF(E656&lt;=MAIN!$L$3,"Yes","No"))))</f>
        <v>Yes</v>
      </c>
      <c r="AA656" t="str">
        <f t="shared" si="65"/>
        <v>No</v>
      </c>
    </row>
    <row r="657" spans="1:27" x14ac:dyDescent="0.3">
      <c r="A657">
        <f>INDEX(SETTINGS!$A$15:$A$24,$B657)</f>
        <v>2027</v>
      </c>
      <c r="B657">
        <v>3</v>
      </c>
      <c r="C657" t="str">
        <f>IF(AND(A657&gt;=SETTINGS!$B$4,A657&lt;=SETTINGS!$B$5),"Yes","No")</f>
        <v>No</v>
      </c>
      <c r="D657" t="str">
        <f>IFERROR(INDEX(SETTINGS!$C$15:$C$24,MATCH(A657,SETTINGS!$A$15:$A$24,0)),"No")</f>
        <v>No</v>
      </c>
      <c r="E657">
        <v>11</v>
      </c>
      <c r="F657" t="s">
        <v>44</v>
      </c>
      <c r="G657">
        <v>260</v>
      </c>
      <c r="H657" t="s">
        <v>103</v>
      </c>
      <c r="I657" t="s">
        <v>22</v>
      </c>
      <c r="J657" t="s">
        <v>23</v>
      </c>
      <c r="K657" t="s">
        <v>3</v>
      </c>
      <c r="L657" s="36">
        <f ca="1">IF(C657&lt;&gt;"Yes",0,IF(A657=2025,N('2025'!D260),IF(A657=2026,N('2026'!D260),IF(A657=2027,N('2027'!D260),IF(A657=2028,N('2028'!D260),IF(A657=2029,N('2029'!D260),IF(A657=2030,N('2030'!D260),IF(A657=2031,N('2031'!D260),IF(A657=2032,N('2032'!D260),IF(A657=2033,N('2033'!D260),IF(A657=2034,N('2034'!D260),IFERROR(N(INDIRECT("'"&amp;A657&amp;"'!D"&amp;G657)),0))))))))))))</f>
        <v>0</v>
      </c>
      <c r="M657" s="36">
        <f>IFERROR(IF(NOT(ISBLANK(KPI_TARGETS!$I$14)),KPI_TARGETS!$I$14,IF(NOT(ISBLANK(KPI_TARGETS!$F$14)),KPI_TARGETS!$F$14,"")),"")</f>
        <v>35</v>
      </c>
      <c r="N657" s="36" t="str">
        <f>IFERROR(KPI_TARGETS!$E$14,"Higher is better")</f>
        <v>Higher is better</v>
      </c>
      <c r="O657" s="37">
        <f t="shared" ca="1" si="60"/>
        <v>0</v>
      </c>
      <c r="P657" t="str">
        <f t="shared" ca="1" si="61"/>
        <v>Red</v>
      </c>
      <c r="Q657" s="36">
        <f t="shared" ca="1" si="62"/>
        <v>-35</v>
      </c>
      <c r="R657" s="36" t="str">
        <f>""</f>
        <v/>
      </c>
      <c r="S657" s="36" t="str">
        <f>""</f>
        <v/>
      </c>
      <c r="T657" s="36" t="str">
        <f>""</f>
        <v/>
      </c>
      <c r="U657" s="36" t="str">
        <f>""</f>
        <v/>
      </c>
      <c r="V657" s="36" t="str">
        <f>""</f>
        <v/>
      </c>
      <c r="W657" s="36">
        <f t="shared" si="63"/>
        <v>1</v>
      </c>
      <c r="X657" t="str">
        <f t="shared" si="64"/>
        <v>Inactive</v>
      </c>
      <c r="Y657" t="str">
        <f>IF(MAIN!$H$3="Selected Year",IF(A657=MAIN!$B$3,"Yes","No"),IF(MAIN!$H$3="Included Years",IF(D657="Yes","Yes","No"),IF(C657="Yes","Yes","No")))</f>
        <v>No</v>
      </c>
      <c r="Z657" t="str">
        <f>IF(MAIN!$F$3="Project to Date",IF(AND(A657&gt;=SETTINGS!$B$4,A657&lt;MAIN!$B$3),"Yes",IF(AND(A657=MAIN!$B$3,E657&lt;=MAIN!$L$3),"Yes","No")),IF(OR(MAIN!$F$3="Full Year",MAIN!$D$3="All"),"Yes",IF(MAIN!$F$3="Monthly",IF(E657=MAIN!$L$3,"Yes","No"),IF(E657&lt;=MAIN!$L$3,"Yes","No"))))</f>
        <v>Yes</v>
      </c>
      <c r="AA657" t="str">
        <f t="shared" si="65"/>
        <v>No</v>
      </c>
    </row>
    <row r="658" spans="1:27" x14ac:dyDescent="0.3">
      <c r="A658">
        <f>INDEX(SETTINGS!$A$15:$A$24,$B658)</f>
        <v>2027</v>
      </c>
      <c r="B658">
        <v>3</v>
      </c>
      <c r="C658" t="str">
        <f>IF(AND(A658&gt;=SETTINGS!$B$4,A658&lt;=SETTINGS!$B$5),"Yes","No")</f>
        <v>No</v>
      </c>
      <c r="D658" t="str">
        <f>IFERROR(INDEX(SETTINGS!$C$15:$C$24,MATCH(A658,SETTINGS!$A$15:$A$24,0)),"No")</f>
        <v>No</v>
      </c>
      <c r="E658">
        <v>11</v>
      </c>
      <c r="F658" t="s">
        <v>44</v>
      </c>
      <c r="G658">
        <v>261</v>
      </c>
      <c r="H658" t="s">
        <v>104</v>
      </c>
      <c r="I658" t="s">
        <v>22</v>
      </c>
      <c r="J658" t="s">
        <v>24</v>
      </c>
      <c r="K658" t="s">
        <v>3</v>
      </c>
      <c r="L658" s="36">
        <f ca="1">IF(C658&lt;&gt;"Yes",0,IF(A658=2025,N('2025'!D261),IF(A658=2026,N('2026'!D261),IF(A658=2027,N('2027'!D261),IF(A658=2028,N('2028'!D261),IF(A658=2029,N('2029'!D261),IF(A658=2030,N('2030'!D261),IF(A658=2031,N('2031'!D261),IF(A658=2032,N('2032'!D261),IF(A658=2033,N('2033'!D261),IF(A658=2034,N('2034'!D261),IFERROR(N(INDIRECT("'"&amp;A658&amp;"'!D"&amp;G658)),0))))))))))))</f>
        <v>0</v>
      </c>
      <c r="M658" s="36">
        <f>IFERROR(IF(NOT(ISBLANK(KPI_TARGETS!$I$15)),KPI_TARGETS!$I$15,IF(NOT(ISBLANK(KPI_TARGETS!$F$15)),KPI_TARGETS!$F$15,"")),"")</f>
        <v>5</v>
      </c>
      <c r="N658" s="36" t="str">
        <f>IFERROR(KPI_TARGETS!$E$15,"Higher is better")</f>
        <v>Higher is better</v>
      </c>
      <c r="O658" s="37">
        <f t="shared" ca="1" si="60"/>
        <v>0</v>
      </c>
      <c r="P658" t="str">
        <f t="shared" ca="1" si="61"/>
        <v>Red</v>
      </c>
      <c r="Q658" s="36">
        <f t="shared" ca="1" si="62"/>
        <v>-5</v>
      </c>
      <c r="R658" s="36" t="str">
        <f>""</f>
        <v/>
      </c>
      <c r="S658" s="36" t="str">
        <f>""</f>
        <v/>
      </c>
      <c r="T658" s="36" t="str">
        <f>""</f>
        <v/>
      </c>
      <c r="U658" s="36" t="str">
        <f>""</f>
        <v/>
      </c>
      <c r="V658" s="36" t="str">
        <f>""</f>
        <v/>
      </c>
      <c r="W658" s="36">
        <f t="shared" si="63"/>
        <v>1</v>
      </c>
      <c r="X658" t="str">
        <f t="shared" si="64"/>
        <v>Inactive</v>
      </c>
      <c r="Y658" t="str">
        <f>IF(MAIN!$H$3="Selected Year",IF(A658=MAIN!$B$3,"Yes","No"),IF(MAIN!$H$3="Included Years",IF(D658="Yes","Yes","No"),IF(C658="Yes","Yes","No")))</f>
        <v>No</v>
      </c>
      <c r="Z658" t="str">
        <f>IF(MAIN!$F$3="Project to Date",IF(AND(A658&gt;=SETTINGS!$B$4,A658&lt;MAIN!$B$3),"Yes",IF(AND(A658=MAIN!$B$3,E658&lt;=MAIN!$L$3),"Yes","No")),IF(OR(MAIN!$F$3="Full Year",MAIN!$D$3="All"),"Yes",IF(MAIN!$F$3="Monthly",IF(E658=MAIN!$L$3,"Yes","No"),IF(E658&lt;=MAIN!$L$3,"Yes","No"))))</f>
        <v>Yes</v>
      </c>
      <c r="AA658" t="str">
        <f t="shared" si="65"/>
        <v>No</v>
      </c>
    </row>
    <row r="659" spans="1:27" x14ac:dyDescent="0.3">
      <c r="A659">
        <f>INDEX(SETTINGS!$A$15:$A$24,$B659)</f>
        <v>2027</v>
      </c>
      <c r="B659">
        <v>3</v>
      </c>
      <c r="C659" t="str">
        <f>IF(AND(A659&gt;=SETTINGS!$B$4,A659&lt;=SETTINGS!$B$5),"Yes","No")</f>
        <v>No</v>
      </c>
      <c r="D659" t="str">
        <f>IFERROR(INDEX(SETTINGS!$C$15:$C$24,MATCH(A659,SETTINGS!$A$15:$A$24,0)),"No")</f>
        <v>No</v>
      </c>
      <c r="E659">
        <v>11</v>
      </c>
      <c r="F659" t="s">
        <v>44</v>
      </c>
      <c r="G659">
        <v>262</v>
      </c>
      <c r="H659" t="s">
        <v>105</v>
      </c>
      <c r="I659" t="s">
        <v>22</v>
      </c>
      <c r="J659" t="s">
        <v>25</v>
      </c>
      <c r="K659" t="s">
        <v>3</v>
      </c>
      <c r="L659" s="36">
        <f ca="1">IF(C659&lt;&gt;"Yes",0,IF(A659=2025,N('2025'!D262),IF(A659=2026,N('2026'!D262),IF(A659=2027,N('2027'!D262),IF(A659=2028,N('2028'!D262),IF(A659=2029,N('2029'!D262),IF(A659=2030,N('2030'!D262),IF(A659=2031,N('2031'!D262),IF(A659=2032,N('2032'!D262),IF(A659=2033,N('2033'!D262),IF(A659=2034,N('2034'!D262),IFERROR(N(INDIRECT("'"&amp;A659&amp;"'!D"&amp;G659)),0))))))))))))</f>
        <v>0</v>
      </c>
      <c r="M659" s="36">
        <f>IFERROR(IF(NOT(ISBLANK(KPI_TARGETS!$I$16)),KPI_TARGETS!$I$16,IF(NOT(ISBLANK(KPI_TARGETS!$F$16)),KPI_TARGETS!$F$16,"")),"")</f>
        <v>4</v>
      </c>
      <c r="N659" s="36" t="str">
        <f>IFERROR(KPI_TARGETS!$E$16,"Higher is better")</f>
        <v>Higher is better</v>
      </c>
      <c r="O659" s="37">
        <f t="shared" ca="1" si="60"/>
        <v>0</v>
      </c>
      <c r="P659" t="str">
        <f t="shared" ca="1" si="61"/>
        <v>Red</v>
      </c>
      <c r="Q659" s="36">
        <f t="shared" ca="1" si="62"/>
        <v>-4</v>
      </c>
      <c r="R659" s="36" t="str">
        <f>""</f>
        <v/>
      </c>
      <c r="S659" s="36" t="str">
        <f>""</f>
        <v/>
      </c>
      <c r="T659" s="36" t="str">
        <f>""</f>
        <v/>
      </c>
      <c r="U659" s="36" t="str">
        <f>""</f>
        <v/>
      </c>
      <c r="V659" s="36" t="str">
        <f>""</f>
        <v/>
      </c>
      <c r="W659" s="36">
        <f t="shared" si="63"/>
        <v>1</v>
      </c>
      <c r="X659" t="str">
        <f t="shared" si="64"/>
        <v>Inactive</v>
      </c>
      <c r="Y659" t="str">
        <f>IF(MAIN!$H$3="Selected Year",IF(A659=MAIN!$B$3,"Yes","No"),IF(MAIN!$H$3="Included Years",IF(D659="Yes","Yes","No"),IF(C659="Yes","Yes","No")))</f>
        <v>No</v>
      </c>
      <c r="Z659" t="str">
        <f>IF(MAIN!$F$3="Project to Date",IF(AND(A659&gt;=SETTINGS!$B$4,A659&lt;MAIN!$B$3),"Yes",IF(AND(A659=MAIN!$B$3,E659&lt;=MAIN!$L$3),"Yes","No")),IF(OR(MAIN!$F$3="Full Year",MAIN!$D$3="All"),"Yes",IF(MAIN!$F$3="Monthly",IF(E659=MAIN!$L$3,"Yes","No"),IF(E659&lt;=MAIN!$L$3,"Yes","No"))))</f>
        <v>Yes</v>
      </c>
      <c r="AA659" t="str">
        <f t="shared" si="65"/>
        <v>No</v>
      </c>
    </row>
    <row r="660" spans="1:27" x14ac:dyDescent="0.3">
      <c r="A660">
        <f>INDEX(SETTINGS!$A$15:$A$24,$B660)</f>
        <v>2027</v>
      </c>
      <c r="B660">
        <v>3</v>
      </c>
      <c r="C660" t="str">
        <f>IF(AND(A660&gt;=SETTINGS!$B$4,A660&lt;=SETTINGS!$B$5),"Yes","No")</f>
        <v>No</v>
      </c>
      <c r="D660" t="str">
        <f>IFERROR(INDEX(SETTINGS!$C$15:$C$24,MATCH(A660,SETTINGS!$A$15:$A$24,0)),"No")</f>
        <v>No</v>
      </c>
      <c r="E660">
        <v>11</v>
      </c>
      <c r="F660" t="s">
        <v>44</v>
      </c>
      <c r="G660">
        <v>263</v>
      </c>
      <c r="H660" t="s">
        <v>106</v>
      </c>
      <c r="I660" t="s">
        <v>22</v>
      </c>
      <c r="J660" t="s">
        <v>26</v>
      </c>
      <c r="K660" t="s">
        <v>3</v>
      </c>
      <c r="L660" s="36">
        <f ca="1">IF(C660&lt;&gt;"Yes",0,IF(A660=2025,N('2025'!D263),IF(A660=2026,N('2026'!D263),IF(A660=2027,N('2027'!D263),IF(A660=2028,N('2028'!D263),IF(A660=2029,N('2029'!D263),IF(A660=2030,N('2030'!D263),IF(A660=2031,N('2031'!D263),IF(A660=2032,N('2032'!D263),IF(A660=2033,N('2033'!D263),IF(A660=2034,N('2034'!D263),IFERROR(N(INDIRECT("'"&amp;A660&amp;"'!D"&amp;G660)),0))))))))))))</f>
        <v>0</v>
      </c>
      <c r="M660" s="36">
        <f>IFERROR(IF(NOT(ISBLANK(KPI_TARGETS!$I$17)),KPI_TARGETS!$I$17,IF(NOT(ISBLANK(KPI_TARGETS!$F$17)),KPI_TARGETS!$F$17,"")),"")</f>
        <v>12</v>
      </c>
      <c r="N660" s="36" t="str">
        <f>IFERROR(KPI_TARGETS!$E$17,"Higher is better")</f>
        <v>Higher is better</v>
      </c>
      <c r="O660" s="37">
        <f t="shared" ca="1" si="60"/>
        <v>0</v>
      </c>
      <c r="P660" t="str">
        <f t="shared" ca="1" si="61"/>
        <v>Red</v>
      </c>
      <c r="Q660" s="36">
        <f t="shared" ca="1" si="62"/>
        <v>-12</v>
      </c>
      <c r="R660" s="36" t="str">
        <f>""</f>
        <v/>
      </c>
      <c r="S660" s="36" t="str">
        <f>""</f>
        <v/>
      </c>
      <c r="T660" s="36" t="str">
        <f>""</f>
        <v/>
      </c>
      <c r="U660" s="36" t="str">
        <f>""</f>
        <v/>
      </c>
      <c r="V660" s="36" t="str">
        <f>""</f>
        <v/>
      </c>
      <c r="W660" s="36">
        <f t="shared" si="63"/>
        <v>1</v>
      </c>
      <c r="X660" t="str">
        <f t="shared" si="64"/>
        <v>Inactive</v>
      </c>
      <c r="Y660" t="str">
        <f>IF(MAIN!$H$3="Selected Year",IF(A660=MAIN!$B$3,"Yes","No"),IF(MAIN!$H$3="Included Years",IF(D660="Yes","Yes","No"),IF(C660="Yes","Yes","No")))</f>
        <v>No</v>
      </c>
      <c r="Z660" t="str">
        <f>IF(MAIN!$F$3="Project to Date",IF(AND(A660&gt;=SETTINGS!$B$4,A660&lt;MAIN!$B$3),"Yes",IF(AND(A660=MAIN!$B$3,E660&lt;=MAIN!$L$3),"Yes","No")),IF(OR(MAIN!$F$3="Full Year",MAIN!$D$3="All"),"Yes",IF(MAIN!$F$3="Monthly",IF(E660=MAIN!$L$3,"Yes","No"),IF(E660&lt;=MAIN!$L$3,"Yes","No"))))</f>
        <v>Yes</v>
      </c>
      <c r="AA660" t="str">
        <f t="shared" si="65"/>
        <v>No</v>
      </c>
    </row>
    <row r="661" spans="1:27" x14ac:dyDescent="0.3">
      <c r="A661">
        <f>INDEX(SETTINGS!$A$15:$A$24,$B661)</f>
        <v>2027</v>
      </c>
      <c r="B661">
        <v>3</v>
      </c>
      <c r="C661" t="str">
        <f>IF(AND(A661&gt;=SETTINGS!$B$4,A661&lt;=SETTINGS!$B$5),"Yes","No")</f>
        <v>No</v>
      </c>
      <c r="D661" t="str">
        <f>IFERROR(INDEX(SETTINGS!$C$15:$C$24,MATCH(A661,SETTINGS!$A$15:$A$24,0)),"No")</f>
        <v>No</v>
      </c>
      <c r="E661">
        <v>11</v>
      </c>
      <c r="F661" t="s">
        <v>44</v>
      </c>
      <c r="G661">
        <v>264</v>
      </c>
      <c r="H661" t="s">
        <v>107</v>
      </c>
      <c r="I661" t="s">
        <v>22</v>
      </c>
      <c r="J661" t="s">
        <v>27</v>
      </c>
      <c r="K661" t="s">
        <v>3</v>
      </c>
      <c r="L661" s="36">
        <f ca="1">IF(C661&lt;&gt;"Yes",0,IF(A661=2025,N('2025'!D264),IF(A661=2026,N('2026'!D264),IF(A661=2027,N('2027'!D264),IF(A661=2028,N('2028'!D264),IF(A661=2029,N('2029'!D264),IF(A661=2030,N('2030'!D264),IF(A661=2031,N('2031'!D264),IF(A661=2032,N('2032'!D264),IF(A661=2033,N('2033'!D264),IF(A661=2034,N('2034'!D264),IFERROR(N(INDIRECT("'"&amp;A661&amp;"'!D"&amp;G661)),0))))))))))))</f>
        <v>0</v>
      </c>
      <c r="M661" s="36">
        <f>IFERROR(IF(NOT(ISBLANK(KPI_TARGETS!$I$18)),KPI_TARGETS!$I$18,IF(NOT(ISBLANK(KPI_TARGETS!$F$18)),KPI_TARGETS!$F$18,"")),"")</f>
        <v>4</v>
      </c>
      <c r="N661" s="36" t="str">
        <f>IFERROR(KPI_TARGETS!$E$18,"Higher is better")</f>
        <v>Higher is better</v>
      </c>
      <c r="O661" s="37">
        <f t="shared" ca="1" si="60"/>
        <v>0</v>
      </c>
      <c r="P661" t="str">
        <f t="shared" ca="1" si="61"/>
        <v>Red</v>
      </c>
      <c r="Q661" s="36">
        <f t="shared" ca="1" si="62"/>
        <v>-4</v>
      </c>
      <c r="R661" s="36" t="str">
        <f>""</f>
        <v/>
      </c>
      <c r="S661" s="36" t="str">
        <f>""</f>
        <v/>
      </c>
      <c r="T661" s="36" t="str">
        <f>""</f>
        <v/>
      </c>
      <c r="U661" s="36" t="str">
        <f>""</f>
        <v/>
      </c>
      <c r="V661" s="36" t="str">
        <f>""</f>
        <v/>
      </c>
      <c r="W661" s="36">
        <f t="shared" si="63"/>
        <v>1</v>
      </c>
      <c r="X661" t="str">
        <f t="shared" si="64"/>
        <v>Inactive</v>
      </c>
      <c r="Y661" t="str">
        <f>IF(MAIN!$H$3="Selected Year",IF(A661=MAIN!$B$3,"Yes","No"),IF(MAIN!$H$3="Included Years",IF(D661="Yes","Yes","No"),IF(C661="Yes","Yes","No")))</f>
        <v>No</v>
      </c>
      <c r="Z661" t="str">
        <f>IF(MAIN!$F$3="Project to Date",IF(AND(A661&gt;=SETTINGS!$B$4,A661&lt;MAIN!$B$3),"Yes",IF(AND(A661=MAIN!$B$3,E661&lt;=MAIN!$L$3),"Yes","No")),IF(OR(MAIN!$F$3="Full Year",MAIN!$D$3="All"),"Yes",IF(MAIN!$F$3="Monthly",IF(E661=MAIN!$L$3,"Yes","No"),IF(E661&lt;=MAIN!$L$3,"Yes","No"))))</f>
        <v>Yes</v>
      </c>
      <c r="AA661" t="str">
        <f t="shared" si="65"/>
        <v>No</v>
      </c>
    </row>
    <row r="662" spans="1:27" x14ac:dyDescent="0.3">
      <c r="A662">
        <f>INDEX(SETTINGS!$A$15:$A$24,$B662)</f>
        <v>2027</v>
      </c>
      <c r="B662">
        <v>3</v>
      </c>
      <c r="C662" t="str">
        <f>IF(AND(A662&gt;=SETTINGS!$B$4,A662&lt;=SETTINGS!$B$5),"Yes","No")</f>
        <v>No</v>
      </c>
      <c r="D662" t="str">
        <f>IFERROR(INDEX(SETTINGS!$C$15:$C$24,MATCH(A662,SETTINGS!$A$15:$A$24,0)),"No")</f>
        <v>No</v>
      </c>
      <c r="E662">
        <v>11</v>
      </c>
      <c r="F662" t="s">
        <v>44</v>
      </c>
      <c r="G662">
        <v>265</v>
      </c>
      <c r="H662" t="s">
        <v>108</v>
      </c>
      <c r="I662" t="s">
        <v>22</v>
      </c>
      <c r="J662" t="s">
        <v>28</v>
      </c>
      <c r="K662" t="s">
        <v>3</v>
      </c>
      <c r="L662" s="36">
        <f ca="1">IF(C662&lt;&gt;"Yes",0,IF(A662=2025,N('2025'!D265),IF(A662=2026,N('2026'!D265),IF(A662=2027,N('2027'!D265),IF(A662=2028,N('2028'!D265),IF(A662=2029,N('2029'!D265),IF(A662=2030,N('2030'!D265),IF(A662=2031,N('2031'!D265),IF(A662=2032,N('2032'!D265),IF(A662=2033,N('2033'!D265),IF(A662=2034,N('2034'!D265),IFERROR(N(INDIRECT("'"&amp;A662&amp;"'!D"&amp;G662)),0))))))))))))</f>
        <v>0</v>
      </c>
      <c r="M662" s="36">
        <f>IFERROR(IF(NOT(ISBLANK(KPI_TARGETS!$I$19)),KPI_TARGETS!$I$19,IF(NOT(ISBLANK(KPI_TARGETS!$F$19)),KPI_TARGETS!$F$19,"")),"")</f>
        <v>16</v>
      </c>
      <c r="N662" s="36" t="str">
        <f>IFERROR(KPI_TARGETS!$E$19,"Higher is better")</f>
        <v>Higher is better</v>
      </c>
      <c r="O662" s="37">
        <f t="shared" ca="1" si="60"/>
        <v>0</v>
      </c>
      <c r="P662" t="str">
        <f t="shared" ca="1" si="61"/>
        <v>Red</v>
      </c>
      <c r="Q662" s="36">
        <f t="shared" ca="1" si="62"/>
        <v>-16</v>
      </c>
      <c r="R662" s="36" t="str">
        <f>""</f>
        <v/>
      </c>
      <c r="S662" s="36" t="str">
        <f>""</f>
        <v/>
      </c>
      <c r="T662" s="36" t="str">
        <f>""</f>
        <v/>
      </c>
      <c r="U662" s="36" t="str">
        <f>""</f>
        <v/>
      </c>
      <c r="V662" s="36" t="str">
        <f>""</f>
        <v/>
      </c>
      <c r="W662" s="36">
        <f t="shared" si="63"/>
        <v>1</v>
      </c>
      <c r="X662" t="str">
        <f t="shared" si="64"/>
        <v>Inactive</v>
      </c>
      <c r="Y662" t="str">
        <f>IF(MAIN!$H$3="Selected Year",IF(A662=MAIN!$B$3,"Yes","No"),IF(MAIN!$H$3="Included Years",IF(D662="Yes","Yes","No"),IF(C662="Yes","Yes","No")))</f>
        <v>No</v>
      </c>
      <c r="Z662" t="str">
        <f>IF(MAIN!$F$3="Project to Date",IF(AND(A662&gt;=SETTINGS!$B$4,A662&lt;MAIN!$B$3),"Yes",IF(AND(A662=MAIN!$B$3,E662&lt;=MAIN!$L$3),"Yes","No")),IF(OR(MAIN!$F$3="Full Year",MAIN!$D$3="All"),"Yes",IF(MAIN!$F$3="Monthly",IF(E662=MAIN!$L$3,"Yes","No"),IF(E662&lt;=MAIN!$L$3,"Yes","No"))))</f>
        <v>Yes</v>
      </c>
      <c r="AA662" t="str">
        <f t="shared" si="65"/>
        <v>No</v>
      </c>
    </row>
    <row r="663" spans="1:27" x14ac:dyDescent="0.3">
      <c r="A663">
        <f>INDEX(SETTINGS!$A$15:$A$24,$B663)</f>
        <v>2027</v>
      </c>
      <c r="B663">
        <v>3</v>
      </c>
      <c r="C663" t="str">
        <f>IF(AND(A663&gt;=SETTINGS!$B$4,A663&lt;=SETTINGS!$B$5),"Yes","No")</f>
        <v>No</v>
      </c>
      <c r="D663" t="str">
        <f>IFERROR(INDEX(SETTINGS!$C$15:$C$24,MATCH(A663,SETTINGS!$A$15:$A$24,0)),"No")</f>
        <v>No</v>
      </c>
      <c r="E663">
        <v>11</v>
      </c>
      <c r="F663" t="s">
        <v>44</v>
      </c>
      <c r="G663">
        <v>266</v>
      </c>
      <c r="H663" t="s">
        <v>109</v>
      </c>
      <c r="I663" t="s">
        <v>22</v>
      </c>
      <c r="J663" t="s">
        <v>29</v>
      </c>
      <c r="K663" t="s">
        <v>3</v>
      </c>
      <c r="L663" s="36">
        <f ca="1">IF(C663&lt;&gt;"Yes",0,IF(A663=2025,N('2025'!D266),IF(A663=2026,N('2026'!D266),IF(A663=2027,N('2027'!D266),IF(A663=2028,N('2028'!D266),IF(A663=2029,N('2029'!D266),IF(A663=2030,N('2030'!D266),IF(A663=2031,N('2031'!D266),IF(A663=2032,N('2032'!D266),IF(A663=2033,N('2033'!D266),IF(A663=2034,N('2034'!D266),IFERROR(N(INDIRECT("'"&amp;A663&amp;"'!D"&amp;G663)),0))))))))))))</f>
        <v>0</v>
      </c>
      <c r="M663" s="36">
        <f>IFERROR(IF(NOT(ISBLANK(KPI_TARGETS!$I$20)),KPI_TARGETS!$I$20,IF(NOT(ISBLANK(KPI_TARGETS!$F$20)),KPI_TARGETS!$F$20,"")),"")</f>
        <v>1</v>
      </c>
      <c r="N663" s="36" t="str">
        <f>IFERROR(KPI_TARGETS!$E$20,"Higher is better")</f>
        <v>Higher is better</v>
      </c>
      <c r="O663" s="37">
        <f t="shared" ca="1" si="60"/>
        <v>0</v>
      </c>
      <c r="P663" t="str">
        <f t="shared" ca="1" si="61"/>
        <v>Red</v>
      </c>
      <c r="Q663" s="36">
        <f t="shared" ca="1" si="62"/>
        <v>-1</v>
      </c>
      <c r="R663" s="36" t="str">
        <f>""</f>
        <v/>
      </c>
      <c r="S663" s="36" t="str">
        <f>""</f>
        <v/>
      </c>
      <c r="T663" s="36" t="str">
        <f>""</f>
        <v/>
      </c>
      <c r="U663" s="36" t="str">
        <f>""</f>
        <v/>
      </c>
      <c r="V663" s="36" t="str">
        <f>""</f>
        <v/>
      </c>
      <c r="W663" s="36">
        <f t="shared" si="63"/>
        <v>1</v>
      </c>
      <c r="X663" t="str">
        <f t="shared" si="64"/>
        <v>Inactive</v>
      </c>
      <c r="Y663" t="str">
        <f>IF(MAIN!$H$3="Selected Year",IF(A663=MAIN!$B$3,"Yes","No"),IF(MAIN!$H$3="Included Years",IF(D663="Yes","Yes","No"),IF(C663="Yes","Yes","No")))</f>
        <v>No</v>
      </c>
      <c r="Z663" t="str">
        <f>IF(MAIN!$F$3="Project to Date",IF(AND(A663&gt;=SETTINGS!$B$4,A663&lt;MAIN!$B$3),"Yes",IF(AND(A663=MAIN!$B$3,E663&lt;=MAIN!$L$3),"Yes","No")),IF(OR(MAIN!$F$3="Full Year",MAIN!$D$3="All"),"Yes",IF(MAIN!$F$3="Monthly",IF(E663=MAIN!$L$3,"Yes","No"),IF(E663&lt;=MAIN!$L$3,"Yes","No"))))</f>
        <v>Yes</v>
      </c>
      <c r="AA663" t="str">
        <f t="shared" si="65"/>
        <v>No</v>
      </c>
    </row>
    <row r="664" spans="1:27" x14ac:dyDescent="0.3">
      <c r="A664">
        <f>INDEX(SETTINGS!$A$15:$A$24,$B664)</f>
        <v>2027</v>
      </c>
      <c r="B664">
        <v>3</v>
      </c>
      <c r="C664" t="str">
        <f>IF(AND(A664&gt;=SETTINGS!$B$4,A664&lt;=SETTINGS!$B$5),"Yes","No")</f>
        <v>No</v>
      </c>
      <c r="D664" t="str">
        <f>IFERROR(INDEX(SETTINGS!$C$15:$C$24,MATCH(A664,SETTINGS!$A$15:$A$24,0)),"No")</f>
        <v>No</v>
      </c>
      <c r="E664">
        <v>11</v>
      </c>
      <c r="F664" t="s">
        <v>44</v>
      </c>
      <c r="G664">
        <v>268</v>
      </c>
      <c r="H664" t="s">
        <v>110</v>
      </c>
      <c r="I664" t="s">
        <v>30</v>
      </c>
      <c r="J664" t="s">
        <v>31</v>
      </c>
      <c r="K664" t="s">
        <v>3</v>
      </c>
      <c r="L664" s="36">
        <f ca="1">IF(C664&lt;&gt;"Yes",0,IF(A664=2025,N('2025'!D268),IF(A664=2026,N('2026'!D268),IF(A664=2027,N('2027'!D268),IF(A664=2028,N('2028'!D268),IF(A664=2029,N('2029'!D268),IF(A664=2030,N('2030'!D268),IF(A664=2031,N('2031'!D268),IF(A664=2032,N('2032'!D268),IF(A664=2033,N('2033'!D268),IF(A664=2034,N('2034'!D268),IFERROR(N(INDIRECT("'"&amp;A664&amp;"'!D"&amp;G664)),0))))))))))))</f>
        <v>0</v>
      </c>
      <c r="M664" s="36">
        <f>IFERROR(IF(NOT(ISBLANK(KPI_TARGETS!$I$21)),KPI_TARGETS!$I$21,IF(NOT(ISBLANK(KPI_TARGETS!$F$21)),KPI_TARGETS!$F$21,"")),"")</f>
        <v>0</v>
      </c>
      <c r="N664" s="36" t="str">
        <f>IFERROR(KPI_TARGETS!$E$21,"Higher is better")</f>
        <v>Lower is better</v>
      </c>
      <c r="O664" s="37">
        <f t="shared" ca="1" si="60"/>
        <v>1</v>
      </c>
      <c r="P664" t="str">
        <f t="shared" ca="1" si="61"/>
        <v>Green</v>
      </c>
      <c r="Q664" s="36">
        <f t="shared" ca="1" si="62"/>
        <v>0</v>
      </c>
      <c r="R664" s="36" t="str">
        <f>""</f>
        <v/>
      </c>
      <c r="S664" s="36" t="str">
        <f>""</f>
        <v/>
      </c>
      <c r="T664" s="36" t="str">
        <f>""</f>
        <v/>
      </c>
      <c r="U664" s="36" t="str">
        <f>""</f>
        <v/>
      </c>
      <c r="V664" s="36" t="str">
        <f>""</f>
        <v/>
      </c>
      <c r="W664" s="36">
        <f t="shared" si="63"/>
        <v>1</v>
      </c>
      <c r="X664" t="str">
        <f t="shared" si="64"/>
        <v>Inactive</v>
      </c>
      <c r="Y664" t="str">
        <f>IF(MAIN!$H$3="Selected Year",IF(A664=MAIN!$B$3,"Yes","No"),IF(MAIN!$H$3="Included Years",IF(D664="Yes","Yes","No"),IF(C664="Yes","Yes","No")))</f>
        <v>No</v>
      </c>
      <c r="Z664" t="str">
        <f>IF(MAIN!$F$3="Project to Date",IF(AND(A664&gt;=SETTINGS!$B$4,A664&lt;MAIN!$B$3),"Yes",IF(AND(A664=MAIN!$B$3,E664&lt;=MAIN!$L$3),"Yes","No")),IF(OR(MAIN!$F$3="Full Year",MAIN!$D$3="All"),"Yes",IF(MAIN!$F$3="Monthly",IF(E664=MAIN!$L$3,"Yes","No"),IF(E664&lt;=MAIN!$L$3,"Yes","No"))))</f>
        <v>Yes</v>
      </c>
      <c r="AA664" t="str">
        <f t="shared" si="65"/>
        <v>No</v>
      </c>
    </row>
    <row r="665" spans="1:27" x14ac:dyDescent="0.3">
      <c r="A665">
        <f>INDEX(SETTINGS!$A$15:$A$24,$B665)</f>
        <v>2027</v>
      </c>
      <c r="B665">
        <v>3</v>
      </c>
      <c r="C665" t="str">
        <f>IF(AND(A665&gt;=SETTINGS!$B$4,A665&lt;=SETTINGS!$B$5),"Yes","No")</f>
        <v>No</v>
      </c>
      <c r="D665" t="str">
        <f>IFERROR(INDEX(SETTINGS!$C$15:$C$24,MATCH(A665,SETTINGS!$A$15:$A$24,0)),"No")</f>
        <v>No</v>
      </c>
      <c r="E665">
        <v>11</v>
      </c>
      <c r="F665" t="s">
        <v>44</v>
      </c>
      <c r="G665">
        <v>269</v>
      </c>
      <c r="H665" t="s">
        <v>111</v>
      </c>
      <c r="I665" t="s">
        <v>30</v>
      </c>
      <c r="J665" t="s">
        <v>32</v>
      </c>
      <c r="K665" t="s">
        <v>3</v>
      </c>
      <c r="L665" s="36">
        <f ca="1">IF(C665&lt;&gt;"Yes",0,IF(A665=2025,N('2025'!D269),IF(A665=2026,N('2026'!D269),IF(A665=2027,N('2027'!D269),IF(A665=2028,N('2028'!D269),IF(A665=2029,N('2029'!D269),IF(A665=2030,N('2030'!D269),IF(A665=2031,N('2031'!D269),IF(A665=2032,N('2032'!D269),IF(A665=2033,N('2033'!D269),IF(A665=2034,N('2034'!D269),IFERROR(N(INDIRECT("'"&amp;A665&amp;"'!D"&amp;G665)),0))))))))))))</f>
        <v>0</v>
      </c>
      <c r="M665" s="36">
        <f>IFERROR(IF(NOT(ISBLANK(KPI_TARGETS!$I$22)),KPI_TARGETS!$I$22,IF(NOT(ISBLANK(KPI_TARGETS!$F$22)),KPI_TARGETS!$F$22,"")),"")</f>
        <v>1</v>
      </c>
      <c r="N665" s="36" t="str">
        <f>IFERROR(KPI_TARGETS!$E$22,"Higher is better")</f>
        <v>Higher is better</v>
      </c>
      <c r="O665" s="37">
        <f t="shared" ca="1" si="60"/>
        <v>0</v>
      </c>
      <c r="P665" t="str">
        <f t="shared" ca="1" si="61"/>
        <v>Red</v>
      </c>
      <c r="Q665" s="36">
        <f t="shared" ca="1" si="62"/>
        <v>-1</v>
      </c>
      <c r="R665" s="36" t="str">
        <f>""</f>
        <v/>
      </c>
      <c r="S665" s="36" t="str">
        <f>""</f>
        <v/>
      </c>
      <c r="T665" s="36" t="str">
        <f>""</f>
        <v/>
      </c>
      <c r="U665" s="36" t="str">
        <f>""</f>
        <v/>
      </c>
      <c r="V665" s="36" t="str">
        <f>""</f>
        <v/>
      </c>
      <c r="W665" s="36">
        <f t="shared" si="63"/>
        <v>1</v>
      </c>
      <c r="X665" t="str">
        <f t="shared" si="64"/>
        <v>Inactive</v>
      </c>
      <c r="Y665" t="str">
        <f>IF(MAIN!$H$3="Selected Year",IF(A665=MAIN!$B$3,"Yes","No"),IF(MAIN!$H$3="Included Years",IF(D665="Yes","Yes","No"),IF(C665="Yes","Yes","No")))</f>
        <v>No</v>
      </c>
      <c r="Z665" t="str">
        <f>IF(MAIN!$F$3="Project to Date",IF(AND(A665&gt;=SETTINGS!$B$4,A665&lt;MAIN!$B$3),"Yes",IF(AND(A665=MAIN!$B$3,E665&lt;=MAIN!$L$3),"Yes","No")),IF(OR(MAIN!$F$3="Full Year",MAIN!$D$3="All"),"Yes",IF(MAIN!$F$3="Monthly",IF(E665=MAIN!$L$3,"Yes","No"),IF(E665&lt;=MAIN!$L$3,"Yes","No"))))</f>
        <v>Yes</v>
      </c>
      <c r="AA665" t="str">
        <f t="shared" si="65"/>
        <v>No</v>
      </c>
    </row>
    <row r="666" spans="1:27" x14ac:dyDescent="0.3">
      <c r="A666">
        <f>INDEX(SETTINGS!$A$15:$A$24,$B666)</f>
        <v>2027</v>
      </c>
      <c r="B666">
        <v>3</v>
      </c>
      <c r="C666" t="str">
        <f>IF(AND(A666&gt;=SETTINGS!$B$4,A666&lt;=SETTINGS!$B$5),"Yes","No")</f>
        <v>No</v>
      </c>
      <c r="D666" t="str">
        <f>IFERROR(INDEX(SETTINGS!$C$15:$C$24,MATCH(A666,SETTINGS!$A$15:$A$24,0)),"No")</f>
        <v>No</v>
      </c>
      <c r="E666">
        <v>11</v>
      </c>
      <c r="F666" t="s">
        <v>44</v>
      </c>
      <c r="G666">
        <v>270</v>
      </c>
      <c r="H666" t="s">
        <v>112</v>
      </c>
      <c r="I666" t="s">
        <v>30</v>
      </c>
      <c r="J666" t="s">
        <v>33</v>
      </c>
      <c r="K666" t="s">
        <v>34</v>
      </c>
      <c r="L666" s="36">
        <f ca="1">IF(C666&lt;&gt;"Yes",0,IF(A666=2025,N('2025'!D270),IF(A666=2026,N('2026'!D270),IF(A666=2027,N('2027'!D270),IF(A666=2028,N('2028'!D270),IF(A666=2029,N('2029'!D270),IF(A666=2030,N('2030'!D270),IF(A666=2031,N('2031'!D270),IF(A666=2032,N('2032'!D270),IF(A666=2033,N('2033'!D270),IF(A666=2034,N('2034'!D270),IFERROR(N(INDIRECT("'"&amp;A666&amp;"'!D"&amp;G666)),0))))))))))))</f>
        <v>0</v>
      </c>
      <c r="M666" s="36">
        <f>IFERROR(IF(NOT(ISBLANK(KPI_TARGETS!$I$23)),KPI_TARGETS!$I$23,IF(NOT(ISBLANK(KPI_TARGETS!$F$23)),KPI_TARGETS!$F$23,"")),"")</f>
        <v>1</v>
      </c>
      <c r="N666" s="36" t="str">
        <f>IFERROR(KPI_TARGETS!$E$23,"Higher is better")</f>
        <v>Higher is better</v>
      </c>
      <c r="O666" s="37">
        <f t="shared" ca="1" si="60"/>
        <v>0</v>
      </c>
      <c r="P666" t="str">
        <f t="shared" ca="1" si="61"/>
        <v>Red</v>
      </c>
      <c r="Q666" s="36">
        <f t="shared" ca="1" si="62"/>
        <v>-1</v>
      </c>
      <c r="R666" s="36" t="str">
        <f>""</f>
        <v/>
      </c>
      <c r="S666" s="36" t="str">
        <f>""</f>
        <v/>
      </c>
      <c r="T666" s="36" t="str">
        <f>""</f>
        <v/>
      </c>
      <c r="U666" s="36" t="str">
        <f>""</f>
        <v/>
      </c>
      <c r="V666" s="36" t="str">
        <f>""</f>
        <v/>
      </c>
      <c r="W666" s="36">
        <f t="shared" si="63"/>
        <v>1</v>
      </c>
      <c r="X666" t="str">
        <f t="shared" si="64"/>
        <v>Inactive</v>
      </c>
      <c r="Y666" t="str">
        <f>IF(MAIN!$H$3="Selected Year",IF(A666=MAIN!$B$3,"Yes","No"),IF(MAIN!$H$3="Included Years",IF(D666="Yes","Yes","No"),IF(C666="Yes","Yes","No")))</f>
        <v>No</v>
      </c>
      <c r="Z666" t="str">
        <f>IF(MAIN!$F$3="Project to Date",IF(AND(A666&gt;=SETTINGS!$B$4,A666&lt;MAIN!$B$3),"Yes",IF(AND(A666=MAIN!$B$3,E666&lt;=MAIN!$L$3),"Yes","No")),IF(OR(MAIN!$F$3="Full Year",MAIN!$D$3="All"),"Yes",IF(MAIN!$F$3="Monthly",IF(E666=MAIN!$L$3,"Yes","No"),IF(E666&lt;=MAIN!$L$3,"Yes","No"))))</f>
        <v>Yes</v>
      </c>
      <c r="AA666" t="str">
        <f t="shared" si="65"/>
        <v>No</v>
      </c>
    </row>
    <row r="667" spans="1:27" x14ac:dyDescent="0.3">
      <c r="A667">
        <f>INDEX(SETTINGS!$A$15:$A$24,$B667)</f>
        <v>2027</v>
      </c>
      <c r="B667">
        <v>3</v>
      </c>
      <c r="C667" t="str">
        <f>IF(AND(A667&gt;=SETTINGS!$B$4,A667&lt;=SETTINGS!$B$5),"Yes","No")</f>
        <v>No</v>
      </c>
      <c r="D667" t="str">
        <f>IFERROR(INDEX(SETTINGS!$C$15:$C$24,MATCH(A667,SETTINGS!$A$15:$A$24,0)),"No")</f>
        <v>No</v>
      </c>
      <c r="E667">
        <v>12</v>
      </c>
      <c r="F667" t="s">
        <v>45</v>
      </c>
      <c r="G667">
        <v>273</v>
      </c>
      <c r="H667" t="s">
        <v>88</v>
      </c>
      <c r="I667" t="s">
        <v>89</v>
      </c>
      <c r="J667" t="s">
        <v>10</v>
      </c>
      <c r="K667" t="s">
        <v>3</v>
      </c>
      <c r="L667" s="36">
        <f ca="1">IF(C667&lt;&gt;"Yes",0,IF(A667=2025,N('2025'!D273),IF(A667=2026,N('2026'!D273),IF(A667=2027,N('2027'!D273),IF(A667=2028,N('2028'!D273),IF(A667=2029,N('2029'!D273),IF(A667=2030,N('2030'!D273),IF(A667=2031,N('2031'!D273),IF(A667=2032,N('2032'!D273),IF(A667=2033,N('2033'!D273),IF(A667=2034,N('2034'!D273),IFERROR(N(INDIRECT("'"&amp;A667&amp;"'!D"&amp;G667)),0))))))))))))</f>
        <v>0</v>
      </c>
      <c r="M667" s="36">
        <f>IFERROR(IF(NOT(ISBLANK(KPI_TARGETS!$I$5)),KPI_TARGETS!$I$5,IF(NOT(ISBLANK(KPI_TARGETS!$F$5)),KPI_TARGETS!$F$5,"")),"")</f>
        <v>104</v>
      </c>
      <c r="N667" s="36" t="str">
        <f>IFERROR(KPI_TARGETS!$E$5,"Higher is better")</f>
        <v>Higher is better</v>
      </c>
      <c r="O667" s="37">
        <f t="shared" ca="1" si="60"/>
        <v>0</v>
      </c>
      <c r="P667" t="str">
        <f t="shared" ca="1" si="61"/>
        <v>Red</v>
      </c>
      <c r="Q667" s="36">
        <f t="shared" ca="1" si="62"/>
        <v>-104</v>
      </c>
      <c r="R667" s="36" t="str">
        <f>""</f>
        <v/>
      </c>
      <c r="S667" s="36" t="str">
        <f>""</f>
        <v/>
      </c>
      <c r="T667" s="36" t="str">
        <f>""</f>
        <v/>
      </c>
      <c r="U667" s="36" t="str">
        <f>""</f>
        <v/>
      </c>
      <c r="V667" s="36" t="str">
        <f>""</f>
        <v/>
      </c>
      <c r="W667" s="36">
        <f t="shared" si="63"/>
        <v>1</v>
      </c>
      <c r="X667" t="str">
        <f t="shared" si="64"/>
        <v>Inactive</v>
      </c>
      <c r="Y667" t="str">
        <f>IF(MAIN!$H$3="Selected Year",IF(A667=MAIN!$B$3,"Yes","No"),IF(MAIN!$H$3="Included Years",IF(D667="Yes","Yes","No"),IF(C667="Yes","Yes","No")))</f>
        <v>No</v>
      </c>
      <c r="Z667" t="str">
        <f>IF(MAIN!$F$3="Project to Date",IF(AND(A667&gt;=SETTINGS!$B$4,A667&lt;MAIN!$B$3),"Yes",IF(AND(A667=MAIN!$B$3,E667&lt;=MAIN!$L$3),"Yes","No")),IF(OR(MAIN!$F$3="Full Year",MAIN!$D$3="All"),"Yes",IF(MAIN!$F$3="Monthly",IF(E667=MAIN!$L$3,"Yes","No"),IF(E667&lt;=MAIN!$L$3,"Yes","No"))))</f>
        <v>Yes</v>
      </c>
      <c r="AA667" t="str">
        <f t="shared" si="65"/>
        <v>No</v>
      </c>
    </row>
    <row r="668" spans="1:27" x14ac:dyDescent="0.3">
      <c r="A668">
        <f>INDEX(SETTINGS!$A$15:$A$24,$B668)</f>
        <v>2027</v>
      </c>
      <c r="B668">
        <v>3</v>
      </c>
      <c r="C668" t="str">
        <f>IF(AND(A668&gt;=SETTINGS!$B$4,A668&lt;=SETTINGS!$B$5),"Yes","No")</f>
        <v>No</v>
      </c>
      <c r="D668" t="str">
        <f>IFERROR(INDEX(SETTINGS!$C$15:$C$24,MATCH(A668,SETTINGS!$A$15:$A$24,0)),"No")</f>
        <v>No</v>
      </c>
      <c r="E668">
        <v>12</v>
      </c>
      <c r="F668" t="s">
        <v>45</v>
      </c>
      <c r="G668">
        <v>274</v>
      </c>
      <c r="H668" t="s">
        <v>91</v>
      </c>
      <c r="I668" t="s">
        <v>89</v>
      </c>
      <c r="J668" t="s">
        <v>11</v>
      </c>
      <c r="K668" t="s">
        <v>12</v>
      </c>
      <c r="L668" s="36">
        <f ca="1">IF(C668&lt;&gt;"Yes",0,IF(A668=2025,N('2025'!D274),IF(A668=2026,N('2026'!D274),IF(A668=2027,N('2027'!D274),IF(A668=2028,N('2028'!D274),IF(A668=2029,N('2029'!D274),IF(A668=2030,N('2030'!D274),IF(A668=2031,N('2031'!D274),IF(A668=2032,N('2032'!D274),IF(A668=2033,N('2033'!D274),IF(A668=2034,N('2034'!D274),IFERROR(N(INDIRECT("'"&amp;A668&amp;"'!D"&amp;G668)),0))))))))))))</f>
        <v>0</v>
      </c>
      <c r="M668" s="36">
        <f>IFERROR(IF(NOT(ISBLANK(KPI_TARGETS!$I$6)),KPI_TARGETS!$I$6,IF(NOT(ISBLANK(KPI_TARGETS!$F$6)),KPI_TARGETS!$F$6,"")),"")</f>
        <v>4000</v>
      </c>
      <c r="N668" s="36" t="str">
        <f>IFERROR(KPI_TARGETS!$E$6,"Higher is better")</f>
        <v>Higher is better</v>
      </c>
      <c r="O668" s="37">
        <f t="shared" ca="1" si="60"/>
        <v>0</v>
      </c>
      <c r="P668" t="str">
        <f t="shared" ca="1" si="61"/>
        <v>Red</v>
      </c>
      <c r="Q668" s="36">
        <f t="shared" ca="1" si="62"/>
        <v>-4000</v>
      </c>
      <c r="R668" s="36" t="str">
        <f>""</f>
        <v/>
      </c>
      <c r="S668" s="36" t="str">
        <f>""</f>
        <v/>
      </c>
      <c r="T668" s="36" t="str">
        <f>""</f>
        <v/>
      </c>
      <c r="U668" s="36" t="str">
        <f>""</f>
        <v/>
      </c>
      <c r="V668" s="36" t="str">
        <f>""</f>
        <v/>
      </c>
      <c r="W668" s="36">
        <f t="shared" si="63"/>
        <v>1</v>
      </c>
      <c r="X668" t="str">
        <f t="shared" si="64"/>
        <v>Inactive</v>
      </c>
      <c r="Y668" t="str">
        <f>IF(MAIN!$H$3="Selected Year",IF(A668=MAIN!$B$3,"Yes","No"),IF(MAIN!$H$3="Included Years",IF(D668="Yes","Yes","No"),IF(C668="Yes","Yes","No")))</f>
        <v>No</v>
      </c>
      <c r="Z668" t="str">
        <f>IF(MAIN!$F$3="Project to Date",IF(AND(A668&gt;=SETTINGS!$B$4,A668&lt;MAIN!$B$3),"Yes",IF(AND(A668=MAIN!$B$3,E668&lt;=MAIN!$L$3),"Yes","No")),IF(OR(MAIN!$F$3="Full Year",MAIN!$D$3="All"),"Yes",IF(MAIN!$F$3="Monthly",IF(E668=MAIN!$L$3,"Yes","No"),IF(E668&lt;=MAIN!$L$3,"Yes","No"))))</f>
        <v>Yes</v>
      </c>
      <c r="AA668" t="str">
        <f t="shared" si="65"/>
        <v>No</v>
      </c>
    </row>
    <row r="669" spans="1:27" x14ac:dyDescent="0.3">
      <c r="A669">
        <f>INDEX(SETTINGS!$A$15:$A$24,$B669)</f>
        <v>2027</v>
      </c>
      <c r="B669">
        <v>3</v>
      </c>
      <c r="C669" t="str">
        <f>IF(AND(A669&gt;=SETTINGS!$B$4,A669&lt;=SETTINGS!$B$5),"Yes","No")</f>
        <v>No</v>
      </c>
      <c r="D669" t="str">
        <f>IFERROR(INDEX(SETTINGS!$C$15:$C$24,MATCH(A669,SETTINGS!$A$15:$A$24,0)),"No")</f>
        <v>No</v>
      </c>
      <c r="E669">
        <v>12</v>
      </c>
      <c r="F669" t="s">
        <v>45</v>
      </c>
      <c r="G669">
        <v>275</v>
      </c>
      <c r="H669" t="s">
        <v>93</v>
      </c>
      <c r="I669" t="s">
        <v>89</v>
      </c>
      <c r="J669" t="s">
        <v>13</v>
      </c>
      <c r="K669" t="s">
        <v>14</v>
      </c>
      <c r="L669" s="36">
        <f ca="1">IF(C669&lt;&gt;"Yes",0,IF(A669=2025,N('2025'!D275),IF(A669=2026,N('2026'!D275),IF(A669=2027,N('2027'!D275),IF(A669=2028,N('2028'!D275),IF(A669=2029,N('2029'!D275),IF(A669=2030,N('2030'!D275),IF(A669=2031,N('2031'!D275),IF(A669=2032,N('2032'!D275),IF(A669=2033,N('2033'!D275),IF(A669=2034,N('2034'!D275),IFERROR(N(INDIRECT("'"&amp;A669&amp;"'!D"&amp;G669)),0))))))))))))</f>
        <v>0</v>
      </c>
      <c r="M669" s="36">
        <f>IFERROR(IF(NOT(ISBLANK(KPI_TARGETS!$I$7)),KPI_TARGETS!$I$7,IF(NOT(ISBLANK(KPI_TARGETS!$F$7)),KPI_TARGETS!$F$7,"")),"")</f>
        <v>8000</v>
      </c>
      <c r="N669" s="36" t="str">
        <f>IFERROR(KPI_TARGETS!$E$7,"Higher is better")</f>
        <v>Higher is better</v>
      </c>
      <c r="O669" s="37">
        <f t="shared" ca="1" si="60"/>
        <v>0</v>
      </c>
      <c r="P669" t="str">
        <f t="shared" ca="1" si="61"/>
        <v>Red</v>
      </c>
      <c r="Q669" s="36">
        <f t="shared" ca="1" si="62"/>
        <v>-8000</v>
      </c>
      <c r="R669" s="36" t="str">
        <f>""</f>
        <v/>
      </c>
      <c r="S669" s="36" t="str">
        <f>""</f>
        <v/>
      </c>
      <c r="T669" s="36" t="str">
        <f>""</f>
        <v/>
      </c>
      <c r="U669" s="36" t="str">
        <f>""</f>
        <v/>
      </c>
      <c r="V669" s="36" t="str">
        <f>""</f>
        <v/>
      </c>
      <c r="W669" s="36">
        <f t="shared" si="63"/>
        <v>1</v>
      </c>
      <c r="X669" t="str">
        <f t="shared" si="64"/>
        <v>Inactive</v>
      </c>
      <c r="Y669" t="str">
        <f>IF(MAIN!$H$3="Selected Year",IF(A669=MAIN!$B$3,"Yes","No"),IF(MAIN!$H$3="Included Years",IF(D669="Yes","Yes","No"),IF(C669="Yes","Yes","No")))</f>
        <v>No</v>
      </c>
      <c r="Z669" t="str">
        <f>IF(MAIN!$F$3="Project to Date",IF(AND(A669&gt;=SETTINGS!$B$4,A669&lt;MAIN!$B$3),"Yes",IF(AND(A669=MAIN!$B$3,E669&lt;=MAIN!$L$3),"Yes","No")),IF(OR(MAIN!$F$3="Full Year",MAIN!$D$3="All"),"Yes",IF(MAIN!$F$3="Monthly",IF(E669=MAIN!$L$3,"Yes","No"),IF(E669&lt;=MAIN!$L$3,"Yes","No"))))</f>
        <v>Yes</v>
      </c>
      <c r="AA669" t="str">
        <f t="shared" si="65"/>
        <v>No</v>
      </c>
    </row>
    <row r="670" spans="1:27" x14ac:dyDescent="0.3">
      <c r="A670">
        <f>INDEX(SETTINGS!$A$15:$A$24,$B670)</f>
        <v>2027</v>
      </c>
      <c r="B670">
        <v>3</v>
      </c>
      <c r="C670" t="str">
        <f>IF(AND(A670&gt;=SETTINGS!$B$4,A670&lt;=SETTINGS!$B$5),"Yes","No")</f>
        <v>No</v>
      </c>
      <c r="D670" t="str">
        <f>IFERROR(INDEX(SETTINGS!$C$15:$C$24,MATCH(A670,SETTINGS!$A$15:$A$24,0)),"No")</f>
        <v>No</v>
      </c>
      <c r="E670">
        <v>12</v>
      </c>
      <c r="F670" t="s">
        <v>45</v>
      </c>
      <c r="G670">
        <v>277</v>
      </c>
      <c r="H670" t="s">
        <v>95</v>
      </c>
      <c r="I670" t="s">
        <v>15</v>
      </c>
      <c r="J670" t="s">
        <v>16</v>
      </c>
      <c r="K670" t="s">
        <v>3</v>
      </c>
      <c r="L670" s="36">
        <f ca="1">IF(C670&lt;&gt;"Yes",0,IF(A670=2025,N('2025'!D277),IF(A670=2026,N('2026'!D277),IF(A670=2027,N('2027'!D277),IF(A670=2028,N('2028'!D277),IF(A670=2029,N('2029'!D277),IF(A670=2030,N('2030'!D277),IF(A670=2031,N('2031'!D277),IF(A670=2032,N('2032'!D277),IF(A670=2033,N('2033'!D277),IF(A670=2034,N('2034'!D277),IFERROR(N(INDIRECT("'"&amp;A670&amp;"'!D"&amp;G670)),0))))))))))))</f>
        <v>0</v>
      </c>
      <c r="M670" s="36">
        <f>IFERROR(IF(NOT(ISBLANK(KPI_TARGETS!$I$8)),KPI_TARGETS!$I$8,IF(NOT(ISBLANK(KPI_TARGETS!$F$8)),KPI_TARGETS!$F$8,"")),"")</f>
        <v>0</v>
      </c>
      <c r="N670" s="36" t="str">
        <f>IFERROR(KPI_TARGETS!$E$8,"Higher is better")</f>
        <v>Lower is better</v>
      </c>
      <c r="O670" s="37">
        <f t="shared" ca="1" si="60"/>
        <v>1</v>
      </c>
      <c r="P670" t="str">
        <f t="shared" ca="1" si="61"/>
        <v>Green</v>
      </c>
      <c r="Q670" s="36">
        <f t="shared" ca="1" si="62"/>
        <v>0</v>
      </c>
      <c r="R670" s="36" t="str">
        <f>""</f>
        <v/>
      </c>
      <c r="S670" s="36" t="str">
        <f>""</f>
        <v/>
      </c>
      <c r="T670" s="36" t="str">
        <f>""</f>
        <v/>
      </c>
      <c r="U670" s="36" t="str">
        <f>""</f>
        <v/>
      </c>
      <c r="V670" s="36" t="str">
        <f>""</f>
        <v/>
      </c>
      <c r="W670" s="36">
        <f t="shared" si="63"/>
        <v>1</v>
      </c>
      <c r="X670" t="str">
        <f t="shared" si="64"/>
        <v>Inactive</v>
      </c>
      <c r="Y670" t="str">
        <f>IF(MAIN!$H$3="Selected Year",IF(A670=MAIN!$B$3,"Yes","No"),IF(MAIN!$H$3="Included Years",IF(D670="Yes","Yes","No"),IF(C670="Yes","Yes","No")))</f>
        <v>No</v>
      </c>
      <c r="Z670" t="str">
        <f>IF(MAIN!$F$3="Project to Date",IF(AND(A670&gt;=SETTINGS!$B$4,A670&lt;MAIN!$B$3),"Yes",IF(AND(A670=MAIN!$B$3,E670&lt;=MAIN!$L$3),"Yes","No")),IF(OR(MAIN!$F$3="Full Year",MAIN!$D$3="All"),"Yes",IF(MAIN!$F$3="Monthly",IF(E670=MAIN!$L$3,"Yes","No"),IF(E670&lt;=MAIN!$L$3,"Yes","No"))))</f>
        <v>Yes</v>
      </c>
      <c r="AA670" t="str">
        <f t="shared" si="65"/>
        <v>No</v>
      </c>
    </row>
    <row r="671" spans="1:27" x14ac:dyDescent="0.3">
      <c r="A671">
        <f>INDEX(SETTINGS!$A$15:$A$24,$B671)</f>
        <v>2027</v>
      </c>
      <c r="B671">
        <v>3</v>
      </c>
      <c r="C671" t="str">
        <f>IF(AND(A671&gt;=SETTINGS!$B$4,A671&lt;=SETTINGS!$B$5),"Yes","No")</f>
        <v>No</v>
      </c>
      <c r="D671" t="str">
        <f>IFERROR(INDEX(SETTINGS!$C$15:$C$24,MATCH(A671,SETTINGS!$A$15:$A$24,0)),"No")</f>
        <v>No</v>
      </c>
      <c r="E671">
        <v>12</v>
      </c>
      <c r="F671" t="s">
        <v>45</v>
      </c>
      <c r="G671">
        <v>278</v>
      </c>
      <c r="H671" t="s">
        <v>97</v>
      </c>
      <c r="I671" t="s">
        <v>15</v>
      </c>
      <c r="J671" t="s">
        <v>17</v>
      </c>
      <c r="K671" t="s">
        <v>3</v>
      </c>
      <c r="L671" s="36">
        <f ca="1">IF(C671&lt;&gt;"Yes",0,IF(A671=2025,N('2025'!D278),IF(A671=2026,N('2026'!D278),IF(A671=2027,N('2027'!D278),IF(A671=2028,N('2028'!D278),IF(A671=2029,N('2029'!D278),IF(A671=2030,N('2030'!D278),IF(A671=2031,N('2031'!D278),IF(A671=2032,N('2032'!D278),IF(A671=2033,N('2033'!D278),IF(A671=2034,N('2034'!D278),IFERROR(N(INDIRECT("'"&amp;A671&amp;"'!D"&amp;G671)),0))))))))))))</f>
        <v>0</v>
      </c>
      <c r="M671" s="36">
        <f>IFERROR(IF(NOT(ISBLANK(KPI_TARGETS!$I$9)),KPI_TARGETS!$I$9,IF(NOT(ISBLANK(KPI_TARGETS!$F$9)),KPI_TARGETS!$F$9,"")),"")</f>
        <v>0</v>
      </c>
      <c r="N671" s="36" t="str">
        <f>IFERROR(KPI_TARGETS!$E$9,"Higher is better")</f>
        <v>Higher is better</v>
      </c>
      <c r="O671" s="37" t="str">
        <f t="shared" ca="1" si="60"/>
        <v/>
      </c>
      <c r="P671" t="str">
        <f t="shared" ca="1" si="61"/>
        <v>Green</v>
      </c>
      <c r="Q671" s="36">
        <f t="shared" ca="1" si="62"/>
        <v>0</v>
      </c>
      <c r="R671" s="36" t="str">
        <f>""</f>
        <v/>
      </c>
      <c r="S671" s="36" t="str">
        <f>""</f>
        <v/>
      </c>
      <c r="T671" s="36" t="str">
        <f>""</f>
        <v/>
      </c>
      <c r="U671" s="36" t="str">
        <f>""</f>
        <v/>
      </c>
      <c r="V671" s="36" t="str">
        <f>""</f>
        <v/>
      </c>
      <c r="W671" s="36">
        <f t="shared" si="63"/>
        <v>1</v>
      </c>
      <c r="X671" t="str">
        <f t="shared" si="64"/>
        <v>Inactive</v>
      </c>
      <c r="Y671" t="str">
        <f>IF(MAIN!$H$3="Selected Year",IF(A671=MAIN!$B$3,"Yes","No"),IF(MAIN!$H$3="Included Years",IF(D671="Yes","Yes","No"),IF(C671="Yes","Yes","No")))</f>
        <v>No</v>
      </c>
      <c r="Z671" t="str">
        <f>IF(MAIN!$F$3="Project to Date",IF(AND(A671&gt;=SETTINGS!$B$4,A671&lt;MAIN!$B$3),"Yes",IF(AND(A671=MAIN!$B$3,E671&lt;=MAIN!$L$3),"Yes","No")),IF(OR(MAIN!$F$3="Full Year",MAIN!$D$3="All"),"Yes",IF(MAIN!$F$3="Monthly",IF(E671=MAIN!$L$3,"Yes","No"),IF(E671&lt;=MAIN!$L$3,"Yes","No"))))</f>
        <v>Yes</v>
      </c>
      <c r="AA671" t="str">
        <f t="shared" si="65"/>
        <v>No</v>
      </c>
    </row>
    <row r="672" spans="1:27" x14ac:dyDescent="0.3">
      <c r="A672">
        <f>INDEX(SETTINGS!$A$15:$A$24,$B672)</f>
        <v>2027</v>
      </c>
      <c r="B672">
        <v>3</v>
      </c>
      <c r="C672" t="str">
        <f>IF(AND(A672&gt;=SETTINGS!$B$4,A672&lt;=SETTINGS!$B$5),"Yes","No")</f>
        <v>No</v>
      </c>
      <c r="D672" t="str">
        <f>IFERROR(INDEX(SETTINGS!$C$15:$C$24,MATCH(A672,SETTINGS!$A$15:$A$24,0)),"No")</f>
        <v>No</v>
      </c>
      <c r="E672">
        <v>12</v>
      </c>
      <c r="F672" t="s">
        <v>45</v>
      </c>
      <c r="G672">
        <v>279</v>
      </c>
      <c r="H672" t="s">
        <v>99</v>
      </c>
      <c r="I672" t="s">
        <v>15</v>
      </c>
      <c r="J672" t="s">
        <v>18</v>
      </c>
      <c r="K672" t="s">
        <v>3</v>
      </c>
      <c r="L672" s="36">
        <f ca="1">IF(C672&lt;&gt;"Yes",0,IF(A672=2025,N('2025'!D279),IF(A672=2026,N('2026'!D279),IF(A672=2027,N('2027'!D279),IF(A672=2028,N('2028'!D279),IF(A672=2029,N('2029'!D279),IF(A672=2030,N('2030'!D279),IF(A672=2031,N('2031'!D279),IF(A672=2032,N('2032'!D279),IF(A672=2033,N('2033'!D279),IF(A672=2034,N('2034'!D279),IFERROR(N(INDIRECT("'"&amp;A672&amp;"'!D"&amp;G672)),0))))))))))))</f>
        <v>0</v>
      </c>
      <c r="M672" s="36">
        <f>IFERROR(IF(NOT(ISBLANK(KPI_TARGETS!$I$10)),KPI_TARGETS!$I$10,IF(NOT(ISBLANK(KPI_TARGETS!$F$10)),KPI_TARGETS!$F$10,"")),"")</f>
        <v>0</v>
      </c>
      <c r="N672" s="36" t="str">
        <f>IFERROR(KPI_TARGETS!$E$10,"Higher is better")</f>
        <v>Lower is better</v>
      </c>
      <c r="O672" s="37">
        <f t="shared" ca="1" si="60"/>
        <v>1</v>
      </c>
      <c r="P672" t="str">
        <f t="shared" ca="1" si="61"/>
        <v>Green</v>
      </c>
      <c r="Q672" s="36">
        <f t="shared" ca="1" si="62"/>
        <v>0</v>
      </c>
      <c r="R672" s="36" t="str">
        <f>""</f>
        <v/>
      </c>
      <c r="S672" s="36" t="str">
        <f>""</f>
        <v/>
      </c>
      <c r="T672" s="36" t="str">
        <f>""</f>
        <v/>
      </c>
      <c r="U672" s="36" t="str">
        <f>""</f>
        <v/>
      </c>
      <c r="V672" s="36" t="str">
        <f>""</f>
        <v/>
      </c>
      <c r="W672" s="36">
        <f t="shared" si="63"/>
        <v>1</v>
      </c>
      <c r="X672" t="str">
        <f t="shared" si="64"/>
        <v>Inactive</v>
      </c>
      <c r="Y672" t="str">
        <f>IF(MAIN!$H$3="Selected Year",IF(A672=MAIN!$B$3,"Yes","No"),IF(MAIN!$H$3="Included Years",IF(D672="Yes","Yes","No"),IF(C672="Yes","Yes","No")))</f>
        <v>No</v>
      </c>
      <c r="Z672" t="str">
        <f>IF(MAIN!$F$3="Project to Date",IF(AND(A672&gt;=SETTINGS!$B$4,A672&lt;MAIN!$B$3),"Yes",IF(AND(A672=MAIN!$B$3,E672&lt;=MAIN!$L$3),"Yes","No")),IF(OR(MAIN!$F$3="Full Year",MAIN!$D$3="All"),"Yes",IF(MAIN!$F$3="Monthly",IF(E672=MAIN!$L$3,"Yes","No"),IF(E672&lt;=MAIN!$L$3,"Yes","No"))))</f>
        <v>Yes</v>
      </c>
      <c r="AA672" t="str">
        <f t="shared" si="65"/>
        <v>No</v>
      </c>
    </row>
    <row r="673" spans="1:27" x14ac:dyDescent="0.3">
      <c r="A673">
        <f>INDEX(SETTINGS!$A$15:$A$24,$B673)</f>
        <v>2027</v>
      </c>
      <c r="B673">
        <v>3</v>
      </c>
      <c r="C673" t="str">
        <f>IF(AND(A673&gt;=SETTINGS!$B$4,A673&lt;=SETTINGS!$B$5),"Yes","No")</f>
        <v>No</v>
      </c>
      <c r="D673" t="str">
        <f>IFERROR(INDEX(SETTINGS!$C$15:$C$24,MATCH(A673,SETTINGS!$A$15:$A$24,0)),"No")</f>
        <v>No</v>
      </c>
      <c r="E673">
        <v>12</v>
      </c>
      <c r="F673" t="s">
        <v>45</v>
      </c>
      <c r="G673">
        <v>280</v>
      </c>
      <c r="H673" t="s">
        <v>100</v>
      </c>
      <c r="I673" t="s">
        <v>15</v>
      </c>
      <c r="J673" t="s">
        <v>19</v>
      </c>
      <c r="K673" t="s">
        <v>3</v>
      </c>
      <c r="L673" s="36">
        <f ca="1">IF(C673&lt;&gt;"Yes",0,IF(A673=2025,N('2025'!D280),IF(A673=2026,N('2026'!D280),IF(A673=2027,N('2027'!D280),IF(A673=2028,N('2028'!D280),IF(A673=2029,N('2029'!D280),IF(A673=2030,N('2030'!D280),IF(A673=2031,N('2031'!D280),IF(A673=2032,N('2032'!D280),IF(A673=2033,N('2033'!D280),IF(A673=2034,N('2034'!D280),IFERROR(N(INDIRECT("'"&amp;A673&amp;"'!D"&amp;G673)),0))))))))))))</f>
        <v>0</v>
      </c>
      <c r="M673" s="36">
        <f>IFERROR(IF(NOT(ISBLANK(KPI_TARGETS!$I$11)),KPI_TARGETS!$I$11,IF(NOT(ISBLANK(KPI_TARGETS!$F$11)),KPI_TARGETS!$F$11,"")),"")</f>
        <v>0</v>
      </c>
      <c r="N673" s="36" t="str">
        <f>IFERROR(KPI_TARGETS!$E$11,"Higher is better")</f>
        <v>Lower is better</v>
      </c>
      <c r="O673" s="37">
        <f t="shared" ca="1" si="60"/>
        <v>1</v>
      </c>
      <c r="P673" t="str">
        <f t="shared" ca="1" si="61"/>
        <v>Green</v>
      </c>
      <c r="Q673" s="36">
        <f t="shared" ca="1" si="62"/>
        <v>0</v>
      </c>
      <c r="R673" s="36" t="str">
        <f>""</f>
        <v/>
      </c>
      <c r="S673" s="36" t="str">
        <f>""</f>
        <v/>
      </c>
      <c r="T673" s="36" t="str">
        <f>""</f>
        <v/>
      </c>
      <c r="U673" s="36" t="str">
        <f>""</f>
        <v/>
      </c>
      <c r="V673" s="36" t="str">
        <f>""</f>
        <v/>
      </c>
      <c r="W673" s="36">
        <f t="shared" si="63"/>
        <v>1</v>
      </c>
      <c r="X673" t="str">
        <f t="shared" si="64"/>
        <v>Inactive</v>
      </c>
      <c r="Y673" t="str">
        <f>IF(MAIN!$H$3="Selected Year",IF(A673=MAIN!$B$3,"Yes","No"),IF(MAIN!$H$3="Included Years",IF(D673="Yes","Yes","No"),IF(C673="Yes","Yes","No")))</f>
        <v>No</v>
      </c>
      <c r="Z673" t="str">
        <f>IF(MAIN!$F$3="Project to Date",IF(AND(A673&gt;=SETTINGS!$B$4,A673&lt;MAIN!$B$3),"Yes",IF(AND(A673=MAIN!$B$3,E673&lt;=MAIN!$L$3),"Yes","No")),IF(OR(MAIN!$F$3="Full Year",MAIN!$D$3="All"),"Yes",IF(MAIN!$F$3="Monthly",IF(E673=MAIN!$L$3,"Yes","No"),IF(E673&lt;=MAIN!$L$3,"Yes","No"))))</f>
        <v>Yes</v>
      </c>
      <c r="AA673" t="str">
        <f t="shared" si="65"/>
        <v>No</v>
      </c>
    </row>
    <row r="674" spans="1:27" x14ac:dyDescent="0.3">
      <c r="A674">
        <f>INDEX(SETTINGS!$A$15:$A$24,$B674)</f>
        <v>2027</v>
      </c>
      <c r="B674">
        <v>3</v>
      </c>
      <c r="C674" t="str">
        <f>IF(AND(A674&gt;=SETTINGS!$B$4,A674&lt;=SETTINGS!$B$5),"Yes","No")</f>
        <v>No</v>
      </c>
      <c r="D674" t="str">
        <f>IFERROR(INDEX(SETTINGS!$C$15:$C$24,MATCH(A674,SETTINGS!$A$15:$A$24,0)),"No")</f>
        <v>No</v>
      </c>
      <c r="E674">
        <v>12</v>
      </c>
      <c r="F674" t="s">
        <v>45</v>
      </c>
      <c r="G674">
        <v>281</v>
      </c>
      <c r="H674" t="s">
        <v>101</v>
      </c>
      <c r="I674" t="s">
        <v>15</v>
      </c>
      <c r="J674" t="s">
        <v>20</v>
      </c>
      <c r="K674" t="s">
        <v>3</v>
      </c>
      <c r="L674" s="36">
        <f ca="1">IF(C674&lt;&gt;"Yes",0,IF(A674=2025,N('2025'!D281),IF(A674=2026,N('2026'!D281),IF(A674=2027,N('2027'!D281),IF(A674=2028,N('2028'!D281),IF(A674=2029,N('2029'!D281),IF(A674=2030,N('2030'!D281),IF(A674=2031,N('2031'!D281),IF(A674=2032,N('2032'!D281),IF(A674=2033,N('2033'!D281),IF(A674=2034,N('2034'!D281),IFERROR(N(INDIRECT("'"&amp;A674&amp;"'!D"&amp;G674)),0))))))))))))</f>
        <v>0</v>
      </c>
      <c r="M674" s="36">
        <f>IFERROR(IF(NOT(ISBLANK(KPI_TARGETS!$I$12)),KPI_TARGETS!$I$12,IF(NOT(ISBLANK(KPI_TARGETS!$F$12)),KPI_TARGETS!$F$12,"")),"")</f>
        <v>0</v>
      </c>
      <c r="N674" s="36" t="str">
        <f>IFERROR(KPI_TARGETS!$E$12,"Higher is better")</f>
        <v>Lower is better</v>
      </c>
      <c r="O674" s="37">
        <f t="shared" ca="1" si="60"/>
        <v>1</v>
      </c>
      <c r="P674" t="str">
        <f t="shared" ca="1" si="61"/>
        <v>Green</v>
      </c>
      <c r="Q674" s="36">
        <f t="shared" ca="1" si="62"/>
        <v>0</v>
      </c>
      <c r="R674" s="36" t="str">
        <f>""</f>
        <v/>
      </c>
      <c r="S674" s="36" t="str">
        <f>""</f>
        <v/>
      </c>
      <c r="T674" s="36" t="str">
        <f>""</f>
        <v/>
      </c>
      <c r="U674" s="36" t="str">
        <f>""</f>
        <v/>
      </c>
      <c r="V674" s="36" t="str">
        <f>""</f>
        <v/>
      </c>
      <c r="W674" s="36">
        <f t="shared" si="63"/>
        <v>1</v>
      </c>
      <c r="X674" t="str">
        <f t="shared" si="64"/>
        <v>Inactive</v>
      </c>
      <c r="Y674" t="str">
        <f>IF(MAIN!$H$3="Selected Year",IF(A674=MAIN!$B$3,"Yes","No"),IF(MAIN!$H$3="Included Years",IF(D674="Yes","Yes","No"),IF(C674="Yes","Yes","No")))</f>
        <v>No</v>
      </c>
      <c r="Z674" t="str">
        <f>IF(MAIN!$F$3="Project to Date",IF(AND(A674&gt;=SETTINGS!$B$4,A674&lt;MAIN!$B$3),"Yes",IF(AND(A674=MAIN!$B$3,E674&lt;=MAIN!$L$3),"Yes","No")),IF(OR(MAIN!$F$3="Full Year",MAIN!$D$3="All"),"Yes",IF(MAIN!$F$3="Monthly",IF(E674=MAIN!$L$3,"Yes","No"),IF(E674&lt;=MAIN!$L$3,"Yes","No"))))</f>
        <v>Yes</v>
      </c>
      <c r="AA674" t="str">
        <f t="shared" si="65"/>
        <v>No</v>
      </c>
    </row>
    <row r="675" spans="1:27" x14ac:dyDescent="0.3">
      <c r="A675">
        <f>INDEX(SETTINGS!$A$15:$A$24,$B675)</f>
        <v>2027</v>
      </c>
      <c r="B675">
        <v>3</v>
      </c>
      <c r="C675" t="str">
        <f>IF(AND(A675&gt;=SETTINGS!$B$4,A675&lt;=SETTINGS!$B$5),"Yes","No")</f>
        <v>No</v>
      </c>
      <c r="D675" t="str">
        <f>IFERROR(INDEX(SETTINGS!$C$15:$C$24,MATCH(A675,SETTINGS!$A$15:$A$24,0)),"No")</f>
        <v>No</v>
      </c>
      <c r="E675">
        <v>12</v>
      </c>
      <c r="F675" t="s">
        <v>45</v>
      </c>
      <c r="G675">
        <v>282</v>
      </c>
      <c r="H675" t="s">
        <v>102</v>
      </c>
      <c r="I675" t="s">
        <v>15</v>
      </c>
      <c r="J675" t="s">
        <v>21</v>
      </c>
      <c r="K675" t="s">
        <v>3</v>
      </c>
      <c r="L675" s="36">
        <f ca="1">IF(C675&lt;&gt;"Yes",0,IF(A675=2025,N('2025'!D282),IF(A675=2026,N('2026'!D282),IF(A675=2027,N('2027'!D282),IF(A675=2028,N('2028'!D282),IF(A675=2029,N('2029'!D282),IF(A675=2030,N('2030'!D282),IF(A675=2031,N('2031'!D282),IF(A675=2032,N('2032'!D282),IF(A675=2033,N('2033'!D282),IF(A675=2034,N('2034'!D282),IFERROR(N(INDIRECT("'"&amp;A675&amp;"'!D"&amp;G675)),0))))))))))))</f>
        <v>0</v>
      </c>
      <c r="M675" s="36">
        <f>IFERROR(IF(NOT(ISBLANK(KPI_TARGETS!$I$13)),KPI_TARGETS!$I$13,IF(NOT(ISBLANK(KPI_TARGETS!$F$13)),KPI_TARGETS!$F$13,"")),"")</f>
        <v>0</v>
      </c>
      <c r="N675" s="36" t="str">
        <f>IFERROR(KPI_TARGETS!$E$13,"Higher is better")</f>
        <v>Lower is better</v>
      </c>
      <c r="O675" s="37">
        <f t="shared" ca="1" si="60"/>
        <v>1</v>
      </c>
      <c r="P675" t="str">
        <f t="shared" ca="1" si="61"/>
        <v>Green</v>
      </c>
      <c r="Q675" s="36">
        <f t="shared" ca="1" si="62"/>
        <v>0</v>
      </c>
      <c r="R675" s="36" t="str">
        <f>""</f>
        <v/>
      </c>
      <c r="S675" s="36" t="str">
        <f>""</f>
        <v/>
      </c>
      <c r="T675" s="36" t="str">
        <f>""</f>
        <v/>
      </c>
      <c r="U675" s="36" t="str">
        <f>""</f>
        <v/>
      </c>
      <c r="V675" s="36" t="str">
        <f>""</f>
        <v/>
      </c>
      <c r="W675" s="36">
        <f t="shared" si="63"/>
        <v>1</v>
      </c>
      <c r="X675" t="str">
        <f t="shared" si="64"/>
        <v>Inactive</v>
      </c>
      <c r="Y675" t="str">
        <f>IF(MAIN!$H$3="Selected Year",IF(A675=MAIN!$B$3,"Yes","No"),IF(MAIN!$H$3="Included Years",IF(D675="Yes","Yes","No"),IF(C675="Yes","Yes","No")))</f>
        <v>No</v>
      </c>
      <c r="Z675" t="str">
        <f>IF(MAIN!$F$3="Project to Date",IF(AND(A675&gt;=SETTINGS!$B$4,A675&lt;MAIN!$B$3),"Yes",IF(AND(A675=MAIN!$B$3,E675&lt;=MAIN!$L$3),"Yes","No")),IF(OR(MAIN!$F$3="Full Year",MAIN!$D$3="All"),"Yes",IF(MAIN!$F$3="Monthly",IF(E675=MAIN!$L$3,"Yes","No"),IF(E675&lt;=MAIN!$L$3,"Yes","No"))))</f>
        <v>Yes</v>
      </c>
      <c r="AA675" t="str">
        <f t="shared" si="65"/>
        <v>No</v>
      </c>
    </row>
    <row r="676" spans="1:27" x14ac:dyDescent="0.3">
      <c r="A676">
        <f>INDEX(SETTINGS!$A$15:$A$24,$B676)</f>
        <v>2027</v>
      </c>
      <c r="B676">
        <v>3</v>
      </c>
      <c r="C676" t="str">
        <f>IF(AND(A676&gt;=SETTINGS!$B$4,A676&lt;=SETTINGS!$B$5),"Yes","No")</f>
        <v>No</v>
      </c>
      <c r="D676" t="str">
        <f>IFERROR(INDEX(SETTINGS!$C$15:$C$24,MATCH(A676,SETTINGS!$A$15:$A$24,0)),"No")</f>
        <v>No</v>
      </c>
      <c r="E676">
        <v>12</v>
      </c>
      <c r="F676" t="s">
        <v>45</v>
      </c>
      <c r="G676">
        <v>284</v>
      </c>
      <c r="H676" t="s">
        <v>103</v>
      </c>
      <c r="I676" t="s">
        <v>22</v>
      </c>
      <c r="J676" t="s">
        <v>23</v>
      </c>
      <c r="K676" t="s">
        <v>3</v>
      </c>
      <c r="L676" s="36">
        <f ca="1">IF(C676&lt;&gt;"Yes",0,IF(A676=2025,N('2025'!D284),IF(A676=2026,N('2026'!D284),IF(A676=2027,N('2027'!D284),IF(A676=2028,N('2028'!D284),IF(A676=2029,N('2029'!D284),IF(A676=2030,N('2030'!D284),IF(A676=2031,N('2031'!D284),IF(A676=2032,N('2032'!D284),IF(A676=2033,N('2033'!D284),IF(A676=2034,N('2034'!D284),IFERROR(N(INDIRECT("'"&amp;A676&amp;"'!D"&amp;G676)),0))))))))))))</f>
        <v>0</v>
      </c>
      <c r="M676" s="36">
        <f>IFERROR(IF(NOT(ISBLANK(KPI_TARGETS!$I$14)),KPI_TARGETS!$I$14,IF(NOT(ISBLANK(KPI_TARGETS!$F$14)),KPI_TARGETS!$F$14,"")),"")</f>
        <v>35</v>
      </c>
      <c r="N676" s="36" t="str">
        <f>IFERROR(KPI_TARGETS!$E$14,"Higher is better")</f>
        <v>Higher is better</v>
      </c>
      <c r="O676" s="37">
        <f t="shared" ca="1" si="60"/>
        <v>0</v>
      </c>
      <c r="P676" t="str">
        <f t="shared" ca="1" si="61"/>
        <v>Red</v>
      </c>
      <c r="Q676" s="36">
        <f t="shared" ca="1" si="62"/>
        <v>-35</v>
      </c>
      <c r="R676" s="36" t="str">
        <f>""</f>
        <v/>
      </c>
      <c r="S676" s="36" t="str">
        <f>""</f>
        <v/>
      </c>
      <c r="T676" s="36" t="str">
        <f>""</f>
        <v/>
      </c>
      <c r="U676" s="36" t="str">
        <f>""</f>
        <v/>
      </c>
      <c r="V676" s="36" t="str">
        <f>""</f>
        <v/>
      </c>
      <c r="W676" s="36">
        <f t="shared" si="63"/>
        <v>1</v>
      </c>
      <c r="X676" t="str">
        <f t="shared" si="64"/>
        <v>Inactive</v>
      </c>
      <c r="Y676" t="str">
        <f>IF(MAIN!$H$3="Selected Year",IF(A676=MAIN!$B$3,"Yes","No"),IF(MAIN!$H$3="Included Years",IF(D676="Yes","Yes","No"),IF(C676="Yes","Yes","No")))</f>
        <v>No</v>
      </c>
      <c r="Z676" t="str">
        <f>IF(MAIN!$F$3="Project to Date",IF(AND(A676&gt;=SETTINGS!$B$4,A676&lt;MAIN!$B$3),"Yes",IF(AND(A676=MAIN!$B$3,E676&lt;=MAIN!$L$3),"Yes","No")),IF(OR(MAIN!$F$3="Full Year",MAIN!$D$3="All"),"Yes",IF(MAIN!$F$3="Monthly",IF(E676=MAIN!$L$3,"Yes","No"),IF(E676&lt;=MAIN!$L$3,"Yes","No"))))</f>
        <v>Yes</v>
      </c>
      <c r="AA676" t="str">
        <f t="shared" si="65"/>
        <v>No</v>
      </c>
    </row>
    <row r="677" spans="1:27" x14ac:dyDescent="0.3">
      <c r="A677">
        <f>INDEX(SETTINGS!$A$15:$A$24,$B677)</f>
        <v>2027</v>
      </c>
      <c r="B677">
        <v>3</v>
      </c>
      <c r="C677" t="str">
        <f>IF(AND(A677&gt;=SETTINGS!$B$4,A677&lt;=SETTINGS!$B$5),"Yes","No")</f>
        <v>No</v>
      </c>
      <c r="D677" t="str">
        <f>IFERROR(INDEX(SETTINGS!$C$15:$C$24,MATCH(A677,SETTINGS!$A$15:$A$24,0)),"No")</f>
        <v>No</v>
      </c>
      <c r="E677">
        <v>12</v>
      </c>
      <c r="F677" t="s">
        <v>45</v>
      </c>
      <c r="G677">
        <v>285</v>
      </c>
      <c r="H677" t="s">
        <v>104</v>
      </c>
      <c r="I677" t="s">
        <v>22</v>
      </c>
      <c r="J677" t="s">
        <v>24</v>
      </c>
      <c r="K677" t="s">
        <v>3</v>
      </c>
      <c r="L677" s="36">
        <f ca="1">IF(C677&lt;&gt;"Yes",0,IF(A677=2025,N('2025'!D285),IF(A677=2026,N('2026'!D285),IF(A677=2027,N('2027'!D285),IF(A677=2028,N('2028'!D285),IF(A677=2029,N('2029'!D285),IF(A677=2030,N('2030'!D285),IF(A677=2031,N('2031'!D285),IF(A677=2032,N('2032'!D285),IF(A677=2033,N('2033'!D285),IF(A677=2034,N('2034'!D285),IFERROR(N(INDIRECT("'"&amp;A677&amp;"'!D"&amp;G677)),0))))))))))))</f>
        <v>0</v>
      </c>
      <c r="M677" s="36">
        <f>IFERROR(IF(NOT(ISBLANK(KPI_TARGETS!$I$15)),KPI_TARGETS!$I$15,IF(NOT(ISBLANK(KPI_TARGETS!$F$15)),KPI_TARGETS!$F$15,"")),"")</f>
        <v>5</v>
      </c>
      <c r="N677" s="36" t="str">
        <f>IFERROR(KPI_TARGETS!$E$15,"Higher is better")</f>
        <v>Higher is better</v>
      </c>
      <c r="O677" s="37">
        <f t="shared" ca="1" si="60"/>
        <v>0</v>
      </c>
      <c r="P677" t="str">
        <f t="shared" ca="1" si="61"/>
        <v>Red</v>
      </c>
      <c r="Q677" s="36">
        <f t="shared" ca="1" si="62"/>
        <v>-5</v>
      </c>
      <c r="R677" s="36" t="str">
        <f>""</f>
        <v/>
      </c>
      <c r="S677" s="36" t="str">
        <f>""</f>
        <v/>
      </c>
      <c r="T677" s="36" t="str">
        <f>""</f>
        <v/>
      </c>
      <c r="U677" s="36" t="str">
        <f>""</f>
        <v/>
      </c>
      <c r="V677" s="36" t="str">
        <f>""</f>
        <v/>
      </c>
      <c r="W677" s="36">
        <f t="shared" si="63"/>
        <v>1</v>
      </c>
      <c r="X677" t="str">
        <f t="shared" si="64"/>
        <v>Inactive</v>
      </c>
      <c r="Y677" t="str">
        <f>IF(MAIN!$H$3="Selected Year",IF(A677=MAIN!$B$3,"Yes","No"),IF(MAIN!$H$3="Included Years",IF(D677="Yes","Yes","No"),IF(C677="Yes","Yes","No")))</f>
        <v>No</v>
      </c>
      <c r="Z677" t="str">
        <f>IF(MAIN!$F$3="Project to Date",IF(AND(A677&gt;=SETTINGS!$B$4,A677&lt;MAIN!$B$3),"Yes",IF(AND(A677=MAIN!$B$3,E677&lt;=MAIN!$L$3),"Yes","No")),IF(OR(MAIN!$F$3="Full Year",MAIN!$D$3="All"),"Yes",IF(MAIN!$F$3="Monthly",IF(E677=MAIN!$L$3,"Yes","No"),IF(E677&lt;=MAIN!$L$3,"Yes","No"))))</f>
        <v>Yes</v>
      </c>
      <c r="AA677" t="str">
        <f t="shared" si="65"/>
        <v>No</v>
      </c>
    </row>
    <row r="678" spans="1:27" x14ac:dyDescent="0.3">
      <c r="A678">
        <f>INDEX(SETTINGS!$A$15:$A$24,$B678)</f>
        <v>2027</v>
      </c>
      <c r="B678">
        <v>3</v>
      </c>
      <c r="C678" t="str">
        <f>IF(AND(A678&gt;=SETTINGS!$B$4,A678&lt;=SETTINGS!$B$5),"Yes","No")</f>
        <v>No</v>
      </c>
      <c r="D678" t="str">
        <f>IFERROR(INDEX(SETTINGS!$C$15:$C$24,MATCH(A678,SETTINGS!$A$15:$A$24,0)),"No")</f>
        <v>No</v>
      </c>
      <c r="E678">
        <v>12</v>
      </c>
      <c r="F678" t="s">
        <v>45</v>
      </c>
      <c r="G678">
        <v>286</v>
      </c>
      <c r="H678" t="s">
        <v>105</v>
      </c>
      <c r="I678" t="s">
        <v>22</v>
      </c>
      <c r="J678" t="s">
        <v>25</v>
      </c>
      <c r="K678" t="s">
        <v>3</v>
      </c>
      <c r="L678" s="36">
        <f ca="1">IF(C678&lt;&gt;"Yes",0,IF(A678=2025,N('2025'!D286),IF(A678=2026,N('2026'!D286),IF(A678=2027,N('2027'!D286),IF(A678=2028,N('2028'!D286),IF(A678=2029,N('2029'!D286),IF(A678=2030,N('2030'!D286),IF(A678=2031,N('2031'!D286),IF(A678=2032,N('2032'!D286),IF(A678=2033,N('2033'!D286),IF(A678=2034,N('2034'!D286),IFERROR(N(INDIRECT("'"&amp;A678&amp;"'!D"&amp;G678)),0))))))))))))</f>
        <v>0</v>
      </c>
      <c r="M678" s="36">
        <f>IFERROR(IF(NOT(ISBLANK(KPI_TARGETS!$I$16)),KPI_TARGETS!$I$16,IF(NOT(ISBLANK(KPI_TARGETS!$F$16)),KPI_TARGETS!$F$16,"")),"")</f>
        <v>4</v>
      </c>
      <c r="N678" s="36" t="str">
        <f>IFERROR(KPI_TARGETS!$E$16,"Higher is better")</f>
        <v>Higher is better</v>
      </c>
      <c r="O678" s="37">
        <f t="shared" ca="1" si="60"/>
        <v>0</v>
      </c>
      <c r="P678" t="str">
        <f t="shared" ca="1" si="61"/>
        <v>Red</v>
      </c>
      <c r="Q678" s="36">
        <f t="shared" ca="1" si="62"/>
        <v>-4</v>
      </c>
      <c r="R678" s="36" t="str">
        <f>""</f>
        <v/>
      </c>
      <c r="S678" s="36" t="str">
        <f>""</f>
        <v/>
      </c>
      <c r="T678" s="36" t="str">
        <f>""</f>
        <v/>
      </c>
      <c r="U678" s="36" t="str">
        <f>""</f>
        <v/>
      </c>
      <c r="V678" s="36" t="str">
        <f>""</f>
        <v/>
      </c>
      <c r="W678" s="36">
        <f t="shared" si="63"/>
        <v>1</v>
      </c>
      <c r="X678" t="str">
        <f t="shared" si="64"/>
        <v>Inactive</v>
      </c>
      <c r="Y678" t="str">
        <f>IF(MAIN!$H$3="Selected Year",IF(A678=MAIN!$B$3,"Yes","No"),IF(MAIN!$H$3="Included Years",IF(D678="Yes","Yes","No"),IF(C678="Yes","Yes","No")))</f>
        <v>No</v>
      </c>
      <c r="Z678" t="str">
        <f>IF(MAIN!$F$3="Project to Date",IF(AND(A678&gt;=SETTINGS!$B$4,A678&lt;MAIN!$B$3),"Yes",IF(AND(A678=MAIN!$B$3,E678&lt;=MAIN!$L$3),"Yes","No")),IF(OR(MAIN!$F$3="Full Year",MAIN!$D$3="All"),"Yes",IF(MAIN!$F$3="Monthly",IF(E678=MAIN!$L$3,"Yes","No"),IF(E678&lt;=MAIN!$L$3,"Yes","No"))))</f>
        <v>Yes</v>
      </c>
      <c r="AA678" t="str">
        <f t="shared" si="65"/>
        <v>No</v>
      </c>
    </row>
    <row r="679" spans="1:27" x14ac:dyDescent="0.3">
      <c r="A679">
        <f>INDEX(SETTINGS!$A$15:$A$24,$B679)</f>
        <v>2027</v>
      </c>
      <c r="B679">
        <v>3</v>
      </c>
      <c r="C679" t="str">
        <f>IF(AND(A679&gt;=SETTINGS!$B$4,A679&lt;=SETTINGS!$B$5),"Yes","No")</f>
        <v>No</v>
      </c>
      <c r="D679" t="str">
        <f>IFERROR(INDEX(SETTINGS!$C$15:$C$24,MATCH(A679,SETTINGS!$A$15:$A$24,0)),"No")</f>
        <v>No</v>
      </c>
      <c r="E679">
        <v>12</v>
      </c>
      <c r="F679" t="s">
        <v>45</v>
      </c>
      <c r="G679">
        <v>287</v>
      </c>
      <c r="H679" t="s">
        <v>106</v>
      </c>
      <c r="I679" t="s">
        <v>22</v>
      </c>
      <c r="J679" t="s">
        <v>26</v>
      </c>
      <c r="K679" t="s">
        <v>3</v>
      </c>
      <c r="L679" s="36">
        <f ca="1">IF(C679&lt;&gt;"Yes",0,IF(A679=2025,N('2025'!D287),IF(A679=2026,N('2026'!D287),IF(A679=2027,N('2027'!D287),IF(A679=2028,N('2028'!D287),IF(A679=2029,N('2029'!D287),IF(A679=2030,N('2030'!D287),IF(A679=2031,N('2031'!D287),IF(A679=2032,N('2032'!D287),IF(A679=2033,N('2033'!D287),IF(A679=2034,N('2034'!D287),IFERROR(N(INDIRECT("'"&amp;A679&amp;"'!D"&amp;G679)),0))))))))))))</f>
        <v>0</v>
      </c>
      <c r="M679" s="36">
        <f>IFERROR(IF(NOT(ISBLANK(KPI_TARGETS!$I$17)),KPI_TARGETS!$I$17,IF(NOT(ISBLANK(KPI_TARGETS!$F$17)),KPI_TARGETS!$F$17,"")),"")</f>
        <v>12</v>
      </c>
      <c r="N679" s="36" t="str">
        <f>IFERROR(KPI_TARGETS!$E$17,"Higher is better")</f>
        <v>Higher is better</v>
      </c>
      <c r="O679" s="37">
        <f t="shared" ca="1" si="60"/>
        <v>0</v>
      </c>
      <c r="P679" t="str">
        <f t="shared" ca="1" si="61"/>
        <v>Red</v>
      </c>
      <c r="Q679" s="36">
        <f t="shared" ca="1" si="62"/>
        <v>-12</v>
      </c>
      <c r="R679" s="36" t="str">
        <f>""</f>
        <v/>
      </c>
      <c r="S679" s="36" t="str">
        <f>""</f>
        <v/>
      </c>
      <c r="T679" s="36" t="str">
        <f>""</f>
        <v/>
      </c>
      <c r="U679" s="36" t="str">
        <f>""</f>
        <v/>
      </c>
      <c r="V679" s="36" t="str">
        <f>""</f>
        <v/>
      </c>
      <c r="W679" s="36">
        <f t="shared" si="63"/>
        <v>1</v>
      </c>
      <c r="X679" t="str">
        <f t="shared" si="64"/>
        <v>Inactive</v>
      </c>
      <c r="Y679" t="str">
        <f>IF(MAIN!$H$3="Selected Year",IF(A679=MAIN!$B$3,"Yes","No"),IF(MAIN!$H$3="Included Years",IF(D679="Yes","Yes","No"),IF(C679="Yes","Yes","No")))</f>
        <v>No</v>
      </c>
      <c r="Z679" t="str">
        <f>IF(MAIN!$F$3="Project to Date",IF(AND(A679&gt;=SETTINGS!$B$4,A679&lt;MAIN!$B$3),"Yes",IF(AND(A679=MAIN!$B$3,E679&lt;=MAIN!$L$3),"Yes","No")),IF(OR(MAIN!$F$3="Full Year",MAIN!$D$3="All"),"Yes",IF(MAIN!$F$3="Monthly",IF(E679=MAIN!$L$3,"Yes","No"),IF(E679&lt;=MAIN!$L$3,"Yes","No"))))</f>
        <v>Yes</v>
      </c>
      <c r="AA679" t="str">
        <f t="shared" si="65"/>
        <v>No</v>
      </c>
    </row>
    <row r="680" spans="1:27" x14ac:dyDescent="0.3">
      <c r="A680">
        <f>INDEX(SETTINGS!$A$15:$A$24,$B680)</f>
        <v>2027</v>
      </c>
      <c r="B680">
        <v>3</v>
      </c>
      <c r="C680" t="str">
        <f>IF(AND(A680&gt;=SETTINGS!$B$4,A680&lt;=SETTINGS!$B$5),"Yes","No")</f>
        <v>No</v>
      </c>
      <c r="D680" t="str">
        <f>IFERROR(INDEX(SETTINGS!$C$15:$C$24,MATCH(A680,SETTINGS!$A$15:$A$24,0)),"No")</f>
        <v>No</v>
      </c>
      <c r="E680">
        <v>12</v>
      </c>
      <c r="F680" t="s">
        <v>45</v>
      </c>
      <c r="G680">
        <v>288</v>
      </c>
      <c r="H680" t="s">
        <v>107</v>
      </c>
      <c r="I680" t="s">
        <v>22</v>
      </c>
      <c r="J680" t="s">
        <v>27</v>
      </c>
      <c r="K680" t="s">
        <v>3</v>
      </c>
      <c r="L680" s="36">
        <f ca="1">IF(C680&lt;&gt;"Yes",0,IF(A680=2025,N('2025'!D288),IF(A680=2026,N('2026'!D288),IF(A680=2027,N('2027'!D288),IF(A680=2028,N('2028'!D288),IF(A680=2029,N('2029'!D288),IF(A680=2030,N('2030'!D288),IF(A680=2031,N('2031'!D288),IF(A680=2032,N('2032'!D288),IF(A680=2033,N('2033'!D288),IF(A680=2034,N('2034'!D288),IFERROR(N(INDIRECT("'"&amp;A680&amp;"'!D"&amp;G680)),0))))))))))))</f>
        <v>0</v>
      </c>
      <c r="M680" s="36">
        <f>IFERROR(IF(NOT(ISBLANK(KPI_TARGETS!$I$18)),KPI_TARGETS!$I$18,IF(NOT(ISBLANK(KPI_TARGETS!$F$18)),KPI_TARGETS!$F$18,"")),"")</f>
        <v>4</v>
      </c>
      <c r="N680" s="36" t="str">
        <f>IFERROR(KPI_TARGETS!$E$18,"Higher is better")</f>
        <v>Higher is better</v>
      </c>
      <c r="O680" s="37">
        <f t="shared" ca="1" si="60"/>
        <v>0</v>
      </c>
      <c r="P680" t="str">
        <f t="shared" ca="1" si="61"/>
        <v>Red</v>
      </c>
      <c r="Q680" s="36">
        <f t="shared" ca="1" si="62"/>
        <v>-4</v>
      </c>
      <c r="R680" s="36" t="str">
        <f>""</f>
        <v/>
      </c>
      <c r="S680" s="36" t="str">
        <f>""</f>
        <v/>
      </c>
      <c r="T680" s="36" t="str">
        <f>""</f>
        <v/>
      </c>
      <c r="U680" s="36" t="str">
        <f>""</f>
        <v/>
      </c>
      <c r="V680" s="36" t="str">
        <f>""</f>
        <v/>
      </c>
      <c r="W680" s="36">
        <f t="shared" si="63"/>
        <v>1</v>
      </c>
      <c r="X680" t="str">
        <f t="shared" si="64"/>
        <v>Inactive</v>
      </c>
      <c r="Y680" t="str">
        <f>IF(MAIN!$H$3="Selected Year",IF(A680=MAIN!$B$3,"Yes","No"),IF(MAIN!$H$3="Included Years",IF(D680="Yes","Yes","No"),IF(C680="Yes","Yes","No")))</f>
        <v>No</v>
      </c>
      <c r="Z680" t="str">
        <f>IF(MAIN!$F$3="Project to Date",IF(AND(A680&gt;=SETTINGS!$B$4,A680&lt;MAIN!$B$3),"Yes",IF(AND(A680=MAIN!$B$3,E680&lt;=MAIN!$L$3),"Yes","No")),IF(OR(MAIN!$F$3="Full Year",MAIN!$D$3="All"),"Yes",IF(MAIN!$F$3="Monthly",IF(E680=MAIN!$L$3,"Yes","No"),IF(E680&lt;=MAIN!$L$3,"Yes","No"))))</f>
        <v>Yes</v>
      </c>
      <c r="AA680" t="str">
        <f t="shared" si="65"/>
        <v>No</v>
      </c>
    </row>
    <row r="681" spans="1:27" x14ac:dyDescent="0.3">
      <c r="A681">
        <f>INDEX(SETTINGS!$A$15:$A$24,$B681)</f>
        <v>2027</v>
      </c>
      <c r="B681">
        <v>3</v>
      </c>
      <c r="C681" t="str">
        <f>IF(AND(A681&gt;=SETTINGS!$B$4,A681&lt;=SETTINGS!$B$5),"Yes","No")</f>
        <v>No</v>
      </c>
      <c r="D681" t="str">
        <f>IFERROR(INDEX(SETTINGS!$C$15:$C$24,MATCH(A681,SETTINGS!$A$15:$A$24,0)),"No")</f>
        <v>No</v>
      </c>
      <c r="E681">
        <v>12</v>
      </c>
      <c r="F681" t="s">
        <v>45</v>
      </c>
      <c r="G681">
        <v>289</v>
      </c>
      <c r="H681" t="s">
        <v>108</v>
      </c>
      <c r="I681" t="s">
        <v>22</v>
      </c>
      <c r="J681" t="s">
        <v>28</v>
      </c>
      <c r="K681" t="s">
        <v>3</v>
      </c>
      <c r="L681" s="36">
        <f ca="1">IF(C681&lt;&gt;"Yes",0,IF(A681=2025,N('2025'!D289),IF(A681=2026,N('2026'!D289),IF(A681=2027,N('2027'!D289),IF(A681=2028,N('2028'!D289),IF(A681=2029,N('2029'!D289),IF(A681=2030,N('2030'!D289),IF(A681=2031,N('2031'!D289),IF(A681=2032,N('2032'!D289),IF(A681=2033,N('2033'!D289),IF(A681=2034,N('2034'!D289),IFERROR(N(INDIRECT("'"&amp;A681&amp;"'!D"&amp;G681)),0))))))))))))</f>
        <v>0</v>
      </c>
      <c r="M681" s="36">
        <f>IFERROR(IF(NOT(ISBLANK(KPI_TARGETS!$I$19)),KPI_TARGETS!$I$19,IF(NOT(ISBLANK(KPI_TARGETS!$F$19)),KPI_TARGETS!$F$19,"")),"")</f>
        <v>16</v>
      </c>
      <c r="N681" s="36" t="str">
        <f>IFERROR(KPI_TARGETS!$E$19,"Higher is better")</f>
        <v>Higher is better</v>
      </c>
      <c r="O681" s="37">
        <f t="shared" ca="1" si="60"/>
        <v>0</v>
      </c>
      <c r="P681" t="str">
        <f t="shared" ca="1" si="61"/>
        <v>Red</v>
      </c>
      <c r="Q681" s="36">
        <f t="shared" ca="1" si="62"/>
        <v>-16</v>
      </c>
      <c r="R681" s="36" t="str">
        <f>""</f>
        <v/>
      </c>
      <c r="S681" s="36" t="str">
        <f>""</f>
        <v/>
      </c>
      <c r="T681" s="36" t="str">
        <f>""</f>
        <v/>
      </c>
      <c r="U681" s="36" t="str">
        <f>""</f>
        <v/>
      </c>
      <c r="V681" s="36" t="str">
        <f>""</f>
        <v/>
      </c>
      <c r="W681" s="36">
        <f t="shared" si="63"/>
        <v>1</v>
      </c>
      <c r="X681" t="str">
        <f t="shared" si="64"/>
        <v>Inactive</v>
      </c>
      <c r="Y681" t="str">
        <f>IF(MAIN!$H$3="Selected Year",IF(A681=MAIN!$B$3,"Yes","No"),IF(MAIN!$H$3="Included Years",IF(D681="Yes","Yes","No"),IF(C681="Yes","Yes","No")))</f>
        <v>No</v>
      </c>
      <c r="Z681" t="str">
        <f>IF(MAIN!$F$3="Project to Date",IF(AND(A681&gt;=SETTINGS!$B$4,A681&lt;MAIN!$B$3),"Yes",IF(AND(A681=MAIN!$B$3,E681&lt;=MAIN!$L$3),"Yes","No")),IF(OR(MAIN!$F$3="Full Year",MAIN!$D$3="All"),"Yes",IF(MAIN!$F$3="Monthly",IF(E681=MAIN!$L$3,"Yes","No"),IF(E681&lt;=MAIN!$L$3,"Yes","No"))))</f>
        <v>Yes</v>
      </c>
      <c r="AA681" t="str">
        <f t="shared" si="65"/>
        <v>No</v>
      </c>
    </row>
    <row r="682" spans="1:27" x14ac:dyDescent="0.3">
      <c r="A682">
        <f>INDEX(SETTINGS!$A$15:$A$24,$B682)</f>
        <v>2027</v>
      </c>
      <c r="B682">
        <v>3</v>
      </c>
      <c r="C682" t="str">
        <f>IF(AND(A682&gt;=SETTINGS!$B$4,A682&lt;=SETTINGS!$B$5),"Yes","No")</f>
        <v>No</v>
      </c>
      <c r="D682" t="str">
        <f>IFERROR(INDEX(SETTINGS!$C$15:$C$24,MATCH(A682,SETTINGS!$A$15:$A$24,0)),"No")</f>
        <v>No</v>
      </c>
      <c r="E682">
        <v>12</v>
      </c>
      <c r="F682" t="s">
        <v>45</v>
      </c>
      <c r="G682">
        <v>290</v>
      </c>
      <c r="H682" t="s">
        <v>109</v>
      </c>
      <c r="I682" t="s">
        <v>22</v>
      </c>
      <c r="J682" t="s">
        <v>29</v>
      </c>
      <c r="K682" t="s">
        <v>3</v>
      </c>
      <c r="L682" s="36">
        <f ca="1">IF(C682&lt;&gt;"Yes",0,IF(A682=2025,N('2025'!D290),IF(A682=2026,N('2026'!D290),IF(A682=2027,N('2027'!D290),IF(A682=2028,N('2028'!D290),IF(A682=2029,N('2029'!D290),IF(A682=2030,N('2030'!D290),IF(A682=2031,N('2031'!D290),IF(A682=2032,N('2032'!D290),IF(A682=2033,N('2033'!D290),IF(A682=2034,N('2034'!D290),IFERROR(N(INDIRECT("'"&amp;A682&amp;"'!D"&amp;G682)),0))))))))))))</f>
        <v>0</v>
      </c>
      <c r="M682" s="36">
        <f>IFERROR(IF(NOT(ISBLANK(KPI_TARGETS!$I$20)),KPI_TARGETS!$I$20,IF(NOT(ISBLANK(KPI_TARGETS!$F$20)),KPI_TARGETS!$F$20,"")),"")</f>
        <v>1</v>
      </c>
      <c r="N682" s="36" t="str">
        <f>IFERROR(KPI_TARGETS!$E$20,"Higher is better")</f>
        <v>Higher is better</v>
      </c>
      <c r="O682" s="37">
        <f t="shared" ca="1" si="60"/>
        <v>0</v>
      </c>
      <c r="P682" t="str">
        <f t="shared" ca="1" si="61"/>
        <v>Red</v>
      </c>
      <c r="Q682" s="36">
        <f t="shared" ca="1" si="62"/>
        <v>-1</v>
      </c>
      <c r="R682" s="36" t="str">
        <f>""</f>
        <v/>
      </c>
      <c r="S682" s="36" t="str">
        <f>""</f>
        <v/>
      </c>
      <c r="T682" s="36" t="str">
        <f>""</f>
        <v/>
      </c>
      <c r="U682" s="36" t="str">
        <f>""</f>
        <v/>
      </c>
      <c r="V682" s="36" t="str">
        <f>""</f>
        <v/>
      </c>
      <c r="W682" s="36">
        <f t="shared" si="63"/>
        <v>1</v>
      </c>
      <c r="X682" t="str">
        <f t="shared" si="64"/>
        <v>Inactive</v>
      </c>
      <c r="Y682" t="str">
        <f>IF(MAIN!$H$3="Selected Year",IF(A682=MAIN!$B$3,"Yes","No"),IF(MAIN!$H$3="Included Years",IF(D682="Yes","Yes","No"),IF(C682="Yes","Yes","No")))</f>
        <v>No</v>
      </c>
      <c r="Z682" t="str">
        <f>IF(MAIN!$F$3="Project to Date",IF(AND(A682&gt;=SETTINGS!$B$4,A682&lt;MAIN!$B$3),"Yes",IF(AND(A682=MAIN!$B$3,E682&lt;=MAIN!$L$3),"Yes","No")),IF(OR(MAIN!$F$3="Full Year",MAIN!$D$3="All"),"Yes",IF(MAIN!$F$3="Monthly",IF(E682=MAIN!$L$3,"Yes","No"),IF(E682&lt;=MAIN!$L$3,"Yes","No"))))</f>
        <v>Yes</v>
      </c>
      <c r="AA682" t="str">
        <f t="shared" si="65"/>
        <v>No</v>
      </c>
    </row>
    <row r="683" spans="1:27" x14ac:dyDescent="0.3">
      <c r="A683">
        <f>INDEX(SETTINGS!$A$15:$A$24,$B683)</f>
        <v>2027</v>
      </c>
      <c r="B683">
        <v>3</v>
      </c>
      <c r="C683" t="str">
        <f>IF(AND(A683&gt;=SETTINGS!$B$4,A683&lt;=SETTINGS!$B$5),"Yes","No")</f>
        <v>No</v>
      </c>
      <c r="D683" t="str">
        <f>IFERROR(INDEX(SETTINGS!$C$15:$C$24,MATCH(A683,SETTINGS!$A$15:$A$24,0)),"No")</f>
        <v>No</v>
      </c>
      <c r="E683">
        <v>12</v>
      </c>
      <c r="F683" t="s">
        <v>45</v>
      </c>
      <c r="G683">
        <v>292</v>
      </c>
      <c r="H683" t="s">
        <v>110</v>
      </c>
      <c r="I683" t="s">
        <v>30</v>
      </c>
      <c r="J683" t="s">
        <v>31</v>
      </c>
      <c r="K683" t="s">
        <v>3</v>
      </c>
      <c r="L683" s="36">
        <f ca="1">IF(C683&lt;&gt;"Yes",0,IF(A683=2025,N('2025'!D292),IF(A683=2026,N('2026'!D292),IF(A683=2027,N('2027'!D292),IF(A683=2028,N('2028'!D292),IF(A683=2029,N('2029'!D292),IF(A683=2030,N('2030'!D292),IF(A683=2031,N('2031'!D292),IF(A683=2032,N('2032'!D292),IF(A683=2033,N('2033'!D292),IF(A683=2034,N('2034'!D292),IFERROR(N(INDIRECT("'"&amp;A683&amp;"'!D"&amp;G683)),0))))))))))))</f>
        <v>0</v>
      </c>
      <c r="M683" s="36">
        <f>IFERROR(IF(NOT(ISBLANK(KPI_TARGETS!$I$21)),KPI_TARGETS!$I$21,IF(NOT(ISBLANK(KPI_TARGETS!$F$21)),KPI_TARGETS!$F$21,"")),"")</f>
        <v>0</v>
      </c>
      <c r="N683" s="36" t="str">
        <f>IFERROR(KPI_TARGETS!$E$21,"Higher is better")</f>
        <v>Lower is better</v>
      </c>
      <c r="O683" s="37">
        <f t="shared" ca="1" si="60"/>
        <v>1</v>
      </c>
      <c r="P683" t="str">
        <f t="shared" ca="1" si="61"/>
        <v>Green</v>
      </c>
      <c r="Q683" s="36">
        <f t="shared" ca="1" si="62"/>
        <v>0</v>
      </c>
      <c r="R683" s="36" t="str">
        <f>""</f>
        <v/>
      </c>
      <c r="S683" s="36" t="str">
        <f>""</f>
        <v/>
      </c>
      <c r="T683" s="36" t="str">
        <f>""</f>
        <v/>
      </c>
      <c r="U683" s="36" t="str">
        <f>""</f>
        <v/>
      </c>
      <c r="V683" s="36" t="str">
        <f>""</f>
        <v/>
      </c>
      <c r="W683" s="36">
        <f t="shared" si="63"/>
        <v>1</v>
      </c>
      <c r="X683" t="str">
        <f t="shared" si="64"/>
        <v>Inactive</v>
      </c>
      <c r="Y683" t="str">
        <f>IF(MAIN!$H$3="Selected Year",IF(A683=MAIN!$B$3,"Yes","No"),IF(MAIN!$H$3="Included Years",IF(D683="Yes","Yes","No"),IF(C683="Yes","Yes","No")))</f>
        <v>No</v>
      </c>
      <c r="Z683" t="str">
        <f>IF(MAIN!$F$3="Project to Date",IF(AND(A683&gt;=SETTINGS!$B$4,A683&lt;MAIN!$B$3),"Yes",IF(AND(A683=MAIN!$B$3,E683&lt;=MAIN!$L$3),"Yes","No")),IF(OR(MAIN!$F$3="Full Year",MAIN!$D$3="All"),"Yes",IF(MAIN!$F$3="Monthly",IF(E683=MAIN!$L$3,"Yes","No"),IF(E683&lt;=MAIN!$L$3,"Yes","No"))))</f>
        <v>Yes</v>
      </c>
      <c r="AA683" t="str">
        <f t="shared" si="65"/>
        <v>No</v>
      </c>
    </row>
    <row r="684" spans="1:27" x14ac:dyDescent="0.3">
      <c r="A684">
        <f>INDEX(SETTINGS!$A$15:$A$24,$B684)</f>
        <v>2027</v>
      </c>
      <c r="B684">
        <v>3</v>
      </c>
      <c r="C684" t="str">
        <f>IF(AND(A684&gt;=SETTINGS!$B$4,A684&lt;=SETTINGS!$B$5),"Yes","No")</f>
        <v>No</v>
      </c>
      <c r="D684" t="str">
        <f>IFERROR(INDEX(SETTINGS!$C$15:$C$24,MATCH(A684,SETTINGS!$A$15:$A$24,0)),"No")</f>
        <v>No</v>
      </c>
      <c r="E684">
        <v>12</v>
      </c>
      <c r="F684" t="s">
        <v>45</v>
      </c>
      <c r="G684">
        <v>293</v>
      </c>
      <c r="H684" t="s">
        <v>111</v>
      </c>
      <c r="I684" t="s">
        <v>30</v>
      </c>
      <c r="J684" t="s">
        <v>32</v>
      </c>
      <c r="K684" t="s">
        <v>3</v>
      </c>
      <c r="L684" s="36">
        <f ca="1">IF(C684&lt;&gt;"Yes",0,IF(A684=2025,N('2025'!D293),IF(A684=2026,N('2026'!D293),IF(A684=2027,N('2027'!D293),IF(A684=2028,N('2028'!D293),IF(A684=2029,N('2029'!D293),IF(A684=2030,N('2030'!D293),IF(A684=2031,N('2031'!D293),IF(A684=2032,N('2032'!D293),IF(A684=2033,N('2033'!D293),IF(A684=2034,N('2034'!D293),IFERROR(N(INDIRECT("'"&amp;A684&amp;"'!D"&amp;G684)),0))))))))))))</f>
        <v>0</v>
      </c>
      <c r="M684" s="36">
        <f>IFERROR(IF(NOT(ISBLANK(KPI_TARGETS!$I$22)),KPI_TARGETS!$I$22,IF(NOT(ISBLANK(KPI_TARGETS!$F$22)),KPI_TARGETS!$F$22,"")),"")</f>
        <v>1</v>
      </c>
      <c r="N684" s="36" t="str">
        <f>IFERROR(KPI_TARGETS!$E$22,"Higher is better")</f>
        <v>Higher is better</v>
      </c>
      <c r="O684" s="37">
        <f t="shared" ca="1" si="60"/>
        <v>0</v>
      </c>
      <c r="P684" t="str">
        <f t="shared" ca="1" si="61"/>
        <v>Red</v>
      </c>
      <c r="Q684" s="36">
        <f t="shared" ca="1" si="62"/>
        <v>-1</v>
      </c>
      <c r="R684" s="36" t="str">
        <f>""</f>
        <v/>
      </c>
      <c r="S684" s="36" t="str">
        <f>""</f>
        <v/>
      </c>
      <c r="T684" s="36" t="str">
        <f>""</f>
        <v/>
      </c>
      <c r="U684" s="36" t="str">
        <f>""</f>
        <v/>
      </c>
      <c r="V684" s="36" t="str">
        <f>""</f>
        <v/>
      </c>
      <c r="W684" s="36">
        <f t="shared" si="63"/>
        <v>1</v>
      </c>
      <c r="X684" t="str">
        <f t="shared" si="64"/>
        <v>Inactive</v>
      </c>
      <c r="Y684" t="str">
        <f>IF(MAIN!$H$3="Selected Year",IF(A684=MAIN!$B$3,"Yes","No"),IF(MAIN!$H$3="Included Years",IF(D684="Yes","Yes","No"),IF(C684="Yes","Yes","No")))</f>
        <v>No</v>
      </c>
      <c r="Z684" t="str">
        <f>IF(MAIN!$F$3="Project to Date",IF(AND(A684&gt;=SETTINGS!$B$4,A684&lt;MAIN!$B$3),"Yes",IF(AND(A684=MAIN!$B$3,E684&lt;=MAIN!$L$3),"Yes","No")),IF(OR(MAIN!$F$3="Full Year",MAIN!$D$3="All"),"Yes",IF(MAIN!$F$3="Monthly",IF(E684=MAIN!$L$3,"Yes","No"),IF(E684&lt;=MAIN!$L$3,"Yes","No"))))</f>
        <v>Yes</v>
      </c>
      <c r="AA684" t="str">
        <f t="shared" si="65"/>
        <v>No</v>
      </c>
    </row>
    <row r="685" spans="1:27" x14ac:dyDescent="0.3">
      <c r="A685">
        <f>INDEX(SETTINGS!$A$15:$A$24,$B685)</f>
        <v>2027</v>
      </c>
      <c r="B685">
        <v>3</v>
      </c>
      <c r="C685" t="str">
        <f>IF(AND(A685&gt;=SETTINGS!$B$4,A685&lt;=SETTINGS!$B$5),"Yes","No")</f>
        <v>No</v>
      </c>
      <c r="D685" t="str">
        <f>IFERROR(INDEX(SETTINGS!$C$15:$C$24,MATCH(A685,SETTINGS!$A$15:$A$24,0)),"No")</f>
        <v>No</v>
      </c>
      <c r="E685">
        <v>12</v>
      </c>
      <c r="F685" t="s">
        <v>45</v>
      </c>
      <c r="G685">
        <v>294</v>
      </c>
      <c r="H685" t="s">
        <v>112</v>
      </c>
      <c r="I685" t="s">
        <v>30</v>
      </c>
      <c r="J685" t="s">
        <v>33</v>
      </c>
      <c r="K685" t="s">
        <v>34</v>
      </c>
      <c r="L685" s="36">
        <f ca="1">IF(C685&lt;&gt;"Yes",0,IF(A685=2025,N('2025'!D294),IF(A685=2026,N('2026'!D294),IF(A685=2027,N('2027'!D294),IF(A685=2028,N('2028'!D294),IF(A685=2029,N('2029'!D294),IF(A685=2030,N('2030'!D294),IF(A685=2031,N('2031'!D294),IF(A685=2032,N('2032'!D294),IF(A685=2033,N('2033'!D294),IF(A685=2034,N('2034'!D294),IFERROR(N(INDIRECT("'"&amp;A685&amp;"'!D"&amp;G685)),0))))))))))))</f>
        <v>0</v>
      </c>
      <c r="M685" s="36">
        <f>IFERROR(IF(NOT(ISBLANK(KPI_TARGETS!$I$23)),KPI_TARGETS!$I$23,IF(NOT(ISBLANK(KPI_TARGETS!$F$23)),KPI_TARGETS!$F$23,"")),"")</f>
        <v>1</v>
      </c>
      <c r="N685" s="36" t="str">
        <f>IFERROR(KPI_TARGETS!$E$23,"Higher is better")</f>
        <v>Higher is better</v>
      </c>
      <c r="O685" s="37">
        <f t="shared" ca="1" si="60"/>
        <v>0</v>
      </c>
      <c r="P685" t="str">
        <f t="shared" ca="1" si="61"/>
        <v>Red</v>
      </c>
      <c r="Q685" s="36">
        <f t="shared" ca="1" si="62"/>
        <v>-1</v>
      </c>
      <c r="R685" s="36" t="str">
        <f>""</f>
        <v/>
      </c>
      <c r="S685" s="36" t="str">
        <f>""</f>
        <v/>
      </c>
      <c r="T685" s="36" t="str">
        <f>""</f>
        <v/>
      </c>
      <c r="U685" s="36" t="str">
        <f>""</f>
        <v/>
      </c>
      <c r="V685" s="36" t="str">
        <f>""</f>
        <v/>
      </c>
      <c r="W685" s="36">
        <f t="shared" si="63"/>
        <v>1</v>
      </c>
      <c r="X685" t="str">
        <f t="shared" si="64"/>
        <v>Inactive</v>
      </c>
      <c r="Y685" t="str">
        <f>IF(MAIN!$H$3="Selected Year",IF(A685=MAIN!$B$3,"Yes","No"),IF(MAIN!$H$3="Included Years",IF(D685="Yes","Yes","No"),IF(C685="Yes","Yes","No")))</f>
        <v>No</v>
      </c>
      <c r="Z685" t="str">
        <f>IF(MAIN!$F$3="Project to Date",IF(AND(A685&gt;=SETTINGS!$B$4,A685&lt;MAIN!$B$3),"Yes",IF(AND(A685=MAIN!$B$3,E685&lt;=MAIN!$L$3),"Yes","No")),IF(OR(MAIN!$F$3="Full Year",MAIN!$D$3="All"),"Yes",IF(MAIN!$F$3="Monthly",IF(E685=MAIN!$L$3,"Yes","No"),IF(E685&lt;=MAIN!$L$3,"Yes","No"))))</f>
        <v>Yes</v>
      </c>
      <c r="AA685" t="str">
        <f t="shared" si="65"/>
        <v>No</v>
      </c>
    </row>
    <row r="686" spans="1:27" x14ac:dyDescent="0.3">
      <c r="A686">
        <f>INDEX(SETTINGS!$A$15:$A$24,$B686)</f>
        <v>2028</v>
      </c>
      <c r="B686">
        <v>4</v>
      </c>
      <c r="C686" t="str">
        <f>IF(AND(A686&gt;=SETTINGS!$B$4,A686&lt;=SETTINGS!$B$5),"Yes","No")</f>
        <v>No</v>
      </c>
      <c r="D686" t="str">
        <f>IFERROR(INDEX(SETTINGS!$C$15:$C$24,MATCH(A686,SETTINGS!$A$15:$A$24,0)),"No")</f>
        <v>No</v>
      </c>
      <c r="E686">
        <v>1</v>
      </c>
      <c r="F686" t="s">
        <v>2</v>
      </c>
      <c r="G686">
        <v>9</v>
      </c>
      <c r="H686" t="s">
        <v>88</v>
      </c>
      <c r="I686" t="s">
        <v>89</v>
      </c>
      <c r="J686" t="s">
        <v>10</v>
      </c>
      <c r="K686" t="s">
        <v>3</v>
      </c>
      <c r="L686" s="36">
        <f ca="1">IF(C686&lt;&gt;"Yes",0,IF(A686=2025,N('2025'!D9),IF(A686=2026,N('2026'!D9),IF(A686=2027,N('2027'!D9),IF(A686=2028,N('2028'!D9),IF(A686=2029,N('2029'!D9),IF(A686=2030,N('2030'!D9),IF(A686=2031,N('2031'!D9),IF(A686=2032,N('2032'!D9),IF(A686=2033,N('2033'!D9),IF(A686=2034,N('2034'!D9),IFERROR(N(INDIRECT("'"&amp;A686&amp;"'!D"&amp;G686)),0))))))))))))</f>
        <v>0</v>
      </c>
      <c r="M686" s="36">
        <f>IFERROR(IF(NOT(ISBLANK(KPI_TARGETS!$J$5)),KPI_TARGETS!$J$5,IF(NOT(ISBLANK(KPI_TARGETS!$F$5)),KPI_TARGETS!$F$5,"")),"")</f>
        <v>104</v>
      </c>
      <c r="N686" s="36" t="str">
        <f>IFERROR(KPI_TARGETS!$E$5,"Higher is better")</f>
        <v>Higher is better</v>
      </c>
      <c r="O686" s="37">
        <f t="shared" ca="1" si="60"/>
        <v>0</v>
      </c>
      <c r="P686" t="str">
        <f t="shared" ca="1" si="61"/>
        <v>Red</v>
      </c>
      <c r="Q686" s="36">
        <f t="shared" ca="1" si="62"/>
        <v>-104</v>
      </c>
      <c r="R686" s="36" t="str">
        <f>""</f>
        <v/>
      </c>
      <c r="S686" s="36" t="str">
        <f>""</f>
        <v/>
      </c>
      <c r="T686" s="36" t="str">
        <f>""</f>
        <v/>
      </c>
      <c r="U686" s="36" t="str">
        <f>""</f>
        <v/>
      </c>
      <c r="V686" s="36" t="str">
        <f>""</f>
        <v/>
      </c>
      <c r="W686" s="36">
        <f t="shared" si="63"/>
        <v>1</v>
      </c>
      <c r="X686" t="str">
        <f t="shared" si="64"/>
        <v>Inactive</v>
      </c>
      <c r="Y686" t="str">
        <f>IF(MAIN!$H$3="Selected Year",IF(A686=MAIN!$B$3,"Yes","No"),IF(MAIN!$H$3="Included Years",IF(D686="Yes","Yes","No"),IF(C686="Yes","Yes","No")))</f>
        <v>No</v>
      </c>
      <c r="Z686" t="str">
        <f>IF(MAIN!$F$3="Project to Date",IF(AND(A686&gt;=SETTINGS!$B$4,A686&lt;MAIN!$B$3),"Yes",IF(AND(A686=MAIN!$B$3,E686&lt;=MAIN!$L$3),"Yes","No")),IF(OR(MAIN!$F$3="Full Year",MAIN!$D$3="All"),"Yes",IF(MAIN!$F$3="Monthly",IF(E686=MAIN!$L$3,"Yes","No"),IF(E686&lt;=MAIN!$L$3,"Yes","No"))))</f>
        <v>Yes</v>
      </c>
      <c r="AA686" t="str">
        <f t="shared" si="65"/>
        <v>No</v>
      </c>
    </row>
    <row r="687" spans="1:27" x14ac:dyDescent="0.3">
      <c r="A687">
        <f>INDEX(SETTINGS!$A$15:$A$24,$B687)</f>
        <v>2028</v>
      </c>
      <c r="B687">
        <v>4</v>
      </c>
      <c r="C687" t="str">
        <f>IF(AND(A687&gt;=SETTINGS!$B$4,A687&lt;=SETTINGS!$B$5),"Yes","No")</f>
        <v>No</v>
      </c>
      <c r="D687" t="str">
        <f>IFERROR(INDEX(SETTINGS!$C$15:$C$24,MATCH(A687,SETTINGS!$A$15:$A$24,0)),"No")</f>
        <v>No</v>
      </c>
      <c r="E687">
        <v>1</v>
      </c>
      <c r="F687" t="s">
        <v>2</v>
      </c>
      <c r="G687">
        <v>10</v>
      </c>
      <c r="H687" t="s">
        <v>91</v>
      </c>
      <c r="I687" t="s">
        <v>89</v>
      </c>
      <c r="J687" t="s">
        <v>11</v>
      </c>
      <c r="K687" t="s">
        <v>12</v>
      </c>
      <c r="L687" s="36">
        <f ca="1">IF(C687&lt;&gt;"Yes",0,IF(A687=2025,N('2025'!D10),IF(A687=2026,N('2026'!D10),IF(A687=2027,N('2027'!D10),IF(A687=2028,N('2028'!D10),IF(A687=2029,N('2029'!D10),IF(A687=2030,N('2030'!D10),IF(A687=2031,N('2031'!D10),IF(A687=2032,N('2032'!D10),IF(A687=2033,N('2033'!D10),IF(A687=2034,N('2034'!D10),IFERROR(N(INDIRECT("'"&amp;A687&amp;"'!D"&amp;G687)),0))))))))))))</f>
        <v>0</v>
      </c>
      <c r="M687" s="36">
        <f>IFERROR(IF(NOT(ISBLANK(KPI_TARGETS!$J$6)),KPI_TARGETS!$J$6,IF(NOT(ISBLANK(KPI_TARGETS!$F$6)),KPI_TARGETS!$F$6,"")),"")</f>
        <v>4000</v>
      </c>
      <c r="N687" s="36" t="str">
        <f>IFERROR(KPI_TARGETS!$E$6,"Higher is better")</f>
        <v>Higher is better</v>
      </c>
      <c r="O687" s="37">
        <f t="shared" ca="1" si="60"/>
        <v>0</v>
      </c>
      <c r="P687" t="str">
        <f t="shared" ca="1" si="61"/>
        <v>Red</v>
      </c>
      <c r="Q687" s="36">
        <f t="shared" ca="1" si="62"/>
        <v>-4000</v>
      </c>
      <c r="R687" s="36" t="str">
        <f>""</f>
        <v/>
      </c>
      <c r="S687" s="36" t="str">
        <f>""</f>
        <v/>
      </c>
      <c r="T687" s="36" t="str">
        <f>""</f>
        <v/>
      </c>
      <c r="U687" s="36" t="str">
        <f>""</f>
        <v/>
      </c>
      <c r="V687" s="36" t="str">
        <f>""</f>
        <v/>
      </c>
      <c r="W687" s="36">
        <f t="shared" si="63"/>
        <v>1</v>
      </c>
      <c r="X687" t="str">
        <f t="shared" si="64"/>
        <v>Inactive</v>
      </c>
      <c r="Y687" t="str">
        <f>IF(MAIN!$H$3="Selected Year",IF(A687=MAIN!$B$3,"Yes","No"),IF(MAIN!$H$3="Included Years",IF(D687="Yes","Yes","No"),IF(C687="Yes","Yes","No")))</f>
        <v>No</v>
      </c>
      <c r="Z687" t="str">
        <f>IF(MAIN!$F$3="Project to Date",IF(AND(A687&gt;=SETTINGS!$B$4,A687&lt;MAIN!$B$3),"Yes",IF(AND(A687=MAIN!$B$3,E687&lt;=MAIN!$L$3),"Yes","No")),IF(OR(MAIN!$F$3="Full Year",MAIN!$D$3="All"),"Yes",IF(MAIN!$F$3="Monthly",IF(E687=MAIN!$L$3,"Yes","No"),IF(E687&lt;=MAIN!$L$3,"Yes","No"))))</f>
        <v>Yes</v>
      </c>
      <c r="AA687" t="str">
        <f t="shared" si="65"/>
        <v>No</v>
      </c>
    </row>
    <row r="688" spans="1:27" x14ac:dyDescent="0.3">
      <c r="A688">
        <f>INDEX(SETTINGS!$A$15:$A$24,$B688)</f>
        <v>2028</v>
      </c>
      <c r="B688">
        <v>4</v>
      </c>
      <c r="C688" t="str">
        <f>IF(AND(A688&gt;=SETTINGS!$B$4,A688&lt;=SETTINGS!$B$5),"Yes","No")</f>
        <v>No</v>
      </c>
      <c r="D688" t="str">
        <f>IFERROR(INDEX(SETTINGS!$C$15:$C$24,MATCH(A688,SETTINGS!$A$15:$A$24,0)),"No")</f>
        <v>No</v>
      </c>
      <c r="E688">
        <v>1</v>
      </c>
      <c r="F688" t="s">
        <v>2</v>
      </c>
      <c r="G688">
        <v>11</v>
      </c>
      <c r="H688" t="s">
        <v>93</v>
      </c>
      <c r="I688" t="s">
        <v>89</v>
      </c>
      <c r="J688" t="s">
        <v>13</v>
      </c>
      <c r="K688" t="s">
        <v>14</v>
      </c>
      <c r="L688" s="36">
        <f ca="1">IF(C688&lt;&gt;"Yes",0,IF(A688=2025,N('2025'!D11),IF(A688=2026,N('2026'!D11),IF(A688=2027,N('2027'!D11),IF(A688=2028,N('2028'!D11),IF(A688=2029,N('2029'!D11),IF(A688=2030,N('2030'!D11),IF(A688=2031,N('2031'!D11),IF(A688=2032,N('2032'!D11),IF(A688=2033,N('2033'!D11),IF(A688=2034,N('2034'!D11),IFERROR(N(INDIRECT("'"&amp;A688&amp;"'!D"&amp;G688)),0))))))))))))</f>
        <v>0</v>
      </c>
      <c r="M688" s="36">
        <f>IFERROR(IF(NOT(ISBLANK(KPI_TARGETS!$J$7)),KPI_TARGETS!$J$7,IF(NOT(ISBLANK(KPI_TARGETS!$F$7)),KPI_TARGETS!$F$7,"")),"")</f>
        <v>8000</v>
      </c>
      <c r="N688" s="36" t="str">
        <f>IFERROR(KPI_TARGETS!$E$7,"Higher is better")</f>
        <v>Higher is better</v>
      </c>
      <c r="O688" s="37">
        <f t="shared" ca="1" si="60"/>
        <v>0</v>
      </c>
      <c r="P688" t="str">
        <f t="shared" ca="1" si="61"/>
        <v>Red</v>
      </c>
      <c r="Q688" s="36">
        <f t="shared" ca="1" si="62"/>
        <v>-8000</v>
      </c>
      <c r="R688" s="36" t="str">
        <f>""</f>
        <v/>
      </c>
      <c r="S688" s="36" t="str">
        <f>""</f>
        <v/>
      </c>
      <c r="T688" s="36" t="str">
        <f>""</f>
        <v/>
      </c>
      <c r="U688" s="36" t="str">
        <f>""</f>
        <v/>
      </c>
      <c r="V688" s="36" t="str">
        <f>""</f>
        <v/>
      </c>
      <c r="W688" s="36">
        <f t="shared" si="63"/>
        <v>1</v>
      </c>
      <c r="X688" t="str">
        <f t="shared" si="64"/>
        <v>Inactive</v>
      </c>
      <c r="Y688" t="str">
        <f>IF(MAIN!$H$3="Selected Year",IF(A688=MAIN!$B$3,"Yes","No"),IF(MAIN!$H$3="Included Years",IF(D688="Yes","Yes","No"),IF(C688="Yes","Yes","No")))</f>
        <v>No</v>
      </c>
      <c r="Z688" t="str">
        <f>IF(MAIN!$F$3="Project to Date",IF(AND(A688&gt;=SETTINGS!$B$4,A688&lt;MAIN!$B$3),"Yes",IF(AND(A688=MAIN!$B$3,E688&lt;=MAIN!$L$3),"Yes","No")),IF(OR(MAIN!$F$3="Full Year",MAIN!$D$3="All"),"Yes",IF(MAIN!$F$3="Monthly",IF(E688=MAIN!$L$3,"Yes","No"),IF(E688&lt;=MAIN!$L$3,"Yes","No"))))</f>
        <v>Yes</v>
      </c>
      <c r="AA688" t="str">
        <f t="shared" si="65"/>
        <v>No</v>
      </c>
    </row>
    <row r="689" spans="1:27" x14ac:dyDescent="0.3">
      <c r="A689">
        <f>INDEX(SETTINGS!$A$15:$A$24,$B689)</f>
        <v>2028</v>
      </c>
      <c r="B689">
        <v>4</v>
      </c>
      <c r="C689" t="str">
        <f>IF(AND(A689&gt;=SETTINGS!$B$4,A689&lt;=SETTINGS!$B$5),"Yes","No")</f>
        <v>No</v>
      </c>
      <c r="D689" t="str">
        <f>IFERROR(INDEX(SETTINGS!$C$15:$C$24,MATCH(A689,SETTINGS!$A$15:$A$24,0)),"No")</f>
        <v>No</v>
      </c>
      <c r="E689">
        <v>1</v>
      </c>
      <c r="F689" t="s">
        <v>2</v>
      </c>
      <c r="G689">
        <v>13</v>
      </c>
      <c r="H689" t="s">
        <v>95</v>
      </c>
      <c r="I689" t="s">
        <v>15</v>
      </c>
      <c r="J689" t="s">
        <v>16</v>
      </c>
      <c r="K689" t="s">
        <v>3</v>
      </c>
      <c r="L689" s="36">
        <f ca="1">IF(C689&lt;&gt;"Yes",0,IF(A689=2025,N('2025'!D13),IF(A689=2026,N('2026'!D13),IF(A689=2027,N('2027'!D13),IF(A689=2028,N('2028'!D13),IF(A689=2029,N('2029'!D13),IF(A689=2030,N('2030'!D13),IF(A689=2031,N('2031'!D13),IF(A689=2032,N('2032'!D13),IF(A689=2033,N('2033'!D13),IF(A689=2034,N('2034'!D13),IFERROR(N(INDIRECT("'"&amp;A689&amp;"'!D"&amp;G689)),0))))))))))))</f>
        <v>0</v>
      </c>
      <c r="M689" s="36">
        <f>IFERROR(IF(NOT(ISBLANK(KPI_TARGETS!$J$8)),KPI_TARGETS!$J$8,IF(NOT(ISBLANK(KPI_TARGETS!$F$8)),KPI_TARGETS!$F$8,"")),"")</f>
        <v>0</v>
      </c>
      <c r="N689" s="36" t="str">
        <f>IFERROR(KPI_TARGETS!$E$8,"Higher is better")</f>
        <v>Lower is better</v>
      </c>
      <c r="O689" s="37">
        <f t="shared" ca="1" si="60"/>
        <v>1</v>
      </c>
      <c r="P689" t="str">
        <f t="shared" ca="1" si="61"/>
        <v>Green</v>
      </c>
      <c r="Q689" s="36">
        <f t="shared" ca="1" si="62"/>
        <v>0</v>
      </c>
      <c r="R689" s="36" t="str">
        <f>""</f>
        <v/>
      </c>
      <c r="S689" s="36" t="str">
        <f>""</f>
        <v/>
      </c>
      <c r="T689" s="36" t="str">
        <f>""</f>
        <v/>
      </c>
      <c r="U689" s="36" t="str">
        <f>""</f>
        <v/>
      </c>
      <c r="V689" s="36" t="str">
        <f>""</f>
        <v/>
      </c>
      <c r="W689" s="36">
        <f t="shared" si="63"/>
        <v>1</v>
      </c>
      <c r="X689" t="str">
        <f t="shared" si="64"/>
        <v>Inactive</v>
      </c>
      <c r="Y689" t="str">
        <f>IF(MAIN!$H$3="Selected Year",IF(A689=MAIN!$B$3,"Yes","No"),IF(MAIN!$H$3="Included Years",IF(D689="Yes","Yes","No"),IF(C689="Yes","Yes","No")))</f>
        <v>No</v>
      </c>
      <c r="Z689" t="str">
        <f>IF(MAIN!$F$3="Project to Date",IF(AND(A689&gt;=SETTINGS!$B$4,A689&lt;MAIN!$B$3),"Yes",IF(AND(A689=MAIN!$B$3,E689&lt;=MAIN!$L$3),"Yes","No")),IF(OR(MAIN!$F$3="Full Year",MAIN!$D$3="All"),"Yes",IF(MAIN!$F$3="Monthly",IF(E689=MAIN!$L$3,"Yes","No"),IF(E689&lt;=MAIN!$L$3,"Yes","No"))))</f>
        <v>Yes</v>
      </c>
      <c r="AA689" t="str">
        <f t="shared" si="65"/>
        <v>No</v>
      </c>
    </row>
    <row r="690" spans="1:27" x14ac:dyDescent="0.3">
      <c r="A690">
        <f>INDEX(SETTINGS!$A$15:$A$24,$B690)</f>
        <v>2028</v>
      </c>
      <c r="B690">
        <v>4</v>
      </c>
      <c r="C690" t="str">
        <f>IF(AND(A690&gt;=SETTINGS!$B$4,A690&lt;=SETTINGS!$B$5),"Yes","No")</f>
        <v>No</v>
      </c>
      <c r="D690" t="str">
        <f>IFERROR(INDEX(SETTINGS!$C$15:$C$24,MATCH(A690,SETTINGS!$A$15:$A$24,0)),"No")</f>
        <v>No</v>
      </c>
      <c r="E690">
        <v>1</v>
      </c>
      <c r="F690" t="s">
        <v>2</v>
      </c>
      <c r="G690">
        <v>14</v>
      </c>
      <c r="H690" t="s">
        <v>97</v>
      </c>
      <c r="I690" t="s">
        <v>15</v>
      </c>
      <c r="J690" t="s">
        <v>17</v>
      </c>
      <c r="K690" t="s">
        <v>3</v>
      </c>
      <c r="L690" s="36">
        <f ca="1">IF(C690&lt;&gt;"Yes",0,IF(A690=2025,N('2025'!D14),IF(A690=2026,N('2026'!D14),IF(A690=2027,N('2027'!D14),IF(A690=2028,N('2028'!D14),IF(A690=2029,N('2029'!D14),IF(A690=2030,N('2030'!D14),IF(A690=2031,N('2031'!D14),IF(A690=2032,N('2032'!D14),IF(A690=2033,N('2033'!D14),IF(A690=2034,N('2034'!D14),IFERROR(N(INDIRECT("'"&amp;A690&amp;"'!D"&amp;G690)),0))))))))))))</f>
        <v>0</v>
      </c>
      <c r="M690" s="36">
        <f>IFERROR(IF(NOT(ISBLANK(KPI_TARGETS!$J$9)),KPI_TARGETS!$J$9,IF(NOT(ISBLANK(KPI_TARGETS!$F$9)),KPI_TARGETS!$F$9,"")),"")</f>
        <v>0</v>
      </c>
      <c r="N690" s="36" t="str">
        <f>IFERROR(KPI_TARGETS!$E$9,"Higher is better")</f>
        <v>Higher is better</v>
      </c>
      <c r="O690" s="37" t="str">
        <f t="shared" ca="1" si="60"/>
        <v/>
      </c>
      <c r="P690" t="str">
        <f t="shared" ca="1" si="61"/>
        <v>Green</v>
      </c>
      <c r="Q690" s="36">
        <f t="shared" ca="1" si="62"/>
        <v>0</v>
      </c>
      <c r="R690" s="36" t="str">
        <f>""</f>
        <v/>
      </c>
      <c r="S690" s="36" t="str">
        <f>""</f>
        <v/>
      </c>
      <c r="T690" s="36" t="str">
        <f>""</f>
        <v/>
      </c>
      <c r="U690" s="36" t="str">
        <f>""</f>
        <v/>
      </c>
      <c r="V690" s="36" t="str">
        <f>""</f>
        <v/>
      </c>
      <c r="W690" s="36">
        <f t="shared" si="63"/>
        <v>1</v>
      </c>
      <c r="X690" t="str">
        <f t="shared" si="64"/>
        <v>Inactive</v>
      </c>
      <c r="Y690" t="str">
        <f>IF(MAIN!$H$3="Selected Year",IF(A690=MAIN!$B$3,"Yes","No"),IF(MAIN!$H$3="Included Years",IF(D690="Yes","Yes","No"),IF(C690="Yes","Yes","No")))</f>
        <v>No</v>
      </c>
      <c r="Z690" t="str">
        <f>IF(MAIN!$F$3="Project to Date",IF(AND(A690&gt;=SETTINGS!$B$4,A690&lt;MAIN!$B$3),"Yes",IF(AND(A690=MAIN!$B$3,E690&lt;=MAIN!$L$3),"Yes","No")),IF(OR(MAIN!$F$3="Full Year",MAIN!$D$3="All"),"Yes",IF(MAIN!$F$3="Monthly",IF(E690=MAIN!$L$3,"Yes","No"),IF(E690&lt;=MAIN!$L$3,"Yes","No"))))</f>
        <v>Yes</v>
      </c>
      <c r="AA690" t="str">
        <f t="shared" si="65"/>
        <v>No</v>
      </c>
    </row>
    <row r="691" spans="1:27" x14ac:dyDescent="0.3">
      <c r="A691">
        <f>INDEX(SETTINGS!$A$15:$A$24,$B691)</f>
        <v>2028</v>
      </c>
      <c r="B691">
        <v>4</v>
      </c>
      <c r="C691" t="str">
        <f>IF(AND(A691&gt;=SETTINGS!$B$4,A691&lt;=SETTINGS!$B$5),"Yes","No")</f>
        <v>No</v>
      </c>
      <c r="D691" t="str">
        <f>IFERROR(INDEX(SETTINGS!$C$15:$C$24,MATCH(A691,SETTINGS!$A$15:$A$24,0)),"No")</f>
        <v>No</v>
      </c>
      <c r="E691">
        <v>1</v>
      </c>
      <c r="F691" t="s">
        <v>2</v>
      </c>
      <c r="G691">
        <v>15</v>
      </c>
      <c r="H691" t="s">
        <v>99</v>
      </c>
      <c r="I691" t="s">
        <v>15</v>
      </c>
      <c r="J691" t="s">
        <v>18</v>
      </c>
      <c r="K691" t="s">
        <v>3</v>
      </c>
      <c r="L691" s="36">
        <f ca="1">IF(C691&lt;&gt;"Yes",0,IF(A691=2025,N('2025'!D15),IF(A691=2026,N('2026'!D15),IF(A691=2027,N('2027'!D15),IF(A691=2028,N('2028'!D15),IF(A691=2029,N('2029'!D15),IF(A691=2030,N('2030'!D15),IF(A691=2031,N('2031'!D15),IF(A691=2032,N('2032'!D15),IF(A691=2033,N('2033'!D15),IF(A691=2034,N('2034'!D15),IFERROR(N(INDIRECT("'"&amp;A691&amp;"'!D"&amp;G691)),0))))))))))))</f>
        <v>0</v>
      </c>
      <c r="M691" s="36">
        <f>IFERROR(IF(NOT(ISBLANK(KPI_TARGETS!$J$10)),KPI_TARGETS!$J$10,IF(NOT(ISBLANK(KPI_TARGETS!$F$10)),KPI_TARGETS!$F$10,"")),"")</f>
        <v>0</v>
      </c>
      <c r="N691" s="36" t="str">
        <f>IFERROR(KPI_TARGETS!$E$10,"Higher is better")</f>
        <v>Lower is better</v>
      </c>
      <c r="O691" s="37">
        <f t="shared" ca="1" si="60"/>
        <v>1</v>
      </c>
      <c r="P691" t="str">
        <f t="shared" ca="1" si="61"/>
        <v>Green</v>
      </c>
      <c r="Q691" s="36">
        <f t="shared" ca="1" si="62"/>
        <v>0</v>
      </c>
      <c r="R691" s="36" t="str">
        <f>""</f>
        <v/>
      </c>
      <c r="S691" s="36" t="str">
        <f>""</f>
        <v/>
      </c>
      <c r="T691" s="36" t="str">
        <f>""</f>
        <v/>
      </c>
      <c r="U691" s="36" t="str">
        <f>""</f>
        <v/>
      </c>
      <c r="V691" s="36" t="str">
        <f>""</f>
        <v/>
      </c>
      <c r="W691" s="36">
        <f t="shared" si="63"/>
        <v>1</v>
      </c>
      <c r="X691" t="str">
        <f t="shared" si="64"/>
        <v>Inactive</v>
      </c>
      <c r="Y691" t="str">
        <f>IF(MAIN!$H$3="Selected Year",IF(A691=MAIN!$B$3,"Yes","No"),IF(MAIN!$H$3="Included Years",IF(D691="Yes","Yes","No"),IF(C691="Yes","Yes","No")))</f>
        <v>No</v>
      </c>
      <c r="Z691" t="str">
        <f>IF(MAIN!$F$3="Project to Date",IF(AND(A691&gt;=SETTINGS!$B$4,A691&lt;MAIN!$B$3),"Yes",IF(AND(A691=MAIN!$B$3,E691&lt;=MAIN!$L$3),"Yes","No")),IF(OR(MAIN!$F$3="Full Year",MAIN!$D$3="All"),"Yes",IF(MAIN!$F$3="Monthly",IF(E691=MAIN!$L$3,"Yes","No"),IF(E691&lt;=MAIN!$L$3,"Yes","No"))))</f>
        <v>Yes</v>
      </c>
      <c r="AA691" t="str">
        <f t="shared" si="65"/>
        <v>No</v>
      </c>
    </row>
    <row r="692" spans="1:27" x14ac:dyDescent="0.3">
      <c r="A692">
        <f>INDEX(SETTINGS!$A$15:$A$24,$B692)</f>
        <v>2028</v>
      </c>
      <c r="B692">
        <v>4</v>
      </c>
      <c r="C692" t="str">
        <f>IF(AND(A692&gt;=SETTINGS!$B$4,A692&lt;=SETTINGS!$B$5),"Yes","No")</f>
        <v>No</v>
      </c>
      <c r="D692" t="str">
        <f>IFERROR(INDEX(SETTINGS!$C$15:$C$24,MATCH(A692,SETTINGS!$A$15:$A$24,0)),"No")</f>
        <v>No</v>
      </c>
      <c r="E692">
        <v>1</v>
      </c>
      <c r="F692" t="s">
        <v>2</v>
      </c>
      <c r="G692">
        <v>16</v>
      </c>
      <c r="H692" t="s">
        <v>100</v>
      </c>
      <c r="I692" t="s">
        <v>15</v>
      </c>
      <c r="J692" t="s">
        <v>19</v>
      </c>
      <c r="K692" t="s">
        <v>3</v>
      </c>
      <c r="L692" s="36">
        <f ca="1">IF(C692&lt;&gt;"Yes",0,IF(A692=2025,N('2025'!D16),IF(A692=2026,N('2026'!D16),IF(A692=2027,N('2027'!D16),IF(A692=2028,N('2028'!D16),IF(A692=2029,N('2029'!D16),IF(A692=2030,N('2030'!D16),IF(A692=2031,N('2031'!D16),IF(A692=2032,N('2032'!D16),IF(A692=2033,N('2033'!D16),IF(A692=2034,N('2034'!D16),IFERROR(N(INDIRECT("'"&amp;A692&amp;"'!D"&amp;G692)),0))))))))))))</f>
        <v>0</v>
      </c>
      <c r="M692" s="36">
        <f>IFERROR(IF(NOT(ISBLANK(KPI_TARGETS!$J$11)),KPI_TARGETS!$J$11,IF(NOT(ISBLANK(KPI_TARGETS!$F$11)),KPI_TARGETS!$F$11,"")),"")</f>
        <v>0</v>
      </c>
      <c r="N692" s="36" t="str">
        <f>IFERROR(KPI_TARGETS!$E$11,"Higher is better")</f>
        <v>Lower is better</v>
      </c>
      <c r="O692" s="37">
        <f t="shared" ca="1" si="60"/>
        <v>1</v>
      </c>
      <c r="P692" t="str">
        <f t="shared" ca="1" si="61"/>
        <v>Green</v>
      </c>
      <c r="Q692" s="36">
        <f t="shared" ca="1" si="62"/>
        <v>0</v>
      </c>
      <c r="R692" s="36" t="str">
        <f>""</f>
        <v/>
      </c>
      <c r="S692" s="36" t="str">
        <f>""</f>
        <v/>
      </c>
      <c r="T692" s="36" t="str">
        <f>""</f>
        <v/>
      </c>
      <c r="U692" s="36" t="str">
        <f>""</f>
        <v/>
      </c>
      <c r="V692" s="36" t="str">
        <f>""</f>
        <v/>
      </c>
      <c r="W692" s="36">
        <f t="shared" si="63"/>
        <v>1</v>
      </c>
      <c r="X692" t="str">
        <f t="shared" si="64"/>
        <v>Inactive</v>
      </c>
      <c r="Y692" t="str">
        <f>IF(MAIN!$H$3="Selected Year",IF(A692=MAIN!$B$3,"Yes","No"),IF(MAIN!$H$3="Included Years",IF(D692="Yes","Yes","No"),IF(C692="Yes","Yes","No")))</f>
        <v>No</v>
      </c>
      <c r="Z692" t="str">
        <f>IF(MAIN!$F$3="Project to Date",IF(AND(A692&gt;=SETTINGS!$B$4,A692&lt;MAIN!$B$3),"Yes",IF(AND(A692=MAIN!$B$3,E692&lt;=MAIN!$L$3),"Yes","No")),IF(OR(MAIN!$F$3="Full Year",MAIN!$D$3="All"),"Yes",IF(MAIN!$F$3="Monthly",IF(E692=MAIN!$L$3,"Yes","No"),IF(E692&lt;=MAIN!$L$3,"Yes","No"))))</f>
        <v>Yes</v>
      </c>
      <c r="AA692" t="str">
        <f t="shared" si="65"/>
        <v>No</v>
      </c>
    </row>
    <row r="693" spans="1:27" x14ac:dyDescent="0.3">
      <c r="A693">
        <f>INDEX(SETTINGS!$A$15:$A$24,$B693)</f>
        <v>2028</v>
      </c>
      <c r="B693">
        <v>4</v>
      </c>
      <c r="C693" t="str">
        <f>IF(AND(A693&gt;=SETTINGS!$B$4,A693&lt;=SETTINGS!$B$5),"Yes","No")</f>
        <v>No</v>
      </c>
      <c r="D693" t="str">
        <f>IFERROR(INDEX(SETTINGS!$C$15:$C$24,MATCH(A693,SETTINGS!$A$15:$A$24,0)),"No")</f>
        <v>No</v>
      </c>
      <c r="E693">
        <v>1</v>
      </c>
      <c r="F693" t="s">
        <v>2</v>
      </c>
      <c r="G693">
        <v>17</v>
      </c>
      <c r="H693" t="s">
        <v>101</v>
      </c>
      <c r="I693" t="s">
        <v>15</v>
      </c>
      <c r="J693" t="s">
        <v>20</v>
      </c>
      <c r="K693" t="s">
        <v>3</v>
      </c>
      <c r="L693" s="36">
        <f ca="1">IF(C693&lt;&gt;"Yes",0,IF(A693=2025,N('2025'!D17),IF(A693=2026,N('2026'!D17),IF(A693=2027,N('2027'!D17),IF(A693=2028,N('2028'!D17),IF(A693=2029,N('2029'!D17),IF(A693=2030,N('2030'!D17),IF(A693=2031,N('2031'!D17),IF(A693=2032,N('2032'!D17),IF(A693=2033,N('2033'!D17),IF(A693=2034,N('2034'!D17),IFERROR(N(INDIRECT("'"&amp;A693&amp;"'!D"&amp;G693)),0))))))))))))</f>
        <v>0</v>
      </c>
      <c r="M693" s="36">
        <f>IFERROR(IF(NOT(ISBLANK(KPI_TARGETS!$J$12)),KPI_TARGETS!$J$12,IF(NOT(ISBLANK(KPI_TARGETS!$F$12)),KPI_TARGETS!$F$12,"")),"")</f>
        <v>0</v>
      </c>
      <c r="N693" s="36" t="str">
        <f>IFERROR(KPI_TARGETS!$E$12,"Higher is better")</f>
        <v>Lower is better</v>
      </c>
      <c r="O693" s="37">
        <f t="shared" ca="1" si="60"/>
        <v>1</v>
      </c>
      <c r="P693" t="str">
        <f t="shared" ca="1" si="61"/>
        <v>Green</v>
      </c>
      <c r="Q693" s="36">
        <f t="shared" ca="1" si="62"/>
        <v>0</v>
      </c>
      <c r="R693" s="36" t="str">
        <f>""</f>
        <v/>
      </c>
      <c r="S693" s="36" t="str">
        <f>""</f>
        <v/>
      </c>
      <c r="T693" s="36" t="str">
        <f>""</f>
        <v/>
      </c>
      <c r="U693" s="36" t="str">
        <f>""</f>
        <v/>
      </c>
      <c r="V693" s="36" t="str">
        <f>""</f>
        <v/>
      </c>
      <c r="W693" s="36">
        <f t="shared" si="63"/>
        <v>1</v>
      </c>
      <c r="X693" t="str">
        <f t="shared" si="64"/>
        <v>Inactive</v>
      </c>
      <c r="Y693" t="str">
        <f>IF(MAIN!$H$3="Selected Year",IF(A693=MAIN!$B$3,"Yes","No"),IF(MAIN!$H$3="Included Years",IF(D693="Yes","Yes","No"),IF(C693="Yes","Yes","No")))</f>
        <v>No</v>
      </c>
      <c r="Z693" t="str">
        <f>IF(MAIN!$F$3="Project to Date",IF(AND(A693&gt;=SETTINGS!$B$4,A693&lt;MAIN!$B$3),"Yes",IF(AND(A693=MAIN!$B$3,E693&lt;=MAIN!$L$3),"Yes","No")),IF(OR(MAIN!$F$3="Full Year",MAIN!$D$3="All"),"Yes",IF(MAIN!$F$3="Monthly",IF(E693=MAIN!$L$3,"Yes","No"),IF(E693&lt;=MAIN!$L$3,"Yes","No"))))</f>
        <v>Yes</v>
      </c>
      <c r="AA693" t="str">
        <f t="shared" si="65"/>
        <v>No</v>
      </c>
    </row>
    <row r="694" spans="1:27" x14ac:dyDescent="0.3">
      <c r="A694">
        <f>INDEX(SETTINGS!$A$15:$A$24,$B694)</f>
        <v>2028</v>
      </c>
      <c r="B694">
        <v>4</v>
      </c>
      <c r="C694" t="str">
        <f>IF(AND(A694&gt;=SETTINGS!$B$4,A694&lt;=SETTINGS!$B$5),"Yes","No")</f>
        <v>No</v>
      </c>
      <c r="D694" t="str">
        <f>IFERROR(INDEX(SETTINGS!$C$15:$C$24,MATCH(A694,SETTINGS!$A$15:$A$24,0)),"No")</f>
        <v>No</v>
      </c>
      <c r="E694">
        <v>1</v>
      </c>
      <c r="F694" t="s">
        <v>2</v>
      </c>
      <c r="G694">
        <v>18</v>
      </c>
      <c r="H694" t="s">
        <v>102</v>
      </c>
      <c r="I694" t="s">
        <v>15</v>
      </c>
      <c r="J694" t="s">
        <v>21</v>
      </c>
      <c r="K694" t="s">
        <v>3</v>
      </c>
      <c r="L694" s="36">
        <f ca="1">IF(C694&lt;&gt;"Yes",0,IF(A694=2025,N('2025'!D18),IF(A694=2026,N('2026'!D18),IF(A694=2027,N('2027'!D18),IF(A694=2028,N('2028'!D18),IF(A694=2029,N('2029'!D18),IF(A694=2030,N('2030'!D18),IF(A694=2031,N('2031'!D18),IF(A694=2032,N('2032'!D18),IF(A694=2033,N('2033'!D18),IF(A694=2034,N('2034'!D18),IFERROR(N(INDIRECT("'"&amp;A694&amp;"'!D"&amp;G694)),0))))))))))))</f>
        <v>0</v>
      </c>
      <c r="M694" s="36">
        <f>IFERROR(IF(NOT(ISBLANK(KPI_TARGETS!$J$13)),KPI_TARGETS!$J$13,IF(NOT(ISBLANK(KPI_TARGETS!$F$13)),KPI_TARGETS!$F$13,"")),"")</f>
        <v>0</v>
      </c>
      <c r="N694" s="36" t="str">
        <f>IFERROR(KPI_TARGETS!$E$13,"Higher is better")</f>
        <v>Lower is better</v>
      </c>
      <c r="O694" s="37">
        <f t="shared" ca="1" si="60"/>
        <v>1</v>
      </c>
      <c r="P694" t="str">
        <f t="shared" ca="1" si="61"/>
        <v>Green</v>
      </c>
      <c r="Q694" s="36">
        <f t="shared" ca="1" si="62"/>
        <v>0</v>
      </c>
      <c r="R694" s="36" t="str">
        <f>""</f>
        <v/>
      </c>
      <c r="S694" s="36" t="str">
        <f>""</f>
        <v/>
      </c>
      <c r="T694" s="36" t="str">
        <f>""</f>
        <v/>
      </c>
      <c r="U694" s="36" t="str">
        <f>""</f>
        <v/>
      </c>
      <c r="V694" s="36" t="str">
        <f>""</f>
        <v/>
      </c>
      <c r="W694" s="36">
        <f t="shared" si="63"/>
        <v>1</v>
      </c>
      <c r="X694" t="str">
        <f t="shared" si="64"/>
        <v>Inactive</v>
      </c>
      <c r="Y694" t="str">
        <f>IF(MAIN!$H$3="Selected Year",IF(A694=MAIN!$B$3,"Yes","No"),IF(MAIN!$H$3="Included Years",IF(D694="Yes","Yes","No"),IF(C694="Yes","Yes","No")))</f>
        <v>No</v>
      </c>
      <c r="Z694" t="str">
        <f>IF(MAIN!$F$3="Project to Date",IF(AND(A694&gt;=SETTINGS!$B$4,A694&lt;MAIN!$B$3),"Yes",IF(AND(A694=MAIN!$B$3,E694&lt;=MAIN!$L$3),"Yes","No")),IF(OR(MAIN!$F$3="Full Year",MAIN!$D$3="All"),"Yes",IF(MAIN!$F$3="Monthly",IF(E694=MAIN!$L$3,"Yes","No"),IF(E694&lt;=MAIN!$L$3,"Yes","No"))))</f>
        <v>Yes</v>
      </c>
      <c r="AA694" t="str">
        <f t="shared" si="65"/>
        <v>No</v>
      </c>
    </row>
    <row r="695" spans="1:27" x14ac:dyDescent="0.3">
      <c r="A695">
        <f>INDEX(SETTINGS!$A$15:$A$24,$B695)</f>
        <v>2028</v>
      </c>
      <c r="B695">
        <v>4</v>
      </c>
      <c r="C695" t="str">
        <f>IF(AND(A695&gt;=SETTINGS!$B$4,A695&lt;=SETTINGS!$B$5),"Yes","No")</f>
        <v>No</v>
      </c>
      <c r="D695" t="str">
        <f>IFERROR(INDEX(SETTINGS!$C$15:$C$24,MATCH(A695,SETTINGS!$A$15:$A$24,0)),"No")</f>
        <v>No</v>
      </c>
      <c r="E695">
        <v>1</v>
      </c>
      <c r="F695" t="s">
        <v>2</v>
      </c>
      <c r="G695">
        <v>20</v>
      </c>
      <c r="H695" t="s">
        <v>103</v>
      </c>
      <c r="I695" t="s">
        <v>22</v>
      </c>
      <c r="J695" t="s">
        <v>23</v>
      </c>
      <c r="K695" t="s">
        <v>3</v>
      </c>
      <c r="L695" s="36">
        <f ca="1">IF(C695&lt;&gt;"Yes",0,IF(A695=2025,N('2025'!D20),IF(A695=2026,N('2026'!D20),IF(A695=2027,N('2027'!D20),IF(A695=2028,N('2028'!D20),IF(A695=2029,N('2029'!D20),IF(A695=2030,N('2030'!D20),IF(A695=2031,N('2031'!D20),IF(A695=2032,N('2032'!D20),IF(A695=2033,N('2033'!D20),IF(A695=2034,N('2034'!D20),IFERROR(N(INDIRECT("'"&amp;A695&amp;"'!D"&amp;G695)),0))))))))))))</f>
        <v>0</v>
      </c>
      <c r="M695" s="36">
        <f>IFERROR(IF(NOT(ISBLANK(KPI_TARGETS!$J$14)),KPI_TARGETS!$J$14,IF(NOT(ISBLANK(KPI_TARGETS!$F$14)),KPI_TARGETS!$F$14,"")),"")</f>
        <v>35</v>
      </c>
      <c r="N695" s="36" t="str">
        <f>IFERROR(KPI_TARGETS!$E$14,"Higher is better")</f>
        <v>Higher is better</v>
      </c>
      <c r="O695" s="37">
        <f t="shared" ca="1" si="60"/>
        <v>0</v>
      </c>
      <c r="P695" t="str">
        <f t="shared" ca="1" si="61"/>
        <v>Red</v>
      </c>
      <c r="Q695" s="36">
        <f t="shared" ca="1" si="62"/>
        <v>-35</v>
      </c>
      <c r="R695" s="36" t="str">
        <f>""</f>
        <v/>
      </c>
      <c r="S695" s="36" t="str">
        <f>""</f>
        <v/>
      </c>
      <c r="T695" s="36" t="str">
        <f>""</f>
        <v/>
      </c>
      <c r="U695" s="36" t="str">
        <f>""</f>
        <v/>
      </c>
      <c r="V695" s="36" t="str">
        <f>""</f>
        <v/>
      </c>
      <c r="W695" s="36">
        <f t="shared" si="63"/>
        <v>1</v>
      </c>
      <c r="X695" t="str">
        <f t="shared" si="64"/>
        <v>Inactive</v>
      </c>
      <c r="Y695" t="str">
        <f>IF(MAIN!$H$3="Selected Year",IF(A695=MAIN!$B$3,"Yes","No"),IF(MAIN!$H$3="Included Years",IF(D695="Yes","Yes","No"),IF(C695="Yes","Yes","No")))</f>
        <v>No</v>
      </c>
      <c r="Z695" t="str">
        <f>IF(MAIN!$F$3="Project to Date",IF(AND(A695&gt;=SETTINGS!$B$4,A695&lt;MAIN!$B$3),"Yes",IF(AND(A695=MAIN!$B$3,E695&lt;=MAIN!$L$3),"Yes","No")),IF(OR(MAIN!$F$3="Full Year",MAIN!$D$3="All"),"Yes",IF(MAIN!$F$3="Monthly",IF(E695=MAIN!$L$3,"Yes","No"),IF(E695&lt;=MAIN!$L$3,"Yes","No"))))</f>
        <v>Yes</v>
      </c>
      <c r="AA695" t="str">
        <f t="shared" si="65"/>
        <v>No</v>
      </c>
    </row>
    <row r="696" spans="1:27" x14ac:dyDescent="0.3">
      <c r="A696">
        <f>INDEX(SETTINGS!$A$15:$A$24,$B696)</f>
        <v>2028</v>
      </c>
      <c r="B696">
        <v>4</v>
      </c>
      <c r="C696" t="str">
        <f>IF(AND(A696&gt;=SETTINGS!$B$4,A696&lt;=SETTINGS!$B$5),"Yes","No")</f>
        <v>No</v>
      </c>
      <c r="D696" t="str">
        <f>IFERROR(INDEX(SETTINGS!$C$15:$C$24,MATCH(A696,SETTINGS!$A$15:$A$24,0)),"No")</f>
        <v>No</v>
      </c>
      <c r="E696">
        <v>1</v>
      </c>
      <c r="F696" t="s">
        <v>2</v>
      </c>
      <c r="G696">
        <v>21</v>
      </c>
      <c r="H696" t="s">
        <v>104</v>
      </c>
      <c r="I696" t="s">
        <v>22</v>
      </c>
      <c r="J696" t="s">
        <v>24</v>
      </c>
      <c r="K696" t="s">
        <v>3</v>
      </c>
      <c r="L696" s="36">
        <f ca="1">IF(C696&lt;&gt;"Yes",0,IF(A696=2025,N('2025'!D21),IF(A696=2026,N('2026'!D21),IF(A696=2027,N('2027'!D21),IF(A696=2028,N('2028'!D21),IF(A696=2029,N('2029'!D21),IF(A696=2030,N('2030'!D21),IF(A696=2031,N('2031'!D21),IF(A696=2032,N('2032'!D21),IF(A696=2033,N('2033'!D21),IF(A696=2034,N('2034'!D21),IFERROR(N(INDIRECT("'"&amp;A696&amp;"'!D"&amp;G696)),0))))))))))))</f>
        <v>0</v>
      </c>
      <c r="M696" s="36">
        <f>IFERROR(IF(NOT(ISBLANK(KPI_TARGETS!$J$15)),KPI_TARGETS!$J$15,IF(NOT(ISBLANK(KPI_TARGETS!$F$15)),KPI_TARGETS!$F$15,"")),"")</f>
        <v>5</v>
      </c>
      <c r="N696" s="36" t="str">
        <f>IFERROR(KPI_TARGETS!$E$15,"Higher is better")</f>
        <v>Higher is better</v>
      </c>
      <c r="O696" s="37">
        <f t="shared" ca="1" si="60"/>
        <v>0</v>
      </c>
      <c r="P696" t="str">
        <f t="shared" ca="1" si="61"/>
        <v>Red</v>
      </c>
      <c r="Q696" s="36">
        <f t="shared" ca="1" si="62"/>
        <v>-5</v>
      </c>
      <c r="R696" s="36" t="str">
        <f>""</f>
        <v/>
      </c>
      <c r="S696" s="36" t="str">
        <f>""</f>
        <v/>
      </c>
      <c r="T696" s="36" t="str">
        <f>""</f>
        <v/>
      </c>
      <c r="U696" s="36" t="str">
        <f>""</f>
        <v/>
      </c>
      <c r="V696" s="36" t="str">
        <f>""</f>
        <v/>
      </c>
      <c r="W696" s="36">
        <f t="shared" si="63"/>
        <v>1</v>
      </c>
      <c r="X696" t="str">
        <f t="shared" si="64"/>
        <v>Inactive</v>
      </c>
      <c r="Y696" t="str">
        <f>IF(MAIN!$H$3="Selected Year",IF(A696=MAIN!$B$3,"Yes","No"),IF(MAIN!$H$3="Included Years",IF(D696="Yes","Yes","No"),IF(C696="Yes","Yes","No")))</f>
        <v>No</v>
      </c>
      <c r="Z696" t="str">
        <f>IF(MAIN!$F$3="Project to Date",IF(AND(A696&gt;=SETTINGS!$B$4,A696&lt;MAIN!$B$3),"Yes",IF(AND(A696=MAIN!$B$3,E696&lt;=MAIN!$L$3),"Yes","No")),IF(OR(MAIN!$F$3="Full Year",MAIN!$D$3="All"),"Yes",IF(MAIN!$F$3="Monthly",IF(E696=MAIN!$L$3,"Yes","No"),IF(E696&lt;=MAIN!$L$3,"Yes","No"))))</f>
        <v>Yes</v>
      </c>
      <c r="AA696" t="str">
        <f t="shared" si="65"/>
        <v>No</v>
      </c>
    </row>
    <row r="697" spans="1:27" x14ac:dyDescent="0.3">
      <c r="A697">
        <f>INDEX(SETTINGS!$A$15:$A$24,$B697)</f>
        <v>2028</v>
      </c>
      <c r="B697">
        <v>4</v>
      </c>
      <c r="C697" t="str">
        <f>IF(AND(A697&gt;=SETTINGS!$B$4,A697&lt;=SETTINGS!$B$5),"Yes","No")</f>
        <v>No</v>
      </c>
      <c r="D697" t="str">
        <f>IFERROR(INDEX(SETTINGS!$C$15:$C$24,MATCH(A697,SETTINGS!$A$15:$A$24,0)),"No")</f>
        <v>No</v>
      </c>
      <c r="E697">
        <v>1</v>
      </c>
      <c r="F697" t="s">
        <v>2</v>
      </c>
      <c r="G697">
        <v>22</v>
      </c>
      <c r="H697" t="s">
        <v>105</v>
      </c>
      <c r="I697" t="s">
        <v>22</v>
      </c>
      <c r="J697" t="s">
        <v>25</v>
      </c>
      <c r="K697" t="s">
        <v>3</v>
      </c>
      <c r="L697" s="36">
        <f ca="1">IF(C697&lt;&gt;"Yes",0,IF(A697=2025,N('2025'!D22),IF(A697=2026,N('2026'!D22),IF(A697=2027,N('2027'!D22),IF(A697=2028,N('2028'!D22),IF(A697=2029,N('2029'!D22),IF(A697=2030,N('2030'!D22),IF(A697=2031,N('2031'!D22),IF(A697=2032,N('2032'!D22),IF(A697=2033,N('2033'!D22),IF(A697=2034,N('2034'!D22),IFERROR(N(INDIRECT("'"&amp;A697&amp;"'!D"&amp;G697)),0))))))))))))</f>
        <v>0</v>
      </c>
      <c r="M697" s="36">
        <f>IFERROR(IF(NOT(ISBLANK(KPI_TARGETS!$J$16)),KPI_TARGETS!$J$16,IF(NOT(ISBLANK(KPI_TARGETS!$F$16)),KPI_TARGETS!$F$16,"")),"")</f>
        <v>4</v>
      </c>
      <c r="N697" s="36" t="str">
        <f>IFERROR(KPI_TARGETS!$E$16,"Higher is better")</f>
        <v>Higher is better</v>
      </c>
      <c r="O697" s="37">
        <f t="shared" ca="1" si="60"/>
        <v>0</v>
      </c>
      <c r="P697" t="str">
        <f t="shared" ca="1" si="61"/>
        <v>Red</v>
      </c>
      <c r="Q697" s="36">
        <f t="shared" ca="1" si="62"/>
        <v>-4</v>
      </c>
      <c r="R697" s="36" t="str">
        <f>""</f>
        <v/>
      </c>
      <c r="S697" s="36" t="str">
        <f>""</f>
        <v/>
      </c>
      <c r="T697" s="36" t="str">
        <f>""</f>
        <v/>
      </c>
      <c r="U697" s="36" t="str">
        <f>""</f>
        <v/>
      </c>
      <c r="V697" s="36" t="str">
        <f>""</f>
        <v/>
      </c>
      <c r="W697" s="36">
        <f t="shared" si="63"/>
        <v>1</v>
      </c>
      <c r="X697" t="str">
        <f t="shared" si="64"/>
        <v>Inactive</v>
      </c>
      <c r="Y697" t="str">
        <f>IF(MAIN!$H$3="Selected Year",IF(A697=MAIN!$B$3,"Yes","No"),IF(MAIN!$H$3="Included Years",IF(D697="Yes","Yes","No"),IF(C697="Yes","Yes","No")))</f>
        <v>No</v>
      </c>
      <c r="Z697" t="str">
        <f>IF(MAIN!$F$3="Project to Date",IF(AND(A697&gt;=SETTINGS!$B$4,A697&lt;MAIN!$B$3),"Yes",IF(AND(A697=MAIN!$B$3,E697&lt;=MAIN!$L$3),"Yes","No")),IF(OR(MAIN!$F$3="Full Year",MAIN!$D$3="All"),"Yes",IF(MAIN!$F$3="Monthly",IF(E697=MAIN!$L$3,"Yes","No"),IF(E697&lt;=MAIN!$L$3,"Yes","No"))))</f>
        <v>Yes</v>
      </c>
      <c r="AA697" t="str">
        <f t="shared" si="65"/>
        <v>No</v>
      </c>
    </row>
    <row r="698" spans="1:27" x14ac:dyDescent="0.3">
      <c r="A698">
        <f>INDEX(SETTINGS!$A$15:$A$24,$B698)</f>
        <v>2028</v>
      </c>
      <c r="B698">
        <v>4</v>
      </c>
      <c r="C698" t="str">
        <f>IF(AND(A698&gt;=SETTINGS!$B$4,A698&lt;=SETTINGS!$B$5),"Yes","No")</f>
        <v>No</v>
      </c>
      <c r="D698" t="str">
        <f>IFERROR(INDEX(SETTINGS!$C$15:$C$24,MATCH(A698,SETTINGS!$A$15:$A$24,0)),"No")</f>
        <v>No</v>
      </c>
      <c r="E698">
        <v>1</v>
      </c>
      <c r="F698" t="s">
        <v>2</v>
      </c>
      <c r="G698">
        <v>23</v>
      </c>
      <c r="H698" t="s">
        <v>106</v>
      </c>
      <c r="I698" t="s">
        <v>22</v>
      </c>
      <c r="J698" t="s">
        <v>26</v>
      </c>
      <c r="K698" t="s">
        <v>3</v>
      </c>
      <c r="L698" s="36">
        <f ca="1">IF(C698&lt;&gt;"Yes",0,IF(A698=2025,N('2025'!D23),IF(A698=2026,N('2026'!D23),IF(A698=2027,N('2027'!D23),IF(A698=2028,N('2028'!D23),IF(A698=2029,N('2029'!D23),IF(A698=2030,N('2030'!D23),IF(A698=2031,N('2031'!D23),IF(A698=2032,N('2032'!D23),IF(A698=2033,N('2033'!D23),IF(A698=2034,N('2034'!D23),IFERROR(N(INDIRECT("'"&amp;A698&amp;"'!D"&amp;G698)),0))))))))))))</f>
        <v>0</v>
      </c>
      <c r="M698" s="36">
        <f>IFERROR(IF(NOT(ISBLANK(KPI_TARGETS!$J$17)),KPI_TARGETS!$J$17,IF(NOT(ISBLANK(KPI_TARGETS!$F$17)),KPI_TARGETS!$F$17,"")),"")</f>
        <v>12</v>
      </c>
      <c r="N698" s="36" t="str">
        <f>IFERROR(KPI_TARGETS!$E$17,"Higher is better")</f>
        <v>Higher is better</v>
      </c>
      <c r="O698" s="37">
        <f t="shared" ca="1" si="60"/>
        <v>0</v>
      </c>
      <c r="P698" t="str">
        <f t="shared" ca="1" si="61"/>
        <v>Red</v>
      </c>
      <c r="Q698" s="36">
        <f t="shared" ca="1" si="62"/>
        <v>-12</v>
      </c>
      <c r="R698" s="36" t="str">
        <f>""</f>
        <v/>
      </c>
      <c r="S698" s="36" t="str">
        <f>""</f>
        <v/>
      </c>
      <c r="T698" s="36" t="str">
        <f>""</f>
        <v/>
      </c>
      <c r="U698" s="36" t="str">
        <f>""</f>
        <v/>
      </c>
      <c r="V698" s="36" t="str">
        <f>""</f>
        <v/>
      </c>
      <c r="W698" s="36">
        <f t="shared" si="63"/>
        <v>1</v>
      </c>
      <c r="X698" t="str">
        <f t="shared" si="64"/>
        <v>Inactive</v>
      </c>
      <c r="Y698" t="str">
        <f>IF(MAIN!$H$3="Selected Year",IF(A698=MAIN!$B$3,"Yes","No"),IF(MAIN!$H$3="Included Years",IF(D698="Yes","Yes","No"),IF(C698="Yes","Yes","No")))</f>
        <v>No</v>
      </c>
      <c r="Z698" t="str">
        <f>IF(MAIN!$F$3="Project to Date",IF(AND(A698&gt;=SETTINGS!$B$4,A698&lt;MAIN!$B$3),"Yes",IF(AND(A698=MAIN!$B$3,E698&lt;=MAIN!$L$3),"Yes","No")),IF(OR(MAIN!$F$3="Full Year",MAIN!$D$3="All"),"Yes",IF(MAIN!$F$3="Monthly",IF(E698=MAIN!$L$3,"Yes","No"),IF(E698&lt;=MAIN!$L$3,"Yes","No"))))</f>
        <v>Yes</v>
      </c>
      <c r="AA698" t="str">
        <f t="shared" si="65"/>
        <v>No</v>
      </c>
    </row>
    <row r="699" spans="1:27" x14ac:dyDescent="0.3">
      <c r="A699">
        <f>INDEX(SETTINGS!$A$15:$A$24,$B699)</f>
        <v>2028</v>
      </c>
      <c r="B699">
        <v>4</v>
      </c>
      <c r="C699" t="str">
        <f>IF(AND(A699&gt;=SETTINGS!$B$4,A699&lt;=SETTINGS!$B$5),"Yes","No")</f>
        <v>No</v>
      </c>
      <c r="D699" t="str">
        <f>IFERROR(INDEX(SETTINGS!$C$15:$C$24,MATCH(A699,SETTINGS!$A$15:$A$24,0)),"No")</f>
        <v>No</v>
      </c>
      <c r="E699">
        <v>1</v>
      </c>
      <c r="F699" t="s">
        <v>2</v>
      </c>
      <c r="G699">
        <v>24</v>
      </c>
      <c r="H699" t="s">
        <v>107</v>
      </c>
      <c r="I699" t="s">
        <v>22</v>
      </c>
      <c r="J699" t="s">
        <v>27</v>
      </c>
      <c r="K699" t="s">
        <v>3</v>
      </c>
      <c r="L699" s="36">
        <f ca="1">IF(C699&lt;&gt;"Yes",0,IF(A699=2025,N('2025'!D24),IF(A699=2026,N('2026'!D24),IF(A699=2027,N('2027'!D24),IF(A699=2028,N('2028'!D24),IF(A699=2029,N('2029'!D24),IF(A699=2030,N('2030'!D24),IF(A699=2031,N('2031'!D24),IF(A699=2032,N('2032'!D24),IF(A699=2033,N('2033'!D24),IF(A699=2034,N('2034'!D24),IFERROR(N(INDIRECT("'"&amp;A699&amp;"'!D"&amp;G699)),0))))))))))))</f>
        <v>0</v>
      </c>
      <c r="M699" s="36">
        <f>IFERROR(IF(NOT(ISBLANK(KPI_TARGETS!$J$18)),KPI_TARGETS!$J$18,IF(NOT(ISBLANK(KPI_TARGETS!$F$18)),KPI_TARGETS!$F$18,"")),"")</f>
        <v>4</v>
      </c>
      <c r="N699" s="36" t="str">
        <f>IFERROR(KPI_TARGETS!$E$18,"Higher is better")</f>
        <v>Higher is better</v>
      </c>
      <c r="O699" s="37">
        <f t="shared" ca="1" si="60"/>
        <v>0</v>
      </c>
      <c r="P699" t="str">
        <f t="shared" ca="1" si="61"/>
        <v>Red</v>
      </c>
      <c r="Q699" s="36">
        <f t="shared" ca="1" si="62"/>
        <v>-4</v>
      </c>
      <c r="R699" s="36" t="str">
        <f>""</f>
        <v/>
      </c>
      <c r="S699" s="36" t="str">
        <f>""</f>
        <v/>
      </c>
      <c r="T699" s="36" t="str">
        <f>""</f>
        <v/>
      </c>
      <c r="U699" s="36" t="str">
        <f>""</f>
        <v/>
      </c>
      <c r="V699" s="36" t="str">
        <f>""</f>
        <v/>
      </c>
      <c r="W699" s="36">
        <f t="shared" si="63"/>
        <v>1</v>
      </c>
      <c r="X699" t="str">
        <f t="shared" si="64"/>
        <v>Inactive</v>
      </c>
      <c r="Y699" t="str">
        <f>IF(MAIN!$H$3="Selected Year",IF(A699=MAIN!$B$3,"Yes","No"),IF(MAIN!$H$3="Included Years",IF(D699="Yes","Yes","No"),IF(C699="Yes","Yes","No")))</f>
        <v>No</v>
      </c>
      <c r="Z699" t="str">
        <f>IF(MAIN!$F$3="Project to Date",IF(AND(A699&gt;=SETTINGS!$B$4,A699&lt;MAIN!$B$3),"Yes",IF(AND(A699=MAIN!$B$3,E699&lt;=MAIN!$L$3),"Yes","No")),IF(OR(MAIN!$F$3="Full Year",MAIN!$D$3="All"),"Yes",IF(MAIN!$F$3="Monthly",IF(E699=MAIN!$L$3,"Yes","No"),IF(E699&lt;=MAIN!$L$3,"Yes","No"))))</f>
        <v>Yes</v>
      </c>
      <c r="AA699" t="str">
        <f t="shared" si="65"/>
        <v>No</v>
      </c>
    </row>
    <row r="700" spans="1:27" x14ac:dyDescent="0.3">
      <c r="A700">
        <f>INDEX(SETTINGS!$A$15:$A$24,$B700)</f>
        <v>2028</v>
      </c>
      <c r="B700">
        <v>4</v>
      </c>
      <c r="C700" t="str">
        <f>IF(AND(A700&gt;=SETTINGS!$B$4,A700&lt;=SETTINGS!$B$5),"Yes","No")</f>
        <v>No</v>
      </c>
      <c r="D700" t="str">
        <f>IFERROR(INDEX(SETTINGS!$C$15:$C$24,MATCH(A700,SETTINGS!$A$15:$A$24,0)),"No")</f>
        <v>No</v>
      </c>
      <c r="E700">
        <v>1</v>
      </c>
      <c r="F700" t="s">
        <v>2</v>
      </c>
      <c r="G700">
        <v>25</v>
      </c>
      <c r="H700" t="s">
        <v>108</v>
      </c>
      <c r="I700" t="s">
        <v>22</v>
      </c>
      <c r="J700" t="s">
        <v>28</v>
      </c>
      <c r="K700" t="s">
        <v>3</v>
      </c>
      <c r="L700" s="36">
        <f ca="1">IF(C700&lt;&gt;"Yes",0,IF(A700=2025,N('2025'!D25),IF(A700=2026,N('2026'!D25),IF(A700=2027,N('2027'!D25),IF(A700=2028,N('2028'!D25),IF(A700=2029,N('2029'!D25),IF(A700=2030,N('2030'!D25),IF(A700=2031,N('2031'!D25),IF(A700=2032,N('2032'!D25),IF(A700=2033,N('2033'!D25),IF(A700=2034,N('2034'!D25),IFERROR(N(INDIRECT("'"&amp;A700&amp;"'!D"&amp;G700)),0))))))))))))</f>
        <v>0</v>
      </c>
      <c r="M700" s="36">
        <f>IFERROR(IF(NOT(ISBLANK(KPI_TARGETS!$J$19)),KPI_TARGETS!$J$19,IF(NOT(ISBLANK(KPI_TARGETS!$F$19)),KPI_TARGETS!$F$19,"")),"")</f>
        <v>16</v>
      </c>
      <c r="N700" s="36" t="str">
        <f>IFERROR(KPI_TARGETS!$E$19,"Higher is better")</f>
        <v>Higher is better</v>
      </c>
      <c r="O700" s="37">
        <f t="shared" ca="1" si="60"/>
        <v>0</v>
      </c>
      <c r="P700" t="str">
        <f t="shared" ca="1" si="61"/>
        <v>Red</v>
      </c>
      <c r="Q700" s="36">
        <f t="shared" ca="1" si="62"/>
        <v>-16</v>
      </c>
      <c r="R700" s="36" t="str">
        <f>""</f>
        <v/>
      </c>
      <c r="S700" s="36" t="str">
        <f>""</f>
        <v/>
      </c>
      <c r="T700" s="36" t="str">
        <f>""</f>
        <v/>
      </c>
      <c r="U700" s="36" t="str">
        <f>""</f>
        <v/>
      </c>
      <c r="V700" s="36" t="str">
        <f>""</f>
        <v/>
      </c>
      <c r="W700" s="36">
        <f t="shared" si="63"/>
        <v>1</v>
      </c>
      <c r="X700" t="str">
        <f t="shared" si="64"/>
        <v>Inactive</v>
      </c>
      <c r="Y700" t="str">
        <f>IF(MAIN!$H$3="Selected Year",IF(A700=MAIN!$B$3,"Yes","No"),IF(MAIN!$H$3="Included Years",IF(D700="Yes","Yes","No"),IF(C700="Yes","Yes","No")))</f>
        <v>No</v>
      </c>
      <c r="Z700" t="str">
        <f>IF(MAIN!$F$3="Project to Date",IF(AND(A700&gt;=SETTINGS!$B$4,A700&lt;MAIN!$B$3),"Yes",IF(AND(A700=MAIN!$B$3,E700&lt;=MAIN!$L$3),"Yes","No")),IF(OR(MAIN!$F$3="Full Year",MAIN!$D$3="All"),"Yes",IF(MAIN!$F$3="Monthly",IF(E700=MAIN!$L$3,"Yes","No"),IF(E700&lt;=MAIN!$L$3,"Yes","No"))))</f>
        <v>Yes</v>
      </c>
      <c r="AA700" t="str">
        <f t="shared" si="65"/>
        <v>No</v>
      </c>
    </row>
    <row r="701" spans="1:27" x14ac:dyDescent="0.3">
      <c r="A701">
        <f>INDEX(SETTINGS!$A$15:$A$24,$B701)</f>
        <v>2028</v>
      </c>
      <c r="B701">
        <v>4</v>
      </c>
      <c r="C701" t="str">
        <f>IF(AND(A701&gt;=SETTINGS!$B$4,A701&lt;=SETTINGS!$B$5),"Yes","No")</f>
        <v>No</v>
      </c>
      <c r="D701" t="str">
        <f>IFERROR(INDEX(SETTINGS!$C$15:$C$24,MATCH(A701,SETTINGS!$A$15:$A$24,0)),"No")</f>
        <v>No</v>
      </c>
      <c r="E701">
        <v>1</v>
      </c>
      <c r="F701" t="s">
        <v>2</v>
      </c>
      <c r="G701">
        <v>26</v>
      </c>
      <c r="H701" t="s">
        <v>109</v>
      </c>
      <c r="I701" t="s">
        <v>22</v>
      </c>
      <c r="J701" t="s">
        <v>29</v>
      </c>
      <c r="K701" t="s">
        <v>3</v>
      </c>
      <c r="L701" s="36">
        <f ca="1">IF(C701&lt;&gt;"Yes",0,IF(A701=2025,N('2025'!D26),IF(A701=2026,N('2026'!D26),IF(A701=2027,N('2027'!D26),IF(A701=2028,N('2028'!D26),IF(A701=2029,N('2029'!D26),IF(A701=2030,N('2030'!D26),IF(A701=2031,N('2031'!D26),IF(A701=2032,N('2032'!D26),IF(A701=2033,N('2033'!D26),IF(A701=2034,N('2034'!D26),IFERROR(N(INDIRECT("'"&amp;A701&amp;"'!D"&amp;G701)),0))))))))))))</f>
        <v>0</v>
      </c>
      <c r="M701" s="36">
        <f>IFERROR(IF(NOT(ISBLANK(KPI_TARGETS!$J$20)),KPI_TARGETS!$J$20,IF(NOT(ISBLANK(KPI_TARGETS!$F$20)),KPI_TARGETS!$F$20,"")),"")</f>
        <v>1</v>
      </c>
      <c r="N701" s="36" t="str">
        <f>IFERROR(KPI_TARGETS!$E$20,"Higher is better")</f>
        <v>Higher is better</v>
      </c>
      <c r="O701" s="37">
        <f t="shared" ca="1" si="60"/>
        <v>0</v>
      </c>
      <c r="P701" t="str">
        <f t="shared" ca="1" si="61"/>
        <v>Red</v>
      </c>
      <c r="Q701" s="36">
        <f t="shared" ca="1" si="62"/>
        <v>-1</v>
      </c>
      <c r="R701" s="36" t="str">
        <f>""</f>
        <v/>
      </c>
      <c r="S701" s="36" t="str">
        <f>""</f>
        <v/>
      </c>
      <c r="T701" s="36" t="str">
        <f>""</f>
        <v/>
      </c>
      <c r="U701" s="36" t="str">
        <f>""</f>
        <v/>
      </c>
      <c r="V701" s="36" t="str">
        <f>""</f>
        <v/>
      </c>
      <c r="W701" s="36">
        <f t="shared" si="63"/>
        <v>1</v>
      </c>
      <c r="X701" t="str">
        <f t="shared" si="64"/>
        <v>Inactive</v>
      </c>
      <c r="Y701" t="str">
        <f>IF(MAIN!$H$3="Selected Year",IF(A701=MAIN!$B$3,"Yes","No"),IF(MAIN!$H$3="Included Years",IF(D701="Yes","Yes","No"),IF(C701="Yes","Yes","No")))</f>
        <v>No</v>
      </c>
      <c r="Z701" t="str">
        <f>IF(MAIN!$F$3="Project to Date",IF(AND(A701&gt;=SETTINGS!$B$4,A701&lt;MAIN!$B$3),"Yes",IF(AND(A701=MAIN!$B$3,E701&lt;=MAIN!$L$3),"Yes","No")),IF(OR(MAIN!$F$3="Full Year",MAIN!$D$3="All"),"Yes",IF(MAIN!$F$3="Monthly",IF(E701=MAIN!$L$3,"Yes","No"),IF(E701&lt;=MAIN!$L$3,"Yes","No"))))</f>
        <v>Yes</v>
      </c>
      <c r="AA701" t="str">
        <f t="shared" si="65"/>
        <v>No</v>
      </c>
    </row>
    <row r="702" spans="1:27" x14ac:dyDescent="0.3">
      <c r="A702">
        <f>INDEX(SETTINGS!$A$15:$A$24,$B702)</f>
        <v>2028</v>
      </c>
      <c r="B702">
        <v>4</v>
      </c>
      <c r="C702" t="str">
        <f>IF(AND(A702&gt;=SETTINGS!$B$4,A702&lt;=SETTINGS!$B$5),"Yes","No")</f>
        <v>No</v>
      </c>
      <c r="D702" t="str">
        <f>IFERROR(INDEX(SETTINGS!$C$15:$C$24,MATCH(A702,SETTINGS!$A$15:$A$24,0)),"No")</f>
        <v>No</v>
      </c>
      <c r="E702">
        <v>1</v>
      </c>
      <c r="F702" t="s">
        <v>2</v>
      </c>
      <c r="G702">
        <v>28</v>
      </c>
      <c r="H702" t="s">
        <v>110</v>
      </c>
      <c r="I702" t="s">
        <v>30</v>
      </c>
      <c r="J702" t="s">
        <v>31</v>
      </c>
      <c r="K702" t="s">
        <v>3</v>
      </c>
      <c r="L702" s="36">
        <f ca="1">IF(C702&lt;&gt;"Yes",0,IF(A702=2025,N('2025'!D28),IF(A702=2026,N('2026'!D28),IF(A702=2027,N('2027'!D28),IF(A702=2028,N('2028'!D28),IF(A702=2029,N('2029'!D28),IF(A702=2030,N('2030'!D28),IF(A702=2031,N('2031'!D28),IF(A702=2032,N('2032'!D28),IF(A702=2033,N('2033'!D28),IF(A702=2034,N('2034'!D28),IFERROR(N(INDIRECT("'"&amp;A702&amp;"'!D"&amp;G702)),0))))))))))))</f>
        <v>0</v>
      </c>
      <c r="M702" s="36">
        <f>IFERROR(IF(NOT(ISBLANK(KPI_TARGETS!$J$21)),KPI_TARGETS!$J$21,IF(NOT(ISBLANK(KPI_TARGETS!$F$21)),KPI_TARGETS!$F$21,"")),"")</f>
        <v>0</v>
      </c>
      <c r="N702" s="36" t="str">
        <f>IFERROR(KPI_TARGETS!$E$21,"Higher is better")</f>
        <v>Lower is better</v>
      </c>
      <c r="O702" s="37">
        <f t="shared" ca="1" si="60"/>
        <v>1</v>
      </c>
      <c r="P702" t="str">
        <f t="shared" ca="1" si="61"/>
        <v>Green</v>
      </c>
      <c r="Q702" s="36">
        <f t="shared" ca="1" si="62"/>
        <v>0</v>
      </c>
      <c r="R702" s="36" t="str">
        <f>""</f>
        <v/>
      </c>
      <c r="S702" s="36" t="str">
        <f>""</f>
        <v/>
      </c>
      <c r="T702" s="36" t="str">
        <f>""</f>
        <v/>
      </c>
      <c r="U702" s="36" t="str">
        <f>""</f>
        <v/>
      </c>
      <c r="V702" s="36" t="str">
        <f>""</f>
        <v/>
      </c>
      <c r="W702" s="36">
        <f t="shared" si="63"/>
        <v>1</v>
      </c>
      <c r="X702" t="str">
        <f t="shared" si="64"/>
        <v>Inactive</v>
      </c>
      <c r="Y702" t="str">
        <f>IF(MAIN!$H$3="Selected Year",IF(A702=MAIN!$B$3,"Yes","No"),IF(MAIN!$H$3="Included Years",IF(D702="Yes","Yes","No"),IF(C702="Yes","Yes","No")))</f>
        <v>No</v>
      </c>
      <c r="Z702" t="str">
        <f>IF(MAIN!$F$3="Project to Date",IF(AND(A702&gt;=SETTINGS!$B$4,A702&lt;MAIN!$B$3),"Yes",IF(AND(A702=MAIN!$B$3,E702&lt;=MAIN!$L$3),"Yes","No")),IF(OR(MAIN!$F$3="Full Year",MAIN!$D$3="All"),"Yes",IF(MAIN!$F$3="Monthly",IF(E702=MAIN!$L$3,"Yes","No"),IF(E702&lt;=MAIN!$L$3,"Yes","No"))))</f>
        <v>Yes</v>
      </c>
      <c r="AA702" t="str">
        <f t="shared" si="65"/>
        <v>No</v>
      </c>
    </row>
    <row r="703" spans="1:27" x14ac:dyDescent="0.3">
      <c r="A703">
        <f>INDEX(SETTINGS!$A$15:$A$24,$B703)</f>
        <v>2028</v>
      </c>
      <c r="B703">
        <v>4</v>
      </c>
      <c r="C703" t="str">
        <f>IF(AND(A703&gt;=SETTINGS!$B$4,A703&lt;=SETTINGS!$B$5),"Yes","No")</f>
        <v>No</v>
      </c>
      <c r="D703" t="str">
        <f>IFERROR(INDEX(SETTINGS!$C$15:$C$24,MATCH(A703,SETTINGS!$A$15:$A$24,0)),"No")</f>
        <v>No</v>
      </c>
      <c r="E703">
        <v>1</v>
      </c>
      <c r="F703" t="s">
        <v>2</v>
      </c>
      <c r="G703">
        <v>29</v>
      </c>
      <c r="H703" t="s">
        <v>111</v>
      </c>
      <c r="I703" t="s">
        <v>30</v>
      </c>
      <c r="J703" t="s">
        <v>32</v>
      </c>
      <c r="K703" t="s">
        <v>3</v>
      </c>
      <c r="L703" s="36">
        <f ca="1">IF(C703&lt;&gt;"Yes",0,IF(A703=2025,N('2025'!D29),IF(A703=2026,N('2026'!D29),IF(A703=2027,N('2027'!D29),IF(A703=2028,N('2028'!D29),IF(A703=2029,N('2029'!D29),IF(A703=2030,N('2030'!D29),IF(A703=2031,N('2031'!D29),IF(A703=2032,N('2032'!D29),IF(A703=2033,N('2033'!D29),IF(A703=2034,N('2034'!D29),IFERROR(N(INDIRECT("'"&amp;A703&amp;"'!D"&amp;G703)),0))))))))))))</f>
        <v>0</v>
      </c>
      <c r="M703" s="36">
        <f>IFERROR(IF(NOT(ISBLANK(KPI_TARGETS!$J$22)),KPI_TARGETS!$J$22,IF(NOT(ISBLANK(KPI_TARGETS!$F$22)),KPI_TARGETS!$F$22,"")),"")</f>
        <v>1</v>
      </c>
      <c r="N703" s="36" t="str">
        <f>IFERROR(KPI_TARGETS!$E$22,"Higher is better")</f>
        <v>Higher is better</v>
      </c>
      <c r="O703" s="37">
        <f t="shared" ca="1" si="60"/>
        <v>0</v>
      </c>
      <c r="P703" t="str">
        <f t="shared" ca="1" si="61"/>
        <v>Red</v>
      </c>
      <c r="Q703" s="36">
        <f t="shared" ca="1" si="62"/>
        <v>-1</v>
      </c>
      <c r="R703" s="36" t="str">
        <f>""</f>
        <v/>
      </c>
      <c r="S703" s="36" t="str">
        <f>""</f>
        <v/>
      </c>
      <c r="T703" s="36" t="str">
        <f>""</f>
        <v/>
      </c>
      <c r="U703" s="36" t="str">
        <f>""</f>
        <v/>
      </c>
      <c r="V703" s="36" t="str">
        <f>""</f>
        <v/>
      </c>
      <c r="W703" s="36">
        <f t="shared" si="63"/>
        <v>1</v>
      </c>
      <c r="X703" t="str">
        <f t="shared" si="64"/>
        <v>Inactive</v>
      </c>
      <c r="Y703" t="str">
        <f>IF(MAIN!$H$3="Selected Year",IF(A703=MAIN!$B$3,"Yes","No"),IF(MAIN!$H$3="Included Years",IF(D703="Yes","Yes","No"),IF(C703="Yes","Yes","No")))</f>
        <v>No</v>
      </c>
      <c r="Z703" t="str">
        <f>IF(MAIN!$F$3="Project to Date",IF(AND(A703&gt;=SETTINGS!$B$4,A703&lt;MAIN!$B$3),"Yes",IF(AND(A703=MAIN!$B$3,E703&lt;=MAIN!$L$3),"Yes","No")),IF(OR(MAIN!$F$3="Full Year",MAIN!$D$3="All"),"Yes",IF(MAIN!$F$3="Monthly",IF(E703=MAIN!$L$3,"Yes","No"),IF(E703&lt;=MAIN!$L$3,"Yes","No"))))</f>
        <v>Yes</v>
      </c>
      <c r="AA703" t="str">
        <f t="shared" si="65"/>
        <v>No</v>
      </c>
    </row>
    <row r="704" spans="1:27" x14ac:dyDescent="0.3">
      <c r="A704">
        <f>INDEX(SETTINGS!$A$15:$A$24,$B704)</f>
        <v>2028</v>
      </c>
      <c r="B704">
        <v>4</v>
      </c>
      <c r="C704" t="str">
        <f>IF(AND(A704&gt;=SETTINGS!$B$4,A704&lt;=SETTINGS!$B$5),"Yes","No")</f>
        <v>No</v>
      </c>
      <c r="D704" t="str">
        <f>IFERROR(INDEX(SETTINGS!$C$15:$C$24,MATCH(A704,SETTINGS!$A$15:$A$24,0)),"No")</f>
        <v>No</v>
      </c>
      <c r="E704">
        <v>1</v>
      </c>
      <c r="F704" t="s">
        <v>2</v>
      </c>
      <c r="G704">
        <v>30</v>
      </c>
      <c r="H704" t="s">
        <v>112</v>
      </c>
      <c r="I704" t="s">
        <v>30</v>
      </c>
      <c r="J704" t="s">
        <v>33</v>
      </c>
      <c r="K704" t="s">
        <v>34</v>
      </c>
      <c r="L704" s="36">
        <f ca="1">IF(C704&lt;&gt;"Yes",0,IF(A704=2025,N('2025'!D30),IF(A704=2026,N('2026'!D30),IF(A704=2027,N('2027'!D30),IF(A704=2028,N('2028'!D30),IF(A704=2029,N('2029'!D30),IF(A704=2030,N('2030'!D30),IF(A704=2031,N('2031'!D30),IF(A704=2032,N('2032'!D30),IF(A704=2033,N('2033'!D30),IF(A704=2034,N('2034'!D30),IFERROR(N(INDIRECT("'"&amp;A704&amp;"'!D"&amp;G704)),0))))))))))))</f>
        <v>0</v>
      </c>
      <c r="M704" s="36">
        <f>IFERROR(IF(NOT(ISBLANK(KPI_TARGETS!$J$23)),KPI_TARGETS!$J$23,IF(NOT(ISBLANK(KPI_TARGETS!$F$23)),KPI_TARGETS!$F$23,"")),"")</f>
        <v>1</v>
      </c>
      <c r="N704" s="36" t="str">
        <f>IFERROR(KPI_TARGETS!$E$23,"Higher is better")</f>
        <v>Higher is better</v>
      </c>
      <c r="O704" s="37">
        <f t="shared" ca="1" si="60"/>
        <v>0</v>
      </c>
      <c r="P704" t="str">
        <f t="shared" ca="1" si="61"/>
        <v>Red</v>
      </c>
      <c r="Q704" s="36">
        <f t="shared" ca="1" si="62"/>
        <v>-1</v>
      </c>
      <c r="R704" s="36" t="str">
        <f>""</f>
        <v/>
      </c>
      <c r="S704" s="36" t="str">
        <f>""</f>
        <v/>
      </c>
      <c r="T704" s="36" t="str">
        <f>""</f>
        <v/>
      </c>
      <c r="U704" s="36" t="str">
        <f>""</f>
        <v/>
      </c>
      <c r="V704" s="36" t="str">
        <f>""</f>
        <v/>
      </c>
      <c r="W704" s="36">
        <f t="shared" si="63"/>
        <v>1</v>
      </c>
      <c r="X704" t="str">
        <f t="shared" si="64"/>
        <v>Inactive</v>
      </c>
      <c r="Y704" t="str">
        <f>IF(MAIN!$H$3="Selected Year",IF(A704=MAIN!$B$3,"Yes","No"),IF(MAIN!$H$3="Included Years",IF(D704="Yes","Yes","No"),IF(C704="Yes","Yes","No")))</f>
        <v>No</v>
      </c>
      <c r="Z704" t="str">
        <f>IF(MAIN!$F$3="Project to Date",IF(AND(A704&gt;=SETTINGS!$B$4,A704&lt;MAIN!$B$3),"Yes",IF(AND(A704=MAIN!$B$3,E704&lt;=MAIN!$L$3),"Yes","No")),IF(OR(MAIN!$F$3="Full Year",MAIN!$D$3="All"),"Yes",IF(MAIN!$F$3="Monthly",IF(E704=MAIN!$L$3,"Yes","No"),IF(E704&lt;=MAIN!$L$3,"Yes","No"))))</f>
        <v>Yes</v>
      </c>
      <c r="AA704" t="str">
        <f t="shared" si="65"/>
        <v>No</v>
      </c>
    </row>
    <row r="705" spans="1:27" x14ac:dyDescent="0.3">
      <c r="A705">
        <f>INDEX(SETTINGS!$A$15:$A$24,$B705)</f>
        <v>2028</v>
      </c>
      <c r="B705">
        <v>4</v>
      </c>
      <c r="C705" t="str">
        <f>IF(AND(A705&gt;=SETTINGS!$B$4,A705&lt;=SETTINGS!$B$5),"Yes","No")</f>
        <v>No</v>
      </c>
      <c r="D705" t="str">
        <f>IFERROR(INDEX(SETTINGS!$C$15:$C$24,MATCH(A705,SETTINGS!$A$15:$A$24,0)),"No")</f>
        <v>No</v>
      </c>
      <c r="E705">
        <v>2</v>
      </c>
      <c r="F705" t="s">
        <v>35</v>
      </c>
      <c r="G705">
        <v>33</v>
      </c>
      <c r="H705" t="s">
        <v>88</v>
      </c>
      <c r="I705" t="s">
        <v>89</v>
      </c>
      <c r="J705" t="s">
        <v>10</v>
      </c>
      <c r="K705" t="s">
        <v>3</v>
      </c>
      <c r="L705" s="36">
        <f ca="1">IF(C705&lt;&gt;"Yes",0,IF(A705=2025,N('2025'!D33),IF(A705=2026,N('2026'!D33),IF(A705=2027,N('2027'!D33),IF(A705=2028,N('2028'!D33),IF(A705=2029,N('2029'!D33),IF(A705=2030,N('2030'!D33),IF(A705=2031,N('2031'!D33),IF(A705=2032,N('2032'!D33),IF(A705=2033,N('2033'!D33),IF(A705=2034,N('2034'!D33),IFERROR(N(INDIRECT("'"&amp;A705&amp;"'!D"&amp;G705)),0))))))))))))</f>
        <v>0</v>
      </c>
      <c r="M705" s="36">
        <f>IFERROR(IF(NOT(ISBLANK(KPI_TARGETS!$J$5)),KPI_TARGETS!$J$5,IF(NOT(ISBLANK(KPI_TARGETS!$F$5)),KPI_TARGETS!$F$5,"")),"")</f>
        <v>104</v>
      </c>
      <c r="N705" s="36" t="str">
        <f>IFERROR(KPI_TARGETS!$E$5,"Higher is better")</f>
        <v>Higher is better</v>
      </c>
      <c r="O705" s="37">
        <f t="shared" ca="1" si="60"/>
        <v>0</v>
      </c>
      <c r="P705" t="str">
        <f t="shared" ca="1" si="61"/>
        <v>Red</v>
      </c>
      <c r="Q705" s="36">
        <f t="shared" ca="1" si="62"/>
        <v>-104</v>
      </c>
      <c r="R705" s="36" t="str">
        <f>""</f>
        <v/>
      </c>
      <c r="S705" s="36" t="str">
        <f>""</f>
        <v/>
      </c>
      <c r="T705" s="36" t="str">
        <f>""</f>
        <v/>
      </c>
      <c r="U705" s="36" t="str">
        <f>""</f>
        <v/>
      </c>
      <c r="V705" s="36" t="str">
        <f>""</f>
        <v/>
      </c>
      <c r="W705" s="36">
        <f t="shared" si="63"/>
        <v>1</v>
      </c>
      <c r="X705" t="str">
        <f t="shared" si="64"/>
        <v>Inactive</v>
      </c>
      <c r="Y705" t="str">
        <f>IF(MAIN!$H$3="Selected Year",IF(A705=MAIN!$B$3,"Yes","No"),IF(MAIN!$H$3="Included Years",IF(D705="Yes","Yes","No"),IF(C705="Yes","Yes","No")))</f>
        <v>No</v>
      </c>
      <c r="Z705" t="str">
        <f>IF(MAIN!$F$3="Project to Date",IF(AND(A705&gt;=SETTINGS!$B$4,A705&lt;MAIN!$B$3),"Yes",IF(AND(A705=MAIN!$B$3,E705&lt;=MAIN!$L$3),"Yes","No")),IF(OR(MAIN!$F$3="Full Year",MAIN!$D$3="All"),"Yes",IF(MAIN!$F$3="Monthly",IF(E705=MAIN!$L$3,"Yes","No"),IF(E705&lt;=MAIN!$L$3,"Yes","No"))))</f>
        <v>Yes</v>
      </c>
      <c r="AA705" t="str">
        <f t="shared" si="65"/>
        <v>No</v>
      </c>
    </row>
    <row r="706" spans="1:27" x14ac:dyDescent="0.3">
      <c r="A706">
        <f>INDEX(SETTINGS!$A$15:$A$24,$B706)</f>
        <v>2028</v>
      </c>
      <c r="B706">
        <v>4</v>
      </c>
      <c r="C706" t="str">
        <f>IF(AND(A706&gt;=SETTINGS!$B$4,A706&lt;=SETTINGS!$B$5),"Yes","No")</f>
        <v>No</v>
      </c>
      <c r="D706" t="str">
        <f>IFERROR(INDEX(SETTINGS!$C$15:$C$24,MATCH(A706,SETTINGS!$A$15:$A$24,0)),"No")</f>
        <v>No</v>
      </c>
      <c r="E706">
        <v>2</v>
      </c>
      <c r="F706" t="s">
        <v>35</v>
      </c>
      <c r="G706">
        <v>34</v>
      </c>
      <c r="H706" t="s">
        <v>91</v>
      </c>
      <c r="I706" t="s">
        <v>89</v>
      </c>
      <c r="J706" t="s">
        <v>11</v>
      </c>
      <c r="K706" t="s">
        <v>12</v>
      </c>
      <c r="L706" s="36">
        <f ca="1">IF(C706&lt;&gt;"Yes",0,IF(A706=2025,N('2025'!D34),IF(A706=2026,N('2026'!D34),IF(A706=2027,N('2027'!D34),IF(A706=2028,N('2028'!D34),IF(A706=2029,N('2029'!D34),IF(A706=2030,N('2030'!D34),IF(A706=2031,N('2031'!D34),IF(A706=2032,N('2032'!D34),IF(A706=2033,N('2033'!D34),IF(A706=2034,N('2034'!D34),IFERROR(N(INDIRECT("'"&amp;A706&amp;"'!D"&amp;G706)),0))))))))))))</f>
        <v>0</v>
      </c>
      <c r="M706" s="36">
        <f>IFERROR(IF(NOT(ISBLANK(KPI_TARGETS!$J$6)),KPI_TARGETS!$J$6,IF(NOT(ISBLANK(KPI_TARGETS!$F$6)),KPI_TARGETS!$F$6,"")),"")</f>
        <v>4000</v>
      </c>
      <c r="N706" s="36" t="str">
        <f>IFERROR(KPI_TARGETS!$E$6,"Higher is better")</f>
        <v>Higher is better</v>
      </c>
      <c r="O706" s="37">
        <f t="shared" ref="O706:O769" ca="1" si="66">IF(M706="","",IF(N706="Higher is better",IFERROR(L706/M706,""),IF(L706=0,1,IFERROR(M706/L706,""))))</f>
        <v>0</v>
      </c>
      <c r="P706" t="str">
        <f t="shared" ref="P706:P769" ca="1" si="67">IF(M706="","Target Needed",IF(N706="Higher is better",IF(L706&gt;=M706,"Green",IF(L706&gt;=0.8*M706,"Amber","Red")),IF(M706=0,IF(L706=0,"Green","Red"),IF(L706&lt;=M706,"Green",IF(L706&lt;=1.25*M706,"Amber","Red")))))</f>
        <v>Red</v>
      </c>
      <c r="Q706" s="36">
        <f t="shared" ref="Q706:Q769" ca="1" si="68">IF(M706="","",IF(N706="Higher is better",L706-M706,M706-L706))</f>
        <v>-4000</v>
      </c>
      <c r="R706" s="36" t="str">
        <f>""</f>
        <v/>
      </c>
      <c r="S706" s="36" t="str">
        <f>""</f>
        <v/>
      </c>
      <c r="T706" s="36" t="str">
        <f>""</f>
        <v/>
      </c>
      <c r="U706" s="36" t="str">
        <f>""</f>
        <v/>
      </c>
      <c r="V706" s="36" t="str">
        <f>""</f>
        <v/>
      </c>
      <c r="W706" s="36">
        <f t="shared" ref="W706:W769" si="69">IF(LEN(M706&amp;"")&gt;0,1,0)</f>
        <v>1</v>
      </c>
      <c r="X706" t="str">
        <f t="shared" ref="X706:X769" si="70">IF(C706&lt;&gt;"Yes","Inactive",IF(M706="","Missing target","OK"))</f>
        <v>Inactive</v>
      </c>
      <c r="Y706" t="str">
        <f>IF(MAIN!$H$3="Selected Year",IF(A706=MAIN!$B$3,"Yes","No"),IF(MAIN!$H$3="Included Years",IF(D706="Yes","Yes","No"),IF(C706="Yes","Yes","No")))</f>
        <v>No</v>
      </c>
      <c r="Z706" t="str">
        <f>IF(MAIN!$F$3="Project to Date",IF(AND(A706&gt;=SETTINGS!$B$4,A706&lt;MAIN!$B$3),"Yes",IF(AND(A706=MAIN!$B$3,E706&lt;=MAIN!$L$3),"Yes","No")),IF(OR(MAIN!$F$3="Full Year",MAIN!$D$3="All"),"Yes",IF(MAIN!$F$3="Monthly",IF(E706=MAIN!$L$3,"Yes","No"),IF(E706&lt;=MAIN!$L$3,"Yes","No"))))</f>
        <v>Yes</v>
      </c>
      <c r="AA706" t="str">
        <f t="shared" ref="AA706:AA769" si="71">IF(AND(Y706="Yes",Z706="Yes"),"Yes","No")</f>
        <v>No</v>
      </c>
    </row>
    <row r="707" spans="1:27" x14ac:dyDescent="0.3">
      <c r="A707">
        <f>INDEX(SETTINGS!$A$15:$A$24,$B707)</f>
        <v>2028</v>
      </c>
      <c r="B707">
        <v>4</v>
      </c>
      <c r="C707" t="str">
        <f>IF(AND(A707&gt;=SETTINGS!$B$4,A707&lt;=SETTINGS!$B$5),"Yes","No")</f>
        <v>No</v>
      </c>
      <c r="D707" t="str">
        <f>IFERROR(INDEX(SETTINGS!$C$15:$C$24,MATCH(A707,SETTINGS!$A$15:$A$24,0)),"No")</f>
        <v>No</v>
      </c>
      <c r="E707">
        <v>2</v>
      </c>
      <c r="F707" t="s">
        <v>35</v>
      </c>
      <c r="G707">
        <v>35</v>
      </c>
      <c r="H707" t="s">
        <v>93</v>
      </c>
      <c r="I707" t="s">
        <v>89</v>
      </c>
      <c r="J707" t="s">
        <v>13</v>
      </c>
      <c r="K707" t="s">
        <v>14</v>
      </c>
      <c r="L707" s="36">
        <f ca="1">IF(C707&lt;&gt;"Yes",0,IF(A707=2025,N('2025'!D35),IF(A707=2026,N('2026'!D35),IF(A707=2027,N('2027'!D35),IF(A707=2028,N('2028'!D35),IF(A707=2029,N('2029'!D35),IF(A707=2030,N('2030'!D35),IF(A707=2031,N('2031'!D35),IF(A707=2032,N('2032'!D35),IF(A707=2033,N('2033'!D35),IF(A707=2034,N('2034'!D35),IFERROR(N(INDIRECT("'"&amp;A707&amp;"'!D"&amp;G707)),0))))))))))))</f>
        <v>0</v>
      </c>
      <c r="M707" s="36">
        <f>IFERROR(IF(NOT(ISBLANK(KPI_TARGETS!$J$7)),KPI_TARGETS!$J$7,IF(NOT(ISBLANK(KPI_TARGETS!$F$7)),KPI_TARGETS!$F$7,"")),"")</f>
        <v>8000</v>
      </c>
      <c r="N707" s="36" t="str">
        <f>IFERROR(KPI_TARGETS!$E$7,"Higher is better")</f>
        <v>Higher is better</v>
      </c>
      <c r="O707" s="37">
        <f t="shared" ca="1" si="66"/>
        <v>0</v>
      </c>
      <c r="P707" t="str">
        <f t="shared" ca="1" si="67"/>
        <v>Red</v>
      </c>
      <c r="Q707" s="36">
        <f t="shared" ca="1" si="68"/>
        <v>-8000</v>
      </c>
      <c r="R707" s="36" t="str">
        <f>""</f>
        <v/>
      </c>
      <c r="S707" s="36" t="str">
        <f>""</f>
        <v/>
      </c>
      <c r="T707" s="36" t="str">
        <f>""</f>
        <v/>
      </c>
      <c r="U707" s="36" t="str">
        <f>""</f>
        <v/>
      </c>
      <c r="V707" s="36" t="str">
        <f>""</f>
        <v/>
      </c>
      <c r="W707" s="36">
        <f t="shared" si="69"/>
        <v>1</v>
      </c>
      <c r="X707" t="str">
        <f t="shared" si="70"/>
        <v>Inactive</v>
      </c>
      <c r="Y707" t="str">
        <f>IF(MAIN!$H$3="Selected Year",IF(A707=MAIN!$B$3,"Yes","No"),IF(MAIN!$H$3="Included Years",IF(D707="Yes","Yes","No"),IF(C707="Yes","Yes","No")))</f>
        <v>No</v>
      </c>
      <c r="Z707" t="str">
        <f>IF(MAIN!$F$3="Project to Date",IF(AND(A707&gt;=SETTINGS!$B$4,A707&lt;MAIN!$B$3),"Yes",IF(AND(A707=MAIN!$B$3,E707&lt;=MAIN!$L$3),"Yes","No")),IF(OR(MAIN!$F$3="Full Year",MAIN!$D$3="All"),"Yes",IF(MAIN!$F$3="Monthly",IF(E707=MAIN!$L$3,"Yes","No"),IF(E707&lt;=MAIN!$L$3,"Yes","No"))))</f>
        <v>Yes</v>
      </c>
      <c r="AA707" t="str">
        <f t="shared" si="71"/>
        <v>No</v>
      </c>
    </row>
    <row r="708" spans="1:27" x14ac:dyDescent="0.3">
      <c r="A708">
        <f>INDEX(SETTINGS!$A$15:$A$24,$B708)</f>
        <v>2028</v>
      </c>
      <c r="B708">
        <v>4</v>
      </c>
      <c r="C708" t="str">
        <f>IF(AND(A708&gt;=SETTINGS!$B$4,A708&lt;=SETTINGS!$B$5),"Yes","No")</f>
        <v>No</v>
      </c>
      <c r="D708" t="str">
        <f>IFERROR(INDEX(SETTINGS!$C$15:$C$24,MATCH(A708,SETTINGS!$A$15:$A$24,0)),"No")</f>
        <v>No</v>
      </c>
      <c r="E708">
        <v>2</v>
      </c>
      <c r="F708" t="s">
        <v>35</v>
      </c>
      <c r="G708">
        <v>37</v>
      </c>
      <c r="H708" t="s">
        <v>95</v>
      </c>
      <c r="I708" t="s">
        <v>15</v>
      </c>
      <c r="J708" t="s">
        <v>16</v>
      </c>
      <c r="K708" t="s">
        <v>3</v>
      </c>
      <c r="L708" s="36">
        <f ca="1">IF(C708&lt;&gt;"Yes",0,IF(A708=2025,N('2025'!D37),IF(A708=2026,N('2026'!D37),IF(A708=2027,N('2027'!D37),IF(A708=2028,N('2028'!D37),IF(A708=2029,N('2029'!D37),IF(A708=2030,N('2030'!D37),IF(A708=2031,N('2031'!D37),IF(A708=2032,N('2032'!D37),IF(A708=2033,N('2033'!D37),IF(A708=2034,N('2034'!D37),IFERROR(N(INDIRECT("'"&amp;A708&amp;"'!D"&amp;G708)),0))))))))))))</f>
        <v>0</v>
      </c>
      <c r="M708" s="36">
        <f>IFERROR(IF(NOT(ISBLANK(KPI_TARGETS!$J$8)),KPI_TARGETS!$J$8,IF(NOT(ISBLANK(KPI_TARGETS!$F$8)),KPI_TARGETS!$F$8,"")),"")</f>
        <v>0</v>
      </c>
      <c r="N708" s="36" t="str">
        <f>IFERROR(KPI_TARGETS!$E$8,"Higher is better")</f>
        <v>Lower is better</v>
      </c>
      <c r="O708" s="37">
        <f t="shared" ca="1" si="66"/>
        <v>1</v>
      </c>
      <c r="P708" t="str">
        <f t="shared" ca="1" si="67"/>
        <v>Green</v>
      </c>
      <c r="Q708" s="36">
        <f t="shared" ca="1" si="68"/>
        <v>0</v>
      </c>
      <c r="R708" s="36" t="str">
        <f>""</f>
        <v/>
      </c>
      <c r="S708" s="36" t="str">
        <f>""</f>
        <v/>
      </c>
      <c r="T708" s="36" t="str">
        <f>""</f>
        <v/>
      </c>
      <c r="U708" s="36" t="str">
        <f>""</f>
        <v/>
      </c>
      <c r="V708" s="36" t="str">
        <f>""</f>
        <v/>
      </c>
      <c r="W708" s="36">
        <f t="shared" si="69"/>
        <v>1</v>
      </c>
      <c r="X708" t="str">
        <f t="shared" si="70"/>
        <v>Inactive</v>
      </c>
      <c r="Y708" t="str">
        <f>IF(MAIN!$H$3="Selected Year",IF(A708=MAIN!$B$3,"Yes","No"),IF(MAIN!$H$3="Included Years",IF(D708="Yes","Yes","No"),IF(C708="Yes","Yes","No")))</f>
        <v>No</v>
      </c>
      <c r="Z708" t="str">
        <f>IF(MAIN!$F$3="Project to Date",IF(AND(A708&gt;=SETTINGS!$B$4,A708&lt;MAIN!$B$3),"Yes",IF(AND(A708=MAIN!$B$3,E708&lt;=MAIN!$L$3),"Yes","No")),IF(OR(MAIN!$F$3="Full Year",MAIN!$D$3="All"),"Yes",IF(MAIN!$F$3="Monthly",IF(E708=MAIN!$L$3,"Yes","No"),IF(E708&lt;=MAIN!$L$3,"Yes","No"))))</f>
        <v>Yes</v>
      </c>
      <c r="AA708" t="str">
        <f t="shared" si="71"/>
        <v>No</v>
      </c>
    </row>
    <row r="709" spans="1:27" x14ac:dyDescent="0.3">
      <c r="A709">
        <f>INDEX(SETTINGS!$A$15:$A$24,$B709)</f>
        <v>2028</v>
      </c>
      <c r="B709">
        <v>4</v>
      </c>
      <c r="C709" t="str">
        <f>IF(AND(A709&gt;=SETTINGS!$B$4,A709&lt;=SETTINGS!$B$5),"Yes","No")</f>
        <v>No</v>
      </c>
      <c r="D709" t="str">
        <f>IFERROR(INDEX(SETTINGS!$C$15:$C$24,MATCH(A709,SETTINGS!$A$15:$A$24,0)),"No")</f>
        <v>No</v>
      </c>
      <c r="E709">
        <v>2</v>
      </c>
      <c r="F709" t="s">
        <v>35</v>
      </c>
      <c r="G709">
        <v>38</v>
      </c>
      <c r="H709" t="s">
        <v>97</v>
      </c>
      <c r="I709" t="s">
        <v>15</v>
      </c>
      <c r="J709" t="s">
        <v>17</v>
      </c>
      <c r="K709" t="s">
        <v>3</v>
      </c>
      <c r="L709" s="36">
        <f ca="1">IF(C709&lt;&gt;"Yes",0,IF(A709=2025,N('2025'!D38),IF(A709=2026,N('2026'!D38),IF(A709=2027,N('2027'!D38),IF(A709=2028,N('2028'!D38),IF(A709=2029,N('2029'!D38),IF(A709=2030,N('2030'!D38),IF(A709=2031,N('2031'!D38),IF(A709=2032,N('2032'!D38),IF(A709=2033,N('2033'!D38),IF(A709=2034,N('2034'!D38),IFERROR(N(INDIRECT("'"&amp;A709&amp;"'!D"&amp;G709)),0))))))))))))</f>
        <v>0</v>
      </c>
      <c r="M709" s="36">
        <f>IFERROR(IF(NOT(ISBLANK(KPI_TARGETS!$J$9)),KPI_TARGETS!$J$9,IF(NOT(ISBLANK(KPI_TARGETS!$F$9)),KPI_TARGETS!$F$9,"")),"")</f>
        <v>0</v>
      </c>
      <c r="N709" s="36" t="str">
        <f>IFERROR(KPI_TARGETS!$E$9,"Higher is better")</f>
        <v>Higher is better</v>
      </c>
      <c r="O709" s="37" t="str">
        <f t="shared" ca="1" si="66"/>
        <v/>
      </c>
      <c r="P709" t="str">
        <f t="shared" ca="1" si="67"/>
        <v>Green</v>
      </c>
      <c r="Q709" s="36">
        <f t="shared" ca="1" si="68"/>
        <v>0</v>
      </c>
      <c r="R709" s="36" t="str">
        <f>""</f>
        <v/>
      </c>
      <c r="S709" s="36" t="str">
        <f>""</f>
        <v/>
      </c>
      <c r="T709" s="36" t="str">
        <f>""</f>
        <v/>
      </c>
      <c r="U709" s="36" t="str">
        <f>""</f>
        <v/>
      </c>
      <c r="V709" s="36" t="str">
        <f>""</f>
        <v/>
      </c>
      <c r="W709" s="36">
        <f t="shared" si="69"/>
        <v>1</v>
      </c>
      <c r="X709" t="str">
        <f t="shared" si="70"/>
        <v>Inactive</v>
      </c>
      <c r="Y709" t="str">
        <f>IF(MAIN!$H$3="Selected Year",IF(A709=MAIN!$B$3,"Yes","No"),IF(MAIN!$H$3="Included Years",IF(D709="Yes","Yes","No"),IF(C709="Yes","Yes","No")))</f>
        <v>No</v>
      </c>
      <c r="Z709" t="str">
        <f>IF(MAIN!$F$3="Project to Date",IF(AND(A709&gt;=SETTINGS!$B$4,A709&lt;MAIN!$B$3),"Yes",IF(AND(A709=MAIN!$B$3,E709&lt;=MAIN!$L$3),"Yes","No")),IF(OR(MAIN!$F$3="Full Year",MAIN!$D$3="All"),"Yes",IF(MAIN!$F$3="Monthly",IF(E709=MAIN!$L$3,"Yes","No"),IF(E709&lt;=MAIN!$L$3,"Yes","No"))))</f>
        <v>Yes</v>
      </c>
      <c r="AA709" t="str">
        <f t="shared" si="71"/>
        <v>No</v>
      </c>
    </row>
    <row r="710" spans="1:27" x14ac:dyDescent="0.3">
      <c r="A710">
        <f>INDEX(SETTINGS!$A$15:$A$24,$B710)</f>
        <v>2028</v>
      </c>
      <c r="B710">
        <v>4</v>
      </c>
      <c r="C710" t="str">
        <f>IF(AND(A710&gt;=SETTINGS!$B$4,A710&lt;=SETTINGS!$B$5),"Yes","No")</f>
        <v>No</v>
      </c>
      <c r="D710" t="str">
        <f>IFERROR(INDEX(SETTINGS!$C$15:$C$24,MATCH(A710,SETTINGS!$A$15:$A$24,0)),"No")</f>
        <v>No</v>
      </c>
      <c r="E710">
        <v>2</v>
      </c>
      <c r="F710" t="s">
        <v>35</v>
      </c>
      <c r="G710">
        <v>39</v>
      </c>
      <c r="H710" t="s">
        <v>99</v>
      </c>
      <c r="I710" t="s">
        <v>15</v>
      </c>
      <c r="J710" t="s">
        <v>18</v>
      </c>
      <c r="K710" t="s">
        <v>3</v>
      </c>
      <c r="L710" s="36">
        <f ca="1">IF(C710&lt;&gt;"Yes",0,IF(A710=2025,N('2025'!D39),IF(A710=2026,N('2026'!D39),IF(A710=2027,N('2027'!D39),IF(A710=2028,N('2028'!D39),IF(A710=2029,N('2029'!D39),IF(A710=2030,N('2030'!D39),IF(A710=2031,N('2031'!D39),IF(A710=2032,N('2032'!D39),IF(A710=2033,N('2033'!D39),IF(A710=2034,N('2034'!D39),IFERROR(N(INDIRECT("'"&amp;A710&amp;"'!D"&amp;G710)),0))))))))))))</f>
        <v>0</v>
      </c>
      <c r="M710" s="36">
        <f>IFERROR(IF(NOT(ISBLANK(KPI_TARGETS!$J$10)),KPI_TARGETS!$J$10,IF(NOT(ISBLANK(KPI_TARGETS!$F$10)),KPI_TARGETS!$F$10,"")),"")</f>
        <v>0</v>
      </c>
      <c r="N710" s="36" t="str">
        <f>IFERROR(KPI_TARGETS!$E$10,"Higher is better")</f>
        <v>Lower is better</v>
      </c>
      <c r="O710" s="37">
        <f t="shared" ca="1" si="66"/>
        <v>1</v>
      </c>
      <c r="P710" t="str">
        <f t="shared" ca="1" si="67"/>
        <v>Green</v>
      </c>
      <c r="Q710" s="36">
        <f t="shared" ca="1" si="68"/>
        <v>0</v>
      </c>
      <c r="R710" s="36" t="str">
        <f>""</f>
        <v/>
      </c>
      <c r="S710" s="36" t="str">
        <f>""</f>
        <v/>
      </c>
      <c r="T710" s="36" t="str">
        <f>""</f>
        <v/>
      </c>
      <c r="U710" s="36" t="str">
        <f>""</f>
        <v/>
      </c>
      <c r="V710" s="36" t="str">
        <f>""</f>
        <v/>
      </c>
      <c r="W710" s="36">
        <f t="shared" si="69"/>
        <v>1</v>
      </c>
      <c r="X710" t="str">
        <f t="shared" si="70"/>
        <v>Inactive</v>
      </c>
      <c r="Y710" t="str">
        <f>IF(MAIN!$H$3="Selected Year",IF(A710=MAIN!$B$3,"Yes","No"),IF(MAIN!$H$3="Included Years",IF(D710="Yes","Yes","No"),IF(C710="Yes","Yes","No")))</f>
        <v>No</v>
      </c>
      <c r="Z710" t="str">
        <f>IF(MAIN!$F$3="Project to Date",IF(AND(A710&gt;=SETTINGS!$B$4,A710&lt;MAIN!$B$3),"Yes",IF(AND(A710=MAIN!$B$3,E710&lt;=MAIN!$L$3),"Yes","No")),IF(OR(MAIN!$F$3="Full Year",MAIN!$D$3="All"),"Yes",IF(MAIN!$F$3="Monthly",IF(E710=MAIN!$L$3,"Yes","No"),IF(E710&lt;=MAIN!$L$3,"Yes","No"))))</f>
        <v>Yes</v>
      </c>
      <c r="AA710" t="str">
        <f t="shared" si="71"/>
        <v>No</v>
      </c>
    </row>
    <row r="711" spans="1:27" x14ac:dyDescent="0.3">
      <c r="A711">
        <f>INDEX(SETTINGS!$A$15:$A$24,$B711)</f>
        <v>2028</v>
      </c>
      <c r="B711">
        <v>4</v>
      </c>
      <c r="C711" t="str">
        <f>IF(AND(A711&gt;=SETTINGS!$B$4,A711&lt;=SETTINGS!$B$5),"Yes","No")</f>
        <v>No</v>
      </c>
      <c r="D711" t="str">
        <f>IFERROR(INDEX(SETTINGS!$C$15:$C$24,MATCH(A711,SETTINGS!$A$15:$A$24,0)),"No")</f>
        <v>No</v>
      </c>
      <c r="E711">
        <v>2</v>
      </c>
      <c r="F711" t="s">
        <v>35</v>
      </c>
      <c r="G711">
        <v>40</v>
      </c>
      <c r="H711" t="s">
        <v>100</v>
      </c>
      <c r="I711" t="s">
        <v>15</v>
      </c>
      <c r="J711" t="s">
        <v>19</v>
      </c>
      <c r="K711" t="s">
        <v>3</v>
      </c>
      <c r="L711" s="36">
        <f ca="1">IF(C711&lt;&gt;"Yes",0,IF(A711=2025,N('2025'!D40),IF(A711=2026,N('2026'!D40),IF(A711=2027,N('2027'!D40),IF(A711=2028,N('2028'!D40),IF(A711=2029,N('2029'!D40),IF(A711=2030,N('2030'!D40),IF(A711=2031,N('2031'!D40),IF(A711=2032,N('2032'!D40),IF(A711=2033,N('2033'!D40),IF(A711=2034,N('2034'!D40),IFERROR(N(INDIRECT("'"&amp;A711&amp;"'!D"&amp;G711)),0))))))))))))</f>
        <v>0</v>
      </c>
      <c r="M711" s="36">
        <f>IFERROR(IF(NOT(ISBLANK(KPI_TARGETS!$J$11)),KPI_TARGETS!$J$11,IF(NOT(ISBLANK(KPI_TARGETS!$F$11)),KPI_TARGETS!$F$11,"")),"")</f>
        <v>0</v>
      </c>
      <c r="N711" s="36" t="str">
        <f>IFERROR(KPI_TARGETS!$E$11,"Higher is better")</f>
        <v>Lower is better</v>
      </c>
      <c r="O711" s="37">
        <f t="shared" ca="1" si="66"/>
        <v>1</v>
      </c>
      <c r="P711" t="str">
        <f t="shared" ca="1" si="67"/>
        <v>Green</v>
      </c>
      <c r="Q711" s="36">
        <f t="shared" ca="1" si="68"/>
        <v>0</v>
      </c>
      <c r="R711" s="36" t="str">
        <f>""</f>
        <v/>
      </c>
      <c r="S711" s="36" t="str">
        <f>""</f>
        <v/>
      </c>
      <c r="T711" s="36" t="str">
        <f>""</f>
        <v/>
      </c>
      <c r="U711" s="36" t="str">
        <f>""</f>
        <v/>
      </c>
      <c r="V711" s="36" t="str">
        <f>""</f>
        <v/>
      </c>
      <c r="W711" s="36">
        <f t="shared" si="69"/>
        <v>1</v>
      </c>
      <c r="X711" t="str">
        <f t="shared" si="70"/>
        <v>Inactive</v>
      </c>
      <c r="Y711" t="str">
        <f>IF(MAIN!$H$3="Selected Year",IF(A711=MAIN!$B$3,"Yes","No"),IF(MAIN!$H$3="Included Years",IF(D711="Yes","Yes","No"),IF(C711="Yes","Yes","No")))</f>
        <v>No</v>
      </c>
      <c r="Z711" t="str">
        <f>IF(MAIN!$F$3="Project to Date",IF(AND(A711&gt;=SETTINGS!$B$4,A711&lt;MAIN!$B$3),"Yes",IF(AND(A711=MAIN!$B$3,E711&lt;=MAIN!$L$3),"Yes","No")),IF(OR(MAIN!$F$3="Full Year",MAIN!$D$3="All"),"Yes",IF(MAIN!$F$3="Monthly",IF(E711=MAIN!$L$3,"Yes","No"),IF(E711&lt;=MAIN!$L$3,"Yes","No"))))</f>
        <v>Yes</v>
      </c>
      <c r="AA711" t="str">
        <f t="shared" si="71"/>
        <v>No</v>
      </c>
    </row>
    <row r="712" spans="1:27" x14ac:dyDescent="0.3">
      <c r="A712">
        <f>INDEX(SETTINGS!$A$15:$A$24,$B712)</f>
        <v>2028</v>
      </c>
      <c r="B712">
        <v>4</v>
      </c>
      <c r="C712" t="str">
        <f>IF(AND(A712&gt;=SETTINGS!$B$4,A712&lt;=SETTINGS!$B$5),"Yes","No")</f>
        <v>No</v>
      </c>
      <c r="D712" t="str">
        <f>IFERROR(INDEX(SETTINGS!$C$15:$C$24,MATCH(A712,SETTINGS!$A$15:$A$24,0)),"No")</f>
        <v>No</v>
      </c>
      <c r="E712">
        <v>2</v>
      </c>
      <c r="F712" t="s">
        <v>35</v>
      </c>
      <c r="G712">
        <v>41</v>
      </c>
      <c r="H712" t="s">
        <v>101</v>
      </c>
      <c r="I712" t="s">
        <v>15</v>
      </c>
      <c r="J712" t="s">
        <v>20</v>
      </c>
      <c r="K712" t="s">
        <v>3</v>
      </c>
      <c r="L712" s="36">
        <f ca="1">IF(C712&lt;&gt;"Yes",0,IF(A712=2025,N('2025'!D41),IF(A712=2026,N('2026'!D41),IF(A712=2027,N('2027'!D41),IF(A712=2028,N('2028'!D41),IF(A712=2029,N('2029'!D41),IF(A712=2030,N('2030'!D41),IF(A712=2031,N('2031'!D41),IF(A712=2032,N('2032'!D41),IF(A712=2033,N('2033'!D41),IF(A712=2034,N('2034'!D41),IFERROR(N(INDIRECT("'"&amp;A712&amp;"'!D"&amp;G712)),0))))))))))))</f>
        <v>0</v>
      </c>
      <c r="M712" s="36">
        <f>IFERROR(IF(NOT(ISBLANK(KPI_TARGETS!$J$12)),KPI_TARGETS!$J$12,IF(NOT(ISBLANK(KPI_TARGETS!$F$12)),KPI_TARGETS!$F$12,"")),"")</f>
        <v>0</v>
      </c>
      <c r="N712" s="36" t="str">
        <f>IFERROR(KPI_TARGETS!$E$12,"Higher is better")</f>
        <v>Lower is better</v>
      </c>
      <c r="O712" s="37">
        <f t="shared" ca="1" si="66"/>
        <v>1</v>
      </c>
      <c r="P712" t="str">
        <f t="shared" ca="1" si="67"/>
        <v>Green</v>
      </c>
      <c r="Q712" s="36">
        <f t="shared" ca="1" si="68"/>
        <v>0</v>
      </c>
      <c r="R712" s="36" t="str">
        <f>""</f>
        <v/>
      </c>
      <c r="S712" s="36" t="str">
        <f>""</f>
        <v/>
      </c>
      <c r="T712" s="36" t="str">
        <f>""</f>
        <v/>
      </c>
      <c r="U712" s="36" t="str">
        <f>""</f>
        <v/>
      </c>
      <c r="V712" s="36" t="str">
        <f>""</f>
        <v/>
      </c>
      <c r="W712" s="36">
        <f t="shared" si="69"/>
        <v>1</v>
      </c>
      <c r="X712" t="str">
        <f t="shared" si="70"/>
        <v>Inactive</v>
      </c>
      <c r="Y712" t="str">
        <f>IF(MAIN!$H$3="Selected Year",IF(A712=MAIN!$B$3,"Yes","No"),IF(MAIN!$H$3="Included Years",IF(D712="Yes","Yes","No"),IF(C712="Yes","Yes","No")))</f>
        <v>No</v>
      </c>
      <c r="Z712" t="str">
        <f>IF(MAIN!$F$3="Project to Date",IF(AND(A712&gt;=SETTINGS!$B$4,A712&lt;MAIN!$B$3),"Yes",IF(AND(A712=MAIN!$B$3,E712&lt;=MAIN!$L$3),"Yes","No")),IF(OR(MAIN!$F$3="Full Year",MAIN!$D$3="All"),"Yes",IF(MAIN!$F$3="Monthly",IF(E712=MAIN!$L$3,"Yes","No"),IF(E712&lt;=MAIN!$L$3,"Yes","No"))))</f>
        <v>Yes</v>
      </c>
      <c r="AA712" t="str">
        <f t="shared" si="71"/>
        <v>No</v>
      </c>
    </row>
    <row r="713" spans="1:27" x14ac:dyDescent="0.3">
      <c r="A713">
        <f>INDEX(SETTINGS!$A$15:$A$24,$B713)</f>
        <v>2028</v>
      </c>
      <c r="B713">
        <v>4</v>
      </c>
      <c r="C713" t="str">
        <f>IF(AND(A713&gt;=SETTINGS!$B$4,A713&lt;=SETTINGS!$B$5),"Yes","No")</f>
        <v>No</v>
      </c>
      <c r="D713" t="str">
        <f>IFERROR(INDEX(SETTINGS!$C$15:$C$24,MATCH(A713,SETTINGS!$A$15:$A$24,0)),"No")</f>
        <v>No</v>
      </c>
      <c r="E713">
        <v>2</v>
      </c>
      <c r="F713" t="s">
        <v>35</v>
      </c>
      <c r="G713">
        <v>42</v>
      </c>
      <c r="H713" t="s">
        <v>102</v>
      </c>
      <c r="I713" t="s">
        <v>15</v>
      </c>
      <c r="J713" t="s">
        <v>21</v>
      </c>
      <c r="K713" t="s">
        <v>3</v>
      </c>
      <c r="L713" s="36">
        <f ca="1">IF(C713&lt;&gt;"Yes",0,IF(A713=2025,N('2025'!D42),IF(A713=2026,N('2026'!D42),IF(A713=2027,N('2027'!D42),IF(A713=2028,N('2028'!D42),IF(A713=2029,N('2029'!D42),IF(A713=2030,N('2030'!D42),IF(A713=2031,N('2031'!D42),IF(A713=2032,N('2032'!D42),IF(A713=2033,N('2033'!D42),IF(A713=2034,N('2034'!D42),IFERROR(N(INDIRECT("'"&amp;A713&amp;"'!D"&amp;G713)),0))))))))))))</f>
        <v>0</v>
      </c>
      <c r="M713" s="36">
        <f>IFERROR(IF(NOT(ISBLANK(KPI_TARGETS!$J$13)),KPI_TARGETS!$J$13,IF(NOT(ISBLANK(KPI_TARGETS!$F$13)),KPI_TARGETS!$F$13,"")),"")</f>
        <v>0</v>
      </c>
      <c r="N713" s="36" t="str">
        <f>IFERROR(KPI_TARGETS!$E$13,"Higher is better")</f>
        <v>Lower is better</v>
      </c>
      <c r="O713" s="37">
        <f t="shared" ca="1" si="66"/>
        <v>1</v>
      </c>
      <c r="P713" t="str">
        <f t="shared" ca="1" si="67"/>
        <v>Green</v>
      </c>
      <c r="Q713" s="36">
        <f t="shared" ca="1" si="68"/>
        <v>0</v>
      </c>
      <c r="R713" s="36" t="str">
        <f>""</f>
        <v/>
      </c>
      <c r="S713" s="36" t="str">
        <f>""</f>
        <v/>
      </c>
      <c r="T713" s="36" t="str">
        <f>""</f>
        <v/>
      </c>
      <c r="U713" s="36" t="str">
        <f>""</f>
        <v/>
      </c>
      <c r="V713" s="36" t="str">
        <f>""</f>
        <v/>
      </c>
      <c r="W713" s="36">
        <f t="shared" si="69"/>
        <v>1</v>
      </c>
      <c r="X713" t="str">
        <f t="shared" si="70"/>
        <v>Inactive</v>
      </c>
      <c r="Y713" t="str">
        <f>IF(MAIN!$H$3="Selected Year",IF(A713=MAIN!$B$3,"Yes","No"),IF(MAIN!$H$3="Included Years",IF(D713="Yes","Yes","No"),IF(C713="Yes","Yes","No")))</f>
        <v>No</v>
      </c>
      <c r="Z713" t="str">
        <f>IF(MAIN!$F$3="Project to Date",IF(AND(A713&gt;=SETTINGS!$B$4,A713&lt;MAIN!$B$3),"Yes",IF(AND(A713=MAIN!$B$3,E713&lt;=MAIN!$L$3),"Yes","No")),IF(OR(MAIN!$F$3="Full Year",MAIN!$D$3="All"),"Yes",IF(MAIN!$F$3="Monthly",IF(E713=MAIN!$L$3,"Yes","No"),IF(E713&lt;=MAIN!$L$3,"Yes","No"))))</f>
        <v>Yes</v>
      </c>
      <c r="AA713" t="str">
        <f t="shared" si="71"/>
        <v>No</v>
      </c>
    </row>
    <row r="714" spans="1:27" x14ac:dyDescent="0.3">
      <c r="A714">
        <f>INDEX(SETTINGS!$A$15:$A$24,$B714)</f>
        <v>2028</v>
      </c>
      <c r="B714">
        <v>4</v>
      </c>
      <c r="C714" t="str">
        <f>IF(AND(A714&gt;=SETTINGS!$B$4,A714&lt;=SETTINGS!$B$5),"Yes","No")</f>
        <v>No</v>
      </c>
      <c r="D714" t="str">
        <f>IFERROR(INDEX(SETTINGS!$C$15:$C$24,MATCH(A714,SETTINGS!$A$15:$A$24,0)),"No")</f>
        <v>No</v>
      </c>
      <c r="E714">
        <v>2</v>
      </c>
      <c r="F714" t="s">
        <v>35</v>
      </c>
      <c r="G714">
        <v>44</v>
      </c>
      <c r="H714" t="s">
        <v>103</v>
      </c>
      <c r="I714" t="s">
        <v>22</v>
      </c>
      <c r="J714" t="s">
        <v>23</v>
      </c>
      <c r="K714" t="s">
        <v>3</v>
      </c>
      <c r="L714" s="36">
        <f ca="1">IF(C714&lt;&gt;"Yes",0,IF(A714=2025,N('2025'!D44),IF(A714=2026,N('2026'!D44),IF(A714=2027,N('2027'!D44),IF(A714=2028,N('2028'!D44),IF(A714=2029,N('2029'!D44),IF(A714=2030,N('2030'!D44),IF(A714=2031,N('2031'!D44),IF(A714=2032,N('2032'!D44),IF(A714=2033,N('2033'!D44),IF(A714=2034,N('2034'!D44),IFERROR(N(INDIRECT("'"&amp;A714&amp;"'!D"&amp;G714)),0))))))))))))</f>
        <v>0</v>
      </c>
      <c r="M714" s="36">
        <f>IFERROR(IF(NOT(ISBLANK(KPI_TARGETS!$J$14)),KPI_TARGETS!$J$14,IF(NOT(ISBLANK(KPI_TARGETS!$F$14)),KPI_TARGETS!$F$14,"")),"")</f>
        <v>35</v>
      </c>
      <c r="N714" s="36" t="str">
        <f>IFERROR(KPI_TARGETS!$E$14,"Higher is better")</f>
        <v>Higher is better</v>
      </c>
      <c r="O714" s="37">
        <f t="shared" ca="1" si="66"/>
        <v>0</v>
      </c>
      <c r="P714" t="str">
        <f t="shared" ca="1" si="67"/>
        <v>Red</v>
      </c>
      <c r="Q714" s="36">
        <f t="shared" ca="1" si="68"/>
        <v>-35</v>
      </c>
      <c r="R714" s="36" t="str">
        <f>""</f>
        <v/>
      </c>
      <c r="S714" s="36" t="str">
        <f>""</f>
        <v/>
      </c>
      <c r="T714" s="36" t="str">
        <f>""</f>
        <v/>
      </c>
      <c r="U714" s="36" t="str">
        <f>""</f>
        <v/>
      </c>
      <c r="V714" s="36" t="str">
        <f>""</f>
        <v/>
      </c>
      <c r="W714" s="36">
        <f t="shared" si="69"/>
        <v>1</v>
      </c>
      <c r="X714" t="str">
        <f t="shared" si="70"/>
        <v>Inactive</v>
      </c>
      <c r="Y714" t="str">
        <f>IF(MAIN!$H$3="Selected Year",IF(A714=MAIN!$B$3,"Yes","No"),IF(MAIN!$H$3="Included Years",IF(D714="Yes","Yes","No"),IF(C714="Yes","Yes","No")))</f>
        <v>No</v>
      </c>
      <c r="Z714" t="str">
        <f>IF(MAIN!$F$3="Project to Date",IF(AND(A714&gt;=SETTINGS!$B$4,A714&lt;MAIN!$B$3),"Yes",IF(AND(A714=MAIN!$B$3,E714&lt;=MAIN!$L$3),"Yes","No")),IF(OR(MAIN!$F$3="Full Year",MAIN!$D$3="All"),"Yes",IF(MAIN!$F$3="Monthly",IF(E714=MAIN!$L$3,"Yes","No"),IF(E714&lt;=MAIN!$L$3,"Yes","No"))))</f>
        <v>Yes</v>
      </c>
      <c r="AA714" t="str">
        <f t="shared" si="71"/>
        <v>No</v>
      </c>
    </row>
    <row r="715" spans="1:27" x14ac:dyDescent="0.3">
      <c r="A715">
        <f>INDEX(SETTINGS!$A$15:$A$24,$B715)</f>
        <v>2028</v>
      </c>
      <c r="B715">
        <v>4</v>
      </c>
      <c r="C715" t="str">
        <f>IF(AND(A715&gt;=SETTINGS!$B$4,A715&lt;=SETTINGS!$B$5),"Yes","No")</f>
        <v>No</v>
      </c>
      <c r="D715" t="str">
        <f>IFERROR(INDEX(SETTINGS!$C$15:$C$24,MATCH(A715,SETTINGS!$A$15:$A$24,0)),"No")</f>
        <v>No</v>
      </c>
      <c r="E715">
        <v>2</v>
      </c>
      <c r="F715" t="s">
        <v>35</v>
      </c>
      <c r="G715">
        <v>45</v>
      </c>
      <c r="H715" t="s">
        <v>104</v>
      </c>
      <c r="I715" t="s">
        <v>22</v>
      </c>
      <c r="J715" t="s">
        <v>24</v>
      </c>
      <c r="K715" t="s">
        <v>3</v>
      </c>
      <c r="L715" s="36">
        <f ca="1">IF(C715&lt;&gt;"Yes",0,IF(A715=2025,N('2025'!D45),IF(A715=2026,N('2026'!D45),IF(A715=2027,N('2027'!D45),IF(A715=2028,N('2028'!D45),IF(A715=2029,N('2029'!D45),IF(A715=2030,N('2030'!D45),IF(A715=2031,N('2031'!D45),IF(A715=2032,N('2032'!D45),IF(A715=2033,N('2033'!D45),IF(A715=2034,N('2034'!D45),IFERROR(N(INDIRECT("'"&amp;A715&amp;"'!D"&amp;G715)),0))))))))))))</f>
        <v>0</v>
      </c>
      <c r="M715" s="36">
        <f>IFERROR(IF(NOT(ISBLANK(KPI_TARGETS!$J$15)),KPI_TARGETS!$J$15,IF(NOT(ISBLANK(KPI_TARGETS!$F$15)),KPI_TARGETS!$F$15,"")),"")</f>
        <v>5</v>
      </c>
      <c r="N715" s="36" t="str">
        <f>IFERROR(KPI_TARGETS!$E$15,"Higher is better")</f>
        <v>Higher is better</v>
      </c>
      <c r="O715" s="37">
        <f t="shared" ca="1" si="66"/>
        <v>0</v>
      </c>
      <c r="P715" t="str">
        <f t="shared" ca="1" si="67"/>
        <v>Red</v>
      </c>
      <c r="Q715" s="36">
        <f t="shared" ca="1" si="68"/>
        <v>-5</v>
      </c>
      <c r="R715" s="36" t="str">
        <f>""</f>
        <v/>
      </c>
      <c r="S715" s="36" t="str">
        <f>""</f>
        <v/>
      </c>
      <c r="T715" s="36" t="str">
        <f>""</f>
        <v/>
      </c>
      <c r="U715" s="36" t="str">
        <f>""</f>
        <v/>
      </c>
      <c r="V715" s="36" t="str">
        <f>""</f>
        <v/>
      </c>
      <c r="W715" s="36">
        <f t="shared" si="69"/>
        <v>1</v>
      </c>
      <c r="X715" t="str">
        <f t="shared" si="70"/>
        <v>Inactive</v>
      </c>
      <c r="Y715" t="str">
        <f>IF(MAIN!$H$3="Selected Year",IF(A715=MAIN!$B$3,"Yes","No"),IF(MAIN!$H$3="Included Years",IF(D715="Yes","Yes","No"),IF(C715="Yes","Yes","No")))</f>
        <v>No</v>
      </c>
      <c r="Z715" t="str">
        <f>IF(MAIN!$F$3="Project to Date",IF(AND(A715&gt;=SETTINGS!$B$4,A715&lt;MAIN!$B$3),"Yes",IF(AND(A715=MAIN!$B$3,E715&lt;=MAIN!$L$3),"Yes","No")),IF(OR(MAIN!$F$3="Full Year",MAIN!$D$3="All"),"Yes",IF(MAIN!$F$3="Monthly",IF(E715=MAIN!$L$3,"Yes","No"),IF(E715&lt;=MAIN!$L$3,"Yes","No"))))</f>
        <v>Yes</v>
      </c>
      <c r="AA715" t="str">
        <f t="shared" si="71"/>
        <v>No</v>
      </c>
    </row>
    <row r="716" spans="1:27" x14ac:dyDescent="0.3">
      <c r="A716">
        <f>INDEX(SETTINGS!$A$15:$A$24,$B716)</f>
        <v>2028</v>
      </c>
      <c r="B716">
        <v>4</v>
      </c>
      <c r="C716" t="str">
        <f>IF(AND(A716&gt;=SETTINGS!$B$4,A716&lt;=SETTINGS!$B$5),"Yes","No")</f>
        <v>No</v>
      </c>
      <c r="D716" t="str">
        <f>IFERROR(INDEX(SETTINGS!$C$15:$C$24,MATCH(A716,SETTINGS!$A$15:$A$24,0)),"No")</f>
        <v>No</v>
      </c>
      <c r="E716">
        <v>2</v>
      </c>
      <c r="F716" t="s">
        <v>35</v>
      </c>
      <c r="G716">
        <v>46</v>
      </c>
      <c r="H716" t="s">
        <v>105</v>
      </c>
      <c r="I716" t="s">
        <v>22</v>
      </c>
      <c r="J716" t="s">
        <v>25</v>
      </c>
      <c r="K716" t="s">
        <v>3</v>
      </c>
      <c r="L716" s="36">
        <f ca="1">IF(C716&lt;&gt;"Yes",0,IF(A716=2025,N('2025'!D46),IF(A716=2026,N('2026'!D46),IF(A716=2027,N('2027'!D46),IF(A716=2028,N('2028'!D46),IF(A716=2029,N('2029'!D46),IF(A716=2030,N('2030'!D46),IF(A716=2031,N('2031'!D46),IF(A716=2032,N('2032'!D46),IF(A716=2033,N('2033'!D46),IF(A716=2034,N('2034'!D46),IFERROR(N(INDIRECT("'"&amp;A716&amp;"'!D"&amp;G716)),0))))))))))))</f>
        <v>0</v>
      </c>
      <c r="M716" s="36">
        <f>IFERROR(IF(NOT(ISBLANK(KPI_TARGETS!$J$16)),KPI_TARGETS!$J$16,IF(NOT(ISBLANK(KPI_TARGETS!$F$16)),KPI_TARGETS!$F$16,"")),"")</f>
        <v>4</v>
      </c>
      <c r="N716" s="36" t="str">
        <f>IFERROR(KPI_TARGETS!$E$16,"Higher is better")</f>
        <v>Higher is better</v>
      </c>
      <c r="O716" s="37">
        <f t="shared" ca="1" si="66"/>
        <v>0</v>
      </c>
      <c r="P716" t="str">
        <f t="shared" ca="1" si="67"/>
        <v>Red</v>
      </c>
      <c r="Q716" s="36">
        <f t="shared" ca="1" si="68"/>
        <v>-4</v>
      </c>
      <c r="R716" s="36" t="str">
        <f>""</f>
        <v/>
      </c>
      <c r="S716" s="36" t="str">
        <f>""</f>
        <v/>
      </c>
      <c r="T716" s="36" t="str">
        <f>""</f>
        <v/>
      </c>
      <c r="U716" s="36" t="str">
        <f>""</f>
        <v/>
      </c>
      <c r="V716" s="36" t="str">
        <f>""</f>
        <v/>
      </c>
      <c r="W716" s="36">
        <f t="shared" si="69"/>
        <v>1</v>
      </c>
      <c r="X716" t="str">
        <f t="shared" si="70"/>
        <v>Inactive</v>
      </c>
      <c r="Y716" t="str">
        <f>IF(MAIN!$H$3="Selected Year",IF(A716=MAIN!$B$3,"Yes","No"),IF(MAIN!$H$3="Included Years",IF(D716="Yes","Yes","No"),IF(C716="Yes","Yes","No")))</f>
        <v>No</v>
      </c>
      <c r="Z716" t="str">
        <f>IF(MAIN!$F$3="Project to Date",IF(AND(A716&gt;=SETTINGS!$B$4,A716&lt;MAIN!$B$3),"Yes",IF(AND(A716=MAIN!$B$3,E716&lt;=MAIN!$L$3),"Yes","No")),IF(OR(MAIN!$F$3="Full Year",MAIN!$D$3="All"),"Yes",IF(MAIN!$F$3="Monthly",IF(E716=MAIN!$L$3,"Yes","No"),IF(E716&lt;=MAIN!$L$3,"Yes","No"))))</f>
        <v>Yes</v>
      </c>
      <c r="AA716" t="str">
        <f t="shared" si="71"/>
        <v>No</v>
      </c>
    </row>
    <row r="717" spans="1:27" x14ac:dyDescent="0.3">
      <c r="A717">
        <f>INDEX(SETTINGS!$A$15:$A$24,$B717)</f>
        <v>2028</v>
      </c>
      <c r="B717">
        <v>4</v>
      </c>
      <c r="C717" t="str">
        <f>IF(AND(A717&gt;=SETTINGS!$B$4,A717&lt;=SETTINGS!$B$5),"Yes","No")</f>
        <v>No</v>
      </c>
      <c r="D717" t="str">
        <f>IFERROR(INDEX(SETTINGS!$C$15:$C$24,MATCH(A717,SETTINGS!$A$15:$A$24,0)),"No")</f>
        <v>No</v>
      </c>
      <c r="E717">
        <v>2</v>
      </c>
      <c r="F717" t="s">
        <v>35</v>
      </c>
      <c r="G717">
        <v>47</v>
      </c>
      <c r="H717" t="s">
        <v>106</v>
      </c>
      <c r="I717" t="s">
        <v>22</v>
      </c>
      <c r="J717" t="s">
        <v>26</v>
      </c>
      <c r="K717" t="s">
        <v>3</v>
      </c>
      <c r="L717" s="36">
        <f ca="1">IF(C717&lt;&gt;"Yes",0,IF(A717=2025,N('2025'!D47),IF(A717=2026,N('2026'!D47),IF(A717=2027,N('2027'!D47),IF(A717=2028,N('2028'!D47),IF(A717=2029,N('2029'!D47),IF(A717=2030,N('2030'!D47),IF(A717=2031,N('2031'!D47),IF(A717=2032,N('2032'!D47),IF(A717=2033,N('2033'!D47),IF(A717=2034,N('2034'!D47),IFERROR(N(INDIRECT("'"&amp;A717&amp;"'!D"&amp;G717)),0))))))))))))</f>
        <v>0</v>
      </c>
      <c r="M717" s="36">
        <f>IFERROR(IF(NOT(ISBLANK(KPI_TARGETS!$J$17)),KPI_TARGETS!$J$17,IF(NOT(ISBLANK(KPI_TARGETS!$F$17)),KPI_TARGETS!$F$17,"")),"")</f>
        <v>12</v>
      </c>
      <c r="N717" s="36" t="str">
        <f>IFERROR(KPI_TARGETS!$E$17,"Higher is better")</f>
        <v>Higher is better</v>
      </c>
      <c r="O717" s="37">
        <f t="shared" ca="1" si="66"/>
        <v>0</v>
      </c>
      <c r="P717" t="str">
        <f t="shared" ca="1" si="67"/>
        <v>Red</v>
      </c>
      <c r="Q717" s="36">
        <f t="shared" ca="1" si="68"/>
        <v>-12</v>
      </c>
      <c r="R717" s="36" t="str">
        <f>""</f>
        <v/>
      </c>
      <c r="S717" s="36" t="str">
        <f>""</f>
        <v/>
      </c>
      <c r="T717" s="36" t="str">
        <f>""</f>
        <v/>
      </c>
      <c r="U717" s="36" t="str">
        <f>""</f>
        <v/>
      </c>
      <c r="V717" s="36" t="str">
        <f>""</f>
        <v/>
      </c>
      <c r="W717" s="36">
        <f t="shared" si="69"/>
        <v>1</v>
      </c>
      <c r="X717" t="str">
        <f t="shared" si="70"/>
        <v>Inactive</v>
      </c>
      <c r="Y717" t="str">
        <f>IF(MAIN!$H$3="Selected Year",IF(A717=MAIN!$B$3,"Yes","No"),IF(MAIN!$H$3="Included Years",IF(D717="Yes","Yes","No"),IF(C717="Yes","Yes","No")))</f>
        <v>No</v>
      </c>
      <c r="Z717" t="str">
        <f>IF(MAIN!$F$3="Project to Date",IF(AND(A717&gt;=SETTINGS!$B$4,A717&lt;MAIN!$B$3),"Yes",IF(AND(A717=MAIN!$B$3,E717&lt;=MAIN!$L$3),"Yes","No")),IF(OR(MAIN!$F$3="Full Year",MAIN!$D$3="All"),"Yes",IF(MAIN!$F$3="Monthly",IF(E717=MAIN!$L$3,"Yes","No"),IF(E717&lt;=MAIN!$L$3,"Yes","No"))))</f>
        <v>Yes</v>
      </c>
      <c r="AA717" t="str">
        <f t="shared" si="71"/>
        <v>No</v>
      </c>
    </row>
    <row r="718" spans="1:27" x14ac:dyDescent="0.3">
      <c r="A718">
        <f>INDEX(SETTINGS!$A$15:$A$24,$B718)</f>
        <v>2028</v>
      </c>
      <c r="B718">
        <v>4</v>
      </c>
      <c r="C718" t="str">
        <f>IF(AND(A718&gt;=SETTINGS!$B$4,A718&lt;=SETTINGS!$B$5),"Yes","No")</f>
        <v>No</v>
      </c>
      <c r="D718" t="str">
        <f>IFERROR(INDEX(SETTINGS!$C$15:$C$24,MATCH(A718,SETTINGS!$A$15:$A$24,0)),"No")</f>
        <v>No</v>
      </c>
      <c r="E718">
        <v>2</v>
      </c>
      <c r="F718" t="s">
        <v>35</v>
      </c>
      <c r="G718">
        <v>48</v>
      </c>
      <c r="H718" t="s">
        <v>107</v>
      </c>
      <c r="I718" t="s">
        <v>22</v>
      </c>
      <c r="J718" t="s">
        <v>27</v>
      </c>
      <c r="K718" t="s">
        <v>3</v>
      </c>
      <c r="L718" s="36">
        <f ca="1">IF(C718&lt;&gt;"Yes",0,IF(A718=2025,N('2025'!D48),IF(A718=2026,N('2026'!D48),IF(A718=2027,N('2027'!D48),IF(A718=2028,N('2028'!D48),IF(A718=2029,N('2029'!D48),IF(A718=2030,N('2030'!D48),IF(A718=2031,N('2031'!D48),IF(A718=2032,N('2032'!D48),IF(A718=2033,N('2033'!D48),IF(A718=2034,N('2034'!D48),IFERROR(N(INDIRECT("'"&amp;A718&amp;"'!D"&amp;G718)),0))))))))))))</f>
        <v>0</v>
      </c>
      <c r="M718" s="36">
        <f>IFERROR(IF(NOT(ISBLANK(KPI_TARGETS!$J$18)),KPI_TARGETS!$J$18,IF(NOT(ISBLANK(KPI_TARGETS!$F$18)),KPI_TARGETS!$F$18,"")),"")</f>
        <v>4</v>
      </c>
      <c r="N718" s="36" t="str">
        <f>IFERROR(KPI_TARGETS!$E$18,"Higher is better")</f>
        <v>Higher is better</v>
      </c>
      <c r="O718" s="37">
        <f t="shared" ca="1" si="66"/>
        <v>0</v>
      </c>
      <c r="P718" t="str">
        <f t="shared" ca="1" si="67"/>
        <v>Red</v>
      </c>
      <c r="Q718" s="36">
        <f t="shared" ca="1" si="68"/>
        <v>-4</v>
      </c>
      <c r="R718" s="36" t="str">
        <f>""</f>
        <v/>
      </c>
      <c r="S718" s="36" t="str">
        <f>""</f>
        <v/>
      </c>
      <c r="T718" s="36" t="str">
        <f>""</f>
        <v/>
      </c>
      <c r="U718" s="36" t="str">
        <f>""</f>
        <v/>
      </c>
      <c r="V718" s="36" t="str">
        <f>""</f>
        <v/>
      </c>
      <c r="W718" s="36">
        <f t="shared" si="69"/>
        <v>1</v>
      </c>
      <c r="X718" t="str">
        <f t="shared" si="70"/>
        <v>Inactive</v>
      </c>
      <c r="Y718" t="str">
        <f>IF(MAIN!$H$3="Selected Year",IF(A718=MAIN!$B$3,"Yes","No"),IF(MAIN!$H$3="Included Years",IF(D718="Yes","Yes","No"),IF(C718="Yes","Yes","No")))</f>
        <v>No</v>
      </c>
      <c r="Z718" t="str">
        <f>IF(MAIN!$F$3="Project to Date",IF(AND(A718&gt;=SETTINGS!$B$4,A718&lt;MAIN!$B$3),"Yes",IF(AND(A718=MAIN!$B$3,E718&lt;=MAIN!$L$3),"Yes","No")),IF(OR(MAIN!$F$3="Full Year",MAIN!$D$3="All"),"Yes",IF(MAIN!$F$3="Monthly",IF(E718=MAIN!$L$3,"Yes","No"),IF(E718&lt;=MAIN!$L$3,"Yes","No"))))</f>
        <v>Yes</v>
      </c>
      <c r="AA718" t="str">
        <f t="shared" si="71"/>
        <v>No</v>
      </c>
    </row>
    <row r="719" spans="1:27" x14ac:dyDescent="0.3">
      <c r="A719">
        <f>INDEX(SETTINGS!$A$15:$A$24,$B719)</f>
        <v>2028</v>
      </c>
      <c r="B719">
        <v>4</v>
      </c>
      <c r="C719" t="str">
        <f>IF(AND(A719&gt;=SETTINGS!$B$4,A719&lt;=SETTINGS!$B$5),"Yes","No")</f>
        <v>No</v>
      </c>
      <c r="D719" t="str">
        <f>IFERROR(INDEX(SETTINGS!$C$15:$C$24,MATCH(A719,SETTINGS!$A$15:$A$24,0)),"No")</f>
        <v>No</v>
      </c>
      <c r="E719">
        <v>2</v>
      </c>
      <c r="F719" t="s">
        <v>35</v>
      </c>
      <c r="G719">
        <v>49</v>
      </c>
      <c r="H719" t="s">
        <v>108</v>
      </c>
      <c r="I719" t="s">
        <v>22</v>
      </c>
      <c r="J719" t="s">
        <v>28</v>
      </c>
      <c r="K719" t="s">
        <v>3</v>
      </c>
      <c r="L719" s="36">
        <f ca="1">IF(C719&lt;&gt;"Yes",0,IF(A719=2025,N('2025'!D49),IF(A719=2026,N('2026'!D49),IF(A719=2027,N('2027'!D49),IF(A719=2028,N('2028'!D49),IF(A719=2029,N('2029'!D49),IF(A719=2030,N('2030'!D49),IF(A719=2031,N('2031'!D49),IF(A719=2032,N('2032'!D49),IF(A719=2033,N('2033'!D49),IF(A719=2034,N('2034'!D49),IFERROR(N(INDIRECT("'"&amp;A719&amp;"'!D"&amp;G719)),0))))))))))))</f>
        <v>0</v>
      </c>
      <c r="M719" s="36">
        <f>IFERROR(IF(NOT(ISBLANK(KPI_TARGETS!$J$19)),KPI_TARGETS!$J$19,IF(NOT(ISBLANK(KPI_TARGETS!$F$19)),KPI_TARGETS!$F$19,"")),"")</f>
        <v>16</v>
      </c>
      <c r="N719" s="36" t="str">
        <f>IFERROR(KPI_TARGETS!$E$19,"Higher is better")</f>
        <v>Higher is better</v>
      </c>
      <c r="O719" s="37">
        <f t="shared" ca="1" si="66"/>
        <v>0</v>
      </c>
      <c r="P719" t="str">
        <f t="shared" ca="1" si="67"/>
        <v>Red</v>
      </c>
      <c r="Q719" s="36">
        <f t="shared" ca="1" si="68"/>
        <v>-16</v>
      </c>
      <c r="R719" s="36" t="str">
        <f>""</f>
        <v/>
      </c>
      <c r="S719" s="36" t="str">
        <f>""</f>
        <v/>
      </c>
      <c r="T719" s="36" t="str">
        <f>""</f>
        <v/>
      </c>
      <c r="U719" s="36" t="str">
        <f>""</f>
        <v/>
      </c>
      <c r="V719" s="36" t="str">
        <f>""</f>
        <v/>
      </c>
      <c r="W719" s="36">
        <f t="shared" si="69"/>
        <v>1</v>
      </c>
      <c r="X719" t="str">
        <f t="shared" si="70"/>
        <v>Inactive</v>
      </c>
      <c r="Y719" t="str">
        <f>IF(MAIN!$H$3="Selected Year",IF(A719=MAIN!$B$3,"Yes","No"),IF(MAIN!$H$3="Included Years",IF(D719="Yes","Yes","No"),IF(C719="Yes","Yes","No")))</f>
        <v>No</v>
      </c>
      <c r="Z719" t="str">
        <f>IF(MAIN!$F$3="Project to Date",IF(AND(A719&gt;=SETTINGS!$B$4,A719&lt;MAIN!$B$3),"Yes",IF(AND(A719=MAIN!$B$3,E719&lt;=MAIN!$L$3),"Yes","No")),IF(OR(MAIN!$F$3="Full Year",MAIN!$D$3="All"),"Yes",IF(MAIN!$F$3="Monthly",IF(E719=MAIN!$L$3,"Yes","No"),IF(E719&lt;=MAIN!$L$3,"Yes","No"))))</f>
        <v>Yes</v>
      </c>
      <c r="AA719" t="str">
        <f t="shared" si="71"/>
        <v>No</v>
      </c>
    </row>
    <row r="720" spans="1:27" x14ac:dyDescent="0.3">
      <c r="A720">
        <f>INDEX(SETTINGS!$A$15:$A$24,$B720)</f>
        <v>2028</v>
      </c>
      <c r="B720">
        <v>4</v>
      </c>
      <c r="C720" t="str">
        <f>IF(AND(A720&gt;=SETTINGS!$B$4,A720&lt;=SETTINGS!$B$5),"Yes","No")</f>
        <v>No</v>
      </c>
      <c r="D720" t="str">
        <f>IFERROR(INDEX(SETTINGS!$C$15:$C$24,MATCH(A720,SETTINGS!$A$15:$A$24,0)),"No")</f>
        <v>No</v>
      </c>
      <c r="E720">
        <v>2</v>
      </c>
      <c r="F720" t="s">
        <v>35</v>
      </c>
      <c r="G720">
        <v>50</v>
      </c>
      <c r="H720" t="s">
        <v>109</v>
      </c>
      <c r="I720" t="s">
        <v>22</v>
      </c>
      <c r="J720" t="s">
        <v>29</v>
      </c>
      <c r="K720" t="s">
        <v>3</v>
      </c>
      <c r="L720" s="36">
        <f ca="1">IF(C720&lt;&gt;"Yes",0,IF(A720=2025,N('2025'!D50),IF(A720=2026,N('2026'!D50),IF(A720=2027,N('2027'!D50),IF(A720=2028,N('2028'!D50),IF(A720=2029,N('2029'!D50),IF(A720=2030,N('2030'!D50),IF(A720=2031,N('2031'!D50),IF(A720=2032,N('2032'!D50),IF(A720=2033,N('2033'!D50),IF(A720=2034,N('2034'!D50),IFERROR(N(INDIRECT("'"&amp;A720&amp;"'!D"&amp;G720)),0))))))))))))</f>
        <v>0</v>
      </c>
      <c r="M720" s="36">
        <f>IFERROR(IF(NOT(ISBLANK(KPI_TARGETS!$J$20)),KPI_TARGETS!$J$20,IF(NOT(ISBLANK(KPI_TARGETS!$F$20)),KPI_TARGETS!$F$20,"")),"")</f>
        <v>1</v>
      </c>
      <c r="N720" s="36" t="str">
        <f>IFERROR(KPI_TARGETS!$E$20,"Higher is better")</f>
        <v>Higher is better</v>
      </c>
      <c r="O720" s="37">
        <f t="shared" ca="1" si="66"/>
        <v>0</v>
      </c>
      <c r="P720" t="str">
        <f t="shared" ca="1" si="67"/>
        <v>Red</v>
      </c>
      <c r="Q720" s="36">
        <f t="shared" ca="1" si="68"/>
        <v>-1</v>
      </c>
      <c r="R720" s="36" t="str">
        <f>""</f>
        <v/>
      </c>
      <c r="S720" s="36" t="str">
        <f>""</f>
        <v/>
      </c>
      <c r="T720" s="36" t="str">
        <f>""</f>
        <v/>
      </c>
      <c r="U720" s="36" t="str">
        <f>""</f>
        <v/>
      </c>
      <c r="V720" s="36" t="str">
        <f>""</f>
        <v/>
      </c>
      <c r="W720" s="36">
        <f t="shared" si="69"/>
        <v>1</v>
      </c>
      <c r="X720" t="str">
        <f t="shared" si="70"/>
        <v>Inactive</v>
      </c>
      <c r="Y720" t="str">
        <f>IF(MAIN!$H$3="Selected Year",IF(A720=MAIN!$B$3,"Yes","No"),IF(MAIN!$H$3="Included Years",IF(D720="Yes","Yes","No"),IF(C720="Yes","Yes","No")))</f>
        <v>No</v>
      </c>
      <c r="Z720" t="str">
        <f>IF(MAIN!$F$3="Project to Date",IF(AND(A720&gt;=SETTINGS!$B$4,A720&lt;MAIN!$B$3),"Yes",IF(AND(A720=MAIN!$B$3,E720&lt;=MAIN!$L$3),"Yes","No")),IF(OR(MAIN!$F$3="Full Year",MAIN!$D$3="All"),"Yes",IF(MAIN!$F$3="Monthly",IF(E720=MAIN!$L$3,"Yes","No"),IF(E720&lt;=MAIN!$L$3,"Yes","No"))))</f>
        <v>Yes</v>
      </c>
      <c r="AA720" t="str">
        <f t="shared" si="71"/>
        <v>No</v>
      </c>
    </row>
    <row r="721" spans="1:27" x14ac:dyDescent="0.3">
      <c r="A721">
        <f>INDEX(SETTINGS!$A$15:$A$24,$B721)</f>
        <v>2028</v>
      </c>
      <c r="B721">
        <v>4</v>
      </c>
      <c r="C721" t="str">
        <f>IF(AND(A721&gt;=SETTINGS!$B$4,A721&lt;=SETTINGS!$B$5),"Yes","No")</f>
        <v>No</v>
      </c>
      <c r="D721" t="str">
        <f>IFERROR(INDEX(SETTINGS!$C$15:$C$24,MATCH(A721,SETTINGS!$A$15:$A$24,0)),"No")</f>
        <v>No</v>
      </c>
      <c r="E721">
        <v>2</v>
      </c>
      <c r="F721" t="s">
        <v>35</v>
      </c>
      <c r="G721">
        <v>52</v>
      </c>
      <c r="H721" t="s">
        <v>110</v>
      </c>
      <c r="I721" t="s">
        <v>30</v>
      </c>
      <c r="J721" t="s">
        <v>31</v>
      </c>
      <c r="K721" t="s">
        <v>3</v>
      </c>
      <c r="L721" s="36">
        <f ca="1">IF(C721&lt;&gt;"Yes",0,IF(A721=2025,N('2025'!D52),IF(A721=2026,N('2026'!D52),IF(A721=2027,N('2027'!D52),IF(A721=2028,N('2028'!D52),IF(A721=2029,N('2029'!D52),IF(A721=2030,N('2030'!D52),IF(A721=2031,N('2031'!D52),IF(A721=2032,N('2032'!D52),IF(A721=2033,N('2033'!D52),IF(A721=2034,N('2034'!D52),IFERROR(N(INDIRECT("'"&amp;A721&amp;"'!D"&amp;G721)),0))))))))))))</f>
        <v>0</v>
      </c>
      <c r="M721" s="36">
        <f>IFERROR(IF(NOT(ISBLANK(KPI_TARGETS!$J$21)),KPI_TARGETS!$J$21,IF(NOT(ISBLANK(KPI_TARGETS!$F$21)),KPI_TARGETS!$F$21,"")),"")</f>
        <v>0</v>
      </c>
      <c r="N721" s="36" t="str">
        <f>IFERROR(KPI_TARGETS!$E$21,"Higher is better")</f>
        <v>Lower is better</v>
      </c>
      <c r="O721" s="37">
        <f t="shared" ca="1" si="66"/>
        <v>1</v>
      </c>
      <c r="P721" t="str">
        <f t="shared" ca="1" si="67"/>
        <v>Green</v>
      </c>
      <c r="Q721" s="36">
        <f t="shared" ca="1" si="68"/>
        <v>0</v>
      </c>
      <c r="R721" s="36" t="str">
        <f>""</f>
        <v/>
      </c>
      <c r="S721" s="36" t="str">
        <f>""</f>
        <v/>
      </c>
      <c r="T721" s="36" t="str">
        <f>""</f>
        <v/>
      </c>
      <c r="U721" s="36" t="str">
        <f>""</f>
        <v/>
      </c>
      <c r="V721" s="36" t="str">
        <f>""</f>
        <v/>
      </c>
      <c r="W721" s="36">
        <f t="shared" si="69"/>
        <v>1</v>
      </c>
      <c r="X721" t="str">
        <f t="shared" si="70"/>
        <v>Inactive</v>
      </c>
      <c r="Y721" t="str">
        <f>IF(MAIN!$H$3="Selected Year",IF(A721=MAIN!$B$3,"Yes","No"),IF(MAIN!$H$3="Included Years",IF(D721="Yes","Yes","No"),IF(C721="Yes","Yes","No")))</f>
        <v>No</v>
      </c>
      <c r="Z721" t="str">
        <f>IF(MAIN!$F$3="Project to Date",IF(AND(A721&gt;=SETTINGS!$B$4,A721&lt;MAIN!$B$3),"Yes",IF(AND(A721=MAIN!$B$3,E721&lt;=MAIN!$L$3),"Yes","No")),IF(OR(MAIN!$F$3="Full Year",MAIN!$D$3="All"),"Yes",IF(MAIN!$F$3="Monthly",IF(E721=MAIN!$L$3,"Yes","No"),IF(E721&lt;=MAIN!$L$3,"Yes","No"))))</f>
        <v>Yes</v>
      </c>
      <c r="AA721" t="str">
        <f t="shared" si="71"/>
        <v>No</v>
      </c>
    </row>
    <row r="722" spans="1:27" x14ac:dyDescent="0.3">
      <c r="A722">
        <f>INDEX(SETTINGS!$A$15:$A$24,$B722)</f>
        <v>2028</v>
      </c>
      <c r="B722">
        <v>4</v>
      </c>
      <c r="C722" t="str">
        <f>IF(AND(A722&gt;=SETTINGS!$B$4,A722&lt;=SETTINGS!$B$5),"Yes","No")</f>
        <v>No</v>
      </c>
      <c r="D722" t="str">
        <f>IFERROR(INDEX(SETTINGS!$C$15:$C$24,MATCH(A722,SETTINGS!$A$15:$A$24,0)),"No")</f>
        <v>No</v>
      </c>
      <c r="E722">
        <v>2</v>
      </c>
      <c r="F722" t="s">
        <v>35</v>
      </c>
      <c r="G722">
        <v>53</v>
      </c>
      <c r="H722" t="s">
        <v>111</v>
      </c>
      <c r="I722" t="s">
        <v>30</v>
      </c>
      <c r="J722" t="s">
        <v>32</v>
      </c>
      <c r="K722" t="s">
        <v>3</v>
      </c>
      <c r="L722" s="36">
        <f ca="1">IF(C722&lt;&gt;"Yes",0,IF(A722=2025,N('2025'!D53),IF(A722=2026,N('2026'!D53),IF(A722=2027,N('2027'!D53),IF(A722=2028,N('2028'!D53),IF(A722=2029,N('2029'!D53),IF(A722=2030,N('2030'!D53),IF(A722=2031,N('2031'!D53),IF(A722=2032,N('2032'!D53),IF(A722=2033,N('2033'!D53),IF(A722=2034,N('2034'!D53),IFERROR(N(INDIRECT("'"&amp;A722&amp;"'!D"&amp;G722)),0))))))))))))</f>
        <v>0</v>
      </c>
      <c r="M722" s="36">
        <f>IFERROR(IF(NOT(ISBLANK(KPI_TARGETS!$J$22)),KPI_TARGETS!$J$22,IF(NOT(ISBLANK(KPI_TARGETS!$F$22)),KPI_TARGETS!$F$22,"")),"")</f>
        <v>1</v>
      </c>
      <c r="N722" s="36" t="str">
        <f>IFERROR(KPI_TARGETS!$E$22,"Higher is better")</f>
        <v>Higher is better</v>
      </c>
      <c r="O722" s="37">
        <f t="shared" ca="1" si="66"/>
        <v>0</v>
      </c>
      <c r="P722" t="str">
        <f t="shared" ca="1" si="67"/>
        <v>Red</v>
      </c>
      <c r="Q722" s="36">
        <f t="shared" ca="1" si="68"/>
        <v>-1</v>
      </c>
      <c r="R722" s="36" t="str">
        <f>""</f>
        <v/>
      </c>
      <c r="S722" s="36" t="str">
        <f>""</f>
        <v/>
      </c>
      <c r="T722" s="36" t="str">
        <f>""</f>
        <v/>
      </c>
      <c r="U722" s="36" t="str">
        <f>""</f>
        <v/>
      </c>
      <c r="V722" s="36" t="str">
        <f>""</f>
        <v/>
      </c>
      <c r="W722" s="36">
        <f t="shared" si="69"/>
        <v>1</v>
      </c>
      <c r="X722" t="str">
        <f t="shared" si="70"/>
        <v>Inactive</v>
      </c>
      <c r="Y722" t="str">
        <f>IF(MAIN!$H$3="Selected Year",IF(A722=MAIN!$B$3,"Yes","No"),IF(MAIN!$H$3="Included Years",IF(D722="Yes","Yes","No"),IF(C722="Yes","Yes","No")))</f>
        <v>No</v>
      </c>
      <c r="Z722" t="str">
        <f>IF(MAIN!$F$3="Project to Date",IF(AND(A722&gt;=SETTINGS!$B$4,A722&lt;MAIN!$B$3),"Yes",IF(AND(A722=MAIN!$B$3,E722&lt;=MAIN!$L$3),"Yes","No")),IF(OR(MAIN!$F$3="Full Year",MAIN!$D$3="All"),"Yes",IF(MAIN!$F$3="Monthly",IF(E722=MAIN!$L$3,"Yes","No"),IF(E722&lt;=MAIN!$L$3,"Yes","No"))))</f>
        <v>Yes</v>
      </c>
      <c r="AA722" t="str">
        <f t="shared" si="71"/>
        <v>No</v>
      </c>
    </row>
    <row r="723" spans="1:27" x14ac:dyDescent="0.3">
      <c r="A723">
        <f>INDEX(SETTINGS!$A$15:$A$24,$B723)</f>
        <v>2028</v>
      </c>
      <c r="B723">
        <v>4</v>
      </c>
      <c r="C723" t="str">
        <f>IF(AND(A723&gt;=SETTINGS!$B$4,A723&lt;=SETTINGS!$B$5),"Yes","No")</f>
        <v>No</v>
      </c>
      <c r="D723" t="str">
        <f>IFERROR(INDEX(SETTINGS!$C$15:$C$24,MATCH(A723,SETTINGS!$A$15:$A$24,0)),"No")</f>
        <v>No</v>
      </c>
      <c r="E723">
        <v>2</v>
      </c>
      <c r="F723" t="s">
        <v>35</v>
      </c>
      <c r="G723">
        <v>54</v>
      </c>
      <c r="H723" t="s">
        <v>112</v>
      </c>
      <c r="I723" t="s">
        <v>30</v>
      </c>
      <c r="J723" t="s">
        <v>33</v>
      </c>
      <c r="K723" t="s">
        <v>34</v>
      </c>
      <c r="L723" s="36">
        <f ca="1">IF(C723&lt;&gt;"Yes",0,IF(A723=2025,N('2025'!D54),IF(A723=2026,N('2026'!D54),IF(A723=2027,N('2027'!D54),IF(A723=2028,N('2028'!D54),IF(A723=2029,N('2029'!D54),IF(A723=2030,N('2030'!D54),IF(A723=2031,N('2031'!D54),IF(A723=2032,N('2032'!D54),IF(A723=2033,N('2033'!D54),IF(A723=2034,N('2034'!D54),IFERROR(N(INDIRECT("'"&amp;A723&amp;"'!D"&amp;G723)),0))))))))))))</f>
        <v>0</v>
      </c>
      <c r="M723" s="36">
        <f>IFERROR(IF(NOT(ISBLANK(KPI_TARGETS!$J$23)),KPI_TARGETS!$J$23,IF(NOT(ISBLANK(KPI_TARGETS!$F$23)),KPI_TARGETS!$F$23,"")),"")</f>
        <v>1</v>
      </c>
      <c r="N723" s="36" t="str">
        <f>IFERROR(KPI_TARGETS!$E$23,"Higher is better")</f>
        <v>Higher is better</v>
      </c>
      <c r="O723" s="37">
        <f t="shared" ca="1" si="66"/>
        <v>0</v>
      </c>
      <c r="P723" t="str">
        <f t="shared" ca="1" si="67"/>
        <v>Red</v>
      </c>
      <c r="Q723" s="36">
        <f t="shared" ca="1" si="68"/>
        <v>-1</v>
      </c>
      <c r="R723" s="36" t="str">
        <f>""</f>
        <v/>
      </c>
      <c r="S723" s="36" t="str">
        <f>""</f>
        <v/>
      </c>
      <c r="T723" s="36" t="str">
        <f>""</f>
        <v/>
      </c>
      <c r="U723" s="36" t="str">
        <f>""</f>
        <v/>
      </c>
      <c r="V723" s="36" t="str">
        <f>""</f>
        <v/>
      </c>
      <c r="W723" s="36">
        <f t="shared" si="69"/>
        <v>1</v>
      </c>
      <c r="X723" t="str">
        <f t="shared" si="70"/>
        <v>Inactive</v>
      </c>
      <c r="Y723" t="str">
        <f>IF(MAIN!$H$3="Selected Year",IF(A723=MAIN!$B$3,"Yes","No"),IF(MAIN!$H$3="Included Years",IF(D723="Yes","Yes","No"),IF(C723="Yes","Yes","No")))</f>
        <v>No</v>
      </c>
      <c r="Z723" t="str">
        <f>IF(MAIN!$F$3="Project to Date",IF(AND(A723&gt;=SETTINGS!$B$4,A723&lt;MAIN!$B$3),"Yes",IF(AND(A723=MAIN!$B$3,E723&lt;=MAIN!$L$3),"Yes","No")),IF(OR(MAIN!$F$3="Full Year",MAIN!$D$3="All"),"Yes",IF(MAIN!$F$3="Monthly",IF(E723=MAIN!$L$3,"Yes","No"),IF(E723&lt;=MAIN!$L$3,"Yes","No"))))</f>
        <v>Yes</v>
      </c>
      <c r="AA723" t="str">
        <f t="shared" si="71"/>
        <v>No</v>
      </c>
    </row>
    <row r="724" spans="1:27" x14ac:dyDescent="0.3">
      <c r="A724">
        <f>INDEX(SETTINGS!$A$15:$A$24,$B724)</f>
        <v>2028</v>
      </c>
      <c r="B724">
        <v>4</v>
      </c>
      <c r="C724" t="str">
        <f>IF(AND(A724&gt;=SETTINGS!$B$4,A724&lt;=SETTINGS!$B$5),"Yes","No")</f>
        <v>No</v>
      </c>
      <c r="D724" t="str">
        <f>IFERROR(INDEX(SETTINGS!$C$15:$C$24,MATCH(A724,SETTINGS!$A$15:$A$24,0)),"No")</f>
        <v>No</v>
      </c>
      <c r="E724">
        <v>3</v>
      </c>
      <c r="F724" t="s">
        <v>36</v>
      </c>
      <c r="G724">
        <v>57</v>
      </c>
      <c r="H724" t="s">
        <v>88</v>
      </c>
      <c r="I724" t="s">
        <v>89</v>
      </c>
      <c r="J724" t="s">
        <v>10</v>
      </c>
      <c r="K724" t="s">
        <v>3</v>
      </c>
      <c r="L724" s="36">
        <f ca="1">IF(C724&lt;&gt;"Yes",0,IF(A724=2025,N('2025'!D57),IF(A724=2026,N('2026'!D57),IF(A724=2027,N('2027'!D57),IF(A724=2028,N('2028'!D57),IF(A724=2029,N('2029'!D57),IF(A724=2030,N('2030'!D57),IF(A724=2031,N('2031'!D57),IF(A724=2032,N('2032'!D57),IF(A724=2033,N('2033'!D57),IF(A724=2034,N('2034'!D57),IFERROR(N(INDIRECT("'"&amp;A724&amp;"'!D"&amp;G724)),0))))))))))))</f>
        <v>0</v>
      </c>
      <c r="M724" s="36">
        <f>IFERROR(IF(NOT(ISBLANK(KPI_TARGETS!$J$5)),KPI_TARGETS!$J$5,IF(NOT(ISBLANK(KPI_TARGETS!$F$5)),KPI_TARGETS!$F$5,"")),"")</f>
        <v>104</v>
      </c>
      <c r="N724" s="36" t="str">
        <f>IFERROR(KPI_TARGETS!$E$5,"Higher is better")</f>
        <v>Higher is better</v>
      </c>
      <c r="O724" s="37">
        <f t="shared" ca="1" si="66"/>
        <v>0</v>
      </c>
      <c r="P724" t="str">
        <f t="shared" ca="1" si="67"/>
        <v>Red</v>
      </c>
      <c r="Q724" s="36">
        <f t="shared" ca="1" si="68"/>
        <v>-104</v>
      </c>
      <c r="R724" s="36" t="str">
        <f>""</f>
        <v/>
      </c>
      <c r="S724" s="36" t="str">
        <f>""</f>
        <v/>
      </c>
      <c r="T724" s="36" t="str">
        <f>""</f>
        <v/>
      </c>
      <c r="U724" s="36" t="str">
        <f>""</f>
        <v/>
      </c>
      <c r="V724" s="36" t="str">
        <f>""</f>
        <v/>
      </c>
      <c r="W724" s="36">
        <f t="shared" si="69"/>
        <v>1</v>
      </c>
      <c r="X724" t="str">
        <f t="shared" si="70"/>
        <v>Inactive</v>
      </c>
      <c r="Y724" t="str">
        <f>IF(MAIN!$H$3="Selected Year",IF(A724=MAIN!$B$3,"Yes","No"),IF(MAIN!$H$3="Included Years",IF(D724="Yes","Yes","No"),IF(C724="Yes","Yes","No")))</f>
        <v>No</v>
      </c>
      <c r="Z724" t="str">
        <f>IF(MAIN!$F$3="Project to Date",IF(AND(A724&gt;=SETTINGS!$B$4,A724&lt;MAIN!$B$3),"Yes",IF(AND(A724=MAIN!$B$3,E724&lt;=MAIN!$L$3),"Yes","No")),IF(OR(MAIN!$F$3="Full Year",MAIN!$D$3="All"),"Yes",IF(MAIN!$F$3="Monthly",IF(E724=MAIN!$L$3,"Yes","No"),IF(E724&lt;=MAIN!$L$3,"Yes","No"))))</f>
        <v>Yes</v>
      </c>
      <c r="AA724" t="str">
        <f t="shared" si="71"/>
        <v>No</v>
      </c>
    </row>
    <row r="725" spans="1:27" x14ac:dyDescent="0.3">
      <c r="A725">
        <f>INDEX(SETTINGS!$A$15:$A$24,$B725)</f>
        <v>2028</v>
      </c>
      <c r="B725">
        <v>4</v>
      </c>
      <c r="C725" t="str">
        <f>IF(AND(A725&gt;=SETTINGS!$B$4,A725&lt;=SETTINGS!$B$5),"Yes","No")</f>
        <v>No</v>
      </c>
      <c r="D725" t="str">
        <f>IFERROR(INDEX(SETTINGS!$C$15:$C$24,MATCH(A725,SETTINGS!$A$15:$A$24,0)),"No")</f>
        <v>No</v>
      </c>
      <c r="E725">
        <v>3</v>
      </c>
      <c r="F725" t="s">
        <v>36</v>
      </c>
      <c r="G725">
        <v>58</v>
      </c>
      <c r="H725" t="s">
        <v>91</v>
      </c>
      <c r="I725" t="s">
        <v>89</v>
      </c>
      <c r="J725" t="s">
        <v>11</v>
      </c>
      <c r="K725" t="s">
        <v>12</v>
      </c>
      <c r="L725" s="36">
        <f ca="1">IF(C725&lt;&gt;"Yes",0,IF(A725=2025,N('2025'!D58),IF(A725=2026,N('2026'!D58),IF(A725=2027,N('2027'!D58),IF(A725=2028,N('2028'!D58),IF(A725=2029,N('2029'!D58),IF(A725=2030,N('2030'!D58),IF(A725=2031,N('2031'!D58),IF(A725=2032,N('2032'!D58),IF(A725=2033,N('2033'!D58),IF(A725=2034,N('2034'!D58),IFERROR(N(INDIRECT("'"&amp;A725&amp;"'!D"&amp;G725)),0))))))))))))</f>
        <v>0</v>
      </c>
      <c r="M725" s="36">
        <f>IFERROR(IF(NOT(ISBLANK(KPI_TARGETS!$J$6)),KPI_TARGETS!$J$6,IF(NOT(ISBLANK(KPI_TARGETS!$F$6)),KPI_TARGETS!$F$6,"")),"")</f>
        <v>4000</v>
      </c>
      <c r="N725" s="36" t="str">
        <f>IFERROR(KPI_TARGETS!$E$6,"Higher is better")</f>
        <v>Higher is better</v>
      </c>
      <c r="O725" s="37">
        <f t="shared" ca="1" si="66"/>
        <v>0</v>
      </c>
      <c r="P725" t="str">
        <f t="shared" ca="1" si="67"/>
        <v>Red</v>
      </c>
      <c r="Q725" s="36">
        <f t="shared" ca="1" si="68"/>
        <v>-4000</v>
      </c>
      <c r="R725" s="36" t="str">
        <f>""</f>
        <v/>
      </c>
      <c r="S725" s="36" t="str">
        <f>""</f>
        <v/>
      </c>
      <c r="T725" s="36" t="str">
        <f>""</f>
        <v/>
      </c>
      <c r="U725" s="36" t="str">
        <f>""</f>
        <v/>
      </c>
      <c r="V725" s="36" t="str">
        <f>""</f>
        <v/>
      </c>
      <c r="W725" s="36">
        <f t="shared" si="69"/>
        <v>1</v>
      </c>
      <c r="X725" t="str">
        <f t="shared" si="70"/>
        <v>Inactive</v>
      </c>
      <c r="Y725" t="str">
        <f>IF(MAIN!$H$3="Selected Year",IF(A725=MAIN!$B$3,"Yes","No"),IF(MAIN!$H$3="Included Years",IF(D725="Yes","Yes","No"),IF(C725="Yes","Yes","No")))</f>
        <v>No</v>
      </c>
      <c r="Z725" t="str">
        <f>IF(MAIN!$F$3="Project to Date",IF(AND(A725&gt;=SETTINGS!$B$4,A725&lt;MAIN!$B$3),"Yes",IF(AND(A725=MAIN!$B$3,E725&lt;=MAIN!$L$3),"Yes","No")),IF(OR(MAIN!$F$3="Full Year",MAIN!$D$3="All"),"Yes",IF(MAIN!$F$3="Monthly",IF(E725=MAIN!$L$3,"Yes","No"),IF(E725&lt;=MAIN!$L$3,"Yes","No"))))</f>
        <v>Yes</v>
      </c>
      <c r="AA725" t="str">
        <f t="shared" si="71"/>
        <v>No</v>
      </c>
    </row>
    <row r="726" spans="1:27" x14ac:dyDescent="0.3">
      <c r="A726">
        <f>INDEX(SETTINGS!$A$15:$A$24,$B726)</f>
        <v>2028</v>
      </c>
      <c r="B726">
        <v>4</v>
      </c>
      <c r="C726" t="str">
        <f>IF(AND(A726&gt;=SETTINGS!$B$4,A726&lt;=SETTINGS!$B$5),"Yes","No")</f>
        <v>No</v>
      </c>
      <c r="D726" t="str">
        <f>IFERROR(INDEX(SETTINGS!$C$15:$C$24,MATCH(A726,SETTINGS!$A$15:$A$24,0)),"No")</f>
        <v>No</v>
      </c>
      <c r="E726">
        <v>3</v>
      </c>
      <c r="F726" t="s">
        <v>36</v>
      </c>
      <c r="G726">
        <v>59</v>
      </c>
      <c r="H726" t="s">
        <v>93</v>
      </c>
      <c r="I726" t="s">
        <v>89</v>
      </c>
      <c r="J726" t="s">
        <v>13</v>
      </c>
      <c r="K726" t="s">
        <v>14</v>
      </c>
      <c r="L726" s="36">
        <f ca="1">IF(C726&lt;&gt;"Yes",0,IF(A726=2025,N('2025'!D59),IF(A726=2026,N('2026'!D59),IF(A726=2027,N('2027'!D59),IF(A726=2028,N('2028'!D59),IF(A726=2029,N('2029'!D59),IF(A726=2030,N('2030'!D59),IF(A726=2031,N('2031'!D59),IF(A726=2032,N('2032'!D59),IF(A726=2033,N('2033'!D59),IF(A726=2034,N('2034'!D59),IFERROR(N(INDIRECT("'"&amp;A726&amp;"'!D"&amp;G726)),0))))))))))))</f>
        <v>0</v>
      </c>
      <c r="M726" s="36">
        <f>IFERROR(IF(NOT(ISBLANK(KPI_TARGETS!$J$7)),KPI_TARGETS!$J$7,IF(NOT(ISBLANK(KPI_TARGETS!$F$7)),KPI_TARGETS!$F$7,"")),"")</f>
        <v>8000</v>
      </c>
      <c r="N726" s="36" t="str">
        <f>IFERROR(KPI_TARGETS!$E$7,"Higher is better")</f>
        <v>Higher is better</v>
      </c>
      <c r="O726" s="37">
        <f t="shared" ca="1" si="66"/>
        <v>0</v>
      </c>
      <c r="P726" t="str">
        <f t="shared" ca="1" si="67"/>
        <v>Red</v>
      </c>
      <c r="Q726" s="36">
        <f t="shared" ca="1" si="68"/>
        <v>-8000</v>
      </c>
      <c r="R726" s="36" t="str">
        <f>""</f>
        <v/>
      </c>
      <c r="S726" s="36" t="str">
        <f>""</f>
        <v/>
      </c>
      <c r="T726" s="36" t="str">
        <f>""</f>
        <v/>
      </c>
      <c r="U726" s="36" t="str">
        <f>""</f>
        <v/>
      </c>
      <c r="V726" s="36" t="str">
        <f>""</f>
        <v/>
      </c>
      <c r="W726" s="36">
        <f t="shared" si="69"/>
        <v>1</v>
      </c>
      <c r="X726" t="str">
        <f t="shared" si="70"/>
        <v>Inactive</v>
      </c>
      <c r="Y726" t="str">
        <f>IF(MAIN!$H$3="Selected Year",IF(A726=MAIN!$B$3,"Yes","No"),IF(MAIN!$H$3="Included Years",IF(D726="Yes","Yes","No"),IF(C726="Yes","Yes","No")))</f>
        <v>No</v>
      </c>
      <c r="Z726" t="str">
        <f>IF(MAIN!$F$3="Project to Date",IF(AND(A726&gt;=SETTINGS!$B$4,A726&lt;MAIN!$B$3),"Yes",IF(AND(A726=MAIN!$B$3,E726&lt;=MAIN!$L$3),"Yes","No")),IF(OR(MAIN!$F$3="Full Year",MAIN!$D$3="All"),"Yes",IF(MAIN!$F$3="Monthly",IF(E726=MAIN!$L$3,"Yes","No"),IF(E726&lt;=MAIN!$L$3,"Yes","No"))))</f>
        <v>Yes</v>
      </c>
      <c r="AA726" t="str">
        <f t="shared" si="71"/>
        <v>No</v>
      </c>
    </row>
    <row r="727" spans="1:27" x14ac:dyDescent="0.3">
      <c r="A727">
        <f>INDEX(SETTINGS!$A$15:$A$24,$B727)</f>
        <v>2028</v>
      </c>
      <c r="B727">
        <v>4</v>
      </c>
      <c r="C727" t="str">
        <f>IF(AND(A727&gt;=SETTINGS!$B$4,A727&lt;=SETTINGS!$B$5),"Yes","No")</f>
        <v>No</v>
      </c>
      <c r="D727" t="str">
        <f>IFERROR(INDEX(SETTINGS!$C$15:$C$24,MATCH(A727,SETTINGS!$A$15:$A$24,0)),"No")</f>
        <v>No</v>
      </c>
      <c r="E727">
        <v>3</v>
      </c>
      <c r="F727" t="s">
        <v>36</v>
      </c>
      <c r="G727">
        <v>61</v>
      </c>
      <c r="H727" t="s">
        <v>95</v>
      </c>
      <c r="I727" t="s">
        <v>15</v>
      </c>
      <c r="J727" t="s">
        <v>16</v>
      </c>
      <c r="K727" t="s">
        <v>3</v>
      </c>
      <c r="L727" s="36">
        <f ca="1">IF(C727&lt;&gt;"Yes",0,IF(A727=2025,N('2025'!D61),IF(A727=2026,N('2026'!D61),IF(A727=2027,N('2027'!D61),IF(A727=2028,N('2028'!D61),IF(A727=2029,N('2029'!D61),IF(A727=2030,N('2030'!D61),IF(A727=2031,N('2031'!D61),IF(A727=2032,N('2032'!D61),IF(A727=2033,N('2033'!D61),IF(A727=2034,N('2034'!D61),IFERROR(N(INDIRECT("'"&amp;A727&amp;"'!D"&amp;G727)),0))))))))))))</f>
        <v>0</v>
      </c>
      <c r="M727" s="36">
        <f>IFERROR(IF(NOT(ISBLANK(KPI_TARGETS!$J$8)),KPI_TARGETS!$J$8,IF(NOT(ISBLANK(KPI_TARGETS!$F$8)),KPI_TARGETS!$F$8,"")),"")</f>
        <v>0</v>
      </c>
      <c r="N727" s="36" t="str">
        <f>IFERROR(KPI_TARGETS!$E$8,"Higher is better")</f>
        <v>Lower is better</v>
      </c>
      <c r="O727" s="37">
        <f t="shared" ca="1" si="66"/>
        <v>1</v>
      </c>
      <c r="P727" t="str">
        <f t="shared" ca="1" si="67"/>
        <v>Green</v>
      </c>
      <c r="Q727" s="36">
        <f t="shared" ca="1" si="68"/>
        <v>0</v>
      </c>
      <c r="R727" s="36" t="str">
        <f>""</f>
        <v/>
      </c>
      <c r="S727" s="36" t="str">
        <f>""</f>
        <v/>
      </c>
      <c r="T727" s="36" t="str">
        <f>""</f>
        <v/>
      </c>
      <c r="U727" s="36" t="str">
        <f>""</f>
        <v/>
      </c>
      <c r="V727" s="36" t="str">
        <f>""</f>
        <v/>
      </c>
      <c r="W727" s="36">
        <f t="shared" si="69"/>
        <v>1</v>
      </c>
      <c r="X727" t="str">
        <f t="shared" si="70"/>
        <v>Inactive</v>
      </c>
      <c r="Y727" t="str">
        <f>IF(MAIN!$H$3="Selected Year",IF(A727=MAIN!$B$3,"Yes","No"),IF(MAIN!$H$3="Included Years",IF(D727="Yes","Yes","No"),IF(C727="Yes","Yes","No")))</f>
        <v>No</v>
      </c>
      <c r="Z727" t="str">
        <f>IF(MAIN!$F$3="Project to Date",IF(AND(A727&gt;=SETTINGS!$B$4,A727&lt;MAIN!$B$3),"Yes",IF(AND(A727=MAIN!$B$3,E727&lt;=MAIN!$L$3),"Yes","No")),IF(OR(MAIN!$F$3="Full Year",MAIN!$D$3="All"),"Yes",IF(MAIN!$F$3="Monthly",IF(E727=MAIN!$L$3,"Yes","No"),IF(E727&lt;=MAIN!$L$3,"Yes","No"))))</f>
        <v>Yes</v>
      </c>
      <c r="AA727" t="str">
        <f t="shared" si="71"/>
        <v>No</v>
      </c>
    </row>
    <row r="728" spans="1:27" x14ac:dyDescent="0.3">
      <c r="A728">
        <f>INDEX(SETTINGS!$A$15:$A$24,$B728)</f>
        <v>2028</v>
      </c>
      <c r="B728">
        <v>4</v>
      </c>
      <c r="C728" t="str">
        <f>IF(AND(A728&gt;=SETTINGS!$B$4,A728&lt;=SETTINGS!$B$5),"Yes","No")</f>
        <v>No</v>
      </c>
      <c r="D728" t="str">
        <f>IFERROR(INDEX(SETTINGS!$C$15:$C$24,MATCH(A728,SETTINGS!$A$15:$A$24,0)),"No")</f>
        <v>No</v>
      </c>
      <c r="E728">
        <v>3</v>
      </c>
      <c r="F728" t="s">
        <v>36</v>
      </c>
      <c r="G728">
        <v>62</v>
      </c>
      <c r="H728" t="s">
        <v>97</v>
      </c>
      <c r="I728" t="s">
        <v>15</v>
      </c>
      <c r="J728" t="s">
        <v>17</v>
      </c>
      <c r="K728" t="s">
        <v>3</v>
      </c>
      <c r="L728" s="36">
        <f ca="1">IF(C728&lt;&gt;"Yes",0,IF(A728=2025,N('2025'!D62),IF(A728=2026,N('2026'!D62),IF(A728=2027,N('2027'!D62),IF(A728=2028,N('2028'!D62),IF(A728=2029,N('2029'!D62),IF(A728=2030,N('2030'!D62),IF(A728=2031,N('2031'!D62),IF(A728=2032,N('2032'!D62),IF(A728=2033,N('2033'!D62),IF(A728=2034,N('2034'!D62),IFERROR(N(INDIRECT("'"&amp;A728&amp;"'!D"&amp;G728)),0))))))))))))</f>
        <v>0</v>
      </c>
      <c r="M728" s="36">
        <f>IFERROR(IF(NOT(ISBLANK(KPI_TARGETS!$J$9)),KPI_TARGETS!$J$9,IF(NOT(ISBLANK(KPI_TARGETS!$F$9)),KPI_TARGETS!$F$9,"")),"")</f>
        <v>0</v>
      </c>
      <c r="N728" s="36" t="str">
        <f>IFERROR(KPI_TARGETS!$E$9,"Higher is better")</f>
        <v>Higher is better</v>
      </c>
      <c r="O728" s="37" t="str">
        <f t="shared" ca="1" si="66"/>
        <v/>
      </c>
      <c r="P728" t="str">
        <f t="shared" ca="1" si="67"/>
        <v>Green</v>
      </c>
      <c r="Q728" s="36">
        <f t="shared" ca="1" si="68"/>
        <v>0</v>
      </c>
      <c r="R728" s="36" t="str">
        <f>""</f>
        <v/>
      </c>
      <c r="S728" s="36" t="str">
        <f>""</f>
        <v/>
      </c>
      <c r="T728" s="36" t="str">
        <f>""</f>
        <v/>
      </c>
      <c r="U728" s="36" t="str">
        <f>""</f>
        <v/>
      </c>
      <c r="V728" s="36" t="str">
        <f>""</f>
        <v/>
      </c>
      <c r="W728" s="36">
        <f t="shared" si="69"/>
        <v>1</v>
      </c>
      <c r="X728" t="str">
        <f t="shared" si="70"/>
        <v>Inactive</v>
      </c>
      <c r="Y728" t="str">
        <f>IF(MAIN!$H$3="Selected Year",IF(A728=MAIN!$B$3,"Yes","No"),IF(MAIN!$H$3="Included Years",IF(D728="Yes","Yes","No"),IF(C728="Yes","Yes","No")))</f>
        <v>No</v>
      </c>
      <c r="Z728" t="str">
        <f>IF(MAIN!$F$3="Project to Date",IF(AND(A728&gt;=SETTINGS!$B$4,A728&lt;MAIN!$B$3),"Yes",IF(AND(A728=MAIN!$B$3,E728&lt;=MAIN!$L$3),"Yes","No")),IF(OR(MAIN!$F$3="Full Year",MAIN!$D$3="All"),"Yes",IF(MAIN!$F$3="Monthly",IF(E728=MAIN!$L$3,"Yes","No"),IF(E728&lt;=MAIN!$L$3,"Yes","No"))))</f>
        <v>Yes</v>
      </c>
      <c r="AA728" t="str">
        <f t="shared" si="71"/>
        <v>No</v>
      </c>
    </row>
    <row r="729" spans="1:27" x14ac:dyDescent="0.3">
      <c r="A729">
        <f>INDEX(SETTINGS!$A$15:$A$24,$B729)</f>
        <v>2028</v>
      </c>
      <c r="B729">
        <v>4</v>
      </c>
      <c r="C729" t="str">
        <f>IF(AND(A729&gt;=SETTINGS!$B$4,A729&lt;=SETTINGS!$B$5),"Yes","No")</f>
        <v>No</v>
      </c>
      <c r="D729" t="str">
        <f>IFERROR(INDEX(SETTINGS!$C$15:$C$24,MATCH(A729,SETTINGS!$A$15:$A$24,0)),"No")</f>
        <v>No</v>
      </c>
      <c r="E729">
        <v>3</v>
      </c>
      <c r="F729" t="s">
        <v>36</v>
      </c>
      <c r="G729">
        <v>63</v>
      </c>
      <c r="H729" t="s">
        <v>99</v>
      </c>
      <c r="I729" t="s">
        <v>15</v>
      </c>
      <c r="J729" t="s">
        <v>18</v>
      </c>
      <c r="K729" t="s">
        <v>3</v>
      </c>
      <c r="L729" s="36">
        <f ca="1">IF(C729&lt;&gt;"Yes",0,IF(A729=2025,N('2025'!D63),IF(A729=2026,N('2026'!D63),IF(A729=2027,N('2027'!D63),IF(A729=2028,N('2028'!D63),IF(A729=2029,N('2029'!D63),IF(A729=2030,N('2030'!D63),IF(A729=2031,N('2031'!D63),IF(A729=2032,N('2032'!D63),IF(A729=2033,N('2033'!D63),IF(A729=2034,N('2034'!D63),IFERROR(N(INDIRECT("'"&amp;A729&amp;"'!D"&amp;G729)),0))))))))))))</f>
        <v>0</v>
      </c>
      <c r="M729" s="36">
        <f>IFERROR(IF(NOT(ISBLANK(KPI_TARGETS!$J$10)),KPI_TARGETS!$J$10,IF(NOT(ISBLANK(KPI_TARGETS!$F$10)),KPI_TARGETS!$F$10,"")),"")</f>
        <v>0</v>
      </c>
      <c r="N729" s="36" t="str">
        <f>IFERROR(KPI_TARGETS!$E$10,"Higher is better")</f>
        <v>Lower is better</v>
      </c>
      <c r="O729" s="37">
        <f t="shared" ca="1" si="66"/>
        <v>1</v>
      </c>
      <c r="P729" t="str">
        <f t="shared" ca="1" si="67"/>
        <v>Green</v>
      </c>
      <c r="Q729" s="36">
        <f t="shared" ca="1" si="68"/>
        <v>0</v>
      </c>
      <c r="R729" s="36" t="str">
        <f>""</f>
        <v/>
      </c>
      <c r="S729" s="36" t="str">
        <f>""</f>
        <v/>
      </c>
      <c r="T729" s="36" t="str">
        <f>""</f>
        <v/>
      </c>
      <c r="U729" s="36" t="str">
        <f>""</f>
        <v/>
      </c>
      <c r="V729" s="36" t="str">
        <f>""</f>
        <v/>
      </c>
      <c r="W729" s="36">
        <f t="shared" si="69"/>
        <v>1</v>
      </c>
      <c r="X729" t="str">
        <f t="shared" si="70"/>
        <v>Inactive</v>
      </c>
      <c r="Y729" t="str">
        <f>IF(MAIN!$H$3="Selected Year",IF(A729=MAIN!$B$3,"Yes","No"),IF(MAIN!$H$3="Included Years",IF(D729="Yes","Yes","No"),IF(C729="Yes","Yes","No")))</f>
        <v>No</v>
      </c>
      <c r="Z729" t="str">
        <f>IF(MAIN!$F$3="Project to Date",IF(AND(A729&gt;=SETTINGS!$B$4,A729&lt;MAIN!$B$3),"Yes",IF(AND(A729=MAIN!$B$3,E729&lt;=MAIN!$L$3),"Yes","No")),IF(OR(MAIN!$F$3="Full Year",MAIN!$D$3="All"),"Yes",IF(MAIN!$F$3="Monthly",IF(E729=MAIN!$L$3,"Yes","No"),IF(E729&lt;=MAIN!$L$3,"Yes","No"))))</f>
        <v>Yes</v>
      </c>
      <c r="AA729" t="str">
        <f t="shared" si="71"/>
        <v>No</v>
      </c>
    </row>
    <row r="730" spans="1:27" x14ac:dyDescent="0.3">
      <c r="A730">
        <f>INDEX(SETTINGS!$A$15:$A$24,$B730)</f>
        <v>2028</v>
      </c>
      <c r="B730">
        <v>4</v>
      </c>
      <c r="C730" t="str">
        <f>IF(AND(A730&gt;=SETTINGS!$B$4,A730&lt;=SETTINGS!$B$5),"Yes","No")</f>
        <v>No</v>
      </c>
      <c r="D730" t="str">
        <f>IFERROR(INDEX(SETTINGS!$C$15:$C$24,MATCH(A730,SETTINGS!$A$15:$A$24,0)),"No")</f>
        <v>No</v>
      </c>
      <c r="E730">
        <v>3</v>
      </c>
      <c r="F730" t="s">
        <v>36</v>
      </c>
      <c r="G730">
        <v>64</v>
      </c>
      <c r="H730" t="s">
        <v>100</v>
      </c>
      <c r="I730" t="s">
        <v>15</v>
      </c>
      <c r="J730" t="s">
        <v>19</v>
      </c>
      <c r="K730" t="s">
        <v>3</v>
      </c>
      <c r="L730" s="36">
        <f ca="1">IF(C730&lt;&gt;"Yes",0,IF(A730=2025,N('2025'!D64),IF(A730=2026,N('2026'!D64),IF(A730=2027,N('2027'!D64),IF(A730=2028,N('2028'!D64),IF(A730=2029,N('2029'!D64),IF(A730=2030,N('2030'!D64),IF(A730=2031,N('2031'!D64),IF(A730=2032,N('2032'!D64),IF(A730=2033,N('2033'!D64),IF(A730=2034,N('2034'!D64),IFERROR(N(INDIRECT("'"&amp;A730&amp;"'!D"&amp;G730)),0))))))))))))</f>
        <v>0</v>
      </c>
      <c r="M730" s="36">
        <f>IFERROR(IF(NOT(ISBLANK(KPI_TARGETS!$J$11)),KPI_TARGETS!$J$11,IF(NOT(ISBLANK(KPI_TARGETS!$F$11)),KPI_TARGETS!$F$11,"")),"")</f>
        <v>0</v>
      </c>
      <c r="N730" s="36" t="str">
        <f>IFERROR(KPI_TARGETS!$E$11,"Higher is better")</f>
        <v>Lower is better</v>
      </c>
      <c r="O730" s="37">
        <f t="shared" ca="1" si="66"/>
        <v>1</v>
      </c>
      <c r="P730" t="str">
        <f t="shared" ca="1" si="67"/>
        <v>Green</v>
      </c>
      <c r="Q730" s="36">
        <f t="shared" ca="1" si="68"/>
        <v>0</v>
      </c>
      <c r="R730" s="36" t="str">
        <f>""</f>
        <v/>
      </c>
      <c r="S730" s="36" t="str">
        <f>""</f>
        <v/>
      </c>
      <c r="T730" s="36" t="str">
        <f>""</f>
        <v/>
      </c>
      <c r="U730" s="36" t="str">
        <f>""</f>
        <v/>
      </c>
      <c r="V730" s="36" t="str">
        <f>""</f>
        <v/>
      </c>
      <c r="W730" s="36">
        <f t="shared" si="69"/>
        <v>1</v>
      </c>
      <c r="X730" t="str">
        <f t="shared" si="70"/>
        <v>Inactive</v>
      </c>
      <c r="Y730" t="str">
        <f>IF(MAIN!$H$3="Selected Year",IF(A730=MAIN!$B$3,"Yes","No"),IF(MAIN!$H$3="Included Years",IF(D730="Yes","Yes","No"),IF(C730="Yes","Yes","No")))</f>
        <v>No</v>
      </c>
      <c r="Z730" t="str">
        <f>IF(MAIN!$F$3="Project to Date",IF(AND(A730&gt;=SETTINGS!$B$4,A730&lt;MAIN!$B$3),"Yes",IF(AND(A730=MAIN!$B$3,E730&lt;=MAIN!$L$3),"Yes","No")),IF(OR(MAIN!$F$3="Full Year",MAIN!$D$3="All"),"Yes",IF(MAIN!$F$3="Monthly",IF(E730=MAIN!$L$3,"Yes","No"),IF(E730&lt;=MAIN!$L$3,"Yes","No"))))</f>
        <v>Yes</v>
      </c>
      <c r="AA730" t="str">
        <f t="shared" si="71"/>
        <v>No</v>
      </c>
    </row>
    <row r="731" spans="1:27" x14ac:dyDescent="0.3">
      <c r="A731">
        <f>INDEX(SETTINGS!$A$15:$A$24,$B731)</f>
        <v>2028</v>
      </c>
      <c r="B731">
        <v>4</v>
      </c>
      <c r="C731" t="str">
        <f>IF(AND(A731&gt;=SETTINGS!$B$4,A731&lt;=SETTINGS!$B$5),"Yes","No")</f>
        <v>No</v>
      </c>
      <c r="D731" t="str">
        <f>IFERROR(INDEX(SETTINGS!$C$15:$C$24,MATCH(A731,SETTINGS!$A$15:$A$24,0)),"No")</f>
        <v>No</v>
      </c>
      <c r="E731">
        <v>3</v>
      </c>
      <c r="F731" t="s">
        <v>36</v>
      </c>
      <c r="G731">
        <v>65</v>
      </c>
      <c r="H731" t="s">
        <v>101</v>
      </c>
      <c r="I731" t="s">
        <v>15</v>
      </c>
      <c r="J731" t="s">
        <v>20</v>
      </c>
      <c r="K731" t="s">
        <v>3</v>
      </c>
      <c r="L731" s="36">
        <f ca="1">IF(C731&lt;&gt;"Yes",0,IF(A731=2025,N('2025'!D65),IF(A731=2026,N('2026'!D65),IF(A731=2027,N('2027'!D65),IF(A731=2028,N('2028'!D65),IF(A731=2029,N('2029'!D65),IF(A731=2030,N('2030'!D65),IF(A731=2031,N('2031'!D65),IF(A731=2032,N('2032'!D65),IF(A731=2033,N('2033'!D65),IF(A731=2034,N('2034'!D65),IFERROR(N(INDIRECT("'"&amp;A731&amp;"'!D"&amp;G731)),0))))))))))))</f>
        <v>0</v>
      </c>
      <c r="M731" s="36">
        <f>IFERROR(IF(NOT(ISBLANK(KPI_TARGETS!$J$12)),KPI_TARGETS!$J$12,IF(NOT(ISBLANK(KPI_TARGETS!$F$12)),KPI_TARGETS!$F$12,"")),"")</f>
        <v>0</v>
      </c>
      <c r="N731" s="36" t="str">
        <f>IFERROR(KPI_TARGETS!$E$12,"Higher is better")</f>
        <v>Lower is better</v>
      </c>
      <c r="O731" s="37">
        <f t="shared" ca="1" si="66"/>
        <v>1</v>
      </c>
      <c r="P731" t="str">
        <f t="shared" ca="1" si="67"/>
        <v>Green</v>
      </c>
      <c r="Q731" s="36">
        <f t="shared" ca="1" si="68"/>
        <v>0</v>
      </c>
      <c r="R731" s="36" t="str">
        <f>""</f>
        <v/>
      </c>
      <c r="S731" s="36" t="str">
        <f>""</f>
        <v/>
      </c>
      <c r="T731" s="36" t="str">
        <f>""</f>
        <v/>
      </c>
      <c r="U731" s="36" t="str">
        <f>""</f>
        <v/>
      </c>
      <c r="V731" s="36" t="str">
        <f>""</f>
        <v/>
      </c>
      <c r="W731" s="36">
        <f t="shared" si="69"/>
        <v>1</v>
      </c>
      <c r="X731" t="str">
        <f t="shared" si="70"/>
        <v>Inactive</v>
      </c>
      <c r="Y731" t="str">
        <f>IF(MAIN!$H$3="Selected Year",IF(A731=MAIN!$B$3,"Yes","No"),IF(MAIN!$H$3="Included Years",IF(D731="Yes","Yes","No"),IF(C731="Yes","Yes","No")))</f>
        <v>No</v>
      </c>
      <c r="Z731" t="str">
        <f>IF(MAIN!$F$3="Project to Date",IF(AND(A731&gt;=SETTINGS!$B$4,A731&lt;MAIN!$B$3),"Yes",IF(AND(A731=MAIN!$B$3,E731&lt;=MAIN!$L$3),"Yes","No")),IF(OR(MAIN!$F$3="Full Year",MAIN!$D$3="All"),"Yes",IF(MAIN!$F$3="Monthly",IF(E731=MAIN!$L$3,"Yes","No"),IF(E731&lt;=MAIN!$L$3,"Yes","No"))))</f>
        <v>Yes</v>
      </c>
      <c r="AA731" t="str">
        <f t="shared" si="71"/>
        <v>No</v>
      </c>
    </row>
    <row r="732" spans="1:27" x14ac:dyDescent="0.3">
      <c r="A732">
        <f>INDEX(SETTINGS!$A$15:$A$24,$B732)</f>
        <v>2028</v>
      </c>
      <c r="B732">
        <v>4</v>
      </c>
      <c r="C732" t="str">
        <f>IF(AND(A732&gt;=SETTINGS!$B$4,A732&lt;=SETTINGS!$B$5),"Yes","No")</f>
        <v>No</v>
      </c>
      <c r="D732" t="str">
        <f>IFERROR(INDEX(SETTINGS!$C$15:$C$24,MATCH(A732,SETTINGS!$A$15:$A$24,0)),"No")</f>
        <v>No</v>
      </c>
      <c r="E732">
        <v>3</v>
      </c>
      <c r="F732" t="s">
        <v>36</v>
      </c>
      <c r="G732">
        <v>66</v>
      </c>
      <c r="H732" t="s">
        <v>102</v>
      </c>
      <c r="I732" t="s">
        <v>15</v>
      </c>
      <c r="J732" t="s">
        <v>21</v>
      </c>
      <c r="K732" t="s">
        <v>3</v>
      </c>
      <c r="L732" s="36">
        <f ca="1">IF(C732&lt;&gt;"Yes",0,IF(A732=2025,N('2025'!D66),IF(A732=2026,N('2026'!D66),IF(A732=2027,N('2027'!D66),IF(A732=2028,N('2028'!D66),IF(A732=2029,N('2029'!D66),IF(A732=2030,N('2030'!D66),IF(A732=2031,N('2031'!D66),IF(A732=2032,N('2032'!D66),IF(A732=2033,N('2033'!D66),IF(A732=2034,N('2034'!D66),IFERROR(N(INDIRECT("'"&amp;A732&amp;"'!D"&amp;G732)),0))))))))))))</f>
        <v>0</v>
      </c>
      <c r="M732" s="36">
        <f>IFERROR(IF(NOT(ISBLANK(KPI_TARGETS!$J$13)),KPI_TARGETS!$J$13,IF(NOT(ISBLANK(KPI_TARGETS!$F$13)),KPI_TARGETS!$F$13,"")),"")</f>
        <v>0</v>
      </c>
      <c r="N732" s="36" t="str">
        <f>IFERROR(KPI_TARGETS!$E$13,"Higher is better")</f>
        <v>Lower is better</v>
      </c>
      <c r="O732" s="37">
        <f t="shared" ca="1" si="66"/>
        <v>1</v>
      </c>
      <c r="P732" t="str">
        <f t="shared" ca="1" si="67"/>
        <v>Green</v>
      </c>
      <c r="Q732" s="36">
        <f t="shared" ca="1" si="68"/>
        <v>0</v>
      </c>
      <c r="R732" s="36" t="str">
        <f>""</f>
        <v/>
      </c>
      <c r="S732" s="36" t="str">
        <f>""</f>
        <v/>
      </c>
      <c r="T732" s="36" t="str">
        <f>""</f>
        <v/>
      </c>
      <c r="U732" s="36" t="str">
        <f>""</f>
        <v/>
      </c>
      <c r="V732" s="36" t="str">
        <f>""</f>
        <v/>
      </c>
      <c r="W732" s="36">
        <f t="shared" si="69"/>
        <v>1</v>
      </c>
      <c r="X732" t="str">
        <f t="shared" si="70"/>
        <v>Inactive</v>
      </c>
      <c r="Y732" t="str">
        <f>IF(MAIN!$H$3="Selected Year",IF(A732=MAIN!$B$3,"Yes","No"),IF(MAIN!$H$3="Included Years",IF(D732="Yes","Yes","No"),IF(C732="Yes","Yes","No")))</f>
        <v>No</v>
      </c>
      <c r="Z732" t="str">
        <f>IF(MAIN!$F$3="Project to Date",IF(AND(A732&gt;=SETTINGS!$B$4,A732&lt;MAIN!$B$3),"Yes",IF(AND(A732=MAIN!$B$3,E732&lt;=MAIN!$L$3),"Yes","No")),IF(OR(MAIN!$F$3="Full Year",MAIN!$D$3="All"),"Yes",IF(MAIN!$F$3="Monthly",IF(E732=MAIN!$L$3,"Yes","No"),IF(E732&lt;=MAIN!$L$3,"Yes","No"))))</f>
        <v>Yes</v>
      </c>
      <c r="AA732" t="str">
        <f t="shared" si="71"/>
        <v>No</v>
      </c>
    </row>
    <row r="733" spans="1:27" x14ac:dyDescent="0.3">
      <c r="A733">
        <f>INDEX(SETTINGS!$A$15:$A$24,$B733)</f>
        <v>2028</v>
      </c>
      <c r="B733">
        <v>4</v>
      </c>
      <c r="C733" t="str">
        <f>IF(AND(A733&gt;=SETTINGS!$B$4,A733&lt;=SETTINGS!$B$5),"Yes","No")</f>
        <v>No</v>
      </c>
      <c r="D733" t="str">
        <f>IFERROR(INDEX(SETTINGS!$C$15:$C$24,MATCH(A733,SETTINGS!$A$15:$A$24,0)),"No")</f>
        <v>No</v>
      </c>
      <c r="E733">
        <v>3</v>
      </c>
      <c r="F733" t="s">
        <v>36</v>
      </c>
      <c r="G733">
        <v>68</v>
      </c>
      <c r="H733" t="s">
        <v>103</v>
      </c>
      <c r="I733" t="s">
        <v>22</v>
      </c>
      <c r="J733" t="s">
        <v>23</v>
      </c>
      <c r="K733" t="s">
        <v>3</v>
      </c>
      <c r="L733" s="36">
        <f ca="1">IF(C733&lt;&gt;"Yes",0,IF(A733=2025,N('2025'!D68),IF(A733=2026,N('2026'!D68),IF(A733=2027,N('2027'!D68),IF(A733=2028,N('2028'!D68),IF(A733=2029,N('2029'!D68),IF(A733=2030,N('2030'!D68),IF(A733=2031,N('2031'!D68),IF(A733=2032,N('2032'!D68),IF(A733=2033,N('2033'!D68),IF(A733=2034,N('2034'!D68),IFERROR(N(INDIRECT("'"&amp;A733&amp;"'!D"&amp;G733)),0))))))))))))</f>
        <v>0</v>
      </c>
      <c r="M733" s="36">
        <f>IFERROR(IF(NOT(ISBLANK(KPI_TARGETS!$J$14)),KPI_TARGETS!$J$14,IF(NOT(ISBLANK(KPI_TARGETS!$F$14)),KPI_TARGETS!$F$14,"")),"")</f>
        <v>35</v>
      </c>
      <c r="N733" s="36" t="str">
        <f>IFERROR(KPI_TARGETS!$E$14,"Higher is better")</f>
        <v>Higher is better</v>
      </c>
      <c r="O733" s="37">
        <f t="shared" ca="1" si="66"/>
        <v>0</v>
      </c>
      <c r="P733" t="str">
        <f t="shared" ca="1" si="67"/>
        <v>Red</v>
      </c>
      <c r="Q733" s="36">
        <f t="shared" ca="1" si="68"/>
        <v>-35</v>
      </c>
      <c r="R733" s="36" t="str">
        <f>""</f>
        <v/>
      </c>
      <c r="S733" s="36" t="str">
        <f>""</f>
        <v/>
      </c>
      <c r="T733" s="36" t="str">
        <f>""</f>
        <v/>
      </c>
      <c r="U733" s="36" t="str">
        <f>""</f>
        <v/>
      </c>
      <c r="V733" s="36" t="str">
        <f>""</f>
        <v/>
      </c>
      <c r="W733" s="36">
        <f t="shared" si="69"/>
        <v>1</v>
      </c>
      <c r="X733" t="str">
        <f t="shared" si="70"/>
        <v>Inactive</v>
      </c>
      <c r="Y733" t="str">
        <f>IF(MAIN!$H$3="Selected Year",IF(A733=MAIN!$B$3,"Yes","No"),IF(MAIN!$H$3="Included Years",IF(D733="Yes","Yes","No"),IF(C733="Yes","Yes","No")))</f>
        <v>No</v>
      </c>
      <c r="Z733" t="str">
        <f>IF(MAIN!$F$3="Project to Date",IF(AND(A733&gt;=SETTINGS!$B$4,A733&lt;MAIN!$B$3),"Yes",IF(AND(A733=MAIN!$B$3,E733&lt;=MAIN!$L$3),"Yes","No")),IF(OR(MAIN!$F$3="Full Year",MAIN!$D$3="All"),"Yes",IF(MAIN!$F$3="Monthly",IF(E733=MAIN!$L$3,"Yes","No"),IF(E733&lt;=MAIN!$L$3,"Yes","No"))))</f>
        <v>Yes</v>
      </c>
      <c r="AA733" t="str">
        <f t="shared" si="71"/>
        <v>No</v>
      </c>
    </row>
    <row r="734" spans="1:27" x14ac:dyDescent="0.3">
      <c r="A734">
        <f>INDEX(SETTINGS!$A$15:$A$24,$B734)</f>
        <v>2028</v>
      </c>
      <c r="B734">
        <v>4</v>
      </c>
      <c r="C734" t="str">
        <f>IF(AND(A734&gt;=SETTINGS!$B$4,A734&lt;=SETTINGS!$B$5),"Yes","No")</f>
        <v>No</v>
      </c>
      <c r="D734" t="str">
        <f>IFERROR(INDEX(SETTINGS!$C$15:$C$24,MATCH(A734,SETTINGS!$A$15:$A$24,0)),"No")</f>
        <v>No</v>
      </c>
      <c r="E734">
        <v>3</v>
      </c>
      <c r="F734" t="s">
        <v>36</v>
      </c>
      <c r="G734">
        <v>69</v>
      </c>
      <c r="H734" t="s">
        <v>104</v>
      </c>
      <c r="I734" t="s">
        <v>22</v>
      </c>
      <c r="J734" t="s">
        <v>24</v>
      </c>
      <c r="K734" t="s">
        <v>3</v>
      </c>
      <c r="L734" s="36">
        <f ca="1">IF(C734&lt;&gt;"Yes",0,IF(A734=2025,N('2025'!D69),IF(A734=2026,N('2026'!D69),IF(A734=2027,N('2027'!D69),IF(A734=2028,N('2028'!D69),IF(A734=2029,N('2029'!D69),IF(A734=2030,N('2030'!D69),IF(A734=2031,N('2031'!D69),IF(A734=2032,N('2032'!D69),IF(A734=2033,N('2033'!D69),IF(A734=2034,N('2034'!D69),IFERROR(N(INDIRECT("'"&amp;A734&amp;"'!D"&amp;G734)),0))))))))))))</f>
        <v>0</v>
      </c>
      <c r="M734" s="36">
        <f>IFERROR(IF(NOT(ISBLANK(KPI_TARGETS!$J$15)),KPI_TARGETS!$J$15,IF(NOT(ISBLANK(KPI_TARGETS!$F$15)),KPI_TARGETS!$F$15,"")),"")</f>
        <v>5</v>
      </c>
      <c r="N734" s="36" t="str">
        <f>IFERROR(KPI_TARGETS!$E$15,"Higher is better")</f>
        <v>Higher is better</v>
      </c>
      <c r="O734" s="37">
        <f t="shared" ca="1" si="66"/>
        <v>0</v>
      </c>
      <c r="P734" t="str">
        <f t="shared" ca="1" si="67"/>
        <v>Red</v>
      </c>
      <c r="Q734" s="36">
        <f t="shared" ca="1" si="68"/>
        <v>-5</v>
      </c>
      <c r="R734" s="36" t="str">
        <f>""</f>
        <v/>
      </c>
      <c r="S734" s="36" t="str">
        <f>""</f>
        <v/>
      </c>
      <c r="T734" s="36" t="str">
        <f>""</f>
        <v/>
      </c>
      <c r="U734" s="36" t="str">
        <f>""</f>
        <v/>
      </c>
      <c r="V734" s="36" t="str">
        <f>""</f>
        <v/>
      </c>
      <c r="W734" s="36">
        <f t="shared" si="69"/>
        <v>1</v>
      </c>
      <c r="X734" t="str">
        <f t="shared" si="70"/>
        <v>Inactive</v>
      </c>
      <c r="Y734" t="str">
        <f>IF(MAIN!$H$3="Selected Year",IF(A734=MAIN!$B$3,"Yes","No"),IF(MAIN!$H$3="Included Years",IF(D734="Yes","Yes","No"),IF(C734="Yes","Yes","No")))</f>
        <v>No</v>
      </c>
      <c r="Z734" t="str">
        <f>IF(MAIN!$F$3="Project to Date",IF(AND(A734&gt;=SETTINGS!$B$4,A734&lt;MAIN!$B$3),"Yes",IF(AND(A734=MAIN!$B$3,E734&lt;=MAIN!$L$3),"Yes","No")),IF(OR(MAIN!$F$3="Full Year",MAIN!$D$3="All"),"Yes",IF(MAIN!$F$3="Monthly",IF(E734=MAIN!$L$3,"Yes","No"),IF(E734&lt;=MAIN!$L$3,"Yes","No"))))</f>
        <v>Yes</v>
      </c>
      <c r="AA734" t="str">
        <f t="shared" si="71"/>
        <v>No</v>
      </c>
    </row>
    <row r="735" spans="1:27" x14ac:dyDescent="0.3">
      <c r="A735">
        <f>INDEX(SETTINGS!$A$15:$A$24,$B735)</f>
        <v>2028</v>
      </c>
      <c r="B735">
        <v>4</v>
      </c>
      <c r="C735" t="str">
        <f>IF(AND(A735&gt;=SETTINGS!$B$4,A735&lt;=SETTINGS!$B$5),"Yes","No")</f>
        <v>No</v>
      </c>
      <c r="D735" t="str">
        <f>IFERROR(INDEX(SETTINGS!$C$15:$C$24,MATCH(A735,SETTINGS!$A$15:$A$24,0)),"No")</f>
        <v>No</v>
      </c>
      <c r="E735">
        <v>3</v>
      </c>
      <c r="F735" t="s">
        <v>36</v>
      </c>
      <c r="G735">
        <v>70</v>
      </c>
      <c r="H735" t="s">
        <v>105</v>
      </c>
      <c r="I735" t="s">
        <v>22</v>
      </c>
      <c r="J735" t="s">
        <v>25</v>
      </c>
      <c r="K735" t="s">
        <v>3</v>
      </c>
      <c r="L735" s="36">
        <f ca="1">IF(C735&lt;&gt;"Yes",0,IF(A735=2025,N('2025'!D70),IF(A735=2026,N('2026'!D70),IF(A735=2027,N('2027'!D70),IF(A735=2028,N('2028'!D70),IF(A735=2029,N('2029'!D70),IF(A735=2030,N('2030'!D70),IF(A735=2031,N('2031'!D70),IF(A735=2032,N('2032'!D70),IF(A735=2033,N('2033'!D70),IF(A735=2034,N('2034'!D70),IFERROR(N(INDIRECT("'"&amp;A735&amp;"'!D"&amp;G735)),0))))))))))))</f>
        <v>0</v>
      </c>
      <c r="M735" s="36">
        <f>IFERROR(IF(NOT(ISBLANK(KPI_TARGETS!$J$16)),KPI_TARGETS!$J$16,IF(NOT(ISBLANK(KPI_TARGETS!$F$16)),KPI_TARGETS!$F$16,"")),"")</f>
        <v>4</v>
      </c>
      <c r="N735" s="36" t="str">
        <f>IFERROR(KPI_TARGETS!$E$16,"Higher is better")</f>
        <v>Higher is better</v>
      </c>
      <c r="O735" s="37">
        <f t="shared" ca="1" si="66"/>
        <v>0</v>
      </c>
      <c r="P735" t="str">
        <f t="shared" ca="1" si="67"/>
        <v>Red</v>
      </c>
      <c r="Q735" s="36">
        <f t="shared" ca="1" si="68"/>
        <v>-4</v>
      </c>
      <c r="R735" s="36" t="str">
        <f>""</f>
        <v/>
      </c>
      <c r="S735" s="36" t="str">
        <f>""</f>
        <v/>
      </c>
      <c r="T735" s="36" t="str">
        <f>""</f>
        <v/>
      </c>
      <c r="U735" s="36" t="str">
        <f>""</f>
        <v/>
      </c>
      <c r="V735" s="36" t="str">
        <f>""</f>
        <v/>
      </c>
      <c r="W735" s="36">
        <f t="shared" si="69"/>
        <v>1</v>
      </c>
      <c r="X735" t="str">
        <f t="shared" si="70"/>
        <v>Inactive</v>
      </c>
      <c r="Y735" t="str">
        <f>IF(MAIN!$H$3="Selected Year",IF(A735=MAIN!$B$3,"Yes","No"),IF(MAIN!$H$3="Included Years",IF(D735="Yes","Yes","No"),IF(C735="Yes","Yes","No")))</f>
        <v>No</v>
      </c>
      <c r="Z735" t="str">
        <f>IF(MAIN!$F$3="Project to Date",IF(AND(A735&gt;=SETTINGS!$B$4,A735&lt;MAIN!$B$3),"Yes",IF(AND(A735=MAIN!$B$3,E735&lt;=MAIN!$L$3),"Yes","No")),IF(OR(MAIN!$F$3="Full Year",MAIN!$D$3="All"),"Yes",IF(MAIN!$F$3="Monthly",IF(E735=MAIN!$L$3,"Yes","No"),IF(E735&lt;=MAIN!$L$3,"Yes","No"))))</f>
        <v>Yes</v>
      </c>
      <c r="AA735" t="str">
        <f t="shared" si="71"/>
        <v>No</v>
      </c>
    </row>
    <row r="736" spans="1:27" x14ac:dyDescent="0.3">
      <c r="A736">
        <f>INDEX(SETTINGS!$A$15:$A$24,$B736)</f>
        <v>2028</v>
      </c>
      <c r="B736">
        <v>4</v>
      </c>
      <c r="C736" t="str">
        <f>IF(AND(A736&gt;=SETTINGS!$B$4,A736&lt;=SETTINGS!$B$5),"Yes","No")</f>
        <v>No</v>
      </c>
      <c r="D736" t="str">
        <f>IFERROR(INDEX(SETTINGS!$C$15:$C$24,MATCH(A736,SETTINGS!$A$15:$A$24,0)),"No")</f>
        <v>No</v>
      </c>
      <c r="E736">
        <v>3</v>
      </c>
      <c r="F736" t="s">
        <v>36</v>
      </c>
      <c r="G736">
        <v>71</v>
      </c>
      <c r="H736" t="s">
        <v>106</v>
      </c>
      <c r="I736" t="s">
        <v>22</v>
      </c>
      <c r="J736" t="s">
        <v>26</v>
      </c>
      <c r="K736" t="s">
        <v>3</v>
      </c>
      <c r="L736" s="36">
        <f ca="1">IF(C736&lt;&gt;"Yes",0,IF(A736=2025,N('2025'!D71),IF(A736=2026,N('2026'!D71),IF(A736=2027,N('2027'!D71),IF(A736=2028,N('2028'!D71),IF(A736=2029,N('2029'!D71),IF(A736=2030,N('2030'!D71),IF(A736=2031,N('2031'!D71),IF(A736=2032,N('2032'!D71),IF(A736=2033,N('2033'!D71),IF(A736=2034,N('2034'!D71),IFERROR(N(INDIRECT("'"&amp;A736&amp;"'!D"&amp;G736)),0))))))))))))</f>
        <v>0</v>
      </c>
      <c r="M736" s="36">
        <f>IFERROR(IF(NOT(ISBLANK(KPI_TARGETS!$J$17)),KPI_TARGETS!$J$17,IF(NOT(ISBLANK(KPI_TARGETS!$F$17)),KPI_TARGETS!$F$17,"")),"")</f>
        <v>12</v>
      </c>
      <c r="N736" s="36" t="str">
        <f>IFERROR(KPI_TARGETS!$E$17,"Higher is better")</f>
        <v>Higher is better</v>
      </c>
      <c r="O736" s="37">
        <f t="shared" ca="1" si="66"/>
        <v>0</v>
      </c>
      <c r="P736" t="str">
        <f t="shared" ca="1" si="67"/>
        <v>Red</v>
      </c>
      <c r="Q736" s="36">
        <f t="shared" ca="1" si="68"/>
        <v>-12</v>
      </c>
      <c r="R736" s="36" t="str">
        <f>""</f>
        <v/>
      </c>
      <c r="S736" s="36" t="str">
        <f>""</f>
        <v/>
      </c>
      <c r="T736" s="36" t="str">
        <f>""</f>
        <v/>
      </c>
      <c r="U736" s="36" t="str">
        <f>""</f>
        <v/>
      </c>
      <c r="V736" s="36" t="str">
        <f>""</f>
        <v/>
      </c>
      <c r="W736" s="36">
        <f t="shared" si="69"/>
        <v>1</v>
      </c>
      <c r="X736" t="str">
        <f t="shared" si="70"/>
        <v>Inactive</v>
      </c>
      <c r="Y736" t="str">
        <f>IF(MAIN!$H$3="Selected Year",IF(A736=MAIN!$B$3,"Yes","No"),IF(MAIN!$H$3="Included Years",IF(D736="Yes","Yes","No"),IF(C736="Yes","Yes","No")))</f>
        <v>No</v>
      </c>
      <c r="Z736" t="str">
        <f>IF(MAIN!$F$3="Project to Date",IF(AND(A736&gt;=SETTINGS!$B$4,A736&lt;MAIN!$B$3),"Yes",IF(AND(A736=MAIN!$B$3,E736&lt;=MAIN!$L$3),"Yes","No")),IF(OR(MAIN!$F$3="Full Year",MAIN!$D$3="All"),"Yes",IF(MAIN!$F$3="Monthly",IF(E736=MAIN!$L$3,"Yes","No"),IF(E736&lt;=MAIN!$L$3,"Yes","No"))))</f>
        <v>Yes</v>
      </c>
      <c r="AA736" t="str">
        <f t="shared" si="71"/>
        <v>No</v>
      </c>
    </row>
    <row r="737" spans="1:27" x14ac:dyDescent="0.3">
      <c r="A737">
        <f>INDEX(SETTINGS!$A$15:$A$24,$B737)</f>
        <v>2028</v>
      </c>
      <c r="B737">
        <v>4</v>
      </c>
      <c r="C737" t="str">
        <f>IF(AND(A737&gt;=SETTINGS!$B$4,A737&lt;=SETTINGS!$B$5),"Yes","No")</f>
        <v>No</v>
      </c>
      <c r="D737" t="str">
        <f>IFERROR(INDEX(SETTINGS!$C$15:$C$24,MATCH(A737,SETTINGS!$A$15:$A$24,0)),"No")</f>
        <v>No</v>
      </c>
      <c r="E737">
        <v>3</v>
      </c>
      <c r="F737" t="s">
        <v>36</v>
      </c>
      <c r="G737">
        <v>72</v>
      </c>
      <c r="H737" t="s">
        <v>107</v>
      </c>
      <c r="I737" t="s">
        <v>22</v>
      </c>
      <c r="J737" t="s">
        <v>27</v>
      </c>
      <c r="K737" t="s">
        <v>3</v>
      </c>
      <c r="L737" s="36">
        <f ca="1">IF(C737&lt;&gt;"Yes",0,IF(A737=2025,N('2025'!D72),IF(A737=2026,N('2026'!D72),IF(A737=2027,N('2027'!D72),IF(A737=2028,N('2028'!D72),IF(A737=2029,N('2029'!D72),IF(A737=2030,N('2030'!D72),IF(A737=2031,N('2031'!D72),IF(A737=2032,N('2032'!D72),IF(A737=2033,N('2033'!D72),IF(A737=2034,N('2034'!D72),IFERROR(N(INDIRECT("'"&amp;A737&amp;"'!D"&amp;G737)),0))))))))))))</f>
        <v>0</v>
      </c>
      <c r="M737" s="36">
        <f>IFERROR(IF(NOT(ISBLANK(KPI_TARGETS!$J$18)),KPI_TARGETS!$J$18,IF(NOT(ISBLANK(KPI_TARGETS!$F$18)),KPI_TARGETS!$F$18,"")),"")</f>
        <v>4</v>
      </c>
      <c r="N737" s="36" t="str">
        <f>IFERROR(KPI_TARGETS!$E$18,"Higher is better")</f>
        <v>Higher is better</v>
      </c>
      <c r="O737" s="37">
        <f t="shared" ca="1" si="66"/>
        <v>0</v>
      </c>
      <c r="P737" t="str">
        <f t="shared" ca="1" si="67"/>
        <v>Red</v>
      </c>
      <c r="Q737" s="36">
        <f t="shared" ca="1" si="68"/>
        <v>-4</v>
      </c>
      <c r="R737" s="36" t="str">
        <f>""</f>
        <v/>
      </c>
      <c r="S737" s="36" t="str">
        <f>""</f>
        <v/>
      </c>
      <c r="T737" s="36" t="str">
        <f>""</f>
        <v/>
      </c>
      <c r="U737" s="36" t="str">
        <f>""</f>
        <v/>
      </c>
      <c r="V737" s="36" t="str">
        <f>""</f>
        <v/>
      </c>
      <c r="W737" s="36">
        <f t="shared" si="69"/>
        <v>1</v>
      </c>
      <c r="X737" t="str">
        <f t="shared" si="70"/>
        <v>Inactive</v>
      </c>
      <c r="Y737" t="str">
        <f>IF(MAIN!$H$3="Selected Year",IF(A737=MAIN!$B$3,"Yes","No"),IF(MAIN!$H$3="Included Years",IF(D737="Yes","Yes","No"),IF(C737="Yes","Yes","No")))</f>
        <v>No</v>
      </c>
      <c r="Z737" t="str">
        <f>IF(MAIN!$F$3="Project to Date",IF(AND(A737&gt;=SETTINGS!$B$4,A737&lt;MAIN!$B$3),"Yes",IF(AND(A737=MAIN!$B$3,E737&lt;=MAIN!$L$3),"Yes","No")),IF(OR(MAIN!$F$3="Full Year",MAIN!$D$3="All"),"Yes",IF(MAIN!$F$3="Monthly",IF(E737=MAIN!$L$3,"Yes","No"),IF(E737&lt;=MAIN!$L$3,"Yes","No"))))</f>
        <v>Yes</v>
      </c>
      <c r="AA737" t="str">
        <f t="shared" si="71"/>
        <v>No</v>
      </c>
    </row>
    <row r="738" spans="1:27" x14ac:dyDescent="0.3">
      <c r="A738">
        <f>INDEX(SETTINGS!$A$15:$A$24,$B738)</f>
        <v>2028</v>
      </c>
      <c r="B738">
        <v>4</v>
      </c>
      <c r="C738" t="str">
        <f>IF(AND(A738&gt;=SETTINGS!$B$4,A738&lt;=SETTINGS!$B$5),"Yes","No")</f>
        <v>No</v>
      </c>
      <c r="D738" t="str">
        <f>IFERROR(INDEX(SETTINGS!$C$15:$C$24,MATCH(A738,SETTINGS!$A$15:$A$24,0)),"No")</f>
        <v>No</v>
      </c>
      <c r="E738">
        <v>3</v>
      </c>
      <c r="F738" t="s">
        <v>36</v>
      </c>
      <c r="G738">
        <v>73</v>
      </c>
      <c r="H738" t="s">
        <v>108</v>
      </c>
      <c r="I738" t="s">
        <v>22</v>
      </c>
      <c r="J738" t="s">
        <v>28</v>
      </c>
      <c r="K738" t="s">
        <v>3</v>
      </c>
      <c r="L738" s="36">
        <f ca="1">IF(C738&lt;&gt;"Yes",0,IF(A738=2025,N('2025'!D73),IF(A738=2026,N('2026'!D73),IF(A738=2027,N('2027'!D73),IF(A738=2028,N('2028'!D73),IF(A738=2029,N('2029'!D73),IF(A738=2030,N('2030'!D73),IF(A738=2031,N('2031'!D73),IF(A738=2032,N('2032'!D73),IF(A738=2033,N('2033'!D73),IF(A738=2034,N('2034'!D73),IFERROR(N(INDIRECT("'"&amp;A738&amp;"'!D"&amp;G738)),0))))))))))))</f>
        <v>0</v>
      </c>
      <c r="M738" s="36">
        <f>IFERROR(IF(NOT(ISBLANK(KPI_TARGETS!$J$19)),KPI_TARGETS!$J$19,IF(NOT(ISBLANK(KPI_TARGETS!$F$19)),KPI_TARGETS!$F$19,"")),"")</f>
        <v>16</v>
      </c>
      <c r="N738" s="36" t="str">
        <f>IFERROR(KPI_TARGETS!$E$19,"Higher is better")</f>
        <v>Higher is better</v>
      </c>
      <c r="O738" s="37">
        <f t="shared" ca="1" si="66"/>
        <v>0</v>
      </c>
      <c r="P738" t="str">
        <f t="shared" ca="1" si="67"/>
        <v>Red</v>
      </c>
      <c r="Q738" s="36">
        <f t="shared" ca="1" si="68"/>
        <v>-16</v>
      </c>
      <c r="R738" s="36" t="str">
        <f>""</f>
        <v/>
      </c>
      <c r="S738" s="36" t="str">
        <f>""</f>
        <v/>
      </c>
      <c r="T738" s="36" t="str">
        <f>""</f>
        <v/>
      </c>
      <c r="U738" s="36" t="str">
        <f>""</f>
        <v/>
      </c>
      <c r="V738" s="36" t="str">
        <f>""</f>
        <v/>
      </c>
      <c r="W738" s="36">
        <f t="shared" si="69"/>
        <v>1</v>
      </c>
      <c r="X738" t="str">
        <f t="shared" si="70"/>
        <v>Inactive</v>
      </c>
      <c r="Y738" t="str">
        <f>IF(MAIN!$H$3="Selected Year",IF(A738=MAIN!$B$3,"Yes","No"),IF(MAIN!$H$3="Included Years",IF(D738="Yes","Yes","No"),IF(C738="Yes","Yes","No")))</f>
        <v>No</v>
      </c>
      <c r="Z738" t="str">
        <f>IF(MAIN!$F$3="Project to Date",IF(AND(A738&gt;=SETTINGS!$B$4,A738&lt;MAIN!$B$3),"Yes",IF(AND(A738=MAIN!$B$3,E738&lt;=MAIN!$L$3),"Yes","No")),IF(OR(MAIN!$F$3="Full Year",MAIN!$D$3="All"),"Yes",IF(MAIN!$F$3="Monthly",IF(E738=MAIN!$L$3,"Yes","No"),IF(E738&lt;=MAIN!$L$3,"Yes","No"))))</f>
        <v>Yes</v>
      </c>
      <c r="AA738" t="str">
        <f t="shared" si="71"/>
        <v>No</v>
      </c>
    </row>
    <row r="739" spans="1:27" x14ac:dyDescent="0.3">
      <c r="A739">
        <f>INDEX(SETTINGS!$A$15:$A$24,$B739)</f>
        <v>2028</v>
      </c>
      <c r="B739">
        <v>4</v>
      </c>
      <c r="C739" t="str">
        <f>IF(AND(A739&gt;=SETTINGS!$B$4,A739&lt;=SETTINGS!$B$5),"Yes","No")</f>
        <v>No</v>
      </c>
      <c r="D739" t="str">
        <f>IFERROR(INDEX(SETTINGS!$C$15:$C$24,MATCH(A739,SETTINGS!$A$15:$A$24,0)),"No")</f>
        <v>No</v>
      </c>
      <c r="E739">
        <v>3</v>
      </c>
      <c r="F739" t="s">
        <v>36</v>
      </c>
      <c r="G739">
        <v>74</v>
      </c>
      <c r="H739" t="s">
        <v>109</v>
      </c>
      <c r="I739" t="s">
        <v>22</v>
      </c>
      <c r="J739" t="s">
        <v>29</v>
      </c>
      <c r="K739" t="s">
        <v>3</v>
      </c>
      <c r="L739" s="36">
        <f ca="1">IF(C739&lt;&gt;"Yes",0,IF(A739=2025,N('2025'!D74),IF(A739=2026,N('2026'!D74),IF(A739=2027,N('2027'!D74),IF(A739=2028,N('2028'!D74),IF(A739=2029,N('2029'!D74),IF(A739=2030,N('2030'!D74),IF(A739=2031,N('2031'!D74),IF(A739=2032,N('2032'!D74),IF(A739=2033,N('2033'!D74),IF(A739=2034,N('2034'!D74),IFERROR(N(INDIRECT("'"&amp;A739&amp;"'!D"&amp;G739)),0))))))))))))</f>
        <v>0</v>
      </c>
      <c r="M739" s="36">
        <f>IFERROR(IF(NOT(ISBLANK(KPI_TARGETS!$J$20)),KPI_TARGETS!$J$20,IF(NOT(ISBLANK(KPI_TARGETS!$F$20)),KPI_TARGETS!$F$20,"")),"")</f>
        <v>1</v>
      </c>
      <c r="N739" s="36" t="str">
        <f>IFERROR(KPI_TARGETS!$E$20,"Higher is better")</f>
        <v>Higher is better</v>
      </c>
      <c r="O739" s="37">
        <f t="shared" ca="1" si="66"/>
        <v>0</v>
      </c>
      <c r="P739" t="str">
        <f t="shared" ca="1" si="67"/>
        <v>Red</v>
      </c>
      <c r="Q739" s="36">
        <f t="shared" ca="1" si="68"/>
        <v>-1</v>
      </c>
      <c r="R739" s="36" t="str">
        <f>""</f>
        <v/>
      </c>
      <c r="S739" s="36" t="str">
        <f>""</f>
        <v/>
      </c>
      <c r="T739" s="36" t="str">
        <f>""</f>
        <v/>
      </c>
      <c r="U739" s="36" t="str">
        <f>""</f>
        <v/>
      </c>
      <c r="V739" s="36" t="str">
        <f>""</f>
        <v/>
      </c>
      <c r="W739" s="36">
        <f t="shared" si="69"/>
        <v>1</v>
      </c>
      <c r="X739" t="str">
        <f t="shared" si="70"/>
        <v>Inactive</v>
      </c>
      <c r="Y739" t="str">
        <f>IF(MAIN!$H$3="Selected Year",IF(A739=MAIN!$B$3,"Yes","No"),IF(MAIN!$H$3="Included Years",IF(D739="Yes","Yes","No"),IF(C739="Yes","Yes","No")))</f>
        <v>No</v>
      </c>
      <c r="Z739" t="str">
        <f>IF(MAIN!$F$3="Project to Date",IF(AND(A739&gt;=SETTINGS!$B$4,A739&lt;MAIN!$B$3),"Yes",IF(AND(A739=MAIN!$B$3,E739&lt;=MAIN!$L$3),"Yes","No")),IF(OR(MAIN!$F$3="Full Year",MAIN!$D$3="All"),"Yes",IF(MAIN!$F$3="Monthly",IF(E739=MAIN!$L$3,"Yes","No"),IF(E739&lt;=MAIN!$L$3,"Yes","No"))))</f>
        <v>Yes</v>
      </c>
      <c r="AA739" t="str">
        <f t="shared" si="71"/>
        <v>No</v>
      </c>
    </row>
    <row r="740" spans="1:27" x14ac:dyDescent="0.3">
      <c r="A740">
        <f>INDEX(SETTINGS!$A$15:$A$24,$B740)</f>
        <v>2028</v>
      </c>
      <c r="B740">
        <v>4</v>
      </c>
      <c r="C740" t="str">
        <f>IF(AND(A740&gt;=SETTINGS!$B$4,A740&lt;=SETTINGS!$B$5),"Yes","No")</f>
        <v>No</v>
      </c>
      <c r="D740" t="str">
        <f>IFERROR(INDEX(SETTINGS!$C$15:$C$24,MATCH(A740,SETTINGS!$A$15:$A$24,0)),"No")</f>
        <v>No</v>
      </c>
      <c r="E740">
        <v>3</v>
      </c>
      <c r="F740" t="s">
        <v>36</v>
      </c>
      <c r="G740">
        <v>76</v>
      </c>
      <c r="H740" t="s">
        <v>110</v>
      </c>
      <c r="I740" t="s">
        <v>30</v>
      </c>
      <c r="J740" t="s">
        <v>31</v>
      </c>
      <c r="K740" t="s">
        <v>3</v>
      </c>
      <c r="L740" s="36">
        <f ca="1">IF(C740&lt;&gt;"Yes",0,IF(A740=2025,N('2025'!D76),IF(A740=2026,N('2026'!D76),IF(A740=2027,N('2027'!D76),IF(A740=2028,N('2028'!D76),IF(A740=2029,N('2029'!D76),IF(A740=2030,N('2030'!D76),IF(A740=2031,N('2031'!D76),IF(A740=2032,N('2032'!D76),IF(A740=2033,N('2033'!D76),IF(A740=2034,N('2034'!D76),IFERROR(N(INDIRECT("'"&amp;A740&amp;"'!D"&amp;G740)),0))))))))))))</f>
        <v>0</v>
      </c>
      <c r="M740" s="36">
        <f>IFERROR(IF(NOT(ISBLANK(KPI_TARGETS!$J$21)),KPI_TARGETS!$J$21,IF(NOT(ISBLANK(KPI_TARGETS!$F$21)),KPI_TARGETS!$F$21,"")),"")</f>
        <v>0</v>
      </c>
      <c r="N740" s="36" t="str">
        <f>IFERROR(KPI_TARGETS!$E$21,"Higher is better")</f>
        <v>Lower is better</v>
      </c>
      <c r="O740" s="37">
        <f t="shared" ca="1" si="66"/>
        <v>1</v>
      </c>
      <c r="P740" t="str">
        <f t="shared" ca="1" si="67"/>
        <v>Green</v>
      </c>
      <c r="Q740" s="36">
        <f t="shared" ca="1" si="68"/>
        <v>0</v>
      </c>
      <c r="R740" s="36" t="str">
        <f>""</f>
        <v/>
      </c>
      <c r="S740" s="36" t="str">
        <f>""</f>
        <v/>
      </c>
      <c r="T740" s="36" t="str">
        <f>""</f>
        <v/>
      </c>
      <c r="U740" s="36" t="str">
        <f>""</f>
        <v/>
      </c>
      <c r="V740" s="36" t="str">
        <f>""</f>
        <v/>
      </c>
      <c r="W740" s="36">
        <f t="shared" si="69"/>
        <v>1</v>
      </c>
      <c r="X740" t="str">
        <f t="shared" si="70"/>
        <v>Inactive</v>
      </c>
      <c r="Y740" t="str">
        <f>IF(MAIN!$H$3="Selected Year",IF(A740=MAIN!$B$3,"Yes","No"),IF(MAIN!$H$3="Included Years",IF(D740="Yes","Yes","No"),IF(C740="Yes","Yes","No")))</f>
        <v>No</v>
      </c>
      <c r="Z740" t="str">
        <f>IF(MAIN!$F$3="Project to Date",IF(AND(A740&gt;=SETTINGS!$B$4,A740&lt;MAIN!$B$3),"Yes",IF(AND(A740=MAIN!$B$3,E740&lt;=MAIN!$L$3),"Yes","No")),IF(OR(MAIN!$F$3="Full Year",MAIN!$D$3="All"),"Yes",IF(MAIN!$F$3="Monthly",IF(E740=MAIN!$L$3,"Yes","No"),IF(E740&lt;=MAIN!$L$3,"Yes","No"))))</f>
        <v>Yes</v>
      </c>
      <c r="AA740" t="str">
        <f t="shared" si="71"/>
        <v>No</v>
      </c>
    </row>
    <row r="741" spans="1:27" x14ac:dyDescent="0.3">
      <c r="A741">
        <f>INDEX(SETTINGS!$A$15:$A$24,$B741)</f>
        <v>2028</v>
      </c>
      <c r="B741">
        <v>4</v>
      </c>
      <c r="C741" t="str">
        <f>IF(AND(A741&gt;=SETTINGS!$B$4,A741&lt;=SETTINGS!$B$5),"Yes","No")</f>
        <v>No</v>
      </c>
      <c r="D741" t="str">
        <f>IFERROR(INDEX(SETTINGS!$C$15:$C$24,MATCH(A741,SETTINGS!$A$15:$A$24,0)),"No")</f>
        <v>No</v>
      </c>
      <c r="E741">
        <v>3</v>
      </c>
      <c r="F741" t="s">
        <v>36</v>
      </c>
      <c r="G741">
        <v>77</v>
      </c>
      <c r="H741" t="s">
        <v>111</v>
      </c>
      <c r="I741" t="s">
        <v>30</v>
      </c>
      <c r="J741" t="s">
        <v>32</v>
      </c>
      <c r="K741" t="s">
        <v>3</v>
      </c>
      <c r="L741" s="36">
        <f ca="1">IF(C741&lt;&gt;"Yes",0,IF(A741=2025,N('2025'!D77),IF(A741=2026,N('2026'!D77),IF(A741=2027,N('2027'!D77),IF(A741=2028,N('2028'!D77),IF(A741=2029,N('2029'!D77),IF(A741=2030,N('2030'!D77),IF(A741=2031,N('2031'!D77),IF(A741=2032,N('2032'!D77),IF(A741=2033,N('2033'!D77),IF(A741=2034,N('2034'!D77),IFERROR(N(INDIRECT("'"&amp;A741&amp;"'!D"&amp;G741)),0))))))))))))</f>
        <v>0</v>
      </c>
      <c r="M741" s="36">
        <f>IFERROR(IF(NOT(ISBLANK(KPI_TARGETS!$J$22)),KPI_TARGETS!$J$22,IF(NOT(ISBLANK(KPI_TARGETS!$F$22)),KPI_TARGETS!$F$22,"")),"")</f>
        <v>1</v>
      </c>
      <c r="N741" s="36" t="str">
        <f>IFERROR(KPI_TARGETS!$E$22,"Higher is better")</f>
        <v>Higher is better</v>
      </c>
      <c r="O741" s="37">
        <f t="shared" ca="1" si="66"/>
        <v>0</v>
      </c>
      <c r="P741" t="str">
        <f t="shared" ca="1" si="67"/>
        <v>Red</v>
      </c>
      <c r="Q741" s="36">
        <f t="shared" ca="1" si="68"/>
        <v>-1</v>
      </c>
      <c r="R741" s="36" t="str">
        <f>""</f>
        <v/>
      </c>
      <c r="S741" s="36" t="str">
        <f>""</f>
        <v/>
      </c>
      <c r="T741" s="36" t="str">
        <f>""</f>
        <v/>
      </c>
      <c r="U741" s="36" t="str">
        <f>""</f>
        <v/>
      </c>
      <c r="V741" s="36" t="str">
        <f>""</f>
        <v/>
      </c>
      <c r="W741" s="36">
        <f t="shared" si="69"/>
        <v>1</v>
      </c>
      <c r="X741" t="str">
        <f t="shared" si="70"/>
        <v>Inactive</v>
      </c>
      <c r="Y741" t="str">
        <f>IF(MAIN!$H$3="Selected Year",IF(A741=MAIN!$B$3,"Yes","No"),IF(MAIN!$H$3="Included Years",IF(D741="Yes","Yes","No"),IF(C741="Yes","Yes","No")))</f>
        <v>No</v>
      </c>
      <c r="Z741" t="str">
        <f>IF(MAIN!$F$3="Project to Date",IF(AND(A741&gt;=SETTINGS!$B$4,A741&lt;MAIN!$B$3),"Yes",IF(AND(A741=MAIN!$B$3,E741&lt;=MAIN!$L$3),"Yes","No")),IF(OR(MAIN!$F$3="Full Year",MAIN!$D$3="All"),"Yes",IF(MAIN!$F$3="Monthly",IF(E741=MAIN!$L$3,"Yes","No"),IF(E741&lt;=MAIN!$L$3,"Yes","No"))))</f>
        <v>Yes</v>
      </c>
      <c r="AA741" t="str">
        <f t="shared" si="71"/>
        <v>No</v>
      </c>
    </row>
    <row r="742" spans="1:27" x14ac:dyDescent="0.3">
      <c r="A742">
        <f>INDEX(SETTINGS!$A$15:$A$24,$B742)</f>
        <v>2028</v>
      </c>
      <c r="B742">
        <v>4</v>
      </c>
      <c r="C742" t="str">
        <f>IF(AND(A742&gt;=SETTINGS!$B$4,A742&lt;=SETTINGS!$B$5),"Yes","No")</f>
        <v>No</v>
      </c>
      <c r="D742" t="str">
        <f>IFERROR(INDEX(SETTINGS!$C$15:$C$24,MATCH(A742,SETTINGS!$A$15:$A$24,0)),"No")</f>
        <v>No</v>
      </c>
      <c r="E742">
        <v>3</v>
      </c>
      <c r="F742" t="s">
        <v>36</v>
      </c>
      <c r="G742">
        <v>78</v>
      </c>
      <c r="H742" t="s">
        <v>112</v>
      </c>
      <c r="I742" t="s">
        <v>30</v>
      </c>
      <c r="J742" t="s">
        <v>33</v>
      </c>
      <c r="K742" t="s">
        <v>34</v>
      </c>
      <c r="L742" s="36">
        <f ca="1">IF(C742&lt;&gt;"Yes",0,IF(A742=2025,N('2025'!D78),IF(A742=2026,N('2026'!D78),IF(A742=2027,N('2027'!D78),IF(A742=2028,N('2028'!D78),IF(A742=2029,N('2029'!D78),IF(A742=2030,N('2030'!D78),IF(A742=2031,N('2031'!D78),IF(A742=2032,N('2032'!D78),IF(A742=2033,N('2033'!D78),IF(A742=2034,N('2034'!D78),IFERROR(N(INDIRECT("'"&amp;A742&amp;"'!D"&amp;G742)),0))))))))))))</f>
        <v>0</v>
      </c>
      <c r="M742" s="36">
        <f>IFERROR(IF(NOT(ISBLANK(KPI_TARGETS!$J$23)),KPI_TARGETS!$J$23,IF(NOT(ISBLANK(KPI_TARGETS!$F$23)),KPI_TARGETS!$F$23,"")),"")</f>
        <v>1</v>
      </c>
      <c r="N742" s="36" t="str">
        <f>IFERROR(KPI_TARGETS!$E$23,"Higher is better")</f>
        <v>Higher is better</v>
      </c>
      <c r="O742" s="37">
        <f t="shared" ca="1" si="66"/>
        <v>0</v>
      </c>
      <c r="P742" t="str">
        <f t="shared" ca="1" si="67"/>
        <v>Red</v>
      </c>
      <c r="Q742" s="36">
        <f t="shared" ca="1" si="68"/>
        <v>-1</v>
      </c>
      <c r="R742" s="36" t="str">
        <f>""</f>
        <v/>
      </c>
      <c r="S742" s="36" t="str">
        <f>""</f>
        <v/>
      </c>
      <c r="T742" s="36" t="str">
        <f>""</f>
        <v/>
      </c>
      <c r="U742" s="36" t="str">
        <f>""</f>
        <v/>
      </c>
      <c r="V742" s="36" t="str">
        <f>""</f>
        <v/>
      </c>
      <c r="W742" s="36">
        <f t="shared" si="69"/>
        <v>1</v>
      </c>
      <c r="X742" t="str">
        <f t="shared" si="70"/>
        <v>Inactive</v>
      </c>
      <c r="Y742" t="str">
        <f>IF(MAIN!$H$3="Selected Year",IF(A742=MAIN!$B$3,"Yes","No"),IF(MAIN!$H$3="Included Years",IF(D742="Yes","Yes","No"),IF(C742="Yes","Yes","No")))</f>
        <v>No</v>
      </c>
      <c r="Z742" t="str">
        <f>IF(MAIN!$F$3="Project to Date",IF(AND(A742&gt;=SETTINGS!$B$4,A742&lt;MAIN!$B$3),"Yes",IF(AND(A742=MAIN!$B$3,E742&lt;=MAIN!$L$3),"Yes","No")),IF(OR(MAIN!$F$3="Full Year",MAIN!$D$3="All"),"Yes",IF(MAIN!$F$3="Monthly",IF(E742=MAIN!$L$3,"Yes","No"),IF(E742&lt;=MAIN!$L$3,"Yes","No"))))</f>
        <v>Yes</v>
      </c>
      <c r="AA742" t="str">
        <f t="shared" si="71"/>
        <v>No</v>
      </c>
    </row>
    <row r="743" spans="1:27" x14ac:dyDescent="0.3">
      <c r="A743">
        <f>INDEX(SETTINGS!$A$15:$A$24,$B743)</f>
        <v>2028</v>
      </c>
      <c r="B743">
        <v>4</v>
      </c>
      <c r="C743" t="str">
        <f>IF(AND(A743&gt;=SETTINGS!$B$4,A743&lt;=SETTINGS!$B$5),"Yes","No")</f>
        <v>No</v>
      </c>
      <c r="D743" t="str">
        <f>IFERROR(INDEX(SETTINGS!$C$15:$C$24,MATCH(A743,SETTINGS!$A$15:$A$24,0)),"No")</f>
        <v>No</v>
      </c>
      <c r="E743">
        <v>4</v>
      </c>
      <c r="F743" t="s">
        <v>37</v>
      </c>
      <c r="G743">
        <v>81</v>
      </c>
      <c r="H743" t="s">
        <v>88</v>
      </c>
      <c r="I743" t="s">
        <v>89</v>
      </c>
      <c r="J743" t="s">
        <v>10</v>
      </c>
      <c r="K743" t="s">
        <v>3</v>
      </c>
      <c r="L743" s="36">
        <f ca="1">IF(C743&lt;&gt;"Yes",0,IF(A743=2025,N('2025'!D81),IF(A743=2026,N('2026'!D81),IF(A743=2027,N('2027'!D81),IF(A743=2028,N('2028'!D81),IF(A743=2029,N('2029'!D81),IF(A743=2030,N('2030'!D81),IF(A743=2031,N('2031'!D81),IF(A743=2032,N('2032'!D81),IF(A743=2033,N('2033'!D81),IF(A743=2034,N('2034'!D81),IFERROR(N(INDIRECT("'"&amp;A743&amp;"'!D"&amp;G743)),0))))))))))))</f>
        <v>0</v>
      </c>
      <c r="M743" s="36">
        <f>IFERROR(IF(NOT(ISBLANK(KPI_TARGETS!$J$5)),KPI_TARGETS!$J$5,IF(NOT(ISBLANK(KPI_TARGETS!$F$5)),KPI_TARGETS!$F$5,"")),"")</f>
        <v>104</v>
      </c>
      <c r="N743" s="36" t="str">
        <f>IFERROR(KPI_TARGETS!$E$5,"Higher is better")</f>
        <v>Higher is better</v>
      </c>
      <c r="O743" s="37">
        <f t="shared" ca="1" si="66"/>
        <v>0</v>
      </c>
      <c r="P743" t="str">
        <f t="shared" ca="1" si="67"/>
        <v>Red</v>
      </c>
      <c r="Q743" s="36">
        <f t="shared" ca="1" si="68"/>
        <v>-104</v>
      </c>
      <c r="R743" s="36" t="str">
        <f>""</f>
        <v/>
      </c>
      <c r="S743" s="36" t="str">
        <f>""</f>
        <v/>
      </c>
      <c r="T743" s="36" t="str">
        <f>""</f>
        <v/>
      </c>
      <c r="U743" s="36" t="str">
        <f>""</f>
        <v/>
      </c>
      <c r="V743" s="36" t="str">
        <f>""</f>
        <v/>
      </c>
      <c r="W743" s="36">
        <f t="shared" si="69"/>
        <v>1</v>
      </c>
      <c r="X743" t="str">
        <f t="shared" si="70"/>
        <v>Inactive</v>
      </c>
      <c r="Y743" t="str">
        <f>IF(MAIN!$H$3="Selected Year",IF(A743=MAIN!$B$3,"Yes","No"),IF(MAIN!$H$3="Included Years",IF(D743="Yes","Yes","No"),IF(C743="Yes","Yes","No")))</f>
        <v>No</v>
      </c>
      <c r="Z743" t="str">
        <f>IF(MAIN!$F$3="Project to Date",IF(AND(A743&gt;=SETTINGS!$B$4,A743&lt;MAIN!$B$3),"Yes",IF(AND(A743=MAIN!$B$3,E743&lt;=MAIN!$L$3),"Yes","No")),IF(OR(MAIN!$F$3="Full Year",MAIN!$D$3="All"),"Yes",IF(MAIN!$F$3="Monthly",IF(E743=MAIN!$L$3,"Yes","No"),IF(E743&lt;=MAIN!$L$3,"Yes","No"))))</f>
        <v>Yes</v>
      </c>
      <c r="AA743" t="str">
        <f t="shared" si="71"/>
        <v>No</v>
      </c>
    </row>
    <row r="744" spans="1:27" x14ac:dyDescent="0.3">
      <c r="A744">
        <f>INDEX(SETTINGS!$A$15:$A$24,$B744)</f>
        <v>2028</v>
      </c>
      <c r="B744">
        <v>4</v>
      </c>
      <c r="C744" t="str">
        <f>IF(AND(A744&gt;=SETTINGS!$B$4,A744&lt;=SETTINGS!$B$5),"Yes","No")</f>
        <v>No</v>
      </c>
      <c r="D744" t="str">
        <f>IFERROR(INDEX(SETTINGS!$C$15:$C$24,MATCH(A744,SETTINGS!$A$15:$A$24,0)),"No")</f>
        <v>No</v>
      </c>
      <c r="E744">
        <v>4</v>
      </c>
      <c r="F744" t="s">
        <v>37</v>
      </c>
      <c r="G744">
        <v>82</v>
      </c>
      <c r="H744" t="s">
        <v>91</v>
      </c>
      <c r="I744" t="s">
        <v>89</v>
      </c>
      <c r="J744" t="s">
        <v>11</v>
      </c>
      <c r="K744" t="s">
        <v>12</v>
      </c>
      <c r="L744" s="36">
        <f ca="1">IF(C744&lt;&gt;"Yes",0,IF(A744=2025,N('2025'!D82),IF(A744=2026,N('2026'!D82),IF(A744=2027,N('2027'!D82),IF(A744=2028,N('2028'!D82),IF(A744=2029,N('2029'!D82),IF(A744=2030,N('2030'!D82),IF(A744=2031,N('2031'!D82),IF(A744=2032,N('2032'!D82),IF(A744=2033,N('2033'!D82),IF(A744=2034,N('2034'!D82),IFERROR(N(INDIRECT("'"&amp;A744&amp;"'!D"&amp;G744)),0))))))))))))</f>
        <v>0</v>
      </c>
      <c r="M744" s="36">
        <f>IFERROR(IF(NOT(ISBLANK(KPI_TARGETS!$J$6)),KPI_TARGETS!$J$6,IF(NOT(ISBLANK(KPI_TARGETS!$F$6)),KPI_TARGETS!$F$6,"")),"")</f>
        <v>4000</v>
      </c>
      <c r="N744" s="36" t="str">
        <f>IFERROR(KPI_TARGETS!$E$6,"Higher is better")</f>
        <v>Higher is better</v>
      </c>
      <c r="O744" s="37">
        <f t="shared" ca="1" si="66"/>
        <v>0</v>
      </c>
      <c r="P744" t="str">
        <f t="shared" ca="1" si="67"/>
        <v>Red</v>
      </c>
      <c r="Q744" s="36">
        <f t="shared" ca="1" si="68"/>
        <v>-4000</v>
      </c>
      <c r="R744" s="36" t="str">
        <f>""</f>
        <v/>
      </c>
      <c r="S744" s="36" t="str">
        <f>""</f>
        <v/>
      </c>
      <c r="T744" s="36" t="str">
        <f>""</f>
        <v/>
      </c>
      <c r="U744" s="36" t="str">
        <f>""</f>
        <v/>
      </c>
      <c r="V744" s="36" t="str">
        <f>""</f>
        <v/>
      </c>
      <c r="W744" s="36">
        <f t="shared" si="69"/>
        <v>1</v>
      </c>
      <c r="X744" t="str">
        <f t="shared" si="70"/>
        <v>Inactive</v>
      </c>
      <c r="Y744" t="str">
        <f>IF(MAIN!$H$3="Selected Year",IF(A744=MAIN!$B$3,"Yes","No"),IF(MAIN!$H$3="Included Years",IF(D744="Yes","Yes","No"),IF(C744="Yes","Yes","No")))</f>
        <v>No</v>
      </c>
      <c r="Z744" t="str">
        <f>IF(MAIN!$F$3="Project to Date",IF(AND(A744&gt;=SETTINGS!$B$4,A744&lt;MAIN!$B$3),"Yes",IF(AND(A744=MAIN!$B$3,E744&lt;=MAIN!$L$3),"Yes","No")),IF(OR(MAIN!$F$3="Full Year",MAIN!$D$3="All"),"Yes",IF(MAIN!$F$3="Monthly",IF(E744=MAIN!$L$3,"Yes","No"),IF(E744&lt;=MAIN!$L$3,"Yes","No"))))</f>
        <v>Yes</v>
      </c>
      <c r="AA744" t="str">
        <f t="shared" si="71"/>
        <v>No</v>
      </c>
    </row>
    <row r="745" spans="1:27" x14ac:dyDescent="0.3">
      <c r="A745">
        <f>INDEX(SETTINGS!$A$15:$A$24,$B745)</f>
        <v>2028</v>
      </c>
      <c r="B745">
        <v>4</v>
      </c>
      <c r="C745" t="str">
        <f>IF(AND(A745&gt;=SETTINGS!$B$4,A745&lt;=SETTINGS!$B$5),"Yes","No")</f>
        <v>No</v>
      </c>
      <c r="D745" t="str">
        <f>IFERROR(INDEX(SETTINGS!$C$15:$C$24,MATCH(A745,SETTINGS!$A$15:$A$24,0)),"No")</f>
        <v>No</v>
      </c>
      <c r="E745">
        <v>4</v>
      </c>
      <c r="F745" t="s">
        <v>37</v>
      </c>
      <c r="G745">
        <v>83</v>
      </c>
      <c r="H745" t="s">
        <v>93</v>
      </c>
      <c r="I745" t="s">
        <v>89</v>
      </c>
      <c r="J745" t="s">
        <v>13</v>
      </c>
      <c r="K745" t="s">
        <v>14</v>
      </c>
      <c r="L745" s="36">
        <f ca="1">IF(C745&lt;&gt;"Yes",0,IF(A745=2025,N('2025'!D83),IF(A745=2026,N('2026'!D83),IF(A745=2027,N('2027'!D83),IF(A745=2028,N('2028'!D83),IF(A745=2029,N('2029'!D83),IF(A745=2030,N('2030'!D83),IF(A745=2031,N('2031'!D83),IF(A745=2032,N('2032'!D83),IF(A745=2033,N('2033'!D83),IF(A745=2034,N('2034'!D83),IFERROR(N(INDIRECT("'"&amp;A745&amp;"'!D"&amp;G745)),0))))))))))))</f>
        <v>0</v>
      </c>
      <c r="M745" s="36">
        <f>IFERROR(IF(NOT(ISBLANK(KPI_TARGETS!$J$7)),KPI_TARGETS!$J$7,IF(NOT(ISBLANK(KPI_TARGETS!$F$7)),KPI_TARGETS!$F$7,"")),"")</f>
        <v>8000</v>
      </c>
      <c r="N745" s="36" t="str">
        <f>IFERROR(KPI_TARGETS!$E$7,"Higher is better")</f>
        <v>Higher is better</v>
      </c>
      <c r="O745" s="37">
        <f t="shared" ca="1" si="66"/>
        <v>0</v>
      </c>
      <c r="P745" t="str">
        <f t="shared" ca="1" si="67"/>
        <v>Red</v>
      </c>
      <c r="Q745" s="36">
        <f t="shared" ca="1" si="68"/>
        <v>-8000</v>
      </c>
      <c r="R745" s="36" t="str">
        <f>""</f>
        <v/>
      </c>
      <c r="S745" s="36" t="str">
        <f>""</f>
        <v/>
      </c>
      <c r="T745" s="36" t="str">
        <f>""</f>
        <v/>
      </c>
      <c r="U745" s="36" t="str">
        <f>""</f>
        <v/>
      </c>
      <c r="V745" s="36" t="str">
        <f>""</f>
        <v/>
      </c>
      <c r="W745" s="36">
        <f t="shared" si="69"/>
        <v>1</v>
      </c>
      <c r="X745" t="str">
        <f t="shared" si="70"/>
        <v>Inactive</v>
      </c>
      <c r="Y745" t="str">
        <f>IF(MAIN!$H$3="Selected Year",IF(A745=MAIN!$B$3,"Yes","No"),IF(MAIN!$H$3="Included Years",IF(D745="Yes","Yes","No"),IF(C745="Yes","Yes","No")))</f>
        <v>No</v>
      </c>
      <c r="Z745" t="str">
        <f>IF(MAIN!$F$3="Project to Date",IF(AND(A745&gt;=SETTINGS!$B$4,A745&lt;MAIN!$B$3),"Yes",IF(AND(A745=MAIN!$B$3,E745&lt;=MAIN!$L$3),"Yes","No")),IF(OR(MAIN!$F$3="Full Year",MAIN!$D$3="All"),"Yes",IF(MAIN!$F$3="Monthly",IF(E745=MAIN!$L$3,"Yes","No"),IF(E745&lt;=MAIN!$L$3,"Yes","No"))))</f>
        <v>Yes</v>
      </c>
      <c r="AA745" t="str">
        <f t="shared" si="71"/>
        <v>No</v>
      </c>
    </row>
    <row r="746" spans="1:27" x14ac:dyDescent="0.3">
      <c r="A746">
        <f>INDEX(SETTINGS!$A$15:$A$24,$B746)</f>
        <v>2028</v>
      </c>
      <c r="B746">
        <v>4</v>
      </c>
      <c r="C746" t="str">
        <f>IF(AND(A746&gt;=SETTINGS!$B$4,A746&lt;=SETTINGS!$B$5),"Yes","No")</f>
        <v>No</v>
      </c>
      <c r="D746" t="str">
        <f>IFERROR(INDEX(SETTINGS!$C$15:$C$24,MATCH(A746,SETTINGS!$A$15:$A$24,0)),"No")</f>
        <v>No</v>
      </c>
      <c r="E746">
        <v>4</v>
      </c>
      <c r="F746" t="s">
        <v>37</v>
      </c>
      <c r="G746">
        <v>85</v>
      </c>
      <c r="H746" t="s">
        <v>95</v>
      </c>
      <c r="I746" t="s">
        <v>15</v>
      </c>
      <c r="J746" t="s">
        <v>16</v>
      </c>
      <c r="K746" t="s">
        <v>3</v>
      </c>
      <c r="L746" s="36">
        <f ca="1">IF(C746&lt;&gt;"Yes",0,IF(A746=2025,N('2025'!D85),IF(A746=2026,N('2026'!D85),IF(A746=2027,N('2027'!D85),IF(A746=2028,N('2028'!D85),IF(A746=2029,N('2029'!D85),IF(A746=2030,N('2030'!D85),IF(A746=2031,N('2031'!D85),IF(A746=2032,N('2032'!D85),IF(A746=2033,N('2033'!D85),IF(A746=2034,N('2034'!D85),IFERROR(N(INDIRECT("'"&amp;A746&amp;"'!D"&amp;G746)),0))))))))))))</f>
        <v>0</v>
      </c>
      <c r="M746" s="36">
        <f>IFERROR(IF(NOT(ISBLANK(KPI_TARGETS!$J$8)),KPI_TARGETS!$J$8,IF(NOT(ISBLANK(KPI_TARGETS!$F$8)),KPI_TARGETS!$F$8,"")),"")</f>
        <v>0</v>
      </c>
      <c r="N746" s="36" t="str">
        <f>IFERROR(KPI_TARGETS!$E$8,"Higher is better")</f>
        <v>Lower is better</v>
      </c>
      <c r="O746" s="37">
        <f t="shared" ca="1" si="66"/>
        <v>1</v>
      </c>
      <c r="P746" t="str">
        <f t="shared" ca="1" si="67"/>
        <v>Green</v>
      </c>
      <c r="Q746" s="36">
        <f t="shared" ca="1" si="68"/>
        <v>0</v>
      </c>
      <c r="R746" s="36" t="str">
        <f>""</f>
        <v/>
      </c>
      <c r="S746" s="36" t="str">
        <f>""</f>
        <v/>
      </c>
      <c r="T746" s="36" t="str">
        <f>""</f>
        <v/>
      </c>
      <c r="U746" s="36" t="str">
        <f>""</f>
        <v/>
      </c>
      <c r="V746" s="36" t="str">
        <f>""</f>
        <v/>
      </c>
      <c r="W746" s="36">
        <f t="shared" si="69"/>
        <v>1</v>
      </c>
      <c r="X746" t="str">
        <f t="shared" si="70"/>
        <v>Inactive</v>
      </c>
      <c r="Y746" t="str">
        <f>IF(MAIN!$H$3="Selected Year",IF(A746=MAIN!$B$3,"Yes","No"),IF(MAIN!$H$3="Included Years",IF(D746="Yes","Yes","No"),IF(C746="Yes","Yes","No")))</f>
        <v>No</v>
      </c>
      <c r="Z746" t="str">
        <f>IF(MAIN!$F$3="Project to Date",IF(AND(A746&gt;=SETTINGS!$B$4,A746&lt;MAIN!$B$3),"Yes",IF(AND(A746=MAIN!$B$3,E746&lt;=MAIN!$L$3),"Yes","No")),IF(OR(MAIN!$F$3="Full Year",MAIN!$D$3="All"),"Yes",IF(MAIN!$F$3="Monthly",IF(E746=MAIN!$L$3,"Yes","No"),IF(E746&lt;=MAIN!$L$3,"Yes","No"))))</f>
        <v>Yes</v>
      </c>
      <c r="AA746" t="str">
        <f t="shared" si="71"/>
        <v>No</v>
      </c>
    </row>
    <row r="747" spans="1:27" x14ac:dyDescent="0.3">
      <c r="A747">
        <f>INDEX(SETTINGS!$A$15:$A$24,$B747)</f>
        <v>2028</v>
      </c>
      <c r="B747">
        <v>4</v>
      </c>
      <c r="C747" t="str">
        <f>IF(AND(A747&gt;=SETTINGS!$B$4,A747&lt;=SETTINGS!$B$5),"Yes","No")</f>
        <v>No</v>
      </c>
      <c r="D747" t="str">
        <f>IFERROR(INDEX(SETTINGS!$C$15:$C$24,MATCH(A747,SETTINGS!$A$15:$A$24,0)),"No")</f>
        <v>No</v>
      </c>
      <c r="E747">
        <v>4</v>
      </c>
      <c r="F747" t="s">
        <v>37</v>
      </c>
      <c r="G747">
        <v>86</v>
      </c>
      <c r="H747" t="s">
        <v>97</v>
      </c>
      <c r="I747" t="s">
        <v>15</v>
      </c>
      <c r="J747" t="s">
        <v>17</v>
      </c>
      <c r="K747" t="s">
        <v>3</v>
      </c>
      <c r="L747" s="36">
        <f ca="1">IF(C747&lt;&gt;"Yes",0,IF(A747=2025,N('2025'!D86),IF(A747=2026,N('2026'!D86),IF(A747=2027,N('2027'!D86),IF(A747=2028,N('2028'!D86),IF(A747=2029,N('2029'!D86),IF(A747=2030,N('2030'!D86),IF(A747=2031,N('2031'!D86),IF(A747=2032,N('2032'!D86),IF(A747=2033,N('2033'!D86),IF(A747=2034,N('2034'!D86),IFERROR(N(INDIRECT("'"&amp;A747&amp;"'!D"&amp;G747)),0))))))))))))</f>
        <v>0</v>
      </c>
      <c r="M747" s="36">
        <f>IFERROR(IF(NOT(ISBLANK(KPI_TARGETS!$J$9)),KPI_TARGETS!$J$9,IF(NOT(ISBLANK(KPI_TARGETS!$F$9)),KPI_TARGETS!$F$9,"")),"")</f>
        <v>0</v>
      </c>
      <c r="N747" s="36" t="str">
        <f>IFERROR(KPI_TARGETS!$E$9,"Higher is better")</f>
        <v>Higher is better</v>
      </c>
      <c r="O747" s="37" t="str">
        <f t="shared" ca="1" si="66"/>
        <v/>
      </c>
      <c r="P747" t="str">
        <f t="shared" ca="1" si="67"/>
        <v>Green</v>
      </c>
      <c r="Q747" s="36">
        <f t="shared" ca="1" si="68"/>
        <v>0</v>
      </c>
      <c r="R747" s="36" t="str">
        <f>""</f>
        <v/>
      </c>
      <c r="S747" s="36" t="str">
        <f>""</f>
        <v/>
      </c>
      <c r="T747" s="36" t="str">
        <f>""</f>
        <v/>
      </c>
      <c r="U747" s="36" t="str">
        <f>""</f>
        <v/>
      </c>
      <c r="V747" s="36" t="str">
        <f>""</f>
        <v/>
      </c>
      <c r="W747" s="36">
        <f t="shared" si="69"/>
        <v>1</v>
      </c>
      <c r="X747" t="str">
        <f t="shared" si="70"/>
        <v>Inactive</v>
      </c>
      <c r="Y747" t="str">
        <f>IF(MAIN!$H$3="Selected Year",IF(A747=MAIN!$B$3,"Yes","No"),IF(MAIN!$H$3="Included Years",IF(D747="Yes","Yes","No"),IF(C747="Yes","Yes","No")))</f>
        <v>No</v>
      </c>
      <c r="Z747" t="str">
        <f>IF(MAIN!$F$3="Project to Date",IF(AND(A747&gt;=SETTINGS!$B$4,A747&lt;MAIN!$B$3),"Yes",IF(AND(A747=MAIN!$B$3,E747&lt;=MAIN!$L$3),"Yes","No")),IF(OR(MAIN!$F$3="Full Year",MAIN!$D$3="All"),"Yes",IF(MAIN!$F$3="Monthly",IF(E747=MAIN!$L$3,"Yes","No"),IF(E747&lt;=MAIN!$L$3,"Yes","No"))))</f>
        <v>Yes</v>
      </c>
      <c r="AA747" t="str">
        <f t="shared" si="71"/>
        <v>No</v>
      </c>
    </row>
    <row r="748" spans="1:27" x14ac:dyDescent="0.3">
      <c r="A748">
        <f>INDEX(SETTINGS!$A$15:$A$24,$B748)</f>
        <v>2028</v>
      </c>
      <c r="B748">
        <v>4</v>
      </c>
      <c r="C748" t="str">
        <f>IF(AND(A748&gt;=SETTINGS!$B$4,A748&lt;=SETTINGS!$B$5),"Yes","No")</f>
        <v>No</v>
      </c>
      <c r="D748" t="str">
        <f>IFERROR(INDEX(SETTINGS!$C$15:$C$24,MATCH(A748,SETTINGS!$A$15:$A$24,0)),"No")</f>
        <v>No</v>
      </c>
      <c r="E748">
        <v>4</v>
      </c>
      <c r="F748" t="s">
        <v>37</v>
      </c>
      <c r="G748">
        <v>87</v>
      </c>
      <c r="H748" t="s">
        <v>99</v>
      </c>
      <c r="I748" t="s">
        <v>15</v>
      </c>
      <c r="J748" t="s">
        <v>18</v>
      </c>
      <c r="K748" t="s">
        <v>3</v>
      </c>
      <c r="L748" s="36">
        <f ca="1">IF(C748&lt;&gt;"Yes",0,IF(A748=2025,N('2025'!D87),IF(A748=2026,N('2026'!D87),IF(A748=2027,N('2027'!D87),IF(A748=2028,N('2028'!D87),IF(A748=2029,N('2029'!D87),IF(A748=2030,N('2030'!D87),IF(A748=2031,N('2031'!D87),IF(A748=2032,N('2032'!D87),IF(A748=2033,N('2033'!D87),IF(A748=2034,N('2034'!D87),IFERROR(N(INDIRECT("'"&amp;A748&amp;"'!D"&amp;G748)),0))))))))))))</f>
        <v>0</v>
      </c>
      <c r="M748" s="36">
        <f>IFERROR(IF(NOT(ISBLANK(KPI_TARGETS!$J$10)),KPI_TARGETS!$J$10,IF(NOT(ISBLANK(KPI_TARGETS!$F$10)),KPI_TARGETS!$F$10,"")),"")</f>
        <v>0</v>
      </c>
      <c r="N748" s="36" t="str">
        <f>IFERROR(KPI_TARGETS!$E$10,"Higher is better")</f>
        <v>Lower is better</v>
      </c>
      <c r="O748" s="37">
        <f t="shared" ca="1" si="66"/>
        <v>1</v>
      </c>
      <c r="P748" t="str">
        <f t="shared" ca="1" si="67"/>
        <v>Green</v>
      </c>
      <c r="Q748" s="36">
        <f t="shared" ca="1" si="68"/>
        <v>0</v>
      </c>
      <c r="R748" s="36" t="str">
        <f>""</f>
        <v/>
      </c>
      <c r="S748" s="36" t="str">
        <f>""</f>
        <v/>
      </c>
      <c r="T748" s="36" t="str">
        <f>""</f>
        <v/>
      </c>
      <c r="U748" s="36" t="str">
        <f>""</f>
        <v/>
      </c>
      <c r="V748" s="36" t="str">
        <f>""</f>
        <v/>
      </c>
      <c r="W748" s="36">
        <f t="shared" si="69"/>
        <v>1</v>
      </c>
      <c r="X748" t="str">
        <f t="shared" si="70"/>
        <v>Inactive</v>
      </c>
      <c r="Y748" t="str">
        <f>IF(MAIN!$H$3="Selected Year",IF(A748=MAIN!$B$3,"Yes","No"),IF(MAIN!$H$3="Included Years",IF(D748="Yes","Yes","No"),IF(C748="Yes","Yes","No")))</f>
        <v>No</v>
      </c>
      <c r="Z748" t="str">
        <f>IF(MAIN!$F$3="Project to Date",IF(AND(A748&gt;=SETTINGS!$B$4,A748&lt;MAIN!$B$3),"Yes",IF(AND(A748=MAIN!$B$3,E748&lt;=MAIN!$L$3),"Yes","No")),IF(OR(MAIN!$F$3="Full Year",MAIN!$D$3="All"),"Yes",IF(MAIN!$F$3="Monthly",IF(E748=MAIN!$L$3,"Yes","No"),IF(E748&lt;=MAIN!$L$3,"Yes","No"))))</f>
        <v>Yes</v>
      </c>
      <c r="AA748" t="str">
        <f t="shared" si="71"/>
        <v>No</v>
      </c>
    </row>
    <row r="749" spans="1:27" x14ac:dyDescent="0.3">
      <c r="A749">
        <f>INDEX(SETTINGS!$A$15:$A$24,$B749)</f>
        <v>2028</v>
      </c>
      <c r="B749">
        <v>4</v>
      </c>
      <c r="C749" t="str">
        <f>IF(AND(A749&gt;=SETTINGS!$B$4,A749&lt;=SETTINGS!$B$5),"Yes","No")</f>
        <v>No</v>
      </c>
      <c r="D749" t="str">
        <f>IFERROR(INDEX(SETTINGS!$C$15:$C$24,MATCH(A749,SETTINGS!$A$15:$A$24,0)),"No")</f>
        <v>No</v>
      </c>
      <c r="E749">
        <v>4</v>
      </c>
      <c r="F749" t="s">
        <v>37</v>
      </c>
      <c r="G749">
        <v>88</v>
      </c>
      <c r="H749" t="s">
        <v>100</v>
      </c>
      <c r="I749" t="s">
        <v>15</v>
      </c>
      <c r="J749" t="s">
        <v>19</v>
      </c>
      <c r="K749" t="s">
        <v>3</v>
      </c>
      <c r="L749" s="36">
        <f ca="1">IF(C749&lt;&gt;"Yes",0,IF(A749=2025,N('2025'!D88),IF(A749=2026,N('2026'!D88),IF(A749=2027,N('2027'!D88),IF(A749=2028,N('2028'!D88),IF(A749=2029,N('2029'!D88),IF(A749=2030,N('2030'!D88),IF(A749=2031,N('2031'!D88),IF(A749=2032,N('2032'!D88),IF(A749=2033,N('2033'!D88),IF(A749=2034,N('2034'!D88),IFERROR(N(INDIRECT("'"&amp;A749&amp;"'!D"&amp;G749)),0))))))))))))</f>
        <v>0</v>
      </c>
      <c r="M749" s="36">
        <f>IFERROR(IF(NOT(ISBLANK(KPI_TARGETS!$J$11)),KPI_TARGETS!$J$11,IF(NOT(ISBLANK(KPI_TARGETS!$F$11)),KPI_TARGETS!$F$11,"")),"")</f>
        <v>0</v>
      </c>
      <c r="N749" s="36" t="str">
        <f>IFERROR(KPI_TARGETS!$E$11,"Higher is better")</f>
        <v>Lower is better</v>
      </c>
      <c r="O749" s="37">
        <f t="shared" ca="1" si="66"/>
        <v>1</v>
      </c>
      <c r="P749" t="str">
        <f t="shared" ca="1" si="67"/>
        <v>Green</v>
      </c>
      <c r="Q749" s="36">
        <f t="shared" ca="1" si="68"/>
        <v>0</v>
      </c>
      <c r="R749" s="36" t="str">
        <f>""</f>
        <v/>
      </c>
      <c r="S749" s="36" t="str">
        <f>""</f>
        <v/>
      </c>
      <c r="T749" s="36" t="str">
        <f>""</f>
        <v/>
      </c>
      <c r="U749" s="36" t="str">
        <f>""</f>
        <v/>
      </c>
      <c r="V749" s="36" t="str">
        <f>""</f>
        <v/>
      </c>
      <c r="W749" s="36">
        <f t="shared" si="69"/>
        <v>1</v>
      </c>
      <c r="X749" t="str">
        <f t="shared" si="70"/>
        <v>Inactive</v>
      </c>
      <c r="Y749" t="str">
        <f>IF(MAIN!$H$3="Selected Year",IF(A749=MAIN!$B$3,"Yes","No"),IF(MAIN!$H$3="Included Years",IF(D749="Yes","Yes","No"),IF(C749="Yes","Yes","No")))</f>
        <v>No</v>
      </c>
      <c r="Z749" t="str">
        <f>IF(MAIN!$F$3="Project to Date",IF(AND(A749&gt;=SETTINGS!$B$4,A749&lt;MAIN!$B$3),"Yes",IF(AND(A749=MAIN!$B$3,E749&lt;=MAIN!$L$3),"Yes","No")),IF(OR(MAIN!$F$3="Full Year",MAIN!$D$3="All"),"Yes",IF(MAIN!$F$3="Monthly",IF(E749=MAIN!$L$3,"Yes","No"),IF(E749&lt;=MAIN!$L$3,"Yes","No"))))</f>
        <v>Yes</v>
      </c>
      <c r="AA749" t="str">
        <f t="shared" si="71"/>
        <v>No</v>
      </c>
    </row>
    <row r="750" spans="1:27" x14ac:dyDescent="0.3">
      <c r="A750">
        <f>INDEX(SETTINGS!$A$15:$A$24,$B750)</f>
        <v>2028</v>
      </c>
      <c r="B750">
        <v>4</v>
      </c>
      <c r="C750" t="str">
        <f>IF(AND(A750&gt;=SETTINGS!$B$4,A750&lt;=SETTINGS!$B$5),"Yes","No")</f>
        <v>No</v>
      </c>
      <c r="D750" t="str">
        <f>IFERROR(INDEX(SETTINGS!$C$15:$C$24,MATCH(A750,SETTINGS!$A$15:$A$24,0)),"No")</f>
        <v>No</v>
      </c>
      <c r="E750">
        <v>4</v>
      </c>
      <c r="F750" t="s">
        <v>37</v>
      </c>
      <c r="G750">
        <v>89</v>
      </c>
      <c r="H750" t="s">
        <v>101</v>
      </c>
      <c r="I750" t="s">
        <v>15</v>
      </c>
      <c r="J750" t="s">
        <v>20</v>
      </c>
      <c r="K750" t="s">
        <v>3</v>
      </c>
      <c r="L750" s="36">
        <f ca="1">IF(C750&lt;&gt;"Yes",0,IF(A750=2025,N('2025'!D89),IF(A750=2026,N('2026'!D89),IF(A750=2027,N('2027'!D89),IF(A750=2028,N('2028'!D89),IF(A750=2029,N('2029'!D89),IF(A750=2030,N('2030'!D89),IF(A750=2031,N('2031'!D89),IF(A750=2032,N('2032'!D89),IF(A750=2033,N('2033'!D89),IF(A750=2034,N('2034'!D89),IFERROR(N(INDIRECT("'"&amp;A750&amp;"'!D"&amp;G750)),0))))))))))))</f>
        <v>0</v>
      </c>
      <c r="M750" s="36">
        <f>IFERROR(IF(NOT(ISBLANK(KPI_TARGETS!$J$12)),KPI_TARGETS!$J$12,IF(NOT(ISBLANK(KPI_TARGETS!$F$12)),KPI_TARGETS!$F$12,"")),"")</f>
        <v>0</v>
      </c>
      <c r="N750" s="36" t="str">
        <f>IFERROR(KPI_TARGETS!$E$12,"Higher is better")</f>
        <v>Lower is better</v>
      </c>
      <c r="O750" s="37">
        <f t="shared" ca="1" si="66"/>
        <v>1</v>
      </c>
      <c r="P750" t="str">
        <f t="shared" ca="1" si="67"/>
        <v>Green</v>
      </c>
      <c r="Q750" s="36">
        <f t="shared" ca="1" si="68"/>
        <v>0</v>
      </c>
      <c r="R750" s="36" t="str">
        <f>""</f>
        <v/>
      </c>
      <c r="S750" s="36" t="str">
        <f>""</f>
        <v/>
      </c>
      <c r="T750" s="36" t="str">
        <f>""</f>
        <v/>
      </c>
      <c r="U750" s="36" t="str">
        <f>""</f>
        <v/>
      </c>
      <c r="V750" s="36" t="str">
        <f>""</f>
        <v/>
      </c>
      <c r="W750" s="36">
        <f t="shared" si="69"/>
        <v>1</v>
      </c>
      <c r="X750" t="str">
        <f t="shared" si="70"/>
        <v>Inactive</v>
      </c>
      <c r="Y750" t="str">
        <f>IF(MAIN!$H$3="Selected Year",IF(A750=MAIN!$B$3,"Yes","No"),IF(MAIN!$H$3="Included Years",IF(D750="Yes","Yes","No"),IF(C750="Yes","Yes","No")))</f>
        <v>No</v>
      </c>
      <c r="Z750" t="str">
        <f>IF(MAIN!$F$3="Project to Date",IF(AND(A750&gt;=SETTINGS!$B$4,A750&lt;MAIN!$B$3),"Yes",IF(AND(A750=MAIN!$B$3,E750&lt;=MAIN!$L$3),"Yes","No")),IF(OR(MAIN!$F$3="Full Year",MAIN!$D$3="All"),"Yes",IF(MAIN!$F$3="Monthly",IF(E750=MAIN!$L$3,"Yes","No"),IF(E750&lt;=MAIN!$L$3,"Yes","No"))))</f>
        <v>Yes</v>
      </c>
      <c r="AA750" t="str">
        <f t="shared" si="71"/>
        <v>No</v>
      </c>
    </row>
    <row r="751" spans="1:27" x14ac:dyDescent="0.3">
      <c r="A751">
        <f>INDEX(SETTINGS!$A$15:$A$24,$B751)</f>
        <v>2028</v>
      </c>
      <c r="B751">
        <v>4</v>
      </c>
      <c r="C751" t="str">
        <f>IF(AND(A751&gt;=SETTINGS!$B$4,A751&lt;=SETTINGS!$B$5),"Yes","No")</f>
        <v>No</v>
      </c>
      <c r="D751" t="str">
        <f>IFERROR(INDEX(SETTINGS!$C$15:$C$24,MATCH(A751,SETTINGS!$A$15:$A$24,0)),"No")</f>
        <v>No</v>
      </c>
      <c r="E751">
        <v>4</v>
      </c>
      <c r="F751" t="s">
        <v>37</v>
      </c>
      <c r="G751">
        <v>90</v>
      </c>
      <c r="H751" t="s">
        <v>102</v>
      </c>
      <c r="I751" t="s">
        <v>15</v>
      </c>
      <c r="J751" t="s">
        <v>21</v>
      </c>
      <c r="K751" t="s">
        <v>3</v>
      </c>
      <c r="L751" s="36">
        <f ca="1">IF(C751&lt;&gt;"Yes",0,IF(A751=2025,N('2025'!D90),IF(A751=2026,N('2026'!D90),IF(A751=2027,N('2027'!D90),IF(A751=2028,N('2028'!D90),IF(A751=2029,N('2029'!D90),IF(A751=2030,N('2030'!D90),IF(A751=2031,N('2031'!D90),IF(A751=2032,N('2032'!D90),IF(A751=2033,N('2033'!D90),IF(A751=2034,N('2034'!D90),IFERROR(N(INDIRECT("'"&amp;A751&amp;"'!D"&amp;G751)),0))))))))))))</f>
        <v>0</v>
      </c>
      <c r="M751" s="36">
        <f>IFERROR(IF(NOT(ISBLANK(KPI_TARGETS!$J$13)),KPI_TARGETS!$J$13,IF(NOT(ISBLANK(KPI_TARGETS!$F$13)),KPI_TARGETS!$F$13,"")),"")</f>
        <v>0</v>
      </c>
      <c r="N751" s="36" t="str">
        <f>IFERROR(KPI_TARGETS!$E$13,"Higher is better")</f>
        <v>Lower is better</v>
      </c>
      <c r="O751" s="37">
        <f t="shared" ca="1" si="66"/>
        <v>1</v>
      </c>
      <c r="P751" t="str">
        <f t="shared" ca="1" si="67"/>
        <v>Green</v>
      </c>
      <c r="Q751" s="36">
        <f t="shared" ca="1" si="68"/>
        <v>0</v>
      </c>
      <c r="R751" s="36" t="str">
        <f>""</f>
        <v/>
      </c>
      <c r="S751" s="36" t="str">
        <f>""</f>
        <v/>
      </c>
      <c r="T751" s="36" t="str">
        <f>""</f>
        <v/>
      </c>
      <c r="U751" s="36" t="str">
        <f>""</f>
        <v/>
      </c>
      <c r="V751" s="36" t="str">
        <f>""</f>
        <v/>
      </c>
      <c r="W751" s="36">
        <f t="shared" si="69"/>
        <v>1</v>
      </c>
      <c r="X751" t="str">
        <f t="shared" si="70"/>
        <v>Inactive</v>
      </c>
      <c r="Y751" t="str">
        <f>IF(MAIN!$H$3="Selected Year",IF(A751=MAIN!$B$3,"Yes","No"),IF(MAIN!$H$3="Included Years",IF(D751="Yes","Yes","No"),IF(C751="Yes","Yes","No")))</f>
        <v>No</v>
      </c>
      <c r="Z751" t="str">
        <f>IF(MAIN!$F$3="Project to Date",IF(AND(A751&gt;=SETTINGS!$B$4,A751&lt;MAIN!$B$3),"Yes",IF(AND(A751=MAIN!$B$3,E751&lt;=MAIN!$L$3),"Yes","No")),IF(OR(MAIN!$F$3="Full Year",MAIN!$D$3="All"),"Yes",IF(MAIN!$F$3="Monthly",IF(E751=MAIN!$L$3,"Yes","No"),IF(E751&lt;=MAIN!$L$3,"Yes","No"))))</f>
        <v>Yes</v>
      </c>
      <c r="AA751" t="str">
        <f t="shared" si="71"/>
        <v>No</v>
      </c>
    </row>
    <row r="752" spans="1:27" x14ac:dyDescent="0.3">
      <c r="A752">
        <f>INDEX(SETTINGS!$A$15:$A$24,$B752)</f>
        <v>2028</v>
      </c>
      <c r="B752">
        <v>4</v>
      </c>
      <c r="C752" t="str">
        <f>IF(AND(A752&gt;=SETTINGS!$B$4,A752&lt;=SETTINGS!$B$5),"Yes","No")</f>
        <v>No</v>
      </c>
      <c r="D752" t="str">
        <f>IFERROR(INDEX(SETTINGS!$C$15:$C$24,MATCH(A752,SETTINGS!$A$15:$A$24,0)),"No")</f>
        <v>No</v>
      </c>
      <c r="E752">
        <v>4</v>
      </c>
      <c r="F752" t="s">
        <v>37</v>
      </c>
      <c r="G752">
        <v>92</v>
      </c>
      <c r="H752" t="s">
        <v>103</v>
      </c>
      <c r="I752" t="s">
        <v>22</v>
      </c>
      <c r="J752" t="s">
        <v>23</v>
      </c>
      <c r="K752" t="s">
        <v>3</v>
      </c>
      <c r="L752" s="36">
        <f ca="1">IF(C752&lt;&gt;"Yes",0,IF(A752=2025,N('2025'!D92),IF(A752=2026,N('2026'!D92),IF(A752=2027,N('2027'!D92),IF(A752=2028,N('2028'!D92),IF(A752=2029,N('2029'!D92),IF(A752=2030,N('2030'!D92),IF(A752=2031,N('2031'!D92),IF(A752=2032,N('2032'!D92),IF(A752=2033,N('2033'!D92),IF(A752=2034,N('2034'!D92),IFERROR(N(INDIRECT("'"&amp;A752&amp;"'!D"&amp;G752)),0))))))))))))</f>
        <v>0</v>
      </c>
      <c r="M752" s="36">
        <f>IFERROR(IF(NOT(ISBLANK(KPI_TARGETS!$J$14)),KPI_TARGETS!$J$14,IF(NOT(ISBLANK(KPI_TARGETS!$F$14)),KPI_TARGETS!$F$14,"")),"")</f>
        <v>35</v>
      </c>
      <c r="N752" s="36" t="str">
        <f>IFERROR(KPI_TARGETS!$E$14,"Higher is better")</f>
        <v>Higher is better</v>
      </c>
      <c r="O752" s="37">
        <f t="shared" ca="1" si="66"/>
        <v>0</v>
      </c>
      <c r="P752" t="str">
        <f t="shared" ca="1" si="67"/>
        <v>Red</v>
      </c>
      <c r="Q752" s="36">
        <f t="shared" ca="1" si="68"/>
        <v>-35</v>
      </c>
      <c r="R752" s="36" t="str">
        <f>""</f>
        <v/>
      </c>
      <c r="S752" s="36" t="str">
        <f>""</f>
        <v/>
      </c>
      <c r="T752" s="36" t="str">
        <f>""</f>
        <v/>
      </c>
      <c r="U752" s="36" t="str">
        <f>""</f>
        <v/>
      </c>
      <c r="V752" s="36" t="str">
        <f>""</f>
        <v/>
      </c>
      <c r="W752" s="36">
        <f t="shared" si="69"/>
        <v>1</v>
      </c>
      <c r="X752" t="str">
        <f t="shared" si="70"/>
        <v>Inactive</v>
      </c>
      <c r="Y752" t="str">
        <f>IF(MAIN!$H$3="Selected Year",IF(A752=MAIN!$B$3,"Yes","No"),IF(MAIN!$H$3="Included Years",IF(D752="Yes","Yes","No"),IF(C752="Yes","Yes","No")))</f>
        <v>No</v>
      </c>
      <c r="Z752" t="str">
        <f>IF(MAIN!$F$3="Project to Date",IF(AND(A752&gt;=SETTINGS!$B$4,A752&lt;MAIN!$B$3),"Yes",IF(AND(A752=MAIN!$B$3,E752&lt;=MAIN!$L$3),"Yes","No")),IF(OR(MAIN!$F$3="Full Year",MAIN!$D$3="All"),"Yes",IF(MAIN!$F$3="Monthly",IF(E752=MAIN!$L$3,"Yes","No"),IF(E752&lt;=MAIN!$L$3,"Yes","No"))))</f>
        <v>Yes</v>
      </c>
      <c r="AA752" t="str">
        <f t="shared" si="71"/>
        <v>No</v>
      </c>
    </row>
    <row r="753" spans="1:27" x14ac:dyDescent="0.3">
      <c r="A753">
        <f>INDEX(SETTINGS!$A$15:$A$24,$B753)</f>
        <v>2028</v>
      </c>
      <c r="B753">
        <v>4</v>
      </c>
      <c r="C753" t="str">
        <f>IF(AND(A753&gt;=SETTINGS!$B$4,A753&lt;=SETTINGS!$B$5),"Yes","No")</f>
        <v>No</v>
      </c>
      <c r="D753" t="str">
        <f>IFERROR(INDEX(SETTINGS!$C$15:$C$24,MATCH(A753,SETTINGS!$A$15:$A$24,0)),"No")</f>
        <v>No</v>
      </c>
      <c r="E753">
        <v>4</v>
      </c>
      <c r="F753" t="s">
        <v>37</v>
      </c>
      <c r="G753">
        <v>93</v>
      </c>
      <c r="H753" t="s">
        <v>104</v>
      </c>
      <c r="I753" t="s">
        <v>22</v>
      </c>
      <c r="J753" t="s">
        <v>24</v>
      </c>
      <c r="K753" t="s">
        <v>3</v>
      </c>
      <c r="L753" s="36">
        <f ca="1">IF(C753&lt;&gt;"Yes",0,IF(A753=2025,N('2025'!D93),IF(A753=2026,N('2026'!D93),IF(A753=2027,N('2027'!D93),IF(A753=2028,N('2028'!D93),IF(A753=2029,N('2029'!D93),IF(A753=2030,N('2030'!D93),IF(A753=2031,N('2031'!D93),IF(A753=2032,N('2032'!D93),IF(A753=2033,N('2033'!D93),IF(A753=2034,N('2034'!D93),IFERROR(N(INDIRECT("'"&amp;A753&amp;"'!D"&amp;G753)),0))))))))))))</f>
        <v>0</v>
      </c>
      <c r="M753" s="36">
        <f>IFERROR(IF(NOT(ISBLANK(KPI_TARGETS!$J$15)),KPI_TARGETS!$J$15,IF(NOT(ISBLANK(KPI_TARGETS!$F$15)),KPI_TARGETS!$F$15,"")),"")</f>
        <v>5</v>
      </c>
      <c r="N753" s="36" t="str">
        <f>IFERROR(KPI_TARGETS!$E$15,"Higher is better")</f>
        <v>Higher is better</v>
      </c>
      <c r="O753" s="37">
        <f t="shared" ca="1" si="66"/>
        <v>0</v>
      </c>
      <c r="P753" t="str">
        <f t="shared" ca="1" si="67"/>
        <v>Red</v>
      </c>
      <c r="Q753" s="36">
        <f t="shared" ca="1" si="68"/>
        <v>-5</v>
      </c>
      <c r="R753" s="36" t="str">
        <f>""</f>
        <v/>
      </c>
      <c r="S753" s="36" t="str">
        <f>""</f>
        <v/>
      </c>
      <c r="T753" s="36" t="str">
        <f>""</f>
        <v/>
      </c>
      <c r="U753" s="36" t="str">
        <f>""</f>
        <v/>
      </c>
      <c r="V753" s="36" t="str">
        <f>""</f>
        <v/>
      </c>
      <c r="W753" s="36">
        <f t="shared" si="69"/>
        <v>1</v>
      </c>
      <c r="X753" t="str">
        <f t="shared" si="70"/>
        <v>Inactive</v>
      </c>
      <c r="Y753" t="str">
        <f>IF(MAIN!$H$3="Selected Year",IF(A753=MAIN!$B$3,"Yes","No"),IF(MAIN!$H$3="Included Years",IF(D753="Yes","Yes","No"),IF(C753="Yes","Yes","No")))</f>
        <v>No</v>
      </c>
      <c r="Z753" t="str">
        <f>IF(MAIN!$F$3="Project to Date",IF(AND(A753&gt;=SETTINGS!$B$4,A753&lt;MAIN!$B$3),"Yes",IF(AND(A753=MAIN!$B$3,E753&lt;=MAIN!$L$3),"Yes","No")),IF(OR(MAIN!$F$3="Full Year",MAIN!$D$3="All"),"Yes",IF(MAIN!$F$3="Monthly",IF(E753=MAIN!$L$3,"Yes","No"),IF(E753&lt;=MAIN!$L$3,"Yes","No"))))</f>
        <v>Yes</v>
      </c>
      <c r="AA753" t="str">
        <f t="shared" si="71"/>
        <v>No</v>
      </c>
    </row>
    <row r="754" spans="1:27" x14ac:dyDescent="0.3">
      <c r="A754">
        <f>INDEX(SETTINGS!$A$15:$A$24,$B754)</f>
        <v>2028</v>
      </c>
      <c r="B754">
        <v>4</v>
      </c>
      <c r="C754" t="str">
        <f>IF(AND(A754&gt;=SETTINGS!$B$4,A754&lt;=SETTINGS!$B$5),"Yes","No")</f>
        <v>No</v>
      </c>
      <c r="D754" t="str">
        <f>IFERROR(INDEX(SETTINGS!$C$15:$C$24,MATCH(A754,SETTINGS!$A$15:$A$24,0)),"No")</f>
        <v>No</v>
      </c>
      <c r="E754">
        <v>4</v>
      </c>
      <c r="F754" t="s">
        <v>37</v>
      </c>
      <c r="G754">
        <v>94</v>
      </c>
      <c r="H754" t="s">
        <v>105</v>
      </c>
      <c r="I754" t="s">
        <v>22</v>
      </c>
      <c r="J754" t="s">
        <v>25</v>
      </c>
      <c r="K754" t="s">
        <v>3</v>
      </c>
      <c r="L754" s="36">
        <f ca="1">IF(C754&lt;&gt;"Yes",0,IF(A754=2025,N('2025'!D94),IF(A754=2026,N('2026'!D94),IF(A754=2027,N('2027'!D94),IF(A754=2028,N('2028'!D94),IF(A754=2029,N('2029'!D94),IF(A754=2030,N('2030'!D94),IF(A754=2031,N('2031'!D94),IF(A754=2032,N('2032'!D94),IF(A754=2033,N('2033'!D94),IF(A754=2034,N('2034'!D94),IFERROR(N(INDIRECT("'"&amp;A754&amp;"'!D"&amp;G754)),0))))))))))))</f>
        <v>0</v>
      </c>
      <c r="M754" s="36">
        <f>IFERROR(IF(NOT(ISBLANK(KPI_TARGETS!$J$16)),KPI_TARGETS!$J$16,IF(NOT(ISBLANK(KPI_TARGETS!$F$16)),KPI_TARGETS!$F$16,"")),"")</f>
        <v>4</v>
      </c>
      <c r="N754" s="36" t="str">
        <f>IFERROR(KPI_TARGETS!$E$16,"Higher is better")</f>
        <v>Higher is better</v>
      </c>
      <c r="O754" s="37">
        <f t="shared" ca="1" si="66"/>
        <v>0</v>
      </c>
      <c r="P754" t="str">
        <f t="shared" ca="1" si="67"/>
        <v>Red</v>
      </c>
      <c r="Q754" s="36">
        <f t="shared" ca="1" si="68"/>
        <v>-4</v>
      </c>
      <c r="R754" s="36" t="str">
        <f>""</f>
        <v/>
      </c>
      <c r="S754" s="36" t="str">
        <f>""</f>
        <v/>
      </c>
      <c r="T754" s="36" t="str">
        <f>""</f>
        <v/>
      </c>
      <c r="U754" s="36" t="str">
        <f>""</f>
        <v/>
      </c>
      <c r="V754" s="36" t="str">
        <f>""</f>
        <v/>
      </c>
      <c r="W754" s="36">
        <f t="shared" si="69"/>
        <v>1</v>
      </c>
      <c r="X754" t="str">
        <f t="shared" si="70"/>
        <v>Inactive</v>
      </c>
      <c r="Y754" t="str">
        <f>IF(MAIN!$H$3="Selected Year",IF(A754=MAIN!$B$3,"Yes","No"),IF(MAIN!$H$3="Included Years",IF(D754="Yes","Yes","No"),IF(C754="Yes","Yes","No")))</f>
        <v>No</v>
      </c>
      <c r="Z754" t="str">
        <f>IF(MAIN!$F$3="Project to Date",IF(AND(A754&gt;=SETTINGS!$B$4,A754&lt;MAIN!$B$3),"Yes",IF(AND(A754=MAIN!$B$3,E754&lt;=MAIN!$L$3),"Yes","No")),IF(OR(MAIN!$F$3="Full Year",MAIN!$D$3="All"),"Yes",IF(MAIN!$F$3="Monthly",IF(E754=MAIN!$L$3,"Yes","No"),IF(E754&lt;=MAIN!$L$3,"Yes","No"))))</f>
        <v>Yes</v>
      </c>
      <c r="AA754" t="str">
        <f t="shared" si="71"/>
        <v>No</v>
      </c>
    </row>
    <row r="755" spans="1:27" x14ac:dyDescent="0.3">
      <c r="A755">
        <f>INDEX(SETTINGS!$A$15:$A$24,$B755)</f>
        <v>2028</v>
      </c>
      <c r="B755">
        <v>4</v>
      </c>
      <c r="C755" t="str">
        <f>IF(AND(A755&gt;=SETTINGS!$B$4,A755&lt;=SETTINGS!$B$5),"Yes","No")</f>
        <v>No</v>
      </c>
      <c r="D755" t="str">
        <f>IFERROR(INDEX(SETTINGS!$C$15:$C$24,MATCH(A755,SETTINGS!$A$15:$A$24,0)),"No")</f>
        <v>No</v>
      </c>
      <c r="E755">
        <v>4</v>
      </c>
      <c r="F755" t="s">
        <v>37</v>
      </c>
      <c r="G755">
        <v>95</v>
      </c>
      <c r="H755" t="s">
        <v>106</v>
      </c>
      <c r="I755" t="s">
        <v>22</v>
      </c>
      <c r="J755" t="s">
        <v>26</v>
      </c>
      <c r="K755" t="s">
        <v>3</v>
      </c>
      <c r="L755" s="36">
        <f ca="1">IF(C755&lt;&gt;"Yes",0,IF(A755=2025,N('2025'!D95),IF(A755=2026,N('2026'!D95),IF(A755=2027,N('2027'!D95),IF(A755=2028,N('2028'!D95),IF(A755=2029,N('2029'!D95),IF(A755=2030,N('2030'!D95),IF(A755=2031,N('2031'!D95),IF(A755=2032,N('2032'!D95),IF(A755=2033,N('2033'!D95),IF(A755=2034,N('2034'!D95),IFERROR(N(INDIRECT("'"&amp;A755&amp;"'!D"&amp;G755)),0))))))))))))</f>
        <v>0</v>
      </c>
      <c r="M755" s="36">
        <f>IFERROR(IF(NOT(ISBLANK(KPI_TARGETS!$J$17)),KPI_TARGETS!$J$17,IF(NOT(ISBLANK(KPI_TARGETS!$F$17)),KPI_TARGETS!$F$17,"")),"")</f>
        <v>12</v>
      </c>
      <c r="N755" s="36" t="str">
        <f>IFERROR(KPI_TARGETS!$E$17,"Higher is better")</f>
        <v>Higher is better</v>
      </c>
      <c r="O755" s="37">
        <f t="shared" ca="1" si="66"/>
        <v>0</v>
      </c>
      <c r="P755" t="str">
        <f t="shared" ca="1" si="67"/>
        <v>Red</v>
      </c>
      <c r="Q755" s="36">
        <f t="shared" ca="1" si="68"/>
        <v>-12</v>
      </c>
      <c r="R755" s="36" t="str">
        <f>""</f>
        <v/>
      </c>
      <c r="S755" s="36" t="str">
        <f>""</f>
        <v/>
      </c>
      <c r="T755" s="36" t="str">
        <f>""</f>
        <v/>
      </c>
      <c r="U755" s="36" t="str">
        <f>""</f>
        <v/>
      </c>
      <c r="V755" s="36" t="str">
        <f>""</f>
        <v/>
      </c>
      <c r="W755" s="36">
        <f t="shared" si="69"/>
        <v>1</v>
      </c>
      <c r="X755" t="str">
        <f t="shared" si="70"/>
        <v>Inactive</v>
      </c>
      <c r="Y755" t="str">
        <f>IF(MAIN!$H$3="Selected Year",IF(A755=MAIN!$B$3,"Yes","No"),IF(MAIN!$H$3="Included Years",IF(D755="Yes","Yes","No"),IF(C755="Yes","Yes","No")))</f>
        <v>No</v>
      </c>
      <c r="Z755" t="str">
        <f>IF(MAIN!$F$3="Project to Date",IF(AND(A755&gt;=SETTINGS!$B$4,A755&lt;MAIN!$B$3),"Yes",IF(AND(A755=MAIN!$B$3,E755&lt;=MAIN!$L$3),"Yes","No")),IF(OR(MAIN!$F$3="Full Year",MAIN!$D$3="All"),"Yes",IF(MAIN!$F$3="Monthly",IF(E755=MAIN!$L$3,"Yes","No"),IF(E755&lt;=MAIN!$L$3,"Yes","No"))))</f>
        <v>Yes</v>
      </c>
      <c r="AA755" t="str">
        <f t="shared" si="71"/>
        <v>No</v>
      </c>
    </row>
    <row r="756" spans="1:27" x14ac:dyDescent="0.3">
      <c r="A756">
        <f>INDEX(SETTINGS!$A$15:$A$24,$B756)</f>
        <v>2028</v>
      </c>
      <c r="B756">
        <v>4</v>
      </c>
      <c r="C756" t="str">
        <f>IF(AND(A756&gt;=SETTINGS!$B$4,A756&lt;=SETTINGS!$B$5),"Yes","No")</f>
        <v>No</v>
      </c>
      <c r="D756" t="str">
        <f>IFERROR(INDEX(SETTINGS!$C$15:$C$24,MATCH(A756,SETTINGS!$A$15:$A$24,0)),"No")</f>
        <v>No</v>
      </c>
      <c r="E756">
        <v>4</v>
      </c>
      <c r="F756" t="s">
        <v>37</v>
      </c>
      <c r="G756">
        <v>96</v>
      </c>
      <c r="H756" t="s">
        <v>107</v>
      </c>
      <c r="I756" t="s">
        <v>22</v>
      </c>
      <c r="J756" t="s">
        <v>27</v>
      </c>
      <c r="K756" t="s">
        <v>3</v>
      </c>
      <c r="L756" s="36">
        <f ca="1">IF(C756&lt;&gt;"Yes",0,IF(A756=2025,N('2025'!D96),IF(A756=2026,N('2026'!D96),IF(A756=2027,N('2027'!D96),IF(A756=2028,N('2028'!D96),IF(A756=2029,N('2029'!D96),IF(A756=2030,N('2030'!D96),IF(A756=2031,N('2031'!D96),IF(A756=2032,N('2032'!D96),IF(A756=2033,N('2033'!D96),IF(A756=2034,N('2034'!D96),IFERROR(N(INDIRECT("'"&amp;A756&amp;"'!D"&amp;G756)),0))))))))))))</f>
        <v>0</v>
      </c>
      <c r="M756" s="36">
        <f>IFERROR(IF(NOT(ISBLANK(KPI_TARGETS!$J$18)),KPI_TARGETS!$J$18,IF(NOT(ISBLANK(KPI_TARGETS!$F$18)),KPI_TARGETS!$F$18,"")),"")</f>
        <v>4</v>
      </c>
      <c r="N756" s="36" t="str">
        <f>IFERROR(KPI_TARGETS!$E$18,"Higher is better")</f>
        <v>Higher is better</v>
      </c>
      <c r="O756" s="37">
        <f t="shared" ca="1" si="66"/>
        <v>0</v>
      </c>
      <c r="P756" t="str">
        <f t="shared" ca="1" si="67"/>
        <v>Red</v>
      </c>
      <c r="Q756" s="36">
        <f t="shared" ca="1" si="68"/>
        <v>-4</v>
      </c>
      <c r="R756" s="36" t="str">
        <f>""</f>
        <v/>
      </c>
      <c r="S756" s="36" t="str">
        <f>""</f>
        <v/>
      </c>
      <c r="T756" s="36" t="str">
        <f>""</f>
        <v/>
      </c>
      <c r="U756" s="36" t="str">
        <f>""</f>
        <v/>
      </c>
      <c r="V756" s="36" t="str">
        <f>""</f>
        <v/>
      </c>
      <c r="W756" s="36">
        <f t="shared" si="69"/>
        <v>1</v>
      </c>
      <c r="X756" t="str">
        <f t="shared" si="70"/>
        <v>Inactive</v>
      </c>
      <c r="Y756" t="str">
        <f>IF(MAIN!$H$3="Selected Year",IF(A756=MAIN!$B$3,"Yes","No"),IF(MAIN!$H$3="Included Years",IF(D756="Yes","Yes","No"),IF(C756="Yes","Yes","No")))</f>
        <v>No</v>
      </c>
      <c r="Z756" t="str">
        <f>IF(MAIN!$F$3="Project to Date",IF(AND(A756&gt;=SETTINGS!$B$4,A756&lt;MAIN!$B$3),"Yes",IF(AND(A756=MAIN!$B$3,E756&lt;=MAIN!$L$3),"Yes","No")),IF(OR(MAIN!$F$3="Full Year",MAIN!$D$3="All"),"Yes",IF(MAIN!$F$3="Monthly",IF(E756=MAIN!$L$3,"Yes","No"),IF(E756&lt;=MAIN!$L$3,"Yes","No"))))</f>
        <v>Yes</v>
      </c>
      <c r="AA756" t="str">
        <f t="shared" si="71"/>
        <v>No</v>
      </c>
    </row>
    <row r="757" spans="1:27" x14ac:dyDescent="0.3">
      <c r="A757">
        <f>INDEX(SETTINGS!$A$15:$A$24,$B757)</f>
        <v>2028</v>
      </c>
      <c r="B757">
        <v>4</v>
      </c>
      <c r="C757" t="str">
        <f>IF(AND(A757&gt;=SETTINGS!$B$4,A757&lt;=SETTINGS!$B$5),"Yes","No")</f>
        <v>No</v>
      </c>
      <c r="D757" t="str">
        <f>IFERROR(INDEX(SETTINGS!$C$15:$C$24,MATCH(A757,SETTINGS!$A$15:$A$24,0)),"No")</f>
        <v>No</v>
      </c>
      <c r="E757">
        <v>4</v>
      </c>
      <c r="F757" t="s">
        <v>37</v>
      </c>
      <c r="G757">
        <v>97</v>
      </c>
      <c r="H757" t="s">
        <v>108</v>
      </c>
      <c r="I757" t="s">
        <v>22</v>
      </c>
      <c r="J757" t="s">
        <v>28</v>
      </c>
      <c r="K757" t="s">
        <v>3</v>
      </c>
      <c r="L757" s="36">
        <f ca="1">IF(C757&lt;&gt;"Yes",0,IF(A757=2025,N('2025'!D97),IF(A757=2026,N('2026'!D97),IF(A757=2027,N('2027'!D97),IF(A757=2028,N('2028'!D97),IF(A757=2029,N('2029'!D97),IF(A757=2030,N('2030'!D97),IF(A757=2031,N('2031'!D97),IF(A757=2032,N('2032'!D97),IF(A757=2033,N('2033'!D97),IF(A757=2034,N('2034'!D97),IFERROR(N(INDIRECT("'"&amp;A757&amp;"'!D"&amp;G757)),0))))))))))))</f>
        <v>0</v>
      </c>
      <c r="M757" s="36">
        <f>IFERROR(IF(NOT(ISBLANK(KPI_TARGETS!$J$19)),KPI_TARGETS!$J$19,IF(NOT(ISBLANK(KPI_TARGETS!$F$19)),KPI_TARGETS!$F$19,"")),"")</f>
        <v>16</v>
      </c>
      <c r="N757" s="36" t="str">
        <f>IFERROR(KPI_TARGETS!$E$19,"Higher is better")</f>
        <v>Higher is better</v>
      </c>
      <c r="O757" s="37">
        <f t="shared" ca="1" si="66"/>
        <v>0</v>
      </c>
      <c r="P757" t="str">
        <f t="shared" ca="1" si="67"/>
        <v>Red</v>
      </c>
      <c r="Q757" s="36">
        <f t="shared" ca="1" si="68"/>
        <v>-16</v>
      </c>
      <c r="R757" s="36" t="str">
        <f>""</f>
        <v/>
      </c>
      <c r="S757" s="36" t="str">
        <f>""</f>
        <v/>
      </c>
      <c r="T757" s="36" t="str">
        <f>""</f>
        <v/>
      </c>
      <c r="U757" s="36" t="str">
        <f>""</f>
        <v/>
      </c>
      <c r="V757" s="36" t="str">
        <f>""</f>
        <v/>
      </c>
      <c r="W757" s="36">
        <f t="shared" si="69"/>
        <v>1</v>
      </c>
      <c r="X757" t="str">
        <f t="shared" si="70"/>
        <v>Inactive</v>
      </c>
      <c r="Y757" t="str">
        <f>IF(MAIN!$H$3="Selected Year",IF(A757=MAIN!$B$3,"Yes","No"),IF(MAIN!$H$3="Included Years",IF(D757="Yes","Yes","No"),IF(C757="Yes","Yes","No")))</f>
        <v>No</v>
      </c>
      <c r="Z757" t="str">
        <f>IF(MAIN!$F$3="Project to Date",IF(AND(A757&gt;=SETTINGS!$B$4,A757&lt;MAIN!$B$3),"Yes",IF(AND(A757=MAIN!$B$3,E757&lt;=MAIN!$L$3),"Yes","No")),IF(OR(MAIN!$F$3="Full Year",MAIN!$D$3="All"),"Yes",IF(MAIN!$F$3="Monthly",IF(E757=MAIN!$L$3,"Yes","No"),IF(E757&lt;=MAIN!$L$3,"Yes","No"))))</f>
        <v>Yes</v>
      </c>
      <c r="AA757" t="str">
        <f t="shared" si="71"/>
        <v>No</v>
      </c>
    </row>
    <row r="758" spans="1:27" x14ac:dyDescent="0.3">
      <c r="A758">
        <f>INDEX(SETTINGS!$A$15:$A$24,$B758)</f>
        <v>2028</v>
      </c>
      <c r="B758">
        <v>4</v>
      </c>
      <c r="C758" t="str">
        <f>IF(AND(A758&gt;=SETTINGS!$B$4,A758&lt;=SETTINGS!$B$5),"Yes","No")</f>
        <v>No</v>
      </c>
      <c r="D758" t="str">
        <f>IFERROR(INDEX(SETTINGS!$C$15:$C$24,MATCH(A758,SETTINGS!$A$15:$A$24,0)),"No")</f>
        <v>No</v>
      </c>
      <c r="E758">
        <v>4</v>
      </c>
      <c r="F758" t="s">
        <v>37</v>
      </c>
      <c r="G758">
        <v>98</v>
      </c>
      <c r="H758" t="s">
        <v>109</v>
      </c>
      <c r="I758" t="s">
        <v>22</v>
      </c>
      <c r="J758" t="s">
        <v>29</v>
      </c>
      <c r="K758" t="s">
        <v>3</v>
      </c>
      <c r="L758" s="36">
        <f ca="1">IF(C758&lt;&gt;"Yes",0,IF(A758=2025,N('2025'!D98),IF(A758=2026,N('2026'!D98),IF(A758=2027,N('2027'!D98),IF(A758=2028,N('2028'!D98),IF(A758=2029,N('2029'!D98),IF(A758=2030,N('2030'!D98),IF(A758=2031,N('2031'!D98),IF(A758=2032,N('2032'!D98),IF(A758=2033,N('2033'!D98),IF(A758=2034,N('2034'!D98),IFERROR(N(INDIRECT("'"&amp;A758&amp;"'!D"&amp;G758)),0))))))))))))</f>
        <v>0</v>
      </c>
      <c r="M758" s="36">
        <f>IFERROR(IF(NOT(ISBLANK(KPI_TARGETS!$J$20)),KPI_TARGETS!$J$20,IF(NOT(ISBLANK(KPI_TARGETS!$F$20)),KPI_TARGETS!$F$20,"")),"")</f>
        <v>1</v>
      </c>
      <c r="N758" s="36" t="str">
        <f>IFERROR(KPI_TARGETS!$E$20,"Higher is better")</f>
        <v>Higher is better</v>
      </c>
      <c r="O758" s="37">
        <f t="shared" ca="1" si="66"/>
        <v>0</v>
      </c>
      <c r="P758" t="str">
        <f t="shared" ca="1" si="67"/>
        <v>Red</v>
      </c>
      <c r="Q758" s="36">
        <f t="shared" ca="1" si="68"/>
        <v>-1</v>
      </c>
      <c r="R758" s="36" t="str">
        <f>""</f>
        <v/>
      </c>
      <c r="S758" s="36" t="str">
        <f>""</f>
        <v/>
      </c>
      <c r="T758" s="36" t="str">
        <f>""</f>
        <v/>
      </c>
      <c r="U758" s="36" t="str">
        <f>""</f>
        <v/>
      </c>
      <c r="V758" s="36" t="str">
        <f>""</f>
        <v/>
      </c>
      <c r="W758" s="36">
        <f t="shared" si="69"/>
        <v>1</v>
      </c>
      <c r="X758" t="str">
        <f t="shared" si="70"/>
        <v>Inactive</v>
      </c>
      <c r="Y758" t="str">
        <f>IF(MAIN!$H$3="Selected Year",IF(A758=MAIN!$B$3,"Yes","No"),IF(MAIN!$H$3="Included Years",IF(D758="Yes","Yes","No"),IF(C758="Yes","Yes","No")))</f>
        <v>No</v>
      </c>
      <c r="Z758" t="str">
        <f>IF(MAIN!$F$3="Project to Date",IF(AND(A758&gt;=SETTINGS!$B$4,A758&lt;MAIN!$B$3),"Yes",IF(AND(A758=MAIN!$B$3,E758&lt;=MAIN!$L$3),"Yes","No")),IF(OR(MAIN!$F$3="Full Year",MAIN!$D$3="All"),"Yes",IF(MAIN!$F$3="Monthly",IF(E758=MAIN!$L$3,"Yes","No"),IF(E758&lt;=MAIN!$L$3,"Yes","No"))))</f>
        <v>Yes</v>
      </c>
      <c r="AA758" t="str">
        <f t="shared" si="71"/>
        <v>No</v>
      </c>
    </row>
    <row r="759" spans="1:27" x14ac:dyDescent="0.3">
      <c r="A759">
        <f>INDEX(SETTINGS!$A$15:$A$24,$B759)</f>
        <v>2028</v>
      </c>
      <c r="B759">
        <v>4</v>
      </c>
      <c r="C759" t="str">
        <f>IF(AND(A759&gt;=SETTINGS!$B$4,A759&lt;=SETTINGS!$B$5),"Yes","No")</f>
        <v>No</v>
      </c>
      <c r="D759" t="str">
        <f>IFERROR(INDEX(SETTINGS!$C$15:$C$24,MATCH(A759,SETTINGS!$A$15:$A$24,0)),"No")</f>
        <v>No</v>
      </c>
      <c r="E759">
        <v>4</v>
      </c>
      <c r="F759" t="s">
        <v>37</v>
      </c>
      <c r="G759">
        <v>100</v>
      </c>
      <c r="H759" t="s">
        <v>110</v>
      </c>
      <c r="I759" t="s">
        <v>30</v>
      </c>
      <c r="J759" t="s">
        <v>31</v>
      </c>
      <c r="K759" t="s">
        <v>3</v>
      </c>
      <c r="L759" s="36">
        <f ca="1">IF(C759&lt;&gt;"Yes",0,IF(A759=2025,N('2025'!D100),IF(A759=2026,N('2026'!D100),IF(A759=2027,N('2027'!D100),IF(A759=2028,N('2028'!D100),IF(A759=2029,N('2029'!D100),IF(A759=2030,N('2030'!D100),IF(A759=2031,N('2031'!D100),IF(A759=2032,N('2032'!D100),IF(A759=2033,N('2033'!D100),IF(A759=2034,N('2034'!D100),IFERROR(N(INDIRECT("'"&amp;A759&amp;"'!D"&amp;G759)),0))))))))))))</f>
        <v>0</v>
      </c>
      <c r="M759" s="36">
        <f>IFERROR(IF(NOT(ISBLANK(KPI_TARGETS!$J$21)),KPI_TARGETS!$J$21,IF(NOT(ISBLANK(KPI_TARGETS!$F$21)),KPI_TARGETS!$F$21,"")),"")</f>
        <v>0</v>
      </c>
      <c r="N759" s="36" t="str">
        <f>IFERROR(KPI_TARGETS!$E$21,"Higher is better")</f>
        <v>Lower is better</v>
      </c>
      <c r="O759" s="37">
        <f t="shared" ca="1" si="66"/>
        <v>1</v>
      </c>
      <c r="P759" t="str">
        <f t="shared" ca="1" si="67"/>
        <v>Green</v>
      </c>
      <c r="Q759" s="36">
        <f t="shared" ca="1" si="68"/>
        <v>0</v>
      </c>
      <c r="R759" s="36" t="str">
        <f>""</f>
        <v/>
      </c>
      <c r="S759" s="36" t="str">
        <f>""</f>
        <v/>
      </c>
      <c r="T759" s="36" t="str">
        <f>""</f>
        <v/>
      </c>
      <c r="U759" s="36" t="str">
        <f>""</f>
        <v/>
      </c>
      <c r="V759" s="36" t="str">
        <f>""</f>
        <v/>
      </c>
      <c r="W759" s="36">
        <f t="shared" si="69"/>
        <v>1</v>
      </c>
      <c r="X759" t="str">
        <f t="shared" si="70"/>
        <v>Inactive</v>
      </c>
      <c r="Y759" t="str">
        <f>IF(MAIN!$H$3="Selected Year",IF(A759=MAIN!$B$3,"Yes","No"),IF(MAIN!$H$3="Included Years",IF(D759="Yes","Yes","No"),IF(C759="Yes","Yes","No")))</f>
        <v>No</v>
      </c>
      <c r="Z759" t="str">
        <f>IF(MAIN!$F$3="Project to Date",IF(AND(A759&gt;=SETTINGS!$B$4,A759&lt;MAIN!$B$3),"Yes",IF(AND(A759=MAIN!$B$3,E759&lt;=MAIN!$L$3),"Yes","No")),IF(OR(MAIN!$F$3="Full Year",MAIN!$D$3="All"),"Yes",IF(MAIN!$F$3="Monthly",IF(E759=MAIN!$L$3,"Yes","No"),IF(E759&lt;=MAIN!$L$3,"Yes","No"))))</f>
        <v>Yes</v>
      </c>
      <c r="AA759" t="str">
        <f t="shared" si="71"/>
        <v>No</v>
      </c>
    </row>
    <row r="760" spans="1:27" x14ac:dyDescent="0.3">
      <c r="A760">
        <f>INDEX(SETTINGS!$A$15:$A$24,$B760)</f>
        <v>2028</v>
      </c>
      <c r="B760">
        <v>4</v>
      </c>
      <c r="C760" t="str">
        <f>IF(AND(A760&gt;=SETTINGS!$B$4,A760&lt;=SETTINGS!$B$5),"Yes","No")</f>
        <v>No</v>
      </c>
      <c r="D760" t="str">
        <f>IFERROR(INDEX(SETTINGS!$C$15:$C$24,MATCH(A760,SETTINGS!$A$15:$A$24,0)),"No")</f>
        <v>No</v>
      </c>
      <c r="E760">
        <v>4</v>
      </c>
      <c r="F760" t="s">
        <v>37</v>
      </c>
      <c r="G760">
        <v>101</v>
      </c>
      <c r="H760" t="s">
        <v>111</v>
      </c>
      <c r="I760" t="s">
        <v>30</v>
      </c>
      <c r="J760" t="s">
        <v>32</v>
      </c>
      <c r="K760" t="s">
        <v>3</v>
      </c>
      <c r="L760" s="36">
        <f ca="1">IF(C760&lt;&gt;"Yes",0,IF(A760=2025,N('2025'!D101),IF(A760=2026,N('2026'!D101),IF(A760=2027,N('2027'!D101),IF(A760=2028,N('2028'!D101),IF(A760=2029,N('2029'!D101),IF(A760=2030,N('2030'!D101),IF(A760=2031,N('2031'!D101),IF(A760=2032,N('2032'!D101),IF(A760=2033,N('2033'!D101),IF(A760=2034,N('2034'!D101),IFERROR(N(INDIRECT("'"&amp;A760&amp;"'!D"&amp;G760)),0))))))))))))</f>
        <v>0</v>
      </c>
      <c r="M760" s="36">
        <f>IFERROR(IF(NOT(ISBLANK(KPI_TARGETS!$J$22)),KPI_TARGETS!$J$22,IF(NOT(ISBLANK(KPI_TARGETS!$F$22)),KPI_TARGETS!$F$22,"")),"")</f>
        <v>1</v>
      </c>
      <c r="N760" s="36" t="str">
        <f>IFERROR(KPI_TARGETS!$E$22,"Higher is better")</f>
        <v>Higher is better</v>
      </c>
      <c r="O760" s="37">
        <f t="shared" ca="1" si="66"/>
        <v>0</v>
      </c>
      <c r="P760" t="str">
        <f t="shared" ca="1" si="67"/>
        <v>Red</v>
      </c>
      <c r="Q760" s="36">
        <f t="shared" ca="1" si="68"/>
        <v>-1</v>
      </c>
      <c r="R760" s="36" t="str">
        <f>""</f>
        <v/>
      </c>
      <c r="S760" s="36" t="str">
        <f>""</f>
        <v/>
      </c>
      <c r="T760" s="36" t="str">
        <f>""</f>
        <v/>
      </c>
      <c r="U760" s="36" t="str">
        <f>""</f>
        <v/>
      </c>
      <c r="V760" s="36" t="str">
        <f>""</f>
        <v/>
      </c>
      <c r="W760" s="36">
        <f t="shared" si="69"/>
        <v>1</v>
      </c>
      <c r="X760" t="str">
        <f t="shared" si="70"/>
        <v>Inactive</v>
      </c>
      <c r="Y760" t="str">
        <f>IF(MAIN!$H$3="Selected Year",IF(A760=MAIN!$B$3,"Yes","No"),IF(MAIN!$H$3="Included Years",IF(D760="Yes","Yes","No"),IF(C760="Yes","Yes","No")))</f>
        <v>No</v>
      </c>
      <c r="Z760" t="str">
        <f>IF(MAIN!$F$3="Project to Date",IF(AND(A760&gt;=SETTINGS!$B$4,A760&lt;MAIN!$B$3),"Yes",IF(AND(A760=MAIN!$B$3,E760&lt;=MAIN!$L$3),"Yes","No")),IF(OR(MAIN!$F$3="Full Year",MAIN!$D$3="All"),"Yes",IF(MAIN!$F$3="Monthly",IF(E760=MAIN!$L$3,"Yes","No"),IF(E760&lt;=MAIN!$L$3,"Yes","No"))))</f>
        <v>Yes</v>
      </c>
      <c r="AA760" t="str">
        <f t="shared" si="71"/>
        <v>No</v>
      </c>
    </row>
    <row r="761" spans="1:27" x14ac:dyDescent="0.3">
      <c r="A761">
        <f>INDEX(SETTINGS!$A$15:$A$24,$B761)</f>
        <v>2028</v>
      </c>
      <c r="B761">
        <v>4</v>
      </c>
      <c r="C761" t="str">
        <f>IF(AND(A761&gt;=SETTINGS!$B$4,A761&lt;=SETTINGS!$B$5),"Yes","No")</f>
        <v>No</v>
      </c>
      <c r="D761" t="str">
        <f>IFERROR(INDEX(SETTINGS!$C$15:$C$24,MATCH(A761,SETTINGS!$A$15:$A$24,0)),"No")</f>
        <v>No</v>
      </c>
      <c r="E761">
        <v>4</v>
      </c>
      <c r="F761" t="s">
        <v>37</v>
      </c>
      <c r="G761">
        <v>102</v>
      </c>
      <c r="H761" t="s">
        <v>112</v>
      </c>
      <c r="I761" t="s">
        <v>30</v>
      </c>
      <c r="J761" t="s">
        <v>33</v>
      </c>
      <c r="K761" t="s">
        <v>34</v>
      </c>
      <c r="L761" s="36">
        <f ca="1">IF(C761&lt;&gt;"Yes",0,IF(A761=2025,N('2025'!D102),IF(A761=2026,N('2026'!D102),IF(A761=2027,N('2027'!D102),IF(A761=2028,N('2028'!D102),IF(A761=2029,N('2029'!D102),IF(A761=2030,N('2030'!D102),IF(A761=2031,N('2031'!D102),IF(A761=2032,N('2032'!D102),IF(A761=2033,N('2033'!D102),IF(A761=2034,N('2034'!D102),IFERROR(N(INDIRECT("'"&amp;A761&amp;"'!D"&amp;G761)),0))))))))))))</f>
        <v>0</v>
      </c>
      <c r="M761" s="36">
        <f>IFERROR(IF(NOT(ISBLANK(KPI_TARGETS!$J$23)),KPI_TARGETS!$J$23,IF(NOT(ISBLANK(KPI_TARGETS!$F$23)),KPI_TARGETS!$F$23,"")),"")</f>
        <v>1</v>
      </c>
      <c r="N761" s="36" t="str">
        <f>IFERROR(KPI_TARGETS!$E$23,"Higher is better")</f>
        <v>Higher is better</v>
      </c>
      <c r="O761" s="37">
        <f t="shared" ca="1" si="66"/>
        <v>0</v>
      </c>
      <c r="P761" t="str">
        <f t="shared" ca="1" si="67"/>
        <v>Red</v>
      </c>
      <c r="Q761" s="36">
        <f t="shared" ca="1" si="68"/>
        <v>-1</v>
      </c>
      <c r="R761" s="36" t="str">
        <f>""</f>
        <v/>
      </c>
      <c r="S761" s="36" t="str">
        <f>""</f>
        <v/>
      </c>
      <c r="T761" s="36" t="str">
        <f>""</f>
        <v/>
      </c>
      <c r="U761" s="36" t="str">
        <f>""</f>
        <v/>
      </c>
      <c r="V761" s="36" t="str">
        <f>""</f>
        <v/>
      </c>
      <c r="W761" s="36">
        <f t="shared" si="69"/>
        <v>1</v>
      </c>
      <c r="X761" t="str">
        <f t="shared" si="70"/>
        <v>Inactive</v>
      </c>
      <c r="Y761" t="str">
        <f>IF(MAIN!$H$3="Selected Year",IF(A761=MAIN!$B$3,"Yes","No"),IF(MAIN!$H$3="Included Years",IF(D761="Yes","Yes","No"),IF(C761="Yes","Yes","No")))</f>
        <v>No</v>
      </c>
      <c r="Z761" t="str">
        <f>IF(MAIN!$F$3="Project to Date",IF(AND(A761&gt;=SETTINGS!$B$4,A761&lt;MAIN!$B$3),"Yes",IF(AND(A761=MAIN!$B$3,E761&lt;=MAIN!$L$3),"Yes","No")),IF(OR(MAIN!$F$3="Full Year",MAIN!$D$3="All"),"Yes",IF(MAIN!$F$3="Monthly",IF(E761=MAIN!$L$3,"Yes","No"),IF(E761&lt;=MAIN!$L$3,"Yes","No"))))</f>
        <v>Yes</v>
      </c>
      <c r="AA761" t="str">
        <f t="shared" si="71"/>
        <v>No</v>
      </c>
    </row>
    <row r="762" spans="1:27" x14ac:dyDescent="0.3">
      <c r="A762">
        <f>INDEX(SETTINGS!$A$15:$A$24,$B762)</f>
        <v>2028</v>
      </c>
      <c r="B762">
        <v>4</v>
      </c>
      <c r="C762" t="str">
        <f>IF(AND(A762&gt;=SETTINGS!$B$4,A762&lt;=SETTINGS!$B$5),"Yes","No")</f>
        <v>No</v>
      </c>
      <c r="D762" t="str">
        <f>IFERROR(INDEX(SETTINGS!$C$15:$C$24,MATCH(A762,SETTINGS!$A$15:$A$24,0)),"No")</f>
        <v>No</v>
      </c>
      <c r="E762">
        <v>5</v>
      </c>
      <c r="F762" t="s">
        <v>38</v>
      </c>
      <c r="G762">
        <v>105</v>
      </c>
      <c r="H762" t="s">
        <v>88</v>
      </c>
      <c r="I762" t="s">
        <v>89</v>
      </c>
      <c r="J762" t="s">
        <v>10</v>
      </c>
      <c r="K762" t="s">
        <v>3</v>
      </c>
      <c r="L762" s="36">
        <f ca="1">IF(C762&lt;&gt;"Yes",0,IF(A762=2025,N('2025'!D105),IF(A762=2026,N('2026'!D105),IF(A762=2027,N('2027'!D105),IF(A762=2028,N('2028'!D105),IF(A762=2029,N('2029'!D105),IF(A762=2030,N('2030'!D105),IF(A762=2031,N('2031'!D105),IF(A762=2032,N('2032'!D105),IF(A762=2033,N('2033'!D105),IF(A762=2034,N('2034'!D105),IFERROR(N(INDIRECT("'"&amp;A762&amp;"'!D"&amp;G762)),0))))))))))))</f>
        <v>0</v>
      </c>
      <c r="M762" s="36">
        <f>IFERROR(IF(NOT(ISBLANK(KPI_TARGETS!$J$5)),KPI_TARGETS!$J$5,IF(NOT(ISBLANK(KPI_TARGETS!$F$5)),KPI_TARGETS!$F$5,"")),"")</f>
        <v>104</v>
      </c>
      <c r="N762" s="36" t="str">
        <f>IFERROR(KPI_TARGETS!$E$5,"Higher is better")</f>
        <v>Higher is better</v>
      </c>
      <c r="O762" s="37">
        <f t="shared" ca="1" si="66"/>
        <v>0</v>
      </c>
      <c r="P762" t="str">
        <f t="shared" ca="1" si="67"/>
        <v>Red</v>
      </c>
      <c r="Q762" s="36">
        <f t="shared" ca="1" si="68"/>
        <v>-104</v>
      </c>
      <c r="R762" s="36" t="str">
        <f>""</f>
        <v/>
      </c>
      <c r="S762" s="36" t="str">
        <f>""</f>
        <v/>
      </c>
      <c r="T762" s="36" t="str">
        <f>""</f>
        <v/>
      </c>
      <c r="U762" s="36" t="str">
        <f>""</f>
        <v/>
      </c>
      <c r="V762" s="36" t="str">
        <f>""</f>
        <v/>
      </c>
      <c r="W762" s="36">
        <f t="shared" si="69"/>
        <v>1</v>
      </c>
      <c r="X762" t="str">
        <f t="shared" si="70"/>
        <v>Inactive</v>
      </c>
      <c r="Y762" t="str">
        <f>IF(MAIN!$H$3="Selected Year",IF(A762=MAIN!$B$3,"Yes","No"),IF(MAIN!$H$3="Included Years",IF(D762="Yes","Yes","No"),IF(C762="Yes","Yes","No")))</f>
        <v>No</v>
      </c>
      <c r="Z762" t="str">
        <f>IF(MAIN!$F$3="Project to Date",IF(AND(A762&gt;=SETTINGS!$B$4,A762&lt;MAIN!$B$3),"Yes",IF(AND(A762=MAIN!$B$3,E762&lt;=MAIN!$L$3),"Yes","No")),IF(OR(MAIN!$F$3="Full Year",MAIN!$D$3="All"),"Yes",IF(MAIN!$F$3="Monthly",IF(E762=MAIN!$L$3,"Yes","No"),IF(E762&lt;=MAIN!$L$3,"Yes","No"))))</f>
        <v>Yes</v>
      </c>
      <c r="AA762" t="str">
        <f t="shared" si="71"/>
        <v>No</v>
      </c>
    </row>
    <row r="763" spans="1:27" x14ac:dyDescent="0.3">
      <c r="A763">
        <f>INDEX(SETTINGS!$A$15:$A$24,$B763)</f>
        <v>2028</v>
      </c>
      <c r="B763">
        <v>4</v>
      </c>
      <c r="C763" t="str">
        <f>IF(AND(A763&gt;=SETTINGS!$B$4,A763&lt;=SETTINGS!$B$5),"Yes","No")</f>
        <v>No</v>
      </c>
      <c r="D763" t="str">
        <f>IFERROR(INDEX(SETTINGS!$C$15:$C$24,MATCH(A763,SETTINGS!$A$15:$A$24,0)),"No")</f>
        <v>No</v>
      </c>
      <c r="E763">
        <v>5</v>
      </c>
      <c r="F763" t="s">
        <v>38</v>
      </c>
      <c r="G763">
        <v>106</v>
      </c>
      <c r="H763" t="s">
        <v>91</v>
      </c>
      <c r="I763" t="s">
        <v>89</v>
      </c>
      <c r="J763" t="s">
        <v>11</v>
      </c>
      <c r="K763" t="s">
        <v>12</v>
      </c>
      <c r="L763" s="36">
        <f ca="1">IF(C763&lt;&gt;"Yes",0,IF(A763=2025,N('2025'!D106),IF(A763=2026,N('2026'!D106),IF(A763=2027,N('2027'!D106),IF(A763=2028,N('2028'!D106),IF(A763=2029,N('2029'!D106),IF(A763=2030,N('2030'!D106),IF(A763=2031,N('2031'!D106),IF(A763=2032,N('2032'!D106),IF(A763=2033,N('2033'!D106),IF(A763=2034,N('2034'!D106),IFERROR(N(INDIRECT("'"&amp;A763&amp;"'!D"&amp;G763)),0))))))))))))</f>
        <v>0</v>
      </c>
      <c r="M763" s="36">
        <f>IFERROR(IF(NOT(ISBLANK(KPI_TARGETS!$J$6)),KPI_TARGETS!$J$6,IF(NOT(ISBLANK(KPI_TARGETS!$F$6)),KPI_TARGETS!$F$6,"")),"")</f>
        <v>4000</v>
      </c>
      <c r="N763" s="36" t="str">
        <f>IFERROR(KPI_TARGETS!$E$6,"Higher is better")</f>
        <v>Higher is better</v>
      </c>
      <c r="O763" s="37">
        <f t="shared" ca="1" si="66"/>
        <v>0</v>
      </c>
      <c r="P763" t="str">
        <f t="shared" ca="1" si="67"/>
        <v>Red</v>
      </c>
      <c r="Q763" s="36">
        <f t="shared" ca="1" si="68"/>
        <v>-4000</v>
      </c>
      <c r="R763" s="36" t="str">
        <f>""</f>
        <v/>
      </c>
      <c r="S763" s="36" t="str">
        <f>""</f>
        <v/>
      </c>
      <c r="T763" s="36" t="str">
        <f>""</f>
        <v/>
      </c>
      <c r="U763" s="36" t="str">
        <f>""</f>
        <v/>
      </c>
      <c r="V763" s="36" t="str">
        <f>""</f>
        <v/>
      </c>
      <c r="W763" s="36">
        <f t="shared" si="69"/>
        <v>1</v>
      </c>
      <c r="X763" t="str">
        <f t="shared" si="70"/>
        <v>Inactive</v>
      </c>
      <c r="Y763" t="str">
        <f>IF(MAIN!$H$3="Selected Year",IF(A763=MAIN!$B$3,"Yes","No"),IF(MAIN!$H$3="Included Years",IF(D763="Yes","Yes","No"),IF(C763="Yes","Yes","No")))</f>
        <v>No</v>
      </c>
      <c r="Z763" t="str">
        <f>IF(MAIN!$F$3="Project to Date",IF(AND(A763&gt;=SETTINGS!$B$4,A763&lt;MAIN!$B$3),"Yes",IF(AND(A763=MAIN!$B$3,E763&lt;=MAIN!$L$3),"Yes","No")),IF(OR(MAIN!$F$3="Full Year",MAIN!$D$3="All"),"Yes",IF(MAIN!$F$3="Monthly",IF(E763=MAIN!$L$3,"Yes","No"),IF(E763&lt;=MAIN!$L$3,"Yes","No"))))</f>
        <v>Yes</v>
      </c>
      <c r="AA763" t="str">
        <f t="shared" si="71"/>
        <v>No</v>
      </c>
    </row>
    <row r="764" spans="1:27" x14ac:dyDescent="0.3">
      <c r="A764">
        <f>INDEX(SETTINGS!$A$15:$A$24,$B764)</f>
        <v>2028</v>
      </c>
      <c r="B764">
        <v>4</v>
      </c>
      <c r="C764" t="str">
        <f>IF(AND(A764&gt;=SETTINGS!$B$4,A764&lt;=SETTINGS!$B$5),"Yes","No")</f>
        <v>No</v>
      </c>
      <c r="D764" t="str">
        <f>IFERROR(INDEX(SETTINGS!$C$15:$C$24,MATCH(A764,SETTINGS!$A$15:$A$24,0)),"No")</f>
        <v>No</v>
      </c>
      <c r="E764">
        <v>5</v>
      </c>
      <c r="F764" t="s">
        <v>38</v>
      </c>
      <c r="G764">
        <v>107</v>
      </c>
      <c r="H764" t="s">
        <v>93</v>
      </c>
      <c r="I764" t="s">
        <v>89</v>
      </c>
      <c r="J764" t="s">
        <v>13</v>
      </c>
      <c r="K764" t="s">
        <v>14</v>
      </c>
      <c r="L764" s="36">
        <f ca="1">IF(C764&lt;&gt;"Yes",0,IF(A764=2025,N('2025'!D107),IF(A764=2026,N('2026'!D107),IF(A764=2027,N('2027'!D107),IF(A764=2028,N('2028'!D107),IF(A764=2029,N('2029'!D107),IF(A764=2030,N('2030'!D107),IF(A764=2031,N('2031'!D107),IF(A764=2032,N('2032'!D107),IF(A764=2033,N('2033'!D107),IF(A764=2034,N('2034'!D107),IFERROR(N(INDIRECT("'"&amp;A764&amp;"'!D"&amp;G764)),0))))))))))))</f>
        <v>0</v>
      </c>
      <c r="M764" s="36">
        <f>IFERROR(IF(NOT(ISBLANK(KPI_TARGETS!$J$7)),KPI_TARGETS!$J$7,IF(NOT(ISBLANK(KPI_TARGETS!$F$7)),KPI_TARGETS!$F$7,"")),"")</f>
        <v>8000</v>
      </c>
      <c r="N764" s="36" t="str">
        <f>IFERROR(KPI_TARGETS!$E$7,"Higher is better")</f>
        <v>Higher is better</v>
      </c>
      <c r="O764" s="37">
        <f t="shared" ca="1" si="66"/>
        <v>0</v>
      </c>
      <c r="P764" t="str">
        <f t="shared" ca="1" si="67"/>
        <v>Red</v>
      </c>
      <c r="Q764" s="36">
        <f t="shared" ca="1" si="68"/>
        <v>-8000</v>
      </c>
      <c r="R764" s="36" t="str">
        <f>""</f>
        <v/>
      </c>
      <c r="S764" s="36" t="str">
        <f>""</f>
        <v/>
      </c>
      <c r="T764" s="36" t="str">
        <f>""</f>
        <v/>
      </c>
      <c r="U764" s="36" t="str">
        <f>""</f>
        <v/>
      </c>
      <c r="V764" s="36" t="str">
        <f>""</f>
        <v/>
      </c>
      <c r="W764" s="36">
        <f t="shared" si="69"/>
        <v>1</v>
      </c>
      <c r="X764" t="str">
        <f t="shared" si="70"/>
        <v>Inactive</v>
      </c>
      <c r="Y764" t="str">
        <f>IF(MAIN!$H$3="Selected Year",IF(A764=MAIN!$B$3,"Yes","No"),IF(MAIN!$H$3="Included Years",IF(D764="Yes","Yes","No"),IF(C764="Yes","Yes","No")))</f>
        <v>No</v>
      </c>
      <c r="Z764" t="str">
        <f>IF(MAIN!$F$3="Project to Date",IF(AND(A764&gt;=SETTINGS!$B$4,A764&lt;MAIN!$B$3),"Yes",IF(AND(A764=MAIN!$B$3,E764&lt;=MAIN!$L$3),"Yes","No")),IF(OR(MAIN!$F$3="Full Year",MAIN!$D$3="All"),"Yes",IF(MAIN!$F$3="Monthly",IF(E764=MAIN!$L$3,"Yes","No"),IF(E764&lt;=MAIN!$L$3,"Yes","No"))))</f>
        <v>Yes</v>
      </c>
      <c r="AA764" t="str">
        <f t="shared" si="71"/>
        <v>No</v>
      </c>
    </row>
    <row r="765" spans="1:27" x14ac:dyDescent="0.3">
      <c r="A765">
        <f>INDEX(SETTINGS!$A$15:$A$24,$B765)</f>
        <v>2028</v>
      </c>
      <c r="B765">
        <v>4</v>
      </c>
      <c r="C765" t="str">
        <f>IF(AND(A765&gt;=SETTINGS!$B$4,A765&lt;=SETTINGS!$B$5),"Yes","No")</f>
        <v>No</v>
      </c>
      <c r="D765" t="str">
        <f>IFERROR(INDEX(SETTINGS!$C$15:$C$24,MATCH(A765,SETTINGS!$A$15:$A$24,0)),"No")</f>
        <v>No</v>
      </c>
      <c r="E765">
        <v>5</v>
      </c>
      <c r="F765" t="s">
        <v>38</v>
      </c>
      <c r="G765">
        <v>109</v>
      </c>
      <c r="H765" t="s">
        <v>95</v>
      </c>
      <c r="I765" t="s">
        <v>15</v>
      </c>
      <c r="J765" t="s">
        <v>16</v>
      </c>
      <c r="K765" t="s">
        <v>3</v>
      </c>
      <c r="L765" s="36">
        <f ca="1">IF(C765&lt;&gt;"Yes",0,IF(A765=2025,N('2025'!D109),IF(A765=2026,N('2026'!D109),IF(A765=2027,N('2027'!D109),IF(A765=2028,N('2028'!D109),IF(A765=2029,N('2029'!D109),IF(A765=2030,N('2030'!D109),IF(A765=2031,N('2031'!D109),IF(A765=2032,N('2032'!D109),IF(A765=2033,N('2033'!D109),IF(A765=2034,N('2034'!D109),IFERROR(N(INDIRECT("'"&amp;A765&amp;"'!D"&amp;G765)),0))))))))))))</f>
        <v>0</v>
      </c>
      <c r="M765" s="36">
        <f>IFERROR(IF(NOT(ISBLANK(KPI_TARGETS!$J$8)),KPI_TARGETS!$J$8,IF(NOT(ISBLANK(KPI_TARGETS!$F$8)),KPI_TARGETS!$F$8,"")),"")</f>
        <v>0</v>
      </c>
      <c r="N765" s="36" t="str">
        <f>IFERROR(KPI_TARGETS!$E$8,"Higher is better")</f>
        <v>Lower is better</v>
      </c>
      <c r="O765" s="37">
        <f t="shared" ca="1" si="66"/>
        <v>1</v>
      </c>
      <c r="P765" t="str">
        <f t="shared" ca="1" si="67"/>
        <v>Green</v>
      </c>
      <c r="Q765" s="36">
        <f t="shared" ca="1" si="68"/>
        <v>0</v>
      </c>
      <c r="R765" s="36" t="str">
        <f>""</f>
        <v/>
      </c>
      <c r="S765" s="36" t="str">
        <f>""</f>
        <v/>
      </c>
      <c r="T765" s="36" t="str">
        <f>""</f>
        <v/>
      </c>
      <c r="U765" s="36" t="str">
        <f>""</f>
        <v/>
      </c>
      <c r="V765" s="36" t="str">
        <f>""</f>
        <v/>
      </c>
      <c r="W765" s="36">
        <f t="shared" si="69"/>
        <v>1</v>
      </c>
      <c r="X765" t="str">
        <f t="shared" si="70"/>
        <v>Inactive</v>
      </c>
      <c r="Y765" t="str">
        <f>IF(MAIN!$H$3="Selected Year",IF(A765=MAIN!$B$3,"Yes","No"),IF(MAIN!$H$3="Included Years",IF(D765="Yes","Yes","No"),IF(C765="Yes","Yes","No")))</f>
        <v>No</v>
      </c>
      <c r="Z765" t="str">
        <f>IF(MAIN!$F$3="Project to Date",IF(AND(A765&gt;=SETTINGS!$B$4,A765&lt;MAIN!$B$3),"Yes",IF(AND(A765=MAIN!$B$3,E765&lt;=MAIN!$L$3),"Yes","No")),IF(OR(MAIN!$F$3="Full Year",MAIN!$D$3="All"),"Yes",IF(MAIN!$F$3="Monthly",IF(E765=MAIN!$L$3,"Yes","No"),IF(E765&lt;=MAIN!$L$3,"Yes","No"))))</f>
        <v>Yes</v>
      </c>
      <c r="AA765" t="str">
        <f t="shared" si="71"/>
        <v>No</v>
      </c>
    </row>
    <row r="766" spans="1:27" x14ac:dyDescent="0.3">
      <c r="A766">
        <f>INDEX(SETTINGS!$A$15:$A$24,$B766)</f>
        <v>2028</v>
      </c>
      <c r="B766">
        <v>4</v>
      </c>
      <c r="C766" t="str">
        <f>IF(AND(A766&gt;=SETTINGS!$B$4,A766&lt;=SETTINGS!$B$5),"Yes","No")</f>
        <v>No</v>
      </c>
      <c r="D766" t="str">
        <f>IFERROR(INDEX(SETTINGS!$C$15:$C$24,MATCH(A766,SETTINGS!$A$15:$A$24,0)),"No")</f>
        <v>No</v>
      </c>
      <c r="E766">
        <v>5</v>
      </c>
      <c r="F766" t="s">
        <v>38</v>
      </c>
      <c r="G766">
        <v>110</v>
      </c>
      <c r="H766" t="s">
        <v>97</v>
      </c>
      <c r="I766" t="s">
        <v>15</v>
      </c>
      <c r="J766" t="s">
        <v>17</v>
      </c>
      <c r="K766" t="s">
        <v>3</v>
      </c>
      <c r="L766" s="36">
        <f ca="1">IF(C766&lt;&gt;"Yes",0,IF(A766=2025,N('2025'!D110),IF(A766=2026,N('2026'!D110),IF(A766=2027,N('2027'!D110),IF(A766=2028,N('2028'!D110),IF(A766=2029,N('2029'!D110),IF(A766=2030,N('2030'!D110),IF(A766=2031,N('2031'!D110),IF(A766=2032,N('2032'!D110),IF(A766=2033,N('2033'!D110),IF(A766=2034,N('2034'!D110),IFERROR(N(INDIRECT("'"&amp;A766&amp;"'!D"&amp;G766)),0))))))))))))</f>
        <v>0</v>
      </c>
      <c r="M766" s="36">
        <f>IFERROR(IF(NOT(ISBLANK(KPI_TARGETS!$J$9)),KPI_TARGETS!$J$9,IF(NOT(ISBLANK(KPI_TARGETS!$F$9)),KPI_TARGETS!$F$9,"")),"")</f>
        <v>0</v>
      </c>
      <c r="N766" s="36" t="str">
        <f>IFERROR(KPI_TARGETS!$E$9,"Higher is better")</f>
        <v>Higher is better</v>
      </c>
      <c r="O766" s="37" t="str">
        <f t="shared" ca="1" si="66"/>
        <v/>
      </c>
      <c r="P766" t="str">
        <f t="shared" ca="1" si="67"/>
        <v>Green</v>
      </c>
      <c r="Q766" s="36">
        <f t="shared" ca="1" si="68"/>
        <v>0</v>
      </c>
      <c r="R766" s="36" t="str">
        <f>""</f>
        <v/>
      </c>
      <c r="S766" s="36" t="str">
        <f>""</f>
        <v/>
      </c>
      <c r="T766" s="36" t="str">
        <f>""</f>
        <v/>
      </c>
      <c r="U766" s="36" t="str">
        <f>""</f>
        <v/>
      </c>
      <c r="V766" s="36" t="str">
        <f>""</f>
        <v/>
      </c>
      <c r="W766" s="36">
        <f t="shared" si="69"/>
        <v>1</v>
      </c>
      <c r="X766" t="str">
        <f t="shared" si="70"/>
        <v>Inactive</v>
      </c>
      <c r="Y766" t="str">
        <f>IF(MAIN!$H$3="Selected Year",IF(A766=MAIN!$B$3,"Yes","No"),IF(MAIN!$H$3="Included Years",IF(D766="Yes","Yes","No"),IF(C766="Yes","Yes","No")))</f>
        <v>No</v>
      </c>
      <c r="Z766" t="str">
        <f>IF(MAIN!$F$3="Project to Date",IF(AND(A766&gt;=SETTINGS!$B$4,A766&lt;MAIN!$B$3),"Yes",IF(AND(A766=MAIN!$B$3,E766&lt;=MAIN!$L$3),"Yes","No")),IF(OR(MAIN!$F$3="Full Year",MAIN!$D$3="All"),"Yes",IF(MAIN!$F$3="Monthly",IF(E766=MAIN!$L$3,"Yes","No"),IF(E766&lt;=MAIN!$L$3,"Yes","No"))))</f>
        <v>Yes</v>
      </c>
      <c r="AA766" t="str">
        <f t="shared" si="71"/>
        <v>No</v>
      </c>
    </row>
    <row r="767" spans="1:27" x14ac:dyDescent="0.3">
      <c r="A767">
        <f>INDEX(SETTINGS!$A$15:$A$24,$B767)</f>
        <v>2028</v>
      </c>
      <c r="B767">
        <v>4</v>
      </c>
      <c r="C767" t="str">
        <f>IF(AND(A767&gt;=SETTINGS!$B$4,A767&lt;=SETTINGS!$B$5),"Yes","No")</f>
        <v>No</v>
      </c>
      <c r="D767" t="str">
        <f>IFERROR(INDEX(SETTINGS!$C$15:$C$24,MATCH(A767,SETTINGS!$A$15:$A$24,0)),"No")</f>
        <v>No</v>
      </c>
      <c r="E767">
        <v>5</v>
      </c>
      <c r="F767" t="s">
        <v>38</v>
      </c>
      <c r="G767">
        <v>111</v>
      </c>
      <c r="H767" t="s">
        <v>99</v>
      </c>
      <c r="I767" t="s">
        <v>15</v>
      </c>
      <c r="J767" t="s">
        <v>18</v>
      </c>
      <c r="K767" t="s">
        <v>3</v>
      </c>
      <c r="L767" s="36">
        <f ca="1">IF(C767&lt;&gt;"Yes",0,IF(A767=2025,N('2025'!D111),IF(A767=2026,N('2026'!D111),IF(A767=2027,N('2027'!D111),IF(A767=2028,N('2028'!D111),IF(A767=2029,N('2029'!D111),IF(A767=2030,N('2030'!D111),IF(A767=2031,N('2031'!D111),IF(A767=2032,N('2032'!D111),IF(A767=2033,N('2033'!D111),IF(A767=2034,N('2034'!D111),IFERROR(N(INDIRECT("'"&amp;A767&amp;"'!D"&amp;G767)),0))))))))))))</f>
        <v>0</v>
      </c>
      <c r="M767" s="36">
        <f>IFERROR(IF(NOT(ISBLANK(KPI_TARGETS!$J$10)),KPI_TARGETS!$J$10,IF(NOT(ISBLANK(KPI_TARGETS!$F$10)),KPI_TARGETS!$F$10,"")),"")</f>
        <v>0</v>
      </c>
      <c r="N767" s="36" t="str">
        <f>IFERROR(KPI_TARGETS!$E$10,"Higher is better")</f>
        <v>Lower is better</v>
      </c>
      <c r="O767" s="37">
        <f t="shared" ca="1" si="66"/>
        <v>1</v>
      </c>
      <c r="P767" t="str">
        <f t="shared" ca="1" si="67"/>
        <v>Green</v>
      </c>
      <c r="Q767" s="36">
        <f t="shared" ca="1" si="68"/>
        <v>0</v>
      </c>
      <c r="R767" s="36" t="str">
        <f>""</f>
        <v/>
      </c>
      <c r="S767" s="36" t="str">
        <f>""</f>
        <v/>
      </c>
      <c r="T767" s="36" t="str">
        <f>""</f>
        <v/>
      </c>
      <c r="U767" s="36" t="str">
        <f>""</f>
        <v/>
      </c>
      <c r="V767" s="36" t="str">
        <f>""</f>
        <v/>
      </c>
      <c r="W767" s="36">
        <f t="shared" si="69"/>
        <v>1</v>
      </c>
      <c r="X767" t="str">
        <f t="shared" si="70"/>
        <v>Inactive</v>
      </c>
      <c r="Y767" t="str">
        <f>IF(MAIN!$H$3="Selected Year",IF(A767=MAIN!$B$3,"Yes","No"),IF(MAIN!$H$3="Included Years",IF(D767="Yes","Yes","No"),IF(C767="Yes","Yes","No")))</f>
        <v>No</v>
      </c>
      <c r="Z767" t="str">
        <f>IF(MAIN!$F$3="Project to Date",IF(AND(A767&gt;=SETTINGS!$B$4,A767&lt;MAIN!$B$3),"Yes",IF(AND(A767=MAIN!$B$3,E767&lt;=MAIN!$L$3),"Yes","No")),IF(OR(MAIN!$F$3="Full Year",MAIN!$D$3="All"),"Yes",IF(MAIN!$F$3="Monthly",IF(E767=MAIN!$L$3,"Yes","No"),IF(E767&lt;=MAIN!$L$3,"Yes","No"))))</f>
        <v>Yes</v>
      </c>
      <c r="AA767" t="str">
        <f t="shared" si="71"/>
        <v>No</v>
      </c>
    </row>
    <row r="768" spans="1:27" x14ac:dyDescent="0.3">
      <c r="A768">
        <f>INDEX(SETTINGS!$A$15:$A$24,$B768)</f>
        <v>2028</v>
      </c>
      <c r="B768">
        <v>4</v>
      </c>
      <c r="C768" t="str">
        <f>IF(AND(A768&gt;=SETTINGS!$B$4,A768&lt;=SETTINGS!$B$5),"Yes","No")</f>
        <v>No</v>
      </c>
      <c r="D768" t="str">
        <f>IFERROR(INDEX(SETTINGS!$C$15:$C$24,MATCH(A768,SETTINGS!$A$15:$A$24,0)),"No")</f>
        <v>No</v>
      </c>
      <c r="E768">
        <v>5</v>
      </c>
      <c r="F768" t="s">
        <v>38</v>
      </c>
      <c r="G768">
        <v>112</v>
      </c>
      <c r="H768" t="s">
        <v>100</v>
      </c>
      <c r="I768" t="s">
        <v>15</v>
      </c>
      <c r="J768" t="s">
        <v>19</v>
      </c>
      <c r="K768" t="s">
        <v>3</v>
      </c>
      <c r="L768" s="36">
        <f ca="1">IF(C768&lt;&gt;"Yes",0,IF(A768=2025,N('2025'!D112),IF(A768=2026,N('2026'!D112),IF(A768=2027,N('2027'!D112),IF(A768=2028,N('2028'!D112),IF(A768=2029,N('2029'!D112),IF(A768=2030,N('2030'!D112),IF(A768=2031,N('2031'!D112),IF(A768=2032,N('2032'!D112),IF(A768=2033,N('2033'!D112),IF(A768=2034,N('2034'!D112),IFERROR(N(INDIRECT("'"&amp;A768&amp;"'!D"&amp;G768)),0))))))))))))</f>
        <v>0</v>
      </c>
      <c r="M768" s="36">
        <f>IFERROR(IF(NOT(ISBLANK(KPI_TARGETS!$J$11)),KPI_TARGETS!$J$11,IF(NOT(ISBLANK(KPI_TARGETS!$F$11)),KPI_TARGETS!$F$11,"")),"")</f>
        <v>0</v>
      </c>
      <c r="N768" s="36" t="str">
        <f>IFERROR(KPI_TARGETS!$E$11,"Higher is better")</f>
        <v>Lower is better</v>
      </c>
      <c r="O768" s="37">
        <f t="shared" ca="1" si="66"/>
        <v>1</v>
      </c>
      <c r="P768" t="str">
        <f t="shared" ca="1" si="67"/>
        <v>Green</v>
      </c>
      <c r="Q768" s="36">
        <f t="shared" ca="1" si="68"/>
        <v>0</v>
      </c>
      <c r="R768" s="36" t="str">
        <f>""</f>
        <v/>
      </c>
      <c r="S768" s="36" t="str">
        <f>""</f>
        <v/>
      </c>
      <c r="T768" s="36" t="str">
        <f>""</f>
        <v/>
      </c>
      <c r="U768" s="36" t="str">
        <f>""</f>
        <v/>
      </c>
      <c r="V768" s="36" t="str">
        <f>""</f>
        <v/>
      </c>
      <c r="W768" s="36">
        <f t="shared" si="69"/>
        <v>1</v>
      </c>
      <c r="X768" t="str">
        <f t="shared" si="70"/>
        <v>Inactive</v>
      </c>
      <c r="Y768" t="str">
        <f>IF(MAIN!$H$3="Selected Year",IF(A768=MAIN!$B$3,"Yes","No"),IF(MAIN!$H$3="Included Years",IF(D768="Yes","Yes","No"),IF(C768="Yes","Yes","No")))</f>
        <v>No</v>
      </c>
      <c r="Z768" t="str">
        <f>IF(MAIN!$F$3="Project to Date",IF(AND(A768&gt;=SETTINGS!$B$4,A768&lt;MAIN!$B$3),"Yes",IF(AND(A768=MAIN!$B$3,E768&lt;=MAIN!$L$3),"Yes","No")),IF(OR(MAIN!$F$3="Full Year",MAIN!$D$3="All"),"Yes",IF(MAIN!$F$3="Monthly",IF(E768=MAIN!$L$3,"Yes","No"),IF(E768&lt;=MAIN!$L$3,"Yes","No"))))</f>
        <v>Yes</v>
      </c>
      <c r="AA768" t="str">
        <f t="shared" si="71"/>
        <v>No</v>
      </c>
    </row>
    <row r="769" spans="1:27" x14ac:dyDescent="0.3">
      <c r="A769">
        <f>INDEX(SETTINGS!$A$15:$A$24,$B769)</f>
        <v>2028</v>
      </c>
      <c r="B769">
        <v>4</v>
      </c>
      <c r="C769" t="str">
        <f>IF(AND(A769&gt;=SETTINGS!$B$4,A769&lt;=SETTINGS!$B$5),"Yes","No")</f>
        <v>No</v>
      </c>
      <c r="D769" t="str">
        <f>IFERROR(INDEX(SETTINGS!$C$15:$C$24,MATCH(A769,SETTINGS!$A$15:$A$24,0)),"No")</f>
        <v>No</v>
      </c>
      <c r="E769">
        <v>5</v>
      </c>
      <c r="F769" t="s">
        <v>38</v>
      </c>
      <c r="G769">
        <v>113</v>
      </c>
      <c r="H769" t="s">
        <v>101</v>
      </c>
      <c r="I769" t="s">
        <v>15</v>
      </c>
      <c r="J769" t="s">
        <v>20</v>
      </c>
      <c r="K769" t="s">
        <v>3</v>
      </c>
      <c r="L769" s="36">
        <f ca="1">IF(C769&lt;&gt;"Yes",0,IF(A769=2025,N('2025'!D113),IF(A769=2026,N('2026'!D113),IF(A769=2027,N('2027'!D113),IF(A769=2028,N('2028'!D113),IF(A769=2029,N('2029'!D113),IF(A769=2030,N('2030'!D113),IF(A769=2031,N('2031'!D113),IF(A769=2032,N('2032'!D113),IF(A769=2033,N('2033'!D113),IF(A769=2034,N('2034'!D113),IFERROR(N(INDIRECT("'"&amp;A769&amp;"'!D"&amp;G769)),0))))))))))))</f>
        <v>0</v>
      </c>
      <c r="M769" s="36">
        <f>IFERROR(IF(NOT(ISBLANK(KPI_TARGETS!$J$12)),KPI_TARGETS!$J$12,IF(NOT(ISBLANK(KPI_TARGETS!$F$12)),KPI_TARGETS!$F$12,"")),"")</f>
        <v>0</v>
      </c>
      <c r="N769" s="36" t="str">
        <f>IFERROR(KPI_TARGETS!$E$12,"Higher is better")</f>
        <v>Lower is better</v>
      </c>
      <c r="O769" s="37">
        <f t="shared" ca="1" si="66"/>
        <v>1</v>
      </c>
      <c r="P769" t="str">
        <f t="shared" ca="1" si="67"/>
        <v>Green</v>
      </c>
      <c r="Q769" s="36">
        <f t="shared" ca="1" si="68"/>
        <v>0</v>
      </c>
      <c r="R769" s="36" t="str">
        <f>""</f>
        <v/>
      </c>
      <c r="S769" s="36" t="str">
        <f>""</f>
        <v/>
      </c>
      <c r="T769" s="36" t="str">
        <f>""</f>
        <v/>
      </c>
      <c r="U769" s="36" t="str">
        <f>""</f>
        <v/>
      </c>
      <c r="V769" s="36" t="str">
        <f>""</f>
        <v/>
      </c>
      <c r="W769" s="36">
        <f t="shared" si="69"/>
        <v>1</v>
      </c>
      <c r="X769" t="str">
        <f t="shared" si="70"/>
        <v>Inactive</v>
      </c>
      <c r="Y769" t="str">
        <f>IF(MAIN!$H$3="Selected Year",IF(A769=MAIN!$B$3,"Yes","No"),IF(MAIN!$H$3="Included Years",IF(D769="Yes","Yes","No"),IF(C769="Yes","Yes","No")))</f>
        <v>No</v>
      </c>
      <c r="Z769" t="str">
        <f>IF(MAIN!$F$3="Project to Date",IF(AND(A769&gt;=SETTINGS!$B$4,A769&lt;MAIN!$B$3),"Yes",IF(AND(A769=MAIN!$B$3,E769&lt;=MAIN!$L$3),"Yes","No")),IF(OR(MAIN!$F$3="Full Year",MAIN!$D$3="All"),"Yes",IF(MAIN!$F$3="Monthly",IF(E769=MAIN!$L$3,"Yes","No"),IF(E769&lt;=MAIN!$L$3,"Yes","No"))))</f>
        <v>Yes</v>
      </c>
      <c r="AA769" t="str">
        <f t="shared" si="71"/>
        <v>No</v>
      </c>
    </row>
    <row r="770" spans="1:27" x14ac:dyDescent="0.3">
      <c r="A770">
        <f>INDEX(SETTINGS!$A$15:$A$24,$B770)</f>
        <v>2028</v>
      </c>
      <c r="B770">
        <v>4</v>
      </c>
      <c r="C770" t="str">
        <f>IF(AND(A770&gt;=SETTINGS!$B$4,A770&lt;=SETTINGS!$B$5),"Yes","No")</f>
        <v>No</v>
      </c>
      <c r="D770" t="str">
        <f>IFERROR(INDEX(SETTINGS!$C$15:$C$24,MATCH(A770,SETTINGS!$A$15:$A$24,0)),"No")</f>
        <v>No</v>
      </c>
      <c r="E770">
        <v>5</v>
      </c>
      <c r="F770" t="s">
        <v>38</v>
      </c>
      <c r="G770">
        <v>114</v>
      </c>
      <c r="H770" t="s">
        <v>102</v>
      </c>
      <c r="I770" t="s">
        <v>15</v>
      </c>
      <c r="J770" t="s">
        <v>21</v>
      </c>
      <c r="K770" t="s">
        <v>3</v>
      </c>
      <c r="L770" s="36">
        <f ca="1">IF(C770&lt;&gt;"Yes",0,IF(A770=2025,N('2025'!D114),IF(A770=2026,N('2026'!D114),IF(A770=2027,N('2027'!D114),IF(A770=2028,N('2028'!D114),IF(A770=2029,N('2029'!D114),IF(A770=2030,N('2030'!D114),IF(A770=2031,N('2031'!D114),IF(A770=2032,N('2032'!D114),IF(A770=2033,N('2033'!D114),IF(A770=2034,N('2034'!D114),IFERROR(N(INDIRECT("'"&amp;A770&amp;"'!D"&amp;G770)),0))))))))))))</f>
        <v>0</v>
      </c>
      <c r="M770" s="36">
        <f>IFERROR(IF(NOT(ISBLANK(KPI_TARGETS!$J$13)),KPI_TARGETS!$J$13,IF(NOT(ISBLANK(KPI_TARGETS!$F$13)),KPI_TARGETS!$F$13,"")),"")</f>
        <v>0</v>
      </c>
      <c r="N770" s="36" t="str">
        <f>IFERROR(KPI_TARGETS!$E$13,"Higher is better")</f>
        <v>Lower is better</v>
      </c>
      <c r="O770" s="37">
        <f t="shared" ref="O770:O833" ca="1" si="72">IF(M770="","",IF(N770="Higher is better",IFERROR(L770/M770,""),IF(L770=0,1,IFERROR(M770/L770,""))))</f>
        <v>1</v>
      </c>
      <c r="P770" t="str">
        <f t="shared" ref="P770:P833" ca="1" si="73">IF(M770="","Target Needed",IF(N770="Higher is better",IF(L770&gt;=M770,"Green",IF(L770&gt;=0.8*M770,"Amber","Red")),IF(M770=0,IF(L770=0,"Green","Red"),IF(L770&lt;=M770,"Green",IF(L770&lt;=1.25*M770,"Amber","Red")))))</f>
        <v>Green</v>
      </c>
      <c r="Q770" s="36">
        <f t="shared" ref="Q770:Q833" ca="1" si="74">IF(M770="","",IF(N770="Higher is better",L770-M770,M770-L770))</f>
        <v>0</v>
      </c>
      <c r="R770" s="36" t="str">
        <f>""</f>
        <v/>
      </c>
      <c r="S770" s="36" t="str">
        <f>""</f>
        <v/>
      </c>
      <c r="T770" s="36" t="str">
        <f>""</f>
        <v/>
      </c>
      <c r="U770" s="36" t="str">
        <f>""</f>
        <v/>
      </c>
      <c r="V770" s="36" t="str">
        <f>""</f>
        <v/>
      </c>
      <c r="W770" s="36">
        <f t="shared" ref="W770:W833" si="75">IF(LEN(M770&amp;"")&gt;0,1,0)</f>
        <v>1</v>
      </c>
      <c r="X770" t="str">
        <f t="shared" ref="X770:X833" si="76">IF(C770&lt;&gt;"Yes","Inactive",IF(M770="","Missing target","OK"))</f>
        <v>Inactive</v>
      </c>
      <c r="Y770" t="str">
        <f>IF(MAIN!$H$3="Selected Year",IF(A770=MAIN!$B$3,"Yes","No"),IF(MAIN!$H$3="Included Years",IF(D770="Yes","Yes","No"),IF(C770="Yes","Yes","No")))</f>
        <v>No</v>
      </c>
      <c r="Z770" t="str">
        <f>IF(MAIN!$F$3="Project to Date",IF(AND(A770&gt;=SETTINGS!$B$4,A770&lt;MAIN!$B$3),"Yes",IF(AND(A770=MAIN!$B$3,E770&lt;=MAIN!$L$3),"Yes","No")),IF(OR(MAIN!$F$3="Full Year",MAIN!$D$3="All"),"Yes",IF(MAIN!$F$3="Monthly",IF(E770=MAIN!$L$3,"Yes","No"),IF(E770&lt;=MAIN!$L$3,"Yes","No"))))</f>
        <v>Yes</v>
      </c>
      <c r="AA770" t="str">
        <f t="shared" ref="AA770:AA833" si="77">IF(AND(Y770="Yes",Z770="Yes"),"Yes","No")</f>
        <v>No</v>
      </c>
    </row>
    <row r="771" spans="1:27" x14ac:dyDescent="0.3">
      <c r="A771">
        <f>INDEX(SETTINGS!$A$15:$A$24,$B771)</f>
        <v>2028</v>
      </c>
      <c r="B771">
        <v>4</v>
      </c>
      <c r="C771" t="str">
        <f>IF(AND(A771&gt;=SETTINGS!$B$4,A771&lt;=SETTINGS!$B$5),"Yes","No")</f>
        <v>No</v>
      </c>
      <c r="D771" t="str">
        <f>IFERROR(INDEX(SETTINGS!$C$15:$C$24,MATCH(A771,SETTINGS!$A$15:$A$24,0)),"No")</f>
        <v>No</v>
      </c>
      <c r="E771">
        <v>5</v>
      </c>
      <c r="F771" t="s">
        <v>38</v>
      </c>
      <c r="G771">
        <v>116</v>
      </c>
      <c r="H771" t="s">
        <v>103</v>
      </c>
      <c r="I771" t="s">
        <v>22</v>
      </c>
      <c r="J771" t="s">
        <v>23</v>
      </c>
      <c r="K771" t="s">
        <v>3</v>
      </c>
      <c r="L771" s="36">
        <f ca="1">IF(C771&lt;&gt;"Yes",0,IF(A771=2025,N('2025'!D116),IF(A771=2026,N('2026'!D116),IF(A771=2027,N('2027'!D116),IF(A771=2028,N('2028'!D116),IF(A771=2029,N('2029'!D116),IF(A771=2030,N('2030'!D116),IF(A771=2031,N('2031'!D116),IF(A771=2032,N('2032'!D116),IF(A771=2033,N('2033'!D116),IF(A771=2034,N('2034'!D116),IFERROR(N(INDIRECT("'"&amp;A771&amp;"'!D"&amp;G771)),0))))))))))))</f>
        <v>0</v>
      </c>
      <c r="M771" s="36">
        <f>IFERROR(IF(NOT(ISBLANK(KPI_TARGETS!$J$14)),KPI_TARGETS!$J$14,IF(NOT(ISBLANK(KPI_TARGETS!$F$14)),KPI_TARGETS!$F$14,"")),"")</f>
        <v>35</v>
      </c>
      <c r="N771" s="36" t="str">
        <f>IFERROR(KPI_TARGETS!$E$14,"Higher is better")</f>
        <v>Higher is better</v>
      </c>
      <c r="O771" s="37">
        <f t="shared" ca="1" si="72"/>
        <v>0</v>
      </c>
      <c r="P771" t="str">
        <f t="shared" ca="1" si="73"/>
        <v>Red</v>
      </c>
      <c r="Q771" s="36">
        <f t="shared" ca="1" si="74"/>
        <v>-35</v>
      </c>
      <c r="R771" s="36" t="str">
        <f>""</f>
        <v/>
      </c>
      <c r="S771" s="36" t="str">
        <f>""</f>
        <v/>
      </c>
      <c r="T771" s="36" t="str">
        <f>""</f>
        <v/>
      </c>
      <c r="U771" s="36" t="str">
        <f>""</f>
        <v/>
      </c>
      <c r="V771" s="36" t="str">
        <f>""</f>
        <v/>
      </c>
      <c r="W771" s="36">
        <f t="shared" si="75"/>
        <v>1</v>
      </c>
      <c r="X771" t="str">
        <f t="shared" si="76"/>
        <v>Inactive</v>
      </c>
      <c r="Y771" t="str">
        <f>IF(MAIN!$H$3="Selected Year",IF(A771=MAIN!$B$3,"Yes","No"),IF(MAIN!$H$3="Included Years",IF(D771="Yes","Yes","No"),IF(C771="Yes","Yes","No")))</f>
        <v>No</v>
      </c>
      <c r="Z771" t="str">
        <f>IF(MAIN!$F$3="Project to Date",IF(AND(A771&gt;=SETTINGS!$B$4,A771&lt;MAIN!$B$3),"Yes",IF(AND(A771=MAIN!$B$3,E771&lt;=MAIN!$L$3),"Yes","No")),IF(OR(MAIN!$F$3="Full Year",MAIN!$D$3="All"),"Yes",IF(MAIN!$F$3="Monthly",IF(E771=MAIN!$L$3,"Yes","No"),IF(E771&lt;=MAIN!$L$3,"Yes","No"))))</f>
        <v>Yes</v>
      </c>
      <c r="AA771" t="str">
        <f t="shared" si="77"/>
        <v>No</v>
      </c>
    </row>
    <row r="772" spans="1:27" x14ac:dyDescent="0.3">
      <c r="A772">
        <f>INDEX(SETTINGS!$A$15:$A$24,$B772)</f>
        <v>2028</v>
      </c>
      <c r="B772">
        <v>4</v>
      </c>
      <c r="C772" t="str">
        <f>IF(AND(A772&gt;=SETTINGS!$B$4,A772&lt;=SETTINGS!$B$5),"Yes","No")</f>
        <v>No</v>
      </c>
      <c r="D772" t="str">
        <f>IFERROR(INDEX(SETTINGS!$C$15:$C$24,MATCH(A772,SETTINGS!$A$15:$A$24,0)),"No")</f>
        <v>No</v>
      </c>
      <c r="E772">
        <v>5</v>
      </c>
      <c r="F772" t="s">
        <v>38</v>
      </c>
      <c r="G772">
        <v>117</v>
      </c>
      <c r="H772" t="s">
        <v>104</v>
      </c>
      <c r="I772" t="s">
        <v>22</v>
      </c>
      <c r="J772" t="s">
        <v>24</v>
      </c>
      <c r="K772" t="s">
        <v>3</v>
      </c>
      <c r="L772" s="36">
        <f ca="1">IF(C772&lt;&gt;"Yes",0,IF(A772=2025,N('2025'!D117),IF(A772=2026,N('2026'!D117),IF(A772=2027,N('2027'!D117),IF(A772=2028,N('2028'!D117),IF(A772=2029,N('2029'!D117),IF(A772=2030,N('2030'!D117),IF(A772=2031,N('2031'!D117),IF(A772=2032,N('2032'!D117),IF(A772=2033,N('2033'!D117),IF(A772=2034,N('2034'!D117),IFERROR(N(INDIRECT("'"&amp;A772&amp;"'!D"&amp;G772)),0))))))))))))</f>
        <v>0</v>
      </c>
      <c r="M772" s="36">
        <f>IFERROR(IF(NOT(ISBLANK(KPI_TARGETS!$J$15)),KPI_TARGETS!$J$15,IF(NOT(ISBLANK(KPI_TARGETS!$F$15)),KPI_TARGETS!$F$15,"")),"")</f>
        <v>5</v>
      </c>
      <c r="N772" s="36" t="str">
        <f>IFERROR(KPI_TARGETS!$E$15,"Higher is better")</f>
        <v>Higher is better</v>
      </c>
      <c r="O772" s="37">
        <f t="shared" ca="1" si="72"/>
        <v>0</v>
      </c>
      <c r="P772" t="str">
        <f t="shared" ca="1" si="73"/>
        <v>Red</v>
      </c>
      <c r="Q772" s="36">
        <f t="shared" ca="1" si="74"/>
        <v>-5</v>
      </c>
      <c r="R772" s="36" t="str">
        <f>""</f>
        <v/>
      </c>
      <c r="S772" s="36" t="str">
        <f>""</f>
        <v/>
      </c>
      <c r="T772" s="36" t="str">
        <f>""</f>
        <v/>
      </c>
      <c r="U772" s="36" t="str">
        <f>""</f>
        <v/>
      </c>
      <c r="V772" s="36" t="str">
        <f>""</f>
        <v/>
      </c>
      <c r="W772" s="36">
        <f t="shared" si="75"/>
        <v>1</v>
      </c>
      <c r="X772" t="str">
        <f t="shared" si="76"/>
        <v>Inactive</v>
      </c>
      <c r="Y772" t="str">
        <f>IF(MAIN!$H$3="Selected Year",IF(A772=MAIN!$B$3,"Yes","No"),IF(MAIN!$H$3="Included Years",IF(D772="Yes","Yes","No"),IF(C772="Yes","Yes","No")))</f>
        <v>No</v>
      </c>
      <c r="Z772" t="str">
        <f>IF(MAIN!$F$3="Project to Date",IF(AND(A772&gt;=SETTINGS!$B$4,A772&lt;MAIN!$B$3),"Yes",IF(AND(A772=MAIN!$B$3,E772&lt;=MAIN!$L$3),"Yes","No")),IF(OR(MAIN!$F$3="Full Year",MAIN!$D$3="All"),"Yes",IF(MAIN!$F$3="Monthly",IF(E772=MAIN!$L$3,"Yes","No"),IF(E772&lt;=MAIN!$L$3,"Yes","No"))))</f>
        <v>Yes</v>
      </c>
      <c r="AA772" t="str">
        <f t="shared" si="77"/>
        <v>No</v>
      </c>
    </row>
    <row r="773" spans="1:27" x14ac:dyDescent="0.3">
      <c r="A773">
        <f>INDEX(SETTINGS!$A$15:$A$24,$B773)</f>
        <v>2028</v>
      </c>
      <c r="B773">
        <v>4</v>
      </c>
      <c r="C773" t="str">
        <f>IF(AND(A773&gt;=SETTINGS!$B$4,A773&lt;=SETTINGS!$B$5),"Yes","No")</f>
        <v>No</v>
      </c>
      <c r="D773" t="str">
        <f>IFERROR(INDEX(SETTINGS!$C$15:$C$24,MATCH(A773,SETTINGS!$A$15:$A$24,0)),"No")</f>
        <v>No</v>
      </c>
      <c r="E773">
        <v>5</v>
      </c>
      <c r="F773" t="s">
        <v>38</v>
      </c>
      <c r="G773">
        <v>118</v>
      </c>
      <c r="H773" t="s">
        <v>105</v>
      </c>
      <c r="I773" t="s">
        <v>22</v>
      </c>
      <c r="J773" t="s">
        <v>25</v>
      </c>
      <c r="K773" t="s">
        <v>3</v>
      </c>
      <c r="L773" s="36">
        <f ca="1">IF(C773&lt;&gt;"Yes",0,IF(A773=2025,N('2025'!D118),IF(A773=2026,N('2026'!D118),IF(A773=2027,N('2027'!D118),IF(A773=2028,N('2028'!D118),IF(A773=2029,N('2029'!D118),IF(A773=2030,N('2030'!D118),IF(A773=2031,N('2031'!D118),IF(A773=2032,N('2032'!D118),IF(A773=2033,N('2033'!D118),IF(A773=2034,N('2034'!D118),IFERROR(N(INDIRECT("'"&amp;A773&amp;"'!D"&amp;G773)),0))))))))))))</f>
        <v>0</v>
      </c>
      <c r="M773" s="36">
        <f>IFERROR(IF(NOT(ISBLANK(KPI_TARGETS!$J$16)),KPI_TARGETS!$J$16,IF(NOT(ISBLANK(KPI_TARGETS!$F$16)),KPI_TARGETS!$F$16,"")),"")</f>
        <v>4</v>
      </c>
      <c r="N773" s="36" t="str">
        <f>IFERROR(KPI_TARGETS!$E$16,"Higher is better")</f>
        <v>Higher is better</v>
      </c>
      <c r="O773" s="37">
        <f t="shared" ca="1" si="72"/>
        <v>0</v>
      </c>
      <c r="P773" t="str">
        <f t="shared" ca="1" si="73"/>
        <v>Red</v>
      </c>
      <c r="Q773" s="36">
        <f t="shared" ca="1" si="74"/>
        <v>-4</v>
      </c>
      <c r="R773" s="36" t="str">
        <f>""</f>
        <v/>
      </c>
      <c r="S773" s="36" t="str">
        <f>""</f>
        <v/>
      </c>
      <c r="T773" s="36" t="str">
        <f>""</f>
        <v/>
      </c>
      <c r="U773" s="36" t="str">
        <f>""</f>
        <v/>
      </c>
      <c r="V773" s="36" t="str">
        <f>""</f>
        <v/>
      </c>
      <c r="W773" s="36">
        <f t="shared" si="75"/>
        <v>1</v>
      </c>
      <c r="X773" t="str">
        <f t="shared" si="76"/>
        <v>Inactive</v>
      </c>
      <c r="Y773" t="str">
        <f>IF(MAIN!$H$3="Selected Year",IF(A773=MAIN!$B$3,"Yes","No"),IF(MAIN!$H$3="Included Years",IF(D773="Yes","Yes","No"),IF(C773="Yes","Yes","No")))</f>
        <v>No</v>
      </c>
      <c r="Z773" t="str">
        <f>IF(MAIN!$F$3="Project to Date",IF(AND(A773&gt;=SETTINGS!$B$4,A773&lt;MAIN!$B$3),"Yes",IF(AND(A773=MAIN!$B$3,E773&lt;=MAIN!$L$3),"Yes","No")),IF(OR(MAIN!$F$3="Full Year",MAIN!$D$3="All"),"Yes",IF(MAIN!$F$3="Monthly",IF(E773=MAIN!$L$3,"Yes","No"),IF(E773&lt;=MAIN!$L$3,"Yes","No"))))</f>
        <v>Yes</v>
      </c>
      <c r="AA773" t="str">
        <f t="shared" si="77"/>
        <v>No</v>
      </c>
    </row>
    <row r="774" spans="1:27" x14ac:dyDescent="0.3">
      <c r="A774">
        <f>INDEX(SETTINGS!$A$15:$A$24,$B774)</f>
        <v>2028</v>
      </c>
      <c r="B774">
        <v>4</v>
      </c>
      <c r="C774" t="str">
        <f>IF(AND(A774&gt;=SETTINGS!$B$4,A774&lt;=SETTINGS!$B$5),"Yes","No")</f>
        <v>No</v>
      </c>
      <c r="D774" t="str">
        <f>IFERROR(INDEX(SETTINGS!$C$15:$C$24,MATCH(A774,SETTINGS!$A$15:$A$24,0)),"No")</f>
        <v>No</v>
      </c>
      <c r="E774">
        <v>5</v>
      </c>
      <c r="F774" t="s">
        <v>38</v>
      </c>
      <c r="G774">
        <v>119</v>
      </c>
      <c r="H774" t="s">
        <v>106</v>
      </c>
      <c r="I774" t="s">
        <v>22</v>
      </c>
      <c r="J774" t="s">
        <v>26</v>
      </c>
      <c r="K774" t="s">
        <v>3</v>
      </c>
      <c r="L774" s="36">
        <f ca="1">IF(C774&lt;&gt;"Yes",0,IF(A774=2025,N('2025'!D119),IF(A774=2026,N('2026'!D119),IF(A774=2027,N('2027'!D119),IF(A774=2028,N('2028'!D119),IF(A774=2029,N('2029'!D119),IF(A774=2030,N('2030'!D119),IF(A774=2031,N('2031'!D119),IF(A774=2032,N('2032'!D119),IF(A774=2033,N('2033'!D119),IF(A774=2034,N('2034'!D119),IFERROR(N(INDIRECT("'"&amp;A774&amp;"'!D"&amp;G774)),0))))))))))))</f>
        <v>0</v>
      </c>
      <c r="M774" s="36">
        <f>IFERROR(IF(NOT(ISBLANK(KPI_TARGETS!$J$17)),KPI_TARGETS!$J$17,IF(NOT(ISBLANK(KPI_TARGETS!$F$17)),KPI_TARGETS!$F$17,"")),"")</f>
        <v>12</v>
      </c>
      <c r="N774" s="36" t="str">
        <f>IFERROR(KPI_TARGETS!$E$17,"Higher is better")</f>
        <v>Higher is better</v>
      </c>
      <c r="O774" s="37">
        <f t="shared" ca="1" si="72"/>
        <v>0</v>
      </c>
      <c r="P774" t="str">
        <f t="shared" ca="1" si="73"/>
        <v>Red</v>
      </c>
      <c r="Q774" s="36">
        <f t="shared" ca="1" si="74"/>
        <v>-12</v>
      </c>
      <c r="R774" s="36" t="str">
        <f>""</f>
        <v/>
      </c>
      <c r="S774" s="36" t="str">
        <f>""</f>
        <v/>
      </c>
      <c r="T774" s="36" t="str">
        <f>""</f>
        <v/>
      </c>
      <c r="U774" s="36" t="str">
        <f>""</f>
        <v/>
      </c>
      <c r="V774" s="36" t="str">
        <f>""</f>
        <v/>
      </c>
      <c r="W774" s="36">
        <f t="shared" si="75"/>
        <v>1</v>
      </c>
      <c r="X774" t="str">
        <f t="shared" si="76"/>
        <v>Inactive</v>
      </c>
      <c r="Y774" t="str">
        <f>IF(MAIN!$H$3="Selected Year",IF(A774=MAIN!$B$3,"Yes","No"),IF(MAIN!$H$3="Included Years",IF(D774="Yes","Yes","No"),IF(C774="Yes","Yes","No")))</f>
        <v>No</v>
      </c>
      <c r="Z774" t="str">
        <f>IF(MAIN!$F$3="Project to Date",IF(AND(A774&gt;=SETTINGS!$B$4,A774&lt;MAIN!$B$3),"Yes",IF(AND(A774=MAIN!$B$3,E774&lt;=MAIN!$L$3),"Yes","No")),IF(OR(MAIN!$F$3="Full Year",MAIN!$D$3="All"),"Yes",IF(MAIN!$F$3="Monthly",IF(E774=MAIN!$L$3,"Yes","No"),IF(E774&lt;=MAIN!$L$3,"Yes","No"))))</f>
        <v>Yes</v>
      </c>
      <c r="AA774" t="str">
        <f t="shared" si="77"/>
        <v>No</v>
      </c>
    </row>
    <row r="775" spans="1:27" x14ac:dyDescent="0.3">
      <c r="A775">
        <f>INDEX(SETTINGS!$A$15:$A$24,$B775)</f>
        <v>2028</v>
      </c>
      <c r="B775">
        <v>4</v>
      </c>
      <c r="C775" t="str">
        <f>IF(AND(A775&gt;=SETTINGS!$B$4,A775&lt;=SETTINGS!$B$5),"Yes","No")</f>
        <v>No</v>
      </c>
      <c r="D775" t="str">
        <f>IFERROR(INDEX(SETTINGS!$C$15:$C$24,MATCH(A775,SETTINGS!$A$15:$A$24,0)),"No")</f>
        <v>No</v>
      </c>
      <c r="E775">
        <v>5</v>
      </c>
      <c r="F775" t="s">
        <v>38</v>
      </c>
      <c r="G775">
        <v>120</v>
      </c>
      <c r="H775" t="s">
        <v>107</v>
      </c>
      <c r="I775" t="s">
        <v>22</v>
      </c>
      <c r="J775" t="s">
        <v>27</v>
      </c>
      <c r="K775" t="s">
        <v>3</v>
      </c>
      <c r="L775" s="36">
        <f ca="1">IF(C775&lt;&gt;"Yes",0,IF(A775=2025,N('2025'!D120),IF(A775=2026,N('2026'!D120),IF(A775=2027,N('2027'!D120),IF(A775=2028,N('2028'!D120),IF(A775=2029,N('2029'!D120),IF(A775=2030,N('2030'!D120),IF(A775=2031,N('2031'!D120),IF(A775=2032,N('2032'!D120),IF(A775=2033,N('2033'!D120),IF(A775=2034,N('2034'!D120),IFERROR(N(INDIRECT("'"&amp;A775&amp;"'!D"&amp;G775)),0))))))))))))</f>
        <v>0</v>
      </c>
      <c r="M775" s="36">
        <f>IFERROR(IF(NOT(ISBLANK(KPI_TARGETS!$J$18)),KPI_TARGETS!$J$18,IF(NOT(ISBLANK(KPI_TARGETS!$F$18)),KPI_TARGETS!$F$18,"")),"")</f>
        <v>4</v>
      </c>
      <c r="N775" s="36" t="str">
        <f>IFERROR(KPI_TARGETS!$E$18,"Higher is better")</f>
        <v>Higher is better</v>
      </c>
      <c r="O775" s="37">
        <f t="shared" ca="1" si="72"/>
        <v>0</v>
      </c>
      <c r="P775" t="str">
        <f t="shared" ca="1" si="73"/>
        <v>Red</v>
      </c>
      <c r="Q775" s="36">
        <f t="shared" ca="1" si="74"/>
        <v>-4</v>
      </c>
      <c r="R775" s="36" t="str">
        <f>""</f>
        <v/>
      </c>
      <c r="S775" s="36" t="str">
        <f>""</f>
        <v/>
      </c>
      <c r="T775" s="36" t="str">
        <f>""</f>
        <v/>
      </c>
      <c r="U775" s="36" t="str">
        <f>""</f>
        <v/>
      </c>
      <c r="V775" s="36" t="str">
        <f>""</f>
        <v/>
      </c>
      <c r="W775" s="36">
        <f t="shared" si="75"/>
        <v>1</v>
      </c>
      <c r="X775" t="str">
        <f t="shared" si="76"/>
        <v>Inactive</v>
      </c>
      <c r="Y775" t="str">
        <f>IF(MAIN!$H$3="Selected Year",IF(A775=MAIN!$B$3,"Yes","No"),IF(MAIN!$H$3="Included Years",IF(D775="Yes","Yes","No"),IF(C775="Yes","Yes","No")))</f>
        <v>No</v>
      </c>
      <c r="Z775" t="str">
        <f>IF(MAIN!$F$3="Project to Date",IF(AND(A775&gt;=SETTINGS!$B$4,A775&lt;MAIN!$B$3),"Yes",IF(AND(A775=MAIN!$B$3,E775&lt;=MAIN!$L$3),"Yes","No")),IF(OR(MAIN!$F$3="Full Year",MAIN!$D$3="All"),"Yes",IF(MAIN!$F$3="Monthly",IF(E775=MAIN!$L$3,"Yes","No"),IF(E775&lt;=MAIN!$L$3,"Yes","No"))))</f>
        <v>Yes</v>
      </c>
      <c r="AA775" t="str">
        <f t="shared" si="77"/>
        <v>No</v>
      </c>
    </row>
    <row r="776" spans="1:27" x14ac:dyDescent="0.3">
      <c r="A776">
        <f>INDEX(SETTINGS!$A$15:$A$24,$B776)</f>
        <v>2028</v>
      </c>
      <c r="B776">
        <v>4</v>
      </c>
      <c r="C776" t="str">
        <f>IF(AND(A776&gt;=SETTINGS!$B$4,A776&lt;=SETTINGS!$B$5),"Yes","No")</f>
        <v>No</v>
      </c>
      <c r="D776" t="str">
        <f>IFERROR(INDEX(SETTINGS!$C$15:$C$24,MATCH(A776,SETTINGS!$A$15:$A$24,0)),"No")</f>
        <v>No</v>
      </c>
      <c r="E776">
        <v>5</v>
      </c>
      <c r="F776" t="s">
        <v>38</v>
      </c>
      <c r="G776">
        <v>121</v>
      </c>
      <c r="H776" t="s">
        <v>108</v>
      </c>
      <c r="I776" t="s">
        <v>22</v>
      </c>
      <c r="J776" t="s">
        <v>28</v>
      </c>
      <c r="K776" t="s">
        <v>3</v>
      </c>
      <c r="L776" s="36">
        <f ca="1">IF(C776&lt;&gt;"Yes",0,IF(A776=2025,N('2025'!D121),IF(A776=2026,N('2026'!D121),IF(A776=2027,N('2027'!D121),IF(A776=2028,N('2028'!D121),IF(A776=2029,N('2029'!D121),IF(A776=2030,N('2030'!D121),IF(A776=2031,N('2031'!D121),IF(A776=2032,N('2032'!D121),IF(A776=2033,N('2033'!D121),IF(A776=2034,N('2034'!D121),IFERROR(N(INDIRECT("'"&amp;A776&amp;"'!D"&amp;G776)),0))))))))))))</f>
        <v>0</v>
      </c>
      <c r="M776" s="36">
        <f>IFERROR(IF(NOT(ISBLANK(KPI_TARGETS!$J$19)),KPI_TARGETS!$J$19,IF(NOT(ISBLANK(KPI_TARGETS!$F$19)),KPI_TARGETS!$F$19,"")),"")</f>
        <v>16</v>
      </c>
      <c r="N776" s="36" t="str">
        <f>IFERROR(KPI_TARGETS!$E$19,"Higher is better")</f>
        <v>Higher is better</v>
      </c>
      <c r="O776" s="37">
        <f t="shared" ca="1" si="72"/>
        <v>0</v>
      </c>
      <c r="P776" t="str">
        <f t="shared" ca="1" si="73"/>
        <v>Red</v>
      </c>
      <c r="Q776" s="36">
        <f t="shared" ca="1" si="74"/>
        <v>-16</v>
      </c>
      <c r="R776" s="36" t="str">
        <f>""</f>
        <v/>
      </c>
      <c r="S776" s="36" t="str">
        <f>""</f>
        <v/>
      </c>
      <c r="T776" s="36" t="str">
        <f>""</f>
        <v/>
      </c>
      <c r="U776" s="36" t="str">
        <f>""</f>
        <v/>
      </c>
      <c r="V776" s="36" t="str">
        <f>""</f>
        <v/>
      </c>
      <c r="W776" s="36">
        <f t="shared" si="75"/>
        <v>1</v>
      </c>
      <c r="X776" t="str">
        <f t="shared" si="76"/>
        <v>Inactive</v>
      </c>
      <c r="Y776" t="str">
        <f>IF(MAIN!$H$3="Selected Year",IF(A776=MAIN!$B$3,"Yes","No"),IF(MAIN!$H$3="Included Years",IF(D776="Yes","Yes","No"),IF(C776="Yes","Yes","No")))</f>
        <v>No</v>
      </c>
      <c r="Z776" t="str">
        <f>IF(MAIN!$F$3="Project to Date",IF(AND(A776&gt;=SETTINGS!$B$4,A776&lt;MAIN!$B$3),"Yes",IF(AND(A776=MAIN!$B$3,E776&lt;=MAIN!$L$3),"Yes","No")),IF(OR(MAIN!$F$3="Full Year",MAIN!$D$3="All"),"Yes",IF(MAIN!$F$3="Monthly",IF(E776=MAIN!$L$3,"Yes","No"),IF(E776&lt;=MAIN!$L$3,"Yes","No"))))</f>
        <v>Yes</v>
      </c>
      <c r="AA776" t="str">
        <f t="shared" si="77"/>
        <v>No</v>
      </c>
    </row>
    <row r="777" spans="1:27" x14ac:dyDescent="0.3">
      <c r="A777">
        <f>INDEX(SETTINGS!$A$15:$A$24,$B777)</f>
        <v>2028</v>
      </c>
      <c r="B777">
        <v>4</v>
      </c>
      <c r="C777" t="str">
        <f>IF(AND(A777&gt;=SETTINGS!$B$4,A777&lt;=SETTINGS!$B$5),"Yes","No")</f>
        <v>No</v>
      </c>
      <c r="D777" t="str">
        <f>IFERROR(INDEX(SETTINGS!$C$15:$C$24,MATCH(A777,SETTINGS!$A$15:$A$24,0)),"No")</f>
        <v>No</v>
      </c>
      <c r="E777">
        <v>5</v>
      </c>
      <c r="F777" t="s">
        <v>38</v>
      </c>
      <c r="G777">
        <v>122</v>
      </c>
      <c r="H777" t="s">
        <v>109</v>
      </c>
      <c r="I777" t="s">
        <v>22</v>
      </c>
      <c r="J777" t="s">
        <v>29</v>
      </c>
      <c r="K777" t="s">
        <v>3</v>
      </c>
      <c r="L777" s="36">
        <f ca="1">IF(C777&lt;&gt;"Yes",0,IF(A777=2025,N('2025'!D122),IF(A777=2026,N('2026'!D122),IF(A777=2027,N('2027'!D122),IF(A777=2028,N('2028'!D122),IF(A777=2029,N('2029'!D122),IF(A777=2030,N('2030'!D122),IF(A777=2031,N('2031'!D122),IF(A777=2032,N('2032'!D122),IF(A777=2033,N('2033'!D122),IF(A777=2034,N('2034'!D122),IFERROR(N(INDIRECT("'"&amp;A777&amp;"'!D"&amp;G777)),0))))))))))))</f>
        <v>0</v>
      </c>
      <c r="M777" s="36">
        <f>IFERROR(IF(NOT(ISBLANK(KPI_TARGETS!$J$20)),KPI_TARGETS!$J$20,IF(NOT(ISBLANK(KPI_TARGETS!$F$20)),KPI_TARGETS!$F$20,"")),"")</f>
        <v>1</v>
      </c>
      <c r="N777" s="36" t="str">
        <f>IFERROR(KPI_TARGETS!$E$20,"Higher is better")</f>
        <v>Higher is better</v>
      </c>
      <c r="O777" s="37">
        <f t="shared" ca="1" si="72"/>
        <v>0</v>
      </c>
      <c r="P777" t="str">
        <f t="shared" ca="1" si="73"/>
        <v>Red</v>
      </c>
      <c r="Q777" s="36">
        <f t="shared" ca="1" si="74"/>
        <v>-1</v>
      </c>
      <c r="R777" s="36" t="str">
        <f>""</f>
        <v/>
      </c>
      <c r="S777" s="36" t="str">
        <f>""</f>
        <v/>
      </c>
      <c r="T777" s="36" t="str">
        <f>""</f>
        <v/>
      </c>
      <c r="U777" s="36" t="str">
        <f>""</f>
        <v/>
      </c>
      <c r="V777" s="36" t="str">
        <f>""</f>
        <v/>
      </c>
      <c r="W777" s="36">
        <f t="shared" si="75"/>
        <v>1</v>
      </c>
      <c r="X777" t="str">
        <f t="shared" si="76"/>
        <v>Inactive</v>
      </c>
      <c r="Y777" t="str">
        <f>IF(MAIN!$H$3="Selected Year",IF(A777=MAIN!$B$3,"Yes","No"),IF(MAIN!$H$3="Included Years",IF(D777="Yes","Yes","No"),IF(C777="Yes","Yes","No")))</f>
        <v>No</v>
      </c>
      <c r="Z777" t="str">
        <f>IF(MAIN!$F$3="Project to Date",IF(AND(A777&gt;=SETTINGS!$B$4,A777&lt;MAIN!$B$3),"Yes",IF(AND(A777=MAIN!$B$3,E777&lt;=MAIN!$L$3),"Yes","No")),IF(OR(MAIN!$F$3="Full Year",MAIN!$D$3="All"),"Yes",IF(MAIN!$F$3="Monthly",IF(E777=MAIN!$L$3,"Yes","No"),IF(E777&lt;=MAIN!$L$3,"Yes","No"))))</f>
        <v>Yes</v>
      </c>
      <c r="AA777" t="str">
        <f t="shared" si="77"/>
        <v>No</v>
      </c>
    </row>
    <row r="778" spans="1:27" x14ac:dyDescent="0.3">
      <c r="A778">
        <f>INDEX(SETTINGS!$A$15:$A$24,$B778)</f>
        <v>2028</v>
      </c>
      <c r="B778">
        <v>4</v>
      </c>
      <c r="C778" t="str">
        <f>IF(AND(A778&gt;=SETTINGS!$B$4,A778&lt;=SETTINGS!$B$5),"Yes","No")</f>
        <v>No</v>
      </c>
      <c r="D778" t="str">
        <f>IFERROR(INDEX(SETTINGS!$C$15:$C$24,MATCH(A778,SETTINGS!$A$15:$A$24,0)),"No")</f>
        <v>No</v>
      </c>
      <c r="E778">
        <v>5</v>
      </c>
      <c r="F778" t="s">
        <v>38</v>
      </c>
      <c r="G778">
        <v>124</v>
      </c>
      <c r="H778" t="s">
        <v>110</v>
      </c>
      <c r="I778" t="s">
        <v>30</v>
      </c>
      <c r="J778" t="s">
        <v>31</v>
      </c>
      <c r="K778" t="s">
        <v>3</v>
      </c>
      <c r="L778" s="36">
        <f ca="1">IF(C778&lt;&gt;"Yes",0,IF(A778=2025,N('2025'!D124),IF(A778=2026,N('2026'!D124),IF(A778=2027,N('2027'!D124),IF(A778=2028,N('2028'!D124),IF(A778=2029,N('2029'!D124),IF(A778=2030,N('2030'!D124),IF(A778=2031,N('2031'!D124),IF(A778=2032,N('2032'!D124),IF(A778=2033,N('2033'!D124),IF(A778=2034,N('2034'!D124),IFERROR(N(INDIRECT("'"&amp;A778&amp;"'!D"&amp;G778)),0))))))))))))</f>
        <v>0</v>
      </c>
      <c r="M778" s="36">
        <f>IFERROR(IF(NOT(ISBLANK(KPI_TARGETS!$J$21)),KPI_TARGETS!$J$21,IF(NOT(ISBLANK(KPI_TARGETS!$F$21)),KPI_TARGETS!$F$21,"")),"")</f>
        <v>0</v>
      </c>
      <c r="N778" s="36" t="str">
        <f>IFERROR(KPI_TARGETS!$E$21,"Higher is better")</f>
        <v>Lower is better</v>
      </c>
      <c r="O778" s="37">
        <f t="shared" ca="1" si="72"/>
        <v>1</v>
      </c>
      <c r="P778" t="str">
        <f t="shared" ca="1" si="73"/>
        <v>Green</v>
      </c>
      <c r="Q778" s="36">
        <f t="shared" ca="1" si="74"/>
        <v>0</v>
      </c>
      <c r="R778" s="36" t="str">
        <f>""</f>
        <v/>
      </c>
      <c r="S778" s="36" t="str">
        <f>""</f>
        <v/>
      </c>
      <c r="T778" s="36" t="str">
        <f>""</f>
        <v/>
      </c>
      <c r="U778" s="36" t="str">
        <f>""</f>
        <v/>
      </c>
      <c r="V778" s="36" t="str">
        <f>""</f>
        <v/>
      </c>
      <c r="W778" s="36">
        <f t="shared" si="75"/>
        <v>1</v>
      </c>
      <c r="X778" t="str">
        <f t="shared" si="76"/>
        <v>Inactive</v>
      </c>
      <c r="Y778" t="str">
        <f>IF(MAIN!$H$3="Selected Year",IF(A778=MAIN!$B$3,"Yes","No"),IF(MAIN!$H$3="Included Years",IF(D778="Yes","Yes","No"),IF(C778="Yes","Yes","No")))</f>
        <v>No</v>
      </c>
      <c r="Z778" t="str">
        <f>IF(MAIN!$F$3="Project to Date",IF(AND(A778&gt;=SETTINGS!$B$4,A778&lt;MAIN!$B$3),"Yes",IF(AND(A778=MAIN!$B$3,E778&lt;=MAIN!$L$3),"Yes","No")),IF(OR(MAIN!$F$3="Full Year",MAIN!$D$3="All"),"Yes",IF(MAIN!$F$3="Monthly",IF(E778=MAIN!$L$3,"Yes","No"),IF(E778&lt;=MAIN!$L$3,"Yes","No"))))</f>
        <v>Yes</v>
      </c>
      <c r="AA778" t="str">
        <f t="shared" si="77"/>
        <v>No</v>
      </c>
    </row>
    <row r="779" spans="1:27" x14ac:dyDescent="0.3">
      <c r="A779">
        <f>INDEX(SETTINGS!$A$15:$A$24,$B779)</f>
        <v>2028</v>
      </c>
      <c r="B779">
        <v>4</v>
      </c>
      <c r="C779" t="str">
        <f>IF(AND(A779&gt;=SETTINGS!$B$4,A779&lt;=SETTINGS!$B$5),"Yes","No")</f>
        <v>No</v>
      </c>
      <c r="D779" t="str">
        <f>IFERROR(INDEX(SETTINGS!$C$15:$C$24,MATCH(A779,SETTINGS!$A$15:$A$24,0)),"No")</f>
        <v>No</v>
      </c>
      <c r="E779">
        <v>5</v>
      </c>
      <c r="F779" t="s">
        <v>38</v>
      </c>
      <c r="G779">
        <v>125</v>
      </c>
      <c r="H779" t="s">
        <v>111</v>
      </c>
      <c r="I779" t="s">
        <v>30</v>
      </c>
      <c r="J779" t="s">
        <v>32</v>
      </c>
      <c r="K779" t="s">
        <v>3</v>
      </c>
      <c r="L779" s="36">
        <f ca="1">IF(C779&lt;&gt;"Yes",0,IF(A779=2025,N('2025'!D125),IF(A779=2026,N('2026'!D125),IF(A779=2027,N('2027'!D125),IF(A779=2028,N('2028'!D125),IF(A779=2029,N('2029'!D125),IF(A779=2030,N('2030'!D125),IF(A779=2031,N('2031'!D125),IF(A779=2032,N('2032'!D125),IF(A779=2033,N('2033'!D125),IF(A779=2034,N('2034'!D125),IFERROR(N(INDIRECT("'"&amp;A779&amp;"'!D"&amp;G779)),0))))))))))))</f>
        <v>0</v>
      </c>
      <c r="M779" s="36">
        <f>IFERROR(IF(NOT(ISBLANK(KPI_TARGETS!$J$22)),KPI_TARGETS!$J$22,IF(NOT(ISBLANK(KPI_TARGETS!$F$22)),KPI_TARGETS!$F$22,"")),"")</f>
        <v>1</v>
      </c>
      <c r="N779" s="36" t="str">
        <f>IFERROR(KPI_TARGETS!$E$22,"Higher is better")</f>
        <v>Higher is better</v>
      </c>
      <c r="O779" s="37">
        <f t="shared" ca="1" si="72"/>
        <v>0</v>
      </c>
      <c r="P779" t="str">
        <f t="shared" ca="1" si="73"/>
        <v>Red</v>
      </c>
      <c r="Q779" s="36">
        <f t="shared" ca="1" si="74"/>
        <v>-1</v>
      </c>
      <c r="R779" s="36" t="str">
        <f>""</f>
        <v/>
      </c>
      <c r="S779" s="36" t="str">
        <f>""</f>
        <v/>
      </c>
      <c r="T779" s="36" t="str">
        <f>""</f>
        <v/>
      </c>
      <c r="U779" s="36" t="str">
        <f>""</f>
        <v/>
      </c>
      <c r="V779" s="36" t="str">
        <f>""</f>
        <v/>
      </c>
      <c r="W779" s="36">
        <f t="shared" si="75"/>
        <v>1</v>
      </c>
      <c r="X779" t="str">
        <f t="shared" si="76"/>
        <v>Inactive</v>
      </c>
      <c r="Y779" t="str">
        <f>IF(MAIN!$H$3="Selected Year",IF(A779=MAIN!$B$3,"Yes","No"),IF(MAIN!$H$3="Included Years",IF(D779="Yes","Yes","No"),IF(C779="Yes","Yes","No")))</f>
        <v>No</v>
      </c>
      <c r="Z779" t="str">
        <f>IF(MAIN!$F$3="Project to Date",IF(AND(A779&gt;=SETTINGS!$B$4,A779&lt;MAIN!$B$3),"Yes",IF(AND(A779=MAIN!$B$3,E779&lt;=MAIN!$L$3),"Yes","No")),IF(OR(MAIN!$F$3="Full Year",MAIN!$D$3="All"),"Yes",IF(MAIN!$F$3="Monthly",IF(E779=MAIN!$L$3,"Yes","No"),IF(E779&lt;=MAIN!$L$3,"Yes","No"))))</f>
        <v>Yes</v>
      </c>
      <c r="AA779" t="str">
        <f t="shared" si="77"/>
        <v>No</v>
      </c>
    </row>
    <row r="780" spans="1:27" x14ac:dyDescent="0.3">
      <c r="A780">
        <f>INDEX(SETTINGS!$A$15:$A$24,$B780)</f>
        <v>2028</v>
      </c>
      <c r="B780">
        <v>4</v>
      </c>
      <c r="C780" t="str">
        <f>IF(AND(A780&gt;=SETTINGS!$B$4,A780&lt;=SETTINGS!$B$5),"Yes","No")</f>
        <v>No</v>
      </c>
      <c r="D780" t="str">
        <f>IFERROR(INDEX(SETTINGS!$C$15:$C$24,MATCH(A780,SETTINGS!$A$15:$A$24,0)),"No")</f>
        <v>No</v>
      </c>
      <c r="E780">
        <v>5</v>
      </c>
      <c r="F780" t="s">
        <v>38</v>
      </c>
      <c r="G780">
        <v>126</v>
      </c>
      <c r="H780" t="s">
        <v>112</v>
      </c>
      <c r="I780" t="s">
        <v>30</v>
      </c>
      <c r="J780" t="s">
        <v>33</v>
      </c>
      <c r="K780" t="s">
        <v>34</v>
      </c>
      <c r="L780" s="36">
        <f ca="1">IF(C780&lt;&gt;"Yes",0,IF(A780=2025,N('2025'!D126),IF(A780=2026,N('2026'!D126),IF(A780=2027,N('2027'!D126),IF(A780=2028,N('2028'!D126),IF(A780=2029,N('2029'!D126),IF(A780=2030,N('2030'!D126),IF(A780=2031,N('2031'!D126),IF(A780=2032,N('2032'!D126),IF(A780=2033,N('2033'!D126),IF(A780=2034,N('2034'!D126),IFERROR(N(INDIRECT("'"&amp;A780&amp;"'!D"&amp;G780)),0))))))))))))</f>
        <v>0</v>
      </c>
      <c r="M780" s="36">
        <f>IFERROR(IF(NOT(ISBLANK(KPI_TARGETS!$J$23)),KPI_TARGETS!$J$23,IF(NOT(ISBLANK(KPI_TARGETS!$F$23)),KPI_TARGETS!$F$23,"")),"")</f>
        <v>1</v>
      </c>
      <c r="N780" s="36" t="str">
        <f>IFERROR(KPI_TARGETS!$E$23,"Higher is better")</f>
        <v>Higher is better</v>
      </c>
      <c r="O780" s="37">
        <f t="shared" ca="1" si="72"/>
        <v>0</v>
      </c>
      <c r="P780" t="str">
        <f t="shared" ca="1" si="73"/>
        <v>Red</v>
      </c>
      <c r="Q780" s="36">
        <f t="shared" ca="1" si="74"/>
        <v>-1</v>
      </c>
      <c r="R780" s="36" t="str">
        <f>""</f>
        <v/>
      </c>
      <c r="S780" s="36" t="str">
        <f>""</f>
        <v/>
      </c>
      <c r="T780" s="36" t="str">
        <f>""</f>
        <v/>
      </c>
      <c r="U780" s="36" t="str">
        <f>""</f>
        <v/>
      </c>
      <c r="V780" s="36" t="str">
        <f>""</f>
        <v/>
      </c>
      <c r="W780" s="36">
        <f t="shared" si="75"/>
        <v>1</v>
      </c>
      <c r="X780" t="str">
        <f t="shared" si="76"/>
        <v>Inactive</v>
      </c>
      <c r="Y780" t="str">
        <f>IF(MAIN!$H$3="Selected Year",IF(A780=MAIN!$B$3,"Yes","No"),IF(MAIN!$H$3="Included Years",IF(D780="Yes","Yes","No"),IF(C780="Yes","Yes","No")))</f>
        <v>No</v>
      </c>
      <c r="Z780" t="str">
        <f>IF(MAIN!$F$3="Project to Date",IF(AND(A780&gt;=SETTINGS!$B$4,A780&lt;MAIN!$B$3),"Yes",IF(AND(A780=MAIN!$B$3,E780&lt;=MAIN!$L$3),"Yes","No")),IF(OR(MAIN!$F$3="Full Year",MAIN!$D$3="All"),"Yes",IF(MAIN!$F$3="Monthly",IF(E780=MAIN!$L$3,"Yes","No"),IF(E780&lt;=MAIN!$L$3,"Yes","No"))))</f>
        <v>Yes</v>
      </c>
      <c r="AA780" t="str">
        <f t="shared" si="77"/>
        <v>No</v>
      </c>
    </row>
    <row r="781" spans="1:27" x14ac:dyDescent="0.3">
      <c r="A781">
        <f>INDEX(SETTINGS!$A$15:$A$24,$B781)</f>
        <v>2028</v>
      </c>
      <c r="B781">
        <v>4</v>
      </c>
      <c r="C781" t="str">
        <f>IF(AND(A781&gt;=SETTINGS!$B$4,A781&lt;=SETTINGS!$B$5),"Yes","No")</f>
        <v>No</v>
      </c>
      <c r="D781" t="str">
        <f>IFERROR(INDEX(SETTINGS!$C$15:$C$24,MATCH(A781,SETTINGS!$A$15:$A$24,0)),"No")</f>
        <v>No</v>
      </c>
      <c r="E781">
        <v>6</v>
      </c>
      <c r="F781" t="s">
        <v>39</v>
      </c>
      <c r="G781">
        <v>129</v>
      </c>
      <c r="H781" t="s">
        <v>88</v>
      </c>
      <c r="I781" t="s">
        <v>89</v>
      </c>
      <c r="J781" t="s">
        <v>10</v>
      </c>
      <c r="K781" t="s">
        <v>3</v>
      </c>
      <c r="L781" s="36">
        <f ca="1">IF(C781&lt;&gt;"Yes",0,IF(A781=2025,N('2025'!D129),IF(A781=2026,N('2026'!D129),IF(A781=2027,N('2027'!D129),IF(A781=2028,N('2028'!D129),IF(A781=2029,N('2029'!D129),IF(A781=2030,N('2030'!D129),IF(A781=2031,N('2031'!D129),IF(A781=2032,N('2032'!D129),IF(A781=2033,N('2033'!D129),IF(A781=2034,N('2034'!D129),IFERROR(N(INDIRECT("'"&amp;A781&amp;"'!D"&amp;G781)),0))))))))))))</f>
        <v>0</v>
      </c>
      <c r="M781" s="36">
        <f>IFERROR(IF(NOT(ISBLANK(KPI_TARGETS!$J$5)),KPI_TARGETS!$J$5,IF(NOT(ISBLANK(KPI_TARGETS!$F$5)),KPI_TARGETS!$F$5,"")),"")</f>
        <v>104</v>
      </c>
      <c r="N781" s="36" t="str">
        <f>IFERROR(KPI_TARGETS!$E$5,"Higher is better")</f>
        <v>Higher is better</v>
      </c>
      <c r="O781" s="37">
        <f t="shared" ca="1" si="72"/>
        <v>0</v>
      </c>
      <c r="P781" t="str">
        <f t="shared" ca="1" si="73"/>
        <v>Red</v>
      </c>
      <c r="Q781" s="36">
        <f t="shared" ca="1" si="74"/>
        <v>-104</v>
      </c>
      <c r="R781" s="36" t="str">
        <f>""</f>
        <v/>
      </c>
      <c r="S781" s="36" t="str">
        <f>""</f>
        <v/>
      </c>
      <c r="T781" s="36" t="str">
        <f>""</f>
        <v/>
      </c>
      <c r="U781" s="36" t="str">
        <f>""</f>
        <v/>
      </c>
      <c r="V781" s="36" t="str">
        <f>""</f>
        <v/>
      </c>
      <c r="W781" s="36">
        <f t="shared" si="75"/>
        <v>1</v>
      </c>
      <c r="X781" t="str">
        <f t="shared" si="76"/>
        <v>Inactive</v>
      </c>
      <c r="Y781" t="str">
        <f>IF(MAIN!$H$3="Selected Year",IF(A781=MAIN!$B$3,"Yes","No"),IF(MAIN!$H$3="Included Years",IF(D781="Yes","Yes","No"),IF(C781="Yes","Yes","No")))</f>
        <v>No</v>
      </c>
      <c r="Z781" t="str">
        <f>IF(MAIN!$F$3="Project to Date",IF(AND(A781&gt;=SETTINGS!$B$4,A781&lt;MAIN!$B$3),"Yes",IF(AND(A781=MAIN!$B$3,E781&lt;=MAIN!$L$3),"Yes","No")),IF(OR(MAIN!$F$3="Full Year",MAIN!$D$3="All"),"Yes",IF(MAIN!$F$3="Monthly",IF(E781=MAIN!$L$3,"Yes","No"),IF(E781&lt;=MAIN!$L$3,"Yes","No"))))</f>
        <v>Yes</v>
      </c>
      <c r="AA781" t="str">
        <f t="shared" si="77"/>
        <v>No</v>
      </c>
    </row>
    <row r="782" spans="1:27" x14ac:dyDescent="0.3">
      <c r="A782">
        <f>INDEX(SETTINGS!$A$15:$A$24,$B782)</f>
        <v>2028</v>
      </c>
      <c r="B782">
        <v>4</v>
      </c>
      <c r="C782" t="str">
        <f>IF(AND(A782&gt;=SETTINGS!$B$4,A782&lt;=SETTINGS!$B$5),"Yes","No")</f>
        <v>No</v>
      </c>
      <c r="D782" t="str">
        <f>IFERROR(INDEX(SETTINGS!$C$15:$C$24,MATCH(A782,SETTINGS!$A$15:$A$24,0)),"No")</f>
        <v>No</v>
      </c>
      <c r="E782">
        <v>6</v>
      </c>
      <c r="F782" t="s">
        <v>39</v>
      </c>
      <c r="G782">
        <v>130</v>
      </c>
      <c r="H782" t="s">
        <v>91</v>
      </c>
      <c r="I782" t="s">
        <v>89</v>
      </c>
      <c r="J782" t="s">
        <v>11</v>
      </c>
      <c r="K782" t="s">
        <v>12</v>
      </c>
      <c r="L782" s="36">
        <f ca="1">IF(C782&lt;&gt;"Yes",0,IF(A782=2025,N('2025'!D130),IF(A782=2026,N('2026'!D130),IF(A782=2027,N('2027'!D130),IF(A782=2028,N('2028'!D130),IF(A782=2029,N('2029'!D130),IF(A782=2030,N('2030'!D130),IF(A782=2031,N('2031'!D130),IF(A782=2032,N('2032'!D130),IF(A782=2033,N('2033'!D130),IF(A782=2034,N('2034'!D130),IFERROR(N(INDIRECT("'"&amp;A782&amp;"'!D"&amp;G782)),0))))))))))))</f>
        <v>0</v>
      </c>
      <c r="M782" s="36">
        <f>IFERROR(IF(NOT(ISBLANK(KPI_TARGETS!$J$6)),KPI_TARGETS!$J$6,IF(NOT(ISBLANK(KPI_TARGETS!$F$6)),KPI_TARGETS!$F$6,"")),"")</f>
        <v>4000</v>
      </c>
      <c r="N782" s="36" t="str">
        <f>IFERROR(KPI_TARGETS!$E$6,"Higher is better")</f>
        <v>Higher is better</v>
      </c>
      <c r="O782" s="37">
        <f t="shared" ca="1" si="72"/>
        <v>0</v>
      </c>
      <c r="P782" t="str">
        <f t="shared" ca="1" si="73"/>
        <v>Red</v>
      </c>
      <c r="Q782" s="36">
        <f t="shared" ca="1" si="74"/>
        <v>-4000</v>
      </c>
      <c r="R782" s="36" t="str">
        <f>""</f>
        <v/>
      </c>
      <c r="S782" s="36" t="str">
        <f>""</f>
        <v/>
      </c>
      <c r="T782" s="36" t="str">
        <f>""</f>
        <v/>
      </c>
      <c r="U782" s="36" t="str">
        <f>""</f>
        <v/>
      </c>
      <c r="V782" s="36" t="str">
        <f>""</f>
        <v/>
      </c>
      <c r="W782" s="36">
        <f t="shared" si="75"/>
        <v>1</v>
      </c>
      <c r="X782" t="str">
        <f t="shared" si="76"/>
        <v>Inactive</v>
      </c>
      <c r="Y782" t="str">
        <f>IF(MAIN!$H$3="Selected Year",IF(A782=MAIN!$B$3,"Yes","No"),IF(MAIN!$H$3="Included Years",IF(D782="Yes","Yes","No"),IF(C782="Yes","Yes","No")))</f>
        <v>No</v>
      </c>
      <c r="Z782" t="str">
        <f>IF(MAIN!$F$3="Project to Date",IF(AND(A782&gt;=SETTINGS!$B$4,A782&lt;MAIN!$B$3),"Yes",IF(AND(A782=MAIN!$B$3,E782&lt;=MAIN!$L$3),"Yes","No")),IF(OR(MAIN!$F$3="Full Year",MAIN!$D$3="All"),"Yes",IF(MAIN!$F$3="Monthly",IF(E782=MAIN!$L$3,"Yes","No"),IF(E782&lt;=MAIN!$L$3,"Yes","No"))))</f>
        <v>Yes</v>
      </c>
      <c r="AA782" t="str">
        <f t="shared" si="77"/>
        <v>No</v>
      </c>
    </row>
    <row r="783" spans="1:27" x14ac:dyDescent="0.3">
      <c r="A783">
        <f>INDEX(SETTINGS!$A$15:$A$24,$B783)</f>
        <v>2028</v>
      </c>
      <c r="B783">
        <v>4</v>
      </c>
      <c r="C783" t="str">
        <f>IF(AND(A783&gt;=SETTINGS!$B$4,A783&lt;=SETTINGS!$B$5),"Yes","No")</f>
        <v>No</v>
      </c>
      <c r="D783" t="str">
        <f>IFERROR(INDEX(SETTINGS!$C$15:$C$24,MATCH(A783,SETTINGS!$A$15:$A$24,0)),"No")</f>
        <v>No</v>
      </c>
      <c r="E783">
        <v>6</v>
      </c>
      <c r="F783" t="s">
        <v>39</v>
      </c>
      <c r="G783">
        <v>131</v>
      </c>
      <c r="H783" t="s">
        <v>93</v>
      </c>
      <c r="I783" t="s">
        <v>89</v>
      </c>
      <c r="J783" t="s">
        <v>13</v>
      </c>
      <c r="K783" t="s">
        <v>14</v>
      </c>
      <c r="L783" s="36">
        <f ca="1">IF(C783&lt;&gt;"Yes",0,IF(A783=2025,N('2025'!D131),IF(A783=2026,N('2026'!D131),IF(A783=2027,N('2027'!D131),IF(A783=2028,N('2028'!D131),IF(A783=2029,N('2029'!D131),IF(A783=2030,N('2030'!D131),IF(A783=2031,N('2031'!D131),IF(A783=2032,N('2032'!D131),IF(A783=2033,N('2033'!D131),IF(A783=2034,N('2034'!D131),IFERROR(N(INDIRECT("'"&amp;A783&amp;"'!D"&amp;G783)),0))))))))))))</f>
        <v>0</v>
      </c>
      <c r="M783" s="36">
        <f>IFERROR(IF(NOT(ISBLANK(KPI_TARGETS!$J$7)),KPI_TARGETS!$J$7,IF(NOT(ISBLANK(KPI_TARGETS!$F$7)),KPI_TARGETS!$F$7,"")),"")</f>
        <v>8000</v>
      </c>
      <c r="N783" s="36" t="str">
        <f>IFERROR(KPI_TARGETS!$E$7,"Higher is better")</f>
        <v>Higher is better</v>
      </c>
      <c r="O783" s="37">
        <f t="shared" ca="1" si="72"/>
        <v>0</v>
      </c>
      <c r="P783" t="str">
        <f t="shared" ca="1" si="73"/>
        <v>Red</v>
      </c>
      <c r="Q783" s="36">
        <f t="shared" ca="1" si="74"/>
        <v>-8000</v>
      </c>
      <c r="R783" s="36" t="str">
        <f>""</f>
        <v/>
      </c>
      <c r="S783" s="36" t="str">
        <f>""</f>
        <v/>
      </c>
      <c r="T783" s="36" t="str">
        <f>""</f>
        <v/>
      </c>
      <c r="U783" s="36" t="str">
        <f>""</f>
        <v/>
      </c>
      <c r="V783" s="36" t="str">
        <f>""</f>
        <v/>
      </c>
      <c r="W783" s="36">
        <f t="shared" si="75"/>
        <v>1</v>
      </c>
      <c r="X783" t="str">
        <f t="shared" si="76"/>
        <v>Inactive</v>
      </c>
      <c r="Y783" t="str">
        <f>IF(MAIN!$H$3="Selected Year",IF(A783=MAIN!$B$3,"Yes","No"),IF(MAIN!$H$3="Included Years",IF(D783="Yes","Yes","No"),IF(C783="Yes","Yes","No")))</f>
        <v>No</v>
      </c>
      <c r="Z783" t="str">
        <f>IF(MAIN!$F$3="Project to Date",IF(AND(A783&gt;=SETTINGS!$B$4,A783&lt;MAIN!$B$3),"Yes",IF(AND(A783=MAIN!$B$3,E783&lt;=MAIN!$L$3),"Yes","No")),IF(OR(MAIN!$F$3="Full Year",MAIN!$D$3="All"),"Yes",IF(MAIN!$F$3="Monthly",IF(E783=MAIN!$L$3,"Yes","No"),IF(E783&lt;=MAIN!$L$3,"Yes","No"))))</f>
        <v>Yes</v>
      </c>
      <c r="AA783" t="str">
        <f t="shared" si="77"/>
        <v>No</v>
      </c>
    </row>
    <row r="784" spans="1:27" x14ac:dyDescent="0.3">
      <c r="A784">
        <f>INDEX(SETTINGS!$A$15:$A$24,$B784)</f>
        <v>2028</v>
      </c>
      <c r="B784">
        <v>4</v>
      </c>
      <c r="C784" t="str">
        <f>IF(AND(A784&gt;=SETTINGS!$B$4,A784&lt;=SETTINGS!$B$5),"Yes","No")</f>
        <v>No</v>
      </c>
      <c r="D784" t="str">
        <f>IFERROR(INDEX(SETTINGS!$C$15:$C$24,MATCH(A784,SETTINGS!$A$15:$A$24,0)),"No")</f>
        <v>No</v>
      </c>
      <c r="E784">
        <v>6</v>
      </c>
      <c r="F784" t="s">
        <v>39</v>
      </c>
      <c r="G784">
        <v>133</v>
      </c>
      <c r="H784" t="s">
        <v>95</v>
      </c>
      <c r="I784" t="s">
        <v>15</v>
      </c>
      <c r="J784" t="s">
        <v>16</v>
      </c>
      <c r="K784" t="s">
        <v>3</v>
      </c>
      <c r="L784" s="36">
        <f ca="1">IF(C784&lt;&gt;"Yes",0,IF(A784=2025,N('2025'!D133),IF(A784=2026,N('2026'!D133),IF(A784=2027,N('2027'!D133),IF(A784=2028,N('2028'!D133),IF(A784=2029,N('2029'!D133),IF(A784=2030,N('2030'!D133),IF(A784=2031,N('2031'!D133),IF(A784=2032,N('2032'!D133),IF(A784=2033,N('2033'!D133),IF(A784=2034,N('2034'!D133),IFERROR(N(INDIRECT("'"&amp;A784&amp;"'!D"&amp;G784)),0))))))))))))</f>
        <v>0</v>
      </c>
      <c r="M784" s="36">
        <f>IFERROR(IF(NOT(ISBLANK(KPI_TARGETS!$J$8)),KPI_TARGETS!$J$8,IF(NOT(ISBLANK(KPI_TARGETS!$F$8)),KPI_TARGETS!$F$8,"")),"")</f>
        <v>0</v>
      </c>
      <c r="N784" s="36" t="str">
        <f>IFERROR(KPI_TARGETS!$E$8,"Higher is better")</f>
        <v>Lower is better</v>
      </c>
      <c r="O784" s="37">
        <f t="shared" ca="1" si="72"/>
        <v>1</v>
      </c>
      <c r="P784" t="str">
        <f t="shared" ca="1" si="73"/>
        <v>Green</v>
      </c>
      <c r="Q784" s="36">
        <f t="shared" ca="1" si="74"/>
        <v>0</v>
      </c>
      <c r="R784" s="36" t="str">
        <f>""</f>
        <v/>
      </c>
      <c r="S784" s="36" t="str">
        <f>""</f>
        <v/>
      </c>
      <c r="T784" s="36" t="str">
        <f>""</f>
        <v/>
      </c>
      <c r="U784" s="36" t="str">
        <f>""</f>
        <v/>
      </c>
      <c r="V784" s="36" t="str">
        <f>""</f>
        <v/>
      </c>
      <c r="W784" s="36">
        <f t="shared" si="75"/>
        <v>1</v>
      </c>
      <c r="X784" t="str">
        <f t="shared" si="76"/>
        <v>Inactive</v>
      </c>
      <c r="Y784" t="str">
        <f>IF(MAIN!$H$3="Selected Year",IF(A784=MAIN!$B$3,"Yes","No"),IF(MAIN!$H$3="Included Years",IF(D784="Yes","Yes","No"),IF(C784="Yes","Yes","No")))</f>
        <v>No</v>
      </c>
      <c r="Z784" t="str">
        <f>IF(MAIN!$F$3="Project to Date",IF(AND(A784&gt;=SETTINGS!$B$4,A784&lt;MAIN!$B$3),"Yes",IF(AND(A784=MAIN!$B$3,E784&lt;=MAIN!$L$3),"Yes","No")),IF(OR(MAIN!$F$3="Full Year",MAIN!$D$3="All"),"Yes",IF(MAIN!$F$3="Monthly",IF(E784=MAIN!$L$3,"Yes","No"),IF(E784&lt;=MAIN!$L$3,"Yes","No"))))</f>
        <v>Yes</v>
      </c>
      <c r="AA784" t="str">
        <f t="shared" si="77"/>
        <v>No</v>
      </c>
    </row>
    <row r="785" spans="1:27" x14ac:dyDescent="0.3">
      <c r="A785">
        <f>INDEX(SETTINGS!$A$15:$A$24,$B785)</f>
        <v>2028</v>
      </c>
      <c r="B785">
        <v>4</v>
      </c>
      <c r="C785" t="str">
        <f>IF(AND(A785&gt;=SETTINGS!$B$4,A785&lt;=SETTINGS!$B$5),"Yes","No")</f>
        <v>No</v>
      </c>
      <c r="D785" t="str">
        <f>IFERROR(INDEX(SETTINGS!$C$15:$C$24,MATCH(A785,SETTINGS!$A$15:$A$24,0)),"No")</f>
        <v>No</v>
      </c>
      <c r="E785">
        <v>6</v>
      </c>
      <c r="F785" t="s">
        <v>39</v>
      </c>
      <c r="G785">
        <v>134</v>
      </c>
      <c r="H785" t="s">
        <v>97</v>
      </c>
      <c r="I785" t="s">
        <v>15</v>
      </c>
      <c r="J785" t="s">
        <v>17</v>
      </c>
      <c r="K785" t="s">
        <v>3</v>
      </c>
      <c r="L785" s="36">
        <f ca="1">IF(C785&lt;&gt;"Yes",0,IF(A785=2025,N('2025'!D134),IF(A785=2026,N('2026'!D134),IF(A785=2027,N('2027'!D134),IF(A785=2028,N('2028'!D134),IF(A785=2029,N('2029'!D134),IF(A785=2030,N('2030'!D134),IF(A785=2031,N('2031'!D134),IF(A785=2032,N('2032'!D134),IF(A785=2033,N('2033'!D134),IF(A785=2034,N('2034'!D134),IFERROR(N(INDIRECT("'"&amp;A785&amp;"'!D"&amp;G785)),0))))))))))))</f>
        <v>0</v>
      </c>
      <c r="M785" s="36">
        <f>IFERROR(IF(NOT(ISBLANK(KPI_TARGETS!$J$9)),KPI_TARGETS!$J$9,IF(NOT(ISBLANK(KPI_TARGETS!$F$9)),KPI_TARGETS!$F$9,"")),"")</f>
        <v>0</v>
      </c>
      <c r="N785" s="36" t="str">
        <f>IFERROR(KPI_TARGETS!$E$9,"Higher is better")</f>
        <v>Higher is better</v>
      </c>
      <c r="O785" s="37" t="str">
        <f t="shared" ca="1" si="72"/>
        <v/>
      </c>
      <c r="P785" t="str">
        <f t="shared" ca="1" si="73"/>
        <v>Green</v>
      </c>
      <c r="Q785" s="36">
        <f t="shared" ca="1" si="74"/>
        <v>0</v>
      </c>
      <c r="R785" s="36" t="str">
        <f>""</f>
        <v/>
      </c>
      <c r="S785" s="36" t="str">
        <f>""</f>
        <v/>
      </c>
      <c r="T785" s="36" t="str">
        <f>""</f>
        <v/>
      </c>
      <c r="U785" s="36" t="str">
        <f>""</f>
        <v/>
      </c>
      <c r="V785" s="36" t="str">
        <f>""</f>
        <v/>
      </c>
      <c r="W785" s="36">
        <f t="shared" si="75"/>
        <v>1</v>
      </c>
      <c r="X785" t="str">
        <f t="shared" si="76"/>
        <v>Inactive</v>
      </c>
      <c r="Y785" t="str">
        <f>IF(MAIN!$H$3="Selected Year",IF(A785=MAIN!$B$3,"Yes","No"),IF(MAIN!$H$3="Included Years",IF(D785="Yes","Yes","No"),IF(C785="Yes","Yes","No")))</f>
        <v>No</v>
      </c>
      <c r="Z785" t="str">
        <f>IF(MAIN!$F$3="Project to Date",IF(AND(A785&gt;=SETTINGS!$B$4,A785&lt;MAIN!$B$3),"Yes",IF(AND(A785=MAIN!$B$3,E785&lt;=MAIN!$L$3),"Yes","No")),IF(OR(MAIN!$F$3="Full Year",MAIN!$D$3="All"),"Yes",IF(MAIN!$F$3="Monthly",IF(E785=MAIN!$L$3,"Yes","No"),IF(E785&lt;=MAIN!$L$3,"Yes","No"))))</f>
        <v>Yes</v>
      </c>
      <c r="AA785" t="str">
        <f t="shared" si="77"/>
        <v>No</v>
      </c>
    </row>
    <row r="786" spans="1:27" x14ac:dyDescent="0.3">
      <c r="A786">
        <f>INDEX(SETTINGS!$A$15:$A$24,$B786)</f>
        <v>2028</v>
      </c>
      <c r="B786">
        <v>4</v>
      </c>
      <c r="C786" t="str">
        <f>IF(AND(A786&gt;=SETTINGS!$B$4,A786&lt;=SETTINGS!$B$5),"Yes","No")</f>
        <v>No</v>
      </c>
      <c r="D786" t="str">
        <f>IFERROR(INDEX(SETTINGS!$C$15:$C$24,MATCH(A786,SETTINGS!$A$15:$A$24,0)),"No")</f>
        <v>No</v>
      </c>
      <c r="E786">
        <v>6</v>
      </c>
      <c r="F786" t="s">
        <v>39</v>
      </c>
      <c r="G786">
        <v>135</v>
      </c>
      <c r="H786" t="s">
        <v>99</v>
      </c>
      <c r="I786" t="s">
        <v>15</v>
      </c>
      <c r="J786" t="s">
        <v>18</v>
      </c>
      <c r="K786" t="s">
        <v>3</v>
      </c>
      <c r="L786" s="36">
        <f ca="1">IF(C786&lt;&gt;"Yes",0,IF(A786=2025,N('2025'!D135),IF(A786=2026,N('2026'!D135),IF(A786=2027,N('2027'!D135),IF(A786=2028,N('2028'!D135),IF(A786=2029,N('2029'!D135),IF(A786=2030,N('2030'!D135),IF(A786=2031,N('2031'!D135),IF(A786=2032,N('2032'!D135),IF(A786=2033,N('2033'!D135),IF(A786=2034,N('2034'!D135),IFERROR(N(INDIRECT("'"&amp;A786&amp;"'!D"&amp;G786)),0))))))))))))</f>
        <v>0</v>
      </c>
      <c r="M786" s="36">
        <f>IFERROR(IF(NOT(ISBLANK(KPI_TARGETS!$J$10)),KPI_TARGETS!$J$10,IF(NOT(ISBLANK(KPI_TARGETS!$F$10)),KPI_TARGETS!$F$10,"")),"")</f>
        <v>0</v>
      </c>
      <c r="N786" s="36" t="str">
        <f>IFERROR(KPI_TARGETS!$E$10,"Higher is better")</f>
        <v>Lower is better</v>
      </c>
      <c r="O786" s="37">
        <f t="shared" ca="1" si="72"/>
        <v>1</v>
      </c>
      <c r="P786" t="str">
        <f t="shared" ca="1" si="73"/>
        <v>Green</v>
      </c>
      <c r="Q786" s="36">
        <f t="shared" ca="1" si="74"/>
        <v>0</v>
      </c>
      <c r="R786" s="36" t="str">
        <f>""</f>
        <v/>
      </c>
      <c r="S786" s="36" t="str">
        <f>""</f>
        <v/>
      </c>
      <c r="T786" s="36" t="str">
        <f>""</f>
        <v/>
      </c>
      <c r="U786" s="36" t="str">
        <f>""</f>
        <v/>
      </c>
      <c r="V786" s="36" t="str">
        <f>""</f>
        <v/>
      </c>
      <c r="W786" s="36">
        <f t="shared" si="75"/>
        <v>1</v>
      </c>
      <c r="X786" t="str">
        <f t="shared" si="76"/>
        <v>Inactive</v>
      </c>
      <c r="Y786" t="str">
        <f>IF(MAIN!$H$3="Selected Year",IF(A786=MAIN!$B$3,"Yes","No"),IF(MAIN!$H$3="Included Years",IF(D786="Yes","Yes","No"),IF(C786="Yes","Yes","No")))</f>
        <v>No</v>
      </c>
      <c r="Z786" t="str">
        <f>IF(MAIN!$F$3="Project to Date",IF(AND(A786&gt;=SETTINGS!$B$4,A786&lt;MAIN!$B$3),"Yes",IF(AND(A786=MAIN!$B$3,E786&lt;=MAIN!$L$3),"Yes","No")),IF(OR(MAIN!$F$3="Full Year",MAIN!$D$3="All"),"Yes",IF(MAIN!$F$3="Monthly",IF(E786=MAIN!$L$3,"Yes","No"),IF(E786&lt;=MAIN!$L$3,"Yes","No"))))</f>
        <v>Yes</v>
      </c>
      <c r="AA786" t="str">
        <f t="shared" si="77"/>
        <v>No</v>
      </c>
    </row>
    <row r="787" spans="1:27" x14ac:dyDescent="0.3">
      <c r="A787">
        <f>INDEX(SETTINGS!$A$15:$A$24,$B787)</f>
        <v>2028</v>
      </c>
      <c r="B787">
        <v>4</v>
      </c>
      <c r="C787" t="str">
        <f>IF(AND(A787&gt;=SETTINGS!$B$4,A787&lt;=SETTINGS!$B$5),"Yes","No")</f>
        <v>No</v>
      </c>
      <c r="D787" t="str">
        <f>IFERROR(INDEX(SETTINGS!$C$15:$C$24,MATCH(A787,SETTINGS!$A$15:$A$24,0)),"No")</f>
        <v>No</v>
      </c>
      <c r="E787">
        <v>6</v>
      </c>
      <c r="F787" t="s">
        <v>39</v>
      </c>
      <c r="G787">
        <v>136</v>
      </c>
      <c r="H787" t="s">
        <v>100</v>
      </c>
      <c r="I787" t="s">
        <v>15</v>
      </c>
      <c r="J787" t="s">
        <v>19</v>
      </c>
      <c r="K787" t="s">
        <v>3</v>
      </c>
      <c r="L787" s="36">
        <f ca="1">IF(C787&lt;&gt;"Yes",0,IF(A787=2025,N('2025'!D136),IF(A787=2026,N('2026'!D136),IF(A787=2027,N('2027'!D136),IF(A787=2028,N('2028'!D136),IF(A787=2029,N('2029'!D136),IF(A787=2030,N('2030'!D136),IF(A787=2031,N('2031'!D136),IF(A787=2032,N('2032'!D136),IF(A787=2033,N('2033'!D136),IF(A787=2034,N('2034'!D136),IFERROR(N(INDIRECT("'"&amp;A787&amp;"'!D"&amp;G787)),0))))))))))))</f>
        <v>0</v>
      </c>
      <c r="M787" s="36">
        <f>IFERROR(IF(NOT(ISBLANK(KPI_TARGETS!$J$11)),KPI_TARGETS!$J$11,IF(NOT(ISBLANK(KPI_TARGETS!$F$11)),KPI_TARGETS!$F$11,"")),"")</f>
        <v>0</v>
      </c>
      <c r="N787" s="36" t="str">
        <f>IFERROR(KPI_TARGETS!$E$11,"Higher is better")</f>
        <v>Lower is better</v>
      </c>
      <c r="O787" s="37">
        <f t="shared" ca="1" si="72"/>
        <v>1</v>
      </c>
      <c r="P787" t="str">
        <f t="shared" ca="1" si="73"/>
        <v>Green</v>
      </c>
      <c r="Q787" s="36">
        <f t="shared" ca="1" si="74"/>
        <v>0</v>
      </c>
      <c r="R787" s="36" t="str">
        <f>""</f>
        <v/>
      </c>
      <c r="S787" s="36" t="str">
        <f>""</f>
        <v/>
      </c>
      <c r="T787" s="36" t="str">
        <f>""</f>
        <v/>
      </c>
      <c r="U787" s="36" t="str">
        <f>""</f>
        <v/>
      </c>
      <c r="V787" s="36" t="str">
        <f>""</f>
        <v/>
      </c>
      <c r="W787" s="36">
        <f t="shared" si="75"/>
        <v>1</v>
      </c>
      <c r="X787" t="str">
        <f t="shared" si="76"/>
        <v>Inactive</v>
      </c>
      <c r="Y787" t="str">
        <f>IF(MAIN!$H$3="Selected Year",IF(A787=MAIN!$B$3,"Yes","No"),IF(MAIN!$H$3="Included Years",IF(D787="Yes","Yes","No"),IF(C787="Yes","Yes","No")))</f>
        <v>No</v>
      </c>
      <c r="Z787" t="str">
        <f>IF(MAIN!$F$3="Project to Date",IF(AND(A787&gt;=SETTINGS!$B$4,A787&lt;MAIN!$B$3),"Yes",IF(AND(A787=MAIN!$B$3,E787&lt;=MAIN!$L$3),"Yes","No")),IF(OR(MAIN!$F$3="Full Year",MAIN!$D$3="All"),"Yes",IF(MAIN!$F$3="Monthly",IF(E787=MAIN!$L$3,"Yes","No"),IF(E787&lt;=MAIN!$L$3,"Yes","No"))))</f>
        <v>Yes</v>
      </c>
      <c r="AA787" t="str">
        <f t="shared" si="77"/>
        <v>No</v>
      </c>
    </row>
    <row r="788" spans="1:27" x14ac:dyDescent="0.3">
      <c r="A788">
        <f>INDEX(SETTINGS!$A$15:$A$24,$B788)</f>
        <v>2028</v>
      </c>
      <c r="B788">
        <v>4</v>
      </c>
      <c r="C788" t="str">
        <f>IF(AND(A788&gt;=SETTINGS!$B$4,A788&lt;=SETTINGS!$B$5),"Yes","No")</f>
        <v>No</v>
      </c>
      <c r="D788" t="str">
        <f>IFERROR(INDEX(SETTINGS!$C$15:$C$24,MATCH(A788,SETTINGS!$A$15:$A$24,0)),"No")</f>
        <v>No</v>
      </c>
      <c r="E788">
        <v>6</v>
      </c>
      <c r="F788" t="s">
        <v>39</v>
      </c>
      <c r="G788">
        <v>137</v>
      </c>
      <c r="H788" t="s">
        <v>101</v>
      </c>
      <c r="I788" t="s">
        <v>15</v>
      </c>
      <c r="J788" t="s">
        <v>20</v>
      </c>
      <c r="K788" t="s">
        <v>3</v>
      </c>
      <c r="L788" s="36">
        <f ca="1">IF(C788&lt;&gt;"Yes",0,IF(A788=2025,N('2025'!D137),IF(A788=2026,N('2026'!D137),IF(A788=2027,N('2027'!D137),IF(A788=2028,N('2028'!D137),IF(A788=2029,N('2029'!D137),IF(A788=2030,N('2030'!D137),IF(A788=2031,N('2031'!D137),IF(A788=2032,N('2032'!D137),IF(A788=2033,N('2033'!D137),IF(A788=2034,N('2034'!D137),IFERROR(N(INDIRECT("'"&amp;A788&amp;"'!D"&amp;G788)),0))))))))))))</f>
        <v>0</v>
      </c>
      <c r="M788" s="36">
        <f>IFERROR(IF(NOT(ISBLANK(KPI_TARGETS!$J$12)),KPI_TARGETS!$J$12,IF(NOT(ISBLANK(KPI_TARGETS!$F$12)),KPI_TARGETS!$F$12,"")),"")</f>
        <v>0</v>
      </c>
      <c r="N788" s="36" t="str">
        <f>IFERROR(KPI_TARGETS!$E$12,"Higher is better")</f>
        <v>Lower is better</v>
      </c>
      <c r="O788" s="37">
        <f t="shared" ca="1" si="72"/>
        <v>1</v>
      </c>
      <c r="P788" t="str">
        <f t="shared" ca="1" si="73"/>
        <v>Green</v>
      </c>
      <c r="Q788" s="36">
        <f t="shared" ca="1" si="74"/>
        <v>0</v>
      </c>
      <c r="R788" s="36" t="str">
        <f>""</f>
        <v/>
      </c>
      <c r="S788" s="36" t="str">
        <f>""</f>
        <v/>
      </c>
      <c r="T788" s="36" t="str">
        <f>""</f>
        <v/>
      </c>
      <c r="U788" s="36" t="str">
        <f>""</f>
        <v/>
      </c>
      <c r="V788" s="36" t="str">
        <f>""</f>
        <v/>
      </c>
      <c r="W788" s="36">
        <f t="shared" si="75"/>
        <v>1</v>
      </c>
      <c r="X788" t="str">
        <f t="shared" si="76"/>
        <v>Inactive</v>
      </c>
      <c r="Y788" t="str">
        <f>IF(MAIN!$H$3="Selected Year",IF(A788=MAIN!$B$3,"Yes","No"),IF(MAIN!$H$3="Included Years",IF(D788="Yes","Yes","No"),IF(C788="Yes","Yes","No")))</f>
        <v>No</v>
      </c>
      <c r="Z788" t="str">
        <f>IF(MAIN!$F$3="Project to Date",IF(AND(A788&gt;=SETTINGS!$B$4,A788&lt;MAIN!$B$3),"Yes",IF(AND(A788=MAIN!$B$3,E788&lt;=MAIN!$L$3),"Yes","No")),IF(OR(MAIN!$F$3="Full Year",MAIN!$D$3="All"),"Yes",IF(MAIN!$F$3="Monthly",IF(E788=MAIN!$L$3,"Yes","No"),IF(E788&lt;=MAIN!$L$3,"Yes","No"))))</f>
        <v>Yes</v>
      </c>
      <c r="AA788" t="str">
        <f t="shared" si="77"/>
        <v>No</v>
      </c>
    </row>
    <row r="789" spans="1:27" x14ac:dyDescent="0.3">
      <c r="A789">
        <f>INDEX(SETTINGS!$A$15:$A$24,$B789)</f>
        <v>2028</v>
      </c>
      <c r="B789">
        <v>4</v>
      </c>
      <c r="C789" t="str">
        <f>IF(AND(A789&gt;=SETTINGS!$B$4,A789&lt;=SETTINGS!$B$5),"Yes","No")</f>
        <v>No</v>
      </c>
      <c r="D789" t="str">
        <f>IFERROR(INDEX(SETTINGS!$C$15:$C$24,MATCH(A789,SETTINGS!$A$15:$A$24,0)),"No")</f>
        <v>No</v>
      </c>
      <c r="E789">
        <v>6</v>
      </c>
      <c r="F789" t="s">
        <v>39</v>
      </c>
      <c r="G789">
        <v>138</v>
      </c>
      <c r="H789" t="s">
        <v>102</v>
      </c>
      <c r="I789" t="s">
        <v>15</v>
      </c>
      <c r="J789" t="s">
        <v>21</v>
      </c>
      <c r="K789" t="s">
        <v>3</v>
      </c>
      <c r="L789" s="36">
        <f ca="1">IF(C789&lt;&gt;"Yes",0,IF(A789=2025,N('2025'!D138),IF(A789=2026,N('2026'!D138),IF(A789=2027,N('2027'!D138),IF(A789=2028,N('2028'!D138),IF(A789=2029,N('2029'!D138),IF(A789=2030,N('2030'!D138),IF(A789=2031,N('2031'!D138),IF(A789=2032,N('2032'!D138),IF(A789=2033,N('2033'!D138),IF(A789=2034,N('2034'!D138),IFERROR(N(INDIRECT("'"&amp;A789&amp;"'!D"&amp;G789)),0))))))))))))</f>
        <v>0</v>
      </c>
      <c r="M789" s="36">
        <f>IFERROR(IF(NOT(ISBLANK(KPI_TARGETS!$J$13)),KPI_TARGETS!$J$13,IF(NOT(ISBLANK(KPI_TARGETS!$F$13)),KPI_TARGETS!$F$13,"")),"")</f>
        <v>0</v>
      </c>
      <c r="N789" s="36" t="str">
        <f>IFERROR(KPI_TARGETS!$E$13,"Higher is better")</f>
        <v>Lower is better</v>
      </c>
      <c r="O789" s="37">
        <f t="shared" ca="1" si="72"/>
        <v>1</v>
      </c>
      <c r="P789" t="str">
        <f t="shared" ca="1" si="73"/>
        <v>Green</v>
      </c>
      <c r="Q789" s="36">
        <f t="shared" ca="1" si="74"/>
        <v>0</v>
      </c>
      <c r="R789" s="36" t="str">
        <f>""</f>
        <v/>
      </c>
      <c r="S789" s="36" t="str">
        <f>""</f>
        <v/>
      </c>
      <c r="T789" s="36" t="str">
        <f>""</f>
        <v/>
      </c>
      <c r="U789" s="36" t="str">
        <f>""</f>
        <v/>
      </c>
      <c r="V789" s="36" t="str">
        <f>""</f>
        <v/>
      </c>
      <c r="W789" s="36">
        <f t="shared" si="75"/>
        <v>1</v>
      </c>
      <c r="X789" t="str">
        <f t="shared" si="76"/>
        <v>Inactive</v>
      </c>
      <c r="Y789" t="str">
        <f>IF(MAIN!$H$3="Selected Year",IF(A789=MAIN!$B$3,"Yes","No"),IF(MAIN!$H$3="Included Years",IF(D789="Yes","Yes","No"),IF(C789="Yes","Yes","No")))</f>
        <v>No</v>
      </c>
      <c r="Z789" t="str">
        <f>IF(MAIN!$F$3="Project to Date",IF(AND(A789&gt;=SETTINGS!$B$4,A789&lt;MAIN!$B$3),"Yes",IF(AND(A789=MAIN!$B$3,E789&lt;=MAIN!$L$3),"Yes","No")),IF(OR(MAIN!$F$3="Full Year",MAIN!$D$3="All"),"Yes",IF(MAIN!$F$3="Monthly",IF(E789=MAIN!$L$3,"Yes","No"),IF(E789&lt;=MAIN!$L$3,"Yes","No"))))</f>
        <v>Yes</v>
      </c>
      <c r="AA789" t="str">
        <f t="shared" si="77"/>
        <v>No</v>
      </c>
    </row>
    <row r="790" spans="1:27" x14ac:dyDescent="0.3">
      <c r="A790">
        <f>INDEX(SETTINGS!$A$15:$A$24,$B790)</f>
        <v>2028</v>
      </c>
      <c r="B790">
        <v>4</v>
      </c>
      <c r="C790" t="str">
        <f>IF(AND(A790&gt;=SETTINGS!$B$4,A790&lt;=SETTINGS!$B$5),"Yes","No")</f>
        <v>No</v>
      </c>
      <c r="D790" t="str">
        <f>IFERROR(INDEX(SETTINGS!$C$15:$C$24,MATCH(A790,SETTINGS!$A$15:$A$24,0)),"No")</f>
        <v>No</v>
      </c>
      <c r="E790">
        <v>6</v>
      </c>
      <c r="F790" t="s">
        <v>39</v>
      </c>
      <c r="G790">
        <v>140</v>
      </c>
      <c r="H790" t="s">
        <v>103</v>
      </c>
      <c r="I790" t="s">
        <v>22</v>
      </c>
      <c r="J790" t="s">
        <v>23</v>
      </c>
      <c r="K790" t="s">
        <v>3</v>
      </c>
      <c r="L790" s="36">
        <f ca="1">IF(C790&lt;&gt;"Yes",0,IF(A790=2025,N('2025'!D140),IF(A790=2026,N('2026'!D140),IF(A790=2027,N('2027'!D140),IF(A790=2028,N('2028'!D140),IF(A790=2029,N('2029'!D140),IF(A790=2030,N('2030'!D140),IF(A790=2031,N('2031'!D140),IF(A790=2032,N('2032'!D140),IF(A790=2033,N('2033'!D140),IF(A790=2034,N('2034'!D140),IFERROR(N(INDIRECT("'"&amp;A790&amp;"'!D"&amp;G790)),0))))))))))))</f>
        <v>0</v>
      </c>
      <c r="M790" s="36">
        <f>IFERROR(IF(NOT(ISBLANK(KPI_TARGETS!$J$14)),KPI_TARGETS!$J$14,IF(NOT(ISBLANK(KPI_TARGETS!$F$14)),KPI_TARGETS!$F$14,"")),"")</f>
        <v>35</v>
      </c>
      <c r="N790" s="36" t="str">
        <f>IFERROR(KPI_TARGETS!$E$14,"Higher is better")</f>
        <v>Higher is better</v>
      </c>
      <c r="O790" s="37">
        <f t="shared" ca="1" si="72"/>
        <v>0</v>
      </c>
      <c r="P790" t="str">
        <f t="shared" ca="1" si="73"/>
        <v>Red</v>
      </c>
      <c r="Q790" s="36">
        <f t="shared" ca="1" si="74"/>
        <v>-35</v>
      </c>
      <c r="R790" s="36" t="str">
        <f>""</f>
        <v/>
      </c>
      <c r="S790" s="36" t="str">
        <f>""</f>
        <v/>
      </c>
      <c r="T790" s="36" t="str">
        <f>""</f>
        <v/>
      </c>
      <c r="U790" s="36" t="str">
        <f>""</f>
        <v/>
      </c>
      <c r="V790" s="36" t="str">
        <f>""</f>
        <v/>
      </c>
      <c r="W790" s="36">
        <f t="shared" si="75"/>
        <v>1</v>
      </c>
      <c r="X790" t="str">
        <f t="shared" si="76"/>
        <v>Inactive</v>
      </c>
      <c r="Y790" t="str">
        <f>IF(MAIN!$H$3="Selected Year",IF(A790=MAIN!$B$3,"Yes","No"),IF(MAIN!$H$3="Included Years",IF(D790="Yes","Yes","No"),IF(C790="Yes","Yes","No")))</f>
        <v>No</v>
      </c>
      <c r="Z790" t="str">
        <f>IF(MAIN!$F$3="Project to Date",IF(AND(A790&gt;=SETTINGS!$B$4,A790&lt;MAIN!$B$3),"Yes",IF(AND(A790=MAIN!$B$3,E790&lt;=MAIN!$L$3),"Yes","No")),IF(OR(MAIN!$F$3="Full Year",MAIN!$D$3="All"),"Yes",IF(MAIN!$F$3="Monthly",IF(E790=MAIN!$L$3,"Yes","No"),IF(E790&lt;=MAIN!$L$3,"Yes","No"))))</f>
        <v>Yes</v>
      </c>
      <c r="AA790" t="str">
        <f t="shared" si="77"/>
        <v>No</v>
      </c>
    </row>
    <row r="791" spans="1:27" x14ac:dyDescent="0.3">
      <c r="A791">
        <f>INDEX(SETTINGS!$A$15:$A$24,$B791)</f>
        <v>2028</v>
      </c>
      <c r="B791">
        <v>4</v>
      </c>
      <c r="C791" t="str">
        <f>IF(AND(A791&gt;=SETTINGS!$B$4,A791&lt;=SETTINGS!$B$5),"Yes","No")</f>
        <v>No</v>
      </c>
      <c r="D791" t="str">
        <f>IFERROR(INDEX(SETTINGS!$C$15:$C$24,MATCH(A791,SETTINGS!$A$15:$A$24,0)),"No")</f>
        <v>No</v>
      </c>
      <c r="E791">
        <v>6</v>
      </c>
      <c r="F791" t="s">
        <v>39</v>
      </c>
      <c r="G791">
        <v>141</v>
      </c>
      <c r="H791" t="s">
        <v>104</v>
      </c>
      <c r="I791" t="s">
        <v>22</v>
      </c>
      <c r="J791" t="s">
        <v>24</v>
      </c>
      <c r="K791" t="s">
        <v>3</v>
      </c>
      <c r="L791" s="36">
        <f ca="1">IF(C791&lt;&gt;"Yes",0,IF(A791=2025,N('2025'!D141),IF(A791=2026,N('2026'!D141),IF(A791=2027,N('2027'!D141),IF(A791=2028,N('2028'!D141),IF(A791=2029,N('2029'!D141),IF(A791=2030,N('2030'!D141),IF(A791=2031,N('2031'!D141),IF(A791=2032,N('2032'!D141),IF(A791=2033,N('2033'!D141),IF(A791=2034,N('2034'!D141),IFERROR(N(INDIRECT("'"&amp;A791&amp;"'!D"&amp;G791)),0))))))))))))</f>
        <v>0</v>
      </c>
      <c r="M791" s="36">
        <f>IFERROR(IF(NOT(ISBLANK(KPI_TARGETS!$J$15)),KPI_TARGETS!$J$15,IF(NOT(ISBLANK(KPI_TARGETS!$F$15)),KPI_TARGETS!$F$15,"")),"")</f>
        <v>5</v>
      </c>
      <c r="N791" s="36" t="str">
        <f>IFERROR(KPI_TARGETS!$E$15,"Higher is better")</f>
        <v>Higher is better</v>
      </c>
      <c r="O791" s="37">
        <f t="shared" ca="1" si="72"/>
        <v>0</v>
      </c>
      <c r="P791" t="str">
        <f t="shared" ca="1" si="73"/>
        <v>Red</v>
      </c>
      <c r="Q791" s="36">
        <f t="shared" ca="1" si="74"/>
        <v>-5</v>
      </c>
      <c r="R791" s="36" t="str">
        <f>""</f>
        <v/>
      </c>
      <c r="S791" s="36" t="str">
        <f>""</f>
        <v/>
      </c>
      <c r="T791" s="36" t="str">
        <f>""</f>
        <v/>
      </c>
      <c r="U791" s="36" t="str">
        <f>""</f>
        <v/>
      </c>
      <c r="V791" s="36" t="str">
        <f>""</f>
        <v/>
      </c>
      <c r="W791" s="36">
        <f t="shared" si="75"/>
        <v>1</v>
      </c>
      <c r="X791" t="str">
        <f t="shared" si="76"/>
        <v>Inactive</v>
      </c>
      <c r="Y791" t="str">
        <f>IF(MAIN!$H$3="Selected Year",IF(A791=MAIN!$B$3,"Yes","No"),IF(MAIN!$H$3="Included Years",IF(D791="Yes","Yes","No"),IF(C791="Yes","Yes","No")))</f>
        <v>No</v>
      </c>
      <c r="Z791" t="str">
        <f>IF(MAIN!$F$3="Project to Date",IF(AND(A791&gt;=SETTINGS!$B$4,A791&lt;MAIN!$B$3),"Yes",IF(AND(A791=MAIN!$B$3,E791&lt;=MAIN!$L$3),"Yes","No")),IF(OR(MAIN!$F$3="Full Year",MAIN!$D$3="All"),"Yes",IF(MAIN!$F$3="Monthly",IF(E791=MAIN!$L$3,"Yes","No"),IF(E791&lt;=MAIN!$L$3,"Yes","No"))))</f>
        <v>Yes</v>
      </c>
      <c r="AA791" t="str">
        <f t="shared" si="77"/>
        <v>No</v>
      </c>
    </row>
    <row r="792" spans="1:27" x14ac:dyDescent="0.3">
      <c r="A792">
        <f>INDEX(SETTINGS!$A$15:$A$24,$B792)</f>
        <v>2028</v>
      </c>
      <c r="B792">
        <v>4</v>
      </c>
      <c r="C792" t="str">
        <f>IF(AND(A792&gt;=SETTINGS!$B$4,A792&lt;=SETTINGS!$B$5),"Yes","No")</f>
        <v>No</v>
      </c>
      <c r="D792" t="str">
        <f>IFERROR(INDEX(SETTINGS!$C$15:$C$24,MATCH(A792,SETTINGS!$A$15:$A$24,0)),"No")</f>
        <v>No</v>
      </c>
      <c r="E792">
        <v>6</v>
      </c>
      <c r="F792" t="s">
        <v>39</v>
      </c>
      <c r="G792">
        <v>142</v>
      </c>
      <c r="H792" t="s">
        <v>105</v>
      </c>
      <c r="I792" t="s">
        <v>22</v>
      </c>
      <c r="J792" t="s">
        <v>25</v>
      </c>
      <c r="K792" t="s">
        <v>3</v>
      </c>
      <c r="L792" s="36">
        <f ca="1">IF(C792&lt;&gt;"Yes",0,IF(A792=2025,N('2025'!D142),IF(A792=2026,N('2026'!D142),IF(A792=2027,N('2027'!D142),IF(A792=2028,N('2028'!D142),IF(A792=2029,N('2029'!D142),IF(A792=2030,N('2030'!D142),IF(A792=2031,N('2031'!D142),IF(A792=2032,N('2032'!D142),IF(A792=2033,N('2033'!D142),IF(A792=2034,N('2034'!D142),IFERROR(N(INDIRECT("'"&amp;A792&amp;"'!D"&amp;G792)),0))))))))))))</f>
        <v>0</v>
      </c>
      <c r="M792" s="36">
        <f>IFERROR(IF(NOT(ISBLANK(KPI_TARGETS!$J$16)),KPI_TARGETS!$J$16,IF(NOT(ISBLANK(KPI_TARGETS!$F$16)),KPI_TARGETS!$F$16,"")),"")</f>
        <v>4</v>
      </c>
      <c r="N792" s="36" t="str">
        <f>IFERROR(KPI_TARGETS!$E$16,"Higher is better")</f>
        <v>Higher is better</v>
      </c>
      <c r="O792" s="37">
        <f t="shared" ca="1" si="72"/>
        <v>0</v>
      </c>
      <c r="P792" t="str">
        <f t="shared" ca="1" si="73"/>
        <v>Red</v>
      </c>
      <c r="Q792" s="36">
        <f t="shared" ca="1" si="74"/>
        <v>-4</v>
      </c>
      <c r="R792" s="36" t="str">
        <f>""</f>
        <v/>
      </c>
      <c r="S792" s="36" t="str">
        <f>""</f>
        <v/>
      </c>
      <c r="T792" s="36" t="str">
        <f>""</f>
        <v/>
      </c>
      <c r="U792" s="36" t="str">
        <f>""</f>
        <v/>
      </c>
      <c r="V792" s="36" t="str">
        <f>""</f>
        <v/>
      </c>
      <c r="W792" s="36">
        <f t="shared" si="75"/>
        <v>1</v>
      </c>
      <c r="X792" t="str">
        <f t="shared" si="76"/>
        <v>Inactive</v>
      </c>
      <c r="Y792" t="str">
        <f>IF(MAIN!$H$3="Selected Year",IF(A792=MAIN!$B$3,"Yes","No"),IF(MAIN!$H$3="Included Years",IF(D792="Yes","Yes","No"),IF(C792="Yes","Yes","No")))</f>
        <v>No</v>
      </c>
      <c r="Z792" t="str">
        <f>IF(MAIN!$F$3="Project to Date",IF(AND(A792&gt;=SETTINGS!$B$4,A792&lt;MAIN!$B$3),"Yes",IF(AND(A792=MAIN!$B$3,E792&lt;=MAIN!$L$3),"Yes","No")),IF(OR(MAIN!$F$3="Full Year",MAIN!$D$3="All"),"Yes",IF(MAIN!$F$3="Monthly",IF(E792=MAIN!$L$3,"Yes","No"),IF(E792&lt;=MAIN!$L$3,"Yes","No"))))</f>
        <v>Yes</v>
      </c>
      <c r="AA792" t="str">
        <f t="shared" si="77"/>
        <v>No</v>
      </c>
    </row>
    <row r="793" spans="1:27" x14ac:dyDescent="0.3">
      <c r="A793">
        <f>INDEX(SETTINGS!$A$15:$A$24,$B793)</f>
        <v>2028</v>
      </c>
      <c r="B793">
        <v>4</v>
      </c>
      <c r="C793" t="str">
        <f>IF(AND(A793&gt;=SETTINGS!$B$4,A793&lt;=SETTINGS!$B$5),"Yes","No")</f>
        <v>No</v>
      </c>
      <c r="D793" t="str">
        <f>IFERROR(INDEX(SETTINGS!$C$15:$C$24,MATCH(A793,SETTINGS!$A$15:$A$24,0)),"No")</f>
        <v>No</v>
      </c>
      <c r="E793">
        <v>6</v>
      </c>
      <c r="F793" t="s">
        <v>39</v>
      </c>
      <c r="G793">
        <v>143</v>
      </c>
      <c r="H793" t="s">
        <v>106</v>
      </c>
      <c r="I793" t="s">
        <v>22</v>
      </c>
      <c r="J793" t="s">
        <v>26</v>
      </c>
      <c r="K793" t="s">
        <v>3</v>
      </c>
      <c r="L793" s="36">
        <f ca="1">IF(C793&lt;&gt;"Yes",0,IF(A793=2025,N('2025'!D143),IF(A793=2026,N('2026'!D143),IF(A793=2027,N('2027'!D143),IF(A793=2028,N('2028'!D143),IF(A793=2029,N('2029'!D143),IF(A793=2030,N('2030'!D143),IF(A793=2031,N('2031'!D143),IF(A793=2032,N('2032'!D143),IF(A793=2033,N('2033'!D143),IF(A793=2034,N('2034'!D143),IFERROR(N(INDIRECT("'"&amp;A793&amp;"'!D"&amp;G793)),0))))))))))))</f>
        <v>0</v>
      </c>
      <c r="M793" s="36">
        <f>IFERROR(IF(NOT(ISBLANK(KPI_TARGETS!$J$17)),KPI_TARGETS!$J$17,IF(NOT(ISBLANK(KPI_TARGETS!$F$17)),KPI_TARGETS!$F$17,"")),"")</f>
        <v>12</v>
      </c>
      <c r="N793" s="36" t="str">
        <f>IFERROR(KPI_TARGETS!$E$17,"Higher is better")</f>
        <v>Higher is better</v>
      </c>
      <c r="O793" s="37">
        <f t="shared" ca="1" si="72"/>
        <v>0</v>
      </c>
      <c r="P793" t="str">
        <f t="shared" ca="1" si="73"/>
        <v>Red</v>
      </c>
      <c r="Q793" s="36">
        <f t="shared" ca="1" si="74"/>
        <v>-12</v>
      </c>
      <c r="R793" s="36" t="str">
        <f>""</f>
        <v/>
      </c>
      <c r="S793" s="36" t="str">
        <f>""</f>
        <v/>
      </c>
      <c r="T793" s="36" t="str">
        <f>""</f>
        <v/>
      </c>
      <c r="U793" s="36" t="str">
        <f>""</f>
        <v/>
      </c>
      <c r="V793" s="36" t="str">
        <f>""</f>
        <v/>
      </c>
      <c r="W793" s="36">
        <f t="shared" si="75"/>
        <v>1</v>
      </c>
      <c r="X793" t="str">
        <f t="shared" si="76"/>
        <v>Inactive</v>
      </c>
      <c r="Y793" t="str">
        <f>IF(MAIN!$H$3="Selected Year",IF(A793=MAIN!$B$3,"Yes","No"),IF(MAIN!$H$3="Included Years",IF(D793="Yes","Yes","No"),IF(C793="Yes","Yes","No")))</f>
        <v>No</v>
      </c>
      <c r="Z793" t="str">
        <f>IF(MAIN!$F$3="Project to Date",IF(AND(A793&gt;=SETTINGS!$B$4,A793&lt;MAIN!$B$3),"Yes",IF(AND(A793=MAIN!$B$3,E793&lt;=MAIN!$L$3),"Yes","No")),IF(OR(MAIN!$F$3="Full Year",MAIN!$D$3="All"),"Yes",IF(MAIN!$F$3="Monthly",IF(E793=MAIN!$L$3,"Yes","No"),IF(E793&lt;=MAIN!$L$3,"Yes","No"))))</f>
        <v>Yes</v>
      </c>
      <c r="AA793" t="str">
        <f t="shared" si="77"/>
        <v>No</v>
      </c>
    </row>
    <row r="794" spans="1:27" x14ac:dyDescent="0.3">
      <c r="A794">
        <f>INDEX(SETTINGS!$A$15:$A$24,$B794)</f>
        <v>2028</v>
      </c>
      <c r="B794">
        <v>4</v>
      </c>
      <c r="C794" t="str">
        <f>IF(AND(A794&gt;=SETTINGS!$B$4,A794&lt;=SETTINGS!$B$5),"Yes","No")</f>
        <v>No</v>
      </c>
      <c r="D794" t="str">
        <f>IFERROR(INDEX(SETTINGS!$C$15:$C$24,MATCH(A794,SETTINGS!$A$15:$A$24,0)),"No")</f>
        <v>No</v>
      </c>
      <c r="E794">
        <v>6</v>
      </c>
      <c r="F794" t="s">
        <v>39</v>
      </c>
      <c r="G794">
        <v>144</v>
      </c>
      <c r="H794" t="s">
        <v>107</v>
      </c>
      <c r="I794" t="s">
        <v>22</v>
      </c>
      <c r="J794" t="s">
        <v>27</v>
      </c>
      <c r="K794" t="s">
        <v>3</v>
      </c>
      <c r="L794" s="36">
        <f ca="1">IF(C794&lt;&gt;"Yes",0,IF(A794=2025,N('2025'!D144),IF(A794=2026,N('2026'!D144),IF(A794=2027,N('2027'!D144),IF(A794=2028,N('2028'!D144),IF(A794=2029,N('2029'!D144),IF(A794=2030,N('2030'!D144),IF(A794=2031,N('2031'!D144),IF(A794=2032,N('2032'!D144),IF(A794=2033,N('2033'!D144),IF(A794=2034,N('2034'!D144),IFERROR(N(INDIRECT("'"&amp;A794&amp;"'!D"&amp;G794)),0))))))))))))</f>
        <v>0</v>
      </c>
      <c r="M794" s="36">
        <f>IFERROR(IF(NOT(ISBLANK(KPI_TARGETS!$J$18)),KPI_TARGETS!$J$18,IF(NOT(ISBLANK(KPI_TARGETS!$F$18)),KPI_TARGETS!$F$18,"")),"")</f>
        <v>4</v>
      </c>
      <c r="N794" s="36" t="str">
        <f>IFERROR(KPI_TARGETS!$E$18,"Higher is better")</f>
        <v>Higher is better</v>
      </c>
      <c r="O794" s="37">
        <f t="shared" ca="1" si="72"/>
        <v>0</v>
      </c>
      <c r="P794" t="str">
        <f t="shared" ca="1" si="73"/>
        <v>Red</v>
      </c>
      <c r="Q794" s="36">
        <f t="shared" ca="1" si="74"/>
        <v>-4</v>
      </c>
      <c r="R794" s="36" t="str">
        <f>""</f>
        <v/>
      </c>
      <c r="S794" s="36" t="str">
        <f>""</f>
        <v/>
      </c>
      <c r="T794" s="36" t="str">
        <f>""</f>
        <v/>
      </c>
      <c r="U794" s="36" t="str">
        <f>""</f>
        <v/>
      </c>
      <c r="V794" s="36" t="str">
        <f>""</f>
        <v/>
      </c>
      <c r="W794" s="36">
        <f t="shared" si="75"/>
        <v>1</v>
      </c>
      <c r="X794" t="str">
        <f t="shared" si="76"/>
        <v>Inactive</v>
      </c>
      <c r="Y794" t="str">
        <f>IF(MAIN!$H$3="Selected Year",IF(A794=MAIN!$B$3,"Yes","No"),IF(MAIN!$H$3="Included Years",IF(D794="Yes","Yes","No"),IF(C794="Yes","Yes","No")))</f>
        <v>No</v>
      </c>
      <c r="Z794" t="str">
        <f>IF(MAIN!$F$3="Project to Date",IF(AND(A794&gt;=SETTINGS!$B$4,A794&lt;MAIN!$B$3),"Yes",IF(AND(A794=MAIN!$B$3,E794&lt;=MAIN!$L$3),"Yes","No")),IF(OR(MAIN!$F$3="Full Year",MAIN!$D$3="All"),"Yes",IF(MAIN!$F$3="Monthly",IF(E794=MAIN!$L$3,"Yes","No"),IF(E794&lt;=MAIN!$L$3,"Yes","No"))))</f>
        <v>Yes</v>
      </c>
      <c r="AA794" t="str">
        <f t="shared" si="77"/>
        <v>No</v>
      </c>
    </row>
    <row r="795" spans="1:27" x14ac:dyDescent="0.3">
      <c r="A795">
        <f>INDEX(SETTINGS!$A$15:$A$24,$B795)</f>
        <v>2028</v>
      </c>
      <c r="B795">
        <v>4</v>
      </c>
      <c r="C795" t="str">
        <f>IF(AND(A795&gt;=SETTINGS!$B$4,A795&lt;=SETTINGS!$B$5),"Yes","No")</f>
        <v>No</v>
      </c>
      <c r="D795" t="str">
        <f>IFERROR(INDEX(SETTINGS!$C$15:$C$24,MATCH(A795,SETTINGS!$A$15:$A$24,0)),"No")</f>
        <v>No</v>
      </c>
      <c r="E795">
        <v>6</v>
      </c>
      <c r="F795" t="s">
        <v>39</v>
      </c>
      <c r="G795">
        <v>145</v>
      </c>
      <c r="H795" t="s">
        <v>108</v>
      </c>
      <c r="I795" t="s">
        <v>22</v>
      </c>
      <c r="J795" t="s">
        <v>28</v>
      </c>
      <c r="K795" t="s">
        <v>3</v>
      </c>
      <c r="L795" s="36">
        <f ca="1">IF(C795&lt;&gt;"Yes",0,IF(A795=2025,N('2025'!D145),IF(A795=2026,N('2026'!D145),IF(A795=2027,N('2027'!D145),IF(A795=2028,N('2028'!D145),IF(A795=2029,N('2029'!D145),IF(A795=2030,N('2030'!D145),IF(A795=2031,N('2031'!D145),IF(A795=2032,N('2032'!D145),IF(A795=2033,N('2033'!D145),IF(A795=2034,N('2034'!D145),IFERROR(N(INDIRECT("'"&amp;A795&amp;"'!D"&amp;G795)),0))))))))))))</f>
        <v>0</v>
      </c>
      <c r="M795" s="36">
        <f>IFERROR(IF(NOT(ISBLANK(KPI_TARGETS!$J$19)),KPI_TARGETS!$J$19,IF(NOT(ISBLANK(KPI_TARGETS!$F$19)),KPI_TARGETS!$F$19,"")),"")</f>
        <v>16</v>
      </c>
      <c r="N795" s="36" t="str">
        <f>IFERROR(KPI_TARGETS!$E$19,"Higher is better")</f>
        <v>Higher is better</v>
      </c>
      <c r="O795" s="37">
        <f t="shared" ca="1" si="72"/>
        <v>0</v>
      </c>
      <c r="P795" t="str">
        <f t="shared" ca="1" si="73"/>
        <v>Red</v>
      </c>
      <c r="Q795" s="36">
        <f t="shared" ca="1" si="74"/>
        <v>-16</v>
      </c>
      <c r="R795" s="36" t="str">
        <f>""</f>
        <v/>
      </c>
      <c r="S795" s="36" t="str">
        <f>""</f>
        <v/>
      </c>
      <c r="T795" s="36" t="str">
        <f>""</f>
        <v/>
      </c>
      <c r="U795" s="36" t="str">
        <f>""</f>
        <v/>
      </c>
      <c r="V795" s="36" t="str">
        <f>""</f>
        <v/>
      </c>
      <c r="W795" s="36">
        <f t="shared" si="75"/>
        <v>1</v>
      </c>
      <c r="X795" t="str">
        <f t="shared" si="76"/>
        <v>Inactive</v>
      </c>
      <c r="Y795" t="str">
        <f>IF(MAIN!$H$3="Selected Year",IF(A795=MAIN!$B$3,"Yes","No"),IF(MAIN!$H$3="Included Years",IF(D795="Yes","Yes","No"),IF(C795="Yes","Yes","No")))</f>
        <v>No</v>
      </c>
      <c r="Z795" t="str">
        <f>IF(MAIN!$F$3="Project to Date",IF(AND(A795&gt;=SETTINGS!$B$4,A795&lt;MAIN!$B$3),"Yes",IF(AND(A795=MAIN!$B$3,E795&lt;=MAIN!$L$3),"Yes","No")),IF(OR(MAIN!$F$3="Full Year",MAIN!$D$3="All"),"Yes",IF(MAIN!$F$3="Monthly",IF(E795=MAIN!$L$3,"Yes","No"),IF(E795&lt;=MAIN!$L$3,"Yes","No"))))</f>
        <v>Yes</v>
      </c>
      <c r="AA795" t="str">
        <f t="shared" si="77"/>
        <v>No</v>
      </c>
    </row>
    <row r="796" spans="1:27" x14ac:dyDescent="0.3">
      <c r="A796">
        <f>INDEX(SETTINGS!$A$15:$A$24,$B796)</f>
        <v>2028</v>
      </c>
      <c r="B796">
        <v>4</v>
      </c>
      <c r="C796" t="str">
        <f>IF(AND(A796&gt;=SETTINGS!$B$4,A796&lt;=SETTINGS!$B$5),"Yes","No")</f>
        <v>No</v>
      </c>
      <c r="D796" t="str">
        <f>IFERROR(INDEX(SETTINGS!$C$15:$C$24,MATCH(A796,SETTINGS!$A$15:$A$24,0)),"No")</f>
        <v>No</v>
      </c>
      <c r="E796">
        <v>6</v>
      </c>
      <c r="F796" t="s">
        <v>39</v>
      </c>
      <c r="G796">
        <v>146</v>
      </c>
      <c r="H796" t="s">
        <v>109</v>
      </c>
      <c r="I796" t="s">
        <v>22</v>
      </c>
      <c r="J796" t="s">
        <v>29</v>
      </c>
      <c r="K796" t="s">
        <v>3</v>
      </c>
      <c r="L796" s="36">
        <f ca="1">IF(C796&lt;&gt;"Yes",0,IF(A796=2025,N('2025'!D146),IF(A796=2026,N('2026'!D146),IF(A796=2027,N('2027'!D146),IF(A796=2028,N('2028'!D146),IF(A796=2029,N('2029'!D146),IF(A796=2030,N('2030'!D146),IF(A796=2031,N('2031'!D146),IF(A796=2032,N('2032'!D146),IF(A796=2033,N('2033'!D146),IF(A796=2034,N('2034'!D146),IFERROR(N(INDIRECT("'"&amp;A796&amp;"'!D"&amp;G796)),0))))))))))))</f>
        <v>0</v>
      </c>
      <c r="M796" s="36">
        <f>IFERROR(IF(NOT(ISBLANK(KPI_TARGETS!$J$20)),KPI_TARGETS!$J$20,IF(NOT(ISBLANK(KPI_TARGETS!$F$20)),KPI_TARGETS!$F$20,"")),"")</f>
        <v>1</v>
      </c>
      <c r="N796" s="36" t="str">
        <f>IFERROR(KPI_TARGETS!$E$20,"Higher is better")</f>
        <v>Higher is better</v>
      </c>
      <c r="O796" s="37">
        <f t="shared" ca="1" si="72"/>
        <v>0</v>
      </c>
      <c r="P796" t="str">
        <f t="shared" ca="1" si="73"/>
        <v>Red</v>
      </c>
      <c r="Q796" s="36">
        <f t="shared" ca="1" si="74"/>
        <v>-1</v>
      </c>
      <c r="R796" s="36" t="str">
        <f>""</f>
        <v/>
      </c>
      <c r="S796" s="36" t="str">
        <f>""</f>
        <v/>
      </c>
      <c r="T796" s="36" t="str">
        <f>""</f>
        <v/>
      </c>
      <c r="U796" s="36" t="str">
        <f>""</f>
        <v/>
      </c>
      <c r="V796" s="36" t="str">
        <f>""</f>
        <v/>
      </c>
      <c r="W796" s="36">
        <f t="shared" si="75"/>
        <v>1</v>
      </c>
      <c r="X796" t="str">
        <f t="shared" si="76"/>
        <v>Inactive</v>
      </c>
      <c r="Y796" t="str">
        <f>IF(MAIN!$H$3="Selected Year",IF(A796=MAIN!$B$3,"Yes","No"),IF(MAIN!$H$3="Included Years",IF(D796="Yes","Yes","No"),IF(C796="Yes","Yes","No")))</f>
        <v>No</v>
      </c>
      <c r="Z796" t="str">
        <f>IF(MAIN!$F$3="Project to Date",IF(AND(A796&gt;=SETTINGS!$B$4,A796&lt;MAIN!$B$3),"Yes",IF(AND(A796=MAIN!$B$3,E796&lt;=MAIN!$L$3),"Yes","No")),IF(OR(MAIN!$F$3="Full Year",MAIN!$D$3="All"),"Yes",IF(MAIN!$F$3="Monthly",IF(E796=MAIN!$L$3,"Yes","No"),IF(E796&lt;=MAIN!$L$3,"Yes","No"))))</f>
        <v>Yes</v>
      </c>
      <c r="AA796" t="str">
        <f t="shared" si="77"/>
        <v>No</v>
      </c>
    </row>
    <row r="797" spans="1:27" x14ac:dyDescent="0.3">
      <c r="A797">
        <f>INDEX(SETTINGS!$A$15:$A$24,$B797)</f>
        <v>2028</v>
      </c>
      <c r="B797">
        <v>4</v>
      </c>
      <c r="C797" t="str">
        <f>IF(AND(A797&gt;=SETTINGS!$B$4,A797&lt;=SETTINGS!$B$5),"Yes","No")</f>
        <v>No</v>
      </c>
      <c r="D797" t="str">
        <f>IFERROR(INDEX(SETTINGS!$C$15:$C$24,MATCH(A797,SETTINGS!$A$15:$A$24,0)),"No")</f>
        <v>No</v>
      </c>
      <c r="E797">
        <v>6</v>
      </c>
      <c r="F797" t="s">
        <v>39</v>
      </c>
      <c r="G797">
        <v>148</v>
      </c>
      <c r="H797" t="s">
        <v>110</v>
      </c>
      <c r="I797" t="s">
        <v>30</v>
      </c>
      <c r="J797" t="s">
        <v>31</v>
      </c>
      <c r="K797" t="s">
        <v>3</v>
      </c>
      <c r="L797" s="36">
        <f ca="1">IF(C797&lt;&gt;"Yes",0,IF(A797=2025,N('2025'!D148),IF(A797=2026,N('2026'!D148),IF(A797=2027,N('2027'!D148),IF(A797=2028,N('2028'!D148),IF(A797=2029,N('2029'!D148),IF(A797=2030,N('2030'!D148),IF(A797=2031,N('2031'!D148),IF(A797=2032,N('2032'!D148),IF(A797=2033,N('2033'!D148),IF(A797=2034,N('2034'!D148),IFERROR(N(INDIRECT("'"&amp;A797&amp;"'!D"&amp;G797)),0))))))))))))</f>
        <v>0</v>
      </c>
      <c r="M797" s="36">
        <f>IFERROR(IF(NOT(ISBLANK(KPI_TARGETS!$J$21)),KPI_TARGETS!$J$21,IF(NOT(ISBLANK(KPI_TARGETS!$F$21)),KPI_TARGETS!$F$21,"")),"")</f>
        <v>0</v>
      </c>
      <c r="N797" s="36" t="str">
        <f>IFERROR(KPI_TARGETS!$E$21,"Higher is better")</f>
        <v>Lower is better</v>
      </c>
      <c r="O797" s="37">
        <f t="shared" ca="1" si="72"/>
        <v>1</v>
      </c>
      <c r="P797" t="str">
        <f t="shared" ca="1" si="73"/>
        <v>Green</v>
      </c>
      <c r="Q797" s="36">
        <f t="shared" ca="1" si="74"/>
        <v>0</v>
      </c>
      <c r="R797" s="36" t="str">
        <f>""</f>
        <v/>
      </c>
      <c r="S797" s="36" t="str">
        <f>""</f>
        <v/>
      </c>
      <c r="T797" s="36" t="str">
        <f>""</f>
        <v/>
      </c>
      <c r="U797" s="36" t="str">
        <f>""</f>
        <v/>
      </c>
      <c r="V797" s="36" t="str">
        <f>""</f>
        <v/>
      </c>
      <c r="W797" s="36">
        <f t="shared" si="75"/>
        <v>1</v>
      </c>
      <c r="X797" t="str">
        <f t="shared" si="76"/>
        <v>Inactive</v>
      </c>
      <c r="Y797" t="str">
        <f>IF(MAIN!$H$3="Selected Year",IF(A797=MAIN!$B$3,"Yes","No"),IF(MAIN!$H$3="Included Years",IF(D797="Yes","Yes","No"),IF(C797="Yes","Yes","No")))</f>
        <v>No</v>
      </c>
      <c r="Z797" t="str">
        <f>IF(MAIN!$F$3="Project to Date",IF(AND(A797&gt;=SETTINGS!$B$4,A797&lt;MAIN!$B$3),"Yes",IF(AND(A797=MAIN!$B$3,E797&lt;=MAIN!$L$3),"Yes","No")),IF(OR(MAIN!$F$3="Full Year",MAIN!$D$3="All"),"Yes",IF(MAIN!$F$3="Monthly",IF(E797=MAIN!$L$3,"Yes","No"),IF(E797&lt;=MAIN!$L$3,"Yes","No"))))</f>
        <v>Yes</v>
      </c>
      <c r="AA797" t="str">
        <f t="shared" si="77"/>
        <v>No</v>
      </c>
    </row>
    <row r="798" spans="1:27" x14ac:dyDescent="0.3">
      <c r="A798">
        <f>INDEX(SETTINGS!$A$15:$A$24,$B798)</f>
        <v>2028</v>
      </c>
      <c r="B798">
        <v>4</v>
      </c>
      <c r="C798" t="str">
        <f>IF(AND(A798&gt;=SETTINGS!$B$4,A798&lt;=SETTINGS!$B$5),"Yes","No")</f>
        <v>No</v>
      </c>
      <c r="D798" t="str">
        <f>IFERROR(INDEX(SETTINGS!$C$15:$C$24,MATCH(A798,SETTINGS!$A$15:$A$24,0)),"No")</f>
        <v>No</v>
      </c>
      <c r="E798">
        <v>6</v>
      </c>
      <c r="F798" t="s">
        <v>39</v>
      </c>
      <c r="G798">
        <v>149</v>
      </c>
      <c r="H798" t="s">
        <v>111</v>
      </c>
      <c r="I798" t="s">
        <v>30</v>
      </c>
      <c r="J798" t="s">
        <v>32</v>
      </c>
      <c r="K798" t="s">
        <v>3</v>
      </c>
      <c r="L798" s="36">
        <f ca="1">IF(C798&lt;&gt;"Yes",0,IF(A798=2025,N('2025'!D149),IF(A798=2026,N('2026'!D149),IF(A798=2027,N('2027'!D149),IF(A798=2028,N('2028'!D149),IF(A798=2029,N('2029'!D149),IF(A798=2030,N('2030'!D149),IF(A798=2031,N('2031'!D149),IF(A798=2032,N('2032'!D149),IF(A798=2033,N('2033'!D149),IF(A798=2034,N('2034'!D149),IFERROR(N(INDIRECT("'"&amp;A798&amp;"'!D"&amp;G798)),0))))))))))))</f>
        <v>0</v>
      </c>
      <c r="M798" s="36">
        <f>IFERROR(IF(NOT(ISBLANK(KPI_TARGETS!$J$22)),KPI_TARGETS!$J$22,IF(NOT(ISBLANK(KPI_TARGETS!$F$22)),KPI_TARGETS!$F$22,"")),"")</f>
        <v>1</v>
      </c>
      <c r="N798" s="36" t="str">
        <f>IFERROR(KPI_TARGETS!$E$22,"Higher is better")</f>
        <v>Higher is better</v>
      </c>
      <c r="O798" s="37">
        <f t="shared" ca="1" si="72"/>
        <v>0</v>
      </c>
      <c r="P798" t="str">
        <f t="shared" ca="1" si="73"/>
        <v>Red</v>
      </c>
      <c r="Q798" s="36">
        <f t="shared" ca="1" si="74"/>
        <v>-1</v>
      </c>
      <c r="R798" s="36" t="str">
        <f>""</f>
        <v/>
      </c>
      <c r="S798" s="36" t="str">
        <f>""</f>
        <v/>
      </c>
      <c r="T798" s="36" t="str">
        <f>""</f>
        <v/>
      </c>
      <c r="U798" s="36" t="str">
        <f>""</f>
        <v/>
      </c>
      <c r="V798" s="36" t="str">
        <f>""</f>
        <v/>
      </c>
      <c r="W798" s="36">
        <f t="shared" si="75"/>
        <v>1</v>
      </c>
      <c r="X798" t="str">
        <f t="shared" si="76"/>
        <v>Inactive</v>
      </c>
      <c r="Y798" t="str">
        <f>IF(MAIN!$H$3="Selected Year",IF(A798=MAIN!$B$3,"Yes","No"),IF(MAIN!$H$3="Included Years",IF(D798="Yes","Yes","No"),IF(C798="Yes","Yes","No")))</f>
        <v>No</v>
      </c>
      <c r="Z798" t="str">
        <f>IF(MAIN!$F$3="Project to Date",IF(AND(A798&gt;=SETTINGS!$B$4,A798&lt;MAIN!$B$3),"Yes",IF(AND(A798=MAIN!$B$3,E798&lt;=MAIN!$L$3),"Yes","No")),IF(OR(MAIN!$F$3="Full Year",MAIN!$D$3="All"),"Yes",IF(MAIN!$F$3="Monthly",IF(E798=MAIN!$L$3,"Yes","No"),IF(E798&lt;=MAIN!$L$3,"Yes","No"))))</f>
        <v>Yes</v>
      </c>
      <c r="AA798" t="str">
        <f t="shared" si="77"/>
        <v>No</v>
      </c>
    </row>
    <row r="799" spans="1:27" x14ac:dyDescent="0.3">
      <c r="A799">
        <f>INDEX(SETTINGS!$A$15:$A$24,$B799)</f>
        <v>2028</v>
      </c>
      <c r="B799">
        <v>4</v>
      </c>
      <c r="C799" t="str">
        <f>IF(AND(A799&gt;=SETTINGS!$B$4,A799&lt;=SETTINGS!$B$5),"Yes","No")</f>
        <v>No</v>
      </c>
      <c r="D799" t="str">
        <f>IFERROR(INDEX(SETTINGS!$C$15:$C$24,MATCH(A799,SETTINGS!$A$15:$A$24,0)),"No")</f>
        <v>No</v>
      </c>
      <c r="E799">
        <v>6</v>
      </c>
      <c r="F799" t="s">
        <v>39</v>
      </c>
      <c r="G799">
        <v>150</v>
      </c>
      <c r="H799" t="s">
        <v>112</v>
      </c>
      <c r="I799" t="s">
        <v>30</v>
      </c>
      <c r="J799" t="s">
        <v>33</v>
      </c>
      <c r="K799" t="s">
        <v>34</v>
      </c>
      <c r="L799" s="36">
        <f ca="1">IF(C799&lt;&gt;"Yes",0,IF(A799=2025,N('2025'!D150),IF(A799=2026,N('2026'!D150),IF(A799=2027,N('2027'!D150),IF(A799=2028,N('2028'!D150),IF(A799=2029,N('2029'!D150),IF(A799=2030,N('2030'!D150),IF(A799=2031,N('2031'!D150),IF(A799=2032,N('2032'!D150),IF(A799=2033,N('2033'!D150),IF(A799=2034,N('2034'!D150),IFERROR(N(INDIRECT("'"&amp;A799&amp;"'!D"&amp;G799)),0))))))))))))</f>
        <v>0</v>
      </c>
      <c r="M799" s="36">
        <f>IFERROR(IF(NOT(ISBLANK(KPI_TARGETS!$J$23)),KPI_TARGETS!$J$23,IF(NOT(ISBLANK(KPI_TARGETS!$F$23)),KPI_TARGETS!$F$23,"")),"")</f>
        <v>1</v>
      </c>
      <c r="N799" s="36" t="str">
        <f>IFERROR(KPI_TARGETS!$E$23,"Higher is better")</f>
        <v>Higher is better</v>
      </c>
      <c r="O799" s="37">
        <f t="shared" ca="1" si="72"/>
        <v>0</v>
      </c>
      <c r="P799" t="str">
        <f t="shared" ca="1" si="73"/>
        <v>Red</v>
      </c>
      <c r="Q799" s="36">
        <f t="shared" ca="1" si="74"/>
        <v>-1</v>
      </c>
      <c r="R799" s="36" t="str">
        <f>""</f>
        <v/>
      </c>
      <c r="S799" s="36" t="str">
        <f>""</f>
        <v/>
      </c>
      <c r="T799" s="36" t="str">
        <f>""</f>
        <v/>
      </c>
      <c r="U799" s="36" t="str">
        <f>""</f>
        <v/>
      </c>
      <c r="V799" s="36" t="str">
        <f>""</f>
        <v/>
      </c>
      <c r="W799" s="36">
        <f t="shared" si="75"/>
        <v>1</v>
      </c>
      <c r="X799" t="str">
        <f t="shared" si="76"/>
        <v>Inactive</v>
      </c>
      <c r="Y799" t="str">
        <f>IF(MAIN!$H$3="Selected Year",IF(A799=MAIN!$B$3,"Yes","No"),IF(MAIN!$H$3="Included Years",IF(D799="Yes","Yes","No"),IF(C799="Yes","Yes","No")))</f>
        <v>No</v>
      </c>
      <c r="Z799" t="str">
        <f>IF(MAIN!$F$3="Project to Date",IF(AND(A799&gt;=SETTINGS!$B$4,A799&lt;MAIN!$B$3),"Yes",IF(AND(A799=MAIN!$B$3,E799&lt;=MAIN!$L$3),"Yes","No")),IF(OR(MAIN!$F$3="Full Year",MAIN!$D$3="All"),"Yes",IF(MAIN!$F$3="Monthly",IF(E799=MAIN!$L$3,"Yes","No"),IF(E799&lt;=MAIN!$L$3,"Yes","No"))))</f>
        <v>Yes</v>
      </c>
      <c r="AA799" t="str">
        <f t="shared" si="77"/>
        <v>No</v>
      </c>
    </row>
    <row r="800" spans="1:27" x14ac:dyDescent="0.3">
      <c r="A800">
        <f>INDEX(SETTINGS!$A$15:$A$24,$B800)</f>
        <v>2028</v>
      </c>
      <c r="B800">
        <v>4</v>
      </c>
      <c r="C800" t="str">
        <f>IF(AND(A800&gt;=SETTINGS!$B$4,A800&lt;=SETTINGS!$B$5),"Yes","No")</f>
        <v>No</v>
      </c>
      <c r="D800" t="str">
        <f>IFERROR(INDEX(SETTINGS!$C$15:$C$24,MATCH(A800,SETTINGS!$A$15:$A$24,0)),"No")</f>
        <v>No</v>
      </c>
      <c r="E800">
        <v>7</v>
      </c>
      <c r="F800" t="s">
        <v>40</v>
      </c>
      <c r="G800">
        <v>153</v>
      </c>
      <c r="H800" t="s">
        <v>88</v>
      </c>
      <c r="I800" t="s">
        <v>89</v>
      </c>
      <c r="J800" t="s">
        <v>10</v>
      </c>
      <c r="K800" t="s">
        <v>3</v>
      </c>
      <c r="L800" s="36">
        <f ca="1">IF(C800&lt;&gt;"Yes",0,IF(A800=2025,N('2025'!D153),IF(A800=2026,N('2026'!D153),IF(A800=2027,N('2027'!D153),IF(A800=2028,N('2028'!D153),IF(A800=2029,N('2029'!D153),IF(A800=2030,N('2030'!D153),IF(A800=2031,N('2031'!D153),IF(A800=2032,N('2032'!D153),IF(A800=2033,N('2033'!D153),IF(A800=2034,N('2034'!D153),IFERROR(N(INDIRECT("'"&amp;A800&amp;"'!D"&amp;G800)),0))))))))))))</f>
        <v>0</v>
      </c>
      <c r="M800" s="36">
        <f>IFERROR(IF(NOT(ISBLANK(KPI_TARGETS!$J$5)),KPI_TARGETS!$J$5,IF(NOT(ISBLANK(KPI_TARGETS!$F$5)),KPI_TARGETS!$F$5,"")),"")</f>
        <v>104</v>
      </c>
      <c r="N800" s="36" t="str">
        <f>IFERROR(KPI_TARGETS!$E$5,"Higher is better")</f>
        <v>Higher is better</v>
      </c>
      <c r="O800" s="37">
        <f t="shared" ca="1" si="72"/>
        <v>0</v>
      </c>
      <c r="P800" t="str">
        <f t="shared" ca="1" si="73"/>
        <v>Red</v>
      </c>
      <c r="Q800" s="36">
        <f t="shared" ca="1" si="74"/>
        <v>-104</v>
      </c>
      <c r="R800" s="36" t="str">
        <f>""</f>
        <v/>
      </c>
      <c r="S800" s="36" t="str">
        <f>""</f>
        <v/>
      </c>
      <c r="T800" s="36" t="str">
        <f>""</f>
        <v/>
      </c>
      <c r="U800" s="36" t="str">
        <f>""</f>
        <v/>
      </c>
      <c r="V800" s="36" t="str">
        <f>""</f>
        <v/>
      </c>
      <c r="W800" s="36">
        <f t="shared" si="75"/>
        <v>1</v>
      </c>
      <c r="X800" t="str">
        <f t="shared" si="76"/>
        <v>Inactive</v>
      </c>
      <c r="Y800" t="str">
        <f>IF(MAIN!$H$3="Selected Year",IF(A800=MAIN!$B$3,"Yes","No"),IF(MAIN!$H$3="Included Years",IF(D800="Yes","Yes","No"),IF(C800="Yes","Yes","No")))</f>
        <v>No</v>
      </c>
      <c r="Z800" t="str">
        <f>IF(MAIN!$F$3="Project to Date",IF(AND(A800&gt;=SETTINGS!$B$4,A800&lt;MAIN!$B$3),"Yes",IF(AND(A800=MAIN!$B$3,E800&lt;=MAIN!$L$3),"Yes","No")),IF(OR(MAIN!$F$3="Full Year",MAIN!$D$3="All"),"Yes",IF(MAIN!$F$3="Monthly",IF(E800=MAIN!$L$3,"Yes","No"),IF(E800&lt;=MAIN!$L$3,"Yes","No"))))</f>
        <v>Yes</v>
      </c>
      <c r="AA800" t="str">
        <f t="shared" si="77"/>
        <v>No</v>
      </c>
    </row>
    <row r="801" spans="1:27" x14ac:dyDescent="0.3">
      <c r="A801">
        <f>INDEX(SETTINGS!$A$15:$A$24,$B801)</f>
        <v>2028</v>
      </c>
      <c r="B801">
        <v>4</v>
      </c>
      <c r="C801" t="str">
        <f>IF(AND(A801&gt;=SETTINGS!$B$4,A801&lt;=SETTINGS!$B$5),"Yes","No")</f>
        <v>No</v>
      </c>
      <c r="D801" t="str">
        <f>IFERROR(INDEX(SETTINGS!$C$15:$C$24,MATCH(A801,SETTINGS!$A$15:$A$24,0)),"No")</f>
        <v>No</v>
      </c>
      <c r="E801">
        <v>7</v>
      </c>
      <c r="F801" t="s">
        <v>40</v>
      </c>
      <c r="G801">
        <v>154</v>
      </c>
      <c r="H801" t="s">
        <v>91</v>
      </c>
      <c r="I801" t="s">
        <v>89</v>
      </c>
      <c r="J801" t="s">
        <v>11</v>
      </c>
      <c r="K801" t="s">
        <v>12</v>
      </c>
      <c r="L801" s="36">
        <f ca="1">IF(C801&lt;&gt;"Yes",0,IF(A801=2025,N('2025'!D154),IF(A801=2026,N('2026'!D154),IF(A801=2027,N('2027'!D154),IF(A801=2028,N('2028'!D154),IF(A801=2029,N('2029'!D154),IF(A801=2030,N('2030'!D154),IF(A801=2031,N('2031'!D154),IF(A801=2032,N('2032'!D154),IF(A801=2033,N('2033'!D154),IF(A801=2034,N('2034'!D154),IFERROR(N(INDIRECT("'"&amp;A801&amp;"'!D"&amp;G801)),0))))))))))))</f>
        <v>0</v>
      </c>
      <c r="M801" s="36">
        <f>IFERROR(IF(NOT(ISBLANK(KPI_TARGETS!$J$6)),KPI_TARGETS!$J$6,IF(NOT(ISBLANK(KPI_TARGETS!$F$6)),KPI_TARGETS!$F$6,"")),"")</f>
        <v>4000</v>
      </c>
      <c r="N801" s="36" t="str">
        <f>IFERROR(KPI_TARGETS!$E$6,"Higher is better")</f>
        <v>Higher is better</v>
      </c>
      <c r="O801" s="37">
        <f t="shared" ca="1" si="72"/>
        <v>0</v>
      </c>
      <c r="P801" t="str">
        <f t="shared" ca="1" si="73"/>
        <v>Red</v>
      </c>
      <c r="Q801" s="36">
        <f t="shared" ca="1" si="74"/>
        <v>-4000</v>
      </c>
      <c r="R801" s="36" t="str">
        <f>""</f>
        <v/>
      </c>
      <c r="S801" s="36" t="str">
        <f>""</f>
        <v/>
      </c>
      <c r="T801" s="36" t="str">
        <f>""</f>
        <v/>
      </c>
      <c r="U801" s="36" t="str">
        <f>""</f>
        <v/>
      </c>
      <c r="V801" s="36" t="str">
        <f>""</f>
        <v/>
      </c>
      <c r="W801" s="36">
        <f t="shared" si="75"/>
        <v>1</v>
      </c>
      <c r="X801" t="str">
        <f t="shared" si="76"/>
        <v>Inactive</v>
      </c>
      <c r="Y801" t="str">
        <f>IF(MAIN!$H$3="Selected Year",IF(A801=MAIN!$B$3,"Yes","No"),IF(MAIN!$H$3="Included Years",IF(D801="Yes","Yes","No"),IF(C801="Yes","Yes","No")))</f>
        <v>No</v>
      </c>
      <c r="Z801" t="str">
        <f>IF(MAIN!$F$3="Project to Date",IF(AND(A801&gt;=SETTINGS!$B$4,A801&lt;MAIN!$B$3),"Yes",IF(AND(A801=MAIN!$B$3,E801&lt;=MAIN!$L$3),"Yes","No")),IF(OR(MAIN!$F$3="Full Year",MAIN!$D$3="All"),"Yes",IF(MAIN!$F$3="Monthly",IF(E801=MAIN!$L$3,"Yes","No"),IF(E801&lt;=MAIN!$L$3,"Yes","No"))))</f>
        <v>Yes</v>
      </c>
      <c r="AA801" t="str">
        <f t="shared" si="77"/>
        <v>No</v>
      </c>
    </row>
    <row r="802" spans="1:27" x14ac:dyDescent="0.3">
      <c r="A802">
        <f>INDEX(SETTINGS!$A$15:$A$24,$B802)</f>
        <v>2028</v>
      </c>
      <c r="B802">
        <v>4</v>
      </c>
      <c r="C802" t="str">
        <f>IF(AND(A802&gt;=SETTINGS!$B$4,A802&lt;=SETTINGS!$B$5),"Yes","No")</f>
        <v>No</v>
      </c>
      <c r="D802" t="str">
        <f>IFERROR(INDEX(SETTINGS!$C$15:$C$24,MATCH(A802,SETTINGS!$A$15:$A$24,0)),"No")</f>
        <v>No</v>
      </c>
      <c r="E802">
        <v>7</v>
      </c>
      <c r="F802" t="s">
        <v>40</v>
      </c>
      <c r="G802">
        <v>155</v>
      </c>
      <c r="H802" t="s">
        <v>93</v>
      </c>
      <c r="I802" t="s">
        <v>89</v>
      </c>
      <c r="J802" t="s">
        <v>13</v>
      </c>
      <c r="K802" t="s">
        <v>14</v>
      </c>
      <c r="L802" s="36">
        <f ca="1">IF(C802&lt;&gt;"Yes",0,IF(A802=2025,N('2025'!D155),IF(A802=2026,N('2026'!D155),IF(A802=2027,N('2027'!D155),IF(A802=2028,N('2028'!D155),IF(A802=2029,N('2029'!D155),IF(A802=2030,N('2030'!D155),IF(A802=2031,N('2031'!D155),IF(A802=2032,N('2032'!D155),IF(A802=2033,N('2033'!D155),IF(A802=2034,N('2034'!D155),IFERROR(N(INDIRECT("'"&amp;A802&amp;"'!D"&amp;G802)),0))))))))))))</f>
        <v>0</v>
      </c>
      <c r="M802" s="36">
        <f>IFERROR(IF(NOT(ISBLANK(KPI_TARGETS!$J$7)),KPI_TARGETS!$J$7,IF(NOT(ISBLANK(KPI_TARGETS!$F$7)),KPI_TARGETS!$F$7,"")),"")</f>
        <v>8000</v>
      </c>
      <c r="N802" s="36" t="str">
        <f>IFERROR(KPI_TARGETS!$E$7,"Higher is better")</f>
        <v>Higher is better</v>
      </c>
      <c r="O802" s="37">
        <f t="shared" ca="1" si="72"/>
        <v>0</v>
      </c>
      <c r="P802" t="str">
        <f t="shared" ca="1" si="73"/>
        <v>Red</v>
      </c>
      <c r="Q802" s="36">
        <f t="shared" ca="1" si="74"/>
        <v>-8000</v>
      </c>
      <c r="R802" s="36" t="str">
        <f>""</f>
        <v/>
      </c>
      <c r="S802" s="36" t="str">
        <f>""</f>
        <v/>
      </c>
      <c r="T802" s="36" t="str">
        <f>""</f>
        <v/>
      </c>
      <c r="U802" s="36" t="str">
        <f>""</f>
        <v/>
      </c>
      <c r="V802" s="36" t="str">
        <f>""</f>
        <v/>
      </c>
      <c r="W802" s="36">
        <f t="shared" si="75"/>
        <v>1</v>
      </c>
      <c r="X802" t="str">
        <f t="shared" si="76"/>
        <v>Inactive</v>
      </c>
      <c r="Y802" t="str">
        <f>IF(MAIN!$H$3="Selected Year",IF(A802=MAIN!$B$3,"Yes","No"),IF(MAIN!$H$3="Included Years",IF(D802="Yes","Yes","No"),IF(C802="Yes","Yes","No")))</f>
        <v>No</v>
      </c>
      <c r="Z802" t="str">
        <f>IF(MAIN!$F$3="Project to Date",IF(AND(A802&gt;=SETTINGS!$B$4,A802&lt;MAIN!$B$3),"Yes",IF(AND(A802=MAIN!$B$3,E802&lt;=MAIN!$L$3),"Yes","No")),IF(OR(MAIN!$F$3="Full Year",MAIN!$D$3="All"),"Yes",IF(MAIN!$F$3="Monthly",IF(E802=MAIN!$L$3,"Yes","No"),IF(E802&lt;=MAIN!$L$3,"Yes","No"))))</f>
        <v>Yes</v>
      </c>
      <c r="AA802" t="str">
        <f t="shared" si="77"/>
        <v>No</v>
      </c>
    </row>
    <row r="803" spans="1:27" x14ac:dyDescent="0.3">
      <c r="A803">
        <f>INDEX(SETTINGS!$A$15:$A$24,$B803)</f>
        <v>2028</v>
      </c>
      <c r="B803">
        <v>4</v>
      </c>
      <c r="C803" t="str">
        <f>IF(AND(A803&gt;=SETTINGS!$B$4,A803&lt;=SETTINGS!$B$5),"Yes","No")</f>
        <v>No</v>
      </c>
      <c r="D803" t="str">
        <f>IFERROR(INDEX(SETTINGS!$C$15:$C$24,MATCH(A803,SETTINGS!$A$15:$A$24,0)),"No")</f>
        <v>No</v>
      </c>
      <c r="E803">
        <v>7</v>
      </c>
      <c r="F803" t="s">
        <v>40</v>
      </c>
      <c r="G803">
        <v>157</v>
      </c>
      <c r="H803" t="s">
        <v>95</v>
      </c>
      <c r="I803" t="s">
        <v>15</v>
      </c>
      <c r="J803" t="s">
        <v>16</v>
      </c>
      <c r="K803" t="s">
        <v>3</v>
      </c>
      <c r="L803" s="36">
        <f ca="1">IF(C803&lt;&gt;"Yes",0,IF(A803=2025,N('2025'!D157),IF(A803=2026,N('2026'!D157),IF(A803=2027,N('2027'!D157),IF(A803=2028,N('2028'!D157),IF(A803=2029,N('2029'!D157),IF(A803=2030,N('2030'!D157),IF(A803=2031,N('2031'!D157),IF(A803=2032,N('2032'!D157),IF(A803=2033,N('2033'!D157),IF(A803=2034,N('2034'!D157),IFERROR(N(INDIRECT("'"&amp;A803&amp;"'!D"&amp;G803)),0))))))))))))</f>
        <v>0</v>
      </c>
      <c r="M803" s="36">
        <f>IFERROR(IF(NOT(ISBLANK(KPI_TARGETS!$J$8)),KPI_TARGETS!$J$8,IF(NOT(ISBLANK(KPI_TARGETS!$F$8)),KPI_TARGETS!$F$8,"")),"")</f>
        <v>0</v>
      </c>
      <c r="N803" s="36" t="str">
        <f>IFERROR(KPI_TARGETS!$E$8,"Higher is better")</f>
        <v>Lower is better</v>
      </c>
      <c r="O803" s="37">
        <f t="shared" ca="1" si="72"/>
        <v>1</v>
      </c>
      <c r="P803" t="str">
        <f t="shared" ca="1" si="73"/>
        <v>Green</v>
      </c>
      <c r="Q803" s="36">
        <f t="shared" ca="1" si="74"/>
        <v>0</v>
      </c>
      <c r="R803" s="36" t="str">
        <f>""</f>
        <v/>
      </c>
      <c r="S803" s="36" t="str">
        <f>""</f>
        <v/>
      </c>
      <c r="T803" s="36" t="str">
        <f>""</f>
        <v/>
      </c>
      <c r="U803" s="36" t="str">
        <f>""</f>
        <v/>
      </c>
      <c r="V803" s="36" t="str">
        <f>""</f>
        <v/>
      </c>
      <c r="W803" s="36">
        <f t="shared" si="75"/>
        <v>1</v>
      </c>
      <c r="X803" t="str">
        <f t="shared" si="76"/>
        <v>Inactive</v>
      </c>
      <c r="Y803" t="str">
        <f>IF(MAIN!$H$3="Selected Year",IF(A803=MAIN!$B$3,"Yes","No"),IF(MAIN!$H$3="Included Years",IF(D803="Yes","Yes","No"),IF(C803="Yes","Yes","No")))</f>
        <v>No</v>
      </c>
      <c r="Z803" t="str">
        <f>IF(MAIN!$F$3="Project to Date",IF(AND(A803&gt;=SETTINGS!$B$4,A803&lt;MAIN!$B$3),"Yes",IF(AND(A803=MAIN!$B$3,E803&lt;=MAIN!$L$3),"Yes","No")),IF(OR(MAIN!$F$3="Full Year",MAIN!$D$3="All"),"Yes",IF(MAIN!$F$3="Monthly",IF(E803=MAIN!$L$3,"Yes","No"),IF(E803&lt;=MAIN!$L$3,"Yes","No"))))</f>
        <v>Yes</v>
      </c>
      <c r="AA803" t="str">
        <f t="shared" si="77"/>
        <v>No</v>
      </c>
    </row>
    <row r="804" spans="1:27" x14ac:dyDescent="0.3">
      <c r="A804">
        <f>INDEX(SETTINGS!$A$15:$A$24,$B804)</f>
        <v>2028</v>
      </c>
      <c r="B804">
        <v>4</v>
      </c>
      <c r="C804" t="str">
        <f>IF(AND(A804&gt;=SETTINGS!$B$4,A804&lt;=SETTINGS!$B$5),"Yes","No")</f>
        <v>No</v>
      </c>
      <c r="D804" t="str">
        <f>IFERROR(INDEX(SETTINGS!$C$15:$C$24,MATCH(A804,SETTINGS!$A$15:$A$24,0)),"No")</f>
        <v>No</v>
      </c>
      <c r="E804">
        <v>7</v>
      </c>
      <c r="F804" t="s">
        <v>40</v>
      </c>
      <c r="G804">
        <v>158</v>
      </c>
      <c r="H804" t="s">
        <v>97</v>
      </c>
      <c r="I804" t="s">
        <v>15</v>
      </c>
      <c r="J804" t="s">
        <v>17</v>
      </c>
      <c r="K804" t="s">
        <v>3</v>
      </c>
      <c r="L804" s="36">
        <f ca="1">IF(C804&lt;&gt;"Yes",0,IF(A804=2025,N('2025'!D158),IF(A804=2026,N('2026'!D158),IF(A804=2027,N('2027'!D158),IF(A804=2028,N('2028'!D158),IF(A804=2029,N('2029'!D158),IF(A804=2030,N('2030'!D158),IF(A804=2031,N('2031'!D158),IF(A804=2032,N('2032'!D158),IF(A804=2033,N('2033'!D158),IF(A804=2034,N('2034'!D158),IFERROR(N(INDIRECT("'"&amp;A804&amp;"'!D"&amp;G804)),0))))))))))))</f>
        <v>0</v>
      </c>
      <c r="M804" s="36">
        <f>IFERROR(IF(NOT(ISBLANK(KPI_TARGETS!$J$9)),KPI_TARGETS!$J$9,IF(NOT(ISBLANK(KPI_TARGETS!$F$9)),KPI_TARGETS!$F$9,"")),"")</f>
        <v>0</v>
      </c>
      <c r="N804" s="36" t="str">
        <f>IFERROR(KPI_TARGETS!$E$9,"Higher is better")</f>
        <v>Higher is better</v>
      </c>
      <c r="O804" s="37" t="str">
        <f t="shared" ca="1" si="72"/>
        <v/>
      </c>
      <c r="P804" t="str">
        <f t="shared" ca="1" si="73"/>
        <v>Green</v>
      </c>
      <c r="Q804" s="36">
        <f t="shared" ca="1" si="74"/>
        <v>0</v>
      </c>
      <c r="R804" s="36" t="str">
        <f>""</f>
        <v/>
      </c>
      <c r="S804" s="36" t="str">
        <f>""</f>
        <v/>
      </c>
      <c r="T804" s="36" t="str">
        <f>""</f>
        <v/>
      </c>
      <c r="U804" s="36" t="str">
        <f>""</f>
        <v/>
      </c>
      <c r="V804" s="36" t="str">
        <f>""</f>
        <v/>
      </c>
      <c r="W804" s="36">
        <f t="shared" si="75"/>
        <v>1</v>
      </c>
      <c r="X804" t="str">
        <f t="shared" si="76"/>
        <v>Inactive</v>
      </c>
      <c r="Y804" t="str">
        <f>IF(MAIN!$H$3="Selected Year",IF(A804=MAIN!$B$3,"Yes","No"),IF(MAIN!$H$3="Included Years",IF(D804="Yes","Yes","No"),IF(C804="Yes","Yes","No")))</f>
        <v>No</v>
      </c>
      <c r="Z804" t="str">
        <f>IF(MAIN!$F$3="Project to Date",IF(AND(A804&gt;=SETTINGS!$B$4,A804&lt;MAIN!$B$3),"Yes",IF(AND(A804=MAIN!$B$3,E804&lt;=MAIN!$L$3),"Yes","No")),IF(OR(MAIN!$F$3="Full Year",MAIN!$D$3="All"),"Yes",IF(MAIN!$F$3="Monthly",IF(E804=MAIN!$L$3,"Yes","No"),IF(E804&lt;=MAIN!$L$3,"Yes","No"))))</f>
        <v>Yes</v>
      </c>
      <c r="AA804" t="str">
        <f t="shared" si="77"/>
        <v>No</v>
      </c>
    </row>
    <row r="805" spans="1:27" x14ac:dyDescent="0.3">
      <c r="A805">
        <f>INDEX(SETTINGS!$A$15:$A$24,$B805)</f>
        <v>2028</v>
      </c>
      <c r="B805">
        <v>4</v>
      </c>
      <c r="C805" t="str">
        <f>IF(AND(A805&gt;=SETTINGS!$B$4,A805&lt;=SETTINGS!$B$5),"Yes","No")</f>
        <v>No</v>
      </c>
      <c r="D805" t="str">
        <f>IFERROR(INDEX(SETTINGS!$C$15:$C$24,MATCH(A805,SETTINGS!$A$15:$A$24,0)),"No")</f>
        <v>No</v>
      </c>
      <c r="E805">
        <v>7</v>
      </c>
      <c r="F805" t="s">
        <v>40</v>
      </c>
      <c r="G805">
        <v>159</v>
      </c>
      <c r="H805" t="s">
        <v>99</v>
      </c>
      <c r="I805" t="s">
        <v>15</v>
      </c>
      <c r="J805" t="s">
        <v>18</v>
      </c>
      <c r="K805" t="s">
        <v>3</v>
      </c>
      <c r="L805" s="36">
        <f ca="1">IF(C805&lt;&gt;"Yes",0,IF(A805=2025,N('2025'!D159),IF(A805=2026,N('2026'!D159),IF(A805=2027,N('2027'!D159),IF(A805=2028,N('2028'!D159),IF(A805=2029,N('2029'!D159),IF(A805=2030,N('2030'!D159),IF(A805=2031,N('2031'!D159),IF(A805=2032,N('2032'!D159),IF(A805=2033,N('2033'!D159),IF(A805=2034,N('2034'!D159),IFERROR(N(INDIRECT("'"&amp;A805&amp;"'!D"&amp;G805)),0))))))))))))</f>
        <v>0</v>
      </c>
      <c r="M805" s="36">
        <f>IFERROR(IF(NOT(ISBLANK(KPI_TARGETS!$J$10)),KPI_TARGETS!$J$10,IF(NOT(ISBLANK(KPI_TARGETS!$F$10)),KPI_TARGETS!$F$10,"")),"")</f>
        <v>0</v>
      </c>
      <c r="N805" s="36" t="str">
        <f>IFERROR(KPI_TARGETS!$E$10,"Higher is better")</f>
        <v>Lower is better</v>
      </c>
      <c r="O805" s="37">
        <f t="shared" ca="1" si="72"/>
        <v>1</v>
      </c>
      <c r="P805" t="str">
        <f t="shared" ca="1" si="73"/>
        <v>Green</v>
      </c>
      <c r="Q805" s="36">
        <f t="shared" ca="1" si="74"/>
        <v>0</v>
      </c>
      <c r="R805" s="36" t="str">
        <f>""</f>
        <v/>
      </c>
      <c r="S805" s="36" t="str">
        <f>""</f>
        <v/>
      </c>
      <c r="T805" s="36" t="str">
        <f>""</f>
        <v/>
      </c>
      <c r="U805" s="36" t="str">
        <f>""</f>
        <v/>
      </c>
      <c r="V805" s="36" t="str">
        <f>""</f>
        <v/>
      </c>
      <c r="W805" s="36">
        <f t="shared" si="75"/>
        <v>1</v>
      </c>
      <c r="X805" t="str">
        <f t="shared" si="76"/>
        <v>Inactive</v>
      </c>
      <c r="Y805" t="str">
        <f>IF(MAIN!$H$3="Selected Year",IF(A805=MAIN!$B$3,"Yes","No"),IF(MAIN!$H$3="Included Years",IF(D805="Yes","Yes","No"),IF(C805="Yes","Yes","No")))</f>
        <v>No</v>
      </c>
      <c r="Z805" t="str">
        <f>IF(MAIN!$F$3="Project to Date",IF(AND(A805&gt;=SETTINGS!$B$4,A805&lt;MAIN!$B$3),"Yes",IF(AND(A805=MAIN!$B$3,E805&lt;=MAIN!$L$3),"Yes","No")),IF(OR(MAIN!$F$3="Full Year",MAIN!$D$3="All"),"Yes",IF(MAIN!$F$3="Monthly",IF(E805=MAIN!$L$3,"Yes","No"),IF(E805&lt;=MAIN!$L$3,"Yes","No"))))</f>
        <v>Yes</v>
      </c>
      <c r="AA805" t="str">
        <f t="shared" si="77"/>
        <v>No</v>
      </c>
    </row>
    <row r="806" spans="1:27" x14ac:dyDescent="0.3">
      <c r="A806">
        <f>INDEX(SETTINGS!$A$15:$A$24,$B806)</f>
        <v>2028</v>
      </c>
      <c r="B806">
        <v>4</v>
      </c>
      <c r="C806" t="str">
        <f>IF(AND(A806&gt;=SETTINGS!$B$4,A806&lt;=SETTINGS!$B$5),"Yes","No")</f>
        <v>No</v>
      </c>
      <c r="D806" t="str">
        <f>IFERROR(INDEX(SETTINGS!$C$15:$C$24,MATCH(A806,SETTINGS!$A$15:$A$24,0)),"No")</f>
        <v>No</v>
      </c>
      <c r="E806">
        <v>7</v>
      </c>
      <c r="F806" t="s">
        <v>40</v>
      </c>
      <c r="G806">
        <v>160</v>
      </c>
      <c r="H806" t="s">
        <v>100</v>
      </c>
      <c r="I806" t="s">
        <v>15</v>
      </c>
      <c r="J806" t="s">
        <v>19</v>
      </c>
      <c r="K806" t="s">
        <v>3</v>
      </c>
      <c r="L806" s="36">
        <f ca="1">IF(C806&lt;&gt;"Yes",0,IF(A806=2025,N('2025'!D160),IF(A806=2026,N('2026'!D160),IF(A806=2027,N('2027'!D160),IF(A806=2028,N('2028'!D160),IF(A806=2029,N('2029'!D160),IF(A806=2030,N('2030'!D160),IF(A806=2031,N('2031'!D160),IF(A806=2032,N('2032'!D160),IF(A806=2033,N('2033'!D160),IF(A806=2034,N('2034'!D160),IFERROR(N(INDIRECT("'"&amp;A806&amp;"'!D"&amp;G806)),0))))))))))))</f>
        <v>0</v>
      </c>
      <c r="M806" s="36">
        <f>IFERROR(IF(NOT(ISBLANK(KPI_TARGETS!$J$11)),KPI_TARGETS!$J$11,IF(NOT(ISBLANK(KPI_TARGETS!$F$11)),KPI_TARGETS!$F$11,"")),"")</f>
        <v>0</v>
      </c>
      <c r="N806" s="36" t="str">
        <f>IFERROR(KPI_TARGETS!$E$11,"Higher is better")</f>
        <v>Lower is better</v>
      </c>
      <c r="O806" s="37">
        <f t="shared" ca="1" si="72"/>
        <v>1</v>
      </c>
      <c r="P806" t="str">
        <f t="shared" ca="1" si="73"/>
        <v>Green</v>
      </c>
      <c r="Q806" s="36">
        <f t="shared" ca="1" si="74"/>
        <v>0</v>
      </c>
      <c r="R806" s="36" t="str">
        <f>""</f>
        <v/>
      </c>
      <c r="S806" s="36" t="str">
        <f>""</f>
        <v/>
      </c>
      <c r="T806" s="36" t="str">
        <f>""</f>
        <v/>
      </c>
      <c r="U806" s="36" t="str">
        <f>""</f>
        <v/>
      </c>
      <c r="V806" s="36" t="str">
        <f>""</f>
        <v/>
      </c>
      <c r="W806" s="36">
        <f t="shared" si="75"/>
        <v>1</v>
      </c>
      <c r="X806" t="str">
        <f t="shared" si="76"/>
        <v>Inactive</v>
      </c>
      <c r="Y806" t="str">
        <f>IF(MAIN!$H$3="Selected Year",IF(A806=MAIN!$B$3,"Yes","No"),IF(MAIN!$H$3="Included Years",IF(D806="Yes","Yes","No"),IF(C806="Yes","Yes","No")))</f>
        <v>No</v>
      </c>
      <c r="Z806" t="str">
        <f>IF(MAIN!$F$3="Project to Date",IF(AND(A806&gt;=SETTINGS!$B$4,A806&lt;MAIN!$B$3),"Yes",IF(AND(A806=MAIN!$B$3,E806&lt;=MAIN!$L$3),"Yes","No")),IF(OR(MAIN!$F$3="Full Year",MAIN!$D$3="All"),"Yes",IF(MAIN!$F$3="Monthly",IF(E806=MAIN!$L$3,"Yes","No"),IF(E806&lt;=MAIN!$L$3,"Yes","No"))))</f>
        <v>Yes</v>
      </c>
      <c r="AA806" t="str">
        <f t="shared" si="77"/>
        <v>No</v>
      </c>
    </row>
    <row r="807" spans="1:27" x14ac:dyDescent="0.3">
      <c r="A807">
        <f>INDEX(SETTINGS!$A$15:$A$24,$B807)</f>
        <v>2028</v>
      </c>
      <c r="B807">
        <v>4</v>
      </c>
      <c r="C807" t="str">
        <f>IF(AND(A807&gt;=SETTINGS!$B$4,A807&lt;=SETTINGS!$B$5),"Yes","No")</f>
        <v>No</v>
      </c>
      <c r="D807" t="str">
        <f>IFERROR(INDEX(SETTINGS!$C$15:$C$24,MATCH(A807,SETTINGS!$A$15:$A$24,0)),"No")</f>
        <v>No</v>
      </c>
      <c r="E807">
        <v>7</v>
      </c>
      <c r="F807" t="s">
        <v>40</v>
      </c>
      <c r="G807">
        <v>161</v>
      </c>
      <c r="H807" t="s">
        <v>101</v>
      </c>
      <c r="I807" t="s">
        <v>15</v>
      </c>
      <c r="J807" t="s">
        <v>20</v>
      </c>
      <c r="K807" t="s">
        <v>3</v>
      </c>
      <c r="L807" s="36">
        <f ca="1">IF(C807&lt;&gt;"Yes",0,IF(A807=2025,N('2025'!D161),IF(A807=2026,N('2026'!D161),IF(A807=2027,N('2027'!D161),IF(A807=2028,N('2028'!D161),IF(A807=2029,N('2029'!D161),IF(A807=2030,N('2030'!D161),IF(A807=2031,N('2031'!D161),IF(A807=2032,N('2032'!D161),IF(A807=2033,N('2033'!D161),IF(A807=2034,N('2034'!D161),IFERROR(N(INDIRECT("'"&amp;A807&amp;"'!D"&amp;G807)),0))))))))))))</f>
        <v>0</v>
      </c>
      <c r="M807" s="36">
        <f>IFERROR(IF(NOT(ISBLANK(KPI_TARGETS!$J$12)),KPI_TARGETS!$J$12,IF(NOT(ISBLANK(KPI_TARGETS!$F$12)),KPI_TARGETS!$F$12,"")),"")</f>
        <v>0</v>
      </c>
      <c r="N807" s="36" t="str">
        <f>IFERROR(KPI_TARGETS!$E$12,"Higher is better")</f>
        <v>Lower is better</v>
      </c>
      <c r="O807" s="37">
        <f t="shared" ca="1" si="72"/>
        <v>1</v>
      </c>
      <c r="P807" t="str">
        <f t="shared" ca="1" si="73"/>
        <v>Green</v>
      </c>
      <c r="Q807" s="36">
        <f t="shared" ca="1" si="74"/>
        <v>0</v>
      </c>
      <c r="R807" s="36" t="str">
        <f>""</f>
        <v/>
      </c>
      <c r="S807" s="36" t="str">
        <f>""</f>
        <v/>
      </c>
      <c r="T807" s="36" t="str">
        <f>""</f>
        <v/>
      </c>
      <c r="U807" s="36" t="str">
        <f>""</f>
        <v/>
      </c>
      <c r="V807" s="36" t="str">
        <f>""</f>
        <v/>
      </c>
      <c r="W807" s="36">
        <f t="shared" si="75"/>
        <v>1</v>
      </c>
      <c r="X807" t="str">
        <f t="shared" si="76"/>
        <v>Inactive</v>
      </c>
      <c r="Y807" t="str">
        <f>IF(MAIN!$H$3="Selected Year",IF(A807=MAIN!$B$3,"Yes","No"),IF(MAIN!$H$3="Included Years",IF(D807="Yes","Yes","No"),IF(C807="Yes","Yes","No")))</f>
        <v>No</v>
      </c>
      <c r="Z807" t="str">
        <f>IF(MAIN!$F$3="Project to Date",IF(AND(A807&gt;=SETTINGS!$B$4,A807&lt;MAIN!$B$3),"Yes",IF(AND(A807=MAIN!$B$3,E807&lt;=MAIN!$L$3),"Yes","No")),IF(OR(MAIN!$F$3="Full Year",MAIN!$D$3="All"),"Yes",IF(MAIN!$F$3="Monthly",IF(E807=MAIN!$L$3,"Yes","No"),IF(E807&lt;=MAIN!$L$3,"Yes","No"))))</f>
        <v>Yes</v>
      </c>
      <c r="AA807" t="str">
        <f t="shared" si="77"/>
        <v>No</v>
      </c>
    </row>
    <row r="808" spans="1:27" x14ac:dyDescent="0.3">
      <c r="A808">
        <f>INDEX(SETTINGS!$A$15:$A$24,$B808)</f>
        <v>2028</v>
      </c>
      <c r="B808">
        <v>4</v>
      </c>
      <c r="C808" t="str">
        <f>IF(AND(A808&gt;=SETTINGS!$B$4,A808&lt;=SETTINGS!$B$5),"Yes","No")</f>
        <v>No</v>
      </c>
      <c r="D808" t="str">
        <f>IFERROR(INDEX(SETTINGS!$C$15:$C$24,MATCH(A808,SETTINGS!$A$15:$A$24,0)),"No")</f>
        <v>No</v>
      </c>
      <c r="E808">
        <v>7</v>
      </c>
      <c r="F808" t="s">
        <v>40</v>
      </c>
      <c r="G808">
        <v>162</v>
      </c>
      <c r="H808" t="s">
        <v>102</v>
      </c>
      <c r="I808" t="s">
        <v>15</v>
      </c>
      <c r="J808" t="s">
        <v>21</v>
      </c>
      <c r="K808" t="s">
        <v>3</v>
      </c>
      <c r="L808" s="36">
        <f ca="1">IF(C808&lt;&gt;"Yes",0,IF(A808=2025,N('2025'!D162),IF(A808=2026,N('2026'!D162),IF(A808=2027,N('2027'!D162),IF(A808=2028,N('2028'!D162),IF(A808=2029,N('2029'!D162),IF(A808=2030,N('2030'!D162),IF(A808=2031,N('2031'!D162),IF(A808=2032,N('2032'!D162),IF(A808=2033,N('2033'!D162),IF(A808=2034,N('2034'!D162),IFERROR(N(INDIRECT("'"&amp;A808&amp;"'!D"&amp;G808)),0))))))))))))</f>
        <v>0</v>
      </c>
      <c r="M808" s="36">
        <f>IFERROR(IF(NOT(ISBLANK(KPI_TARGETS!$J$13)),KPI_TARGETS!$J$13,IF(NOT(ISBLANK(KPI_TARGETS!$F$13)),KPI_TARGETS!$F$13,"")),"")</f>
        <v>0</v>
      </c>
      <c r="N808" s="36" t="str">
        <f>IFERROR(KPI_TARGETS!$E$13,"Higher is better")</f>
        <v>Lower is better</v>
      </c>
      <c r="O808" s="37">
        <f t="shared" ca="1" si="72"/>
        <v>1</v>
      </c>
      <c r="P808" t="str">
        <f t="shared" ca="1" si="73"/>
        <v>Green</v>
      </c>
      <c r="Q808" s="36">
        <f t="shared" ca="1" si="74"/>
        <v>0</v>
      </c>
      <c r="R808" s="36" t="str">
        <f>""</f>
        <v/>
      </c>
      <c r="S808" s="36" t="str">
        <f>""</f>
        <v/>
      </c>
      <c r="T808" s="36" t="str">
        <f>""</f>
        <v/>
      </c>
      <c r="U808" s="36" t="str">
        <f>""</f>
        <v/>
      </c>
      <c r="V808" s="36" t="str">
        <f>""</f>
        <v/>
      </c>
      <c r="W808" s="36">
        <f t="shared" si="75"/>
        <v>1</v>
      </c>
      <c r="X808" t="str">
        <f t="shared" si="76"/>
        <v>Inactive</v>
      </c>
      <c r="Y808" t="str">
        <f>IF(MAIN!$H$3="Selected Year",IF(A808=MAIN!$B$3,"Yes","No"),IF(MAIN!$H$3="Included Years",IF(D808="Yes","Yes","No"),IF(C808="Yes","Yes","No")))</f>
        <v>No</v>
      </c>
      <c r="Z808" t="str">
        <f>IF(MAIN!$F$3="Project to Date",IF(AND(A808&gt;=SETTINGS!$B$4,A808&lt;MAIN!$B$3),"Yes",IF(AND(A808=MAIN!$B$3,E808&lt;=MAIN!$L$3),"Yes","No")),IF(OR(MAIN!$F$3="Full Year",MAIN!$D$3="All"),"Yes",IF(MAIN!$F$3="Monthly",IF(E808=MAIN!$L$3,"Yes","No"),IF(E808&lt;=MAIN!$L$3,"Yes","No"))))</f>
        <v>Yes</v>
      </c>
      <c r="AA808" t="str">
        <f t="shared" si="77"/>
        <v>No</v>
      </c>
    </row>
    <row r="809" spans="1:27" x14ac:dyDescent="0.3">
      <c r="A809">
        <f>INDEX(SETTINGS!$A$15:$A$24,$B809)</f>
        <v>2028</v>
      </c>
      <c r="B809">
        <v>4</v>
      </c>
      <c r="C809" t="str">
        <f>IF(AND(A809&gt;=SETTINGS!$B$4,A809&lt;=SETTINGS!$B$5),"Yes","No")</f>
        <v>No</v>
      </c>
      <c r="D809" t="str">
        <f>IFERROR(INDEX(SETTINGS!$C$15:$C$24,MATCH(A809,SETTINGS!$A$15:$A$24,0)),"No")</f>
        <v>No</v>
      </c>
      <c r="E809">
        <v>7</v>
      </c>
      <c r="F809" t="s">
        <v>40</v>
      </c>
      <c r="G809">
        <v>164</v>
      </c>
      <c r="H809" t="s">
        <v>103</v>
      </c>
      <c r="I809" t="s">
        <v>22</v>
      </c>
      <c r="J809" t="s">
        <v>23</v>
      </c>
      <c r="K809" t="s">
        <v>3</v>
      </c>
      <c r="L809" s="36">
        <f ca="1">IF(C809&lt;&gt;"Yes",0,IF(A809=2025,N('2025'!D164),IF(A809=2026,N('2026'!D164),IF(A809=2027,N('2027'!D164),IF(A809=2028,N('2028'!D164),IF(A809=2029,N('2029'!D164),IF(A809=2030,N('2030'!D164),IF(A809=2031,N('2031'!D164),IF(A809=2032,N('2032'!D164),IF(A809=2033,N('2033'!D164),IF(A809=2034,N('2034'!D164),IFERROR(N(INDIRECT("'"&amp;A809&amp;"'!D"&amp;G809)),0))))))))))))</f>
        <v>0</v>
      </c>
      <c r="M809" s="36">
        <f>IFERROR(IF(NOT(ISBLANK(KPI_TARGETS!$J$14)),KPI_TARGETS!$J$14,IF(NOT(ISBLANK(KPI_TARGETS!$F$14)),KPI_TARGETS!$F$14,"")),"")</f>
        <v>35</v>
      </c>
      <c r="N809" s="36" t="str">
        <f>IFERROR(KPI_TARGETS!$E$14,"Higher is better")</f>
        <v>Higher is better</v>
      </c>
      <c r="O809" s="37">
        <f t="shared" ca="1" si="72"/>
        <v>0</v>
      </c>
      <c r="P809" t="str">
        <f t="shared" ca="1" si="73"/>
        <v>Red</v>
      </c>
      <c r="Q809" s="36">
        <f t="shared" ca="1" si="74"/>
        <v>-35</v>
      </c>
      <c r="R809" s="36" t="str">
        <f>""</f>
        <v/>
      </c>
      <c r="S809" s="36" t="str">
        <f>""</f>
        <v/>
      </c>
      <c r="T809" s="36" t="str">
        <f>""</f>
        <v/>
      </c>
      <c r="U809" s="36" t="str">
        <f>""</f>
        <v/>
      </c>
      <c r="V809" s="36" t="str">
        <f>""</f>
        <v/>
      </c>
      <c r="W809" s="36">
        <f t="shared" si="75"/>
        <v>1</v>
      </c>
      <c r="X809" t="str">
        <f t="shared" si="76"/>
        <v>Inactive</v>
      </c>
      <c r="Y809" t="str">
        <f>IF(MAIN!$H$3="Selected Year",IF(A809=MAIN!$B$3,"Yes","No"),IF(MAIN!$H$3="Included Years",IF(D809="Yes","Yes","No"),IF(C809="Yes","Yes","No")))</f>
        <v>No</v>
      </c>
      <c r="Z809" t="str">
        <f>IF(MAIN!$F$3="Project to Date",IF(AND(A809&gt;=SETTINGS!$B$4,A809&lt;MAIN!$B$3),"Yes",IF(AND(A809=MAIN!$B$3,E809&lt;=MAIN!$L$3),"Yes","No")),IF(OR(MAIN!$F$3="Full Year",MAIN!$D$3="All"),"Yes",IF(MAIN!$F$3="Monthly",IF(E809=MAIN!$L$3,"Yes","No"),IF(E809&lt;=MAIN!$L$3,"Yes","No"))))</f>
        <v>Yes</v>
      </c>
      <c r="AA809" t="str">
        <f t="shared" si="77"/>
        <v>No</v>
      </c>
    </row>
    <row r="810" spans="1:27" x14ac:dyDescent="0.3">
      <c r="A810">
        <f>INDEX(SETTINGS!$A$15:$A$24,$B810)</f>
        <v>2028</v>
      </c>
      <c r="B810">
        <v>4</v>
      </c>
      <c r="C810" t="str">
        <f>IF(AND(A810&gt;=SETTINGS!$B$4,A810&lt;=SETTINGS!$B$5),"Yes","No")</f>
        <v>No</v>
      </c>
      <c r="D810" t="str">
        <f>IFERROR(INDEX(SETTINGS!$C$15:$C$24,MATCH(A810,SETTINGS!$A$15:$A$24,0)),"No")</f>
        <v>No</v>
      </c>
      <c r="E810">
        <v>7</v>
      </c>
      <c r="F810" t="s">
        <v>40</v>
      </c>
      <c r="G810">
        <v>165</v>
      </c>
      <c r="H810" t="s">
        <v>104</v>
      </c>
      <c r="I810" t="s">
        <v>22</v>
      </c>
      <c r="J810" t="s">
        <v>24</v>
      </c>
      <c r="K810" t="s">
        <v>3</v>
      </c>
      <c r="L810" s="36">
        <f ca="1">IF(C810&lt;&gt;"Yes",0,IF(A810=2025,N('2025'!D165),IF(A810=2026,N('2026'!D165),IF(A810=2027,N('2027'!D165),IF(A810=2028,N('2028'!D165),IF(A810=2029,N('2029'!D165),IF(A810=2030,N('2030'!D165),IF(A810=2031,N('2031'!D165),IF(A810=2032,N('2032'!D165),IF(A810=2033,N('2033'!D165),IF(A810=2034,N('2034'!D165),IFERROR(N(INDIRECT("'"&amp;A810&amp;"'!D"&amp;G810)),0))))))))))))</f>
        <v>0</v>
      </c>
      <c r="M810" s="36">
        <f>IFERROR(IF(NOT(ISBLANK(KPI_TARGETS!$J$15)),KPI_TARGETS!$J$15,IF(NOT(ISBLANK(KPI_TARGETS!$F$15)),KPI_TARGETS!$F$15,"")),"")</f>
        <v>5</v>
      </c>
      <c r="N810" s="36" t="str">
        <f>IFERROR(KPI_TARGETS!$E$15,"Higher is better")</f>
        <v>Higher is better</v>
      </c>
      <c r="O810" s="37">
        <f t="shared" ca="1" si="72"/>
        <v>0</v>
      </c>
      <c r="P810" t="str">
        <f t="shared" ca="1" si="73"/>
        <v>Red</v>
      </c>
      <c r="Q810" s="36">
        <f t="shared" ca="1" si="74"/>
        <v>-5</v>
      </c>
      <c r="R810" s="36" t="str">
        <f>""</f>
        <v/>
      </c>
      <c r="S810" s="36" t="str">
        <f>""</f>
        <v/>
      </c>
      <c r="T810" s="36" t="str">
        <f>""</f>
        <v/>
      </c>
      <c r="U810" s="36" t="str">
        <f>""</f>
        <v/>
      </c>
      <c r="V810" s="36" t="str">
        <f>""</f>
        <v/>
      </c>
      <c r="W810" s="36">
        <f t="shared" si="75"/>
        <v>1</v>
      </c>
      <c r="X810" t="str">
        <f t="shared" si="76"/>
        <v>Inactive</v>
      </c>
      <c r="Y810" t="str">
        <f>IF(MAIN!$H$3="Selected Year",IF(A810=MAIN!$B$3,"Yes","No"),IF(MAIN!$H$3="Included Years",IF(D810="Yes","Yes","No"),IF(C810="Yes","Yes","No")))</f>
        <v>No</v>
      </c>
      <c r="Z810" t="str">
        <f>IF(MAIN!$F$3="Project to Date",IF(AND(A810&gt;=SETTINGS!$B$4,A810&lt;MAIN!$B$3),"Yes",IF(AND(A810=MAIN!$B$3,E810&lt;=MAIN!$L$3),"Yes","No")),IF(OR(MAIN!$F$3="Full Year",MAIN!$D$3="All"),"Yes",IF(MAIN!$F$3="Monthly",IF(E810=MAIN!$L$3,"Yes","No"),IF(E810&lt;=MAIN!$L$3,"Yes","No"))))</f>
        <v>Yes</v>
      </c>
      <c r="AA810" t="str">
        <f t="shared" si="77"/>
        <v>No</v>
      </c>
    </row>
    <row r="811" spans="1:27" x14ac:dyDescent="0.3">
      <c r="A811">
        <f>INDEX(SETTINGS!$A$15:$A$24,$B811)</f>
        <v>2028</v>
      </c>
      <c r="B811">
        <v>4</v>
      </c>
      <c r="C811" t="str">
        <f>IF(AND(A811&gt;=SETTINGS!$B$4,A811&lt;=SETTINGS!$B$5),"Yes","No")</f>
        <v>No</v>
      </c>
      <c r="D811" t="str">
        <f>IFERROR(INDEX(SETTINGS!$C$15:$C$24,MATCH(A811,SETTINGS!$A$15:$A$24,0)),"No")</f>
        <v>No</v>
      </c>
      <c r="E811">
        <v>7</v>
      </c>
      <c r="F811" t="s">
        <v>40</v>
      </c>
      <c r="G811">
        <v>166</v>
      </c>
      <c r="H811" t="s">
        <v>105</v>
      </c>
      <c r="I811" t="s">
        <v>22</v>
      </c>
      <c r="J811" t="s">
        <v>25</v>
      </c>
      <c r="K811" t="s">
        <v>3</v>
      </c>
      <c r="L811" s="36">
        <f ca="1">IF(C811&lt;&gt;"Yes",0,IF(A811=2025,N('2025'!D166),IF(A811=2026,N('2026'!D166),IF(A811=2027,N('2027'!D166),IF(A811=2028,N('2028'!D166),IF(A811=2029,N('2029'!D166),IF(A811=2030,N('2030'!D166),IF(A811=2031,N('2031'!D166),IF(A811=2032,N('2032'!D166),IF(A811=2033,N('2033'!D166),IF(A811=2034,N('2034'!D166),IFERROR(N(INDIRECT("'"&amp;A811&amp;"'!D"&amp;G811)),0))))))))))))</f>
        <v>0</v>
      </c>
      <c r="M811" s="36">
        <f>IFERROR(IF(NOT(ISBLANK(KPI_TARGETS!$J$16)),KPI_TARGETS!$J$16,IF(NOT(ISBLANK(KPI_TARGETS!$F$16)),KPI_TARGETS!$F$16,"")),"")</f>
        <v>4</v>
      </c>
      <c r="N811" s="36" t="str">
        <f>IFERROR(KPI_TARGETS!$E$16,"Higher is better")</f>
        <v>Higher is better</v>
      </c>
      <c r="O811" s="37">
        <f t="shared" ca="1" si="72"/>
        <v>0</v>
      </c>
      <c r="P811" t="str">
        <f t="shared" ca="1" si="73"/>
        <v>Red</v>
      </c>
      <c r="Q811" s="36">
        <f t="shared" ca="1" si="74"/>
        <v>-4</v>
      </c>
      <c r="R811" s="36" t="str">
        <f>""</f>
        <v/>
      </c>
      <c r="S811" s="36" t="str">
        <f>""</f>
        <v/>
      </c>
      <c r="T811" s="36" t="str">
        <f>""</f>
        <v/>
      </c>
      <c r="U811" s="36" t="str">
        <f>""</f>
        <v/>
      </c>
      <c r="V811" s="36" t="str">
        <f>""</f>
        <v/>
      </c>
      <c r="W811" s="36">
        <f t="shared" si="75"/>
        <v>1</v>
      </c>
      <c r="X811" t="str">
        <f t="shared" si="76"/>
        <v>Inactive</v>
      </c>
      <c r="Y811" t="str">
        <f>IF(MAIN!$H$3="Selected Year",IF(A811=MAIN!$B$3,"Yes","No"),IF(MAIN!$H$3="Included Years",IF(D811="Yes","Yes","No"),IF(C811="Yes","Yes","No")))</f>
        <v>No</v>
      </c>
      <c r="Z811" t="str">
        <f>IF(MAIN!$F$3="Project to Date",IF(AND(A811&gt;=SETTINGS!$B$4,A811&lt;MAIN!$B$3),"Yes",IF(AND(A811=MAIN!$B$3,E811&lt;=MAIN!$L$3),"Yes","No")),IF(OR(MAIN!$F$3="Full Year",MAIN!$D$3="All"),"Yes",IF(MAIN!$F$3="Monthly",IF(E811=MAIN!$L$3,"Yes","No"),IF(E811&lt;=MAIN!$L$3,"Yes","No"))))</f>
        <v>Yes</v>
      </c>
      <c r="AA811" t="str">
        <f t="shared" si="77"/>
        <v>No</v>
      </c>
    </row>
    <row r="812" spans="1:27" x14ac:dyDescent="0.3">
      <c r="A812">
        <f>INDEX(SETTINGS!$A$15:$A$24,$B812)</f>
        <v>2028</v>
      </c>
      <c r="B812">
        <v>4</v>
      </c>
      <c r="C812" t="str">
        <f>IF(AND(A812&gt;=SETTINGS!$B$4,A812&lt;=SETTINGS!$B$5),"Yes","No")</f>
        <v>No</v>
      </c>
      <c r="D812" t="str">
        <f>IFERROR(INDEX(SETTINGS!$C$15:$C$24,MATCH(A812,SETTINGS!$A$15:$A$24,0)),"No")</f>
        <v>No</v>
      </c>
      <c r="E812">
        <v>7</v>
      </c>
      <c r="F812" t="s">
        <v>40</v>
      </c>
      <c r="G812">
        <v>167</v>
      </c>
      <c r="H812" t="s">
        <v>106</v>
      </c>
      <c r="I812" t="s">
        <v>22</v>
      </c>
      <c r="J812" t="s">
        <v>26</v>
      </c>
      <c r="K812" t="s">
        <v>3</v>
      </c>
      <c r="L812" s="36">
        <f ca="1">IF(C812&lt;&gt;"Yes",0,IF(A812=2025,N('2025'!D167),IF(A812=2026,N('2026'!D167),IF(A812=2027,N('2027'!D167),IF(A812=2028,N('2028'!D167),IF(A812=2029,N('2029'!D167),IF(A812=2030,N('2030'!D167),IF(A812=2031,N('2031'!D167),IF(A812=2032,N('2032'!D167),IF(A812=2033,N('2033'!D167),IF(A812=2034,N('2034'!D167),IFERROR(N(INDIRECT("'"&amp;A812&amp;"'!D"&amp;G812)),0))))))))))))</f>
        <v>0</v>
      </c>
      <c r="M812" s="36">
        <f>IFERROR(IF(NOT(ISBLANK(KPI_TARGETS!$J$17)),KPI_TARGETS!$J$17,IF(NOT(ISBLANK(KPI_TARGETS!$F$17)),KPI_TARGETS!$F$17,"")),"")</f>
        <v>12</v>
      </c>
      <c r="N812" s="36" t="str">
        <f>IFERROR(KPI_TARGETS!$E$17,"Higher is better")</f>
        <v>Higher is better</v>
      </c>
      <c r="O812" s="37">
        <f t="shared" ca="1" si="72"/>
        <v>0</v>
      </c>
      <c r="P812" t="str">
        <f t="shared" ca="1" si="73"/>
        <v>Red</v>
      </c>
      <c r="Q812" s="36">
        <f t="shared" ca="1" si="74"/>
        <v>-12</v>
      </c>
      <c r="R812" s="36" t="str">
        <f>""</f>
        <v/>
      </c>
      <c r="S812" s="36" t="str">
        <f>""</f>
        <v/>
      </c>
      <c r="T812" s="36" t="str">
        <f>""</f>
        <v/>
      </c>
      <c r="U812" s="36" t="str">
        <f>""</f>
        <v/>
      </c>
      <c r="V812" s="36" t="str">
        <f>""</f>
        <v/>
      </c>
      <c r="W812" s="36">
        <f t="shared" si="75"/>
        <v>1</v>
      </c>
      <c r="X812" t="str">
        <f t="shared" si="76"/>
        <v>Inactive</v>
      </c>
      <c r="Y812" t="str">
        <f>IF(MAIN!$H$3="Selected Year",IF(A812=MAIN!$B$3,"Yes","No"),IF(MAIN!$H$3="Included Years",IF(D812="Yes","Yes","No"),IF(C812="Yes","Yes","No")))</f>
        <v>No</v>
      </c>
      <c r="Z812" t="str">
        <f>IF(MAIN!$F$3="Project to Date",IF(AND(A812&gt;=SETTINGS!$B$4,A812&lt;MAIN!$B$3),"Yes",IF(AND(A812=MAIN!$B$3,E812&lt;=MAIN!$L$3),"Yes","No")),IF(OR(MAIN!$F$3="Full Year",MAIN!$D$3="All"),"Yes",IF(MAIN!$F$3="Monthly",IF(E812=MAIN!$L$3,"Yes","No"),IF(E812&lt;=MAIN!$L$3,"Yes","No"))))</f>
        <v>Yes</v>
      </c>
      <c r="AA812" t="str">
        <f t="shared" si="77"/>
        <v>No</v>
      </c>
    </row>
    <row r="813" spans="1:27" x14ac:dyDescent="0.3">
      <c r="A813">
        <f>INDEX(SETTINGS!$A$15:$A$24,$B813)</f>
        <v>2028</v>
      </c>
      <c r="B813">
        <v>4</v>
      </c>
      <c r="C813" t="str">
        <f>IF(AND(A813&gt;=SETTINGS!$B$4,A813&lt;=SETTINGS!$B$5),"Yes","No")</f>
        <v>No</v>
      </c>
      <c r="D813" t="str">
        <f>IFERROR(INDEX(SETTINGS!$C$15:$C$24,MATCH(A813,SETTINGS!$A$15:$A$24,0)),"No")</f>
        <v>No</v>
      </c>
      <c r="E813">
        <v>7</v>
      </c>
      <c r="F813" t="s">
        <v>40</v>
      </c>
      <c r="G813">
        <v>168</v>
      </c>
      <c r="H813" t="s">
        <v>107</v>
      </c>
      <c r="I813" t="s">
        <v>22</v>
      </c>
      <c r="J813" t="s">
        <v>27</v>
      </c>
      <c r="K813" t="s">
        <v>3</v>
      </c>
      <c r="L813" s="36">
        <f ca="1">IF(C813&lt;&gt;"Yes",0,IF(A813=2025,N('2025'!D168),IF(A813=2026,N('2026'!D168),IF(A813=2027,N('2027'!D168),IF(A813=2028,N('2028'!D168),IF(A813=2029,N('2029'!D168),IF(A813=2030,N('2030'!D168),IF(A813=2031,N('2031'!D168),IF(A813=2032,N('2032'!D168),IF(A813=2033,N('2033'!D168),IF(A813=2034,N('2034'!D168),IFERROR(N(INDIRECT("'"&amp;A813&amp;"'!D"&amp;G813)),0))))))))))))</f>
        <v>0</v>
      </c>
      <c r="M813" s="36">
        <f>IFERROR(IF(NOT(ISBLANK(KPI_TARGETS!$J$18)),KPI_TARGETS!$J$18,IF(NOT(ISBLANK(KPI_TARGETS!$F$18)),KPI_TARGETS!$F$18,"")),"")</f>
        <v>4</v>
      </c>
      <c r="N813" s="36" t="str">
        <f>IFERROR(KPI_TARGETS!$E$18,"Higher is better")</f>
        <v>Higher is better</v>
      </c>
      <c r="O813" s="37">
        <f t="shared" ca="1" si="72"/>
        <v>0</v>
      </c>
      <c r="P813" t="str">
        <f t="shared" ca="1" si="73"/>
        <v>Red</v>
      </c>
      <c r="Q813" s="36">
        <f t="shared" ca="1" si="74"/>
        <v>-4</v>
      </c>
      <c r="R813" s="36" t="str">
        <f>""</f>
        <v/>
      </c>
      <c r="S813" s="36" t="str">
        <f>""</f>
        <v/>
      </c>
      <c r="T813" s="36" t="str">
        <f>""</f>
        <v/>
      </c>
      <c r="U813" s="36" t="str">
        <f>""</f>
        <v/>
      </c>
      <c r="V813" s="36" t="str">
        <f>""</f>
        <v/>
      </c>
      <c r="W813" s="36">
        <f t="shared" si="75"/>
        <v>1</v>
      </c>
      <c r="X813" t="str">
        <f t="shared" si="76"/>
        <v>Inactive</v>
      </c>
      <c r="Y813" t="str">
        <f>IF(MAIN!$H$3="Selected Year",IF(A813=MAIN!$B$3,"Yes","No"),IF(MAIN!$H$3="Included Years",IF(D813="Yes","Yes","No"),IF(C813="Yes","Yes","No")))</f>
        <v>No</v>
      </c>
      <c r="Z813" t="str">
        <f>IF(MAIN!$F$3="Project to Date",IF(AND(A813&gt;=SETTINGS!$B$4,A813&lt;MAIN!$B$3),"Yes",IF(AND(A813=MAIN!$B$3,E813&lt;=MAIN!$L$3),"Yes","No")),IF(OR(MAIN!$F$3="Full Year",MAIN!$D$3="All"),"Yes",IF(MAIN!$F$3="Monthly",IF(E813=MAIN!$L$3,"Yes","No"),IF(E813&lt;=MAIN!$L$3,"Yes","No"))))</f>
        <v>Yes</v>
      </c>
      <c r="AA813" t="str">
        <f t="shared" si="77"/>
        <v>No</v>
      </c>
    </row>
    <row r="814" spans="1:27" x14ac:dyDescent="0.3">
      <c r="A814">
        <f>INDEX(SETTINGS!$A$15:$A$24,$B814)</f>
        <v>2028</v>
      </c>
      <c r="B814">
        <v>4</v>
      </c>
      <c r="C814" t="str">
        <f>IF(AND(A814&gt;=SETTINGS!$B$4,A814&lt;=SETTINGS!$B$5),"Yes","No")</f>
        <v>No</v>
      </c>
      <c r="D814" t="str">
        <f>IFERROR(INDEX(SETTINGS!$C$15:$C$24,MATCH(A814,SETTINGS!$A$15:$A$24,0)),"No")</f>
        <v>No</v>
      </c>
      <c r="E814">
        <v>7</v>
      </c>
      <c r="F814" t="s">
        <v>40</v>
      </c>
      <c r="G814">
        <v>169</v>
      </c>
      <c r="H814" t="s">
        <v>108</v>
      </c>
      <c r="I814" t="s">
        <v>22</v>
      </c>
      <c r="J814" t="s">
        <v>28</v>
      </c>
      <c r="K814" t="s">
        <v>3</v>
      </c>
      <c r="L814" s="36">
        <f ca="1">IF(C814&lt;&gt;"Yes",0,IF(A814=2025,N('2025'!D169),IF(A814=2026,N('2026'!D169),IF(A814=2027,N('2027'!D169),IF(A814=2028,N('2028'!D169),IF(A814=2029,N('2029'!D169),IF(A814=2030,N('2030'!D169),IF(A814=2031,N('2031'!D169),IF(A814=2032,N('2032'!D169),IF(A814=2033,N('2033'!D169),IF(A814=2034,N('2034'!D169),IFERROR(N(INDIRECT("'"&amp;A814&amp;"'!D"&amp;G814)),0))))))))))))</f>
        <v>0</v>
      </c>
      <c r="M814" s="36">
        <f>IFERROR(IF(NOT(ISBLANK(KPI_TARGETS!$J$19)),KPI_TARGETS!$J$19,IF(NOT(ISBLANK(KPI_TARGETS!$F$19)),KPI_TARGETS!$F$19,"")),"")</f>
        <v>16</v>
      </c>
      <c r="N814" s="36" t="str">
        <f>IFERROR(KPI_TARGETS!$E$19,"Higher is better")</f>
        <v>Higher is better</v>
      </c>
      <c r="O814" s="37">
        <f t="shared" ca="1" si="72"/>
        <v>0</v>
      </c>
      <c r="P814" t="str">
        <f t="shared" ca="1" si="73"/>
        <v>Red</v>
      </c>
      <c r="Q814" s="36">
        <f t="shared" ca="1" si="74"/>
        <v>-16</v>
      </c>
      <c r="R814" s="36" t="str">
        <f>""</f>
        <v/>
      </c>
      <c r="S814" s="36" t="str">
        <f>""</f>
        <v/>
      </c>
      <c r="T814" s="36" t="str">
        <f>""</f>
        <v/>
      </c>
      <c r="U814" s="36" t="str">
        <f>""</f>
        <v/>
      </c>
      <c r="V814" s="36" t="str">
        <f>""</f>
        <v/>
      </c>
      <c r="W814" s="36">
        <f t="shared" si="75"/>
        <v>1</v>
      </c>
      <c r="X814" t="str">
        <f t="shared" si="76"/>
        <v>Inactive</v>
      </c>
      <c r="Y814" t="str">
        <f>IF(MAIN!$H$3="Selected Year",IF(A814=MAIN!$B$3,"Yes","No"),IF(MAIN!$H$3="Included Years",IF(D814="Yes","Yes","No"),IF(C814="Yes","Yes","No")))</f>
        <v>No</v>
      </c>
      <c r="Z814" t="str">
        <f>IF(MAIN!$F$3="Project to Date",IF(AND(A814&gt;=SETTINGS!$B$4,A814&lt;MAIN!$B$3),"Yes",IF(AND(A814=MAIN!$B$3,E814&lt;=MAIN!$L$3),"Yes","No")),IF(OR(MAIN!$F$3="Full Year",MAIN!$D$3="All"),"Yes",IF(MAIN!$F$3="Monthly",IF(E814=MAIN!$L$3,"Yes","No"),IF(E814&lt;=MAIN!$L$3,"Yes","No"))))</f>
        <v>Yes</v>
      </c>
      <c r="AA814" t="str">
        <f t="shared" si="77"/>
        <v>No</v>
      </c>
    </row>
    <row r="815" spans="1:27" x14ac:dyDescent="0.3">
      <c r="A815">
        <f>INDEX(SETTINGS!$A$15:$A$24,$B815)</f>
        <v>2028</v>
      </c>
      <c r="B815">
        <v>4</v>
      </c>
      <c r="C815" t="str">
        <f>IF(AND(A815&gt;=SETTINGS!$B$4,A815&lt;=SETTINGS!$B$5),"Yes","No")</f>
        <v>No</v>
      </c>
      <c r="D815" t="str">
        <f>IFERROR(INDEX(SETTINGS!$C$15:$C$24,MATCH(A815,SETTINGS!$A$15:$A$24,0)),"No")</f>
        <v>No</v>
      </c>
      <c r="E815">
        <v>7</v>
      </c>
      <c r="F815" t="s">
        <v>40</v>
      </c>
      <c r="G815">
        <v>170</v>
      </c>
      <c r="H815" t="s">
        <v>109</v>
      </c>
      <c r="I815" t="s">
        <v>22</v>
      </c>
      <c r="J815" t="s">
        <v>29</v>
      </c>
      <c r="K815" t="s">
        <v>3</v>
      </c>
      <c r="L815" s="36">
        <f ca="1">IF(C815&lt;&gt;"Yes",0,IF(A815=2025,N('2025'!D170),IF(A815=2026,N('2026'!D170),IF(A815=2027,N('2027'!D170),IF(A815=2028,N('2028'!D170),IF(A815=2029,N('2029'!D170),IF(A815=2030,N('2030'!D170),IF(A815=2031,N('2031'!D170),IF(A815=2032,N('2032'!D170),IF(A815=2033,N('2033'!D170),IF(A815=2034,N('2034'!D170),IFERROR(N(INDIRECT("'"&amp;A815&amp;"'!D"&amp;G815)),0))))))))))))</f>
        <v>0</v>
      </c>
      <c r="M815" s="36">
        <f>IFERROR(IF(NOT(ISBLANK(KPI_TARGETS!$J$20)),KPI_TARGETS!$J$20,IF(NOT(ISBLANK(KPI_TARGETS!$F$20)),KPI_TARGETS!$F$20,"")),"")</f>
        <v>1</v>
      </c>
      <c r="N815" s="36" t="str">
        <f>IFERROR(KPI_TARGETS!$E$20,"Higher is better")</f>
        <v>Higher is better</v>
      </c>
      <c r="O815" s="37">
        <f t="shared" ca="1" si="72"/>
        <v>0</v>
      </c>
      <c r="P815" t="str">
        <f t="shared" ca="1" si="73"/>
        <v>Red</v>
      </c>
      <c r="Q815" s="36">
        <f t="shared" ca="1" si="74"/>
        <v>-1</v>
      </c>
      <c r="R815" s="36" t="str">
        <f>""</f>
        <v/>
      </c>
      <c r="S815" s="36" t="str">
        <f>""</f>
        <v/>
      </c>
      <c r="T815" s="36" t="str">
        <f>""</f>
        <v/>
      </c>
      <c r="U815" s="36" t="str">
        <f>""</f>
        <v/>
      </c>
      <c r="V815" s="36" t="str">
        <f>""</f>
        <v/>
      </c>
      <c r="W815" s="36">
        <f t="shared" si="75"/>
        <v>1</v>
      </c>
      <c r="X815" t="str">
        <f t="shared" si="76"/>
        <v>Inactive</v>
      </c>
      <c r="Y815" t="str">
        <f>IF(MAIN!$H$3="Selected Year",IF(A815=MAIN!$B$3,"Yes","No"),IF(MAIN!$H$3="Included Years",IF(D815="Yes","Yes","No"),IF(C815="Yes","Yes","No")))</f>
        <v>No</v>
      </c>
      <c r="Z815" t="str">
        <f>IF(MAIN!$F$3="Project to Date",IF(AND(A815&gt;=SETTINGS!$B$4,A815&lt;MAIN!$B$3),"Yes",IF(AND(A815=MAIN!$B$3,E815&lt;=MAIN!$L$3),"Yes","No")),IF(OR(MAIN!$F$3="Full Year",MAIN!$D$3="All"),"Yes",IF(MAIN!$F$3="Monthly",IF(E815=MAIN!$L$3,"Yes","No"),IF(E815&lt;=MAIN!$L$3,"Yes","No"))))</f>
        <v>Yes</v>
      </c>
      <c r="AA815" t="str">
        <f t="shared" si="77"/>
        <v>No</v>
      </c>
    </row>
    <row r="816" spans="1:27" x14ac:dyDescent="0.3">
      <c r="A816">
        <f>INDEX(SETTINGS!$A$15:$A$24,$B816)</f>
        <v>2028</v>
      </c>
      <c r="B816">
        <v>4</v>
      </c>
      <c r="C816" t="str">
        <f>IF(AND(A816&gt;=SETTINGS!$B$4,A816&lt;=SETTINGS!$B$5),"Yes","No")</f>
        <v>No</v>
      </c>
      <c r="D816" t="str">
        <f>IFERROR(INDEX(SETTINGS!$C$15:$C$24,MATCH(A816,SETTINGS!$A$15:$A$24,0)),"No")</f>
        <v>No</v>
      </c>
      <c r="E816">
        <v>7</v>
      </c>
      <c r="F816" t="s">
        <v>40</v>
      </c>
      <c r="G816">
        <v>172</v>
      </c>
      <c r="H816" t="s">
        <v>110</v>
      </c>
      <c r="I816" t="s">
        <v>30</v>
      </c>
      <c r="J816" t="s">
        <v>31</v>
      </c>
      <c r="K816" t="s">
        <v>3</v>
      </c>
      <c r="L816" s="36">
        <f ca="1">IF(C816&lt;&gt;"Yes",0,IF(A816=2025,N('2025'!D172),IF(A816=2026,N('2026'!D172),IF(A816=2027,N('2027'!D172),IF(A816=2028,N('2028'!D172),IF(A816=2029,N('2029'!D172),IF(A816=2030,N('2030'!D172),IF(A816=2031,N('2031'!D172),IF(A816=2032,N('2032'!D172),IF(A816=2033,N('2033'!D172),IF(A816=2034,N('2034'!D172),IFERROR(N(INDIRECT("'"&amp;A816&amp;"'!D"&amp;G816)),0))))))))))))</f>
        <v>0</v>
      </c>
      <c r="M816" s="36">
        <f>IFERROR(IF(NOT(ISBLANK(KPI_TARGETS!$J$21)),KPI_TARGETS!$J$21,IF(NOT(ISBLANK(KPI_TARGETS!$F$21)),KPI_TARGETS!$F$21,"")),"")</f>
        <v>0</v>
      </c>
      <c r="N816" s="36" t="str">
        <f>IFERROR(KPI_TARGETS!$E$21,"Higher is better")</f>
        <v>Lower is better</v>
      </c>
      <c r="O816" s="37">
        <f t="shared" ca="1" si="72"/>
        <v>1</v>
      </c>
      <c r="P816" t="str">
        <f t="shared" ca="1" si="73"/>
        <v>Green</v>
      </c>
      <c r="Q816" s="36">
        <f t="shared" ca="1" si="74"/>
        <v>0</v>
      </c>
      <c r="R816" s="36" t="str">
        <f>""</f>
        <v/>
      </c>
      <c r="S816" s="36" t="str">
        <f>""</f>
        <v/>
      </c>
      <c r="T816" s="36" t="str">
        <f>""</f>
        <v/>
      </c>
      <c r="U816" s="36" t="str">
        <f>""</f>
        <v/>
      </c>
      <c r="V816" s="36" t="str">
        <f>""</f>
        <v/>
      </c>
      <c r="W816" s="36">
        <f t="shared" si="75"/>
        <v>1</v>
      </c>
      <c r="X816" t="str">
        <f t="shared" si="76"/>
        <v>Inactive</v>
      </c>
      <c r="Y816" t="str">
        <f>IF(MAIN!$H$3="Selected Year",IF(A816=MAIN!$B$3,"Yes","No"),IF(MAIN!$H$3="Included Years",IF(D816="Yes","Yes","No"),IF(C816="Yes","Yes","No")))</f>
        <v>No</v>
      </c>
      <c r="Z816" t="str">
        <f>IF(MAIN!$F$3="Project to Date",IF(AND(A816&gt;=SETTINGS!$B$4,A816&lt;MAIN!$B$3),"Yes",IF(AND(A816=MAIN!$B$3,E816&lt;=MAIN!$L$3),"Yes","No")),IF(OR(MAIN!$F$3="Full Year",MAIN!$D$3="All"),"Yes",IF(MAIN!$F$3="Monthly",IF(E816=MAIN!$L$3,"Yes","No"),IF(E816&lt;=MAIN!$L$3,"Yes","No"))))</f>
        <v>Yes</v>
      </c>
      <c r="AA816" t="str">
        <f t="shared" si="77"/>
        <v>No</v>
      </c>
    </row>
    <row r="817" spans="1:27" x14ac:dyDescent="0.3">
      <c r="A817">
        <f>INDEX(SETTINGS!$A$15:$A$24,$B817)</f>
        <v>2028</v>
      </c>
      <c r="B817">
        <v>4</v>
      </c>
      <c r="C817" t="str">
        <f>IF(AND(A817&gt;=SETTINGS!$B$4,A817&lt;=SETTINGS!$B$5),"Yes","No")</f>
        <v>No</v>
      </c>
      <c r="D817" t="str">
        <f>IFERROR(INDEX(SETTINGS!$C$15:$C$24,MATCH(A817,SETTINGS!$A$15:$A$24,0)),"No")</f>
        <v>No</v>
      </c>
      <c r="E817">
        <v>7</v>
      </c>
      <c r="F817" t="s">
        <v>40</v>
      </c>
      <c r="G817">
        <v>173</v>
      </c>
      <c r="H817" t="s">
        <v>111</v>
      </c>
      <c r="I817" t="s">
        <v>30</v>
      </c>
      <c r="J817" t="s">
        <v>32</v>
      </c>
      <c r="K817" t="s">
        <v>3</v>
      </c>
      <c r="L817" s="36">
        <f ca="1">IF(C817&lt;&gt;"Yes",0,IF(A817=2025,N('2025'!D173),IF(A817=2026,N('2026'!D173),IF(A817=2027,N('2027'!D173),IF(A817=2028,N('2028'!D173),IF(A817=2029,N('2029'!D173),IF(A817=2030,N('2030'!D173),IF(A817=2031,N('2031'!D173),IF(A817=2032,N('2032'!D173),IF(A817=2033,N('2033'!D173),IF(A817=2034,N('2034'!D173),IFERROR(N(INDIRECT("'"&amp;A817&amp;"'!D"&amp;G817)),0))))))))))))</f>
        <v>0</v>
      </c>
      <c r="M817" s="36">
        <f>IFERROR(IF(NOT(ISBLANK(KPI_TARGETS!$J$22)),KPI_TARGETS!$J$22,IF(NOT(ISBLANK(KPI_TARGETS!$F$22)),KPI_TARGETS!$F$22,"")),"")</f>
        <v>1</v>
      </c>
      <c r="N817" s="36" t="str">
        <f>IFERROR(KPI_TARGETS!$E$22,"Higher is better")</f>
        <v>Higher is better</v>
      </c>
      <c r="O817" s="37">
        <f t="shared" ca="1" si="72"/>
        <v>0</v>
      </c>
      <c r="P817" t="str">
        <f t="shared" ca="1" si="73"/>
        <v>Red</v>
      </c>
      <c r="Q817" s="36">
        <f t="shared" ca="1" si="74"/>
        <v>-1</v>
      </c>
      <c r="R817" s="36" t="str">
        <f>""</f>
        <v/>
      </c>
      <c r="S817" s="36" t="str">
        <f>""</f>
        <v/>
      </c>
      <c r="T817" s="36" t="str">
        <f>""</f>
        <v/>
      </c>
      <c r="U817" s="36" t="str">
        <f>""</f>
        <v/>
      </c>
      <c r="V817" s="36" t="str">
        <f>""</f>
        <v/>
      </c>
      <c r="W817" s="36">
        <f t="shared" si="75"/>
        <v>1</v>
      </c>
      <c r="X817" t="str">
        <f t="shared" si="76"/>
        <v>Inactive</v>
      </c>
      <c r="Y817" t="str">
        <f>IF(MAIN!$H$3="Selected Year",IF(A817=MAIN!$B$3,"Yes","No"),IF(MAIN!$H$3="Included Years",IF(D817="Yes","Yes","No"),IF(C817="Yes","Yes","No")))</f>
        <v>No</v>
      </c>
      <c r="Z817" t="str">
        <f>IF(MAIN!$F$3="Project to Date",IF(AND(A817&gt;=SETTINGS!$B$4,A817&lt;MAIN!$B$3),"Yes",IF(AND(A817=MAIN!$B$3,E817&lt;=MAIN!$L$3),"Yes","No")),IF(OR(MAIN!$F$3="Full Year",MAIN!$D$3="All"),"Yes",IF(MAIN!$F$3="Monthly",IF(E817=MAIN!$L$3,"Yes","No"),IF(E817&lt;=MAIN!$L$3,"Yes","No"))))</f>
        <v>Yes</v>
      </c>
      <c r="AA817" t="str">
        <f t="shared" si="77"/>
        <v>No</v>
      </c>
    </row>
    <row r="818" spans="1:27" x14ac:dyDescent="0.3">
      <c r="A818">
        <f>INDEX(SETTINGS!$A$15:$A$24,$B818)</f>
        <v>2028</v>
      </c>
      <c r="B818">
        <v>4</v>
      </c>
      <c r="C818" t="str">
        <f>IF(AND(A818&gt;=SETTINGS!$B$4,A818&lt;=SETTINGS!$B$5),"Yes","No")</f>
        <v>No</v>
      </c>
      <c r="D818" t="str">
        <f>IFERROR(INDEX(SETTINGS!$C$15:$C$24,MATCH(A818,SETTINGS!$A$15:$A$24,0)),"No")</f>
        <v>No</v>
      </c>
      <c r="E818">
        <v>7</v>
      </c>
      <c r="F818" t="s">
        <v>40</v>
      </c>
      <c r="G818">
        <v>174</v>
      </c>
      <c r="H818" t="s">
        <v>112</v>
      </c>
      <c r="I818" t="s">
        <v>30</v>
      </c>
      <c r="J818" t="s">
        <v>33</v>
      </c>
      <c r="K818" t="s">
        <v>34</v>
      </c>
      <c r="L818" s="36">
        <f ca="1">IF(C818&lt;&gt;"Yes",0,IF(A818=2025,N('2025'!D174),IF(A818=2026,N('2026'!D174),IF(A818=2027,N('2027'!D174),IF(A818=2028,N('2028'!D174),IF(A818=2029,N('2029'!D174),IF(A818=2030,N('2030'!D174),IF(A818=2031,N('2031'!D174),IF(A818=2032,N('2032'!D174),IF(A818=2033,N('2033'!D174),IF(A818=2034,N('2034'!D174),IFERROR(N(INDIRECT("'"&amp;A818&amp;"'!D"&amp;G818)),0))))))))))))</f>
        <v>0</v>
      </c>
      <c r="M818" s="36">
        <f>IFERROR(IF(NOT(ISBLANK(KPI_TARGETS!$J$23)),KPI_TARGETS!$J$23,IF(NOT(ISBLANK(KPI_TARGETS!$F$23)),KPI_TARGETS!$F$23,"")),"")</f>
        <v>1</v>
      </c>
      <c r="N818" s="36" t="str">
        <f>IFERROR(KPI_TARGETS!$E$23,"Higher is better")</f>
        <v>Higher is better</v>
      </c>
      <c r="O818" s="37">
        <f t="shared" ca="1" si="72"/>
        <v>0</v>
      </c>
      <c r="P818" t="str">
        <f t="shared" ca="1" si="73"/>
        <v>Red</v>
      </c>
      <c r="Q818" s="36">
        <f t="shared" ca="1" si="74"/>
        <v>-1</v>
      </c>
      <c r="R818" s="36" t="str">
        <f>""</f>
        <v/>
      </c>
      <c r="S818" s="36" t="str">
        <f>""</f>
        <v/>
      </c>
      <c r="T818" s="36" t="str">
        <f>""</f>
        <v/>
      </c>
      <c r="U818" s="36" t="str">
        <f>""</f>
        <v/>
      </c>
      <c r="V818" s="36" t="str">
        <f>""</f>
        <v/>
      </c>
      <c r="W818" s="36">
        <f t="shared" si="75"/>
        <v>1</v>
      </c>
      <c r="X818" t="str">
        <f t="shared" si="76"/>
        <v>Inactive</v>
      </c>
      <c r="Y818" t="str">
        <f>IF(MAIN!$H$3="Selected Year",IF(A818=MAIN!$B$3,"Yes","No"),IF(MAIN!$H$3="Included Years",IF(D818="Yes","Yes","No"),IF(C818="Yes","Yes","No")))</f>
        <v>No</v>
      </c>
      <c r="Z818" t="str">
        <f>IF(MAIN!$F$3="Project to Date",IF(AND(A818&gt;=SETTINGS!$B$4,A818&lt;MAIN!$B$3),"Yes",IF(AND(A818=MAIN!$B$3,E818&lt;=MAIN!$L$3),"Yes","No")),IF(OR(MAIN!$F$3="Full Year",MAIN!$D$3="All"),"Yes",IF(MAIN!$F$3="Monthly",IF(E818=MAIN!$L$3,"Yes","No"),IF(E818&lt;=MAIN!$L$3,"Yes","No"))))</f>
        <v>Yes</v>
      </c>
      <c r="AA818" t="str">
        <f t="shared" si="77"/>
        <v>No</v>
      </c>
    </row>
    <row r="819" spans="1:27" x14ac:dyDescent="0.3">
      <c r="A819">
        <f>INDEX(SETTINGS!$A$15:$A$24,$B819)</f>
        <v>2028</v>
      </c>
      <c r="B819">
        <v>4</v>
      </c>
      <c r="C819" t="str">
        <f>IF(AND(A819&gt;=SETTINGS!$B$4,A819&lt;=SETTINGS!$B$5),"Yes","No")</f>
        <v>No</v>
      </c>
      <c r="D819" t="str">
        <f>IFERROR(INDEX(SETTINGS!$C$15:$C$24,MATCH(A819,SETTINGS!$A$15:$A$24,0)),"No")</f>
        <v>No</v>
      </c>
      <c r="E819">
        <v>8</v>
      </c>
      <c r="F819" t="s">
        <v>41</v>
      </c>
      <c r="G819">
        <v>177</v>
      </c>
      <c r="H819" t="s">
        <v>88</v>
      </c>
      <c r="I819" t="s">
        <v>89</v>
      </c>
      <c r="J819" t="s">
        <v>10</v>
      </c>
      <c r="K819" t="s">
        <v>3</v>
      </c>
      <c r="L819" s="36">
        <f ca="1">IF(C819&lt;&gt;"Yes",0,IF(A819=2025,N('2025'!D177),IF(A819=2026,N('2026'!D177),IF(A819=2027,N('2027'!D177),IF(A819=2028,N('2028'!D177),IF(A819=2029,N('2029'!D177),IF(A819=2030,N('2030'!D177),IF(A819=2031,N('2031'!D177),IF(A819=2032,N('2032'!D177),IF(A819=2033,N('2033'!D177),IF(A819=2034,N('2034'!D177),IFERROR(N(INDIRECT("'"&amp;A819&amp;"'!D"&amp;G819)),0))))))))))))</f>
        <v>0</v>
      </c>
      <c r="M819" s="36">
        <f>IFERROR(IF(NOT(ISBLANK(KPI_TARGETS!$J$5)),KPI_TARGETS!$J$5,IF(NOT(ISBLANK(KPI_TARGETS!$F$5)),KPI_TARGETS!$F$5,"")),"")</f>
        <v>104</v>
      </c>
      <c r="N819" s="36" t="str">
        <f>IFERROR(KPI_TARGETS!$E$5,"Higher is better")</f>
        <v>Higher is better</v>
      </c>
      <c r="O819" s="37">
        <f t="shared" ca="1" si="72"/>
        <v>0</v>
      </c>
      <c r="P819" t="str">
        <f t="shared" ca="1" si="73"/>
        <v>Red</v>
      </c>
      <c r="Q819" s="36">
        <f t="shared" ca="1" si="74"/>
        <v>-104</v>
      </c>
      <c r="R819" s="36" t="str">
        <f>""</f>
        <v/>
      </c>
      <c r="S819" s="36" t="str">
        <f>""</f>
        <v/>
      </c>
      <c r="T819" s="36" t="str">
        <f>""</f>
        <v/>
      </c>
      <c r="U819" s="36" t="str">
        <f>""</f>
        <v/>
      </c>
      <c r="V819" s="36" t="str">
        <f>""</f>
        <v/>
      </c>
      <c r="W819" s="36">
        <f t="shared" si="75"/>
        <v>1</v>
      </c>
      <c r="X819" t="str">
        <f t="shared" si="76"/>
        <v>Inactive</v>
      </c>
      <c r="Y819" t="str">
        <f>IF(MAIN!$H$3="Selected Year",IF(A819=MAIN!$B$3,"Yes","No"),IF(MAIN!$H$3="Included Years",IF(D819="Yes","Yes","No"),IF(C819="Yes","Yes","No")))</f>
        <v>No</v>
      </c>
      <c r="Z819" t="str">
        <f>IF(MAIN!$F$3="Project to Date",IF(AND(A819&gt;=SETTINGS!$B$4,A819&lt;MAIN!$B$3),"Yes",IF(AND(A819=MAIN!$B$3,E819&lt;=MAIN!$L$3),"Yes","No")),IF(OR(MAIN!$F$3="Full Year",MAIN!$D$3="All"),"Yes",IF(MAIN!$F$3="Monthly",IF(E819=MAIN!$L$3,"Yes","No"),IF(E819&lt;=MAIN!$L$3,"Yes","No"))))</f>
        <v>Yes</v>
      </c>
      <c r="AA819" t="str">
        <f t="shared" si="77"/>
        <v>No</v>
      </c>
    </row>
    <row r="820" spans="1:27" x14ac:dyDescent="0.3">
      <c r="A820">
        <f>INDEX(SETTINGS!$A$15:$A$24,$B820)</f>
        <v>2028</v>
      </c>
      <c r="B820">
        <v>4</v>
      </c>
      <c r="C820" t="str">
        <f>IF(AND(A820&gt;=SETTINGS!$B$4,A820&lt;=SETTINGS!$B$5),"Yes","No")</f>
        <v>No</v>
      </c>
      <c r="D820" t="str">
        <f>IFERROR(INDEX(SETTINGS!$C$15:$C$24,MATCH(A820,SETTINGS!$A$15:$A$24,0)),"No")</f>
        <v>No</v>
      </c>
      <c r="E820">
        <v>8</v>
      </c>
      <c r="F820" t="s">
        <v>41</v>
      </c>
      <c r="G820">
        <v>178</v>
      </c>
      <c r="H820" t="s">
        <v>91</v>
      </c>
      <c r="I820" t="s">
        <v>89</v>
      </c>
      <c r="J820" t="s">
        <v>11</v>
      </c>
      <c r="K820" t="s">
        <v>12</v>
      </c>
      <c r="L820" s="36">
        <f ca="1">IF(C820&lt;&gt;"Yes",0,IF(A820=2025,N('2025'!D178),IF(A820=2026,N('2026'!D178),IF(A820=2027,N('2027'!D178),IF(A820=2028,N('2028'!D178),IF(A820=2029,N('2029'!D178),IF(A820=2030,N('2030'!D178),IF(A820=2031,N('2031'!D178),IF(A820=2032,N('2032'!D178),IF(A820=2033,N('2033'!D178),IF(A820=2034,N('2034'!D178),IFERROR(N(INDIRECT("'"&amp;A820&amp;"'!D"&amp;G820)),0))))))))))))</f>
        <v>0</v>
      </c>
      <c r="M820" s="36">
        <f>IFERROR(IF(NOT(ISBLANK(KPI_TARGETS!$J$6)),KPI_TARGETS!$J$6,IF(NOT(ISBLANK(KPI_TARGETS!$F$6)),KPI_TARGETS!$F$6,"")),"")</f>
        <v>4000</v>
      </c>
      <c r="N820" s="36" t="str">
        <f>IFERROR(KPI_TARGETS!$E$6,"Higher is better")</f>
        <v>Higher is better</v>
      </c>
      <c r="O820" s="37">
        <f t="shared" ca="1" si="72"/>
        <v>0</v>
      </c>
      <c r="P820" t="str">
        <f t="shared" ca="1" si="73"/>
        <v>Red</v>
      </c>
      <c r="Q820" s="36">
        <f t="shared" ca="1" si="74"/>
        <v>-4000</v>
      </c>
      <c r="R820" s="36" t="str">
        <f>""</f>
        <v/>
      </c>
      <c r="S820" s="36" t="str">
        <f>""</f>
        <v/>
      </c>
      <c r="T820" s="36" t="str">
        <f>""</f>
        <v/>
      </c>
      <c r="U820" s="36" t="str">
        <f>""</f>
        <v/>
      </c>
      <c r="V820" s="36" t="str">
        <f>""</f>
        <v/>
      </c>
      <c r="W820" s="36">
        <f t="shared" si="75"/>
        <v>1</v>
      </c>
      <c r="X820" t="str">
        <f t="shared" si="76"/>
        <v>Inactive</v>
      </c>
      <c r="Y820" t="str">
        <f>IF(MAIN!$H$3="Selected Year",IF(A820=MAIN!$B$3,"Yes","No"),IF(MAIN!$H$3="Included Years",IF(D820="Yes","Yes","No"),IF(C820="Yes","Yes","No")))</f>
        <v>No</v>
      </c>
      <c r="Z820" t="str">
        <f>IF(MAIN!$F$3="Project to Date",IF(AND(A820&gt;=SETTINGS!$B$4,A820&lt;MAIN!$B$3),"Yes",IF(AND(A820=MAIN!$B$3,E820&lt;=MAIN!$L$3),"Yes","No")),IF(OR(MAIN!$F$3="Full Year",MAIN!$D$3="All"),"Yes",IF(MAIN!$F$3="Monthly",IF(E820=MAIN!$L$3,"Yes","No"),IF(E820&lt;=MAIN!$L$3,"Yes","No"))))</f>
        <v>Yes</v>
      </c>
      <c r="AA820" t="str">
        <f t="shared" si="77"/>
        <v>No</v>
      </c>
    </row>
    <row r="821" spans="1:27" x14ac:dyDescent="0.3">
      <c r="A821">
        <f>INDEX(SETTINGS!$A$15:$A$24,$B821)</f>
        <v>2028</v>
      </c>
      <c r="B821">
        <v>4</v>
      </c>
      <c r="C821" t="str">
        <f>IF(AND(A821&gt;=SETTINGS!$B$4,A821&lt;=SETTINGS!$B$5),"Yes","No")</f>
        <v>No</v>
      </c>
      <c r="D821" t="str">
        <f>IFERROR(INDEX(SETTINGS!$C$15:$C$24,MATCH(A821,SETTINGS!$A$15:$A$24,0)),"No")</f>
        <v>No</v>
      </c>
      <c r="E821">
        <v>8</v>
      </c>
      <c r="F821" t="s">
        <v>41</v>
      </c>
      <c r="G821">
        <v>179</v>
      </c>
      <c r="H821" t="s">
        <v>93</v>
      </c>
      <c r="I821" t="s">
        <v>89</v>
      </c>
      <c r="J821" t="s">
        <v>13</v>
      </c>
      <c r="K821" t="s">
        <v>14</v>
      </c>
      <c r="L821" s="36">
        <f ca="1">IF(C821&lt;&gt;"Yes",0,IF(A821=2025,N('2025'!D179),IF(A821=2026,N('2026'!D179),IF(A821=2027,N('2027'!D179),IF(A821=2028,N('2028'!D179),IF(A821=2029,N('2029'!D179),IF(A821=2030,N('2030'!D179),IF(A821=2031,N('2031'!D179),IF(A821=2032,N('2032'!D179),IF(A821=2033,N('2033'!D179),IF(A821=2034,N('2034'!D179),IFERROR(N(INDIRECT("'"&amp;A821&amp;"'!D"&amp;G821)),0))))))))))))</f>
        <v>0</v>
      </c>
      <c r="M821" s="36">
        <f>IFERROR(IF(NOT(ISBLANK(KPI_TARGETS!$J$7)),KPI_TARGETS!$J$7,IF(NOT(ISBLANK(KPI_TARGETS!$F$7)),KPI_TARGETS!$F$7,"")),"")</f>
        <v>8000</v>
      </c>
      <c r="N821" s="36" t="str">
        <f>IFERROR(KPI_TARGETS!$E$7,"Higher is better")</f>
        <v>Higher is better</v>
      </c>
      <c r="O821" s="37">
        <f t="shared" ca="1" si="72"/>
        <v>0</v>
      </c>
      <c r="P821" t="str">
        <f t="shared" ca="1" si="73"/>
        <v>Red</v>
      </c>
      <c r="Q821" s="36">
        <f t="shared" ca="1" si="74"/>
        <v>-8000</v>
      </c>
      <c r="R821" s="36" t="str">
        <f>""</f>
        <v/>
      </c>
      <c r="S821" s="36" t="str">
        <f>""</f>
        <v/>
      </c>
      <c r="T821" s="36" t="str">
        <f>""</f>
        <v/>
      </c>
      <c r="U821" s="36" t="str">
        <f>""</f>
        <v/>
      </c>
      <c r="V821" s="36" t="str">
        <f>""</f>
        <v/>
      </c>
      <c r="W821" s="36">
        <f t="shared" si="75"/>
        <v>1</v>
      </c>
      <c r="X821" t="str">
        <f t="shared" si="76"/>
        <v>Inactive</v>
      </c>
      <c r="Y821" t="str">
        <f>IF(MAIN!$H$3="Selected Year",IF(A821=MAIN!$B$3,"Yes","No"),IF(MAIN!$H$3="Included Years",IF(D821="Yes","Yes","No"),IF(C821="Yes","Yes","No")))</f>
        <v>No</v>
      </c>
      <c r="Z821" t="str">
        <f>IF(MAIN!$F$3="Project to Date",IF(AND(A821&gt;=SETTINGS!$B$4,A821&lt;MAIN!$B$3),"Yes",IF(AND(A821=MAIN!$B$3,E821&lt;=MAIN!$L$3),"Yes","No")),IF(OR(MAIN!$F$3="Full Year",MAIN!$D$3="All"),"Yes",IF(MAIN!$F$3="Monthly",IF(E821=MAIN!$L$3,"Yes","No"),IF(E821&lt;=MAIN!$L$3,"Yes","No"))))</f>
        <v>Yes</v>
      </c>
      <c r="AA821" t="str">
        <f t="shared" si="77"/>
        <v>No</v>
      </c>
    </row>
    <row r="822" spans="1:27" x14ac:dyDescent="0.3">
      <c r="A822">
        <f>INDEX(SETTINGS!$A$15:$A$24,$B822)</f>
        <v>2028</v>
      </c>
      <c r="B822">
        <v>4</v>
      </c>
      <c r="C822" t="str">
        <f>IF(AND(A822&gt;=SETTINGS!$B$4,A822&lt;=SETTINGS!$B$5),"Yes","No")</f>
        <v>No</v>
      </c>
      <c r="D822" t="str">
        <f>IFERROR(INDEX(SETTINGS!$C$15:$C$24,MATCH(A822,SETTINGS!$A$15:$A$24,0)),"No")</f>
        <v>No</v>
      </c>
      <c r="E822">
        <v>8</v>
      </c>
      <c r="F822" t="s">
        <v>41</v>
      </c>
      <c r="G822">
        <v>181</v>
      </c>
      <c r="H822" t="s">
        <v>95</v>
      </c>
      <c r="I822" t="s">
        <v>15</v>
      </c>
      <c r="J822" t="s">
        <v>16</v>
      </c>
      <c r="K822" t="s">
        <v>3</v>
      </c>
      <c r="L822" s="36">
        <f ca="1">IF(C822&lt;&gt;"Yes",0,IF(A822=2025,N('2025'!D181),IF(A822=2026,N('2026'!D181),IF(A822=2027,N('2027'!D181),IF(A822=2028,N('2028'!D181),IF(A822=2029,N('2029'!D181),IF(A822=2030,N('2030'!D181),IF(A822=2031,N('2031'!D181),IF(A822=2032,N('2032'!D181),IF(A822=2033,N('2033'!D181),IF(A822=2034,N('2034'!D181),IFERROR(N(INDIRECT("'"&amp;A822&amp;"'!D"&amp;G822)),0))))))))))))</f>
        <v>0</v>
      </c>
      <c r="M822" s="36">
        <f>IFERROR(IF(NOT(ISBLANK(KPI_TARGETS!$J$8)),KPI_TARGETS!$J$8,IF(NOT(ISBLANK(KPI_TARGETS!$F$8)),KPI_TARGETS!$F$8,"")),"")</f>
        <v>0</v>
      </c>
      <c r="N822" s="36" t="str">
        <f>IFERROR(KPI_TARGETS!$E$8,"Higher is better")</f>
        <v>Lower is better</v>
      </c>
      <c r="O822" s="37">
        <f t="shared" ca="1" si="72"/>
        <v>1</v>
      </c>
      <c r="P822" t="str">
        <f t="shared" ca="1" si="73"/>
        <v>Green</v>
      </c>
      <c r="Q822" s="36">
        <f t="shared" ca="1" si="74"/>
        <v>0</v>
      </c>
      <c r="R822" s="36" t="str">
        <f>""</f>
        <v/>
      </c>
      <c r="S822" s="36" t="str">
        <f>""</f>
        <v/>
      </c>
      <c r="T822" s="36" t="str">
        <f>""</f>
        <v/>
      </c>
      <c r="U822" s="36" t="str">
        <f>""</f>
        <v/>
      </c>
      <c r="V822" s="36" t="str">
        <f>""</f>
        <v/>
      </c>
      <c r="W822" s="36">
        <f t="shared" si="75"/>
        <v>1</v>
      </c>
      <c r="X822" t="str">
        <f t="shared" si="76"/>
        <v>Inactive</v>
      </c>
      <c r="Y822" t="str">
        <f>IF(MAIN!$H$3="Selected Year",IF(A822=MAIN!$B$3,"Yes","No"),IF(MAIN!$H$3="Included Years",IF(D822="Yes","Yes","No"),IF(C822="Yes","Yes","No")))</f>
        <v>No</v>
      </c>
      <c r="Z822" t="str">
        <f>IF(MAIN!$F$3="Project to Date",IF(AND(A822&gt;=SETTINGS!$B$4,A822&lt;MAIN!$B$3),"Yes",IF(AND(A822=MAIN!$B$3,E822&lt;=MAIN!$L$3),"Yes","No")),IF(OR(MAIN!$F$3="Full Year",MAIN!$D$3="All"),"Yes",IF(MAIN!$F$3="Monthly",IF(E822=MAIN!$L$3,"Yes","No"),IF(E822&lt;=MAIN!$L$3,"Yes","No"))))</f>
        <v>Yes</v>
      </c>
      <c r="AA822" t="str">
        <f t="shared" si="77"/>
        <v>No</v>
      </c>
    </row>
    <row r="823" spans="1:27" x14ac:dyDescent="0.3">
      <c r="A823">
        <f>INDEX(SETTINGS!$A$15:$A$24,$B823)</f>
        <v>2028</v>
      </c>
      <c r="B823">
        <v>4</v>
      </c>
      <c r="C823" t="str">
        <f>IF(AND(A823&gt;=SETTINGS!$B$4,A823&lt;=SETTINGS!$B$5),"Yes","No")</f>
        <v>No</v>
      </c>
      <c r="D823" t="str">
        <f>IFERROR(INDEX(SETTINGS!$C$15:$C$24,MATCH(A823,SETTINGS!$A$15:$A$24,0)),"No")</f>
        <v>No</v>
      </c>
      <c r="E823">
        <v>8</v>
      </c>
      <c r="F823" t="s">
        <v>41</v>
      </c>
      <c r="G823">
        <v>182</v>
      </c>
      <c r="H823" t="s">
        <v>97</v>
      </c>
      <c r="I823" t="s">
        <v>15</v>
      </c>
      <c r="J823" t="s">
        <v>17</v>
      </c>
      <c r="K823" t="s">
        <v>3</v>
      </c>
      <c r="L823" s="36">
        <f ca="1">IF(C823&lt;&gt;"Yes",0,IF(A823=2025,N('2025'!D182),IF(A823=2026,N('2026'!D182),IF(A823=2027,N('2027'!D182),IF(A823=2028,N('2028'!D182),IF(A823=2029,N('2029'!D182),IF(A823=2030,N('2030'!D182),IF(A823=2031,N('2031'!D182),IF(A823=2032,N('2032'!D182),IF(A823=2033,N('2033'!D182),IF(A823=2034,N('2034'!D182),IFERROR(N(INDIRECT("'"&amp;A823&amp;"'!D"&amp;G823)),0))))))))))))</f>
        <v>0</v>
      </c>
      <c r="M823" s="36">
        <f>IFERROR(IF(NOT(ISBLANK(KPI_TARGETS!$J$9)),KPI_TARGETS!$J$9,IF(NOT(ISBLANK(KPI_TARGETS!$F$9)),KPI_TARGETS!$F$9,"")),"")</f>
        <v>0</v>
      </c>
      <c r="N823" s="36" t="str">
        <f>IFERROR(KPI_TARGETS!$E$9,"Higher is better")</f>
        <v>Higher is better</v>
      </c>
      <c r="O823" s="37" t="str">
        <f t="shared" ca="1" si="72"/>
        <v/>
      </c>
      <c r="P823" t="str">
        <f t="shared" ca="1" si="73"/>
        <v>Green</v>
      </c>
      <c r="Q823" s="36">
        <f t="shared" ca="1" si="74"/>
        <v>0</v>
      </c>
      <c r="R823" s="36" t="str">
        <f>""</f>
        <v/>
      </c>
      <c r="S823" s="36" t="str">
        <f>""</f>
        <v/>
      </c>
      <c r="T823" s="36" t="str">
        <f>""</f>
        <v/>
      </c>
      <c r="U823" s="36" t="str">
        <f>""</f>
        <v/>
      </c>
      <c r="V823" s="36" t="str">
        <f>""</f>
        <v/>
      </c>
      <c r="W823" s="36">
        <f t="shared" si="75"/>
        <v>1</v>
      </c>
      <c r="X823" t="str">
        <f t="shared" si="76"/>
        <v>Inactive</v>
      </c>
      <c r="Y823" t="str">
        <f>IF(MAIN!$H$3="Selected Year",IF(A823=MAIN!$B$3,"Yes","No"),IF(MAIN!$H$3="Included Years",IF(D823="Yes","Yes","No"),IF(C823="Yes","Yes","No")))</f>
        <v>No</v>
      </c>
      <c r="Z823" t="str">
        <f>IF(MAIN!$F$3="Project to Date",IF(AND(A823&gt;=SETTINGS!$B$4,A823&lt;MAIN!$B$3),"Yes",IF(AND(A823=MAIN!$B$3,E823&lt;=MAIN!$L$3),"Yes","No")),IF(OR(MAIN!$F$3="Full Year",MAIN!$D$3="All"),"Yes",IF(MAIN!$F$3="Monthly",IF(E823=MAIN!$L$3,"Yes","No"),IF(E823&lt;=MAIN!$L$3,"Yes","No"))))</f>
        <v>Yes</v>
      </c>
      <c r="AA823" t="str">
        <f t="shared" si="77"/>
        <v>No</v>
      </c>
    </row>
    <row r="824" spans="1:27" x14ac:dyDescent="0.3">
      <c r="A824">
        <f>INDEX(SETTINGS!$A$15:$A$24,$B824)</f>
        <v>2028</v>
      </c>
      <c r="B824">
        <v>4</v>
      </c>
      <c r="C824" t="str">
        <f>IF(AND(A824&gt;=SETTINGS!$B$4,A824&lt;=SETTINGS!$B$5),"Yes","No")</f>
        <v>No</v>
      </c>
      <c r="D824" t="str">
        <f>IFERROR(INDEX(SETTINGS!$C$15:$C$24,MATCH(A824,SETTINGS!$A$15:$A$24,0)),"No")</f>
        <v>No</v>
      </c>
      <c r="E824">
        <v>8</v>
      </c>
      <c r="F824" t="s">
        <v>41</v>
      </c>
      <c r="G824">
        <v>183</v>
      </c>
      <c r="H824" t="s">
        <v>99</v>
      </c>
      <c r="I824" t="s">
        <v>15</v>
      </c>
      <c r="J824" t="s">
        <v>18</v>
      </c>
      <c r="K824" t="s">
        <v>3</v>
      </c>
      <c r="L824" s="36">
        <f ca="1">IF(C824&lt;&gt;"Yes",0,IF(A824=2025,N('2025'!D183),IF(A824=2026,N('2026'!D183),IF(A824=2027,N('2027'!D183),IF(A824=2028,N('2028'!D183),IF(A824=2029,N('2029'!D183),IF(A824=2030,N('2030'!D183),IF(A824=2031,N('2031'!D183),IF(A824=2032,N('2032'!D183),IF(A824=2033,N('2033'!D183),IF(A824=2034,N('2034'!D183),IFERROR(N(INDIRECT("'"&amp;A824&amp;"'!D"&amp;G824)),0))))))))))))</f>
        <v>0</v>
      </c>
      <c r="M824" s="36">
        <f>IFERROR(IF(NOT(ISBLANK(KPI_TARGETS!$J$10)),KPI_TARGETS!$J$10,IF(NOT(ISBLANK(KPI_TARGETS!$F$10)),KPI_TARGETS!$F$10,"")),"")</f>
        <v>0</v>
      </c>
      <c r="N824" s="36" t="str">
        <f>IFERROR(KPI_TARGETS!$E$10,"Higher is better")</f>
        <v>Lower is better</v>
      </c>
      <c r="O824" s="37">
        <f t="shared" ca="1" si="72"/>
        <v>1</v>
      </c>
      <c r="P824" t="str">
        <f t="shared" ca="1" si="73"/>
        <v>Green</v>
      </c>
      <c r="Q824" s="36">
        <f t="shared" ca="1" si="74"/>
        <v>0</v>
      </c>
      <c r="R824" s="36" t="str">
        <f>""</f>
        <v/>
      </c>
      <c r="S824" s="36" t="str">
        <f>""</f>
        <v/>
      </c>
      <c r="T824" s="36" t="str">
        <f>""</f>
        <v/>
      </c>
      <c r="U824" s="36" t="str">
        <f>""</f>
        <v/>
      </c>
      <c r="V824" s="36" t="str">
        <f>""</f>
        <v/>
      </c>
      <c r="W824" s="36">
        <f t="shared" si="75"/>
        <v>1</v>
      </c>
      <c r="X824" t="str">
        <f t="shared" si="76"/>
        <v>Inactive</v>
      </c>
      <c r="Y824" t="str">
        <f>IF(MAIN!$H$3="Selected Year",IF(A824=MAIN!$B$3,"Yes","No"),IF(MAIN!$H$3="Included Years",IF(D824="Yes","Yes","No"),IF(C824="Yes","Yes","No")))</f>
        <v>No</v>
      </c>
      <c r="Z824" t="str">
        <f>IF(MAIN!$F$3="Project to Date",IF(AND(A824&gt;=SETTINGS!$B$4,A824&lt;MAIN!$B$3),"Yes",IF(AND(A824=MAIN!$B$3,E824&lt;=MAIN!$L$3),"Yes","No")),IF(OR(MAIN!$F$3="Full Year",MAIN!$D$3="All"),"Yes",IF(MAIN!$F$3="Monthly",IF(E824=MAIN!$L$3,"Yes","No"),IF(E824&lt;=MAIN!$L$3,"Yes","No"))))</f>
        <v>Yes</v>
      </c>
      <c r="AA824" t="str">
        <f t="shared" si="77"/>
        <v>No</v>
      </c>
    </row>
    <row r="825" spans="1:27" x14ac:dyDescent="0.3">
      <c r="A825">
        <f>INDEX(SETTINGS!$A$15:$A$24,$B825)</f>
        <v>2028</v>
      </c>
      <c r="B825">
        <v>4</v>
      </c>
      <c r="C825" t="str">
        <f>IF(AND(A825&gt;=SETTINGS!$B$4,A825&lt;=SETTINGS!$B$5),"Yes","No")</f>
        <v>No</v>
      </c>
      <c r="D825" t="str">
        <f>IFERROR(INDEX(SETTINGS!$C$15:$C$24,MATCH(A825,SETTINGS!$A$15:$A$24,0)),"No")</f>
        <v>No</v>
      </c>
      <c r="E825">
        <v>8</v>
      </c>
      <c r="F825" t="s">
        <v>41</v>
      </c>
      <c r="G825">
        <v>184</v>
      </c>
      <c r="H825" t="s">
        <v>100</v>
      </c>
      <c r="I825" t="s">
        <v>15</v>
      </c>
      <c r="J825" t="s">
        <v>19</v>
      </c>
      <c r="K825" t="s">
        <v>3</v>
      </c>
      <c r="L825" s="36">
        <f ca="1">IF(C825&lt;&gt;"Yes",0,IF(A825=2025,N('2025'!D184),IF(A825=2026,N('2026'!D184),IF(A825=2027,N('2027'!D184),IF(A825=2028,N('2028'!D184),IF(A825=2029,N('2029'!D184),IF(A825=2030,N('2030'!D184),IF(A825=2031,N('2031'!D184),IF(A825=2032,N('2032'!D184),IF(A825=2033,N('2033'!D184),IF(A825=2034,N('2034'!D184),IFERROR(N(INDIRECT("'"&amp;A825&amp;"'!D"&amp;G825)),0))))))))))))</f>
        <v>0</v>
      </c>
      <c r="M825" s="36">
        <f>IFERROR(IF(NOT(ISBLANK(KPI_TARGETS!$J$11)),KPI_TARGETS!$J$11,IF(NOT(ISBLANK(KPI_TARGETS!$F$11)),KPI_TARGETS!$F$11,"")),"")</f>
        <v>0</v>
      </c>
      <c r="N825" s="36" t="str">
        <f>IFERROR(KPI_TARGETS!$E$11,"Higher is better")</f>
        <v>Lower is better</v>
      </c>
      <c r="O825" s="37">
        <f t="shared" ca="1" si="72"/>
        <v>1</v>
      </c>
      <c r="P825" t="str">
        <f t="shared" ca="1" si="73"/>
        <v>Green</v>
      </c>
      <c r="Q825" s="36">
        <f t="shared" ca="1" si="74"/>
        <v>0</v>
      </c>
      <c r="R825" s="36" t="str">
        <f>""</f>
        <v/>
      </c>
      <c r="S825" s="36" t="str">
        <f>""</f>
        <v/>
      </c>
      <c r="T825" s="36" t="str">
        <f>""</f>
        <v/>
      </c>
      <c r="U825" s="36" t="str">
        <f>""</f>
        <v/>
      </c>
      <c r="V825" s="36" t="str">
        <f>""</f>
        <v/>
      </c>
      <c r="W825" s="36">
        <f t="shared" si="75"/>
        <v>1</v>
      </c>
      <c r="X825" t="str">
        <f t="shared" si="76"/>
        <v>Inactive</v>
      </c>
      <c r="Y825" t="str">
        <f>IF(MAIN!$H$3="Selected Year",IF(A825=MAIN!$B$3,"Yes","No"),IF(MAIN!$H$3="Included Years",IF(D825="Yes","Yes","No"),IF(C825="Yes","Yes","No")))</f>
        <v>No</v>
      </c>
      <c r="Z825" t="str">
        <f>IF(MAIN!$F$3="Project to Date",IF(AND(A825&gt;=SETTINGS!$B$4,A825&lt;MAIN!$B$3),"Yes",IF(AND(A825=MAIN!$B$3,E825&lt;=MAIN!$L$3),"Yes","No")),IF(OR(MAIN!$F$3="Full Year",MAIN!$D$3="All"),"Yes",IF(MAIN!$F$3="Monthly",IF(E825=MAIN!$L$3,"Yes","No"),IF(E825&lt;=MAIN!$L$3,"Yes","No"))))</f>
        <v>Yes</v>
      </c>
      <c r="AA825" t="str">
        <f t="shared" si="77"/>
        <v>No</v>
      </c>
    </row>
    <row r="826" spans="1:27" x14ac:dyDescent="0.3">
      <c r="A826">
        <f>INDEX(SETTINGS!$A$15:$A$24,$B826)</f>
        <v>2028</v>
      </c>
      <c r="B826">
        <v>4</v>
      </c>
      <c r="C826" t="str">
        <f>IF(AND(A826&gt;=SETTINGS!$B$4,A826&lt;=SETTINGS!$B$5),"Yes","No")</f>
        <v>No</v>
      </c>
      <c r="D826" t="str">
        <f>IFERROR(INDEX(SETTINGS!$C$15:$C$24,MATCH(A826,SETTINGS!$A$15:$A$24,0)),"No")</f>
        <v>No</v>
      </c>
      <c r="E826">
        <v>8</v>
      </c>
      <c r="F826" t="s">
        <v>41</v>
      </c>
      <c r="G826">
        <v>185</v>
      </c>
      <c r="H826" t="s">
        <v>101</v>
      </c>
      <c r="I826" t="s">
        <v>15</v>
      </c>
      <c r="J826" t="s">
        <v>20</v>
      </c>
      <c r="K826" t="s">
        <v>3</v>
      </c>
      <c r="L826" s="36">
        <f ca="1">IF(C826&lt;&gt;"Yes",0,IF(A826=2025,N('2025'!D185),IF(A826=2026,N('2026'!D185),IF(A826=2027,N('2027'!D185),IF(A826=2028,N('2028'!D185),IF(A826=2029,N('2029'!D185),IF(A826=2030,N('2030'!D185),IF(A826=2031,N('2031'!D185),IF(A826=2032,N('2032'!D185),IF(A826=2033,N('2033'!D185),IF(A826=2034,N('2034'!D185),IFERROR(N(INDIRECT("'"&amp;A826&amp;"'!D"&amp;G826)),0))))))))))))</f>
        <v>0</v>
      </c>
      <c r="M826" s="36">
        <f>IFERROR(IF(NOT(ISBLANK(KPI_TARGETS!$J$12)),KPI_TARGETS!$J$12,IF(NOT(ISBLANK(KPI_TARGETS!$F$12)),KPI_TARGETS!$F$12,"")),"")</f>
        <v>0</v>
      </c>
      <c r="N826" s="36" t="str">
        <f>IFERROR(KPI_TARGETS!$E$12,"Higher is better")</f>
        <v>Lower is better</v>
      </c>
      <c r="O826" s="37">
        <f t="shared" ca="1" si="72"/>
        <v>1</v>
      </c>
      <c r="P826" t="str">
        <f t="shared" ca="1" si="73"/>
        <v>Green</v>
      </c>
      <c r="Q826" s="36">
        <f t="shared" ca="1" si="74"/>
        <v>0</v>
      </c>
      <c r="R826" s="36" t="str">
        <f>""</f>
        <v/>
      </c>
      <c r="S826" s="36" t="str">
        <f>""</f>
        <v/>
      </c>
      <c r="T826" s="36" t="str">
        <f>""</f>
        <v/>
      </c>
      <c r="U826" s="36" t="str">
        <f>""</f>
        <v/>
      </c>
      <c r="V826" s="36" t="str">
        <f>""</f>
        <v/>
      </c>
      <c r="W826" s="36">
        <f t="shared" si="75"/>
        <v>1</v>
      </c>
      <c r="X826" t="str">
        <f t="shared" si="76"/>
        <v>Inactive</v>
      </c>
      <c r="Y826" t="str">
        <f>IF(MAIN!$H$3="Selected Year",IF(A826=MAIN!$B$3,"Yes","No"),IF(MAIN!$H$3="Included Years",IF(D826="Yes","Yes","No"),IF(C826="Yes","Yes","No")))</f>
        <v>No</v>
      </c>
      <c r="Z826" t="str">
        <f>IF(MAIN!$F$3="Project to Date",IF(AND(A826&gt;=SETTINGS!$B$4,A826&lt;MAIN!$B$3),"Yes",IF(AND(A826=MAIN!$B$3,E826&lt;=MAIN!$L$3),"Yes","No")),IF(OR(MAIN!$F$3="Full Year",MAIN!$D$3="All"),"Yes",IF(MAIN!$F$3="Monthly",IF(E826=MAIN!$L$3,"Yes","No"),IF(E826&lt;=MAIN!$L$3,"Yes","No"))))</f>
        <v>Yes</v>
      </c>
      <c r="AA826" t="str">
        <f t="shared" si="77"/>
        <v>No</v>
      </c>
    </row>
    <row r="827" spans="1:27" x14ac:dyDescent="0.3">
      <c r="A827">
        <f>INDEX(SETTINGS!$A$15:$A$24,$B827)</f>
        <v>2028</v>
      </c>
      <c r="B827">
        <v>4</v>
      </c>
      <c r="C827" t="str">
        <f>IF(AND(A827&gt;=SETTINGS!$B$4,A827&lt;=SETTINGS!$B$5),"Yes","No")</f>
        <v>No</v>
      </c>
      <c r="D827" t="str">
        <f>IFERROR(INDEX(SETTINGS!$C$15:$C$24,MATCH(A827,SETTINGS!$A$15:$A$24,0)),"No")</f>
        <v>No</v>
      </c>
      <c r="E827">
        <v>8</v>
      </c>
      <c r="F827" t="s">
        <v>41</v>
      </c>
      <c r="G827">
        <v>186</v>
      </c>
      <c r="H827" t="s">
        <v>102</v>
      </c>
      <c r="I827" t="s">
        <v>15</v>
      </c>
      <c r="J827" t="s">
        <v>21</v>
      </c>
      <c r="K827" t="s">
        <v>3</v>
      </c>
      <c r="L827" s="36">
        <f ca="1">IF(C827&lt;&gt;"Yes",0,IF(A827=2025,N('2025'!D186),IF(A827=2026,N('2026'!D186),IF(A827=2027,N('2027'!D186),IF(A827=2028,N('2028'!D186),IF(A827=2029,N('2029'!D186),IF(A827=2030,N('2030'!D186),IF(A827=2031,N('2031'!D186),IF(A827=2032,N('2032'!D186),IF(A827=2033,N('2033'!D186),IF(A827=2034,N('2034'!D186),IFERROR(N(INDIRECT("'"&amp;A827&amp;"'!D"&amp;G827)),0))))))))))))</f>
        <v>0</v>
      </c>
      <c r="M827" s="36">
        <f>IFERROR(IF(NOT(ISBLANK(KPI_TARGETS!$J$13)),KPI_TARGETS!$J$13,IF(NOT(ISBLANK(KPI_TARGETS!$F$13)),KPI_TARGETS!$F$13,"")),"")</f>
        <v>0</v>
      </c>
      <c r="N827" s="36" t="str">
        <f>IFERROR(KPI_TARGETS!$E$13,"Higher is better")</f>
        <v>Lower is better</v>
      </c>
      <c r="O827" s="37">
        <f t="shared" ca="1" si="72"/>
        <v>1</v>
      </c>
      <c r="P827" t="str">
        <f t="shared" ca="1" si="73"/>
        <v>Green</v>
      </c>
      <c r="Q827" s="36">
        <f t="shared" ca="1" si="74"/>
        <v>0</v>
      </c>
      <c r="R827" s="36" t="str">
        <f>""</f>
        <v/>
      </c>
      <c r="S827" s="36" t="str">
        <f>""</f>
        <v/>
      </c>
      <c r="T827" s="36" t="str">
        <f>""</f>
        <v/>
      </c>
      <c r="U827" s="36" t="str">
        <f>""</f>
        <v/>
      </c>
      <c r="V827" s="36" t="str">
        <f>""</f>
        <v/>
      </c>
      <c r="W827" s="36">
        <f t="shared" si="75"/>
        <v>1</v>
      </c>
      <c r="X827" t="str">
        <f t="shared" si="76"/>
        <v>Inactive</v>
      </c>
      <c r="Y827" t="str">
        <f>IF(MAIN!$H$3="Selected Year",IF(A827=MAIN!$B$3,"Yes","No"),IF(MAIN!$H$3="Included Years",IF(D827="Yes","Yes","No"),IF(C827="Yes","Yes","No")))</f>
        <v>No</v>
      </c>
      <c r="Z827" t="str">
        <f>IF(MAIN!$F$3="Project to Date",IF(AND(A827&gt;=SETTINGS!$B$4,A827&lt;MAIN!$B$3),"Yes",IF(AND(A827=MAIN!$B$3,E827&lt;=MAIN!$L$3),"Yes","No")),IF(OR(MAIN!$F$3="Full Year",MAIN!$D$3="All"),"Yes",IF(MAIN!$F$3="Monthly",IF(E827=MAIN!$L$3,"Yes","No"),IF(E827&lt;=MAIN!$L$3,"Yes","No"))))</f>
        <v>Yes</v>
      </c>
      <c r="AA827" t="str">
        <f t="shared" si="77"/>
        <v>No</v>
      </c>
    </row>
    <row r="828" spans="1:27" x14ac:dyDescent="0.3">
      <c r="A828">
        <f>INDEX(SETTINGS!$A$15:$A$24,$B828)</f>
        <v>2028</v>
      </c>
      <c r="B828">
        <v>4</v>
      </c>
      <c r="C828" t="str">
        <f>IF(AND(A828&gt;=SETTINGS!$B$4,A828&lt;=SETTINGS!$B$5),"Yes","No")</f>
        <v>No</v>
      </c>
      <c r="D828" t="str">
        <f>IFERROR(INDEX(SETTINGS!$C$15:$C$24,MATCH(A828,SETTINGS!$A$15:$A$24,0)),"No")</f>
        <v>No</v>
      </c>
      <c r="E828">
        <v>8</v>
      </c>
      <c r="F828" t="s">
        <v>41</v>
      </c>
      <c r="G828">
        <v>188</v>
      </c>
      <c r="H828" t="s">
        <v>103</v>
      </c>
      <c r="I828" t="s">
        <v>22</v>
      </c>
      <c r="J828" t="s">
        <v>23</v>
      </c>
      <c r="K828" t="s">
        <v>3</v>
      </c>
      <c r="L828" s="36">
        <f ca="1">IF(C828&lt;&gt;"Yes",0,IF(A828=2025,N('2025'!D188),IF(A828=2026,N('2026'!D188),IF(A828=2027,N('2027'!D188),IF(A828=2028,N('2028'!D188),IF(A828=2029,N('2029'!D188),IF(A828=2030,N('2030'!D188),IF(A828=2031,N('2031'!D188),IF(A828=2032,N('2032'!D188),IF(A828=2033,N('2033'!D188),IF(A828=2034,N('2034'!D188),IFERROR(N(INDIRECT("'"&amp;A828&amp;"'!D"&amp;G828)),0))))))))))))</f>
        <v>0</v>
      </c>
      <c r="M828" s="36">
        <f>IFERROR(IF(NOT(ISBLANK(KPI_TARGETS!$J$14)),KPI_TARGETS!$J$14,IF(NOT(ISBLANK(KPI_TARGETS!$F$14)),KPI_TARGETS!$F$14,"")),"")</f>
        <v>35</v>
      </c>
      <c r="N828" s="36" t="str">
        <f>IFERROR(KPI_TARGETS!$E$14,"Higher is better")</f>
        <v>Higher is better</v>
      </c>
      <c r="O828" s="37">
        <f t="shared" ca="1" si="72"/>
        <v>0</v>
      </c>
      <c r="P828" t="str">
        <f t="shared" ca="1" si="73"/>
        <v>Red</v>
      </c>
      <c r="Q828" s="36">
        <f t="shared" ca="1" si="74"/>
        <v>-35</v>
      </c>
      <c r="R828" s="36" t="str">
        <f>""</f>
        <v/>
      </c>
      <c r="S828" s="36" t="str">
        <f>""</f>
        <v/>
      </c>
      <c r="T828" s="36" t="str">
        <f>""</f>
        <v/>
      </c>
      <c r="U828" s="36" t="str">
        <f>""</f>
        <v/>
      </c>
      <c r="V828" s="36" t="str">
        <f>""</f>
        <v/>
      </c>
      <c r="W828" s="36">
        <f t="shared" si="75"/>
        <v>1</v>
      </c>
      <c r="X828" t="str">
        <f t="shared" si="76"/>
        <v>Inactive</v>
      </c>
      <c r="Y828" t="str">
        <f>IF(MAIN!$H$3="Selected Year",IF(A828=MAIN!$B$3,"Yes","No"),IF(MAIN!$H$3="Included Years",IF(D828="Yes","Yes","No"),IF(C828="Yes","Yes","No")))</f>
        <v>No</v>
      </c>
      <c r="Z828" t="str">
        <f>IF(MAIN!$F$3="Project to Date",IF(AND(A828&gt;=SETTINGS!$B$4,A828&lt;MAIN!$B$3),"Yes",IF(AND(A828=MAIN!$B$3,E828&lt;=MAIN!$L$3),"Yes","No")),IF(OR(MAIN!$F$3="Full Year",MAIN!$D$3="All"),"Yes",IF(MAIN!$F$3="Monthly",IF(E828=MAIN!$L$3,"Yes","No"),IF(E828&lt;=MAIN!$L$3,"Yes","No"))))</f>
        <v>Yes</v>
      </c>
      <c r="AA828" t="str">
        <f t="shared" si="77"/>
        <v>No</v>
      </c>
    </row>
    <row r="829" spans="1:27" x14ac:dyDescent="0.3">
      <c r="A829">
        <f>INDEX(SETTINGS!$A$15:$A$24,$B829)</f>
        <v>2028</v>
      </c>
      <c r="B829">
        <v>4</v>
      </c>
      <c r="C829" t="str">
        <f>IF(AND(A829&gt;=SETTINGS!$B$4,A829&lt;=SETTINGS!$B$5),"Yes","No")</f>
        <v>No</v>
      </c>
      <c r="D829" t="str">
        <f>IFERROR(INDEX(SETTINGS!$C$15:$C$24,MATCH(A829,SETTINGS!$A$15:$A$24,0)),"No")</f>
        <v>No</v>
      </c>
      <c r="E829">
        <v>8</v>
      </c>
      <c r="F829" t="s">
        <v>41</v>
      </c>
      <c r="G829">
        <v>189</v>
      </c>
      <c r="H829" t="s">
        <v>104</v>
      </c>
      <c r="I829" t="s">
        <v>22</v>
      </c>
      <c r="J829" t="s">
        <v>24</v>
      </c>
      <c r="K829" t="s">
        <v>3</v>
      </c>
      <c r="L829" s="36">
        <f ca="1">IF(C829&lt;&gt;"Yes",0,IF(A829=2025,N('2025'!D189),IF(A829=2026,N('2026'!D189),IF(A829=2027,N('2027'!D189),IF(A829=2028,N('2028'!D189),IF(A829=2029,N('2029'!D189),IF(A829=2030,N('2030'!D189),IF(A829=2031,N('2031'!D189),IF(A829=2032,N('2032'!D189),IF(A829=2033,N('2033'!D189),IF(A829=2034,N('2034'!D189),IFERROR(N(INDIRECT("'"&amp;A829&amp;"'!D"&amp;G829)),0))))))))))))</f>
        <v>0</v>
      </c>
      <c r="M829" s="36">
        <f>IFERROR(IF(NOT(ISBLANK(KPI_TARGETS!$J$15)),KPI_TARGETS!$J$15,IF(NOT(ISBLANK(KPI_TARGETS!$F$15)),KPI_TARGETS!$F$15,"")),"")</f>
        <v>5</v>
      </c>
      <c r="N829" s="36" t="str">
        <f>IFERROR(KPI_TARGETS!$E$15,"Higher is better")</f>
        <v>Higher is better</v>
      </c>
      <c r="O829" s="37">
        <f t="shared" ca="1" si="72"/>
        <v>0</v>
      </c>
      <c r="P829" t="str">
        <f t="shared" ca="1" si="73"/>
        <v>Red</v>
      </c>
      <c r="Q829" s="36">
        <f t="shared" ca="1" si="74"/>
        <v>-5</v>
      </c>
      <c r="R829" s="36" t="str">
        <f>""</f>
        <v/>
      </c>
      <c r="S829" s="36" t="str">
        <f>""</f>
        <v/>
      </c>
      <c r="T829" s="36" t="str">
        <f>""</f>
        <v/>
      </c>
      <c r="U829" s="36" t="str">
        <f>""</f>
        <v/>
      </c>
      <c r="V829" s="36" t="str">
        <f>""</f>
        <v/>
      </c>
      <c r="W829" s="36">
        <f t="shared" si="75"/>
        <v>1</v>
      </c>
      <c r="X829" t="str">
        <f t="shared" si="76"/>
        <v>Inactive</v>
      </c>
      <c r="Y829" t="str">
        <f>IF(MAIN!$H$3="Selected Year",IF(A829=MAIN!$B$3,"Yes","No"),IF(MAIN!$H$3="Included Years",IF(D829="Yes","Yes","No"),IF(C829="Yes","Yes","No")))</f>
        <v>No</v>
      </c>
      <c r="Z829" t="str">
        <f>IF(MAIN!$F$3="Project to Date",IF(AND(A829&gt;=SETTINGS!$B$4,A829&lt;MAIN!$B$3),"Yes",IF(AND(A829=MAIN!$B$3,E829&lt;=MAIN!$L$3),"Yes","No")),IF(OR(MAIN!$F$3="Full Year",MAIN!$D$3="All"),"Yes",IF(MAIN!$F$3="Monthly",IF(E829=MAIN!$L$3,"Yes","No"),IF(E829&lt;=MAIN!$L$3,"Yes","No"))))</f>
        <v>Yes</v>
      </c>
      <c r="AA829" t="str">
        <f t="shared" si="77"/>
        <v>No</v>
      </c>
    </row>
    <row r="830" spans="1:27" x14ac:dyDescent="0.3">
      <c r="A830">
        <f>INDEX(SETTINGS!$A$15:$A$24,$B830)</f>
        <v>2028</v>
      </c>
      <c r="B830">
        <v>4</v>
      </c>
      <c r="C830" t="str">
        <f>IF(AND(A830&gt;=SETTINGS!$B$4,A830&lt;=SETTINGS!$B$5),"Yes","No")</f>
        <v>No</v>
      </c>
      <c r="D830" t="str">
        <f>IFERROR(INDEX(SETTINGS!$C$15:$C$24,MATCH(A830,SETTINGS!$A$15:$A$24,0)),"No")</f>
        <v>No</v>
      </c>
      <c r="E830">
        <v>8</v>
      </c>
      <c r="F830" t="s">
        <v>41</v>
      </c>
      <c r="G830">
        <v>190</v>
      </c>
      <c r="H830" t="s">
        <v>105</v>
      </c>
      <c r="I830" t="s">
        <v>22</v>
      </c>
      <c r="J830" t="s">
        <v>25</v>
      </c>
      <c r="K830" t="s">
        <v>3</v>
      </c>
      <c r="L830" s="36">
        <f ca="1">IF(C830&lt;&gt;"Yes",0,IF(A830=2025,N('2025'!D190),IF(A830=2026,N('2026'!D190),IF(A830=2027,N('2027'!D190),IF(A830=2028,N('2028'!D190),IF(A830=2029,N('2029'!D190),IF(A830=2030,N('2030'!D190),IF(A830=2031,N('2031'!D190),IF(A830=2032,N('2032'!D190),IF(A830=2033,N('2033'!D190),IF(A830=2034,N('2034'!D190),IFERROR(N(INDIRECT("'"&amp;A830&amp;"'!D"&amp;G830)),0))))))))))))</f>
        <v>0</v>
      </c>
      <c r="M830" s="36">
        <f>IFERROR(IF(NOT(ISBLANK(KPI_TARGETS!$J$16)),KPI_TARGETS!$J$16,IF(NOT(ISBLANK(KPI_TARGETS!$F$16)),KPI_TARGETS!$F$16,"")),"")</f>
        <v>4</v>
      </c>
      <c r="N830" s="36" t="str">
        <f>IFERROR(KPI_TARGETS!$E$16,"Higher is better")</f>
        <v>Higher is better</v>
      </c>
      <c r="O830" s="37">
        <f t="shared" ca="1" si="72"/>
        <v>0</v>
      </c>
      <c r="P830" t="str">
        <f t="shared" ca="1" si="73"/>
        <v>Red</v>
      </c>
      <c r="Q830" s="36">
        <f t="shared" ca="1" si="74"/>
        <v>-4</v>
      </c>
      <c r="R830" s="36" t="str">
        <f>""</f>
        <v/>
      </c>
      <c r="S830" s="36" t="str">
        <f>""</f>
        <v/>
      </c>
      <c r="T830" s="36" t="str">
        <f>""</f>
        <v/>
      </c>
      <c r="U830" s="36" t="str">
        <f>""</f>
        <v/>
      </c>
      <c r="V830" s="36" t="str">
        <f>""</f>
        <v/>
      </c>
      <c r="W830" s="36">
        <f t="shared" si="75"/>
        <v>1</v>
      </c>
      <c r="X830" t="str">
        <f t="shared" si="76"/>
        <v>Inactive</v>
      </c>
      <c r="Y830" t="str">
        <f>IF(MAIN!$H$3="Selected Year",IF(A830=MAIN!$B$3,"Yes","No"),IF(MAIN!$H$3="Included Years",IF(D830="Yes","Yes","No"),IF(C830="Yes","Yes","No")))</f>
        <v>No</v>
      </c>
      <c r="Z830" t="str">
        <f>IF(MAIN!$F$3="Project to Date",IF(AND(A830&gt;=SETTINGS!$B$4,A830&lt;MAIN!$B$3),"Yes",IF(AND(A830=MAIN!$B$3,E830&lt;=MAIN!$L$3),"Yes","No")),IF(OR(MAIN!$F$3="Full Year",MAIN!$D$3="All"),"Yes",IF(MAIN!$F$3="Monthly",IF(E830=MAIN!$L$3,"Yes","No"),IF(E830&lt;=MAIN!$L$3,"Yes","No"))))</f>
        <v>Yes</v>
      </c>
      <c r="AA830" t="str">
        <f t="shared" si="77"/>
        <v>No</v>
      </c>
    </row>
    <row r="831" spans="1:27" x14ac:dyDescent="0.3">
      <c r="A831">
        <f>INDEX(SETTINGS!$A$15:$A$24,$B831)</f>
        <v>2028</v>
      </c>
      <c r="B831">
        <v>4</v>
      </c>
      <c r="C831" t="str">
        <f>IF(AND(A831&gt;=SETTINGS!$B$4,A831&lt;=SETTINGS!$B$5),"Yes","No")</f>
        <v>No</v>
      </c>
      <c r="D831" t="str">
        <f>IFERROR(INDEX(SETTINGS!$C$15:$C$24,MATCH(A831,SETTINGS!$A$15:$A$24,0)),"No")</f>
        <v>No</v>
      </c>
      <c r="E831">
        <v>8</v>
      </c>
      <c r="F831" t="s">
        <v>41</v>
      </c>
      <c r="G831">
        <v>191</v>
      </c>
      <c r="H831" t="s">
        <v>106</v>
      </c>
      <c r="I831" t="s">
        <v>22</v>
      </c>
      <c r="J831" t="s">
        <v>26</v>
      </c>
      <c r="K831" t="s">
        <v>3</v>
      </c>
      <c r="L831" s="36">
        <f ca="1">IF(C831&lt;&gt;"Yes",0,IF(A831=2025,N('2025'!D191),IF(A831=2026,N('2026'!D191),IF(A831=2027,N('2027'!D191),IF(A831=2028,N('2028'!D191),IF(A831=2029,N('2029'!D191),IF(A831=2030,N('2030'!D191),IF(A831=2031,N('2031'!D191),IF(A831=2032,N('2032'!D191),IF(A831=2033,N('2033'!D191),IF(A831=2034,N('2034'!D191),IFERROR(N(INDIRECT("'"&amp;A831&amp;"'!D"&amp;G831)),0))))))))))))</f>
        <v>0</v>
      </c>
      <c r="M831" s="36">
        <f>IFERROR(IF(NOT(ISBLANK(KPI_TARGETS!$J$17)),KPI_TARGETS!$J$17,IF(NOT(ISBLANK(KPI_TARGETS!$F$17)),KPI_TARGETS!$F$17,"")),"")</f>
        <v>12</v>
      </c>
      <c r="N831" s="36" t="str">
        <f>IFERROR(KPI_TARGETS!$E$17,"Higher is better")</f>
        <v>Higher is better</v>
      </c>
      <c r="O831" s="37">
        <f t="shared" ca="1" si="72"/>
        <v>0</v>
      </c>
      <c r="P831" t="str">
        <f t="shared" ca="1" si="73"/>
        <v>Red</v>
      </c>
      <c r="Q831" s="36">
        <f t="shared" ca="1" si="74"/>
        <v>-12</v>
      </c>
      <c r="R831" s="36" t="str">
        <f>""</f>
        <v/>
      </c>
      <c r="S831" s="36" t="str">
        <f>""</f>
        <v/>
      </c>
      <c r="T831" s="36" t="str">
        <f>""</f>
        <v/>
      </c>
      <c r="U831" s="36" t="str">
        <f>""</f>
        <v/>
      </c>
      <c r="V831" s="36" t="str">
        <f>""</f>
        <v/>
      </c>
      <c r="W831" s="36">
        <f t="shared" si="75"/>
        <v>1</v>
      </c>
      <c r="X831" t="str">
        <f t="shared" si="76"/>
        <v>Inactive</v>
      </c>
      <c r="Y831" t="str">
        <f>IF(MAIN!$H$3="Selected Year",IF(A831=MAIN!$B$3,"Yes","No"),IF(MAIN!$H$3="Included Years",IF(D831="Yes","Yes","No"),IF(C831="Yes","Yes","No")))</f>
        <v>No</v>
      </c>
      <c r="Z831" t="str">
        <f>IF(MAIN!$F$3="Project to Date",IF(AND(A831&gt;=SETTINGS!$B$4,A831&lt;MAIN!$B$3),"Yes",IF(AND(A831=MAIN!$B$3,E831&lt;=MAIN!$L$3),"Yes","No")),IF(OR(MAIN!$F$3="Full Year",MAIN!$D$3="All"),"Yes",IF(MAIN!$F$3="Monthly",IF(E831=MAIN!$L$3,"Yes","No"),IF(E831&lt;=MAIN!$L$3,"Yes","No"))))</f>
        <v>Yes</v>
      </c>
      <c r="AA831" t="str">
        <f t="shared" si="77"/>
        <v>No</v>
      </c>
    </row>
    <row r="832" spans="1:27" x14ac:dyDescent="0.3">
      <c r="A832">
        <f>INDEX(SETTINGS!$A$15:$A$24,$B832)</f>
        <v>2028</v>
      </c>
      <c r="B832">
        <v>4</v>
      </c>
      <c r="C832" t="str">
        <f>IF(AND(A832&gt;=SETTINGS!$B$4,A832&lt;=SETTINGS!$B$5),"Yes","No")</f>
        <v>No</v>
      </c>
      <c r="D832" t="str">
        <f>IFERROR(INDEX(SETTINGS!$C$15:$C$24,MATCH(A832,SETTINGS!$A$15:$A$24,0)),"No")</f>
        <v>No</v>
      </c>
      <c r="E832">
        <v>8</v>
      </c>
      <c r="F832" t="s">
        <v>41</v>
      </c>
      <c r="G832">
        <v>192</v>
      </c>
      <c r="H832" t="s">
        <v>107</v>
      </c>
      <c r="I832" t="s">
        <v>22</v>
      </c>
      <c r="J832" t="s">
        <v>27</v>
      </c>
      <c r="K832" t="s">
        <v>3</v>
      </c>
      <c r="L832" s="36">
        <f ca="1">IF(C832&lt;&gt;"Yes",0,IF(A832=2025,N('2025'!D192),IF(A832=2026,N('2026'!D192),IF(A832=2027,N('2027'!D192),IF(A832=2028,N('2028'!D192),IF(A832=2029,N('2029'!D192),IF(A832=2030,N('2030'!D192),IF(A832=2031,N('2031'!D192),IF(A832=2032,N('2032'!D192),IF(A832=2033,N('2033'!D192),IF(A832=2034,N('2034'!D192),IFERROR(N(INDIRECT("'"&amp;A832&amp;"'!D"&amp;G832)),0))))))))))))</f>
        <v>0</v>
      </c>
      <c r="M832" s="36">
        <f>IFERROR(IF(NOT(ISBLANK(KPI_TARGETS!$J$18)),KPI_TARGETS!$J$18,IF(NOT(ISBLANK(KPI_TARGETS!$F$18)),KPI_TARGETS!$F$18,"")),"")</f>
        <v>4</v>
      </c>
      <c r="N832" s="36" t="str">
        <f>IFERROR(KPI_TARGETS!$E$18,"Higher is better")</f>
        <v>Higher is better</v>
      </c>
      <c r="O832" s="37">
        <f t="shared" ca="1" si="72"/>
        <v>0</v>
      </c>
      <c r="P832" t="str">
        <f t="shared" ca="1" si="73"/>
        <v>Red</v>
      </c>
      <c r="Q832" s="36">
        <f t="shared" ca="1" si="74"/>
        <v>-4</v>
      </c>
      <c r="R832" s="36" t="str">
        <f>""</f>
        <v/>
      </c>
      <c r="S832" s="36" t="str">
        <f>""</f>
        <v/>
      </c>
      <c r="T832" s="36" t="str">
        <f>""</f>
        <v/>
      </c>
      <c r="U832" s="36" t="str">
        <f>""</f>
        <v/>
      </c>
      <c r="V832" s="36" t="str">
        <f>""</f>
        <v/>
      </c>
      <c r="W832" s="36">
        <f t="shared" si="75"/>
        <v>1</v>
      </c>
      <c r="X832" t="str">
        <f t="shared" si="76"/>
        <v>Inactive</v>
      </c>
      <c r="Y832" t="str">
        <f>IF(MAIN!$H$3="Selected Year",IF(A832=MAIN!$B$3,"Yes","No"),IF(MAIN!$H$3="Included Years",IF(D832="Yes","Yes","No"),IF(C832="Yes","Yes","No")))</f>
        <v>No</v>
      </c>
      <c r="Z832" t="str">
        <f>IF(MAIN!$F$3="Project to Date",IF(AND(A832&gt;=SETTINGS!$B$4,A832&lt;MAIN!$B$3),"Yes",IF(AND(A832=MAIN!$B$3,E832&lt;=MAIN!$L$3),"Yes","No")),IF(OR(MAIN!$F$3="Full Year",MAIN!$D$3="All"),"Yes",IF(MAIN!$F$3="Monthly",IF(E832=MAIN!$L$3,"Yes","No"),IF(E832&lt;=MAIN!$L$3,"Yes","No"))))</f>
        <v>Yes</v>
      </c>
      <c r="AA832" t="str">
        <f t="shared" si="77"/>
        <v>No</v>
      </c>
    </row>
    <row r="833" spans="1:27" x14ac:dyDescent="0.3">
      <c r="A833">
        <f>INDEX(SETTINGS!$A$15:$A$24,$B833)</f>
        <v>2028</v>
      </c>
      <c r="B833">
        <v>4</v>
      </c>
      <c r="C833" t="str">
        <f>IF(AND(A833&gt;=SETTINGS!$B$4,A833&lt;=SETTINGS!$B$5),"Yes","No")</f>
        <v>No</v>
      </c>
      <c r="D833" t="str">
        <f>IFERROR(INDEX(SETTINGS!$C$15:$C$24,MATCH(A833,SETTINGS!$A$15:$A$24,0)),"No")</f>
        <v>No</v>
      </c>
      <c r="E833">
        <v>8</v>
      </c>
      <c r="F833" t="s">
        <v>41</v>
      </c>
      <c r="G833">
        <v>193</v>
      </c>
      <c r="H833" t="s">
        <v>108</v>
      </c>
      <c r="I833" t="s">
        <v>22</v>
      </c>
      <c r="J833" t="s">
        <v>28</v>
      </c>
      <c r="K833" t="s">
        <v>3</v>
      </c>
      <c r="L833" s="36">
        <f ca="1">IF(C833&lt;&gt;"Yes",0,IF(A833=2025,N('2025'!D193),IF(A833=2026,N('2026'!D193),IF(A833=2027,N('2027'!D193),IF(A833=2028,N('2028'!D193),IF(A833=2029,N('2029'!D193),IF(A833=2030,N('2030'!D193),IF(A833=2031,N('2031'!D193),IF(A833=2032,N('2032'!D193),IF(A833=2033,N('2033'!D193),IF(A833=2034,N('2034'!D193),IFERROR(N(INDIRECT("'"&amp;A833&amp;"'!D"&amp;G833)),0))))))))))))</f>
        <v>0</v>
      </c>
      <c r="M833" s="36">
        <f>IFERROR(IF(NOT(ISBLANK(KPI_TARGETS!$J$19)),KPI_TARGETS!$J$19,IF(NOT(ISBLANK(KPI_TARGETS!$F$19)),KPI_TARGETS!$F$19,"")),"")</f>
        <v>16</v>
      </c>
      <c r="N833" s="36" t="str">
        <f>IFERROR(KPI_TARGETS!$E$19,"Higher is better")</f>
        <v>Higher is better</v>
      </c>
      <c r="O833" s="37">
        <f t="shared" ca="1" si="72"/>
        <v>0</v>
      </c>
      <c r="P833" t="str">
        <f t="shared" ca="1" si="73"/>
        <v>Red</v>
      </c>
      <c r="Q833" s="36">
        <f t="shared" ca="1" si="74"/>
        <v>-16</v>
      </c>
      <c r="R833" s="36" t="str">
        <f>""</f>
        <v/>
      </c>
      <c r="S833" s="36" t="str">
        <f>""</f>
        <v/>
      </c>
      <c r="T833" s="36" t="str">
        <f>""</f>
        <v/>
      </c>
      <c r="U833" s="36" t="str">
        <f>""</f>
        <v/>
      </c>
      <c r="V833" s="36" t="str">
        <f>""</f>
        <v/>
      </c>
      <c r="W833" s="36">
        <f t="shared" si="75"/>
        <v>1</v>
      </c>
      <c r="X833" t="str">
        <f t="shared" si="76"/>
        <v>Inactive</v>
      </c>
      <c r="Y833" t="str">
        <f>IF(MAIN!$H$3="Selected Year",IF(A833=MAIN!$B$3,"Yes","No"),IF(MAIN!$H$3="Included Years",IF(D833="Yes","Yes","No"),IF(C833="Yes","Yes","No")))</f>
        <v>No</v>
      </c>
      <c r="Z833" t="str">
        <f>IF(MAIN!$F$3="Project to Date",IF(AND(A833&gt;=SETTINGS!$B$4,A833&lt;MAIN!$B$3),"Yes",IF(AND(A833=MAIN!$B$3,E833&lt;=MAIN!$L$3),"Yes","No")),IF(OR(MAIN!$F$3="Full Year",MAIN!$D$3="All"),"Yes",IF(MAIN!$F$3="Monthly",IF(E833=MAIN!$L$3,"Yes","No"),IF(E833&lt;=MAIN!$L$3,"Yes","No"))))</f>
        <v>Yes</v>
      </c>
      <c r="AA833" t="str">
        <f t="shared" si="77"/>
        <v>No</v>
      </c>
    </row>
    <row r="834" spans="1:27" x14ac:dyDescent="0.3">
      <c r="A834">
        <f>INDEX(SETTINGS!$A$15:$A$24,$B834)</f>
        <v>2028</v>
      </c>
      <c r="B834">
        <v>4</v>
      </c>
      <c r="C834" t="str">
        <f>IF(AND(A834&gt;=SETTINGS!$B$4,A834&lt;=SETTINGS!$B$5),"Yes","No")</f>
        <v>No</v>
      </c>
      <c r="D834" t="str">
        <f>IFERROR(INDEX(SETTINGS!$C$15:$C$24,MATCH(A834,SETTINGS!$A$15:$A$24,0)),"No")</f>
        <v>No</v>
      </c>
      <c r="E834">
        <v>8</v>
      </c>
      <c r="F834" t="s">
        <v>41</v>
      </c>
      <c r="G834">
        <v>194</v>
      </c>
      <c r="H834" t="s">
        <v>109</v>
      </c>
      <c r="I834" t="s">
        <v>22</v>
      </c>
      <c r="J834" t="s">
        <v>29</v>
      </c>
      <c r="K834" t="s">
        <v>3</v>
      </c>
      <c r="L834" s="36">
        <f ca="1">IF(C834&lt;&gt;"Yes",0,IF(A834=2025,N('2025'!D194),IF(A834=2026,N('2026'!D194),IF(A834=2027,N('2027'!D194),IF(A834=2028,N('2028'!D194),IF(A834=2029,N('2029'!D194),IF(A834=2030,N('2030'!D194),IF(A834=2031,N('2031'!D194),IF(A834=2032,N('2032'!D194),IF(A834=2033,N('2033'!D194),IF(A834=2034,N('2034'!D194),IFERROR(N(INDIRECT("'"&amp;A834&amp;"'!D"&amp;G834)),0))))))))))))</f>
        <v>0</v>
      </c>
      <c r="M834" s="36">
        <f>IFERROR(IF(NOT(ISBLANK(KPI_TARGETS!$J$20)),KPI_TARGETS!$J$20,IF(NOT(ISBLANK(KPI_TARGETS!$F$20)),KPI_TARGETS!$F$20,"")),"")</f>
        <v>1</v>
      </c>
      <c r="N834" s="36" t="str">
        <f>IFERROR(KPI_TARGETS!$E$20,"Higher is better")</f>
        <v>Higher is better</v>
      </c>
      <c r="O834" s="37">
        <f t="shared" ref="O834:O897" ca="1" si="78">IF(M834="","",IF(N834="Higher is better",IFERROR(L834/M834,""),IF(L834=0,1,IFERROR(M834/L834,""))))</f>
        <v>0</v>
      </c>
      <c r="P834" t="str">
        <f t="shared" ref="P834:P897" ca="1" si="79">IF(M834="","Target Needed",IF(N834="Higher is better",IF(L834&gt;=M834,"Green",IF(L834&gt;=0.8*M834,"Amber","Red")),IF(M834=0,IF(L834=0,"Green","Red"),IF(L834&lt;=M834,"Green",IF(L834&lt;=1.25*M834,"Amber","Red")))))</f>
        <v>Red</v>
      </c>
      <c r="Q834" s="36">
        <f t="shared" ref="Q834:Q897" ca="1" si="80">IF(M834="","",IF(N834="Higher is better",L834-M834,M834-L834))</f>
        <v>-1</v>
      </c>
      <c r="R834" s="36" t="str">
        <f>""</f>
        <v/>
      </c>
      <c r="S834" s="36" t="str">
        <f>""</f>
        <v/>
      </c>
      <c r="T834" s="36" t="str">
        <f>""</f>
        <v/>
      </c>
      <c r="U834" s="36" t="str">
        <f>""</f>
        <v/>
      </c>
      <c r="V834" s="36" t="str">
        <f>""</f>
        <v/>
      </c>
      <c r="W834" s="36">
        <f t="shared" ref="W834:W897" si="81">IF(LEN(M834&amp;"")&gt;0,1,0)</f>
        <v>1</v>
      </c>
      <c r="X834" t="str">
        <f t="shared" ref="X834:X897" si="82">IF(C834&lt;&gt;"Yes","Inactive",IF(M834="","Missing target","OK"))</f>
        <v>Inactive</v>
      </c>
      <c r="Y834" t="str">
        <f>IF(MAIN!$H$3="Selected Year",IF(A834=MAIN!$B$3,"Yes","No"),IF(MAIN!$H$3="Included Years",IF(D834="Yes","Yes","No"),IF(C834="Yes","Yes","No")))</f>
        <v>No</v>
      </c>
      <c r="Z834" t="str">
        <f>IF(MAIN!$F$3="Project to Date",IF(AND(A834&gt;=SETTINGS!$B$4,A834&lt;MAIN!$B$3),"Yes",IF(AND(A834=MAIN!$B$3,E834&lt;=MAIN!$L$3),"Yes","No")),IF(OR(MAIN!$F$3="Full Year",MAIN!$D$3="All"),"Yes",IF(MAIN!$F$3="Monthly",IF(E834=MAIN!$L$3,"Yes","No"),IF(E834&lt;=MAIN!$L$3,"Yes","No"))))</f>
        <v>Yes</v>
      </c>
      <c r="AA834" t="str">
        <f t="shared" ref="AA834:AA897" si="83">IF(AND(Y834="Yes",Z834="Yes"),"Yes","No")</f>
        <v>No</v>
      </c>
    </row>
    <row r="835" spans="1:27" x14ac:dyDescent="0.3">
      <c r="A835">
        <f>INDEX(SETTINGS!$A$15:$A$24,$B835)</f>
        <v>2028</v>
      </c>
      <c r="B835">
        <v>4</v>
      </c>
      <c r="C835" t="str">
        <f>IF(AND(A835&gt;=SETTINGS!$B$4,A835&lt;=SETTINGS!$B$5),"Yes","No")</f>
        <v>No</v>
      </c>
      <c r="D835" t="str">
        <f>IFERROR(INDEX(SETTINGS!$C$15:$C$24,MATCH(A835,SETTINGS!$A$15:$A$24,0)),"No")</f>
        <v>No</v>
      </c>
      <c r="E835">
        <v>8</v>
      </c>
      <c r="F835" t="s">
        <v>41</v>
      </c>
      <c r="G835">
        <v>196</v>
      </c>
      <c r="H835" t="s">
        <v>110</v>
      </c>
      <c r="I835" t="s">
        <v>30</v>
      </c>
      <c r="J835" t="s">
        <v>31</v>
      </c>
      <c r="K835" t="s">
        <v>3</v>
      </c>
      <c r="L835" s="36">
        <f ca="1">IF(C835&lt;&gt;"Yes",0,IF(A835=2025,N('2025'!D196),IF(A835=2026,N('2026'!D196),IF(A835=2027,N('2027'!D196),IF(A835=2028,N('2028'!D196),IF(A835=2029,N('2029'!D196),IF(A835=2030,N('2030'!D196),IF(A835=2031,N('2031'!D196),IF(A835=2032,N('2032'!D196),IF(A835=2033,N('2033'!D196),IF(A835=2034,N('2034'!D196),IFERROR(N(INDIRECT("'"&amp;A835&amp;"'!D"&amp;G835)),0))))))))))))</f>
        <v>0</v>
      </c>
      <c r="M835" s="36">
        <f>IFERROR(IF(NOT(ISBLANK(KPI_TARGETS!$J$21)),KPI_TARGETS!$J$21,IF(NOT(ISBLANK(KPI_TARGETS!$F$21)),KPI_TARGETS!$F$21,"")),"")</f>
        <v>0</v>
      </c>
      <c r="N835" s="36" t="str">
        <f>IFERROR(KPI_TARGETS!$E$21,"Higher is better")</f>
        <v>Lower is better</v>
      </c>
      <c r="O835" s="37">
        <f t="shared" ca="1" si="78"/>
        <v>1</v>
      </c>
      <c r="P835" t="str">
        <f t="shared" ca="1" si="79"/>
        <v>Green</v>
      </c>
      <c r="Q835" s="36">
        <f t="shared" ca="1" si="80"/>
        <v>0</v>
      </c>
      <c r="R835" s="36" t="str">
        <f>""</f>
        <v/>
      </c>
      <c r="S835" s="36" t="str">
        <f>""</f>
        <v/>
      </c>
      <c r="T835" s="36" t="str">
        <f>""</f>
        <v/>
      </c>
      <c r="U835" s="36" t="str">
        <f>""</f>
        <v/>
      </c>
      <c r="V835" s="36" t="str">
        <f>""</f>
        <v/>
      </c>
      <c r="W835" s="36">
        <f t="shared" si="81"/>
        <v>1</v>
      </c>
      <c r="X835" t="str">
        <f t="shared" si="82"/>
        <v>Inactive</v>
      </c>
      <c r="Y835" t="str">
        <f>IF(MAIN!$H$3="Selected Year",IF(A835=MAIN!$B$3,"Yes","No"),IF(MAIN!$H$3="Included Years",IF(D835="Yes","Yes","No"),IF(C835="Yes","Yes","No")))</f>
        <v>No</v>
      </c>
      <c r="Z835" t="str">
        <f>IF(MAIN!$F$3="Project to Date",IF(AND(A835&gt;=SETTINGS!$B$4,A835&lt;MAIN!$B$3),"Yes",IF(AND(A835=MAIN!$B$3,E835&lt;=MAIN!$L$3),"Yes","No")),IF(OR(MAIN!$F$3="Full Year",MAIN!$D$3="All"),"Yes",IF(MAIN!$F$3="Monthly",IF(E835=MAIN!$L$3,"Yes","No"),IF(E835&lt;=MAIN!$L$3,"Yes","No"))))</f>
        <v>Yes</v>
      </c>
      <c r="AA835" t="str">
        <f t="shared" si="83"/>
        <v>No</v>
      </c>
    </row>
    <row r="836" spans="1:27" x14ac:dyDescent="0.3">
      <c r="A836">
        <f>INDEX(SETTINGS!$A$15:$A$24,$B836)</f>
        <v>2028</v>
      </c>
      <c r="B836">
        <v>4</v>
      </c>
      <c r="C836" t="str">
        <f>IF(AND(A836&gt;=SETTINGS!$B$4,A836&lt;=SETTINGS!$B$5),"Yes","No")</f>
        <v>No</v>
      </c>
      <c r="D836" t="str">
        <f>IFERROR(INDEX(SETTINGS!$C$15:$C$24,MATCH(A836,SETTINGS!$A$15:$A$24,0)),"No")</f>
        <v>No</v>
      </c>
      <c r="E836">
        <v>8</v>
      </c>
      <c r="F836" t="s">
        <v>41</v>
      </c>
      <c r="G836">
        <v>197</v>
      </c>
      <c r="H836" t="s">
        <v>111</v>
      </c>
      <c r="I836" t="s">
        <v>30</v>
      </c>
      <c r="J836" t="s">
        <v>32</v>
      </c>
      <c r="K836" t="s">
        <v>3</v>
      </c>
      <c r="L836" s="36">
        <f ca="1">IF(C836&lt;&gt;"Yes",0,IF(A836=2025,N('2025'!D197),IF(A836=2026,N('2026'!D197),IF(A836=2027,N('2027'!D197),IF(A836=2028,N('2028'!D197),IF(A836=2029,N('2029'!D197),IF(A836=2030,N('2030'!D197),IF(A836=2031,N('2031'!D197),IF(A836=2032,N('2032'!D197),IF(A836=2033,N('2033'!D197),IF(A836=2034,N('2034'!D197),IFERROR(N(INDIRECT("'"&amp;A836&amp;"'!D"&amp;G836)),0))))))))))))</f>
        <v>0</v>
      </c>
      <c r="M836" s="36">
        <f>IFERROR(IF(NOT(ISBLANK(KPI_TARGETS!$J$22)),KPI_TARGETS!$J$22,IF(NOT(ISBLANK(KPI_TARGETS!$F$22)),KPI_TARGETS!$F$22,"")),"")</f>
        <v>1</v>
      </c>
      <c r="N836" s="36" t="str">
        <f>IFERROR(KPI_TARGETS!$E$22,"Higher is better")</f>
        <v>Higher is better</v>
      </c>
      <c r="O836" s="37">
        <f t="shared" ca="1" si="78"/>
        <v>0</v>
      </c>
      <c r="P836" t="str">
        <f t="shared" ca="1" si="79"/>
        <v>Red</v>
      </c>
      <c r="Q836" s="36">
        <f t="shared" ca="1" si="80"/>
        <v>-1</v>
      </c>
      <c r="R836" s="36" t="str">
        <f>""</f>
        <v/>
      </c>
      <c r="S836" s="36" t="str">
        <f>""</f>
        <v/>
      </c>
      <c r="T836" s="36" t="str">
        <f>""</f>
        <v/>
      </c>
      <c r="U836" s="36" t="str">
        <f>""</f>
        <v/>
      </c>
      <c r="V836" s="36" t="str">
        <f>""</f>
        <v/>
      </c>
      <c r="W836" s="36">
        <f t="shared" si="81"/>
        <v>1</v>
      </c>
      <c r="X836" t="str">
        <f t="shared" si="82"/>
        <v>Inactive</v>
      </c>
      <c r="Y836" t="str">
        <f>IF(MAIN!$H$3="Selected Year",IF(A836=MAIN!$B$3,"Yes","No"),IF(MAIN!$H$3="Included Years",IF(D836="Yes","Yes","No"),IF(C836="Yes","Yes","No")))</f>
        <v>No</v>
      </c>
      <c r="Z836" t="str">
        <f>IF(MAIN!$F$3="Project to Date",IF(AND(A836&gt;=SETTINGS!$B$4,A836&lt;MAIN!$B$3),"Yes",IF(AND(A836=MAIN!$B$3,E836&lt;=MAIN!$L$3),"Yes","No")),IF(OR(MAIN!$F$3="Full Year",MAIN!$D$3="All"),"Yes",IF(MAIN!$F$3="Monthly",IF(E836=MAIN!$L$3,"Yes","No"),IF(E836&lt;=MAIN!$L$3,"Yes","No"))))</f>
        <v>Yes</v>
      </c>
      <c r="AA836" t="str">
        <f t="shared" si="83"/>
        <v>No</v>
      </c>
    </row>
    <row r="837" spans="1:27" x14ac:dyDescent="0.3">
      <c r="A837">
        <f>INDEX(SETTINGS!$A$15:$A$24,$B837)</f>
        <v>2028</v>
      </c>
      <c r="B837">
        <v>4</v>
      </c>
      <c r="C837" t="str">
        <f>IF(AND(A837&gt;=SETTINGS!$B$4,A837&lt;=SETTINGS!$B$5),"Yes","No")</f>
        <v>No</v>
      </c>
      <c r="D837" t="str">
        <f>IFERROR(INDEX(SETTINGS!$C$15:$C$24,MATCH(A837,SETTINGS!$A$15:$A$24,0)),"No")</f>
        <v>No</v>
      </c>
      <c r="E837">
        <v>8</v>
      </c>
      <c r="F837" t="s">
        <v>41</v>
      </c>
      <c r="G837">
        <v>198</v>
      </c>
      <c r="H837" t="s">
        <v>112</v>
      </c>
      <c r="I837" t="s">
        <v>30</v>
      </c>
      <c r="J837" t="s">
        <v>33</v>
      </c>
      <c r="K837" t="s">
        <v>34</v>
      </c>
      <c r="L837" s="36">
        <f ca="1">IF(C837&lt;&gt;"Yes",0,IF(A837=2025,N('2025'!D198),IF(A837=2026,N('2026'!D198),IF(A837=2027,N('2027'!D198),IF(A837=2028,N('2028'!D198),IF(A837=2029,N('2029'!D198),IF(A837=2030,N('2030'!D198),IF(A837=2031,N('2031'!D198),IF(A837=2032,N('2032'!D198),IF(A837=2033,N('2033'!D198),IF(A837=2034,N('2034'!D198),IFERROR(N(INDIRECT("'"&amp;A837&amp;"'!D"&amp;G837)),0))))))))))))</f>
        <v>0</v>
      </c>
      <c r="M837" s="36">
        <f>IFERROR(IF(NOT(ISBLANK(KPI_TARGETS!$J$23)),KPI_TARGETS!$J$23,IF(NOT(ISBLANK(KPI_TARGETS!$F$23)),KPI_TARGETS!$F$23,"")),"")</f>
        <v>1</v>
      </c>
      <c r="N837" s="36" t="str">
        <f>IFERROR(KPI_TARGETS!$E$23,"Higher is better")</f>
        <v>Higher is better</v>
      </c>
      <c r="O837" s="37">
        <f t="shared" ca="1" si="78"/>
        <v>0</v>
      </c>
      <c r="P837" t="str">
        <f t="shared" ca="1" si="79"/>
        <v>Red</v>
      </c>
      <c r="Q837" s="36">
        <f t="shared" ca="1" si="80"/>
        <v>-1</v>
      </c>
      <c r="R837" s="36" t="str">
        <f>""</f>
        <v/>
      </c>
      <c r="S837" s="36" t="str">
        <f>""</f>
        <v/>
      </c>
      <c r="T837" s="36" t="str">
        <f>""</f>
        <v/>
      </c>
      <c r="U837" s="36" t="str">
        <f>""</f>
        <v/>
      </c>
      <c r="V837" s="36" t="str">
        <f>""</f>
        <v/>
      </c>
      <c r="W837" s="36">
        <f t="shared" si="81"/>
        <v>1</v>
      </c>
      <c r="X837" t="str">
        <f t="shared" si="82"/>
        <v>Inactive</v>
      </c>
      <c r="Y837" t="str">
        <f>IF(MAIN!$H$3="Selected Year",IF(A837=MAIN!$B$3,"Yes","No"),IF(MAIN!$H$3="Included Years",IF(D837="Yes","Yes","No"),IF(C837="Yes","Yes","No")))</f>
        <v>No</v>
      </c>
      <c r="Z837" t="str">
        <f>IF(MAIN!$F$3="Project to Date",IF(AND(A837&gt;=SETTINGS!$B$4,A837&lt;MAIN!$B$3),"Yes",IF(AND(A837=MAIN!$B$3,E837&lt;=MAIN!$L$3),"Yes","No")),IF(OR(MAIN!$F$3="Full Year",MAIN!$D$3="All"),"Yes",IF(MAIN!$F$3="Monthly",IF(E837=MAIN!$L$3,"Yes","No"),IF(E837&lt;=MAIN!$L$3,"Yes","No"))))</f>
        <v>Yes</v>
      </c>
      <c r="AA837" t="str">
        <f t="shared" si="83"/>
        <v>No</v>
      </c>
    </row>
    <row r="838" spans="1:27" x14ac:dyDescent="0.3">
      <c r="A838">
        <f>INDEX(SETTINGS!$A$15:$A$24,$B838)</f>
        <v>2028</v>
      </c>
      <c r="B838">
        <v>4</v>
      </c>
      <c r="C838" t="str">
        <f>IF(AND(A838&gt;=SETTINGS!$B$4,A838&lt;=SETTINGS!$B$5),"Yes","No")</f>
        <v>No</v>
      </c>
      <c r="D838" t="str">
        <f>IFERROR(INDEX(SETTINGS!$C$15:$C$24,MATCH(A838,SETTINGS!$A$15:$A$24,0)),"No")</f>
        <v>No</v>
      </c>
      <c r="E838">
        <v>9</v>
      </c>
      <c r="F838" t="s">
        <v>42</v>
      </c>
      <c r="G838">
        <v>201</v>
      </c>
      <c r="H838" t="s">
        <v>88</v>
      </c>
      <c r="I838" t="s">
        <v>89</v>
      </c>
      <c r="J838" t="s">
        <v>10</v>
      </c>
      <c r="K838" t="s">
        <v>3</v>
      </c>
      <c r="L838" s="36">
        <f ca="1">IF(C838&lt;&gt;"Yes",0,IF(A838=2025,N('2025'!D201),IF(A838=2026,N('2026'!D201),IF(A838=2027,N('2027'!D201),IF(A838=2028,N('2028'!D201),IF(A838=2029,N('2029'!D201),IF(A838=2030,N('2030'!D201),IF(A838=2031,N('2031'!D201),IF(A838=2032,N('2032'!D201),IF(A838=2033,N('2033'!D201),IF(A838=2034,N('2034'!D201),IFERROR(N(INDIRECT("'"&amp;A838&amp;"'!D"&amp;G838)),0))))))))))))</f>
        <v>0</v>
      </c>
      <c r="M838" s="36">
        <f>IFERROR(IF(NOT(ISBLANK(KPI_TARGETS!$J$5)),KPI_TARGETS!$J$5,IF(NOT(ISBLANK(KPI_TARGETS!$F$5)),KPI_TARGETS!$F$5,"")),"")</f>
        <v>104</v>
      </c>
      <c r="N838" s="36" t="str">
        <f>IFERROR(KPI_TARGETS!$E$5,"Higher is better")</f>
        <v>Higher is better</v>
      </c>
      <c r="O838" s="37">
        <f t="shared" ca="1" si="78"/>
        <v>0</v>
      </c>
      <c r="P838" t="str">
        <f t="shared" ca="1" si="79"/>
        <v>Red</v>
      </c>
      <c r="Q838" s="36">
        <f t="shared" ca="1" si="80"/>
        <v>-104</v>
      </c>
      <c r="R838" s="36" t="str">
        <f>""</f>
        <v/>
      </c>
      <c r="S838" s="36" t="str">
        <f>""</f>
        <v/>
      </c>
      <c r="T838" s="36" t="str">
        <f>""</f>
        <v/>
      </c>
      <c r="U838" s="36" t="str">
        <f>""</f>
        <v/>
      </c>
      <c r="V838" s="36" t="str">
        <f>""</f>
        <v/>
      </c>
      <c r="W838" s="36">
        <f t="shared" si="81"/>
        <v>1</v>
      </c>
      <c r="X838" t="str">
        <f t="shared" si="82"/>
        <v>Inactive</v>
      </c>
      <c r="Y838" t="str">
        <f>IF(MAIN!$H$3="Selected Year",IF(A838=MAIN!$B$3,"Yes","No"),IF(MAIN!$H$3="Included Years",IF(D838="Yes","Yes","No"),IF(C838="Yes","Yes","No")))</f>
        <v>No</v>
      </c>
      <c r="Z838" t="str">
        <f>IF(MAIN!$F$3="Project to Date",IF(AND(A838&gt;=SETTINGS!$B$4,A838&lt;MAIN!$B$3),"Yes",IF(AND(A838=MAIN!$B$3,E838&lt;=MAIN!$L$3),"Yes","No")),IF(OR(MAIN!$F$3="Full Year",MAIN!$D$3="All"),"Yes",IF(MAIN!$F$3="Monthly",IF(E838=MAIN!$L$3,"Yes","No"),IF(E838&lt;=MAIN!$L$3,"Yes","No"))))</f>
        <v>Yes</v>
      </c>
      <c r="AA838" t="str">
        <f t="shared" si="83"/>
        <v>No</v>
      </c>
    </row>
    <row r="839" spans="1:27" x14ac:dyDescent="0.3">
      <c r="A839">
        <f>INDEX(SETTINGS!$A$15:$A$24,$B839)</f>
        <v>2028</v>
      </c>
      <c r="B839">
        <v>4</v>
      </c>
      <c r="C839" t="str">
        <f>IF(AND(A839&gt;=SETTINGS!$B$4,A839&lt;=SETTINGS!$B$5),"Yes","No")</f>
        <v>No</v>
      </c>
      <c r="D839" t="str">
        <f>IFERROR(INDEX(SETTINGS!$C$15:$C$24,MATCH(A839,SETTINGS!$A$15:$A$24,0)),"No")</f>
        <v>No</v>
      </c>
      <c r="E839">
        <v>9</v>
      </c>
      <c r="F839" t="s">
        <v>42</v>
      </c>
      <c r="G839">
        <v>202</v>
      </c>
      <c r="H839" t="s">
        <v>91</v>
      </c>
      <c r="I839" t="s">
        <v>89</v>
      </c>
      <c r="J839" t="s">
        <v>11</v>
      </c>
      <c r="K839" t="s">
        <v>12</v>
      </c>
      <c r="L839" s="36">
        <f ca="1">IF(C839&lt;&gt;"Yes",0,IF(A839=2025,N('2025'!D202),IF(A839=2026,N('2026'!D202),IF(A839=2027,N('2027'!D202),IF(A839=2028,N('2028'!D202),IF(A839=2029,N('2029'!D202),IF(A839=2030,N('2030'!D202),IF(A839=2031,N('2031'!D202),IF(A839=2032,N('2032'!D202),IF(A839=2033,N('2033'!D202),IF(A839=2034,N('2034'!D202),IFERROR(N(INDIRECT("'"&amp;A839&amp;"'!D"&amp;G839)),0))))))))))))</f>
        <v>0</v>
      </c>
      <c r="M839" s="36">
        <f>IFERROR(IF(NOT(ISBLANK(KPI_TARGETS!$J$6)),KPI_TARGETS!$J$6,IF(NOT(ISBLANK(KPI_TARGETS!$F$6)),KPI_TARGETS!$F$6,"")),"")</f>
        <v>4000</v>
      </c>
      <c r="N839" s="36" t="str">
        <f>IFERROR(KPI_TARGETS!$E$6,"Higher is better")</f>
        <v>Higher is better</v>
      </c>
      <c r="O839" s="37">
        <f t="shared" ca="1" si="78"/>
        <v>0</v>
      </c>
      <c r="P839" t="str">
        <f t="shared" ca="1" si="79"/>
        <v>Red</v>
      </c>
      <c r="Q839" s="36">
        <f t="shared" ca="1" si="80"/>
        <v>-4000</v>
      </c>
      <c r="R839" s="36" t="str">
        <f>""</f>
        <v/>
      </c>
      <c r="S839" s="36" t="str">
        <f>""</f>
        <v/>
      </c>
      <c r="T839" s="36" t="str">
        <f>""</f>
        <v/>
      </c>
      <c r="U839" s="36" t="str">
        <f>""</f>
        <v/>
      </c>
      <c r="V839" s="36" t="str">
        <f>""</f>
        <v/>
      </c>
      <c r="W839" s="36">
        <f t="shared" si="81"/>
        <v>1</v>
      </c>
      <c r="X839" t="str">
        <f t="shared" si="82"/>
        <v>Inactive</v>
      </c>
      <c r="Y839" t="str">
        <f>IF(MAIN!$H$3="Selected Year",IF(A839=MAIN!$B$3,"Yes","No"),IF(MAIN!$H$3="Included Years",IF(D839="Yes","Yes","No"),IF(C839="Yes","Yes","No")))</f>
        <v>No</v>
      </c>
      <c r="Z839" t="str">
        <f>IF(MAIN!$F$3="Project to Date",IF(AND(A839&gt;=SETTINGS!$B$4,A839&lt;MAIN!$B$3),"Yes",IF(AND(A839=MAIN!$B$3,E839&lt;=MAIN!$L$3),"Yes","No")),IF(OR(MAIN!$F$3="Full Year",MAIN!$D$3="All"),"Yes",IF(MAIN!$F$3="Monthly",IF(E839=MAIN!$L$3,"Yes","No"),IF(E839&lt;=MAIN!$L$3,"Yes","No"))))</f>
        <v>Yes</v>
      </c>
      <c r="AA839" t="str">
        <f t="shared" si="83"/>
        <v>No</v>
      </c>
    </row>
    <row r="840" spans="1:27" x14ac:dyDescent="0.3">
      <c r="A840">
        <f>INDEX(SETTINGS!$A$15:$A$24,$B840)</f>
        <v>2028</v>
      </c>
      <c r="B840">
        <v>4</v>
      </c>
      <c r="C840" t="str">
        <f>IF(AND(A840&gt;=SETTINGS!$B$4,A840&lt;=SETTINGS!$B$5),"Yes","No")</f>
        <v>No</v>
      </c>
      <c r="D840" t="str">
        <f>IFERROR(INDEX(SETTINGS!$C$15:$C$24,MATCH(A840,SETTINGS!$A$15:$A$24,0)),"No")</f>
        <v>No</v>
      </c>
      <c r="E840">
        <v>9</v>
      </c>
      <c r="F840" t="s">
        <v>42</v>
      </c>
      <c r="G840">
        <v>203</v>
      </c>
      <c r="H840" t="s">
        <v>93</v>
      </c>
      <c r="I840" t="s">
        <v>89</v>
      </c>
      <c r="J840" t="s">
        <v>13</v>
      </c>
      <c r="K840" t="s">
        <v>14</v>
      </c>
      <c r="L840" s="36">
        <f ca="1">IF(C840&lt;&gt;"Yes",0,IF(A840=2025,N('2025'!D203),IF(A840=2026,N('2026'!D203),IF(A840=2027,N('2027'!D203),IF(A840=2028,N('2028'!D203),IF(A840=2029,N('2029'!D203),IF(A840=2030,N('2030'!D203),IF(A840=2031,N('2031'!D203),IF(A840=2032,N('2032'!D203),IF(A840=2033,N('2033'!D203),IF(A840=2034,N('2034'!D203),IFERROR(N(INDIRECT("'"&amp;A840&amp;"'!D"&amp;G840)),0))))))))))))</f>
        <v>0</v>
      </c>
      <c r="M840" s="36">
        <f>IFERROR(IF(NOT(ISBLANK(KPI_TARGETS!$J$7)),KPI_TARGETS!$J$7,IF(NOT(ISBLANK(KPI_TARGETS!$F$7)),KPI_TARGETS!$F$7,"")),"")</f>
        <v>8000</v>
      </c>
      <c r="N840" s="36" t="str">
        <f>IFERROR(KPI_TARGETS!$E$7,"Higher is better")</f>
        <v>Higher is better</v>
      </c>
      <c r="O840" s="37">
        <f t="shared" ca="1" si="78"/>
        <v>0</v>
      </c>
      <c r="P840" t="str">
        <f t="shared" ca="1" si="79"/>
        <v>Red</v>
      </c>
      <c r="Q840" s="36">
        <f t="shared" ca="1" si="80"/>
        <v>-8000</v>
      </c>
      <c r="R840" s="36" t="str">
        <f>""</f>
        <v/>
      </c>
      <c r="S840" s="36" t="str">
        <f>""</f>
        <v/>
      </c>
      <c r="T840" s="36" t="str">
        <f>""</f>
        <v/>
      </c>
      <c r="U840" s="36" t="str">
        <f>""</f>
        <v/>
      </c>
      <c r="V840" s="36" t="str">
        <f>""</f>
        <v/>
      </c>
      <c r="W840" s="36">
        <f t="shared" si="81"/>
        <v>1</v>
      </c>
      <c r="X840" t="str">
        <f t="shared" si="82"/>
        <v>Inactive</v>
      </c>
      <c r="Y840" t="str">
        <f>IF(MAIN!$H$3="Selected Year",IF(A840=MAIN!$B$3,"Yes","No"),IF(MAIN!$H$3="Included Years",IF(D840="Yes","Yes","No"),IF(C840="Yes","Yes","No")))</f>
        <v>No</v>
      </c>
      <c r="Z840" t="str">
        <f>IF(MAIN!$F$3="Project to Date",IF(AND(A840&gt;=SETTINGS!$B$4,A840&lt;MAIN!$B$3),"Yes",IF(AND(A840=MAIN!$B$3,E840&lt;=MAIN!$L$3),"Yes","No")),IF(OR(MAIN!$F$3="Full Year",MAIN!$D$3="All"),"Yes",IF(MAIN!$F$3="Monthly",IF(E840=MAIN!$L$3,"Yes","No"),IF(E840&lt;=MAIN!$L$3,"Yes","No"))))</f>
        <v>Yes</v>
      </c>
      <c r="AA840" t="str">
        <f t="shared" si="83"/>
        <v>No</v>
      </c>
    </row>
    <row r="841" spans="1:27" x14ac:dyDescent="0.3">
      <c r="A841">
        <f>INDEX(SETTINGS!$A$15:$A$24,$B841)</f>
        <v>2028</v>
      </c>
      <c r="B841">
        <v>4</v>
      </c>
      <c r="C841" t="str">
        <f>IF(AND(A841&gt;=SETTINGS!$B$4,A841&lt;=SETTINGS!$B$5),"Yes","No")</f>
        <v>No</v>
      </c>
      <c r="D841" t="str">
        <f>IFERROR(INDEX(SETTINGS!$C$15:$C$24,MATCH(A841,SETTINGS!$A$15:$A$24,0)),"No")</f>
        <v>No</v>
      </c>
      <c r="E841">
        <v>9</v>
      </c>
      <c r="F841" t="s">
        <v>42</v>
      </c>
      <c r="G841">
        <v>205</v>
      </c>
      <c r="H841" t="s">
        <v>95</v>
      </c>
      <c r="I841" t="s">
        <v>15</v>
      </c>
      <c r="J841" t="s">
        <v>16</v>
      </c>
      <c r="K841" t="s">
        <v>3</v>
      </c>
      <c r="L841" s="36">
        <f ca="1">IF(C841&lt;&gt;"Yes",0,IF(A841=2025,N('2025'!D205),IF(A841=2026,N('2026'!D205),IF(A841=2027,N('2027'!D205),IF(A841=2028,N('2028'!D205),IF(A841=2029,N('2029'!D205),IF(A841=2030,N('2030'!D205),IF(A841=2031,N('2031'!D205),IF(A841=2032,N('2032'!D205),IF(A841=2033,N('2033'!D205),IF(A841=2034,N('2034'!D205),IFERROR(N(INDIRECT("'"&amp;A841&amp;"'!D"&amp;G841)),0))))))))))))</f>
        <v>0</v>
      </c>
      <c r="M841" s="36">
        <f>IFERROR(IF(NOT(ISBLANK(KPI_TARGETS!$J$8)),KPI_TARGETS!$J$8,IF(NOT(ISBLANK(KPI_TARGETS!$F$8)),KPI_TARGETS!$F$8,"")),"")</f>
        <v>0</v>
      </c>
      <c r="N841" s="36" t="str">
        <f>IFERROR(KPI_TARGETS!$E$8,"Higher is better")</f>
        <v>Lower is better</v>
      </c>
      <c r="O841" s="37">
        <f t="shared" ca="1" si="78"/>
        <v>1</v>
      </c>
      <c r="P841" t="str">
        <f t="shared" ca="1" si="79"/>
        <v>Green</v>
      </c>
      <c r="Q841" s="36">
        <f t="shared" ca="1" si="80"/>
        <v>0</v>
      </c>
      <c r="R841" s="36" t="str">
        <f>""</f>
        <v/>
      </c>
      <c r="S841" s="36" t="str">
        <f>""</f>
        <v/>
      </c>
      <c r="T841" s="36" t="str">
        <f>""</f>
        <v/>
      </c>
      <c r="U841" s="36" t="str">
        <f>""</f>
        <v/>
      </c>
      <c r="V841" s="36" t="str">
        <f>""</f>
        <v/>
      </c>
      <c r="W841" s="36">
        <f t="shared" si="81"/>
        <v>1</v>
      </c>
      <c r="X841" t="str">
        <f t="shared" si="82"/>
        <v>Inactive</v>
      </c>
      <c r="Y841" t="str">
        <f>IF(MAIN!$H$3="Selected Year",IF(A841=MAIN!$B$3,"Yes","No"),IF(MAIN!$H$3="Included Years",IF(D841="Yes","Yes","No"),IF(C841="Yes","Yes","No")))</f>
        <v>No</v>
      </c>
      <c r="Z841" t="str">
        <f>IF(MAIN!$F$3="Project to Date",IF(AND(A841&gt;=SETTINGS!$B$4,A841&lt;MAIN!$B$3),"Yes",IF(AND(A841=MAIN!$B$3,E841&lt;=MAIN!$L$3),"Yes","No")),IF(OR(MAIN!$F$3="Full Year",MAIN!$D$3="All"),"Yes",IF(MAIN!$F$3="Monthly",IF(E841=MAIN!$L$3,"Yes","No"),IF(E841&lt;=MAIN!$L$3,"Yes","No"))))</f>
        <v>Yes</v>
      </c>
      <c r="AA841" t="str">
        <f t="shared" si="83"/>
        <v>No</v>
      </c>
    </row>
    <row r="842" spans="1:27" x14ac:dyDescent="0.3">
      <c r="A842">
        <f>INDEX(SETTINGS!$A$15:$A$24,$B842)</f>
        <v>2028</v>
      </c>
      <c r="B842">
        <v>4</v>
      </c>
      <c r="C842" t="str">
        <f>IF(AND(A842&gt;=SETTINGS!$B$4,A842&lt;=SETTINGS!$B$5),"Yes","No")</f>
        <v>No</v>
      </c>
      <c r="D842" t="str">
        <f>IFERROR(INDEX(SETTINGS!$C$15:$C$24,MATCH(A842,SETTINGS!$A$15:$A$24,0)),"No")</f>
        <v>No</v>
      </c>
      <c r="E842">
        <v>9</v>
      </c>
      <c r="F842" t="s">
        <v>42</v>
      </c>
      <c r="G842">
        <v>206</v>
      </c>
      <c r="H842" t="s">
        <v>97</v>
      </c>
      <c r="I842" t="s">
        <v>15</v>
      </c>
      <c r="J842" t="s">
        <v>17</v>
      </c>
      <c r="K842" t="s">
        <v>3</v>
      </c>
      <c r="L842" s="36">
        <f ca="1">IF(C842&lt;&gt;"Yes",0,IF(A842=2025,N('2025'!D206),IF(A842=2026,N('2026'!D206),IF(A842=2027,N('2027'!D206),IF(A842=2028,N('2028'!D206),IF(A842=2029,N('2029'!D206),IF(A842=2030,N('2030'!D206),IF(A842=2031,N('2031'!D206),IF(A842=2032,N('2032'!D206),IF(A842=2033,N('2033'!D206),IF(A842=2034,N('2034'!D206),IFERROR(N(INDIRECT("'"&amp;A842&amp;"'!D"&amp;G842)),0))))))))))))</f>
        <v>0</v>
      </c>
      <c r="M842" s="36">
        <f>IFERROR(IF(NOT(ISBLANK(KPI_TARGETS!$J$9)),KPI_TARGETS!$J$9,IF(NOT(ISBLANK(KPI_TARGETS!$F$9)),KPI_TARGETS!$F$9,"")),"")</f>
        <v>0</v>
      </c>
      <c r="N842" s="36" t="str">
        <f>IFERROR(KPI_TARGETS!$E$9,"Higher is better")</f>
        <v>Higher is better</v>
      </c>
      <c r="O842" s="37" t="str">
        <f t="shared" ca="1" si="78"/>
        <v/>
      </c>
      <c r="P842" t="str">
        <f t="shared" ca="1" si="79"/>
        <v>Green</v>
      </c>
      <c r="Q842" s="36">
        <f t="shared" ca="1" si="80"/>
        <v>0</v>
      </c>
      <c r="R842" s="36" t="str">
        <f>""</f>
        <v/>
      </c>
      <c r="S842" s="36" t="str">
        <f>""</f>
        <v/>
      </c>
      <c r="T842" s="36" t="str">
        <f>""</f>
        <v/>
      </c>
      <c r="U842" s="36" t="str">
        <f>""</f>
        <v/>
      </c>
      <c r="V842" s="36" t="str">
        <f>""</f>
        <v/>
      </c>
      <c r="W842" s="36">
        <f t="shared" si="81"/>
        <v>1</v>
      </c>
      <c r="X842" t="str">
        <f t="shared" si="82"/>
        <v>Inactive</v>
      </c>
      <c r="Y842" t="str">
        <f>IF(MAIN!$H$3="Selected Year",IF(A842=MAIN!$B$3,"Yes","No"),IF(MAIN!$H$3="Included Years",IF(D842="Yes","Yes","No"),IF(C842="Yes","Yes","No")))</f>
        <v>No</v>
      </c>
      <c r="Z842" t="str">
        <f>IF(MAIN!$F$3="Project to Date",IF(AND(A842&gt;=SETTINGS!$B$4,A842&lt;MAIN!$B$3),"Yes",IF(AND(A842=MAIN!$B$3,E842&lt;=MAIN!$L$3),"Yes","No")),IF(OR(MAIN!$F$3="Full Year",MAIN!$D$3="All"),"Yes",IF(MAIN!$F$3="Monthly",IF(E842=MAIN!$L$3,"Yes","No"),IF(E842&lt;=MAIN!$L$3,"Yes","No"))))</f>
        <v>Yes</v>
      </c>
      <c r="AA842" t="str">
        <f t="shared" si="83"/>
        <v>No</v>
      </c>
    </row>
    <row r="843" spans="1:27" x14ac:dyDescent="0.3">
      <c r="A843">
        <f>INDEX(SETTINGS!$A$15:$A$24,$B843)</f>
        <v>2028</v>
      </c>
      <c r="B843">
        <v>4</v>
      </c>
      <c r="C843" t="str">
        <f>IF(AND(A843&gt;=SETTINGS!$B$4,A843&lt;=SETTINGS!$B$5),"Yes","No")</f>
        <v>No</v>
      </c>
      <c r="D843" t="str">
        <f>IFERROR(INDEX(SETTINGS!$C$15:$C$24,MATCH(A843,SETTINGS!$A$15:$A$24,0)),"No")</f>
        <v>No</v>
      </c>
      <c r="E843">
        <v>9</v>
      </c>
      <c r="F843" t="s">
        <v>42</v>
      </c>
      <c r="G843">
        <v>207</v>
      </c>
      <c r="H843" t="s">
        <v>99</v>
      </c>
      <c r="I843" t="s">
        <v>15</v>
      </c>
      <c r="J843" t="s">
        <v>18</v>
      </c>
      <c r="K843" t="s">
        <v>3</v>
      </c>
      <c r="L843" s="36">
        <f ca="1">IF(C843&lt;&gt;"Yes",0,IF(A843=2025,N('2025'!D207),IF(A843=2026,N('2026'!D207),IF(A843=2027,N('2027'!D207),IF(A843=2028,N('2028'!D207),IF(A843=2029,N('2029'!D207),IF(A843=2030,N('2030'!D207),IF(A843=2031,N('2031'!D207),IF(A843=2032,N('2032'!D207),IF(A843=2033,N('2033'!D207),IF(A843=2034,N('2034'!D207),IFERROR(N(INDIRECT("'"&amp;A843&amp;"'!D"&amp;G843)),0))))))))))))</f>
        <v>0</v>
      </c>
      <c r="M843" s="36">
        <f>IFERROR(IF(NOT(ISBLANK(KPI_TARGETS!$J$10)),KPI_TARGETS!$J$10,IF(NOT(ISBLANK(KPI_TARGETS!$F$10)),KPI_TARGETS!$F$10,"")),"")</f>
        <v>0</v>
      </c>
      <c r="N843" s="36" t="str">
        <f>IFERROR(KPI_TARGETS!$E$10,"Higher is better")</f>
        <v>Lower is better</v>
      </c>
      <c r="O843" s="37">
        <f t="shared" ca="1" si="78"/>
        <v>1</v>
      </c>
      <c r="P843" t="str">
        <f t="shared" ca="1" si="79"/>
        <v>Green</v>
      </c>
      <c r="Q843" s="36">
        <f t="shared" ca="1" si="80"/>
        <v>0</v>
      </c>
      <c r="R843" s="36" t="str">
        <f>""</f>
        <v/>
      </c>
      <c r="S843" s="36" t="str">
        <f>""</f>
        <v/>
      </c>
      <c r="T843" s="36" t="str">
        <f>""</f>
        <v/>
      </c>
      <c r="U843" s="36" t="str">
        <f>""</f>
        <v/>
      </c>
      <c r="V843" s="36" t="str">
        <f>""</f>
        <v/>
      </c>
      <c r="W843" s="36">
        <f t="shared" si="81"/>
        <v>1</v>
      </c>
      <c r="X843" t="str">
        <f t="shared" si="82"/>
        <v>Inactive</v>
      </c>
      <c r="Y843" t="str">
        <f>IF(MAIN!$H$3="Selected Year",IF(A843=MAIN!$B$3,"Yes","No"),IF(MAIN!$H$3="Included Years",IF(D843="Yes","Yes","No"),IF(C843="Yes","Yes","No")))</f>
        <v>No</v>
      </c>
      <c r="Z843" t="str">
        <f>IF(MAIN!$F$3="Project to Date",IF(AND(A843&gt;=SETTINGS!$B$4,A843&lt;MAIN!$B$3),"Yes",IF(AND(A843=MAIN!$B$3,E843&lt;=MAIN!$L$3),"Yes","No")),IF(OR(MAIN!$F$3="Full Year",MAIN!$D$3="All"),"Yes",IF(MAIN!$F$3="Monthly",IF(E843=MAIN!$L$3,"Yes","No"),IF(E843&lt;=MAIN!$L$3,"Yes","No"))))</f>
        <v>Yes</v>
      </c>
      <c r="AA843" t="str">
        <f t="shared" si="83"/>
        <v>No</v>
      </c>
    </row>
    <row r="844" spans="1:27" x14ac:dyDescent="0.3">
      <c r="A844">
        <f>INDEX(SETTINGS!$A$15:$A$24,$B844)</f>
        <v>2028</v>
      </c>
      <c r="B844">
        <v>4</v>
      </c>
      <c r="C844" t="str">
        <f>IF(AND(A844&gt;=SETTINGS!$B$4,A844&lt;=SETTINGS!$B$5),"Yes","No")</f>
        <v>No</v>
      </c>
      <c r="D844" t="str">
        <f>IFERROR(INDEX(SETTINGS!$C$15:$C$24,MATCH(A844,SETTINGS!$A$15:$A$24,0)),"No")</f>
        <v>No</v>
      </c>
      <c r="E844">
        <v>9</v>
      </c>
      <c r="F844" t="s">
        <v>42</v>
      </c>
      <c r="G844">
        <v>208</v>
      </c>
      <c r="H844" t="s">
        <v>100</v>
      </c>
      <c r="I844" t="s">
        <v>15</v>
      </c>
      <c r="J844" t="s">
        <v>19</v>
      </c>
      <c r="K844" t="s">
        <v>3</v>
      </c>
      <c r="L844" s="36">
        <f ca="1">IF(C844&lt;&gt;"Yes",0,IF(A844=2025,N('2025'!D208),IF(A844=2026,N('2026'!D208),IF(A844=2027,N('2027'!D208),IF(A844=2028,N('2028'!D208),IF(A844=2029,N('2029'!D208),IF(A844=2030,N('2030'!D208),IF(A844=2031,N('2031'!D208),IF(A844=2032,N('2032'!D208),IF(A844=2033,N('2033'!D208),IF(A844=2034,N('2034'!D208),IFERROR(N(INDIRECT("'"&amp;A844&amp;"'!D"&amp;G844)),0))))))))))))</f>
        <v>0</v>
      </c>
      <c r="M844" s="36">
        <f>IFERROR(IF(NOT(ISBLANK(KPI_TARGETS!$J$11)),KPI_TARGETS!$J$11,IF(NOT(ISBLANK(KPI_TARGETS!$F$11)),KPI_TARGETS!$F$11,"")),"")</f>
        <v>0</v>
      </c>
      <c r="N844" s="36" t="str">
        <f>IFERROR(KPI_TARGETS!$E$11,"Higher is better")</f>
        <v>Lower is better</v>
      </c>
      <c r="O844" s="37">
        <f t="shared" ca="1" si="78"/>
        <v>1</v>
      </c>
      <c r="P844" t="str">
        <f t="shared" ca="1" si="79"/>
        <v>Green</v>
      </c>
      <c r="Q844" s="36">
        <f t="shared" ca="1" si="80"/>
        <v>0</v>
      </c>
      <c r="R844" s="36" t="str">
        <f>""</f>
        <v/>
      </c>
      <c r="S844" s="36" t="str">
        <f>""</f>
        <v/>
      </c>
      <c r="T844" s="36" t="str">
        <f>""</f>
        <v/>
      </c>
      <c r="U844" s="36" t="str">
        <f>""</f>
        <v/>
      </c>
      <c r="V844" s="36" t="str">
        <f>""</f>
        <v/>
      </c>
      <c r="W844" s="36">
        <f t="shared" si="81"/>
        <v>1</v>
      </c>
      <c r="X844" t="str">
        <f t="shared" si="82"/>
        <v>Inactive</v>
      </c>
      <c r="Y844" t="str">
        <f>IF(MAIN!$H$3="Selected Year",IF(A844=MAIN!$B$3,"Yes","No"),IF(MAIN!$H$3="Included Years",IF(D844="Yes","Yes","No"),IF(C844="Yes","Yes","No")))</f>
        <v>No</v>
      </c>
      <c r="Z844" t="str">
        <f>IF(MAIN!$F$3="Project to Date",IF(AND(A844&gt;=SETTINGS!$B$4,A844&lt;MAIN!$B$3),"Yes",IF(AND(A844=MAIN!$B$3,E844&lt;=MAIN!$L$3),"Yes","No")),IF(OR(MAIN!$F$3="Full Year",MAIN!$D$3="All"),"Yes",IF(MAIN!$F$3="Monthly",IF(E844=MAIN!$L$3,"Yes","No"),IF(E844&lt;=MAIN!$L$3,"Yes","No"))))</f>
        <v>Yes</v>
      </c>
      <c r="AA844" t="str">
        <f t="shared" si="83"/>
        <v>No</v>
      </c>
    </row>
    <row r="845" spans="1:27" x14ac:dyDescent="0.3">
      <c r="A845">
        <f>INDEX(SETTINGS!$A$15:$A$24,$B845)</f>
        <v>2028</v>
      </c>
      <c r="B845">
        <v>4</v>
      </c>
      <c r="C845" t="str">
        <f>IF(AND(A845&gt;=SETTINGS!$B$4,A845&lt;=SETTINGS!$B$5),"Yes","No")</f>
        <v>No</v>
      </c>
      <c r="D845" t="str">
        <f>IFERROR(INDEX(SETTINGS!$C$15:$C$24,MATCH(A845,SETTINGS!$A$15:$A$24,0)),"No")</f>
        <v>No</v>
      </c>
      <c r="E845">
        <v>9</v>
      </c>
      <c r="F845" t="s">
        <v>42</v>
      </c>
      <c r="G845">
        <v>209</v>
      </c>
      <c r="H845" t="s">
        <v>101</v>
      </c>
      <c r="I845" t="s">
        <v>15</v>
      </c>
      <c r="J845" t="s">
        <v>20</v>
      </c>
      <c r="K845" t="s">
        <v>3</v>
      </c>
      <c r="L845" s="36">
        <f ca="1">IF(C845&lt;&gt;"Yes",0,IF(A845=2025,N('2025'!D209),IF(A845=2026,N('2026'!D209),IF(A845=2027,N('2027'!D209),IF(A845=2028,N('2028'!D209),IF(A845=2029,N('2029'!D209),IF(A845=2030,N('2030'!D209),IF(A845=2031,N('2031'!D209),IF(A845=2032,N('2032'!D209),IF(A845=2033,N('2033'!D209),IF(A845=2034,N('2034'!D209),IFERROR(N(INDIRECT("'"&amp;A845&amp;"'!D"&amp;G845)),0))))))))))))</f>
        <v>0</v>
      </c>
      <c r="M845" s="36">
        <f>IFERROR(IF(NOT(ISBLANK(KPI_TARGETS!$J$12)),KPI_TARGETS!$J$12,IF(NOT(ISBLANK(KPI_TARGETS!$F$12)),KPI_TARGETS!$F$12,"")),"")</f>
        <v>0</v>
      </c>
      <c r="N845" s="36" t="str">
        <f>IFERROR(KPI_TARGETS!$E$12,"Higher is better")</f>
        <v>Lower is better</v>
      </c>
      <c r="O845" s="37">
        <f t="shared" ca="1" si="78"/>
        <v>1</v>
      </c>
      <c r="P845" t="str">
        <f t="shared" ca="1" si="79"/>
        <v>Green</v>
      </c>
      <c r="Q845" s="36">
        <f t="shared" ca="1" si="80"/>
        <v>0</v>
      </c>
      <c r="R845" s="36" t="str">
        <f>""</f>
        <v/>
      </c>
      <c r="S845" s="36" t="str">
        <f>""</f>
        <v/>
      </c>
      <c r="T845" s="36" t="str">
        <f>""</f>
        <v/>
      </c>
      <c r="U845" s="36" t="str">
        <f>""</f>
        <v/>
      </c>
      <c r="V845" s="36" t="str">
        <f>""</f>
        <v/>
      </c>
      <c r="W845" s="36">
        <f t="shared" si="81"/>
        <v>1</v>
      </c>
      <c r="X845" t="str">
        <f t="shared" si="82"/>
        <v>Inactive</v>
      </c>
      <c r="Y845" t="str">
        <f>IF(MAIN!$H$3="Selected Year",IF(A845=MAIN!$B$3,"Yes","No"),IF(MAIN!$H$3="Included Years",IF(D845="Yes","Yes","No"),IF(C845="Yes","Yes","No")))</f>
        <v>No</v>
      </c>
      <c r="Z845" t="str">
        <f>IF(MAIN!$F$3="Project to Date",IF(AND(A845&gt;=SETTINGS!$B$4,A845&lt;MAIN!$B$3),"Yes",IF(AND(A845=MAIN!$B$3,E845&lt;=MAIN!$L$3),"Yes","No")),IF(OR(MAIN!$F$3="Full Year",MAIN!$D$3="All"),"Yes",IF(MAIN!$F$3="Monthly",IF(E845=MAIN!$L$3,"Yes","No"),IF(E845&lt;=MAIN!$L$3,"Yes","No"))))</f>
        <v>Yes</v>
      </c>
      <c r="AA845" t="str">
        <f t="shared" si="83"/>
        <v>No</v>
      </c>
    </row>
    <row r="846" spans="1:27" x14ac:dyDescent="0.3">
      <c r="A846">
        <f>INDEX(SETTINGS!$A$15:$A$24,$B846)</f>
        <v>2028</v>
      </c>
      <c r="B846">
        <v>4</v>
      </c>
      <c r="C846" t="str">
        <f>IF(AND(A846&gt;=SETTINGS!$B$4,A846&lt;=SETTINGS!$B$5),"Yes","No")</f>
        <v>No</v>
      </c>
      <c r="D846" t="str">
        <f>IFERROR(INDEX(SETTINGS!$C$15:$C$24,MATCH(A846,SETTINGS!$A$15:$A$24,0)),"No")</f>
        <v>No</v>
      </c>
      <c r="E846">
        <v>9</v>
      </c>
      <c r="F846" t="s">
        <v>42</v>
      </c>
      <c r="G846">
        <v>210</v>
      </c>
      <c r="H846" t="s">
        <v>102</v>
      </c>
      <c r="I846" t="s">
        <v>15</v>
      </c>
      <c r="J846" t="s">
        <v>21</v>
      </c>
      <c r="K846" t="s">
        <v>3</v>
      </c>
      <c r="L846" s="36">
        <f ca="1">IF(C846&lt;&gt;"Yes",0,IF(A846=2025,N('2025'!D210),IF(A846=2026,N('2026'!D210),IF(A846=2027,N('2027'!D210),IF(A846=2028,N('2028'!D210),IF(A846=2029,N('2029'!D210),IF(A846=2030,N('2030'!D210),IF(A846=2031,N('2031'!D210),IF(A846=2032,N('2032'!D210),IF(A846=2033,N('2033'!D210),IF(A846=2034,N('2034'!D210),IFERROR(N(INDIRECT("'"&amp;A846&amp;"'!D"&amp;G846)),0))))))))))))</f>
        <v>0</v>
      </c>
      <c r="M846" s="36">
        <f>IFERROR(IF(NOT(ISBLANK(KPI_TARGETS!$J$13)),KPI_TARGETS!$J$13,IF(NOT(ISBLANK(KPI_TARGETS!$F$13)),KPI_TARGETS!$F$13,"")),"")</f>
        <v>0</v>
      </c>
      <c r="N846" s="36" t="str">
        <f>IFERROR(KPI_TARGETS!$E$13,"Higher is better")</f>
        <v>Lower is better</v>
      </c>
      <c r="O846" s="37">
        <f t="shared" ca="1" si="78"/>
        <v>1</v>
      </c>
      <c r="P846" t="str">
        <f t="shared" ca="1" si="79"/>
        <v>Green</v>
      </c>
      <c r="Q846" s="36">
        <f t="shared" ca="1" si="80"/>
        <v>0</v>
      </c>
      <c r="R846" s="36" t="str">
        <f>""</f>
        <v/>
      </c>
      <c r="S846" s="36" t="str">
        <f>""</f>
        <v/>
      </c>
      <c r="T846" s="36" t="str">
        <f>""</f>
        <v/>
      </c>
      <c r="U846" s="36" t="str">
        <f>""</f>
        <v/>
      </c>
      <c r="V846" s="36" t="str">
        <f>""</f>
        <v/>
      </c>
      <c r="W846" s="36">
        <f t="shared" si="81"/>
        <v>1</v>
      </c>
      <c r="X846" t="str">
        <f t="shared" si="82"/>
        <v>Inactive</v>
      </c>
      <c r="Y846" t="str">
        <f>IF(MAIN!$H$3="Selected Year",IF(A846=MAIN!$B$3,"Yes","No"),IF(MAIN!$H$3="Included Years",IF(D846="Yes","Yes","No"),IF(C846="Yes","Yes","No")))</f>
        <v>No</v>
      </c>
      <c r="Z846" t="str">
        <f>IF(MAIN!$F$3="Project to Date",IF(AND(A846&gt;=SETTINGS!$B$4,A846&lt;MAIN!$B$3),"Yes",IF(AND(A846=MAIN!$B$3,E846&lt;=MAIN!$L$3),"Yes","No")),IF(OR(MAIN!$F$3="Full Year",MAIN!$D$3="All"),"Yes",IF(MAIN!$F$3="Monthly",IF(E846=MAIN!$L$3,"Yes","No"),IF(E846&lt;=MAIN!$L$3,"Yes","No"))))</f>
        <v>Yes</v>
      </c>
      <c r="AA846" t="str">
        <f t="shared" si="83"/>
        <v>No</v>
      </c>
    </row>
    <row r="847" spans="1:27" x14ac:dyDescent="0.3">
      <c r="A847">
        <f>INDEX(SETTINGS!$A$15:$A$24,$B847)</f>
        <v>2028</v>
      </c>
      <c r="B847">
        <v>4</v>
      </c>
      <c r="C847" t="str">
        <f>IF(AND(A847&gt;=SETTINGS!$B$4,A847&lt;=SETTINGS!$B$5),"Yes","No")</f>
        <v>No</v>
      </c>
      <c r="D847" t="str">
        <f>IFERROR(INDEX(SETTINGS!$C$15:$C$24,MATCH(A847,SETTINGS!$A$15:$A$24,0)),"No")</f>
        <v>No</v>
      </c>
      <c r="E847">
        <v>9</v>
      </c>
      <c r="F847" t="s">
        <v>42</v>
      </c>
      <c r="G847">
        <v>212</v>
      </c>
      <c r="H847" t="s">
        <v>103</v>
      </c>
      <c r="I847" t="s">
        <v>22</v>
      </c>
      <c r="J847" t="s">
        <v>23</v>
      </c>
      <c r="K847" t="s">
        <v>3</v>
      </c>
      <c r="L847" s="36">
        <f ca="1">IF(C847&lt;&gt;"Yes",0,IF(A847=2025,N('2025'!D212),IF(A847=2026,N('2026'!D212),IF(A847=2027,N('2027'!D212),IF(A847=2028,N('2028'!D212),IF(A847=2029,N('2029'!D212),IF(A847=2030,N('2030'!D212),IF(A847=2031,N('2031'!D212),IF(A847=2032,N('2032'!D212),IF(A847=2033,N('2033'!D212),IF(A847=2034,N('2034'!D212),IFERROR(N(INDIRECT("'"&amp;A847&amp;"'!D"&amp;G847)),0))))))))))))</f>
        <v>0</v>
      </c>
      <c r="M847" s="36">
        <f>IFERROR(IF(NOT(ISBLANK(KPI_TARGETS!$J$14)),KPI_TARGETS!$J$14,IF(NOT(ISBLANK(KPI_TARGETS!$F$14)),KPI_TARGETS!$F$14,"")),"")</f>
        <v>35</v>
      </c>
      <c r="N847" s="36" t="str">
        <f>IFERROR(KPI_TARGETS!$E$14,"Higher is better")</f>
        <v>Higher is better</v>
      </c>
      <c r="O847" s="37">
        <f t="shared" ca="1" si="78"/>
        <v>0</v>
      </c>
      <c r="P847" t="str">
        <f t="shared" ca="1" si="79"/>
        <v>Red</v>
      </c>
      <c r="Q847" s="36">
        <f t="shared" ca="1" si="80"/>
        <v>-35</v>
      </c>
      <c r="R847" s="36" t="str">
        <f>""</f>
        <v/>
      </c>
      <c r="S847" s="36" t="str">
        <f>""</f>
        <v/>
      </c>
      <c r="T847" s="36" t="str">
        <f>""</f>
        <v/>
      </c>
      <c r="U847" s="36" t="str">
        <f>""</f>
        <v/>
      </c>
      <c r="V847" s="36" t="str">
        <f>""</f>
        <v/>
      </c>
      <c r="W847" s="36">
        <f t="shared" si="81"/>
        <v>1</v>
      </c>
      <c r="X847" t="str">
        <f t="shared" si="82"/>
        <v>Inactive</v>
      </c>
      <c r="Y847" t="str">
        <f>IF(MAIN!$H$3="Selected Year",IF(A847=MAIN!$B$3,"Yes","No"),IF(MAIN!$H$3="Included Years",IF(D847="Yes","Yes","No"),IF(C847="Yes","Yes","No")))</f>
        <v>No</v>
      </c>
      <c r="Z847" t="str">
        <f>IF(MAIN!$F$3="Project to Date",IF(AND(A847&gt;=SETTINGS!$B$4,A847&lt;MAIN!$B$3),"Yes",IF(AND(A847=MAIN!$B$3,E847&lt;=MAIN!$L$3),"Yes","No")),IF(OR(MAIN!$F$3="Full Year",MAIN!$D$3="All"),"Yes",IF(MAIN!$F$3="Monthly",IF(E847=MAIN!$L$3,"Yes","No"),IF(E847&lt;=MAIN!$L$3,"Yes","No"))))</f>
        <v>Yes</v>
      </c>
      <c r="AA847" t="str">
        <f t="shared" si="83"/>
        <v>No</v>
      </c>
    </row>
    <row r="848" spans="1:27" x14ac:dyDescent="0.3">
      <c r="A848">
        <f>INDEX(SETTINGS!$A$15:$A$24,$B848)</f>
        <v>2028</v>
      </c>
      <c r="B848">
        <v>4</v>
      </c>
      <c r="C848" t="str">
        <f>IF(AND(A848&gt;=SETTINGS!$B$4,A848&lt;=SETTINGS!$B$5),"Yes","No")</f>
        <v>No</v>
      </c>
      <c r="D848" t="str">
        <f>IFERROR(INDEX(SETTINGS!$C$15:$C$24,MATCH(A848,SETTINGS!$A$15:$A$24,0)),"No")</f>
        <v>No</v>
      </c>
      <c r="E848">
        <v>9</v>
      </c>
      <c r="F848" t="s">
        <v>42</v>
      </c>
      <c r="G848">
        <v>213</v>
      </c>
      <c r="H848" t="s">
        <v>104</v>
      </c>
      <c r="I848" t="s">
        <v>22</v>
      </c>
      <c r="J848" t="s">
        <v>24</v>
      </c>
      <c r="K848" t="s">
        <v>3</v>
      </c>
      <c r="L848" s="36">
        <f ca="1">IF(C848&lt;&gt;"Yes",0,IF(A848=2025,N('2025'!D213),IF(A848=2026,N('2026'!D213),IF(A848=2027,N('2027'!D213),IF(A848=2028,N('2028'!D213),IF(A848=2029,N('2029'!D213),IF(A848=2030,N('2030'!D213),IF(A848=2031,N('2031'!D213),IF(A848=2032,N('2032'!D213),IF(A848=2033,N('2033'!D213),IF(A848=2034,N('2034'!D213),IFERROR(N(INDIRECT("'"&amp;A848&amp;"'!D"&amp;G848)),0))))))))))))</f>
        <v>0</v>
      </c>
      <c r="M848" s="36">
        <f>IFERROR(IF(NOT(ISBLANK(KPI_TARGETS!$J$15)),KPI_TARGETS!$J$15,IF(NOT(ISBLANK(KPI_TARGETS!$F$15)),KPI_TARGETS!$F$15,"")),"")</f>
        <v>5</v>
      </c>
      <c r="N848" s="36" t="str">
        <f>IFERROR(KPI_TARGETS!$E$15,"Higher is better")</f>
        <v>Higher is better</v>
      </c>
      <c r="O848" s="37">
        <f t="shared" ca="1" si="78"/>
        <v>0</v>
      </c>
      <c r="P848" t="str">
        <f t="shared" ca="1" si="79"/>
        <v>Red</v>
      </c>
      <c r="Q848" s="36">
        <f t="shared" ca="1" si="80"/>
        <v>-5</v>
      </c>
      <c r="R848" s="36" t="str">
        <f>""</f>
        <v/>
      </c>
      <c r="S848" s="36" t="str">
        <f>""</f>
        <v/>
      </c>
      <c r="T848" s="36" t="str">
        <f>""</f>
        <v/>
      </c>
      <c r="U848" s="36" t="str">
        <f>""</f>
        <v/>
      </c>
      <c r="V848" s="36" t="str">
        <f>""</f>
        <v/>
      </c>
      <c r="W848" s="36">
        <f t="shared" si="81"/>
        <v>1</v>
      </c>
      <c r="X848" t="str">
        <f t="shared" si="82"/>
        <v>Inactive</v>
      </c>
      <c r="Y848" t="str">
        <f>IF(MAIN!$H$3="Selected Year",IF(A848=MAIN!$B$3,"Yes","No"),IF(MAIN!$H$3="Included Years",IF(D848="Yes","Yes","No"),IF(C848="Yes","Yes","No")))</f>
        <v>No</v>
      </c>
      <c r="Z848" t="str">
        <f>IF(MAIN!$F$3="Project to Date",IF(AND(A848&gt;=SETTINGS!$B$4,A848&lt;MAIN!$B$3),"Yes",IF(AND(A848=MAIN!$B$3,E848&lt;=MAIN!$L$3),"Yes","No")),IF(OR(MAIN!$F$3="Full Year",MAIN!$D$3="All"),"Yes",IF(MAIN!$F$3="Monthly",IF(E848=MAIN!$L$3,"Yes","No"),IF(E848&lt;=MAIN!$L$3,"Yes","No"))))</f>
        <v>Yes</v>
      </c>
      <c r="AA848" t="str">
        <f t="shared" si="83"/>
        <v>No</v>
      </c>
    </row>
    <row r="849" spans="1:27" x14ac:dyDescent="0.3">
      <c r="A849">
        <f>INDEX(SETTINGS!$A$15:$A$24,$B849)</f>
        <v>2028</v>
      </c>
      <c r="B849">
        <v>4</v>
      </c>
      <c r="C849" t="str">
        <f>IF(AND(A849&gt;=SETTINGS!$B$4,A849&lt;=SETTINGS!$B$5),"Yes","No")</f>
        <v>No</v>
      </c>
      <c r="D849" t="str">
        <f>IFERROR(INDEX(SETTINGS!$C$15:$C$24,MATCH(A849,SETTINGS!$A$15:$A$24,0)),"No")</f>
        <v>No</v>
      </c>
      <c r="E849">
        <v>9</v>
      </c>
      <c r="F849" t="s">
        <v>42</v>
      </c>
      <c r="G849">
        <v>214</v>
      </c>
      <c r="H849" t="s">
        <v>105</v>
      </c>
      <c r="I849" t="s">
        <v>22</v>
      </c>
      <c r="J849" t="s">
        <v>25</v>
      </c>
      <c r="K849" t="s">
        <v>3</v>
      </c>
      <c r="L849" s="36">
        <f ca="1">IF(C849&lt;&gt;"Yes",0,IF(A849=2025,N('2025'!D214),IF(A849=2026,N('2026'!D214),IF(A849=2027,N('2027'!D214),IF(A849=2028,N('2028'!D214),IF(A849=2029,N('2029'!D214),IF(A849=2030,N('2030'!D214),IF(A849=2031,N('2031'!D214),IF(A849=2032,N('2032'!D214),IF(A849=2033,N('2033'!D214),IF(A849=2034,N('2034'!D214),IFERROR(N(INDIRECT("'"&amp;A849&amp;"'!D"&amp;G849)),0))))))))))))</f>
        <v>0</v>
      </c>
      <c r="M849" s="36">
        <f>IFERROR(IF(NOT(ISBLANK(KPI_TARGETS!$J$16)),KPI_TARGETS!$J$16,IF(NOT(ISBLANK(KPI_TARGETS!$F$16)),KPI_TARGETS!$F$16,"")),"")</f>
        <v>4</v>
      </c>
      <c r="N849" s="36" t="str">
        <f>IFERROR(KPI_TARGETS!$E$16,"Higher is better")</f>
        <v>Higher is better</v>
      </c>
      <c r="O849" s="37">
        <f t="shared" ca="1" si="78"/>
        <v>0</v>
      </c>
      <c r="P849" t="str">
        <f t="shared" ca="1" si="79"/>
        <v>Red</v>
      </c>
      <c r="Q849" s="36">
        <f t="shared" ca="1" si="80"/>
        <v>-4</v>
      </c>
      <c r="R849" s="36" t="str">
        <f>""</f>
        <v/>
      </c>
      <c r="S849" s="36" t="str">
        <f>""</f>
        <v/>
      </c>
      <c r="T849" s="36" t="str">
        <f>""</f>
        <v/>
      </c>
      <c r="U849" s="36" t="str">
        <f>""</f>
        <v/>
      </c>
      <c r="V849" s="36" t="str">
        <f>""</f>
        <v/>
      </c>
      <c r="W849" s="36">
        <f t="shared" si="81"/>
        <v>1</v>
      </c>
      <c r="X849" t="str">
        <f t="shared" si="82"/>
        <v>Inactive</v>
      </c>
      <c r="Y849" t="str">
        <f>IF(MAIN!$H$3="Selected Year",IF(A849=MAIN!$B$3,"Yes","No"),IF(MAIN!$H$3="Included Years",IF(D849="Yes","Yes","No"),IF(C849="Yes","Yes","No")))</f>
        <v>No</v>
      </c>
      <c r="Z849" t="str">
        <f>IF(MAIN!$F$3="Project to Date",IF(AND(A849&gt;=SETTINGS!$B$4,A849&lt;MAIN!$B$3),"Yes",IF(AND(A849=MAIN!$B$3,E849&lt;=MAIN!$L$3),"Yes","No")),IF(OR(MAIN!$F$3="Full Year",MAIN!$D$3="All"),"Yes",IF(MAIN!$F$3="Monthly",IF(E849=MAIN!$L$3,"Yes","No"),IF(E849&lt;=MAIN!$L$3,"Yes","No"))))</f>
        <v>Yes</v>
      </c>
      <c r="AA849" t="str">
        <f t="shared" si="83"/>
        <v>No</v>
      </c>
    </row>
    <row r="850" spans="1:27" x14ac:dyDescent="0.3">
      <c r="A850">
        <f>INDEX(SETTINGS!$A$15:$A$24,$B850)</f>
        <v>2028</v>
      </c>
      <c r="B850">
        <v>4</v>
      </c>
      <c r="C850" t="str">
        <f>IF(AND(A850&gt;=SETTINGS!$B$4,A850&lt;=SETTINGS!$B$5),"Yes","No")</f>
        <v>No</v>
      </c>
      <c r="D850" t="str">
        <f>IFERROR(INDEX(SETTINGS!$C$15:$C$24,MATCH(A850,SETTINGS!$A$15:$A$24,0)),"No")</f>
        <v>No</v>
      </c>
      <c r="E850">
        <v>9</v>
      </c>
      <c r="F850" t="s">
        <v>42</v>
      </c>
      <c r="G850">
        <v>215</v>
      </c>
      <c r="H850" t="s">
        <v>106</v>
      </c>
      <c r="I850" t="s">
        <v>22</v>
      </c>
      <c r="J850" t="s">
        <v>26</v>
      </c>
      <c r="K850" t="s">
        <v>3</v>
      </c>
      <c r="L850" s="36">
        <f ca="1">IF(C850&lt;&gt;"Yes",0,IF(A850=2025,N('2025'!D215),IF(A850=2026,N('2026'!D215),IF(A850=2027,N('2027'!D215),IF(A850=2028,N('2028'!D215),IF(A850=2029,N('2029'!D215),IF(A850=2030,N('2030'!D215),IF(A850=2031,N('2031'!D215),IF(A850=2032,N('2032'!D215),IF(A850=2033,N('2033'!D215),IF(A850=2034,N('2034'!D215),IFERROR(N(INDIRECT("'"&amp;A850&amp;"'!D"&amp;G850)),0))))))))))))</f>
        <v>0</v>
      </c>
      <c r="M850" s="36">
        <f>IFERROR(IF(NOT(ISBLANK(KPI_TARGETS!$J$17)),KPI_TARGETS!$J$17,IF(NOT(ISBLANK(KPI_TARGETS!$F$17)),KPI_TARGETS!$F$17,"")),"")</f>
        <v>12</v>
      </c>
      <c r="N850" s="36" t="str">
        <f>IFERROR(KPI_TARGETS!$E$17,"Higher is better")</f>
        <v>Higher is better</v>
      </c>
      <c r="O850" s="37">
        <f t="shared" ca="1" si="78"/>
        <v>0</v>
      </c>
      <c r="P850" t="str">
        <f t="shared" ca="1" si="79"/>
        <v>Red</v>
      </c>
      <c r="Q850" s="36">
        <f t="shared" ca="1" si="80"/>
        <v>-12</v>
      </c>
      <c r="R850" s="36" t="str">
        <f>""</f>
        <v/>
      </c>
      <c r="S850" s="36" t="str">
        <f>""</f>
        <v/>
      </c>
      <c r="T850" s="36" t="str">
        <f>""</f>
        <v/>
      </c>
      <c r="U850" s="36" t="str">
        <f>""</f>
        <v/>
      </c>
      <c r="V850" s="36" t="str">
        <f>""</f>
        <v/>
      </c>
      <c r="W850" s="36">
        <f t="shared" si="81"/>
        <v>1</v>
      </c>
      <c r="X850" t="str">
        <f t="shared" si="82"/>
        <v>Inactive</v>
      </c>
      <c r="Y850" t="str">
        <f>IF(MAIN!$H$3="Selected Year",IF(A850=MAIN!$B$3,"Yes","No"),IF(MAIN!$H$3="Included Years",IF(D850="Yes","Yes","No"),IF(C850="Yes","Yes","No")))</f>
        <v>No</v>
      </c>
      <c r="Z850" t="str">
        <f>IF(MAIN!$F$3="Project to Date",IF(AND(A850&gt;=SETTINGS!$B$4,A850&lt;MAIN!$B$3),"Yes",IF(AND(A850=MAIN!$B$3,E850&lt;=MAIN!$L$3),"Yes","No")),IF(OR(MAIN!$F$3="Full Year",MAIN!$D$3="All"),"Yes",IF(MAIN!$F$3="Monthly",IF(E850=MAIN!$L$3,"Yes","No"),IF(E850&lt;=MAIN!$L$3,"Yes","No"))))</f>
        <v>Yes</v>
      </c>
      <c r="AA850" t="str">
        <f t="shared" si="83"/>
        <v>No</v>
      </c>
    </row>
    <row r="851" spans="1:27" x14ac:dyDescent="0.3">
      <c r="A851">
        <f>INDEX(SETTINGS!$A$15:$A$24,$B851)</f>
        <v>2028</v>
      </c>
      <c r="B851">
        <v>4</v>
      </c>
      <c r="C851" t="str">
        <f>IF(AND(A851&gt;=SETTINGS!$B$4,A851&lt;=SETTINGS!$B$5),"Yes","No")</f>
        <v>No</v>
      </c>
      <c r="D851" t="str">
        <f>IFERROR(INDEX(SETTINGS!$C$15:$C$24,MATCH(A851,SETTINGS!$A$15:$A$24,0)),"No")</f>
        <v>No</v>
      </c>
      <c r="E851">
        <v>9</v>
      </c>
      <c r="F851" t="s">
        <v>42</v>
      </c>
      <c r="G851">
        <v>216</v>
      </c>
      <c r="H851" t="s">
        <v>107</v>
      </c>
      <c r="I851" t="s">
        <v>22</v>
      </c>
      <c r="J851" t="s">
        <v>27</v>
      </c>
      <c r="K851" t="s">
        <v>3</v>
      </c>
      <c r="L851" s="36">
        <f ca="1">IF(C851&lt;&gt;"Yes",0,IF(A851=2025,N('2025'!D216),IF(A851=2026,N('2026'!D216),IF(A851=2027,N('2027'!D216),IF(A851=2028,N('2028'!D216),IF(A851=2029,N('2029'!D216),IF(A851=2030,N('2030'!D216),IF(A851=2031,N('2031'!D216),IF(A851=2032,N('2032'!D216),IF(A851=2033,N('2033'!D216),IF(A851=2034,N('2034'!D216),IFERROR(N(INDIRECT("'"&amp;A851&amp;"'!D"&amp;G851)),0))))))))))))</f>
        <v>0</v>
      </c>
      <c r="M851" s="36">
        <f>IFERROR(IF(NOT(ISBLANK(KPI_TARGETS!$J$18)),KPI_TARGETS!$J$18,IF(NOT(ISBLANK(KPI_TARGETS!$F$18)),KPI_TARGETS!$F$18,"")),"")</f>
        <v>4</v>
      </c>
      <c r="N851" s="36" t="str">
        <f>IFERROR(KPI_TARGETS!$E$18,"Higher is better")</f>
        <v>Higher is better</v>
      </c>
      <c r="O851" s="37">
        <f t="shared" ca="1" si="78"/>
        <v>0</v>
      </c>
      <c r="P851" t="str">
        <f t="shared" ca="1" si="79"/>
        <v>Red</v>
      </c>
      <c r="Q851" s="36">
        <f t="shared" ca="1" si="80"/>
        <v>-4</v>
      </c>
      <c r="R851" s="36" t="str">
        <f>""</f>
        <v/>
      </c>
      <c r="S851" s="36" t="str">
        <f>""</f>
        <v/>
      </c>
      <c r="T851" s="36" t="str">
        <f>""</f>
        <v/>
      </c>
      <c r="U851" s="36" t="str">
        <f>""</f>
        <v/>
      </c>
      <c r="V851" s="36" t="str">
        <f>""</f>
        <v/>
      </c>
      <c r="W851" s="36">
        <f t="shared" si="81"/>
        <v>1</v>
      </c>
      <c r="X851" t="str">
        <f t="shared" si="82"/>
        <v>Inactive</v>
      </c>
      <c r="Y851" t="str">
        <f>IF(MAIN!$H$3="Selected Year",IF(A851=MAIN!$B$3,"Yes","No"),IF(MAIN!$H$3="Included Years",IF(D851="Yes","Yes","No"),IF(C851="Yes","Yes","No")))</f>
        <v>No</v>
      </c>
      <c r="Z851" t="str">
        <f>IF(MAIN!$F$3="Project to Date",IF(AND(A851&gt;=SETTINGS!$B$4,A851&lt;MAIN!$B$3),"Yes",IF(AND(A851=MAIN!$B$3,E851&lt;=MAIN!$L$3),"Yes","No")),IF(OR(MAIN!$F$3="Full Year",MAIN!$D$3="All"),"Yes",IF(MAIN!$F$3="Monthly",IF(E851=MAIN!$L$3,"Yes","No"),IF(E851&lt;=MAIN!$L$3,"Yes","No"))))</f>
        <v>Yes</v>
      </c>
      <c r="AA851" t="str">
        <f t="shared" si="83"/>
        <v>No</v>
      </c>
    </row>
    <row r="852" spans="1:27" x14ac:dyDescent="0.3">
      <c r="A852">
        <f>INDEX(SETTINGS!$A$15:$A$24,$B852)</f>
        <v>2028</v>
      </c>
      <c r="B852">
        <v>4</v>
      </c>
      <c r="C852" t="str">
        <f>IF(AND(A852&gt;=SETTINGS!$B$4,A852&lt;=SETTINGS!$B$5),"Yes","No")</f>
        <v>No</v>
      </c>
      <c r="D852" t="str">
        <f>IFERROR(INDEX(SETTINGS!$C$15:$C$24,MATCH(A852,SETTINGS!$A$15:$A$24,0)),"No")</f>
        <v>No</v>
      </c>
      <c r="E852">
        <v>9</v>
      </c>
      <c r="F852" t="s">
        <v>42</v>
      </c>
      <c r="G852">
        <v>217</v>
      </c>
      <c r="H852" t="s">
        <v>108</v>
      </c>
      <c r="I852" t="s">
        <v>22</v>
      </c>
      <c r="J852" t="s">
        <v>28</v>
      </c>
      <c r="K852" t="s">
        <v>3</v>
      </c>
      <c r="L852" s="36">
        <f ca="1">IF(C852&lt;&gt;"Yes",0,IF(A852=2025,N('2025'!D217),IF(A852=2026,N('2026'!D217),IF(A852=2027,N('2027'!D217),IF(A852=2028,N('2028'!D217),IF(A852=2029,N('2029'!D217),IF(A852=2030,N('2030'!D217),IF(A852=2031,N('2031'!D217),IF(A852=2032,N('2032'!D217),IF(A852=2033,N('2033'!D217),IF(A852=2034,N('2034'!D217),IFERROR(N(INDIRECT("'"&amp;A852&amp;"'!D"&amp;G852)),0))))))))))))</f>
        <v>0</v>
      </c>
      <c r="M852" s="36">
        <f>IFERROR(IF(NOT(ISBLANK(KPI_TARGETS!$J$19)),KPI_TARGETS!$J$19,IF(NOT(ISBLANK(KPI_TARGETS!$F$19)),KPI_TARGETS!$F$19,"")),"")</f>
        <v>16</v>
      </c>
      <c r="N852" s="36" t="str">
        <f>IFERROR(KPI_TARGETS!$E$19,"Higher is better")</f>
        <v>Higher is better</v>
      </c>
      <c r="O852" s="37">
        <f t="shared" ca="1" si="78"/>
        <v>0</v>
      </c>
      <c r="P852" t="str">
        <f t="shared" ca="1" si="79"/>
        <v>Red</v>
      </c>
      <c r="Q852" s="36">
        <f t="shared" ca="1" si="80"/>
        <v>-16</v>
      </c>
      <c r="R852" s="36" t="str">
        <f>""</f>
        <v/>
      </c>
      <c r="S852" s="36" t="str">
        <f>""</f>
        <v/>
      </c>
      <c r="T852" s="36" t="str">
        <f>""</f>
        <v/>
      </c>
      <c r="U852" s="36" t="str">
        <f>""</f>
        <v/>
      </c>
      <c r="V852" s="36" t="str">
        <f>""</f>
        <v/>
      </c>
      <c r="W852" s="36">
        <f t="shared" si="81"/>
        <v>1</v>
      </c>
      <c r="X852" t="str">
        <f t="shared" si="82"/>
        <v>Inactive</v>
      </c>
      <c r="Y852" t="str">
        <f>IF(MAIN!$H$3="Selected Year",IF(A852=MAIN!$B$3,"Yes","No"),IF(MAIN!$H$3="Included Years",IF(D852="Yes","Yes","No"),IF(C852="Yes","Yes","No")))</f>
        <v>No</v>
      </c>
      <c r="Z852" t="str">
        <f>IF(MAIN!$F$3="Project to Date",IF(AND(A852&gt;=SETTINGS!$B$4,A852&lt;MAIN!$B$3),"Yes",IF(AND(A852=MAIN!$B$3,E852&lt;=MAIN!$L$3),"Yes","No")),IF(OR(MAIN!$F$3="Full Year",MAIN!$D$3="All"),"Yes",IF(MAIN!$F$3="Monthly",IF(E852=MAIN!$L$3,"Yes","No"),IF(E852&lt;=MAIN!$L$3,"Yes","No"))))</f>
        <v>Yes</v>
      </c>
      <c r="AA852" t="str">
        <f t="shared" si="83"/>
        <v>No</v>
      </c>
    </row>
    <row r="853" spans="1:27" x14ac:dyDescent="0.3">
      <c r="A853">
        <f>INDEX(SETTINGS!$A$15:$A$24,$B853)</f>
        <v>2028</v>
      </c>
      <c r="B853">
        <v>4</v>
      </c>
      <c r="C853" t="str">
        <f>IF(AND(A853&gt;=SETTINGS!$B$4,A853&lt;=SETTINGS!$B$5),"Yes","No")</f>
        <v>No</v>
      </c>
      <c r="D853" t="str">
        <f>IFERROR(INDEX(SETTINGS!$C$15:$C$24,MATCH(A853,SETTINGS!$A$15:$A$24,0)),"No")</f>
        <v>No</v>
      </c>
      <c r="E853">
        <v>9</v>
      </c>
      <c r="F853" t="s">
        <v>42</v>
      </c>
      <c r="G853">
        <v>218</v>
      </c>
      <c r="H853" t="s">
        <v>109</v>
      </c>
      <c r="I853" t="s">
        <v>22</v>
      </c>
      <c r="J853" t="s">
        <v>29</v>
      </c>
      <c r="K853" t="s">
        <v>3</v>
      </c>
      <c r="L853" s="36">
        <f ca="1">IF(C853&lt;&gt;"Yes",0,IF(A853=2025,N('2025'!D218),IF(A853=2026,N('2026'!D218),IF(A853=2027,N('2027'!D218),IF(A853=2028,N('2028'!D218),IF(A853=2029,N('2029'!D218),IF(A853=2030,N('2030'!D218),IF(A853=2031,N('2031'!D218),IF(A853=2032,N('2032'!D218),IF(A853=2033,N('2033'!D218),IF(A853=2034,N('2034'!D218),IFERROR(N(INDIRECT("'"&amp;A853&amp;"'!D"&amp;G853)),0))))))))))))</f>
        <v>0</v>
      </c>
      <c r="M853" s="36">
        <f>IFERROR(IF(NOT(ISBLANK(KPI_TARGETS!$J$20)),KPI_TARGETS!$J$20,IF(NOT(ISBLANK(KPI_TARGETS!$F$20)),KPI_TARGETS!$F$20,"")),"")</f>
        <v>1</v>
      </c>
      <c r="N853" s="36" t="str">
        <f>IFERROR(KPI_TARGETS!$E$20,"Higher is better")</f>
        <v>Higher is better</v>
      </c>
      <c r="O853" s="37">
        <f t="shared" ca="1" si="78"/>
        <v>0</v>
      </c>
      <c r="P853" t="str">
        <f t="shared" ca="1" si="79"/>
        <v>Red</v>
      </c>
      <c r="Q853" s="36">
        <f t="shared" ca="1" si="80"/>
        <v>-1</v>
      </c>
      <c r="R853" s="36" t="str">
        <f>""</f>
        <v/>
      </c>
      <c r="S853" s="36" t="str">
        <f>""</f>
        <v/>
      </c>
      <c r="T853" s="36" t="str">
        <f>""</f>
        <v/>
      </c>
      <c r="U853" s="36" t="str">
        <f>""</f>
        <v/>
      </c>
      <c r="V853" s="36" t="str">
        <f>""</f>
        <v/>
      </c>
      <c r="W853" s="36">
        <f t="shared" si="81"/>
        <v>1</v>
      </c>
      <c r="X853" t="str">
        <f t="shared" si="82"/>
        <v>Inactive</v>
      </c>
      <c r="Y853" t="str">
        <f>IF(MAIN!$H$3="Selected Year",IF(A853=MAIN!$B$3,"Yes","No"),IF(MAIN!$H$3="Included Years",IF(D853="Yes","Yes","No"),IF(C853="Yes","Yes","No")))</f>
        <v>No</v>
      </c>
      <c r="Z853" t="str">
        <f>IF(MAIN!$F$3="Project to Date",IF(AND(A853&gt;=SETTINGS!$B$4,A853&lt;MAIN!$B$3),"Yes",IF(AND(A853=MAIN!$B$3,E853&lt;=MAIN!$L$3),"Yes","No")),IF(OR(MAIN!$F$3="Full Year",MAIN!$D$3="All"),"Yes",IF(MAIN!$F$3="Monthly",IF(E853=MAIN!$L$3,"Yes","No"),IF(E853&lt;=MAIN!$L$3,"Yes","No"))))</f>
        <v>Yes</v>
      </c>
      <c r="AA853" t="str">
        <f t="shared" si="83"/>
        <v>No</v>
      </c>
    </row>
    <row r="854" spans="1:27" x14ac:dyDescent="0.3">
      <c r="A854">
        <f>INDEX(SETTINGS!$A$15:$A$24,$B854)</f>
        <v>2028</v>
      </c>
      <c r="B854">
        <v>4</v>
      </c>
      <c r="C854" t="str">
        <f>IF(AND(A854&gt;=SETTINGS!$B$4,A854&lt;=SETTINGS!$B$5),"Yes","No")</f>
        <v>No</v>
      </c>
      <c r="D854" t="str">
        <f>IFERROR(INDEX(SETTINGS!$C$15:$C$24,MATCH(A854,SETTINGS!$A$15:$A$24,0)),"No")</f>
        <v>No</v>
      </c>
      <c r="E854">
        <v>9</v>
      </c>
      <c r="F854" t="s">
        <v>42</v>
      </c>
      <c r="G854">
        <v>220</v>
      </c>
      <c r="H854" t="s">
        <v>110</v>
      </c>
      <c r="I854" t="s">
        <v>30</v>
      </c>
      <c r="J854" t="s">
        <v>31</v>
      </c>
      <c r="K854" t="s">
        <v>3</v>
      </c>
      <c r="L854" s="36">
        <f ca="1">IF(C854&lt;&gt;"Yes",0,IF(A854=2025,N('2025'!D220),IF(A854=2026,N('2026'!D220),IF(A854=2027,N('2027'!D220),IF(A854=2028,N('2028'!D220),IF(A854=2029,N('2029'!D220),IF(A854=2030,N('2030'!D220),IF(A854=2031,N('2031'!D220),IF(A854=2032,N('2032'!D220),IF(A854=2033,N('2033'!D220),IF(A854=2034,N('2034'!D220),IFERROR(N(INDIRECT("'"&amp;A854&amp;"'!D"&amp;G854)),0))))))))))))</f>
        <v>0</v>
      </c>
      <c r="M854" s="36">
        <f>IFERROR(IF(NOT(ISBLANK(KPI_TARGETS!$J$21)),KPI_TARGETS!$J$21,IF(NOT(ISBLANK(KPI_TARGETS!$F$21)),KPI_TARGETS!$F$21,"")),"")</f>
        <v>0</v>
      </c>
      <c r="N854" s="36" t="str">
        <f>IFERROR(KPI_TARGETS!$E$21,"Higher is better")</f>
        <v>Lower is better</v>
      </c>
      <c r="O854" s="37">
        <f t="shared" ca="1" si="78"/>
        <v>1</v>
      </c>
      <c r="P854" t="str">
        <f t="shared" ca="1" si="79"/>
        <v>Green</v>
      </c>
      <c r="Q854" s="36">
        <f t="shared" ca="1" si="80"/>
        <v>0</v>
      </c>
      <c r="R854" s="36" t="str">
        <f>""</f>
        <v/>
      </c>
      <c r="S854" s="36" t="str">
        <f>""</f>
        <v/>
      </c>
      <c r="T854" s="36" t="str">
        <f>""</f>
        <v/>
      </c>
      <c r="U854" s="36" t="str">
        <f>""</f>
        <v/>
      </c>
      <c r="V854" s="36" t="str">
        <f>""</f>
        <v/>
      </c>
      <c r="W854" s="36">
        <f t="shared" si="81"/>
        <v>1</v>
      </c>
      <c r="X854" t="str">
        <f t="shared" si="82"/>
        <v>Inactive</v>
      </c>
      <c r="Y854" t="str">
        <f>IF(MAIN!$H$3="Selected Year",IF(A854=MAIN!$B$3,"Yes","No"),IF(MAIN!$H$3="Included Years",IF(D854="Yes","Yes","No"),IF(C854="Yes","Yes","No")))</f>
        <v>No</v>
      </c>
      <c r="Z854" t="str">
        <f>IF(MAIN!$F$3="Project to Date",IF(AND(A854&gt;=SETTINGS!$B$4,A854&lt;MAIN!$B$3),"Yes",IF(AND(A854=MAIN!$B$3,E854&lt;=MAIN!$L$3),"Yes","No")),IF(OR(MAIN!$F$3="Full Year",MAIN!$D$3="All"),"Yes",IF(MAIN!$F$3="Monthly",IF(E854=MAIN!$L$3,"Yes","No"),IF(E854&lt;=MAIN!$L$3,"Yes","No"))))</f>
        <v>Yes</v>
      </c>
      <c r="AA854" t="str">
        <f t="shared" si="83"/>
        <v>No</v>
      </c>
    </row>
    <row r="855" spans="1:27" x14ac:dyDescent="0.3">
      <c r="A855">
        <f>INDEX(SETTINGS!$A$15:$A$24,$B855)</f>
        <v>2028</v>
      </c>
      <c r="B855">
        <v>4</v>
      </c>
      <c r="C855" t="str">
        <f>IF(AND(A855&gt;=SETTINGS!$B$4,A855&lt;=SETTINGS!$B$5),"Yes","No")</f>
        <v>No</v>
      </c>
      <c r="D855" t="str">
        <f>IFERROR(INDEX(SETTINGS!$C$15:$C$24,MATCH(A855,SETTINGS!$A$15:$A$24,0)),"No")</f>
        <v>No</v>
      </c>
      <c r="E855">
        <v>9</v>
      </c>
      <c r="F855" t="s">
        <v>42</v>
      </c>
      <c r="G855">
        <v>221</v>
      </c>
      <c r="H855" t="s">
        <v>111</v>
      </c>
      <c r="I855" t="s">
        <v>30</v>
      </c>
      <c r="J855" t="s">
        <v>32</v>
      </c>
      <c r="K855" t="s">
        <v>3</v>
      </c>
      <c r="L855" s="36">
        <f ca="1">IF(C855&lt;&gt;"Yes",0,IF(A855=2025,N('2025'!D221),IF(A855=2026,N('2026'!D221),IF(A855=2027,N('2027'!D221),IF(A855=2028,N('2028'!D221),IF(A855=2029,N('2029'!D221),IF(A855=2030,N('2030'!D221),IF(A855=2031,N('2031'!D221),IF(A855=2032,N('2032'!D221),IF(A855=2033,N('2033'!D221),IF(A855=2034,N('2034'!D221),IFERROR(N(INDIRECT("'"&amp;A855&amp;"'!D"&amp;G855)),0))))))))))))</f>
        <v>0</v>
      </c>
      <c r="M855" s="36">
        <f>IFERROR(IF(NOT(ISBLANK(KPI_TARGETS!$J$22)),KPI_TARGETS!$J$22,IF(NOT(ISBLANK(KPI_TARGETS!$F$22)),KPI_TARGETS!$F$22,"")),"")</f>
        <v>1</v>
      </c>
      <c r="N855" s="36" t="str">
        <f>IFERROR(KPI_TARGETS!$E$22,"Higher is better")</f>
        <v>Higher is better</v>
      </c>
      <c r="O855" s="37">
        <f t="shared" ca="1" si="78"/>
        <v>0</v>
      </c>
      <c r="P855" t="str">
        <f t="shared" ca="1" si="79"/>
        <v>Red</v>
      </c>
      <c r="Q855" s="36">
        <f t="shared" ca="1" si="80"/>
        <v>-1</v>
      </c>
      <c r="R855" s="36" t="str">
        <f>""</f>
        <v/>
      </c>
      <c r="S855" s="36" t="str">
        <f>""</f>
        <v/>
      </c>
      <c r="T855" s="36" t="str">
        <f>""</f>
        <v/>
      </c>
      <c r="U855" s="36" t="str">
        <f>""</f>
        <v/>
      </c>
      <c r="V855" s="36" t="str">
        <f>""</f>
        <v/>
      </c>
      <c r="W855" s="36">
        <f t="shared" si="81"/>
        <v>1</v>
      </c>
      <c r="X855" t="str">
        <f t="shared" si="82"/>
        <v>Inactive</v>
      </c>
      <c r="Y855" t="str">
        <f>IF(MAIN!$H$3="Selected Year",IF(A855=MAIN!$B$3,"Yes","No"),IF(MAIN!$H$3="Included Years",IF(D855="Yes","Yes","No"),IF(C855="Yes","Yes","No")))</f>
        <v>No</v>
      </c>
      <c r="Z855" t="str">
        <f>IF(MAIN!$F$3="Project to Date",IF(AND(A855&gt;=SETTINGS!$B$4,A855&lt;MAIN!$B$3),"Yes",IF(AND(A855=MAIN!$B$3,E855&lt;=MAIN!$L$3),"Yes","No")),IF(OR(MAIN!$F$3="Full Year",MAIN!$D$3="All"),"Yes",IF(MAIN!$F$3="Monthly",IF(E855=MAIN!$L$3,"Yes","No"),IF(E855&lt;=MAIN!$L$3,"Yes","No"))))</f>
        <v>Yes</v>
      </c>
      <c r="AA855" t="str">
        <f t="shared" si="83"/>
        <v>No</v>
      </c>
    </row>
    <row r="856" spans="1:27" x14ac:dyDescent="0.3">
      <c r="A856">
        <f>INDEX(SETTINGS!$A$15:$A$24,$B856)</f>
        <v>2028</v>
      </c>
      <c r="B856">
        <v>4</v>
      </c>
      <c r="C856" t="str">
        <f>IF(AND(A856&gt;=SETTINGS!$B$4,A856&lt;=SETTINGS!$B$5),"Yes","No")</f>
        <v>No</v>
      </c>
      <c r="D856" t="str">
        <f>IFERROR(INDEX(SETTINGS!$C$15:$C$24,MATCH(A856,SETTINGS!$A$15:$A$24,0)),"No")</f>
        <v>No</v>
      </c>
      <c r="E856">
        <v>9</v>
      </c>
      <c r="F856" t="s">
        <v>42</v>
      </c>
      <c r="G856">
        <v>222</v>
      </c>
      <c r="H856" t="s">
        <v>112</v>
      </c>
      <c r="I856" t="s">
        <v>30</v>
      </c>
      <c r="J856" t="s">
        <v>33</v>
      </c>
      <c r="K856" t="s">
        <v>34</v>
      </c>
      <c r="L856" s="36">
        <f ca="1">IF(C856&lt;&gt;"Yes",0,IF(A856=2025,N('2025'!D222),IF(A856=2026,N('2026'!D222),IF(A856=2027,N('2027'!D222),IF(A856=2028,N('2028'!D222),IF(A856=2029,N('2029'!D222),IF(A856=2030,N('2030'!D222),IF(A856=2031,N('2031'!D222),IF(A856=2032,N('2032'!D222),IF(A856=2033,N('2033'!D222),IF(A856=2034,N('2034'!D222),IFERROR(N(INDIRECT("'"&amp;A856&amp;"'!D"&amp;G856)),0))))))))))))</f>
        <v>0</v>
      </c>
      <c r="M856" s="36">
        <f>IFERROR(IF(NOT(ISBLANK(KPI_TARGETS!$J$23)),KPI_TARGETS!$J$23,IF(NOT(ISBLANK(KPI_TARGETS!$F$23)),KPI_TARGETS!$F$23,"")),"")</f>
        <v>1</v>
      </c>
      <c r="N856" s="36" t="str">
        <f>IFERROR(KPI_TARGETS!$E$23,"Higher is better")</f>
        <v>Higher is better</v>
      </c>
      <c r="O856" s="37">
        <f t="shared" ca="1" si="78"/>
        <v>0</v>
      </c>
      <c r="P856" t="str">
        <f t="shared" ca="1" si="79"/>
        <v>Red</v>
      </c>
      <c r="Q856" s="36">
        <f t="shared" ca="1" si="80"/>
        <v>-1</v>
      </c>
      <c r="R856" s="36" t="str">
        <f>""</f>
        <v/>
      </c>
      <c r="S856" s="36" t="str">
        <f>""</f>
        <v/>
      </c>
      <c r="T856" s="36" t="str">
        <f>""</f>
        <v/>
      </c>
      <c r="U856" s="36" t="str">
        <f>""</f>
        <v/>
      </c>
      <c r="V856" s="36" t="str">
        <f>""</f>
        <v/>
      </c>
      <c r="W856" s="36">
        <f t="shared" si="81"/>
        <v>1</v>
      </c>
      <c r="X856" t="str">
        <f t="shared" si="82"/>
        <v>Inactive</v>
      </c>
      <c r="Y856" t="str">
        <f>IF(MAIN!$H$3="Selected Year",IF(A856=MAIN!$B$3,"Yes","No"),IF(MAIN!$H$3="Included Years",IF(D856="Yes","Yes","No"),IF(C856="Yes","Yes","No")))</f>
        <v>No</v>
      </c>
      <c r="Z856" t="str">
        <f>IF(MAIN!$F$3="Project to Date",IF(AND(A856&gt;=SETTINGS!$B$4,A856&lt;MAIN!$B$3),"Yes",IF(AND(A856=MAIN!$B$3,E856&lt;=MAIN!$L$3),"Yes","No")),IF(OR(MAIN!$F$3="Full Year",MAIN!$D$3="All"),"Yes",IF(MAIN!$F$3="Monthly",IF(E856=MAIN!$L$3,"Yes","No"),IF(E856&lt;=MAIN!$L$3,"Yes","No"))))</f>
        <v>Yes</v>
      </c>
      <c r="AA856" t="str">
        <f t="shared" si="83"/>
        <v>No</v>
      </c>
    </row>
    <row r="857" spans="1:27" x14ac:dyDescent="0.3">
      <c r="A857">
        <f>INDEX(SETTINGS!$A$15:$A$24,$B857)</f>
        <v>2028</v>
      </c>
      <c r="B857">
        <v>4</v>
      </c>
      <c r="C857" t="str">
        <f>IF(AND(A857&gt;=SETTINGS!$B$4,A857&lt;=SETTINGS!$B$5),"Yes","No")</f>
        <v>No</v>
      </c>
      <c r="D857" t="str">
        <f>IFERROR(INDEX(SETTINGS!$C$15:$C$24,MATCH(A857,SETTINGS!$A$15:$A$24,0)),"No")</f>
        <v>No</v>
      </c>
      <c r="E857">
        <v>10</v>
      </c>
      <c r="F857" t="s">
        <v>43</v>
      </c>
      <c r="G857">
        <v>225</v>
      </c>
      <c r="H857" t="s">
        <v>88</v>
      </c>
      <c r="I857" t="s">
        <v>89</v>
      </c>
      <c r="J857" t="s">
        <v>10</v>
      </c>
      <c r="K857" t="s">
        <v>3</v>
      </c>
      <c r="L857" s="36">
        <f ca="1">IF(C857&lt;&gt;"Yes",0,IF(A857=2025,N('2025'!D225),IF(A857=2026,N('2026'!D225),IF(A857=2027,N('2027'!D225),IF(A857=2028,N('2028'!D225),IF(A857=2029,N('2029'!D225),IF(A857=2030,N('2030'!D225),IF(A857=2031,N('2031'!D225),IF(A857=2032,N('2032'!D225),IF(A857=2033,N('2033'!D225),IF(A857=2034,N('2034'!D225),IFERROR(N(INDIRECT("'"&amp;A857&amp;"'!D"&amp;G857)),0))))))))))))</f>
        <v>0</v>
      </c>
      <c r="M857" s="36">
        <f>IFERROR(IF(NOT(ISBLANK(KPI_TARGETS!$J$5)),KPI_TARGETS!$J$5,IF(NOT(ISBLANK(KPI_TARGETS!$F$5)),KPI_TARGETS!$F$5,"")),"")</f>
        <v>104</v>
      </c>
      <c r="N857" s="36" t="str">
        <f>IFERROR(KPI_TARGETS!$E$5,"Higher is better")</f>
        <v>Higher is better</v>
      </c>
      <c r="O857" s="37">
        <f t="shared" ca="1" si="78"/>
        <v>0</v>
      </c>
      <c r="P857" t="str">
        <f t="shared" ca="1" si="79"/>
        <v>Red</v>
      </c>
      <c r="Q857" s="36">
        <f t="shared" ca="1" si="80"/>
        <v>-104</v>
      </c>
      <c r="R857" s="36" t="str">
        <f>""</f>
        <v/>
      </c>
      <c r="S857" s="36" t="str">
        <f>""</f>
        <v/>
      </c>
      <c r="T857" s="36" t="str">
        <f>""</f>
        <v/>
      </c>
      <c r="U857" s="36" t="str">
        <f>""</f>
        <v/>
      </c>
      <c r="V857" s="36" t="str">
        <f>""</f>
        <v/>
      </c>
      <c r="W857" s="36">
        <f t="shared" si="81"/>
        <v>1</v>
      </c>
      <c r="X857" t="str">
        <f t="shared" si="82"/>
        <v>Inactive</v>
      </c>
      <c r="Y857" t="str">
        <f>IF(MAIN!$H$3="Selected Year",IF(A857=MAIN!$B$3,"Yes","No"),IF(MAIN!$H$3="Included Years",IF(D857="Yes","Yes","No"),IF(C857="Yes","Yes","No")))</f>
        <v>No</v>
      </c>
      <c r="Z857" t="str">
        <f>IF(MAIN!$F$3="Project to Date",IF(AND(A857&gt;=SETTINGS!$B$4,A857&lt;MAIN!$B$3),"Yes",IF(AND(A857=MAIN!$B$3,E857&lt;=MAIN!$L$3),"Yes","No")),IF(OR(MAIN!$F$3="Full Year",MAIN!$D$3="All"),"Yes",IF(MAIN!$F$3="Monthly",IF(E857=MAIN!$L$3,"Yes","No"),IF(E857&lt;=MAIN!$L$3,"Yes","No"))))</f>
        <v>Yes</v>
      </c>
      <c r="AA857" t="str">
        <f t="shared" si="83"/>
        <v>No</v>
      </c>
    </row>
    <row r="858" spans="1:27" x14ac:dyDescent="0.3">
      <c r="A858">
        <f>INDEX(SETTINGS!$A$15:$A$24,$B858)</f>
        <v>2028</v>
      </c>
      <c r="B858">
        <v>4</v>
      </c>
      <c r="C858" t="str">
        <f>IF(AND(A858&gt;=SETTINGS!$B$4,A858&lt;=SETTINGS!$B$5),"Yes","No")</f>
        <v>No</v>
      </c>
      <c r="D858" t="str">
        <f>IFERROR(INDEX(SETTINGS!$C$15:$C$24,MATCH(A858,SETTINGS!$A$15:$A$24,0)),"No")</f>
        <v>No</v>
      </c>
      <c r="E858">
        <v>10</v>
      </c>
      <c r="F858" t="s">
        <v>43</v>
      </c>
      <c r="G858">
        <v>226</v>
      </c>
      <c r="H858" t="s">
        <v>91</v>
      </c>
      <c r="I858" t="s">
        <v>89</v>
      </c>
      <c r="J858" t="s">
        <v>11</v>
      </c>
      <c r="K858" t="s">
        <v>12</v>
      </c>
      <c r="L858" s="36">
        <f ca="1">IF(C858&lt;&gt;"Yes",0,IF(A858=2025,N('2025'!D226),IF(A858=2026,N('2026'!D226),IF(A858=2027,N('2027'!D226),IF(A858=2028,N('2028'!D226),IF(A858=2029,N('2029'!D226),IF(A858=2030,N('2030'!D226),IF(A858=2031,N('2031'!D226),IF(A858=2032,N('2032'!D226),IF(A858=2033,N('2033'!D226),IF(A858=2034,N('2034'!D226),IFERROR(N(INDIRECT("'"&amp;A858&amp;"'!D"&amp;G858)),0))))))))))))</f>
        <v>0</v>
      </c>
      <c r="M858" s="36">
        <f>IFERROR(IF(NOT(ISBLANK(KPI_TARGETS!$J$6)),KPI_TARGETS!$J$6,IF(NOT(ISBLANK(KPI_TARGETS!$F$6)),KPI_TARGETS!$F$6,"")),"")</f>
        <v>4000</v>
      </c>
      <c r="N858" s="36" t="str">
        <f>IFERROR(KPI_TARGETS!$E$6,"Higher is better")</f>
        <v>Higher is better</v>
      </c>
      <c r="O858" s="37">
        <f t="shared" ca="1" si="78"/>
        <v>0</v>
      </c>
      <c r="P858" t="str">
        <f t="shared" ca="1" si="79"/>
        <v>Red</v>
      </c>
      <c r="Q858" s="36">
        <f t="shared" ca="1" si="80"/>
        <v>-4000</v>
      </c>
      <c r="R858" s="36" t="str">
        <f>""</f>
        <v/>
      </c>
      <c r="S858" s="36" t="str">
        <f>""</f>
        <v/>
      </c>
      <c r="T858" s="36" t="str">
        <f>""</f>
        <v/>
      </c>
      <c r="U858" s="36" t="str">
        <f>""</f>
        <v/>
      </c>
      <c r="V858" s="36" t="str">
        <f>""</f>
        <v/>
      </c>
      <c r="W858" s="36">
        <f t="shared" si="81"/>
        <v>1</v>
      </c>
      <c r="X858" t="str">
        <f t="shared" si="82"/>
        <v>Inactive</v>
      </c>
      <c r="Y858" t="str">
        <f>IF(MAIN!$H$3="Selected Year",IF(A858=MAIN!$B$3,"Yes","No"),IF(MAIN!$H$3="Included Years",IF(D858="Yes","Yes","No"),IF(C858="Yes","Yes","No")))</f>
        <v>No</v>
      </c>
      <c r="Z858" t="str">
        <f>IF(MAIN!$F$3="Project to Date",IF(AND(A858&gt;=SETTINGS!$B$4,A858&lt;MAIN!$B$3),"Yes",IF(AND(A858=MAIN!$B$3,E858&lt;=MAIN!$L$3),"Yes","No")),IF(OR(MAIN!$F$3="Full Year",MAIN!$D$3="All"),"Yes",IF(MAIN!$F$3="Monthly",IF(E858=MAIN!$L$3,"Yes","No"),IF(E858&lt;=MAIN!$L$3,"Yes","No"))))</f>
        <v>Yes</v>
      </c>
      <c r="AA858" t="str">
        <f t="shared" si="83"/>
        <v>No</v>
      </c>
    </row>
    <row r="859" spans="1:27" x14ac:dyDescent="0.3">
      <c r="A859">
        <f>INDEX(SETTINGS!$A$15:$A$24,$B859)</f>
        <v>2028</v>
      </c>
      <c r="B859">
        <v>4</v>
      </c>
      <c r="C859" t="str">
        <f>IF(AND(A859&gt;=SETTINGS!$B$4,A859&lt;=SETTINGS!$B$5),"Yes","No")</f>
        <v>No</v>
      </c>
      <c r="D859" t="str">
        <f>IFERROR(INDEX(SETTINGS!$C$15:$C$24,MATCH(A859,SETTINGS!$A$15:$A$24,0)),"No")</f>
        <v>No</v>
      </c>
      <c r="E859">
        <v>10</v>
      </c>
      <c r="F859" t="s">
        <v>43</v>
      </c>
      <c r="G859">
        <v>227</v>
      </c>
      <c r="H859" t="s">
        <v>93</v>
      </c>
      <c r="I859" t="s">
        <v>89</v>
      </c>
      <c r="J859" t="s">
        <v>13</v>
      </c>
      <c r="K859" t="s">
        <v>14</v>
      </c>
      <c r="L859" s="36">
        <f ca="1">IF(C859&lt;&gt;"Yes",0,IF(A859=2025,N('2025'!D227),IF(A859=2026,N('2026'!D227),IF(A859=2027,N('2027'!D227),IF(A859=2028,N('2028'!D227),IF(A859=2029,N('2029'!D227),IF(A859=2030,N('2030'!D227),IF(A859=2031,N('2031'!D227),IF(A859=2032,N('2032'!D227),IF(A859=2033,N('2033'!D227),IF(A859=2034,N('2034'!D227),IFERROR(N(INDIRECT("'"&amp;A859&amp;"'!D"&amp;G859)),0))))))))))))</f>
        <v>0</v>
      </c>
      <c r="M859" s="36">
        <f>IFERROR(IF(NOT(ISBLANK(KPI_TARGETS!$J$7)),KPI_TARGETS!$J$7,IF(NOT(ISBLANK(KPI_TARGETS!$F$7)),KPI_TARGETS!$F$7,"")),"")</f>
        <v>8000</v>
      </c>
      <c r="N859" s="36" t="str">
        <f>IFERROR(KPI_TARGETS!$E$7,"Higher is better")</f>
        <v>Higher is better</v>
      </c>
      <c r="O859" s="37">
        <f t="shared" ca="1" si="78"/>
        <v>0</v>
      </c>
      <c r="P859" t="str">
        <f t="shared" ca="1" si="79"/>
        <v>Red</v>
      </c>
      <c r="Q859" s="36">
        <f t="shared" ca="1" si="80"/>
        <v>-8000</v>
      </c>
      <c r="R859" s="36" t="str">
        <f>""</f>
        <v/>
      </c>
      <c r="S859" s="36" t="str">
        <f>""</f>
        <v/>
      </c>
      <c r="T859" s="36" t="str">
        <f>""</f>
        <v/>
      </c>
      <c r="U859" s="36" t="str">
        <f>""</f>
        <v/>
      </c>
      <c r="V859" s="36" t="str">
        <f>""</f>
        <v/>
      </c>
      <c r="W859" s="36">
        <f t="shared" si="81"/>
        <v>1</v>
      </c>
      <c r="X859" t="str">
        <f t="shared" si="82"/>
        <v>Inactive</v>
      </c>
      <c r="Y859" t="str">
        <f>IF(MAIN!$H$3="Selected Year",IF(A859=MAIN!$B$3,"Yes","No"),IF(MAIN!$H$3="Included Years",IF(D859="Yes","Yes","No"),IF(C859="Yes","Yes","No")))</f>
        <v>No</v>
      </c>
      <c r="Z859" t="str">
        <f>IF(MAIN!$F$3="Project to Date",IF(AND(A859&gt;=SETTINGS!$B$4,A859&lt;MAIN!$B$3),"Yes",IF(AND(A859=MAIN!$B$3,E859&lt;=MAIN!$L$3),"Yes","No")),IF(OR(MAIN!$F$3="Full Year",MAIN!$D$3="All"),"Yes",IF(MAIN!$F$3="Monthly",IF(E859=MAIN!$L$3,"Yes","No"),IF(E859&lt;=MAIN!$L$3,"Yes","No"))))</f>
        <v>Yes</v>
      </c>
      <c r="AA859" t="str">
        <f t="shared" si="83"/>
        <v>No</v>
      </c>
    </row>
    <row r="860" spans="1:27" x14ac:dyDescent="0.3">
      <c r="A860">
        <f>INDEX(SETTINGS!$A$15:$A$24,$B860)</f>
        <v>2028</v>
      </c>
      <c r="B860">
        <v>4</v>
      </c>
      <c r="C860" t="str">
        <f>IF(AND(A860&gt;=SETTINGS!$B$4,A860&lt;=SETTINGS!$B$5),"Yes","No")</f>
        <v>No</v>
      </c>
      <c r="D860" t="str">
        <f>IFERROR(INDEX(SETTINGS!$C$15:$C$24,MATCH(A860,SETTINGS!$A$15:$A$24,0)),"No")</f>
        <v>No</v>
      </c>
      <c r="E860">
        <v>10</v>
      </c>
      <c r="F860" t="s">
        <v>43</v>
      </c>
      <c r="G860">
        <v>229</v>
      </c>
      <c r="H860" t="s">
        <v>95</v>
      </c>
      <c r="I860" t="s">
        <v>15</v>
      </c>
      <c r="J860" t="s">
        <v>16</v>
      </c>
      <c r="K860" t="s">
        <v>3</v>
      </c>
      <c r="L860" s="36">
        <f ca="1">IF(C860&lt;&gt;"Yes",0,IF(A860=2025,N('2025'!D229),IF(A860=2026,N('2026'!D229),IF(A860=2027,N('2027'!D229),IF(A860=2028,N('2028'!D229),IF(A860=2029,N('2029'!D229),IF(A860=2030,N('2030'!D229),IF(A860=2031,N('2031'!D229),IF(A860=2032,N('2032'!D229),IF(A860=2033,N('2033'!D229),IF(A860=2034,N('2034'!D229),IFERROR(N(INDIRECT("'"&amp;A860&amp;"'!D"&amp;G860)),0))))))))))))</f>
        <v>0</v>
      </c>
      <c r="M860" s="36">
        <f>IFERROR(IF(NOT(ISBLANK(KPI_TARGETS!$J$8)),KPI_TARGETS!$J$8,IF(NOT(ISBLANK(KPI_TARGETS!$F$8)),KPI_TARGETS!$F$8,"")),"")</f>
        <v>0</v>
      </c>
      <c r="N860" s="36" t="str">
        <f>IFERROR(KPI_TARGETS!$E$8,"Higher is better")</f>
        <v>Lower is better</v>
      </c>
      <c r="O860" s="37">
        <f t="shared" ca="1" si="78"/>
        <v>1</v>
      </c>
      <c r="P860" t="str">
        <f t="shared" ca="1" si="79"/>
        <v>Green</v>
      </c>
      <c r="Q860" s="36">
        <f t="shared" ca="1" si="80"/>
        <v>0</v>
      </c>
      <c r="R860" s="36" t="str">
        <f>""</f>
        <v/>
      </c>
      <c r="S860" s="36" t="str">
        <f>""</f>
        <v/>
      </c>
      <c r="T860" s="36" t="str">
        <f>""</f>
        <v/>
      </c>
      <c r="U860" s="36" t="str">
        <f>""</f>
        <v/>
      </c>
      <c r="V860" s="36" t="str">
        <f>""</f>
        <v/>
      </c>
      <c r="W860" s="36">
        <f t="shared" si="81"/>
        <v>1</v>
      </c>
      <c r="X860" t="str">
        <f t="shared" si="82"/>
        <v>Inactive</v>
      </c>
      <c r="Y860" t="str">
        <f>IF(MAIN!$H$3="Selected Year",IF(A860=MAIN!$B$3,"Yes","No"),IF(MAIN!$H$3="Included Years",IF(D860="Yes","Yes","No"),IF(C860="Yes","Yes","No")))</f>
        <v>No</v>
      </c>
      <c r="Z860" t="str">
        <f>IF(MAIN!$F$3="Project to Date",IF(AND(A860&gt;=SETTINGS!$B$4,A860&lt;MAIN!$B$3),"Yes",IF(AND(A860=MAIN!$B$3,E860&lt;=MAIN!$L$3),"Yes","No")),IF(OR(MAIN!$F$3="Full Year",MAIN!$D$3="All"),"Yes",IF(MAIN!$F$3="Monthly",IF(E860=MAIN!$L$3,"Yes","No"),IF(E860&lt;=MAIN!$L$3,"Yes","No"))))</f>
        <v>Yes</v>
      </c>
      <c r="AA860" t="str">
        <f t="shared" si="83"/>
        <v>No</v>
      </c>
    </row>
    <row r="861" spans="1:27" x14ac:dyDescent="0.3">
      <c r="A861">
        <f>INDEX(SETTINGS!$A$15:$A$24,$B861)</f>
        <v>2028</v>
      </c>
      <c r="B861">
        <v>4</v>
      </c>
      <c r="C861" t="str">
        <f>IF(AND(A861&gt;=SETTINGS!$B$4,A861&lt;=SETTINGS!$B$5),"Yes","No")</f>
        <v>No</v>
      </c>
      <c r="D861" t="str">
        <f>IFERROR(INDEX(SETTINGS!$C$15:$C$24,MATCH(A861,SETTINGS!$A$15:$A$24,0)),"No")</f>
        <v>No</v>
      </c>
      <c r="E861">
        <v>10</v>
      </c>
      <c r="F861" t="s">
        <v>43</v>
      </c>
      <c r="G861">
        <v>230</v>
      </c>
      <c r="H861" t="s">
        <v>97</v>
      </c>
      <c r="I861" t="s">
        <v>15</v>
      </c>
      <c r="J861" t="s">
        <v>17</v>
      </c>
      <c r="K861" t="s">
        <v>3</v>
      </c>
      <c r="L861" s="36">
        <f ca="1">IF(C861&lt;&gt;"Yes",0,IF(A861=2025,N('2025'!D230),IF(A861=2026,N('2026'!D230),IF(A861=2027,N('2027'!D230),IF(A861=2028,N('2028'!D230),IF(A861=2029,N('2029'!D230),IF(A861=2030,N('2030'!D230),IF(A861=2031,N('2031'!D230),IF(A861=2032,N('2032'!D230),IF(A861=2033,N('2033'!D230),IF(A861=2034,N('2034'!D230),IFERROR(N(INDIRECT("'"&amp;A861&amp;"'!D"&amp;G861)),0))))))))))))</f>
        <v>0</v>
      </c>
      <c r="M861" s="36">
        <f>IFERROR(IF(NOT(ISBLANK(KPI_TARGETS!$J$9)),KPI_TARGETS!$J$9,IF(NOT(ISBLANK(KPI_TARGETS!$F$9)),KPI_TARGETS!$F$9,"")),"")</f>
        <v>0</v>
      </c>
      <c r="N861" s="36" t="str">
        <f>IFERROR(KPI_TARGETS!$E$9,"Higher is better")</f>
        <v>Higher is better</v>
      </c>
      <c r="O861" s="37" t="str">
        <f t="shared" ca="1" si="78"/>
        <v/>
      </c>
      <c r="P861" t="str">
        <f t="shared" ca="1" si="79"/>
        <v>Green</v>
      </c>
      <c r="Q861" s="36">
        <f t="shared" ca="1" si="80"/>
        <v>0</v>
      </c>
      <c r="R861" s="36" t="str">
        <f>""</f>
        <v/>
      </c>
      <c r="S861" s="36" t="str">
        <f>""</f>
        <v/>
      </c>
      <c r="T861" s="36" t="str">
        <f>""</f>
        <v/>
      </c>
      <c r="U861" s="36" t="str">
        <f>""</f>
        <v/>
      </c>
      <c r="V861" s="36" t="str">
        <f>""</f>
        <v/>
      </c>
      <c r="W861" s="36">
        <f t="shared" si="81"/>
        <v>1</v>
      </c>
      <c r="X861" t="str">
        <f t="shared" si="82"/>
        <v>Inactive</v>
      </c>
      <c r="Y861" t="str">
        <f>IF(MAIN!$H$3="Selected Year",IF(A861=MAIN!$B$3,"Yes","No"),IF(MAIN!$H$3="Included Years",IF(D861="Yes","Yes","No"),IF(C861="Yes","Yes","No")))</f>
        <v>No</v>
      </c>
      <c r="Z861" t="str">
        <f>IF(MAIN!$F$3="Project to Date",IF(AND(A861&gt;=SETTINGS!$B$4,A861&lt;MAIN!$B$3),"Yes",IF(AND(A861=MAIN!$B$3,E861&lt;=MAIN!$L$3),"Yes","No")),IF(OR(MAIN!$F$3="Full Year",MAIN!$D$3="All"),"Yes",IF(MAIN!$F$3="Monthly",IF(E861=MAIN!$L$3,"Yes","No"),IF(E861&lt;=MAIN!$L$3,"Yes","No"))))</f>
        <v>Yes</v>
      </c>
      <c r="AA861" t="str">
        <f t="shared" si="83"/>
        <v>No</v>
      </c>
    </row>
    <row r="862" spans="1:27" x14ac:dyDescent="0.3">
      <c r="A862">
        <f>INDEX(SETTINGS!$A$15:$A$24,$B862)</f>
        <v>2028</v>
      </c>
      <c r="B862">
        <v>4</v>
      </c>
      <c r="C862" t="str">
        <f>IF(AND(A862&gt;=SETTINGS!$B$4,A862&lt;=SETTINGS!$B$5),"Yes","No")</f>
        <v>No</v>
      </c>
      <c r="D862" t="str">
        <f>IFERROR(INDEX(SETTINGS!$C$15:$C$24,MATCH(A862,SETTINGS!$A$15:$A$24,0)),"No")</f>
        <v>No</v>
      </c>
      <c r="E862">
        <v>10</v>
      </c>
      <c r="F862" t="s">
        <v>43</v>
      </c>
      <c r="G862">
        <v>231</v>
      </c>
      <c r="H862" t="s">
        <v>99</v>
      </c>
      <c r="I862" t="s">
        <v>15</v>
      </c>
      <c r="J862" t="s">
        <v>18</v>
      </c>
      <c r="K862" t="s">
        <v>3</v>
      </c>
      <c r="L862" s="36">
        <f ca="1">IF(C862&lt;&gt;"Yes",0,IF(A862=2025,N('2025'!D231),IF(A862=2026,N('2026'!D231),IF(A862=2027,N('2027'!D231),IF(A862=2028,N('2028'!D231),IF(A862=2029,N('2029'!D231),IF(A862=2030,N('2030'!D231),IF(A862=2031,N('2031'!D231),IF(A862=2032,N('2032'!D231),IF(A862=2033,N('2033'!D231),IF(A862=2034,N('2034'!D231),IFERROR(N(INDIRECT("'"&amp;A862&amp;"'!D"&amp;G862)),0))))))))))))</f>
        <v>0</v>
      </c>
      <c r="M862" s="36">
        <f>IFERROR(IF(NOT(ISBLANK(KPI_TARGETS!$J$10)),KPI_TARGETS!$J$10,IF(NOT(ISBLANK(KPI_TARGETS!$F$10)),KPI_TARGETS!$F$10,"")),"")</f>
        <v>0</v>
      </c>
      <c r="N862" s="36" t="str">
        <f>IFERROR(KPI_TARGETS!$E$10,"Higher is better")</f>
        <v>Lower is better</v>
      </c>
      <c r="O862" s="37">
        <f t="shared" ca="1" si="78"/>
        <v>1</v>
      </c>
      <c r="P862" t="str">
        <f t="shared" ca="1" si="79"/>
        <v>Green</v>
      </c>
      <c r="Q862" s="36">
        <f t="shared" ca="1" si="80"/>
        <v>0</v>
      </c>
      <c r="R862" s="36" t="str">
        <f>""</f>
        <v/>
      </c>
      <c r="S862" s="36" t="str">
        <f>""</f>
        <v/>
      </c>
      <c r="T862" s="36" t="str">
        <f>""</f>
        <v/>
      </c>
      <c r="U862" s="36" t="str">
        <f>""</f>
        <v/>
      </c>
      <c r="V862" s="36" t="str">
        <f>""</f>
        <v/>
      </c>
      <c r="W862" s="36">
        <f t="shared" si="81"/>
        <v>1</v>
      </c>
      <c r="X862" t="str">
        <f t="shared" si="82"/>
        <v>Inactive</v>
      </c>
      <c r="Y862" t="str">
        <f>IF(MAIN!$H$3="Selected Year",IF(A862=MAIN!$B$3,"Yes","No"),IF(MAIN!$H$3="Included Years",IF(D862="Yes","Yes","No"),IF(C862="Yes","Yes","No")))</f>
        <v>No</v>
      </c>
      <c r="Z862" t="str">
        <f>IF(MAIN!$F$3="Project to Date",IF(AND(A862&gt;=SETTINGS!$B$4,A862&lt;MAIN!$B$3),"Yes",IF(AND(A862=MAIN!$B$3,E862&lt;=MAIN!$L$3),"Yes","No")),IF(OR(MAIN!$F$3="Full Year",MAIN!$D$3="All"),"Yes",IF(MAIN!$F$3="Monthly",IF(E862=MAIN!$L$3,"Yes","No"),IF(E862&lt;=MAIN!$L$3,"Yes","No"))))</f>
        <v>Yes</v>
      </c>
      <c r="AA862" t="str">
        <f t="shared" si="83"/>
        <v>No</v>
      </c>
    </row>
    <row r="863" spans="1:27" x14ac:dyDescent="0.3">
      <c r="A863">
        <f>INDEX(SETTINGS!$A$15:$A$24,$B863)</f>
        <v>2028</v>
      </c>
      <c r="B863">
        <v>4</v>
      </c>
      <c r="C863" t="str">
        <f>IF(AND(A863&gt;=SETTINGS!$B$4,A863&lt;=SETTINGS!$B$5),"Yes","No")</f>
        <v>No</v>
      </c>
      <c r="D863" t="str">
        <f>IFERROR(INDEX(SETTINGS!$C$15:$C$24,MATCH(A863,SETTINGS!$A$15:$A$24,0)),"No")</f>
        <v>No</v>
      </c>
      <c r="E863">
        <v>10</v>
      </c>
      <c r="F863" t="s">
        <v>43</v>
      </c>
      <c r="G863">
        <v>232</v>
      </c>
      <c r="H863" t="s">
        <v>100</v>
      </c>
      <c r="I863" t="s">
        <v>15</v>
      </c>
      <c r="J863" t="s">
        <v>19</v>
      </c>
      <c r="K863" t="s">
        <v>3</v>
      </c>
      <c r="L863" s="36">
        <f ca="1">IF(C863&lt;&gt;"Yes",0,IF(A863=2025,N('2025'!D232),IF(A863=2026,N('2026'!D232),IF(A863=2027,N('2027'!D232),IF(A863=2028,N('2028'!D232),IF(A863=2029,N('2029'!D232),IF(A863=2030,N('2030'!D232),IF(A863=2031,N('2031'!D232),IF(A863=2032,N('2032'!D232),IF(A863=2033,N('2033'!D232),IF(A863=2034,N('2034'!D232),IFERROR(N(INDIRECT("'"&amp;A863&amp;"'!D"&amp;G863)),0))))))))))))</f>
        <v>0</v>
      </c>
      <c r="M863" s="36">
        <f>IFERROR(IF(NOT(ISBLANK(KPI_TARGETS!$J$11)),KPI_TARGETS!$J$11,IF(NOT(ISBLANK(KPI_TARGETS!$F$11)),KPI_TARGETS!$F$11,"")),"")</f>
        <v>0</v>
      </c>
      <c r="N863" s="36" t="str">
        <f>IFERROR(KPI_TARGETS!$E$11,"Higher is better")</f>
        <v>Lower is better</v>
      </c>
      <c r="O863" s="37">
        <f t="shared" ca="1" si="78"/>
        <v>1</v>
      </c>
      <c r="P863" t="str">
        <f t="shared" ca="1" si="79"/>
        <v>Green</v>
      </c>
      <c r="Q863" s="36">
        <f t="shared" ca="1" si="80"/>
        <v>0</v>
      </c>
      <c r="R863" s="36" t="str">
        <f>""</f>
        <v/>
      </c>
      <c r="S863" s="36" t="str">
        <f>""</f>
        <v/>
      </c>
      <c r="T863" s="36" t="str">
        <f>""</f>
        <v/>
      </c>
      <c r="U863" s="36" t="str">
        <f>""</f>
        <v/>
      </c>
      <c r="V863" s="36" t="str">
        <f>""</f>
        <v/>
      </c>
      <c r="W863" s="36">
        <f t="shared" si="81"/>
        <v>1</v>
      </c>
      <c r="X863" t="str">
        <f t="shared" si="82"/>
        <v>Inactive</v>
      </c>
      <c r="Y863" t="str">
        <f>IF(MAIN!$H$3="Selected Year",IF(A863=MAIN!$B$3,"Yes","No"),IF(MAIN!$H$3="Included Years",IF(D863="Yes","Yes","No"),IF(C863="Yes","Yes","No")))</f>
        <v>No</v>
      </c>
      <c r="Z863" t="str">
        <f>IF(MAIN!$F$3="Project to Date",IF(AND(A863&gt;=SETTINGS!$B$4,A863&lt;MAIN!$B$3),"Yes",IF(AND(A863=MAIN!$B$3,E863&lt;=MAIN!$L$3),"Yes","No")),IF(OR(MAIN!$F$3="Full Year",MAIN!$D$3="All"),"Yes",IF(MAIN!$F$3="Monthly",IF(E863=MAIN!$L$3,"Yes","No"),IF(E863&lt;=MAIN!$L$3,"Yes","No"))))</f>
        <v>Yes</v>
      </c>
      <c r="AA863" t="str">
        <f t="shared" si="83"/>
        <v>No</v>
      </c>
    </row>
    <row r="864" spans="1:27" x14ac:dyDescent="0.3">
      <c r="A864">
        <f>INDEX(SETTINGS!$A$15:$A$24,$B864)</f>
        <v>2028</v>
      </c>
      <c r="B864">
        <v>4</v>
      </c>
      <c r="C864" t="str">
        <f>IF(AND(A864&gt;=SETTINGS!$B$4,A864&lt;=SETTINGS!$B$5),"Yes","No")</f>
        <v>No</v>
      </c>
      <c r="D864" t="str">
        <f>IFERROR(INDEX(SETTINGS!$C$15:$C$24,MATCH(A864,SETTINGS!$A$15:$A$24,0)),"No")</f>
        <v>No</v>
      </c>
      <c r="E864">
        <v>10</v>
      </c>
      <c r="F864" t="s">
        <v>43</v>
      </c>
      <c r="G864">
        <v>233</v>
      </c>
      <c r="H864" t="s">
        <v>101</v>
      </c>
      <c r="I864" t="s">
        <v>15</v>
      </c>
      <c r="J864" t="s">
        <v>20</v>
      </c>
      <c r="K864" t="s">
        <v>3</v>
      </c>
      <c r="L864" s="36">
        <f ca="1">IF(C864&lt;&gt;"Yes",0,IF(A864=2025,N('2025'!D233),IF(A864=2026,N('2026'!D233),IF(A864=2027,N('2027'!D233),IF(A864=2028,N('2028'!D233),IF(A864=2029,N('2029'!D233),IF(A864=2030,N('2030'!D233),IF(A864=2031,N('2031'!D233),IF(A864=2032,N('2032'!D233),IF(A864=2033,N('2033'!D233),IF(A864=2034,N('2034'!D233),IFERROR(N(INDIRECT("'"&amp;A864&amp;"'!D"&amp;G864)),0))))))))))))</f>
        <v>0</v>
      </c>
      <c r="M864" s="36">
        <f>IFERROR(IF(NOT(ISBLANK(KPI_TARGETS!$J$12)),KPI_TARGETS!$J$12,IF(NOT(ISBLANK(KPI_TARGETS!$F$12)),KPI_TARGETS!$F$12,"")),"")</f>
        <v>0</v>
      </c>
      <c r="N864" s="36" t="str">
        <f>IFERROR(KPI_TARGETS!$E$12,"Higher is better")</f>
        <v>Lower is better</v>
      </c>
      <c r="O864" s="37">
        <f t="shared" ca="1" si="78"/>
        <v>1</v>
      </c>
      <c r="P864" t="str">
        <f t="shared" ca="1" si="79"/>
        <v>Green</v>
      </c>
      <c r="Q864" s="36">
        <f t="shared" ca="1" si="80"/>
        <v>0</v>
      </c>
      <c r="R864" s="36" t="str">
        <f>""</f>
        <v/>
      </c>
      <c r="S864" s="36" t="str">
        <f>""</f>
        <v/>
      </c>
      <c r="T864" s="36" t="str">
        <f>""</f>
        <v/>
      </c>
      <c r="U864" s="36" t="str">
        <f>""</f>
        <v/>
      </c>
      <c r="V864" s="36" t="str">
        <f>""</f>
        <v/>
      </c>
      <c r="W864" s="36">
        <f t="shared" si="81"/>
        <v>1</v>
      </c>
      <c r="X864" t="str">
        <f t="shared" si="82"/>
        <v>Inactive</v>
      </c>
      <c r="Y864" t="str">
        <f>IF(MAIN!$H$3="Selected Year",IF(A864=MAIN!$B$3,"Yes","No"),IF(MAIN!$H$3="Included Years",IF(D864="Yes","Yes","No"),IF(C864="Yes","Yes","No")))</f>
        <v>No</v>
      </c>
      <c r="Z864" t="str">
        <f>IF(MAIN!$F$3="Project to Date",IF(AND(A864&gt;=SETTINGS!$B$4,A864&lt;MAIN!$B$3),"Yes",IF(AND(A864=MAIN!$B$3,E864&lt;=MAIN!$L$3),"Yes","No")),IF(OR(MAIN!$F$3="Full Year",MAIN!$D$3="All"),"Yes",IF(MAIN!$F$3="Monthly",IF(E864=MAIN!$L$3,"Yes","No"),IF(E864&lt;=MAIN!$L$3,"Yes","No"))))</f>
        <v>Yes</v>
      </c>
      <c r="AA864" t="str">
        <f t="shared" si="83"/>
        <v>No</v>
      </c>
    </row>
    <row r="865" spans="1:27" x14ac:dyDescent="0.3">
      <c r="A865">
        <f>INDEX(SETTINGS!$A$15:$A$24,$B865)</f>
        <v>2028</v>
      </c>
      <c r="B865">
        <v>4</v>
      </c>
      <c r="C865" t="str">
        <f>IF(AND(A865&gt;=SETTINGS!$B$4,A865&lt;=SETTINGS!$B$5),"Yes","No")</f>
        <v>No</v>
      </c>
      <c r="D865" t="str">
        <f>IFERROR(INDEX(SETTINGS!$C$15:$C$24,MATCH(A865,SETTINGS!$A$15:$A$24,0)),"No")</f>
        <v>No</v>
      </c>
      <c r="E865">
        <v>10</v>
      </c>
      <c r="F865" t="s">
        <v>43</v>
      </c>
      <c r="G865">
        <v>234</v>
      </c>
      <c r="H865" t="s">
        <v>102</v>
      </c>
      <c r="I865" t="s">
        <v>15</v>
      </c>
      <c r="J865" t="s">
        <v>21</v>
      </c>
      <c r="K865" t="s">
        <v>3</v>
      </c>
      <c r="L865" s="36">
        <f ca="1">IF(C865&lt;&gt;"Yes",0,IF(A865=2025,N('2025'!D234),IF(A865=2026,N('2026'!D234),IF(A865=2027,N('2027'!D234),IF(A865=2028,N('2028'!D234),IF(A865=2029,N('2029'!D234),IF(A865=2030,N('2030'!D234),IF(A865=2031,N('2031'!D234),IF(A865=2032,N('2032'!D234),IF(A865=2033,N('2033'!D234),IF(A865=2034,N('2034'!D234),IFERROR(N(INDIRECT("'"&amp;A865&amp;"'!D"&amp;G865)),0))))))))))))</f>
        <v>0</v>
      </c>
      <c r="M865" s="36">
        <f>IFERROR(IF(NOT(ISBLANK(KPI_TARGETS!$J$13)),KPI_TARGETS!$J$13,IF(NOT(ISBLANK(KPI_TARGETS!$F$13)),KPI_TARGETS!$F$13,"")),"")</f>
        <v>0</v>
      </c>
      <c r="N865" s="36" t="str">
        <f>IFERROR(KPI_TARGETS!$E$13,"Higher is better")</f>
        <v>Lower is better</v>
      </c>
      <c r="O865" s="37">
        <f t="shared" ca="1" si="78"/>
        <v>1</v>
      </c>
      <c r="P865" t="str">
        <f t="shared" ca="1" si="79"/>
        <v>Green</v>
      </c>
      <c r="Q865" s="36">
        <f t="shared" ca="1" si="80"/>
        <v>0</v>
      </c>
      <c r="R865" s="36" t="str">
        <f>""</f>
        <v/>
      </c>
      <c r="S865" s="36" t="str">
        <f>""</f>
        <v/>
      </c>
      <c r="T865" s="36" t="str">
        <f>""</f>
        <v/>
      </c>
      <c r="U865" s="36" t="str">
        <f>""</f>
        <v/>
      </c>
      <c r="V865" s="36" t="str">
        <f>""</f>
        <v/>
      </c>
      <c r="W865" s="36">
        <f t="shared" si="81"/>
        <v>1</v>
      </c>
      <c r="X865" t="str">
        <f t="shared" si="82"/>
        <v>Inactive</v>
      </c>
      <c r="Y865" t="str">
        <f>IF(MAIN!$H$3="Selected Year",IF(A865=MAIN!$B$3,"Yes","No"),IF(MAIN!$H$3="Included Years",IF(D865="Yes","Yes","No"),IF(C865="Yes","Yes","No")))</f>
        <v>No</v>
      </c>
      <c r="Z865" t="str">
        <f>IF(MAIN!$F$3="Project to Date",IF(AND(A865&gt;=SETTINGS!$B$4,A865&lt;MAIN!$B$3),"Yes",IF(AND(A865=MAIN!$B$3,E865&lt;=MAIN!$L$3),"Yes","No")),IF(OR(MAIN!$F$3="Full Year",MAIN!$D$3="All"),"Yes",IF(MAIN!$F$3="Monthly",IF(E865=MAIN!$L$3,"Yes","No"),IF(E865&lt;=MAIN!$L$3,"Yes","No"))))</f>
        <v>Yes</v>
      </c>
      <c r="AA865" t="str">
        <f t="shared" si="83"/>
        <v>No</v>
      </c>
    </row>
    <row r="866" spans="1:27" x14ac:dyDescent="0.3">
      <c r="A866">
        <f>INDEX(SETTINGS!$A$15:$A$24,$B866)</f>
        <v>2028</v>
      </c>
      <c r="B866">
        <v>4</v>
      </c>
      <c r="C866" t="str">
        <f>IF(AND(A866&gt;=SETTINGS!$B$4,A866&lt;=SETTINGS!$B$5),"Yes","No")</f>
        <v>No</v>
      </c>
      <c r="D866" t="str">
        <f>IFERROR(INDEX(SETTINGS!$C$15:$C$24,MATCH(A866,SETTINGS!$A$15:$A$24,0)),"No")</f>
        <v>No</v>
      </c>
      <c r="E866">
        <v>10</v>
      </c>
      <c r="F866" t="s">
        <v>43</v>
      </c>
      <c r="G866">
        <v>236</v>
      </c>
      <c r="H866" t="s">
        <v>103</v>
      </c>
      <c r="I866" t="s">
        <v>22</v>
      </c>
      <c r="J866" t="s">
        <v>23</v>
      </c>
      <c r="K866" t="s">
        <v>3</v>
      </c>
      <c r="L866" s="36">
        <f ca="1">IF(C866&lt;&gt;"Yes",0,IF(A866=2025,N('2025'!D236),IF(A866=2026,N('2026'!D236),IF(A866=2027,N('2027'!D236),IF(A866=2028,N('2028'!D236),IF(A866=2029,N('2029'!D236),IF(A866=2030,N('2030'!D236),IF(A866=2031,N('2031'!D236),IF(A866=2032,N('2032'!D236),IF(A866=2033,N('2033'!D236),IF(A866=2034,N('2034'!D236),IFERROR(N(INDIRECT("'"&amp;A866&amp;"'!D"&amp;G866)),0))))))))))))</f>
        <v>0</v>
      </c>
      <c r="M866" s="36">
        <f>IFERROR(IF(NOT(ISBLANK(KPI_TARGETS!$J$14)),KPI_TARGETS!$J$14,IF(NOT(ISBLANK(KPI_TARGETS!$F$14)),KPI_TARGETS!$F$14,"")),"")</f>
        <v>35</v>
      </c>
      <c r="N866" s="36" t="str">
        <f>IFERROR(KPI_TARGETS!$E$14,"Higher is better")</f>
        <v>Higher is better</v>
      </c>
      <c r="O866" s="37">
        <f t="shared" ca="1" si="78"/>
        <v>0</v>
      </c>
      <c r="P866" t="str">
        <f t="shared" ca="1" si="79"/>
        <v>Red</v>
      </c>
      <c r="Q866" s="36">
        <f t="shared" ca="1" si="80"/>
        <v>-35</v>
      </c>
      <c r="R866" s="36" t="str">
        <f>""</f>
        <v/>
      </c>
      <c r="S866" s="36" t="str">
        <f>""</f>
        <v/>
      </c>
      <c r="T866" s="36" t="str">
        <f>""</f>
        <v/>
      </c>
      <c r="U866" s="36" t="str">
        <f>""</f>
        <v/>
      </c>
      <c r="V866" s="36" t="str">
        <f>""</f>
        <v/>
      </c>
      <c r="W866" s="36">
        <f t="shared" si="81"/>
        <v>1</v>
      </c>
      <c r="X866" t="str">
        <f t="shared" si="82"/>
        <v>Inactive</v>
      </c>
      <c r="Y866" t="str">
        <f>IF(MAIN!$H$3="Selected Year",IF(A866=MAIN!$B$3,"Yes","No"),IF(MAIN!$H$3="Included Years",IF(D866="Yes","Yes","No"),IF(C866="Yes","Yes","No")))</f>
        <v>No</v>
      </c>
      <c r="Z866" t="str">
        <f>IF(MAIN!$F$3="Project to Date",IF(AND(A866&gt;=SETTINGS!$B$4,A866&lt;MAIN!$B$3),"Yes",IF(AND(A866=MAIN!$B$3,E866&lt;=MAIN!$L$3),"Yes","No")),IF(OR(MAIN!$F$3="Full Year",MAIN!$D$3="All"),"Yes",IF(MAIN!$F$3="Monthly",IF(E866=MAIN!$L$3,"Yes","No"),IF(E866&lt;=MAIN!$L$3,"Yes","No"))))</f>
        <v>Yes</v>
      </c>
      <c r="AA866" t="str">
        <f t="shared" si="83"/>
        <v>No</v>
      </c>
    </row>
    <row r="867" spans="1:27" x14ac:dyDescent="0.3">
      <c r="A867">
        <f>INDEX(SETTINGS!$A$15:$A$24,$B867)</f>
        <v>2028</v>
      </c>
      <c r="B867">
        <v>4</v>
      </c>
      <c r="C867" t="str">
        <f>IF(AND(A867&gt;=SETTINGS!$B$4,A867&lt;=SETTINGS!$B$5),"Yes","No")</f>
        <v>No</v>
      </c>
      <c r="D867" t="str">
        <f>IFERROR(INDEX(SETTINGS!$C$15:$C$24,MATCH(A867,SETTINGS!$A$15:$A$24,0)),"No")</f>
        <v>No</v>
      </c>
      <c r="E867">
        <v>10</v>
      </c>
      <c r="F867" t="s">
        <v>43</v>
      </c>
      <c r="G867">
        <v>237</v>
      </c>
      <c r="H867" t="s">
        <v>104</v>
      </c>
      <c r="I867" t="s">
        <v>22</v>
      </c>
      <c r="J867" t="s">
        <v>24</v>
      </c>
      <c r="K867" t="s">
        <v>3</v>
      </c>
      <c r="L867" s="36">
        <f ca="1">IF(C867&lt;&gt;"Yes",0,IF(A867=2025,N('2025'!D237),IF(A867=2026,N('2026'!D237),IF(A867=2027,N('2027'!D237),IF(A867=2028,N('2028'!D237),IF(A867=2029,N('2029'!D237),IF(A867=2030,N('2030'!D237),IF(A867=2031,N('2031'!D237),IF(A867=2032,N('2032'!D237),IF(A867=2033,N('2033'!D237),IF(A867=2034,N('2034'!D237),IFERROR(N(INDIRECT("'"&amp;A867&amp;"'!D"&amp;G867)),0))))))))))))</f>
        <v>0</v>
      </c>
      <c r="M867" s="36">
        <f>IFERROR(IF(NOT(ISBLANK(KPI_TARGETS!$J$15)),KPI_TARGETS!$J$15,IF(NOT(ISBLANK(KPI_TARGETS!$F$15)),KPI_TARGETS!$F$15,"")),"")</f>
        <v>5</v>
      </c>
      <c r="N867" s="36" t="str">
        <f>IFERROR(KPI_TARGETS!$E$15,"Higher is better")</f>
        <v>Higher is better</v>
      </c>
      <c r="O867" s="37">
        <f t="shared" ca="1" si="78"/>
        <v>0</v>
      </c>
      <c r="P867" t="str">
        <f t="shared" ca="1" si="79"/>
        <v>Red</v>
      </c>
      <c r="Q867" s="36">
        <f t="shared" ca="1" si="80"/>
        <v>-5</v>
      </c>
      <c r="R867" s="36" t="str">
        <f>""</f>
        <v/>
      </c>
      <c r="S867" s="36" t="str">
        <f>""</f>
        <v/>
      </c>
      <c r="T867" s="36" t="str">
        <f>""</f>
        <v/>
      </c>
      <c r="U867" s="36" t="str">
        <f>""</f>
        <v/>
      </c>
      <c r="V867" s="36" t="str">
        <f>""</f>
        <v/>
      </c>
      <c r="W867" s="36">
        <f t="shared" si="81"/>
        <v>1</v>
      </c>
      <c r="X867" t="str">
        <f t="shared" si="82"/>
        <v>Inactive</v>
      </c>
      <c r="Y867" t="str">
        <f>IF(MAIN!$H$3="Selected Year",IF(A867=MAIN!$B$3,"Yes","No"),IF(MAIN!$H$3="Included Years",IF(D867="Yes","Yes","No"),IF(C867="Yes","Yes","No")))</f>
        <v>No</v>
      </c>
      <c r="Z867" t="str">
        <f>IF(MAIN!$F$3="Project to Date",IF(AND(A867&gt;=SETTINGS!$B$4,A867&lt;MAIN!$B$3),"Yes",IF(AND(A867=MAIN!$B$3,E867&lt;=MAIN!$L$3),"Yes","No")),IF(OR(MAIN!$F$3="Full Year",MAIN!$D$3="All"),"Yes",IF(MAIN!$F$3="Monthly",IF(E867=MAIN!$L$3,"Yes","No"),IF(E867&lt;=MAIN!$L$3,"Yes","No"))))</f>
        <v>Yes</v>
      </c>
      <c r="AA867" t="str">
        <f t="shared" si="83"/>
        <v>No</v>
      </c>
    </row>
    <row r="868" spans="1:27" x14ac:dyDescent="0.3">
      <c r="A868">
        <f>INDEX(SETTINGS!$A$15:$A$24,$B868)</f>
        <v>2028</v>
      </c>
      <c r="B868">
        <v>4</v>
      </c>
      <c r="C868" t="str">
        <f>IF(AND(A868&gt;=SETTINGS!$B$4,A868&lt;=SETTINGS!$B$5),"Yes","No")</f>
        <v>No</v>
      </c>
      <c r="D868" t="str">
        <f>IFERROR(INDEX(SETTINGS!$C$15:$C$24,MATCH(A868,SETTINGS!$A$15:$A$24,0)),"No")</f>
        <v>No</v>
      </c>
      <c r="E868">
        <v>10</v>
      </c>
      <c r="F868" t="s">
        <v>43</v>
      </c>
      <c r="G868">
        <v>238</v>
      </c>
      <c r="H868" t="s">
        <v>105</v>
      </c>
      <c r="I868" t="s">
        <v>22</v>
      </c>
      <c r="J868" t="s">
        <v>25</v>
      </c>
      <c r="K868" t="s">
        <v>3</v>
      </c>
      <c r="L868" s="36">
        <f ca="1">IF(C868&lt;&gt;"Yes",0,IF(A868=2025,N('2025'!D238),IF(A868=2026,N('2026'!D238),IF(A868=2027,N('2027'!D238),IF(A868=2028,N('2028'!D238),IF(A868=2029,N('2029'!D238),IF(A868=2030,N('2030'!D238),IF(A868=2031,N('2031'!D238),IF(A868=2032,N('2032'!D238),IF(A868=2033,N('2033'!D238),IF(A868=2034,N('2034'!D238),IFERROR(N(INDIRECT("'"&amp;A868&amp;"'!D"&amp;G868)),0))))))))))))</f>
        <v>0</v>
      </c>
      <c r="M868" s="36">
        <f>IFERROR(IF(NOT(ISBLANK(KPI_TARGETS!$J$16)),KPI_TARGETS!$J$16,IF(NOT(ISBLANK(KPI_TARGETS!$F$16)),KPI_TARGETS!$F$16,"")),"")</f>
        <v>4</v>
      </c>
      <c r="N868" s="36" t="str">
        <f>IFERROR(KPI_TARGETS!$E$16,"Higher is better")</f>
        <v>Higher is better</v>
      </c>
      <c r="O868" s="37">
        <f t="shared" ca="1" si="78"/>
        <v>0</v>
      </c>
      <c r="P868" t="str">
        <f t="shared" ca="1" si="79"/>
        <v>Red</v>
      </c>
      <c r="Q868" s="36">
        <f t="shared" ca="1" si="80"/>
        <v>-4</v>
      </c>
      <c r="R868" s="36" t="str">
        <f>""</f>
        <v/>
      </c>
      <c r="S868" s="36" t="str">
        <f>""</f>
        <v/>
      </c>
      <c r="T868" s="36" t="str">
        <f>""</f>
        <v/>
      </c>
      <c r="U868" s="36" t="str">
        <f>""</f>
        <v/>
      </c>
      <c r="V868" s="36" t="str">
        <f>""</f>
        <v/>
      </c>
      <c r="W868" s="36">
        <f t="shared" si="81"/>
        <v>1</v>
      </c>
      <c r="X868" t="str">
        <f t="shared" si="82"/>
        <v>Inactive</v>
      </c>
      <c r="Y868" t="str">
        <f>IF(MAIN!$H$3="Selected Year",IF(A868=MAIN!$B$3,"Yes","No"),IF(MAIN!$H$3="Included Years",IF(D868="Yes","Yes","No"),IF(C868="Yes","Yes","No")))</f>
        <v>No</v>
      </c>
      <c r="Z868" t="str">
        <f>IF(MAIN!$F$3="Project to Date",IF(AND(A868&gt;=SETTINGS!$B$4,A868&lt;MAIN!$B$3),"Yes",IF(AND(A868=MAIN!$B$3,E868&lt;=MAIN!$L$3),"Yes","No")),IF(OR(MAIN!$F$3="Full Year",MAIN!$D$3="All"),"Yes",IF(MAIN!$F$3="Monthly",IF(E868=MAIN!$L$3,"Yes","No"),IF(E868&lt;=MAIN!$L$3,"Yes","No"))))</f>
        <v>Yes</v>
      </c>
      <c r="AA868" t="str">
        <f t="shared" si="83"/>
        <v>No</v>
      </c>
    </row>
    <row r="869" spans="1:27" x14ac:dyDescent="0.3">
      <c r="A869">
        <f>INDEX(SETTINGS!$A$15:$A$24,$B869)</f>
        <v>2028</v>
      </c>
      <c r="B869">
        <v>4</v>
      </c>
      <c r="C869" t="str">
        <f>IF(AND(A869&gt;=SETTINGS!$B$4,A869&lt;=SETTINGS!$B$5),"Yes","No")</f>
        <v>No</v>
      </c>
      <c r="D869" t="str">
        <f>IFERROR(INDEX(SETTINGS!$C$15:$C$24,MATCH(A869,SETTINGS!$A$15:$A$24,0)),"No")</f>
        <v>No</v>
      </c>
      <c r="E869">
        <v>10</v>
      </c>
      <c r="F869" t="s">
        <v>43</v>
      </c>
      <c r="G869">
        <v>239</v>
      </c>
      <c r="H869" t="s">
        <v>106</v>
      </c>
      <c r="I869" t="s">
        <v>22</v>
      </c>
      <c r="J869" t="s">
        <v>26</v>
      </c>
      <c r="K869" t="s">
        <v>3</v>
      </c>
      <c r="L869" s="36">
        <f ca="1">IF(C869&lt;&gt;"Yes",0,IF(A869=2025,N('2025'!D239),IF(A869=2026,N('2026'!D239),IF(A869=2027,N('2027'!D239),IF(A869=2028,N('2028'!D239),IF(A869=2029,N('2029'!D239),IF(A869=2030,N('2030'!D239),IF(A869=2031,N('2031'!D239),IF(A869=2032,N('2032'!D239),IF(A869=2033,N('2033'!D239),IF(A869=2034,N('2034'!D239),IFERROR(N(INDIRECT("'"&amp;A869&amp;"'!D"&amp;G869)),0))))))))))))</f>
        <v>0</v>
      </c>
      <c r="M869" s="36">
        <f>IFERROR(IF(NOT(ISBLANK(KPI_TARGETS!$J$17)),KPI_TARGETS!$J$17,IF(NOT(ISBLANK(KPI_TARGETS!$F$17)),KPI_TARGETS!$F$17,"")),"")</f>
        <v>12</v>
      </c>
      <c r="N869" s="36" t="str">
        <f>IFERROR(KPI_TARGETS!$E$17,"Higher is better")</f>
        <v>Higher is better</v>
      </c>
      <c r="O869" s="37">
        <f t="shared" ca="1" si="78"/>
        <v>0</v>
      </c>
      <c r="P869" t="str">
        <f t="shared" ca="1" si="79"/>
        <v>Red</v>
      </c>
      <c r="Q869" s="36">
        <f t="shared" ca="1" si="80"/>
        <v>-12</v>
      </c>
      <c r="R869" s="36" t="str">
        <f>""</f>
        <v/>
      </c>
      <c r="S869" s="36" t="str">
        <f>""</f>
        <v/>
      </c>
      <c r="T869" s="36" t="str">
        <f>""</f>
        <v/>
      </c>
      <c r="U869" s="36" t="str">
        <f>""</f>
        <v/>
      </c>
      <c r="V869" s="36" t="str">
        <f>""</f>
        <v/>
      </c>
      <c r="W869" s="36">
        <f t="shared" si="81"/>
        <v>1</v>
      </c>
      <c r="X869" t="str">
        <f t="shared" si="82"/>
        <v>Inactive</v>
      </c>
      <c r="Y869" t="str">
        <f>IF(MAIN!$H$3="Selected Year",IF(A869=MAIN!$B$3,"Yes","No"),IF(MAIN!$H$3="Included Years",IF(D869="Yes","Yes","No"),IF(C869="Yes","Yes","No")))</f>
        <v>No</v>
      </c>
      <c r="Z869" t="str">
        <f>IF(MAIN!$F$3="Project to Date",IF(AND(A869&gt;=SETTINGS!$B$4,A869&lt;MAIN!$B$3),"Yes",IF(AND(A869=MAIN!$B$3,E869&lt;=MAIN!$L$3),"Yes","No")),IF(OR(MAIN!$F$3="Full Year",MAIN!$D$3="All"),"Yes",IF(MAIN!$F$3="Monthly",IF(E869=MAIN!$L$3,"Yes","No"),IF(E869&lt;=MAIN!$L$3,"Yes","No"))))</f>
        <v>Yes</v>
      </c>
      <c r="AA869" t="str">
        <f t="shared" si="83"/>
        <v>No</v>
      </c>
    </row>
    <row r="870" spans="1:27" x14ac:dyDescent="0.3">
      <c r="A870">
        <f>INDEX(SETTINGS!$A$15:$A$24,$B870)</f>
        <v>2028</v>
      </c>
      <c r="B870">
        <v>4</v>
      </c>
      <c r="C870" t="str">
        <f>IF(AND(A870&gt;=SETTINGS!$B$4,A870&lt;=SETTINGS!$B$5),"Yes","No")</f>
        <v>No</v>
      </c>
      <c r="D870" t="str">
        <f>IFERROR(INDEX(SETTINGS!$C$15:$C$24,MATCH(A870,SETTINGS!$A$15:$A$24,0)),"No")</f>
        <v>No</v>
      </c>
      <c r="E870">
        <v>10</v>
      </c>
      <c r="F870" t="s">
        <v>43</v>
      </c>
      <c r="G870">
        <v>240</v>
      </c>
      <c r="H870" t="s">
        <v>107</v>
      </c>
      <c r="I870" t="s">
        <v>22</v>
      </c>
      <c r="J870" t="s">
        <v>27</v>
      </c>
      <c r="K870" t="s">
        <v>3</v>
      </c>
      <c r="L870" s="36">
        <f ca="1">IF(C870&lt;&gt;"Yes",0,IF(A870=2025,N('2025'!D240),IF(A870=2026,N('2026'!D240),IF(A870=2027,N('2027'!D240),IF(A870=2028,N('2028'!D240),IF(A870=2029,N('2029'!D240),IF(A870=2030,N('2030'!D240),IF(A870=2031,N('2031'!D240),IF(A870=2032,N('2032'!D240),IF(A870=2033,N('2033'!D240),IF(A870=2034,N('2034'!D240),IFERROR(N(INDIRECT("'"&amp;A870&amp;"'!D"&amp;G870)),0))))))))))))</f>
        <v>0</v>
      </c>
      <c r="M870" s="36">
        <f>IFERROR(IF(NOT(ISBLANK(KPI_TARGETS!$J$18)),KPI_TARGETS!$J$18,IF(NOT(ISBLANK(KPI_TARGETS!$F$18)),KPI_TARGETS!$F$18,"")),"")</f>
        <v>4</v>
      </c>
      <c r="N870" s="36" t="str">
        <f>IFERROR(KPI_TARGETS!$E$18,"Higher is better")</f>
        <v>Higher is better</v>
      </c>
      <c r="O870" s="37">
        <f t="shared" ca="1" si="78"/>
        <v>0</v>
      </c>
      <c r="P870" t="str">
        <f t="shared" ca="1" si="79"/>
        <v>Red</v>
      </c>
      <c r="Q870" s="36">
        <f t="shared" ca="1" si="80"/>
        <v>-4</v>
      </c>
      <c r="R870" s="36" t="str">
        <f>""</f>
        <v/>
      </c>
      <c r="S870" s="36" t="str">
        <f>""</f>
        <v/>
      </c>
      <c r="T870" s="36" t="str">
        <f>""</f>
        <v/>
      </c>
      <c r="U870" s="36" t="str">
        <f>""</f>
        <v/>
      </c>
      <c r="V870" s="36" t="str">
        <f>""</f>
        <v/>
      </c>
      <c r="W870" s="36">
        <f t="shared" si="81"/>
        <v>1</v>
      </c>
      <c r="X870" t="str">
        <f t="shared" si="82"/>
        <v>Inactive</v>
      </c>
      <c r="Y870" t="str">
        <f>IF(MAIN!$H$3="Selected Year",IF(A870=MAIN!$B$3,"Yes","No"),IF(MAIN!$H$3="Included Years",IF(D870="Yes","Yes","No"),IF(C870="Yes","Yes","No")))</f>
        <v>No</v>
      </c>
      <c r="Z870" t="str">
        <f>IF(MAIN!$F$3="Project to Date",IF(AND(A870&gt;=SETTINGS!$B$4,A870&lt;MAIN!$B$3),"Yes",IF(AND(A870=MAIN!$B$3,E870&lt;=MAIN!$L$3),"Yes","No")),IF(OR(MAIN!$F$3="Full Year",MAIN!$D$3="All"),"Yes",IF(MAIN!$F$3="Monthly",IF(E870=MAIN!$L$3,"Yes","No"),IF(E870&lt;=MAIN!$L$3,"Yes","No"))))</f>
        <v>Yes</v>
      </c>
      <c r="AA870" t="str">
        <f t="shared" si="83"/>
        <v>No</v>
      </c>
    </row>
    <row r="871" spans="1:27" x14ac:dyDescent="0.3">
      <c r="A871">
        <f>INDEX(SETTINGS!$A$15:$A$24,$B871)</f>
        <v>2028</v>
      </c>
      <c r="B871">
        <v>4</v>
      </c>
      <c r="C871" t="str">
        <f>IF(AND(A871&gt;=SETTINGS!$B$4,A871&lt;=SETTINGS!$B$5),"Yes","No")</f>
        <v>No</v>
      </c>
      <c r="D871" t="str">
        <f>IFERROR(INDEX(SETTINGS!$C$15:$C$24,MATCH(A871,SETTINGS!$A$15:$A$24,0)),"No")</f>
        <v>No</v>
      </c>
      <c r="E871">
        <v>10</v>
      </c>
      <c r="F871" t="s">
        <v>43</v>
      </c>
      <c r="G871">
        <v>241</v>
      </c>
      <c r="H871" t="s">
        <v>108</v>
      </c>
      <c r="I871" t="s">
        <v>22</v>
      </c>
      <c r="J871" t="s">
        <v>28</v>
      </c>
      <c r="K871" t="s">
        <v>3</v>
      </c>
      <c r="L871" s="36">
        <f ca="1">IF(C871&lt;&gt;"Yes",0,IF(A871=2025,N('2025'!D241),IF(A871=2026,N('2026'!D241),IF(A871=2027,N('2027'!D241),IF(A871=2028,N('2028'!D241),IF(A871=2029,N('2029'!D241),IF(A871=2030,N('2030'!D241),IF(A871=2031,N('2031'!D241),IF(A871=2032,N('2032'!D241),IF(A871=2033,N('2033'!D241),IF(A871=2034,N('2034'!D241),IFERROR(N(INDIRECT("'"&amp;A871&amp;"'!D"&amp;G871)),0))))))))))))</f>
        <v>0</v>
      </c>
      <c r="M871" s="36">
        <f>IFERROR(IF(NOT(ISBLANK(KPI_TARGETS!$J$19)),KPI_TARGETS!$J$19,IF(NOT(ISBLANK(KPI_TARGETS!$F$19)),KPI_TARGETS!$F$19,"")),"")</f>
        <v>16</v>
      </c>
      <c r="N871" s="36" t="str">
        <f>IFERROR(KPI_TARGETS!$E$19,"Higher is better")</f>
        <v>Higher is better</v>
      </c>
      <c r="O871" s="37">
        <f t="shared" ca="1" si="78"/>
        <v>0</v>
      </c>
      <c r="P871" t="str">
        <f t="shared" ca="1" si="79"/>
        <v>Red</v>
      </c>
      <c r="Q871" s="36">
        <f t="shared" ca="1" si="80"/>
        <v>-16</v>
      </c>
      <c r="R871" s="36" t="str">
        <f>""</f>
        <v/>
      </c>
      <c r="S871" s="36" t="str">
        <f>""</f>
        <v/>
      </c>
      <c r="T871" s="36" t="str">
        <f>""</f>
        <v/>
      </c>
      <c r="U871" s="36" t="str">
        <f>""</f>
        <v/>
      </c>
      <c r="V871" s="36" t="str">
        <f>""</f>
        <v/>
      </c>
      <c r="W871" s="36">
        <f t="shared" si="81"/>
        <v>1</v>
      </c>
      <c r="X871" t="str">
        <f t="shared" si="82"/>
        <v>Inactive</v>
      </c>
      <c r="Y871" t="str">
        <f>IF(MAIN!$H$3="Selected Year",IF(A871=MAIN!$B$3,"Yes","No"),IF(MAIN!$H$3="Included Years",IF(D871="Yes","Yes","No"),IF(C871="Yes","Yes","No")))</f>
        <v>No</v>
      </c>
      <c r="Z871" t="str">
        <f>IF(MAIN!$F$3="Project to Date",IF(AND(A871&gt;=SETTINGS!$B$4,A871&lt;MAIN!$B$3),"Yes",IF(AND(A871=MAIN!$B$3,E871&lt;=MAIN!$L$3),"Yes","No")),IF(OR(MAIN!$F$3="Full Year",MAIN!$D$3="All"),"Yes",IF(MAIN!$F$3="Monthly",IF(E871=MAIN!$L$3,"Yes","No"),IF(E871&lt;=MAIN!$L$3,"Yes","No"))))</f>
        <v>Yes</v>
      </c>
      <c r="AA871" t="str">
        <f t="shared" si="83"/>
        <v>No</v>
      </c>
    </row>
    <row r="872" spans="1:27" x14ac:dyDescent="0.3">
      <c r="A872">
        <f>INDEX(SETTINGS!$A$15:$A$24,$B872)</f>
        <v>2028</v>
      </c>
      <c r="B872">
        <v>4</v>
      </c>
      <c r="C872" t="str">
        <f>IF(AND(A872&gt;=SETTINGS!$B$4,A872&lt;=SETTINGS!$B$5),"Yes","No")</f>
        <v>No</v>
      </c>
      <c r="D872" t="str">
        <f>IFERROR(INDEX(SETTINGS!$C$15:$C$24,MATCH(A872,SETTINGS!$A$15:$A$24,0)),"No")</f>
        <v>No</v>
      </c>
      <c r="E872">
        <v>10</v>
      </c>
      <c r="F872" t="s">
        <v>43</v>
      </c>
      <c r="G872">
        <v>242</v>
      </c>
      <c r="H872" t="s">
        <v>109</v>
      </c>
      <c r="I872" t="s">
        <v>22</v>
      </c>
      <c r="J872" t="s">
        <v>29</v>
      </c>
      <c r="K872" t="s">
        <v>3</v>
      </c>
      <c r="L872" s="36">
        <f ca="1">IF(C872&lt;&gt;"Yes",0,IF(A872=2025,N('2025'!D242),IF(A872=2026,N('2026'!D242),IF(A872=2027,N('2027'!D242),IF(A872=2028,N('2028'!D242),IF(A872=2029,N('2029'!D242),IF(A872=2030,N('2030'!D242),IF(A872=2031,N('2031'!D242),IF(A872=2032,N('2032'!D242),IF(A872=2033,N('2033'!D242),IF(A872=2034,N('2034'!D242),IFERROR(N(INDIRECT("'"&amp;A872&amp;"'!D"&amp;G872)),0))))))))))))</f>
        <v>0</v>
      </c>
      <c r="M872" s="36">
        <f>IFERROR(IF(NOT(ISBLANK(KPI_TARGETS!$J$20)),KPI_TARGETS!$J$20,IF(NOT(ISBLANK(KPI_TARGETS!$F$20)),KPI_TARGETS!$F$20,"")),"")</f>
        <v>1</v>
      </c>
      <c r="N872" s="36" t="str">
        <f>IFERROR(KPI_TARGETS!$E$20,"Higher is better")</f>
        <v>Higher is better</v>
      </c>
      <c r="O872" s="37">
        <f t="shared" ca="1" si="78"/>
        <v>0</v>
      </c>
      <c r="P872" t="str">
        <f t="shared" ca="1" si="79"/>
        <v>Red</v>
      </c>
      <c r="Q872" s="36">
        <f t="shared" ca="1" si="80"/>
        <v>-1</v>
      </c>
      <c r="R872" s="36" t="str">
        <f>""</f>
        <v/>
      </c>
      <c r="S872" s="36" t="str">
        <f>""</f>
        <v/>
      </c>
      <c r="T872" s="36" t="str">
        <f>""</f>
        <v/>
      </c>
      <c r="U872" s="36" t="str">
        <f>""</f>
        <v/>
      </c>
      <c r="V872" s="36" t="str">
        <f>""</f>
        <v/>
      </c>
      <c r="W872" s="36">
        <f t="shared" si="81"/>
        <v>1</v>
      </c>
      <c r="X872" t="str">
        <f t="shared" si="82"/>
        <v>Inactive</v>
      </c>
      <c r="Y872" t="str">
        <f>IF(MAIN!$H$3="Selected Year",IF(A872=MAIN!$B$3,"Yes","No"),IF(MAIN!$H$3="Included Years",IF(D872="Yes","Yes","No"),IF(C872="Yes","Yes","No")))</f>
        <v>No</v>
      </c>
      <c r="Z872" t="str">
        <f>IF(MAIN!$F$3="Project to Date",IF(AND(A872&gt;=SETTINGS!$B$4,A872&lt;MAIN!$B$3),"Yes",IF(AND(A872=MAIN!$B$3,E872&lt;=MAIN!$L$3),"Yes","No")),IF(OR(MAIN!$F$3="Full Year",MAIN!$D$3="All"),"Yes",IF(MAIN!$F$3="Monthly",IF(E872=MAIN!$L$3,"Yes","No"),IF(E872&lt;=MAIN!$L$3,"Yes","No"))))</f>
        <v>Yes</v>
      </c>
      <c r="AA872" t="str">
        <f t="shared" si="83"/>
        <v>No</v>
      </c>
    </row>
    <row r="873" spans="1:27" x14ac:dyDescent="0.3">
      <c r="A873">
        <f>INDEX(SETTINGS!$A$15:$A$24,$B873)</f>
        <v>2028</v>
      </c>
      <c r="B873">
        <v>4</v>
      </c>
      <c r="C873" t="str">
        <f>IF(AND(A873&gt;=SETTINGS!$B$4,A873&lt;=SETTINGS!$B$5),"Yes","No")</f>
        <v>No</v>
      </c>
      <c r="D873" t="str">
        <f>IFERROR(INDEX(SETTINGS!$C$15:$C$24,MATCH(A873,SETTINGS!$A$15:$A$24,0)),"No")</f>
        <v>No</v>
      </c>
      <c r="E873">
        <v>10</v>
      </c>
      <c r="F873" t="s">
        <v>43</v>
      </c>
      <c r="G873">
        <v>244</v>
      </c>
      <c r="H873" t="s">
        <v>110</v>
      </c>
      <c r="I873" t="s">
        <v>30</v>
      </c>
      <c r="J873" t="s">
        <v>31</v>
      </c>
      <c r="K873" t="s">
        <v>3</v>
      </c>
      <c r="L873" s="36">
        <f ca="1">IF(C873&lt;&gt;"Yes",0,IF(A873=2025,N('2025'!D244),IF(A873=2026,N('2026'!D244),IF(A873=2027,N('2027'!D244),IF(A873=2028,N('2028'!D244),IF(A873=2029,N('2029'!D244),IF(A873=2030,N('2030'!D244),IF(A873=2031,N('2031'!D244),IF(A873=2032,N('2032'!D244),IF(A873=2033,N('2033'!D244),IF(A873=2034,N('2034'!D244),IFERROR(N(INDIRECT("'"&amp;A873&amp;"'!D"&amp;G873)),0))))))))))))</f>
        <v>0</v>
      </c>
      <c r="M873" s="36">
        <f>IFERROR(IF(NOT(ISBLANK(KPI_TARGETS!$J$21)),KPI_TARGETS!$J$21,IF(NOT(ISBLANK(KPI_TARGETS!$F$21)),KPI_TARGETS!$F$21,"")),"")</f>
        <v>0</v>
      </c>
      <c r="N873" s="36" t="str">
        <f>IFERROR(KPI_TARGETS!$E$21,"Higher is better")</f>
        <v>Lower is better</v>
      </c>
      <c r="O873" s="37">
        <f t="shared" ca="1" si="78"/>
        <v>1</v>
      </c>
      <c r="P873" t="str">
        <f t="shared" ca="1" si="79"/>
        <v>Green</v>
      </c>
      <c r="Q873" s="36">
        <f t="shared" ca="1" si="80"/>
        <v>0</v>
      </c>
      <c r="R873" s="36" t="str">
        <f>""</f>
        <v/>
      </c>
      <c r="S873" s="36" t="str">
        <f>""</f>
        <v/>
      </c>
      <c r="T873" s="36" t="str">
        <f>""</f>
        <v/>
      </c>
      <c r="U873" s="36" t="str">
        <f>""</f>
        <v/>
      </c>
      <c r="V873" s="36" t="str">
        <f>""</f>
        <v/>
      </c>
      <c r="W873" s="36">
        <f t="shared" si="81"/>
        <v>1</v>
      </c>
      <c r="X873" t="str">
        <f t="shared" si="82"/>
        <v>Inactive</v>
      </c>
      <c r="Y873" t="str">
        <f>IF(MAIN!$H$3="Selected Year",IF(A873=MAIN!$B$3,"Yes","No"),IF(MAIN!$H$3="Included Years",IF(D873="Yes","Yes","No"),IF(C873="Yes","Yes","No")))</f>
        <v>No</v>
      </c>
      <c r="Z873" t="str">
        <f>IF(MAIN!$F$3="Project to Date",IF(AND(A873&gt;=SETTINGS!$B$4,A873&lt;MAIN!$B$3),"Yes",IF(AND(A873=MAIN!$B$3,E873&lt;=MAIN!$L$3),"Yes","No")),IF(OR(MAIN!$F$3="Full Year",MAIN!$D$3="All"),"Yes",IF(MAIN!$F$3="Monthly",IF(E873=MAIN!$L$3,"Yes","No"),IF(E873&lt;=MAIN!$L$3,"Yes","No"))))</f>
        <v>Yes</v>
      </c>
      <c r="AA873" t="str">
        <f t="shared" si="83"/>
        <v>No</v>
      </c>
    </row>
    <row r="874" spans="1:27" x14ac:dyDescent="0.3">
      <c r="A874">
        <f>INDEX(SETTINGS!$A$15:$A$24,$B874)</f>
        <v>2028</v>
      </c>
      <c r="B874">
        <v>4</v>
      </c>
      <c r="C874" t="str">
        <f>IF(AND(A874&gt;=SETTINGS!$B$4,A874&lt;=SETTINGS!$B$5),"Yes","No")</f>
        <v>No</v>
      </c>
      <c r="D874" t="str">
        <f>IFERROR(INDEX(SETTINGS!$C$15:$C$24,MATCH(A874,SETTINGS!$A$15:$A$24,0)),"No")</f>
        <v>No</v>
      </c>
      <c r="E874">
        <v>10</v>
      </c>
      <c r="F874" t="s">
        <v>43</v>
      </c>
      <c r="G874">
        <v>245</v>
      </c>
      <c r="H874" t="s">
        <v>111</v>
      </c>
      <c r="I874" t="s">
        <v>30</v>
      </c>
      <c r="J874" t="s">
        <v>32</v>
      </c>
      <c r="K874" t="s">
        <v>3</v>
      </c>
      <c r="L874" s="36">
        <f ca="1">IF(C874&lt;&gt;"Yes",0,IF(A874=2025,N('2025'!D245),IF(A874=2026,N('2026'!D245),IF(A874=2027,N('2027'!D245),IF(A874=2028,N('2028'!D245),IF(A874=2029,N('2029'!D245),IF(A874=2030,N('2030'!D245),IF(A874=2031,N('2031'!D245),IF(A874=2032,N('2032'!D245),IF(A874=2033,N('2033'!D245),IF(A874=2034,N('2034'!D245),IFERROR(N(INDIRECT("'"&amp;A874&amp;"'!D"&amp;G874)),0))))))))))))</f>
        <v>0</v>
      </c>
      <c r="M874" s="36">
        <f>IFERROR(IF(NOT(ISBLANK(KPI_TARGETS!$J$22)),KPI_TARGETS!$J$22,IF(NOT(ISBLANK(KPI_TARGETS!$F$22)),KPI_TARGETS!$F$22,"")),"")</f>
        <v>1</v>
      </c>
      <c r="N874" s="36" t="str">
        <f>IFERROR(KPI_TARGETS!$E$22,"Higher is better")</f>
        <v>Higher is better</v>
      </c>
      <c r="O874" s="37">
        <f t="shared" ca="1" si="78"/>
        <v>0</v>
      </c>
      <c r="P874" t="str">
        <f t="shared" ca="1" si="79"/>
        <v>Red</v>
      </c>
      <c r="Q874" s="36">
        <f t="shared" ca="1" si="80"/>
        <v>-1</v>
      </c>
      <c r="R874" s="36" t="str">
        <f>""</f>
        <v/>
      </c>
      <c r="S874" s="36" t="str">
        <f>""</f>
        <v/>
      </c>
      <c r="T874" s="36" t="str">
        <f>""</f>
        <v/>
      </c>
      <c r="U874" s="36" t="str">
        <f>""</f>
        <v/>
      </c>
      <c r="V874" s="36" t="str">
        <f>""</f>
        <v/>
      </c>
      <c r="W874" s="36">
        <f t="shared" si="81"/>
        <v>1</v>
      </c>
      <c r="X874" t="str">
        <f t="shared" si="82"/>
        <v>Inactive</v>
      </c>
      <c r="Y874" t="str">
        <f>IF(MAIN!$H$3="Selected Year",IF(A874=MAIN!$B$3,"Yes","No"),IF(MAIN!$H$3="Included Years",IF(D874="Yes","Yes","No"),IF(C874="Yes","Yes","No")))</f>
        <v>No</v>
      </c>
      <c r="Z874" t="str">
        <f>IF(MAIN!$F$3="Project to Date",IF(AND(A874&gt;=SETTINGS!$B$4,A874&lt;MAIN!$B$3),"Yes",IF(AND(A874=MAIN!$B$3,E874&lt;=MAIN!$L$3),"Yes","No")),IF(OR(MAIN!$F$3="Full Year",MAIN!$D$3="All"),"Yes",IF(MAIN!$F$3="Monthly",IF(E874=MAIN!$L$3,"Yes","No"),IF(E874&lt;=MAIN!$L$3,"Yes","No"))))</f>
        <v>Yes</v>
      </c>
      <c r="AA874" t="str">
        <f t="shared" si="83"/>
        <v>No</v>
      </c>
    </row>
    <row r="875" spans="1:27" x14ac:dyDescent="0.3">
      <c r="A875">
        <f>INDEX(SETTINGS!$A$15:$A$24,$B875)</f>
        <v>2028</v>
      </c>
      <c r="B875">
        <v>4</v>
      </c>
      <c r="C875" t="str">
        <f>IF(AND(A875&gt;=SETTINGS!$B$4,A875&lt;=SETTINGS!$B$5),"Yes","No")</f>
        <v>No</v>
      </c>
      <c r="D875" t="str">
        <f>IFERROR(INDEX(SETTINGS!$C$15:$C$24,MATCH(A875,SETTINGS!$A$15:$A$24,0)),"No")</f>
        <v>No</v>
      </c>
      <c r="E875">
        <v>10</v>
      </c>
      <c r="F875" t="s">
        <v>43</v>
      </c>
      <c r="G875">
        <v>246</v>
      </c>
      <c r="H875" t="s">
        <v>112</v>
      </c>
      <c r="I875" t="s">
        <v>30</v>
      </c>
      <c r="J875" t="s">
        <v>33</v>
      </c>
      <c r="K875" t="s">
        <v>34</v>
      </c>
      <c r="L875" s="36">
        <f ca="1">IF(C875&lt;&gt;"Yes",0,IF(A875=2025,N('2025'!D246),IF(A875=2026,N('2026'!D246),IF(A875=2027,N('2027'!D246),IF(A875=2028,N('2028'!D246),IF(A875=2029,N('2029'!D246),IF(A875=2030,N('2030'!D246),IF(A875=2031,N('2031'!D246),IF(A875=2032,N('2032'!D246),IF(A875=2033,N('2033'!D246),IF(A875=2034,N('2034'!D246),IFERROR(N(INDIRECT("'"&amp;A875&amp;"'!D"&amp;G875)),0))))))))))))</f>
        <v>0</v>
      </c>
      <c r="M875" s="36">
        <f>IFERROR(IF(NOT(ISBLANK(KPI_TARGETS!$J$23)),KPI_TARGETS!$J$23,IF(NOT(ISBLANK(KPI_TARGETS!$F$23)),KPI_TARGETS!$F$23,"")),"")</f>
        <v>1</v>
      </c>
      <c r="N875" s="36" t="str">
        <f>IFERROR(KPI_TARGETS!$E$23,"Higher is better")</f>
        <v>Higher is better</v>
      </c>
      <c r="O875" s="37">
        <f t="shared" ca="1" si="78"/>
        <v>0</v>
      </c>
      <c r="P875" t="str">
        <f t="shared" ca="1" si="79"/>
        <v>Red</v>
      </c>
      <c r="Q875" s="36">
        <f t="shared" ca="1" si="80"/>
        <v>-1</v>
      </c>
      <c r="R875" s="36" t="str">
        <f>""</f>
        <v/>
      </c>
      <c r="S875" s="36" t="str">
        <f>""</f>
        <v/>
      </c>
      <c r="T875" s="36" t="str">
        <f>""</f>
        <v/>
      </c>
      <c r="U875" s="36" t="str">
        <f>""</f>
        <v/>
      </c>
      <c r="V875" s="36" t="str">
        <f>""</f>
        <v/>
      </c>
      <c r="W875" s="36">
        <f t="shared" si="81"/>
        <v>1</v>
      </c>
      <c r="X875" t="str">
        <f t="shared" si="82"/>
        <v>Inactive</v>
      </c>
      <c r="Y875" t="str">
        <f>IF(MAIN!$H$3="Selected Year",IF(A875=MAIN!$B$3,"Yes","No"),IF(MAIN!$H$3="Included Years",IF(D875="Yes","Yes","No"),IF(C875="Yes","Yes","No")))</f>
        <v>No</v>
      </c>
      <c r="Z875" t="str">
        <f>IF(MAIN!$F$3="Project to Date",IF(AND(A875&gt;=SETTINGS!$B$4,A875&lt;MAIN!$B$3),"Yes",IF(AND(A875=MAIN!$B$3,E875&lt;=MAIN!$L$3),"Yes","No")),IF(OR(MAIN!$F$3="Full Year",MAIN!$D$3="All"),"Yes",IF(MAIN!$F$3="Monthly",IF(E875=MAIN!$L$3,"Yes","No"),IF(E875&lt;=MAIN!$L$3,"Yes","No"))))</f>
        <v>Yes</v>
      </c>
      <c r="AA875" t="str">
        <f t="shared" si="83"/>
        <v>No</v>
      </c>
    </row>
    <row r="876" spans="1:27" x14ac:dyDescent="0.3">
      <c r="A876">
        <f>INDEX(SETTINGS!$A$15:$A$24,$B876)</f>
        <v>2028</v>
      </c>
      <c r="B876">
        <v>4</v>
      </c>
      <c r="C876" t="str">
        <f>IF(AND(A876&gt;=SETTINGS!$B$4,A876&lt;=SETTINGS!$B$5),"Yes","No")</f>
        <v>No</v>
      </c>
      <c r="D876" t="str">
        <f>IFERROR(INDEX(SETTINGS!$C$15:$C$24,MATCH(A876,SETTINGS!$A$15:$A$24,0)),"No")</f>
        <v>No</v>
      </c>
      <c r="E876">
        <v>11</v>
      </c>
      <c r="F876" t="s">
        <v>44</v>
      </c>
      <c r="G876">
        <v>249</v>
      </c>
      <c r="H876" t="s">
        <v>88</v>
      </c>
      <c r="I876" t="s">
        <v>89</v>
      </c>
      <c r="J876" t="s">
        <v>10</v>
      </c>
      <c r="K876" t="s">
        <v>3</v>
      </c>
      <c r="L876" s="36">
        <f ca="1">IF(C876&lt;&gt;"Yes",0,IF(A876=2025,N('2025'!D249),IF(A876=2026,N('2026'!D249),IF(A876=2027,N('2027'!D249),IF(A876=2028,N('2028'!D249),IF(A876=2029,N('2029'!D249),IF(A876=2030,N('2030'!D249),IF(A876=2031,N('2031'!D249),IF(A876=2032,N('2032'!D249),IF(A876=2033,N('2033'!D249),IF(A876=2034,N('2034'!D249),IFERROR(N(INDIRECT("'"&amp;A876&amp;"'!D"&amp;G876)),0))))))))))))</f>
        <v>0</v>
      </c>
      <c r="M876" s="36">
        <f>IFERROR(IF(NOT(ISBLANK(KPI_TARGETS!$J$5)),KPI_TARGETS!$J$5,IF(NOT(ISBLANK(KPI_TARGETS!$F$5)),KPI_TARGETS!$F$5,"")),"")</f>
        <v>104</v>
      </c>
      <c r="N876" s="36" t="str">
        <f>IFERROR(KPI_TARGETS!$E$5,"Higher is better")</f>
        <v>Higher is better</v>
      </c>
      <c r="O876" s="37">
        <f t="shared" ca="1" si="78"/>
        <v>0</v>
      </c>
      <c r="P876" t="str">
        <f t="shared" ca="1" si="79"/>
        <v>Red</v>
      </c>
      <c r="Q876" s="36">
        <f t="shared" ca="1" si="80"/>
        <v>-104</v>
      </c>
      <c r="R876" s="36" t="str">
        <f>""</f>
        <v/>
      </c>
      <c r="S876" s="36" t="str">
        <f>""</f>
        <v/>
      </c>
      <c r="T876" s="36" t="str">
        <f>""</f>
        <v/>
      </c>
      <c r="U876" s="36" t="str">
        <f>""</f>
        <v/>
      </c>
      <c r="V876" s="36" t="str">
        <f>""</f>
        <v/>
      </c>
      <c r="W876" s="36">
        <f t="shared" si="81"/>
        <v>1</v>
      </c>
      <c r="X876" t="str">
        <f t="shared" si="82"/>
        <v>Inactive</v>
      </c>
      <c r="Y876" t="str">
        <f>IF(MAIN!$H$3="Selected Year",IF(A876=MAIN!$B$3,"Yes","No"),IF(MAIN!$H$3="Included Years",IF(D876="Yes","Yes","No"),IF(C876="Yes","Yes","No")))</f>
        <v>No</v>
      </c>
      <c r="Z876" t="str">
        <f>IF(MAIN!$F$3="Project to Date",IF(AND(A876&gt;=SETTINGS!$B$4,A876&lt;MAIN!$B$3),"Yes",IF(AND(A876=MAIN!$B$3,E876&lt;=MAIN!$L$3),"Yes","No")),IF(OR(MAIN!$F$3="Full Year",MAIN!$D$3="All"),"Yes",IF(MAIN!$F$3="Monthly",IF(E876=MAIN!$L$3,"Yes","No"),IF(E876&lt;=MAIN!$L$3,"Yes","No"))))</f>
        <v>Yes</v>
      </c>
      <c r="AA876" t="str">
        <f t="shared" si="83"/>
        <v>No</v>
      </c>
    </row>
    <row r="877" spans="1:27" x14ac:dyDescent="0.3">
      <c r="A877">
        <f>INDEX(SETTINGS!$A$15:$A$24,$B877)</f>
        <v>2028</v>
      </c>
      <c r="B877">
        <v>4</v>
      </c>
      <c r="C877" t="str">
        <f>IF(AND(A877&gt;=SETTINGS!$B$4,A877&lt;=SETTINGS!$B$5),"Yes","No")</f>
        <v>No</v>
      </c>
      <c r="D877" t="str">
        <f>IFERROR(INDEX(SETTINGS!$C$15:$C$24,MATCH(A877,SETTINGS!$A$15:$A$24,0)),"No")</f>
        <v>No</v>
      </c>
      <c r="E877">
        <v>11</v>
      </c>
      <c r="F877" t="s">
        <v>44</v>
      </c>
      <c r="G877">
        <v>250</v>
      </c>
      <c r="H877" t="s">
        <v>91</v>
      </c>
      <c r="I877" t="s">
        <v>89</v>
      </c>
      <c r="J877" t="s">
        <v>11</v>
      </c>
      <c r="K877" t="s">
        <v>12</v>
      </c>
      <c r="L877" s="36">
        <f ca="1">IF(C877&lt;&gt;"Yes",0,IF(A877=2025,N('2025'!D250),IF(A877=2026,N('2026'!D250),IF(A877=2027,N('2027'!D250),IF(A877=2028,N('2028'!D250),IF(A877=2029,N('2029'!D250),IF(A877=2030,N('2030'!D250),IF(A877=2031,N('2031'!D250),IF(A877=2032,N('2032'!D250),IF(A877=2033,N('2033'!D250),IF(A877=2034,N('2034'!D250),IFERROR(N(INDIRECT("'"&amp;A877&amp;"'!D"&amp;G877)),0))))))))))))</f>
        <v>0</v>
      </c>
      <c r="M877" s="36">
        <f>IFERROR(IF(NOT(ISBLANK(KPI_TARGETS!$J$6)),KPI_TARGETS!$J$6,IF(NOT(ISBLANK(KPI_TARGETS!$F$6)),KPI_TARGETS!$F$6,"")),"")</f>
        <v>4000</v>
      </c>
      <c r="N877" s="36" t="str">
        <f>IFERROR(KPI_TARGETS!$E$6,"Higher is better")</f>
        <v>Higher is better</v>
      </c>
      <c r="O877" s="37">
        <f t="shared" ca="1" si="78"/>
        <v>0</v>
      </c>
      <c r="P877" t="str">
        <f t="shared" ca="1" si="79"/>
        <v>Red</v>
      </c>
      <c r="Q877" s="36">
        <f t="shared" ca="1" si="80"/>
        <v>-4000</v>
      </c>
      <c r="R877" s="36" t="str">
        <f>""</f>
        <v/>
      </c>
      <c r="S877" s="36" t="str">
        <f>""</f>
        <v/>
      </c>
      <c r="T877" s="36" t="str">
        <f>""</f>
        <v/>
      </c>
      <c r="U877" s="36" t="str">
        <f>""</f>
        <v/>
      </c>
      <c r="V877" s="36" t="str">
        <f>""</f>
        <v/>
      </c>
      <c r="W877" s="36">
        <f t="shared" si="81"/>
        <v>1</v>
      </c>
      <c r="X877" t="str">
        <f t="shared" si="82"/>
        <v>Inactive</v>
      </c>
      <c r="Y877" t="str">
        <f>IF(MAIN!$H$3="Selected Year",IF(A877=MAIN!$B$3,"Yes","No"),IF(MAIN!$H$3="Included Years",IF(D877="Yes","Yes","No"),IF(C877="Yes","Yes","No")))</f>
        <v>No</v>
      </c>
      <c r="Z877" t="str">
        <f>IF(MAIN!$F$3="Project to Date",IF(AND(A877&gt;=SETTINGS!$B$4,A877&lt;MAIN!$B$3),"Yes",IF(AND(A877=MAIN!$B$3,E877&lt;=MAIN!$L$3),"Yes","No")),IF(OR(MAIN!$F$3="Full Year",MAIN!$D$3="All"),"Yes",IF(MAIN!$F$3="Monthly",IF(E877=MAIN!$L$3,"Yes","No"),IF(E877&lt;=MAIN!$L$3,"Yes","No"))))</f>
        <v>Yes</v>
      </c>
      <c r="AA877" t="str">
        <f t="shared" si="83"/>
        <v>No</v>
      </c>
    </row>
    <row r="878" spans="1:27" x14ac:dyDescent="0.3">
      <c r="A878">
        <f>INDEX(SETTINGS!$A$15:$A$24,$B878)</f>
        <v>2028</v>
      </c>
      <c r="B878">
        <v>4</v>
      </c>
      <c r="C878" t="str">
        <f>IF(AND(A878&gt;=SETTINGS!$B$4,A878&lt;=SETTINGS!$B$5),"Yes","No")</f>
        <v>No</v>
      </c>
      <c r="D878" t="str">
        <f>IFERROR(INDEX(SETTINGS!$C$15:$C$24,MATCH(A878,SETTINGS!$A$15:$A$24,0)),"No")</f>
        <v>No</v>
      </c>
      <c r="E878">
        <v>11</v>
      </c>
      <c r="F878" t="s">
        <v>44</v>
      </c>
      <c r="G878">
        <v>251</v>
      </c>
      <c r="H878" t="s">
        <v>93</v>
      </c>
      <c r="I878" t="s">
        <v>89</v>
      </c>
      <c r="J878" t="s">
        <v>13</v>
      </c>
      <c r="K878" t="s">
        <v>14</v>
      </c>
      <c r="L878" s="36">
        <f ca="1">IF(C878&lt;&gt;"Yes",0,IF(A878=2025,N('2025'!D251),IF(A878=2026,N('2026'!D251),IF(A878=2027,N('2027'!D251),IF(A878=2028,N('2028'!D251),IF(A878=2029,N('2029'!D251),IF(A878=2030,N('2030'!D251),IF(A878=2031,N('2031'!D251),IF(A878=2032,N('2032'!D251),IF(A878=2033,N('2033'!D251),IF(A878=2034,N('2034'!D251),IFERROR(N(INDIRECT("'"&amp;A878&amp;"'!D"&amp;G878)),0))))))))))))</f>
        <v>0</v>
      </c>
      <c r="M878" s="36">
        <f>IFERROR(IF(NOT(ISBLANK(KPI_TARGETS!$J$7)),KPI_TARGETS!$J$7,IF(NOT(ISBLANK(KPI_TARGETS!$F$7)),KPI_TARGETS!$F$7,"")),"")</f>
        <v>8000</v>
      </c>
      <c r="N878" s="36" t="str">
        <f>IFERROR(KPI_TARGETS!$E$7,"Higher is better")</f>
        <v>Higher is better</v>
      </c>
      <c r="O878" s="37">
        <f t="shared" ca="1" si="78"/>
        <v>0</v>
      </c>
      <c r="P878" t="str">
        <f t="shared" ca="1" si="79"/>
        <v>Red</v>
      </c>
      <c r="Q878" s="36">
        <f t="shared" ca="1" si="80"/>
        <v>-8000</v>
      </c>
      <c r="R878" s="36" t="str">
        <f>""</f>
        <v/>
      </c>
      <c r="S878" s="36" t="str">
        <f>""</f>
        <v/>
      </c>
      <c r="T878" s="36" t="str">
        <f>""</f>
        <v/>
      </c>
      <c r="U878" s="36" t="str">
        <f>""</f>
        <v/>
      </c>
      <c r="V878" s="36" t="str">
        <f>""</f>
        <v/>
      </c>
      <c r="W878" s="36">
        <f t="shared" si="81"/>
        <v>1</v>
      </c>
      <c r="X878" t="str">
        <f t="shared" si="82"/>
        <v>Inactive</v>
      </c>
      <c r="Y878" t="str">
        <f>IF(MAIN!$H$3="Selected Year",IF(A878=MAIN!$B$3,"Yes","No"),IF(MAIN!$H$3="Included Years",IF(D878="Yes","Yes","No"),IF(C878="Yes","Yes","No")))</f>
        <v>No</v>
      </c>
      <c r="Z878" t="str">
        <f>IF(MAIN!$F$3="Project to Date",IF(AND(A878&gt;=SETTINGS!$B$4,A878&lt;MAIN!$B$3),"Yes",IF(AND(A878=MAIN!$B$3,E878&lt;=MAIN!$L$3),"Yes","No")),IF(OR(MAIN!$F$3="Full Year",MAIN!$D$3="All"),"Yes",IF(MAIN!$F$3="Monthly",IF(E878=MAIN!$L$3,"Yes","No"),IF(E878&lt;=MAIN!$L$3,"Yes","No"))))</f>
        <v>Yes</v>
      </c>
      <c r="AA878" t="str">
        <f t="shared" si="83"/>
        <v>No</v>
      </c>
    </row>
    <row r="879" spans="1:27" x14ac:dyDescent="0.3">
      <c r="A879">
        <f>INDEX(SETTINGS!$A$15:$A$24,$B879)</f>
        <v>2028</v>
      </c>
      <c r="B879">
        <v>4</v>
      </c>
      <c r="C879" t="str">
        <f>IF(AND(A879&gt;=SETTINGS!$B$4,A879&lt;=SETTINGS!$B$5),"Yes","No")</f>
        <v>No</v>
      </c>
      <c r="D879" t="str">
        <f>IFERROR(INDEX(SETTINGS!$C$15:$C$24,MATCH(A879,SETTINGS!$A$15:$A$24,0)),"No")</f>
        <v>No</v>
      </c>
      <c r="E879">
        <v>11</v>
      </c>
      <c r="F879" t="s">
        <v>44</v>
      </c>
      <c r="G879">
        <v>253</v>
      </c>
      <c r="H879" t="s">
        <v>95</v>
      </c>
      <c r="I879" t="s">
        <v>15</v>
      </c>
      <c r="J879" t="s">
        <v>16</v>
      </c>
      <c r="K879" t="s">
        <v>3</v>
      </c>
      <c r="L879" s="36">
        <f ca="1">IF(C879&lt;&gt;"Yes",0,IF(A879=2025,N('2025'!D253),IF(A879=2026,N('2026'!D253),IF(A879=2027,N('2027'!D253),IF(A879=2028,N('2028'!D253),IF(A879=2029,N('2029'!D253),IF(A879=2030,N('2030'!D253),IF(A879=2031,N('2031'!D253),IF(A879=2032,N('2032'!D253),IF(A879=2033,N('2033'!D253),IF(A879=2034,N('2034'!D253),IFERROR(N(INDIRECT("'"&amp;A879&amp;"'!D"&amp;G879)),0))))))))))))</f>
        <v>0</v>
      </c>
      <c r="M879" s="36">
        <f>IFERROR(IF(NOT(ISBLANK(KPI_TARGETS!$J$8)),KPI_TARGETS!$J$8,IF(NOT(ISBLANK(KPI_TARGETS!$F$8)),KPI_TARGETS!$F$8,"")),"")</f>
        <v>0</v>
      </c>
      <c r="N879" s="36" t="str">
        <f>IFERROR(KPI_TARGETS!$E$8,"Higher is better")</f>
        <v>Lower is better</v>
      </c>
      <c r="O879" s="37">
        <f t="shared" ca="1" si="78"/>
        <v>1</v>
      </c>
      <c r="P879" t="str">
        <f t="shared" ca="1" si="79"/>
        <v>Green</v>
      </c>
      <c r="Q879" s="36">
        <f t="shared" ca="1" si="80"/>
        <v>0</v>
      </c>
      <c r="R879" s="36" t="str">
        <f>""</f>
        <v/>
      </c>
      <c r="S879" s="36" t="str">
        <f>""</f>
        <v/>
      </c>
      <c r="T879" s="36" t="str">
        <f>""</f>
        <v/>
      </c>
      <c r="U879" s="36" t="str">
        <f>""</f>
        <v/>
      </c>
      <c r="V879" s="36" t="str">
        <f>""</f>
        <v/>
      </c>
      <c r="W879" s="36">
        <f t="shared" si="81"/>
        <v>1</v>
      </c>
      <c r="X879" t="str">
        <f t="shared" si="82"/>
        <v>Inactive</v>
      </c>
      <c r="Y879" t="str">
        <f>IF(MAIN!$H$3="Selected Year",IF(A879=MAIN!$B$3,"Yes","No"),IF(MAIN!$H$3="Included Years",IF(D879="Yes","Yes","No"),IF(C879="Yes","Yes","No")))</f>
        <v>No</v>
      </c>
      <c r="Z879" t="str">
        <f>IF(MAIN!$F$3="Project to Date",IF(AND(A879&gt;=SETTINGS!$B$4,A879&lt;MAIN!$B$3),"Yes",IF(AND(A879=MAIN!$B$3,E879&lt;=MAIN!$L$3),"Yes","No")),IF(OR(MAIN!$F$3="Full Year",MAIN!$D$3="All"),"Yes",IF(MAIN!$F$3="Monthly",IF(E879=MAIN!$L$3,"Yes","No"),IF(E879&lt;=MAIN!$L$3,"Yes","No"))))</f>
        <v>Yes</v>
      </c>
      <c r="AA879" t="str">
        <f t="shared" si="83"/>
        <v>No</v>
      </c>
    </row>
    <row r="880" spans="1:27" x14ac:dyDescent="0.3">
      <c r="A880">
        <f>INDEX(SETTINGS!$A$15:$A$24,$B880)</f>
        <v>2028</v>
      </c>
      <c r="B880">
        <v>4</v>
      </c>
      <c r="C880" t="str">
        <f>IF(AND(A880&gt;=SETTINGS!$B$4,A880&lt;=SETTINGS!$B$5),"Yes","No")</f>
        <v>No</v>
      </c>
      <c r="D880" t="str">
        <f>IFERROR(INDEX(SETTINGS!$C$15:$C$24,MATCH(A880,SETTINGS!$A$15:$A$24,0)),"No")</f>
        <v>No</v>
      </c>
      <c r="E880">
        <v>11</v>
      </c>
      <c r="F880" t="s">
        <v>44</v>
      </c>
      <c r="G880">
        <v>254</v>
      </c>
      <c r="H880" t="s">
        <v>97</v>
      </c>
      <c r="I880" t="s">
        <v>15</v>
      </c>
      <c r="J880" t="s">
        <v>17</v>
      </c>
      <c r="K880" t="s">
        <v>3</v>
      </c>
      <c r="L880" s="36">
        <f ca="1">IF(C880&lt;&gt;"Yes",0,IF(A880=2025,N('2025'!D254),IF(A880=2026,N('2026'!D254),IF(A880=2027,N('2027'!D254),IF(A880=2028,N('2028'!D254),IF(A880=2029,N('2029'!D254),IF(A880=2030,N('2030'!D254),IF(A880=2031,N('2031'!D254),IF(A880=2032,N('2032'!D254),IF(A880=2033,N('2033'!D254),IF(A880=2034,N('2034'!D254),IFERROR(N(INDIRECT("'"&amp;A880&amp;"'!D"&amp;G880)),0))))))))))))</f>
        <v>0</v>
      </c>
      <c r="M880" s="36">
        <f>IFERROR(IF(NOT(ISBLANK(KPI_TARGETS!$J$9)),KPI_TARGETS!$J$9,IF(NOT(ISBLANK(KPI_TARGETS!$F$9)),KPI_TARGETS!$F$9,"")),"")</f>
        <v>0</v>
      </c>
      <c r="N880" s="36" t="str">
        <f>IFERROR(KPI_TARGETS!$E$9,"Higher is better")</f>
        <v>Higher is better</v>
      </c>
      <c r="O880" s="37" t="str">
        <f t="shared" ca="1" si="78"/>
        <v/>
      </c>
      <c r="P880" t="str">
        <f t="shared" ca="1" si="79"/>
        <v>Green</v>
      </c>
      <c r="Q880" s="36">
        <f t="shared" ca="1" si="80"/>
        <v>0</v>
      </c>
      <c r="R880" s="36" t="str">
        <f>""</f>
        <v/>
      </c>
      <c r="S880" s="36" t="str">
        <f>""</f>
        <v/>
      </c>
      <c r="T880" s="36" t="str">
        <f>""</f>
        <v/>
      </c>
      <c r="U880" s="36" t="str">
        <f>""</f>
        <v/>
      </c>
      <c r="V880" s="36" t="str">
        <f>""</f>
        <v/>
      </c>
      <c r="W880" s="36">
        <f t="shared" si="81"/>
        <v>1</v>
      </c>
      <c r="X880" t="str">
        <f t="shared" si="82"/>
        <v>Inactive</v>
      </c>
      <c r="Y880" t="str">
        <f>IF(MAIN!$H$3="Selected Year",IF(A880=MAIN!$B$3,"Yes","No"),IF(MAIN!$H$3="Included Years",IF(D880="Yes","Yes","No"),IF(C880="Yes","Yes","No")))</f>
        <v>No</v>
      </c>
      <c r="Z880" t="str">
        <f>IF(MAIN!$F$3="Project to Date",IF(AND(A880&gt;=SETTINGS!$B$4,A880&lt;MAIN!$B$3),"Yes",IF(AND(A880=MAIN!$B$3,E880&lt;=MAIN!$L$3),"Yes","No")),IF(OR(MAIN!$F$3="Full Year",MAIN!$D$3="All"),"Yes",IF(MAIN!$F$3="Monthly",IF(E880=MAIN!$L$3,"Yes","No"),IF(E880&lt;=MAIN!$L$3,"Yes","No"))))</f>
        <v>Yes</v>
      </c>
      <c r="AA880" t="str">
        <f t="shared" si="83"/>
        <v>No</v>
      </c>
    </row>
    <row r="881" spans="1:27" x14ac:dyDescent="0.3">
      <c r="A881">
        <f>INDEX(SETTINGS!$A$15:$A$24,$B881)</f>
        <v>2028</v>
      </c>
      <c r="B881">
        <v>4</v>
      </c>
      <c r="C881" t="str">
        <f>IF(AND(A881&gt;=SETTINGS!$B$4,A881&lt;=SETTINGS!$B$5),"Yes","No")</f>
        <v>No</v>
      </c>
      <c r="D881" t="str">
        <f>IFERROR(INDEX(SETTINGS!$C$15:$C$24,MATCH(A881,SETTINGS!$A$15:$A$24,0)),"No")</f>
        <v>No</v>
      </c>
      <c r="E881">
        <v>11</v>
      </c>
      <c r="F881" t="s">
        <v>44</v>
      </c>
      <c r="G881">
        <v>255</v>
      </c>
      <c r="H881" t="s">
        <v>99</v>
      </c>
      <c r="I881" t="s">
        <v>15</v>
      </c>
      <c r="J881" t="s">
        <v>18</v>
      </c>
      <c r="K881" t="s">
        <v>3</v>
      </c>
      <c r="L881" s="36">
        <f ca="1">IF(C881&lt;&gt;"Yes",0,IF(A881=2025,N('2025'!D255),IF(A881=2026,N('2026'!D255),IF(A881=2027,N('2027'!D255),IF(A881=2028,N('2028'!D255),IF(A881=2029,N('2029'!D255),IF(A881=2030,N('2030'!D255),IF(A881=2031,N('2031'!D255),IF(A881=2032,N('2032'!D255),IF(A881=2033,N('2033'!D255),IF(A881=2034,N('2034'!D255),IFERROR(N(INDIRECT("'"&amp;A881&amp;"'!D"&amp;G881)),0))))))))))))</f>
        <v>0</v>
      </c>
      <c r="M881" s="36">
        <f>IFERROR(IF(NOT(ISBLANK(KPI_TARGETS!$J$10)),KPI_TARGETS!$J$10,IF(NOT(ISBLANK(KPI_TARGETS!$F$10)),KPI_TARGETS!$F$10,"")),"")</f>
        <v>0</v>
      </c>
      <c r="N881" s="36" t="str">
        <f>IFERROR(KPI_TARGETS!$E$10,"Higher is better")</f>
        <v>Lower is better</v>
      </c>
      <c r="O881" s="37">
        <f t="shared" ca="1" si="78"/>
        <v>1</v>
      </c>
      <c r="P881" t="str">
        <f t="shared" ca="1" si="79"/>
        <v>Green</v>
      </c>
      <c r="Q881" s="36">
        <f t="shared" ca="1" si="80"/>
        <v>0</v>
      </c>
      <c r="R881" s="36" t="str">
        <f>""</f>
        <v/>
      </c>
      <c r="S881" s="36" t="str">
        <f>""</f>
        <v/>
      </c>
      <c r="T881" s="36" t="str">
        <f>""</f>
        <v/>
      </c>
      <c r="U881" s="36" t="str">
        <f>""</f>
        <v/>
      </c>
      <c r="V881" s="36" t="str">
        <f>""</f>
        <v/>
      </c>
      <c r="W881" s="36">
        <f t="shared" si="81"/>
        <v>1</v>
      </c>
      <c r="X881" t="str">
        <f t="shared" si="82"/>
        <v>Inactive</v>
      </c>
      <c r="Y881" t="str">
        <f>IF(MAIN!$H$3="Selected Year",IF(A881=MAIN!$B$3,"Yes","No"),IF(MAIN!$H$3="Included Years",IF(D881="Yes","Yes","No"),IF(C881="Yes","Yes","No")))</f>
        <v>No</v>
      </c>
      <c r="Z881" t="str">
        <f>IF(MAIN!$F$3="Project to Date",IF(AND(A881&gt;=SETTINGS!$B$4,A881&lt;MAIN!$B$3),"Yes",IF(AND(A881=MAIN!$B$3,E881&lt;=MAIN!$L$3),"Yes","No")),IF(OR(MAIN!$F$3="Full Year",MAIN!$D$3="All"),"Yes",IF(MAIN!$F$3="Monthly",IF(E881=MAIN!$L$3,"Yes","No"),IF(E881&lt;=MAIN!$L$3,"Yes","No"))))</f>
        <v>Yes</v>
      </c>
      <c r="AA881" t="str">
        <f t="shared" si="83"/>
        <v>No</v>
      </c>
    </row>
    <row r="882" spans="1:27" x14ac:dyDescent="0.3">
      <c r="A882">
        <f>INDEX(SETTINGS!$A$15:$A$24,$B882)</f>
        <v>2028</v>
      </c>
      <c r="B882">
        <v>4</v>
      </c>
      <c r="C882" t="str">
        <f>IF(AND(A882&gt;=SETTINGS!$B$4,A882&lt;=SETTINGS!$B$5),"Yes","No")</f>
        <v>No</v>
      </c>
      <c r="D882" t="str">
        <f>IFERROR(INDEX(SETTINGS!$C$15:$C$24,MATCH(A882,SETTINGS!$A$15:$A$24,0)),"No")</f>
        <v>No</v>
      </c>
      <c r="E882">
        <v>11</v>
      </c>
      <c r="F882" t="s">
        <v>44</v>
      </c>
      <c r="G882">
        <v>256</v>
      </c>
      <c r="H882" t="s">
        <v>100</v>
      </c>
      <c r="I882" t="s">
        <v>15</v>
      </c>
      <c r="J882" t="s">
        <v>19</v>
      </c>
      <c r="K882" t="s">
        <v>3</v>
      </c>
      <c r="L882" s="36">
        <f ca="1">IF(C882&lt;&gt;"Yes",0,IF(A882=2025,N('2025'!D256),IF(A882=2026,N('2026'!D256),IF(A882=2027,N('2027'!D256),IF(A882=2028,N('2028'!D256),IF(A882=2029,N('2029'!D256),IF(A882=2030,N('2030'!D256),IF(A882=2031,N('2031'!D256),IF(A882=2032,N('2032'!D256),IF(A882=2033,N('2033'!D256),IF(A882=2034,N('2034'!D256),IFERROR(N(INDIRECT("'"&amp;A882&amp;"'!D"&amp;G882)),0))))))))))))</f>
        <v>0</v>
      </c>
      <c r="M882" s="36">
        <f>IFERROR(IF(NOT(ISBLANK(KPI_TARGETS!$J$11)),KPI_TARGETS!$J$11,IF(NOT(ISBLANK(KPI_TARGETS!$F$11)),KPI_TARGETS!$F$11,"")),"")</f>
        <v>0</v>
      </c>
      <c r="N882" s="36" t="str">
        <f>IFERROR(KPI_TARGETS!$E$11,"Higher is better")</f>
        <v>Lower is better</v>
      </c>
      <c r="O882" s="37">
        <f t="shared" ca="1" si="78"/>
        <v>1</v>
      </c>
      <c r="P882" t="str">
        <f t="shared" ca="1" si="79"/>
        <v>Green</v>
      </c>
      <c r="Q882" s="36">
        <f t="shared" ca="1" si="80"/>
        <v>0</v>
      </c>
      <c r="R882" s="36" t="str">
        <f>""</f>
        <v/>
      </c>
      <c r="S882" s="36" t="str">
        <f>""</f>
        <v/>
      </c>
      <c r="T882" s="36" t="str">
        <f>""</f>
        <v/>
      </c>
      <c r="U882" s="36" t="str">
        <f>""</f>
        <v/>
      </c>
      <c r="V882" s="36" t="str">
        <f>""</f>
        <v/>
      </c>
      <c r="W882" s="36">
        <f t="shared" si="81"/>
        <v>1</v>
      </c>
      <c r="X882" t="str">
        <f t="shared" si="82"/>
        <v>Inactive</v>
      </c>
      <c r="Y882" t="str">
        <f>IF(MAIN!$H$3="Selected Year",IF(A882=MAIN!$B$3,"Yes","No"),IF(MAIN!$H$3="Included Years",IF(D882="Yes","Yes","No"),IF(C882="Yes","Yes","No")))</f>
        <v>No</v>
      </c>
      <c r="Z882" t="str">
        <f>IF(MAIN!$F$3="Project to Date",IF(AND(A882&gt;=SETTINGS!$B$4,A882&lt;MAIN!$B$3),"Yes",IF(AND(A882=MAIN!$B$3,E882&lt;=MAIN!$L$3),"Yes","No")),IF(OR(MAIN!$F$3="Full Year",MAIN!$D$3="All"),"Yes",IF(MAIN!$F$3="Monthly",IF(E882=MAIN!$L$3,"Yes","No"),IF(E882&lt;=MAIN!$L$3,"Yes","No"))))</f>
        <v>Yes</v>
      </c>
      <c r="AA882" t="str">
        <f t="shared" si="83"/>
        <v>No</v>
      </c>
    </row>
    <row r="883" spans="1:27" x14ac:dyDescent="0.3">
      <c r="A883">
        <f>INDEX(SETTINGS!$A$15:$A$24,$B883)</f>
        <v>2028</v>
      </c>
      <c r="B883">
        <v>4</v>
      </c>
      <c r="C883" t="str">
        <f>IF(AND(A883&gt;=SETTINGS!$B$4,A883&lt;=SETTINGS!$B$5),"Yes","No")</f>
        <v>No</v>
      </c>
      <c r="D883" t="str">
        <f>IFERROR(INDEX(SETTINGS!$C$15:$C$24,MATCH(A883,SETTINGS!$A$15:$A$24,0)),"No")</f>
        <v>No</v>
      </c>
      <c r="E883">
        <v>11</v>
      </c>
      <c r="F883" t="s">
        <v>44</v>
      </c>
      <c r="G883">
        <v>257</v>
      </c>
      <c r="H883" t="s">
        <v>101</v>
      </c>
      <c r="I883" t="s">
        <v>15</v>
      </c>
      <c r="J883" t="s">
        <v>20</v>
      </c>
      <c r="K883" t="s">
        <v>3</v>
      </c>
      <c r="L883" s="36">
        <f ca="1">IF(C883&lt;&gt;"Yes",0,IF(A883=2025,N('2025'!D257),IF(A883=2026,N('2026'!D257),IF(A883=2027,N('2027'!D257),IF(A883=2028,N('2028'!D257),IF(A883=2029,N('2029'!D257),IF(A883=2030,N('2030'!D257),IF(A883=2031,N('2031'!D257),IF(A883=2032,N('2032'!D257),IF(A883=2033,N('2033'!D257),IF(A883=2034,N('2034'!D257),IFERROR(N(INDIRECT("'"&amp;A883&amp;"'!D"&amp;G883)),0))))))))))))</f>
        <v>0</v>
      </c>
      <c r="M883" s="36">
        <f>IFERROR(IF(NOT(ISBLANK(KPI_TARGETS!$J$12)),KPI_TARGETS!$J$12,IF(NOT(ISBLANK(KPI_TARGETS!$F$12)),KPI_TARGETS!$F$12,"")),"")</f>
        <v>0</v>
      </c>
      <c r="N883" s="36" t="str">
        <f>IFERROR(KPI_TARGETS!$E$12,"Higher is better")</f>
        <v>Lower is better</v>
      </c>
      <c r="O883" s="37">
        <f t="shared" ca="1" si="78"/>
        <v>1</v>
      </c>
      <c r="P883" t="str">
        <f t="shared" ca="1" si="79"/>
        <v>Green</v>
      </c>
      <c r="Q883" s="36">
        <f t="shared" ca="1" si="80"/>
        <v>0</v>
      </c>
      <c r="R883" s="36" t="str">
        <f>""</f>
        <v/>
      </c>
      <c r="S883" s="36" t="str">
        <f>""</f>
        <v/>
      </c>
      <c r="T883" s="36" t="str">
        <f>""</f>
        <v/>
      </c>
      <c r="U883" s="36" t="str">
        <f>""</f>
        <v/>
      </c>
      <c r="V883" s="36" t="str">
        <f>""</f>
        <v/>
      </c>
      <c r="W883" s="36">
        <f t="shared" si="81"/>
        <v>1</v>
      </c>
      <c r="X883" t="str">
        <f t="shared" si="82"/>
        <v>Inactive</v>
      </c>
      <c r="Y883" t="str">
        <f>IF(MAIN!$H$3="Selected Year",IF(A883=MAIN!$B$3,"Yes","No"),IF(MAIN!$H$3="Included Years",IF(D883="Yes","Yes","No"),IF(C883="Yes","Yes","No")))</f>
        <v>No</v>
      </c>
      <c r="Z883" t="str">
        <f>IF(MAIN!$F$3="Project to Date",IF(AND(A883&gt;=SETTINGS!$B$4,A883&lt;MAIN!$B$3),"Yes",IF(AND(A883=MAIN!$B$3,E883&lt;=MAIN!$L$3),"Yes","No")),IF(OR(MAIN!$F$3="Full Year",MAIN!$D$3="All"),"Yes",IF(MAIN!$F$3="Monthly",IF(E883=MAIN!$L$3,"Yes","No"),IF(E883&lt;=MAIN!$L$3,"Yes","No"))))</f>
        <v>Yes</v>
      </c>
      <c r="AA883" t="str">
        <f t="shared" si="83"/>
        <v>No</v>
      </c>
    </row>
    <row r="884" spans="1:27" x14ac:dyDescent="0.3">
      <c r="A884">
        <f>INDEX(SETTINGS!$A$15:$A$24,$B884)</f>
        <v>2028</v>
      </c>
      <c r="B884">
        <v>4</v>
      </c>
      <c r="C884" t="str">
        <f>IF(AND(A884&gt;=SETTINGS!$B$4,A884&lt;=SETTINGS!$B$5),"Yes","No")</f>
        <v>No</v>
      </c>
      <c r="D884" t="str">
        <f>IFERROR(INDEX(SETTINGS!$C$15:$C$24,MATCH(A884,SETTINGS!$A$15:$A$24,0)),"No")</f>
        <v>No</v>
      </c>
      <c r="E884">
        <v>11</v>
      </c>
      <c r="F884" t="s">
        <v>44</v>
      </c>
      <c r="G884">
        <v>258</v>
      </c>
      <c r="H884" t="s">
        <v>102</v>
      </c>
      <c r="I884" t="s">
        <v>15</v>
      </c>
      <c r="J884" t="s">
        <v>21</v>
      </c>
      <c r="K884" t="s">
        <v>3</v>
      </c>
      <c r="L884" s="36">
        <f ca="1">IF(C884&lt;&gt;"Yes",0,IF(A884=2025,N('2025'!D258),IF(A884=2026,N('2026'!D258),IF(A884=2027,N('2027'!D258),IF(A884=2028,N('2028'!D258),IF(A884=2029,N('2029'!D258),IF(A884=2030,N('2030'!D258),IF(A884=2031,N('2031'!D258),IF(A884=2032,N('2032'!D258),IF(A884=2033,N('2033'!D258),IF(A884=2034,N('2034'!D258),IFERROR(N(INDIRECT("'"&amp;A884&amp;"'!D"&amp;G884)),0))))))))))))</f>
        <v>0</v>
      </c>
      <c r="M884" s="36">
        <f>IFERROR(IF(NOT(ISBLANK(KPI_TARGETS!$J$13)),KPI_TARGETS!$J$13,IF(NOT(ISBLANK(KPI_TARGETS!$F$13)),KPI_TARGETS!$F$13,"")),"")</f>
        <v>0</v>
      </c>
      <c r="N884" s="36" t="str">
        <f>IFERROR(KPI_TARGETS!$E$13,"Higher is better")</f>
        <v>Lower is better</v>
      </c>
      <c r="O884" s="37">
        <f t="shared" ca="1" si="78"/>
        <v>1</v>
      </c>
      <c r="P884" t="str">
        <f t="shared" ca="1" si="79"/>
        <v>Green</v>
      </c>
      <c r="Q884" s="36">
        <f t="shared" ca="1" si="80"/>
        <v>0</v>
      </c>
      <c r="R884" s="36" t="str">
        <f>""</f>
        <v/>
      </c>
      <c r="S884" s="36" t="str">
        <f>""</f>
        <v/>
      </c>
      <c r="T884" s="36" t="str">
        <f>""</f>
        <v/>
      </c>
      <c r="U884" s="36" t="str">
        <f>""</f>
        <v/>
      </c>
      <c r="V884" s="36" t="str">
        <f>""</f>
        <v/>
      </c>
      <c r="W884" s="36">
        <f t="shared" si="81"/>
        <v>1</v>
      </c>
      <c r="X884" t="str">
        <f t="shared" si="82"/>
        <v>Inactive</v>
      </c>
      <c r="Y884" t="str">
        <f>IF(MAIN!$H$3="Selected Year",IF(A884=MAIN!$B$3,"Yes","No"),IF(MAIN!$H$3="Included Years",IF(D884="Yes","Yes","No"),IF(C884="Yes","Yes","No")))</f>
        <v>No</v>
      </c>
      <c r="Z884" t="str">
        <f>IF(MAIN!$F$3="Project to Date",IF(AND(A884&gt;=SETTINGS!$B$4,A884&lt;MAIN!$B$3),"Yes",IF(AND(A884=MAIN!$B$3,E884&lt;=MAIN!$L$3),"Yes","No")),IF(OR(MAIN!$F$3="Full Year",MAIN!$D$3="All"),"Yes",IF(MAIN!$F$3="Monthly",IF(E884=MAIN!$L$3,"Yes","No"),IF(E884&lt;=MAIN!$L$3,"Yes","No"))))</f>
        <v>Yes</v>
      </c>
      <c r="AA884" t="str">
        <f t="shared" si="83"/>
        <v>No</v>
      </c>
    </row>
    <row r="885" spans="1:27" x14ac:dyDescent="0.3">
      <c r="A885">
        <f>INDEX(SETTINGS!$A$15:$A$24,$B885)</f>
        <v>2028</v>
      </c>
      <c r="B885">
        <v>4</v>
      </c>
      <c r="C885" t="str">
        <f>IF(AND(A885&gt;=SETTINGS!$B$4,A885&lt;=SETTINGS!$B$5),"Yes","No")</f>
        <v>No</v>
      </c>
      <c r="D885" t="str">
        <f>IFERROR(INDEX(SETTINGS!$C$15:$C$24,MATCH(A885,SETTINGS!$A$15:$A$24,0)),"No")</f>
        <v>No</v>
      </c>
      <c r="E885">
        <v>11</v>
      </c>
      <c r="F885" t="s">
        <v>44</v>
      </c>
      <c r="G885">
        <v>260</v>
      </c>
      <c r="H885" t="s">
        <v>103</v>
      </c>
      <c r="I885" t="s">
        <v>22</v>
      </c>
      <c r="J885" t="s">
        <v>23</v>
      </c>
      <c r="K885" t="s">
        <v>3</v>
      </c>
      <c r="L885" s="36">
        <f ca="1">IF(C885&lt;&gt;"Yes",0,IF(A885=2025,N('2025'!D260),IF(A885=2026,N('2026'!D260),IF(A885=2027,N('2027'!D260),IF(A885=2028,N('2028'!D260),IF(A885=2029,N('2029'!D260),IF(A885=2030,N('2030'!D260),IF(A885=2031,N('2031'!D260),IF(A885=2032,N('2032'!D260),IF(A885=2033,N('2033'!D260),IF(A885=2034,N('2034'!D260),IFERROR(N(INDIRECT("'"&amp;A885&amp;"'!D"&amp;G885)),0))))))))))))</f>
        <v>0</v>
      </c>
      <c r="M885" s="36">
        <f>IFERROR(IF(NOT(ISBLANK(KPI_TARGETS!$J$14)),KPI_TARGETS!$J$14,IF(NOT(ISBLANK(KPI_TARGETS!$F$14)),KPI_TARGETS!$F$14,"")),"")</f>
        <v>35</v>
      </c>
      <c r="N885" s="36" t="str">
        <f>IFERROR(KPI_TARGETS!$E$14,"Higher is better")</f>
        <v>Higher is better</v>
      </c>
      <c r="O885" s="37">
        <f t="shared" ca="1" si="78"/>
        <v>0</v>
      </c>
      <c r="P885" t="str">
        <f t="shared" ca="1" si="79"/>
        <v>Red</v>
      </c>
      <c r="Q885" s="36">
        <f t="shared" ca="1" si="80"/>
        <v>-35</v>
      </c>
      <c r="R885" s="36" t="str">
        <f>""</f>
        <v/>
      </c>
      <c r="S885" s="36" t="str">
        <f>""</f>
        <v/>
      </c>
      <c r="T885" s="36" t="str">
        <f>""</f>
        <v/>
      </c>
      <c r="U885" s="36" t="str">
        <f>""</f>
        <v/>
      </c>
      <c r="V885" s="36" t="str">
        <f>""</f>
        <v/>
      </c>
      <c r="W885" s="36">
        <f t="shared" si="81"/>
        <v>1</v>
      </c>
      <c r="X885" t="str">
        <f t="shared" si="82"/>
        <v>Inactive</v>
      </c>
      <c r="Y885" t="str">
        <f>IF(MAIN!$H$3="Selected Year",IF(A885=MAIN!$B$3,"Yes","No"),IF(MAIN!$H$3="Included Years",IF(D885="Yes","Yes","No"),IF(C885="Yes","Yes","No")))</f>
        <v>No</v>
      </c>
      <c r="Z885" t="str">
        <f>IF(MAIN!$F$3="Project to Date",IF(AND(A885&gt;=SETTINGS!$B$4,A885&lt;MAIN!$B$3),"Yes",IF(AND(A885=MAIN!$B$3,E885&lt;=MAIN!$L$3),"Yes","No")),IF(OR(MAIN!$F$3="Full Year",MAIN!$D$3="All"),"Yes",IF(MAIN!$F$3="Monthly",IF(E885=MAIN!$L$3,"Yes","No"),IF(E885&lt;=MAIN!$L$3,"Yes","No"))))</f>
        <v>Yes</v>
      </c>
      <c r="AA885" t="str">
        <f t="shared" si="83"/>
        <v>No</v>
      </c>
    </row>
    <row r="886" spans="1:27" x14ac:dyDescent="0.3">
      <c r="A886">
        <f>INDEX(SETTINGS!$A$15:$A$24,$B886)</f>
        <v>2028</v>
      </c>
      <c r="B886">
        <v>4</v>
      </c>
      <c r="C886" t="str">
        <f>IF(AND(A886&gt;=SETTINGS!$B$4,A886&lt;=SETTINGS!$B$5),"Yes","No")</f>
        <v>No</v>
      </c>
      <c r="D886" t="str">
        <f>IFERROR(INDEX(SETTINGS!$C$15:$C$24,MATCH(A886,SETTINGS!$A$15:$A$24,0)),"No")</f>
        <v>No</v>
      </c>
      <c r="E886">
        <v>11</v>
      </c>
      <c r="F886" t="s">
        <v>44</v>
      </c>
      <c r="G886">
        <v>261</v>
      </c>
      <c r="H886" t="s">
        <v>104</v>
      </c>
      <c r="I886" t="s">
        <v>22</v>
      </c>
      <c r="J886" t="s">
        <v>24</v>
      </c>
      <c r="K886" t="s">
        <v>3</v>
      </c>
      <c r="L886" s="36">
        <f ca="1">IF(C886&lt;&gt;"Yes",0,IF(A886=2025,N('2025'!D261),IF(A886=2026,N('2026'!D261),IF(A886=2027,N('2027'!D261),IF(A886=2028,N('2028'!D261),IF(A886=2029,N('2029'!D261),IF(A886=2030,N('2030'!D261),IF(A886=2031,N('2031'!D261),IF(A886=2032,N('2032'!D261),IF(A886=2033,N('2033'!D261),IF(A886=2034,N('2034'!D261),IFERROR(N(INDIRECT("'"&amp;A886&amp;"'!D"&amp;G886)),0))))))))))))</f>
        <v>0</v>
      </c>
      <c r="M886" s="36">
        <f>IFERROR(IF(NOT(ISBLANK(KPI_TARGETS!$J$15)),KPI_TARGETS!$J$15,IF(NOT(ISBLANK(KPI_TARGETS!$F$15)),KPI_TARGETS!$F$15,"")),"")</f>
        <v>5</v>
      </c>
      <c r="N886" s="36" t="str">
        <f>IFERROR(KPI_TARGETS!$E$15,"Higher is better")</f>
        <v>Higher is better</v>
      </c>
      <c r="O886" s="37">
        <f t="shared" ca="1" si="78"/>
        <v>0</v>
      </c>
      <c r="P886" t="str">
        <f t="shared" ca="1" si="79"/>
        <v>Red</v>
      </c>
      <c r="Q886" s="36">
        <f t="shared" ca="1" si="80"/>
        <v>-5</v>
      </c>
      <c r="R886" s="36" t="str">
        <f>""</f>
        <v/>
      </c>
      <c r="S886" s="36" t="str">
        <f>""</f>
        <v/>
      </c>
      <c r="T886" s="36" t="str">
        <f>""</f>
        <v/>
      </c>
      <c r="U886" s="36" t="str">
        <f>""</f>
        <v/>
      </c>
      <c r="V886" s="36" t="str">
        <f>""</f>
        <v/>
      </c>
      <c r="W886" s="36">
        <f t="shared" si="81"/>
        <v>1</v>
      </c>
      <c r="X886" t="str">
        <f t="shared" si="82"/>
        <v>Inactive</v>
      </c>
      <c r="Y886" t="str">
        <f>IF(MAIN!$H$3="Selected Year",IF(A886=MAIN!$B$3,"Yes","No"),IF(MAIN!$H$3="Included Years",IF(D886="Yes","Yes","No"),IF(C886="Yes","Yes","No")))</f>
        <v>No</v>
      </c>
      <c r="Z886" t="str">
        <f>IF(MAIN!$F$3="Project to Date",IF(AND(A886&gt;=SETTINGS!$B$4,A886&lt;MAIN!$B$3),"Yes",IF(AND(A886=MAIN!$B$3,E886&lt;=MAIN!$L$3),"Yes","No")),IF(OR(MAIN!$F$3="Full Year",MAIN!$D$3="All"),"Yes",IF(MAIN!$F$3="Monthly",IF(E886=MAIN!$L$3,"Yes","No"),IF(E886&lt;=MAIN!$L$3,"Yes","No"))))</f>
        <v>Yes</v>
      </c>
      <c r="AA886" t="str">
        <f t="shared" si="83"/>
        <v>No</v>
      </c>
    </row>
    <row r="887" spans="1:27" x14ac:dyDescent="0.3">
      <c r="A887">
        <f>INDEX(SETTINGS!$A$15:$A$24,$B887)</f>
        <v>2028</v>
      </c>
      <c r="B887">
        <v>4</v>
      </c>
      <c r="C887" t="str">
        <f>IF(AND(A887&gt;=SETTINGS!$B$4,A887&lt;=SETTINGS!$B$5),"Yes","No")</f>
        <v>No</v>
      </c>
      <c r="D887" t="str">
        <f>IFERROR(INDEX(SETTINGS!$C$15:$C$24,MATCH(A887,SETTINGS!$A$15:$A$24,0)),"No")</f>
        <v>No</v>
      </c>
      <c r="E887">
        <v>11</v>
      </c>
      <c r="F887" t="s">
        <v>44</v>
      </c>
      <c r="G887">
        <v>262</v>
      </c>
      <c r="H887" t="s">
        <v>105</v>
      </c>
      <c r="I887" t="s">
        <v>22</v>
      </c>
      <c r="J887" t="s">
        <v>25</v>
      </c>
      <c r="K887" t="s">
        <v>3</v>
      </c>
      <c r="L887" s="36">
        <f ca="1">IF(C887&lt;&gt;"Yes",0,IF(A887=2025,N('2025'!D262),IF(A887=2026,N('2026'!D262),IF(A887=2027,N('2027'!D262),IF(A887=2028,N('2028'!D262),IF(A887=2029,N('2029'!D262),IF(A887=2030,N('2030'!D262),IF(A887=2031,N('2031'!D262),IF(A887=2032,N('2032'!D262),IF(A887=2033,N('2033'!D262),IF(A887=2034,N('2034'!D262),IFERROR(N(INDIRECT("'"&amp;A887&amp;"'!D"&amp;G887)),0))))))))))))</f>
        <v>0</v>
      </c>
      <c r="M887" s="36">
        <f>IFERROR(IF(NOT(ISBLANK(KPI_TARGETS!$J$16)),KPI_TARGETS!$J$16,IF(NOT(ISBLANK(KPI_TARGETS!$F$16)),KPI_TARGETS!$F$16,"")),"")</f>
        <v>4</v>
      </c>
      <c r="N887" s="36" t="str">
        <f>IFERROR(KPI_TARGETS!$E$16,"Higher is better")</f>
        <v>Higher is better</v>
      </c>
      <c r="O887" s="37">
        <f t="shared" ca="1" si="78"/>
        <v>0</v>
      </c>
      <c r="P887" t="str">
        <f t="shared" ca="1" si="79"/>
        <v>Red</v>
      </c>
      <c r="Q887" s="36">
        <f t="shared" ca="1" si="80"/>
        <v>-4</v>
      </c>
      <c r="R887" s="36" t="str">
        <f>""</f>
        <v/>
      </c>
      <c r="S887" s="36" t="str">
        <f>""</f>
        <v/>
      </c>
      <c r="T887" s="36" t="str">
        <f>""</f>
        <v/>
      </c>
      <c r="U887" s="36" t="str">
        <f>""</f>
        <v/>
      </c>
      <c r="V887" s="36" t="str">
        <f>""</f>
        <v/>
      </c>
      <c r="W887" s="36">
        <f t="shared" si="81"/>
        <v>1</v>
      </c>
      <c r="X887" t="str">
        <f t="shared" si="82"/>
        <v>Inactive</v>
      </c>
      <c r="Y887" t="str">
        <f>IF(MAIN!$H$3="Selected Year",IF(A887=MAIN!$B$3,"Yes","No"),IF(MAIN!$H$3="Included Years",IF(D887="Yes","Yes","No"),IF(C887="Yes","Yes","No")))</f>
        <v>No</v>
      </c>
      <c r="Z887" t="str">
        <f>IF(MAIN!$F$3="Project to Date",IF(AND(A887&gt;=SETTINGS!$B$4,A887&lt;MAIN!$B$3),"Yes",IF(AND(A887=MAIN!$B$3,E887&lt;=MAIN!$L$3),"Yes","No")),IF(OR(MAIN!$F$3="Full Year",MAIN!$D$3="All"),"Yes",IF(MAIN!$F$3="Monthly",IF(E887=MAIN!$L$3,"Yes","No"),IF(E887&lt;=MAIN!$L$3,"Yes","No"))))</f>
        <v>Yes</v>
      </c>
      <c r="AA887" t="str">
        <f t="shared" si="83"/>
        <v>No</v>
      </c>
    </row>
    <row r="888" spans="1:27" x14ac:dyDescent="0.3">
      <c r="A888">
        <f>INDEX(SETTINGS!$A$15:$A$24,$B888)</f>
        <v>2028</v>
      </c>
      <c r="B888">
        <v>4</v>
      </c>
      <c r="C888" t="str">
        <f>IF(AND(A888&gt;=SETTINGS!$B$4,A888&lt;=SETTINGS!$B$5),"Yes","No")</f>
        <v>No</v>
      </c>
      <c r="D888" t="str">
        <f>IFERROR(INDEX(SETTINGS!$C$15:$C$24,MATCH(A888,SETTINGS!$A$15:$A$24,0)),"No")</f>
        <v>No</v>
      </c>
      <c r="E888">
        <v>11</v>
      </c>
      <c r="F888" t="s">
        <v>44</v>
      </c>
      <c r="G888">
        <v>263</v>
      </c>
      <c r="H888" t="s">
        <v>106</v>
      </c>
      <c r="I888" t="s">
        <v>22</v>
      </c>
      <c r="J888" t="s">
        <v>26</v>
      </c>
      <c r="K888" t="s">
        <v>3</v>
      </c>
      <c r="L888" s="36">
        <f ca="1">IF(C888&lt;&gt;"Yes",0,IF(A888=2025,N('2025'!D263),IF(A888=2026,N('2026'!D263),IF(A888=2027,N('2027'!D263),IF(A888=2028,N('2028'!D263),IF(A888=2029,N('2029'!D263),IF(A888=2030,N('2030'!D263),IF(A888=2031,N('2031'!D263),IF(A888=2032,N('2032'!D263),IF(A888=2033,N('2033'!D263),IF(A888=2034,N('2034'!D263),IFERROR(N(INDIRECT("'"&amp;A888&amp;"'!D"&amp;G888)),0))))))))))))</f>
        <v>0</v>
      </c>
      <c r="M888" s="36">
        <f>IFERROR(IF(NOT(ISBLANK(KPI_TARGETS!$J$17)),KPI_TARGETS!$J$17,IF(NOT(ISBLANK(KPI_TARGETS!$F$17)),KPI_TARGETS!$F$17,"")),"")</f>
        <v>12</v>
      </c>
      <c r="N888" s="36" t="str">
        <f>IFERROR(KPI_TARGETS!$E$17,"Higher is better")</f>
        <v>Higher is better</v>
      </c>
      <c r="O888" s="37">
        <f t="shared" ca="1" si="78"/>
        <v>0</v>
      </c>
      <c r="P888" t="str">
        <f t="shared" ca="1" si="79"/>
        <v>Red</v>
      </c>
      <c r="Q888" s="36">
        <f t="shared" ca="1" si="80"/>
        <v>-12</v>
      </c>
      <c r="R888" s="36" t="str">
        <f>""</f>
        <v/>
      </c>
      <c r="S888" s="36" t="str">
        <f>""</f>
        <v/>
      </c>
      <c r="T888" s="36" t="str">
        <f>""</f>
        <v/>
      </c>
      <c r="U888" s="36" t="str">
        <f>""</f>
        <v/>
      </c>
      <c r="V888" s="36" t="str">
        <f>""</f>
        <v/>
      </c>
      <c r="W888" s="36">
        <f t="shared" si="81"/>
        <v>1</v>
      </c>
      <c r="X888" t="str">
        <f t="shared" si="82"/>
        <v>Inactive</v>
      </c>
      <c r="Y888" t="str">
        <f>IF(MAIN!$H$3="Selected Year",IF(A888=MAIN!$B$3,"Yes","No"),IF(MAIN!$H$3="Included Years",IF(D888="Yes","Yes","No"),IF(C888="Yes","Yes","No")))</f>
        <v>No</v>
      </c>
      <c r="Z888" t="str">
        <f>IF(MAIN!$F$3="Project to Date",IF(AND(A888&gt;=SETTINGS!$B$4,A888&lt;MAIN!$B$3),"Yes",IF(AND(A888=MAIN!$B$3,E888&lt;=MAIN!$L$3),"Yes","No")),IF(OR(MAIN!$F$3="Full Year",MAIN!$D$3="All"),"Yes",IF(MAIN!$F$3="Monthly",IF(E888=MAIN!$L$3,"Yes","No"),IF(E888&lt;=MAIN!$L$3,"Yes","No"))))</f>
        <v>Yes</v>
      </c>
      <c r="AA888" t="str">
        <f t="shared" si="83"/>
        <v>No</v>
      </c>
    </row>
    <row r="889" spans="1:27" x14ac:dyDescent="0.3">
      <c r="A889">
        <f>INDEX(SETTINGS!$A$15:$A$24,$B889)</f>
        <v>2028</v>
      </c>
      <c r="B889">
        <v>4</v>
      </c>
      <c r="C889" t="str">
        <f>IF(AND(A889&gt;=SETTINGS!$B$4,A889&lt;=SETTINGS!$B$5),"Yes","No")</f>
        <v>No</v>
      </c>
      <c r="D889" t="str">
        <f>IFERROR(INDEX(SETTINGS!$C$15:$C$24,MATCH(A889,SETTINGS!$A$15:$A$24,0)),"No")</f>
        <v>No</v>
      </c>
      <c r="E889">
        <v>11</v>
      </c>
      <c r="F889" t="s">
        <v>44</v>
      </c>
      <c r="G889">
        <v>264</v>
      </c>
      <c r="H889" t="s">
        <v>107</v>
      </c>
      <c r="I889" t="s">
        <v>22</v>
      </c>
      <c r="J889" t="s">
        <v>27</v>
      </c>
      <c r="K889" t="s">
        <v>3</v>
      </c>
      <c r="L889" s="36">
        <f ca="1">IF(C889&lt;&gt;"Yes",0,IF(A889=2025,N('2025'!D264),IF(A889=2026,N('2026'!D264),IF(A889=2027,N('2027'!D264),IF(A889=2028,N('2028'!D264),IF(A889=2029,N('2029'!D264),IF(A889=2030,N('2030'!D264),IF(A889=2031,N('2031'!D264),IF(A889=2032,N('2032'!D264),IF(A889=2033,N('2033'!D264),IF(A889=2034,N('2034'!D264),IFERROR(N(INDIRECT("'"&amp;A889&amp;"'!D"&amp;G889)),0))))))))))))</f>
        <v>0</v>
      </c>
      <c r="M889" s="36">
        <f>IFERROR(IF(NOT(ISBLANK(KPI_TARGETS!$J$18)),KPI_TARGETS!$J$18,IF(NOT(ISBLANK(KPI_TARGETS!$F$18)),KPI_TARGETS!$F$18,"")),"")</f>
        <v>4</v>
      </c>
      <c r="N889" s="36" t="str">
        <f>IFERROR(KPI_TARGETS!$E$18,"Higher is better")</f>
        <v>Higher is better</v>
      </c>
      <c r="O889" s="37">
        <f t="shared" ca="1" si="78"/>
        <v>0</v>
      </c>
      <c r="P889" t="str">
        <f t="shared" ca="1" si="79"/>
        <v>Red</v>
      </c>
      <c r="Q889" s="36">
        <f t="shared" ca="1" si="80"/>
        <v>-4</v>
      </c>
      <c r="R889" s="36" t="str">
        <f>""</f>
        <v/>
      </c>
      <c r="S889" s="36" t="str">
        <f>""</f>
        <v/>
      </c>
      <c r="T889" s="36" t="str">
        <f>""</f>
        <v/>
      </c>
      <c r="U889" s="36" t="str">
        <f>""</f>
        <v/>
      </c>
      <c r="V889" s="36" t="str">
        <f>""</f>
        <v/>
      </c>
      <c r="W889" s="36">
        <f t="shared" si="81"/>
        <v>1</v>
      </c>
      <c r="X889" t="str">
        <f t="shared" si="82"/>
        <v>Inactive</v>
      </c>
      <c r="Y889" t="str">
        <f>IF(MAIN!$H$3="Selected Year",IF(A889=MAIN!$B$3,"Yes","No"),IF(MAIN!$H$3="Included Years",IF(D889="Yes","Yes","No"),IF(C889="Yes","Yes","No")))</f>
        <v>No</v>
      </c>
      <c r="Z889" t="str">
        <f>IF(MAIN!$F$3="Project to Date",IF(AND(A889&gt;=SETTINGS!$B$4,A889&lt;MAIN!$B$3),"Yes",IF(AND(A889=MAIN!$B$3,E889&lt;=MAIN!$L$3),"Yes","No")),IF(OR(MAIN!$F$3="Full Year",MAIN!$D$3="All"),"Yes",IF(MAIN!$F$3="Monthly",IF(E889=MAIN!$L$3,"Yes","No"),IF(E889&lt;=MAIN!$L$3,"Yes","No"))))</f>
        <v>Yes</v>
      </c>
      <c r="AA889" t="str">
        <f t="shared" si="83"/>
        <v>No</v>
      </c>
    </row>
    <row r="890" spans="1:27" x14ac:dyDescent="0.3">
      <c r="A890">
        <f>INDEX(SETTINGS!$A$15:$A$24,$B890)</f>
        <v>2028</v>
      </c>
      <c r="B890">
        <v>4</v>
      </c>
      <c r="C890" t="str">
        <f>IF(AND(A890&gt;=SETTINGS!$B$4,A890&lt;=SETTINGS!$B$5),"Yes","No")</f>
        <v>No</v>
      </c>
      <c r="D890" t="str">
        <f>IFERROR(INDEX(SETTINGS!$C$15:$C$24,MATCH(A890,SETTINGS!$A$15:$A$24,0)),"No")</f>
        <v>No</v>
      </c>
      <c r="E890">
        <v>11</v>
      </c>
      <c r="F890" t="s">
        <v>44</v>
      </c>
      <c r="G890">
        <v>265</v>
      </c>
      <c r="H890" t="s">
        <v>108</v>
      </c>
      <c r="I890" t="s">
        <v>22</v>
      </c>
      <c r="J890" t="s">
        <v>28</v>
      </c>
      <c r="K890" t="s">
        <v>3</v>
      </c>
      <c r="L890" s="36">
        <f ca="1">IF(C890&lt;&gt;"Yes",0,IF(A890=2025,N('2025'!D265),IF(A890=2026,N('2026'!D265),IF(A890=2027,N('2027'!D265),IF(A890=2028,N('2028'!D265),IF(A890=2029,N('2029'!D265),IF(A890=2030,N('2030'!D265),IF(A890=2031,N('2031'!D265),IF(A890=2032,N('2032'!D265),IF(A890=2033,N('2033'!D265),IF(A890=2034,N('2034'!D265),IFERROR(N(INDIRECT("'"&amp;A890&amp;"'!D"&amp;G890)),0))))))))))))</f>
        <v>0</v>
      </c>
      <c r="M890" s="36">
        <f>IFERROR(IF(NOT(ISBLANK(KPI_TARGETS!$J$19)),KPI_TARGETS!$J$19,IF(NOT(ISBLANK(KPI_TARGETS!$F$19)),KPI_TARGETS!$F$19,"")),"")</f>
        <v>16</v>
      </c>
      <c r="N890" s="36" t="str">
        <f>IFERROR(KPI_TARGETS!$E$19,"Higher is better")</f>
        <v>Higher is better</v>
      </c>
      <c r="O890" s="37">
        <f t="shared" ca="1" si="78"/>
        <v>0</v>
      </c>
      <c r="P890" t="str">
        <f t="shared" ca="1" si="79"/>
        <v>Red</v>
      </c>
      <c r="Q890" s="36">
        <f t="shared" ca="1" si="80"/>
        <v>-16</v>
      </c>
      <c r="R890" s="36" t="str">
        <f>""</f>
        <v/>
      </c>
      <c r="S890" s="36" t="str">
        <f>""</f>
        <v/>
      </c>
      <c r="T890" s="36" t="str">
        <f>""</f>
        <v/>
      </c>
      <c r="U890" s="36" t="str">
        <f>""</f>
        <v/>
      </c>
      <c r="V890" s="36" t="str">
        <f>""</f>
        <v/>
      </c>
      <c r="W890" s="36">
        <f t="shared" si="81"/>
        <v>1</v>
      </c>
      <c r="X890" t="str">
        <f t="shared" si="82"/>
        <v>Inactive</v>
      </c>
      <c r="Y890" t="str">
        <f>IF(MAIN!$H$3="Selected Year",IF(A890=MAIN!$B$3,"Yes","No"),IF(MAIN!$H$3="Included Years",IF(D890="Yes","Yes","No"),IF(C890="Yes","Yes","No")))</f>
        <v>No</v>
      </c>
      <c r="Z890" t="str">
        <f>IF(MAIN!$F$3="Project to Date",IF(AND(A890&gt;=SETTINGS!$B$4,A890&lt;MAIN!$B$3),"Yes",IF(AND(A890=MAIN!$B$3,E890&lt;=MAIN!$L$3),"Yes","No")),IF(OR(MAIN!$F$3="Full Year",MAIN!$D$3="All"),"Yes",IF(MAIN!$F$3="Monthly",IF(E890=MAIN!$L$3,"Yes","No"),IF(E890&lt;=MAIN!$L$3,"Yes","No"))))</f>
        <v>Yes</v>
      </c>
      <c r="AA890" t="str">
        <f t="shared" si="83"/>
        <v>No</v>
      </c>
    </row>
    <row r="891" spans="1:27" x14ac:dyDescent="0.3">
      <c r="A891">
        <f>INDEX(SETTINGS!$A$15:$A$24,$B891)</f>
        <v>2028</v>
      </c>
      <c r="B891">
        <v>4</v>
      </c>
      <c r="C891" t="str">
        <f>IF(AND(A891&gt;=SETTINGS!$B$4,A891&lt;=SETTINGS!$B$5),"Yes","No")</f>
        <v>No</v>
      </c>
      <c r="D891" t="str">
        <f>IFERROR(INDEX(SETTINGS!$C$15:$C$24,MATCH(A891,SETTINGS!$A$15:$A$24,0)),"No")</f>
        <v>No</v>
      </c>
      <c r="E891">
        <v>11</v>
      </c>
      <c r="F891" t="s">
        <v>44</v>
      </c>
      <c r="G891">
        <v>266</v>
      </c>
      <c r="H891" t="s">
        <v>109</v>
      </c>
      <c r="I891" t="s">
        <v>22</v>
      </c>
      <c r="J891" t="s">
        <v>29</v>
      </c>
      <c r="K891" t="s">
        <v>3</v>
      </c>
      <c r="L891" s="36">
        <f ca="1">IF(C891&lt;&gt;"Yes",0,IF(A891=2025,N('2025'!D266),IF(A891=2026,N('2026'!D266),IF(A891=2027,N('2027'!D266),IF(A891=2028,N('2028'!D266),IF(A891=2029,N('2029'!D266),IF(A891=2030,N('2030'!D266),IF(A891=2031,N('2031'!D266),IF(A891=2032,N('2032'!D266),IF(A891=2033,N('2033'!D266),IF(A891=2034,N('2034'!D266),IFERROR(N(INDIRECT("'"&amp;A891&amp;"'!D"&amp;G891)),0))))))))))))</f>
        <v>0</v>
      </c>
      <c r="M891" s="36">
        <f>IFERROR(IF(NOT(ISBLANK(KPI_TARGETS!$J$20)),KPI_TARGETS!$J$20,IF(NOT(ISBLANK(KPI_TARGETS!$F$20)),KPI_TARGETS!$F$20,"")),"")</f>
        <v>1</v>
      </c>
      <c r="N891" s="36" t="str">
        <f>IFERROR(KPI_TARGETS!$E$20,"Higher is better")</f>
        <v>Higher is better</v>
      </c>
      <c r="O891" s="37">
        <f t="shared" ca="1" si="78"/>
        <v>0</v>
      </c>
      <c r="P891" t="str">
        <f t="shared" ca="1" si="79"/>
        <v>Red</v>
      </c>
      <c r="Q891" s="36">
        <f t="shared" ca="1" si="80"/>
        <v>-1</v>
      </c>
      <c r="R891" s="36" t="str">
        <f>""</f>
        <v/>
      </c>
      <c r="S891" s="36" t="str">
        <f>""</f>
        <v/>
      </c>
      <c r="T891" s="36" t="str">
        <f>""</f>
        <v/>
      </c>
      <c r="U891" s="36" t="str">
        <f>""</f>
        <v/>
      </c>
      <c r="V891" s="36" t="str">
        <f>""</f>
        <v/>
      </c>
      <c r="W891" s="36">
        <f t="shared" si="81"/>
        <v>1</v>
      </c>
      <c r="X891" t="str">
        <f t="shared" si="82"/>
        <v>Inactive</v>
      </c>
      <c r="Y891" t="str">
        <f>IF(MAIN!$H$3="Selected Year",IF(A891=MAIN!$B$3,"Yes","No"),IF(MAIN!$H$3="Included Years",IF(D891="Yes","Yes","No"),IF(C891="Yes","Yes","No")))</f>
        <v>No</v>
      </c>
      <c r="Z891" t="str">
        <f>IF(MAIN!$F$3="Project to Date",IF(AND(A891&gt;=SETTINGS!$B$4,A891&lt;MAIN!$B$3),"Yes",IF(AND(A891=MAIN!$B$3,E891&lt;=MAIN!$L$3),"Yes","No")),IF(OR(MAIN!$F$3="Full Year",MAIN!$D$3="All"),"Yes",IF(MAIN!$F$3="Monthly",IF(E891=MAIN!$L$3,"Yes","No"),IF(E891&lt;=MAIN!$L$3,"Yes","No"))))</f>
        <v>Yes</v>
      </c>
      <c r="AA891" t="str">
        <f t="shared" si="83"/>
        <v>No</v>
      </c>
    </row>
    <row r="892" spans="1:27" x14ac:dyDescent="0.3">
      <c r="A892">
        <f>INDEX(SETTINGS!$A$15:$A$24,$B892)</f>
        <v>2028</v>
      </c>
      <c r="B892">
        <v>4</v>
      </c>
      <c r="C892" t="str">
        <f>IF(AND(A892&gt;=SETTINGS!$B$4,A892&lt;=SETTINGS!$B$5),"Yes","No")</f>
        <v>No</v>
      </c>
      <c r="D892" t="str">
        <f>IFERROR(INDEX(SETTINGS!$C$15:$C$24,MATCH(A892,SETTINGS!$A$15:$A$24,0)),"No")</f>
        <v>No</v>
      </c>
      <c r="E892">
        <v>11</v>
      </c>
      <c r="F892" t="s">
        <v>44</v>
      </c>
      <c r="G892">
        <v>268</v>
      </c>
      <c r="H892" t="s">
        <v>110</v>
      </c>
      <c r="I892" t="s">
        <v>30</v>
      </c>
      <c r="J892" t="s">
        <v>31</v>
      </c>
      <c r="K892" t="s">
        <v>3</v>
      </c>
      <c r="L892" s="36">
        <f ca="1">IF(C892&lt;&gt;"Yes",0,IF(A892=2025,N('2025'!D268),IF(A892=2026,N('2026'!D268),IF(A892=2027,N('2027'!D268),IF(A892=2028,N('2028'!D268),IF(A892=2029,N('2029'!D268),IF(A892=2030,N('2030'!D268),IF(A892=2031,N('2031'!D268),IF(A892=2032,N('2032'!D268),IF(A892=2033,N('2033'!D268),IF(A892=2034,N('2034'!D268),IFERROR(N(INDIRECT("'"&amp;A892&amp;"'!D"&amp;G892)),0))))))))))))</f>
        <v>0</v>
      </c>
      <c r="M892" s="36">
        <f>IFERROR(IF(NOT(ISBLANK(KPI_TARGETS!$J$21)),KPI_TARGETS!$J$21,IF(NOT(ISBLANK(KPI_TARGETS!$F$21)),KPI_TARGETS!$F$21,"")),"")</f>
        <v>0</v>
      </c>
      <c r="N892" s="36" t="str">
        <f>IFERROR(KPI_TARGETS!$E$21,"Higher is better")</f>
        <v>Lower is better</v>
      </c>
      <c r="O892" s="37">
        <f t="shared" ca="1" si="78"/>
        <v>1</v>
      </c>
      <c r="P892" t="str">
        <f t="shared" ca="1" si="79"/>
        <v>Green</v>
      </c>
      <c r="Q892" s="36">
        <f t="shared" ca="1" si="80"/>
        <v>0</v>
      </c>
      <c r="R892" s="36" t="str">
        <f>""</f>
        <v/>
      </c>
      <c r="S892" s="36" t="str">
        <f>""</f>
        <v/>
      </c>
      <c r="T892" s="36" t="str">
        <f>""</f>
        <v/>
      </c>
      <c r="U892" s="36" t="str">
        <f>""</f>
        <v/>
      </c>
      <c r="V892" s="36" t="str">
        <f>""</f>
        <v/>
      </c>
      <c r="W892" s="36">
        <f t="shared" si="81"/>
        <v>1</v>
      </c>
      <c r="X892" t="str">
        <f t="shared" si="82"/>
        <v>Inactive</v>
      </c>
      <c r="Y892" t="str">
        <f>IF(MAIN!$H$3="Selected Year",IF(A892=MAIN!$B$3,"Yes","No"),IF(MAIN!$H$3="Included Years",IF(D892="Yes","Yes","No"),IF(C892="Yes","Yes","No")))</f>
        <v>No</v>
      </c>
      <c r="Z892" t="str">
        <f>IF(MAIN!$F$3="Project to Date",IF(AND(A892&gt;=SETTINGS!$B$4,A892&lt;MAIN!$B$3),"Yes",IF(AND(A892=MAIN!$B$3,E892&lt;=MAIN!$L$3),"Yes","No")),IF(OR(MAIN!$F$3="Full Year",MAIN!$D$3="All"),"Yes",IF(MAIN!$F$3="Monthly",IF(E892=MAIN!$L$3,"Yes","No"),IF(E892&lt;=MAIN!$L$3,"Yes","No"))))</f>
        <v>Yes</v>
      </c>
      <c r="AA892" t="str">
        <f t="shared" si="83"/>
        <v>No</v>
      </c>
    </row>
    <row r="893" spans="1:27" x14ac:dyDescent="0.3">
      <c r="A893">
        <f>INDEX(SETTINGS!$A$15:$A$24,$B893)</f>
        <v>2028</v>
      </c>
      <c r="B893">
        <v>4</v>
      </c>
      <c r="C893" t="str">
        <f>IF(AND(A893&gt;=SETTINGS!$B$4,A893&lt;=SETTINGS!$B$5),"Yes","No")</f>
        <v>No</v>
      </c>
      <c r="D893" t="str">
        <f>IFERROR(INDEX(SETTINGS!$C$15:$C$24,MATCH(A893,SETTINGS!$A$15:$A$24,0)),"No")</f>
        <v>No</v>
      </c>
      <c r="E893">
        <v>11</v>
      </c>
      <c r="F893" t="s">
        <v>44</v>
      </c>
      <c r="G893">
        <v>269</v>
      </c>
      <c r="H893" t="s">
        <v>111</v>
      </c>
      <c r="I893" t="s">
        <v>30</v>
      </c>
      <c r="J893" t="s">
        <v>32</v>
      </c>
      <c r="K893" t="s">
        <v>3</v>
      </c>
      <c r="L893" s="36">
        <f ca="1">IF(C893&lt;&gt;"Yes",0,IF(A893=2025,N('2025'!D269),IF(A893=2026,N('2026'!D269),IF(A893=2027,N('2027'!D269),IF(A893=2028,N('2028'!D269),IF(A893=2029,N('2029'!D269),IF(A893=2030,N('2030'!D269),IF(A893=2031,N('2031'!D269),IF(A893=2032,N('2032'!D269),IF(A893=2033,N('2033'!D269),IF(A893=2034,N('2034'!D269),IFERROR(N(INDIRECT("'"&amp;A893&amp;"'!D"&amp;G893)),0))))))))))))</f>
        <v>0</v>
      </c>
      <c r="M893" s="36">
        <f>IFERROR(IF(NOT(ISBLANK(KPI_TARGETS!$J$22)),KPI_TARGETS!$J$22,IF(NOT(ISBLANK(KPI_TARGETS!$F$22)),KPI_TARGETS!$F$22,"")),"")</f>
        <v>1</v>
      </c>
      <c r="N893" s="36" t="str">
        <f>IFERROR(KPI_TARGETS!$E$22,"Higher is better")</f>
        <v>Higher is better</v>
      </c>
      <c r="O893" s="37">
        <f t="shared" ca="1" si="78"/>
        <v>0</v>
      </c>
      <c r="P893" t="str">
        <f t="shared" ca="1" si="79"/>
        <v>Red</v>
      </c>
      <c r="Q893" s="36">
        <f t="shared" ca="1" si="80"/>
        <v>-1</v>
      </c>
      <c r="R893" s="36" t="str">
        <f>""</f>
        <v/>
      </c>
      <c r="S893" s="36" t="str">
        <f>""</f>
        <v/>
      </c>
      <c r="T893" s="36" t="str">
        <f>""</f>
        <v/>
      </c>
      <c r="U893" s="36" t="str">
        <f>""</f>
        <v/>
      </c>
      <c r="V893" s="36" t="str">
        <f>""</f>
        <v/>
      </c>
      <c r="W893" s="36">
        <f t="shared" si="81"/>
        <v>1</v>
      </c>
      <c r="X893" t="str">
        <f t="shared" si="82"/>
        <v>Inactive</v>
      </c>
      <c r="Y893" t="str">
        <f>IF(MAIN!$H$3="Selected Year",IF(A893=MAIN!$B$3,"Yes","No"),IF(MAIN!$H$3="Included Years",IF(D893="Yes","Yes","No"),IF(C893="Yes","Yes","No")))</f>
        <v>No</v>
      </c>
      <c r="Z893" t="str">
        <f>IF(MAIN!$F$3="Project to Date",IF(AND(A893&gt;=SETTINGS!$B$4,A893&lt;MAIN!$B$3),"Yes",IF(AND(A893=MAIN!$B$3,E893&lt;=MAIN!$L$3),"Yes","No")),IF(OR(MAIN!$F$3="Full Year",MAIN!$D$3="All"),"Yes",IF(MAIN!$F$3="Monthly",IF(E893=MAIN!$L$3,"Yes","No"),IF(E893&lt;=MAIN!$L$3,"Yes","No"))))</f>
        <v>Yes</v>
      </c>
      <c r="AA893" t="str">
        <f t="shared" si="83"/>
        <v>No</v>
      </c>
    </row>
    <row r="894" spans="1:27" x14ac:dyDescent="0.3">
      <c r="A894">
        <f>INDEX(SETTINGS!$A$15:$A$24,$B894)</f>
        <v>2028</v>
      </c>
      <c r="B894">
        <v>4</v>
      </c>
      <c r="C894" t="str">
        <f>IF(AND(A894&gt;=SETTINGS!$B$4,A894&lt;=SETTINGS!$B$5),"Yes","No")</f>
        <v>No</v>
      </c>
      <c r="D894" t="str">
        <f>IFERROR(INDEX(SETTINGS!$C$15:$C$24,MATCH(A894,SETTINGS!$A$15:$A$24,0)),"No")</f>
        <v>No</v>
      </c>
      <c r="E894">
        <v>11</v>
      </c>
      <c r="F894" t="s">
        <v>44</v>
      </c>
      <c r="G894">
        <v>270</v>
      </c>
      <c r="H894" t="s">
        <v>112</v>
      </c>
      <c r="I894" t="s">
        <v>30</v>
      </c>
      <c r="J894" t="s">
        <v>33</v>
      </c>
      <c r="K894" t="s">
        <v>34</v>
      </c>
      <c r="L894" s="36">
        <f ca="1">IF(C894&lt;&gt;"Yes",0,IF(A894=2025,N('2025'!D270),IF(A894=2026,N('2026'!D270),IF(A894=2027,N('2027'!D270),IF(A894=2028,N('2028'!D270),IF(A894=2029,N('2029'!D270),IF(A894=2030,N('2030'!D270),IF(A894=2031,N('2031'!D270),IF(A894=2032,N('2032'!D270),IF(A894=2033,N('2033'!D270),IF(A894=2034,N('2034'!D270),IFERROR(N(INDIRECT("'"&amp;A894&amp;"'!D"&amp;G894)),0))))))))))))</f>
        <v>0</v>
      </c>
      <c r="M894" s="36">
        <f>IFERROR(IF(NOT(ISBLANK(KPI_TARGETS!$J$23)),KPI_TARGETS!$J$23,IF(NOT(ISBLANK(KPI_TARGETS!$F$23)),KPI_TARGETS!$F$23,"")),"")</f>
        <v>1</v>
      </c>
      <c r="N894" s="36" t="str">
        <f>IFERROR(KPI_TARGETS!$E$23,"Higher is better")</f>
        <v>Higher is better</v>
      </c>
      <c r="O894" s="37">
        <f t="shared" ca="1" si="78"/>
        <v>0</v>
      </c>
      <c r="P894" t="str">
        <f t="shared" ca="1" si="79"/>
        <v>Red</v>
      </c>
      <c r="Q894" s="36">
        <f t="shared" ca="1" si="80"/>
        <v>-1</v>
      </c>
      <c r="R894" s="36" t="str">
        <f>""</f>
        <v/>
      </c>
      <c r="S894" s="36" t="str">
        <f>""</f>
        <v/>
      </c>
      <c r="T894" s="36" t="str">
        <f>""</f>
        <v/>
      </c>
      <c r="U894" s="36" t="str">
        <f>""</f>
        <v/>
      </c>
      <c r="V894" s="36" t="str">
        <f>""</f>
        <v/>
      </c>
      <c r="W894" s="36">
        <f t="shared" si="81"/>
        <v>1</v>
      </c>
      <c r="X894" t="str">
        <f t="shared" si="82"/>
        <v>Inactive</v>
      </c>
      <c r="Y894" t="str">
        <f>IF(MAIN!$H$3="Selected Year",IF(A894=MAIN!$B$3,"Yes","No"),IF(MAIN!$H$3="Included Years",IF(D894="Yes","Yes","No"),IF(C894="Yes","Yes","No")))</f>
        <v>No</v>
      </c>
      <c r="Z894" t="str">
        <f>IF(MAIN!$F$3="Project to Date",IF(AND(A894&gt;=SETTINGS!$B$4,A894&lt;MAIN!$B$3),"Yes",IF(AND(A894=MAIN!$B$3,E894&lt;=MAIN!$L$3),"Yes","No")),IF(OR(MAIN!$F$3="Full Year",MAIN!$D$3="All"),"Yes",IF(MAIN!$F$3="Monthly",IF(E894=MAIN!$L$3,"Yes","No"),IF(E894&lt;=MAIN!$L$3,"Yes","No"))))</f>
        <v>Yes</v>
      </c>
      <c r="AA894" t="str">
        <f t="shared" si="83"/>
        <v>No</v>
      </c>
    </row>
    <row r="895" spans="1:27" x14ac:dyDescent="0.3">
      <c r="A895">
        <f>INDEX(SETTINGS!$A$15:$A$24,$B895)</f>
        <v>2028</v>
      </c>
      <c r="B895">
        <v>4</v>
      </c>
      <c r="C895" t="str">
        <f>IF(AND(A895&gt;=SETTINGS!$B$4,A895&lt;=SETTINGS!$B$5),"Yes","No")</f>
        <v>No</v>
      </c>
      <c r="D895" t="str">
        <f>IFERROR(INDEX(SETTINGS!$C$15:$C$24,MATCH(A895,SETTINGS!$A$15:$A$24,0)),"No")</f>
        <v>No</v>
      </c>
      <c r="E895">
        <v>12</v>
      </c>
      <c r="F895" t="s">
        <v>45</v>
      </c>
      <c r="G895">
        <v>273</v>
      </c>
      <c r="H895" t="s">
        <v>88</v>
      </c>
      <c r="I895" t="s">
        <v>89</v>
      </c>
      <c r="J895" t="s">
        <v>10</v>
      </c>
      <c r="K895" t="s">
        <v>3</v>
      </c>
      <c r="L895" s="36">
        <f ca="1">IF(C895&lt;&gt;"Yes",0,IF(A895=2025,N('2025'!D273),IF(A895=2026,N('2026'!D273),IF(A895=2027,N('2027'!D273),IF(A895=2028,N('2028'!D273),IF(A895=2029,N('2029'!D273),IF(A895=2030,N('2030'!D273),IF(A895=2031,N('2031'!D273),IF(A895=2032,N('2032'!D273),IF(A895=2033,N('2033'!D273),IF(A895=2034,N('2034'!D273),IFERROR(N(INDIRECT("'"&amp;A895&amp;"'!D"&amp;G895)),0))))))))))))</f>
        <v>0</v>
      </c>
      <c r="M895" s="36">
        <f>IFERROR(IF(NOT(ISBLANK(KPI_TARGETS!$J$5)),KPI_TARGETS!$J$5,IF(NOT(ISBLANK(KPI_TARGETS!$F$5)),KPI_TARGETS!$F$5,"")),"")</f>
        <v>104</v>
      </c>
      <c r="N895" s="36" t="str">
        <f>IFERROR(KPI_TARGETS!$E$5,"Higher is better")</f>
        <v>Higher is better</v>
      </c>
      <c r="O895" s="37">
        <f t="shared" ca="1" si="78"/>
        <v>0</v>
      </c>
      <c r="P895" t="str">
        <f t="shared" ca="1" si="79"/>
        <v>Red</v>
      </c>
      <c r="Q895" s="36">
        <f t="shared" ca="1" si="80"/>
        <v>-104</v>
      </c>
      <c r="R895" s="36" t="str">
        <f>""</f>
        <v/>
      </c>
      <c r="S895" s="36" t="str">
        <f>""</f>
        <v/>
      </c>
      <c r="T895" s="36" t="str">
        <f>""</f>
        <v/>
      </c>
      <c r="U895" s="36" t="str">
        <f>""</f>
        <v/>
      </c>
      <c r="V895" s="36" t="str">
        <f>""</f>
        <v/>
      </c>
      <c r="W895" s="36">
        <f t="shared" si="81"/>
        <v>1</v>
      </c>
      <c r="X895" t="str">
        <f t="shared" si="82"/>
        <v>Inactive</v>
      </c>
      <c r="Y895" t="str">
        <f>IF(MAIN!$H$3="Selected Year",IF(A895=MAIN!$B$3,"Yes","No"),IF(MAIN!$H$3="Included Years",IF(D895="Yes","Yes","No"),IF(C895="Yes","Yes","No")))</f>
        <v>No</v>
      </c>
      <c r="Z895" t="str">
        <f>IF(MAIN!$F$3="Project to Date",IF(AND(A895&gt;=SETTINGS!$B$4,A895&lt;MAIN!$B$3),"Yes",IF(AND(A895=MAIN!$B$3,E895&lt;=MAIN!$L$3),"Yes","No")),IF(OR(MAIN!$F$3="Full Year",MAIN!$D$3="All"),"Yes",IF(MAIN!$F$3="Monthly",IF(E895=MAIN!$L$3,"Yes","No"),IF(E895&lt;=MAIN!$L$3,"Yes","No"))))</f>
        <v>Yes</v>
      </c>
      <c r="AA895" t="str">
        <f t="shared" si="83"/>
        <v>No</v>
      </c>
    </row>
    <row r="896" spans="1:27" x14ac:dyDescent="0.3">
      <c r="A896">
        <f>INDEX(SETTINGS!$A$15:$A$24,$B896)</f>
        <v>2028</v>
      </c>
      <c r="B896">
        <v>4</v>
      </c>
      <c r="C896" t="str">
        <f>IF(AND(A896&gt;=SETTINGS!$B$4,A896&lt;=SETTINGS!$B$5),"Yes","No")</f>
        <v>No</v>
      </c>
      <c r="D896" t="str">
        <f>IFERROR(INDEX(SETTINGS!$C$15:$C$24,MATCH(A896,SETTINGS!$A$15:$A$24,0)),"No")</f>
        <v>No</v>
      </c>
      <c r="E896">
        <v>12</v>
      </c>
      <c r="F896" t="s">
        <v>45</v>
      </c>
      <c r="G896">
        <v>274</v>
      </c>
      <c r="H896" t="s">
        <v>91</v>
      </c>
      <c r="I896" t="s">
        <v>89</v>
      </c>
      <c r="J896" t="s">
        <v>11</v>
      </c>
      <c r="K896" t="s">
        <v>12</v>
      </c>
      <c r="L896" s="36">
        <f ca="1">IF(C896&lt;&gt;"Yes",0,IF(A896=2025,N('2025'!D274),IF(A896=2026,N('2026'!D274),IF(A896=2027,N('2027'!D274),IF(A896=2028,N('2028'!D274),IF(A896=2029,N('2029'!D274),IF(A896=2030,N('2030'!D274),IF(A896=2031,N('2031'!D274),IF(A896=2032,N('2032'!D274),IF(A896=2033,N('2033'!D274),IF(A896=2034,N('2034'!D274),IFERROR(N(INDIRECT("'"&amp;A896&amp;"'!D"&amp;G896)),0))))))))))))</f>
        <v>0</v>
      </c>
      <c r="M896" s="36">
        <f>IFERROR(IF(NOT(ISBLANK(KPI_TARGETS!$J$6)),KPI_TARGETS!$J$6,IF(NOT(ISBLANK(KPI_TARGETS!$F$6)),KPI_TARGETS!$F$6,"")),"")</f>
        <v>4000</v>
      </c>
      <c r="N896" s="36" t="str">
        <f>IFERROR(KPI_TARGETS!$E$6,"Higher is better")</f>
        <v>Higher is better</v>
      </c>
      <c r="O896" s="37">
        <f t="shared" ca="1" si="78"/>
        <v>0</v>
      </c>
      <c r="P896" t="str">
        <f t="shared" ca="1" si="79"/>
        <v>Red</v>
      </c>
      <c r="Q896" s="36">
        <f t="shared" ca="1" si="80"/>
        <v>-4000</v>
      </c>
      <c r="R896" s="36" t="str">
        <f>""</f>
        <v/>
      </c>
      <c r="S896" s="36" t="str">
        <f>""</f>
        <v/>
      </c>
      <c r="T896" s="36" t="str">
        <f>""</f>
        <v/>
      </c>
      <c r="U896" s="36" t="str">
        <f>""</f>
        <v/>
      </c>
      <c r="V896" s="36" t="str">
        <f>""</f>
        <v/>
      </c>
      <c r="W896" s="36">
        <f t="shared" si="81"/>
        <v>1</v>
      </c>
      <c r="X896" t="str">
        <f t="shared" si="82"/>
        <v>Inactive</v>
      </c>
      <c r="Y896" t="str">
        <f>IF(MAIN!$H$3="Selected Year",IF(A896=MAIN!$B$3,"Yes","No"),IF(MAIN!$H$3="Included Years",IF(D896="Yes","Yes","No"),IF(C896="Yes","Yes","No")))</f>
        <v>No</v>
      </c>
      <c r="Z896" t="str">
        <f>IF(MAIN!$F$3="Project to Date",IF(AND(A896&gt;=SETTINGS!$B$4,A896&lt;MAIN!$B$3),"Yes",IF(AND(A896=MAIN!$B$3,E896&lt;=MAIN!$L$3),"Yes","No")),IF(OR(MAIN!$F$3="Full Year",MAIN!$D$3="All"),"Yes",IF(MAIN!$F$3="Monthly",IF(E896=MAIN!$L$3,"Yes","No"),IF(E896&lt;=MAIN!$L$3,"Yes","No"))))</f>
        <v>Yes</v>
      </c>
      <c r="AA896" t="str">
        <f t="shared" si="83"/>
        <v>No</v>
      </c>
    </row>
    <row r="897" spans="1:27" x14ac:dyDescent="0.3">
      <c r="A897">
        <f>INDEX(SETTINGS!$A$15:$A$24,$B897)</f>
        <v>2028</v>
      </c>
      <c r="B897">
        <v>4</v>
      </c>
      <c r="C897" t="str">
        <f>IF(AND(A897&gt;=SETTINGS!$B$4,A897&lt;=SETTINGS!$B$5),"Yes","No")</f>
        <v>No</v>
      </c>
      <c r="D897" t="str">
        <f>IFERROR(INDEX(SETTINGS!$C$15:$C$24,MATCH(A897,SETTINGS!$A$15:$A$24,0)),"No")</f>
        <v>No</v>
      </c>
      <c r="E897">
        <v>12</v>
      </c>
      <c r="F897" t="s">
        <v>45</v>
      </c>
      <c r="G897">
        <v>275</v>
      </c>
      <c r="H897" t="s">
        <v>93</v>
      </c>
      <c r="I897" t="s">
        <v>89</v>
      </c>
      <c r="J897" t="s">
        <v>13</v>
      </c>
      <c r="K897" t="s">
        <v>14</v>
      </c>
      <c r="L897" s="36">
        <f ca="1">IF(C897&lt;&gt;"Yes",0,IF(A897=2025,N('2025'!D275),IF(A897=2026,N('2026'!D275),IF(A897=2027,N('2027'!D275),IF(A897=2028,N('2028'!D275),IF(A897=2029,N('2029'!D275),IF(A897=2030,N('2030'!D275),IF(A897=2031,N('2031'!D275),IF(A897=2032,N('2032'!D275),IF(A897=2033,N('2033'!D275),IF(A897=2034,N('2034'!D275),IFERROR(N(INDIRECT("'"&amp;A897&amp;"'!D"&amp;G897)),0))))))))))))</f>
        <v>0</v>
      </c>
      <c r="M897" s="36">
        <f>IFERROR(IF(NOT(ISBLANK(KPI_TARGETS!$J$7)),KPI_TARGETS!$J$7,IF(NOT(ISBLANK(KPI_TARGETS!$F$7)),KPI_TARGETS!$F$7,"")),"")</f>
        <v>8000</v>
      </c>
      <c r="N897" s="36" t="str">
        <f>IFERROR(KPI_TARGETS!$E$7,"Higher is better")</f>
        <v>Higher is better</v>
      </c>
      <c r="O897" s="37">
        <f t="shared" ca="1" si="78"/>
        <v>0</v>
      </c>
      <c r="P897" t="str">
        <f t="shared" ca="1" si="79"/>
        <v>Red</v>
      </c>
      <c r="Q897" s="36">
        <f t="shared" ca="1" si="80"/>
        <v>-8000</v>
      </c>
      <c r="R897" s="36" t="str">
        <f>""</f>
        <v/>
      </c>
      <c r="S897" s="36" t="str">
        <f>""</f>
        <v/>
      </c>
      <c r="T897" s="36" t="str">
        <f>""</f>
        <v/>
      </c>
      <c r="U897" s="36" t="str">
        <f>""</f>
        <v/>
      </c>
      <c r="V897" s="36" t="str">
        <f>""</f>
        <v/>
      </c>
      <c r="W897" s="36">
        <f t="shared" si="81"/>
        <v>1</v>
      </c>
      <c r="X897" t="str">
        <f t="shared" si="82"/>
        <v>Inactive</v>
      </c>
      <c r="Y897" t="str">
        <f>IF(MAIN!$H$3="Selected Year",IF(A897=MAIN!$B$3,"Yes","No"),IF(MAIN!$H$3="Included Years",IF(D897="Yes","Yes","No"),IF(C897="Yes","Yes","No")))</f>
        <v>No</v>
      </c>
      <c r="Z897" t="str">
        <f>IF(MAIN!$F$3="Project to Date",IF(AND(A897&gt;=SETTINGS!$B$4,A897&lt;MAIN!$B$3),"Yes",IF(AND(A897=MAIN!$B$3,E897&lt;=MAIN!$L$3),"Yes","No")),IF(OR(MAIN!$F$3="Full Year",MAIN!$D$3="All"),"Yes",IF(MAIN!$F$3="Monthly",IF(E897=MAIN!$L$3,"Yes","No"),IF(E897&lt;=MAIN!$L$3,"Yes","No"))))</f>
        <v>Yes</v>
      </c>
      <c r="AA897" t="str">
        <f t="shared" si="83"/>
        <v>No</v>
      </c>
    </row>
    <row r="898" spans="1:27" x14ac:dyDescent="0.3">
      <c r="A898">
        <f>INDEX(SETTINGS!$A$15:$A$24,$B898)</f>
        <v>2028</v>
      </c>
      <c r="B898">
        <v>4</v>
      </c>
      <c r="C898" t="str">
        <f>IF(AND(A898&gt;=SETTINGS!$B$4,A898&lt;=SETTINGS!$B$5),"Yes","No")</f>
        <v>No</v>
      </c>
      <c r="D898" t="str">
        <f>IFERROR(INDEX(SETTINGS!$C$15:$C$24,MATCH(A898,SETTINGS!$A$15:$A$24,0)),"No")</f>
        <v>No</v>
      </c>
      <c r="E898">
        <v>12</v>
      </c>
      <c r="F898" t="s">
        <v>45</v>
      </c>
      <c r="G898">
        <v>277</v>
      </c>
      <c r="H898" t="s">
        <v>95</v>
      </c>
      <c r="I898" t="s">
        <v>15</v>
      </c>
      <c r="J898" t="s">
        <v>16</v>
      </c>
      <c r="K898" t="s">
        <v>3</v>
      </c>
      <c r="L898" s="36">
        <f ca="1">IF(C898&lt;&gt;"Yes",0,IF(A898=2025,N('2025'!D277),IF(A898=2026,N('2026'!D277),IF(A898=2027,N('2027'!D277),IF(A898=2028,N('2028'!D277),IF(A898=2029,N('2029'!D277),IF(A898=2030,N('2030'!D277),IF(A898=2031,N('2031'!D277),IF(A898=2032,N('2032'!D277),IF(A898=2033,N('2033'!D277),IF(A898=2034,N('2034'!D277),IFERROR(N(INDIRECT("'"&amp;A898&amp;"'!D"&amp;G898)),0))))))))))))</f>
        <v>0</v>
      </c>
      <c r="M898" s="36">
        <f>IFERROR(IF(NOT(ISBLANK(KPI_TARGETS!$J$8)),KPI_TARGETS!$J$8,IF(NOT(ISBLANK(KPI_TARGETS!$F$8)),KPI_TARGETS!$F$8,"")),"")</f>
        <v>0</v>
      </c>
      <c r="N898" s="36" t="str">
        <f>IFERROR(KPI_TARGETS!$E$8,"Higher is better")</f>
        <v>Lower is better</v>
      </c>
      <c r="O898" s="37">
        <f t="shared" ref="O898:O961" ca="1" si="84">IF(M898="","",IF(N898="Higher is better",IFERROR(L898/M898,""),IF(L898=0,1,IFERROR(M898/L898,""))))</f>
        <v>1</v>
      </c>
      <c r="P898" t="str">
        <f t="shared" ref="P898:P961" ca="1" si="85">IF(M898="","Target Needed",IF(N898="Higher is better",IF(L898&gt;=M898,"Green",IF(L898&gt;=0.8*M898,"Amber","Red")),IF(M898=0,IF(L898=0,"Green","Red"),IF(L898&lt;=M898,"Green",IF(L898&lt;=1.25*M898,"Amber","Red")))))</f>
        <v>Green</v>
      </c>
      <c r="Q898" s="36">
        <f t="shared" ref="Q898:Q961" ca="1" si="86">IF(M898="","",IF(N898="Higher is better",L898-M898,M898-L898))</f>
        <v>0</v>
      </c>
      <c r="R898" s="36" t="str">
        <f>""</f>
        <v/>
      </c>
      <c r="S898" s="36" t="str">
        <f>""</f>
        <v/>
      </c>
      <c r="T898" s="36" t="str">
        <f>""</f>
        <v/>
      </c>
      <c r="U898" s="36" t="str">
        <f>""</f>
        <v/>
      </c>
      <c r="V898" s="36" t="str">
        <f>""</f>
        <v/>
      </c>
      <c r="W898" s="36">
        <f t="shared" ref="W898:W961" si="87">IF(LEN(M898&amp;"")&gt;0,1,0)</f>
        <v>1</v>
      </c>
      <c r="X898" t="str">
        <f t="shared" ref="X898:X961" si="88">IF(C898&lt;&gt;"Yes","Inactive",IF(M898="","Missing target","OK"))</f>
        <v>Inactive</v>
      </c>
      <c r="Y898" t="str">
        <f>IF(MAIN!$H$3="Selected Year",IF(A898=MAIN!$B$3,"Yes","No"),IF(MAIN!$H$3="Included Years",IF(D898="Yes","Yes","No"),IF(C898="Yes","Yes","No")))</f>
        <v>No</v>
      </c>
      <c r="Z898" t="str">
        <f>IF(MAIN!$F$3="Project to Date",IF(AND(A898&gt;=SETTINGS!$B$4,A898&lt;MAIN!$B$3),"Yes",IF(AND(A898=MAIN!$B$3,E898&lt;=MAIN!$L$3),"Yes","No")),IF(OR(MAIN!$F$3="Full Year",MAIN!$D$3="All"),"Yes",IF(MAIN!$F$3="Monthly",IF(E898=MAIN!$L$3,"Yes","No"),IF(E898&lt;=MAIN!$L$3,"Yes","No"))))</f>
        <v>Yes</v>
      </c>
      <c r="AA898" t="str">
        <f t="shared" ref="AA898:AA961" si="89">IF(AND(Y898="Yes",Z898="Yes"),"Yes","No")</f>
        <v>No</v>
      </c>
    </row>
    <row r="899" spans="1:27" x14ac:dyDescent="0.3">
      <c r="A899">
        <f>INDEX(SETTINGS!$A$15:$A$24,$B899)</f>
        <v>2028</v>
      </c>
      <c r="B899">
        <v>4</v>
      </c>
      <c r="C899" t="str">
        <f>IF(AND(A899&gt;=SETTINGS!$B$4,A899&lt;=SETTINGS!$B$5),"Yes","No")</f>
        <v>No</v>
      </c>
      <c r="D899" t="str">
        <f>IFERROR(INDEX(SETTINGS!$C$15:$C$24,MATCH(A899,SETTINGS!$A$15:$A$24,0)),"No")</f>
        <v>No</v>
      </c>
      <c r="E899">
        <v>12</v>
      </c>
      <c r="F899" t="s">
        <v>45</v>
      </c>
      <c r="G899">
        <v>278</v>
      </c>
      <c r="H899" t="s">
        <v>97</v>
      </c>
      <c r="I899" t="s">
        <v>15</v>
      </c>
      <c r="J899" t="s">
        <v>17</v>
      </c>
      <c r="K899" t="s">
        <v>3</v>
      </c>
      <c r="L899" s="36">
        <f ca="1">IF(C899&lt;&gt;"Yes",0,IF(A899=2025,N('2025'!D278),IF(A899=2026,N('2026'!D278),IF(A899=2027,N('2027'!D278),IF(A899=2028,N('2028'!D278),IF(A899=2029,N('2029'!D278),IF(A899=2030,N('2030'!D278),IF(A899=2031,N('2031'!D278),IF(A899=2032,N('2032'!D278),IF(A899=2033,N('2033'!D278),IF(A899=2034,N('2034'!D278),IFERROR(N(INDIRECT("'"&amp;A899&amp;"'!D"&amp;G899)),0))))))))))))</f>
        <v>0</v>
      </c>
      <c r="M899" s="36">
        <f>IFERROR(IF(NOT(ISBLANK(KPI_TARGETS!$J$9)),KPI_TARGETS!$J$9,IF(NOT(ISBLANK(KPI_TARGETS!$F$9)),KPI_TARGETS!$F$9,"")),"")</f>
        <v>0</v>
      </c>
      <c r="N899" s="36" t="str">
        <f>IFERROR(KPI_TARGETS!$E$9,"Higher is better")</f>
        <v>Higher is better</v>
      </c>
      <c r="O899" s="37" t="str">
        <f t="shared" ca="1" si="84"/>
        <v/>
      </c>
      <c r="P899" t="str">
        <f t="shared" ca="1" si="85"/>
        <v>Green</v>
      </c>
      <c r="Q899" s="36">
        <f t="shared" ca="1" si="86"/>
        <v>0</v>
      </c>
      <c r="R899" s="36" t="str">
        <f>""</f>
        <v/>
      </c>
      <c r="S899" s="36" t="str">
        <f>""</f>
        <v/>
      </c>
      <c r="T899" s="36" t="str">
        <f>""</f>
        <v/>
      </c>
      <c r="U899" s="36" t="str">
        <f>""</f>
        <v/>
      </c>
      <c r="V899" s="36" t="str">
        <f>""</f>
        <v/>
      </c>
      <c r="W899" s="36">
        <f t="shared" si="87"/>
        <v>1</v>
      </c>
      <c r="X899" t="str">
        <f t="shared" si="88"/>
        <v>Inactive</v>
      </c>
      <c r="Y899" t="str">
        <f>IF(MAIN!$H$3="Selected Year",IF(A899=MAIN!$B$3,"Yes","No"),IF(MAIN!$H$3="Included Years",IF(D899="Yes","Yes","No"),IF(C899="Yes","Yes","No")))</f>
        <v>No</v>
      </c>
      <c r="Z899" t="str">
        <f>IF(MAIN!$F$3="Project to Date",IF(AND(A899&gt;=SETTINGS!$B$4,A899&lt;MAIN!$B$3),"Yes",IF(AND(A899=MAIN!$B$3,E899&lt;=MAIN!$L$3),"Yes","No")),IF(OR(MAIN!$F$3="Full Year",MAIN!$D$3="All"),"Yes",IF(MAIN!$F$3="Monthly",IF(E899=MAIN!$L$3,"Yes","No"),IF(E899&lt;=MAIN!$L$3,"Yes","No"))))</f>
        <v>Yes</v>
      </c>
      <c r="AA899" t="str">
        <f t="shared" si="89"/>
        <v>No</v>
      </c>
    </row>
    <row r="900" spans="1:27" x14ac:dyDescent="0.3">
      <c r="A900">
        <f>INDEX(SETTINGS!$A$15:$A$24,$B900)</f>
        <v>2028</v>
      </c>
      <c r="B900">
        <v>4</v>
      </c>
      <c r="C900" t="str">
        <f>IF(AND(A900&gt;=SETTINGS!$B$4,A900&lt;=SETTINGS!$B$5),"Yes","No")</f>
        <v>No</v>
      </c>
      <c r="D900" t="str">
        <f>IFERROR(INDEX(SETTINGS!$C$15:$C$24,MATCH(A900,SETTINGS!$A$15:$A$24,0)),"No")</f>
        <v>No</v>
      </c>
      <c r="E900">
        <v>12</v>
      </c>
      <c r="F900" t="s">
        <v>45</v>
      </c>
      <c r="G900">
        <v>279</v>
      </c>
      <c r="H900" t="s">
        <v>99</v>
      </c>
      <c r="I900" t="s">
        <v>15</v>
      </c>
      <c r="J900" t="s">
        <v>18</v>
      </c>
      <c r="K900" t="s">
        <v>3</v>
      </c>
      <c r="L900" s="36">
        <f ca="1">IF(C900&lt;&gt;"Yes",0,IF(A900=2025,N('2025'!D279),IF(A900=2026,N('2026'!D279),IF(A900=2027,N('2027'!D279),IF(A900=2028,N('2028'!D279),IF(A900=2029,N('2029'!D279),IF(A900=2030,N('2030'!D279),IF(A900=2031,N('2031'!D279),IF(A900=2032,N('2032'!D279),IF(A900=2033,N('2033'!D279),IF(A900=2034,N('2034'!D279),IFERROR(N(INDIRECT("'"&amp;A900&amp;"'!D"&amp;G900)),0))))))))))))</f>
        <v>0</v>
      </c>
      <c r="M900" s="36">
        <f>IFERROR(IF(NOT(ISBLANK(KPI_TARGETS!$J$10)),KPI_TARGETS!$J$10,IF(NOT(ISBLANK(KPI_TARGETS!$F$10)),KPI_TARGETS!$F$10,"")),"")</f>
        <v>0</v>
      </c>
      <c r="N900" s="36" t="str">
        <f>IFERROR(KPI_TARGETS!$E$10,"Higher is better")</f>
        <v>Lower is better</v>
      </c>
      <c r="O900" s="37">
        <f t="shared" ca="1" si="84"/>
        <v>1</v>
      </c>
      <c r="P900" t="str">
        <f t="shared" ca="1" si="85"/>
        <v>Green</v>
      </c>
      <c r="Q900" s="36">
        <f t="shared" ca="1" si="86"/>
        <v>0</v>
      </c>
      <c r="R900" s="36" t="str">
        <f>""</f>
        <v/>
      </c>
      <c r="S900" s="36" t="str">
        <f>""</f>
        <v/>
      </c>
      <c r="T900" s="36" t="str">
        <f>""</f>
        <v/>
      </c>
      <c r="U900" s="36" t="str">
        <f>""</f>
        <v/>
      </c>
      <c r="V900" s="36" t="str">
        <f>""</f>
        <v/>
      </c>
      <c r="W900" s="36">
        <f t="shared" si="87"/>
        <v>1</v>
      </c>
      <c r="X900" t="str">
        <f t="shared" si="88"/>
        <v>Inactive</v>
      </c>
      <c r="Y900" t="str">
        <f>IF(MAIN!$H$3="Selected Year",IF(A900=MAIN!$B$3,"Yes","No"),IF(MAIN!$H$3="Included Years",IF(D900="Yes","Yes","No"),IF(C900="Yes","Yes","No")))</f>
        <v>No</v>
      </c>
      <c r="Z900" t="str">
        <f>IF(MAIN!$F$3="Project to Date",IF(AND(A900&gt;=SETTINGS!$B$4,A900&lt;MAIN!$B$3),"Yes",IF(AND(A900=MAIN!$B$3,E900&lt;=MAIN!$L$3),"Yes","No")),IF(OR(MAIN!$F$3="Full Year",MAIN!$D$3="All"),"Yes",IF(MAIN!$F$3="Monthly",IF(E900=MAIN!$L$3,"Yes","No"),IF(E900&lt;=MAIN!$L$3,"Yes","No"))))</f>
        <v>Yes</v>
      </c>
      <c r="AA900" t="str">
        <f t="shared" si="89"/>
        <v>No</v>
      </c>
    </row>
    <row r="901" spans="1:27" x14ac:dyDescent="0.3">
      <c r="A901">
        <f>INDEX(SETTINGS!$A$15:$A$24,$B901)</f>
        <v>2028</v>
      </c>
      <c r="B901">
        <v>4</v>
      </c>
      <c r="C901" t="str">
        <f>IF(AND(A901&gt;=SETTINGS!$B$4,A901&lt;=SETTINGS!$B$5),"Yes","No")</f>
        <v>No</v>
      </c>
      <c r="D901" t="str">
        <f>IFERROR(INDEX(SETTINGS!$C$15:$C$24,MATCH(A901,SETTINGS!$A$15:$A$24,0)),"No")</f>
        <v>No</v>
      </c>
      <c r="E901">
        <v>12</v>
      </c>
      <c r="F901" t="s">
        <v>45</v>
      </c>
      <c r="G901">
        <v>280</v>
      </c>
      <c r="H901" t="s">
        <v>100</v>
      </c>
      <c r="I901" t="s">
        <v>15</v>
      </c>
      <c r="J901" t="s">
        <v>19</v>
      </c>
      <c r="K901" t="s">
        <v>3</v>
      </c>
      <c r="L901" s="36">
        <f ca="1">IF(C901&lt;&gt;"Yes",0,IF(A901=2025,N('2025'!D280),IF(A901=2026,N('2026'!D280),IF(A901=2027,N('2027'!D280),IF(A901=2028,N('2028'!D280),IF(A901=2029,N('2029'!D280),IF(A901=2030,N('2030'!D280),IF(A901=2031,N('2031'!D280),IF(A901=2032,N('2032'!D280),IF(A901=2033,N('2033'!D280),IF(A901=2034,N('2034'!D280),IFERROR(N(INDIRECT("'"&amp;A901&amp;"'!D"&amp;G901)),0))))))))))))</f>
        <v>0</v>
      </c>
      <c r="M901" s="36">
        <f>IFERROR(IF(NOT(ISBLANK(KPI_TARGETS!$J$11)),KPI_TARGETS!$J$11,IF(NOT(ISBLANK(KPI_TARGETS!$F$11)),KPI_TARGETS!$F$11,"")),"")</f>
        <v>0</v>
      </c>
      <c r="N901" s="36" t="str">
        <f>IFERROR(KPI_TARGETS!$E$11,"Higher is better")</f>
        <v>Lower is better</v>
      </c>
      <c r="O901" s="37">
        <f t="shared" ca="1" si="84"/>
        <v>1</v>
      </c>
      <c r="P901" t="str">
        <f t="shared" ca="1" si="85"/>
        <v>Green</v>
      </c>
      <c r="Q901" s="36">
        <f t="shared" ca="1" si="86"/>
        <v>0</v>
      </c>
      <c r="R901" s="36" t="str">
        <f>""</f>
        <v/>
      </c>
      <c r="S901" s="36" t="str">
        <f>""</f>
        <v/>
      </c>
      <c r="T901" s="36" t="str">
        <f>""</f>
        <v/>
      </c>
      <c r="U901" s="36" t="str">
        <f>""</f>
        <v/>
      </c>
      <c r="V901" s="36" t="str">
        <f>""</f>
        <v/>
      </c>
      <c r="W901" s="36">
        <f t="shared" si="87"/>
        <v>1</v>
      </c>
      <c r="X901" t="str">
        <f t="shared" si="88"/>
        <v>Inactive</v>
      </c>
      <c r="Y901" t="str">
        <f>IF(MAIN!$H$3="Selected Year",IF(A901=MAIN!$B$3,"Yes","No"),IF(MAIN!$H$3="Included Years",IF(D901="Yes","Yes","No"),IF(C901="Yes","Yes","No")))</f>
        <v>No</v>
      </c>
      <c r="Z901" t="str">
        <f>IF(MAIN!$F$3="Project to Date",IF(AND(A901&gt;=SETTINGS!$B$4,A901&lt;MAIN!$B$3),"Yes",IF(AND(A901=MAIN!$B$3,E901&lt;=MAIN!$L$3),"Yes","No")),IF(OR(MAIN!$F$3="Full Year",MAIN!$D$3="All"),"Yes",IF(MAIN!$F$3="Monthly",IF(E901=MAIN!$L$3,"Yes","No"),IF(E901&lt;=MAIN!$L$3,"Yes","No"))))</f>
        <v>Yes</v>
      </c>
      <c r="AA901" t="str">
        <f t="shared" si="89"/>
        <v>No</v>
      </c>
    </row>
    <row r="902" spans="1:27" x14ac:dyDescent="0.3">
      <c r="A902">
        <f>INDEX(SETTINGS!$A$15:$A$24,$B902)</f>
        <v>2028</v>
      </c>
      <c r="B902">
        <v>4</v>
      </c>
      <c r="C902" t="str">
        <f>IF(AND(A902&gt;=SETTINGS!$B$4,A902&lt;=SETTINGS!$B$5),"Yes","No")</f>
        <v>No</v>
      </c>
      <c r="D902" t="str">
        <f>IFERROR(INDEX(SETTINGS!$C$15:$C$24,MATCH(A902,SETTINGS!$A$15:$A$24,0)),"No")</f>
        <v>No</v>
      </c>
      <c r="E902">
        <v>12</v>
      </c>
      <c r="F902" t="s">
        <v>45</v>
      </c>
      <c r="G902">
        <v>281</v>
      </c>
      <c r="H902" t="s">
        <v>101</v>
      </c>
      <c r="I902" t="s">
        <v>15</v>
      </c>
      <c r="J902" t="s">
        <v>20</v>
      </c>
      <c r="K902" t="s">
        <v>3</v>
      </c>
      <c r="L902" s="36">
        <f ca="1">IF(C902&lt;&gt;"Yes",0,IF(A902=2025,N('2025'!D281),IF(A902=2026,N('2026'!D281),IF(A902=2027,N('2027'!D281),IF(A902=2028,N('2028'!D281),IF(A902=2029,N('2029'!D281),IF(A902=2030,N('2030'!D281),IF(A902=2031,N('2031'!D281),IF(A902=2032,N('2032'!D281),IF(A902=2033,N('2033'!D281),IF(A902=2034,N('2034'!D281),IFERROR(N(INDIRECT("'"&amp;A902&amp;"'!D"&amp;G902)),0))))))))))))</f>
        <v>0</v>
      </c>
      <c r="M902" s="36">
        <f>IFERROR(IF(NOT(ISBLANK(KPI_TARGETS!$J$12)),KPI_TARGETS!$J$12,IF(NOT(ISBLANK(KPI_TARGETS!$F$12)),KPI_TARGETS!$F$12,"")),"")</f>
        <v>0</v>
      </c>
      <c r="N902" s="36" t="str">
        <f>IFERROR(KPI_TARGETS!$E$12,"Higher is better")</f>
        <v>Lower is better</v>
      </c>
      <c r="O902" s="37">
        <f t="shared" ca="1" si="84"/>
        <v>1</v>
      </c>
      <c r="P902" t="str">
        <f t="shared" ca="1" si="85"/>
        <v>Green</v>
      </c>
      <c r="Q902" s="36">
        <f t="shared" ca="1" si="86"/>
        <v>0</v>
      </c>
      <c r="R902" s="36" t="str">
        <f>""</f>
        <v/>
      </c>
      <c r="S902" s="36" t="str">
        <f>""</f>
        <v/>
      </c>
      <c r="T902" s="36" t="str">
        <f>""</f>
        <v/>
      </c>
      <c r="U902" s="36" t="str">
        <f>""</f>
        <v/>
      </c>
      <c r="V902" s="36" t="str">
        <f>""</f>
        <v/>
      </c>
      <c r="W902" s="36">
        <f t="shared" si="87"/>
        <v>1</v>
      </c>
      <c r="X902" t="str">
        <f t="shared" si="88"/>
        <v>Inactive</v>
      </c>
      <c r="Y902" t="str">
        <f>IF(MAIN!$H$3="Selected Year",IF(A902=MAIN!$B$3,"Yes","No"),IF(MAIN!$H$3="Included Years",IF(D902="Yes","Yes","No"),IF(C902="Yes","Yes","No")))</f>
        <v>No</v>
      </c>
      <c r="Z902" t="str">
        <f>IF(MAIN!$F$3="Project to Date",IF(AND(A902&gt;=SETTINGS!$B$4,A902&lt;MAIN!$B$3),"Yes",IF(AND(A902=MAIN!$B$3,E902&lt;=MAIN!$L$3),"Yes","No")),IF(OR(MAIN!$F$3="Full Year",MAIN!$D$3="All"),"Yes",IF(MAIN!$F$3="Monthly",IF(E902=MAIN!$L$3,"Yes","No"),IF(E902&lt;=MAIN!$L$3,"Yes","No"))))</f>
        <v>Yes</v>
      </c>
      <c r="AA902" t="str">
        <f t="shared" si="89"/>
        <v>No</v>
      </c>
    </row>
    <row r="903" spans="1:27" x14ac:dyDescent="0.3">
      <c r="A903">
        <f>INDEX(SETTINGS!$A$15:$A$24,$B903)</f>
        <v>2028</v>
      </c>
      <c r="B903">
        <v>4</v>
      </c>
      <c r="C903" t="str">
        <f>IF(AND(A903&gt;=SETTINGS!$B$4,A903&lt;=SETTINGS!$B$5),"Yes","No")</f>
        <v>No</v>
      </c>
      <c r="D903" t="str">
        <f>IFERROR(INDEX(SETTINGS!$C$15:$C$24,MATCH(A903,SETTINGS!$A$15:$A$24,0)),"No")</f>
        <v>No</v>
      </c>
      <c r="E903">
        <v>12</v>
      </c>
      <c r="F903" t="s">
        <v>45</v>
      </c>
      <c r="G903">
        <v>282</v>
      </c>
      <c r="H903" t="s">
        <v>102</v>
      </c>
      <c r="I903" t="s">
        <v>15</v>
      </c>
      <c r="J903" t="s">
        <v>21</v>
      </c>
      <c r="K903" t="s">
        <v>3</v>
      </c>
      <c r="L903" s="36">
        <f ca="1">IF(C903&lt;&gt;"Yes",0,IF(A903=2025,N('2025'!D282),IF(A903=2026,N('2026'!D282),IF(A903=2027,N('2027'!D282),IF(A903=2028,N('2028'!D282),IF(A903=2029,N('2029'!D282),IF(A903=2030,N('2030'!D282),IF(A903=2031,N('2031'!D282),IF(A903=2032,N('2032'!D282),IF(A903=2033,N('2033'!D282),IF(A903=2034,N('2034'!D282),IFERROR(N(INDIRECT("'"&amp;A903&amp;"'!D"&amp;G903)),0))))))))))))</f>
        <v>0</v>
      </c>
      <c r="M903" s="36">
        <f>IFERROR(IF(NOT(ISBLANK(KPI_TARGETS!$J$13)),KPI_TARGETS!$J$13,IF(NOT(ISBLANK(KPI_TARGETS!$F$13)),KPI_TARGETS!$F$13,"")),"")</f>
        <v>0</v>
      </c>
      <c r="N903" s="36" t="str">
        <f>IFERROR(KPI_TARGETS!$E$13,"Higher is better")</f>
        <v>Lower is better</v>
      </c>
      <c r="O903" s="37">
        <f t="shared" ca="1" si="84"/>
        <v>1</v>
      </c>
      <c r="P903" t="str">
        <f t="shared" ca="1" si="85"/>
        <v>Green</v>
      </c>
      <c r="Q903" s="36">
        <f t="shared" ca="1" si="86"/>
        <v>0</v>
      </c>
      <c r="R903" s="36" t="str">
        <f>""</f>
        <v/>
      </c>
      <c r="S903" s="36" t="str">
        <f>""</f>
        <v/>
      </c>
      <c r="T903" s="36" t="str">
        <f>""</f>
        <v/>
      </c>
      <c r="U903" s="36" t="str">
        <f>""</f>
        <v/>
      </c>
      <c r="V903" s="36" t="str">
        <f>""</f>
        <v/>
      </c>
      <c r="W903" s="36">
        <f t="shared" si="87"/>
        <v>1</v>
      </c>
      <c r="X903" t="str">
        <f t="shared" si="88"/>
        <v>Inactive</v>
      </c>
      <c r="Y903" t="str">
        <f>IF(MAIN!$H$3="Selected Year",IF(A903=MAIN!$B$3,"Yes","No"),IF(MAIN!$H$3="Included Years",IF(D903="Yes","Yes","No"),IF(C903="Yes","Yes","No")))</f>
        <v>No</v>
      </c>
      <c r="Z903" t="str">
        <f>IF(MAIN!$F$3="Project to Date",IF(AND(A903&gt;=SETTINGS!$B$4,A903&lt;MAIN!$B$3),"Yes",IF(AND(A903=MAIN!$B$3,E903&lt;=MAIN!$L$3),"Yes","No")),IF(OR(MAIN!$F$3="Full Year",MAIN!$D$3="All"),"Yes",IF(MAIN!$F$3="Monthly",IF(E903=MAIN!$L$3,"Yes","No"),IF(E903&lt;=MAIN!$L$3,"Yes","No"))))</f>
        <v>Yes</v>
      </c>
      <c r="AA903" t="str">
        <f t="shared" si="89"/>
        <v>No</v>
      </c>
    </row>
    <row r="904" spans="1:27" x14ac:dyDescent="0.3">
      <c r="A904">
        <f>INDEX(SETTINGS!$A$15:$A$24,$B904)</f>
        <v>2028</v>
      </c>
      <c r="B904">
        <v>4</v>
      </c>
      <c r="C904" t="str">
        <f>IF(AND(A904&gt;=SETTINGS!$B$4,A904&lt;=SETTINGS!$B$5),"Yes","No")</f>
        <v>No</v>
      </c>
      <c r="D904" t="str">
        <f>IFERROR(INDEX(SETTINGS!$C$15:$C$24,MATCH(A904,SETTINGS!$A$15:$A$24,0)),"No")</f>
        <v>No</v>
      </c>
      <c r="E904">
        <v>12</v>
      </c>
      <c r="F904" t="s">
        <v>45</v>
      </c>
      <c r="G904">
        <v>284</v>
      </c>
      <c r="H904" t="s">
        <v>103</v>
      </c>
      <c r="I904" t="s">
        <v>22</v>
      </c>
      <c r="J904" t="s">
        <v>23</v>
      </c>
      <c r="K904" t="s">
        <v>3</v>
      </c>
      <c r="L904" s="36">
        <f ca="1">IF(C904&lt;&gt;"Yes",0,IF(A904=2025,N('2025'!D284),IF(A904=2026,N('2026'!D284),IF(A904=2027,N('2027'!D284),IF(A904=2028,N('2028'!D284),IF(A904=2029,N('2029'!D284),IF(A904=2030,N('2030'!D284),IF(A904=2031,N('2031'!D284),IF(A904=2032,N('2032'!D284),IF(A904=2033,N('2033'!D284),IF(A904=2034,N('2034'!D284),IFERROR(N(INDIRECT("'"&amp;A904&amp;"'!D"&amp;G904)),0))))))))))))</f>
        <v>0</v>
      </c>
      <c r="M904" s="36">
        <f>IFERROR(IF(NOT(ISBLANK(KPI_TARGETS!$J$14)),KPI_TARGETS!$J$14,IF(NOT(ISBLANK(KPI_TARGETS!$F$14)),KPI_TARGETS!$F$14,"")),"")</f>
        <v>35</v>
      </c>
      <c r="N904" s="36" t="str">
        <f>IFERROR(KPI_TARGETS!$E$14,"Higher is better")</f>
        <v>Higher is better</v>
      </c>
      <c r="O904" s="37">
        <f t="shared" ca="1" si="84"/>
        <v>0</v>
      </c>
      <c r="P904" t="str">
        <f t="shared" ca="1" si="85"/>
        <v>Red</v>
      </c>
      <c r="Q904" s="36">
        <f t="shared" ca="1" si="86"/>
        <v>-35</v>
      </c>
      <c r="R904" s="36" t="str">
        <f>""</f>
        <v/>
      </c>
      <c r="S904" s="36" t="str">
        <f>""</f>
        <v/>
      </c>
      <c r="T904" s="36" t="str">
        <f>""</f>
        <v/>
      </c>
      <c r="U904" s="36" t="str">
        <f>""</f>
        <v/>
      </c>
      <c r="V904" s="36" t="str">
        <f>""</f>
        <v/>
      </c>
      <c r="W904" s="36">
        <f t="shared" si="87"/>
        <v>1</v>
      </c>
      <c r="X904" t="str">
        <f t="shared" si="88"/>
        <v>Inactive</v>
      </c>
      <c r="Y904" t="str">
        <f>IF(MAIN!$H$3="Selected Year",IF(A904=MAIN!$B$3,"Yes","No"),IF(MAIN!$H$3="Included Years",IF(D904="Yes","Yes","No"),IF(C904="Yes","Yes","No")))</f>
        <v>No</v>
      </c>
      <c r="Z904" t="str">
        <f>IF(MAIN!$F$3="Project to Date",IF(AND(A904&gt;=SETTINGS!$B$4,A904&lt;MAIN!$B$3),"Yes",IF(AND(A904=MAIN!$B$3,E904&lt;=MAIN!$L$3),"Yes","No")),IF(OR(MAIN!$F$3="Full Year",MAIN!$D$3="All"),"Yes",IF(MAIN!$F$3="Monthly",IF(E904=MAIN!$L$3,"Yes","No"),IF(E904&lt;=MAIN!$L$3,"Yes","No"))))</f>
        <v>Yes</v>
      </c>
      <c r="AA904" t="str">
        <f t="shared" si="89"/>
        <v>No</v>
      </c>
    </row>
    <row r="905" spans="1:27" x14ac:dyDescent="0.3">
      <c r="A905">
        <f>INDEX(SETTINGS!$A$15:$A$24,$B905)</f>
        <v>2028</v>
      </c>
      <c r="B905">
        <v>4</v>
      </c>
      <c r="C905" t="str">
        <f>IF(AND(A905&gt;=SETTINGS!$B$4,A905&lt;=SETTINGS!$B$5),"Yes","No")</f>
        <v>No</v>
      </c>
      <c r="D905" t="str">
        <f>IFERROR(INDEX(SETTINGS!$C$15:$C$24,MATCH(A905,SETTINGS!$A$15:$A$24,0)),"No")</f>
        <v>No</v>
      </c>
      <c r="E905">
        <v>12</v>
      </c>
      <c r="F905" t="s">
        <v>45</v>
      </c>
      <c r="G905">
        <v>285</v>
      </c>
      <c r="H905" t="s">
        <v>104</v>
      </c>
      <c r="I905" t="s">
        <v>22</v>
      </c>
      <c r="J905" t="s">
        <v>24</v>
      </c>
      <c r="K905" t="s">
        <v>3</v>
      </c>
      <c r="L905" s="36">
        <f ca="1">IF(C905&lt;&gt;"Yes",0,IF(A905=2025,N('2025'!D285),IF(A905=2026,N('2026'!D285),IF(A905=2027,N('2027'!D285),IF(A905=2028,N('2028'!D285),IF(A905=2029,N('2029'!D285),IF(A905=2030,N('2030'!D285),IF(A905=2031,N('2031'!D285),IF(A905=2032,N('2032'!D285),IF(A905=2033,N('2033'!D285),IF(A905=2034,N('2034'!D285),IFERROR(N(INDIRECT("'"&amp;A905&amp;"'!D"&amp;G905)),0))))))))))))</f>
        <v>0</v>
      </c>
      <c r="M905" s="36">
        <f>IFERROR(IF(NOT(ISBLANK(KPI_TARGETS!$J$15)),KPI_TARGETS!$J$15,IF(NOT(ISBLANK(KPI_TARGETS!$F$15)),KPI_TARGETS!$F$15,"")),"")</f>
        <v>5</v>
      </c>
      <c r="N905" s="36" t="str">
        <f>IFERROR(KPI_TARGETS!$E$15,"Higher is better")</f>
        <v>Higher is better</v>
      </c>
      <c r="O905" s="37">
        <f t="shared" ca="1" si="84"/>
        <v>0</v>
      </c>
      <c r="P905" t="str">
        <f t="shared" ca="1" si="85"/>
        <v>Red</v>
      </c>
      <c r="Q905" s="36">
        <f t="shared" ca="1" si="86"/>
        <v>-5</v>
      </c>
      <c r="R905" s="36" t="str">
        <f>""</f>
        <v/>
      </c>
      <c r="S905" s="36" t="str">
        <f>""</f>
        <v/>
      </c>
      <c r="T905" s="36" t="str">
        <f>""</f>
        <v/>
      </c>
      <c r="U905" s="36" t="str">
        <f>""</f>
        <v/>
      </c>
      <c r="V905" s="36" t="str">
        <f>""</f>
        <v/>
      </c>
      <c r="W905" s="36">
        <f t="shared" si="87"/>
        <v>1</v>
      </c>
      <c r="X905" t="str">
        <f t="shared" si="88"/>
        <v>Inactive</v>
      </c>
      <c r="Y905" t="str">
        <f>IF(MAIN!$H$3="Selected Year",IF(A905=MAIN!$B$3,"Yes","No"),IF(MAIN!$H$3="Included Years",IF(D905="Yes","Yes","No"),IF(C905="Yes","Yes","No")))</f>
        <v>No</v>
      </c>
      <c r="Z905" t="str">
        <f>IF(MAIN!$F$3="Project to Date",IF(AND(A905&gt;=SETTINGS!$B$4,A905&lt;MAIN!$B$3),"Yes",IF(AND(A905=MAIN!$B$3,E905&lt;=MAIN!$L$3),"Yes","No")),IF(OR(MAIN!$F$3="Full Year",MAIN!$D$3="All"),"Yes",IF(MAIN!$F$3="Monthly",IF(E905=MAIN!$L$3,"Yes","No"),IF(E905&lt;=MAIN!$L$3,"Yes","No"))))</f>
        <v>Yes</v>
      </c>
      <c r="AA905" t="str">
        <f t="shared" si="89"/>
        <v>No</v>
      </c>
    </row>
    <row r="906" spans="1:27" x14ac:dyDescent="0.3">
      <c r="A906">
        <f>INDEX(SETTINGS!$A$15:$A$24,$B906)</f>
        <v>2028</v>
      </c>
      <c r="B906">
        <v>4</v>
      </c>
      <c r="C906" t="str">
        <f>IF(AND(A906&gt;=SETTINGS!$B$4,A906&lt;=SETTINGS!$B$5),"Yes","No")</f>
        <v>No</v>
      </c>
      <c r="D906" t="str">
        <f>IFERROR(INDEX(SETTINGS!$C$15:$C$24,MATCH(A906,SETTINGS!$A$15:$A$24,0)),"No")</f>
        <v>No</v>
      </c>
      <c r="E906">
        <v>12</v>
      </c>
      <c r="F906" t="s">
        <v>45</v>
      </c>
      <c r="G906">
        <v>286</v>
      </c>
      <c r="H906" t="s">
        <v>105</v>
      </c>
      <c r="I906" t="s">
        <v>22</v>
      </c>
      <c r="J906" t="s">
        <v>25</v>
      </c>
      <c r="K906" t="s">
        <v>3</v>
      </c>
      <c r="L906" s="36">
        <f ca="1">IF(C906&lt;&gt;"Yes",0,IF(A906=2025,N('2025'!D286),IF(A906=2026,N('2026'!D286),IF(A906=2027,N('2027'!D286),IF(A906=2028,N('2028'!D286),IF(A906=2029,N('2029'!D286),IF(A906=2030,N('2030'!D286),IF(A906=2031,N('2031'!D286),IF(A906=2032,N('2032'!D286),IF(A906=2033,N('2033'!D286),IF(A906=2034,N('2034'!D286),IFERROR(N(INDIRECT("'"&amp;A906&amp;"'!D"&amp;G906)),0))))))))))))</f>
        <v>0</v>
      </c>
      <c r="M906" s="36">
        <f>IFERROR(IF(NOT(ISBLANK(KPI_TARGETS!$J$16)),KPI_TARGETS!$J$16,IF(NOT(ISBLANK(KPI_TARGETS!$F$16)),KPI_TARGETS!$F$16,"")),"")</f>
        <v>4</v>
      </c>
      <c r="N906" s="36" t="str">
        <f>IFERROR(KPI_TARGETS!$E$16,"Higher is better")</f>
        <v>Higher is better</v>
      </c>
      <c r="O906" s="37">
        <f t="shared" ca="1" si="84"/>
        <v>0</v>
      </c>
      <c r="P906" t="str">
        <f t="shared" ca="1" si="85"/>
        <v>Red</v>
      </c>
      <c r="Q906" s="36">
        <f t="shared" ca="1" si="86"/>
        <v>-4</v>
      </c>
      <c r="R906" s="36" t="str">
        <f>""</f>
        <v/>
      </c>
      <c r="S906" s="36" t="str">
        <f>""</f>
        <v/>
      </c>
      <c r="T906" s="36" t="str">
        <f>""</f>
        <v/>
      </c>
      <c r="U906" s="36" t="str">
        <f>""</f>
        <v/>
      </c>
      <c r="V906" s="36" t="str">
        <f>""</f>
        <v/>
      </c>
      <c r="W906" s="36">
        <f t="shared" si="87"/>
        <v>1</v>
      </c>
      <c r="X906" t="str">
        <f t="shared" si="88"/>
        <v>Inactive</v>
      </c>
      <c r="Y906" t="str">
        <f>IF(MAIN!$H$3="Selected Year",IF(A906=MAIN!$B$3,"Yes","No"),IF(MAIN!$H$3="Included Years",IF(D906="Yes","Yes","No"),IF(C906="Yes","Yes","No")))</f>
        <v>No</v>
      </c>
      <c r="Z906" t="str">
        <f>IF(MAIN!$F$3="Project to Date",IF(AND(A906&gt;=SETTINGS!$B$4,A906&lt;MAIN!$B$3),"Yes",IF(AND(A906=MAIN!$B$3,E906&lt;=MAIN!$L$3),"Yes","No")),IF(OR(MAIN!$F$3="Full Year",MAIN!$D$3="All"),"Yes",IF(MAIN!$F$3="Monthly",IF(E906=MAIN!$L$3,"Yes","No"),IF(E906&lt;=MAIN!$L$3,"Yes","No"))))</f>
        <v>Yes</v>
      </c>
      <c r="AA906" t="str">
        <f t="shared" si="89"/>
        <v>No</v>
      </c>
    </row>
    <row r="907" spans="1:27" x14ac:dyDescent="0.3">
      <c r="A907">
        <f>INDEX(SETTINGS!$A$15:$A$24,$B907)</f>
        <v>2028</v>
      </c>
      <c r="B907">
        <v>4</v>
      </c>
      <c r="C907" t="str">
        <f>IF(AND(A907&gt;=SETTINGS!$B$4,A907&lt;=SETTINGS!$B$5),"Yes","No")</f>
        <v>No</v>
      </c>
      <c r="D907" t="str">
        <f>IFERROR(INDEX(SETTINGS!$C$15:$C$24,MATCH(A907,SETTINGS!$A$15:$A$24,0)),"No")</f>
        <v>No</v>
      </c>
      <c r="E907">
        <v>12</v>
      </c>
      <c r="F907" t="s">
        <v>45</v>
      </c>
      <c r="G907">
        <v>287</v>
      </c>
      <c r="H907" t="s">
        <v>106</v>
      </c>
      <c r="I907" t="s">
        <v>22</v>
      </c>
      <c r="J907" t="s">
        <v>26</v>
      </c>
      <c r="K907" t="s">
        <v>3</v>
      </c>
      <c r="L907" s="36">
        <f ca="1">IF(C907&lt;&gt;"Yes",0,IF(A907=2025,N('2025'!D287),IF(A907=2026,N('2026'!D287),IF(A907=2027,N('2027'!D287),IF(A907=2028,N('2028'!D287),IF(A907=2029,N('2029'!D287),IF(A907=2030,N('2030'!D287),IF(A907=2031,N('2031'!D287),IF(A907=2032,N('2032'!D287),IF(A907=2033,N('2033'!D287),IF(A907=2034,N('2034'!D287),IFERROR(N(INDIRECT("'"&amp;A907&amp;"'!D"&amp;G907)),0))))))))))))</f>
        <v>0</v>
      </c>
      <c r="M907" s="36">
        <f>IFERROR(IF(NOT(ISBLANK(KPI_TARGETS!$J$17)),KPI_TARGETS!$J$17,IF(NOT(ISBLANK(KPI_TARGETS!$F$17)),KPI_TARGETS!$F$17,"")),"")</f>
        <v>12</v>
      </c>
      <c r="N907" s="36" t="str">
        <f>IFERROR(KPI_TARGETS!$E$17,"Higher is better")</f>
        <v>Higher is better</v>
      </c>
      <c r="O907" s="37">
        <f t="shared" ca="1" si="84"/>
        <v>0</v>
      </c>
      <c r="P907" t="str">
        <f t="shared" ca="1" si="85"/>
        <v>Red</v>
      </c>
      <c r="Q907" s="36">
        <f t="shared" ca="1" si="86"/>
        <v>-12</v>
      </c>
      <c r="R907" s="36" t="str">
        <f>""</f>
        <v/>
      </c>
      <c r="S907" s="36" t="str">
        <f>""</f>
        <v/>
      </c>
      <c r="T907" s="36" t="str">
        <f>""</f>
        <v/>
      </c>
      <c r="U907" s="36" t="str">
        <f>""</f>
        <v/>
      </c>
      <c r="V907" s="36" t="str">
        <f>""</f>
        <v/>
      </c>
      <c r="W907" s="36">
        <f t="shared" si="87"/>
        <v>1</v>
      </c>
      <c r="X907" t="str">
        <f t="shared" si="88"/>
        <v>Inactive</v>
      </c>
      <c r="Y907" t="str">
        <f>IF(MAIN!$H$3="Selected Year",IF(A907=MAIN!$B$3,"Yes","No"),IF(MAIN!$H$3="Included Years",IF(D907="Yes","Yes","No"),IF(C907="Yes","Yes","No")))</f>
        <v>No</v>
      </c>
      <c r="Z907" t="str">
        <f>IF(MAIN!$F$3="Project to Date",IF(AND(A907&gt;=SETTINGS!$B$4,A907&lt;MAIN!$B$3),"Yes",IF(AND(A907=MAIN!$B$3,E907&lt;=MAIN!$L$3),"Yes","No")),IF(OR(MAIN!$F$3="Full Year",MAIN!$D$3="All"),"Yes",IF(MAIN!$F$3="Monthly",IF(E907=MAIN!$L$3,"Yes","No"),IF(E907&lt;=MAIN!$L$3,"Yes","No"))))</f>
        <v>Yes</v>
      </c>
      <c r="AA907" t="str">
        <f t="shared" si="89"/>
        <v>No</v>
      </c>
    </row>
    <row r="908" spans="1:27" x14ac:dyDescent="0.3">
      <c r="A908">
        <f>INDEX(SETTINGS!$A$15:$A$24,$B908)</f>
        <v>2028</v>
      </c>
      <c r="B908">
        <v>4</v>
      </c>
      <c r="C908" t="str">
        <f>IF(AND(A908&gt;=SETTINGS!$B$4,A908&lt;=SETTINGS!$B$5),"Yes","No")</f>
        <v>No</v>
      </c>
      <c r="D908" t="str">
        <f>IFERROR(INDEX(SETTINGS!$C$15:$C$24,MATCH(A908,SETTINGS!$A$15:$A$24,0)),"No")</f>
        <v>No</v>
      </c>
      <c r="E908">
        <v>12</v>
      </c>
      <c r="F908" t="s">
        <v>45</v>
      </c>
      <c r="G908">
        <v>288</v>
      </c>
      <c r="H908" t="s">
        <v>107</v>
      </c>
      <c r="I908" t="s">
        <v>22</v>
      </c>
      <c r="J908" t="s">
        <v>27</v>
      </c>
      <c r="K908" t="s">
        <v>3</v>
      </c>
      <c r="L908" s="36">
        <f ca="1">IF(C908&lt;&gt;"Yes",0,IF(A908=2025,N('2025'!D288),IF(A908=2026,N('2026'!D288),IF(A908=2027,N('2027'!D288),IF(A908=2028,N('2028'!D288),IF(A908=2029,N('2029'!D288),IF(A908=2030,N('2030'!D288),IF(A908=2031,N('2031'!D288),IF(A908=2032,N('2032'!D288),IF(A908=2033,N('2033'!D288),IF(A908=2034,N('2034'!D288),IFERROR(N(INDIRECT("'"&amp;A908&amp;"'!D"&amp;G908)),0))))))))))))</f>
        <v>0</v>
      </c>
      <c r="M908" s="36">
        <f>IFERROR(IF(NOT(ISBLANK(KPI_TARGETS!$J$18)),KPI_TARGETS!$J$18,IF(NOT(ISBLANK(KPI_TARGETS!$F$18)),KPI_TARGETS!$F$18,"")),"")</f>
        <v>4</v>
      </c>
      <c r="N908" s="36" t="str">
        <f>IFERROR(KPI_TARGETS!$E$18,"Higher is better")</f>
        <v>Higher is better</v>
      </c>
      <c r="O908" s="37">
        <f t="shared" ca="1" si="84"/>
        <v>0</v>
      </c>
      <c r="P908" t="str">
        <f t="shared" ca="1" si="85"/>
        <v>Red</v>
      </c>
      <c r="Q908" s="36">
        <f t="shared" ca="1" si="86"/>
        <v>-4</v>
      </c>
      <c r="R908" s="36" t="str">
        <f>""</f>
        <v/>
      </c>
      <c r="S908" s="36" t="str">
        <f>""</f>
        <v/>
      </c>
      <c r="T908" s="36" t="str">
        <f>""</f>
        <v/>
      </c>
      <c r="U908" s="36" t="str">
        <f>""</f>
        <v/>
      </c>
      <c r="V908" s="36" t="str">
        <f>""</f>
        <v/>
      </c>
      <c r="W908" s="36">
        <f t="shared" si="87"/>
        <v>1</v>
      </c>
      <c r="X908" t="str">
        <f t="shared" si="88"/>
        <v>Inactive</v>
      </c>
      <c r="Y908" t="str">
        <f>IF(MAIN!$H$3="Selected Year",IF(A908=MAIN!$B$3,"Yes","No"),IF(MAIN!$H$3="Included Years",IF(D908="Yes","Yes","No"),IF(C908="Yes","Yes","No")))</f>
        <v>No</v>
      </c>
      <c r="Z908" t="str">
        <f>IF(MAIN!$F$3="Project to Date",IF(AND(A908&gt;=SETTINGS!$B$4,A908&lt;MAIN!$B$3),"Yes",IF(AND(A908=MAIN!$B$3,E908&lt;=MAIN!$L$3),"Yes","No")),IF(OR(MAIN!$F$3="Full Year",MAIN!$D$3="All"),"Yes",IF(MAIN!$F$3="Monthly",IF(E908=MAIN!$L$3,"Yes","No"),IF(E908&lt;=MAIN!$L$3,"Yes","No"))))</f>
        <v>Yes</v>
      </c>
      <c r="AA908" t="str">
        <f t="shared" si="89"/>
        <v>No</v>
      </c>
    </row>
    <row r="909" spans="1:27" x14ac:dyDescent="0.3">
      <c r="A909">
        <f>INDEX(SETTINGS!$A$15:$A$24,$B909)</f>
        <v>2028</v>
      </c>
      <c r="B909">
        <v>4</v>
      </c>
      <c r="C909" t="str">
        <f>IF(AND(A909&gt;=SETTINGS!$B$4,A909&lt;=SETTINGS!$B$5),"Yes","No")</f>
        <v>No</v>
      </c>
      <c r="D909" t="str">
        <f>IFERROR(INDEX(SETTINGS!$C$15:$C$24,MATCH(A909,SETTINGS!$A$15:$A$24,0)),"No")</f>
        <v>No</v>
      </c>
      <c r="E909">
        <v>12</v>
      </c>
      <c r="F909" t="s">
        <v>45</v>
      </c>
      <c r="G909">
        <v>289</v>
      </c>
      <c r="H909" t="s">
        <v>108</v>
      </c>
      <c r="I909" t="s">
        <v>22</v>
      </c>
      <c r="J909" t="s">
        <v>28</v>
      </c>
      <c r="K909" t="s">
        <v>3</v>
      </c>
      <c r="L909" s="36">
        <f ca="1">IF(C909&lt;&gt;"Yes",0,IF(A909=2025,N('2025'!D289),IF(A909=2026,N('2026'!D289),IF(A909=2027,N('2027'!D289),IF(A909=2028,N('2028'!D289),IF(A909=2029,N('2029'!D289),IF(A909=2030,N('2030'!D289),IF(A909=2031,N('2031'!D289),IF(A909=2032,N('2032'!D289),IF(A909=2033,N('2033'!D289),IF(A909=2034,N('2034'!D289),IFERROR(N(INDIRECT("'"&amp;A909&amp;"'!D"&amp;G909)),0))))))))))))</f>
        <v>0</v>
      </c>
      <c r="M909" s="36">
        <f>IFERROR(IF(NOT(ISBLANK(KPI_TARGETS!$J$19)),KPI_TARGETS!$J$19,IF(NOT(ISBLANK(KPI_TARGETS!$F$19)),KPI_TARGETS!$F$19,"")),"")</f>
        <v>16</v>
      </c>
      <c r="N909" s="36" t="str">
        <f>IFERROR(KPI_TARGETS!$E$19,"Higher is better")</f>
        <v>Higher is better</v>
      </c>
      <c r="O909" s="37">
        <f t="shared" ca="1" si="84"/>
        <v>0</v>
      </c>
      <c r="P909" t="str">
        <f t="shared" ca="1" si="85"/>
        <v>Red</v>
      </c>
      <c r="Q909" s="36">
        <f t="shared" ca="1" si="86"/>
        <v>-16</v>
      </c>
      <c r="R909" s="36" t="str">
        <f>""</f>
        <v/>
      </c>
      <c r="S909" s="36" t="str">
        <f>""</f>
        <v/>
      </c>
      <c r="T909" s="36" t="str">
        <f>""</f>
        <v/>
      </c>
      <c r="U909" s="36" t="str">
        <f>""</f>
        <v/>
      </c>
      <c r="V909" s="36" t="str">
        <f>""</f>
        <v/>
      </c>
      <c r="W909" s="36">
        <f t="shared" si="87"/>
        <v>1</v>
      </c>
      <c r="X909" t="str">
        <f t="shared" si="88"/>
        <v>Inactive</v>
      </c>
      <c r="Y909" t="str">
        <f>IF(MAIN!$H$3="Selected Year",IF(A909=MAIN!$B$3,"Yes","No"),IF(MAIN!$H$3="Included Years",IF(D909="Yes","Yes","No"),IF(C909="Yes","Yes","No")))</f>
        <v>No</v>
      </c>
      <c r="Z909" t="str">
        <f>IF(MAIN!$F$3="Project to Date",IF(AND(A909&gt;=SETTINGS!$B$4,A909&lt;MAIN!$B$3),"Yes",IF(AND(A909=MAIN!$B$3,E909&lt;=MAIN!$L$3),"Yes","No")),IF(OR(MAIN!$F$3="Full Year",MAIN!$D$3="All"),"Yes",IF(MAIN!$F$3="Monthly",IF(E909=MAIN!$L$3,"Yes","No"),IF(E909&lt;=MAIN!$L$3,"Yes","No"))))</f>
        <v>Yes</v>
      </c>
      <c r="AA909" t="str">
        <f t="shared" si="89"/>
        <v>No</v>
      </c>
    </row>
    <row r="910" spans="1:27" x14ac:dyDescent="0.3">
      <c r="A910">
        <f>INDEX(SETTINGS!$A$15:$A$24,$B910)</f>
        <v>2028</v>
      </c>
      <c r="B910">
        <v>4</v>
      </c>
      <c r="C910" t="str">
        <f>IF(AND(A910&gt;=SETTINGS!$B$4,A910&lt;=SETTINGS!$B$5),"Yes","No")</f>
        <v>No</v>
      </c>
      <c r="D910" t="str">
        <f>IFERROR(INDEX(SETTINGS!$C$15:$C$24,MATCH(A910,SETTINGS!$A$15:$A$24,0)),"No")</f>
        <v>No</v>
      </c>
      <c r="E910">
        <v>12</v>
      </c>
      <c r="F910" t="s">
        <v>45</v>
      </c>
      <c r="G910">
        <v>290</v>
      </c>
      <c r="H910" t="s">
        <v>109</v>
      </c>
      <c r="I910" t="s">
        <v>22</v>
      </c>
      <c r="J910" t="s">
        <v>29</v>
      </c>
      <c r="K910" t="s">
        <v>3</v>
      </c>
      <c r="L910" s="36">
        <f ca="1">IF(C910&lt;&gt;"Yes",0,IF(A910=2025,N('2025'!D290),IF(A910=2026,N('2026'!D290),IF(A910=2027,N('2027'!D290),IF(A910=2028,N('2028'!D290),IF(A910=2029,N('2029'!D290),IF(A910=2030,N('2030'!D290),IF(A910=2031,N('2031'!D290),IF(A910=2032,N('2032'!D290),IF(A910=2033,N('2033'!D290),IF(A910=2034,N('2034'!D290),IFERROR(N(INDIRECT("'"&amp;A910&amp;"'!D"&amp;G910)),0))))))))))))</f>
        <v>0</v>
      </c>
      <c r="M910" s="36">
        <f>IFERROR(IF(NOT(ISBLANK(KPI_TARGETS!$J$20)),KPI_TARGETS!$J$20,IF(NOT(ISBLANK(KPI_TARGETS!$F$20)),KPI_TARGETS!$F$20,"")),"")</f>
        <v>1</v>
      </c>
      <c r="N910" s="36" t="str">
        <f>IFERROR(KPI_TARGETS!$E$20,"Higher is better")</f>
        <v>Higher is better</v>
      </c>
      <c r="O910" s="37">
        <f t="shared" ca="1" si="84"/>
        <v>0</v>
      </c>
      <c r="P910" t="str">
        <f t="shared" ca="1" si="85"/>
        <v>Red</v>
      </c>
      <c r="Q910" s="36">
        <f t="shared" ca="1" si="86"/>
        <v>-1</v>
      </c>
      <c r="R910" s="36" t="str">
        <f>""</f>
        <v/>
      </c>
      <c r="S910" s="36" t="str">
        <f>""</f>
        <v/>
      </c>
      <c r="T910" s="36" t="str">
        <f>""</f>
        <v/>
      </c>
      <c r="U910" s="36" t="str">
        <f>""</f>
        <v/>
      </c>
      <c r="V910" s="36" t="str">
        <f>""</f>
        <v/>
      </c>
      <c r="W910" s="36">
        <f t="shared" si="87"/>
        <v>1</v>
      </c>
      <c r="X910" t="str">
        <f t="shared" si="88"/>
        <v>Inactive</v>
      </c>
      <c r="Y910" t="str">
        <f>IF(MAIN!$H$3="Selected Year",IF(A910=MAIN!$B$3,"Yes","No"),IF(MAIN!$H$3="Included Years",IF(D910="Yes","Yes","No"),IF(C910="Yes","Yes","No")))</f>
        <v>No</v>
      </c>
      <c r="Z910" t="str">
        <f>IF(MAIN!$F$3="Project to Date",IF(AND(A910&gt;=SETTINGS!$B$4,A910&lt;MAIN!$B$3),"Yes",IF(AND(A910=MAIN!$B$3,E910&lt;=MAIN!$L$3),"Yes","No")),IF(OR(MAIN!$F$3="Full Year",MAIN!$D$3="All"),"Yes",IF(MAIN!$F$3="Monthly",IF(E910=MAIN!$L$3,"Yes","No"),IF(E910&lt;=MAIN!$L$3,"Yes","No"))))</f>
        <v>Yes</v>
      </c>
      <c r="AA910" t="str">
        <f t="shared" si="89"/>
        <v>No</v>
      </c>
    </row>
    <row r="911" spans="1:27" x14ac:dyDescent="0.3">
      <c r="A911">
        <f>INDEX(SETTINGS!$A$15:$A$24,$B911)</f>
        <v>2028</v>
      </c>
      <c r="B911">
        <v>4</v>
      </c>
      <c r="C911" t="str">
        <f>IF(AND(A911&gt;=SETTINGS!$B$4,A911&lt;=SETTINGS!$B$5),"Yes","No")</f>
        <v>No</v>
      </c>
      <c r="D911" t="str">
        <f>IFERROR(INDEX(SETTINGS!$C$15:$C$24,MATCH(A911,SETTINGS!$A$15:$A$24,0)),"No")</f>
        <v>No</v>
      </c>
      <c r="E911">
        <v>12</v>
      </c>
      <c r="F911" t="s">
        <v>45</v>
      </c>
      <c r="G911">
        <v>292</v>
      </c>
      <c r="H911" t="s">
        <v>110</v>
      </c>
      <c r="I911" t="s">
        <v>30</v>
      </c>
      <c r="J911" t="s">
        <v>31</v>
      </c>
      <c r="K911" t="s">
        <v>3</v>
      </c>
      <c r="L911" s="36">
        <f ca="1">IF(C911&lt;&gt;"Yes",0,IF(A911=2025,N('2025'!D292),IF(A911=2026,N('2026'!D292),IF(A911=2027,N('2027'!D292),IF(A911=2028,N('2028'!D292),IF(A911=2029,N('2029'!D292),IF(A911=2030,N('2030'!D292),IF(A911=2031,N('2031'!D292),IF(A911=2032,N('2032'!D292),IF(A911=2033,N('2033'!D292),IF(A911=2034,N('2034'!D292),IFERROR(N(INDIRECT("'"&amp;A911&amp;"'!D"&amp;G911)),0))))))))))))</f>
        <v>0</v>
      </c>
      <c r="M911" s="36">
        <f>IFERROR(IF(NOT(ISBLANK(KPI_TARGETS!$J$21)),KPI_TARGETS!$J$21,IF(NOT(ISBLANK(KPI_TARGETS!$F$21)),KPI_TARGETS!$F$21,"")),"")</f>
        <v>0</v>
      </c>
      <c r="N911" s="36" t="str">
        <f>IFERROR(KPI_TARGETS!$E$21,"Higher is better")</f>
        <v>Lower is better</v>
      </c>
      <c r="O911" s="37">
        <f t="shared" ca="1" si="84"/>
        <v>1</v>
      </c>
      <c r="P911" t="str">
        <f t="shared" ca="1" si="85"/>
        <v>Green</v>
      </c>
      <c r="Q911" s="36">
        <f t="shared" ca="1" si="86"/>
        <v>0</v>
      </c>
      <c r="R911" s="36" t="str">
        <f>""</f>
        <v/>
      </c>
      <c r="S911" s="36" t="str">
        <f>""</f>
        <v/>
      </c>
      <c r="T911" s="36" t="str">
        <f>""</f>
        <v/>
      </c>
      <c r="U911" s="36" t="str">
        <f>""</f>
        <v/>
      </c>
      <c r="V911" s="36" t="str">
        <f>""</f>
        <v/>
      </c>
      <c r="W911" s="36">
        <f t="shared" si="87"/>
        <v>1</v>
      </c>
      <c r="X911" t="str">
        <f t="shared" si="88"/>
        <v>Inactive</v>
      </c>
      <c r="Y911" t="str">
        <f>IF(MAIN!$H$3="Selected Year",IF(A911=MAIN!$B$3,"Yes","No"),IF(MAIN!$H$3="Included Years",IF(D911="Yes","Yes","No"),IF(C911="Yes","Yes","No")))</f>
        <v>No</v>
      </c>
      <c r="Z911" t="str">
        <f>IF(MAIN!$F$3="Project to Date",IF(AND(A911&gt;=SETTINGS!$B$4,A911&lt;MAIN!$B$3),"Yes",IF(AND(A911=MAIN!$B$3,E911&lt;=MAIN!$L$3),"Yes","No")),IF(OR(MAIN!$F$3="Full Year",MAIN!$D$3="All"),"Yes",IF(MAIN!$F$3="Monthly",IF(E911=MAIN!$L$3,"Yes","No"),IF(E911&lt;=MAIN!$L$3,"Yes","No"))))</f>
        <v>Yes</v>
      </c>
      <c r="AA911" t="str">
        <f t="shared" si="89"/>
        <v>No</v>
      </c>
    </row>
    <row r="912" spans="1:27" x14ac:dyDescent="0.3">
      <c r="A912">
        <f>INDEX(SETTINGS!$A$15:$A$24,$B912)</f>
        <v>2028</v>
      </c>
      <c r="B912">
        <v>4</v>
      </c>
      <c r="C912" t="str">
        <f>IF(AND(A912&gt;=SETTINGS!$B$4,A912&lt;=SETTINGS!$B$5),"Yes","No")</f>
        <v>No</v>
      </c>
      <c r="D912" t="str">
        <f>IFERROR(INDEX(SETTINGS!$C$15:$C$24,MATCH(A912,SETTINGS!$A$15:$A$24,0)),"No")</f>
        <v>No</v>
      </c>
      <c r="E912">
        <v>12</v>
      </c>
      <c r="F912" t="s">
        <v>45</v>
      </c>
      <c r="G912">
        <v>293</v>
      </c>
      <c r="H912" t="s">
        <v>111</v>
      </c>
      <c r="I912" t="s">
        <v>30</v>
      </c>
      <c r="J912" t="s">
        <v>32</v>
      </c>
      <c r="K912" t="s">
        <v>3</v>
      </c>
      <c r="L912" s="36">
        <f ca="1">IF(C912&lt;&gt;"Yes",0,IF(A912=2025,N('2025'!D293),IF(A912=2026,N('2026'!D293),IF(A912=2027,N('2027'!D293),IF(A912=2028,N('2028'!D293),IF(A912=2029,N('2029'!D293),IF(A912=2030,N('2030'!D293),IF(A912=2031,N('2031'!D293),IF(A912=2032,N('2032'!D293),IF(A912=2033,N('2033'!D293),IF(A912=2034,N('2034'!D293),IFERROR(N(INDIRECT("'"&amp;A912&amp;"'!D"&amp;G912)),0))))))))))))</f>
        <v>0</v>
      </c>
      <c r="M912" s="36">
        <f>IFERROR(IF(NOT(ISBLANK(KPI_TARGETS!$J$22)),KPI_TARGETS!$J$22,IF(NOT(ISBLANK(KPI_TARGETS!$F$22)),KPI_TARGETS!$F$22,"")),"")</f>
        <v>1</v>
      </c>
      <c r="N912" s="36" t="str">
        <f>IFERROR(KPI_TARGETS!$E$22,"Higher is better")</f>
        <v>Higher is better</v>
      </c>
      <c r="O912" s="37">
        <f t="shared" ca="1" si="84"/>
        <v>0</v>
      </c>
      <c r="P912" t="str">
        <f t="shared" ca="1" si="85"/>
        <v>Red</v>
      </c>
      <c r="Q912" s="36">
        <f t="shared" ca="1" si="86"/>
        <v>-1</v>
      </c>
      <c r="R912" s="36" t="str">
        <f>""</f>
        <v/>
      </c>
      <c r="S912" s="36" t="str">
        <f>""</f>
        <v/>
      </c>
      <c r="T912" s="36" t="str">
        <f>""</f>
        <v/>
      </c>
      <c r="U912" s="36" t="str">
        <f>""</f>
        <v/>
      </c>
      <c r="V912" s="36" t="str">
        <f>""</f>
        <v/>
      </c>
      <c r="W912" s="36">
        <f t="shared" si="87"/>
        <v>1</v>
      </c>
      <c r="X912" t="str">
        <f t="shared" si="88"/>
        <v>Inactive</v>
      </c>
      <c r="Y912" t="str">
        <f>IF(MAIN!$H$3="Selected Year",IF(A912=MAIN!$B$3,"Yes","No"),IF(MAIN!$H$3="Included Years",IF(D912="Yes","Yes","No"),IF(C912="Yes","Yes","No")))</f>
        <v>No</v>
      </c>
      <c r="Z912" t="str">
        <f>IF(MAIN!$F$3="Project to Date",IF(AND(A912&gt;=SETTINGS!$B$4,A912&lt;MAIN!$B$3),"Yes",IF(AND(A912=MAIN!$B$3,E912&lt;=MAIN!$L$3),"Yes","No")),IF(OR(MAIN!$F$3="Full Year",MAIN!$D$3="All"),"Yes",IF(MAIN!$F$3="Monthly",IF(E912=MAIN!$L$3,"Yes","No"),IF(E912&lt;=MAIN!$L$3,"Yes","No"))))</f>
        <v>Yes</v>
      </c>
      <c r="AA912" t="str">
        <f t="shared" si="89"/>
        <v>No</v>
      </c>
    </row>
    <row r="913" spans="1:27" x14ac:dyDescent="0.3">
      <c r="A913">
        <f>INDEX(SETTINGS!$A$15:$A$24,$B913)</f>
        <v>2028</v>
      </c>
      <c r="B913">
        <v>4</v>
      </c>
      <c r="C913" t="str">
        <f>IF(AND(A913&gt;=SETTINGS!$B$4,A913&lt;=SETTINGS!$B$5),"Yes","No")</f>
        <v>No</v>
      </c>
      <c r="D913" t="str">
        <f>IFERROR(INDEX(SETTINGS!$C$15:$C$24,MATCH(A913,SETTINGS!$A$15:$A$24,0)),"No")</f>
        <v>No</v>
      </c>
      <c r="E913">
        <v>12</v>
      </c>
      <c r="F913" t="s">
        <v>45</v>
      </c>
      <c r="G913">
        <v>294</v>
      </c>
      <c r="H913" t="s">
        <v>112</v>
      </c>
      <c r="I913" t="s">
        <v>30</v>
      </c>
      <c r="J913" t="s">
        <v>33</v>
      </c>
      <c r="K913" t="s">
        <v>34</v>
      </c>
      <c r="L913" s="36">
        <f ca="1">IF(C913&lt;&gt;"Yes",0,IF(A913=2025,N('2025'!D294),IF(A913=2026,N('2026'!D294),IF(A913=2027,N('2027'!D294),IF(A913=2028,N('2028'!D294),IF(A913=2029,N('2029'!D294),IF(A913=2030,N('2030'!D294),IF(A913=2031,N('2031'!D294),IF(A913=2032,N('2032'!D294),IF(A913=2033,N('2033'!D294),IF(A913=2034,N('2034'!D294),IFERROR(N(INDIRECT("'"&amp;A913&amp;"'!D"&amp;G913)),0))))))))))))</f>
        <v>0</v>
      </c>
      <c r="M913" s="36">
        <f>IFERROR(IF(NOT(ISBLANK(KPI_TARGETS!$J$23)),KPI_TARGETS!$J$23,IF(NOT(ISBLANK(KPI_TARGETS!$F$23)),KPI_TARGETS!$F$23,"")),"")</f>
        <v>1</v>
      </c>
      <c r="N913" s="36" t="str">
        <f>IFERROR(KPI_TARGETS!$E$23,"Higher is better")</f>
        <v>Higher is better</v>
      </c>
      <c r="O913" s="37">
        <f t="shared" ca="1" si="84"/>
        <v>0</v>
      </c>
      <c r="P913" t="str">
        <f t="shared" ca="1" si="85"/>
        <v>Red</v>
      </c>
      <c r="Q913" s="36">
        <f t="shared" ca="1" si="86"/>
        <v>-1</v>
      </c>
      <c r="R913" s="36" t="str">
        <f>""</f>
        <v/>
      </c>
      <c r="S913" s="36" t="str">
        <f>""</f>
        <v/>
      </c>
      <c r="T913" s="36" t="str">
        <f>""</f>
        <v/>
      </c>
      <c r="U913" s="36" t="str">
        <f>""</f>
        <v/>
      </c>
      <c r="V913" s="36" t="str">
        <f>""</f>
        <v/>
      </c>
      <c r="W913" s="36">
        <f t="shared" si="87"/>
        <v>1</v>
      </c>
      <c r="X913" t="str">
        <f t="shared" si="88"/>
        <v>Inactive</v>
      </c>
      <c r="Y913" t="str">
        <f>IF(MAIN!$H$3="Selected Year",IF(A913=MAIN!$B$3,"Yes","No"),IF(MAIN!$H$3="Included Years",IF(D913="Yes","Yes","No"),IF(C913="Yes","Yes","No")))</f>
        <v>No</v>
      </c>
      <c r="Z913" t="str">
        <f>IF(MAIN!$F$3="Project to Date",IF(AND(A913&gt;=SETTINGS!$B$4,A913&lt;MAIN!$B$3),"Yes",IF(AND(A913=MAIN!$B$3,E913&lt;=MAIN!$L$3),"Yes","No")),IF(OR(MAIN!$F$3="Full Year",MAIN!$D$3="All"),"Yes",IF(MAIN!$F$3="Monthly",IF(E913=MAIN!$L$3,"Yes","No"),IF(E913&lt;=MAIN!$L$3,"Yes","No"))))</f>
        <v>Yes</v>
      </c>
      <c r="AA913" t="str">
        <f t="shared" si="89"/>
        <v>No</v>
      </c>
    </row>
    <row r="914" spans="1:27" x14ac:dyDescent="0.3">
      <c r="A914">
        <f>INDEX(SETTINGS!$A$15:$A$24,$B914)</f>
        <v>2029</v>
      </c>
      <c r="B914">
        <v>5</v>
      </c>
      <c r="C914" t="str">
        <f>IF(AND(A914&gt;=SETTINGS!$B$4,A914&lt;=SETTINGS!$B$5),"Yes","No")</f>
        <v>No</v>
      </c>
      <c r="D914" t="str">
        <f>IFERROR(INDEX(SETTINGS!$C$15:$C$24,MATCH(A914,SETTINGS!$A$15:$A$24,0)),"No")</f>
        <v>No</v>
      </c>
      <c r="E914">
        <v>1</v>
      </c>
      <c r="F914" t="s">
        <v>2</v>
      </c>
      <c r="G914">
        <v>9</v>
      </c>
      <c r="H914" t="s">
        <v>88</v>
      </c>
      <c r="I914" t="s">
        <v>89</v>
      </c>
      <c r="J914" t="s">
        <v>10</v>
      </c>
      <c r="K914" t="s">
        <v>3</v>
      </c>
      <c r="L914" s="36">
        <f ca="1">IF(C914&lt;&gt;"Yes",0,IF(A914=2025,N('2025'!D9),IF(A914=2026,N('2026'!D9),IF(A914=2027,N('2027'!D9),IF(A914=2028,N('2028'!D9),IF(A914=2029,N('2029'!D9),IF(A914=2030,N('2030'!D9),IF(A914=2031,N('2031'!D9),IF(A914=2032,N('2032'!D9),IF(A914=2033,N('2033'!D9),IF(A914=2034,N('2034'!D9),IFERROR(N(INDIRECT("'"&amp;A914&amp;"'!D"&amp;G914)),0))))))))))))</f>
        <v>0</v>
      </c>
      <c r="M914" s="36">
        <f>IFERROR(IF(NOT(ISBLANK(KPI_TARGETS!$K$5)),KPI_TARGETS!$K$5,IF(NOT(ISBLANK(KPI_TARGETS!$F$5)),KPI_TARGETS!$F$5,"")),"")</f>
        <v>104</v>
      </c>
      <c r="N914" s="36" t="str">
        <f>IFERROR(KPI_TARGETS!$E$5,"Higher is better")</f>
        <v>Higher is better</v>
      </c>
      <c r="O914" s="37">
        <f t="shared" ca="1" si="84"/>
        <v>0</v>
      </c>
      <c r="P914" t="str">
        <f t="shared" ca="1" si="85"/>
        <v>Red</v>
      </c>
      <c r="Q914" s="36">
        <f t="shared" ca="1" si="86"/>
        <v>-104</v>
      </c>
      <c r="R914" s="36" t="str">
        <f>""</f>
        <v/>
      </c>
      <c r="S914" s="36" t="str">
        <f>""</f>
        <v/>
      </c>
      <c r="T914" s="36" t="str">
        <f>""</f>
        <v/>
      </c>
      <c r="U914" s="36" t="str">
        <f>""</f>
        <v/>
      </c>
      <c r="V914" s="36" t="str">
        <f>""</f>
        <v/>
      </c>
      <c r="W914" s="36">
        <f t="shared" si="87"/>
        <v>1</v>
      </c>
      <c r="X914" t="str">
        <f t="shared" si="88"/>
        <v>Inactive</v>
      </c>
      <c r="Y914" t="str">
        <f>IF(MAIN!$H$3="Selected Year",IF(A914=MAIN!$B$3,"Yes","No"),IF(MAIN!$H$3="Included Years",IF(D914="Yes","Yes","No"),IF(C914="Yes","Yes","No")))</f>
        <v>No</v>
      </c>
      <c r="Z914" t="str">
        <f>IF(MAIN!$F$3="Project to Date",IF(AND(A914&gt;=SETTINGS!$B$4,A914&lt;MAIN!$B$3),"Yes",IF(AND(A914=MAIN!$B$3,E914&lt;=MAIN!$L$3),"Yes","No")),IF(OR(MAIN!$F$3="Full Year",MAIN!$D$3="All"),"Yes",IF(MAIN!$F$3="Monthly",IF(E914=MAIN!$L$3,"Yes","No"),IF(E914&lt;=MAIN!$L$3,"Yes","No"))))</f>
        <v>Yes</v>
      </c>
      <c r="AA914" t="str">
        <f t="shared" si="89"/>
        <v>No</v>
      </c>
    </row>
    <row r="915" spans="1:27" x14ac:dyDescent="0.3">
      <c r="A915">
        <f>INDEX(SETTINGS!$A$15:$A$24,$B915)</f>
        <v>2029</v>
      </c>
      <c r="B915">
        <v>5</v>
      </c>
      <c r="C915" t="str">
        <f>IF(AND(A915&gt;=SETTINGS!$B$4,A915&lt;=SETTINGS!$B$5),"Yes","No")</f>
        <v>No</v>
      </c>
      <c r="D915" t="str">
        <f>IFERROR(INDEX(SETTINGS!$C$15:$C$24,MATCH(A915,SETTINGS!$A$15:$A$24,0)),"No")</f>
        <v>No</v>
      </c>
      <c r="E915">
        <v>1</v>
      </c>
      <c r="F915" t="s">
        <v>2</v>
      </c>
      <c r="G915">
        <v>10</v>
      </c>
      <c r="H915" t="s">
        <v>91</v>
      </c>
      <c r="I915" t="s">
        <v>89</v>
      </c>
      <c r="J915" t="s">
        <v>11</v>
      </c>
      <c r="K915" t="s">
        <v>12</v>
      </c>
      <c r="L915" s="36">
        <f ca="1">IF(C915&lt;&gt;"Yes",0,IF(A915=2025,N('2025'!D10),IF(A915=2026,N('2026'!D10),IF(A915=2027,N('2027'!D10),IF(A915=2028,N('2028'!D10),IF(A915=2029,N('2029'!D10),IF(A915=2030,N('2030'!D10),IF(A915=2031,N('2031'!D10),IF(A915=2032,N('2032'!D10),IF(A915=2033,N('2033'!D10),IF(A915=2034,N('2034'!D10),IFERROR(N(INDIRECT("'"&amp;A915&amp;"'!D"&amp;G915)),0))))))))))))</f>
        <v>0</v>
      </c>
      <c r="M915" s="36">
        <f>IFERROR(IF(NOT(ISBLANK(KPI_TARGETS!$K$6)),KPI_TARGETS!$K$6,IF(NOT(ISBLANK(KPI_TARGETS!$F$6)),KPI_TARGETS!$F$6,"")),"")</f>
        <v>4000</v>
      </c>
      <c r="N915" s="36" t="str">
        <f>IFERROR(KPI_TARGETS!$E$6,"Higher is better")</f>
        <v>Higher is better</v>
      </c>
      <c r="O915" s="37">
        <f t="shared" ca="1" si="84"/>
        <v>0</v>
      </c>
      <c r="P915" t="str">
        <f t="shared" ca="1" si="85"/>
        <v>Red</v>
      </c>
      <c r="Q915" s="36">
        <f t="shared" ca="1" si="86"/>
        <v>-4000</v>
      </c>
      <c r="R915" s="36" t="str">
        <f>""</f>
        <v/>
      </c>
      <c r="S915" s="36" t="str">
        <f>""</f>
        <v/>
      </c>
      <c r="T915" s="36" t="str">
        <f>""</f>
        <v/>
      </c>
      <c r="U915" s="36" t="str">
        <f>""</f>
        <v/>
      </c>
      <c r="V915" s="36" t="str">
        <f>""</f>
        <v/>
      </c>
      <c r="W915" s="36">
        <f t="shared" si="87"/>
        <v>1</v>
      </c>
      <c r="X915" t="str">
        <f t="shared" si="88"/>
        <v>Inactive</v>
      </c>
      <c r="Y915" t="str">
        <f>IF(MAIN!$H$3="Selected Year",IF(A915=MAIN!$B$3,"Yes","No"),IF(MAIN!$H$3="Included Years",IF(D915="Yes","Yes","No"),IF(C915="Yes","Yes","No")))</f>
        <v>No</v>
      </c>
      <c r="Z915" t="str">
        <f>IF(MAIN!$F$3="Project to Date",IF(AND(A915&gt;=SETTINGS!$B$4,A915&lt;MAIN!$B$3),"Yes",IF(AND(A915=MAIN!$B$3,E915&lt;=MAIN!$L$3),"Yes","No")),IF(OR(MAIN!$F$3="Full Year",MAIN!$D$3="All"),"Yes",IF(MAIN!$F$3="Monthly",IF(E915=MAIN!$L$3,"Yes","No"),IF(E915&lt;=MAIN!$L$3,"Yes","No"))))</f>
        <v>Yes</v>
      </c>
      <c r="AA915" t="str">
        <f t="shared" si="89"/>
        <v>No</v>
      </c>
    </row>
    <row r="916" spans="1:27" x14ac:dyDescent="0.3">
      <c r="A916">
        <f>INDEX(SETTINGS!$A$15:$A$24,$B916)</f>
        <v>2029</v>
      </c>
      <c r="B916">
        <v>5</v>
      </c>
      <c r="C916" t="str">
        <f>IF(AND(A916&gt;=SETTINGS!$B$4,A916&lt;=SETTINGS!$B$5),"Yes","No")</f>
        <v>No</v>
      </c>
      <c r="D916" t="str">
        <f>IFERROR(INDEX(SETTINGS!$C$15:$C$24,MATCH(A916,SETTINGS!$A$15:$A$24,0)),"No")</f>
        <v>No</v>
      </c>
      <c r="E916">
        <v>1</v>
      </c>
      <c r="F916" t="s">
        <v>2</v>
      </c>
      <c r="G916">
        <v>11</v>
      </c>
      <c r="H916" t="s">
        <v>93</v>
      </c>
      <c r="I916" t="s">
        <v>89</v>
      </c>
      <c r="J916" t="s">
        <v>13</v>
      </c>
      <c r="K916" t="s">
        <v>14</v>
      </c>
      <c r="L916" s="36">
        <f ca="1">IF(C916&lt;&gt;"Yes",0,IF(A916=2025,N('2025'!D11),IF(A916=2026,N('2026'!D11),IF(A916=2027,N('2027'!D11),IF(A916=2028,N('2028'!D11),IF(A916=2029,N('2029'!D11),IF(A916=2030,N('2030'!D11),IF(A916=2031,N('2031'!D11),IF(A916=2032,N('2032'!D11),IF(A916=2033,N('2033'!D11),IF(A916=2034,N('2034'!D11),IFERROR(N(INDIRECT("'"&amp;A916&amp;"'!D"&amp;G916)),0))))))))))))</f>
        <v>0</v>
      </c>
      <c r="M916" s="36">
        <f>IFERROR(IF(NOT(ISBLANK(KPI_TARGETS!$K$7)),KPI_TARGETS!$K$7,IF(NOT(ISBLANK(KPI_TARGETS!$F$7)),KPI_TARGETS!$F$7,"")),"")</f>
        <v>8000</v>
      </c>
      <c r="N916" s="36" t="str">
        <f>IFERROR(KPI_TARGETS!$E$7,"Higher is better")</f>
        <v>Higher is better</v>
      </c>
      <c r="O916" s="37">
        <f t="shared" ca="1" si="84"/>
        <v>0</v>
      </c>
      <c r="P916" t="str">
        <f t="shared" ca="1" si="85"/>
        <v>Red</v>
      </c>
      <c r="Q916" s="36">
        <f t="shared" ca="1" si="86"/>
        <v>-8000</v>
      </c>
      <c r="R916" s="36" t="str">
        <f>""</f>
        <v/>
      </c>
      <c r="S916" s="36" t="str">
        <f>""</f>
        <v/>
      </c>
      <c r="T916" s="36" t="str">
        <f>""</f>
        <v/>
      </c>
      <c r="U916" s="36" t="str">
        <f>""</f>
        <v/>
      </c>
      <c r="V916" s="36" t="str">
        <f>""</f>
        <v/>
      </c>
      <c r="W916" s="36">
        <f t="shared" si="87"/>
        <v>1</v>
      </c>
      <c r="X916" t="str">
        <f t="shared" si="88"/>
        <v>Inactive</v>
      </c>
      <c r="Y916" t="str">
        <f>IF(MAIN!$H$3="Selected Year",IF(A916=MAIN!$B$3,"Yes","No"),IF(MAIN!$H$3="Included Years",IF(D916="Yes","Yes","No"),IF(C916="Yes","Yes","No")))</f>
        <v>No</v>
      </c>
      <c r="Z916" t="str">
        <f>IF(MAIN!$F$3="Project to Date",IF(AND(A916&gt;=SETTINGS!$B$4,A916&lt;MAIN!$B$3),"Yes",IF(AND(A916=MAIN!$B$3,E916&lt;=MAIN!$L$3),"Yes","No")),IF(OR(MAIN!$F$3="Full Year",MAIN!$D$3="All"),"Yes",IF(MAIN!$F$3="Monthly",IF(E916=MAIN!$L$3,"Yes","No"),IF(E916&lt;=MAIN!$L$3,"Yes","No"))))</f>
        <v>Yes</v>
      </c>
      <c r="AA916" t="str">
        <f t="shared" si="89"/>
        <v>No</v>
      </c>
    </row>
    <row r="917" spans="1:27" x14ac:dyDescent="0.3">
      <c r="A917">
        <f>INDEX(SETTINGS!$A$15:$A$24,$B917)</f>
        <v>2029</v>
      </c>
      <c r="B917">
        <v>5</v>
      </c>
      <c r="C917" t="str">
        <f>IF(AND(A917&gt;=SETTINGS!$B$4,A917&lt;=SETTINGS!$B$5),"Yes","No")</f>
        <v>No</v>
      </c>
      <c r="D917" t="str">
        <f>IFERROR(INDEX(SETTINGS!$C$15:$C$24,MATCH(A917,SETTINGS!$A$15:$A$24,0)),"No")</f>
        <v>No</v>
      </c>
      <c r="E917">
        <v>1</v>
      </c>
      <c r="F917" t="s">
        <v>2</v>
      </c>
      <c r="G917">
        <v>13</v>
      </c>
      <c r="H917" t="s">
        <v>95</v>
      </c>
      <c r="I917" t="s">
        <v>15</v>
      </c>
      <c r="J917" t="s">
        <v>16</v>
      </c>
      <c r="K917" t="s">
        <v>3</v>
      </c>
      <c r="L917" s="36">
        <f ca="1">IF(C917&lt;&gt;"Yes",0,IF(A917=2025,N('2025'!D13),IF(A917=2026,N('2026'!D13),IF(A917=2027,N('2027'!D13),IF(A917=2028,N('2028'!D13),IF(A917=2029,N('2029'!D13),IF(A917=2030,N('2030'!D13),IF(A917=2031,N('2031'!D13),IF(A917=2032,N('2032'!D13),IF(A917=2033,N('2033'!D13),IF(A917=2034,N('2034'!D13),IFERROR(N(INDIRECT("'"&amp;A917&amp;"'!D"&amp;G917)),0))))))))))))</f>
        <v>0</v>
      </c>
      <c r="M917" s="36">
        <f>IFERROR(IF(NOT(ISBLANK(KPI_TARGETS!$K$8)),KPI_TARGETS!$K$8,IF(NOT(ISBLANK(KPI_TARGETS!$F$8)),KPI_TARGETS!$F$8,"")),"")</f>
        <v>0</v>
      </c>
      <c r="N917" s="36" t="str">
        <f>IFERROR(KPI_TARGETS!$E$8,"Higher is better")</f>
        <v>Lower is better</v>
      </c>
      <c r="O917" s="37">
        <f t="shared" ca="1" si="84"/>
        <v>1</v>
      </c>
      <c r="P917" t="str">
        <f t="shared" ca="1" si="85"/>
        <v>Green</v>
      </c>
      <c r="Q917" s="36">
        <f t="shared" ca="1" si="86"/>
        <v>0</v>
      </c>
      <c r="R917" s="36" t="str">
        <f>""</f>
        <v/>
      </c>
      <c r="S917" s="36" t="str">
        <f>""</f>
        <v/>
      </c>
      <c r="T917" s="36" t="str">
        <f>""</f>
        <v/>
      </c>
      <c r="U917" s="36" t="str">
        <f>""</f>
        <v/>
      </c>
      <c r="V917" s="36" t="str">
        <f>""</f>
        <v/>
      </c>
      <c r="W917" s="36">
        <f t="shared" si="87"/>
        <v>1</v>
      </c>
      <c r="X917" t="str">
        <f t="shared" si="88"/>
        <v>Inactive</v>
      </c>
      <c r="Y917" t="str">
        <f>IF(MAIN!$H$3="Selected Year",IF(A917=MAIN!$B$3,"Yes","No"),IF(MAIN!$H$3="Included Years",IF(D917="Yes","Yes","No"),IF(C917="Yes","Yes","No")))</f>
        <v>No</v>
      </c>
      <c r="Z917" t="str">
        <f>IF(MAIN!$F$3="Project to Date",IF(AND(A917&gt;=SETTINGS!$B$4,A917&lt;MAIN!$B$3),"Yes",IF(AND(A917=MAIN!$B$3,E917&lt;=MAIN!$L$3),"Yes","No")),IF(OR(MAIN!$F$3="Full Year",MAIN!$D$3="All"),"Yes",IF(MAIN!$F$3="Monthly",IF(E917=MAIN!$L$3,"Yes","No"),IF(E917&lt;=MAIN!$L$3,"Yes","No"))))</f>
        <v>Yes</v>
      </c>
      <c r="AA917" t="str">
        <f t="shared" si="89"/>
        <v>No</v>
      </c>
    </row>
    <row r="918" spans="1:27" x14ac:dyDescent="0.3">
      <c r="A918">
        <f>INDEX(SETTINGS!$A$15:$A$24,$B918)</f>
        <v>2029</v>
      </c>
      <c r="B918">
        <v>5</v>
      </c>
      <c r="C918" t="str">
        <f>IF(AND(A918&gt;=SETTINGS!$B$4,A918&lt;=SETTINGS!$B$5),"Yes","No")</f>
        <v>No</v>
      </c>
      <c r="D918" t="str">
        <f>IFERROR(INDEX(SETTINGS!$C$15:$C$24,MATCH(A918,SETTINGS!$A$15:$A$24,0)),"No")</f>
        <v>No</v>
      </c>
      <c r="E918">
        <v>1</v>
      </c>
      <c r="F918" t="s">
        <v>2</v>
      </c>
      <c r="G918">
        <v>14</v>
      </c>
      <c r="H918" t="s">
        <v>97</v>
      </c>
      <c r="I918" t="s">
        <v>15</v>
      </c>
      <c r="J918" t="s">
        <v>17</v>
      </c>
      <c r="K918" t="s">
        <v>3</v>
      </c>
      <c r="L918" s="36">
        <f ca="1">IF(C918&lt;&gt;"Yes",0,IF(A918=2025,N('2025'!D14),IF(A918=2026,N('2026'!D14),IF(A918=2027,N('2027'!D14),IF(A918=2028,N('2028'!D14),IF(A918=2029,N('2029'!D14),IF(A918=2030,N('2030'!D14),IF(A918=2031,N('2031'!D14),IF(A918=2032,N('2032'!D14),IF(A918=2033,N('2033'!D14),IF(A918=2034,N('2034'!D14),IFERROR(N(INDIRECT("'"&amp;A918&amp;"'!D"&amp;G918)),0))))))))))))</f>
        <v>0</v>
      </c>
      <c r="M918" s="36">
        <f>IFERROR(IF(NOT(ISBLANK(KPI_TARGETS!$K$9)),KPI_TARGETS!$K$9,IF(NOT(ISBLANK(KPI_TARGETS!$F$9)),KPI_TARGETS!$F$9,"")),"")</f>
        <v>0</v>
      </c>
      <c r="N918" s="36" t="str">
        <f>IFERROR(KPI_TARGETS!$E$9,"Higher is better")</f>
        <v>Higher is better</v>
      </c>
      <c r="O918" s="37" t="str">
        <f t="shared" ca="1" si="84"/>
        <v/>
      </c>
      <c r="P918" t="str">
        <f t="shared" ca="1" si="85"/>
        <v>Green</v>
      </c>
      <c r="Q918" s="36">
        <f t="shared" ca="1" si="86"/>
        <v>0</v>
      </c>
      <c r="R918" s="36" t="str">
        <f>""</f>
        <v/>
      </c>
      <c r="S918" s="36" t="str">
        <f>""</f>
        <v/>
      </c>
      <c r="T918" s="36" t="str">
        <f>""</f>
        <v/>
      </c>
      <c r="U918" s="36" t="str">
        <f>""</f>
        <v/>
      </c>
      <c r="V918" s="36" t="str">
        <f>""</f>
        <v/>
      </c>
      <c r="W918" s="36">
        <f t="shared" si="87"/>
        <v>1</v>
      </c>
      <c r="X918" t="str">
        <f t="shared" si="88"/>
        <v>Inactive</v>
      </c>
      <c r="Y918" t="str">
        <f>IF(MAIN!$H$3="Selected Year",IF(A918=MAIN!$B$3,"Yes","No"),IF(MAIN!$H$3="Included Years",IF(D918="Yes","Yes","No"),IF(C918="Yes","Yes","No")))</f>
        <v>No</v>
      </c>
      <c r="Z918" t="str">
        <f>IF(MAIN!$F$3="Project to Date",IF(AND(A918&gt;=SETTINGS!$B$4,A918&lt;MAIN!$B$3),"Yes",IF(AND(A918=MAIN!$B$3,E918&lt;=MAIN!$L$3),"Yes","No")),IF(OR(MAIN!$F$3="Full Year",MAIN!$D$3="All"),"Yes",IF(MAIN!$F$3="Monthly",IF(E918=MAIN!$L$3,"Yes","No"),IF(E918&lt;=MAIN!$L$3,"Yes","No"))))</f>
        <v>Yes</v>
      </c>
      <c r="AA918" t="str">
        <f t="shared" si="89"/>
        <v>No</v>
      </c>
    </row>
    <row r="919" spans="1:27" x14ac:dyDescent="0.3">
      <c r="A919">
        <f>INDEX(SETTINGS!$A$15:$A$24,$B919)</f>
        <v>2029</v>
      </c>
      <c r="B919">
        <v>5</v>
      </c>
      <c r="C919" t="str">
        <f>IF(AND(A919&gt;=SETTINGS!$B$4,A919&lt;=SETTINGS!$B$5),"Yes","No")</f>
        <v>No</v>
      </c>
      <c r="D919" t="str">
        <f>IFERROR(INDEX(SETTINGS!$C$15:$C$24,MATCH(A919,SETTINGS!$A$15:$A$24,0)),"No")</f>
        <v>No</v>
      </c>
      <c r="E919">
        <v>1</v>
      </c>
      <c r="F919" t="s">
        <v>2</v>
      </c>
      <c r="G919">
        <v>15</v>
      </c>
      <c r="H919" t="s">
        <v>99</v>
      </c>
      <c r="I919" t="s">
        <v>15</v>
      </c>
      <c r="J919" t="s">
        <v>18</v>
      </c>
      <c r="K919" t="s">
        <v>3</v>
      </c>
      <c r="L919" s="36">
        <f ca="1">IF(C919&lt;&gt;"Yes",0,IF(A919=2025,N('2025'!D15),IF(A919=2026,N('2026'!D15),IF(A919=2027,N('2027'!D15),IF(A919=2028,N('2028'!D15),IF(A919=2029,N('2029'!D15),IF(A919=2030,N('2030'!D15),IF(A919=2031,N('2031'!D15),IF(A919=2032,N('2032'!D15),IF(A919=2033,N('2033'!D15),IF(A919=2034,N('2034'!D15),IFERROR(N(INDIRECT("'"&amp;A919&amp;"'!D"&amp;G919)),0))))))))))))</f>
        <v>0</v>
      </c>
      <c r="M919" s="36">
        <f>IFERROR(IF(NOT(ISBLANK(KPI_TARGETS!$K$10)),KPI_TARGETS!$K$10,IF(NOT(ISBLANK(KPI_TARGETS!$F$10)),KPI_TARGETS!$F$10,"")),"")</f>
        <v>0</v>
      </c>
      <c r="N919" s="36" t="str">
        <f>IFERROR(KPI_TARGETS!$E$10,"Higher is better")</f>
        <v>Lower is better</v>
      </c>
      <c r="O919" s="37">
        <f t="shared" ca="1" si="84"/>
        <v>1</v>
      </c>
      <c r="P919" t="str">
        <f t="shared" ca="1" si="85"/>
        <v>Green</v>
      </c>
      <c r="Q919" s="36">
        <f t="shared" ca="1" si="86"/>
        <v>0</v>
      </c>
      <c r="R919" s="36" t="str">
        <f>""</f>
        <v/>
      </c>
      <c r="S919" s="36" t="str">
        <f>""</f>
        <v/>
      </c>
      <c r="T919" s="36" t="str">
        <f>""</f>
        <v/>
      </c>
      <c r="U919" s="36" t="str">
        <f>""</f>
        <v/>
      </c>
      <c r="V919" s="36" t="str">
        <f>""</f>
        <v/>
      </c>
      <c r="W919" s="36">
        <f t="shared" si="87"/>
        <v>1</v>
      </c>
      <c r="X919" t="str">
        <f t="shared" si="88"/>
        <v>Inactive</v>
      </c>
      <c r="Y919" t="str">
        <f>IF(MAIN!$H$3="Selected Year",IF(A919=MAIN!$B$3,"Yes","No"),IF(MAIN!$H$3="Included Years",IF(D919="Yes","Yes","No"),IF(C919="Yes","Yes","No")))</f>
        <v>No</v>
      </c>
      <c r="Z919" t="str">
        <f>IF(MAIN!$F$3="Project to Date",IF(AND(A919&gt;=SETTINGS!$B$4,A919&lt;MAIN!$B$3),"Yes",IF(AND(A919=MAIN!$B$3,E919&lt;=MAIN!$L$3),"Yes","No")),IF(OR(MAIN!$F$3="Full Year",MAIN!$D$3="All"),"Yes",IF(MAIN!$F$3="Monthly",IF(E919=MAIN!$L$3,"Yes","No"),IF(E919&lt;=MAIN!$L$3,"Yes","No"))))</f>
        <v>Yes</v>
      </c>
      <c r="AA919" t="str">
        <f t="shared" si="89"/>
        <v>No</v>
      </c>
    </row>
    <row r="920" spans="1:27" x14ac:dyDescent="0.3">
      <c r="A920">
        <f>INDEX(SETTINGS!$A$15:$A$24,$B920)</f>
        <v>2029</v>
      </c>
      <c r="B920">
        <v>5</v>
      </c>
      <c r="C920" t="str">
        <f>IF(AND(A920&gt;=SETTINGS!$B$4,A920&lt;=SETTINGS!$B$5),"Yes","No")</f>
        <v>No</v>
      </c>
      <c r="D920" t="str">
        <f>IFERROR(INDEX(SETTINGS!$C$15:$C$24,MATCH(A920,SETTINGS!$A$15:$A$24,0)),"No")</f>
        <v>No</v>
      </c>
      <c r="E920">
        <v>1</v>
      </c>
      <c r="F920" t="s">
        <v>2</v>
      </c>
      <c r="G920">
        <v>16</v>
      </c>
      <c r="H920" t="s">
        <v>100</v>
      </c>
      <c r="I920" t="s">
        <v>15</v>
      </c>
      <c r="J920" t="s">
        <v>19</v>
      </c>
      <c r="K920" t="s">
        <v>3</v>
      </c>
      <c r="L920" s="36">
        <f ca="1">IF(C920&lt;&gt;"Yes",0,IF(A920=2025,N('2025'!D16),IF(A920=2026,N('2026'!D16),IF(A920=2027,N('2027'!D16),IF(A920=2028,N('2028'!D16),IF(A920=2029,N('2029'!D16),IF(A920=2030,N('2030'!D16),IF(A920=2031,N('2031'!D16),IF(A920=2032,N('2032'!D16),IF(A920=2033,N('2033'!D16),IF(A920=2034,N('2034'!D16),IFERROR(N(INDIRECT("'"&amp;A920&amp;"'!D"&amp;G920)),0))))))))))))</f>
        <v>0</v>
      </c>
      <c r="M920" s="36">
        <f>IFERROR(IF(NOT(ISBLANK(KPI_TARGETS!$K$11)),KPI_TARGETS!$K$11,IF(NOT(ISBLANK(KPI_TARGETS!$F$11)),KPI_TARGETS!$F$11,"")),"")</f>
        <v>0</v>
      </c>
      <c r="N920" s="36" t="str">
        <f>IFERROR(KPI_TARGETS!$E$11,"Higher is better")</f>
        <v>Lower is better</v>
      </c>
      <c r="O920" s="37">
        <f t="shared" ca="1" si="84"/>
        <v>1</v>
      </c>
      <c r="P920" t="str">
        <f t="shared" ca="1" si="85"/>
        <v>Green</v>
      </c>
      <c r="Q920" s="36">
        <f t="shared" ca="1" si="86"/>
        <v>0</v>
      </c>
      <c r="R920" s="36" t="str">
        <f>""</f>
        <v/>
      </c>
      <c r="S920" s="36" t="str">
        <f>""</f>
        <v/>
      </c>
      <c r="T920" s="36" t="str">
        <f>""</f>
        <v/>
      </c>
      <c r="U920" s="36" t="str">
        <f>""</f>
        <v/>
      </c>
      <c r="V920" s="36" t="str">
        <f>""</f>
        <v/>
      </c>
      <c r="W920" s="36">
        <f t="shared" si="87"/>
        <v>1</v>
      </c>
      <c r="X920" t="str">
        <f t="shared" si="88"/>
        <v>Inactive</v>
      </c>
      <c r="Y920" t="str">
        <f>IF(MAIN!$H$3="Selected Year",IF(A920=MAIN!$B$3,"Yes","No"),IF(MAIN!$H$3="Included Years",IF(D920="Yes","Yes","No"),IF(C920="Yes","Yes","No")))</f>
        <v>No</v>
      </c>
      <c r="Z920" t="str">
        <f>IF(MAIN!$F$3="Project to Date",IF(AND(A920&gt;=SETTINGS!$B$4,A920&lt;MAIN!$B$3),"Yes",IF(AND(A920=MAIN!$B$3,E920&lt;=MAIN!$L$3),"Yes","No")),IF(OR(MAIN!$F$3="Full Year",MAIN!$D$3="All"),"Yes",IF(MAIN!$F$3="Monthly",IF(E920=MAIN!$L$3,"Yes","No"),IF(E920&lt;=MAIN!$L$3,"Yes","No"))))</f>
        <v>Yes</v>
      </c>
      <c r="AA920" t="str">
        <f t="shared" si="89"/>
        <v>No</v>
      </c>
    </row>
    <row r="921" spans="1:27" x14ac:dyDescent="0.3">
      <c r="A921">
        <f>INDEX(SETTINGS!$A$15:$A$24,$B921)</f>
        <v>2029</v>
      </c>
      <c r="B921">
        <v>5</v>
      </c>
      <c r="C921" t="str">
        <f>IF(AND(A921&gt;=SETTINGS!$B$4,A921&lt;=SETTINGS!$B$5),"Yes","No")</f>
        <v>No</v>
      </c>
      <c r="D921" t="str">
        <f>IFERROR(INDEX(SETTINGS!$C$15:$C$24,MATCH(A921,SETTINGS!$A$15:$A$24,0)),"No")</f>
        <v>No</v>
      </c>
      <c r="E921">
        <v>1</v>
      </c>
      <c r="F921" t="s">
        <v>2</v>
      </c>
      <c r="G921">
        <v>17</v>
      </c>
      <c r="H921" t="s">
        <v>101</v>
      </c>
      <c r="I921" t="s">
        <v>15</v>
      </c>
      <c r="J921" t="s">
        <v>20</v>
      </c>
      <c r="K921" t="s">
        <v>3</v>
      </c>
      <c r="L921" s="36">
        <f ca="1">IF(C921&lt;&gt;"Yes",0,IF(A921=2025,N('2025'!D17),IF(A921=2026,N('2026'!D17),IF(A921=2027,N('2027'!D17),IF(A921=2028,N('2028'!D17),IF(A921=2029,N('2029'!D17),IF(A921=2030,N('2030'!D17),IF(A921=2031,N('2031'!D17),IF(A921=2032,N('2032'!D17),IF(A921=2033,N('2033'!D17),IF(A921=2034,N('2034'!D17),IFERROR(N(INDIRECT("'"&amp;A921&amp;"'!D"&amp;G921)),0))))))))))))</f>
        <v>0</v>
      </c>
      <c r="M921" s="36">
        <f>IFERROR(IF(NOT(ISBLANK(KPI_TARGETS!$K$12)),KPI_TARGETS!$K$12,IF(NOT(ISBLANK(KPI_TARGETS!$F$12)),KPI_TARGETS!$F$12,"")),"")</f>
        <v>0</v>
      </c>
      <c r="N921" s="36" t="str">
        <f>IFERROR(KPI_TARGETS!$E$12,"Higher is better")</f>
        <v>Lower is better</v>
      </c>
      <c r="O921" s="37">
        <f t="shared" ca="1" si="84"/>
        <v>1</v>
      </c>
      <c r="P921" t="str">
        <f t="shared" ca="1" si="85"/>
        <v>Green</v>
      </c>
      <c r="Q921" s="36">
        <f t="shared" ca="1" si="86"/>
        <v>0</v>
      </c>
      <c r="R921" s="36" t="str">
        <f>""</f>
        <v/>
      </c>
      <c r="S921" s="36" t="str">
        <f>""</f>
        <v/>
      </c>
      <c r="T921" s="36" t="str">
        <f>""</f>
        <v/>
      </c>
      <c r="U921" s="36" t="str">
        <f>""</f>
        <v/>
      </c>
      <c r="V921" s="36" t="str">
        <f>""</f>
        <v/>
      </c>
      <c r="W921" s="36">
        <f t="shared" si="87"/>
        <v>1</v>
      </c>
      <c r="X921" t="str">
        <f t="shared" si="88"/>
        <v>Inactive</v>
      </c>
      <c r="Y921" t="str">
        <f>IF(MAIN!$H$3="Selected Year",IF(A921=MAIN!$B$3,"Yes","No"),IF(MAIN!$H$3="Included Years",IF(D921="Yes","Yes","No"),IF(C921="Yes","Yes","No")))</f>
        <v>No</v>
      </c>
      <c r="Z921" t="str">
        <f>IF(MAIN!$F$3="Project to Date",IF(AND(A921&gt;=SETTINGS!$B$4,A921&lt;MAIN!$B$3),"Yes",IF(AND(A921=MAIN!$B$3,E921&lt;=MAIN!$L$3),"Yes","No")),IF(OR(MAIN!$F$3="Full Year",MAIN!$D$3="All"),"Yes",IF(MAIN!$F$3="Monthly",IF(E921=MAIN!$L$3,"Yes","No"),IF(E921&lt;=MAIN!$L$3,"Yes","No"))))</f>
        <v>Yes</v>
      </c>
      <c r="AA921" t="str">
        <f t="shared" si="89"/>
        <v>No</v>
      </c>
    </row>
    <row r="922" spans="1:27" x14ac:dyDescent="0.3">
      <c r="A922">
        <f>INDEX(SETTINGS!$A$15:$A$24,$B922)</f>
        <v>2029</v>
      </c>
      <c r="B922">
        <v>5</v>
      </c>
      <c r="C922" t="str">
        <f>IF(AND(A922&gt;=SETTINGS!$B$4,A922&lt;=SETTINGS!$B$5),"Yes","No")</f>
        <v>No</v>
      </c>
      <c r="D922" t="str">
        <f>IFERROR(INDEX(SETTINGS!$C$15:$C$24,MATCH(A922,SETTINGS!$A$15:$A$24,0)),"No")</f>
        <v>No</v>
      </c>
      <c r="E922">
        <v>1</v>
      </c>
      <c r="F922" t="s">
        <v>2</v>
      </c>
      <c r="G922">
        <v>18</v>
      </c>
      <c r="H922" t="s">
        <v>102</v>
      </c>
      <c r="I922" t="s">
        <v>15</v>
      </c>
      <c r="J922" t="s">
        <v>21</v>
      </c>
      <c r="K922" t="s">
        <v>3</v>
      </c>
      <c r="L922" s="36">
        <f ca="1">IF(C922&lt;&gt;"Yes",0,IF(A922=2025,N('2025'!D18),IF(A922=2026,N('2026'!D18),IF(A922=2027,N('2027'!D18),IF(A922=2028,N('2028'!D18),IF(A922=2029,N('2029'!D18),IF(A922=2030,N('2030'!D18),IF(A922=2031,N('2031'!D18),IF(A922=2032,N('2032'!D18),IF(A922=2033,N('2033'!D18),IF(A922=2034,N('2034'!D18),IFERROR(N(INDIRECT("'"&amp;A922&amp;"'!D"&amp;G922)),0))))))))))))</f>
        <v>0</v>
      </c>
      <c r="M922" s="36">
        <f>IFERROR(IF(NOT(ISBLANK(KPI_TARGETS!$K$13)),KPI_TARGETS!$K$13,IF(NOT(ISBLANK(KPI_TARGETS!$F$13)),KPI_TARGETS!$F$13,"")),"")</f>
        <v>0</v>
      </c>
      <c r="N922" s="36" t="str">
        <f>IFERROR(KPI_TARGETS!$E$13,"Higher is better")</f>
        <v>Lower is better</v>
      </c>
      <c r="O922" s="37">
        <f t="shared" ca="1" si="84"/>
        <v>1</v>
      </c>
      <c r="P922" t="str">
        <f t="shared" ca="1" si="85"/>
        <v>Green</v>
      </c>
      <c r="Q922" s="36">
        <f t="shared" ca="1" si="86"/>
        <v>0</v>
      </c>
      <c r="R922" s="36" t="str">
        <f>""</f>
        <v/>
      </c>
      <c r="S922" s="36" t="str">
        <f>""</f>
        <v/>
      </c>
      <c r="T922" s="36" t="str">
        <f>""</f>
        <v/>
      </c>
      <c r="U922" s="36" t="str">
        <f>""</f>
        <v/>
      </c>
      <c r="V922" s="36" t="str">
        <f>""</f>
        <v/>
      </c>
      <c r="W922" s="36">
        <f t="shared" si="87"/>
        <v>1</v>
      </c>
      <c r="X922" t="str">
        <f t="shared" si="88"/>
        <v>Inactive</v>
      </c>
      <c r="Y922" t="str">
        <f>IF(MAIN!$H$3="Selected Year",IF(A922=MAIN!$B$3,"Yes","No"),IF(MAIN!$H$3="Included Years",IF(D922="Yes","Yes","No"),IF(C922="Yes","Yes","No")))</f>
        <v>No</v>
      </c>
      <c r="Z922" t="str">
        <f>IF(MAIN!$F$3="Project to Date",IF(AND(A922&gt;=SETTINGS!$B$4,A922&lt;MAIN!$B$3),"Yes",IF(AND(A922=MAIN!$B$3,E922&lt;=MAIN!$L$3),"Yes","No")),IF(OR(MAIN!$F$3="Full Year",MAIN!$D$3="All"),"Yes",IF(MAIN!$F$3="Monthly",IF(E922=MAIN!$L$3,"Yes","No"),IF(E922&lt;=MAIN!$L$3,"Yes","No"))))</f>
        <v>Yes</v>
      </c>
      <c r="AA922" t="str">
        <f t="shared" si="89"/>
        <v>No</v>
      </c>
    </row>
    <row r="923" spans="1:27" x14ac:dyDescent="0.3">
      <c r="A923">
        <f>INDEX(SETTINGS!$A$15:$A$24,$B923)</f>
        <v>2029</v>
      </c>
      <c r="B923">
        <v>5</v>
      </c>
      <c r="C923" t="str">
        <f>IF(AND(A923&gt;=SETTINGS!$B$4,A923&lt;=SETTINGS!$B$5),"Yes","No")</f>
        <v>No</v>
      </c>
      <c r="D923" t="str">
        <f>IFERROR(INDEX(SETTINGS!$C$15:$C$24,MATCH(A923,SETTINGS!$A$15:$A$24,0)),"No")</f>
        <v>No</v>
      </c>
      <c r="E923">
        <v>1</v>
      </c>
      <c r="F923" t="s">
        <v>2</v>
      </c>
      <c r="G923">
        <v>20</v>
      </c>
      <c r="H923" t="s">
        <v>103</v>
      </c>
      <c r="I923" t="s">
        <v>22</v>
      </c>
      <c r="J923" t="s">
        <v>23</v>
      </c>
      <c r="K923" t="s">
        <v>3</v>
      </c>
      <c r="L923" s="36">
        <f ca="1">IF(C923&lt;&gt;"Yes",0,IF(A923=2025,N('2025'!D20),IF(A923=2026,N('2026'!D20),IF(A923=2027,N('2027'!D20),IF(A923=2028,N('2028'!D20),IF(A923=2029,N('2029'!D20),IF(A923=2030,N('2030'!D20),IF(A923=2031,N('2031'!D20),IF(A923=2032,N('2032'!D20),IF(A923=2033,N('2033'!D20),IF(A923=2034,N('2034'!D20),IFERROR(N(INDIRECT("'"&amp;A923&amp;"'!D"&amp;G923)),0))))))))))))</f>
        <v>0</v>
      </c>
      <c r="M923" s="36">
        <f>IFERROR(IF(NOT(ISBLANK(KPI_TARGETS!$K$14)),KPI_TARGETS!$K$14,IF(NOT(ISBLANK(KPI_TARGETS!$F$14)),KPI_TARGETS!$F$14,"")),"")</f>
        <v>35</v>
      </c>
      <c r="N923" s="36" t="str">
        <f>IFERROR(KPI_TARGETS!$E$14,"Higher is better")</f>
        <v>Higher is better</v>
      </c>
      <c r="O923" s="37">
        <f t="shared" ca="1" si="84"/>
        <v>0</v>
      </c>
      <c r="P923" t="str">
        <f t="shared" ca="1" si="85"/>
        <v>Red</v>
      </c>
      <c r="Q923" s="36">
        <f t="shared" ca="1" si="86"/>
        <v>-35</v>
      </c>
      <c r="R923" s="36" t="str">
        <f>""</f>
        <v/>
      </c>
      <c r="S923" s="36" t="str">
        <f>""</f>
        <v/>
      </c>
      <c r="T923" s="36" t="str">
        <f>""</f>
        <v/>
      </c>
      <c r="U923" s="36" t="str">
        <f>""</f>
        <v/>
      </c>
      <c r="V923" s="36" t="str">
        <f>""</f>
        <v/>
      </c>
      <c r="W923" s="36">
        <f t="shared" si="87"/>
        <v>1</v>
      </c>
      <c r="X923" t="str">
        <f t="shared" si="88"/>
        <v>Inactive</v>
      </c>
      <c r="Y923" t="str">
        <f>IF(MAIN!$H$3="Selected Year",IF(A923=MAIN!$B$3,"Yes","No"),IF(MAIN!$H$3="Included Years",IF(D923="Yes","Yes","No"),IF(C923="Yes","Yes","No")))</f>
        <v>No</v>
      </c>
      <c r="Z923" t="str">
        <f>IF(MAIN!$F$3="Project to Date",IF(AND(A923&gt;=SETTINGS!$B$4,A923&lt;MAIN!$B$3),"Yes",IF(AND(A923=MAIN!$B$3,E923&lt;=MAIN!$L$3),"Yes","No")),IF(OR(MAIN!$F$3="Full Year",MAIN!$D$3="All"),"Yes",IF(MAIN!$F$3="Monthly",IF(E923=MAIN!$L$3,"Yes","No"),IF(E923&lt;=MAIN!$L$3,"Yes","No"))))</f>
        <v>Yes</v>
      </c>
      <c r="AA923" t="str">
        <f t="shared" si="89"/>
        <v>No</v>
      </c>
    </row>
    <row r="924" spans="1:27" x14ac:dyDescent="0.3">
      <c r="A924">
        <f>INDEX(SETTINGS!$A$15:$A$24,$B924)</f>
        <v>2029</v>
      </c>
      <c r="B924">
        <v>5</v>
      </c>
      <c r="C924" t="str">
        <f>IF(AND(A924&gt;=SETTINGS!$B$4,A924&lt;=SETTINGS!$B$5),"Yes","No")</f>
        <v>No</v>
      </c>
      <c r="D924" t="str">
        <f>IFERROR(INDEX(SETTINGS!$C$15:$C$24,MATCH(A924,SETTINGS!$A$15:$A$24,0)),"No")</f>
        <v>No</v>
      </c>
      <c r="E924">
        <v>1</v>
      </c>
      <c r="F924" t="s">
        <v>2</v>
      </c>
      <c r="G924">
        <v>21</v>
      </c>
      <c r="H924" t="s">
        <v>104</v>
      </c>
      <c r="I924" t="s">
        <v>22</v>
      </c>
      <c r="J924" t="s">
        <v>24</v>
      </c>
      <c r="K924" t="s">
        <v>3</v>
      </c>
      <c r="L924" s="36">
        <f ca="1">IF(C924&lt;&gt;"Yes",0,IF(A924=2025,N('2025'!D21),IF(A924=2026,N('2026'!D21),IF(A924=2027,N('2027'!D21),IF(A924=2028,N('2028'!D21),IF(A924=2029,N('2029'!D21),IF(A924=2030,N('2030'!D21),IF(A924=2031,N('2031'!D21),IF(A924=2032,N('2032'!D21),IF(A924=2033,N('2033'!D21),IF(A924=2034,N('2034'!D21),IFERROR(N(INDIRECT("'"&amp;A924&amp;"'!D"&amp;G924)),0))))))))))))</f>
        <v>0</v>
      </c>
      <c r="M924" s="36">
        <f>IFERROR(IF(NOT(ISBLANK(KPI_TARGETS!$K$15)),KPI_TARGETS!$K$15,IF(NOT(ISBLANK(KPI_TARGETS!$F$15)),KPI_TARGETS!$F$15,"")),"")</f>
        <v>5</v>
      </c>
      <c r="N924" s="36" t="str">
        <f>IFERROR(KPI_TARGETS!$E$15,"Higher is better")</f>
        <v>Higher is better</v>
      </c>
      <c r="O924" s="37">
        <f t="shared" ca="1" si="84"/>
        <v>0</v>
      </c>
      <c r="P924" t="str">
        <f t="shared" ca="1" si="85"/>
        <v>Red</v>
      </c>
      <c r="Q924" s="36">
        <f t="shared" ca="1" si="86"/>
        <v>-5</v>
      </c>
      <c r="R924" s="36" t="str">
        <f>""</f>
        <v/>
      </c>
      <c r="S924" s="36" t="str">
        <f>""</f>
        <v/>
      </c>
      <c r="T924" s="36" t="str">
        <f>""</f>
        <v/>
      </c>
      <c r="U924" s="36" t="str">
        <f>""</f>
        <v/>
      </c>
      <c r="V924" s="36" t="str">
        <f>""</f>
        <v/>
      </c>
      <c r="W924" s="36">
        <f t="shared" si="87"/>
        <v>1</v>
      </c>
      <c r="X924" t="str">
        <f t="shared" si="88"/>
        <v>Inactive</v>
      </c>
      <c r="Y924" t="str">
        <f>IF(MAIN!$H$3="Selected Year",IF(A924=MAIN!$B$3,"Yes","No"),IF(MAIN!$H$3="Included Years",IF(D924="Yes","Yes","No"),IF(C924="Yes","Yes","No")))</f>
        <v>No</v>
      </c>
      <c r="Z924" t="str">
        <f>IF(MAIN!$F$3="Project to Date",IF(AND(A924&gt;=SETTINGS!$B$4,A924&lt;MAIN!$B$3),"Yes",IF(AND(A924=MAIN!$B$3,E924&lt;=MAIN!$L$3),"Yes","No")),IF(OR(MAIN!$F$3="Full Year",MAIN!$D$3="All"),"Yes",IF(MAIN!$F$3="Monthly",IF(E924=MAIN!$L$3,"Yes","No"),IF(E924&lt;=MAIN!$L$3,"Yes","No"))))</f>
        <v>Yes</v>
      </c>
      <c r="AA924" t="str">
        <f t="shared" si="89"/>
        <v>No</v>
      </c>
    </row>
    <row r="925" spans="1:27" x14ac:dyDescent="0.3">
      <c r="A925">
        <f>INDEX(SETTINGS!$A$15:$A$24,$B925)</f>
        <v>2029</v>
      </c>
      <c r="B925">
        <v>5</v>
      </c>
      <c r="C925" t="str">
        <f>IF(AND(A925&gt;=SETTINGS!$B$4,A925&lt;=SETTINGS!$B$5),"Yes","No")</f>
        <v>No</v>
      </c>
      <c r="D925" t="str">
        <f>IFERROR(INDEX(SETTINGS!$C$15:$C$24,MATCH(A925,SETTINGS!$A$15:$A$24,0)),"No")</f>
        <v>No</v>
      </c>
      <c r="E925">
        <v>1</v>
      </c>
      <c r="F925" t="s">
        <v>2</v>
      </c>
      <c r="G925">
        <v>22</v>
      </c>
      <c r="H925" t="s">
        <v>105</v>
      </c>
      <c r="I925" t="s">
        <v>22</v>
      </c>
      <c r="J925" t="s">
        <v>25</v>
      </c>
      <c r="K925" t="s">
        <v>3</v>
      </c>
      <c r="L925" s="36">
        <f ca="1">IF(C925&lt;&gt;"Yes",0,IF(A925=2025,N('2025'!D22),IF(A925=2026,N('2026'!D22),IF(A925=2027,N('2027'!D22),IF(A925=2028,N('2028'!D22),IF(A925=2029,N('2029'!D22),IF(A925=2030,N('2030'!D22),IF(A925=2031,N('2031'!D22),IF(A925=2032,N('2032'!D22),IF(A925=2033,N('2033'!D22),IF(A925=2034,N('2034'!D22),IFERROR(N(INDIRECT("'"&amp;A925&amp;"'!D"&amp;G925)),0))))))))))))</f>
        <v>0</v>
      </c>
      <c r="M925" s="36">
        <f>IFERROR(IF(NOT(ISBLANK(KPI_TARGETS!$K$16)),KPI_TARGETS!$K$16,IF(NOT(ISBLANK(KPI_TARGETS!$F$16)),KPI_TARGETS!$F$16,"")),"")</f>
        <v>4</v>
      </c>
      <c r="N925" s="36" t="str">
        <f>IFERROR(KPI_TARGETS!$E$16,"Higher is better")</f>
        <v>Higher is better</v>
      </c>
      <c r="O925" s="37">
        <f t="shared" ca="1" si="84"/>
        <v>0</v>
      </c>
      <c r="P925" t="str">
        <f t="shared" ca="1" si="85"/>
        <v>Red</v>
      </c>
      <c r="Q925" s="36">
        <f t="shared" ca="1" si="86"/>
        <v>-4</v>
      </c>
      <c r="R925" s="36" t="str">
        <f>""</f>
        <v/>
      </c>
      <c r="S925" s="36" t="str">
        <f>""</f>
        <v/>
      </c>
      <c r="T925" s="36" t="str">
        <f>""</f>
        <v/>
      </c>
      <c r="U925" s="36" t="str">
        <f>""</f>
        <v/>
      </c>
      <c r="V925" s="36" t="str">
        <f>""</f>
        <v/>
      </c>
      <c r="W925" s="36">
        <f t="shared" si="87"/>
        <v>1</v>
      </c>
      <c r="X925" t="str">
        <f t="shared" si="88"/>
        <v>Inactive</v>
      </c>
      <c r="Y925" t="str">
        <f>IF(MAIN!$H$3="Selected Year",IF(A925=MAIN!$B$3,"Yes","No"),IF(MAIN!$H$3="Included Years",IF(D925="Yes","Yes","No"),IF(C925="Yes","Yes","No")))</f>
        <v>No</v>
      </c>
      <c r="Z925" t="str">
        <f>IF(MAIN!$F$3="Project to Date",IF(AND(A925&gt;=SETTINGS!$B$4,A925&lt;MAIN!$B$3),"Yes",IF(AND(A925=MAIN!$B$3,E925&lt;=MAIN!$L$3),"Yes","No")),IF(OR(MAIN!$F$3="Full Year",MAIN!$D$3="All"),"Yes",IF(MAIN!$F$3="Monthly",IF(E925=MAIN!$L$3,"Yes","No"),IF(E925&lt;=MAIN!$L$3,"Yes","No"))))</f>
        <v>Yes</v>
      </c>
      <c r="AA925" t="str">
        <f t="shared" si="89"/>
        <v>No</v>
      </c>
    </row>
    <row r="926" spans="1:27" x14ac:dyDescent="0.3">
      <c r="A926">
        <f>INDEX(SETTINGS!$A$15:$A$24,$B926)</f>
        <v>2029</v>
      </c>
      <c r="B926">
        <v>5</v>
      </c>
      <c r="C926" t="str">
        <f>IF(AND(A926&gt;=SETTINGS!$B$4,A926&lt;=SETTINGS!$B$5),"Yes","No")</f>
        <v>No</v>
      </c>
      <c r="D926" t="str">
        <f>IFERROR(INDEX(SETTINGS!$C$15:$C$24,MATCH(A926,SETTINGS!$A$15:$A$24,0)),"No")</f>
        <v>No</v>
      </c>
      <c r="E926">
        <v>1</v>
      </c>
      <c r="F926" t="s">
        <v>2</v>
      </c>
      <c r="G926">
        <v>23</v>
      </c>
      <c r="H926" t="s">
        <v>106</v>
      </c>
      <c r="I926" t="s">
        <v>22</v>
      </c>
      <c r="J926" t="s">
        <v>26</v>
      </c>
      <c r="K926" t="s">
        <v>3</v>
      </c>
      <c r="L926" s="36">
        <f ca="1">IF(C926&lt;&gt;"Yes",0,IF(A926=2025,N('2025'!D23),IF(A926=2026,N('2026'!D23),IF(A926=2027,N('2027'!D23),IF(A926=2028,N('2028'!D23),IF(A926=2029,N('2029'!D23),IF(A926=2030,N('2030'!D23),IF(A926=2031,N('2031'!D23),IF(A926=2032,N('2032'!D23),IF(A926=2033,N('2033'!D23),IF(A926=2034,N('2034'!D23),IFERROR(N(INDIRECT("'"&amp;A926&amp;"'!D"&amp;G926)),0))))))))))))</f>
        <v>0</v>
      </c>
      <c r="M926" s="36">
        <f>IFERROR(IF(NOT(ISBLANK(KPI_TARGETS!$K$17)),KPI_TARGETS!$K$17,IF(NOT(ISBLANK(KPI_TARGETS!$F$17)),KPI_TARGETS!$F$17,"")),"")</f>
        <v>12</v>
      </c>
      <c r="N926" s="36" t="str">
        <f>IFERROR(KPI_TARGETS!$E$17,"Higher is better")</f>
        <v>Higher is better</v>
      </c>
      <c r="O926" s="37">
        <f t="shared" ca="1" si="84"/>
        <v>0</v>
      </c>
      <c r="P926" t="str">
        <f t="shared" ca="1" si="85"/>
        <v>Red</v>
      </c>
      <c r="Q926" s="36">
        <f t="shared" ca="1" si="86"/>
        <v>-12</v>
      </c>
      <c r="R926" s="36" t="str">
        <f>""</f>
        <v/>
      </c>
      <c r="S926" s="36" t="str">
        <f>""</f>
        <v/>
      </c>
      <c r="T926" s="36" t="str">
        <f>""</f>
        <v/>
      </c>
      <c r="U926" s="36" t="str">
        <f>""</f>
        <v/>
      </c>
      <c r="V926" s="36" t="str">
        <f>""</f>
        <v/>
      </c>
      <c r="W926" s="36">
        <f t="shared" si="87"/>
        <v>1</v>
      </c>
      <c r="X926" t="str">
        <f t="shared" si="88"/>
        <v>Inactive</v>
      </c>
      <c r="Y926" t="str">
        <f>IF(MAIN!$H$3="Selected Year",IF(A926=MAIN!$B$3,"Yes","No"),IF(MAIN!$H$3="Included Years",IF(D926="Yes","Yes","No"),IF(C926="Yes","Yes","No")))</f>
        <v>No</v>
      </c>
      <c r="Z926" t="str">
        <f>IF(MAIN!$F$3="Project to Date",IF(AND(A926&gt;=SETTINGS!$B$4,A926&lt;MAIN!$B$3),"Yes",IF(AND(A926=MAIN!$B$3,E926&lt;=MAIN!$L$3),"Yes","No")),IF(OR(MAIN!$F$3="Full Year",MAIN!$D$3="All"),"Yes",IF(MAIN!$F$3="Monthly",IF(E926=MAIN!$L$3,"Yes","No"),IF(E926&lt;=MAIN!$L$3,"Yes","No"))))</f>
        <v>Yes</v>
      </c>
      <c r="AA926" t="str">
        <f t="shared" si="89"/>
        <v>No</v>
      </c>
    </row>
    <row r="927" spans="1:27" x14ac:dyDescent="0.3">
      <c r="A927">
        <f>INDEX(SETTINGS!$A$15:$A$24,$B927)</f>
        <v>2029</v>
      </c>
      <c r="B927">
        <v>5</v>
      </c>
      <c r="C927" t="str">
        <f>IF(AND(A927&gt;=SETTINGS!$B$4,A927&lt;=SETTINGS!$B$5),"Yes","No")</f>
        <v>No</v>
      </c>
      <c r="D927" t="str">
        <f>IFERROR(INDEX(SETTINGS!$C$15:$C$24,MATCH(A927,SETTINGS!$A$15:$A$24,0)),"No")</f>
        <v>No</v>
      </c>
      <c r="E927">
        <v>1</v>
      </c>
      <c r="F927" t="s">
        <v>2</v>
      </c>
      <c r="G927">
        <v>24</v>
      </c>
      <c r="H927" t="s">
        <v>107</v>
      </c>
      <c r="I927" t="s">
        <v>22</v>
      </c>
      <c r="J927" t="s">
        <v>27</v>
      </c>
      <c r="K927" t="s">
        <v>3</v>
      </c>
      <c r="L927" s="36">
        <f ca="1">IF(C927&lt;&gt;"Yes",0,IF(A927=2025,N('2025'!D24),IF(A927=2026,N('2026'!D24),IF(A927=2027,N('2027'!D24),IF(A927=2028,N('2028'!D24),IF(A927=2029,N('2029'!D24),IF(A927=2030,N('2030'!D24),IF(A927=2031,N('2031'!D24),IF(A927=2032,N('2032'!D24),IF(A927=2033,N('2033'!D24),IF(A927=2034,N('2034'!D24),IFERROR(N(INDIRECT("'"&amp;A927&amp;"'!D"&amp;G927)),0))))))))))))</f>
        <v>0</v>
      </c>
      <c r="M927" s="36">
        <f>IFERROR(IF(NOT(ISBLANK(KPI_TARGETS!$K$18)),KPI_TARGETS!$K$18,IF(NOT(ISBLANK(KPI_TARGETS!$F$18)),KPI_TARGETS!$F$18,"")),"")</f>
        <v>4</v>
      </c>
      <c r="N927" s="36" t="str">
        <f>IFERROR(KPI_TARGETS!$E$18,"Higher is better")</f>
        <v>Higher is better</v>
      </c>
      <c r="O927" s="37">
        <f t="shared" ca="1" si="84"/>
        <v>0</v>
      </c>
      <c r="P927" t="str">
        <f t="shared" ca="1" si="85"/>
        <v>Red</v>
      </c>
      <c r="Q927" s="36">
        <f t="shared" ca="1" si="86"/>
        <v>-4</v>
      </c>
      <c r="R927" s="36" t="str">
        <f>""</f>
        <v/>
      </c>
      <c r="S927" s="36" t="str">
        <f>""</f>
        <v/>
      </c>
      <c r="T927" s="36" t="str">
        <f>""</f>
        <v/>
      </c>
      <c r="U927" s="36" t="str">
        <f>""</f>
        <v/>
      </c>
      <c r="V927" s="36" t="str">
        <f>""</f>
        <v/>
      </c>
      <c r="W927" s="36">
        <f t="shared" si="87"/>
        <v>1</v>
      </c>
      <c r="X927" t="str">
        <f t="shared" si="88"/>
        <v>Inactive</v>
      </c>
      <c r="Y927" t="str">
        <f>IF(MAIN!$H$3="Selected Year",IF(A927=MAIN!$B$3,"Yes","No"),IF(MAIN!$H$3="Included Years",IF(D927="Yes","Yes","No"),IF(C927="Yes","Yes","No")))</f>
        <v>No</v>
      </c>
      <c r="Z927" t="str">
        <f>IF(MAIN!$F$3="Project to Date",IF(AND(A927&gt;=SETTINGS!$B$4,A927&lt;MAIN!$B$3),"Yes",IF(AND(A927=MAIN!$B$3,E927&lt;=MAIN!$L$3),"Yes","No")),IF(OR(MAIN!$F$3="Full Year",MAIN!$D$3="All"),"Yes",IF(MAIN!$F$3="Monthly",IF(E927=MAIN!$L$3,"Yes","No"),IF(E927&lt;=MAIN!$L$3,"Yes","No"))))</f>
        <v>Yes</v>
      </c>
      <c r="AA927" t="str">
        <f t="shared" si="89"/>
        <v>No</v>
      </c>
    </row>
    <row r="928" spans="1:27" x14ac:dyDescent="0.3">
      <c r="A928">
        <f>INDEX(SETTINGS!$A$15:$A$24,$B928)</f>
        <v>2029</v>
      </c>
      <c r="B928">
        <v>5</v>
      </c>
      <c r="C928" t="str">
        <f>IF(AND(A928&gt;=SETTINGS!$B$4,A928&lt;=SETTINGS!$B$5),"Yes","No")</f>
        <v>No</v>
      </c>
      <c r="D928" t="str">
        <f>IFERROR(INDEX(SETTINGS!$C$15:$C$24,MATCH(A928,SETTINGS!$A$15:$A$24,0)),"No")</f>
        <v>No</v>
      </c>
      <c r="E928">
        <v>1</v>
      </c>
      <c r="F928" t="s">
        <v>2</v>
      </c>
      <c r="G928">
        <v>25</v>
      </c>
      <c r="H928" t="s">
        <v>108</v>
      </c>
      <c r="I928" t="s">
        <v>22</v>
      </c>
      <c r="J928" t="s">
        <v>28</v>
      </c>
      <c r="K928" t="s">
        <v>3</v>
      </c>
      <c r="L928" s="36">
        <f ca="1">IF(C928&lt;&gt;"Yes",0,IF(A928=2025,N('2025'!D25),IF(A928=2026,N('2026'!D25),IF(A928=2027,N('2027'!D25),IF(A928=2028,N('2028'!D25),IF(A928=2029,N('2029'!D25),IF(A928=2030,N('2030'!D25),IF(A928=2031,N('2031'!D25),IF(A928=2032,N('2032'!D25),IF(A928=2033,N('2033'!D25),IF(A928=2034,N('2034'!D25),IFERROR(N(INDIRECT("'"&amp;A928&amp;"'!D"&amp;G928)),0))))))))))))</f>
        <v>0</v>
      </c>
      <c r="M928" s="36">
        <f>IFERROR(IF(NOT(ISBLANK(KPI_TARGETS!$K$19)),KPI_TARGETS!$K$19,IF(NOT(ISBLANK(KPI_TARGETS!$F$19)),KPI_TARGETS!$F$19,"")),"")</f>
        <v>16</v>
      </c>
      <c r="N928" s="36" t="str">
        <f>IFERROR(KPI_TARGETS!$E$19,"Higher is better")</f>
        <v>Higher is better</v>
      </c>
      <c r="O928" s="37">
        <f t="shared" ca="1" si="84"/>
        <v>0</v>
      </c>
      <c r="P928" t="str">
        <f t="shared" ca="1" si="85"/>
        <v>Red</v>
      </c>
      <c r="Q928" s="36">
        <f t="shared" ca="1" si="86"/>
        <v>-16</v>
      </c>
      <c r="R928" s="36" t="str">
        <f>""</f>
        <v/>
      </c>
      <c r="S928" s="36" t="str">
        <f>""</f>
        <v/>
      </c>
      <c r="T928" s="36" t="str">
        <f>""</f>
        <v/>
      </c>
      <c r="U928" s="36" t="str">
        <f>""</f>
        <v/>
      </c>
      <c r="V928" s="36" t="str">
        <f>""</f>
        <v/>
      </c>
      <c r="W928" s="36">
        <f t="shared" si="87"/>
        <v>1</v>
      </c>
      <c r="X928" t="str">
        <f t="shared" si="88"/>
        <v>Inactive</v>
      </c>
      <c r="Y928" t="str">
        <f>IF(MAIN!$H$3="Selected Year",IF(A928=MAIN!$B$3,"Yes","No"),IF(MAIN!$H$3="Included Years",IF(D928="Yes","Yes","No"),IF(C928="Yes","Yes","No")))</f>
        <v>No</v>
      </c>
      <c r="Z928" t="str">
        <f>IF(MAIN!$F$3="Project to Date",IF(AND(A928&gt;=SETTINGS!$B$4,A928&lt;MAIN!$B$3),"Yes",IF(AND(A928=MAIN!$B$3,E928&lt;=MAIN!$L$3),"Yes","No")),IF(OR(MAIN!$F$3="Full Year",MAIN!$D$3="All"),"Yes",IF(MAIN!$F$3="Monthly",IF(E928=MAIN!$L$3,"Yes","No"),IF(E928&lt;=MAIN!$L$3,"Yes","No"))))</f>
        <v>Yes</v>
      </c>
      <c r="AA928" t="str">
        <f t="shared" si="89"/>
        <v>No</v>
      </c>
    </row>
    <row r="929" spans="1:27" x14ac:dyDescent="0.3">
      <c r="A929">
        <f>INDEX(SETTINGS!$A$15:$A$24,$B929)</f>
        <v>2029</v>
      </c>
      <c r="B929">
        <v>5</v>
      </c>
      <c r="C929" t="str">
        <f>IF(AND(A929&gt;=SETTINGS!$B$4,A929&lt;=SETTINGS!$B$5),"Yes","No")</f>
        <v>No</v>
      </c>
      <c r="D929" t="str">
        <f>IFERROR(INDEX(SETTINGS!$C$15:$C$24,MATCH(A929,SETTINGS!$A$15:$A$24,0)),"No")</f>
        <v>No</v>
      </c>
      <c r="E929">
        <v>1</v>
      </c>
      <c r="F929" t="s">
        <v>2</v>
      </c>
      <c r="G929">
        <v>26</v>
      </c>
      <c r="H929" t="s">
        <v>109</v>
      </c>
      <c r="I929" t="s">
        <v>22</v>
      </c>
      <c r="J929" t="s">
        <v>29</v>
      </c>
      <c r="K929" t="s">
        <v>3</v>
      </c>
      <c r="L929" s="36">
        <f ca="1">IF(C929&lt;&gt;"Yes",0,IF(A929=2025,N('2025'!D26),IF(A929=2026,N('2026'!D26),IF(A929=2027,N('2027'!D26),IF(A929=2028,N('2028'!D26),IF(A929=2029,N('2029'!D26),IF(A929=2030,N('2030'!D26),IF(A929=2031,N('2031'!D26),IF(A929=2032,N('2032'!D26),IF(A929=2033,N('2033'!D26),IF(A929=2034,N('2034'!D26),IFERROR(N(INDIRECT("'"&amp;A929&amp;"'!D"&amp;G929)),0))))))))))))</f>
        <v>0</v>
      </c>
      <c r="M929" s="36">
        <f>IFERROR(IF(NOT(ISBLANK(KPI_TARGETS!$K$20)),KPI_TARGETS!$K$20,IF(NOT(ISBLANK(KPI_TARGETS!$F$20)),KPI_TARGETS!$F$20,"")),"")</f>
        <v>1</v>
      </c>
      <c r="N929" s="36" t="str">
        <f>IFERROR(KPI_TARGETS!$E$20,"Higher is better")</f>
        <v>Higher is better</v>
      </c>
      <c r="O929" s="37">
        <f t="shared" ca="1" si="84"/>
        <v>0</v>
      </c>
      <c r="P929" t="str">
        <f t="shared" ca="1" si="85"/>
        <v>Red</v>
      </c>
      <c r="Q929" s="36">
        <f t="shared" ca="1" si="86"/>
        <v>-1</v>
      </c>
      <c r="R929" s="36" t="str">
        <f>""</f>
        <v/>
      </c>
      <c r="S929" s="36" t="str">
        <f>""</f>
        <v/>
      </c>
      <c r="T929" s="36" t="str">
        <f>""</f>
        <v/>
      </c>
      <c r="U929" s="36" t="str">
        <f>""</f>
        <v/>
      </c>
      <c r="V929" s="36" t="str">
        <f>""</f>
        <v/>
      </c>
      <c r="W929" s="36">
        <f t="shared" si="87"/>
        <v>1</v>
      </c>
      <c r="X929" t="str">
        <f t="shared" si="88"/>
        <v>Inactive</v>
      </c>
      <c r="Y929" t="str">
        <f>IF(MAIN!$H$3="Selected Year",IF(A929=MAIN!$B$3,"Yes","No"),IF(MAIN!$H$3="Included Years",IF(D929="Yes","Yes","No"),IF(C929="Yes","Yes","No")))</f>
        <v>No</v>
      </c>
      <c r="Z929" t="str">
        <f>IF(MAIN!$F$3="Project to Date",IF(AND(A929&gt;=SETTINGS!$B$4,A929&lt;MAIN!$B$3),"Yes",IF(AND(A929=MAIN!$B$3,E929&lt;=MAIN!$L$3),"Yes","No")),IF(OR(MAIN!$F$3="Full Year",MAIN!$D$3="All"),"Yes",IF(MAIN!$F$3="Monthly",IF(E929=MAIN!$L$3,"Yes","No"),IF(E929&lt;=MAIN!$L$3,"Yes","No"))))</f>
        <v>Yes</v>
      </c>
      <c r="AA929" t="str">
        <f t="shared" si="89"/>
        <v>No</v>
      </c>
    </row>
    <row r="930" spans="1:27" x14ac:dyDescent="0.3">
      <c r="A930">
        <f>INDEX(SETTINGS!$A$15:$A$24,$B930)</f>
        <v>2029</v>
      </c>
      <c r="B930">
        <v>5</v>
      </c>
      <c r="C930" t="str">
        <f>IF(AND(A930&gt;=SETTINGS!$B$4,A930&lt;=SETTINGS!$B$5),"Yes","No")</f>
        <v>No</v>
      </c>
      <c r="D930" t="str">
        <f>IFERROR(INDEX(SETTINGS!$C$15:$C$24,MATCH(A930,SETTINGS!$A$15:$A$24,0)),"No")</f>
        <v>No</v>
      </c>
      <c r="E930">
        <v>1</v>
      </c>
      <c r="F930" t="s">
        <v>2</v>
      </c>
      <c r="G930">
        <v>28</v>
      </c>
      <c r="H930" t="s">
        <v>110</v>
      </c>
      <c r="I930" t="s">
        <v>30</v>
      </c>
      <c r="J930" t="s">
        <v>31</v>
      </c>
      <c r="K930" t="s">
        <v>3</v>
      </c>
      <c r="L930" s="36">
        <f ca="1">IF(C930&lt;&gt;"Yes",0,IF(A930=2025,N('2025'!D28),IF(A930=2026,N('2026'!D28),IF(A930=2027,N('2027'!D28),IF(A930=2028,N('2028'!D28),IF(A930=2029,N('2029'!D28),IF(A930=2030,N('2030'!D28),IF(A930=2031,N('2031'!D28),IF(A930=2032,N('2032'!D28),IF(A930=2033,N('2033'!D28),IF(A930=2034,N('2034'!D28),IFERROR(N(INDIRECT("'"&amp;A930&amp;"'!D"&amp;G930)),0))))))))))))</f>
        <v>0</v>
      </c>
      <c r="M930" s="36">
        <f>IFERROR(IF(NOT(ISBLANK(KPI_TARGETS!$K$21)),KPI_TARGETS!$K$21,IF(NOT(ISBLANK(KPI_TARGETS!$F$21)),KPI_TARGETS!$F$21,"")),"")</f>
        <v>0</v>
      </c>
      <c r="N930" s="36" t="str">
        <f>IFERROR(KPI_TARGETS!$E$21,"Higher is better")</f>
        <v>Lower is better</v>
      </c>
      <c r="O930" s="37">
        <f t="shared" ca="1" si="84"/>
        <v>1</v>
      </c>
      <c r="P930" t="str">
        <f t="shared" ca="1" si="85"/>
        <v>Green</v>
      </c>
      <c r="Q930" s="36">
        <f t="shared" ca="1" si="86"/>
        <v>0</v>
      </c>
      <c r="R930" s="36" t="str">
        <f>""</f>
        <v/>
      </c>
      <c r="S930" s="36" t="str">
        <f>""</f>
        <v/>
      </c>
      <c r="T930" s="36" t="str">
        <f>""</f>
        <v/>
      </c>
      <c r="U930" s="36" t="str">
        <f>""</f>
        <v/>
      </c>
      <c r="V930" s="36" t="str">
        <f>""</f>
        <v/>
      </c>
      <c r="W930" s="36">
        <f t="shared" si="87"/>
        <v>1</v>
      </c>
      <c r="X930" t="str">
        <f t="shared" si="88"/>
        <v>Inactive</v>
      </c>
      <c r="Y930" t="str">
        <f>IF(MAIN!$H$3="Selected Year",IF(A930=MAIN!$B$3,"Yes","No"),IF(MAIN!$H$3="Included Years",IF(D930="Yes","Yes","No"),IF(C930="Yes","Yes","No")))</f>
        <v>No</v>
      </c>
      <c r="Z930" t="str">
        <f>IF(MAIN!$F$3="Project to Date",IF(AND(A930&gt;=SETTINGS!$B$4,A930&lt;MAIN!$B$3),"Yes",IF(AND(A930=MAIN!$B$3,E930&lt;=MAIN!$L$3),"Yes","No")),IF(OR(MAIN!$F$3="Full Year",MAIN!$D$3="All"),"Yes",IF(MAIN!$F$3="Monthly",IF(E930=MAIN!$L$3,"Yes","No"),IF(E930&lt;=MAIN!$L$3,"Yes","No"))))</f>
        <v>Yes</v>
      </c>
      <c r="AA930" t="str">
        <f t="shared" si="89"/>
        <v>No</v>
      </c>
    </row>
    <row r="931" spans="1:27" x14ac:dyDescent="0.3">
      <c r="A931">
        <f>INDEX(SETTINGS!$A$15:$A$24,$B931)</f>
        <v>2029</v>
      </c>
      <c r="B931">
        <v>5</v>
      </c>
      <c r="C931" t="str">
        <f>IF(AND(A931&gt;=SETTINGS!$B$4,A931&lt;=SETTINGS!$B$5),"Yes","No")</f>
        <v>No</v>
      </c>
      <c r="D931" t="str">
        <f>IFERROR(INDEX(SETTINGS!$C$15:$C$24,MATCH(A931,SETTINGS!$A$15:$A$24,0)),"No")</f>
        <v>No</v>
      </c>
      <c r="E931">
        <v>1</v>
      </c>
      <c r="F931" t="s">
        <v>2</v>
      </c>
      <c r="G931">
        <v>29</v>
      </c>
      <c r="H931" t="s">
        <v>111</v>
      </c>
      <c r="I931" t="s">
        <v>30</v>
      </c>
      <c r="J931" t="s">
        <v>32</v>
      </c>
      <c r="K931" t="s">
        <v>3</v>
      </c>
      <c r="L931" s="36">
        <f ca="1">IF(C931&lt;&gt;"Yes",0,IF(A931=2025,N('2025'!D29),IF(A931=2026,N('2026'!D29),IF(A931=2027,N('2027'!D29),IF(A931=2028,N('2028'!D29),IF(A931=2029,N('2029'!D29),IF(A931=2030,N('2030'!D29),IF(A931=2031,N('2031'!D29),IF(A931=2032,N('2032'!D29),IF(A931=2033,N('2033'!D29),IF(A931=2034,N('2034'!D29),IFERROR(N(INDIRECT("'"&amp;A931&amp;"'!D"&amp;G931)),0))))))))))))</f>
        <v>0</v>
      </c>
      <c r="M931" s="36">
        <f>IFERROR(IF(NOT(ISBLANK(KPI_TARGETS!$K$22)),KPI_TARGETS!$K$22,IF(NOT(ISBLANK(KPI_TARGETS!$F$22)),KPI_TARGETS!$F$22,"")),"")</f>
        <v>1</v>
      </c>
      <c r="N931" s="36" t="str">
        <f>IFERROR(KPI_TARGETS!$E$22,"Higher is better")</f>
        <v>Higher is better</v>
      </c>
      <c r="O931" s="37">
        <f t="shared" ca="1" si="84"/>
        <v>0</v>
      </c>
      <c r="P931" t="str">
        <f t="shared" ca="1" si="85"/>
        <v>Red</v>
      </c>
      <c r="Q931" s="36">
        <f t="shared" ca="1" si="86"/>
        <v>-1</v>
      </c>
      <c r="R931" s="36" t="str">
        <f>""</f>
        <v/>
      </c>
      <c r="S931" s="36" t="str">
        <f>""</f>
        <v/>
      </c>
      <c r="T931" s="36" t="str">
        <f>""</f>
        <v/>
      </c>
      <c r="U931" s="36" t="str">
        <f>""</f>
        <v/>
      </c>
      <c r="V931" s="36" t="str">
        <f>""</f>
        <v/>
      </c>
      <c r="W931" s="36">
        <f t="shared" si="87"/>
        <v>1</v>
      </c>
      <c r="X931" t="str">
        <f t="shared" si="88"/>
        <v>Inactive</v>
      </c>
      <c r="Y931" t="str">
        <f>IF(MAIN!$H$3="Selected Year",IF(A931=MAIN!$B$3,"Yes","No"),IF(MAIN!$H$3="Included Years",IF(D931="Yes","Yes","No"),IF(C931="Yes","Yes","No")))</f>
        <v>No</v>
      </c>
      <c r="Z931" t="str">
        <f>IF(MAIN!$F$3="Project to Date",IF(AND(A931&gt;=SETTINGS!$B$4,A931&lt;MAIN!$B$3),"Yes",IF(AND(A931=MAIN!$B$3,E931&lt;=MAIN!$L$3),"Yes","No")),IF(OR(MAIN!$F$3="Full Year",MAIN!$D$3="All"),"Yes",IF(MAIN!$F$3="Monthly",IF(E931=MAIN!$L$3,"Yes","No"),IF(E931&lt;=MAIN!$L$3,"Yes","No"))))</f>
        <v>Yes</v>
      </c>
      <c r="AA931" t="str">
        <f t="shared" si="89"/>
        <v>No</v>
      </c>
    </row>
    <row r="932" spans="1:27" x14ac:dyDescent="0.3">
      <c r="A932">
        <f>INDEX(SETTINGS!$A$15:$A$24,$B932)</f>
        <v>2029</v>
      </c>
      <c r="B932">
        <v>5</v>
      </c>
      <c r="C932" t="str">
        <f>IF(AND(A932&gt;=SETTINGS!$B$4,A932&lt;=SETTINGS!$B$5),"Yes","No")</f>
        <v>No</v>
      </c>
      <c r="D932" t="str">
        <f>IFERROR(INDEX(SETTINGS!$C$15:$C$24,MATCH(A932,SETTINGS!$A$15:$A$24,0)),"No")</f>
        <v>No</v>
      </c>
      <c r="E932">
        <v>1</v>
      </c>
      <c r="F932" t="s">
        <v>2</v>
      </c>
      <c r="G932">
        <v>30</v>
      </c>
      <c r="H932" t="s">
        <v>112</v>
      </c>
      <c r="I932" t="s">
        <v>30</v>
      </c>
      <c r="J932" t="s">
        <v>33</v>
      </c>
      <c r="K932" t="s">
        <v>34</v>
      </c>
      <c r="L932" s="36">
        <f ca="1">IF(C932&lt;&gt;"Yes",0,IF(A932=2025,N('2025'!D30),IF(A932=2026,N('2026'!D30),IF(A932=2027,N('2027'!D30),IF(A932=2028,N('2028'!D30),IF(A932=2029,N('2029'!D30),IF(A932=2030,N('2030'!D30),IF(A932=2031,N('2031'!D30),IF(A932=2032,N('2032'!D30),IF(A932=2033,N('2033'!D30),IF(A932=2034,N('2034'!D30),IFERROR(N(INDIRECT("'"&amp;A932&amp;"'!D"&amp;G932)),0))))))))))))</f>
        <v>0</v>
      </c>
      <c r="M932" s="36">
        <f>IFERROR(IF(NOT(ISBLANK(KPI_TARGETS!$K$23)),KPI_TARGETS!$K$23,IF(NOT(ISBLANK(KPI_TARGETS!$F$23)),KPI_TARGETS!$F$23,"")),"")</f>
        <v>1</v>
      </c>
      <c r="N932" s="36" t="str">
        <f>IFERROR(KPI_TARGETS!$E$23,"Higher is better")</f>
        <v>Higher is better</v>
      </c>
      <c r="O932" s="37">
        <f t="shared" ca="1" si="84"/>
        <v>0</v>
      </c>
      <c r="P932" t="str">
        <f t="shared" ca="1" si="85"/>
        <v>Red</v>
      </c>
      <c r="Q932" s="36">
        <f t="shared" ca="1" si="86"/>
        <v>-1</v>
      </c>
      <c r="R932" s="36" t="str">
        <f>""</f>
        <v/>
      </c>
      <c r="S932" s="36" t="str">
        <f>""</f>
        <v/>
      </c>
      <c r="T932" s="36" t="str">
        <f>""</f>
        <v/>
      </c>
      <c r="U932" s="36" t="str">
        <f>""</f>
        <v/>
      </c>
      <c r="V932" s="36" t="str">
        <f>""</f>
        <v/>
      </c>
      <c r="W932" s="36">
        <f t="shared" si="87"/>
        <v>1</v>
      </c>
      <c r="X932" t="str">
        <f t="shared" si="88"/>
        <v>Inactive</v>
      </c>
      <c r="Y932" t="str">
        <f>IF(MAIN!$H$3="Selected Year",IF(A932=MAIN!$B$3,"Yes","No"),IF(MAIN!$H$3="Included Years",IF(D932="Yes","Yes","No"),IF(C932="Yes","Yes","No")))</f>
        <v>No</v>
      </c>
      <c r="Z932" t="str">
        <f>IF(MAIN!$F$3="Project to Date",IF(AND(A932&gt;=SETTINGS!$B$4,A932&lt;MAIN!$B$3),"Yes",IF(AND(A932=MAIN!$B$3,E932&lt;=MAIN!$L$3),"Yes","No")),IF(OR(MAIN!$F$3="Full Year",MAIN!$D$3="All"),"Yes",IF(MAIN!$F$3="Monthly",IF(E932=MAIN!$L$3,"Yes","No"),IF(E932&lt;=MAIN!$L$3,"Yes","No"))))</f>
        <v>Yes</v>
      </c>
      <c r="AA932" t="str">
        <f t="shared" si="89"/>
        <v>No</v>
      </c>
    </row>
    <row r="933" spans="1:27" x14ac:dyDescent="0.3">
      <c r="A933">
        <f>INDEX(SETTINGS!$A$15:$A$24,$B933)</f>
        <v>2029</v>
      </c>
      <c r="B933">
        <v>5</v>
      </c>
      <c r="C933" t="str">
        <f>IF(AND(A933&gt;=SETTINGS!$B$4,A933&lt;=SETTINGS!$B$5),"Yes","No")</f>
        <v>No</v>
      </c>
      <c r="D933" t="str">
        <f>IFERROR(INDEX(SETTINGS!$C$15:$C$24,MATCH(A933,SETTINGS!$A$15:$A$24,0)),"No")</f>
        <v>No</v>
      </c>
      <c r="E933">
        <v>2</v>
      </c>
      <c r="F933" t="s">
        <v>35</v>
      </c>
      <c r="G933">
        <v>33</v>
      </c>
      <c r="H933" t="s">
        <v>88</v>
      </c>
      <c r="I933" t="s">
        <v>89</v>
      </c>
      <c r="J933" t="s">
        <v>10</v>
      </c>
      <c r="K933" t="s">
        <v>3</v>
      </c>
      <c r="L933" s="36">
        <f ca="1">IF(C933&lt;&gt;"Yes",0,IF(A933=2025,N('2025'!D33),IF(A933=2026,N('2026'!D33),IF(A933=2027,N('2027'!D33),IF(A933=2028,N('2028'!D33),IF(A933=2029,N('2029'!D33),IF(A933=2030,N('2030'!D33),IF(A933=2031,N('2031'!D33),IF(A933=2032,N('2032'!D33),IF(A933=2033,N('2033'!D33),IF(A933=2034,N('2034'!D33),IFERROR(N(INDIRECT("'"&amp;A933&amp;"'!D"&amp;G933)),0))))))))))))</f>
        <v>0</v>
      </c>
      <c r="M933" s="36">
        <f>IFERROR(IF(NOT(ISBLANK(KPI_TARGETS!$K$5)),KPI_TARGETS!$K$5,IF(NOT(ISBLANK(KPI_TARGETS!$F$5)),KPI_TARGETS!$F$5,"")),"")</f>
        <v>104</v>
      </c>
      <c r="N933" s="36" t="str">
        <f>IFERROR(KPI_TARGETS!$E$5,"Higher is better")</f>
        <v>Higher is better</v>
      </c>
      <c r="O933" s="37">
        <f t="shared" ca="1" si="84"/>
        <v>0</v>
      </c>
      <c r="P933" t="str">
        <f t="shared" ca="1" si="85"/>
        <v>Red</v>
      </c>
      <c r="Q933" s="36">
        <f t="shared" ca="1" si="86"/>
        <v>-104</v>
      </c>
      <c r="R933" s="36" t="str">
        <f>""</f>
        <v/>
      </c>
      <c r="S933" s="36" t="str">
        <f>""</f>
        <v/>
      </c>
      <c r="T933" s="36" t="str">
        <f>""</f>
        <v/>
      </c>
      <c r="U933" s="36" t="str">
        <f>""</f>
        <v/>
      </c>
      <c r="V933" s="36" t="str">
        <f>""</f>
        <v/>
      </c>
      <c r="W933" s="36">
        <f t="shared" si="87"/>
        <v>1</v>
      </c>
      <c r="X933" t="str">
        <f t="shared" si="88"/>
        <v>Inactive</v>
      </c>
      <c r="Y933" t="str">
        <f>IF(MAIN!$H$3="Selected Year",IF(A933=MAIN!$B$3,"Yes","No"),IF(MAIN!$H$3="Included Years",IF(D933="Yes","Yes","No"),IF(C933="Yes","Yes","No")))</f>
        <v>No</v>
      </c>
      <c r="Z933" t="str">
        <f>IF(MAIN!$F$3="Project to Date",IF(AND(A933&gt;=SETTINGS!$B$4,A933&lt;MAIN!$B$3),"Yes",IF(AND(A933=MAIN!$B$3,E933&lt;=MAIN!$L$3),"Yes","No")),IF(OR(MAIN!$F$3="Full Year",MAIN!$D$3="All"),"Yes",IF(MAIN!$F$3="Monthly",IF(E933=MAIN!$L$3,"Yes","No"),IF(E933&lt;=MAIN!$L$3,"Yes","No"))))</f>
        <v>Yes</v>
      </c>
      <c r="AA933" t="str">
        <f t="shared" si="89"/>
        <v>No</v>
      </c>
    </row>
    <row r="934" spans="1:27" x14ac:dyDescent="0.3">
      <c r="A934">
        <f>INDEX(SETTINGS!$A$15:$A$24,$B934)</f>
        <v>2029</v>
      </c>
      <c r="B934">
        <v>5</v>
      </c>
      <c r="C934" t="str">
        <f>IF(AND(A934&gt;=SETTINGS!$B$4,A934&lt;=SETTINGS!$B$5),"Yes","No")</f>
        <v>No</v>
      </c>
      <c r="D934" t="str">
        <f>IFERROR(INDEX(SETTINGS!$C$15:$C$24,MATCH(A934,SETTINGS!$A$15:$A$24,0)),"No")</f>
        <v>No</v>
      </c>
      <c r="E934">
        <v>2</v>
      </c>
      <c r="F934" t="s">
        <v>35</v>
      </c>
      <c r="G934">
        <v>34</v>
      </c>
      <c r="H934" t="s">
        <v>91</v>
      </c>
      <c r="I934" t="s">
        <v>89</v>
      </c>
      <c r="J934" t="s">
        <v>11</v>
      </c>
      <c r="K934" t="s">
        <v>12</v>
      </c>
      <c r="L934" s="36">
        <f ca="1">IF(C934&lt;&gt;"Yes",0,IF(A934=2025,N('2025'!D34),IF(A934=2026,N('2026'!D34),IF(A934=2027,N('2027'!D34),IF(A934=2028,N('2028'!D34),IF(A934=2029,N('2029'!D34),IF(A934=2030,N('2030'!D34),IF(A934=2031,N('2031'!D34),IF(A934=2032,N('2032'!D34),IF(A934=2033,N('2033'!D34),IF(A934=2034,N('2034'!D34),IFERROR(N(INDIRECT("'"&amp;A934&amp;"'!D"&amp;G934)),0))))))))))))</f>
        <v>0</v>
      </c>
      <c r="M934" s="36">
        <f>IFERROR(IF(NOT(ISBLANK(KPI_TARGETS!$K$6)),KPI_TARGETS!$K$6,IF(NOT(ISBLANK(KPI_TARGETS!$F$6)),KPI_TARGETS!$F$6,"")),"")</f>
        <v>4000</v>
      </c>
      <c r="N934" s="36" t="str">
        <f>IFERROR(KPI_TARGETS!$E$6,"Higher is better")</f>
        <v>Higher is better</v>
      </c>
      <c r="O934" s="37">
        <f t="shared" ca="1" si="84"/>
        <v>0</v>
      </c>
      <c r="P934" t="str">
        <f t="shared" ca="1" si="85"/>
        <v>Red</v>
      </c>
      <c r="Q934" s="36">
        <f t="shared" ca="1" si="86"/>
        <v>-4000</v>
      </c>
      <c r="R934" s="36" t="str">
        <f>""</f>
        <v/>
      </c>
      <c r="S934" s="36" t="str">
        <f>""</f>
        <v/>
      </c>
      <c r="T934" s="36" t="str">
        <f>""</f>
        <v/>
      </c>
      <c r="U934" s="36" t="str">
        <f>""</f>
        <v/>
      </c>
      <c r="V934" s="36" t="str">
        <f>""</f>
        <v/>
      </c>
      <c r="W934" s="36">
        <f t="shared" si="87"/>
        <v>1</v>
      </c>
      <c r="X934" t="str">
        <f t="shared" si="88"/>
        <v>Inactive</v>
      </c>
      <c r="Y934" t="str">
        <f>IF(MAIN!$H$3="Selected Year",IF(A934=MAIN!$B$3,"Yes","No"),IF(MAIN!$H$3="Included Years",IF(D934="Yes","Yes","No"),IF(C934="Yes","Yes","No")))</f>
        <v>No</v>
      </c>
      <c r="Z934" t="str">
        <f>IF(MAIN!$F$3="Project to Date",IF(AND(A934&gt;=SETTINGS!$B$4,A934&lt;MAIN!$B$3),"Yes",IF(AND(A934=MAIN!$B$3,E934&lt;=MAIN!$L$3),"Yes","No")),IF(OR(MAIN!$F$3="Full Year",MAIN!$D$3="All"),"Yes",IF(MAIN!$F$3="Monthly",IF(E934=MAIN!$L$3,"Yes","No"),IF(E934&lt;=MAIN!$L$3,"Yes","No"))))</f>
        <v>Yes</v>
      </c>
      <c r="AA934" t="str">
        <f t="shared" si="89"/>
        <v>No</v>
      </c>
    </row>
    <row r="935" spans="1:27" x14ac:dyDescent="0.3">
      <c r="A935">
        <f>INDEX(SETTINGS!$A$15:$A$24,$B935)</f>
        <v>2029</v>
      </c>
      <c r="B935">
        <v>5</v>
      </c>
      <c r="C935" t="str">
        <f>IF(AND(A935&gt;=SETTINGS!$B$4,A935&lt;=SETTINGS!$B$5),"Yes","No")</f>
        <v>No</v>
      </c>
      <c r="D935" t="str">
        <f>IFERROR(INDEX(SETTINGS!$C$15:$C$24,MATCH(A935,SETTINGS!$A$15:$A$24,0)),"No")</f>
        <v>No</v>
      </c>
      <c r="E935">
        <v>2</v>
      </c>
      <c r="F935" t="s">
        <v>35</v>
      </c>
      <c r="G935">
        <v>35</v>
      </c>
      <c r="H935" t="s">
        <v>93</v>
      </c>
      <c r="I935" t="s">
        <v>89</v>
      </c>
      <c r="J935" t="s">
        <v>13</v>
      </c>
      <c r="K935" t="s">
        <v>14</v>
      </c>
      <c r="L935" s="36">
        <f ca="1">IF(C935&lt;&gt;"Yes",0,IF(A935=2025,N('2025'!D35),IF(A935=2026,N('2026'!D35),IF(A935=2027,N('2027'!D35),IF(A935=2028,N('2028'!D35),IF(A935=2029,N('2029'!D35),IF(A935=2030,N('2030'!D35),IF(A935=2031,N('2031'!D35),IF(A935=2032,N('2032'!D35),IF(A935=2033,N('2033'!D35),IF(A935=2034,N('2034'!D35),IFERROR(N(INDIRECT("'"&amp;A935&amp;"'!D"&amp;G935)),0))))))))))))</f>
        <v>0</v>
      </c>
      <c r="M935" s="36">
        <f>IFERROR(IF(NOT(ISBLANK(KPI_TARGETS!$K$7)),KPI_TARGETS!$K$7,IF(NOT(ISBLANK(KPI_TARGETS!$F$7)),KPI_TARGETS!$F$7,"")),"")</f>
        <v>8000</v>
      </c>
      <c r="N935" s="36" t="str">
        <f>IFERROR(KPI_TARGETS!$E$7,"Higher is better")</f>
        <v>Higher is better</v>
      </c>
      <c r="O935" s="37">
        <f t="shared" ca="1" si="84"/>
        <v>0</v>
      </c>
      <c r="P935" t="str">
        <f t="shared" ca="1" si="85"/>
        <v>Red</v>
      </c>
      <c r="Q935" s="36">
        <f t="shared" ca="1" si="86"/>
        <v>-8000</v>
      </c>
      <c r="R935" s="36" t="str">
        <f>""</f>
        <v/>
      </c>
      <c r="S935" s="36" t="str">
        <f>""</f>
        <v/>
      </c>
      <c r="T935" s="36" t="str">
        <f>""</f>
        <v/>
      </c>
      <c r="U935" s="36" t="str">
        <f>""</f>
        <v/>
      </c>
      <c r="V935" s="36" t="str">
        <f>""</f>
        <v/>
      </c>
      <c r="W935" s="36">
        <f t="shared" si="87"/>
        <v>1</v>
      </c>
      <c r="X935" t="str">
        <f t="shared" si="88"/>
        <v>Inactive</v>
      </c>
      <c r="Y935" t="str">
        <f>IF(MAIN!$H$3="Selected Year",IF(A935=MAIN!$B$3,"Yes","No"),IF(MAIN!$H$3="Included Years",IF(D935="Yes","Yes","No"),IF(C935="Yes","Yes","No")))</f>
        <v>No</v>
      </c>
      <c r="Z935" t="str">
        <f>IF(MAIN!$F$3="Project to Date",IF(AND(A935&gt;=SETTINGS!$B$4,A935&lt;MAIN!$B$3),"Yes",IF(AND(A935=MAIN!$B$3,E935&lt;=MAIN!$L$3),"Yes","No")),IF(OR(MAIN!$F$3="Full Year",MAIN!$D$3="All"),"Yes",IF(MAIN!$F$3="Monthly",IF(E935=MAIN!$L$3,"Yes","No"),IF(E935&lt;=MAIN!$L$3,"Yes","No"))))</f>
        <v>Yes</v>
      </c>
      <c r="AA935" t="str">
        <f t="shared" si="89"/>
        <v>No</v>
      </c>
    </row>
    <row r="936" spans="1:27" x14ac:dyDescent="0.3">
      <c r="A936">
        <f>INDEX(SETTINGS!$A$15:$A$24,$B936)</f>
        <v>2029</v>
      </c>
      <c r="B936">
        <v>5</v>
      </c>
      <c r="C936" t="str">
        <f>IF(AND(A936&gt;=SETTINGS!$B$4,A936&lt;=SETTINGS!$B$5),"Yes","No")</f>
        <v>No</v>
      </c>
      <c r="D936" t="str">
        <f>IFERROR(INDEX(SETTINGS!$C$15:$C$24,MATCH(A936,SETTINGS!$A$15:$A$24,0)),"No")</f>
        <v>No</v>
      </c>
      <c r="E936">
        <v>2</v>
      </c>
      <c r="F936" t="s">
        <v>35</v>
      </c>
      <c r="G936">
        <v>37</v>
      </c>
      <c r="H936" t="s">
        <v>95</v>
      </c>
      <c r="I936" t="s">
        <v>15</v>
      </c>
      <c r="J936" t="s">
        <v>16</v>
      </c>
      <c r="K936" t="s">
        <v>3</v>
      </c>
      <c r="L936" s="36">
        <f ca="1">IF(C936&lt;&gt;"Yes",0,IF(A936=2025,N('2025'!D37),IF(A936=2026,N('2026'!D37),IF(A936=2027,N('2027'!D37),IF(A936=2028,N('2028'!D37),IF(A936=2029,N('2029'!D37),IF(A936=2030,N('2030'!D37),IF(A936=2031,N('2031'!D37),IF(A936=2032,N('2032'!D37),IF(A936=2033,N('2033'!D37),IF(A936=2034,N('2034'!D37),IFERROR(N(INDIRECT("'"&amp;A936&amp;"'!D"&amp;G936)),0))))))))))))</f>
        <v>0</v>
      </c>
      <c r="M936" s="36">
        <f>IFERROR(IF(NOT(ISBLANK(KPI_TARGETS!$K$8)),KPI_TARGETS!$K$8,IF(NOT(ISBLANK(KPI_TARGETS!$F$8)),KPI_TARGETS!$F$8,"")),"")</f>
        <v>0</v>
      </c>
      <c r="N936" s="36" t="str">
        <f>IFERROR(KPI_TARGETS!$E$8,"Higher is better")</f>
        <v>Lower is better</v>
      </c>
      <c r="O936" s="37">
        <f t="shared" ca="1" si="84"/>
        <v>1</v>
      </c>
      <c r="P936" t="str">
        <f t="shared" ca="1" si="85"/>
        <v>Green</v>
      </c>
      <c r="Q936" s="36">
        <f t="shared" ca="1" si="86"/>
        <v>0</v>
      </c>
      <c r="R936" s="36" t="str">
        <f>""</f>
        <v/>
      </c>
      <c r="S936" s="36" t="str">
        <f>""</f>
        <v/>
      </c>
      <c r="T936" s="36" t="str">
        <f>""</f>
        <v/>
      </c>
      <c r="U936" s="36" t="str">
        <f>""</f>
        <v/>
      </c>
      <c r="V936" s="36" t="str">
        <f>""</f>
        <v/>
      </c>
      <c r="W936" s="36">
        <f t="shared" si="87"/>
        <v>1</v>
      </c>
      <c r="X936" t="str">
        <f t="shared" si="88"/>
        <v>Inactive</v>
      </c>
      <c r="Y936" t="str">
        <f>IF(MAIN!$H$3="Selected Year",IF(A936=MAIN!$B$3,"Yes","No"),IF(MAIN!$H$3="Included Years",IF(D936="Yes","Yes","No"),IF(C936="Yes","Yes","No")))</f>
        <v>No</v>
      </c>
      <c r="Z936" t="str">
        <f>IF(MAIN!$F$3="Project to Date",IF(AND(A936&gt;=SETTINGS!$B$4,A936&lt;MAIN!$B$3),"Yes",IF(AND(A936=MAIN!$B$3,E936&lt;=MAIN!$L$3),"Yes","No")),IF(OR(MAIN!$F$3="Full Year",MAIN!$D$3="All"),"Yes",IF(MAIN!$F$3="Monthly",IF(E936=MAIN!$L$3,"Yes","No"),IF(E936&lt;=MAIN!$L$3,"Yes","No"))))</f>
        <v>Yes</v>
      </c>
      <c r="AA936" t="str">
        <f t="shared" si="89"/>
        <v>No</v>
      </c>
    </row>
    <row r="937" spans="1:27" x14ac:dyDescent="0.3">
      <c r="A937">
        <f>INDEX(SETTINGS!$A$15:$A$24,$B937)</f>
        <v>2029</v>
      </c>
      <c r="B937">
        <v>5</v>
      </c>
      <c r="C937" t="str">
        <f>IF(AND(A937&gt;=SETTINGS!$B$4,A937&lt;=SETTINGS!$B$5),"Yes","No")</f>
        <v>No</v>
      </c>
      <c r="D937" t="str">
        <f>IFERROR(INDEX(SETTINGS!$C$15:$C$24,MATCH(A937,SETTINGS!$A$15:$A$24,0)),"No")</f>
        <v>No</v>
      </c>
      <c r="E937">
        <v>2</v>
      </c>
      <c r="F937" t="s">
        <v>35</v>
      </c>
      <c r="G937">
        <v>38</v>
      </c>
      <c r="H937" t="s">
        <v>97</v>
      </c>
      <c r="I937" t="s">
        <v>15</v>
      </c>
      <c r="J937" t="s">
        <v>17</v>
      </c>
      <c r="K937" t="s">
        <v>3</v>
      </c>
      <c r="L937" s="36">
        <f ca="1">IF(C937&lt;&gt;"Yes",0,IF(A937=2025,N('2025'!D38),IF(A937=2026,N('2026'!D38),IF(A937=2027,N('2027'!D38),IF(A937=2028,N('2028'!D38),IF(A937=2029,N('2029'!D38),IF(A937=2030,N('2030'!D38),IF(A937=2031,N('2031'!D38),IF(A937=2032,N('2032'!D38),IF(A937=2033,N('2033'!D38),IF(A937=2034,N('2034'!D38),IFERROR(N(INDIRECT("'"&amp;A937&amp;"'!D"&amp;G937)),0))))))))))))</f>
        <v>0</v>
      </c>
      <c r="M937" s="36">
        <f>IFERROR(IF(NOT(ISBLANK(KPI_TARGETS!$K$9)),KPI_TARGETS!$K$9,IF(NOT(ISBLANK(KPI_TARGETS!$F$9)),KPI_TARGETS!$F$9,"")),"")</f>
        <v>0</v>
      </c>
      <c r="N937" s="36" t="str">
        <f>IFERROR(KPI_TARGETS!$E$9,"Higher is better")</f>
        <v>Higher is better</v>
      </c>
      <c r="O937" s="37" t="str">
        <f t="shared" ca="1" si="84"/>
        <v/>
      </c>
      <c r="P937" t="str">
        <f t="shared" ca="1" si="85"/>
        <v>Green</v>
      </c>
      <c r="Q937" s="36">
        <f t="shared" ca="1" si="86"/>
        <v>0</v>
      </c>
      <c r="R937" s="36" t="str">
        <f>""</f>
        <v/>
      </c>
      <c r="S937" s="36" t="str">
        <f>""</f>
        <v/>
      </c>
      <c r="T937" s="36" t="str">
        <f>""</f>
        <v/>
      </c>
      <c r="U937" s="36" t="str">
        <f>""</f>
        <v/>
      </c>
      <c r="V937" s="36" t="str">
        <f>""</f>
        <v/>
      </c>
      <c r="W937" s="36">
        <f t="shared" si="87"/>
        <v>1</v>
      </c>
      <c r="X937" t="str">
        <f t="shared" si="88"/>
        <v>Inactive</v>
      </c>
      <c r="Y937" t="str">
        <f>IF(MAIN!$H$3="Selected Year",IF(A937=MAIN!$B$3,"Yes","No"),IF(MAIN!$H$3="Included Years",IF(D937="Yes","Yes","No"),IF(C937="Yes","Yes","No")))</f>
        <v>No</v>
      </c>
      <c r="Z937" t="str">
        <f>IF(MAIN!$F$3="Project to Date",IF(AND(A937&gt;=SETTINGS!$B$4,A937&lt;MAIN!$B$3),"Yes",IF(AND(A937=MAIN!$B$3,E937&lt;=MAIN!$L$3),"Yes","No")),IF(OR(MAIN!$F$3="Full Year",MAIN!$D$3="All"),"Yes",IF(MAIN!$F$3="Monthly",IF(E937=MAIN!$L$3,"Yes","No"),IF(E937&lt;=MAIN!$L$3,"Yes","No"))))</f>
        <v>Yes</v>
      </c>
      <c r="AA937" t="str">
        <f t="shared" si="89"/>
        <v>No</v>
      </c>
    </row>
    <row r="938" spans="1:27" x14ac:dyDescent="0.3">
      <c r="A938">
        <f>INDEX(SETTINGS!$A$15:$A$24,$B938)</f>
        <v>2029</v>
      </c>
      <c r="B938">
        <v>5</v>
      </c>
      <c r="C938" t="str">
        <f>IF(AND(A938&gt;=SETTINGS!$B$4,A938&lt;=SETTINGS!$B$5),"Yes","No")</f>
        <v>No</v>
      </c>
      <c r="D938" t="str">
        <f>IFERROR(INDEX(SETTINGS!$C$15:$C$24,MATCH(A938,SETTINGS!$A$15:$A$24,0)),"No")</f>
        <v>No</v>
      </c>
      <c r="E938">
        <v>2</v>
      </c>
      <c r="F938" t="s">
        <v>35</v>
      </c>
      <c r="G938">
        <v>39</v>
      </c>
      <c r="H938" t="s">
        <v>99</v>
      </c>
      <c r="I938" t="s">
        <v>15</v>
      </c>
      <c r="J938" t="s">
        <v>18</v>
      </c>
      <c r="K938" t="s">
        <v>3</v>
      </c>
      <c r="L938" s="36">
        <f ca="1">IF(C938&lt;&gt;"Yes",0,IF(A938=2025,N('2025'!D39),IF(A938=2026,N('2026'!D39),IF(A938=2027,N('2027'!D39),IF(A938=2028,N('2028'!D39),IF(A938=2029,N('2029'!D39),IF(A938=2030,N('2030'!D39),IF(A938=2031,N('2031'!D39),IF(A938=2032,N('2032'!D39),IF(A938=2033,N('2033'!D39),IF(A938=2034,N('2034'!D39),IFERROR(N(INDIRECT("'"&amp;A938&amp;"'!D"&amp;G938)),0))))))))))))</f>
        <v>0</v>
      </c>
      <c r="M938" s="36">
        <f>IFERROR(IF(NOT(ISBLANK(KPI_TARGETS!$K$10)),KPI_TARGETS!$K$10,IF(NOT(ISBLANK(KPI_TARGETS!$F$10)),KPI_TARGETS!$F$10,"")),"")</f>
        <v>0</v>
      </c>
      <c r="N938" s="36" t="str">
        <f>IFERROR(KPI_TARGETS!$E$10,"Higher is better")</f>
        <v>Lower is better</v>
      </c>
      <c r="O938" s="37">
        <f t="shared" ca="1" si="84"/>
        <v>1</v>
      </c>
      <c r="P938" t="str">
        <f t="shared" ca="1" si="85"/>
        <v>Green</v>
      </c>
      <c r="Q938" s="36">
        <f t="shared" ca="1" si="86"/>
        <v>0</v>
      </c>
      <c r="R938" s="36" t="str">
        <f>""</f>
        <v/>
      </c>
      <c r="S938" s="36" t="str">
        <f>""</f>
        <v/>
      </c>
      <c r="T938" s="36" t="str">
        <f>""</f>
        <v/>
      </c>
      <c r="U938" s="36" t="str">
        <f>""</f>
        <v/>
      </c>
      <c r="V938" s="36" t="str">
        <f>""</f>
        <v/>
      </c>
      <c r="W938" s="36">
        <f t="shared" si="87"/>
        <v>1</v>
      </c>
      <c r="X938" t="str">
        <f t="shared" si="88"/>
        <v>Inactive</v>
      </c>
      <c r="Y938" t="str">
        <f>IF(MAIN!$H$3="Selected Year",IF(A938=MAIN!$B$3,"Yes","No"),IF(MAIN!$H$3="Included Years",IF(D938="Yes","Yes","No"),IF(C938="Yes","Yes","No")))</f>
        <v>No</v>
      </c>
      <c r="Z938" t="str">
        <f>IF(MAIN!$F$3="Project to Date",IF(AND(A938&gt;=SETTINGS!$B$4,A938&lt;MAIN!$B$3),"Yes",IF(AND(A938=MAIN!$B$3,E938&lt;=MAIN!$L$3),"Yes","No")),IF(OR(MAIN!$F$3="Full Year",MAIN!$D$3="All"),"Yes",IF(MAIN!$F$3="Monthly",IF(E938=MAIN!$L$3,"Yes","No"),IF(E938&lt;=MAIN!$L$3,"Yes","No"))))</f>
        <v>Yes</v>
      </c>
      <c r="AA938" t="str">
        <f t="shared" si="89"/>
        <v>No</v>
      </c>
    </row>
    <row r="939" spans="1:27" x14ac:dyDescent="0.3">
      <c r="A939">
        <f>INDEX(SETTINGS!$A$15:$A$24,$B939)</f>
        <v>2029</v>
      </c>
      <c r="B939">
        <v>5</v>
      </c>
      <c r="C939" t="str">
        <f>IF(AND(A939&gt;=SETTINGS!$B$4,A939&lt;=SETTINGS!$B$5),"Yes","No")</f>
        <v>No</v>
      </c>
      <c r="D939" t="str">
        <f>IFERROR(INDEX(SETTINGS!$C$15:$C$24,MATCH(A939,SETTINGS!$A$15:$A$24,0)),"No")</f>
        <v>No</v>
      </c>
      <c r="E939">
        <v>2</v>
      </c>
      <c r="F939" t="s">
        <v>35</v>
      </c>
      <c r="G939">
        <v>40</v>
      </c>
      <c r="H939" t="s">
        <v>100</v>
      </c>
      <c r="I939" t="s">
        <v>15</v>
      </c>
      <c r="J939" t="s">
        <v>19</v>
      </c>
      <c r="K939" t="s">
        <v>3</v>
      </c>
      <c r="L939" s="36">
        <f ca="1">IF(C939&lt;&gt;"Yes",0,IF(A939=2025,N('2025'!D40),IF(A939=2026,N('2026'!D40),IF(A939=2027,N('2027'!D40),IF(A939=2028,N('2028'!D40),IF(A939=2029,N('2029'!D40),IF(A939=2030,N('2030'!D40),IF(A939=2031,N('2031'!D40),IF(A939=2032,N('2032'!D40),IF(A939=2033,N('2033'!D40),IF(A939=2034,N('2034'!D40),IFERROR(N(INDIRECT("'"&amp;A939&amp;"'!D"&amp;G939)),0))))))))))))</f>
        <v>0</v>
      </c>
      <c r="M939" s="36">
        <f>IFERROR(IF(NOT(ISBLANK(KPI_TARGETS!$K$11)),KPI_TARGETS!$K$11,IF(NOT(ISBLANK(KPI_TARGETS!$F$11)),KPI_TARGETS!$F$11,"")),"")</f>
        <v>0</v>
      </c>
      <c r="N939" s="36" t="str">
        <f>IFERROR(KPI_TARGETS!$E$11,"Higher is better")</f>
        <v>Lower is better</v>
      </c>
      <c r="O939" s="37">
        <f t="shared" ca="1" si="84"/>
        <v>1</v>
      </c>
      <c r="P939" t="str">
        <f t="shared" ca="1" si="85"/>
        <v>Green</v>
      </c>
      <c r="Q939" s="36">
        <f t="shared" ca="1" si="86"/>
        <v>0</v>
      </c>
      <c r="R939" s="36" t="str">
        <f>""</f>
        <v/>
      </c>
      <c r="S939" s="36" t="str">
        <f>""</f>
        <v/>
      </c>
      <c r="T939" s="36" t="str">
        <f>""</f>
        <v/>
      </c>
      <c r="U939" s="36" t="str">
        <f>""</f>
        <v/>
      </c>
      <c r="V939" s="36" t="str">
        <f>""</f>
        <v/>
      </c>
      <c r="W939" s="36">
        <f t="shared" si="87"/>
        <v>1</v>
      </c>
      <c r="X939" t="str">
        <f t="shared" si="88"/>
        <v>Inactive</v>
      </c>
      <c r="Y939" t="str">
        <f>IF(MAIN!$H$3="Selected Year",IF(A939=MAIN!$B$3,"Yes","No"),IF(MAIN!$H$3="Included Years",IF(D939="Yes","Yes","No"),IF(C939="Yes","Yes","No")))</f>
        <v>No</v>
      </c>
      <c r="Z939" t="str">
        <f>IF(MAIN!$F$3="Project to Date",IF(AND(A939&gt;=SETTINGS!$B$4,A939&lt;MAIN!$B$3),"Yes",IF(AND(A939=MAIN!$B$3,E939&lt;=MAIN!$L$3),"Yes","No")),IF(OR(MAIN!$F$3="Full Year",MAIN!$D$3="All"),"Yes",IF(MAIN!$F$3="Monthly",IF(E939=MAIN!$L$3,"Yes","No"),IF(E939&lt;=MAIN!$L$3,"Yes","No"))))</f>
        <v>Yes</v>
      </c>
      <c r="AA939" t="str">
        <f t="shared" si="89"/>
        <v>No</v>
      </c>
    </row>
    <row r="940" spans="1:27" x14ac:dyDescent="0.3">
      <c r="A940">
        <f>INDEX(SETTINGS!$A$15:$A$24,$B940)</f>
        <v>2029</v>
      </c>
      <c r="B940">
        <v>5</v>
      </c>
      <c r="C940" t="str">
        <f>IF(AND(A940&gt;=SETTINGS!$B$4,A940&lt;=SETTINGS!$B$5),"Yes","No")</f>
        <v>No</v>
      </c>
      <c r="D940" t="str">
        <f>IFERROR(INDEX(SETTINGS!$C$15:$C$24,MATCH(A940,SETTINGS!$A$15:$A$24,0)),"No")</f>
        <v>No</v>
      </c>
      <c r="E940">
        <v>2</v>
      </c>
      <c r="F940" t="s">
        <v>35</v>
      </c>
      <c r="G940">
        <v>41</v>
      </c>
      <c r="H940" t="s">
        <v>101</v>
      </c>
      <c r="I940" t="s">
        <v>15</v>
      </c>
      <c r="J940" t="s">
        <v>20</v>
      </c>
      <c r="K940" t="s">
        <v>3</v>
      </c>
      <c r="L940" s="36">
        <f ca="1">IF(C940&lt;&gt;"Yes",0,IF(A940=2025,N('2025'!D41),IF(A940=2026,N('2026'!D41),IF(A940=2027,N('2027'!D41),IF(A940=2028,N('2028'!D41),IF(A940=2029,N('2029'!D41),IF(A940=2030,N('2030'!D41),IF(A940=2031,N('2031'!D41),IF(A940=2032,N('2032'!D41),IF(A940=2033,N('2033'!D41),IF(A940=2034,N('2034'!D41),IFERROR(N(INDIRECT("'"&amp;A940&amp;"'!D"&amp;G940)),0))))))))))))</f>
        <v>0</v>
      </c>
      <c r="M940" s="36">
        <f>IFERROR(IF(NOT(ISBLANK(KPI_TARGETS!$K$12)),KPI_TARGETS!$K$12,IF(NOT(ISBLANK(KPI_TARGETS!$F$12)),KPI_TARGETS!$F$12,"")),"")</f>
        <v>0</v>
      </c>
      <c r="N940" s="36" t="str">
        <f>IFERROR(KPI_TARGETS!$E$12,"Higher is better")</f>
        <v>Lower is better</v>
      </c>
      <c r="O940" s="37">
        <f t="shared" ca="1" si="84"/>
        <v>1</v>
      </c>
      <c r="P940" t="str">
        <f t="shared" ca="1" si="85"/>
        <v>Green</v>
      </c>
      <c r="Q940" s="36">
        <f t="shared" ca="1" si="86"/>
        <v>0</v>
      </c>
      <c r="R940" s="36" t="str">
        <f>""</f>
        <v/>
      </c>
      <c r="S940" s="36" t="str">
        <f>""</f>
        <v/>
      </c>
      <c r="T940" s="36" t="str">
        <f>""</f>
        <v/>
      </c>
      <c r="U940" s="36" t="str">
        <f>""</f>
        <v/>
      </c>
      <c r="V940" s="36" t="str">
        <f>""</f>
        <v/>
      </c>
      <c r="W940" s="36">
        <f t="shared" si="87"/>
        <v>1</v>
      </c>
      <c r="X940" t="str">
        <f t="shared" si="88"/>
        <v>Inactive</v>
      </c>
      <c r="Y940" t="str">
        <f>IF(MAIN!$H$3="Selected Year",IF(A940=MAIN!$B$3,"Yes","No"),IF(MAIN!$H$3="Included Years",IF(D940="Yes","Yes","No"),IF(C940="Yes","Yes","No")))</f>
        <v>No</v>
      </c>
      <c r="Z940" t="str">
        <f>IF(MAIN!$F$3="Project to Date",IF(AND(A940&gt;=SETTINGS!$B$4,A940&lt;MAIN!$B$3),"Yes",IF(AND(A940=MAIN!$B$3,E940&lt;=MAIN!$L$3),"Yes","No")),IF(OR(MAIN!$F$3="Full Year",MAIN!$D$3="All"),"Yes",IF(MAIN!$F$3="Monthly",IF(E940=MAIN!$L$3,"Yes","No"),IF(E940&lt;=MAIN!$L$3,"Yes","No"))))</f>
        <v>Yes</v>
      </c>
      <c r="AA940" t="str">
        <f t="shared" si="89"/>
        <v>No</v>
      </c>
    </row>
    <row r="941" spans="1:27" x14ac:dyDescent="0.3">
      <c r="A941">
        <f>INDEX(SETTINGS!$A$15:$A$24,$B941)</f>
        <v>2029</v>
      </c>
      <c r="B941">
        <v>5</v>
      </c>
      <c r="C941" t="str">
        <f>IF(AND(A941&gt;=SETTINGS!$B$4,A941&lt;=SETTINGS!$B$5),"Yes","No")</f>
        <v>No</v>
      </c>
      <c r="D941" t="str">
        <f>IFERROR(INDEX(SETTINGS!$C$15:$C$24,MATCH(A941,SETTINGS!$A$15:$A$24,0)),"No")</f>
        <v>No</v>
      </c>
      <c r="E941">
        <v>2</v>
      </c>
      <c r="F941" t="s">
        <v>35</v>
      </c>
      <c r="G941">
        <v>42</v>
      </c>
      <c r="H941" t="s">
        <v>102</v>
      </c>
      <c r="I941" t="s">
        <v>15</v>
      </c>
      <c r="J941" t="s">
        <v>21</v>
      </c>
      <c r="K941" t="s">
        <v>3</v>
      </c>
      <c r="L941" s="36">
        <f ca="1">IF(C941&lt;&gt;"Yes",0,IF(A941=2025,N('2025'!D42),IF(A941=2026,N('2026'!D42),IF(A941=2027,N('2027'!D42),IF(A941=2028,N('2028'!D42),IF(A941=2029,N('2029'!D42),IF(A941=2030,N('2030'!D42),IF(A941=2031,N('2031'!D42),IF(A941=2032,N('2032'!D42),IF(A941=2033,N('2033'!D42),IF(A941=2034,N('2034'!D42),IFERROR(N(INDIRECT("'"&amp;A941&amp;"'!D"&amp;G941)),0))))))))))))</f>
        <v>0</v>
      </c>
      <c r="M941" s="36">
        <f>IFERROR(IF(NOT(ISBLANK(KPI_TARGETS!$K$13)),KPI_TARGETS!$K$13,IF(NOT(ISBLANK(KPI_TARGETS!$F$13)),KPI_TARGETS!$F$13,"")),"")</f>
        <v>0</v>
      </c>
      <c r="N941" s="36" t="str">
        <f>IFERROR(KPI_TARGETS!$E$13,"Higher is better")</f>
        <v>Lower is better</v>
      </c>
      <c r="O941" s="37">
        <f t="shared" ca="1" si="84"/>
        <v>1</v>
      </c>
      <c r="P941" t="str">
        <f t="shared" ca="1" si="85"/>
        <v>Green</v>
      </c>
      <c r="Q941" s="36">
        <f t="shared" ca="1" si="86"/>
        <v>0</v>
      </c>
      <c r="R941" s="36" t="str">
        <f>""</f>
        <v/>
      </c>
      <c r="S941" s="36" t="str">
        <f>""</f>
        <v/>
      </c>
      <c r="T941" s="36" t="str">
        <f>""</f>
        <v/>
      </c>
      <c r="U941" s="36" t="str">
        <f>""</f>
        <v/>
      </c>
      <c r="V941" s="36" t="str">
        <f>""</f>
        <v/>
      </c>
      <c r="W941" s="36">
        <f t="shared" si="87"/>
        <v>1</v>
      </c>
      <c r="X941" t="str">
        <f t="shared" si="88"/>
        <v>Inactive</v>
      </c>
      <c r="Y941" t="str">
        <f>IF(MAIN!$H$3="Selected Year",IF(A941=MAIN!$B$3,"Yes","No"),IF(MAIN!$H$3="Included Years",IF(D941="Yes","Yes","No"),IF(C941="Yes","Yes","No")))</f>
        <v>No</v>
      </c>
      <c r="Z941" t="str">
        <f>IF(MAIN!$F$3="Project to Date",IF(AND(A941&gt;=SETTINGS!$B$4,A941&lt;MAIN!$B$3),"Yes",IF(AND(A941=MAIN!$B$3,E941&lt;=MAIN!$L$3),"Yes","No")),IF(OR(MAIN!$F$3="Full Year",MAIN!$D$3="All"),"Yes",IF(MAIN!$F$3="Monthly",IF(E941=MAIN!$L$3,"Yes","No"),IF(E941&lt;=MAIN!$L$3,"Yes","No"))))</f>
        <v>Yes</v>
      </c>
      <c r="AA941" t="str">
        <f t="shared" si="89"/>
        <v>No</v>
      </c>
    </row>
    <row r="942" spans="1:27" x14ac:dyDescent="0.3">
      <c r="A942">
        <f>INDEX(SETTINGS!$A$15:$A$24,$B942)</f>
        <v>2029</v>
      </c>
      <c r="B942">
        <v>5</v>
      </c>
      <c r="C942" t="str">
        <f>IF(AND(A942&gt;=SETTINGS!$B$4,A942&lt;=SETTINGS!$B$5),"Yes","No")</f>
        <v>No</v>
      </c>
      <c r="D942" t="str">
        <f>IFERROR(INDEX(SETTINGS!$C$15:$C$24,MATCH(A942,SETTINGS!$A$15:$A$24,0)),"No")</f>
        <v>No</v>
      </c>
      <c r="E942">
        <v>2</v>
      </c>
      <c r="F942" t="s">
        <v>35</v>
      </c>
      <c r="G942">
        <v>44</v>
      </c>
      <c r="H942" t="s">
        <v>103</v>
      </c>
      <c r="I942" t="s">
        <v>22</v>
      </c>
      <c r="J942" t="s">
        <v>23</v>
      </c>
      <c r="K942" t="s">
        <v>3</v>
      </c>
      <c r="L942" s="36">
        <f ca="1">IF(C942&lt;&gt;"Yes",0,IF(A942=2025,N('2025'!D44),IF(A942=2026,N('2026'!D44),IF(A942=2027,N('2027'!D44),IF(A942=2028,N('2028'!D44),IF(A942=2029,N('2029'!D44),IF(A942=2030,N('2030'!D44),IF(A942=2031,N('2031'!D44),IF(A942=2032,N('2032'!D44),IF(A942=2033,N('2033'!D44),IF(A942=2034,N('2034'!D44),IFERROR(N(INDIRECT("'"&amp;A942&amp;"'!D"&amp;G942)),0))))))))))))</f>
        <v>0</v>
      </c>
      <c r="M942" s="36">
        <f>IFERROR(IF(NOT(ISBLANK(KPI_TARGETS!$K$14)),KPI_TARGETS!$K$14,IF(NOT(ISBLANK(KPI_TARGETS!$F$14)),KPI_TARGETS!$F$14,"")),"")</f>
        <v>35</v>
      </c>
      <c r="N942" s="36" t="str">
        <f>IFERROR(KPI_TARGETS!$E$14,"Higher is better")</f>
        <v>Higher is better</v>
      </c>
      <c r="O942" s="37">
        <f t="shared" ca="1" si="84"/>
        <v>0</v>
      </c>
      <c r="P942" t="str">
        <f t="shared" ca="1" si="85"/>
        <v>Red</v>
      </c>
      <c r="Q942" s="36">
        <f t="shared" ca="1" si="86"/>
        <v>-35</v>
      </c>
      <c r="R942" s="36" t="str">
        <f>""</f>
        <v/>
      </c>
      <c r="S942" s="36" t="str">
        <f>""</f>
        <v/>
      </c>
      <c r="T942" s="36" t="str">
        <f>""</f>
        <v/>
      </c>
      <c r="U942" s="36" t="str">
        <f>""</f>
        <v/>
      </c>
      <c r="V942" s="36" t="str">
        <f>""</f>
        <v/>
      </c>
      <c r="W942" s="36">
        <f t="shared" si="87"/>
        <v>1</v>
      </c>
      <c r="X942" t="str">
        <f t="shared" si="88"/>
        <v>Inactive</v>
      </c>
      <c r="Y942" t="str">
        <f>IF(MAIN!$H$3="Selected Year",IF(A942=MAIN!$B$3,"Yes","No"),IF(MAIN!$H$3="Included Years",IF(D942="Yes","Yes","No"),IF(C942="Yes","Yes","No")))</f>
        <v>No</v>
      </c>
      <c r="Z942" t="str">
        <f>IF(MAIN!$F$3="Project to Date",IF(AND(A942&gt;=SETTINGS!$B$4,A942&lt;MAIN!$B$3),"Yes",IF(AND(A942=MAIN!$B$3,E942&lt;=MAIN!$L$3),"Yes","No")),IF(OR(MAIN!$F$3="Full Year",MAIN!$D$3="All"),"Yes",IF(MAIN!$F$3="Monthly",IF(E942=MAIN!$L$3,"Yes","No"),IF(E942&lt;=MAIN!$L$3,"Yes","No"))))</f>
        <v>Yes</v>
      </c>
      <c r="AA942" t="str">
        <f t="shared" si="89"/>
        <v>No</v>
      </c>
    </row>
    <row r="943" spans="1:27" x14ac:dyDescent="0.3">
      <c r="A943">
        <f>INDEX(SETTINGS!$A$15:$A$24,$B943)</f>
        <v>2029</v>
      </c>
      <c r="B943">
        <v>5</v>
      </c>
      <c r="C943" t="str">
        <f>IF(AND(A943&gt;=SETTINGS!$B$4,A943&lt;=SETTINGS!$B$5),"Yes","No")</f>
        <v>No</v>
      </c>
      <c r="D943" t="str">
        <f>IFERROR(INDEX(SETTINGS!$C$15:$C$24,MATCH(A943,SETTINGS!$A$15:$A$24,0)),"No")</f>
        <v>No</v>
      </c>
      <c r="E943">
        <v>2</v>
      </c>
      <c r="F943" t="s">
        <v>35</v>
      </c>
      <c r="G943">
        <v>45</v>
      </c>
      <c r="H943" t="s">
        <v>104</v>
      </c>
      <c r="I943" t="s">
        <v>22</v>
      </c>
      <c r="J943" t="s">
        <v>24</v>
      </c>
      <c r="K943" t="s">
        <v>3</v>
      </c>
      <c r="L943" s="36">
        <f ca="1">IF(C943&lt;&gt;"Yes",0,IF(A943=2025,N('2025'!D45),IF(A943=2026,N('2026'!D45),IF(A943=2027,N('2027'!D45),IF(A943=2028,N('2028'!D45),IF(A943=2029,N('2029'!D45),IF(A943=2030,N('2030'!D45),IF(A943=2031,N('2031'!D45),IF(A943=2032,N('2032'!D45),IF(A943=2033,N('2033'!D45),IF(A943=2034,N('2034'!D45),IFERROR(N(INDIRECT("'"&amp;A943&amp;"'!D"&amp;G943)),0))))))))))))</f>
        <v>0</v>
      </c>
      <c r="M943" s="36">
        <f>IFERROR(IF(NOT(ISBLANK(KPI_TARGETS!$K$15)),KPI_TARGETS!$K$15,IF(NOT(ISBLANK(KPI_TARGETS!$F$15)),KPI_TARGETS!$F$15,"")),"")</f>
        <v>5</v>
      </c>
      <c r="N943" s="36" t="str">
        <f>IFERROR(KPI_TARGETS!$E$15,"Higher is better")</f>
        <v>Higher is better</v>
      </c>
      <c r="O943" s="37">
        <f t="shared" ca="1" si="84"/>
        <v>0</v>
      </c>
      <c r="P943" t="str">
        <f t="shared" ca="1" si="85"/>
        <v>Red</v>
      </c>
      <c r="Q943" s="36">
        <f t="shared" ca="1" si="86"/>
        <v>-5</v>
      </c>
      <c r="R943" s="36" t="str">
        <f>""</f>
        <v/>
      </c>
      <c r="S943" s="36" t="str">
        <f>""</f>
        <v/>
      </c>
      <c r="T943" s="36" t="str">
        <f>""</f>
        <v/>
      </c>
      <c r="U943" s="36" t="str">
        <f>""</f>
        <v/>
      </c>
      <c r="V943" s="36" t="str">
        <f>""</f>
        <v/>
      </c>
      <c r="W943" s="36">
        <f t="shared" si="87"/>
        <v>1</v>
      </c>
      <c r="X943" t="str">
        <f t="shared" si="88"/>
        <v>Inactive</v>
      </c>
      <c r="Y943" t="str">
        <f>IF(MAIN!$H$3="Selected Year",IF(A943=MAIN!$B$3,"Yes","No"),IF(MAIN!$H$3="Included Years",IF(D943="Yes","Yes","No"),IF(C943="Yes","Yes","No")))</f>
        <v>No</v>
      </c>
      <c r="Z943" t="str">
        <f>IF(MAIN!$F$3="Project to Date",IF(AND(A943&gt;=SETTINGS!$B$4,A943&lt;MAIN!$B$3),"Yes",IF(AND(A943=MAIN!$B$3,E943&lt;=MAIN!$L$3),"Yes","No")),IF(OR(MAIN!$F$3="Full Year",MAIN!$D$3="All"),"Yes",IF(MAIN!$F$3="Monthly",IF(E943=MAIN!$L$3,"Yes","No"),IF(E943&lt;=MAIN!$L$3,"Yes","No"))))</f>
        <v>Yes</v>
      </c>
      <c r="AA943" t="str">
        <f t="shared" si="89"/>
        <v>No</v>
      </c>
    </row>
    <row r="944" spans="1:27" x14ac:dyDescent="0.3">
      <c r="A944">
        <f>INDEX(SETTINGS!$A$15:$A$24,$B944)</f>
        <v>2029</v>
      </c>
      <c r="B944">
        <v>5</v>
      </c>
      <c r="C944" t="str">
        <f>IF(AND(A944&gt;=SETTINGS!$B$4,A944&lt;=SETTINGS!$B$5),"Yes","No")</f>
        <v>No</v>
      </c>
      <c r="D944" t="str">
        <f>IFERROR(INDEX(SETTINGS!$C$15:$C$24,MATCH(A944,SETTINGS!$A$15:$A$24,0)),"No")</f>
        <v>No</v>
      </c>
      <c r="E944">
        <v>2</v>
      </c>
      <c r="F944" t="s">
        <v>35</v>
      </c>
      <c r="G944">
        <v>46</v>
      </c>
      <c r="H944" t="s">
        <v>105</v>
      </c>
      <c r="I944" t="s">
        <v>22</v>
      </c>
      <c r="J944" t="s">
        <v>25</v>
      </c>
      <c r="K944" t="s">
        <v>3</v>
      </c>
      <c r="L944" s="36">
        <f ca="1">IF(C944&lt;&gt;"Yes",0,IF(A944=2025,N('2025'!D46),IF(A944=2026,N('2026'!D46),IF(A944=2027,N('2027'!D46),IF(A944=2028,N('2028'!D46),IF(A944=2029,N('2029'!D46),IF(A944=2030,N('2030'!D46),IF(A944=2031,N('2031'!D46),IF(A944=2032,N('2032'!D46),IF(A944=2033,N('2033'!D46),IF(A944=2034,N('2034'!D46),IFERROR(N(INDIRECT("'"&amp;A944&amp;"'!D"&amp;G944)),0))))))))))))</f>
        <v>0</v>
      </c>
      <c r="M944" s="36">
        <f>IFERROR(IF(NOT(ISBLANK(KPI_TARGETS!$K$16)),KPI_TARGETS!$K$16,IF(NOT(ISBLANK(KPI_TARGETS!$F$16)),KPI_TARGETS!$F$16,"")),"")</f>
        <v>4</v>
      </c>
      <c r="N944" s="36" t="str">
        <f>IFERROR(KPI_TARGETS!$E$16,"Higher is better")</f>
        <v>Higher is better</v>
      </c>
      <c r="O944" s="37">
        <f t="shared" ca="1" si="84"/>
        <v>0</v>
      </c>
      <c r="P944" t="str">
        <f t="shared" ca="1" si="85"/>
        <v>Red</v>
      </c>
      <c r="Q944" s="36">
        <f t="shared" ca="1" si="86"/>
        <v>-4</v>
      </c>
      <c r="R944" s="36" t="str">
        <f>""</f>
        <v/>
      </c>
      <c r="S944" s="36" t="str">
        <f>""</f>
        <v/>
      </c>
      <c r="T944" s="36" t="str">
        <f>""</f>
        <v/>
      </c>
      <c r="U944" s="36" t="str">
        <f>""</f>
        <v/>
      </c>
      <c r="V944" s="36" t="str">
        <f>""</f>
        <v/>
      </c>
      <c r="W944" s="36">
        <f t="shared" si="87"/>
        <v>1</v>
      </c>
      <c r="X944" t="str">
        <f t="shared" si="88"/>
        <v>Inactive</v>
      </c>
      <c r="Y944" t="str">
        <f>IF(MAIN!$H$3="Selected Year",IF(A944=MAIN!$B$3,"Yes","No"),IF(MAIN!$H$3="Included Years",IF(D944="Yes","Yes","No"),IF(C944="Yes","Yes","No")))</f>
        <v>No</v>
      </c>
      <c r="Z944" t="str">
        <f>IF(MAIN!$F$3="Project to Date",IF(AND(A944&gt;=SETTINGS!$B$4,A944&lt;MAIN!$B$3),"Yes",IF(AND(A944=MAIN!$B$3,E944&lt;=MAIN!$L$3),"Yes","No")),IF(OR(MAIN!$F$3="Full Year",MAIN!$D$3="All"),"Yes",IF(MAIN!$F$3="Monthly",IF(E944=MAIN!$L$3,"Yes","No"),IF(E944&lt;=MAIN!$L$3,"Yes","No"))))</f>
        <v>Yes</v>
      </c>
      <c r="AA944" t="str">
        <f t="shared" si="89"/>
        <v>No</v>
      </c>
    </row>
    <row r="945" spans="1:27" x14ac:dyDescent="0.3">
      <c r="A945">
        <f>INDEX(SETTINGS!$A$15:$A$24,$B945)</f>
        <v>2029</v>
      </c>
      <c r="B945">
        <v>5</v>
      </c>
      <c r="C945" t="str">
        <f>IF(AND(A945&gt;=SETTINGS!$B$4,A945&lt;=SETTINGS!$B$5),"Yes","No")</f>
        <v>No</v>
      </c>
      <c r="D945" t="str">
        <f>IFERROR(INDEX(SETTINGS!$C$15:$C$24,MATCH(A945,SETTINGS!$A$15:$A$24,0)),"No")</f>
        <v>No</v>
      </c>
      <c r="E945">
        <v>2</v>
      </c>
      <c r="F945" t="s">
        <v>35</v>
      </c>
      <c r="G945">
        <v>47</v>
      </c>
      <c r="H945" t="s">
        <v>106</v>
      </c>
      <c r="I945" t="s">
        <v>22</v>
      </c>
      <c r="J945" t="s">
        <v>26</v>
      </c>
      <c r="K945" t="s">
        <v>3</v>
      </c>
      <c r="L945" s="36">
        <f ca="1">IF(C945&lt;&gt;"Yes",0,IF(A945=2025,N('2025'!D47),IF(A945=2026,N('2026'!D47),IF(A945=2027,N('2027'!D47),IF(A945=2028,N('2028'!D47),IF(A945=2029,N('2029'!D47),IF(A945=2030,N('2030'!D47),IF(A945=2031,N('2031'!D47),IF(A945=2032,N('2032'!D47),IF(A945=2033,N('2033'!D47),IF(A945=2034,N('2034'!D47),IFERROR(N(INDIRECT("'"&amp;A945&amp;"'!D"&amp;G945)),0))))))))))))</f>
        <v>0</v>
      </c>
      <c r="M945" s="36">
        <f>IFERROR(IF(NOT(ISBLANK(KPI_TARGETS!$K$17)),KPI_TARGETS!$K$17,IF(NOT(ISBLANK(KPI_TARGETS!$F$17)),KPI_TARGETS!$F$17,"")),"")</f>
        <v>12</v>
      </c>
      <c r="N945" s="36" t="str">
        <f>IFERROR(KPI_TARGETS!$E$17,"Higher is better")</f>
        <v>Higher is better</v>
      </c>
      <c r="O945" s="37">
        <f t="shared" ca="1" si="84"/>
        <v>0</v>
      </c>
      <c r="P945" t="str">
        <f t="shared" ca="1" si="85"/>
        <v>Red</v>
      </c>
      <c r="Q945" s="36">
        <f t="shared" ca="1" si="86"/>
        <v>-12</v>
      </c>
      <c r="R945" s="36" t="str">
        <f>""</f>
        <v/>
      </c>
      <c r="S945" s="36" t="str">
        <f>""</f>
        <v/>
      </c>
      <c r="T945" s="36" t="str">
        <f>""</f>
        <v/>
      </c>
      <c r="U945" s="36" t="str">
        <f>""</f>
        <v/>
      </c>
      <c r="V945" s="36" t="str">
        <f>""</f>
        <v/>
      </c>
      <c r="W945" s="36">
        <f t="shared" si="87"/>
        <v>1</v>
      </c>
      <c r="X945" t="str">
        <f t="shared" si="88"/>
        <v>Inactive</v>
      </c>
      <c r="Y945" t="str">
        <f>IF(MAIN!$H$3="Selected Year",IF(A945=MAIN!$B$3,"Yes","No"),IF(MAIN!$H$3="Included Years",IF(D945="Yes","Yes","No"),IF(C945="Yes","Yes","No")))</f>
        <v>No</v>
      </c>
      <c r="Z945" t="str">
        <f>IF(MAIN!$F$3="Project to Date",IF(AND(A945&gt;=SETTINGS!$B$4,A945&lt;MAIN!$B$3),"Yes",IF(AND(A945=MAIN!$B$3,E945&lt;=MAIN!$L$3),"Yes","No")),IF(OR(MAIN!$F$3="Full Year",MAIN!$D$3="All"),"Yes",IF(MAIN!$F$3="Monthly",IF(E945=MAIN!$L$3,"Yes","No"),IF(E945&lt;=MAIN!$L$3,"Yes","No"))))</f>
        <v>Yes</v>
      </c>
      <c r="AA945" t="str">
        <f t="shared" si="89"/>
        <v>No</v>
      </c>
    </row>
    <row r="946" spans="1:27" x14ac:dyDescent="0.3">
      <c r="A946">
        <f>INDEX(SETTINGS!$A$15:$A$24,$B946)</f>
        <v>2029</v>
      </c>
      <c r="B946">
        <v>5</v>
      </c>
      <c r="C946" t="str">
        <f>IF(AND(A946&gt;=SETTINGS!$B$4,A946&lt;=SETTINGS!$B$5),"Yes","No")</f>
        <v>No</v>
      </c>
      <c r="D946" t="str">
        <f>IFERROR(INDEX(SETTINGS!$C$15:$C$24,MATCH(A946,SETTINGS!$A$15:$A$24,0)),"No")</f>
        <v>No</v>
      </c>
      <c r="E946">
        <v>2</v>
      </c>
      <c r="F946" t="s">
        <v>35</v>
      </c>
      <c r="G946">
        <v>48</v>
      </c>
      <c r="H946" t="s">
        <v>107</v>
      </c>
      <c r="I946" t="s">
        <v>22</v>
      </c>
      <c r="J946" t="s">
        <v>27</v>
      </c>
      <c r="K946" t="s">
        <v>3</v>
      </c>
      <c r="L946" s="36">
        <f ca="1">IF(C946&lt;&gt;"Yes",0,IF(A946=2025,N('2025'!D48),IF(A946=2026,N('2026'!D48),IF(A946=2027,N('2027'!D48),IF(A946=2028,N('2028'!D48),IF(A946=2029,N('2029'!D48),IF(A946=2030,N('2030'!D48),IF(A946=2031,N('2031'!D48),IF(A946=2032,N('2032'!D48),IF(A946=2033,N('2033'!D48),IF(A946=2034,N('2034'!D48),IFERROR(N(INDIRECT("'"&amp;A946&amp;"'!D"&amp;G946)),0))))))))))))</f>
        <v>0</v>
      </c>
      <c r="M946" s="36">
        <f>IFERROR(IF(NOT(ISBLANK(KPI_TARGETS!$K$18)),KPI_TARGETS!$K$18,IF(NOT(ISBLANK(KPI_TARGETS!$F$18)),KPI_TARGETS!$F$18,"")),"")</f>
        <v>4</v>
      </c>
      <c r="N946" s="36" t="str">
        <f>IFERROR(KPI_TARGETS!$E$18,"Higher is better")</f>
        <v>Higher is better</v>
      </c>
      <c r="O946" s="37">
        <f t="shared" ca="1" si="84"/>
        <v>0</v>
      </c>
      <c r="P946" t="str">
        <f t="shared" ca="1" si="85"/>
        <v>Red</v>
      </c>
      <c r="Q946" s="36">
        <f t="shared" ca="1" si="86"/>
        <v>-4</v>
      </c>
      <c r="R946" s="36" t="str">
        <f>""</f>
        <v/>
      </c>
      <c r="S946" s="36" t="str">
        <f>""</f>
        <v/>
      </c>
      <c r="T946" s="36" t="str">
        <f>""</f>
        <v/>
      </c>
      <c r="U946" s="36" t="str">
        <f>""</f>
        <v/>
      </c>
      <c r="V946" s="36" t="str">
        <f>""</f>
        <v/>
      </c>
      <c r="W946" s="36">
        <f t="shared" si="87"/>
        <v>1</v>
      </c>
      <c r="X946" t="str">
        <f t="shared" si="88"/>
        <v>Inactive</v>
      </c>
      <c r="Y946" t="str">
        <f>IF(MAIN!$H$3="Selected Year",IF(A946=MAIN!$B$3,"Yes","No"),IF(MAIN!$H$3="Included Years",IF(D946="Yes","Yes","No"),IF(C946="Yes","Yes","No")))</f>
        <v>No</v>
      </c>
      <c r="Z946" t="str">
        <f>IF(MAIN!$F$3="Project to Date",IF(AND(A946&gt;=SETTINGS!$B$4,A946&lt;MAIN!$B$3),"Yes",IF(AND(A946=MAIN!$B$3,E946&lt;=MAIN!$L$3),"Yes","No")),IF(OR(MAIN!$F$3="Full Year",MAIN!$D$3="All"),"Yes",IF(MAIN!$F$3="Monthly",IF(E946=MAIN!$L$3,"Yes","No"),IF(E946&lt;=MAIN!$L$3,"Yes","No"))))</f>
        <v>Yes</v>
      </c>
      <c r="AA946" t="str">
        <f t="shared" si="89"/>
        <v>No</v>
      </c>
    </row>
    <row r="947" spans="1:27" x14ac:dyDescent="0.3">
      <c r="A947">
        <f>INDEX(SETTINGS!$A$15:$A$24,$B947)</f>
        <v>2029</v>
      </c>
      <c r="B947">
        <v>5</v>
      </c>
      <c r="C947" t="str">
        <f>IF(AND(A947&gt;=SETTINGS!$B$4,A947&lt;=SETTINGS!$B$5),"Yes","No")</f>
        <v>No</v>
      </c>
      <c r="D947" t="str">
        <f>IFERROR(INDEX(SETTINGS!$C$15:$C$24,MATCH(A947,SETTINGS!$A$15:$A$24,0)),"No")</f>
        <v>No</v>
      </c>
      <c r="E947">
        <v>2</v>
      </c>
      <c r="F947" t="s">
        <v>35</v>
      </c>
      <c r="G947">
        <v>49</v>
      </c>
      <c r="H947" t="s">
        <v>108</v>
      </c>
      <c r="I947" t="s">
        <v>22</v>
      </c>
      <c r="J947" t="s">
        <v>28</v>
      </c>
      <c r="K947" t="s">
        <v>3</v>
      </c>
      <c r="L947" s="36">
        <f ca="1">IF(C947&lt;&gt;"Yes",0,IF(A947=2025,N('2025'!D49),IF(A947=2026,N('2026'!D49),IF(A947=2027,N('2027'!D49),IF(A947=2028,N('2028'!D49),IF(A947=2029,N('2029'!D49),IF(A947=2030,N('2030'!D49),IF(A947=2031,N('2031'!D49),IF(A947=2032,N('2032'!D49),IF(A947=2033,N('2033'!D49),IF(A947=2034,N('2034'!D49),IFERROR(N(INDIRECT("'"&amp;A947&amp;"'!D"&amp;G947)),0))))))))))))</f>
        <v>0</v>
      </c>
      <c r="M947" s="36">
        <f>IFERROR(IF(NOT(ISBLANK(KPI_TARGETS!$K$19)),KPI_TARGETS!$K$19,IF(NOT(ISBLANK(KPI_TARGETS!$F$19)),KPI_TARGETS!$F$19,"")),"")</f>
        <v>16</v>
      </c>
      <c r="N947" s="36" t="str">
        <f>IFERROR(KPI_TARGETS!$E$19,"Higher is better")</f>
        <v>Higher is better</v>
      </c>
      <c r="O947" s="37">
        <f t="shared" ca="1" si="84"/>
        <v>0</v>
      </c>
      <c r="P947" t="str">
        <f t="shared" ca="1" si="85"/>
        <v>Red</v>
      </c>
      <c r="Q947" s="36">
        <f t="shared" ca="1" si="86"/>
        <v>-16</v>
      </c>
      <c r="R947" s="36" t="str">
        <f>""</f>
        <v/>
      </c>
      <c r="S947" s="36" t="str">
        <f>""</f>
        <v/>
      </c>
      <c r="T947" s="36" t="str">
        <f>""</f>
        <v/>
      </c>
      <c r="U947" s="36" t="str">
        <f>""</f>
        <v/>
      </c>
      <c r="V947" s="36" t="str">
        <f>""</f>
        <v/>
      </c>
      <c r="W947" s="36">
        <f t="shared" si="87"/>
        <v>1</v>
      </c>
      <c r="X947" t="str">
        <f t="shared" si="88"/>
        <v>Inactive</v>
      </c>
      <c r="Y947" t="str">
        <f>IF(MAIN!$H$3="Selected Year",IF(A947=MAIN!$B$3,"Yes","No"),IF(MAIN!$H$3="Included Years",IF(D947="Yes","Yes","No"),IF(C947="Yes","Yes","No")))</f>
        <v>No</v>
      </c>
      <c r="Z947" t="str">
        <f>IF(MAIN!$F$3="Project to Date",IF(AND(A947&gt;=SETTINGS!$B$4,A947&lt;MAIN!$B$3),"Yes",IF(AND(A947=MAIN!$B$3,E947&lt;=MAIN!$L$3),"Yes","No")),IF(OR(MAIN!$F$3="Full Year",MAIN!$D$3="All"),"Yes",IF(MAIN!$F$3="Monthly",IF(E947=MAIN!$L$3,"Yes","No"),IF(E947&lt;=MAIN!$L$3,"Yes","No"))))</f>
        <v>Yes</v>
      </c>
      <c r="AA947" t="str">
        <f t="shared" si="89"/>
        <v>No</v>
      </c>
    </row>
    <row r="948" spans="1:27" x14ac:dyDescent="0.3">
      <c r="A948">
        <f>INDEX(SETTINGS!$A$15:$A$24,$B948)</f>
        <v>2029</v>
      </c>
      <c r="B948">
        <v>5</v>
      </c>
      <c r="C948" t="str">
        <f>IF(AND(A948&gt;=SETTINGS!$B$4,A948&lt;=SETTINGS!$B$5),"Yes","No")</f>
        <v>No</v>
      </c>
      <c r="D948" t="str">
        <f>IFERROR(INDEX(SETTINGS!$C$15:$C$24,MATCH(A948,SETTINGS!$A$15:$A$24,0)),"No")</f>
        <v>No</v>
      </c>
      <c r="E948">
        <v>2</v>
      </c>
      <c r="F948" t="s">
        <v>35</v>
      </c>
      <c r="G948">
        <v>50</v>
      </c>
      <c r="H948" t="s">
        <v>109</v>
      </c>
      <c r="I948" t="s">
        <v>22</v>
      </c>
      <c r="J948" t="s">
        <v>29</v>
      </c>
      <c r="K948" t="s">
        <v>3</v>
      </c>
      <c r="L948" s="36">
        <f ca="1">IF(C948&lt;&gt;"Yes",0,IF(A948=2025,N('2025'!D50),IF(A948=2026,N('2026'!D50),IF(A948=2027,N('2027'!D50),IF(A948=2028,N('2028'!D50),IF(A948=2029,N('2029'!D50),IF(A948=2030,N('2030'!D50),IF(A948=2031,N('2031'!D50),IF(A948=2032,N('2032'!D50),IF(A948=2033,N('2033'!D50),IF(A948=2034,N('2034'!D50),IFERROR(N(INDIRECT("'"&amp;A948&amp;"'!D"&amp;G948)),0))))))))))))</f>
        <v>0</v>
      </c>
      <c r="M948" s="36">
        <f>IFERROR(IF(NOT(ISBLANK(KPI_TARGETS!$K$20)),KPI_TARGETS!$K$20,IF(NOT(ISBLANK(KPI_TARGETS!$F$20)),KPI_TARGETS!$F$20,"")),"")</f>
        <v>1</v>
      </c>
      <c r="N948" s="36" t="str">
        <f>IFERROR(KPI_TARGETS!$E$20,"Higher is better")</f>
        <v>Higher is better</v>
      </c>
      <c r="O948" s="37">
        <f t="shared" ca="1" si="84"/>
        <v>0</v>
      </c>
      <c r="P948" t="str">
        <f t="shared" ca="1" si="85"/>
        <v>Red</v>
      </c>
      <c r="Q948" s="36">
        <f t="shared" ca="1" si="86"/>
        <v>-1</v>
      </c>
      <c r="R948" s="36" t="str">
        <f>""</f>
        <v/>
      </c>
      <c r="S948" s="36" t="str">
        <f>""</f>
        <v/>
      </c>
      <c r="T948" s="36" t="str">
        <f>""</f>
        <v/>
      </c>
      <c r="U948" s="36" t="str">
        <f>""</f>
        <v/>
      </c>
      <c r="V948" s="36" t="str">
        <f>""</f>
        <v/>
      </c>
      <c r="W948" s="36">
        <f t="shared" si="87"/>
        <v>1</v>
      </c>
      <c r="X948" t="str">
        <f t="shared" si="88"/>
        <v>Inactive</v>
      </c>
      <c r="Y948" t="str">
        <f>IF(MAIN!$H$3="Selected Year",IF(A948=MAIN!$B$3,"Yes","No"),IF(MAIN!$H$3="Included Years",IF(D948="Yes","Yes","No"),IF(C948="Yes","Yes","No")))</f>
        <v>No</v>
      </c>
      <c r="Z948" t="str">
        <f>IF(MAIN!$F$3="Project to Date",IF(AND(A948&gt;=SETTINGS!$B$4,A948&lt;MAIN!$B$3),"Yes",IF(AND(A948=MAIN!$B$3,E948&lt;=MAIN!$L$3),"Yes","No")),IF(OR(MAIN!$F$3="Full Year",MAIN!$D$3="All"),"Yes",IF(MAIN!$F$3="Monthly",IF(E948=MAIN!$L$3,"Yes","No"),IF(E948&lt;=MAIN!$L$3,"Yes","No"))))</f>
        <v>Yes</v>
      </c>
      <c r="AA948" t="str">
        <f t="shared" si="89"/>
        <v>No</v>
      </c>
    </row>
    <row r="949" spans="1:27" x14ac:dyDescent="0.3">
      <c r="A949">
        <f>INDEX(SETTINGS!$A$15:$A$24,$B949)</f>
        <v>2029</v>
      </c>
      <c r="B949">
        <v>5</v>
      </c>
      <c r="C949" t="str">
        <f>IF(AND(A949&gt;=SETTINGS!$B$4,A949&lt;=SETTINGS!$B$5),"Yes","No")</f>
        <v>No</v>
      </c>
      <c r="D949" t="str">
        <f>IFERROR(INDEX(SETTINGS!$C$15:$C$24,MATCH(A949,SETTINGS!$A$15:$A$24,0)),"No")</f>
        <v>No</v>
      </c>
      <c r="E949">
        <v>2</v>
      </c>
      <c r="F949" t="s">
        <v>35</v>
      </c>
      <c r="G949">
        <v>52</v>
      </c>
      <c r="H949" t="s">
        <v>110</v>
      </c>
      <c r="I949" t="s">
        <v>30</v>
      </c>
      <c r="J949" t="s">
        <v>31</v>
      </c>
      <c r="K949" t="s">
        <v>3</v>
      </c>
      <c r="L949" s="36">
        <f ca="1">IF(C949&lt;&gt;"Yes",0,IF(A949=2025,N('2025'!D52),IF(A949=2026,N('2026'!D52),IF(A949=2027,N('2027'!D52),IF(A949=2028,N('2028'!D52),IF(A949=2029,N('2029'!D52),IF(A949=2030,N('2030'!D52),IF(A949=2031,N('2031'!D52),IF(A949=2032,N('2032'!D52),IF(A949=2033,N('2033'!D52),IF(A949=2034,N('2034'!D52),IFERROR(N(INDIRECT("'"&amp;A949&amp;"'!D"&amp;G949)),0))))))))))))</f>
        <v>0</v>
      </c>
      <c r="M949" s="36">
        <f>IFERROR(IF(NOT(ISBLANK(KPI_TARGETS!$K$21)),KPI_TARGETS!$K$21,IF(NOT(ISBLANK(KPI_TARGETS!$F$21)),KPI_TARGETS!$F$21,"")),"")</f>
        <v>0</v>
      </c>
      <c r="N949" s="36" t="str">
        <f>IFERROR(KPI_TARGETS!$E$21,"Higher is better")</f>
        <v>Lower is better</v>
      </c>
      <c r="O949" s="37">
        <f t="shared" ca="1" si="84"/>
        <v>1</v>
      </c>
      <c r="P949" t="str">
        <f t="shared" ca="1" si="85"/>
        <v>Green</v>
      </c>
      <c r="Q949" s="36">
        <f t="shared" ca="1" si="86"/>
        <v>0</v>
      </c>
      <c r="R949" s="36" t="str">
        <f>""</f>
        <v/>
      </c>
      <c r="S949" s="36" t="str">
        <f>""</f>
        <v/>
      </c>
      <c r="T949" s="36" t="str">
        <f>""</f>
        <v/>
      </c>
      <c r="U949" s="36" t="str">
        <f>""</f>
        <v/>
      </c>
      <c r="V949" s="36" t="str">
        <f>""</f>
        <v/>
      </c>
      <c r="W949" s="36">
        <f t="shared" si="87"/>
        <v>1</v>
      </c>
      <c r="X949" t="str">
        <f t="shared" si="88"/>
        <v>Inactive</v>
      </c>
      <c r="Y949" t="str">
        <f>IF(MAIN!$H$3="Selected Year",IF(A949=MAIN!$B$3,"Yes","No"),IF(MAIN!$H$3="Included Years",IF(D949="Yes","Yes","No"),IF(C949="Yes","Yes","No")))</f>
        <v>No</v>
      </c>
      <c r="Z949" t="str">
        <f>IF(MAIN!$F$3="Project to Date",IF(AND(A949&gt;=SETTINGS!$B$4,A949&lt;MAIN!$B$3),"Yes",IF(AND(A949=MAIN!$B$3,E949&lt;=MAIN!$L$3),"Yes","No")),IF(OR(MAIN!$F$3="Full Year",MAIN!$D$3="All"),"Yes",IF(MAIN!$F$3="Monthly",IF(E949=MAIN!$L$3,"Yes","No"),IF(E949&lt;=MAIN!$L$3,"Yes","No"))))</f>
        <v>Yes</v>
      </c>
      <c r="AA949" t="str">
        <f t="shared" si="89"/>
        <v>No</v>
      </c>
    </row>
    <row r="950" spans="1:27" x14ac:dyDescent="0.3">
      <c r="A950">
        <f>INDEX(SETTINGS!$A$15:$A$24,$B950)</f>
        <v>2029</v>
      </c>
      <c r="B950">
        <v>5</v>
      </c>
      <c r="C950" t="str">
        <f>IF(AND(A950&gt;=SETTINGS!$B$4,A950&lt;=SETTINGS!$B$5),"Yes","No")</f>
        <v>No</v>
      </c>
      <c r="D950" t="str">
        <f>IFERROR(INDEX(SETTINGS!$C$15:$C$24,MATCH(A950,SETTINGS!$A$15:$A$24,0)),"No")</f>
        <v>No</v>
      </c>
      <c r="E950">
        <v>2</v>
      </c>
      <c r="F950" t="s">
        <v>35</v>
      </c>
      <c r="G950">
        <v>53</v>
      </c>
      <c r="H950" t="s">
        <v>111</v>
      </c>
      <c r="I950" t="s">
        <v>30</v>
      </c>
      <c r="J950" t="s">
        <v>32</v>
      </c>
      <c r="K950" t="s">
        <v>3</v>
      </c>
      <c r="L950" s="36">
        <f ca="1">IF(C950&lt;&gt;"Yes",0,IF(A950=2025,N('2025'!D53),IF(A950=2026,N('2026'!D53),IF(A950=2027,N('2027'!D53),IF(A950=2028,N('2028'!D53),IF(A950=2029,N('2029'!D53),IF(A950=2030,N('2030'!D53),IF(A950=2031,N('2031'!D53),IF(A950=2032,N('2032'!D53),IF(A950=2033,N('2033'!D53),IF(A950=2034,N('2034'!D53),IFERROR(N(INDIRECT("'"&amp;A950&amp;"'!D"&amp;G950)),0))))))))))))</f>
        <v>0</v>
      </c>
      <c r="M950" s="36">
        <f>IFERROR(IF(NOT(ISBLANK(KPI_TARGETS!$K$22)),KPI_TARGETS!$K$22,IF(NOT(ISBLANK(KPI_TARGETS!$F$22)),KPI_TARGETS!$F$22,"")),"")</f>
        <v>1</v>
      </c>
      <c r="N950" s="36" t="str">
        <f>IFERROR(KPI_TARGETS!$E$22,"Higher is better")</f>
        <v>Higher is better</v>
      </c>
      <c r="O950" s="37">
        <f t="shared" ca="1" si="84"/>
        <v>0</v>
      </c>
      <c r="P950" t="str">
        <f t="shared" ca="1" si="85"/>
        <v>Red</v>
      </c>
      <c r="Q950" s="36">
        <f t="shared" ca="1" si="86"/>
        <v>-1</v>
      </c>
      <c r="R950" s="36" t="str">
        <f>""</f>
        <v/>
      </c>
      <c r="S950" s="36" t="str">
        <f>""</f>
        <v/>
      </c>
      <c r="T950" s="36" t="str">
        <f>""</f>
        <v/>
      </c>
      <c r="U950" s="36" t="str">
        <f>""</f>
        <v/>
      </c>
      <c r="V950" s="36" t="str">
        <f>""</f>
        <v/>
      </c>
      <c r="W950" s="36">
        <f t="shared" si="87"/>
        <v>1</v>
      </c>
      <c r="X950" t="str">
        <f t="shared" si="88"/>
        <v>Inactive</v>
      </c>
      <c r="Y950" t="str">
        <f>IF(MAIN!$H$3="Selected Year",IF(A950=MAIN!$B$3,"Yes","No"),IF(MAIN!$H$3="Included Years",IF(D950="Yes","Yes","No"),IF(C950="Yes","Yes","No")))</f>
        <v>No</v>
      </c>
      <c r="Z950" t="str">
        <f>IF(MAIN!$F$3="Project to Date",IF(AND(A950&gt;=SETTINGS!$B$4,A950&lt;MAIN!$B$3),"Yes",IF(AND(A950=MAIN!$B$3,E950&lt;=MAIN!$L$3),"Yes","No")),IF(OR(MAIN!$F$3="Full Year",MAIN!$D$3="All"),"Yes",IF(MAIN!$F$3="Monthly",IF(E950=MAIN!$L$3,"Yes","No"),IF(E950&lt;=MAIN!$L$3,"Yes","No"))))</f>
        <v>Yes</v>
      </c>
      <c r="AA950" t="str">
        <f t="shared" si="89"/>
        <v>No</v>
      </c>
    </row>
    <row r="951" spans="1:27" x14ac:dyDescent="0.3">
      <c r="A951">
        <f>INDEX(SETTINGS!$A$15:$A$24,$B951)</f>
        <v>2029</v>
      </c>
      <c r="B951">
        <v>5</v>
      </c>
      <c r="C951" t="str">
        <f>IF(AND(A951&gt;=SETTINGS!$B$4,A951&lt;=SETTINGS!$B$5),"Yes","No")</f>
        <v>No</v>
      </c>
      <c r="D951" t="str">
        <f>IFERROR(INDEX(SETTINGS!$C$15:$C$24,MATCH(A951,SETTINGS!$A$15:$A$24,0)),"No")</f>
        <v>No</v>
      </c>
      <c r="E951">
        <v>2</v>
      </c>
      <c r="F951" t="s">
        <v>35</v>
      </c>
      <c r="G951">
        <v>54</v>
      </c>
      <c r="H951" t="s">
        <v>112</v>
      </c>
      <c r="I951" t="s">
        <v>30</v>
      </c>
      <c r="J951" t="s">
        <v>33</v>
      </c>
      <c r="K951" t="s">
        <v>34</v>
      </c>
      <c r="L951" s="36">
        <f ca="1">IF(C951&lt;&gt;"Yes",0,IF(A951=2025,N('2025'!D54),IF(A951=2026,N('2026'!D54),IF(A951=2027,N('2027'!D54),IF(A951=2028,N('2028'!D54),IF(A951=2029,N('2029'!D54),IF(A951=2030,N('2030'!D54),IF(A951=2031,N('2031'!D54),IF(A951=2032,N('2032'!D54),IF(A951=2033,N('2033'!D54),IF(A951=2034,N('2034'!D54),IFERROR(N(INDIRECT("'"&amp;A951&amp;"'!D"&amp;G951)),0))))))))))))</f>
        <v>0</v>
      </c>
      <c r="M951" s="36">
        <f>IFERROR(IF(NOT(ISBLANK(KPI_TARGETS!$K$23)),KPI_TARGETS!$K$23,IF(NOT(ISBLANK(KPI_TARGETS!$F$23)),KPI_TARGETS!$F$23,"")),"")</f>
        <v>1</v>
      </c>
      <c r="N951" s="36" t="str">
        <f>IFERROR(KPI_TARGETS!$E$23,"Higher is better")</f>
        <v>Higher is better</v>
      </c>
      <c r="O951" s="37">
        <f t="shared" ca="1" si="84"/>
        <v>0</v>
      </c>
      <c r="P951" t="str">
        <f t="shared" ca="1" si="85"/>
        <v>Red</v>
      </c>
      <c r="Q951" s="36">
        <f t="shared" ca="1" si="86"/>
        <v>-1</v>
      </c>
      <c r="R951" s="36" t="str">
        <f>""</f>
        <v/>
      </c>
      <c r="S951" s="36" t="str">
        <f>""</f>
        <v/>
      </c>
      <c r="T951" s="36" t="str">
        <f>""</f>
        <v/>
      </c>
      <c r="U951" s="36" t="str">
        <f>""</f>
        <v/>
      </c>
      <c r="V951" s="36" t="str">
        <f>""</f>
        <v/>
      </c>
      <c r="W951" s="36">
        <f t="shared" si="87"/>
        <v>1</v>
      </c>
      <c r="X951" t="str">
        <f t="shared" si="88"/>
        <v>Inactive</v>
      </c>
      <c r="Y951" t="str">
        <f>IF(MAIN!$H$3="Selected Year",IF(A951=MAIN!$B$3,"Yes","No"),IF(MAIN!$H$3="Included Years",IF(D951="Yes","Yes","No"),IF(C951="Yes","Yes","No")))</f>
        <v>No</v>
      </c>
      <c r="Z951" t="str">
        <f>IF(MAIN!$F$3="Project to Date",IF(AND(A951&gt;=SETTINGS!$B$4,A951&lt;MAIN!$B$3),"Yes",IF(AND(A951=MAIN!$B$3,E951&lt;=MAIN!$L$3),"Yes","No")),IF(OR(MAIN!$F$3="Full Year",MAIN!$D$3="All"),"Yes",IF(MAIN!$F$3="Monthly",IF(E951=MAIN!$L$3,"Yes","No"),IF(E951&lt;=MAIN!$L$3,"Yes","No"))))</f>
        <v>Yes</v>
      </c>
      <c r="AA951" t="str">
        <f t="shared" si="89"/>
        <v>No</v>
      </c>
    </row>
    <row r="952" spans="1:27" x14ac:dyDescent="0.3">
      <c r="A952">
        <f>INDEX(SETTINGS!$A$15:$A$24,$B952)</f>
        <v>2029</v>
      </c>
      <c r="B952">
        <v>5</v>
      </c>
      <c r="C952" t="str">
        <f>IF(AND(A952&gt;=SETTINGS!$B$4,A952&lt;=SETTINGS!$B$5),"Yes","No")</f>
        <v>No</v>
      </c>
      <c r="D952" t="str">
        <f>IFERROR(INDEX(SETTINGS!$C$15:$C$24,MATCH(A952,SETTINGS!$A$15:$A$24,0)),"No")</f>
        <v>No</v>
      </c>
      <c r="E952">
        <v>3</v>
      </c>
      <c r="F952" t="s">
        <v>36</v>
      </c>
      <c r="G952">
        <v>57</v>
      </c>
      <c r="H952" t="s">
        <v>88</v>
      </c>
      <c r="I952" t="s">
        <v>89</v>
      </c>
      <c r="J952" t="s">
        <v>10</v>
      </c>
      <c r="K952" t="s">
        <v>3</v>
      </c>
      <c r="L952" s="36">
        <f ca="1">IF(C952&lt;&gt;"Yes",0,IF(A952=2025,N('2025'!D57),IF(A952=2026,N('2026'!D57),IF(A952=2027,N('2027'!D57),IF(A952=2028,N('2028'!D57),IF(A952=2029,N('2029'!D57),IF(A952=2030,N('2030'!D57),IF(A952=2031,N('2031'!D57),IF(A952=2032,N('2032'!D57),IF(A952=2033,N('2033'!D57),IF(A952=2034,N('2034'!D57),IFERROR(N(INDIRECT("'"&amp;A952&amp;"'!D"&amp;G952)),0))))))))))))</f>
        <v>0</v>
      </c>
      <c r="M952" s="36">
        <f>IFERROR(IF(NOT(ISBLANK(KPI_TARGETS!$K$5)),KPI_TARGETS!$K$5,IF(NOT(ISBLANK(KPI_TARGETS!$F$5)),KPI_TARGETS!$F$5,"")),"")</f>
        <v>104</v>
      </c>
      <c r="N952" s="36" t="str">
        <f>IFERROR(KPI_TARGETS!$E$5,"Higher is better")</f>
        <v>Higher is better</v>
      </c>
      <c r="O952" s="37">
        <f t="shared" ca="1" si="84"/>
        <v>0</v>
      </c>
      <c r="P952" t="str">
        <f t="shared" ca="1" si="85"/>
        <v>Red</v>
      </c>
      <c r="Q952" s="36">
        <f t="shared" ca="1" si="86"/>
        <v>-104</v>
      </c>
      <c r="R952" s="36" t="str">
        <f>""</f>
        <v/>
      </c>
      <c r="S952" s="36" t="str">
        <f>""</f>
        <v/>
      </c>
      <c r="T952" s="36" t="str">
        <f>""</f>
        <v/>
      </c>
      <c r="U952" s="36" t="str">
        <f>""</f>
        <v/>
      </c>
      <c r="V952" s="36" t="str">
        <f>""</f>
        <v/>
      </c>
      <c r="W952" s="36">
        <f t="shared" si="87"/>
        <v>1</v>
      </c>
      <c r="X952" t="str">
        <f t="shared" si="88"/>
        <v>Inactive</v>
      </c>
      <c r="Y952" t="str">
        <f>IF(MAIN!$H$3="Selected Year",IF(A952=MAIN!$B$3,"Yes","No"),IF(MAIN!$H$3="Included Years",IF(D952="Yes","Yes","No"),IF(C952="Yes","Yes","No")))</f>
        <v>No</v>
      </c>
      <c r="Z952" t="str">
        <f>IF(MAIN!$F$3="Project to Date",IF(AND(A952&gt;=SETTINGS!$B$4,A952&lt;MAIN!$B$3),"Yes",IF(AND(A952=MAIN!$B$3,E952&lt;=MAIN!$L$3),"Yes","No")),IF(OR(MAIN!$F$3="Full Year",MAIN!$D$3="All"),"Yes",IF(MAIN!$F$3="Monthly",IF(E952=MAIN!$L$3,"Yes","No"),IF(E952&lt;=MAIN!$L$3,"Yes","No"))))</f>
        <v>Yes</v>
      </c>
      <c r="AA952" t="str">
        <f t="shared" si="89"/>
        <v>No</v>
      </c>
    </row>
    <row r="953" spans="1:27" x14ac:dyDescent="0.3">
      <c r="A953">
        <f>INDEX(SETTINGS!$A$15:$A$24,$B953)</f>
        <v>2029</v>
      </c>
      <c r="B953">
        <v>5</v>
      </c>
      <c r="C953" t="str">
        <f>IF(AND(A953&gt;=SETTINGS!$B$4,A953&lt;=SETTINGS!$B$5),"Yes","No")</f>
        <v>No</v>
      </c>
      <c r="D953" t="str">
        <f>IFERROR(INDEX(SETTINGS!$C$15:$C$24,MATCH(A953,SETTINGS!$A$15:$A$24,0)),"No")</f>
        <v>No</v>
      </c>
      <c r="E953">
        <v>3</v>
      </c>
      <c r="F953" t="s">
        <v>36</v>
      </c>
      <c r="G953">
        <v>58</v>
      </c>
      <c r="H953" t="s">
        <v>91</v>
      </c>
      <c r="I953" t="s">
        <v>89</v>
      </c>
      <c r="J953" t="s">
        <v>11</v>
      </c>
      <c r="K953" t="s">
        <v>12</v>
      </c>
      <c r="L953" s="36">
        <f ca="1">IF(C953&lt;&gt;"Yes",0,IF(A953=2025,N('2025'!D58),IF(A953=2026,N('2026'!D58),IF(A953=2027,N('2027'!D58),IF(A953=2028,N('2028'!D58),IF(A953=2029,N('2029'!D58),IF(A953=2030,N('2030'!D58),IF(A953=2031,N('2031'!D58),IF(A953=2032,N('2032'!D58),IF(A953=2033,N('2033'!D58),IF(A953=2034,N('2034'!D58),IFERROR(N(INDIRECT("'"&amp;A953&amp;"'!D"&amp;G953)),0))))))))))))</f>
        <v>0</v>
      </c>
      <c r="M953" s="36">
        <f>IFERROR(IF(NOT(ISBLANK(KPI_TARGETS!$K$6)),KPI_TARGETS!$K$6,IF(NOT(ISBLANK(KPI_TARGETS!$F$6)),KPI_TARGETS!$F$6,"")),"")</f>
        <v>4000</v>
      </c>
      <c r="N953" s="36" t="str">
        <f>IFERROR(KPI_TARGETS!$E$6,"Higher is better")</f>
        <v>Higher is better</v>
      </c>
      <c r="O953" s="37">
        <f t="shared" ca="1" si="84"/>
        <v>0</v>
      </c>
      <c r="P953" t="str">
        <f t="shared" ca="1" si="85"/>
        <v>Red</v>
      </c>
      <c r="Q953" s="36">
        <f t="shared" ca="1" si="86"/>
        <v>-4000</v>
      </c>
      <c r="R953" s="36" t="str">
        <f>""</f>
        <v/>
      </c>
      <c r="S953" s="36" t="str">
        <f>""</f>
        <v/>
      </c>
      <c r="T953" s="36" t="str">
        <f>""</f>
        <v/>
      </c>
      <c r="U953" s="36" t="str">
        <f>""</f>
        <v/>
      </c>
      <c r="V953" s="36" t="str">
        <f>""</f>
        <v/>
      </c>
      <c r="W953" s="36">
        <f t="shared" si="87"/>
        <v>1</v>
      </c>
      <c r="X953" t="str">
        <f t="shared" si="88"/>
        <v>Inactive</v>
      </c>
      <c r="Y953" t="str">
        <f>IF(MAIN!$H$3="Selected Year",IF(A953=MAIN!$B$3,"Yes","No"),IF(MAIN!$H$3="Included Years",IF(D953="Yes","Yes","No"),IF(C953="Yes","Yes","No")))</f>
        <v>No</v>
      </c>
      <c r="Z953" t="str">
        <f>IF(MAIN!$F$3="Project to Date",IF(AND(A953&gt;=SETTINGS!$B$4,A953&lt;MAIN!$B$3),"Yes",IF(AND(A953=MAIN!$B$3,E953&lt;=MAIN!$L$3),"Yes","No")),IF(OR(MAIN!$F$3="Full Year",MAIN!$D$3="All"),"Yes",IF(MAIN!$F$3="Monthly",IF(E953=MAIN!$L$3,"Yes","No"),IF(E953&lt;=MAIN!$L$3,"Yes","No"))))</f>
        <v>Yes</v>
      </c>
      <c r="AA953" t="str">
        <f t="shared" si="89"/>
        <v>No</v>
      </c>
    </row>
    <row r="954" spans="1:27" x14ac:dyDescent="0.3">
      <c r="A954">
        <f>INDEX(SETTINGS!$A$15:$A$24,$B954)</f>
        <v>2029</v>
      </c>
      <c r="B954">
        <v>5</v>
      </c>
      <c r="C954" t="str">
        <f>IF(AND(A954&gt;=SETTINGS!$B$4,A954&lt;=SETTINGS!$B$5),"Yes","No")</f>
        <v>No</v>
      </c>
      <c r="D954" t="str">
        <f>IFERROR(INDEX(SETTINGS!$C$15:$C$24,MATCH(A954,SETTINGS!$A$15:$A$24,0)),"No")</f>
        <v>No</v>
      </c>
      <c r="E954">
        <v>3</v>
      </c>
      <c r="F954" t="s">
        <v>36</v>
      </c>
      <c r="G954">
        <v>59</v>
      </c>
      <c r="H954" t="s">
        <v>93</v>
      </c>
      <c r="I954" t="s">
        <v>89</v>
      </c>
      <c r="J954" t="s">
        <v>13</v>
      </c>
      <c r="K954" t="s">
        <v>14</v>
      </c>
      <c r="L954" s="36">
        <f ca="1">IF(C954&lt;&gt;"Yes",0,IF(A954=2025,N('2025'!D59),IF(A954=2026,N('2026'!D59),IF(A954=2027,N('2027'!D59),IF(A954=2028,N('2028'!D59),IF(A954=2029,N('2029'!D59),IF(A954=2030,N('2030'!D59),IF(A954=2031,N('2031'!D59),IF(A954=2032,N('2032'!D59),IF(A954=2033,N('2033'!D59),IF(A954=2034,N('2034'!D59),IFERROR(N(INDIRECT("'"&amp;A954&amp;"'!D"&amp;G954)),0))))))))))))</f>
        <v>0</v>
      </c>
      <c r="M954" s="36">
        <f>IFERROR(IF(NOT(ISBLANK(KPI_TARGETS!$K$7)),KPI_TARGETS!$K$7,IF(NOT(ISBLANK(KPI_TARGETS!$F$7)),KPI_TARGETS!$F$7,"")),"")</f>
        <v>8000</v>
      </c>
      <c r="N954" s="36" t="str">
        <f>IFERROR(KPI_TARGETS!$E$7,"Higher is better")</f>
        <v>Higher is better</v>
      </c>
      <c r="O954" s="37">
        <f t="shared" ca="1" si="84"/>
        <v>0</v>
      </c>
      <c r="P954" t="str">
        <f t="shared" ca="1" si="85"/>
        <v>Red</v>
      </c>
      <c r="Q954" s="36">
        <f t="shared" ca="1" si="86"/>
        <v>-8000</v>
      </c>
      <c r="R954" s="36" t="str">
        <f>""</f>
        <v/>
      </c>
      <c r="S954" s="36" t="str">
        <f>""</f>
        <v/>
      </c>
      <c r="T954" s="36" t="str">
        <f>""</f>
        <v/>
      </c>
      <c r="U954" s="36" t="str">
        <f>""</f>
        <v/>
      </c>
      <c r="V954" s="36" t="str">
        <f>""</f>
        <v/>
      </c>
      <c r="W954" s="36">
        <f t="shared" si="87"/>
        <v>1</v>
      </c>
      <c r="X954" t="str">
        <f t="shared" si="88"/>
        <v>Inactive</v>
      </c>
      <c r="Y954" t="str">
        <f>IF(MAIN!$H$3="Selected Year",IF(A954=MAIN!$B$3,"Yes","No"),IF(MAIN!$H$3="Included Years",IF(D954="Yes","Yes","No"),IF(C954="Yes","Yes","No")))</f>
        <v>No</v>
      </c>
      <c r="Z954" t="str">
        <f>IF(MAIN!$F$3="Project to Date",IF(AND(A954&gt;=SETTINGS!$B$4,A954&lt;MAIN!$B$3),"Yes",IF(AND(A954=MAIN!$B$3,E954&lt;=MAIN!$L$3),"Yes","No")),IF(OR(MAIN!$F$3="Full Year",MAIN!$D$3="All"),"Yes",IF(MAIN!$F$3="Monthly",IF(E954=MAIN!$L$3,"Yes","No"),IF(E954&lt;=MAIN!$L$3,"Yes","No"))))</f>
        <v>Yes</v>
      </c>
      <c r="AA954" t="str">
        <f t="shared" si="89"/>
        <v>No</v>
      </c>
    </row>
    <row r="955" spans="1:27" x14ac:dyDescent="0.3">
      <c r="A955">
        <f>INDEX(SETTINGS!$A$15:$A$24,$B955)</f>
        <v>2029</v>
      </c>
      <c r="B955">
        <v>5</v>
      </c>
      <c r="C955" t="str">
        <f>IF(AND(A955&gt;=SETTINGS!$B$4,A955&lt;=SETTINGS!$B$5),"Yes","No")</f>
        <v>No</v>
      </c>
      <c r="D955" t="str">
        <f>IFERROR(INDEX(SETTINGS!$C$15:$C$24,MATCH(A955,SETTINGS!$A$15:$A$24,0)),"No")</f>
        <v>No</v>
      </c>
      <c r="E955">
        <v>3</v>
      </c>
      <c r="F955" t="s">
        <v>36</v>
      </c>
      <c r="G955">
        <v>61</v>
      </c>
      <c r="H955" t="s">
        <v>95</v>
      </c>
      <c r="I955" t="s">
        <v>15</v>
      </c>
      <c r="J955" t="s">
        <v>16</v>
      </c>
      <c r="K955" t="s">
        <v>3</v>
      </c>
      <c r="L955" s="36">
        <f ca="1">IF(C955&lt;&gt;"Yes",0,IF(A955=2025,N('2025'!D61),IF(A955=2026,N('2026'!D61),IF(A955=2027,N('2027'!D61),IF(A955=2028,N('2028'!D61),IF(A955=2029,N('2029'!D61),IF(A955=2030,N('2030'!D61),IF(A955=2031,N('2031'!D61),IF(A955=2032,N('2032'!D61),IF(A955=2033,N('2033'!D61),IF(A955=2034,N('2034'!D61),IFERROR(N(INDIRECT("'"&amp;A955&amp;"'!D"&amp;G955)),0))))))))))))</f>
        <v>0</v>
      </c>
      <c r="M955" s="36">
        <f>IFERROR(IF(NOT(ISBLANK(KPI_TARGETS!$K$8)),KPI_TARGETS!$K$8,IF(NOT(ISBLANK(KPI_TARGETS!$F$8)),KPI_TARGETS!$F$8,"")),"")</f>
        <v>0</v>
      </c>
      <c r="N955" s="36" t="str">
        <f>IFERROR(KPI_TARGETS!$E$8,"Higher is better")</f>
        <v>Lower is better</v>
      </c>
      <c r="O955" s="37">
        <f t="shared" ca="1" si="84"/>
        <v>1</v>
      </c>
      <c r="P955" t="str">
        <f t="shared" ca="1" si="85"/>
        <v>Green</v>
      </c>
      <c r="Q955" s="36">
        <f t="shared" ca="1" si="86"/>
        <v>0</v>
      </c>
      <c r="R955" s="36" t="str">
        <f>""</f>
        <v/>
      </c>
      <c r="S955" s="36" t="str">
        <f>""</f>
        <v/>
      </c>
      <c r="T955" s="36" t="str">
        <f>""</f>
        <v/>
      </c>
      <c r="U955" s="36" t="str">
        <f>""</f>
        <v/>
      </c>
      <c r="V955" s="36" t="str">
        <f>""</f>
        <v/>
      </c>
      <c r="W955" s="36">
        <f t="shared" si="87"/>
        <v>1</v>
      </c>
      <c r="X955" t="str">
        <f t="shared" si="88"/>
        <v>Inactive</v>
      </c>
      <c r="Y955" t="str">
        <f>IF(MAIN!$H$3="Selected Year",IF(A955=MAIN!$B$3,"Yes","No"),IF(MAIN!$H$3="Included Years",IF(D955="Yes","Yes","No"),IF(C955="Yes","Yes","No")))</f>
        <v>No</v>
      </c>
      <c r="Z955" t="str">
        <f>IF(MAIN!$F$3="Project to Date",IF(AND(A955&gt;=SETTINGS!$B$4,A955&lt;MAIN!$B$3),"Yes",IF(AND(A955=MAIN!$B$3,E955&lt;=MAIN!$L$3),"Yes","No")),IF(OR(MAIN!$F$3="Full Year",MAIN!$D$3="All"),"Yes",IF(MAIN!$F$3="Monthly",IF(E955=MAIN!$L$3,"Yes","No"),IF(E955&lt;=MAIN!$L$3,"Yes","No"))))</f>
        <v>Yes</v>
      </c>
      <c r="AA955" t="str">
        <f t="shared" si="89"/>
        <v>No</v>
      </c>
    </row>
    <row r="956" spans="1:27" x14ac:dyDescent="0.3">
      <c r="A956">
        <f>INDEX(SETTINGS!$A$15:$A$24,$B956)</f>
        <v>2029</v>
      </c>
      <c r="B956">
        <v>5</v>
      </c>
      <c r="C956" t="str">
        <f>IF(AND(A956&gt;=SETTINGS!$B$4,A956&lt;=SETTINGS!$B$5),"Yes","No")</f>
        <v>No</v>
      </c>
      <c r="D956" t="str">
        <f>IFERROR(INDEX(SETTINGS!$C$15:$C$24,MATCH(A956,SETTINGS!$A$15:$A$24,0)),"No")</f>
        <v>No</v>
      </c>
      <c r="E956">
        <v>3</v>
      </c>
      <c r="F956" t="s">
        <v>36</v>
      </c>
      <c r="G956">
        <v>62</v>
      </c>
      <c r="H956" t="s">
        <v>97</v>
      </c>
      <c r="I956" t="s">
        <v>15</v>
      </c>
      <c r="J956" t="s">
        <v>17</v>
      </c>
      <c r="K956" t="s">
        <v>3</v>
      </c>
      <c r="L956" s="36">
        <f ca="1">IF(C956&lt;&gt;"Yes",0,IF(A956=2025,N('2025'!D62),IF(A956=2026,N('2026'!D62),IF(A956=2027,N('2027'!D62),IF(A956=2028,N('2028'!D62),IF(A956=2029,N('2029'!D62),IF(A956=2030,N('2030'!D62),IF(A956=2031,N('2031'!D62),IF(A956=2032,N('2032'!D62),IF(A956=2033,N('2033'!D62),IF(A956=2034,N('2034'!D62),IFERROR(N(INDIRECT("'"&amp;A956&amp;"'!D"&amp;G956)),0))))))))))))</f>
        <v>0</v>
      </c>
      <c r="M956" s="36">
        <f>IFERROR(IF(NOT(ISBLANK(KPI_TARGETS!$K$9)),KPI_TARGETS!$K$9,IF(NOT(ISBLANK(KPI_TARGETS!$F$9)),KPI_TARGETS!$F$9,"")),"")</f>
        <v>0</v>
      </c>
      <c r="N956" s="36" t="str">
        <f>IFERROR(KPI_TARGETS!$E$9,"Higher is better")</f>
        <v>Higher is better</v>
      </c>
      <c r="O956" s="37" t="str">
        <f t="shared" ca="1" si="84"/>
        <v/>
      </c>
      <c r="P956" t="str">
        <f t="shared" ca="1" si="85"/>
        <v>Green</v>
      </c>
      <c r="Q956" s="36">
        <f t="shared" ca="1" si="86"/>
        <v>0</v>
      </c>
      <c r="R956" s="36" t="str">
        <f>""</f>
        <v/>
      </c>
      <c r="S956" s="36" t="str">
        <f>""</f>
        <v/>
      </c>
      <c r="T956" s="36" t="str">
        <f>""</f>
        <v/>
      </c>
      <c r="U956" s="36" t="str">
        <f>""</f>
        <v/>
      </c>
      <c r="V956" s="36" t="str">
        <f>""</f>
        <v/>
      </c>
      <c r="W956" s="36">
        <f t="shared" si="87"/>
        <v>1</v>
      </c>
      <c r="X956" t="str">
        <f t="shared" si="88"/>
        <v>Inactive</v>
      </c>
      <c r="Y956" t="str">
        <f>IF(MAIN!$H$3="Selected Year",IF(A956=MAIN!$B$3,"Yes","No"),IF(MAIN!$H$3="Included Years",IF(D956="Yes","Yes","No"),IF(C956="Yes","Yes","No")))</f>
        <v>No</v>
      </c>
      <c r="Z956" t="str">
        <f>IF(MAIN!$F$3="Project to Date",IF(AND(A956&gt;=SETTINGS!$B$4,A956&lt;MAIN!$B$3),"Yes",IF(AND(A956=MAIN!$B$3,E956&lt;=MAIN!$L$3),"Yes","No")),IF(OR(MAIN!$F$3="Full Year",MAIN!$D$3="All"),"Yes",IF(MAIN!$F$3="Monthly",IF(E956=MAIN!$L$3,"Yes","No"),IF(E956&lt;=MAIN!$L$3,"Yes","No"))))</f>
        <v>Yes</v>
      </c>
      <c r="AA956" t="str">
        <f t="shared" si="89"/>
        <v>No</v>
      </c>
    </row>
    <row r="957" spans="1:27" x14ac:dyDescent="0.3">
      <c r="A957">
        <f>INDEX(SETTINGS!$A$15:$A$24,$B957)</f>
        <v>2029</v>
      </c>
      <c r="B957">
        <v>5</v>
      </c>
      <c r="C957" t="str">
        <f>IF(AND(A957&gt;=SETTINGS!$B$4,A957&lt;=SETTINGS!$B$5),"Yes","No")</f>
        <v>No</v>
      </c>
      <c r="D957" t="str">
        <f>IFERROR(INDEX(SETTINGS!$C$15:$C$24,MATCH(A957,SETTINGS!$A$15:$A$24,0)),"No")</f>
        <v>No</v>
      </c>
      <c r="E957">
        <v>3</v>
      </c>
      <c r="F957" t="s">
        <v>36</v>
      </c>
      <c r="G957">
        <v>63</v>
      </c>
      <c r="H957" t="s">
        <v>99</v>
      </c>
      <c r="I957" t="s">
        <v>15</v>
      </c>
      <c r="J957" t="s">
        <v>18</v>
      </c>
      <c r="K957" t="s">
        <v>3</v>
      </c>
      <c r="L957" s="36">
        <f ca="1">IF(C957&lt;&gt;"Yes",0,IF(A957=2025,N('2025'!D63),IF(A957=2026,N('2026'!D63),IF(A957=2027,N('2027'!D63),IF(A957=2028,N('2028'!D63),IF(A957=2029,N('2029'!D63),IF(A957=2030,N('2030'!D63),IF(A957=2031,N('2031'!D63),IF(A957=2032,N('2032'!D63),IF(A957=2033,N('2033'!D63),IF(A957=2034,N('2034'!D63),IFERROR(N(INDIRECT("'"&amp;A957&amp;"'!D"&amp;G957)),0))))))))))))</f>
        <v>0</v>
      </c>
      <c r="M957" s="36">
        <f>IFERROR(IF(NOT(ISBLANK(KPI_TARGETS!$K$10)),KPI_TARGETS!$K$10,IF(NOT(ISBLANK(KPI_TARGETS!$F$10)),KPI_TARGETS!$F$10,"")),"")</f>
        <v>0</v>
      </c>
      <c r="N957" s="36" t="str">
        <f>IFERROR(KPI_TARGETS!$E$10,"Higher is better")</f>
        <v>Lower is better</v>
      </c>
      <c r="O957" s="37">
        <f t="shared" ca="1" si="84"/>
        <v>1</v>
      </c>
      <c r="P957" t="str">
        <f t="shared" ca="1" si="85"/>
        <v>Green</v>
      </c>
      <c r="Q957" s="36">
        <f t="shared" ca="1" si="86"/>
        <v>0</v>
      </c>
      <c r="R957" s="36" t="str">
        <f>""</f>
        <v/>
      </c>
      <c r="S957" s="36" t="str">
        <f>""</f>
        <v/>
      </c>
      <c r="T957" s="36" t="str">
        <f>""</f>
        <v/>
      </c>
      <c r="U957" s="36" t="str">
        <f>""</f>
        <v/>
      </c>
      <c r="V957" s="36" t="str">
        <f>""</f>
        <v/>
      </c>
      <c r="W957" s="36">
        <f t="shared" si="87"/>
        <v>1</v>
      </c>
      <c r="X957" t="str">
        <f t="shared" si="88"/>
        <v>Inactive</v>
      </c>
      <c r="Y957" t="str">
        <f>IF(MAIN!$H$3="Selected Year",IF(A957=MAIN!$B$3,"Yes","No"),IF(MAIN!$H$3="Included Years",IF(D957="Yes","Yes","No"),IF(C957="Yes","Yes","No")))</f>
        <v>No</v>
      </c>
      <c r="Z957" t="str">
        <f>IF(MAIN!$F$3="Project to Date",IF(AND(A957&gt;=SETTINGS!$B$4,A957&lt;MAIN!$B$3),"Yes",IF(AND(A957=MAIN!$B$3,E957&lt;=MAIN!$L$3),"Yes","No")),IF(OR(MAIN!$F$3="Full Year",MAIN!$D$3="All"),"Yes",IF(MAIN!$F$3="Monthly",IF(E957=MAIN!$L$3,"Yes","No"),IF(E957&lt;=MAIN!$L$3,"Yes","No"))))</f>
        <v>Yes</v>
      </c>
      <c r="AA957" t="str">
        <f t="shared" si="89"/>
        <v>No</v>
      </c>
    </row>
    <row r="958" spans="1:27" x14ac:dyDescent="0.3">
      <c r="A958">
        <f>INDEX(SETTINGS!$A$15:$A$24,$B958)</f>
        <v>2029</v>
      </c>
      <c r="B958">
        <v>5</v>
      </c>
      <c r="C958" t="str">
        <f>IF(AND(A958&gt;=SETTINGS!$B$4,A958&lt;=SETTINGS!$B$5),"Yes","No")</f>
        <v>No</v>
      </c>
      <c r="D958" t="str">
        <f>IFERROR(INDEX(SETTINGS!$C$15:$C$24,MATCH(A958,SETTINGS!$A$15:$A$24,0)),"No")</f>
        <v>No</v>
      </c>
      <c r="E958">
        <v>3</v>
      </c>
      <c r="F958" t="s">
        <v>36</v>
      </c>
      <c r="G958">
        <v>64</v>
      </c>
      <c r="H958" t="s">
        <v>100</v>
      </c>
      <c r="I958" t="s">
        <v>15</v>
      </c>
      <c r="J958" t="s">
        <v>19</v>
      </c>
      <c r="K958" t="s">
        <v>3</v>
      </c>
      <c r="L958" s="36">
        <f ca="1">IF(C958&lt;&gt;"Yes",0,IF(A958=2025,N('2025'!D64),IF(A958=2026,N('2026'!D64),IF(A958=2027,N('2027'!D64),IF(A958=2028,N('2028'!D64),IF(A958=2029,N('2029'!D64),IF(A958=2030,N('2030'!D64),IF(A958=2031,N('2031'!D64),IF(A958=2032,N('2032'!D64),IF(A958=2033,N('2033'!D64),IF(A958=2034,N('2034'!D64),IFERROR(N(INDIRECT("'"&amp;A958&amp;"'!D"&amp;G958)),0))))))))))))</f>
        <v>0</v>
      </c>
      <c r="M958" s="36">
        <f>IFERROR(IF(NOT(ISBLANK(KPI_TARGETS!$K$11)),KPI_TARGETS!$K$11,IF(NOT(ISBLANK(KPI_TARGETS!$F$11)),KPI_TARGETS!$F$11,"")),"")</f>
        <v>0</v>
      </c>
      <c r="N958" s="36" t="str">
        <f>IFERROR(KPI_TARGETS!$E$11,"Higher is better")</f>
        <v>Lower is better</v>
      </c>
      <c r="O958" s="37">
        <f t="shared" ca="1" si="84"/>
        <v>1</v>
      </c>
      <c r="P958" t="str">
        <f t="shared" ca="1" si="85"/>
        <v>Green</v>
      </c>
      <c r="Q958" s="36">
        <f t="shared" ca="1" si="86"/>
        <v>0</v>
      </c>
      <c r="R958" s="36" t="str">
        <f>""</f>
        <v/>
      </c>
      <c r="S958" s="36" t="str">
        <f>""</f>
        <v/>
      </c>
      <c r="T958" s="36" t="str">
        <f>""</f>
        <v/>
      </c>
      <c r="U958" s="36" t="str">
        <f>""</f>
        <v/>
      </c>
      <c r="V958" s="36" t="str">
        <f>""</f>
        <v/>
      </c>
      <c r="W958" s="36">
        <f t="shared" si="87"/>
        <v>1</v>
      </c>
      <c r="X958" t="str">
        <f t="shared" si="88"/>
        <v>Inactive</v>
      </c>
      <c r="Y958" t="str">
        <f>IF(MAIN!$H$3="Selected Year",IF(A958=MAIN!$B$3,"Yes","No"),IF(MAIN!$H$3="Included Years",IF(D958="Yes","Yes","No"),IF(C958="Yes","Yes","No")))</f>
        <v>No</v>
      </c>
      <c r="Z958" t="str">
        <f>IF(MAIN!$F$3="Project to Date",IF(AND(A958&gt;=SETTINGS!$B$4,A958&lt;MAIN!$B$3),"Yes",IF(AND(A958=MAIN!$B$3,E958&lt;=MAIN!$L$3),"Yes","No")),IF(OR(MAIN!$F$3="Full Year",MAIN!$D$3="All"),"Yes",IF(MAIN!$F$3="Monthly",IF(E958=MAIN!$L$3,"Yes","No"),IF(E958&lt;=MAIN!$L$3,"Yes","No"))))</f>
        <v>Yes</v>
      </c>
      <c r="AA958" t="str">
        <f t="shared" si="89"/>
        <v>No</v>
      </c>
    </row>
    <row r="959" spans="1:27" x14ac:dyDescent="0.3">
      <c r="A959">
        <f>INDEX(SETTINGS!$A$15:$A$24,$B959)</f>
        <v>2029</v>
      </c>
      <c r="B959">
        <v>5</v>
      </c>
      <c r="C959" t="str">
        <f>IF(AND(A959&gt;=SETTINGS!$B$4,A959&lt;=SETTINGS!$B$5),"Yes","No")</f>
        <v>No</v>
      </c>
      <c r="D959" t="str">
        <f>IFERROR(INDEX(SETTINGS!$C$15:$C$24,MATCH(A959,SETTINGS!$A$15:$A$24,0)),"No")</f>
        <v>No</v>
      </c>
      <c r="E959">
        <v>3</v>
      </c>
      <c r="F959" t="s">
        <v>36</v>
      </c>
      <c r="G959">
        <v>65</v>
      </c>
      <c r="H959" t="s">
        <v>101</v>
      </c>
      <c r="I959" t="s">
        <v>15</v>
      </c>
      <c r="J959" t="s">
        <v>20</v>
      </c>
      <c r="K959" t="s">
        <v>3</v>
      </c>
      <c r="L959" s="36">
        <f ca="1">IF(C959&lt;&gt;"Yes",0,IF(A959=2025,N('2025'!D65),IF(A959=2026,N('2026'!D65),IF(A959=2027,N('2027'!D65),IF(A959=2028,N('2028'!D65),IF(A959=2029,N('2029'!D65),IF(A959=2030,N('2030'!D65),IF(A959=2031,N('2031'!D65),IF(A959=2032,N('2032'!D65),IF(A959=2033,N('2033'!D65),IF(A959=2034,N('2034'!D65),IFERROR(N(INDIRECT("'"&amp;A959&amp;"'!D"&amp;G959)),0))))))))))))</f>
        <v>0</v>
      </c>
      <c r="M959" s="36">
        <f>IFERROR(IF(NOT(ISBLANK(KPI_TARGETS!$K$12)),KPI_TARGETS!$K$12,IF(NOT(ISBLANK(KPI_TARGETS!$F$12)),KPI_TARGETS!$F$12,"")),"")</f>
        <v>0</v>
      </c>
      <c r="N959" s="36" t="str">
        <f>IFERROR(KPI_TARGETS!$E$12,"Higher is better")</f>
        <v>Lower is better</v>
      </c>
      <c r="O959" s="37">
        <f t="shared" ca="1" si="84"/>
        <v>1</v>
      </c>
      <c r="P959" t="str">
        <f t="shared" ca="1" si="85"/>
        <v>Green</v>
      </c>
      <c r="Q959" s="36">
        <f t="shared" ca="1" si="86"/>
        <v>0</v>
      </c>
      <c r="R959" s="36" t="str">
        <f>""</f>
        <v/>
      </c>
      <c r="S959" s="36" t="str">
        <f>""</f>
        <v/>
      </c>
      <c r="T959" s="36" t="str">
        <f>""</f>
        <v/>
      </c>
      <c r="U959" s="36" t="str">
        <f>""</f>
        <v/>
      </c>
      <c r="V959" s="36" t="str">
        <f>""</f>
        <v/>
      </c>
      <c r="W959" s="36">
        <f t="shared" si="87"/>
        <v>1</v>
      </c>
      <c r="X959" t="str">
        <f t="shared" si="88"/>
        <v>Inactive</v>
      </c>
      <c r="Y959" t="str">
        <f>IF(MAIN!$H$3="Selected Year",IF(A959=MAIN!$B$3,"Yes","No"),IF(MAIN!$H$3="Included Years",IF(D959="Yes","Yes","No"),IF(C959="Yes","Yes","No")))</f>
        <v>No</v>
      </c>
      <c r="Z959" t="str">
        <f>IF(MAIN!$F$3="Project to Date",IF(AND(A959&gt;=SETTINGS!$B$4,A959&lt;MAIN!$B$3),"Yes",IF(AND(A959=MAIN!$B$3,E959&lt;=MAIN!$L$3),"Yes","No")),IF(OR(MAIN!$F$3="Full Year",MAIN!$D$3="All"),"Yes",IF(MAIN!$F$3="Monthly",IF(E959=MAIN!$L$3,"Yes","No"),IF(E959&lt;=MAIN!$L$3,"Yes","No"))))</f>
        <v>Yes</v>
      </c>
      <c r="AA959" t="str">
        <f t="shared" si="89"/>
        <v>No</v>
      </c>
    </row>
    <row r="960" spans="1:27" x14ac:dyDescent="0.3">
      <c r="A960">
        <f>INDEX(SETTINGS!$A$15:$A$24,$B960)</f>
        <v>2029</v>
      </c>
      <c r="B960">
        <v>5</v>
      </c>
      <c r="C960" t="str">
        <f>IF(AND(A960&gt;=SETTINGS!$B$4,A960&lt;=SETTINGS!$B$5),"Yes","No")</f>
        <v>No</v>
      </c>
      <c r="D960" t="str">
        <f>IFERROR(INDEX(SETTINGS!$C$15:$C$24,MATCH(A960,SETTINGS!$A$15:$A$24,0)),"No")</f>
        <v>No</v>
      </c>
      <c r="E960">
        <v>3</v>
      </c>
      <c r="F960" t="s">
        <v>36</v>
      </c>
      <c r="G960">
        <v>66</v>
      </c>
      <c r="H960" t="s">
        <v>102</v>
      </c>
      <c r="I960" t="s">
        <v>15</v>
      </c>
      <c r="J960" t="s">
        <v>21</v>
      </c>
      <c r="K960" t="s">
        <v>3</v>
      </c>
      <c r="L960" s="36">
        <f ca="1">IF(C960&lt;&gt;"Yes",0,IF(A960=2025,N('2025'!D66),IF(A960=2026,N('2026'!D66),IF(A960=2027,N('2027'!D66),IF(A960=2028,N('2028'!D66),IF(A960=2029,N('2029'!D66),IF(A960=2030,N('2030'!D66),IF(A960=2031,N('2031'!D66),IF(A960=2032,N('2032'!D66),IF(A960=2033,N('2033'!D66),IF(A960=2034,N('2034'!D66),IFERROR(N(INDIRECT("'"&amp;A960&amp;"'!D"&amp;G960)),0))))))))))))</f>
        <v>0</v>
      </c>
      <c r="M960" s="36">
        <f>IFERROR(IF(NOT(ISBLANK(KPI_TARGETS!$K$13)),KPI_TARGETS!$K$13,IF(NOT(ISBLANK(KPI_TARGETS!$F$13)),KPI_TARGETS!$F$13,"")),"")</f>
        <v>0</v>
      </c>
      <c r="N960" s="36" t="str">
        <f>IFERROR(KPI_TARGETS!$E$13,"Higher is better")</f>
        <v>Lower is better</v>
      </c>
      <c r="O960" s="37">
        <f t="shared" ca="1" si="84"/>
        <v>1</v>
      </c>
      <c r="P960" t="str">
        <f t="shared" ca="1" si="85"/>
        <v>Green</v>
      </c>
      <c r="Q960" s="36">
        <f t="shared" ca="1" si="86"/>
        <v>0</v>
      </c>
      <c r="R960" s="36" t="str">
        <f>""</f>
        <v/>
      </c>
      <c r="S960" s="36" t="str">
        <f>""</f>
        <v/>
      </c>
      <c r="T960" s="36" t="str">
        <f>""</f>
        <v/>
      </c>
      <c r="U960" s="36" t="str">
        <f>""</f>
        <v/>
      </c>
      <c r="V960" s="36" t="str">
        <f>""</f>
        <v/>
      </c>
      <c r="W960" s="36">
        <f t="shared" si="87"/>
        <v>1</v>
      </c>
      <c r="X960" t="str">
        <f t="shared" si="88"/>
        <v>Inactive</v>
      </c>
      <c r="Y960" t="str">
        <f>IF(MAIN!$H$3="Selected Year",IF(A960=MAIN!$B$3,"Yes","No"),IF(MAIN!$H$3="Included Years",IF(D960="Yes","Yes","No"),IF(C960="Yes","Yes","No")))</f>
        <v>No</v>
      </c>
      <c r="Z960" t="str">
        <f>IF(MAIN!$F$3="Project to Date",IF(AND(A960&gt;=SETTINGS!$B$4,A960&lt;MAIN!$B$3),"Yes",IF(AND(A960=MAIN!$B$3,E960&lt;=MAIN!$L$3),"Yes","No")),IF(OR(MAIN!$F$3="Full Year",MAIN!$D$3="All"),"Yes",IF(MAIN!$F$3="Monthly",IF(E960=MAIN!$L$3,"Yes","No"),IF(E960&lt;=MAIN!$L$3,"Yes","No"))))</f>
        <v>Yes</v>
      </c>
      <c r="AA960" t="str">
        <f t="shared" si="89"/>
        <v>No</v>
      </c>
    </row>
    <row r="961" spans="1:27" x14ac:dyDescent="0.3">
      <c r="A961">
        <f>INDEX(SETTINGS!$A$15:$A$24,$B961)</f>
        <v>2029</v>
      </c>
      <c r="B961">
        <v>5</v>
      </c>
      <c r="C961" t="str">
        <f>IF(AND(A961&gt;=SETTINGS!$B$4,A961&lt;=SETTINGS!$B$5),"Yes","No")</f>
        <v>No</v>
      </c>
      <c r="D961" t="str">
        <f>IFERROR(INDEX(SETTINGS!$C$15:$C$24,MATCH(A961,SETTINGS!$A$15:$A$24,0)),"No")</f>
        <v>No</v>
      </c>
      <c r="E961">
        <v>3</v>
      </c>
      <c r="F961" t="s">
        <v>36</v>
      </c>
      <c r="G961">
        <v>68</v>
      </c>
      <c r="H961" t="s">
        <v>103</v>
      </c>
      <c r="I961" t="s">
        <v>22</v>
      </c>
      <c r="J961" t="s">
        <v>23</v>
      </c>
      <c r="K961" t="s">
        <v>3</v>
      </c>
      <c r="L961" s="36">
        <f ca="1">IF(C961&lt;&gt;"Yes",0,IF(A961=2025,N('2025'!D68),IF(A961=2026,N('2026'!D68),IF(A961=2027,N('2027'!D68),IF(A961=2028,N('2028'!D68),IF(A961=2029,N('2029'!D68),IF(A961=2030,N('2030'!D68),IF(A961=2031,N('2031'!D68),IF(A961=2032,N('2032'!D68),IF(A961=2033,N('2033'!D68),IF(A961=2034,N('2034'!D68),IFERROR(N(INDIRECT("'"&amp;A961&amp;"'!D"&amp;G961)),0))))))))))))</f>
        <v>0</v>
      </c>
      <c r="M961" s="36">
        <f>IFERROR(IF(NOT(ISBLANK(KPI_TARGETS!$K$14)),KPI_TARGETS!$K$14,IF(NOT(ISBLANK(KPI_TARGETS!$F$14)),KPI_TARGETS!$F$14,"")),"")</f>
        <v>35</v>
      </c>
      <c r="N961" s="36" t="str">
        <f>IFERROR(KPI_TARGETS!$E$14,"Higher is better")</f>
        <v>Higher is better</v>
      </c>
      <c r="O961" s="37">
        <f t="shared" ca="1" si="84"/>
        <v>0</v>
      </c>
      <c r="P961" t="str">
        <f t="shared" ca="1" si="85"/>
        <v>Red</v>
      </c>
      <c r="Q961" s="36">
        <f t="shared" ca="1" si="86"/>
        <v>-35</v>
      </c>
      <c r="R961" s="36" t="str">
        <f>""</f>
        <v/>
      </c>
      <c r="S961" s="36" t="str">
        <f>""</f>
        <v/>
      </c>
      <c r="T961" s="36" t="str">
        <f>""</f>
        <v/>
      </c>
      <c r="U961" s="36" t="str">
        <f>""</f>
        <v/>
      </c>
      <c r="V961" s="36" t="str">
        <f>""</f>
        <v/>
      </c>
      <c r="W961" s="36">
        <f t="shared" si="87"/>
        <v>1</v>
      </c>
      <c r="X961" t="str">
        <f t="shared" si="88"/>
        <v>Inactive</v>
      </c>
      <c r="Y961" t="str">
        <f>IF(MAIN!$H$3="Selected Year",IF(A961=MAIN!$B$3,"Yes","No"),IF(MAIN!$H$3="Included Years",IF(D961="Yes","Yes","No"),IF(C961="Yes","Yes","No")))</f>
        <v>No</v>
      </c>
      <c r="Z961" t="str">
        <f>IF(MAIN!$F$3="Project to Date",IF(AND(A961&gt;=SETTINGS!$B$4,A961&lt;MAIN!$B$3),"Yes",IF(AND(A961=MAIN!$B$3,E961&lt;=MAIN!$L$3),"Yes","No")),IF(OR(MAIN!$F$3="Full Year",MAIN!$D$3="All"),"Yes",IF(MAIN!$F$3="Monthly",IF(E961=MAIN!$L$3,"Yes","No"),IF(E961&lt;=MAIN!$L$3,"Yes","No"))))</f>
        <v>Yes</v>
      </c>
      <c r="AA961" t="str">
        <f t="shared" si="89"/>
        <v>No</v>
      </c>
    </row>
    <row r="962" spans="1:27" x14ac:dyDescent="0.3">
      <c r="A962">
        <f>INDEX(SETTINGS!$A$15:$A$24,$B962)</f>
        <v>2029</v>
      </c>
      <c r="B962">
        <v>5</v>
      </c>
      <c r="C962" t="str">
        <f>IF(AND(A962&gt;=SETTINGS!$B$4,A962&lt;=SETTINGS!$B$5),"Yes","No")</f>
        <v>No</v>
      </c>
      <c r="D962" t="str">
        <f>IFERROR(INDEX(SETTINGS!$C$15:$C$24,MATCH(A962,SETTINGS!$A$15:$A$24,0)),"No")</f>
        <v>No</v>
      </c>
      <c r="E962">
        <v>3</v>
      </c>
      <c r="F962" t="s">
        <v>36</v>
      </c>
      <c r="G962">
        <v>69</v>
      </c>
      <c r="H962" t="s">
        <v>104</v>
      </c>
      <c r="I962" t="s">
        <v>22</v>
      </c>
      <c r="J962" t="s">
        <v>24</v>
      </c>
      <c r="K962" t="s">
        <v>3</v>
      </c>
      <c r="L962" s="36">
        <f ca="1">IF(C962&lt;&gt;"Yes",0,IF(A962=2025,N('2025'!D69),IF(A962=2026,N('2026'!D69),IF(A962=2027,N('2027'!D69),IF(A962=2028,N('2028'!D69),IF(A962=2029,N('2029'!D69),IF(A962=2030,N('2030'!D69),IF(A962=2031,N('2031'!D69),IF(A962=2032,N('2032'!D69),IF(A962=2033,N('2033'!D69),IF(A962=2034,N('2034'!D69),IFERROR(N(INDIRECT("'"&amp;A962&amp;"'!D"&amp;G962)),0))))))))))))</f>
        <v>0</v>
      </c>
      <c r="M962" s="36">
        <f>IFERROR(IF(NOT(ISBLANK(KPI_TARGETS!$K$15)),KPI_TARGETS!$K$15,IF(NOT(ISBLANK(KPI_TARGETS!$F$15)),KPI_TARGETS!$F$15,"")),"")</f>
        <v>5</v>
      </c>
      <c r="N962" s="36" t="str">
        <f>IFERROR(KPI_TARGETS!$E$15,"Higher is better")</f>
        <v>Higher is better</v>
      </c>
      <c r="O962" s="37">
        <f t="shared" ref="O962:O1025" ca="1" si="90">IF(M962="","",IF(N962="Higher is better",IFERROR(L962/M962,""),IF(L962=0,1,IFERROR(M962/L962,""))))</f>
        <v>0</v>
      </c>
      <c r="P962" t="str">
        <f t="shared" ref="P962:P1025" ca="1" si="91">IF(M962="","Target Needed",IF(N962="Higher is better",IF(L962&gt;=M962,"Green",IF(L962&gt;=0.8*M962,"Amber","Red")),IF(M962=0,IF(L962=0,"Green","Red"),IF(L962&lt;=M962,"Green",IF(L962&lt;=1.25*M962,"Amber","Red")))))</f>
        <v>Red</v>
      </c>
      <c r="Q962" s="36">
        <f t="shared" ref="Q962:Q1025" ca="1" si="92">IF(M962="","",IF(N962="Higher is better",L962-M962,M962-L962))</f>
        <v>-5</v>
      </c>
      <c r="R962" s="36" t="str">
        <f>""</f>
        <v/>
      </c>
      <c r="S962" s="36" t="str">
        <f>""</f>
        <v/>
      </c>
      <c r="T962" s="36" t="str">
        <f>""</f>
        <v/>
      </c>
      <c r="U962" s="36" t="str">
        <f>""</f>
        <v/>
      </c>
      <c r="V962" s="36" t="str">
        <f>""</f>
        <v/>
      </c>
      <c r="W962" s="36">
        <f t="shared" ref="W962:W1025" si="93">IF(LEN(M962&amp;"")&gt;0,1,0)</f>
        <v>1</v>
      </c>
      <c r="X962" t="str">
        <f t="shared" ref="X962:X1025" si="94">IF(C962&lt;&gt;"Yes","Inactive",IF(M962="","Missing target","OK"))</f>
        <v>Inactive</v>
      </c>
      <c r="Y962" t="str">
        <f>IF(MAIN!$H$3="Selected Year",IF(A962=MAIN!$B$3,"Yes","No"),IF(MAIN!$H$3="Included Years",IF(D962="Yes","Yes","No"),IF(C962="Yes","Yes","No")))</f>
        <v>No</v>
      </c>
      <c r="Z962" t="str">
        <f>IF(MAIN!$F$3="Project to Date",IF(AND(A962&gt;=SETTINGS!$B$4,A962&lt;MAIN!$B$3),"Yes",IF(AND(A962=MAIN!$B$3,E962&lt;=MAIN!$L$3),"Yes","No")),IF(OR(MAIN!$F$3="Full Year",MAIN!$D$3="All"),"Yes",IF(MAIN!$F$3="Monthly",IF(E962=MAIN!$L$3,"Yes","No"),IF(E962&lt;=MAIN!$L$3,"Yes","No"))))</f>
        <v>Yes</v>
      </c>
      <c r="AA962" t="str">
        <f t="shared" ref="AA962:AA1025" si="95">IF(AND(Y962="Yes",Z962="Yes"),"Yes","No")</f>
        <v>No</v>
      </c>
    </row>
    <row r="963" spans="1:27" x14ac:dyDescent="0.3">
      <c r="A963">
        <f>INDEX(SETTINGS!$A$15:$A$24,$B963)</f>
        <v>2029</v>
      </c>
      <c r="B963">
        <v>5</v>
      </c>
      <c r="C963" t="str">
        <f>IF(AND(A963&gt;=SETTINGS!$B$4,A963&lt;=SETTINGS!$B$5),"Yes","No")</f>
        <v>No</v>
      </c>
      <c r="D963" t="str">
        <f>IFERROR(INDEX(SETTINGS!$C$15:$C$24,MATCH(A963,SETTINGS!$A$15:$A$24,0)),"No")</f>
        <v>No</v>
      </c>
      <c r="E963">
        <v>3</v>
      </c>
      <c r="F963" t="s">
        <v>36</v>
      </c>
      <c r="G963">
        <v>70</v>
      </c>
      <c r="H963" t="s">
        <v>105</v>
      </c>
      <c r="I963" t="s">
        <v>22</v>
      </c>
      <c r="J963" t="s">
        <v>25</v>
      </c>
      <c r="K963" t="s">
        <v>3</v>
      </c>
      <c r="L963" s="36">
        <f ca="1">IF(C963&lt;&gt;"Yes",0,IF(A963=2025,N('2025'!D70),IF(A963=2026,N('2026'!D70),IF(A963=2027,N('2027'!D70),IF(A963=2028,N('2028'!D70),IF(A963=2029,N('2029'!D70),IF(A963=2030,N('2030'!D70),IF(A963=2031,N('2031'!D70),IF(A963=2032,N('2032'!D70),IF(A963=2033,N('2033'!D70),IF(A963=2034,N('2034'!D70),IFERROR(N(INDIRECT("'"&amp;A963&amp;"'!D"&amp;G963)),0))))))))))))</f>
        <v>0</v>
      </c>
      <c r="M963" s="36">
        <f>IFERROR(IF(NOT(ISBLANK(KPI_TARGETS!$K$16)),KPI_TARGETS!$K$16,IF(NOT(ISBLANK(KPI_TARGETS!$F$16)),KPI_TARGETS!$F$16,"")),"")</f>
        <v>4</v>
      </c>
      <c r="N963" s="36" t="str">
        <f>IFERROR(KPI_TARGETS!$E$16,"Higher is better")</f>
        <v>Higher is better</v>
      </c>
      <c r="O963" s="37">
        <f t="shared" ca="1" si="90"/>
        <v>0</v>
      </c>
      <c r="P963" t="str">
        <f t="shared" ca="1" si="91"/>
        <v>Red</v>
      </c>
      <c r="Q963" s="36">
        <f t="shared" ca="1" si="92"/>
        <v>-4</v>
      </c>
      <c r="R963" s="36" t="str">
        <f>""</f>
        <v/>
      </c>
      <c r="S963" s="36" t="str">
        <f>""</f>
        <v/>
      </c>
      <c r="T963" s="36" t="str">
        <f>""</f>
        <v/>
      </c>
      <c r="U963" s="36" t="str">
        <f>""</f>
        <v/>
      </c>
      <c r="V963" s="36" t="str">
        <f>""</f>
        <v/>
      </c>
      <c r="W963" s="36">
        <f t="shared" si="93"/>
        <v>1</v>
      </c>
      <c r="X963" t="str">
        <f t="shared" si="94"/>
        <v>Inactive</v>
      </c>
      <c r="Y963" t="str">
        <f>IF(MAIN!$H$3="Selected Year",IF(A963=MAIN!$B$3,"Yes","No"),IF(MAIN!$H$3="Included Years",IF(D963="Yes","Yes","No"),IF(C963="Yes","Yes","No")))</f>
        <v>No</v>
      </c>
      <c r="Z963" t="str">
        <f>IF(MAIN!$F$3="Project to Date",IF(AND(A963&gt;=SETTINGS!$B$4,A963&lt;MAIN!$B$3),"Yes",IF(AND(A963=MAIN!$B$3,E963&lt;=MAIN!$L$3),"Yes","No")),IF(OR(MAIN!$F$3="Full Year",MAIN!$D$3="All"),"Yes",IF(MAIN!$F$3="Monthly",IF(E963=MAIN!$L$3,"Yes","No"),IF(E963&lt;=MAIN!$L$3,"Yes","No"))))</f>
        <v>Yes</v>
      </c>
      <c r="AA963" t="str">
        <f t="shared" si="95"/>
        <v>No</v>
      </c>
    </row>
    <row r="964" spans="1:27" x14ac:dyDescent="0.3">
      <c r="A964">
        <f>INDEX(SETTINGS!$A$15:$A$24,$B964)</f>
        <v>2029</v>
      </c>
      <c r="B964">
        <v>5</v>
      </c>
      <c r="C964" t="str">
        <f>IF(AND(A964&gt;=SETTINGS!$B$4,A964&lt;=SETTINGS!$B$5),"Yes","No")</f>
        <v>No</v>
      </c>
      <c r="D964" t="str">
        <f>IFERROR(INDEX(SETTINGS!$C$15:$C$24,MATCH(A964,SETTINGS!$A$15:$A$24,0)),"No")</f>
        <v>No</v>
      </c>
      <c r="E964">
        <v>3</v>
      </c>
      <c r="F964" t="s">
        <v>36</v>
      </c>
      <c r="G964">
        <v>71</v>
      </c>
      <c r="H964" t="s">
        <v>106</v>
      </c>
      <c r="I964" t="s">
        <v>22</v>
      </c>
      <c r="J964" t="s">
        <v>26</v>
      </c>
      <c r="K964" t="s">
        <v>3</v>
      </c>
      <c r="L964" s="36">
        <f ca="1">IF(C964&lt;&gt;"Yes",0,IF(A964=2025,N('2025'!D71),IF(A964=2026,N('2026'!D71),IF(A964=2027,N('2027'!D71),IF(A964=2028,N('2028'!D71),IF(A964=2029,N('2029'!D71),IF(A964=2030,N('2030'!D71),IF(A964=2031,N('2031'!D71),IF(A964=2032,N('2032'!D71),IF(A964=2033,N('2033'!D71),IF(A964=2034,N('2034'!D71),IFERROR(N(INDIRECT("'"&amp;A964&amp;"'!D"&amp;G964)),0))))))))))))</f>
        <v>0</v>
      </c>
      <c r="M964" s="36">
        <f>IFERROR(IF(NOT(ISBLANK(KPI_TARGETS!$K$17)),KPI_TARGETS!$K$17,IF(NOT(ISBLANK(KPI_TARGETS!$F$17)),KPI_TARGETS!$F$17,"")),"")</f>
        <v>12</v>
      </c>
      <c r="N964" s="36" t="str">
        <f>IFERROR(KPI_TARGETS!$E$17,"Higher is better")</f>
        <v>Higher is better</v>
      </c>
      <c r="O964" s="37">
        <f t="shared" ca="1" si="90"/>
        <v>0</v>
      </c>
      <c r="P964" t="str">
        <f t="shared" ca="1" si="91"/>
        <v>Red</v>
      </c>
      <c r="Q964" s="36">
        <f t="shared" ca="1" si="92"/>
        <v>-12</v>
      </c>
      <c r="R964" s="36" t="str">
        <f>""</f>
        <v/>
      </c>
      <c r="S964" s="36" t="str">
        <f>""</f>
        <v/>
      </c>
      <c r="T964" s="36" t="str">
        <f>""</f>
        <v/>
      </c>
      <c r="U964" s="36" t="str">
        <f>""</f>
        <v/>
      </c>
      <c r="V964" s="36" t="str">
        <f>""</f>
        <v/>
      </c>
      <c r="W964" s="36">
        <f t="shared" si="93"/>
        <v>1</v>
      </c>
      <c r="X964" t="str">
        <f t="shared" si="94"/>
        <v>Inactive</v>
      </c>
      <c r="Y964" t="str">
        <f>IF(MAIN!$H$3="Selected Year",IF(A964=MAIN!$B$3,"Yes","No"),IF(MAIN!$H$3="Included Years",IF(D964="Yes","Yes","No"),IF(C964="Yes","Yes","No")))</f>
        <v>No</v>
      </c>
      <c r="Z964" t="str">
        <f>IF(MAIN!$F$3="Project to Date",IF(AND(A964&gt;=SETTINGS!$B$4,A964&lt;MAIN!$B$3),"Yes",IF(AND(A964=MAIN!$B$3,E964&lt;=MAIN!$L$3),"Yes","No")),IF(OR(MAIN!$F$3="Full Year",MAIN!$D$3="All"),"Yes",IF(MAIN!$F$3="Monthly",IF(E964=MAIN!$L$3,"Yes","No"),IF(E964&lt;=MAIN!$L$3,"Yes","No"))))</f>
        <v>Yes</v>
      </c>
      <c r="AA964" t="str">
        <f t="shared" si="95"/>
        <v>No</v>
      </c>
    </row>
    <row r="965" spans="1:27" x14ac:dyDescent="0.3">
      <c r="A965">
        <f>INDEX(SETTINGS!$A$15:$A$24,$B965)</f>
        <v>2029</v>
      </c>
      <c r="B965">
        <v>5</v>
      </c>
      <c r="C965" t="str">
        <f>IF(AND(A965&gt;=SETTINGS!$B$4,A965&lt;=SETTINGS!$B$5),"Yes","No")</f>
        <v>No</v>
      </c>
      <c r="D965" t="str">
        <f>IFERROR(INDEX(SETTINGS!$C$15:$C$24,MATCH(A965,SETTINGS!$A$15:$A$24,0)),"No")</f>
        <v>No</v>
      </c>
      <c r="E965">
        <v>3</v>
      </c>
      <c r="F965" t="s">
        <v>36</v>
      </c>
      <c r="G965">
        <v>72</v>
      </c>
      <c r="H965" t="s">
        <v>107</v>
      </c>
      <c r="I965" t="s">
        <v>22</v>
      </c>
      <c r="J965" t="s">
        <v>27</v>
      </c>
      <c r="K965" t="s">
        <v>3</v>
      </c>
      <c r="L965" s="36">
        <f ca="1">IF(C965&lt;&gt;"Yes",0,IF(A965=2025,N('2025'!D72),IF(A965=2026,N('2026'!D72),IF(A965=2027,N('2027'!D72),IF(A965=2028,N('2028'!D72),IF(A965=2029,N('2029'!D72),IF(A965=2030,N('2030'!D72),IF(A965=2031,N('2031'!D72),IF(A965=2032,N('2032'!D72),IF(A965=2033,N('2033'!D72),IF(A965=2034,N('2034'!D72),IFERROR(N(INDIRECT("'"&amp;A965&amp;"'!D"&amp;G965)),0))))))))))))</f>
        <v>0</v>
      </c>
      <c r="M965" s="36">
        <f>IFERROR(IF(NOT(ISBLANK(KPI_TARGETS!$K$18)),KPI_TARGETS!$K$18,IF(NOT(ISBLANK(KPI_TARGETS!$F$18)),KPI_TARGETS!$F$18,"")),"")</f>
        <v>4</v>
      </c>
      <c r="N965" s="36" t="str">
        <f>IFERROR(KPI_TARGETS!$E$18,"Higher is better")</f>
        <v>Higher is better</v>
      </c>
      <c r="O965" s="37">
        <f t="shared" ca="1" si="90"/>
        <v>0</v>
      </c>
      <c r="P965" t="str">
        <f t="shared" ca="1" si="91"/>
        <v>Red</v>
      </c>
      <c r="Q965" s="36">
        <f t="shared" ca="1" si="92"/>
        <v>-4</v>
      </c>
      <c r="R965" s="36" t="str">
        <f>""</f>
        <v/>
      </c>
      <c r="S965" s="36" t="str">
        <f>""</f>
        <v/>
      </c>
      <c r="T965" s="36" t="str">
        <f>""</f>
        <v/>
      </c>
      <c r="U965" s="36" t="str">
        <f>""</f>
        <v/>
      </c>
      <c r="V965" s="36" t="str">
        <f>""</f>
        <v/>
      </c>
      <c r="W965" s="36">
        <f t="shared" si="93"/>
        <v>1</v>
      </c>
      <c r="X965" t="str">
        <f t="shared" si="94"/>
        <v>Inactive</v>
      </c>
      <c r="Y965" t="str">
        <f>IF(MAIN!$H$3="Selected Year",IF(A965=MAIN!$B$3,"Yes","No"),IF(MAIN!$H$3="Included Years",IF(D965="Yes","Yes","No"),IF(C965="Yes","Yes","No")))</f>
        <v>No</v>
      </c>
      <c r="Z965" t="str">
        <f>IF(MAIN!$F$3="Project to Date",IF(AND(A965&gt;=SETTINGS!$B$4,A965&lt;MAIN!$B$3),"Yes",IF(AND(A965=MAIN!$B$3,E965&lt;=MAIN!$L$3),"Yes","No")),IF(OR(MAIN!$F$3="Full Year",MAIN!$D$3="All"),"Yes",IF(MAIN!$F$3="Monthly",IF(E965=MAIN!$L$3,"Yes","No"),IF(E965&lt;=MAIN!$L$3,"Yes","No"))))</f>
        <v>Yes</v>
      </c>
      <c r="AA965" t="str">
        <f t="shared" si="95"/>
        <v>No</v>
      </c>
    </row>
    <row r="966" spans="1:27" x14ac:dyDescent="0.3">
      <c r="A966">
        <f>INDEX(SETTINGS!$A$15:$A$24,$B966)</f>
        <v>2029</v>
      </c>
      <c r="B966">
        <v>5</v>
      </c>
      <c r="C966" t="str">
        <f>IF(AND(A966&gt;=SETTINGS!$B$4,A966&lt;=SETTINGS!$B$5),"Yes","No")</f>
        <v>No</v>
      </c>
      <c r="D966" t="str">
        <f>IFERROR(INDEX(SETTINGS!$C$15:$C$24,MATCH(A966,SETTINGS!$A$15:$A$24,0)),"No")</f>
        <v>No</v>
      </c>
      <c r="E966">
        <v>3</v>
      </c>
      <c r="F966" t="s">
        <v>36</v>
      </c>
      <c r="G966">
        <v>73</v>
      </c>
      <c r="H966" t="s">
        <v>108</v>
      </c>
      <c r="I966" t="s">
        <v>22</v>
      </c>
      <c r="J966" t="s">
        <v>28</v>
      </c>
      <c r="K966" t="s">
        <v>3</v>
      </c>
      <c r="L966" s="36">
        <f ca="1">IF(C966&lt;&gt;"Yes",0,IF(A966=2025,N('2025'!D73),IF(A966=2026,N('2026'!D73),IF(A966=2027,N('2027'!D73),IF(A966=2028,N('2028'!D73),IF(A966=2029,N('2029'!D73),IF(A966=2030,N('2030'!D73),IF(A966=2031,N('2031'!D73),IF(A966=2032,N('2032'!D73),IF(A966=2033,N('2033'!D73),IF(A966=2034,N('2034'!D73),IFERROR(N(INDIRECT("'"&amp;A966&amp;"'!D"&amp;G966)),0))))))))))))</f>
        <v>0</v>
      </c>
      <c r="M966" s="36">
        <f>IFERROR(IF(NOT(ISBLANK(KPI_TARGETS!$K$19)),KPI_TARGETS!$K$19,IF(NOT(ISBLANK(KPI_TARGETS!$F$19)),KPI_TARGETS!$F$19,"")),"")</f>
        <v>16</v>
      </c>
      <c r="N966" s="36" t="str">
        <f>IFERROR(KPI_TARGETS!$E$19,"Higher is better")</f>
        <v>Higher is better</v>
      </c>
      <c r="O966" s="37">
        <f t="shared" ca="1" si="90"/>
        <v>0</v>
      </c>
      <c r="P966" t="str">
        <f t="shared" ca="1" si="91"/>
        <v>Red</v>
      </c>
      <c r="Q966" s="36">
        <f t="shared" ca="1" si="92"/>
        <v>-16</v>
      </c>
      <c r="R966" s="36" t="str">
        <f>""</f>
        <v/>
      </c>
      <c r="S966" s="36" t="str">
        <f>""</f>
        <v/>
      </c>
      <c r="T966" s="36" t="str">
        <f>""</f>
        <v/>
      </c>
      <c r="U966" s="36" t="str">
        <f>""</f>
        <v/>
      </c>
      <c r="V966" s="36" t="str">
        <f>""</f>
        <v/>
      </c>
      <c r="W966" s="36">
        <f t="shared" si="93"/>
        <v>1</v>
      </c>
      <c r="X966" t="str">
        <f t="shared" si="94"/>
        <v>Inactive</v>
      </c>
      <c r="Y966" t="str">
        <f>IF(MAIN!$H$3="Selected Year",IF(A966=MAIN!$B$3,"Yes","No"),IF(MAIN!$H$3="Included Years",IF(D966="Yes","Yes","No"),IF(C966="Yes","Yes","No")))</f>
        <v>No</v>
      </c>
      <c r="Z966" t="str">
        <f>IF(MAIN!$F$3="Project to Date",IF(AND(A966&gt;=SETTINGS!$B$4,A966&lt;MAIN!$B$3),"Yes",IF(AND(A966=MAIN!$B$3,E966&lt;=MAIN!$L$3),"Yes","No")),IF(OR(MAIN!$F$3="Full Year",MAIN!$D$3="All"),"Yes",IF(MAIN!$F$3="Monthly",IF(E966=MAIN!$L$3,"Yes","No"),IF(E966&lt;=MAIN!$L$3,"Yes","No"))))</f>
        <v>Yes</v>
      </c>
      <c r="AA966" t="str">
        <f t="shared" si="95"/>
        <v>No</v>
      </c>
    </row>
    <row r="967" spans="1:27" x14ac:dyDescent="0.3">
      <c r="A967">
        <f>INDEX(SETTINGS!$A$15:$A$24,$B967)</f>
        <v>2029</v>
      </c>
      <c r="B967">
        <v>5</v>
      </c>
      <c r="C967" t="str">
        <f>IF(AND(A967&gt;=SETTINGS!$B$4,A967&lt;=SETTINGS!$B$5),"Yes","No")</f>
        <v>No</v>
      </c>
      <c r="D967" t="str">
        <f>IFERROR(INDEX(SETTINGS!$C$15:$C$24,MATCH(A967,SETTINGS!$A$15:$A$24,0)),"No")</f>
        <v>No</v>
      </c>
      <c r="E967">
        <v>3</v>
      </c>
      <c r="F967" t="s">
        <v>36</v>
      </c>
      <c r="G967">
        <v>74</v>
      </c>
      <c r="H967" t="s">
        <v>109</v>
      </c>
      <c r="I967" t="s">
        <v>22</v>
      </c>
      <c r="J967" t="s">
        <v>29</v>
      </c>
      <c r="K967" t="s">
        <v>3</v>
      </c>
      <c r="L967" s="36">
        <f ca="1">IF(C967&lt;&gt;"Yes",0,IF(A967=2025,N('2025'!D74),IF(A967=2026,N('2026'!D74),IF(A967=2027,N('2027'!D74),IF(A967=2028,N('2028'!D74),IF(A967=2029,N('2029'!D74),IF(A967=2030,N('2030'!D74),IF(A967=2031,N('2031'!D74),IF(A967=2032,N('2032'!D74),IF(A967=2033,N('2033'!D74),IF(A967=2034,N('2034'!D74),IFERROR(N(INDIRECT("'"&amp;A967&amp;"'!D"&amp;G967)),0))))))))))))</f>
        <v>0</v>
      </c>
      <c r="M967" s="36">
        <f>IFERROR(IF(NOT(ISBLANK(KPI_TARGETS!$K$20)),KPI_TARGETS!$K$20,IF(NOT(ISBLANK(KPI_TARGETS!$F$20)),KPI_TARGETS!$F$20,"")),"")</f>
        <v>1</v>
      </c>
      <c r="N967" s="36" t="str">
        <f>IFERROR(KPI_TARGETS!$E$20,"Higher is better")</f>
        <v>Higher is better</v>
      </c>
      <c r="O967" s="37">
        <f t="shared" ca="1" si="90"/>
        <v>0</v>
      </c>
      <c r="P967" t="str">
        <f t="shared" ca="1" si="91"/>
        <v>Red</v>
      </c>
      <c r="Q967" s="36">
        <f t="shared" ca="1" si="92"/>
        <v>-1</v>
      </c>
      <c r="R967" s="36" t="str">
        <f>""</f>
        <v/>
      </c>
      <c r="S967" s="36" t="str">
        <f>""</f>
        <v/>
      </c>
      <c r="T967" s="36" t="str">
        <f>""</f>
        <v/>
      </c>
      <c r="U967" s="36" t="str">
        <f>""</f>
        <v/>
      </c>
      <c r="V967" s="36" t="str">
        <f>""</f>
        <v/>
      </c>
      <c r="W967" s="36">
        <f t="shared" si="93"/>
        <v>1</v>
      </c>
      <c r="X967" t="str">
        <f t="shared" si="94"/>
        <v>Inactive</v>
      </c>
      <c r="Y967" t="str">
        <f>IF(MAIN!$H$3="Selected Year",IF(A967=MAIN!$B$3,"Yes","No"),IF(MAIN!$H$3="Included Years",IF(D967="Yes","Yes","No"),IF(C967="Yes","Yes","No")))</f>
        <v>No</v>
      </c>
      <c r="Z967" t="str">
        <f>IF(MAIN!$F$3="Project to Date",IF(AND(A967&gt;=SETTINGS!$B$4,A967&lt;MAIN!$B$3),"Yes",IF(AND(A967=MAIN!$B$3,E967&lt;=MAIN!$L$3),"Yes","No")),IF(OR(MAIN!$F$3="Full Year",MAIN!$D$3="All"),"Yes",IF(MAIN!$F$3="Monthly",IF(E967=MAIN!$L$3,"Yes","No"),IF(E967&lt;=MAIN!$L$3,"Yes","No"))))</f>
        <v>Yes</v>
      </c>
      <c r="AA967" t="str">
        <f t="shared" si="95"/>
        <v>No</v>
      </c>
    </row>
    <row r="968" spans="1:27" x14ac:dyDescent="0.3">
      <c r="A968">
        <f>INDEX(SETTINGS!$A$15:$A$24,$B968)</f>
        <v>2029</v>
      </c>
      <c r="B968">
        <v>5</v>
      </c>
      <c r="C968" t="str">
        <f>IF(AND(A968&gt;=SETTINGS!$B$4,A968&lt;=SETTINGS!$B$5),"Yes","No")</f>
        <v>No</v>
      </c>
      <c r="D968" t="str">
        <f>IFERROR(INDEX(SETTINGS!$C$15:$C$24,MATCH(A968,SETTINGS!$A$15:$A$24,0)),"No")</f>
        <v>No</v>
      </c>
      <c r="E968">
        <v>3</v>
      </c>
      <c r="F968" t="s">
        <v>36</v>
      </c>
      <c r="G968">
        <v>76</v>
      </c>
      <c r="H968" t="s">
        <v>110</v>
      </c>
      <c r="I968" t="s">
        <v>30</v>
      </c>
      <c r="J968" t="s">
        <v>31</v>
      </c>
      <c r="K968" t="s">
        <v>3</v>
      </c>
      <c r="L968" s="36">
        <f ca="1">IF(C968&lt;&gt;"Yes",0,IF(A968=2025,N('2025'!D76),IF(A968=2026,N('2026'!D76),IF(A968=2027,N('2027'!D76),IF(A968=2028,N('2028'!D76),IF(A968=2029,N('2029'!D76),IF(A968=2030,N('2030'!D76),IF(A968=2031,N('2031'!D76),IF(A968=2032,N('2032'!D76),IF(A968=2033,N('2033'!D76),IF(A968=2034,N('2034'!D76),IFERROR(N(INDIRECT("'"&amp;A968&amp;"'!D"&amp;G968)),0))))))))))))</f>
        <v>0</v>
      </c>
      <c r="M968" s="36">
        <f>IFERROR(IF(NOT(ISBLANK(KPI_TARGETS!$K$21)),KPI_TARGETS!$K$21,IF(NOT(ISBLANK(KPI_TARGETS!$F$21)),KPI_TARGETS!$F$21,"")),"")</f>
        <v>0</v>
      </c>
      <c r="N968" s="36" t="str">
        <f>IFERROR(KPI_TARGETS!$E$21,"Higher is better")</f>
        <v>Lower is better</v>
      </c>
      <c r="O968" s="37">
        <f t="shared" ca="1" si="90"/>
        <v>1</v>
      </c>
      <c r="P968" t="str">
        <f t="shared" ca="1" si="91"/>
        <v>Green</v>
      </c>
      <c r="Q968" s="36">
        <f t="shared" ca="1" si="92"/>
        <v>0</v>
      </c>
      <c r="R968" s="36" t="str">
        <f>""</f>
        <v/>
      </c>
      <c r="S968" s="36" t="str">
        <f>""</f>
        <v/>
      </c>
      <c r="T968" s="36" t="str">
        <f>""</f>
        <v/>
      </c>
      <c r="U968" s="36" t="str">
        <f>""</f>
        <v/>
      </c>
      <c r="V968" s="36" t="str">
        <f>""</f>
        <v/>
      </c>
      <c r="W968" s="36">
        <f t="shared" si="93"/>
        <v>1</v>
      </c>
      <c r="X968" t="str">
        <f t="shared" si="94"/>
        <v>Inactive</v>
      </c>
      <c r="Y968" t="str">
        <f>IF(MAIN!$H$3="Selected Year",IF(A968=MAIN!$B$3,"Yes","No"),IF(MAIN!$H$3="Included Years",IF(D968="Yes","Yes","No"),IF(C968="Yes","Yes","No")))</f>
        <v>No</v>
      </c>
      <c r="Z968" t="str">
        <f>IF(MAIN!$F$3="Project to Date",IF(AND(A968&gt;=SETTINGS!$B$4,A968&lt;MAIN!$B$3),"Yes",IF(AND(A968=MAIN!$B$3,E968&lt;=MAIN!$L$3),"Yes","No")),IF(OR(MAIN!$F$3="Full Year",MAIN!$D$3="All"),"Yes",IF(MAIN!$F$3="Monthly",IF(E968=MAIN!$L$3,"Yes","No"),IF(E968&lt;=MAIN!$L$3,"Yes","No"))))</f>
        <v>Yes</v>
      </c>
      <c r="AA968" t="str">
        <f t="shared" si="95"/>
        <v>No</v>
      </c>
    </row>
    <row r="969" spans="1:27" x14ac:dyDescent="0.3">
      <c r="A969">
        <f>INDEX(SETTINGS!$A$15:$A$24,$B969)</f>
        <v>2029</v>
      </c>
      <c r="B969">
        <v>5</v>
      </c>
      <c r="C969" t="str">
        <f>IF(AND(A969&gt;=SETTINGS!$B$4,A969&lt;=SETTINGS!$B$5),"Yes","No")</f>
        <v>No</v>
      </c>
      <c r="D969" t="str">
        <f>IFERROR(INDEX(SETTINGS!$C$15:$C$24,MATCH(A969,SETTINGS!$A$15:$A$24,0)),"No")</f>
        <v>No</v>
      </c>
      <c r="E969">
        <v>3</v>
      </c>
      <c r="F969" t="s">
        <v>36</v>
      </c>
      <c r="G969">
        <v>77</v>
      </c>
      <c r="H969" t="s">
        <v>111</v>
      </c>
      <c r="I969" t="s">
        <v>30</v>
      </c>
      <c r="J969" t="s">
        <v>32</v>
      </c>
      <c r="K969" t="s">
        <v>3</v>
      </c>
      <c r="L969" s="36">
        <f ca="1">IF(C969&lt;&gt;"Yes",0,IF(A969=2025,N('2025'!D77),IF(A969=2026,N('2026'!D77),IF(A969=2027,N('2027'!D77),IF(A969=2028,N('2028'!D77),IF(A969=2029,N('2029'!D77),IF(A969=2030,N('2030'!D77),IF(A969=2031,N('2031'!D77),IF(A969=2032,N('2032'!D77),IF(A969=2033,N('2033'!D77),IF(A969=2034,N('2034'!D77),IFERROR(N(INDIRECT("'"&amp;A969&amp;"'!D"&amp;G969)),0))))))))))))</f>
        <v>0</v>
      </c>
      <c r="M969" s="36">
        <f>IFERROR(IF(NOT(ISBLANK(KPI_TARGETS!$K$22)),KPI_TARGETS!$K$22,IF(NOT(ISBLANK(KPI_TARGETS!$F$22)),KPI_TARGETS!$F$22,"")),"")</f>
        <v>1</v>
      </c>
      <c r="N969" s="36" t="str">
        <f>IFERROR(KPI_TARGETS!$E$22,"Higher is better")</f>
        <v>Higher is better</v>
      </c>
      <c r="O969" s="37">
        <f t="shared" ca="1" si="90"/>
        <v>0</v>
      </c>
      <c r="P969" t="str">
        <f t="shared" ca="1" si="91"/>
        <v>Red</v>
      </c>
      <c r="Q969" s="36">
        <f t="shared" ca="1" si="92"/>
        <v>-1</v>
      </c>
      <c r="R969" s="36" t="str">
        <f>""</f>
        <v/>
      </c>
      <c r="S969" s="36" t="str">
        <f>""</f>
        <v/>
      </c>
      <c r="T969" s="36" t="str">
        <f>""</f>
        <v/>
      </c>
      <c r="U969" s="36" t="str">
        <f>""</f>
        <v/>
      </c>
      <c r="V969" s="36" t="str">
        <f>""</f>
        <v/>
      </c>
      <c r="W969" s="36">
        <f t="shared" si="93"/>
        <v>1</v>
      </c>
      <c r="X969" t="str">
        <f t="shared" si="94"/>
        <v>Inactive</v>
      </c>
      <c r="Y969" t="str">
        <f>IF(MAIN!$H$3="Selected Year",IF(A969=MAIN!$B$3,"Yes","No"),IF(MAIN!$H$3="Included Years",IF(D969="Yes","Yes","No"),IF(C969="Yes","Yes","No")))</f>
        <v>No</v>
      </c>
      <c r="Z969" t="str">
        <f>IF(MAIN!$F$3="Project to Date",IF(AND(A969&gt;=SETTINGS!$B$4,A969&lt;MAIN!$B$3),"Yes",IF(AND(A969=MAIN!$B$3,E969&lt;=MAIN!$L$3),"Yes","No")),IF(OR(MAIN!$F$3="Full Year",MAIN!$D$3="All"),"Yes",IF(MAIN!$F$3="Monthly",IF(E969=MAIN!$L$3,"Yes","No"),IF(E969&lt;=MAIN!$L$3,"Yes","No"))))</f>
        <v>Yes</v>
      </c>
      <c r="AA969" t="str">
        <f t="shared" si="95"/>
        <v>No</v>
      </c>
    </row>
    <row r="970" spans="1:27" x14ac:dyDescent="0.3">
      <c r="A970">
        <f>INDEX(SETTINGS!$A$15:$A$24,$B970)</f>
        <v>2029</v>
      </c>
      <c r="B970">
        <v>5</v>
      </c>
      <c r="C970" t="str">
        <f>IF(AND(A970&gt;=SETTINGS!$B$4,A970&lt;=SETTINGS!$B$5),"Yes","No")</f>
        <v>No</v>
      </c>
      <c r="D970" t="str">
        <f>IFERROR(INDEX(SETTINGS!$C$15:$C$24,MATCH(A970,SETTINGS!$A$15:$A$24,0)),"No")</f>
        <v>No</v>
      </c>
      <c r="E970">
        <v>3</v>
      </c>
      <c r="F970" t="s">
        <v>36</v>
      </c>
      <c r="G970">
        <v>78</v>
      </c>
      <c r="H970" t="s">
        <v>112</v>
      </c>
      <c r="I970" t="s">
        <v>30</v>
      </c>
      <c r="J970" t="s">
        <v>33</v>
      </c>
      <c r="K970" t="s">
        <v>34</v>
      </c>
      <c r="L970" s="36">
        <f ca="1">IF(C970&lt;&gt;"Yes",0,IF(A970=2025,N('2025'!D78),IF(A970=2026,N('2026'!D78),IF(A970=2027,N('2027'!D78),IF(A970=2028,N('2028'!D78),IF(A970=2029,N('2029'!D78),IF(A970=2030,N('2030'!D78),IF(A970=2031,N('2031'!D78),IF(A970=2032,N('2032'!D78),IF(A970=2033,N('2033'!D78),IF(A970=2034,N('2034'!D78),IFERROR(N(INDIRECT("'"&amp;A970&amp;"'!D"&amp;G970)),0))))))))))))</f>
        <v>0</v>
      </c>
      <c r="M970" s="36">
        <f>IFERROR(IF(NOT(ISBLANK(KPI_TARGETS!$K$23)),KPI_TARGETS!$K$23,IF(NOT(ISBLANK(KPI_TARGETS!$F$23)),KPI_TARGETS!$F$23,"")),"")</f>
        <v>1</v>
      </c>
      <c r="N970" s="36" t="str">
        <f>IFERROR(KPI_TARGETS!$E$23,"Higher is better")</f>
        <v>Higher is better</v>
      </c>
      <c r="O970" s="37">
        <f t="shared" ca="1" si="90"/>
        <v>0</v>
      </c>
      <c r="P970" t="str">
        <f t="shared" ca="1" si="91"/>
        <v>Red</v>
      </c>
      <c r="Q970" s="36">
        <f t="shared" ca="1" si="92"/>
        <v>-1</v>
      </c>
      <c r="R970" s="36" t="str">
        <f>""</f>
        <v/>
      </c>
      <c r="S970" s="36" t="str">
        <f>""</f>
        <v/>
      </c>
      <c r="T970" s="36" t="str">
        <f>""</f>
        <v/>
      </c>
      <c r="U970" s="36" t="str">
        <f>""</f>
        <v/>
      </c>
      <c r="V970" s="36" t="str">
        <f>""</f>
        <v/>
      </c>
      <c r="W970" s="36">
        <f t="shared" si="93"/>
        <v>1</v>
      </c>
      <c r="X970" t="str">
        <f t="shared" si="94"/>
        <v>Inactive</v>
      </c>
      <c r="Y970" t="str">
        <f>IF(MAIN!$H$3="Selected Year",IF(A970=MAIN!$B$3,"Yes","No"),IF(MAIN!$H$3="Included Years",IF(D970="Yes","Yes","No"),IF(C970="Yes","Yes","No")))</f>
        <v>No</v>
      </c>
      <c r="Z970" t="str">
        <f>IF(MAIN!$F$3="Project to Date",IF(AND(A970&gt;=SETTINGS!$B$4,A970&lt;MAIN!$B$3),"Yes",IF(AND(A970=MAIN!$B$3,E970&lt;=MAIN!$L$3),"Yes","No")),IF(OR(MAIN!$F$3="Full Year",MAIN!$D$3="All"),"Yes",IF(MAIN!$F$3="Monthly",IF(E970=MAIN!$L$3,"Yes","No"),IF(E970&lt;=MAIN!$L$3,"Yes","No"))))</f>
        <v>Yes</v>
      </c>
      <c r="AA970" t="str">
        <f t="shared" si="95"/>
        <v>No</v>
      </c>
    </row>
    <row r="971" spans="1:27" x14ac:dyDescent="0.3">
      <c r="A971">
        <f>INDEX(SETTINGS!$A$15:$A$24,$B971)</f>
        <v>2029</v>
      </c>
      <c r="B971">
        <v>5</v>
      </c>
      <c r="C971" t="str">
        <f>IF(AND(A971&gt;=SETTINGS!$B$4,A971&lt;=SETTINGS!$B$5),"Yes","No")</f>
        <v>No</v>
      </c>
      <c r="D971" t="str">
        <f>IFERROR(INDEX(SETTINGS!$C$15:$C$24,MATCH(A971,SETTINGS!$A$15:$A$24,0)),"No")</f>
        <v>No</v>
      </c>
      <c r="E971">
        <v>4</v>
      </c>
      <c r="F971" t="s">
        <v>37</v>
      </c>
      <c r="G971">
        <v>81</v>
      </c>
      <c r="H971" t="s">
        <v>88</v>
      </c>
      <c r="I971" t="s">
        <v>89</v>
      </c>
      <c r="J971" t="s">
        <v>10</v>
      </c>
      <c r="K971" t="s">
        <v>3</v>
      </c>
      <c r="L971" s="36">
        <f ca="1">IF(C971&lt;&gt;"Yes",0,IF(A971=2025,N('2025'!D81),IF(A971=2026,N('2026'!D81),IF(A971=2027,N('2027'!D81),IF(A971=2028,N('2028'!D81),IF(A971=2029,N('2029'!D81),IF(A971=2030,N('2030'!D81),IF(A971=2031,N('2031'!D81),IF(A971=2032,N('2032'!D81),IF(A971=2033,N('2033'!D81),IF(A971=2034,N('2034'!D81),IFERROR(N(INDIRECT("'"&amp;A971&amp;"'!D"&amp;G971)),0))))))))))))</f>
        <v>0</v>
      </c>
      <c r="M971" s="36">
        <f>IFERROR(IF(NOT(ISBLANK(KPI_TARGETS!$K$5)),KPI_TARGETS!$K$5,IF(NOT(ISBLANK(KPI_TARGETS!$F$5)),KPI_TARGETS!$F$5,"")),"")</f>
        <v>104</v>
      </c>
      <c r="N971" s="36" t="str">
        <f>IFERROR(KPI_TARGETS!$E$5,"Higher is better")</f>
        <v>Higher is better</v>
      </c>
      <c r="O971" s="37">
        <f t="shared" ca="1" si="90"/>
        <v>0</v>
      </c>
      <c r="P971" t="str">
        <f t="shared" ca="1" si="91"/>
        <v>Red</v>
      </c>
      <c r="Q971" s="36">
        <f t="shared" ca="1" si="92"/>
        <v>-104</v>
      </c>
      <c r="R971" s="36" t="str">
        <f>""</f>
        <v/>
      </c>
      <c r="S971" s="36" t="str">
        <f>""</f>
        <v/>
      </c>
      <c r="T971" s="36" t="str">
        <f>""</f>
        <v/>
      </c>
      <c r="U971" s="36" t="str">
        <f>""</f>
        <v/>
      </c>
      <c r="V971" s="36" t="str">
        <f>""</f>
        <v/>
      </c>
      <c r="W971" s="36">
        <f t="shared" si="93"/>
        <v>1</v>
      </c>
      <c r="X971" t="str">
        <f t="shared" si="94"/>
        <v>Inactive</v>
      </c>
      <c r="Y971" t="str">
        <f>IF(MAIN!$H$3="Selected Year",IF(A971=MAIN!$B$3,"Yes","No"),IF(MAIN!$H$3="Included Years",IF(D971="Yes","Yes","No"),IF(C971="Yes","Yes","No")))</f>
        <v>No</v>
      </c>
      <c r="Z971" t="str">
        <f>IF(MAIN!$F$3="Project to Date",IF(AND(A971&gt;=SETTINGS!$B$4,A971&lt;MAIN!$B$3),"Yes",IF(AND(A971=MAIN!$B$3,E971&lt;=MAIN!$L$3),"Yes","No")),IF(OR(MAIN!$F$3="Full Year",MAIN!$D$3="All"),"Yes",IF(MAIN!$F$3="Monthly",IF(E971=MAIN!$L$3,"Yes","No"),IF(E971&lt;=MAIN!$L$3,"Yes","No"))))</f>
        <v>Yes</v>
      </c>
      <c r="AA971" t="str">
        <f t="shared" si="95"/>
        <v>No</v>
      </c>
    </row>
    <row r="972" spans="1:27" x14ac:dyDescent="0.3">
      <c r="A972">
        <f>INDEX(SETTINGS!$A$15:$A$24,$B972)</f>
        <v>2029</v>
      </c>
      <c r="B972">
        <v>5</v>
      </c>
      <c r="C972" t="str">
        <f>IF(AND(A972&gt;=SETTINGS!$B$4,A972&lt;=SETTINGS!$B$5),"Yes","No")</f>
        <v>No</v>
      </c>
      <c r="D972" t="str">
        <f>IFERROR(INDEX(SETTINGS!$C$15:$C$24,MATCH(A972,SETTINGS!$A$15:$A$24,0)),"No")</f>
        <v>No</v>
      </c>
      <c r="E972">
        <v>4</v>
      </c>
      <c r="F972" t="s">
        <v>37</v>
      </c>
      <c r="G972">
        <v>82</v>
      </c>
      <c r="H972" t="s">
        <v>91</v>
      </c>
      <c r="I972" t="s">
        <v>89</v>
      </c>
      <c r="J972" t="s">
        <v>11</v>
      </c>
      <c r="K972" t="s">
        <v>12</v>
      </c>
      <c r="L972" s="36">
        <f ca="1">IF(C972&lt;&gt;"Yes",0,IF(A972=2025,N('2025'!D82),IF(A972=2026,N('2026'!D82),IF(A972=2027,N('2027'!D82),IF(A972=2028,N('2028'!D82),IF(A972=2029,N('2029'!D82),IF(A972=2030,N('2030'!D82),IF(A972=2031,N('2031'!D82),IF(A972=2032,N('2032'!D82),IF(A972=2033,N('2033'!D82),IF(A972=2034,N('2034'!D82),IFERROR(N(INDIRECT("'"&amp;A972&amp;"'!D"&amp;G972)),0))))))))))))</f>
        <v>0</v>
      </c>
      <c r="M972" s="36">
        <f>IFERROR(IF(NOT(ISBLANK(KPI_TARGETS!$K$6)),KPI_TARGETS!$K$6,IF(NOT(ISBLANK(KPI_TARGETS!$F$6)),KPI_TARGETS!$F$6,"")),"")</f>
        <v>4000</v>
      </c>
      <c r="N972" s="36" t="str">
        <f>IFERROR(KPI_TARGETS!$E$6,"Higher is better")</f>
        <v>Higher is better</v>
      </c>
      <c r="O972" s="37">
        <f t="shared" ca="1" si="90"/>
        <v>0</v>
      </c>
      <c r="P972" t="str">
        <f t="shared" ca="1" si="91"/>
        <v>Red</v>
      </c>
      <c r="Q972" s="36">
        <f t="shared" ca="1" si="92"/>
        <v>-4000</v>
      </c>
      <c r="R972" s="36" t="str">
        <f>""</f>
        <v/>
      </c>
      <c r="S972" s="36" t="str">
        <f>""</f>
        <v/>
      </c>
      <c r="T972" s="36" t="str">
        <f>""</f>
        <v/>
      </c>
      <c r="U972" s="36" t="str">
        <f>""</f>
        <v/>
      </c>
      <c r="V972" s="36" t="str">
        <f>""</f>
        <v/>
      </c>
      <c r="W972" s="36">
        <f t="shared" si="93"/>
        <v>1</v>
      </c>
      <c r="X972" t="str">
        <f t="shared" si="94"/>
        <v>Inactive</v>
      </c>
      <c r="Y972" t="str">
        <f>IF(MAIN!$H$3="Selected Year",IF(A972=MAIN!$B$3,"Yes","No"),IF(MAIN!$H$3="Included Years",IF(D972="Yes","Yes","No"),IF(C972="Yes","Yes","No")))</f>
        <v>No</v>
      </c>
      <c r="Z972" t="str">
        <f>IF(MAIN!$F$3="Project to Date",IF(AND(A972&gt;=SETTINGS!$B$4,A972&lt;MAIN!$B$3),"Yes",IF(AND(A972=MAIN!$B$3,E972&lt;=MAIN!$L$3),"Yes","No")),IF(OR(MAIN!$F$3="Full Year",MAIN!$D$3="All"),"Yes",IF(MAIN!$F$3="Monthly",IF(E972=MAIN!$L$3,"Yes","No"),IF(E972&lt;=MAIN!$L$3,"Yes","No"))))</f>
        <v>Yes</v>
      </c>
      <c r="AA972" t="str">
        <f t="shared" si="95"/>
        <v>No</v>
      </c>
    </row>
    <row r="973" spans="1:27" x14ac:dyDescent="0.3">
      <c r="A973">
        <f>INDEX(SETTINGS!$A$15:$A$24,$B973)</f>
        <v>2029</v>
      </c>
      <c r="B973">
        <v>5</v>
      </c>
      <c r="C973" t="str">
        <f>IF(AND(A973&gt;=SETTINGS!$B$4,A973&lt;=SETTINGS!$B$5),"Yes","No")</f>
        <v>No</v>
      </c>
      <c r="D973" t="str">
        <f>IFERROR(INDEX(SETTINGS!$C$15:$C$24,MATCH(A973,SETTINGS!$A$15:$A$24,0)),"No")</f>
        <v>No</v>
      </c>
      <c r="E973">
        <v>4</v>
      </c>
      <c r="F973" t="s">
        <v>37</v>
      </c>
      <c r="G973">
        <v>83</v>
      </c>
      <c r="H973" t="s">
        <v>93</v>
      </c>
      <c r="I973" t="s">
        <v>89</v>
      </c>
      <c r="J973" t="s">
        <v>13</v>
      </c>
      <c r="K973" t="s">
        <v>14</v>
      </c>
      <c r="L973" s="36">
        <f ca="1">IF(C973&lt;&gt;"Yes",0,IF(A973=2025,N('2025'!D83),IF(A973=2026,N('2026'!D83),IF(A973=2027,N('2027'!D83),IF(A973=2028,N('2028'!D83),IF(A973=2029,N('2029'!D83),IF(A973=2030,N('2030'!D83),IF(A973=2031,N('2031'!D83),IF(A973=2032,N('2032'!D83),IF(A973=2033,N('2033'!D83),IF(A973=2034,N('2034'!D83),IFERROR(N(INDIRECT("'"&amp;A973&amp;"'!D"&amp;G973)),0))))))))))))</f>
        <v>0</v>
      </c>
      <c r="M973" s="36">
        <f>IFERROR(IF(NOT(ISBLANK(KPI_TARGETS!$K$7)),KPI_TARGETS!$K$7,IF(NOT(ISBLANK(KPI_TARGETS!$F$7)),KPI_TARGETS!$F$7,"")),"")</f>
        <v>8000</v>
      </c>
      <c r="N973" s="36" t="str">
        <f>IFERROR(KPI_TARGETS!$E$7,"Higher is better")</f>
        <v>Higher is better</v>
      </c>
      <c r="O973" s="37">
        <f t="shared" ca="1" si="90"/>
        <v>0</v>
      </c>
      <c r="P973" t="str">
        <f t="shared" ca="1" si="91"/>
        <v>Red</v>
      </c>
      <c r="Q973" s="36">
        <f t="shared" ca="1" si="92"/>
        <v>-8000</v>
      </c>
      <c r="R973" s="36" t="str">
        <f>""</f>
        <v/>
      </c>
      <c r="S973" s="36" t="str">
        <f>""</f>
        <v/>
      </c>
      <c r="T973" s="36" t="str">
        <f>""</f>
        <v/>
      </c>
      <c r="U973" s="36" t="str">
        <f>""</f>
        <v/>
      </c>
      <c r="V973" s="36" t="str">
        <f>""</f>
        <v/>
      </c>
      <c r="W973" s="36">
        <f t="shared" si="93"/>
        <v>1</v>
      </c>
      <c r="X973" t="str">
        <f t="shared" si="94"/>
        <v>Inactive</v>
      </c>
      <c r="Y973" t="str">
        <f>IF(MAIN!$H$3="Selected Year",IF(A973=MAIN!$B$3,"Yes","No"),IF(MAIN!$H$3="Included Years",IF(D973="Yes","Yes","No"),IF(C973="Yes","Yes","No")))</f>
        <v>No</v>
      </c>
      <c r="Z973" t="str">
        <f>IF(MAIN!$F$3="Project to Date",IF(AND(A973&gt;=SETTINGS!$B$4,A973&lt;MAIN!$B$3),"Yes",IF(AND(A973=MAIN!$B$3,E973&lt;=MAIN!$L$3),"Yes","No")),IF(OR(MAIN!$F$3="Full Year",MAIN!$D$3="All"),"Yes",IF(MAIN!$F$3="Monthly",IF(E973=MAIN!$L$3,"Yes","No"),IF(E973&lt;=MAIN!$L$3,"Yes","No"))))</f>
        <v>Yes</v>
      </c>
      <c r="AA973" t="str">
        <f t="shared" si="95"/>
        <v>No</v>
      </c>
    </row>
    <row r="974" spans="1:27" x14ac:dyDescent="0.3">
      <c r="A974">
        <f>INDEX(SETTINGS!$A$15:$A$24,$B974)</f>
        <v>2029</v>
      </c>
      <c r="B974">
        <v>5</v>
      </c>
      <c r="C974" t="str">
        <f>IF(AND(A974&gt;=SETTINGS!$B$4,A974&lt;=SETTINGS!$B$5),"Yes","No")</f>
        <v>No</v>
      </c>
      <c r="D974" t="str">
        <f>IFERROR(INDEX(SETTINGS!$C$15:$C$24,MATCH(A974,SETTINGS!$A$15:$A$24,0)),"No")</f>
        <v>No</v>
      </c>
      <c r="E974">
        <v>4</v>
      </c>
      <c r="F974" t="s">
        <v>37</v>
      </c>
      <c r="G974">
        <v>85</v>
      </c>
      <c r="H974" t="s">
        <v>95</v>
      </c>
      <c r="I974" t="s">
        <v>15</v>
      </c>
      <c r="J974" t="s">
        <v>16</v>
      </c>
      <c r="K974" t="s">
        <v>3</v>
      </c>
      <c r="L974" s="36">
        <f ca="1">IF(C974&lt;&gt;"Yes",0,IF(A974=2025,N('2025'!D85),IF(A974=2026,N('2026'!D85),IF(A974=2027,N('2027'!D85),IF(A974=2028,N('2028'!D85),IF(A974=2029,N('2029'!D85),IF(A974=2030,N('2030'!D85),IF(A974=2031,N('2031'!D85),IF(A974=2032,N('2032'!D85),IF(A974=2033,N('2033'!D85),IF(A974=2034,N('2034'!D85),IFERROR(N(INDIRECT("'"&amp;A974&amp;"'!D"&amp;G974)),0))))))))))))</f>
        <v>0</v>
      </c>
      <c r="M974" s="36">
        <f>IFERROR(IF(NOT(ISBLANK(KPI_TARGETS!$K$8)),KPI_TARGETS!$K$8,IF(NOT(ISBLANK(KPI_TARGETS!$F$8)),KPI_TARGETS!$F$8,"")),"")</f>
        <v>0</v>
      </c>
      <c r="N974" s="36" t="str">
        <f>IFERROR(KPI_TARGETS!$E$8,"Higher is better")</f>
        <v>Lower is better</v>
      </c>
      <c r="O974" s="37">
        <f t="shared" ca="1" si="90"/>
        <v>1</v>
      </c>
      <c r="P974" t="str">
        <f t="shared" ca="1" si="91"/>
        <v>Green</v>
      </c>
      <c r="Q974" s="36">
        <f t="shared" ca="1" si="92"/>
        <v>0</v>
      </c>
      <c r="R974" s="36" t="str">
        <f>""</f>
        <v/>
      </c>
      <c r="S974" s="36" t="str">
        <f>""</f>
        <v/>
      </c>
      <c r="T974" s="36" t="str">
        <f>""</f>
        <v/>
      </c>
      <c r="U974" s="36" t="str">
        <f>""</f>
        <v/>
      </c>
      <c r="V974" s="36" t="str">
        <f>""</f>
        <v/>
      </c>
      <c r="W974" s="36">
        <f t="shared" si="93"/>
        <v>1</v>
      </c>
      <c r="X974" t="str">
        <f t="shared" si="94"/>
        <v>Inactive</v>
      </c>
      <c r="Y974" t="str">
        <f>IF(MAIN!$H$3="Selected Year",IF(A974=MAIN!$B$3,"Yes","No"),IF(MAIN!$H$3="Included Years",IF(D974="Yes","Yes","No"),IF(C974="Yes","Yes","No")))</f>
        <v>No</v>
      </c>
      <c r="Z974" t="str">
        <f>IF(MAIN!$F$3="Project to Date",IF(AND(A974&gt;=SETTINGS!$B$4,A974&lt;MAIN!$B$3),"Yes",IF(AND(A974=MAIN!$B$3,E974&lt;=MAIN!$L$3),"Yes","No")),IF(OR(MAIN!$F$3="Full Year",MAIN!$D$3="All"),"Yes",IF(MAIN!$F$3="Monthly",IF(E974=MAIN!$L$3,"Yes","No"),IF(E974&lt;=MAIN!$L$3,"Yes","No"))))</f>
        <v>Yes</v>
      </c>
      <c r="AA974" t="str">
        <f t="shared" si="95"/>
        <v>No</v>
      </c>
    </row>
    <row r="975" spans="1:27" x14ac:dyDescent="0.3">
      <c r="A975">
        <f>INDEX(SETTINGS!$A$15:$A$24,$B975)</f>
        <v>2029</v>
      </c>
      <c r="B975">
        <v>5</v>
      </c>
      <c r="C975" t="str">
        <f>IF(AND(A975&gt;=SETTINGS!$B$4,A975&lt;=SETTINGS!$B$5),"Yes","No")</f>
        <v>No</v>
      </c>
      <c r="D975" t="str">
        <f>IFERROR(INDEX(SETTINGS!$C$15:$C$24,MATCH(A975,SETTINGS!$A$15:$A$24,0)),"No")</f>
        <v>No</v>
      </c>
      <c r="E975">
        <v>4</v>
      </c>
      <c r="F975" t="s">
        <v>37</v>
      </c>
      <c r="G975">
        <v>86</v>
      </c>
      <c r="H975" t="s">
        <v>97</v>
      </c>
      <c r="I975" t="s">
        <v>15</v>
      </c>
      <c r="J975" t="s">
        <v>17</v>
      </c>
      <c r="K975" t="s">
        <v>3</v>
      </c>
      <c r="L975" s="36">
        <f ca="1">IF(C975&lt;&gt;"Yes",0,IF(A975=2025,N('2025'!D86),IF(A975=2026,N('2026'!D86),IF(A975=2027,N('2027'!D86),IF(A975=2028,N('2028'!D86),IF(A975=2029,N('2029'!D86),IF(A975=2030,N('2030'!D86),IF(A975=2031,N('2031'!D86),IF(A975=2032,N('2032'!D86),IF(A975=2033,N('2033'!D86),IF(A975=2034,N('2034'!D86),IFERROR(N(INDIRECT("'"&amp;A975&amp;"'!D"&amp;G975)),0))))))))))))</f>
        <v>0</v>
      </c>
      <c r="M975" s="36">
        <f>IFERROR(IF(NOT(ISBLANK(KPI_TARGETS!$K$9)),KPI_TARGETS!$K$9,IF(NOT(ISBLANK(KPI_TARGETS!$F$9)),KPI_TARGETS!$F$9,"")),"")</f>
        <v>0</v>
      </c>
      <c r="N975" s="36" t="str">
        <f>IFERROR(KPI_TARGETS!$E$9,"Higher is better")</f>
        <v>Higher is better</v>
      </c>
      <c r="O975" s="37" t="str">
        <f t="shared" ca="1" si="90"/>
        <v/>
      </c>
      <c r="P975" t="str">
        <f t="shared" ca="1" si="91"/>
        <v>Green</v>
      </c>
      <c r="Q975" s="36">
        <f t="shared" ca="1" si="92"/>
        <v>0</v>
      </c>
      <c r="R975" s="36" t="str">
        <f>""</f>
        <v/>
      </c>
      <c r="S975" s="36" t="str">
        <f>""</f>
        <v/>
      </c>
      <c r="T975" s="36" t="str">
        <f>""</f>
        <v/>
      </c>
      <c r="U975" s="36" t="str">
        <f>""</f>
        <v/>
      </c>
      <c r="V975" s="36" t="str">
        <f>""</f>
        <v/>
      </c>
      <c r="W975" s="36">
        <f t="shared" si="93"/>
        <v>1</v>
      </c>
      <c r="X975" t="str">
        <f t="shared" si="94"/>
        <v>Inactive</v>
      </c>
      <c r="Y975" t="str">
        <f>IF(MAIN!$H$3="Selected Year",IF(A975=MAIN!$B$3,"Yes","No"),IF(MAIN!$H$3="Included Years",IF(D975="Yes","Yes","No"),IF(C975="Yes","Yes","No")))</f>
        <v>No</v>
      </c>
      <c r="Z975" t="str">
        <f>IF(MAIN!$F$3="Project to Date",IF(AND(A975&gt;=SETTINGS!$B$4,A975&lt;MAIN!$B$3),"Yes",IF(AND(A975=MAIN!$B$3,E975&lt;=MAIN!$L$3),"Yes","No")),IF(OR(MAIN!$F$3="Full Year",MAIN!$D$3="All"),"Yes",IF(MAIN!$F$3="Monthly",IF(E975=MAIN!$L$3,"Yes","No"),IF(E975&lt;=MAIN!$L$3,"Yes","No"))))</f>
        <v>Yes</v>
      </c>
      <c r="AA975" t="str">
        <f t="shared" si="95"/>
        <v>No</v>
      </c>
    </row>
    <row r="976" spans="1:27" x14ac:dyDescent="0.3">
      <c r="A976">
        <f>INDEX(SETTINGS!$A$15:$A$24,$B976)</f>
        <v>2029</v>
      </c>
      <c r="B976">
        <v>5</v>
      </c>
      <c r="C976" t="str">
        <f>IF(AND(A976&gt;=SETTINGS!$B$4,A976&lt;=SETTINGS!$B$5),"Yes","No")</f>
        <v>No</v>
      </c>
      <c r="D976" t="str">
        <f>IFERROR(INDEX(SETTINGS!$C$15:$C$24,MATCH(A976,SETTINGS!$A$15:$A$24,0)),"No")</f>
        <v>No</v>
      </c>
      <c r="E976">
        <v>4</v>
      </c>
      <c r="F976" t="s">
        <v>37</v>
      </c>
      <c r="G976">
        <v>87</v>
      </c>
      <c r="H976" t="s">
        <v>99</v>
      </c>
      <c r="I976" t="s">
        <v>15</v>
      </c>
      <c r="J976" t="s">
        <v>18</v>
      </c>
      <c r="K976" t="s">
        <v>3</v>
      </c>
      <c r="L976" s="36">
        <f ca="1">IF(C976&lt;&gt;"Yes",0,IF(A976=2025,N('2025'!D87),IF(A976=2026,N('2026'!D87),IF(A976=2027,N('2027'!D87),IF(A976=2028,N('2028'!D87),IF(A976=2029,N('2029'!D87),IF(A976=2030,N('2030'!D87),IF(A976=2031,N('2031'!D87),IF(A976=2032,N('2032'!D87),IF(A976=2033,N('2033'!D87),IF(A976=2034,N('2034'!D87),IFERROR(N(INDIRECT("'"&amp;A976&amp;"'!D"&amp;G976)),0))))))))))))</f>
        <v>0</v>
      </c>
      <c r="M976" s="36">
        <f>IFERROR(IF(NOT(ISBLANK(KPI_TARGETS!$K$10)),KPI_TARGETS!$K$10,IF(NOT(ISBLANK(KPI_TARGETS!$F$10)),KPI_TARGETS!$F$10,"")),"")</f>
        <v>0</v>
      </c>
      <c r="N976" s="36" t="str">
        <f>IFERROR(KPI_TARGETS!$E$10,"Higher is better")</f>
        <v>Lower is better</v>
      </c>
      <c r="O976" s="37">
        <f t="shared" ca="1" si="90"/>
        <v>1</v>
      </c>
      <c r="P976" t="str">
        <f t="shared" ca="1" si="91"/>
        <v>Green</v>
      </c>
      <c r="Q976" s="36">
        <f t="shared" ca="1" si="92"/>
        <v>0</v>
      </c>
      <c r="R976" s="36" t="str">
        <f>""</f>
        <v/>
      </c>
      <c r="S976" s="36" t="str">
        <f>""</f>
        <v/>
      </c>
      <c r="T976" s="36" t="str">
        <f>""</f>
        <v/>
      </c>
      <c r="U976" s="36" t="str">
        <f>""</f>
        <v/>
      </c>
      <c r="V976" s="36" t="str">
        <f>""</f>
        <v/>
      </c>
      <c r="W976" s="36">
        <f t="shared" si="93"/>
        <v>1</v>
      </c>
      <c r="X976" t="str">
        <f t="shared" si="94"/>
        <v>Inactive</v>
      </c>
      <c r="Y976" t="str">
        <f>IF(MAIN!$H$3="Selected Year",IF(A976=MAIN!$B$3,"Yes","No"),IF(MAIN!$H$3="Included Years",IF(D976="Yes","Yes","No"),IF(C976="Yes","Yes","No")))</f>
        <v>No</v>
      </c>
      <c r="Z976" t="str">
        <f>IF(MAIN!$F$3="Project to Date",IF(AND(A976&gt;=SETTINGS!$B$4,A976&lt;MAIN!$B$3),"Yes",IF(AND(A976=MAIN!$B$3,E976&lt;=MAIN!$L$3),"Yes","No")),IF(OR(MAIN!$F$3="Full Year",MAIN!$D$3="All"),"Yes",IF(MAIN!$F$3="Monthly",IF(E976=MAIN!$L$3,"Yes","No"),IF(E976&lt;=MAIN!$L$3,"Yes","No"))))</f>
        <v>Yes</v>
      </c>
      <c r="AA976" t="str">
        <f t="shared" si="95"/>
        <v>No</v>
      </c>
    </row>
    <row r="977" spans="1:27" x14ac:dyDescent="0.3">
      <c r="A977">
        <f>INDEX(SETTINGS!$A$15:$A$24,$B977)</f>
        <v>2029</v>
      </c>
      <c r="B977">
        <v>5</v>
      </c>
      <c r="C977" t="str">
        <f>IF(AND(A977&gt;=SETTINGS!$B$4,A977&lt;=SETTINGS!$B$5),"Yes","No")</f>
        <v>No</v>
      </c>
      <c r="D977" t="str">
        <f>IFERROR(INDEX(SETTINGS!$C$15:$C$24,MATCH(A977,SETTINGS!$A$15:$A$24,0)),"No")</f>
        <v>No</v>
      </c>
      <c r="E977">
        <v>4</v>
      </c>
      <c r="F977" t="s">
        <v>37</v>
      </c>
      <c r="G977">
        <v>88</v>
      </c>
      <c r="H977" t="s">
        <v>100</v>
      </c>
      <c r="I977" t="s">
        <v>15</v>
      </c>
      <c r="J977" t="s">
        <v>19</v>
      </c>
      <c r="K977" t="s">
        <v>3</v>
      </c>
      <c r="L977" s="36">
        <f ca="1">IF(C977&lt;&gt;"Yes",0,IF(A977=2025,N('2025'!D88),IF(A977=2026,N('2026'!D88),IF(A977=2027,N('2027'!D88),IF(A977=2028,N('2028'!D88),IF(A977=2029,N('2029'!D88),IF(A977=2030,N('2030'!D88),IF(A977=2031,N('2031'!D88),IF(A977=2032,N('2032'!D88),IF(A977=2033,N('2033'!D88),IF(A977=2034,N('2034'!D88),IFERROR(N(INDIRECT("'"&amp;A977&amp;"'!D"&amp;G977)),0))))))))))))</f>
        <v>0</v>
      </c>
      <c r="M977" s="36">
        <f>IFERROR(IF(NOT(ISBLANK(KPI_TARGETS!$K$11)),KPI_TARGETS!$K$11,IF(NOT(ISBLANK(KPI_TARGETS!$F$11)),KPI_TARGETS!$F$11,"")),"")</f>
        <v>0</v>
      </c>
      <c r="N977" s="36" t="str">
        <f>IFERROR(KPI_TARGETS!$E$11,"Higher is better")</f>
        <v>Lower is better</v>
      </c>
      <c r="O977" s="37">
        <f t="shared" ca="1" si="90"/>
        <v>1</v>
      </c>
      <c r="P977" t="str">
        <f t="shared" ca="1" si="91"/>
        <v>Green</v>
      </c>
      <c r="Q977" s="36">
        <f t="shared" ca="1" si="92"/>
        <v>0</v>
      </c>
      <c r="R977" s="36" t="str">
        <f>""</f>
        <v/>
      </c>
      <c r="S977" s="36" t="str">
        <f>""</f>
        <v/>
      </c>
      <c r="T977" s="36" t="str">
        <f>""</f>
        <v/>
      </c>
      <c r="U977" s="36" t="str">
        <f>""</f>
        <v/>
      </c>
      <c r="V977" s="36" t="str">
        <f>""</f>
        <v/>
      </c>
      <c r="W977" s="36">
        <f t="shared" si="93"/>
        <v>1</v>
      </c>
      <c r="X977" t="str">
        <f t="shared" si="94"/>
        <v>Inactive</v>
      </c>
      <c r="Y977" t="str">
        <f>IF(MAIN!$H$3="Selected Year",IF(A977=MAIN!$B$3,"Yes","No"),IF(MAIN!$H$3="Included Years",IF(D977="Yes","Yes","No"),IF(C977="Yes","Yes","No")))</f>
        <v>No</v>
      </c>
      <c r="Z977" t="str">
        <f>IF(MAIN!$F$3="Project to Date",IF(AND(A977&gt;=SETTINGS!$B$4,A977&lt;MAIN!$B$3),"Yes",IF(AND(A977=MAIN!$B$3,E977&lt;=MAIN!$L$3),"Yes","No")),IF(OR(MAIN!$F$3="Full Year",MAIN!$D$3="All"),"Yes",IF(MAIN!$F$3="Monthly",IF(E977=MAIN!$L$3,"Yes","No"),IF(E977&lt;=MAIN!$L$3,"Yes","No"))))</f>
        <v>Yes</v>
      </c>
      <c r="AA977" t="str">
        <f t="shared" si="95"/>
        <v>No</v>
      </c>
    </row>
    <row r="978" spans="1:27" x14ac:dyDescent="0.3">
      <c r="A978">
        <f>INDEX(SETTINGS!$A$15:$A$24,$B978)</f>
        <v>2029</v>
      </c>
      <c r="B978">
        <v>5</v>
      </c>
      <c r="C978" t="str">
        <f>IF(AND(A978&gt;=SETTINGS!$B$4,A978&lt;=SETTINGS!$B$5),"Yes","No")</f>
        <v>No</v>
      </c>
      <c r="D978" t="str">
        <f>IFERROR(INDEX(SETTINGS!$C$15:$C$24,MATCH(A978,SETTINGS!$A$15:$A$24,0)),"No")</f>
        <v>No</v>
      </c>
      <c r="E978">
        <v>4</v>
      </c>
      <c r="F978" t="s">
        <v>37</v>
      </c>
      <c r="G978">
        <v>89</v>
      </c>
      <c r="H978" t="s">
        <v>101</v>
      </c>
      <c r="I978" t="s">
        <v>15</v>
      </c>
      <c r="J978" t="s">
        <v>20</v>
      </c>
      <c r="K978" t="s">
        <v>3</v>
      </c>
      <c r="L978" s="36">
        <f ca="1">IF(C978&lt;&gt;"Yes",0,IF(A978=2025,N('2025'!D89),IF(A978=2026,N('2026'!D89),IF(A978=2027,N('2027'!D89),IF(A978=2028,N('2028'!D89),IF(A978=2029,N('2029'!D89),IF(A978=2030,N('2030'!D89),IF(A978=2031,N('2031'!D89),IF(A978=2032,N('2032'!D89),IF(A978=2033,N('2033'!D89),IF(A978=2034,N('2034'!D89),IFERROR(N(INDIRECT("'"&amp;A978&amp;"'!D"&amp;G978)),0))))))))))))</f>
        <v>0</v>
      </c>
      <c r="M978" s="36">
        <f>IFERROR(IF(NOT(ISBLANK(KPI_TARGETS!$K$12)),KPI_TARGETS!$K$12,IF(NOT(ISBLANK(KPI_TARGETS!$F$12)),KPI_TARGETS!$F$12,"")),"")</f>
        <v>0</v>
      </c>
      <c r="N978" s="36" t="str">
        <f>IFERROR(KPI_TARGETS!$E$12,"Higher is better")</f>
        <v>Lower is better</v>
      </c>
      <c r="O978" s="37">
        <f t="shared" ca="1" si="90"/>
        <v>1</v>
      </c>
      <c r="P978" t="str">
        <f t="shared" ca="1" si="91"/>
        <v>Green</v>
      </c>
      <c r="Q978" s="36">
        <f t="shared" ca="1" si="92"/>
        <v>0</v>
      </c>
      <c r="R978" s="36" t="str">
        <f>""</f>
        <v/>
      </c>
      <c r="S978" s="36" t="str">
        <f>""</f>
        <v/>
      </c>
      <c r="T978" s="36" t="str">
        <f>""</f>
        <v/>
      </c>
      <c r="U978" s="36" t="str">
        <f>""</f>
        <v/>
      </c>
      <c r="V978" s="36" t="str">
        <f>""</f>
        <v/>
      </c>
      <c r="W978" s="36">
        <f t="shared" si="93"/>
        <v>1</v>
      </c>
      <c r="X978" t="str">
        <f t="shared" si="94"/>
        <v>Inactive</v>
      </c>
      <c r="Y978" t="str">
        <f>IF(MAIN!$H$3="Selected Year",IF(A978=MAIN!$B$3,"Yes","No"),IF(MAIN!$H$3="Included Years",IF(D978="Yes","Yes","No"),IF(C978="Yes","Yes","No")))</f>
        <v>No</v>
      </c>
      <c r="Z978" t="str">
        <f>IF(MAIN!$F$3="Project to Date",IF(AND(A978&gt;=SETTINGS!$B$4,A978&lt;MAIN!$B$3),"Yes",IF(AND(A978=MAIN!$B$3,E978&lt;=MAIN!$L$3),"Yes","No")),IF(OR(MAIN!$F$3="Full Year",MAIN!$D$3="All"),"Yes",IF(MAIN!$F$3="Monthly",IF(E978=MAIN!$L$3,"Yes","No"),IF(E978&lt;=MAIN!$L$3,"Yes","No"))))</f>
        <v>Yes</v>
      </c>
      <c r="AA978" t="str">
        <f t="shared" si="95"/>
        <v>No</v>
      </c>
    </row>
    <row r="979" spans="1:27" x14ac:dyDescent="0.3">
      <c r="A979">
        <f>INDEX(SETTINGS!$A$15:$A$24,$B979)</f>
        <v>2029</v>
      </c>
      <c r="B979">
        <v>5</v>
      </c>
      <c r="C979" t="str">
        <f>IF(AND(A979&gt;=SETTINGS!$B$4,A979&lt;=SETTINGS!$B$5),"Yes","No")</f>
        <v>No</v>
      </c>
      <c r="D979" t="str">
        <f>IFERROR(INDEX(SETTINGS!$C$15:$C$24,MATCH(A979,SETTINGS!$A$15:$A$24,0)),"No")</f>
        <v>No</v>
      </c>
      <c r="E979">
        <v>4</v>
      </c>
      <c r="F979" t="s">
        <v>37</v>
      </c>
      <c r="G979">
        <v>90</v>
      </c>
      <c r="H979" t="s">
        <v>102</v>
      </c>
      <c r="I979" t="s">
        <v>15</v>
      </c>
      <c r="J979" t="s">
        <v>21</v>
      </c>
      <c r="K979" t="s">
        <v>3</v>
      </c>
      <c r="L979" s="36">
        <f ca="1">IF(C979&lt;&gt;"Yes",0,IF(A979=2025,N('2025'!D90),IF(A979=2026,N('2026'!D90),IF(A979=2027,N('2027'!D90),IF(A979=2028,N('2028'!D90),IF(A979=2029,N('2029'!D90),IF(A979=2030,N('2030'!D90),IF(A979=2031,N('2031'!D90),IF(A979=2032,N('2032'!D90),IF(A979=2033,N('2033'!D90),IF(A979=2034,N('2034'!D90),IFERROR(N(INDIRECT("'"&amp;A979&amp;"'!D"&amp;G979)),0))))))))))))</f>
        <v>0</v>
      </c>
      <c r="M979" s="36">
        <f>IFERROR(IF(NOT(ISBLANK(KPI_TARGETS!$K$13)),KPI_TARGETS!$K$13,IF(NOT(ISBLANK(KPI_TARGETS!$F$13)),KPI_TARGETS!$F$13,"")),"")</f>
        <v>0</v>
      </c>
      <c r="N979" s="36" t="str">
        <f>IFERROR(KPI_TARGETS!$E$13,"Higher is better")</f>
        <v>Lower is better</v>
      </c>
      <c r="O979" s="37">
        <f t="shared" ca="1" si="90"/>
        <v>1</v>
      </c>
      <c r="P979" t="str">
        <f t="shared" ca="1" si="91"/>
        <v>Green</v>
      </c>
      <c r="Q979" s="36">
        <f t="shared" ca="1" si="92"/>
        <v>0</v>
      </c>
      <c r="R979" s="36" t="str">
        <f>""</f>
        <v/>
      </c>
      <c r="S979" s="36" t="str">
        <f>""</f>
        <v/>
      </c>
      <c r="T979" s="36" t="str">
        <f>""</f>
        <v/>
      </c>
      <c r="U979" s="36" t="str">
        <f>""</f>
        <v/>
      </c>
      <c r="V979" s="36" t="str">
        <f>""</f>
        <v/>
      </c>
      <c r="W979" s="36">
        <f t="shared" si="93"/>
        <v>1</v>
      </c>
      <c r="X979" t="str">
        <f t="shared" si="94"/>
        <v>Inactive</v>
      </c>
      <c r="Y979" t="str">
        <f>IF(MAIN!$H$3="Selected Year",IF(A979=MAIN!$B$3,"Yes","No"),IF(MAIN!$H$3="Included Years",IF(D979="Yes","Yes","No"),IF(C979="Yes","Yes","No")))</f>
        <v>No</v>
      </c>
      <c r="Z979" t="str">
        <f>IF(MAIN!$F$3="Project to Date",IF(AND(A979&gt;=SETTINGS!$B$4,A979&lt;MAIN!$B$3),"Yes",IF(AND(A979=MAIN!$B$3,E979&lt;=MAIN!$L$3),"Yes","No")),IF(OR(MAIN!$F$3="Full Year",MAIN!$D$3="All"),"Yes",IF(MAIN!$F$3="Monthly",IF(E979=MAIN!$L$3,"Yes","No"),IF(E979&lt;=MAIN!$L$3,"Yes","No"))))</f>
        <v>Yes</v>
      </c>
      <c r="AA979" t="str">
        <f t="shared" si="95"/>
        <v>No</v>
      </c>
    </row>
    <row r="980" spans="1:27" x14ac:dyDescent="0.3">
      <c r="A980">
        <f>INDEX(SETTINGS!$A$15:$A$24,$B980)</f>
        <v>2029</v>
      </c>
      <c r="B980">
        <v>5</v>
      </c>
      <c r="C980" t="str">
        <f>IF(AND(A980&gt;=SETTINGS!$B$4,A980&lt;=SETTINGS!$B$5),"Yes","No")</f>
        <v>No</v>
      </c>
      <c r="D980" t="str">
        <f>IFERROR(INDEX(SETTINGS!$C$15:$C$24,MATCH(A980,SETTINGS!$A$15:$A$24,0)),"No")</f>
        <v>No</v>
      </c>
      <c r="E980">
        <v>4</v>
      </c>
      <c r="F980" t="s">
        <v>37</v>
      </c>
      <c r="G980">
        <v>92</v>
      </c>
      <c r="H980" t="s">
        <v>103</v>
      </c>
      <c r="I980" t="s">
        <v>22</v>
      </c>
      <c r="J980" t="s">
        <v>23</v>
      </c>
      <c r="K980" t="s">
        <v>3</v>
      </c>
      <c r="L980" s="36">
        <f ca="1">IF(C980&lt;&gt;"Yes",0,IF(A980=2025,N('2025'!D92),IF(A980=2026,N('2026'!D92),IF(A980=2027,N('2027'!D92),IF(A980=2028,N('2028'!D92),IF(A980=2029,N('2029'!D92),IF(A980=2030,N('2030'!D92),IF(A980=2031,N('2031'!D92),IF(A980=2032,N('2032'!D92),IF(A980=2033,N('2033'!D92),IF(A980=2034,N('2034'!D92),IFERROR(N(INDIRECT("'"&amp;A980&amp;"'!D"&amp;G980)),0))))))))))))</f>
        <v>0</v>
      </c>
      <c r="M980" s="36">
        <f>IFERROR(IF(NOT(ISBLANK(KPI_TARGETS!$K$14)),KPI_TARGETS!$K$14,IF(NOT(ISBLANK(KPI_TARGETS!$F$14)),KPI_TARGETS!$F$14,"")),"")</f>
        <v>35</v>
      </c>
      <c r="N980" s="36" t="str">
        <f>IFERROR(KPI_TARGETS!$E$14,"Higher is better")</f>
        <v>Higher is better</v>
      </c>
      <c r="O980" s="37">
        <f t="shared" ca="1" si="90"/>
        <v>0</v>
      </c>
      <c r="P980" t="str">
        <f t="shared" ca="1" si="91"/>
        <v>Red</v>
      </c>
      <c r="Q980" s="36">
        <f t="shared" ca="1" si="92"/>
        <v>-35</v>
      </c>
      <c r="R980" s="36" t="str">
        <f>""</f>
        <v/>
      </c>
      <c r="S980" s="36" t="str">
        <f>""</f>
        <v/>
      </c>
      <c r="T980" s="36" t="str">
        <f>""</f>
        <v/>
      </c>
      <c r="U980" s="36" t="str">
        <f>""</f>
        <v/>
      </c>
      <c r="V980" s="36" t="str">
        <f>""</f>
        <v/>
      </c>
      <c r="W980" s="36">
        <f t="shared" si="93"/>
        <v>1</v>
      </c>
      <c r="X980" t="str">
        <f t="shared" si="94"/>
        <v>Inactive</v>
      </c>
      <c r="Y980" t="str">
        <f>IF(MAIN!$H$3="Selected Year",IF(A980=MAIN!$B$3,"Yes","No"),IF(MAIN!$H$3="Included Years",IF(D980="Yes","Yes","No"),IF(C980="Yes","Yes","No")))</f>
        <v>No</v>
      </c>
      <c r="Z980" t="str">
        <f>IF(MAIN!$F$3="Project to Date",IF(AND(A980&gt;=SETTINGS!$B$4,A980&lt;MAIN!$B$3),"Yes",IF(AND(A980=MAIN!$B$3,E980&lt;=MAIN!$L$3),"Yes","No")),IF(OR(MAIN!$F$3="Full Year",MAIN!$D$3="All"),"Yes",IF(MAIN!$F$3="Monthly",IF(E980=MAIN!$L$3,"Yes","No"),IF(E980&lt;=MAIN!$L$3,"Yes","No"))))</f>
        <v>Yes</v>
      </c>
      <c r="AA980" t="str">
        <f t="shared" si="95"/>
        <v>No</v>
      </c>
    </row>
    <row r="981" spans="1:27" x14ac:dyDescent="0.3">
      <c r="A981">
        <f>INDEX(SETTINGS!$A$15:$A$24,$B981)</f>
        <v>2029</v>
      </c>
      <c r="B981">
        <v>5</v>
      </c>
      <c r="C981" t="str">
        <f>IF(AND(A981&gt;=SETTINGS!$B$4,A981&lt;=SETTINGS!$B$5),"Yes","No")</f>
        <v>No</v>
      </c>
      <c r="D981" t="str">
        <f>IFERROR(INDEX(SETTINGS!$C$15:$C$24,MATCH(A981,SETTINGS!$A$15:$A$24,0)),"No")</f>
        <v>No</v>
      </c>
      <c r="E981">
        <v>4</v>
      </c>
      <c r="F981" t="s">
        <v>37</v>
      </c>
      <c r="G981">
        <v>93</v>
      </c>
      <c r="H981" t="s">
        <v>104</v>
      </c>
      <c r="I981" t="s">
        <v>22</v>
      </c>
      <c r="J981" t="s">
        <v>24</v>
      </c>
      <c r="K981" t="s">
        <v>3</v>
      </c>
      <c r="L981" s="36">
        <f ca="1">IF(C981&lt;&gt;"Yes",0,IF(A981=2025,N('2025'!D93),IF(A981=2026,N('2026'!D93),IF(A981=2027,N('2027'!D93),IF(A981=2028,N('2028'!D93),IF(A981=2029,N('2029'!D93),IF(A981=2030,N('2030'!D93),IF(A981=2031,N('2031'!D93),IF(A981=2032,N('2032'!D93),IF(A981=2033,N('2033'!D93),IF(A981=2034,N('2034'!D93),IFERROR(N(INDIRECT("'"&amp;A981&amp;"'!D"&amp;G981)),0))))))))))))</f>
        <v>0</v>
      </c>
      <c r="M981" s="36">
        <f>IFERROR(IF(NOT(ISBLANK(KPI_TARGETS!$K$15)),KPI_TARGETS!$K$15,IF(NOT(ISBLANK(KPI_TARGETS!$F$15)),KPI_TARGETS!$F$15,"")),"")</f>
        <v>5</v>
      </c>
      <c r="N981" s="36" t="str">
        <f>IFERROR(KPI_TARGETS!$E$15,"Higher is better")</f>
        <v>Higher is better</v>
      </c>
      <c r="O981" s="37">
        <f t="shared" ca="1" si="90"/>
        <v>0</v>
      </c>
      <c r="P981" t="str">
        <f t="shared" ca="1" si="91"/>
        <v>Red</v>
      </c>
      <c r="Q981" s="36">
        <f t="shared" ca="1" si="92"/>
        <v>-5</v>
      </c>
      <c r="R981" s="36" t="str">
        <f>""</f>
        <v/>
      </c>
      <c r="S981" s="36" t="str">
        <f>""</f>
        <v/>
      </c>
      <c r="T981" s="36" t="str">
        <f>""</f>
        <v/>
      </c>
      <c r="U981" s="36" t="str">
        <f>""</f>
        <v/>
      </c>
      <c r="V981" s="36" t="str">
        <f>""</f>
        <v/>
      </c>
      <c r="W981" s="36">
        <f t="shared" si="93"/>
        <v>1</v>
      </c>
      <c r="X981" t="str">
        <f t="shared" si="94"/>
        <v>Inactive</v>
      </c>
      <c r="Y981" t="str">
        <f>IF(MAIN!$H$3="Selected Year",IF(A981=MAIN!$B$3,"Yes","No"),IF(MAIN!$H$3="Included Years",IF(D981="Yes","Yes","No"),IF(C981="Yes","Yes","No")))</f>
        <v>No</v>
      </c>
      <c r="Z981" t="str">
        <f>IF(MAIN!$F$3="Project to Date",IF(AND(A981&gt;=SETTINGS!$B$4,A981&lt;MAIN!$B$3),"Yes",IF(AND(A981=MAIN!$B$3,E981&lt;=MAIN!$L$3),"Yes","No")),IF(OR(MAIN!$F$3="Full Year",MAIN!$D$3="All"),"Yes",IF(MAIN!$F$3="Monthly",IF(E981=MAIN!$L$3,"Yes","No"),IF(E981&lt;=MAIN!$L$3,"Yes","No"))))</f>
        <v>Yes</v>
      </c>
      <c r="AA981" t="str">
        <f t="shared" si="95"/>
        <v>No</v>
      </c>
    </row>
    <row r="982" spans="1:27" x14ac:dyDescent="0.3">
      <c r="A982">
        <f>INDEX(SETTINGS!$A$15:$A$24,$B982)</f>
        <v>2029</v>
      </c>
      <c r="B982">
        <v>5</v>
      </c>
      <c r="C982" t="str">
        <f>IF(AND(A982&gt;=SETTINGS!$B$4,A982&lt;=SETTINGS!$B$5),"Yes","No")</f>
        <v>No</v>
      </c>
      <c r="D982" t="str">
        <f>IFERROR(INDEX(SETTINGS!$C$15:$C$24,MATCH(A982,SETTINGS!$A$15:$A$24,0)),"No")</f>
        <v>No</v>
      </c>
      <c r="E982">
        <v>4</v>
      </c>
      <c r="F982" t="s">
        <v>37</v>
      </c>
      <c r="G982">
        <v>94</v>
      </c>
      <c r="H982" t="s">
        <v>105</v>
      </c>
      <c r="I982" t="s">
        <v>22</v>
      </c>
      <c r="J982" t="s">
        <v>25</v>
      </c>
      <c r="K982" t="s">
        <v>3</v>
      </c>
      <c r="L982" s="36">
        <f ca="1">IF(C982&lt;&gt;"Yes",0,IF(A982=2025,N('2025'!D94),IF(A982=2026,N('2026'!D94),IF(A982=2027,N('2027'!D94),IF(A982=2028,N('2028'!D94),IF(A982=2029,N('2029'!D94),IF(A982=2030,N('2030'!D94),IF(A982=2031,N('2031'!D94),IF(A982=2032,N('2032'!D94),IF(A982=2033,N('2033'!D94),IF(A982=2034,N('2034'!D94),IFERROR(N(INDIRECT("'"&amp;A982&amp;"'!D"&amp;G982)),0))))))))))))</f>
        <v>0</v>
      </c>
      <c r="M982" s="36">
        <f>IFERROR(IF(NOT(ISBLANK(KPI_TARGETS!$K$16)),KPI_TARGETS!$K$16,IF(NOT(ISBLANK(KPI_TARGETS!$F$16)),KPI_TARGETS!$F$16,"")),"")</f>
        <v>4</v>
      </c>
      <c r="N982" s="36" t="str">
        <f>IFERROR(KPI_TARGETS!$E$16,"Higher is better")</f>
        <v>Higher is better</v>
      </c>
      <c r="O982" s="37">
        <f t="shared" ca="1" si="90"/>
        <v>0</v>
      </c>
      <c r="P982" t="str">
        <f t="shared" ca="1" si="91"/>
        <v>Red</v>
      </c>
      <c r="Q982" s="36">
        <f t="shared" ca="1" si="92"/>
        <v>-4</v>
      </c>
      <c r="R982" s="36" t="str">
        <f>""</f>
        <v/>
      </c>
      <c r="S982" s="36" t="str">
        <f>""</f>
        <v/>
      </c>
      <c r="T982" s="36" t="str">
        <f>""</f>
        <v/>
      </c>
      <c r="U982" s="36" t="str">
        <f>""</f>
        <v/>
      </c>
      <c r="V982" s="36" t="str">
        <f>""</f>
        <v/>
      </c>
      <c r="W982" s="36">
        <f t="shared" si="93"/>
        <v>1</v>
      </c>
      <c r="X982" t="str">
        <f t="shared" si="94"/>
        <v>Inactive</v>
      </c>
      <c r="Y982" t="str">
        <f>IF(MAIN!$H$3="Selected Year",IF(A982=MAIN!$B$3,"Yes","No"),IF(MAIN!$H$3="Included Years",IF(D982="Yes","Yes","No"),IF(C982="Yes","Yes","No")))</f>
        <v>No</v>
      </c>
      <c r="Z982" t="str">
        <f>IF(MAIN!$F$3="Project to Date",IF(AND(A982&gt;=SETTINGS!$B$4,A982&lt;MAIN!$B$3),"Yes",IF(AND(A982=MAIN!$B$3,E982&lt;=MAIN!$L$3),"Yes","No")),IF(OR(MAIN!$F$3="Full Year",MAIN!$D$3="All"),"Yes",IF(MAIN!$F$3="Monthly",IF(E982=MAIN!$L$3,"Yes","No"),IF(E982&lt;=MAIN!$L$3,"Yes","No"))))</f>
        <v>Yes</v>
      </c>
      <c r="AA982" t="str">
        <f t="shared" si="95"/>
        <v>No</v>
      </c>
    </row>
    <row r="983" spans="1:27" x14ac:dyDescent="0.3">
      <c r="A983">
        <f>INDEX(SETTINGS!$A$15:$A$24,$B983)</f>
        <v>2029</v>
      </c>
      <c r="B983">
        <v>5</v>
      </c>
      <c r="C983" t="str">
        <f>IF(AND(A983&gt;=SETTINGS!$B$4,A983&lt;=SETTINGS!$B$5),"Yes","No")</f>
        <v>No</v>
      </c>
      <c r="D983" t="str">
        <f>IFERROR(INDEX(SETTINGS!$C$15:$C$24,MATCH(A983,SETTINGS!$A$15:$A$24,0)),"No")</f>
        <v>No</v>
      </c>
      <c r="E983">
        <v>4</v>
      </c>
      <c r="F983" t="s">
        <v>37</v>
      </c>
      <c r="G983">
        <v>95</v>
      </c>
      <c r="H983" t="s">
        <v>106</v>
      </c>
      <c r="I983" t="s">
        <v>22</v>
      </c>
      <c r="J983" t="s">
        <v>26</v>
      </c>
      <c r="K983" t="s">
        <v>3</v>
      </c>
      <c r="L983" s="36">
        <f ca="1">IF(C983&lt;&gt;"Yes",0,IF(A983=2025,N('2025'!D95),IF(A983=2026,N('2026'!D95),IF(A983=2027,N('2027'!D95),IF(A983=2028,N('2028'!D95),IF(A983=2029,N('2029'!D95),IF(A983=2030,N('2030'!D95),IF(A983=2031,N('2031'!D95),IF(A983=2032,N('2032'!D95),IF(A983=2033,N('2033'!D95),IF(A983=2034,N('2034'!D95),IFERROR(N(INDIRECT("'"&amp;A983&amp;"'!D"&amp;G983)),0))))))))))))</f>
        <v>0</v>
      </c>
      <c r="M983" s="36">
        <f>IFERROR(IF(NOT(ISBLANK(KPI_TARGETS!$K$17)),KPI_TARGETS!$K$17,IF(NOT(ISBLANK(KPI_TARGETS!$F$17)),KPI_TARGETS!$F$17,"")),"")</f>
        <v>12</v>
      </c>
      <c r="N983" s="36" t="str">
        <f>IFERROR(KPI_TARGETS!$E$17,"Higher is better")</f>
        <v>Higher is better</v>
      </c>
      <c r="O983" s="37">
        <f t="shared" ca="1" si="90"/>
        <v>0</v>
      </c>
      <c r="P983" t="str">
        <f t="shared" ca="1" si="91"/>
        <v>Red</v>
      </c>
      <c r="Q983" s="36">
        <f t="shared" ca="1" si="92"/>
        <v>-12</v>
      </c>
      <c r="R983" s="36" t="str">
        <f>""</f>
        <v/>
      </c>
      <c r="S983" s="36" t="str">
        <f>""</f>
        <v/>
      </c>
      <c r="T983" s="36" t="str">
        <f>""</f>
        <v/>
      </c>
      <c r="U983" s="36" t="str">
        <f>""</f>
        <v/>
      </c>
      <c r="V983" s="36" t="str">
        <f>""</f>
        <v/>
      </c>
      <c r="W983" s="36">
        <f t="shared" si="93"/>
        <v>1</v>
      </c>
      <c r="X983" t="str">
        <f t="shared" si="94"/>
        <v>Inactive</v>
      </c>
      <c r="Y983" t="str">
        <f>IF(MAIN!$H$3="Selected Year",IF(A983=MAIN!$B$3,"Yes","No"),IF(MAIN!$H$3="Included Years",IF(D983="Yes","Yes","No"),IF(C983="Yes","Yes","No")))</f>
        <v>No</v>
      </c>
      <c r="Z983" t="str">
        <f>IF(MAIN!$F$3="Project to Date",IF(AND(A983&gt;=SETTINGS!$B$4,A983&lt;MAIN!$B$3),"Yes",IF(AND(A983=MAIN!$B$3,E983&lt;=MAIN!$L$3),"Yes","No")),IF(OR(MAIN!$F$3="Full Year",MAIN!$D$3="All"),"Yes",IF(MAIN!$F$3="Monthly",IF(E983=MAIN!$L$3,"Yes","No"),IF(E983&lt;=MAIN!$L$3,"Yes","No"))))</f>
        <v>Yes</v>
      </c>
      <c r="AA983" t="str">
        <f t="shared" si="95"/>
        <v>No</v>
      </c>
    </row>
    <row r="984" spans="1:27" x14ac:dyDescent="0.3">
      <c r="A984">
        <f>INDEX(SETTINGS!$A$15:$A$24,$B984)</f>
        <v>2029</v>
      </c>
      <c r="B984">
        <v>5</v>
      </c>
      <c r="C984" t="str">
        <f>IF(AND(A984&gt;=SETTINGS!$B$4,A984&lt;=SETTINGS!$B$5),"Yes","No")</f>
        <v>No</v>
      </c>
      <c r="D984" t="str">
        <f>IFERROR(INDEX(SETTINGS!$C$15:$C$24,MATCH(A984,SETTINGS!$A$15:$A$24,0)),"No")</f>
        <v>No</v>
      </c>
      <c r="E984">
        <v>4</v>
      </c>
      <c r="F984" t="s">
        <v>37</v>
      </c>
      <c r="G984">
        <v>96</v>
      </c>
      <c r="H984" t="s">
        <v>107</v>
      </c>
      <c r="I984" t="s">
        <v>22</v>
      </c>
      <c r="J984" t="s">
        <v>27</v>
      </c>
      <c r="K984" t="s">
        <v>3</v>
      </c>
      <c r="L984" s="36">
        <f ca="1">IF(C984&lt;&gt;"Yes",0,IF(A984=2025,N('2025'!D96),IF(A984=2026,N('2026'!D96),IF(A984=2027,N('2027'!D96),IF(A984=2028,N('2028'!D96),IF(A984=2029,N('2029'!D96),IF(A984=2030,N('2030'!D96),IF(A984=2031,N('2031'!D96),IF(A984=2032,N('2032'!D96),IF(A984=2033,N('2033'!D96),IF(A984=2034,N('2034'!D96),IFERROR(N(INDIRECT("'"&amp;A984&amp;"'!D"&amp;G984)),0))))))))))))</f>
        <v>0</v>
      </c>
      <c r="M984" s="36">
        <f>IFERROR(IF(NOT(ISBLANK(KPI_TARGETS!$K$18)),KPI_TARGETS!$K$18,IF(NOT(ISBLANK(KPI_TARGETS!$F$18)),KPI_TARGETS!$F$18,"")),"")</f>
        <v>4</v>
      </c>
      <c r="N984" s="36" t="str">
        <f>IFERROR(KPI_TARGETS!$E$18,"Higher is better")</f>
        <v>Higher is better</v>
      </c>
      <c r="O984" s="37">
        <f t="shared" ca="1" si="90"/>
        <v>0</v>
      </c>
      <c r="P984" t="str">
        <f t="shared" ca="1" si="91"/>
        <v>Red</v>
      </c>
      <c r="Q984" s="36">
        <f t="shared" ca="1" si="92"/>
        <v>-4</v>
      </c>
      <c r="R984" s="36" t="str">
        <f>""</f>
        <v/>
      </c>
      <c r="S984" s="36" t="str">
        <f>""</f>
        <v/>
      </c>
      <c r="T984" s="36" t="str">
        <f>""</f>
        <v/>
      </c>
      <c r="U984" s="36" t="str">
        <f>""</f>
        <v/>
      </c>
      <c r="V984" s="36" t="str">
        <f>""</f>
        <v/>
      </c>
      <c r="W984" s="36">
        <f t="shared" si="93"/>
        <v>1</v>
      </c>
      <c r="X984" t="str">
        <f t="shared" si="94"/>
        <v>Inactive</v>
      </c>
      <c r="Y984" t="str">
        <f>IF(MAIN!$H$3="Selected Year",IF(A984=MAIN!$B$3,"Yes","No"),IF(MAIN!$H$3="Included Years",IF(D984="Yes","Yes","No"),IF(C984="Yes","Yes","No")))</f>
        <v>No</v>
      </c>
      <c r="Z984" t="str">
        <f>IF(MAIN!$F$3="Project to Date",IF(AND(A984&gt;=SETTINGS!$B$4,A984&lt;MAIN!$B$3),"Yes",IF(AND(A984=MAIN!$B$3,E984&lt;=MAIN!$L$3),"Yes","No")),IF(OR(MAIN!$F$3="Full Year",MAIN!$D$3="All"),"Yes",IF(MAIN!$F$3="Monthly",IF(E984=MAIN!$L$3,"Yes","No"),IF(E984&lt;=MAIN!$L$3,"Yes","No"))))</f>
        <v>Yes</v>
      </c>
      <c r="AA984" t="str">
        <f t="shared" si="95"/>
        <v>No</v>
      </c>
    </row>
    <row r="985" spans="1:27" x14ac:dyDescent="0.3">
      <c r="A985">
        <f>INDEX(SETTINGS!$A$15:$A$24,$B985)</f>
        <v>2029</v>
      </c>
      <c r="B985">
        <v>5</v>
      </c>
      <c r="C985" t="str">
        <f>IF(AND(A985&gt;=SETTINGS!$B$4,A985&lt;=SETTINGS!$B$5),"Yes","No")</f>
        <v>No</v>
      </c>
      <c r="D985" t="str">
        <f>IFERROR(INDEX(SETTINGS!$C$15:$C$24,MATCH(A985,SETTINGS!$A$15:$A$24,0)),"No")</f>
        <v>No</v>
      </c>
      <c r="E985">
        <v>4</v>
      </c>
      <c r="F985" t="s">
        <v>37</v>
      </c>
      <c r="G985">
        <v>97</v>
      </c>
      <c r="H985" t="s">
        <v>108</v>
      </c>
      <c r="I985" t="s">
        <v>22</v>
      </c>
      <c r="J985" t="s">
        <v>28</v>
      </c>
      <c r="K985" t="s">
        <v>3</v>
      </c>
      <c r="L985" s="36">
        <f ca="1">IF(C985&lt;&gt;"Yes",0,IF(A985=2025,N('2025'!D97),IF(A985=2026,N('2026'!D97),IF(A985=2027,N('2027'!D97),IF(A985=2028,N('2028'!D97),IF(A985=2029,N('2029'!D97),IF(A985=2030,N('2030'!D97),IF(A985=2031,N('2031'!D97),IF(A985=2032,N('2032'!D97),IF(A985=2033,N('2033'!D97),IF(A985=2034,N('2034'!D97),IFERROR(N(INDIRECT("'"&amp;A985&amp;"'!D"&amp;G985)),0))))))))))))</f>
        <v>0</v>
      </c>
      <c r="M985" s="36">
        <f>IFERROR(IF(NOT(ISBLANK(KPI_TARGETS!$K$19)),KPI_TARGETS!$K$19,IF(NOT(ISBLANK(KPI_TARGETS!$F$19)),KPI_TARGETS!$F$19,"")),"")</f>
        <v>16</v>
      </c>
      <c r="N985" s="36" t="str">
        <f>IFERROR(KPI_TARGETS!$E$19,"Higher is better")</f>
        <v>Higher is better</v>
      </c>
      <c r="O985" s="37">
        <f t="shared" ca="1" si="90"/>
        <v>0</v>
      </c>
      <c r="P985" t="str">
        <f t="shared" ca="1" si="91"/>
        <v>Red</v>
      </c>
      <c r="Q985" s="36">
        <f t="shared" ca="1" si="92"/>
        <v>-16</v>
      </c>
      <c r="R985" s="36" t="str">
        <f>""</f>
        <v/>
      </c>
      <c r="S985" s="36" t="str">
        <f>""</f>
        <v/>
      </c>
      <c r="T985" s="36" t="str">
        <f>""</f>
        <v/>
      </c>
      <c r="U985" s="36" t="str">
        <f>""</f>
        <v/>
      </c>
      <c r="V985" s="36" t="str">
        <f>""</f>
        <v/>
      </c>
      <c r="W985" s="36">
        <f t="shared" si="93"/>
        <v>1</v>
      </c>
      <c r="X985" t="str">
        <f t="shared" si="94"/>
        <v>Inactive</v>
      </c>
      <c r="Y985" t="str">
        <f>IF(MAIN!$H$3="Selected Year",IF(A985=MAIN!$B$3,"Yes","No"),IF(MAIN!$H$3="Included Years",IF(D985="Yes","Yes","No"),IF(C985="Yes","Yes","No")))</f>
        <v>No</v>
      </c>
      <c r="Z985" t="str">
        <f>IF(MAIN!$F$3="Project to Date",IF(AND(A985&gt;=SETTINGS!$B$4,A985&lt;MAIN!$B$3),"Yes",IF(AND(A985=MAIN!$B$3,E985&lt;=MAIN!$L$3),"Yes","No")),IF(OR(MAIN!$F$3="Full Year",MAIN!$D$3="All"),"Yes",IF(MAIN!$F$3="Monthly",IF(E985=MAIN!$L$3,"Yes","No"),IF(E985&lt;=MAIN!$L$3,"Yes","No"))))</f>
        <v>Yes</v>
      </c>
      <c r="AA985" t="str">
        <f t="shared" si="95"/>
        <v>No</v>
      </c>
    </row>
    <row r="986" spans="1:27" x14ac:dyDescent="0.3">
      <c r="A986">
        <f>INDEX(SETTINGS!$A$15:$A$24,$B986)</f>
        <v>2029</v>
      </c>
      <c r="B986">
        <v>5</v>
      </c>
      <c r="C986" t="str">
        <f>IF(AND(A986&gt;=SETTINGS!$B$4,A986&lt;=SETTINGS!$B$5),"Yes","No")</f>
        <v>No</v>
      </c>
      <c r="D986" t="str">
        <f>IFERROR(INDEX(SETTINGS!$C$15:$C$24,MATCH(A986,SETTINGS!$A$15:$A$24,0)),"No")</f>
        <v>No</v>
      </c>
      <c r="E986">
        <v>4</v>
      </c>
      <c r="F986" t="s">
        <v>37</v>
      </c>
      <c r="G986">
        <v>98</v>
      </c>
      <c r="H986" t="s">
        <v>109</v>
      </c>
      <c r="I986" t="s">
        <v>22</v>
      </c>
      <c r="J986" t="s">
        <v>29</v>
      </c>
      <c r="K986" t="s">
        <v>3</v>
      </c>
      <c r="L986" s="36">
        <f ca="1">IF(C986&lt;&gt;"Yes",0,IF(A986=2025,N('2025'!D98),IF(A986=2026,N('2026'!D98),IF(A986=2027,N('2027'!D98),IF(A986=2028,N('2028'!D98),IF(A986=2029,N('2029'!D98),IF(A986=2030,N('2030'!D98),IF(A986=2031,N('2031'!D98),IF(A986=2032,N('2032'!D98),IF(A986=2033,N('2033'!D98),IF(A986=2034,N('2034'!D98),IFERROR(N(INDIRECT("'"&amp;A986&amp;"'!D"&amp;G986)),0))))))))))))</f>
        <v>0</v>
      </c>
      <c r="M986" s="36">
        <f>IFERROR(IF(NOT(ISBLANK(KPI_TARGETS!$K$20)),KPI_TARGETS!$K$20,IF(NOT(ISBLANK(KPI_TARGETS!$F$20)),KPI_TARGETS!$F$20,"")),"")</f>
        <v>1</v>
      </c>
      <c r="N986" s="36" t="str">
        <f>IFERROR(KPI_TARGETS!$E$20,"Higher is better")</f>
        <v>Higher is better</v>
      </c>
      <c r="O986" s="37">
        <f t="shared" ca="1" si="90"/>
        <v>0</v>
      </c>
      <c r="P986" t="str">
        <f t="shared" ca="1" si="91"/>
        <v>Red</v>
      </c>
      <c r="Q986" s="36">
        <f t="shared" ca="1" si="92"/>
        <v>-1</v>
      </c>
      <c r="R986" s="36" t="str">
        <f>""</f>
        <v/>
      </c>
      <c r="S986" s="36" t="str">
        <f>""</f>
        <v/>
      </c>
      <c r="T986" s="36" t="str">
        <f>""</f>
        <v/>
      </c>
      <c r="U986" s="36" t="str">
        <f>""</f>
        <v/>
      </c>
      <c r="V986" s="36" t="str">
        <f>""</f>
        <v/>
      </c>
      <c r="W986" s="36">
        <f t="shared" si="93"/>
        <v>1</v>
      </c>
      <c r="X986" t="str">
        <f t="shared" si="94"/>
        <v>Inactive</v>
      </c>
      <c r="Y986" t="str">
        <f>IF(MAIN!$H$3="Selected Year",IF(A986=MAIN!$B$3,"Yes","No"),IF(MAIN!$H$3="Included Years",IF(D986="Yes","Yes","No"),IF(C986="Yes","Yes","No")))</f>
        <v>No</v>
      </c>
      <c r="Z986" t="str">
        <f>IF(MAIN!$F$3="Project to Date",IF(AND(A986&gt;=SETTINGS!$B$4,A986&lt;MAIN!$B$3),"Yes",IF(AND(A986=MAIN!$B$3,E986&lt;=MAIN!$L$3),"Yes","No")),IF(OR(MAIN!$F$3="Full Year",MAIN!$D$3="All"),"Yes",IF(MAIN!$F$3="Monthly",IF(E986=MAIN!$L$3,"Yes","No"),IF(E986&lt;=MAIN!$L$3,"Yes","No"))))</f>
        <v>Yes</v>
      </c>
      <c r="AA986" t="str">
        <f t="shared" si="95"/>
        <v>No</v>
      </c>
    </row>
    <row r="987" spans="1:27" x14ac:dyDescent="0.3">
      <c r="A987">
        <f>INDEX(SETTINGS!$A$15:$A$24,$B987)</f>
        <v>2029</v>
      </c>
      <c r="B987">
        <v>5</v>
      </c>
      <c r="C987" t="str">
        <f>IF(AND(A987&gt;=SETTINGS!$B$4,A987&lt;=SETTINGS!$B$5),"Yes","No")</f>
        <v>No</v>
      </c>
      <c r="D987" t="str">
        <f>IFERROR(INDEX(SETTINGS!$C$15:$C$24,MATCH(A987,SETTINGS!$A$15:$A$24,0)),"No")</f>
        <v>No</v>
      </c>
      <c r="E987">
        <v>4</v>
      </c>
      <c r="F987" t="s">
        <v>37</v>
      </c>
      <c r="G987">
        <v>100</v>
      </c>
      <c r="H987" t="s">
        <v>110</v>
      </c>
      <c r="I987" t="s">
        <v>30</v>
      </c>
      <c r="J987" t="s">
        <v>31</v>
      </c>
      <c r="K987" t="s">
        <v>3</v>
      </c>
      <c r="L987" s="36">
        <f ca="1">IF(C987&lt;&gt;"Yes",0,IF(A987=2025,N('2025'!D100),IF(A987=2026,N('2026'!D100),IF(A987=2027,N('2027'!D100),IF(A987=2028,N('2028'!D100),IF(A987=2029,N('2029'!D100),IF(A987=2030,N('2030'!D100),IF(A987=2031,N('2031'!D100),IF(A987=2032,N('2032'!D100),IF(A987=2033,N('2033'!D100),IF(A987=2034,N('2034'!D100),IFERROR(N(INDIRECT("'"&amp;A987&amp;"'!D"&amp;G987)),0))))))))))))</f>
        <v>0</v>
      </c>
      <c r="M987" s="36">
        <f>IFERROR(IF(NOT(ISBLANK(KPI_TARGETS!$K$21)),KPI_TARGETS!$K$21,IF(NOT(ISBLANK(KPI_TARGETS!$F$21)),KPI_TARGETS!$F$21,"")),"")</f>
        <v>0</v>
      </c>
      <c r="N987" s="36" t="str">
        <f>IFERROR(KPI_TARGETS!$E$21,"Higher is better")</f>
        <v>Lower is better</v>
      </c>
      <c r="O987" s="37">
        <f t="shared" ca="1" si="90"/>
        <v>1</v>
      </c>
      <c r="P987" t="str">
        <f t="shared" ca="1" si="91"/>
        <v>Green</v>
      </c>
      <c r="Q987" s="36">
        <f t="shared" ca="1" si="92"/>
        <v>0</v>
      </c>
      <c r="R987" s="36" t="str">
        <f>""</f>
        <v/>
      </c>
      <c r="S987" s="36" t="str">
        <f>""</f>
        <v/>
      </c>
      <c r="T987" s="36" t="str">
        <f>""</f>
        <v/>
      </c>
      <c r="U987" s="36" t="str">
        <f>""</f>
        <v/>
      </c>
      <c r="V987" s="36" t="str">
        <f>""</f>
        <v/>
      </c>
      <c r="W987" s="36">
        <f t="shared" si="93"/>
        <v>1</v>
      </c>
      <c r="X987" t="str">
        <f t="shared" si="94"/>
        <v>Inactive</v>
      </c>
      <c r="Y987" t="str">
        <f>IF(MAIN!$H$3="Selected Year",IF(A987=MAIN!$B$3,"Yes","No"),IF(MAIN!$H$3="Included Years",IF(D987="Yes","Yes","No"),IF(C987="Yes","Yes","No")))</f>
        <v>No</v>
      </c>
      <c r="Z987" t="str">
        <f>IF(MAIN!$F$3="Project to Date",IF(AND(A987&gt;=SETTINGS!$B$4,A987&lt;MAIN!$B$3),"Yes",IF(AND(A987=MAIN!$B$3,E987&lt;=MAIN!$L$3),"Yes","No")),IF(OR(MAIN!$F$3="Full Year",MAIN!$D$3="All"),"Yes",IF(MAIN!$F$3="Monthly",IF(E987=MAIN!$L$3,"Yes","No"),IF(E987&lt;=MAIN!$L$3,"Yes","No"))))</f>
        <v>Yes</v>
      </c>
      <c r="AA987" t="str">
        <f t="shared" si="95"/>
        <v>No</v>
      </c>
    </row>
    <row r="988" spans="1:27" x14ac:dyDescent="0.3">
      <c r="A988">
        <f>INDEX(SETTINGS!$A$15:$A$24,$B988)</f>
        <v>2029</v>
      </c>
      <c r="B988">
        <v>5</v>
      </c>
      <c r="C988" t="str">
        <f>IF(AND(A988&gt;=SETTINGS!$B$4,A988&lt;=SETTINGS!$B$5),"Yes","No")</f>
        <v>No</v>
      </c>
      <c r="D988" t="str">
        <f>IFERROR(INDEX(SETTINGS!$C$15:$C$24,MATCH(A988,SETTINGS!$A$15:$A$24,0)),"No")</f>
        <v>No</v>
      </c>
      <c r="E988">
        <v>4</v>
      </c>
      <c r="F988" t="s">
        <v>37</v>
      </c>
      <c r="G988">
        <v>101</v>
      </c>
      <c r="H988" t="s">
        <v>111</v>
      </c>
      <c r="I988" t="s">
        <v>30</v>
      </c>
      <c r="J988" t="s">
        <v>32</v>
      </c>
      <c r="K988" t="s">
        <v>3</v>
      </c>
      <c r="L988" s="36">
        <f ca="1">IF(C988&lt;&gt;"Yes",0,IF(A988=2025,N('2025'!D101),IF(A988=2026,N('2026'!D101),IF(A988=2027,N('2027'!D101),IF(A988=2028,N('2028'!D101),IF(A988=2029,N('2029'!D101),IF(A988=2030,N('2030'!D101),IF(A988=2031,N('2031'!D101),IF(A988=2032,N('2032'!D101),IF(A988=2033,N('2033'!D101),IF(A988=2034,N('2034'!D101),IFERROR(N(INDIRECT("'"&amp;A988&amp;"'!D"&amp;G988)),0))))))))))))</f>
        <v>0</v>
      </c>
      <c r="M988" s="36">
        <f>IFERROR(IF(NOT(ISBLANK(KPI_TARGETS!$K$22)),KPI_TARGETS!$K$22,IF(NOT(ISBLANK(KPI_TARGETS!$F$22)),KPI_TARGETS!$F$22,"")),"")</f>
        <v>1</v>
      </c>
      <c r="N988" s="36" t="str">
        <f>IFERROR(KPI_TARGETS!$E$22,"Higher is better")</f>
        <v>Higher is better</v>
      </c>
      <c r="O988" s="37">
        <f t="shared" ca="1" si="90"/>
        <v>0</v>
      </c>
      <c r="P988" t="str">
        <f t="shared" ca="1" si="91"/>
        <v>Red</v>
      </c>
      <c r="Q988" s="36">
        <f t="shared" ca="1" si="92"/>
        <v>-1</v>
      </c>
      <c r="R988" s="36" t="str">
        <f>""</f>
        <v/>
      </c>
      <c r="S988" s="36" t="str">
        <f>""</f>
        <v/>
      </c>
      <c r="T988" s="36" t="str">
        <f>""</f>
        <v/>
      </c>
      <c r="U988" s="36" t="str">
        <f>""</f>
        <v/>
      </c>
      <c r="V988" s="36" t="str">
        <f>""</f>
        <v/>
      </c>
      <c r="W988" s="36">
        <f t="shared" si="93"/>
        <v>1</v>
      </c>
      <c r="X988" t="str">
        <f t="shared" si="94"/>
        <v>Inactive</v>
      </c>
      <c r="Y988" t="str">
        <f>IF(MAIN!$H$3="Selected Year",IF(A988=MAIN!$B$3,"Yes","No"),IF(MAIN!$H$3="Included Years",IF(D988="Yes","Yes","No"),IF(C988="Yes","Yes","No")))</f>
        <v>No</v>
      </c>
      <c r="Z988" t="str">
        <f>IF(MAIN!$F$3="Project to Date",IF(AND(A988&gt;=SETTINGS!$B$4,A988&lt;MAIN!$B$3),"Yes",IF(AND(A988=MAIN!$B$3,E988&lt;=MAIN!$L$3),"Yes","No")),IF(OR(MAIN!$F$3="Full Year",MAIN!$D$3="All"),"Yes",IF(MAIN!$F$3="Monthly",IF(E988=MAIN!$L$3,"Yes","No"),IF(E988&lt;=MAIN!$L$3,"Yes","No"))))</f>
        <v>Yes</v>
      </c>
      <c r="AA988" t="str">
        <f t="shared" si="95"/>
        <v>No</v>
      </c>
    </row>
    <row r="989" spans="1:27" x14ac:dyDescent="0.3">
      <c r="A989">
        <f>INDEX(SETTINGS!$A$15:$A$24,$B989)</f>
        <v>2029</v>
      </c>
      <c r="B989">
        <v>5</v>
      </c>
      <c r="C989" t="str">
        <f>IF(AND(A989&gt;=SETTINGS!$B$4,A989&lt;=SETTINGS!$B$5),"Yes","No")</f>
        <v>No</v>
      </c>
      <c r="D989" t="str">
        <f>IFERROR(INDEX(SETTINGS!$C$15:$C$24,MATCH(A989,SETTINGS!$A$15:$A$24,0)),"No")</f>
        <v>No</v>
      </c>
      <c r="E989">
        <v>4</v>
      </c>
      <c r="F989" t="s">
        <v>37</v>
      </c>
      <c r="G989">
        <v>102</v>
      </c>
      <c r="H989" t="s">
        <v>112</v>
      </c>
      <c r="I989" t="s">
        <v>30</v>
      </c>
      <c r="J989" t="s">
        <v>33</v>
      </c>
      <c r="K989" t="s">
        <v>34</v>
      </c>
      <c r="L989" s="36">
        <f ca="1">IF(C989&lt;&gt;"Yes",0,IF(A989=2025,N('2025'!D102),IF(A989=2026,N('2026'!D102),IF(A989=2027,N('2027'!D102),IF(A989=2028,N('2028'!D102),IF(A989=2029,N('2029'!D102),IF(A989=2030,N('2030'!D102),IF(A989=2031,N('2031'!D102),IF(A989=2032,N('2032'!D102),IF(A989=2033,N('2033'!D102),IF(A989=2034,N('2034'!D102),IFERROR(N(INDIRECT("'"&amp;A989&amp;"'!D"&amp;G989)),0))))))))))))</f>
        <v>0</v>
      </c>
      <c r="M989" s="36">
        <f>IFERROR(IF(NOT(ISBLANK(KPI_TARGETS!$K$23)),KPI_TARGETS!$K$23,IF(NOT(ISBLANK(KPI_TARGETS!$F$23)),KPI_TARGETS!$F$23,"")),"")</f>
        <v>1</v>
      </c>
      <c r="N989" s="36" t="str">
        <f>IFERROR(KPI_TARGETS!$E$23,"Higher is better")</f>
        <v>Higher is better</v>
      </c>
      <c r="O989" s="37">
        <f t="shared" ca="1" si="90"/>
        <v>0</v>
      </c>
      <c r="P989" t="str">
        <f t="shared" ca="1" si="91"/>
        <v>Red</v>
      </c>
      <c r="Q989" s="36">
        <f t="shared" ca="1" si="92"/>
        <v>-1</v>
      </c>
      <c r="R989" s="36" t="str">
        <f>""</f>
        <v/>
      </c>
      <c r="S989" s="36" t="str">
        <f>""</f>
        <v/>
      </c>
      <c r="T989" s="36" t="str">
        <f>""</f>
        <v/>
      </c>
      <c r="U989" s="36" t="str">
        <f>""</f>
        <v/>
      </c>
      <c r="V989" s="36" t="str">
        <f>""</f>
        <v/>
      </c>
      <c r="W989" s="36">
        <f t="shared" si="93"/>
        <v>1</v>
      </c>
      <c r="X989" t="str">
        <f t="shared" si="94"/>
        <v>Inactive</v>
      </c>
      <c r="Y989" t="str">
        <f>IF(MAIN!$H$3="Selected Year",IF(A989=MAIN!$B$3,"Yes","No"),IF(MAIN!$H$3="Included Years",IF(D989="Yes","Yes","No"),IF(C989="Yes","Yes","No")))</f>
        <v>No</v>
      </c>
      <c r="Z989" t="str">
        <f>IF(MAIN!$F$3="Project to Date",IF(AND(A989&gt;=SETTINGS!$B$4,A989&lt;MAIN!$B$3),"Yes",IF(AND(A989=MAIN!$B$3,E989&lt;=MAIN!$L$3),"Yes","No")),IF(OR(MAIN!$F$3="Full Year",MAIN!$D$3="All"),"Yes",IF(MAIN!$F$3="Monthly",IF(E989=MAIN!$L$3,"Yes","No"),IF(E989&lt;=MAIN!$L$3,"Yes","No"))))</f>
        <v>Yes</v>
      </c>
      <c r="AA989" t="str">
        <f t="shared" si="95"/>
        <v>No</v>
      </c>
    </row>
    <row r="990" spans="1:27" x14ac:dyDescent="0.3">
      <c r="A990">
        <f>INDEX(SETTINGS!$A$15:$A$24,$B990)</f>
        <v>2029</v>
      </c>
      <c r="B990">
        <v>5</v>
      </c>
      <c r="C990" t="str">
        <f>IF(AND(A990&gt;=SETTINGS!$B$4,A990&lt;=SETTINGS!$B$5),"Yes","No")</f>
        <v>No</v>
      </c>
      <c r="D990" t="str">
        <f>IFERROR(INDEX(SETTINGS!$C$15:$C$24,MATCH(A990,SETTINGS!$A$15:$A$24,0)),"No")</f>
        <v>No</v>
      </c>
      <c r="E990">
        <v>5</v>
      </c>
      <c r="F990" t="s">
        <v>38</v>
      </c>
      <c r="G990">
        <v>105</v>
      </c>
      <c r="H990" t="s">
        <v>88</v>
      </c>
      <c r="I990" t="s">
        <v>89</v>
      </c>
      <c r="J990" t="s">
        <v>10</v>
      </c>
      <c r="K990" t="s">
        <v>3</v>
      </c>
      <c r="L990" s="36">
        <f ca="1">IF(C990&lt;&gt;"Yes",0,IF(A990=2025,N('2025'!D105),IF(A990=2026,N('2026'!D105),IF(A990=2027,N('2027'!D105),IF(A990=2028,N('2028'!D105),IF(A990=2029,N('2029'!D105),IF(A990=2030,N('2030'!D105),IF(A990=2031,N('2031'!D105),IF(A990=2032,N('2032'!D105),IF(A990=2033,N('2033'!D105),IF(A990=2034,N('2034'!D105),IFERROR(N(INDIRECT("'"&amp;A990&amp;"'!D"&amp;G990)),0))))))))))))</f>
        <v>0</v>
      </c>
      <c r="M990" s="36">
        <f>IFERROR(IF(NOT(ISBLANK(KPI_TARGETS!$K$5)),KPI_TARGETS!$K$5,IF(NOT(ISBLANK(KPI_TARGETS!$F$5)),KPI_TARGETS!$F$5,"")),"")</f>
        <v>104</v>
      </c>
      <c r="N990" s="36" t="str">
        <f>IFERROR(KPI_TARGETS!$E$5,"Higher is better")</f>
        <v>Higher is better</v>
      </c>
      <c r="O990" s="37">
        <f t="shared" ca="1" si="90"/>
        <v>0</v>
      </c>
      <c r="P990" t="str">
        <f t="shared" ca="1" si="91"/>
        <v>Red</v>
      </c>
      <c r="Q990" s="36">
        <f t="shared" ca="1" si="92"/>
        <v>-104</v>
      </c>
      <c r="R990" s="36" t="str">
        <f>""</f>
        <v/>
      </c>
      <c r="S990" s="36" t="str">
        <f>""</f>
        <v/>
      </c>
      <c r="T990" s="36" t="str">
        <f>""</f>
        <v/>
      </c>
      <c r="U990" s="36" t="str">
        <f>""</f>
        <v/>
      </c>
      <c r="V990" s="36" t="str">
        <f>""</f>
        <v/>
      </c>
      <c r="W990" s="36">
        <f t="shared" si="93"/>
        <v>1</v>
      </c>
      <c r="X990" t="str">
        <f t="shared" si="94"/>
        <v>Inactive</v>
      </c>
      <c r="Y990" t="str">
        <f>IF(MAIN!$H$3="Selected Year",IF(A990=MAIN!$B$3,"Yes","No"),IF(MAIN!$H$3="Included Years",IF(D990="Yes","Yes","No"),IF(C990="Yes","Yes","No")))</f>
        <v>No</v>
      </c>
      <c r="Z990" t="str">
        <f>IF(MAIN!$F$3="Project to Date",IF(AND(A990&gt;=SETTINGS!$B$4,A990&lt;MAIN!$B$3),"Yes",IF(AND(A990=MAIN!$B$3,E990&lt;=MAIN!$L$3),"Yes","No")),IF(OR(MAIN!$F$3="Full Year",MAIN!$D$3="All"),"Yes",IF(MAIN!$F$3="Monthly",IF(E990=MAIN!$L$3,"Yes","No"),IF(E990&lt;=MAIN!$L$3,"Yes","No"))))</f>
        <v>Yes</v>
      </c>
      <c r="AA990" t="str">
        <f t="shared" si="95"/>
        <v>No</v>
      </c>
    </row>
    <row r="991" spans="1:27" x14ac:dyDescent="0.3">
      <c r="A991">
        <f>INDEX(SETTINGS!$A$15:$A$24,$B991)</f>
        <v>2029</v>
      </c>
      <c r="B991">
        <v>5</v>
      </c>
      <c r="C991" t="str">
        <f>IF(AND(A991&gt;=SETTINGS!$B$4,A991&lt;=SETTINGS!$B$5),"Yes","No")</f>
        <v>No</v>
      </c>
      <c r="D991" t="str">
        <f>IFERROR(INDEX(SETTINGS!$C$15:$C$24,MATCH(A991,SETTINGS!$A$15:$A$24,0)),"No")</f>
        <v>No</v>
      </c>
      <c r="E991">
        <v>5</v>
      </c>
      <c r="F991" t="s">
        <v>38</v>
      </c>
      <c r="G991">
        <v>106</v>
      </c>
      <c r="H991" t="s">
        <v>91</v>
      </c>
      <c r="I991" t="s">
        <v>89</v>
      </c>
      <c r="J991" t="s">
        <v>11</v>
      </c>
      <c r="K991" t="s">
        <v>12</v>
      </c>
      <c r="L991" s="36">
        <f ca="1">IF(C991&lt;&gt;"Yes",0,IF(A991=2025,N('2025'!D106),IF(A991=2026,N('2026'!D106),IF(A991=2027,N('2027'!D106),IF(A991=2028,N('2028'!D106),IF(A991=2029,N('2029'!D106),IF(A991=2030,N('2030'!D106),IF(A991=2031,N('2031'!D106),IF(A991=2032,N('2032'!D106),IF(A991=2033,N('2033'!D106),IF(A991=2034,N('2034'!D106),IFERROR(N(INDIRECT("'"&amp;A991&amp;"'!D"&amp;G991)),0))))))))))))</f>
        <v>0</v>
      </c>
      <c r="M991" s="36">
        <f>IFERROR(IF(NOT(ISBLANK(KPI_TARGETS!$K$6)),KPI_TARGETS!$K$6,IF(NOT(ISBLANK(KPI_TARGETS!$F$6)),KPI_TARGETS!$F$6,"")),"")</f>
        <v>4000</v>
      </c>
      <c r="N991" s="36" t="str">
        <f>IFERROR(KPI_TARGETS!$E$6,"Higher is better")</f>
        <v>Higher is better</v>
      </c>
      <c r="O991" s="37">
        <f t="shared" ca="1" si="90"/>
        <v>0</v>
      </c>
      <c r="P991" t="str">
        <f t="shared" ca="1" si="91"/>
        <v>Red</v>
      </c>
      <c r="Q991" s="36">
        <f t="shared" ca="1" si="92"/>
        <v>-4000</v>
      </c>
      <c r="R991" s="36" t="str">
        <f>""</f>
        <v/>
      </c>
      <c r="S991" s="36" t="str">
        <f>""</f>
        <v/>
      </c>
      <c r="T991" s="36" t="str">
        <f>""</f>
        <v/>
      </c>
      <c r="U991" s="36" t="str">
        <f>""</f>
        <v/>
      </c>
      <c r="V991" s="36" t="str">
        <f>""</f>
        <v/>
      </c>
      <c r="W991" s="36">
        <f t="shared" si="93"/>
        <v>1</v>
      </c>
      <c r="X991" t="str">
        <f t="shared" si="94"/>
        <v>Inactive</v>
      </c>
      <c r="Y991" t="str">
        <f>IF(MAIN!$H$3="Selected Year",IF(A991=MAIN!$B$3,"Yes","No"),IF(MAIN!$H$3="Included Years",IF(D991="Yes","Yes","No"),IF(C991="Yes","Yes","No")))</f>
        <v>No</v>
      </c>
      <c r="Z991" t="str">
        <f>IF(MAIN!$F$3="Project to Date",IF(AND(A991&gt;=SETTINGS!$B$4,A991&lt;MAIN!$B$3),"Yes",IF(AND(A991=MAIN!$B$3,E991&lt;=MAIN!$L$3),"Yes","No")),IF(OR(MAIN!$F$3="Full Year",MAIN!$D$3="All"),"Yes",IF(MAIN!$F$3="Monthly",IF(E991=MAIN!$L$3,"Yes","No"),IF(E991&lt;=MAIN!$L$3,"Yes","No"))))</f>
        <v>Yes</v>
      </c>
      <c r="AA991" t="str">
        <f t="shared" si="95"/>
        <v>No</v>
      </c>
    </row>
    <row r="992" spans="1:27" x14ac:dyDescent="0.3">
      <c r="A992">
        <f>INDEX(SETTINGS!$A$15:$A$24,$B992)</f>
        <v>2029</v>
      </c>
      <c r="B992">
        <v>5</v>
      </c>
      <c r="C992" t="str">
        <f>IF(AND(A992&gt;=SETTINGS!$B$4,A992&lt;=SETTINGS!$B$5),"Yes","No")</f>
        <v>No</v>
      </c>
      <c r="D992" t="str">
        <f>IFERROR(INDEX(SETTINGS!$C$15:$C$24,MATCH(A992,SETTINGS!$A$15:$A$24,0)),"No")</f>
        <v>No</v>
      </c>
      <c r="E992">
        <v>5</v>
      </c>
      <c r="F992" t="s">
        <v>38</v>
      </c>
      <c r="G992">
        <v>107</v>
      </c>
      <c r="H992" t="s">
        <v>93</v>
      </c>
      <c r="I992" t="s">
        <v>89</v>
      </c>
      <c r="J992" t="s">
        <v>13</v>
      </c>
      <c r="K992" t="s">
        <v>14</v>
      </c>
      <c r="L992" s="36">
        <f ca="1">IF(C992&lt;&gt;"Yes",0,IF(A992=2025,N('2025'!D107),IF(A992=2026,N('2026'!D107),IF(A992=2027,N('2027'!D107),IF(A992=2028,N('2028'!D107),IF(A992=2029,N('2029'!D107),IF(A992=2030,N('2030'!D107),IF(A992=2031,N('2031'!D107),IF(A992=2032,N('2032'!D107),IF(A992=2033,N('2033'!D107),IF(A992=2034,N('2034'!D107),IFERROR(N(INDIRECT("'"&amp;A992&amp;"'!D"&amp;G992)),0))))))))))))</f>
        <v>0</v>
      </c>
      <c r="M992" s="36">
        <f>IFERROR(IF(NOT(ISBLANK(KPI_TARGETS!$K$7)),KPI_TARGETS!$K$7,IF(NOT(ISBLANK(KPI_TARGETS!$F$7)),KPI_TARGETS!$F$7,"")),"")</f>
        <v>8000</v>
      </c>
      <c r="N992" s="36" t="str">
        <f>IFERROR(KPI_TARGETS!$E$7,"Higher is better")</f>
        <v>Higher is better</v>
      </c>
      <c r="O992" s="37">
        <f t="shared" ca="1" si="90"/>
        <v>0</v>
      </c>
      <c r="P992" t="str">
        <f t="shared" ca="1" si="91"/>
        <v>Red</v>
      </c>
      <c r="Q992" s="36">
        <f t="shared" ca="1" si="92"/>
        <v>-8000</v>
      </c>
      <c r="R992" s="36" t="str">
        <f>""</f>
        <v/>
      </c>
      <c r="S992" s="36" t="str">
        <f>""</f>
        <v/>
      </c>
      <c r="T992" s="36" t="str">
        <f>""</f>
        <v/>
      </c>
      <c r="U992" s="36" t="str">
        <f>""</f>
        <v/>
      </c>
      <c r="V992" s="36" t="str">
        <f>""</f>
        <v/>
      </c>
      <c r="W992" s="36">
        <f t="shared" si="93"/>
        <v>1</v>
      </c>
      <c r="X992" t="str">
        <f t="shared" si="94"/>
        <v>Inactive</v>
      </c>
      <c r="Y992" t="str">
        <f>IF(MAIN!$H$3="Selected Year",IF(A992=MAIN!$B$3,"Yes","No"),IF(MAIN!$H$3="Included Years",IF(D992="Yes","Yes","No"),IF(C992="Yes","Yes","No")))</f>
        <v>No</v>
      </c>
      <c r="Z992" t="str">
        <f>IF(MAIN!$F$3="Project to Date",IF(AND(A992&gt;=SETTINGS!$B$4,A992&lt;MAIN!$B$3),"Yes",IF(AND(A992=MAIN!$B$3,E992&lt;=MAIN!$L$3),"Yes","No")),IF(OR(MAIN!$F$3="Full Year",MAIN!$D$3="All"),"Yes",IF(MAIN!$F$3="Monthly",IF(E992=MAIN!$L$3,"Yes","No"),IF(E992&lt;=MAIN!$L$3,"Yes","No"))))</f>
        <v>Yes</v>
      </c>
      <c r="AA992" t="str">
        <f t="shared" si="95"/>
        <v>No</v>
      </c>
    </row>
    <row r="993" spans="1:27" x14ac:dyDescent="0.3">
      <c r="A993">
        <f>INDEX(SETTINGS!$A$15:$A$24,$B993)</f>
        <v>2029</v>
      </c>
      <c r="B993">
        <v>5</v>
      </c>
      <c r="C993" t="str">
        <f>IF(AND(A993&gt;=SETTINGS!$B$4,A993&lt;=SETTINGS!$B$5),"Yes","No")</f>
        <v>No</v>
      </c>
      <c r="D993" t="str">
        <f>IFERROR(INDEX(SETTINGS!$C$15:$C$24,MATCH(A993,SETTINGS!$A$15:$A$24,0)),"No")</f>
        <v>No</v>
      </c>
      <c r="E993">
        <v>5</v>
      </c>
      <c r="F993" t="s">
        <v>38</v>
      </c>
      <c r="G993">
        <v>109</v>
      </c>
      <c r="H993" t="s">
        <v>95</v>
      </c>
      <c r="I993" t="s">
        <v>15</v>
      </c>
      <c r="J993" t="s">
        <v>16</v>
      </c>
      <c r="K993" t="s">
        <v>3</v>
      </c>
      <c r="L993" s="36">
        <f ca="1">IF(C993&lt;&gt;"Yes",0,IF(A993=2025,N('2025'!D109),IF(A993=2026,N('2026'!D109),IF(A993=2027,N('2027'!D109),IF(A993=2028,N('2028'!D109),IF(A993=2029,N('2029'!D109),IF(A993=2030,N('2030'!D109),IF(A993=2031,N('2031'!D109),IF(A993=2032,N('2032'!D109),IF(A993=2033,N('2033'!D109),IF(A993=2034,N('2034'!D109),IFERROR(N(INDIRECT("'"&amp;A993&amp;"'!D"&amp;G993)),0))))))))))))</f>
        <v>0</v>
      </c>
      <c r="M993" s="36">
        <f>IFERROR(IF(NOT(ISBLANK(KPI_TARGETS!$K$8)),KPI_TARGETS!$K$8,IF(NOT(ISBLANK(KPI_TARGETS!$F$8)),KPI_TARGETS!$F$8,"")),"")</f>
        <v>0</v>
      </c>
      <c r="N993" s="36" t="str">
        <f>IFERROR(KPI_TARGETS!$E$8,"Higher is better")</f>
        <v>Lower is better</v>
      </c>
      <c r="O993" s="37">
        <f t="shared" ca="1" si="90"/>
        <v>1</v>
      </c>
      <c r="P993" t="str">
        <f t="shared" ca="1" si="91"/>
        <v>Green</v>
      </c>
      <c r="Q993" s="36">
        <f t="shared" ca="1" si="92"/>
        <v>0</v>
      </c>
      <c r="R993" s="36" t="str">
        <f>""</f>
        <v/>
      </c>
      <c r="S993" s="36" t="str">
        <f>""</f>
        <v/>
      </c>
      <c r="T993" s="36" t="str">
        <f>""</f>
        <v/>
      </c>
      <c r="U993" s="36" t="str">
        <f>""</f>
        <v/>
      </c>
      <c r="V993" s="36" t="str">
        <f>""</f>
        <v/>
      </c>
      <c r="W993" s="36">
        <f t="shared" si="93"/>
        <v>1</v>
      </c>
      <c r="X993" t="str">
        <f t="shared" si="94"/>
        <v>Inactive</v>
      </c>
      <c r="Y993" t="str">
        <f>IF(MAIN!$H$3="Selected Year",IF(A993=MAIN!$B$3,"Yes","No"),IF(MAIN!$H$3="Included Years",IF(D993="Yes","Yes","No"),IF(C993="Yes","Yes","No")))</f>
        <v>No</v>
      </c>
      <c r="Z993" t="str">
        <f>IF(MAIN!$F$3="Project to Date",IF(AND(A993&gt;=SETTINGS!$B$4,A993&lt;MAIN!$B$3),"Yes",IF(AND(A993=MAIN!$B$3,E993&lt;=MAIN!$L$3),"Yes","No")),IF(OR(MAIN!$F$3="Full Year",MAIN!$D$3="All"),"Yes",IF(MAIN!$F$3="Monthly",IF(E993=MAIN!$L$3,"Yes","No"),IF(E993&lt;=MAIN!$L$3,"Yes","No"))))</f>
        <v>Yes</v>
      </c>
      <c r="AA993" t="str">
        <f t="shared" si="95"/>
        <v>No</v>
      </c>
    </row>
    <row r="994" spans="1:27" x14ac:dyDescent="0.3">
      <c r="A994">
        <f>INDEX(SETTINGS!$A$15:$A$24,$B994)</f>
        <v>2029</v>
      </c>
      <c r="B994">
        <v>5</v>
      </c>
      <c r="C994" t="str">
        <f>IF(AND(A994&gt;=SETTINGS!$B$4,A994&lt;=SETTINGS!$B$5),"Yes","No")</f>
        <v>No</v>
      </c>
      <c r="D994" t="str">
        <f>IFERROR(INDEX(SETTINGS!$C$15:$C$24,MATCH(A994,SETTINGS!$A$15:$A$24,0)),"No")</f>
        <v>No</v>
      </c>
      <c r="E994">
        <v>5</v>
      </c>
      <c r="F994" t="s">
        <v>38</v>
      </c>
      <c r="G994">
        <v>110</v>
      </c>
      <c r="H994" t="s">
        <v>97</v>
      </c>
      <c r="I994" t="s">
        <v>15</v>
      </c>
      <c r="J994" t="s">
        <v>17</v>
      </c>
      <c r="K994" t="s">
        <v>3</v>
      </c>
      <c r="L994" s="36">
        <f ca="1">IF(C994&lt;&gt;"Yes",0,IF(A994=2025,N('2025'!D110),IF(A994=2026,N('2026'!D110),IF(A994=2027,N('2027'!D110),IF(A994=2028,N('2028'!D110),IF(A994=2029,N('2029'!D110),IF(A994=2030,N('2030'!D110),IF(A994=2031,N('2031'!D110),IF(A994=2032,N('2032'!D110),IF(A994=2033,N('2033'!D110),IF(A994=2034,N('2034'!D110),IFERROR(N(INDIRECT("'"&amp;A994&amp;"'!D"&amp;G994)),0))))))))))))</f>
        <v>0</v>
      </c>
      <c r="M994" s="36">
        <f>IFERROR(IF(NOT(ISBLANK(KPI_TARGETS!$K$9)),KPI_TARGETS!$K$9,IF(NOT(ISBLANK(KPI_TARGETS!$F$9)),KPI_TARGETS!$F$9,"")),"")</f>
        <v>0</v>
      </c>
      <c r="N994" s="36" t="str">
        <f>IFERROR(KPI_TARGETS!$E$9,"Higher is better")</f>
        <v>Higher is better</v>
      </c>
      <c r="O994" s="37" t="str">
        <f t="shared" ca="1" si="90"/>
        <v/>
      </c>
      <c r="P994" t="str">
        <f t="shared" ca="1" si="91"/>
        <v>Green</v>
      </c>
      <c r="Q994" s="36">
        <f t="shared" ca="1" si="92"/>
        <v>0</v>
      </c>
      <c r="R994" s="36" t="str">
        <f>""</f>
        <v/>
      </c>
      <c r="S994" s="36" t="str">
        <f>""</f>
        <v/>
      </c>
      <c r="T994" s="36" t="str">
        <f>""</f>
        <v/>
      </c>
      <c r="U994" s="36" t="str">
        <f>""</f>
        <v/>
      </c>
      <c r="V994" s="36" t="str">
        <f>""</f>
        <v/>
      </c>
      <c r="W994" s="36">
        <f t="shared" si="93"/>
        <v>1</v>
      </c>
      <c r="X994" t="str">
        <f t="shared" si="94"/>
        <v>Inactive</v>
      </c>
      <c r="Y994" t="str">
        <f>IF(MAIN!$H$3="Selected Year",IF(A994=MAIN!$B$3,"Yes","No"),IF(MAIN!$H$3="Included Years",IF(D994="Yes","Yes","No"),IF(C994="Yes","Yes","No")))</f>
        <v>No</v>
      </c>
      <c r="Z994" t="str">
        <f>IF(MAIN!$F$3="Project to Date",IF(AND(A994&gt;=SETTINGS!$B$4,A994&lt;MAIN!$B$3),"Yes",IF(AND(A994=MAIN!$B$3,E994&lt;=MAIN!$L$3),"Yes","No")),IF(OR(MAIN!$F$3="Full Year",MAIN!$D$3="All"),"Yes",IF(MAIN!$F$3="Monthly",IF(E994=MAIN!$L$3,"Yes","No"),IF(E994&lt;=MAIN!$L$3,"Yes","No"))))</f>
        <v>Yes</v>
      </c>
      <c r="AA994" t="str">
        <f t="shared" si="95"/>
        <v>No</v>
      </c>
    </row>
    <row r="995" spans="1:27" x14ac:dyDescent="0.3">
      <c r="A995">
        <f>INDEX(SETTINGS!$A$15:$A$24,$B995)</f>
        <v>2029</v>
      </c>
      <c r="B995">
        <v>5</v>
      </c>
      <c r="C995" t="str">
        <f>IF(AND(A995&gt;=SETTINGS!$B$4,A995&lt;=SETTINGS!$B$5),"Yes","No")</f>
        <v>No</v>
      </c>
      <c r="D995" t="str">
        <f>IFERROR(INDEX(SETTINGS!$C$15:$C$24,MATCH(A995,SETTINGS!$A$15:$A$24,0)),"No")</f>
        <v>No</v>
      </c>
      <c r="E995">
        <v>5</v>
      </c>
      <c r="F995" t="s">
        <v>38</v>
      </c>
      <c r="G995">
        <v>111</v>
      </c>
      <c r="H995" t="s">
        <v>99</v>
      </c>
      <c r="I995" t="s">
        <v>15</v>
      </c>
      <c r="J995" t="s">
        <v>18</v>
      </c>
      <c r="K995" t="s">
        <v>3</v>
      </c>
      <c r="L995" s="36">
        <f ca="1">IF(C995&lt;&gt;"Yes",0,IF(A995=2025,N('2025'!D111),IF(A995=2026,N('2026'!D111),IF(A995=2027,N('2027'!D111),IF(A995=2028,N('2028'!D111),IF(A995=2029,N('2029'!D111),IF(A995=2030,N('2030'!D111),IF(A995=2031,N('2031'!D111),IF(A995=2032,N('2032'!D111),IF(A995=2033,N('2033'!D111),IF(A995=2034,N('2034'!D111),IFERROR(N(INDIRECT("'"&amp;A995&amp;"'!D"&amp;G995)),0))))))))))))</f>
        <v>0</v>
      </c>
      <c r="M995" s="36">
        <f>IFERROR(IF(NOT(ISBLANK(KPI_TARGETS!$K$10)),KPI_TARGETS!$K$10,IF(NOT(ISBLANK(KPI_TARGETS!$F$10)),KPI_TARGETS!$F$10,"")),"")</f>
        <v>0</v>
      </c>
      <c r="N995" s="36" t="str">
        <f>IFERROR(KPI_TARGETS!$E$10,"Higher is better")</f>
        <v>Lower is better</v>
      </c>
      <c r="O995" s="37">
        <f t="shared" ca="1" si="90"/>
        <v>1</v>
      </c>
      <c r="P995" t="str">
        <f t="shared" ca="1" si="91"/>
        <v>Green</v>
      </c>
      <c r="Q995" s="36">
        <f t="shared" ca="1" si="92"/>
        <v>0</v>
      </c>
      <c r="R995" s="36" t="str">
        <f>""</f>
        <v/>
      </c>
      <c r="S995" s="36" t="str">
        <f>""</f>
        <v/>
      </c>
      <c r="T995" s="36" t="str">
        <f>""</f>
        <v/>
      </c>
      <c r="U995" s="36" t="str">
        <f>""</f>
        <v/>
      </c>
      <c r="V995" s="36" t="str">
        <f>""</f>
        <v/>
      </c>
      <c r="W995" s="36">
        <f t="shared" si="93"/>
        <v>1</v>
      </c>
      <c r="X995" t="str">
        <f t="shared" si="94"/>
        <v>Inactive</v>
      </c>
      <c r="Y995" t="str">
        <f>IF(MAIN!$H$3="Selected Year",IF(A995=MAIN!$B$3,"Yes","No"),IF(MAIN!$H$3="Included Years",IF(D995="Yes","Yes","No"),IF(C995="Yes","Yes","No")))</f>
        <v>No</v>
      </c>
      <c r="Z995" t="str">
        <f>IF(MAIN!$F$3="Project to Date",IF(AND(A995&gt;=SETTINGS!$B$4,A995&lt;MAIN!$B$3),"Yes",IF(AND(A995=MAIN!$B$3,E995&lt;=MAIN!$L$3),"Yes","No")),IF(OR(MAIN!$F$3="Full Year",MAIN!$D$3="All"),"Yes",IF(MAIN!$F$3="Monthly",IF(E995=MAIN!$L$3,"Yes","No"),IF(E995&lt;=MAIN!$L$3,"Yes","No"))))</f>
        <v>Yes</v>
      </c>
      <c r="AA995" t="str">
        <f t="shared" si="95"/>
        <v>No</v>
      </c>
    </row>
    <row r="996" spans="1:27" x14ac:dyDescent="0.3">
      <c r="A996">
        <f>INDEX(SETTINGS!$A$15:$A$24,$B996)</f>
        <v>2029</v>
      </c>
      <c r="B996">
        <v>5</v>
      </c>
      <c r="C996" t="str">
        <f>IF(AND(A996&gt;=SETTINGS!$B$4,A996&lt;=SETTINGS!$B$5),"Yes","No")</f>
        <v>No</v>
      </c>
      <c r="D996" t="str">
        <f>IFERROR(INDEX(SETTINGS!$C$15:$C$24,MATCH(A996,SETTINGS!$A$15:$A$24,0)),"No")</f>
        <v>No</v>
      </c>
      <c r="E996">
        <v>5</v>
      </c>
      <c r="F996" t="s">
        <v>38</v>
      </c>
      <c r="G996">
        <v>112</v>
      </c>
      <c r="H996" t="s">
        <v>100</v>
      </c>
      <c r="I996" t="s">
        <v>15</v>
      </c>
      <c r="J996" t="s">
        <v>19</v>
      </c>
      <c r="K996" t="s">
        <v>3</v>
      </c>
      <c r="L996" s="36">
        <f ca="1">IF(C996&lt;&gt;"Yes",0,IF(A996=2025,N('2025'!D112),IF(A996=2026,N('2026'!D112),IF(A996=2027,N('2027'!D112),IF(A996=2028,N('2028'!D112),IF(A996=2029,N('2029'!D112),IF(A996=2030,N('2030'!D112),IF(A996=2031,N('2031'!D112),IF(A996=2032,N('2032'!D112),IF(A996=2033,N('2033'!D112),IF(A996=2034,N('2034'!D112),IFERROR(N(INDIRECT("'"&amp;A996&amp;"'!D"&amp;G996)),0))))))))))))</f>
        <v>0</v>
      </c>
      <c r="M996" s="36">
        <f>IFERROR(IF(NOT(ISBLANK(KPI_TARGETS!$K$11)),KPI_TARGETS!$K$11,IF(NOT(ISBLANK(KPI_TARGETS!$F$11)),KPI_TARGETS!$F$11,"")),"")</f>
        <v>0</v>
      </c>
      <c r="N996" s="36" t="str">
        <f>IFERROR(KPI_TARGETS!$E$11,"Higher is better")</f>
        <v>Lower is better</v>
      </c>
      <c r="O996" s="37">
        <f t="shared" ca="1" si="90"/>
        <v>1</v>
      </c>
      <c r="P996" t="str">
        <f t="shared" ca="1" si="91"/>
        <v>Green</v>
      </c>
      <c r="Q996" s="36">
        <f t="shared" ca="1" si="92"/>
        <v>0</v>
      </c>
      <c r="R996" s="36" t="str">
        <f>""</f>
        <v/>
      </c>
      <c r="S996" s="36" t="str">
        <f>""</f>
        <v/>
      </c>
      <c r="T996" s="36" t="str">
        <f>""</f>
        <v/>
      </c>
      <c r="U996" s="36" t="str">
        <f>""</f>
        <v/>
      </c>
      <c r="V996" s="36" t="str">
        <f>""</f>
        <v/>
      </c>
      <c r="W996" s="36">
        <f t="shared" si="93"/>
        <v>1</v>
      </c>
      <c r="X996" t="str">
        <f t="shared" si="94"/>
        <v>Inactive</v>
      </c>
      <c r="Y996" t="str">
        <f>IF(MAIN!$H$3="Selected Year",IF(A996=MAIN!$B$3,"Yes","No"),IF(MAIN!$H$3="Included Years",IF(D996="Yes","Yes","No"),IF(C996="Yes","Yes","No")))</f>
        <v>No</v>
      </c>
      <c r="Z996" t="str">
        <f>IF(MAIN!$F$3="Project to Date",IF(AND(A996&gt;=SETTINGS!$B$4,A996&lt;MAIN!$B$3),"Yes",IF(AND(A996=MAIN!$B$3,E996&lt;=MAIN!$L$3),"Yes","No")),IF(OR(MAIN!$F$3="Full Year",MAIN!$D$3="All"),"Yes",IF(MAIN!$F$3="Monthly",IF(E996=MAIN!$L$3,"Yes","No"),IF(E996&lt;=MAIN!$L$3,"Yes","No"))))</f>
        <v>Yes</v>
      </c>
      <c r="AA996" t="str">
        <f t="shared" si="95"/>
        <v>No</v>
      </c>
    </row>
    <row r="997" spans="1:27" x14ac:dyDescent="0.3">
      <c r="A997">
        <f>INDEX(SETTINGS!$A$15:$A$24,$B997)</f>
        <v>2029</v>
      </c>
      <c r="B997">
        <v>5</v>
      </c>
      <c r="C997" t="str">
        <f>IF(AND(A997&gt;=SETTINGS!$B$4,A997&lt;=SETTINGS!$B$5),"Yes","No")</f>
        <v>No</v>
      </c>
      <c r="D997" t="str">
        <f>IFERROR(INDEX(SETTINGS!$C$15:$C$24,MATCH(A997,SETTINGS!$A$15:$A$24,0)),"No")</f>
        <v>No</v>
      </c>
      <c r="E997">
        <v>5</v>
      </c>
      <c r="F997" t="s">
        <v>38</v>
      </c>
      <c r="G997">
        <v>113</v>
      </c>
      <c r="H997" t="s">
        <v>101</v>
      </c>
      <c r="I997" t="s">
        <v>15</v>
      </c>
      <c r="J997" t="s">
        <v>20</v>
      </c>
      <c r="K997" t="s">
        <v>3</v>
      </c>
      <c r="L997" s="36">
        <f ca="1">IF(C997&lt;&gt;"Yes",0,IF(A997=2025,N('2025'!D113),IF(A997=2026,N('2026'!D113),IF(A997=2027,N('2027'!D113),IF(A997=2028,N('2028'!D113),IF(A997=2029,N('2029'!D113),IF(A997=2030,N('2030'!D113),IF(A997=2031,N('2031'!D113),IF(A997=2032,N('2032'!D113),IF(A997=2033,N('2033'!D113),IF(A997=2034,N('2034'!D113),IFERROR(N(INDIRECT("'"&amp;A997&amp;"'!D"&amp;G997)),0))))))))))))</f>
        <v>0</v>
      </c>
      <c r="M997" s="36">
        <f>IFERROR(IF(NOT(ISBLANK(KPI_TARGETS!$K$12)),KPI_TARGETS!$K$12,IF(NOT(ISBLANK(KPI_TARGETS!$F$12)),KPI_TARGETS!$F$12,"")),"")</f>
        <v>0</v>
      </c>
      <c r="N997" s="36" t="str">
        <f>IFERROR(KPI_TARGETS!$E$12,"Higher is better")</f>
        <v>Lower is better</v>
      </c>
      <c r="O997" s="37">
        <f t="shared" ca="1" si="90"/>
        <v>1</v>
      </c>
      <c r="P997" t="str">
        <f t="shared" ca="1" si="91"/>
        <v>Green</v>
      </c>
      <c r="Q997" s="36">
        <f t="shared" ca="1" si="92"/>
        <v>0</v>
      </c>
      <c r="R997" s="36" t="str">
        <f>""</f>
        <v/>
      </c>
      <c r="S997" s="36" t="str">
        <f>""</f>
        <v/>
      </c>
      <c r="T997" s="36" t="str">
        <f>""</f>
        <v/>
      </c>
      <c r="U997" s="36" t="str">
        <f>""</f>
        <v/>
      </c>
      <c r="V997" s="36" t="str">
        <f>""</f>
        <v/>
      </c>
      <c r="W997" s="36">
        <f t="shared" si="93"/>
        <v>1</v>
      </c>
      <c r="X997" t="str">
        <f t="shared" si="94"/>
        <v>Inactive</v>
      </c>
      <c r="Y997" t="str">
        <f>IF(MAIN!$H$3="Selected Year",IF(A997=MAIN!$B$3,"Yes","No"),IF(MAIN!$H$3="Included Years",IF(D997="Yes","Yes","No"),IF(C997="Yes","Yes","No")))</f>
        <v>No</v>
      </c>
      <c r="Z997" t="str">
        <f>IF(MAIN!$F$3="Project to Date",IF(AND(A997&gt;=SETTINGS!$B$4,A997&lt;MAIN!$B$3),"Yes",IF(AND(A997=MAIN!$B$3,E997&lt;=MAIN!$L$3),"Yes","No")),IF(OR(MAIN!$F$3="Full Year",MAIN!$D$3="All"),"Yes",IF(MAIN!$F$3="Monthly",IF(E997=MAIN!$L$3,"Yes","No"),IF(E997&lt;=MAIN!$L$3,"Yes","No"))))</f>
        <v>Yes</v>
      </c>
      <c r="AA997" t="str">
        <f t="shared" si="95"/>
        <v>No</v>
      </c>
    </row>
    <row r="998" spans="1:27" x14ac:dyDescent="0.3">
      <c r="A998">
        <f>INDEX(SETTINGS!$A$15:$A$24,$B998)</f>
        <v>2029</v>
      </c>
      <c r="B998">
        <v>5</v>
      </c>
      <c r="C998" t="str">
        <f>IF(AND(A998&gt;=SETTINGS!$B$4,A998&lt;=SETTINGS!$B$5),"Yes","No")</f>
        <v>No</v>
      </c>
      <c r="D998" t="str">
        <f>IFERROR(INDEX(SETTINGS!$C$15:$C$24,MATCH(A998,SETTINGS!$A$15:$A$24,0)),"No")</f>
        <v>No</v>
      </c>
      <c r="E998">
        <v>5</v>
      </c>
      <c r="F998" t="s">
        <v>38</v>
      </c>
      <c r="G998">
        <v>114</v>
      </c>
      <c r="H998" t="s">
        <v>102</v>
      </c>
      <c r="I998" t="s">
        <v>15</v>
      </c>
      <c r="J998" t="s">
        <v>21</v>
      </c>
      <c r="K998" t="s">
        <v>3</v>
      </c>
      <c r="L998" s="36">
        <f ca="1">IF(C998&lt;&gt;"Yes",0,IF(A998=2025,N('2025'!D114),IF(A998=2026,N('2026'!D114),IF(A998=2027,N('2027'!D114),IF(A998=2028,N('2028'!D114),IF(A998=2029,N('2029'!D114),IF(A998=2030,N('2030'!D114),IF(A998=2031,N('2031'!D114),IF(A998=2032,N('2032'!D114),IF(A998=2033,N('2033'!D114),IF(A998=2034,N('2034'!D114),IFERROR(N(INDIRECT("'"&amp;A998&amp;"'!D"&amp;G998)),0))))))))))))</f>
        <v>0</v>
      </c>
      <c r="M998" s="36">
        <f>IFERROR(IF(NOT(ISBLANK(KPI_TARGETS!$K$13)),KPI_TARGETS!$K$13,IF(NOT(ISBLANK(KPI_TARGETS!$F$13)),KPI_TARGETS!$F$13,"")),"")</f>
        <v>0</v>
      </c>
      <c r="N998" s="36" t="str">
        <f>IFERROR(KPI_TARGETS!$E$13,"Higher is better")</f>
        <v>Lower is better</v>
      </c>
      <c r="O998" s="37">
        <f t="shared" ca="1" si="90"/>
        <v>1</v>
      </c>
      <c r="P998" t="str">
        <f t="shared" ca="1" si="91"/>
        <v>Green</v>
      </c>
      <c r="Q998" s="36">
        <f t="shared" ca="1" si="92"/>
        <v>0</v>
      </c>
      <c r="R998" s="36" t="str">
        <f>""</f>
        <v/>
      </c>
      <c r="S998" s="36" t="str">
        <f>""</f>
        <v/>
      </c>
      <c r="T998" s="36" t="str">
        <f>""</f>
        <v/>
      </c>
      <c r="U998" s="36" t="str">
        <f>""</f>
        <v/>
      </c>
      <c r="V998" s="36" t="str">
        <f>""</f>
        <v/>
      </c>
      <c r="W998" s="36">
        <f t="shared" si="93"/>
        <v>1</v>
      </c>
      <c r="X998" t="str">
        <f t="shared" si="94"/>
        <v>Inactive</v>
      </c>
      <c r="Y998" t="str">
        <f>IF(MAIN!$H$3="Selected Year",IF(A998=MAIN!$B$3,"Yes","No"),IF(MAIN!$H$3="Included Years",IF(D998="Yes","Yes","No"),IF(C998="Yes","Yes","No")))</f>
        <v>No</v>
      </c>
      <c r="Z998" t="str">
        <f>IF(MAIN!$F$3="Project to Date",IF(AND(A998&gt;=SETTINGS!$B$4,A998&lt;MAIN!$B$3),"Yes",IF(AND(A998=MAIN!$B$3,E998&lt;=MAIN!$L$3),"Yes","No")),IF(OR(MAIN!$F$3="Full Year",MAIN!$D$3="All"),"Yes",IF(MAIN!$F$3="Monthly",IF(E998=MAIN!$L$3,"Yes","No"),IF(E998&lt;=MAIN!$L$3,"Yes","No"))))</f>
        <v>Yes</v>
      </c>
      <c r="AA998" t="str">
        <f t="shared" si="95"/>
        <v>No</v>
      </c>
    </row>
    <row r="999" spans="1:27" x14ac:dyDescent="0.3">
      <c r="A999">
        <f>INDEX(SETTINGS!$A$15:$A$24,$B999)</f>
        <v>2029</v>
      </c>
      <c r="B999">
        <v>5</v>
      </c>
      <c r="C999" t="str">
        <f>IF(AND(A999&gt;=SETTINGS!$B$4,A999&lt;=SETTINGS!$B$5),"Yes","No")</f>
        <v>No</v>
      </c>
      <c r="D999" t="str">
        <f>IFERROR(INDEX(SETTINGS!$C$15:$C$24,MATCH(A999,SETTINGS!$A$15:$A$24,0)),"No")</f>
        <v>No</v>
      </c>
      <c r="E999">
        <v>5</v>
      </c>
      <c r="F999" t="s">
        <v>38</v>
      </c>
      <c r="G999">
        <v>116</v>
      </c>
      <c r="H999" t="s">
        <v>103</v>
      </c>
      <c r="I999" t="s">
        <v>22</v>
      </c>
      <c r="J999" t="s">
        <v>23</v>
      </c>
      <c r="K999" t="s">
        <v>3</v>
      </c>
      <c r="L999" s="36">
        <f ca="1">IF(C999&lt;&gt;"Yes",0,IF(A999=2025,N('2025'!D116),IF(A999=2026,N('2026'!D116),IF(A999=2027,N('2027'!D116),IF(A999=2028,N('2028'!D116),IF(A999=2029,N('2029'!D116),IF(A999=2030,N('2030'!D116),IF(A999=2031,N('2031'!D116),IF(A999=2032,N('2032'!D116),IF(A999=2033,N('2033'!D116),IF(A999=2034,N('2034'!D116),IFERROR(N(INDIRECT("'"&amp;A999&amp;"'!D"&amp;G999)),0))))))))))))</f>
        <v>0</v>
      </c>
      <c r="M999" s="36">
        <f>IFERROR(IF(NOT(ISBLANK(KPI_TARGETS!$K$14)),KPI_TARGETS!$K$14,IF(NOT(ISBLANK(KPI_TARGETS!$F$14)),KPI_TARGETS!$F$14,"")),"")</f>
        <v>35</v>
      </c>
      <c r="N999" s="36" t="str">
        <f>IFERROR(KPI_TARGETS!$E$14,"Higher is better")</f>
        <v>Higher is better</v>
      </c>
      <c r="O999" s="37">
        <f t="shared" ca="1" si="90"/>
        <v>0</v>
      </c>
      <c r="P999" t="str">
        <f t="shared" ca="1" si="91"/>
        <v>Red</v>
      </c>
      <c r="Q999" s="36">
        <f t="shared" ca="1" si="92"/>
        <v>-35</v>
      </c>
      <c r="R999" s="36" t="str">
        <f>""</f>
        <v/>
      </c>
      <c r="S999" s="36" t="str">
        <f>""</f>
        <v/>
      </c>
      <c r="T999" s="36" t="str">
        <f>""</f>
        <v/>
      </c>
      <c r="U999" s="36" t="str">
        <f>""</f>
        <v/>
      </c>
      <c r="V999" s="36" t="str">
        <f>""</f>
        <v/>
      </c>
      <c r="W999" s="36">
        <f t="shared" si="93"/>
        <v>1</v>
      </c>
      <c r="X999" t="str">
        <f t="shared" si="94"/>
        <v>Inactive</v>
      </c>
      <c r="Y999" t="str">
        <f>IF(MAIN!$H$3="Selected Year",IF(A999=MAIN!$B$3,"Yes","No"),IF(MAIN!$H$3="Included Years",IF(D999="Yes","Yes","No"),IF(C999="Yes","Yes","No")))</f>
        <v>No</v>
      </c>
      <c r="Z999" t="str">
        <f>IF(MAIN!$F$3="Project to Date",IF(AND(A999&gt;=SETTINGS!$B$4,A999&lt;MAIN!$B$3),"Yes",IF(AND(A999=MAIN!$B$3,E999&lt;=MAIN!$L$3),"Yes","No")),IF(OR(MAIN!$F$3="Full Year",MAIN!$D$3="All"),"Yes",IF(MAIN!$F$3="Monthly",IF(E999=MAIN!$L$3,"Yes","No"),IF(E999&lt;=MAIN!$L$3,"Yes","No"))))</f>
        <v>Yes</v>
      </c>
      <c r="AA999" t="str">
        <f t="shared" si="95"/>
        <v>No</v>
      </c>
    </row>
    <row r="1000" spans="1:27" x14ac:dyDescent="0.3">
      <c r="A1000">
        <f>INDEX(SETTINGS!$A$15:$A$24,$B1000)</f>
        <v>2029</v>
      </c>
      <c r="B1000">
        <v>5</v>
      </c>
      <c r="C1000" t="str">
        <f>IF(AND(A1000&gt;=SETTINGS!$B$4,A1000&lt;=SETTINGS!$B$5),"Yes","No")</f>
        <v>No</v>
      </c>
      <c r="D1000" t="str">
        <f>IFERROR(INDEX(SETTINGS!$C$15:$C$24,MATCH(A1000,SETTINGS!$A$15:$A$24,0)),"No")</f>
        <v>No</v>
      </c>
      <c r="E1000">
        <v>5</v>
      </c>
      <c r="F1000" t="s">
        <v>38</v>
      </c>
      <c r="G1000">
        <v>117</v>
      </c>
      <c r="H1000" t="s">
        <v>104</v>
      </c>
      <c r="I1000" t="s">
        <v>22</v>
      </c>
      <c r="J1000" t="s">
        <v>24</v>
      </c>
      <c r="K1000" t="s">
        <v>3</v>
      </c>
      <c r="L1000" s="36">
        <f ca="1">IF(C1000&lt;&gt;"Yes",0,IF(A1000=2025,N('2025'!D117),IF(A1000=2026,N('2026'!D117),IF(A1000=2027,N('2027'!D117),IF(A1000=2028,N('2028'!D117),IF(A1000=2029,N('2029'!D117),IF(A1000=2030,N('2030'!D117),IF(A1000=2031,N('2031'!D117),IF(A1000=2032,N('2032'!D117),IF(A1000=2033,N('2033'!D117),IF(A1000=2034,N('2034'!D117),IFERROR(N(INDIRECT("'"&amp;A1000&amp;"'!D"&amp;G1000)),0))))))))))))</f>
        <v>0</v>
      </c>
      <c r="M1000" s="36">
        <f>IFERROR(IF(NOT(ISBLANK(KPI_TARGETS!$K$15)),KPI_TARGETS!$K$15,IF(NOT(ISBLANK(KPI_TARGETS!$F$15)),KPI_TARGETS!$F$15,"")),"")</f>
        <v>5</v>
      </c>
      <c r="N1000" s="36" t="str">
        <f>IFERROR(KPI_TARGETS!$E$15,"Higher is better")</f>
        <v>Higher is better</v>
      </c>
      <c r="O1000" s="37">
        <f t="shared" ca="1" si="90"/>
        <v>0</v>
      </c>
      <c r="P1000" t="str">
        <f t="shared" ca="1" si="91"/>
        <v>Red</v>
      </c>
      <c r="Q1000" s="36">
        <f t="shared" ca="1" si="92"/>
        <v>-5</v>
      </c>
      <c r="R1000" s="36" t="str">
        <f>""</f>
        <v/>
      </c>
      <c r="S1000" s="36" t="str">
        <f>""</f>
        <v/>
      </c>
      <c r="T1000" s="36" t="str">
        <f>""</f>
        <v/>
      </c>
      <c r="U1000" s="36" t="str">
        <f>""</f>
        <v/>
      </c>
      <c r="V1000" s="36" t="str">
        <f>""</f>
        <v/>
      </c>
      <c r="W1000" s="36">
        <f t="shared" si="93"/>
        <v>1</v>
      </c>
      <c r="X1000" t="str">
        <f t="shared" si="94"/>
        <v>Inactive</v>
      </c>
      <c r="Y1000" t="str">
        <f>IF(MAIN!$H$3="Selected Year",IF(A1000=MAIN!$B$3,"Yes","No"),IF(MAIN!$H$3="Included Years",IF(D1000="Yes","Yes","No"),IF(C1000="Yes","Yes","No")))</f>
        <v>No</v>
      </c>
      <c r="Z1000" t="str">
        <f>IF(MAIN!$F$3="Project to Date",IF(AND(A1000&gt;=SETTINGS!$B$4,A1000&lt;MAIN!$B$3),"Yes",IF(AND(A1000=MAIN!$B$3,E1000&lt;=MAIN!$L$3),"Yes","No")),IF(OR(MAIN!$F$3="Full Year",MAIN!$D$3="All"),"Yes",IF(MAIN!$F$3="Monthly",IF(E1000=MAIN!$L$3,"Yes","No"),IF(E1000&lt;=MAIN!$L$3,"Yes","No"))))</f>
        <v>Yes</v>
      </c>
      <c r="AA1000" t="str">
        <f t="shared" si="95"/>
        <v>No</v>
      </c>
    </row>
    <row r="1001" spans="1:27" x14ac:dyDescent="0.3">
      <c r="A1001">
        <f>INDEX(SETTINGS!$A$15:$A$24,$B1001)</f>
        <v>2029</v>
      </c>
      <c r="B1001">
        <v>5</v>
      </c>
      <c r="C1001" t="str">
        <f>IF(AND(A1001&gt;=SETTINGS!$B$4,A1001&lt;=SETTINGS!$B$5),"Yes","No")</f>
        <v>No</v>
      </c>
      <c r="D1001" t="str">
        <f>IFERROR(INDEX(SETTINGS!$C$15:$C$24,MATCH(A1001,SETTINGS!$A$15:$A$24,0)),"No")</f>
        <v>No</v>
      </c>
      <c r="E1001">
        <v>5</v>
      </c>
      <c r="F1001" t="s">
        <v>38</v>
      </c>
      <c r="G1001">
        <v>118</v>
      </c>
      <c r="H1001" t="s">
        <v>105</v>
      </c>
      <c r="I1001" t="s">
        <v>22</v>
      </c>
      <c r="J1001" t="s">
        <v>25</v>
      </c>
      <c r="K1001" t="s">
        <v>3</v>
      </c>
      <c r="L1001" s="36">
        <f ca="1">IF(C1001&lt;&gt;"Yes",0,IF(A1001=2025,N('2025'!D118),IF(A1001=2026,N('2026'!D118),IF(A1001=2027,N('2027'!D118),IF(A1001=2028,N('2028'!D118),IF(A1001=2029,N('2029'!D118),IF(A1001=2030,N('2030'!D118),IF(A1001=2031,N('2031'!D118),IF(A1001=2032,N('2032'!D118),IF(A1001=2033,N('2033'!D118),IF(A1001=2034,N('2034'!D118),IFERROR(N(INDIRECT("'"&amp;A1001&amp;"'!D"&amp;G1001)),0))))))))))))</f>
        <v>0</v>
      </c>
      <c r="M1001" s="36">
        <f>IFERROR(IF(NOT(ISBLANK(KPI_TARGETS!$K$16)),KPI_TARGETS!$K$16,IF(NOT(ISBLANK(KPI_TARGETS!$F$16)),KPI_TARGETS!$F$16,"")),"")</f>
        <v>4</v>
      </c>
      <c r="N1001" s="36" t="str">
        <f>IFERROR(KPI_TARGETS!$E$16,"Higher is better")</f>
        <v>Higher is better</v>
      </c>
      <c r="O1001" s="37">
        <f t="shared" ca="1" si="90"/>
        <v>0</v>
      </c>
      <c r="P1001" t="str">
        <f t="shared" ca="1" si="91"/>
        <v>Red</v>
      </c>
      <c r="Q1001" s="36">
        <f t="shared" ca="1" si="92"/>
        <v>-4</v>
      </c>
      <c r="R1001" s="36" t="str">
        <f>""</f>
        <v/>
      </c>
      <c r="S1001" s="36" t="str">
        <f>""</f>
        <v/>
      </c>
      <c r="T1001" s="36" t="str">
        <f>""</f>
        <v/>
      </c>
      <c r="U1001" s="36" t="str">
        <f>""</f>
        <v/>
      </c>
      <c r="V1001" s="36" t="str">
        <f>""</f>
        <v/>
      </c>
      <c r="W1001" s="36">
        <f t="shared" si="93"/>
        <v>1</v>
      </c>
      <c r="X1001" t="str">
        <f t="shared" si="94"/>
        <v>Inactive</v>
      </c>
      <c r="Y1001" t="str">
        <f>IF(MAIN!$H$3="Selected Year",IF(A1001=MAIN!$B$3,"Yes","No"),IF(MAIN!$H$3="Included Years",IF(D1001="Yes","Yes","No"),IF(C1001="Yes","Yes","No")))</f>
        <v>No</v>
      </c>
      <c r="Z1001" t="str">
        <f>IF(MAIN!$F$3="Project to Date",IF(AND(A1001&gt;=SETTINGS!$B$4,A1001&lt;MAIN!$B$3),"Yes",IF(AND(A1001=MAIN!$B$3,E1001&lt;=MAIN!$L$3),"Yes","No")),IF(OR(MAIN!$F$3="Full Year",MAIN!$D$3="All"),"Yes",IF(MAIN!$F$3="Monthly",IF(E1001=MAIN!$L$3,"Yes","No"),IF(E1001&lt;=MAIN!$L$3,"Yes","No"))))</f>
        <v>Yes</v>
      </c>
      <c r="AA1001" t="str">
        <f t="shared" si="95"/>
        <v>No</v>
      </c>
    </row>
    <row r="1002" spans="1:27" x14ac:dyDescent="0.3">
      <c r="A1002">
        <f>INDEX(SETTINGS!$A$15:$A$24,$B1002)</f>
        <v>2029</v>
      </c>
      <c r="B1002">
        <v>5</v>
      </c>
      <c r="C1002" t="str">
        <f>IF(AND(A1002&gt;=SETTINGS!$B$4,A1002&lt;=SETTINGS!$B$5),"Yes","No")</f>
        <v>No</v>
      </c>
      <c r="D1002" t="str">
        <f>IFERROR(INDEX(SETTINGS!$C$15:$C$24,MATCH(A1002,SETTINGS!$A$15:$A$24,0)),"No")</f>
        <v>No</v>
      </c>
      <c r="E1002">
        <v>5</v>
      </c>
      <c r="F1002" t="s">
        <v>38</v>
      </c>
      <c r="G1002">
        <v>119</v>
      </c>
      <c r="H1002" t="s">
        <v>106</v>
      </c>
      <c r="I1002" t="s">
        <v>22</v>
      </c>
      <c r="J1002" t="s">
        <v>26</v>
      </c>
      <c r="K1002" t="s">
        <v>3</v>
      </c>
      <c r="L1002" s="36">
        <f ca="1">IF(C1002&lt;&gt;"Yes",0,IF(A1002=2025,N('2025'!D119),IF(A1002=2026,N('2026'!D119),IF(A1002=2027,N('2027'!D119),IF(A1002=2028,N('2028'!D119),IF(A1002=2029,N('2029'!D119),IF(A1002=2030,N('2030'!D119),IF(A1002=2031,N('2031'!D119),IF(A1002=2032,N('2032'!D119),IF(A1002=2033,N('2033'!D119),IF(A1002=2034,N('2034'!D119),IFERROR(N(INDIRECT("'"&amp;A1002&amp;"'!D"&amp;G1002)),0))))))))))))</f>
        <v>0</v>
      </c>
      <c r="M1002" s="36">
        <f>IFERROR(IF(NOT(ISBLANK(KPI_TARGETS!$K$17)),KPI_TARGETS!$K$17,IF(NOT(ISBLANK(KPI_TARGETS!$F$17)),KPI_TARGETS!$F$17,"")),"")</f>
        <v>12</v>
      </c>
      <c r="N1002" s="36" t="str">
        <f>IFERROR(KPI_TARGETS!$E$17,"Higher is better")</f>
        <v>Higher is better</v>
      </c>
      <c r="O1002" s="37">
        <f t="shared" ca="1" si="90"/>
        <v>0</v>
      </c>
      <c r="P1002" t="str">
        <f t="shared" ca="1" si="91"/>
        <v>Red</v>
      </c>
      <c r="Q1002" s="36">
        <f t="shared" ca="1" si="92"/>
        <v>-12</v>
      </c>
      <c r="R1002" s="36" t="str">
        <f>""</f>
        <v/>
      </c>
      <c r="S1002" s="36" t="str">
        <f>""</f>
        <v/>
      </c>
      <c r="T1002" s="36" t="str">
        <f>""</f>
        <v/>
      </c>
      <c r="U1002" s="36" t="str">
        <f>""</f>
        <v/>
      </c>
      <c r="V1002" s="36" t="str">
        <f>""</f>
        <v/>
      </c>
      <c r="W1002" s="36">
        <f t="shared" si="93"/>
        <v>1</v>
      </c>
      <c r="X1002" t="str">
        <f t="shared" si="94"/>
        <v>Inactive</v>
      </c>
      <c r="Y1002" t="str">
        <f>IF(MAIN!$H$3="Selected Year",IF(A1002=MAIN!$B$3,"Yes","No"),IF(MAIN!$H$3="Included Years",IF(D1002="Yes","Yes","No"),IF(C1002="Yes","Yes","No")))</f>
        <v>No</v>
      </c>
      <c r="Z1002" t="str">
        <f>IF(MAIN!$F$3="Project to Date",IF(AND(A1002&gt;=SETTINGS!$B$4,A1002&lt;MAIN!$B$3),"Yes",IF(AND(A1002=MAIN!$B$3,E1002&lt;=MAIN!$L$3),"Yes","No")),IF(OR(MAIN!$F$3="Full Year",MAIN!$D$3="All"),"Yes",IF(MAIN!$F$3="Monthly",IF(E1002=MAIN!$L$3,"Yes","No"),IF(E1002&lt;=MAIN!$L$3,"Yes","No"))))</f>
        <v>Yes</v>
      </c>
      <c r="AA1002" t="str">
        <f t="shared" si="95"/>
        <v>No</v>
      </c>
    </row>
    <row r="1003" spans="1:27" x14ac:dyDescent="0.3">
      <c r="A1003">
        <f>INDEX(SETTINGS!$A$15:$A$24,$B1003)</f>
        <v>2029</v>
      </c>
      <c r="B1003">
        <v>5</v>
      </c>
      <c r="C1003" t="str">
        <f>IF(AND(A1003&gt;=SETTINGS!$B$4,A1003&lt;=SETTINGS!$B$5),"Yes","No")</f>
        <v>No</v>
      </c>
      <c r="D1003" t="str">
        <f>IFERROR(INDEX(SETTINGS!$C$15:$C$24,MATCH(A1003,SETTINGS!$A$15:$A$24,0)),"No")</f>
        <v>No</v>
      </c>
      <c r="E1003">
        <v>5</v>
      </c>
      <c r="F1003" t="s">
        <v>38</v>
      </c>
      <c r="G1003">
        <v>120</v>
      </c>
      <c r="H1003" t="s">
        <v>107</v>
      </c>
      <c r="I1003" t="s">
        <v>22</v>
      </c>
      <c r="J1003" t="s">
        <v>27</v>
      </c>
      <c r="K1003" t="s">
        <v>3</v>
      </c>
      <c r="L1003" s="36">
        <f ca="1">IF(C1003&lt;&gt;"Yes",0,IF(A1003=2025,N('2025'!D120),IF(A1003=2026,N('2026'!D120),IF(A1003=2027,N('2027'!D120),IF(A1003=2028,N('2028'!D120),IF(A1003=2029,N('2029'!D120),IF(A1003=2030,N('2030'!D120),IF(A1003=2031,N('2031'!D120),IF(A1003=2032,N('2032'!D120),IF(A1003=2033,N('2033'!D120),IF(A1003=2034,N('2034'!D120),IFERROR(N(INDIRECT("'"&amp;A1003&amp;"'!D"&amp;G1003)),0))))))))))))</f>
        <v>0</v>
      </c>
      <c r="M1003" s="36">
        <f>IFERROR(IF(NOT(ISBLANK(KPI_TARGETS!$K$18)),KPI_TARGETS!$K$18,IF(NOT(ISBLANK(KPI_TARGETS!$F$18)),KPI_TARGETS!$F$18,"")),"")</f>
        <v>4</v>
      </c>
      <c r="N1003" s="36" t="str">
        <f>IFERROR(KPI_TARGETS!$E$18,"Higher is better")</f>
        <v>Higher is better</v>
      </c>
      <c r="O1003" s="37">
        <f t="shared" ca="1" si="90"/>
        <v>0</v>
      </c>
      <c r="P1003" t="str">
        <f t="shared" ca="1" si="91"/>
        <v>Red</v>
      </c>
      <c r="Q1003" s="36">
        <f t="shared" ca="1" si="92"/>
        <v>-4</v>
      </c>
      <c r="R1003" s="36" t="str">
        <f>""</f>
        <v/>
      </c>
      <c r="S1003" s="36" t="str">
        <f>""</f>
        <v/>
      </c>
      <c r="T1003" s="36" t="str">
        <f>""</f>
        <v/>
      </c>
      <c r="U1003" s="36" t="str">
        <f>""</f>
        <v/>
      </c>
      <c r="V1003" s="36" t="str">
        <f>""</f>
        <v/>
      </c>
      <c r="W1003" s="36">
        <f t="shared" si="93"/>
        <v>1</v>
      </c>
      <c r="X1003" t="str">
        <f t="shared" si="94"/>
        <v>Inactive</v>
      </c>
      <c r="Y1003" t="str">
        <f>IF(MAIN!$H$3="Selected Year",IF(A1003=MAIN!$B$3,"Yes","No"),IF(MAIN!$H$3="Included Years",IF(D1003="Yes","Yes","No"),IF(C1003="Yes","Yes","No")))</f>
        <v>No</v>
      </c>
      <c r="Z1003" t="str">
        <f>IF(MAIN!$F$3="Project to Date",IF(AND(A1003&gt;=SETTINGS!$B$4,A1003&lt;MAIN!$B$3),"Yes",IF(AND(A1003=MAIN!$B$3,E1003&lt;=MAIN!$L$3),"Yes","No")),IF(OR(MAIN!$F$3="Full Year",MAIN!$D$3="All"),"Yes",IF(MAIN!$F$3="Monthly",IF(E1003=MAIN!$L$3,"Yes","No"),IF(E1003&lt;=MAIN!$L$3,"Yes","No"))))</f>
        <v>Yes</v>
      </c>
      <c r="AA1003" t="str">
        <f t="shared" si="95"/>
        <v>No</v>
      </c>
    </row>
    <row r="1004" spans="1:27" x14ac:dyDescent="0.3">
      <c r="A1004">
        <f>INDEX(SETTINGS!$A$15:$A$24,$B1004)</f>
        <v>2029</v>
      </c>
      <c r="B1004">
        <v>5</v>
      </c>
      <c r="C1004" t="str">
        <f>IF(AND(A1004&gt;=SETTINGS!$B$4,A1004&lt;=SETTINGS!$B$5),"Yes","No")</f>
        <v>No</v>
      </c>
      <c r="D1004" t="str">
        <f>IFERROR(INDEX(SETTINGS!$C$15:$C$24,MATCH(A1004,SETTINGS!$A$15:$A$24,0)),"No")</f>
        <v>No</v>
      </c>
      <c r="E1004">
        <v>5</v>
      </c>
      <c r="F1004" t="s">
        <v>38</v>
      </c>
      <c r="G1004">
        <v>121</v>
      </c>
      <c r="H1004" t="s">
        <v>108</v>
      </c>
      <c r="I1004" t="s">
        <v>22</v>
      </c>
      <c r="J1004" t="s">
        <v>28</v>
      </c>
      <c r="K1004" t="s">
        <v>3</v>
      </c>
      <c r="L1004" s="36">
        <f ca="1">IF(C1004&lt;&gt;"Yes",0,IF(A1004=2025,N('2025'!D121),IF(A1004=2026,N('2026'!D121),IF(A1004=2027,N('2027'!D121),IF(A1004=2028,N('2028'!D121),IF(A1004=2029,N('2029'!D121),IF(A1004=2030,N('2030'!D121),IF(A1004=2031,N('2031'!D121),IF(A1004=2032,N('2032'!D121),IF(A1004=2033,N('2033'!D121),IF(A1004=2034,N('2034'!D121),IFERROR(N(INDIRECT("'"&amp;A1004&amp;"'!D"&amp;G1004)),0))))))))))))</f>
        <v>0</v>
      </c>
      <c r="M1004" s="36">
        <f>IFERROR(IF(NOT(ISBLANK(KPI_TARGETS!$K$19)),KPI_TARGETS!$K$19,IF(NOT(ISBLANK(KPI_TARGETS!$F$19)),KPI_TARGETS!$F$19,"")),"")</f>
        <v>16</v>
      </c>
      <c r="N1004" s="36" t="str">
        <f>IFERROR(KPI_TARGETS!$E$19,"Higher is better")</f>
        <v>Higher is better</v>
      </c>
      <c r="O1004" s="37">
        <f t="shared" ca="1" si="90"/>
        <v>0</v>
      </c>
      <c r="P1004" t="str">
        <f t="shared" ca="1" si="91"/>
        <v>Red</v>
      </c>
      <c r="Q1004" s="36">
        <f t="shared" ca="1" si="92"/>
        <v>-16</v>
      </c>
      <c r="R1004" s="36" t="str">
        <f>""</f>
        <v/>
      </c>
      <c r="S1004" s="36" t="str">
        <f>""</f>
        <v/>
      </c>
      <c r="T1004" s="36" t="str">
        <f>""</f>
        <v/>
      </c>
      <c r="U1004" s="36" t="str">
        <f>""</f>
        <v/>
      </c>
      <c r="V1004" s="36" t="str">
        <f>""</f>
        <v/>
      </c>
      <c r="W1004" s="36">
        <f t="shared" si="93"/>
        <v>1</v>
      </c>
      <c r="X1004" t="str">
        <f t="shared" si="94"/>
        <v>Inactive</v>
      </c>
      <c r="Y1004" t="str">
        <f>IF(MAIN!$H$3="Selected Year",IF(A1004=MAIN!$B$3,"Yes","No"),IF(MAIN!$H$3="Included Years",IF(D1004="Yes","Yes","No"),IF(C1004="Yes","Yes","No")))</f>
        <v>No</v>
      </c>
      <c r="Z1004" t="str">
        <f>IF(MAIN!$F$3="Project to Date",IF(AND(A1004&gt;=SETTINGS!$B$4,A1004&lt;MAIN!$B$3),"Yes",IF(AND(A1004=MAIN!$B$3,E1004&lt;=MAIN!$L$3),"Yes","No")),IF(OR(MAIN!$F$3="Full Year",MAIN!$D$3="All"),"Yes",IF(MAIN!$F$3="Monthly",IF(E1004=MAIN!$L$3,"Yes","No"),IF(E1004&lt;=MAIN!$L$3,"Yes","No"))))</f>
        <v>Yes</v>
      </c>
      <c r="AA1004" t="str">
        <f t="shared" si="95"/>
        <v>No</v>
      </c>
    </row>
    <row r="1005" spans="1:27" x14ac:dyDescent="0.3">
      <c r="A1005">
        <f>INDEX(SETTINGS!$A$15:$A$24,$B1005)</f>
        <v>2029</v>
      </c>
      <c r="B1005">
        <v>5</v>
      </c>
      <c r="C1005" t="str">
        <f>IF(AND(A1005&gt;=SETTINGS!$B$4,A1005&lt;=SETTINGS!$B$5),"Yes","No")</f>
        <v>No</v>
      </c>
      <c r="D1005" t="str">
        <f>IFERROR(INDEX(SETTINGS!$C$15:$C$24,MATCH(A1005,SETTINGS!$A$15:$A$24,0)),"No")</f>
        <v>No</v>
      </c>
      <c r="E1005">
        <v>5</v>
      </c>
      <c r="F1005" t="s">
        <v>38</v>
      </c>
      <c r="G1005">
        <v>122</v>
      </c>
      <c r="H1005" t="s">
        <v>109</v>
      </c>
      <c r="I1005" t="s">
        <v>22</v>
      </c>
      <c r="J1005" t="s">
        <v>29</v>
      </c>
      <c r="K1005" t="s">
        <v>3</v>
      </c>
      <c r="L1005" s="36">
        <f ca="1">IF(C1005&lt;&gt;"Yes",0,IF(A1005=2025,N('2025'!D122),IF(A1005=2026,N('2026'!D122),IF(A1005=2027,N('2027'!D122),IF(A1005=2028,N('2028'!D122),IF(A1005=2029,N('2029'!D122),IF(A1005=2030,N('2030'!D122),IF(A1005=2031,N('2031'!D122),IF(A1005=2032,N('2032'!D122),IF(A1005=2033,N('2033'!D122),IF(A1005=2034,N('2034'!D122),IFERROR(N(INDIRECT("'"&amp;A1005&amp;"'!D"&amp;G1005)),0))))))))))))</f>
        <v>0</v>
      </c>
      <c r="M1005" s="36">
        <f>IFERROR(IF(NOT(ISBLANK(KPI_TARGETS!$K$20)),KPI_TARGETS!$K$20,IF(NOT(ISBLANK(KPI_TARGETS!$F$20)),KPI_TARGETS!$F$20,"")),"")</f>
        <v>1</v>
      </c>
      <c r="N1005" s="36" t="str">
        <f>IFERROR(KPI_TARGETS!$E$20,"Higher is better")</f>
        <v>Higher is better</v>
      </c>
      <c r="O1005" s="37">
        <f t="shared" ca="1" si="90"/>
        <v>0</v>
      </c>
      <c r="P1005" t="str">
        <f t="shared" ca="1" si="91"/>
        <v>Red</v>
      </c>
      <c r="Q1005" s="36">
        <f t="shared" ca="1" si="92"/>
        <v>-1</v>
      </c>
      <c r="R1005" s="36" t="str">
        <f>""</f>
        <v/>
      </c>
      <c r="S1005" s="36" t="str">
        <f>""</f>
        <v/>
      </c>
      <c r="T1005" s="36" t="str">
        <f>""</f>
        <v/>
      </c>
      <c r="U1005" s="36" t="str">
        <f>""</f>
        <v/>
      </c>
      <c r="V1005" s="36" t="str">
        <f>""</f>
        <v/>
      </c>
      <c r="W1005" s="36">
        <f t="shared" si="93"/>
        <v>1</v>
      </c>
      <c r="X1005" t="str">
        <f t="shared" si="94"/>
        <v>Inactive</v>
      </c>
      <c r="Y1005" t="str">
        <f>IF(MAIN!$H$3="Selected Year",IF(A1005=MAIN!$B$3,"Yes","No"),IF(MAIN!$H$3="Included Years",IF(D1005="Yes","Yes","No"),IF(C1005="Yes","Yes","No")))</f>
        <v>No</v>
      </c>
      <c r="Z1005" t="str">
        <f>IF(MAIN!$F$3="Project to Date",IF(AND(A1005&gt;=SETTINGS!$B$4,A1005&lt;MAIN!$B$3),"Yes",IF(AND(A1005=MAIN!$B$3,E1005&lt;=MAIN!$L$3),"Yes","No")),IF(OR(MAIN!$F$3="Full Year",MAIN!$D$3="All"),"Yes",IF(MAIN!$F$3="Monthly",IF(E1005=MAIN!$L$3,"Yes","No"),IF(E1005&lt;=MAIN!$L$3,"Yes","No"))))</f>
        <v>Yes</v>
      </c>
      <c r="AA1005" t="str">
        <f t="shared" si="95"/>
        <v>No</v>
      </c>
    </row>
    <row r="1006" spans="1:27" x14ac:dyDescent="0.3">
      <c r="A1006">
        <f>INDEX(SETTINGS!$A$15:$A$24,$B1006)</f>
        <v>2029</v>
      </c>
      <c r="B1006">
        <v>5</v>
      </c>
      <c r="C1006" t="str">
        <f>IF(AND(A1006&gt;=SETTINGS!$B$4,A1006&lt;=SETTINGS!$B$5),"Yes","No")</f>
        <v>No</v>
      </c>
      <c r="D1006" t="str">
        <f>IFERROR(INDEX(SETTINGS!$C$15:$C$24,MATCH(A1006,SETTINGS!$A$15:$A$24,0)),"No")</f>
        <v>No</v>
      </c>
      <c r="E1006">
        <v>5</v>
      </c>
      <c r="F1006" t="s">
        <v>38</v>
      </c>
      <c r="G1006">
        <v>124</v>
      </c>
      <c r="H1006" t="s">
        <v>110</v>
      </c>
      <c r="I1006" t="s">
        <v>30</v>
      </c>
      <c r="J1006" t="s">
        <v>31</v>
      </c>
      <c r="K1006" t="s">
        <v>3</v>
      </c>
      <c r="L1006" s="36">
        <f ca="1">IF(C1006&lt;&gt;"Yes",0,IF(A1006=2025,N('2025'!D124),IF(A1006=2026,N('2026'!D124),IF(A1006=2027,N('2027'!D124),IF(A1006=2028,N('2028'!D124),IF(A1006=2029,N('2029'!D124),IF(A1006=2030,N('2030'!D124),IF(A1006=2031,N('2031'!D124),IF(A1006=2032,N('2032'!D124),IF(A1006=2033,N('2033'!D124),IF(A1006=2034,N('2034'!D124),IFERROR(N(INDIRECT("'"&amp;A1006&amp;"'!D"&amp;G1006)),0))))))))))))</f>
        <v>0</v>
      </c>
      <c r="M1006" s="36">
        <f>IFERROR(IF(NOT(ISBLANK(KPI_TARGETS!$K$21)),KPI_TARGETS!$K$21,IF(NOT(ISBLANK(KPI_TARGETS!$F$21)),KPI_TARGETS!$F$21,"")),"")</f>
        <v>0</v>
      </c>
      <c r="N1006" s="36" t="str">
        <f>IFERROR(KPI_TARGETS!$E$21,"Higher is better")</f>
        <v>Lower is better</v>
      </c>
      <c r="O1006" s="37">
        <f t="shared" ca="1" si="90"/>
        <v>1</v>
      </c>
      <c r="P1006" t="str">
        <f t="shared" ca="1" si="91"/>
        <v>Green</v>
      </c>
      <c r="Q1006" s="36">
        <f t="shared" ca="1" si="92"/>
        <v>0</v>
      </c>
      <c r="R1006" s="36" t="str">
        <f>""</f>
        <v/>
      </c>
      <c r="S1006" s="36" t="str">
        <f>""</f>
        <v/>
      </c>
      <c r="T1006" s="36" t="str">
        <f>""</f>
        <v/>
      </c>
      <c r="U1006" s="36" t="str">
        <f>""</f>
        <v/>
      </c>
      <c r="V1006" s="36" t="str">
        <f>""</f>
        <v/>
      </c>
      <c r="W1006" s="36">
        <f t="shared" si="93"/>
        <v>1</v>
      </c>
      <c r="X1006" t="str">
        <f t="shared" si="94"/>
        <v>Inactive</v>
      </c>
      <c r="Y1006" t="str">
        <f>IF(MAIN!$H$3="Selected Year",IF(A1006=MAIN!$B$3,"Yes","No"),IF(MAIN!$H$3="Included Years",IF(D1006="Yes","Yes","No"),IF(C1006="Yes","Yes","No")))</f>
        <v>No</v>
      </c>
      <c r="Z1006" t="str">
        <f>IF(MAIN!$F$3="Project to Date",IF(AND(A1006&gt;=SETTINGS!$B$4,A1006&lt;MAIN!$B$3),"Yes",IF(AND(A1006=MAIN!$B$3,E1006&lt;=MAIN!$L$3),"Yes","No")),IF(OR(MAIN!$F$3="Full Year",MAIN!$D$3="All"),"Yes",IF(MAIN!$F$3="Monthly",IF(E1006=MAIN!$L$3,"Yes","No"),IF(E1006&lt;=MAIN!$L$3,"Yes","No"))))</f>
        <v>Yes</v>
      </c>
      <c r="AA1006" t="str">
        <f t="shared" si="95"/>
        <v>No</v>
      </c>
    </row>
    <row r="1007" spans="1:27" x14ac:dyDescent="0.3">
      <c r="A1007">
        <f>INDEX(SETTINGS!$A$15:$A$24,$B1007)</f>
        <v>2029</v>
      </c>
      <c r="B1007">
        <v>5</v>
      </c>
      <c r="C1007" t="str">
        <f>IF(AND(A1007&gt;=SETTINGS!$B$4,A1007&lt;=SETTINGS!$B$5),"Yes","No")</f>
        <v>No</v>
      </c>
      <c r="D1007" t="str">
        <f>IFERROR(INDEX(SETTINGS!$C$15:$C$24,MATCH(A1007,SETTINGS!$A$15:$A$24,0)),"No")</f>
        <v>No</v>
      </c>
      <c r="E1007">
        <v>5</v>
      </c>
      <c r="F1007" t="s">
        <v>38</v>
      </c>
      <c r="G1007">
        <v>125</v>
      </c>
      <c r="H1007" t="s">
        <v>111</v>
      </c>
      <c r="I1007" t="s">
        <v>30</v>
      </c>
      <c r="J1007" t="s">
        <v>32</v>
      </c>
      <c r="K1007" t="s">
        <v>3</v>
      </c>
      <c r="L1007" s="36">
        <f ca="1">IF(C1007&lt;&gt;"Yes",0,IF(A1007=2025,N('2025'!D125),IF(A1007=2026,N('2026'!D125),IF(A1007=2027,N('2027'!D125),IF(A1007=2028,N('2028'!D125),IF(A1007=2029,N('2029'!D125),IF(A1007=2030,N('2030'!D125),IF(A1007=2031,N('2031'!D125),IF(A1007=2032,N('2032'!D125),IF(A1007=2033,N('2033'!D125),IF(A1007=2034,N('2034'!D125),IFERROR(N(INDIRECT("'"&amp;A1007&amp;"'!D"&amp;G1007)),0))))))))))))</f>
        <v>0</v>
      </c>
      <c r="M1007" s="36">
        <f>IFERROR(IF(NOT(ISBLANK(KPI_TARGETS!$K$22)),KPI_TARGETS!$K$22,IF(NOT(ISBLANK(KPI_TARGETS!$F$22)),KPI_TARGETS!$F$22,"")),"")</f>
        <v>1</v>
      </c>
      <c r="N1007" s="36" t="str">
        <f>IFERROR(KPI_TARGETS!$E$22,"Higher is better")</f>
        <v>Higher is better</v>
      </c>
      <c r="O1007" s="37">
        <f t="shared" ca="1" si="90"/>
        <v>0</v>
      </c>
      <c r="P1007" t="str">
        <f t="shared" ca="1" si="91"/>
        <v>Red</v>
      </c>
      <c r="Q1007" s="36">
        <f t="shared" ca="1" si="92"/>
        <v>-1</v>
      </c>
      <c r="R1007" s="36" t="str">
        <f>""</f>
        <v/>
      </c>
      <c r="S1007" s="36" t="str">
        <f>""</f>
        <v/>
      </c>
      <c r="T1007" s="36" t="str">
        <f>""</f>
        <v/>
      </c>
      <c r="U1007" s="36" t="str">
        <f>""</f>
        <v/>
      </c>
      <c r="V1007" s="36" t="str">
        <f>""</f>
        <v/>
      </c>
      <c r="W1007" s="36">
        <f t="shared" si="93"/>
        <v>1</v>
      </c>
      <c r="X1007" t="str">
        <f t="shared" si="94"/>
        <v>Inactive</v>
      </c>
      <c r="Y1007" t="str">
        <f>IF(MAIN!$H$3="Selected Year",IF(A1007=MAIN!$B$3,"Yes","No"),IF(MAIN!$H$3="Included Years",IF(D1007="Yes","Yes","No"),IF(C1007="Yes","Yes","No")))</f>
        <v>No</v>
      </c>
      <c r="Z1007" t="str">
        <f>IF(MAIN!$F$3="Project to Date",IF(AND(A1007&gt;=SETTINGS!$B$4,A1007&lt;MAIN!$B$3),"Yes",IF(AND(A1007=MAIN!$B$3,E1007&lt;=MAIN!$L$3),"Yes","No")),IF(OR(MAIN!$F$3="Full Year",MAIN!$D$3="All"),"Yes",IF(MAIN!$F$3="Monthly",IF(E1007=MAIN!$L$3,"Yes","No"),IF(E1007&lt;=MAIN!$L$3,"Yes","No"))))</f>
        <v>Yes</v>
      </c>
      <c r="AA1007" t="str">
        <f t="shared" si="95"/>
        <v>No</v>
      </c>
    </row>
    <row r="1008" spans="1:27" x14ac:dyDescent="0.3">
      <c r="A1008">
        <f>INDEX(SETTINGS!$A$15:$A$24,$B1008)</f>
        <v>2029</v>
      </c>
      <c r="B1008">
        <v>5</v>
      </c>
      <c r="C1008" t="str">
        <f>IF(AND(A1008&gt;=SETTINGS!$B$4,A1008&lt;=SETTINGS!$B$5),"Yes","No")</f>
        <v>No</v>
      </c>
      <c r="D1008" t="str">
        <f>IFERROR(INDEX(SETTINGS!$C$15:$C$24,MATCH(A1008,SETTINGS!$A$15:$A$24,0)),"No")</f>
        <v>No</v>
      </c>
      <c r="E1008">
        <v>5</v>
      </c>
      <c r="F1008" t="s">
        <v>38</v>
      </c>
      <c r="G1008">
        <v>126</v>
      </c>
      <c r="H1008" t="s">
        <v>112</v>
      </c>
      <c r="I1008" t="s">
        <v>30</v>
      </c>
      <c r="J1008" t="s">
        <v>33</v>
      </c>
      <c r="K1008" t="s">
        <v>34</v>
      </c>
      <c r="L1008" s="36">
        <f ca="1">IF(C1008&lt;&gt;"Yes",0,IF(A1008=2025,N('2025'!D126),IF(A1008=2026,N('2026'!D126),IF(A1008=2027,N('2027'!D126),IF(A1008=2028,N('2028'!D126),IF(A1008=2029,N('2029'!D126),IF(A1008=2030,N('2030'!D126),IF(A1008=2031,N('2031'!D126),IF(A1008=2032,N('2032'!D126),IF(A1008=2033,N('2033'!D126),IF(A1008=2034,N('2034'!D126),IFERROR(N(INDIRECT("'"&amp;A1008&amp;"'!D"&amp;G1008)),0))))))))))))</f>
        <v>0</v>
      </c>
      <c r="M1008" s="36">
        <f>IFERROR(IF(NOT(ISBLANK(KPI_TARGETS!$K$23)),KPI_TARGETS!$K$23,IF(NOT(ISBLANK(KPI_TARGETS!$F$23)),KPI_TARGETS!$F$23,"")),"")</f>
        <v>1</v>
      </c>
      <c r="N1008" s="36" t="str">
        <f>IFERROR(KPI_TARGETS!$E$23,"Higher is better")</f>
        <v>Higher is better</v>
      </c>
      <c r="O1008" s="37">
        <f t="shared" ca="1" si="90"/>
        <v>0</v>
      </c>
      <c r="P1008" t="str">
        <f t="shared" ca="1" si="91"/>
        <v>Red</v>
      </c>
      <c r="Q1008" s="36">
        <f t="shared" ca="1" si="92"/>
        <v>-1</v>
      </c>
      <c r="R1008" s="36" t="str">
        <f>""</f>
        <v/>
      </c>
      <c r="S1008" s="36" t="str">
        <f>""</f>
        <v/>
      </c>
      <c r="T1008" s="36" t="str">
        <f>""</f>
        <v/>
      </c>
      <c r="U1008" s="36" t="str">
        <f>""</f>
        <v/>
      </c>
      <c r="V1008" s="36" t="str">
        <f>""</f>
        <v/>
      </c>
      <c r="W1008" s="36">
        <f t="shared" si="93"/>
        <v>1</v>
      </c>
      <c r="X1008" t="str">
        <f t="shared" si="94"/>
        <v>Inactive</v>
      </c>
      <c r="Y1008" t="str">
        <f>IF(MAIN!$H$3="Selected Year",IF(A1008=MAIN!$B$3,"Yes","No"),IF(MAIN!$H$3="Included Years",IF(D1008="Yes","Yes","No"),IF(C1008="Yes","Yes","No")))</f>
        <v>No</v>
      </c>
      <c r="Z1008" t="str">
        <f>IF(MAIN!$F$3="Project to Date",IF(AND(A1008&gt;=SETTINGS!$B$4,A1008&lt;MAIN!$B$3),"Yes",IF(AND(A1008=MAIN!$B$3,E1008&lt;=MAIN!$L$3),"Yes","No")),IF(OR(MAIN!$F$3="Full Year",MAIN!$D$3="All"),"Yes",IF(MAIN!$F$3="Monthly",IF(E1008=MAIN!$L$3,"Yes","No"),IF(E1008&lt;=MAIN!$L$3,"Yes","No"))))</f>
        <v>Yes</v>
      </c>
      <c r="AA1008" t="str">
        <f t="shared" si="95"/>
        <v>No</v>
      </c>
    </row>
    <row r="1009" spans="1:27" x14ac:dyDescent="0.3">
      <c r="A1009">
        <f>INDEX(SETTINGS!$A$15:$A$24,$B1009)</f>
        <v>2029</v>
      </c>
      <c r="B1009">
        <v>5</v>
      </c>
      <c r="C1009" t="str">
        <f>IF(AND(A1009&gt;=SETTINGS!$B$4,A1009&lt;=SETTINGS!$B$5),"Yes","No")</f>
        <v>No</v>
      </c>
      <c r="D1009" t="str">
        <f>IFERROR(INDEX(SETTINGS!$C$15:$C$24,MATCH(A1009,SETTINGS!$A$15:$A$24,0)),"No")</f>
        <v>No</v>
      </c>
      <c r="E1009">
        <v>6</v>
      </c>
      <c r="F1009" t="s">
        <v>39</v>
      </c>
      <c r="G1009">
        <v>129</v>
      </c>
      <c r="H1009" t="s">
        <v>88</v>
      </c>
      <c r="I1009" t="s">
        <v>89</v>
      </c>
      <c r="J1009" t="s">
        <v>10</v>
      </c>
      <c r="K1009" t="s">
        <v>3</v>
      </c>
      <c r="L1009" s="36">
        <f ca="1">IF(C1009&lt;&gt;"Yes",0,IF(A1009=2025,N('2025'!D129),IF(A1009=2026,N('2026'!D129),IF(A1009=2027,N('2027'!D129),IF(A1009=2028,N('2028'!D129),IF(A1009=2029,N('2029'!D129),IF(A1009=2030,N('2030'!D129),IF(A1009=2031,N('2031'!D129),IF(A1009=2032,N('2032'!D129),IF(A1009=2033,N('2033'!D129),IF(A1009=2034,N('2034'!D129),IFERROR(N(INDIRECT("'"&amp;A1009&amp;"'!D"&amp;G1009)),0))))))))))))</f>
        <v>0</v>
      </c>
      <c r="M1009" s="36">
        <f>IFERROR(IF(NOT(ISBLANK(KPI_TARGETS!$K$5)),KPI_TARGETS!$K$5,IF(NOT(ISBLANK(KPI_TARGETS!$F$5)),KPI_TARGETS!$F$5,"")),"")</f>
        <v>104</v>
      </c>
      <c r="N1009" s="36" t="str">
        <f>IFERROR(KPI_TARGETS!$E$5,"Higher is better")</f>
        <v>Higher is better</v>
      </c>
      <c r="O1009" s="37">
        <f t="shared" ca="1" si="90"/>
        <v>0</v>
      </c>
      <c r="P1009" t="str">
        <f t="shared" ca="1" si="91"/>
        <v>Red</v>
      </c>
      <c r="Q1009" s="36">
        <f t="shared" ca="1" si="92"/>
        <v>-104</v>
      </c>
      <c r="R1009" s="36" t="str">
        <f>""</f>
        <v/>
      </c>
      <c r="S1009" s="36" t="str">
        <f>""</f>
        <v/>
      </c>
      <c r="T1009" s="36" t="str">
        <f>""</f>
        <v/>
      </c>
      <c r="U1009" s="36" t="str">
        <f>""</f>
        <v/>
      </c>
      <c r="V1009" s="36" t="str">
        <f>""</f>
        <v/>
      </c>
      <c r="W1009" s="36">
        <f t="shared" si="93"/>
        <v>1</v>
      </c>
      <c r="X1009" t="str">
        <f t="shared" si="94"/>
        <v>Inactive</v>
      </c>
      <c r="Y1009" t="str">
        <f>IF(MAIN!$H$3="Selected Year",IF(A1009=MAIN!$B$3,"Yes","No"),IF(MAIN!$H$3="Included Years",IF(D1009="Yes","Yes","No"),IF(C1009="Yes","Yes","No")))</f>
        <v>No</v>
      </c>
      <c r="Z1009" t="str">
        <f>IF(MAIN!$F$3="Project to Date",IF(AND(A1009&gt;=SETTINGS!$B$4,A1009&lt;MAIN!$B$3),"Yes",IF(AND(A1009=MAIN!$B$3,E1009&lt;=MAIN!$L$3),"Yes","No")),IF(OR(MAIN!$F$3="Full Year",MAIN!$D$3="All"),"Yes",IF(MAIN!$F$3="Monthly",IF(E1009=MAIN!$L$3,"Yes","No"),IF(E1009&lt;=MAIN!$L$3,"Yes","No"))))</f>
        <v>Yes</v>
      </c>
      <c r="AA1009" t="str">
        <f t="shared" si="95"/>
        <v>No</v>
      </c>
    </row>
    <row r="1010" spans="1:27" x14ac:dyDescent="0.3">
      <c r="A1010">
        <f>INDEX(SETTINGS!$A$15:$A$24,$B1010)</f>
        <v>2029</v>
      </c>
      <c r="B1010">
        <v>5</v>
      </c>
      <c r="C1010" t="str">
        <f>IF(AND(A1010&gt;=SETTINGS!$B$4,A1010&lt;=SETTINGS!$B$5),"Yes","No")</f>
        <v>No</v>
      </c>
      <c r="D1010" t="str">
        <f>IFERROR(INDEX(SETTINGS!$C$15:$C$24,MATCH(A1010,SETTINGS!$A$15:$A$24,0)),"No")</f>
        <v>No</v>
      </c>
      <c r="E1010">
        <v>6</v>
      </c>
      <c r="F1010" t="s">
        <v>39</v>
      </c>
      <c r="G1010">
        <v>130</v>
      </c>
      <c r="H1010" t="s">
        <v>91</v>
      </c>
      <c r="I1010" t="s">
        <v>89</v>
      </c>
      <c r="J1010" t="s">
        <v>11</v>
      </c>
      <c r="K1010" t="s">
        <v>12</v>
      </c>
      <c r="L1010" s="36">
        <f ca="1">IF(C1010&lt;&gt;"Yes",0,IF(A1010=2025,N('2025'!D130),IF(A1010=2026,N('2026'!D130),IF(A1010=2027,N('2027'!D130),IF(A1010=2028,N('2028'!D130),IF(A1010=2029,N('2029'!D130),IF(A1010=2030,N('2030'!D130),IF(A1010=2031,N('2031'!D130),IF(A1010=2032,N('2032'!D130),IF(A1010=2033,N('2033'!D130),IF(A1010=2034,N('2034'!D130),IFERROR(N(INDIRECT("'"&amp;A1010&amp;"'!D"&amp;G1010)),0))))))))))))</f>
        <v>0</v>
      </c>
      <c r="M1010" s="36">
        <f>IFERROR(IF(NOT(ISBLANK(KPI_TARGETS!$K$6)),KPI_TARGETS!$K$6,IF(NOT(ISBLANK(KPI_TARGETS!$F$6)),KPI_TARGETS!$F$6,"")),"")</f>
        <v>4000</v>
      </c>
      <c r="N1010" s="36" t="str">
        <f>IFERROR(KPI_TARGETS!$E$6,"Higher is better")</f>
        <v>Higher is better</v>
      </c>
      <c r="O1010" s="37">
        <f t="shared" ca="1" si="90"/>
        <v>0</v>
      </c>
      <c r="P1010" t="str">
        <f t="shared" ca="1" si="91"/>
        <v>Red</v>
      </c>
      <c r="Q1010" s="36">
        <f t="shared" ca="1" si="92"/>
        <v>-4000</v>
      </c>
      <c r="R1010" s="36" t="str">
        <f>""</f>
        <v/>
      </c>
      <c r="S1010" s="36" t="str">
        <f>""</f>
        <v/>
      </c>
      <c r="T1010" s="36" t="str">
        <f>""</f>
        <v/>
      </c>
      <c r="U1010" s="36" t="str">
        <f>""</f>
        <v/>
      </c>
      <c r="V1010" s="36" t="str">
        <f>""</f>
        <v/>
      </c>
      <c r="W1010" s="36">
        <f t="shared" si="93"/>
        <v>1</v>
      </c>
      <c r="X1010" t="str">
        <f t="shared" si="94"/>
        <v>Inactive</v>
      </c>
      <c r="Y1010" t="str">
        <f>IF(MAIN!$H$3="Selected Year",IF(A1010=MAIN!$B$3,"Yes","No"),IF(MAIN!$H$3="Included Years",IF(D1010="Yes","Yes","No"),IF(C1010="Yes","Yes","No")))</f>
        <v>No</v>
      </c>
      <c r="Z1010" t="str">
        <f>IF(MAIN!$F$3="Project to Date",IF(AND(A1010&gt;=SETTINGS!$B$4,A1010&lt;MAIN!$B$3),"Yes",IF(AND(A1010=MAIN!$B$3,E1010&lt;=MAIN!$L$3),"Yes","No")),IF(OR(MAIN!$F$3="Full Year",MAIN!$D$3="All"),"Yes",IF(MAIN!$F$3="Monthly",IF(E1010=MAIN!$L$3,"Yes","No"),IF(E1010&lt;=MAIN!$L$3,"Yes","No"))))</f>
        <v>Yes</v>
      </c>
      <c r="AA1010" t="str">
        <f t="shared" si="95"/>
        <v>No</v>
      </c>
    </row>
    <row r="1011" spans="1:27" x14ac:dyDescent="0.3">
      <c r="A1011">
        <f>INDEX(SETTINGS!$A$15:$A$24,$B1011)</f>
        <v>2029</v>
      </c>
      <c r="B1011">
        <v>5</v>
      </c>
      <c r="C1011" t="str">
        <f>IF(AND(A1011&gt;=SETTINGS!$B$4,A1011&lt;=SETTINGS!$B$5),"Yes","No")</f>
        <v>No</v>
      </c>
      <c r="D1011" t="str">
        <f>IFERROR(INDEX(SETTINGS!$C$15:$C$24,MATCH(A1011,SETTINGS!$A$15:$A$24,0)),"No")</f>
        <v>No</v>
      </c>
      <c r="E1011">
        <v>6</v>
      </c>
      <c r="F1011" t="s">
        <v>39</v>
      </c>
      <c r="G1011">
        <v>131</v>
      </c>
      <c r="H1011" t="s">
        <v>93</v>
      </c>
      <c r="I1011" t="s">
        <v>89</v>
      </c>
      <c r="J1011" t="s">
        <v>13</v>
      </c>
      <c r="K1011" t="s">
        <v>14</v>
      </c>
      <c r="L1011" s="36">
        <f ca="1">IF(C1011&lt;&gt;"Yes",0,IF(A1011=2025,N('2025'!D131),IF(A1011=2026,N('2026'!D131),IF(A1011=2027,N('2027'!D131),IF(A1011=2028,N('2028'!D131),IF(A1011=2029,N('2029'!D131),IF(A1011=2030,N('2030'!D131),IF(A1011=2031,N('2031'!D131),IF(A1011=2032,N('2032'!D131),IF(A1011=2033,N('2033'!D131),IF(A1011=2034,N('2034'!D131),IFERROR(N(INDIRECT("'"&amp;A1011&amp;"'!D"&amp;G1011)),0))))))))))))</f>
        <v>0</v>
      </c>
      <c r="M1011" s="36">
        <f>IFERROR(IF(NOT(ISBLANK(KPI_TARGETS!$K$7)),KPI_TARGETS!$K$7,IF(NOT(ISBLANK(KPI_TARGETS!$F$7)),KPI_TARGETS!$F$7,"")),"")</f>
        <v>8000</v>
      </c>
      <c r="N1011" s="36" t="str">
        <f>IFERROR(KPI_TARGETS!$E$7,"Higher is better")</f>
        <v>Higher is better</v>
      </c>
      <c r="O1011" s="37">
        <f t="shared" ca="1" si="90"/>
        <v>0</v>
      </c>
      <c r="P1011" t="str">
        <f t="shared" ca="1" si="91"/>
        <v>Red</v>
      </c>
      <c r="Q1011" s="36">
        <f t="shared" ca="1" si="92"/>
        <v>-8000</v>
      </c>
      <c r="R1011" s="36" t="str">
        <f>""</f>
        <v/>
      </c>
      <c r="S1011" s="36" t="str">
        <f>""</f>
        <v/>
      </c>
      <c r="T1011" s="36" t="str">
        <f>""</f>
        <v/>
      </c>
      <c r="U1011" s="36" t="str">
        <f>""</f>
        <v/>
      </c>
      <c r="V1011" s="36" t="str">
        <f>""</f>
        <v/>
      </c>
      <c r="W1011" s="36">
        <f t="shared" si="93"/>
        <v>1</v>
      </c>
      <c r="X1011" t="str">
        <f t="shared" si="94"/>
        <v>Inactive</v>
      </c>
      <c r="Y1011" t="str">
        <f>IF(MAIN!$H$3="Selected Year",IF(A1011=MAIN!$B$3,"Yes","No"),IF(MAIN!$H$3="Included Years",IF(D1011="Yes","Yes","No"),IF(C1011="Yes","Yes","No")))</f>
        <v>No</v>
      </c>
      <c r="Z1011" t="str">
        <f>IF(MAIN!$F$3="Project to Date",IF(AND(A1011&gt;=SETTINGS!$B$4,A1011&lt;MAIN!$B$3),"Yes",IF(AND(A1011=MAIN!$B$3,E1011&lt;=MAIN!$L$3),"Yes","No")),IF(OR(MAIN!$F$3="Full Year",MAIN!$D$3="All"),"Yes",IF(MAIN!$F$3="Monthly",IF(E1011=MAIN!$L$3,"Yes","No"),IF(E1011&lt;=MAIN!$L$3,"Yes","No"))))</f>
        <v>Yes</v>
      </c>
      <c r="AA1011" t="str">
        <f t="shared" si="95"/>
        <v>No</v>
      </c>
    </row>
    <row r="1012" spans="1:27" x14ac:dyDescent="0.3">
      <c r="A1012">
        <f>INDEX(SETTINGS!$A$15:$A$24,$B1012)</f>
        <v>2029</v>
      </c>
      <c r="B1012">
        <v>5</v>
      </c>
      <c r="C1012" t="str">
        <f>IF(AND(A1012&gt;=SETTINGS!$B$4,A1012&lt;=SETTINGS!$B$5),"Yes","No")</f>
        <v>No</v>
      </c>
      <c r="D1012" t="str">
        <f>IFERROR(INDEX(SETTINGS!$C$15:$C$24,MATCH(A1012,SETTINGS!$A$15:$A$24,0)),"No")</f>
        <v>No</v>
      </c>
      <c r="E1012">
        <v>6</v>
      </c>
      <c r="F1012" t="s">
        <v>39</v>
      </c>
      <c r="G1012">
        <v>133</v>
      </c>
      <c r="H1012" t="s">
        <v>95</v>
      </c>
      <c r="I1012" t="s">
        <v>15</v>
      </c>
      <c r="J1012" t="s">
        <v>16</v>
      </c>
      <c r="K1012" t="s">
        <v>3</v>
      </c>
      <c r="L1012" s="36">
        <f ca="1">IF(C1012&lt;&gt;"Yes",0,IF(A1012=2025,N('2025'!D133),IF(A1012=2026,N('2026'!D133),IF(A1012=2027,N('2027'!D133),IF(A1012=2028,N('2028'!D133),IF(A1012=2029,N('2029'!D133),IF(A1012=2030,N('2030'!D133),IF(A1012=2031,N('2031'!D133),IF(A1012=2032,N('2032'!D133),IF(A1012=2033,N('2033'!D133),IF(A1012=2034,N('2034'!D133),IFERROR(N(INDIRECT("'"&amp;A1012&amp;"'!D"&amp;G1012)),0))))))))))))</f>
        <v>0</v>
      </c>
      <c r="M1012" s="36">
        <f>IFERROR(IF(NOT(ISBLANK(KPI_TARGETS!$K$8)),KPI_TARGETS!$K$8,IF(NOT(ISBLANK(KPI_TARGETS!$F$8)),KPI_TARGETS!$F$8,"")),"")</f>
        <v>0</v>
      </c>
      <c r="N1012" s="36" t="str">
        <f>IFERROR(KPI_TARGETS!$E$8,"Higher is better")</f>
        <v>Lower is better</v>
      </c>
      <c r="O1012" s="37">
        <f t="shared" ca="1" si="90"/>
        <v>1</v>
      </c>
      <c r="P1012" t="str">
        <f t="shared" ca="1" si="91"/>
        <v>Green</v>
      </c>
      <c r="Q1012" s="36">
        <f t="shared" ca="1" si="92"/>
        <v>0</v>
      </c>
      <c r="R1012" s="36" t="str">
        <f>""</f>
        <v/>
      </c>
      <c r="S1012" s="36" t="str">
        <f>""</f>
        <v/>
      </c>
      <c r="T1012" s="36" t="str">
        <f>""</f>
        <v/>
      </c>
      <c r="U1012" s="36" t="str">
        <f>""</f>
        <v/>
      </c>
      <c r="V1012" s="36" t="str">
        <f>""</f>
        <v/>
      </c>
      <c r="W1012" s="36">
        <f t="shared" si="93"/>
        <v>1</v>
      </c>
      <c r="X1012" t="str">
        <f t="shared" si="94"/>
        <v>Inactive</v>
      </c>
      <c r="Y1012" t="str">
        <f>IF(MAIN!$H$3="Selected Year",IF(A1012=MAIN!$B$3,"Yes","No"),IF(MAIN!$H$3="Included Years",IF(D1012="Yes","Yes","No"),IF(C1012="Yes","Yes","No")))</f>
        <v>No</v>
      </c>
      <c r="Z1012" t="str">
        <f>IF(MAIN!$F$3="Project to Date",IF(AND(A1012&gt;=SETTINGS!$B$4,A1012&lt;MAIN!$B$3),"Yes",IF(AND(A1012=MAIN!$B$3,E1012&lt;=MAIN!$L$3),"Yes","No")),IF(OR(MAIN!$F$3="Full Year",MAIN!$D$3="All"),"Yes",IF(MAIN!$F$3="Monthly",IF(E1012=MAIN!$L$3,"Yes","No"),IF(E1012&lt;=MAIN!$L$3,"Yes","No"))))</f>
        <v>Yes</v>
      </c>
      <c r="AA1012" t="str">
        <f t="shared" si="95"/>
        <v>No</v>
      </c>
    </row>
    <row r="1013" spans="1:27" x14ac:dyDescent="0.3">
      <c r="A1013">
        <f>INDEX(SETTINGS!$A$15:$A$24,$B1013)</f>
        <v>2029</v>
      </c>
      <c r="B1013">
        <v>5</v>
      </c>
      <c r="C1013" t="str">
        <f>IF(AND(A1013&gt;=SETTINGS!$B$4,A1013&lt;=SETTINGS!$B$5),"Yes","No")</f>
        <v>No</v>
      </c>
      <c r="D1013" t="str">
        <f>IFERROR(INDEX(SETTINGS!$C$15:$C$24,MATCH(A1013,SETTINGS!$A$15:$A$24,0)),"No")</f>
        <v>No</v>
      </c>
      <c r="E1013">
        <v>6</v>
      </c>
      <c r="F1013" t="s">
        <v>39</v>
      </c>
      <c r="G1013">
        <v>134</v>
      </c>
      <c r="H1013" t="s">
        <v>97</v>
      </c>
      <c r="I1013" t="s">
        <v>15</v>
      </c>
      <c r="J1013" t="s">
        <v>17</v>
      </c>
      <c r="K1013" t="s">
        <v>3</v>
      </c>
      <c r="L1013" s="36">
        <f ca="1">IF(C1013&lt;&gt;"Yes",0,IF(A1013=2025,N('2025'!D134),IF(A1013=2026,N('2026'!D134),IF(A1013=2027,N('2027'!D134),IF(A1013=2028,N('2028'!D134),IF(A1013=2029,N('2029'!D134),IF(A1013=2030,N('2030'!D134),IF(A1013=2031,N('2031'!D134),IF(A1013=2032,N('2032'!D134),IF(A1013=2033,N('2033'!D134),IF(A1013=2034,N('2034'!D134),IFERROR(N(INDIRECT("'"&amp;A1013&amp;"'!D"&amp;G1013)),0))))))))))))</f>
        <v>0</v>
      </c>
      <c r="M1013" s="36">
        <f>IFERROR(IF(NOT(ISBLANK(KPI_TARGETS!$K$9)),KPI_TARGETS!$K$9,IF(NOT(ISBLANK(KPI_TARGETS!$F$9)),KPI_TARGETS!$F$9,"")),"")</f>
        <v>0</v>
      </c>
      <c r="N1013" s="36" t="str">
        <f>IFERROR(KPI_TARGETS!$E$9,"Higher is better")</f>
        <v>Higher is better</v>
      </c>
      <c r="O1013" s="37" t="str">
        <f t="shared" ca="1" si="90"/>
        <v/>
      </c>
      <c r="P1013" t="str">
        <f t="shared" ca="1" si="91"/>
        <v>Green</v>
      </c>
      <c r="Q1013" s="36">
        <f t="shared" ca="1" si="92"/>
        <v>0</v>
      </c>
      <c r="R1013" s="36" t="str">
        <f>""</f>
        <v/>
      </c>
      <c r="S1013" s="36" t="str">
        <f>""</f>
        <v/>
      </c>
      <c r="T1013" s="36" t="str">
        <f>""</f>
        <v/>
      </c>
      <c r="U1013" s="36" t="str">
        <f>""</f>
        <v/>
      </c>
      <c r="V1013" s="36" t="str">
        <f>""</f>
        <v/>
      </c>
      <c r="W1013" s="36">
        <f t="shared" si="93"/>
        <v>1</v>
      </c>
      <c r="X1013" t="str">
        <f t="shared" si="94"/>
        <v>Inactive</v>
      </c>
      <c r="Y1013" t="str">
        <f>IF(MAIN!$H$3="Selected Year",IF(A1013=MAIN!$B$3,"Yes","No"),IF(MAIN!$H$3="Included Years",IF(D1013="Yes","Yes","No"),IF(C1013="Yes","Yes","No")))</f>
        <v>No</v>
      </c>
      <c r="Z1013" t="str">
        <f>IF(MAIN!$F$3="Project to Date",IF(AND(A1013&gt;=SETTINGS!$B$4,A1013&lt;MAIN!$B$3),"Yes",IF(AND(A1013=MAIN!$B$3,E1013&lt;=MAIN!$L$3),"Yes","No")),IF(OR(MAIN!$F$3="Full Year",MAIN!$D$3="All"),"Yes",IF(MAIN!$F$3="Monthly",IF(E1013=MAIN!$L$3,"Yes","No"),IF(E1013&lt;=MAIN!$L$3,"Yes","No"))))</f>
        <v>Yes</v>
      </c>
      <c r="AA1013" t="str">
        <f t="shared" si="95"/>
        <v>No</v>
      </c>
    </row>
    <row r="1014" spans="1:27" x14ac:dyDescent="0.3">
      <c r="A1014">
        <f>INDEX(SETTINGS!$A$15:$A$24,$B1014)</f>
        <v>2029</v>
      </c>
      <c r="B1014">
        <v>5</v>
      </c>
      <c r="C1014" t="str">
        <f>IF(AND(A1014&gt;=SETTINGS!$B$4,A1014&lt;=SETTINGS!$B$5),"Yes","No")</f>
        <v>No</v>
      </c>
      <c r="D1014" t="str">
        <f>IFERROR(INDEX(SETTINGS!$C$15:$C$24,MATCH(A1014,SETTINGS!$A$15:$A$24,0)),"No")</f>
        <v>No</v>
      </c>
      <c r="E1014">
        <v>6</v>
      </c>
      <c r="F1014" t="s">
        <v>39</v>
      </c>
      <c r="G1014">
        <v>135</v>
      </c>
      <c r="H1014" t="s">
        <v>99</v>
      </c>
      <c r="I1014" t="s">
        <v>15</v>
      </c>
      <c r="J1014" t="s">
        <v>18</v>
      </c>
      <c r="K1014" t="s">
        <v>3</v>
      </c>
      <c r="L1014" s="36">
        <f ca="1">IF(C1014&lt;&gt;"Yes",0,IF(A1014=2025,N('2025'!D135),IF(A1014=2026,N('2026'!D135),IF(A1014=2027,N('2027'!D135),IF(A1014=2028,N('2028'!D135),IF(A1014=2029,N('2029'!D135),IF(A1014=2030,N('2030'!D135),IF(A1014=2031,N('2031'!D135),IF(A1014=2032,N('2032'!D135),IF(A1014=2033,N('2033'!D135),IF(A1014=2034,N('2034'!D135),IFERROR(N(INDIRECT("'"&amp;A1014&amp;"'!D"&amp;G1014)),0))))))))))))</f>
        <v>0</v>
      </c>
      <c r="M1014" s="36">
        <f>IFERROR(IF(NOT(ISBLANK(KPI_TARGETS!$K$10)),KPI_TARGETS!$K$10,IF(NOT(ISBLANK(KPI_TARGETS!$F$10)),KPI_TARGETS!$F$10,"")),"")</f>
        <v>0</v>
      </c>
      <c r="N1014" s="36" t="str">
        <f>IFERROR(KPI_TARGETS!$E$10,"Higher is better")</f>
        <v>Lower is better</v>
      </c>
      <c r="O1014" s="37">
        <f t="shared" ca="1" si="90"/>
        <v>1</v>
      </c>
      <c r="P1014" t="str">
        <f t="shared" ca="1" si="91"/>
        <v>Green</v>
      </c>
      <c r="Q1014" s="36">
        <f t="shared" ca="1" si="92"/>
        <v>0</v>
      </c>
      <c r="R1014" s="36" t="str">
        <f>""</f>
        <v/>
      </c>
      <c r="S1014" s="36" t="str">
        <f>""</f>
        <v/>
      </c>
      <c r="T1014" s="36" t="str">
        <f>""</f>
        <v/>
      </c>
      <c r="U1014" s="36" t="str">
        <f>""</f>
        <v/>
      </c>
      <c r="V1014" s="36" t="str">
        <f>""</f>
        <v/>
      </c>
      <c r="W1014" s="36">
        <f t="shared" si="93"/>
        <v>1</v>
      </c>
      <c r="X1014" t="str">
        <f t="shared" si="94"/>
        <v>Inactive</v>
      </c>
      <c r="Y1014" t="str">
        <f>IF(MAIN!$H$3="Selected Year",IF(A1014=MAIN!$B$3,"Yes","No"),IF(MAIN!$H$3="Included Years",IF(D1014="Yes","Yes","No"),IF(C1014="Yes","Yes","No")))</f>
        <v>No</v>
      </c>
      <c r="Z1014" t="str">
        <f>IF(MAIN!$F$3="Project to Date",IF(AND(A1014&gt;=SETTINGS!$B$4,A1014&lt;MAIN!$B$3),"Yes",IF(AND(A1014=MAIN!$B$3,E1014&lt;=MAIN!$L$3),"Yes","No")),IF(OR(MAIN!$F$3="Full Year",MAIN!$D$3="All"),"Yes",IF(MAIN!$F$3="Monthly",IF(E1014=MAIN!$L$3,"Yes","No"),IF(E1014&lt;=MAIN!$L$3,"Yes","No"))))</f>
        <v>Yes</v>
      </c>
      <c r="AA1014" t="str">
        <f t="shared" si="95"/>
        <v>No</v>
      </c>
    </row>
    <row r="1015" spans="1:27" x14ac:dyDescent="0.3">
      <c r="A1015">
        <f>INDEX(SETTINGS!$A$15:$A$24,$B1015)</f>
        <v>2029</v>
      </c>
      <c r="B1015">
        <v>5</v>
      </c>
      <c r="C1015" t="str">
        <f>IF(AND(A1015&gt;=SETTINGS!$B$4,A1015&lt;=SETTINGS!$B$5),"Yes","No")</f>
        <v>No</v>
      </c>
      <c r="D1015" t="str">
        <f>IFERROR(INDEX(SETTINGS!$C$15:$C$24,MATCH(A1015,SETTINGS!$A$15:$A$24,0)),"No")</f>
        <v>No</v>
      </c>
      <c r="E1015">
        <v>6</v>
      </c>
      <c r="F1015" t="s">
        <v>39</v>
      </c>
      <c r="G1015">
        <v>136</v>
      </c>
      <c r="H1015" t="s">
        <v>100</v>
      </c>
      <c r="I1015" t="s">
        <v>15</v>
      </c>
      <c r="J1015" t="s">
        <v>19</v>
      </c>
      <c r="K1015" t="s">
        <v>3</v>
      </c>
      <c r="L1015" s="36">
        <f ca="1">IF(C1015&lt;&gt;"Yes",0,IF(A1015=2025,N('2025'!D136),IF(A1015=2026,N('2026'!D136),IF(A1015=2027,N('2027'!D136),IF(A1015=2028,N('2028'!D136),IF(A1015=2029,N('2029'!D136),IF(A1015=2030,N('2030'!D136),IF(A1015=2031,N('2031'!D136),IF(A1015=2032,N('2032'!D136),IF(A1015=2033,N('2033'!D136),IF(A1015=2034,N('2034'!D136),IFERROR(N(INDIRECT("'"&amp;A1015&amp;"'!D"&amp;G1015)),0))))))))))))</f>
        <v>0</v>
      </c>
      <c r="M1015" s="36">
        <f>IFERROR(IF(NOT(ISBLANK(KPI_TARGETS!$K$11)),KPI_TARGETS!$K$11,IF(NOT(ISBLANK(KPI_TARGETS!$F$11)),KPI_TARGETS!$F$11,"")),"")</f>
        <v>0</v>
      </c>
      <c r="N1015" s="36" t="str">
        <f>IFERROR(KPI_TARGETS!$E$11,"Higher is better")</f>
        <v>Lower is better</v>
      </c>
      <c r="O1015" s="37">
        <f t="shared" ca="1" si="90"/>
        <v>1</v>
      </c>
      <c r="P1015" t="str">
        <f t="shared" ca="1" si="91"/>
        <v>Green</v>
      </c>
      <c r="Q1015" s="36">
        <f t="shared" ca="1" si="92"/>
        <v>0</v>
      </c>
      <c r="R1015" s="36" t="str">
        <f>""</f>
        <v/>
      </c>
      <c r="S1015" s="36" t="str">
        <f>""</f>
        <v/>
      </c>
      <c r="T1015" s="36" t="str">
        <f>""</f>
        <v/>
      </c>
      <c r="U1015" s="36" t="str">
        <f>""</f>
        <v/>
      </c>
      <c r="V1015" s="36" t="str">
        <f>""</f>
        <v/>
      </c>
      <c r="W1015" s="36">
        <f t="shared" si="93"/>
        <v>1</v>
      </c>
      <c r="X1015" t="str">
        <f t="shared" si="94"/>
        <v>Inactive</v>
      </c>
      <c r="Y1015" t="str">
        <f>IF(MAIN!$H$3="Selected Year",IF(A1015=MAIN!$B$3,"Yes","No"),IF(MAIN!$H$3="Included Years",IF(D1015="Yes","Yes","No"),IF(C1015="Yes","Yes","No")))</f>
        <v>No</v>
      </c>
      <c r="Z1015" t="str">
        <f>IF(MAIN!$F$3="Project to Date",IF(AND(A1015&gt;=SETTINGS!$B$4,A1015&lt;MAIN!$B$3),"Yes",IF(AND(A1015=MAIN!$B$3,E1015&lt;=MAIN!$L$3),"Yes","No")),IF(OR(MAIN!$F$3="Full Year",MAIN!$D$3="All"),"Yes",IF(MAIN!$F$3="Monthly",IF(E1015=MAIN!$L$3,"Yes","No"),IF(E1015&lt;=MAIN!$L$3,"Yes","No"))))</f>
        <v>Yes</v>
      </c>
      <c r="AA1015" t="str">
        <f t="shared" si="95"/>
        <v>No</v>
      </c>
    </row>
    <row r="1016" spans="1:27" x14ac:dyDescent="0.3">
      <c r="A1016">
        <f>INDEX(SETTINGS!$A$15:$A$24,$B1016)</f>
        <v>2029</v>
      </c>
      <c r="B1016">
        <v>5</v>
      </c>
      <c r="C1016" t="str">
        <f>IF(AND(A1016&gt;=SETTINGS!$B$4,A1016&lt;=SETTINGS!$B$5),"Yes","No")</f>
        <v>No</v>
      </c>
      <c r="D1016" t="str">
        <f>IFERROR(INDEX(SETTINGS!$C$15:$C$24,MATCH(A1016,SETTINGS!$A$15:$A$24,0)),"No")</f>
        <v>No</v>
      </c>
      <c r="E1016">
        <v>6</v>
      </c>
      <c r="F1016" t="s">
        <v>39</v>
      </c>
      <c r="G1016">
        <v>137</v>
      </c>
      <c r="H1016" t="s">
        <v>101</v>
      </c>
      <c r="I1016" t="s">
        <v>15</v>
      </c>
      <c r="J1016" t="s">
        <v>20</v>
      </c>
      <c r="K1016" t="s">
        <v>3</v>
      </c>
      <c r="L1016" s="36">
        <f ca="1">IF(C1016&lt;&gt;"Yes",0,IF(A1016=2025,N('2025'!D137),IF(A1016=2026,N('2026'!D137),IF(A1016=2027,N('2027'!D137),IF(A1016=2028,N('2028'!D137),IF(A1016=2029,N('2029'!D137),IF(A1016=2030,N('2030'!D137),IF(A1016=2031,N('2031'!D137),IF(A1016=2032,N('2032'!D137),IF(A1016=2033,N('2033'!D137),IF(A1016=2034,N('2034'!D137),IFERROR(N(INDIRECT("'"&amp;A1016&amp;"'!D"&amp;G1016)),0))))))))))))</f>
        <v>0</v>
      </c>
      <c r="M1016" s="36">
        <f>IFERROR(IF(NOT(ISBLANK(KPI_TARGETS!$K$12)),KPI_TARGETS!$K$12,IF(NOT(ISBLANK(KPI_TARGETS!$F$12)),KPI_TARGETS!$F$12,"")),"")</f>
        <v>0</v>
      </c>
      <c r="N1016" s="36" t="str">
        <f>IFERROR(KPI_TARGETS!$E$12,"Higher is better")</f>
        <v>Lower is better</v>
      </c>
      <c r="O1016" s="37">
        <f t="shared" ca="1" si="90"/>
        <v>1</v>
      </c>
      <c r="P1016" t="str">
        <f t="shared" ca="1" si="91"/>
        <v>Green</v>
      </c>
      <c r="Q1016" s="36">
        <f t="shared" ca="1" si="92"/>
        <v>0</v>
      </c>
      <c r="R1016" s="36" t="str">
        <f>""</f>
        <v/>
      </c>
      <c r="S1016" s="36" t="str">
        <f>""</f>
        <v/>
      </c>
      <c r="T1016" s="36" t="str">
        <f>""</f>
        <v/>
      </c>
      <c r="U1016" s="36" t="str">
        <f>""</f>
        <v/>
      </c>
      <c r="V1016" s="36" t="str">
        <f>""</f>
        <v/>
      </c>
      <c r="W1016" s="36">
        <f t="shared" si="93"/>
        <v>1</v>
      </c>
      <c r="X1016" t="str">
        <f t="shared" si="94"/>
        <v>Inactive</v>
      </c>
      <c r="Y1016" t="str">
        <f>IF(MAIN!$H$3="Selected Year",IF(A1016=MAIN!$B$3,"Yes","No"),IF(MAIN!$H$3="Included Years",IF(D1016="Yes","Yes","No"),IF(C1016="Yes","Yes","No")))</f>
        <v>No</v>
      </c>
      <c r="Z1016" t="str">
        <f>IF(MAIN!$F$3="Project to Date",IF(AND(A1016&gt;=SETTINGS!$B$4,A1016&lt;MAIN!$B$3),"Yes",IF(AND(A1016=MAIN!$B$3,E1016&lt;=MAIN!$L$3),"Yes","No")),IF(OR(MAIN!$F$3="Full Year",MAIN!$D$3="All"),"Yes",IF(MAIN!$F$3="Monthly",IF(E1016=MAIN!$L$3,"Yes","No"),IF(E1016&lt;=MAIN!$L$3,"Yes","No"))))</f>
        <v>Yes</v>
      </c>
      <c r="AA1016" t="str">
        <f t="shared" si="95"/>
        <v>No</v>
      </c>
    </row>
    <row r="1017" spans="1:27" x14ac:dyDescent="0.3">
      <c r="A1017">
        <f>INDEX(SETTINGS!$A$15:$A$24,$B1017)</f>
        <v>2029</v>
      </c>
      <c r="B1017">
        <v>5</v>
      </c>
      <c r="C1017" t="str">
        <f>IF(AND(A1017&gt;=SETTINGS!$B$4,A1017&lt;=SETTINGS!$B$5),"Yes","No")</f>
        <v>No</v>
      </c>
      <c r="D1017" t="str">
        <f>IFERROR(INDEX(SETTINGS!$C$15:$C$24,MATCH(A1017,SETTINGS!$A$15:$A$24,0)),"No")</f>
        <v>No</v>
      </c>
      <c r="E1017">
        <v>6</v>
      </c>
      <c r="F1017" t="s">
        <v>39</v>
      </c>
      <c r="G1017">
        <v>138</v>
      </c>
      <c r="H1017" t="s">
        <v>102</v>
      </c>
      <c r="I1017" t="s">
        <v>15</v>
      </c>
      <c r="J1017" t="s">
        <v>21</v>
      </c>
      <c r="K1017" t="s">
        <v>3</v>
      </c>
      <c r="L1017" s="36">
        <f ca="1">IF(C1017&lt;&gt;"Yes",0,IF(A1017=2025,N('2025'!D138),IF(A1017=2026,N('2026'!D138),IF(A1017=2027,N('2027'!D138),IF(A1017=2028,N('2028'!D138),IF(A1017=2029,N('2029'!D138),IF(A1017=2030,N('2030'!D138),IF(A1017=2031,N('2031'!D138),IF(A1017=2032,N('2032'!D138),IF(A1017=2033,N('2033'!D138),IF(A1017=2034,N('2034'!D138),IFERROR(N(INDIRECT("'"&amp;A1017&amp;"'!D"&amp;G1017)),0))))))))))))</f>
        <v>0</v>
      </c>
      <c r="M1017" s="36">
        <f>IFERROR(IF(NOT(ISBLANK(KPI_TARGETS!$K$13)),KPI_TARGETS!$K$13,IF(NOT(ISBLANK(KPI_TARGETS!$F$13)),KPI_TARGETS!$F$13,"")),"")</f>
        <v>0</v>
      </c>
      <c r="N1017" s="36" t="str">
        <f>IFERROR(KPI_TARGETS!$E$13,"Higher is better")</f>
        <v>Lower is better</v>
      </c>
      <c r="O1017" s="37">
        <f t="shared" ca="1" si="90"/>
        <v>1</v>
      </c>
      <c r="P1017" t="str">
        <f t="shared" ca="1" si="91"/>
        <v>Green</v>
      </c>
      <c r="Q1017" s="36">
        <f t="shared" ca="1" si="92"/>
        <v>0</v>
      </c>
      <c r="R1017" s="36" t="str">
        <f>""</f>
        <v/>
      </c>
      <c r="S1017" s="36" t="str">
        <f>""</f>
        <v/>
      </c>
      <c r="T1017" s="36" t="str">
        <f>""</f>
        <v/>
      </c>
      <c r="U1017" s="36" t="str">
        <f>""</f>
        <v/>
      </c>
      <c r="V1017" s="36" t="str">
        <f>""</f>
        <v/>
      </c>
      <c r="W1017" s="36">
        <f t="shared" si="93"/>
        <v>1</v>
      </c>
      <c r="X1017" t="str">
        <f t="shared" si="94"/>
        <v>Inactive</v>
      </c>
      <c r="Y1017" t="str">
        <f>IF(MAIN!$H$3="Selected Year",IF(A1017=MAIN!$B$3,"Yes","No"),IF(MAIN!$H$3="Included Years",IF(D1017="Yes","Yes","No"),IF(C1017="Yes","Yes","No")))</f>
        <v>No</v>
      </c>
      <c r="Z1017" t="str">
        <f>IF(MAIN!$F$3="Project to Date",IF(AND(A1017&gt;=SETTINGS!$B$4,A1017&lt;MAIN!$B$3),"Yes",IF(AND(A1017=MAIN!$B$3,E1017&lt;=MAIN!$L$3),"Yes","No")),IF(OR(MAIN!$F$3="Full Year",MAIN!$D$3="All"),"Yes",IF(MAIN!$F$3="Monthly",IF(E1017=MAIN!$L$3,"Yes","No"),IF(E1017&lt;=MAIN!$L$3,"Yes","No"))))</f>
        <v>Yes</v>
      </c>
      <c r="AA1017" t="str">
        <f t="shared" si="95"/>
        <v>No</v>
      </c>
    </row>
    <row r="1018" spans="1:27" x14ac:dyDescent="0.3">
      <c r="A1018">
        <f>INDEX(SETTINGS!$A$15:$A$24,$B1018)</f>
        <v>2029</v>
      </c>
      <c r="B1018">
        <v>5</v>
      </c>
      <c r="C1018" t="str">
        <f>IF(AND(A1018&gt;=SETTINGS!$B$4,A1018&lt;=SETTINGS!$B$5),"Yes","No")</f>
        <v>No</v>
      </c>
      <c r="D1018" t="str">
        <f>IFERROR(INDEX(SETTINGS!$C$15:$C$24,MATCH(A1018,SETTINGS!$A$15:$A$24,0)),"No")</f>
        <v>No</v>
      </c>
      <c r="E1018">
        <v>6</v>
      </c>
      <c r="F1018" t="s">
        <v>39</v>
      </c>
      <c r="G1018">
        <v>140</v>
      </c>
      <c r="H1018" t="s">
        <v>103</v>
      </c>
      <c r="I1018" t="s">
        <v>22</v>
      </c>
      <c r="J1018" t="s">
        <v>23</v>
      </c>
      <c r="K1018" t="s">
        <v>3</v>
      </c>
      <c r="L1018" s="36">
        <f ca="1">IF(C1018&lt;&gt;"Yes",0,IF(A1018=2025,N('2025'!D140),IF(A1018=2026,N('2026'!D140),IF(A1018=2027,N('2027'!D140),IF(A1018=2028,N('2028'!D140),IF(A1018=2029,N('2029'!D140),IF(A1018=2030,N('2030'!D140),IF(A1018=2031,N('2031'!D140),IF(A1018=2032,N('2032'!D140),IF(A1018=2033,N('2033'!D140),IF(A1018=2034,N('2034'!D140),IFERROR(N(INDIRECT("'"&amp;A1018&amp;"'!D"&amp;G1018)),0))))))))))))</f>
        <v>0</v>
      </c>
      <c r="M1018" s="36">
        <f>IFERROR(IF(NOT(ISBLANK(KPI_TARGETS!$K$14)),KPI_TARGETS!$K$14,IF(NOT(ISBLANK(KPI_TARGETS!$F$14)),KPI_TARGETS!$F$14,"")),"")</f>
        <v>35</v>
      </c>
      <c r="N1018" s="36" t="str">
        <f>IFERROR(KPI_TARGETS!$E$14,"Higher is better")</f>
        <v>Higher is better</v>
      </c>
      <c r="O1018" s="37">
        <f t="shared" ca="1" si="90"/>
        <v>0</v>
      </c>
      <c r="P1018" t="str">
        <f t="shared" ca="1" si="91"/>
        <v>Red</v>
      </c>
      <c r="Q1018" s="36">
        <f t="shared" ca="1" si="92"/>
        <v>-35</v>
      </c>
      <c r="R1018" s="36" t="str">
        <f>""</f>
        <v/>
      </c>
      <c r="S1018" s="36" t="str">
        <f>""</f>
        <v/>
      </c>
      <c r="T1018" s="36" t="str">
        <f>""</f>
        <v/>
      </c>
      <c r="U1018" s="36" t="str">
        <f>""</f>
        <v/>
      </c>
      <c r="V1018" s="36" t="str">
        <f>""</f>
        <v/>
      </c>
      <c r="W1018" s="36">
        <f t="shared" si="93"/>
        <v>1</v>
      </c>
      <c r="X1018" t="str">
        <f t="shared" si="94"/>
        <v>Inactive</v>
      </c>
      <c r="Y1018" t="str">
        <f>IF(MAIN!$H$3="Selected Year",IF(A1018=MAIN!$B$3,"Yes","No"),IF(MAIN!$H$3="Included Years",IF(D1018="Yes","Yes","No"),IF(C1018="Yes","Yes","No")))</f>
        <v>No</v>
      </c>
      <c r="Z1018" t="str">
        <f>IF(MAIN!$F$3="Project to Date",IF(AND(A1018&gt;=SETTINGS!$B$4,A1018&lt;MAIN!$B$3),"Yes",IF(AND(A1018=MAIN!$B$3,E1018&lt;=MAIN!$L$3),"Yes","No")),IF(OR(MAIN!$F$3="Full Year",MAIN!$D$3="All"),"Yes",IF(MAIN!$F$3="Monthly",IF(E1018=MAIN!$L$3,"Yes","No"),IF(E1018&lt;=MAIN!$L$3,"Yes","No"))))</f>
        <v>Yes</v>
      </c>
      <c r="AA1018" t="str">
        <f t="shared" si="95"/>
        <v>No</v>
      </c>
    </row>
    <row r="1019" spans="1:27" x14ac:dyDescent="0.3">
      <c r="A1019">
        <f>INDEX(SETTINGS!$A$15:$A$24,$B1019)</f>
        <v>2029</v>
      </c>
      <c r="B1019">
        <v>5</v>
      </c>
      <c r="C1019" t="str">
        <f>IF(AND(A1019&gt;=SETTINGS!$B$4,A1019&lt;=SETTINGS!$B$5),"Yes","No")</f>
        <v>No</v>
      </c>
      <c r="D1019" t="str">
        <f>IFERROR(INDEX(SETTINGS!$C$15:$C$24,MATCH(A1019,SETTINGS!$A$15:$A$24,0)),"No")</f>
        <v>No</v>
      </c>
      <c r="E1019">
        <v>6</v>
      </c>
      <c r="F1019" t="s">
        <v>39</v>
      </c>
      <c r="G1019">
        <v>141</v>
      </c>
      <c r="H1019" t="s">
        <v>104</v>
      </c>
      <c r="I1019" t="s">
        <v>22</v>
      </c>
      <c r="J1019" t="s">
        <v>24</v>
      </c>
      <c r="K1019" t="s">
        <v>3</v>
      </c>
      <c r="L1019" s="36">
        <f ca="1">IF(C1019&lt;&gt;"Yes",0,IF(A1019=2025,N('2025'!D141),IF(A1019=2026,N('2026'!D141),IF(A1019=2027,N('2027'!D141),IF(A1019=2028,N('2028'!D141),IF(A1019=2029,N('2029'!D141),IF(A1019=2030,N('2030'!D141),IF(A1019=2031,N('2031'!D141),IF(A1019=2032,N('2032'!D141),IF(A1019=2033,N('2033'!D141),IF(A1019=2034,N('2034'!D141),IFERROR(N(INDIRECT("'"&amp;A1019&amp;"'!D"&amp;G1019)),0))))))))))))</f>
        <v>0</v>
      </c>
      <c r="M1019" s="36">
        <f>IFERROR(IF(NOT(ISBLANK(KPI_TARGETS!$K$15)),KPI_TARGETS!$K$15,IF(NOT(ISBLANK(KPI_TARGETS!$F$15)),KPI_TARGETS!$F$15,"")),"")</f>
        <v>5</v>
      </c>
      <c r="N1019" s="36" t="str">
        <f>IFERROR(KPI_TARGETS!$E$15,"Higher is better")</f>
        <v>Higher is better</v>
      </c>
      <c r="O1019" s="37">
        <f t="shared" ca="1" si="90"/>
        <v>0</v>
      </c>
      <c r="P1019" t="str">
        <f t="shared" ca="1" si="91"/>
        <v>Red</v>
      </c>
      <c r="Q1019" s="36">
        <f t="shared" ca="1" si="92"/>
        <v>-5</v>
      </c>
      <c r="R1019" s="36" t="str">
        <f>""</f>
        <v/>
      </c>
      <c r="S1019" s="36" t="str">
        <f>""</f>
        <v/>
      </c>
      <c r="T1019" s="36" t="str">
        <f>""</f>
        <v/>
      </c>
      <c r="U1019" s="36" t="str">
        <f>""</f>
        <v/>
      </c>
      <c r="V1019" s="36" t="str">
        <f>""</f>
        <v/>
      </c>
      <c r="W1019" s="36">
        <f t="shared" si="93"/>
        <v>1</v>
      </c>
      <c r="X1019" t="str">
        <f t="shared" si="94"/>
        <v>Inactive</v>
      </c>
      <c r="Y1019" t="str">
        <f>IF(MAIN!$H$3="Selected Year",IF(A1019=MAIN!$B$3,"Yes","No"),IF(MAIN!$H$3="Included Years",IF(D1019="Yes","Yes","No"),IF(C1019="Yes","Yes","No")))</f>
        <v>No</v>
      </c>
      <c r="Z1019" t="str">
        <f>IF(MAIN!$F$3="Project to Date",IF(AND(A1019&gt;=SETTINGS!$B$4,A1019&lt;MAIN!$B$3),"Yes",IF(AND(A1019=MAIN!$B$3,E1019&lt;=MAIN!$L$3),"Yes","No")),IF(OR(MAIN!$F$3="Full Year",MAIN!$D$3="All"),"Yes",IF(MAIN!$F$3="Monthly",IF(E1019=MAIN!$L$3,"Yes","No"),IF(E1019&lt;=MAIN!$L$3,"Yes","No"))))</f>
        <v>Yes</v>
      </c>
      <c r="AA1019" t="str">
        <f t="shared" si="95"/>
        <v>No</v>
      </c>
    </row>
    <row r="1020" spans="1:27" x14ac:dyDescent="0.3">
      <c r="A1020">
        <f>INDEX(SETTINGS!$A$15:$A$24,$B1020)</f>
        <v>2029</v>
      </c>
      <c r="B1020">
        <v>5</v>
      </c>
      <c r="C1020" t="str">
        <f>IF(AND(A1020&gt;=SETTINGS!$B$4,A1020&lt;=SETTINGS!$B$5),"Yes","No")</f>
        <v>No</v>
      </c>
      <c r="D1020" t="str">
        <f>IFERROR(INDEX(SETTINGS!$C$15:$C$24,MATCH(A1020,SETTINGS!$A$15:$A$24,0)),"No")</f>
        <v>No</v>
      </c>
      <c r="E1020">
        <v>6</v>
      </c>
      <c r="F1020" t="s">
        <v>39</v>
      </c>
      <c r="G1020">
        <v>142</v>
      </c>
      <c r="H1020" t="s">
        <v>105</v>
      </c>
      <c r="I1020" t="s">
        <v>22</v>
      </c>
      <c r="J1020" t="s">
        <v>25</v>
      </c>
      <c r="K1020" t="s">
        <v>3</v>
      </c>
      <c r="L1020" s="36">
        <f ca="1">IF(C1020&lt;&gt;"Yes",0,IF(A1020=2025,N('2025'!D142),IF(A1020=2026,N('2026'!D142),IF(A1020=2027,N('2027'!D142),IF(A1020=2028,N('2028'!D142),IF(A1020=2029,N('2029'!D142),IF(A1020=2030,N('2030'!D142),IF(A1020=2031,N('2031'!D142),IF(A1020=2032,N('2032'!D142),IF(A1020=2033,N('2033'!D142),IF(A1020=2034,N('2034'!D142),IFERROR(N(INDIRECT("'"&amp;A1020&amp;"'!D"&amp;G1020)),0))))))))))))</f>
        <v>0</v>
      </c>
      <c r="M1020" s="36">
        <f>IFERROR(IF(NOT(ISBLANK(KPI_TARGETS!$K$16)),KPI_TARGETS!$K$16,IF(NOT(ISBLANK(KPI_TARGETS!$F$16)),KPI_TARGETS!$F$16,"")),"")</f>
        <v>4</v>
      </c>
      <c r="N1020" s="36" t="str">
        <f>IFERROR(KPI_TARGETS!$E$16,"Higher is better")</f>
        <v>Higher is better</v>
      </c>
      <c r="O1020" s="37">
        <f t="shared" ca="1" si="90"/>
        <v>0</v>
      </c>
      <c r="P1020" t="str">
        <f t="shared" ca="1" si="91"/>
        <v>Red</v>
      </c>
      <c r="Q1020" s="36">
        <f t="shared" ca="1" si="92"/>
        <v>-4</v>
      </c>
      <c r="R1020" s="36" t="str">
        <f>""</f>
        <v/>
      </c>
      <c r="S1020" s="36" t="str">
        <f>""</f>
        <v/>
      </c>
      <c r="T1020" s="36" t="str">
        <f>""</f>
        <v/>
      </c>
      <c r="U1020" s="36" t="str">
        <f>""</f>
        <v/>
      </c>
      <c r="V1020" s="36" t="str">
        <f>""</f>
        <v/>
      </c>
      <c r="W1020" s="36">
        <f t="shared" si="93"/>
        <v>1</v>
      </c>
      <c r="X1020" t="str">
        <f t="shared" si="94"/>
        <v>Inactive</v>
      </c>
      <c r="Y1020" t="str">
        <f>IF(MAIN!$H$3="Selected Year",IF(A1020=MAIN!$B$3,"Yes","No"),IF(MAIN!$H$3="Included Years",IF(D1020="Yes","Yes","No"),IF(C1020="Yes","Yes","No")))</f>
        <v>No</v>
      </c>
      <c r="Z1020" t="str">
        <f>IF(MAIN!$F$3="Project to Date",IF(AND(A1020&gt;=SETTINGS!$B$4,A1020&lt;MAIN!$B$3),"Yes",IF(AND(A1020=MAIN!$B$3,E1020&lt;=MAIN!$L$3),"Yes","No")),IF(OR(MAIN!$F$3="Full Year",MAIN!$D$3="All"),"Yes",IF(MAIN!$F$3="Monthly",IF(E1020=MAIN!$L$3,"Yes","No"),IF(E1020&lt;=MAIN!$L$3,"Yes","No"))))</f>
        <v>Yes</v>
      </c>
      <c r="AA1020" t="str">
        <f t="shared" si="95"/>
        <v>No</v>
      </c>
    </row>
    <row r="1021" spans="1:27" x14ac:dyDescent="0.3">
      <c r="A1021">
        <f>INDEX(SETTINGS!$A$15:$A$24,$B1021)</f>
        <v>2029</v>
      </c>
      <c r="B1021">
        <v>5</v>
      </c>
      <c r="C1021" t="str">
        <f>IF(AND(A1021&gt;=SETTINGS!$B$4,A1021&lt;=SETTINGS!$B$5),"Yes","No")</f>
        <v>No</v>
      </c>
      <c r="D1021" t="str">
        <f>IFERROR(INDEX(SETTINGS!$C$15:$C$24,MATCH(A1021,SETTINGS!$A$15:$A$24,0)),"No")</f>
        <v>No</v>
      </c>
      <c r="E1021">
        <v>6</v>
      </c>
      <c r="F1021" t="s">
        <v>39</v>
      </c>
      <c r="G1021">
        <v>143</v>
      </c>
      <c r="H1021" t="s">
        <v>106</v>
      </c>
      <c r="I1021" t="s">
        <v>22</v>
      </c>
      <c r="J1021" t="s">
        <v>26</v>
      </c>
      <c r="K1021" t="s">
        <v>3</v>
      </c>
      <c r="L1021" s="36">
        <f ca="1">IF(C1021&lt;&gt;"Yes",0,IF(A1021=2025,N('2025'!D143),IF(A1021=2026,N('2026'!D143),IF(A1021=2027,N('2027'!D143),IF(A1021=2028,N('2028'!D143),IF(A1021=2029,N('2029'!D143),IF(A1021=2030,N('2030'!D143),IF(A1021=2031,N('2031'!D143),IF(A1021=2032,N('2032'!D143),IF(A1021=2033,N('2033'!D143),IF(A1021=2034,N('2034'!D143),IFERROR(N(INDIRECT("'"&amp;A1021&amp;"'!D"&amp;G1021)),0))))))))))))</f>
        <v>0</v>
      </c>
      <c r="M1021" s="36">
        <f>IFERROR(IF(NOT(ISBLANK(KPI_TARGETS!$K$17)),KPI_TARGETS!$K$17,IF(NOT(ISBLANK(KPI_TARGETS!$F$17)),KPI_TARGETS!$F$17,"")),"")</f>
        <v>12</v>
      </c>
      <c r="N1021" s="36" t="str">
        <f>IFERROR(KPI_TARGETS!$E$17,"Higher is better")</f>
        <v>Higher is better</v>
      </c>
      <c r="O1021" s="37">
        <f t="shared" ca="1" si="90"/>
        <v>0</v>
      </c>
      <c r="P1021" t="str">
        <f t="shared" ca="1" si="91"/>
        <v>Red</v>
      </c>
      <c r="Q1021" s="36">
        <f t="shared" ca="1" si="92"/>
        <v>-12</v>
      </c>
      <c r="R1021" s="36" t="str">
        <f>""</f>
        <v/>
      </c>
      <c r="S1021" s="36" t="str">
        <f>""</f>
        <v/>
      </c>
      <c r="T1021" s="36" t="str">
        <f>""</f>
        <v/>
      </c>
      <c r="U1021" s="36" t="str">
        <f>""</f>
        <v/>
      </c>
      <c r="V1021" s="36" t="str">
        <f>""</f>
        <v/>
      </c>
      <c r="W1021" s="36">
        <f t="shared" si="93"/>
        <v>1</v>
      </c>
      <c r="X1021" t="str">
        <f t="shared" si="94"/>
        <v>Inactive</v>
      </c>
      <c r="Y1021" t="str">
        <f>IF(MAIN!$H$3="Selected Year",IF(A1021=MAIN!$B$3,"Yes","No"),IF(MAIN!$H$3="Included Years",IF(D1021="Yes","Yes","No"),IF(C1021="Yes","Yes","No")))</f>
        <v>No</v>
      </c>
      <c r="Z1021" t="str">
        <f>IF(MAIN!$F$3="Project to Date",IF(AND(A1021&gt;=SETTINGS!$B$4,A1021&lt;MAIN!$B$3),"Yes",IF(AND(A1021=MAIN!$B$3,E1021&lt;=MAIN!$L$3),"Yes","No")),IF(OR(MAIN!$F$3="Full Year",MAIN!$D$3="All"),"Yes",IF(MAIN!$F$3="Monthly",IF(E1021=MAIN!$L$3,"Yes","No"),IF(E1021&lt;=MAIN!$L$3,"Yes","No"))))</f>
        <v>Yes</v>
      </c>
      <c r="AA1021" t="str">
        <f t="shared" si="95"/>
        <v>No</v>
      </c>
    </row>
    <row r="1022" spans="1:27" x14ac:dyDescent="0.3">
      <c r="A1022">
        <f>INDEX(SETTINGS!$A$15:$A$24,$B1022)</f>
        <v>2029</v>
      </c>
      <c r="B1022">
        <v>5</v>
      </c>
      <c r="C1022" t="str">
        <f>IF(AND(A1022&gt;=SETTINGS!$B$4,A1022&lt;=SETTINGS!$B$5),"Yes","No")</f>
        <v>No</v>
      </c>
      <c r="D1022" t="str">
        <f>IFERROR(INDEX(SETTINGS!$C$15:$C$24,MATCH(A1022,SETTINGS!$A$15:$A$24,0)),"No")</f>
        <v>No</v>
      </c>
      <c r="E1022">
        <v>6</v>
      </c>
      <c r="F1022" t="s">
        <v>39</v>
      </c>
      <c r="G1022">
        <v>144</v>
      </c>
      <c r="H1022" t="s">
        <v>107</v>
      </c>
      <c r="I1022" t="s">
        <v>22</v>
      </c>
      <c r="J1022" t="s">
        <v>27</v>
      </c>
      <c r="K1022" t="s">
        <v>3</v>
      </c>
      <c r="L1022" s="36">
        <f ca="1">IF(C1022&lt;&gt;"Yes",0,IF(A1022=2025,N('2025'!D144),IF(A1022=2026,N('2026'!D144),IF(A1022=2027,N('2027'!D144),IF(A1022=2028,N('2028'!D144),IF(A1022=2029,N('2029'!D144),IF(A1022=2030,N('2030'!D144),IF(A1022=2031,N('2031'!D144),IF(A1022=2032,N('2032'!D144),IF(A1022=2033,N('2033'!D144),IF(A1022=2034,N('2034'!D144),IFERROR(N(INDIRECT("'"&amp;A1022&amp;"'!D"&amp;G1022)),0))))))))))))</f>
        <v>0</v>
      </c>
      <c r="M1022" s="36">
        <f>IFERROR(IF(NOT(ISBLANK(KPI_TARGETS!$K$18)),KPI_TARGETS!$K$18,IF(NOT(ISBLANK(KPI_TARGETS!$F$18)),KPI_TARGETS!$F$18,"")),"")</f>
        <v>4</v>
      </c>
      <c r="N1022" s="36" t="str">
        <f>IFERROR(KPI_TARGETS!$E$18,"Higher is better")</f>
        <v>Higher is better</v>
      </c>
      <c r="O1022" s="37">
        <f t="shared" ca="1" si="90"/>
        <v>0</v>
      </c>
      <c r="P1022" t="str">
        <f t="shared" ca="1" si="91"/>
        <v>Red</v>
      </c>
      <c r="Q1022" s="36">
        <f t="shared" ca="1" si="92"/>
        <v>-4</v>
      </c>
      <c r="R1022" s="36" t="str">
        <f>""</f>
        <v/>
      </c>
      <c r="S1022" s="36" t="str">
        <f>""</f>
        <v/>
      </c>
      <c r="T1022" s="36" t="str">
        <f>""</f>
        <v/>
      </c>
      <c r="U1022" s="36" t="str">
        <f>""</f>
        <v/>
      </c>
      <c r="V1022" s="36" t="str">
        <f>""</f>
        <v/>
      </c>
      <c r="W1022" s="36">
        <f t="shared" si="93"/>
        <v>1</v>
      </c>
      <c r="X1022" t="str">
        <f t="shared" si="94"/>
        <v>Inactive</v>
      </c>
      <c r="Y1022" t="str">
        <f>IF(MAIN!$H$3="Selected Year",IF(A1022=MAIN!$B$3,"Yes","No"),IF(MAIN!$H$3="Included Years",IF(D1022="Yes","Yes","No"),IF(C1022="Yes","Yes","No")))</f>
        <v>No</v>
      </c>
      <c r="Z1022" t="str">
        <f>IF(MAIN!$F$3="Project to Date",IF(AND(A1022&gt;=SETTINGS!$B$4,A1022&lt;MAIN!$B$3),"Yes",IF(AND(A1022=MAIN!$B$3,E1022&lt;=MAIN!$L$3),"Yes","No")),IF(OR(MAIN!$F$3="Full Year",MAIN!$D$3="All"),"Yes",IF(MAIN!$F$3="Monthly",IF(E1022=MAIN!$L$3,"Yes","No"),IF(E1022&lt;=MAIN!$L$3,"Yes","No"))))</f>
        <v>Yes</v>
      </c>
      <c r="AA1022" t="str">
        <f t="shared" si="95"/>
        <v>No</v>
      </c>
    </row>
    <row r="1023" spans="1:27" x14ac:dyDescent="0.3">
      <c r="A1023">
        <f>INDEX(SETTINGS!$A$15:$A$24,$B1023)</f>
        <v>2029</v>
      </c>
      <c r="B1023">
        <v>5</v>
      </c>
      <c r="C1023" t="str">
        <f>IF(AND(A1023&gt;=SETTINGS!$B$4,A1023&lt;=SETTINGS!$B$5),"Yes","No")</f>
        <v>No</v>
      </c>
      <c r="D1023" t="str">
        <f>IFERROR(INDEX(SETTINGS!$C$15:$C$24,MATCH(A1023,SETTINGS!$A$15:$A$24,0)),"No")</f>
        <v>No</v>
      </c>
      <c r="E1023">
        <v>6</v>
      </c>
      <c r="F1023" t="s">
        <v>39</v>
      </c>
      <c r="G1023">
        <v>145</v>
      </c>
      <c r="H1023" t="s">
        <v>108</v>
      </c>
      <c r="I1023" t="s">
        <v>22</v>
      </c>
      <c r="J1023" t="s">
        <v>28</v>
      </c>
      <c r="K1023" t="s">
        <v>3</v>
      </c>
      <c r="L1023" s="36">
        <f ca="1">IF(C1023&lt;&gt;"Yes",0,IF(A1023=2025,N('2025'!D145),IF(A1023=2026,N('2026'!D145),IF(A1023=2027,N('2027'!D145),IF(A1023=2028,N('2028'!D145),IF(A1023=2029,N('2029'!D145),IF(A1023=2030,N('2030'!D145),IF(A1023=2031,N('2031'!D145),IF(A1023=2032,N('2032'!D145),IF(A1023=2033,N('2033'!D145),IF(A1023=2034,N('2034'!D145),IFERROR(N(INDIRECT("'"&amp;A1023&amp;"'!D"&amp;G1023)),0))))))))))))</f>
        <v>0</v>
      </c>
      <c r="M1023" s="36">
        <f>IFERROR(IF(NOT(ISBLANK(KPI_TARGETS!$K$19)),KPI_TARGETS!$K$19,IF(NOT(ISBLANK(KPI_TARGETS!$F$19)),KPI_TARGETS!$F$19,"")),"")</f>
        <v>16</v>
      </c>
      <c r="N1023" s="36" t="str">
        <f>IFERROR(KPI_TARGETS!$E$19,"Higher is better")</f>
        <v>Higher is better</v>
      </c>
      <c r="O1023" s="37">
        <f t="shared" ca="1" si="90"/>
        <v>0</v>
      </c>
      <c r="P1023" t="str">
        <f t="shared" ca="1" si="91"/>
        <v>Red</v>
      </c>
      <c r="Q1023" s="36">
        <f t="shared" ca="1" si="92"/>
        <v>-16</v>
      </c>
      <c r="R1023" s="36" t="str">
        <f>""</f>
        <v/>
      </c>
      <c r="S1023" s="36" t="str">
        <f>""</f>
        <v/>
      </c>
      <c r="T1023" s="36" t="str">
        <f>""</f>
        <v/>
      </c>
      <c r="U1023" s="36" t="str">
        <f>""</f>
        <v/>
      </c>
      <c r="V1023" s="36" t="str">
        <f>""</f>
        <v/>
      </c>
      <c r="W1023" s="36">
        <f t="shared" si="93"/>
        <v>1</v>
      </c>
      <c r="X1023" t="str">
        <f t="shared" si="94"/>
        <v>Inactive</v>
      </c>
      <c r="Y1023" t="str">
        <f>IF(MAIN!$H$3="Selected Year",IF(A1023=MAIN!$B$3,"Yes","No"),IF(MAIN!$H$3="Included Years",IF(D1023="Yes","Yes","No"),IF(C1023="Yes","Yes","No")))</f>
        <v>No</v>
      </c>
      <c r="Z1023" t="str">
        <f>IF(MAIN!$F$3="Project to Date",IF(AND(A1023&gt;=SETTINGS!$B$4,A1023&lt;MAIN!$B$3),"Yes",IF(AND(A1023=MAIN!$B$3,E1023&lt;=MAIN!$L$3),"Yes","No")),IF(OR(MAIN!$F$3="Full Year",MAIN!$D$3="All"),"Yes",IF(MAIN!$F$3="Monthly",IF(E1023=MAIN!$L$3,"Yes","No"),IF(E1023&lt;=MAIN!$L$3,"Yes","No"))))</f>
        <v>Yes</v>
      </c>
      <c r="AA1023" t="str">
        <f t="shared" si="95"/>
        <v>No</v>
      </c>
    </row>
    <row r="1024" spans="1:27" x14ac:dyDescent="0.3">
      <c r="A1024">
        <f>INDEX(SETTINGS!$A$15:$A$24,$B1024)</f>
        <v>2029</v>
      </c>
      <c r="B1024">
        <v>5</v>
      </c>
      <c r="C1024" t="str">
        <f>IF(AND(A1024&gt;=SETTINGS!$B$4,A1024&lt;=SETTINGS!$B$5),"Yes","No")</f>
        <v>No</v>
      </c>
      <c r="D1024" t="str">
        <f>IFERROR(INDEX(SETTINGS!$C$15:$C$24,MATCH(A1024,SETTINGS!$A$15:$A$24,0)),"No")</f>
        <v>No</v>
      </c>
      <c r="E1024">
        <v>6</v>
      </c>
      <c r="F1024" t="s">
        <v>39</v>
      </c>
      <c r="G1024">
        <v>146</v>
      </c>
      <c r="H1024" t="s">
        <v>109</v>
      </c>
      <c r="I1024" t="s">
        <v>22</v>
      </c>
      <c r="J1024" t="s">
        <v>29</v>
      </c>
      <c r="K1024" t="s">
        <v>3</v>
      </c>
      <c r="L1024" s="36">
        <f ca="1">IF(C1024&lt;&gt;"Yes",0,IF(A1024=2025,N('2025'!D146),IF(A1024=2026,N('2026'!D146),IF(A1024=2027,N('2027'!D146),IF(A1024=2028,N('2028'!D146),IF(A1024=2029,N('2029'!D146),IF(A1024=2030,N('2030'!D146),IF(A1024=2031,N('2031'!D146),IF(A1024=2032,N('2032'!D146),IF(A1024=2033,N('2033'!D146),IF(A1024=2034,N('2034'!D146),IFERROR(N(INDIRECT("'"&amp;A1024&amp;"'!D"&amp;G1024)),0))))))))))))</f>
        <v>0</v>
      </c>
      <c r="M1024" s="36">
        <f>IFERROR(IF(NOT(ISBLANK(KPI_TARGETS!$K$20)),KPI_TARGETS!$K$20,IF(NOT(ISBLANK(KPI_TARGETS!$F$20)),KPI_TARGETS!$F$20,"")),"")</f>
        <v>1</v>
      </c>
      <c r="N1024" s="36" t="str">
        <f>IFERROR(KPI_TARGETS!$E$20,"Higher is better")</f>
        <v>Higher is better</v>
      </c>
      <c r="O1024" s="37">
        <f t="shared" ca="1" si="90"/>
        <v>0</v>
      </c>
      <c r="P1024" t="str">
        <f t="shared" ca="1" si="91"/>
        <v>Red</v>
      </c>
      <c r="Q1024" s="36">
        <f t="shared" ca="1" si="92"/>
        <v>-1</v>
      </c>
      <c r="R1024" s="36" t="str">
        <f>""</f>
        <v/>
      </c>
      <c r="S1024" s="36" t="str">
        <f>""</f>
        <v/>
      </c>
      <c r="T1024" s="36" t="str">
        <f>""</f>
        <v/>
      </c>
      <c r="U1024" s="36" t="str">
        <f>""</f>
        <v/>
      </c>
      <c r="V1024" s="36" t="str">
        <f>""</f>
        <v/>
      </c>
      <c r="W1024" s="36">
        <f t="shared" si="93"/>
        <v>1</v>
      </c>
      <c r="X1024" t="str">
        <f t="shared" si="94"/>
        <v>Inactive</v>
      </c>
      <c r="Y1024" t="str">
        <f>IF(MAIN!$H$3="Selected Year",IF(A1024=MAIN!$B$3,"Yes","No"),IF(MAIN!$H$3="Included Years",IF(D1024="Yes","Yes","No"),IF(C1024="Yes","Yes","No")))</f>
        <v>No</v>
      </c>
      <c r="Z1024" t="str">
        <f>IF(MAIN!$F$3="Project to Date",IF(AND(A1024&gt;=SETTINGS!$B$4,A1024&lt;MAIN!$B$3),"Yes",IF(AND(A1024=MAIN!$B$3,E1024&lt;=MAIN!$L$3),"Yes","No")),IF(OR(MAIN!$F$3="Full Year",MAIN!$D$3="All"),"Yes",IF(MAIN!$F$3="Monthly",IF(E1024=MAIN!$L$3,"Yes","No"),IF(E1024&lt;=MAIN!$L$3,"Yes","No"))))</f>
        <v>Yes</v>
      </c>
      <c r="AA1024" t="str">
        <f t="shared" si="95"/>
        <v>No</v>
      </c>
    </row>
    <row r="1025" spans="1:27" x14ac:dyDescent="0.3">
      <c r="A1025">
        <f>INDEX(SETTINGS!$A$15:$A$24,$B1025)</f>
        <v>2029</v>
      </c>
      <c r="B1025">
        <v>5</v>
      </c>
      <c r="C1025" t="str">
        <f>IF(AND(A1025&gt;=SETTINGS!$B$4,A1025&lt;=SETTINGS!$B$5),"Yes","No")</f>
        <v>No</v>
      </c>
      <c r="D1025" t="str">
        <f>IFERROR(INDEX(SETTINGS!$C$15:$C$24,MATCH(A1025,SETTINGS!$A$15:$A$24,0)),"No")</f>
        <v>No</v>
      </c>
      <c r="E1025">
        <v>6</v>
      </c>
      <c r="F1025" t="s">
        <v>39</v>
      </c>
      <c r="G1025">
        <v>148</v>
      </c>
      <c r="H1025" t="s">
        <v>110</v>
      </c>
      <c r="I1025" t="s">
        <v>30</v>
      </c>
      <c r="J1025" t="s">
        <v>31</v>
      </c>
      <c r="K1025" t="s">
        <v>3</v>
      </c>
      <c r="L1025" s="36">
        <f ca="1">IF(C1025&lt;&gt;"Yes",0,IF(A1025=2025,N('2025'!D148),IF(A1025=2026,N('2026'!D148),IF(A1025=2027,N('2027'!D148),IF(A1025=2028,N('2028'!D148),IF(A1025=2029,N('2029'!D148),IF(A1025=2030,N('2030'!D148),IF(A1025=2031,N('2031'!D148),IF(A1025=2032,N('2032'!D148),IF(A1025=2033,N('2033'!D148),IF(A1025=2034,N('2034'!D148),IFERROR(N(INDIRECT("'"&amp;A1025&amp;"'!D"&amp;G1025)),0))))))))))))</f>
        <v>0</v>
      </c>
      <c r="M1025" s="36">
        <f>IFERROR(IF(NOT(ISBLANK(KPI_TARGETS!$K$21)),KPI_TARGETS!$K$21,IF(NOT(ISBLANK(KPI_TARGETS!$F$21)),KPI_TARGETS!$F$21,"")),"")</f>
        <v>0</v>
      </c>
      <c r="N1025" s="36" t="str">
        <f>IFERROR(KPI_TARGETS!$E$21,"Higher is better")</f>
        <v>Lower is better</v>
      </c>
      <c r="O1025" s="37">
        <f t="shared" ca="1" si="90"/>
        <v>1</v>
      </c>
      <c r="P1025" t="str">
        <f t="shared" ca="1" si="91"/>
        <v>Green</v>
      </c>
      <c r="Q1025" s="36">
        <f t="shared" ca="1" si="92"/>
        <v>0</v>
      </c>
      <c r="R1025" s="36" t="str">
        <f>""</f>
        <v/>
      </c>
      <c r="S1025" s="36" t="str">
        <f>""</f>
        <v/>
      </c>
      <c r="T1025" s="36" t="str">
        <f>""</f>
        <v/>
      </c>
      <c r="U1025" s="36" t="str">
        <f>""</f>
        <v/>
      </c>
      <c r="V1025" s="36" t="str">
        <f>""</f>
        <v/>
      </c>
      <c r="W1025" s="36">
        <f t="shared" si="93"/>
        <v>1</v>
      </c>
      <c r="X1025" t="str">
        <f t="shared" si="94"/>
        <v>Inactive</v>
      </c>
      <c r="Y1025" t="str">
        <f>IF(MAIN!$H$3="Selected Year",IF(A1025=MAIN!$B$3,"Yes","No"),IF(MAIN!$H$3="Included Years",IF(D1025="Yes","Yes","No"),IF(C1025="Yes","Yes","No")))</f>
        <v>No</v>
      </c>
      <c r="Z1025" t="str">
        <f>IF(MAIN!$F$3="Project to Date",IF(AND(A1025&gt;=SETTINGS!$B$4,A1025&lt;MAIN!$B$3),"Yes",IF(AND(A1025=MAIN!$B$3,E1025&lt;=MAIN!$L$3),"Yes","No")),IF(OR(MAIN!$F$3="Full Year",MAIN!$D$3="All"),"Yes",IF(MAIN!$F$3="Monthly",IF(E1025=MAIN!$L$3,"Yes","No"),IF(E1025&lt;=MAIN!$L$3,"Yes","No"))))</f>
        <v>Yes</v>
      </c>
      <c r="AA1025" t="str">
        <f t="shared" si="95"/>
        <v>No</v>
      </c>
    </row>
    <row r="1026" spans="1:27" x14ac:dyDescent="0.3">
      <c r="A1026">
        <f>INDEX(SETTINGS!$A$15:$A$24,$B1026)</f>
        <v>2029</v>
      </c>
      <c r="B1026">
        <v>5</v>
      </c>
      <c r="C1026" t="str">
        <f>IF(AND(A1026&gt;=SETTINGS!$B$4,A1026&lt;=SETTINGS!$B$5),"Yes","No")</f>
        <v>No</v>
      </c>
      <c r="D1026" t="str">
        <f>IFERROR(INDEX(SETTINGS!$C$15:$C$24,MATCH(A1026,SETTINGS!$A$15:$A$24,0)),"No")</f>
        <v>No</v>
      </c>
      <c r="E1026">
        <v>6</v>
      </c>
      <c r="F1026" t="s">
        <v>39</v>
      </c>
      <c r="G1026">
        <v>149</v>
      </c>
      <c r="H1026" t="s">
        <v>111</v>
      </c>
      <c r="I1026" t="s">
        <v>30</v>
      </c>
      <c r="J1026" t="s">
        <v>32</v>
      </c>
      <c r="K1026" t="s">
        <v>3</v>
      </c>
      <c r="L1026" s="36">
        <f ca="1">IF(C1026&lt;&gt;"Yes",0,IF(A1026=2025,N('2025'!D149),IF(A1026=2026,N('2026'!D149),IF(A1026=2027,N('2027'!D149),IF(A1026=2028,N('2028'!D149),IF(A1026=2029,N('2029'!D149),IF(A1026=2030,N('2030'!D149),IF(A1026=2031,N('2031'!D149),IF(A1026=2032,N('2032'!D149),IF(A1026=2033,N('2033'!D149),IF(A1026=2034,N('2034'!D149),IFERROR(N(INDIRECT("'"&amp;A1026&amp;"'!D"&amp;G1026)),0))))))))))))</f>
        <v>0</v>
      </c>
      <c r="M1026" s="36">
        <f>IFERROR(IF(NOT(ISBLANK(KPI_TARGETS!$K$22)),KPI_TARGETS!$K$22,IF(NOT(ISBLANK(KPI_TARGETS!$F$22)),KPI_TARGETS!$F$22,"")),"")</f>
        <v>1</v>
      </c>
      <c r="N1026" s="36" t="str">
        <f>IFERROR(KPI_TARGETS!$E$22,"Higher is better")</f>
        <v>Higher is better</v>
      </c>
      <c r="O1026" s="37">
        <f t="shared" ref="O1026:O1089" ca="1" si="96">IF(M1026="","",IF(N1026="Higher is better",IFERROR(L1026/M1026,""),IF(L1026=0,1,IFERROR(M1026/L1026,""))))</f>
        <v>0</v>
      </c>
      <c r="P1026" t="str">
        <f t="shared" ref="P1026:P1089" ca="1" si="97">IF(M1026="","Target Needed",IF(N1026="Higher is better",IF(L1026&gt;=M1026,"Green",IF(L1026&gt;=0.8*M1026,"Amber","Red")),IF(M1026=0,IF(L1026=0,"Green","Red"),IF(L1026&lt;=M1026,"Green",IF(L1026&lt;=1.25*M1026,"Amber","Red")))))</f>
        <v>Red</v>
      </c>
      <c r="Q1026" s="36">
        <f t="shared" ref="Q1026:Q1089" ca="1" si="98">IF(M1026="","",IF(N1026="Higher is better",L1026-M1026,M1026-L1026))</f>
        <v>-1</v>
      </c>
      <c r="R1026" s="36" t="str">
        <f>""</f>
        <v/>
      </c>
      <c r="S1026" s="36" t="str">
        <f>""</f>
        <v/>
      </c>
      <c r="T1026" s="36" t="str">
        <f>""</f>
        <v/>
      </c>
      <c r="U1026" s="36" t="str">
        <f>""</f>
        <v/>
      </c>
      <c r="V1026" s="36" t="str">
        <f>""</f>
        <v/>
      </c>
      <c r="W1026" s="36">
        <f t="shared" ref="W1026:W1089" si="99">IF(LEN(M1026&amp;"")&gt;0,1,0)</f>
        <v>1</v>
      </c>
      <c r="X1026" t="str">
        <f t="shared" ref="X1026:X1089" si="100">IF(C1026&lt;&gt;"Yes","Inactive",IF(M1026="","Missing target","OK"))</f>
        <v>Inactive</v>
      </c>
      <c r="Y1026" t="str">
        <f>IF(MAIN!$H$3="Selected Year",IF(A1026=MAIN!$B$3,"Yes","No"),IF(MAIN!$H$3="Included Years",IF(D1026="Yes","Yes","No"),IF(C1026="Yes","Yes","No")))</f>
        <v>No</v>
      </c>
      <c r="Z1026" t="str">
        <f>IF(MAIN!$F$3="Project to Date",IF(AND(A1026&gt;=SETTINGS!$B$4,A1026&lt;MAIN!$B$3),"Yes",IF(AND(A1026=MAIN!$B$3,E1026&lt;=MAIN!$L$3),"Yes","No")),IF(OR(MAIN!$F$3="Full Year",MAIN!$D$3="All"),"Yes",IF(MAIN!$F$3="Monthly",IF(E1026=MAIN!$L$3,"Yes","No"),IF(E1026&lt;=MAIN!$L$3,"Yes","No"))))</f>
        <v>Yes</v>
      </c>
      <c r="AA1026" t="str">
        <f t="shared" ref="AA1026:AA1089" si="101">IF(AND(Y1026="Yes",Z1026="Yes"),"Yes","No")</f>
        <v>No</v>
      </c>
    </row>
    <row r="1027" spans="1:27" x14ac:dyDescent="0.3">
      <c r="A1027">
        <f>INDEX(SETTINGS!$A$15:$A$24,$B1027)</f>
        <v>2029</v>
      </c>
      <c r="B1027">
        <v>5</v>
      </c>
      <c r="C1027" t="str">
        <f>IF(AND(A1027&gt;=SETTINGS!$B$4,A1027&lt;=SETTINGS!$B$5),"Yes","No")</f>
        <v>No</v>
      </c>
      <c r="D1027" t="str">
        <f>IFERROR(INDEX(SETTINGS!$C$15:$C$24,MATCH(A1027,SETTINGS!$A$15:$A$24,0)),"No")</f>
        <v>No</v>
      </c>
      <c r="E1027">
        <v>6</v>
      </c>
      <c r="F1027" t="s">
        <v>39</v>
      </c>
      <c r="G1027">
        <v>150</v>
      </c>
      <c r="H1027" t="s">
        <v>112</v>
      </c>
      <c r="I1027" t="s">
        <v>30</v>
      </c>
      <c r="J1027" t="s">
        <v>33</v>
      </c>
      <c r="K1027" t="s">
        <v>34</v>
      </c>
      <c r="L1027" s="36">
        <f ca="1">IF(C1027&lt;&gt;"Yes",0,IF(A1027=2025,N('2025'!D150),IF(A1027=2026,N('2026'!D150),IF(A1027=2027,N('2027'!D150),IF(A1027=2028,N('2028'!D150),IF(A1027=2029,N('2029'!D150),IF(A1027=2030,N('2030'!D150),IF(A1027=2031,N('2031'!D150),IF(A1027=2032,N('2032'!D150),IF(A1027=2033,N('2033'!D150),IF(A1027=2034,N('2034'!D150),IFERROR(N(INDIRECT("'"&amp;A1027&amp;"'!D"&amp;G1027)),0))))))))))))</f>
        <v>0</v>
      </c>
      <c r="M1027" s="36">
        <f>IFERROR(IF(NOT(ISBLANK(KPI_TARGETS!$K$23)),KPI_TARGETS!$K$23,IF(NOT(ISBLANK(KPI_TARGETS!$F$23)),KPI_TARGETS!$F$23,"")),"")</f>
        <v>1</v>
      </c>
      <c r="N1027" s="36" t="str">
        <f>IFERROR(KPI_TARGETS!$E$23,"Higher is better")</f>
        <v>Higher is better</v>
      </c>
      <c r="O1027" s="37">
        <f t="shared" ca="1" si="96"/>
        <v>0</v>
      </c>
      <c r="P1027" t="str">
        <f t="shared" ca="1" si="97"/>
        <v>Red</v>
      </c>
      <c r="Q1027" s="36">
        <f t="shared" ca="1" si="98"/>
        <v>-1</v>
      </c>
      <c r="R1027" s="36" t="str">
        <f>""</f>
        <v/>
      </c>
      <c r="S1027" s="36" t="str">
        <f>""</f>
        <v/>
      </c>
      <c r="T1027" s="36" t="str">
        <f>""</f>
        <v/>
      </c>
      <c r="U1027" s="36" t="str">
        <f>""</f>
        <v/>
      </c>
      <c r="V1027" s="36" t="str">
        <f>""</f>
        <v/>
      </c>
      <c r="W1027" s="36">
        <f t="shared" si="99"/>
        <v>1</v>
      </c>
      <c r="X1027" t="str">
        <f t="shared" si="100"/>
        <v>Inactive</v>
      </c>
      <c r="Y1027" t="str">
        <f>IF(MAIN!$H$3="Selected Year",IF(A1027=MAIN!$B$3,"Yes","No"),IF(MAIN!$H$3="Included Years",IF(D1027="Yes","Yes","No"),IF(C1027="Yes","Yes","No")))</f>
        <v>No</v>
      </c>
      <c r="Z1027" t="str">
        <f>IF(MAIN!$F$3="Project to Date",IF(AND(A1027&gt;=SETTINGS!$B$4,A1027&lt;MAIN!$B$3),"Yes",IF(AND(A1027=MAIN!$B$3,E1027&lt;=MAIN!$L$3),"Yes","No")),IF(OR(MAIN!$F$3="Full Year",MAIN!$D$3="All"),"Yes",IF(MAIN!$F$3="Monthly",IF(E1027=MAIN!$L$3,"Yes","No"),IF(E1027&lt;=MAIN!$L$3,"Yes","No"))))</f>
        <v>Yes</v>
      </c>
      <c r="AA1027" t="str">
        <f t="shared" si="101"/>
        <v>No</v>
      </c>
    </row>
    <row r="1028" spans="1:27" x14ac:dyDescent="0.3">
      <c r="A1028">
        <f>INDEX(SETTINGS!$A$15:$A$24,$B1028)</f>
        <v>2029</v>
      </c>
      <c r="B1028">
        <v>5</v>
      </c>
      <c r="C1028" t="str">
        <f>IF(AND(A1028&gt;=SETTINGS!$B$4,A1028&lt;=SETTINGS!$B$5),"Yes","No")</f>
        <v>No</v>
      </c>
      <c r="D1028" t="str">
        <f>IFERROR(INDEX(SETTINGS!$C$15:$C$24,MATCH(A1028,SETTINGS!$A$15:$A$24,0)),"No")</f>
        <v>No</v>
      </c>
      <c r="E1028">
        <v>7</v>
      </c>
      <c r="F1028" t="s">
        <v>40</v>
      </c>
      <c r="G1028">
        <v>153</v>
      </c>
      <c r="H1028" t="s">
        <v>88</v>
      </c>
      <c r="I1028" t="s">
        <v>89</v>
      </c>
      <c r="J1028" t="s">
        <v>10</v>
      </c>
      <c r="K1028" t="s">
        <v>3</v>
      </c>
      <c r="L1028" s="36">
        <f ca="1">IF(C1028&lt;&gt;"Yes",0,IF(A1028=2025,N('2025'!D153),IF(A1028=2026,N('2026'!D153),IF(A1028=2027,N('2027'!D153),IF(A1028=2028,N('2028'!D153),IF(A1028=2029,N('2029'!D153),IF(A1028=2030,N('2030'!D153),IF(A1028=2031,N('2031'!D153),IF(A1028=2032,N('2032'!D153),IF(A1028=2033,N('2033'!D153),IF(A1028=2034,N('2034'!D153),IFERROR(N(INDIRECT("'"&amp;A1028&amp;"'!D"&amp;G1028)),0))))))))))))</f>
        <v>0</v>
      </c>
      <c r="M1028" s="36">
        <f>IFERROR(IF(NOT(ISBLANK(KPI_TARGETS!$K$5)),KPI_TARGETS!$K$5,IF(NOT(ISBLANK(KPI_TARGETS!$F$5)),KPI_TARGETS!$F$5,"")),"")</f>
        <v>104</v>
      </c>
      <c r="N1028" s="36" t="str">
        <f>IFERROR(KPI_TARGETS!$E$5,"Higher is better")</f>
        <v>Higher is better</v>
      </c>
      <c r="O1028" s="37">
        <f t="shared" ca="1" si="96"/>
        <v>0</v>
      </c>
      <c r="P1028" t="str">
        <f t="shared" ca="1" si="97"/>
        <v>Red</v>
      </c>
      <c r="Q1028" s="36">
        <f t="shared" ca="1" si="98"/>
        <v>-104</v>
      </c>
      <c r="R1028" s="36" t="str">
        <f>""</f>
        <v/>
      </c>
      <c r="S1028" s="36" t="str">
        <f>""</f>
        <v/>
      </c>
      <c r="T1028" s="36" t="str">
        <f>""</f>
        <v/>
      </c>
      <c r="U1028" s="36" t="str">
        <f>""</f>
        <v/>
      </c>
      <c r="V1028" s="36" t="str">
        <f>""</f>
        <v/>
      </c>
      <c r="W1028" s="36">
        <f t="shared" si="99"/>
        <v>1</v>
      </c>
      <c r="X1028" t="str">
        <f t="shared" si="100"/>
        <v>Inactive</v>
      </c>
      <c r="Y1028" t="str">
        <f>IF(MAIN!$H$3="Selected Year",IF(A1028=MAIN!$B$3,"Yes","No"),IF(MAIN!$H$3="Included Years",IF(D1028="Yes","Yes","No"),IF(C1028="Yes","Yes","No")))</f>
        <v>No</v>
      </c>
      <c r="Z1028" t="str">
        <f>IF(MAIN!$F$3="Project to Date",IF(AND(A1028&gt;=SETTINGS!$B$4,A1028&lt;MAIN!$B$3),"Yes",IF(AND(A1028=MAIN!$B$3,E1028&lt;=MAIN!$L$3),"Yes","No")),IF(OR(MAIN!$F$3="Full Year",MAIN!$D$3="All"),"Yes",IF(MAIN!$F$3="Monthly",IF(E1028=MAIN!$L$3,"Yes","No"),IF(E1028&lt;=MAIN!$L$3,"Yes","No"))))</f>
        <v>Yes</v>
      </c>
      <c r="AA1028" t="str">
        <f t="shared" si="101"/>
        <v>No</v>
      </c>
    </row>
    <row r="1029" spans="1:27" x14ac:dyDescent="0.3">
      <c r="A1029">
        <f>INDEX(SETTINGS!$A$15:$A$24,$B1029)</f>
        <v>2029</v>
      </c>
      <c r="B1029">
        <v>5</v>
      </c>
      <c r="C1029" t="str">
        <f>IF(AND(A1029&gt;=SETTINGS!$B$4,A1029&lt;=SETTINGS!$B$5),"Yes","No")</f>
        <v>No</v>
      </c>
      <c r="D1029" t="str">
        <f>IFERROR(INDEX(SETTINGS!$C$15:$C$24,MATCH(A1029,SETTINGS!$A$15:$A$24,0)),"No")</f>
        <v>No</v>
      </c>
      <c r="E1029">
        <v>7</v>
      </c>
      <c r="F1029" t="s">
        <v>40</v>
      </c>
      <c r="G1029">
        <v>154</v>
      </c>
      <c r="H1029" t="s">
        <v>91</v>
      </c>
      <c r="I1029" t="s">
        <v>89</v>
      </c>
      <c r="J1029" t="s">
        <v>11</v>
      </c>
      <c r="K1029" t="s">
        <v>12</v>
      </c>
      <c r="L1029" s="36">
        <f ca="1">IF(C1029&lt;&gt;"Yes",0,IF(A1029=2025,N('2025'!D154),IF(A1029=2026,N('2026'!D154),IF(A1029=2027,N('2027'!D154),IF(A1029=2028,N('2028'!D154),IF(A1029=2029,N('2029'!D154),IF(A1029=2030,N('2030'!D154),IF(A1029=2031,N('2031'!D154),IF(A1029=2032,N('2032'!D154),IF(A1029=2033,N('2033'!D154),IF(A1029=2034,N('2034'!D154),IFERROR(N(INDIRECT("'"&amp;A1029&amp;"'!D"&amp;G1029)),0))))))))))))</f>
        <v>0</v>
      </c>
      <c r="M1029" s="36">
        <f>IFERROR(IF(NOT(ISBLANK(KPI_TARGETS!$K$6)),KPI_TARGETS!$K$6,IF(NOT(ISBLANK(KPI_TARGETS!$F$6)),KPI_TARGETS!$F$6,"")),"")</f>
        <v>4000</v>
      </c>
      <c r="N1029" s="36" t="str">
        <f>IFERROR(KPI_TARGETS!$E$6,"Higher is better")</f>
        <v>Higher is better</v>
      </c>
      <c r="O1029" s="37">
        <f t="shared" ca="1" si="96"/>
        <v>0</v>
      </c>
      <c r="P1029" t="str">
        <f t="shared" ca="1" si="97"/>
        <v>Red</v>
      </c>
      <c r="Q1029" s="36">
        <f t="shared" ca="1" si="98"/>
        <v>-4000</v>
      </c>
      <c r="R1029" s="36" t="str">
        <f>""</f>
        <v/>
      </c>
      <c r="S1029" s="36" t="str">
        <f>""</f>
        <v/>
      </c>
      <c r="T1029" s="36" t="str">
        <f>""</f>
        <v/>
      </c>
      <c r="U1029" s="36" t="str">
        <f>""</f>
        <v/>
      </c>
      <c r="V1029" s="36" t="str">
        <f>""</f>
        <v/>
      </c>
      <c r="W1029" s="36">
        <f t="shared" si="99"/>
        <v>1</v>
      </c>
      <c r="X1029" t="str">
        <f t="shared" si="100"/>
        <v>Inactive</v>
      </c>
      <c r="Y1029" t="str">
        <f>IF(MAIN!$H$3="Selected Year",IF(A1029=MAIN!$B$3,"Yes","No"),IF(MAIN!$H$3="Included Years",IF(D1029="Yes","Yes","No"),IF(C1029="Yes","Yes","No")))</f>
        <v>No</v>
      </c>
      <c r="Z1029" t="str">
        <f>IF(MAIN!$F$3="Project to Date",IF(AND(A1029&gt;=SETTINGS!$B$4,A1029&lt;MAIN!$B$3),"Yes",IF(AND(A1029=MAIN!$B$3,E1029&lt;=MAIN!$L$3),"Yes","No")),IF(OR(MAIN!$F$3="Full Year",MAIN!$D$3="All"),"Yes",IF(MAIN!$F$3="Monthly",IF(E1029=MAIN!$L$3,"Yes","No"),IF(E1029&lt;=MAIN!$L$3,"Yes","No"))))</f>
        <v>Yes</v>
      </c>
      <c r="AA1029" t="str">
        <f t="shared" si="101"/>
        <v>No</v>
      </c>
    </row>
    <row r="1030" spans="1:27" x14ac:dyDescent="0.3">
      <c r="A1030">
        <f>INDEX(SETTINGS!$A$15:$A$24,$B1030)</f>
        <v>2029</v>
      </c>
      <c r="B1030">
        <v>5</v>
      </c>
      <c r="C1030" t="str">
        <f>IF(AND(A1030&gt;=SETTINGS!$B$4,A1030&lt;=SETTINGS!$B$5),"Yes","No")</f>
        <v>No</v>
      </c>
      <c r="D1030" t="str">
        <f>IFERROR(INDEX(SETTINGS!$C$15:$C$24,MATCH(A1030,SETTINGS!$A$15:$A$24,0)),"No")</f>
        <v>No</v>
      </c>
      <c r="E1030">
        <v>7</v>
      </c>
      <c r="F1030" t="s">
        <v>40</v>
      </c>
      <c r="G1030">
        <v>155</v>
      </c>
      <c r="H1030" t="s">
        <v>93</v>
      </c>
      <c r="I1030" t="s">
        <v>89</v>
      </c>
      <c r="J1030" t="s">
        <v>13</v>
      </c>
      <c r="K1030" t="s">
        <v>14</v>
      </c>
      <c r="L1030" s="36">
        <f ca="1">IF(C1030&lt;&gt;"Yes",0,IF(A1030=2025,N('2025'!D155),IF(A1030=2026,N('2026'!D155),IF(A1030=2027,N('2027'!D155),IF(A1030=2028,N('2028'!D155),IF(A1030=2029,N('2029'!D155),IF(A1030=2030,N('2030'!D155),IF(A1030=2031,N('2031'!D155),IF(A1030=2032,N('2032'!D155),IF(A1030=2033,N('2033'!D155),IF(A1030=2034,N('2034'!D155),IFERROR(N(INDIRECT("'"&amp;A1030&amp;"'!D"&amp;G1030)),0))))))))))))</f>
        <v>0</v>
      </c>
      <c r="M1030" s="36">
        <f>IFERROR(IF(NOT(ISBLANK(KPI_TARGETS!$K$7)),KPI_TARGETS!$K$7,IF(NOT(ISBLANK(KPI_TARGETS!$F$7)),KPI_TARGETS!$F$7,"")),"")</f>
        <v>8000</v>
      </c>
      <c r="N1030" s="36" t="str">
        <f>IFERROR(KPI_TARGETS!$E$7,"Higher is better")</f>
        <v>Higher is better</v>
      </c>
      <c r="O1030" s="37">
        <f t="shared" ca="1" si="96"/>
        <v>0</v>
      </c>
      <c r="P1030" t="str">
        <f t="shared" ca="1" si="97"/>
        <v>Red</v>
      </c>
      <c r="Q1030" s="36">
        <f t="shared" ca="1" si="98"/>
        <v>-8000</v>
      </c>
      <c r="R1030" s="36" t="str">
        <f>""</f>
        <v/>
      </c>
      <c r="S1030" s="36" t="str">
        <f>""</f>
        <v/>
      </c>
      <c r="T1030" s="36" t="str">
        <f>""</f>
        <v/>
      </c>
      <c r="U1030" s="36" t="str">
        <f>""</f>
        <v/>
      </c>
      <c r="V1030" s="36" t="str">
        <f>""</f>
        <v/>
      </c>
      <c r="W1030" s="36">
        <f t="shared" si="99"/>
        <v>1</v>
      </c>
      <c r="X1030" t="str">
        <f t="shared" si="100"/>
        <v>Inactive</v>
      </c>
      <c r="Y1030" t="str">
        <f>IF(MAIN!$H$3="Selected Year",IF(A1030=MAIN!$B$3,"Yes","No"),IF(MAIN!$H$3="Included Years",IF(D1030="Yes","Yes","No"),IF(C1030="Yes","Yes","No")))</f>
        <v>No</v>
      </c>
      <c r="Z1030" t="str">
        <f>IF(MAIN!$F$3="Project to Date",IF(AND(A1030&gt;=SETTINGS!$B$4,A1030&lt;MAIN!$B$3),"Yes",IF(AND(A1030=MAIN!$B$3,E1030&lt;=MAIN!$L$3),"Yes","No")),IF(OR(MAIN!$F$3="Full Year",MAIN!$D$3="All"),"Yes",IF(MAIN!$F$3="Monthly",IF(E1030=MAIN!$L$3,"Yes","No"),IF(E1030&lt;=MAIN!$L$3,"Yes","No"))))</f>
        <v>Yes</v>
      </c>
      <c r="AA1030" t="str">
        <f t="shared" si="101"/>
        <v>No</v>
      </c>
    </row>
    <row r="1031" spans="1:27" x14ac:dyDescent="0.3">
      <c r="A1031">
        <f>INDEX(SETTINGS!$A$15:$A$24,$B1031)</f>
        <v>2029</v>
      </c>
      <c r="B1031">
        <v>5</v>
      </c>
      <c r="C1031" t="str">
        <f>IF(AND(A1031&gt;=SETTINGS!$B$4,A1031&lt;=SETTINGS!$B$5),"Yes","No")</f>
        <v>No</v>
      </c>
      <c r="D1031" t="str">
        <f>IFERROR(INDEX(SETTINGS!$C$15:$C$24,MATCH(A1031,SETTINGS!$A$15:$A$24,0)),"No")</f>
        <v>No</v>
      </c>
      <c r="E1031">
        <v>7</v>
      </c>
      <c r="F1031" t="s">
        <v>40</v>
      </c>
      <c r="G1031">
        <v>157</v>
      </c>
      <c r="H1031" t="s">
        <v>95</v>
      </c>
      <c r="I1031" t="s">
        <v>15</v>
      </c>
      <c r="J1031" t="s">
        <v>16</v>
      </c>
      <c r="K1031" t="s">
        <v>3</v>
      </c>
      <c r="L1031" s="36">
        <f ca="1">IF(C1031&lt;&gt;"Yes",0,IF(A1031=2025,N('2025'!D157),IF(A1031=2026,N('2026'!D157),IF(A1031=2027,N('2027'!D157),IF(A1031=2028,N('2028'!D157),IF(A1031=2029,N('2029'!D157),IF(A1031=2030,N('2030'!D157),IF(A1031=2031,N('2031'!D157),IF(A1031=2032,N('2032'!D157),IF(A1031=2033,N('2033'!D157),IF(A1031=2034,N('2034'!D157),IFERROR(N(INDIRECT("'"&amp;A1031&amp;"'!D"&amp;G1031)),0))))))))))))</f>
        <v>0</v>
      </c>
      <c r="M1031" s="36">
        <f>IFERROR(IF(NOT(ISBLANK(KPI_TARGETS!$K$8)),KPI_TARGETS!$K$8,IF(NOT(ISBLANK(KPI_TARGETS!$F$8)),KPI_TARGETS!$F$8,"")),"")</f>
        <v>0</v>
      </c>
      <c r="N1031" s="36" t="str">
        <f>IFERROR(KPI_TARGETS!$E$8,"Higher is better")</f>
        <v>Lower is better</v>
      </c>
      <c r="O1031" s="37">
        <f t="shared" ca="1" si="96"/>
        <v>1</v>
      </c>
      <c r="P1031" t="str">
        <f t="shared" ca="1" si="97"/>
        <v>Green</v>
      </c>
      <c r="Q1031" s="36">
        <f t="shared" ca="1" si="98"/>
        <v>0</v>
      </c>
      <c r="R1031" s="36" t="str">
        <f>""</f>
        <v/>
      </c>
      <c r="S1031" s="36" t="str">
        <f>""</f>
        <v/>
      </c>
      <c r="T1031" s="36" t="str">
        <f>""</f>
        <v/>
      </c>
      <c r="U1031" s="36" t="str">
        <f>""</f>
        <v/>
      </c>
      <c r="V1031" s="36" t="str">
        <f>""</f>
        <v/>
      </c>
      <c r="W1031" s="36">
        <f t="shared" si="99"/>
        <v>1</v>
      </c>
      <c r="X1031" t="str">
        <f t="shared" si="100"/>
        <v>Inactive</v>
      </c>
      <c r="Y1031" t="str">
        <f>IF(MAIN!$H$3="Selected Year",IF(A1031=MAIN!$B$3,"Yes","No"),IF(MAIN!$H$3="Included Years",IF(D1031="Yes","Yes","No"),IF(C1031="Yes","Yes","No")))</f>
        <v>No</v>
      </c>
      <c r="Z1031" t="str">
        <f>IF(MAIN!$F$3="Project to Date",IF(AND(A1031&gt;=SETTINGS!$B$4,A1031&lt;MAIN!$B$3),"Yes",IF(AND(A1031=MAIN!$B$3,E1031&lt;=MAIN!$L$3),"Yes","No")),IF(OR(MAIN!$F$3="Full Year",MAIN!$D$3="All"),"Yes",IF(MAIN!$F$3="Monthly",IF(E1031=MAIN!$L$3,"Yes","No"),IF(E1031&lt;=MAIN!$L$3,"Yes","No"))))</f>
        <v>Yes</v>
      </c>
      <c r="AA1031" t="str">
        <f t="shared" si="101"/>
        <v>No</v>
      </c>
    </row>
    <row r="1032" spans="1:27" x14ac:dyDescent="0.3">
      <c r="A1032">
        <f>INDEX(SETTINGS!$A$15:$A$24,$B1032)</f>
        <v>2029</v>
      </c>
      <c r="B1032">
        <v>5</v>
      </c>
      <c r="C1032" t="str">
        <f>IF(AND(A1032&gt;=SETTINGS!$B$4,A1032&lt;=SETTINGS!$B$5),"Yes","No")</f>
        <v>No</v>
      </c>
      <c r="D1032" t="str">
        <f>IFERROR(INDEX(SETTINGS!$C$15:$C$24,MATCH(A1032,SETTINGS!$A$15:$A$24,0)),"No")</f>
        <v>No</v>
      </c>
      <c r="E1032">
        <v>7</v>
      </c>
      <c r="F1032" t="s">
        <v>40</v>
      </c>
      <c r="G1032">
        <v>158</v>
      </c>
      <c r="H1032" t="s">
        <v>97</v>
      </c>
      <c r="I1032" t="s">
        <v>15</v>
      </c>
      <c r="J1032" t="s">
        <v>17</v>
      </c>
      <c r="K1032" t="s">
        <v>3</v>
      </c>
      <c r="L1032" s="36">
        <f ca="1">IF(C1032&lt;&gt;"Yes",0,IF(A1032=2025,N('2025'!D158),IF(A1032=2026,N('2026'!D158),IF(A1032=2027,N('2027'!D158),IF(A1032=2028,N('2028'!D158),IF(A1032=2029,N('2029'!D158),IF(A1032=2030,N('2030'!D158),IF(A1032=2031,N('2031'!D158),IF(A1032=2032,N('2032'!D158),IF(A1032=2033,N('2033'!D158),IF(A1032=2034,N('2034'!D158),IFERROR(N(INDIRECT("'"&amp;A1032&amp;"'!D"&amp;G1032)),0))))))))))))</f>
        <v>0</v>
      </c>
      <c r="M1032" s="36">
        <f>IFERROR(IF(NOT(ISBLANK(KPI_TARGETS!$K$9)),KPI_TARGETS!$K$9,IF(NOT(ISBLANK(KPI_TARGETS!$F$9)),KPI_TARGETS!$F$9,"")),"")</f>
        <v>0</v>
      </c>
      <c r="N1032" s="36" t="str">
        <f>IFERROR(KPI_TARGETS!$E$9,"Higher is better")</f>
        <v>Higher is better</v>
      </c>
      <c r="O1032" s="37" t="str">
        <f t="shared" ca="1" si="96"/>
        <v/>
      </c>
      <c r="P1032" t="str">
        <f t="shared" ca="1" si="97"/>
        <v>Green</v>
      </c>
      <c r="Q1032" s="36">
        <f t="shared" ca="1" si="98"/>
        <v>0</v>
      </c>
      <c r="R1032" s="36" t="str">
        <f>""</f>
        <v/>
      </c>
      <c r="S1032" s="36" t="str">
        <f>""</f>
        <v/>
      </c>
      <c r="T1032" s="36" t="str">
        <f>""</f>
        <v/>
      </c>
      <c r="U1032" s="36" t="str">
        <f>""</f>
        <v/>
      </c>
      <c r="V1032" s="36" t="str">
        <f>""</f>
        <v/>
      </c>
      <c r="W1032" s="36">
        <f t="shared" si="99"/>
        <v>1</v>
      </c>
      <c r="X1032" t="str">
        <f t="shared" si="100"/>
        <v>Inactive</v>
      </c>
      <c r="Y1032" t="str">
        <f>IF(MAIN!$H$3="Selected Year",IF(A1032=MAIN!$B$3,"Yes","No"),IF(MAIN!$H$3="Included Years",IF(D1032="Yes","Yes","No"),IF(C1032="Yes","Yes","No")))</f>
        <v>No</v>
      </c>
      <c r="Z1032" t="str">
        <f>IF(MAIN!$F$3="Project to Date",IF(AND(A1032&gt;=SETTINGS!$B$4,A1032&lt;MAIN!$B$3),"Yes",IF(AND(A1032=MAIN!$B$3,E1032&lt;=MAIN!$L$3),"Yes","No")),IF(OR(MAIN!$F$3="Full Year",MAIN!$D$3="All"),"Yes",IF(MAIN!$F$3="Monthly",IF(E1032=MAIN!$L$3,"Yes","No"),IF(E1032&lt;=MAIN!$L$3,"Yes","No"))))</f>
        <v>Yes</v>
      </c>
      <c r="AA1032" t="str">
        <f t="shared" si="101"/>
        <v>No</v>
      </c>
    </row>
    <row r="1033" spans="1:27" x14ac:dyDescent="0.3">
      <c r="A1033">
        <f>INDEX(SETTINGS!$A$15:$A$24,$B1033)</f>
        <v>2029</v>
      </c>
      <c r="B1033">
        <v>5</v>
      </c>
      <c r="C1033" t="str">
        <f>IF(AND(A1033&gt;=SETTINGS!$B$4,A1033&lt;=SETTINGS!$B$5),"Yes","No")</f>
        <v>No</v>
      </c>
      <c r="D1033" t="str">
        <f>IFERROR(INDEX(SETTINGS!$C$15:$C$24,MATCH(A1033,SETTINGS!$A$15:$A$24,0)),"No")</f>
        <v>No</v>
      </c>
      <c r="E1033">
        <v>7</v>
      </c>
      <c r="F1033" t="s">
        <v>40</v>
      </c>
      <c r="G1033">
        <v>159</v>
      </c>
      <c r="H1033" t="s">
        <v>99</v>
      </c>
      <c r="I1033" t="s">
        <v>15</v>
      </c>
      <c r="J1033" t="s">
        <v>18</v>
      </c>
      <c r="K1033" t="s">
        <v>3</v>
      </c>
      <c r="L1033" s="36">
        <f ca="1">IF(C1033&lt;&gt;"Yes",0,IF(A1033=2025,N('2025'!D159),IF(A1033=2026,N('2026'!D159),IF(A1033=2027,N('2027'!D159),IF(A1033=2028,N('2028'!D159),IF(A1033=2029,N('2029'!D159),IF(A1033=2030,N('2030'!D159),IF(A1033=2031,N('2031'!D159),IF(A1033=2032,N('2032'!D159),IF(A1033=2033,N('2033'!D159),IF(A1033=2034,N('2034'!D159),IFERROR(N(INDIRECT("'"&amp;A1033&amp;"'!D"&amp;G1033)),0))))))))))))</f>
        <v>0</v>
      </c>
      <c r="M1033" s="36">
        <f>IFERROR(IF(NOT(ISBLANK(KPI_TARGETS!$K$10)),KPI_TARGETS!$K$10,IF(NOT(ISBLANK(KPI_TARGETS!$F$10)),KPI_TARGETS!$F$10,"")),"")</f>
        <v>0</v>
      </c>
      <c r="N1033" s="36" t="str">
        <f>IFERROR(KPI_TARGETS!$E$10,"Higher is better")</f>
        <v>Lower is better</v>
      </c>
      <c r="O1033" s="37">
        <f t="shared" ca="1" si="96"/>
        <v>1</v>
      </c>
      <c r="P1033" t="str">
        <f t="shared" ca="1" si="97"/>
        <v>Green</v>
      </c>
      <c r="Q1033" s="36">
        <f t="shared" ca="1" si="98"/>
        <v>0</v>
      </c>
      <c r="R1033" s="36" t="str">
        <f>""</f>
        <v/>
      </c>
      <c r="S1033" s="36" t="str">
        <f>""</f>
        <v/>
      </c>
      <c r="T1033" s="36" t="str">
        <f>""</f>
        <v/>
      </c>
      <c r="U1033" s="36" t="str">
        <f>""</f>
        <v/>
      </c>
      <c r="V1033" s="36" t="str">
        <f>""</f>
        <v/>
      </c>
      <c r="W1033" s="36">
        <f t="shared" si="99"/>
        <v>1</v>
      </c>
      <c r="X1033" t="str">
        <f t="shared" si="100"/>
        <v>Inactive</v>
      </c>
      <c r="Y1033" t="str">
        <f>IF(MAIN!$H$3="Selected Year",IF(A1033=MAIN!$B$3,"Yes","No"),IF(MAIN!$H$3="Included Years",IF(D1033="Yes","Yes","No"),IF(C1033="Yes","Yes","No")))</f>
        <v>No</v>
      </c>
      <c r="Z1033" t="str">
        <f>IF(MAIN!$F$3="Project to Date",IF(AND(A1033&gt;=SETTINGS!$B$4,A1033&lt;MAIN!$B$3),"Yes",IF(AND(A1033=MAIN!$B$3,E1033&lt;=MAIN!$L$3),"Yes","No")),IF(OR(MAIN!$F$3="Full Year",MAIN!$D$3="All"),"Yes",IF(MAIN!$F$3="Monthly",IF(E1033=MAIN!$L$3,"Yes","No"),IF(E1033&lt;=MAIN!$L$3,"Yes","No"))))</f>
        <v>Yes</v>
      </c>
      <c r="AA1033" t="str">
        <f t="shared" si="101"/>
        <v>No</v>
      </c>
    </row>
    <row r="1034" spans="1:27" x14ac:dyDescent="0.3">
      <c r="A1034">
        <f>INDEX(SETTINGS!$A$15:$A$24,$B1034)</f>
        <v>2029</v>
      </c>
      <c r="B1034">
        <v>5</v>
      </c>
      <c r="C1034" t="str">
        <f>IF(AND(A1034&gt;=SETTINGS!$B$4,A1034&lt;=SETTINGS!$B$5),"Yes","No")</f>
        <v>No</v>
      </c>
      <c r="D1034" t="str">
        <f>IFERROR(INDEX(SETTINGS!$C$15:$C$24,MATCH(A1034,SETTINGS!$A$15:$A$24,0)),"No")</f>
        <v>No</v>
      </c>
      <c r="E1034">
        <v>7</v>
      </c>
      <c r="F1034" t="s">
        <v>40</v>
      </c>
      <c r="G1034">
        <v>160</v>
      </c>
      <c r="H1034" t="s">
        <v>100</v>
      </c>
      <c r="I1034" t="s">
        <v>15</v>
      </c>
      <c r="J1034" t="s">
        <v>19</v>
      </c>
      <c r="K1034" t="s">
        <v>3</v>
      </c>
      <c r="L1034" s="36">
        <f ca="1">IF(C1034&lt;&gt;"Yes",0,IF(A1034=2025,N('2025'!D160),IF(A1034=2026,N('2026'!D160),IF(A1034=2027,N('2027'!D160),IF(A1034=2028,N('2028'!D160),IF(A1034=2029,N('2029'!D160),IF(A1034=2030,N('2030'!D160),IF(A1034=2031,N('2031'!D160),IF(A1034=2032,N('2032'!D160),IF(A1034=2033,N('2033'!D160),IF(A1034=2034,N('2034'!D160),IFERROR(N(INDIRECT("'"&amp;A1034&amp;"'!D"&amp;G1034)),0))))))))))))</f>
        <v>0</v>
      </c>
      <c r="M1034" s="36">
        <f>IFERROR(IF(NOT(ISBLANK(KPI_TARGETS!$K$11)),KPI_TARGETS!$K$11,IF(NOT(ISBLANK(KPI_TARGETS!$F$11)),KPI_TARGETS!$F$11,"")),"")</f>
        <v>0</v>
      </c>
      <c r="N1034" s="36" t="str">
        <f>IFERROR(KPI_TARGETS!$E$11,"Higher is better")</f>
        <v>Lower is better</v>
      </c>
      <c r="O1034" s="37">
        <f t="shared" ca="1" si="96"/>
        <v>1</v>
      </c>
      <c r="P1034" t="str">
        <f t="shared" ca="1" si="97"/>
        <v>Green</v>
      </c>
      <c r="Q1034" s="36">
        <f t="shared" ca="1" si="98"/>
        <v>0</v>
      </c>
      <c r="R1034" s="36" t="str">
        <f>""</f>
        <v/>
      </c>
      <c r="S1034" s="36" t="str">
        <f>""</f>
        <v/>
      </c>
      <c r="T1034" s="36" t="str">
        <f>""</f>
        <v/>
      </c>
      <c r="U1034" s="36" t="str">
        <f>""</f>
        <v/>
      </c>
      <c r="V1034" s="36" t="str">
        <f>""</f>
        <v/>
      </c>
      <c r="W1034" s="36">
        <f t="shared" si="99"/>
        <v>1</v>
      </c>
      <c r="X1034" t="str">
        <f t="shared" si="100"/>
        <v>Inactive</v>
      </c>
      <c r="Y1034" t="str">
        <f>IF(MAIN!$H$3="Selected Year",IF(A1034=MAIN!$B$3,"Yes","No"),IF(MAIN!$H$3="Included Years",IF(D1034="Yes","Yes","No"),IF(C1034="Yes","Yes","No")))</f>
        <v>No</v>
      </c>
      <c r="Z1034" t="str">
        <f>IF(MAIN!$F$3="Project to Date",IF(AND(A1034&gt;=SETTINGS!$B$4,A1034&lt;MAIN!$B$3),"Yes",IF(AND(A1034=MAIN!$B$3,E1034&lt;=MAIN!$L$3),"Yes","No")),IF(OR(MAIN!$F$3="Full Year",MAIN!$D$3="All"),"Yes",IF(MAIN!$F$3="Monthly",IF(E1034=MAIN!$L$3,"Yes","No"),IF(E1034&lt;=MAIN!$L$3,"Yes","No"))))</f>
        <v>Yes</v>
      </c>
      <c r="AA1034" t="str">
        <f t="shared" si="101"/>
        <v>No</v>
      </c>
    </row>
    <row r="1035" spans="1:27" x14ac:dyDescent="0.3">
      <c r="A1035">
        <f>INDEX(SETTINGS!$A$15:$A$24,$B1035)</f>
        <v>2029</v>
      </c>
      <c r="B1035">
        <v>5</v>
      </c>
      <c r="C1035" t="str">
        <f>IF(AND(A1035&gt;=SETTINGS!$B$4,A1035&lt;=SETTINGS!$B$5),"Yes","No")</f>
        <v>No</v>
      </c>
      <c r="D1035" t="str">
        <f>IFERROR(INDEX(SETTINGS!$C$15:$C$24,MATCH(A1035,SETTINGS!$A$15:$A$24,0)),"No")</f>
        <v>No</v>
      </c>
      <c r="E1035">
        <v>7</v>
      </c>
      <c r="F1035" t="s">
        <v>40</v>
      </c>
      <c r="G1035">
        <v>161</v>
      </c>
      <c r="H1035" t="s">
        <v>101</v>
      </c>
      <c r="I1035" t="s">
        <v>15</v>
      </c>
      <c r="J1035" t="s">
        <v>20</v>
      </c>
      <c r="K1035" t="s">
        <v>3</v>
      </c>
      <c r="L1035" s="36">
        <f ca="1">IF(C1035&lt;&gt;"Yes",0,IF(A1035=2025,N('2025'!D161),IF(A1035=2026,N('2026'!D161),IF(A1035=2027,N('2027'!D161),IF(A1035=2028,N('2028'!D161),IF(A1035=2029,N('2029'!D161),IF(A1035=2030,N('2030'!D161),IF(A1035=2031,N('2031'!D161),IF(A1035=2032,N('2032'!D161),IF(A1035=2033,N('2033'!D161),IF(A1035=2034,N('2034'!D161),IFERROR(N(INDIRECT("'"&amp;A1035&amp;"'!D"&amp;G1035)),0))))))))))))</f>
        <v>0</v>
      </c>
      <c r="M1035" s="36">
        <f>IFERROR(IF(NOT(ISBLANK(KPI_TARGETS!$K$12)),KPI_TARGETS!$K$12,IF(NOT(ISBLANK(KPI_TARGETS!$F$12)),KPI_TARGETS!$F$12,"")),"")</f>
        <v>0</v>
      </c>
      <c r="N1035" s="36" t="str">
        <f>IFERROR(KPI_TARGETS!$E$12,"Higher is better")</f>
        <v>Lower is better</v>
      </c>
      <c r="O1035" s="37">
        <f t="shared" ca="1" si="96"/>
        <v>1</v>
      </c>
      <c r="P1035" t="str">
        <f t="shared" ca="1" si="97"/>
        <v>Green</v>
      </c>
      <c r="Q1035" s="36">
        <f t="shared" ca="1" si="98"/>
        <v>0</v>
      </c>
      <c r="R1035" s="36" t="str">
        <f>""</f>
        <v/>
      </c>
      <c r="S1035" s="36" t="str">
        <f>""</f>
        <v/>
      </c>
      <c r="T1035" s="36" t="str">
        <f>""</f>
        <v/>
      </c>
      <c r="U1035" s="36" t="str">
        <f>""</f>
        <v/>
      </c>
      <c r="V1035" s="36" t="str">
        <f>""</f>
        <v/>
      </c>
      <c r="W1035" s="36">
        <f t="shared" si="99"/>
        <v>1</v>
      </c>
      <c r="X1035" t="str">
        <f t="shared" si="100"/>
        <v>Inactive</v>
      </c>
      <c r="Y1035" t="str">
        <f>IF(MAIN!$H$3="Selected Year",IF(A1035=MAIN!$B$3,"Yes","No"),IF(MAIN!$H$3="Included Years",IF(D1035="Yes","Yes","No"),IF(C1035="Yes","Yes","No")))</f>
        <v>No</v>
      </c>
      <c r="Z1035" t="str">
        <f>IF(MAIN!$F$3="Project to Date",IF(AND(A1035&gt;=SETTINGS!$B$4,A1035&lt;MAIN!$B$3),"Yes",IF(AND(A1035=MAIN!$B$3,E1035&lt;=MAIN!$L$3),"Yes","No")),IF(OR(MAIN!$F$3="Full Year",MAIN!$D$3="All"),"Yes",IF(MAIN!$F$3="Monthly",IF(E1035=MAIN!$L$3,"Yes","No"),IF(E1035&lt;=MAIN!$L$3,"Yes","No"))))</f>
        <v>Yes</v>
      </c>
      <c r="AA1035" t="str">
        <f t="shared" si="101"/>
        <v>No</v>
      </c>
    </row>
    <row r="1036" spans="1:27" x14ac:dyDescent="0.3">
      <c r="A1036">
        <f>INDEX(SETTINGS!$A$15:$A$24,$B1036)</f>
        <v>2029</v>
      </c>
      <c r="B1036">
        <v>5</v>
      </c>
      <c r="C1036" t="str">
        <f>IF(AND(A1036&gt;=SETTINGS!$B$4,A1036&lt;=SETTINGS!$B$5),"Yes","No")</f>
        <v>No</v>
      </c>
      <c r="D1036" t="str">
        <f>IFERROR(INDEX(SETTINGS!$C$15:$C$24,MATCH(A1036,SETTINGS!$A$15:$A$24,0)),"No")</f>
        <v>No</v>
      </c>
      <c r="E1036">
        <v>7</v>
      </c>
      <c r="F1036" t="s">
        <v>40</v>
      </c>
      <c r="G1036">
        <v>162</v>
      </c>
      <c r="H1036" t="s">
        <v>102</v>
      </c>
      <c r="I1036" t="s">
        <v>15</v>
      </c>
      <c r="J1036" t="s">
        <v>21</v>
      </c>
      <c r="K1036" t="s">
        <v>3</v>
      </c>
      <c r="L1036" s="36">
        <f ca="1">IF(C1036&lt;&gt;"Yes",0,IF(A1036=2025,N('2025'!D162),IF(A1036=2026,N('2026'!D162),IF(A1036=2027,N('2027'!D162),IF(A1036=2028,N('2028'!D162),IF(A1036=2029,N('2029'!D162),IF(A1036=2030,N('2030'!D162),IF(A1036=2031,N('2031'!D162),IF(A1036=2032,N('2032'!D162),IF(A1036=2033,N('2033'!D162),IF(A1036=2034,N('2034'!D162),IFERROR(N(INDIRECT("'"&amp;A1036&amp;"'!D"&amp;G1036)),0))))))))))))</f>
        <v>0</v>
      </c>
      <c r="M1036" s="36">
        <f>IFERROR(IF(NOT(ISBLANK(KPI_TARGETS!$K$13)),KPI_TARGETS!$K$13,IF(NOT(ISBLANK(KPI_TARGETS!$F$13)),KPI_TARGETS!$F$13,"")),"")</f>
        <v>0</v>
      </c>
      <c r="N1036" s="36" t="str">
        <f>IFERROR(KPI_TARGETS!$E$13,"Higher is better")</f>
        <v>Lower is better</v>
      </c>
      <c r="O1036" s="37">
        <f t="shared" ca="1" si="96"/>
        <v>1</v>
      </c>
      <c r="P1036" t="str">
        <f t="shared" ca="1" si="97"/>
        <v>Green</v>
      </c>
      <c r="Q1036" s="36">
        <f t="shared" ca="1" si="98"/>
        <v>0</v>
      </c>
      <c r="R1036" s="36" t="str">
        <f>""</f>
        <v/>
      </c>
      <c r="S1036" s="36" t="str">
        <f>""</f>
        <v/>
      </c>
      <c r="T1036" s="36" t="str">
        <f>""</f>
        <v/>
      </c>
      <c r="U1036" s="36" t="str">
        <f>""</f>
        <v/>
      </c>
      <c r="V1036" s="36" t="str">
        <f>""</f>
        <v/>
      </c>
      <c r="W1036" s="36">
        <f t="shared" si="99"/>
        <v>1</v>
      </c>
      <c r="X1036" t="str">
        <f t="shared" si="100"/>
        <v>Inactive</v>
      </c>
      <c r="Y1036" t="str">
        <f>IF(MAIN!$H$3="Selected Year",IF(A1036=MAIN!$B$3,"Yes","No"),IF(MAIN!$H$3="Included Years",IF(D1036="Yes","Yes","No"),IF(C1036="Yes","Yes","No")))</f>
        <v>No</v>
      </c>
      <c r="Z1036" t="str">
        <f>IF(MAIN!$F$3="Project to Date",IF(AND(A1036&gt;=SETTINGS!$B$4,A1036&lt;MAIN!$B$3),"Yes",IF(AND(A1036=MAIN!$B$3,E1036&lt;=MAIN!$L$3),"Yes","No")),IF(OR(MAIN!$F$3="Full Year",MAIN!$D$3="All"),"Yes",IF(MAIN!$F$3="Monthly",IF(E1036=MAIN!$L$3,"Yes","No"),IF(E1036&lt;=MAIN!$L$3,"Yes","No"))))</f>
        <v>Yes</v>
      </c>
      <c r="AA1036" t="str">
        <f t="shared" si="101"/>
        <v>No</v>
      </c>
    </row>
    <row r="1037" spans="1:27" x14ac:dyDescent="0.3">
      <c r="A1037">
        <f>INDEX(SETTINGS!$A$15:$A$24,$B1037)</f>
        <v>2029</v>
      </c>
      <c r="B1037">
        <v>5</v>
      </c>
      <c r="C1037" t="str">
        <f>IF(AND(A1037&gt;=SETTINGS!$B$4,A1037&lt;=SETTINGS!$B$5),"Yes","No")</f>
        <v>No</v>
      </c>
      <c r="D1037" t="str">
        <f>IFERROR(INDEX(SETTINGS!$C$15:$C$24,MATCH(A1037,SETTINGS!$A$15:$A$24,0)),"No")</f>
        <v>No</v>
      </c>
      <c r="E1037">
        <v>7</v>
      </c>
      <c r="F1037" t="s">
        <v>40</v>
      </c>
      <c r="G1037">
        <v>164</v>
      </c>
      <c r="H1037" t="s">
        <v>103</v>
      </c>
      <c r="I1037" t="s">
        <v>22</v>
      </c>
      <c r="J1037" t="s">
        <v>23</v>
      </c>
      <c r="K1037" t="s">
        <v>3</v>
      </c>
      <c r="L1037" s="36">
        <f ca="1">IF(C1037&lt;&gt;"Yes",0,IF(A1037=2025,N('2025'!D164),IF(A1037=2026,N('2026'!D164),IF(A1037=2027,N('2027'!D164),IF(A1037=2028,N('2028'!D164),IF(A1037=2029,N('2029'!D164),IF(A1037=2030,N('2030'!D164),IF(A1037=2031,N('2031'!D164),IF(A1037=2032,N('2032'!D164),IF(A1037=2033,N('2033'!D164),IF(A1037=2034,N('2034'!D164),IFERROR(N(INDIRECT("'"&amp;A1037&amp;"'!D"&amp;G1037)),0))))))))))))</f>
        <v>0</v>
      </c>
      <c r="M1037" s="36">
        <f>IFERROR(IF(NOT(ISBLANK(KPI_TARGETS!$K$14)),KPI_TARGETS!$K$14,IF(NOT(ISBLANK(KPI_TARGETS!$F$14)),KPI_TARGETS!$F$14,"")),"")</f>
        <v>35</v>
      </c>
      <c r="N1037" s="36" t="str">
        <f>IFERROR(KPI_TARGETS!$E$14,"Higher is better")</f>
        <v>Higher is better</v>
      </c>
      <c r="O1037" s="37">
        <f t="shared" ca="1" si="96"/>
        <v>0</v>
      </c>
      <c r="P1037" t="str">
        <f t="shared" ca="1" si="97"/>
        <v>Red</v>
      </c>
      <c r="Q1037" s="36">
        <f t="shared" ca="1" si="98"/>
        <v>-35</v>
      </c>
      <c r="R1037" s="36" t="str">
        <f>""</f>
        <v/>
      </c>
      <c r="S1037" s="36" t="str">
        <f>""</f>
        <v/>
      </c>
      <c r="T1037" s="36" t="str">
        <f>""</f>
        <v/>
      </c>
      <c r="U1037" s="36" t="str">
        <f>""</f>
        <v/>
      </c>
      <c r="V1037" s="36" t="str">
        <f>""</f>
        <v/>
      </c>
      <c r="W1037" s="36">
        <f t="shared" si="99"/>
        <v>1</v>
      </c>
      <c r="X1037" t="str">
        <f t="shared" si="100"/>
        <v>Inactive</v>
      </c>
      <c r="Y1037" t="str">
        <f>IF(MAIN!$H$3="Selected Year",IF(A1037=MAIN!$B$3,"Yes","No"),IF(MAIN!$H$3="Included Years",IF(D1037="Yes","Yes","No"),IF(C1037="Yes","Yes","No")))</f>
        <v>No</v>
      </c>
      <c r="Z1037" t="str">
        <f>IF(MAIN!$F$3="Project to Date",IF(AND(A1037&gt;=SETTINGS!$B$4,A1037&lt;MAIN!$B$3),"Yes",IF(AND(A1037=MAIN!$B$3,E1037&lt;=MAIN!$L$3),"Yes","No")),IF(OR(MAIN!$F$3="Full Year",MAIN!$D$3="All"),"Yes",IF(MAIN!$F$3="Monthly",IF(E1037=MAIN!$L$3,"Yes","No"),IF(E1037&lt;=MAIN!$L$3,"Yes","No"))))</f>
        <v>Yes</v>
      </c>
      <c r="AA1037" t="str">
        <f t="shared" si="101"/>
        <v>No</v>
      </c>
    </row>
    <row r="1038" spans="1:27" x14ac:dyDescent="0.3">
      <c r="A1038">
        <f>INDEX(SETTINGS!$A$15:$A$24,$B1038)</f>
        <v>2029</v>
      </c>
      <c r="B1038">
        <v>5</v>
      </c>
      <c r="C1038" t="str">
        <f>IF(AND(A1038&gt;=SETTINGS!$B$4,A1038&lt;=SETTINGS!$B$5),"Yes","No")</f>
        <v>No</v>
      </c>
      <c r="D1038" t="str">
        <f>IFERROR(INDEX(SETTINGS!$C$15:$C$24,MATCH(A1038,SETTINGS!$A$15:$A$24,0)),"No")</f>
        <v>No</v>
      </c>
      <c r="E1038">
        <v>7</v>
      </c>
      <c r="F1038" t="s">
        <v>40</v>
      </c>
      <c r="G1038">
        <v>165</v>
      </c>
      <c r="H1038" t="s">
        <v>104</v>
      </c>
      <c r="I1038" t="s">
        <v>22</v>
      </c>
      <c r="J1038" t="s">
        <v>24</v>
      </c>
      <c r="K1038" t="s">
        <v>3</v>
      </c>
      <c r="L1038" s="36">
        <f ca="1">IF(C1038&lt;&gt;"Yes",0,IF(A1038=2025,N('2025'!D165),IF(A1038=2026,N('2026'!D165),IF(A1038=2027,N('2027'!D165),IF(A1038=2028,N('2028'!D165),IF(A1038=2029,N('2029'!D165),IF(A1038=2030,N('2030'!D165),IF(A1038=2031,N('2031'!D165),IF(A1038=2032,N('2032'!D165),IF(A1038=2033,N('2033'!D165),IF(A1038=2034,N('2034'!D165),IFERROR(N(INDIRECT("'"&amp;A1038&amp;"'!D"&amp;G1038)),0))))))))))))</f>
        <v>0</v>
      </c>
      <c r="M1038" s="36">
        <f>IFERROR(IF(NOT(ISBLANK(KPI_TARGETS!$K$15)),KPI_TARGETS!$K$15,IF(NOT(ISBLANK(KPI_TARGETS!$F$15)),KPI_TARGETS!$F$15,"")),"")</f>
        <v>5</v>
      </c>
      <c r="N1038" s="36" t="str">
        <f>IFERROR(KPI_TARGETS!$E$15,"Higher is better")</f>
        <v>Higher is better</v>
      </c>
      <c r="O1038" s="37">
        <f t="shared" ca="1" si="96"/>
        <v>0</v>
      </c>
      <c r="P1038" t="str">
        <f t="shared" ca="1" si="97"/>
        <v>Red</v>
      </c>
      <c r="Q1038" s="36">
        <f t="shared" ca="1" si="98"/>
        <v>-5</v>
      </c>
      <c r="R1038" s="36" t="str">
        <f>""</f>
        <v/>
      </c>
      <c r="S1038" s="36" t="str">
        <f>""</f>
        <v/>
      </c>
      <c r="T1038" s="36" t="str">
        <f>""</f>
        <v/>
      </c>
      <c r="U1038" s="36" t="str">
        <f>""</f>
        <v/>
      </c>
      <c r="V1038" s="36" t="str">
        <f>""</f>
        <v/>
      </c>
      <c r="W1038" s="36">
        <f t="shared" si="99"/>
        <v>1</v>
      </c>
      <c r="X1038" t="str">
        <f t="shared" si="100"/>
        <v>Inactive</v>
      </c>
      <c r="Y1038" t="str">
        <f>IF(MAIN!$H$3="Selected Year",IF(A1038=MAIN!$B$3,"Yes","No"),IF(MAIN!$H$3="Included Years",IF(D1038="Yes","Yes","No"),IF(C1038="Yes","Yes","No")))</f>
        <v>No</v>
      </c>
      <c r="Z1038" t="str">
        <f>IF(MAIN!$F$3="Project to Date",IF(AND(A1038&gt;=SETTINGS!$B$4,A1038&lt;MAIN!$B$3),"Yes",IF(AND(A1038=MAIN!$B$3,E1038&lt;=MAIN!$L$3),"Yes","No")),IF(OR(MAIN!$F$3="Full Year",MAIN!$D$3="All"),"Yes",IF(MAIN!$F$3="Monthly",IF(E1038=MAIN!$L$3,"Yes","No"),IF(E1038&lt;=MAIN!$L$3,"Yes","No"))))</f>
        <v>Yes</v>
      </c>
      <c r="AA1038" t="str">
        <f t="shared" si="101"/>
        <v>No</v>
      </c>
    </row>
    <row r="1039" spans="1:27" x14ac:dyDescent="0.3">
      <c r="A1039">
        <f>INDEX(SETTINGS!$A$15:$A$24,$B1039)</f>
        <v>2029</v>
      </c>
      <c r="B1039">
        <v>5</v>
      </c>
      <c r="C1039" t="str">
        <f>IF(AND(A1039&gt;=SETTINGS!$B$4,A1039&lt;=SETTINGS!$B$5),"Yes","No")</f>
        <v>No</v>
      </c>
      <c r="D1039" t="str">
        <f>IFERROR(INDEX(SETTINGS!$C$15:$C$24,MATCH(A1039,SETTINGS!$A$15:$A$24,0)),"No")</f>
        <v>No</v>
      </c>
      <c r="E1039">
        <v>7</v>
      </c>
      <c r="F1039" t="s">
        <v>40</v>
      </c>
      <c r="G1039">
        <v>166</v>
      </c>
      <c r="H1039" t="s">
        <v>105</v>
      </c>
      <c r="I1039" t="s">
        <v>22</v>
      </c>
      <c r="J1039" t="s">
        <v>25</v>
      </c>
      <c r="K1039" t="s">
        <v>3</v>
      </c>
      <c r="L1039" s="36">
        <f ca="1">IF(C1039&lt;&gt;"Yes",0,IF(A1039=2025,N('2025'!D166),IF(A1039=2026,N('2026'!D166),IF(A1039=2027,N('2027'!D166),IF(A1039=2028,N('2028'!D166),IF(A1039=2029,N('2029'!D166),IF(A1039=2030,N('2030'!D166),IF(A1039=2031,N('2031'!D166),IF(A1039=2032,N('2032'!D166),IF(A1039=2033,N('2033'!D166),IF(A1039=2034,N('2034'!D166),IFERROR(N(INDIRECT("'"&amp;A1039&amp;"'!D"&amp;G1039)),0))))))))))))</f>
        <v>0</v>
      </c>
      <c r="M1039" s="36">
        <f>IFERROR(IF(NOT(ISBLANK(KPI_TARGETS!$K$16)),KPI_TARGETS!$K$16,IF(NOT(ISBLANK(KPI_TARGETS!$F$16)),KPI_TARGETS!$F$16,"")),"")</f>
        <v>4</v>
      </c>
      <c r="N1039" s="36" t="str">
        <f>IFERROR(KPI_TARGETS!$E$16,"Higher is better")</f>
        <v>Higher is better</v>
      </c>
      <c r="O1039" s="37">
        <f t="shared" ca="1" si="96"/>
        <v>0</v>
      </c>
      <c r="P1039" t="str">
        <f t="shared" ca="1" si="97"/>
        <v>Red</v>
      </c>
      <c r="Q1039" s="36">
        <f t="shared" ca="1" si="98"/>
        <v>-4</v>
      </c>
      <c r="R1039" s="36" t="str">
        <f>""</f>
        <v/>
      </c>
      <c r="S1039" s="36" t="str">
        <f>""</f>
        <v/>
      </c>
      <c r="T1039" s="36" t="str">
        <f>""</f>
        <v/>
      </c>
      <c r="U1039" s="36" t="str">
        <f>""</f>
        <v/>
      </c>
      <c r="V1039" s="36" t="str">
        <f>""</f>
        <v/>
      </c>
      <c r="W1039" s="36">
        <f t="shared" si="99"/>
        <v>1</v>
      </c>
      <c r="X1039" t="str">
        <f t="shared" si="100"/>
        <v>Inactive</v>
      </c>
      <c r="Y1039" t="str">
        <f>IF(MAIN!$H$3="Selected Year",IF(A1039=MAIN!$B$3,"Yes","No"),IF(MAIN!$H$3="Included Years",IF(D1039="Yes","Yes","No"),IF(C1039="Yes","Yes","No")))</f>
        <v>No</v>
      </c>
      <c r="Z1039" t="str">
        <f>IF(MAIN!$F$3="Project to Date",IF(AND(A1039&gt;=SETTINGS!$B$4,A1039&lt;MAIN!$B$3),"Yes",IF(AND(A1039=MAIN!$B$3,E1039&lt;=MAIN!$L$3),"Yes","No")),IF(OR(MAIN!$F$3="Full Year",MAIN!$D$3="All"),"Yes",IF(MAIN!$F$3="Monthly",IF(E1039=MAIN!$L$3,"Yes","No"),IF(E1039&lt;=MAIN!$L$3,"Yes","No"))))</f>
        <v>Yes</v>
      </c>
      <c r="AA1039" t="str">
        <f t="shared" si="101"/>
        <v>No</v>
      </c>
    </row>
    <row r="1040" spans="1:27" x14ac:dyDescent="0.3">
      <c r="A1040">
        <f>INDEX(SETTINGS!$A$15:$A$24,$B1040)</f>
        <v>2029</v>
      </c>
      <c r="B1040">
        <v>5</v>
      </c>
      <c r="C1040" t="str">
        <f>IF(AND(A1040&gt;=SETTINGS!$B$4,A1040&lt;=SETTINGS!$B$5),"Yes","No")</f>
        <v>No</v>
      </c>
      <c r="D1040" t="str">
        <f>IFERROR(INDEX(SETTINGS!$C$15:$C$24,MATCH(A1040,SETTINGS!$A$15:$A$24,0)),"No")</f>
        <v>No</v>
      </c>
      <c r="E1040">
        <v>7</v>
      </c>
      <c r="F1040" t="s">
        <v>40</v>
      </c>
      <c r="G1040">
        <v>167</v>
      </c>
      <c r="H1040" t="s">
        <v>106</v>
      </c>
      <c r="I1040" t="s">
        <v>22</v>
      </c>
      <c r="J1040" t="s">
        <v>26</v>
      </c>
      <c r="K1040" t="s">
        <v>3</v>
      </c>
      <c r="L1040" s="36">
        <f ca="1">IF(C1040&lt;&gt;"Yes",0,IF(A1040=2025,N('2025'!D167),IF(A1040=2026,N('2026'!D167),IF(A1040=2027,N('2027'!D167),IF(A1040=2028,N('2028'!D167),IF(A1040=2029,N('2029'!D167),IF(A1040=2030,N('2030'!D167),IF(A1040=2031,N('2031'!D167),IF(A1040=2032,N('2032'!D167),IF(A1040=2033,N('2033'!D167),IF(A1040=2034,N('2034'!D167),IFERROR(N(INDIRECT("'"&amp;A1040&amp;"'!D"&amp;G1040)),0))))))))))))</f>
        <v>0</v>
      </c>
      <c r="M1040" s="36">
        <f>IFERROR(IF(NOT(ISBLANK(KPI_TARGETS!$K$17)),KPI_TARGETS!$K$17,IF(NOT(ISBLANK(KPI_TARGETS!$F$17)),KPI_TARGETS!$F$17,"")),"")</f>
        <v>12</v>
      </c>
      <c r="N1040" s="36" t="str">
        <f>IFERROR(KPI_TARGETS!$E$17,"Higher is better")</f>
        <v>Higher is better</v>
      </c>
      <c r="O1040" s="37">
        <f t="shared" ca="1" si="96"/>
        <v>0</v>
      </c>
      <c r="P1040" t="str">
        <f t="shared" ca="1" si="97"/>
        <v>Red</v>
      </c>
      <c r="Q1040" s="36">
        <f t="shared" ca="1" si="98"/>
        <v>-12</v>
      </c>
      <c r="R1040" s="36" t="str">
        <f>""</f>
        <v/>
      </c>
      <c r="S1040" s="36" t="str">
        <f>""</f>
        <v/>
      </c>
      <c r="T1040" s="36" t="str">
        <f>""</f>
        <v/>
      </c>
      <c r="U1040" s="36" t="str">
        <f>""</f>
        <v/>
      </c>
      <c r="V1040" s="36" t="str">
        <f>""</f>
        <v/>
      </c>
      <c r="W1040" s="36">
        <f t="shared" si="99"/>
        <v>1</v>
      </c>
      <c r="X1040" t="str">
        <f t="shared" si="100"/>
        <v>Inactive</v>
      </c>
      <c r="Y1040" t="str">
        <f>IF(MAIN!$H$3="Selected Year",IF(A1040=MAIN!$B$3,"Yes","No"),IF(MAIN!$H$3="Included Years",IF(D1040="Yes","Yes","No"),IF(C1040="Yes","Yes","No")))</f>
        <v>No</v>
      </c>
      <c r="Z1040" t="str">
        <f>IF(MAIN!$F$3="Project to Date",IF(AND(A1040&gt;=SETTINGS!$B$4,A1040&lt;MAIN!$B$3),"Yes",IF(AND(A1040=MAIN!$B$3,E1040&lt;=MAIN!$L$3),"Yes","No")),IF(OR(MAIN!$F$3="Full Year",MAIN!$D$3="All"),"Yes",IF(MAIN!$F$3="Monthly",IF(E1040=MAIN!$L$3,"Yes","No"),IF(E1040&lt;=MAIN!$L$3,"Yes","No"))))</f>
        <v>Yes</v>
      </c>
      <c r="AA1040" t="str">
        <f t="shared" si="101"/>
        <v>No</v>
      </c>
    </row>
    <row r="1041" spans="1:27" x14ac:dyDescent="0.3">
      <c r="A1041">
        <f>INDEX(SETTINGS!$A$15:$A$24,$B1041)</f>
        <v>2029</v>
      </c>
      <c r="B1041">
        <v>5</v>
      </c>
      <c r="C1041" t="str">
        <f>IF(AND(A1041&gt;=SETTINGS!$B$4,A1041&lt;=SETTINGS!$B$5),"Yes","No")</f>
        <v>No</v>
      </c>
      <c r="D1041" t="str">
        <f>IFERROR(INDEX(SETTINGS!$C$15:$C$24,MATCH(A1041,SETTINGS!$A$15:$A$24,0)),"No")</f>
        <v>No</v>
      </c>
      <c r="E1041">
        <v>7</v>
      </c>
      <c r="F1041" t="s">
        <v>40</v>
      </c>
      <c r="G1041">
        <v>168</v>
      </c>
      <c r="H1041" t="s">
        <v>107</v>
      </c>
      <c r="I1041" t="s">
        <v>22</v>
      </c>
      <c r="J1041" t="s">
        <v>27</v>
      </c>
      <c r="K1041" t="s">
        <v>3</v>
      </c>
      <c r="L1041" s="36">
        <f ca="1">IF(C1041&lt;&gt;"Yes",0,IF(A1041=2025,N('2025'!D168),IF(A1041=2026,N('2026'!D168),IF(A1041=2027,N('2027'!D168),IF(A1041=2028,N('2028'!D168),IF(A1041=2029,N('2029'!D168),IF(A1041=2030,N('2030'!D168),IF(A1041=2031,N('2031'!D168),IF(A1041=2032,N('2032'!D168),IF(A1041=2033,N('2033'!D168),IF(A1041=2034,N('2034'!D168),IFERROR(N(INDIRECT("'"&amp;A1041&amp;"'!D"&amp;G1041)),0))))))))))))</f>
        <v>0</v>
      </c>
      <c r="M1041" s="36">
        <f>IFERROR(IF(NOT(ISBLANK(KPI_TARGETS!$K$18)),KPI_TARGETS!$K$18,IF(NOT(ISBLANK(KPI_TARGETS!$F$18)),KPI_TARGETS!$F$18,"")),"")</f>
        <v>4</v>
      </c>
      <c r="N1041" s="36" t="str">
        <f>IFERROR(KPI_TARGETS!$E$18,"Higher is better")</f>
        <v>Higher is better</v>
      </c>
      <c r="O1041" s="37">
        <f t="shared" ca="1" si="96"/>
        <v>0</v>
      </c>
      <c r="P1041" t="str">
        <f t="shared" ca="1" si="97"/>
        <v>Red</v>
      </c>
      <c r="Q1041" s="36">
        <f t="shared" ca="1" si="98"/>
        <v>-4</v>
      </c>
      <c r="R1041" s="36" t="str">
        <f>""</f>
        <v/>
      </c>
      <c r="S1041" s="36" t="str">
        <f>""</f>
        <v/>
      </c>
      <c r="T1041" s="36" t="str">
        <f>""</f>
        <v/>
      </c>
      <c r="U1041" s="36" t="str">
        <f>""</f>
        <v/>
      </c>
      <c r="V1041" s="36" t="str">
        <f>""</f>
        <v/>
      </c>
      <c r="W1041" s="36">
        <f t="shared" si="99"/>
        <v>1</v>
      </c>
      <c r="X1041" t="str">
        <f t="shared" si="100"/>
        <v>Inactive</v>
      </c>
      <c r="Y1041" t="str">
        <f>IF(MAIN!$H$3="Selected Year",IF(A1041=MAIN!$B$3,"Yes","No"),IF(MAIN!$H$3="Included Years",IF(D1041="Yes","Yes","No"),IF(C1041="Yes","Yes","No")))</f>
        <v>No</v>
      </c>
      <c r="Z1041" t="str">
        <f>IF(MAIN!$F$3="Project to Date",IF(AND(A1041&gt;=SETTINGS!$B$4,A1041&lt;MAIN!$B$3),"Yes",IF(AND(A1041=MAIN!$B$3,E1041&lt;=MAIN!$L$3),"Yes","No")),IF(OR(MAIN!$F$3="Full Year",MAIN!$D$3="All"),"Yes",IF(MAIN!$F$3="Monthly",IF(E1041=MAIN!$L$3,"Yes","No"),IF(E1041&lt;=MAIN!$L$3,"Yes","No"))))</f>
        <v>Yes</v>
      </c>
      <c r="AA1041" t="str">
        <f t="shared" si="101"/>
        <v>No</v>
      </c>
    </row>
    <row r="1042" spans="1:27" x14ac:dyDescent="0.3">
      <c r="A1042">
        <f>INDEX(SETTINGS!$A$15:$A$24,$B1042)</f>
        <v>2029</v>
      </c>
      <c r="B1042">
        <v>5</v>
      </c>
      <c r="C1042" t="str">
        <f>IF(AND(A1042&gt;=SETTINGS!$B$4,A1042&lt;=SETTINGS!$B$5),"Yes","No")</f>
        <v>No</v>
      </c>
      <c r="D1042" t="str">
        <f>IFERROR(INDEX(SETTINGS!$C$15:$C$24,MATCH(A1042,SETTINGS!$A$15:$A$24,0)),"No")</f>
        <v>No</v>
      </c>
      <c r="E1042">
        <v>7</v>
      </c>
      <c r="F1042" t="s">
        <v>40</v>
      </c>
      <c r="G1042">
        <v>169</v>
      </c>
      <c r="H1042" t="s">
        <v>108</v>
      </c>
      <c r="I1042" t="s">
        <v>22</v>
      </c>
      <c r="J1042" t="s">
        <v>28</v>
      </c>
      <c r="K1042" t="s">
        <v>3</v>
      </c>
      <c r="L1042" s="36">
        <f ca="1">IF(C1042&lt;&gt;"Yes",0,IF(A1042=2025,N('2025'!D169),IF(A1042=2026,N('2026'!D169),IF(A1042=2027,N('2027'!D169),IF(A1042=2028,N('2028'!D169),IF(A1042=2029,N('2029'!D169),IF(A1042=2030,N('2030'!D169),IF(A1042=2031,N('2031'!D169),IF(A1042=2032,N('2032'!D169),IF(A1042=2033,N('2033'!D169),IF(A1042=2034,N('2034'!D169),IFERROR(N(INDIRECT("'"&amp;A1042&amp;"'!D"&amp;G1042)),0))))))))))))</f>
        <v>0</v>
      </c>
      <c r="M1042" s="36">
        <f>IFERROR(IF(NOT(ISBLANK(KPI_TARGETS!$K$19)),KPI_TARGETS!$K$19,IF(NOT(ISBLANK(KPI_TARGETS!$F$19)),KPI_TARGETS!$F$19,"")),"")</f>
        <v>16</v>
      </c>
      <c r="N1042" s="36" t="str">
        <f>IFERROR(KPI_TARGETS!$E$19,"Higher is better")</f>
        <v>Higher is better</v>
      </c>
      <c r="O1042" s="37">
        <f t="shared" ca="1" si="96"/>
        <v>0</v>
      </c>
      <c r="P1042" t="str">
        <f t="shared" ca="1" si="97"/>
        <v>Red</v>
      </c>
      <c r="Q1042" s="36">
        <f t="shared" ca="1" si="98"/>
        <v>-16</v>
      </c>
      <c r="R1042" s="36" t="str">
        <f>""</f>
        <v/>
      </c>
      <c r="S1042" s="36" t="str">
        <f>""</f>
        <v/>
      </c>
      <c r="T1042" s="36" t="str">
        <f>""</f>
        <v/>
      </c>
      <c r="U1042" s="36" t="str">
        <f>""</f>
        <v/>
      </c>
      <c r="V1042" s="36" t="str">
        <f>""</f>
        <v/>
      </c>
      <c r="W1042" s="36">
        <f t="shared" si="99"/>
        <v>1</v>
      </c>
      <c r="X1042" t="str">
        <f t="shared" si="100"/>
        <v>Inactive</v>
      </c>
      <c r="Y1042" t="str">
        <f>IF(MAIN!$H$3="Selected Year",IF(A1042=MAIN!$B$3,"Yes","No"),IF(MAIN!$H$3="Included Years",IF(D1042="Yes","Yes","No"),IF(C1042="Yes","Yes","No")))</f>
        <v>No</v>
      </c>
      <c r="Z1042" t="str">
        <f>IF(MAIN!$F$3="Project to Date",IF(AND(A1042&gt;=SETTINGS!$B$4,A1042&lt;MAIN!$B$3),"Yes",IF(AND(A1042=MAIN!$B$3,E1042&lt;=MAIN!$L$3),"Yes","No")),IF(OR(MAIN!$F$3="Full Year",MAIN!$D$3="All"),"Yes",IF(MAIN!$F$3="Monthly",IF(E1042=MAIN!$L$3,"Yes","No"),IF(E1042&lt;=MAIN!$L$3,"Yes","No"))))</f>
        <v>Yes</v>
      </c>
      <c r="AA1042" t="str">
        <f t="shared" si="101"/>
        <v>No</v>
      </c>
    </row>
    <row r="1043" spans="1:27" x14ac:dyDescent="0.3">
      <c r="A1043">
        <f>INDEX(SETTINGS!$A$15:$A$24,$B1043)</f>
        <v>2029</v>
      </c>
      <c r="B1043">
        <v>5</v>
      </c>
      <c r="C1043" t="str">
        <f>IF(AND(A1043&gt;=SETTINGS!$B$4,A1043&lt;=SETTINGS!$B$5),"Yes","No")</f>
        <v>No</v>
      </c>
      <c r="D1043" t="str">
        <f>IFERROR(INDEX(SETTINGS!$C$15:$C$24,MATCH(A1043,SETTINGS!$A$15:$A$24,0)),"No")</f>
        <v>No</v>
      </c>
      <c r="E1043">
        <v>7</v>
      </c>
      <c r="F1043" t="s">
        <v>40</v>
      </c>
      <c r="G1043">
        <v>170</v>
      </c>
      <c r="H1043" t="s">
        <v>109</v>
      </c>
      <c r="I1043" t="s">
        <v>22</v>
      </c>
      <c r="J1043" t="s">
        <v>29</v>
      </c>
      <c r="K1043" t="s">
        <v>3</v>
      </c>
      <c r="L1043" s="36">
        <f ca="1">IF(C1043&lt;&gt;"Yes",0,IF(A1043=2025,N('2025'!D170),IF(A1043=2026,N('2026'!D170),IF(A1043=2027,N('2027'!D170),IF(A1043=2028,N('2028'!D170),IF(A1043=2029,N('2029'!D170),IF(A1043=2030,N('2030'!D170),IF(A1043=2031,N('2031'!D170),IF(A1043=2032,N('2032'!D170),IF(A1043=2033,N('2033'!D170),IF(A1043=2034,N('2034'!D170),IFERROR(N(INDIRECT("'"&amp;A1043&amp;"'!D"&amp;G1043)),0))))))))))))</f>
        <v>0</v>
      </c>
      <c r="M1043" s="36">
        <f>IFERROR(IF(NOT(ISBLANK(KPI_TARGETS!$K$20)),KPI_TARGETS!$K$20,IF(NOT(ISBLANK(KPI_TARGETS!$F$20)),KPI_TARGETS!$F$20,"")),"")</f>
        <v>1</v>
      </c>
      <c r="N1043" s="36" t="str">
        <f>IFERROR(KPI_TARGETS!$E$20,"Higher is better")</f>
        <v>Higher is better</v>
      </c>
      <c r="O1043" s="37">
        <f t="shared" ca="1" si="96"/>
        <v>0</v>
      </c>
      <c r="P1043" t="str">
        <f t="shared" ca="1" si="97"/>
        <v>Red</v>
      </c>
      <c r="Q1043" s="36">
        <f t="shared" ca="1" si="98"/>
        <v>-1</v>
      </c>
      <c r="R1043" s="36" t="str">
        <f>""</f>
        <v/>
      </c>
      <c r="S1043" s="36" t="str">
        <f>""</f>
        <v/>
      </c>
      <c r="T1043" s="36" t="str">
        <f>""</f>
        <v/>
      </c>
      <c r="U1043" s="36" t="str">
        <f>""</f>
        <v/>
      </c>
      <c r="V1043" s="36" t="str">
        <f>""</f>
        <v/>
      </c>
      <c r="W1043" s="36">
        <f t="shared" si="99"/>
        <v>1</v>
      </c>
      <c r="X1043" t="str">
        <f t="shared" si="100"/>
        <v>Inactive</v>
      </c>
      <c r="Y1043" t="str">
        <f>IF(MAIN!$H$3="Selected Year",IF(A1043=MAIN!$B$3,"Yes","No"),IF(MAIN!$H$3="Included Years",IF(D1043="Yes","Yes","No"),IF(C1043="Yes","Yes","No")))</f>
        <v>No</v>
      </c>
      <c r="Z1043" t="str">
        <f>IF(MAIN!$F$3="Project to Date",IF(AND(A1043&gt;=SETTINGS!$B$4,A1043&lt;MAIN!$B$3),"Yes",IF(AND(A1043=MAIN!$B$3,E1043&lt;=MAIN!$L$3),"Yes","No")),IF(OR(MAIN!$F$3="Full Year",MAIN!$D$3="All"),"Yes",IF(MAIN!$F$3="Monthly",IF(E1043=MAIN!$L$3,"Yes","No"),IF(E1043&lt;=MAIN!$L$3,"Yes","No"))))</f>
        <v>Yes</v>
      </c>
      <c r="AA1043" t="str">
        <f t="shared" si="101"/>
        <v>No</v>
      </c>
    </row>
    <row r="1044" spans="1:27" x14ac:dyDescent="0.3">
      <c r="A1044">
        <f>INDEX(SETTINGS!$A$15:$A$24,$B1044)</f>
        <v>2029</v>
      </c>
      <c r="B1044">
        <v>5</v>
      </c>
      <c r="C1044" t="str">
        <f>IF(AND(A1044&gt;=SETTINGS!$B$4,A1044&lt;=SETTINGS!$B$5),"Yes","No")</f>
        <v>No</v>
      </c>
      <c r="D1044" t="str">
        <f>IFERROR(INDEX(SETTINGS!$C$15:$C$24,MATCH(A1044,SETTINGS!$A$15:$A$24,0)),"No")</f>
        <v>No</v>
      </c>
      <c r="E1044">
        <v>7</v>
      </c>
      <c r="F1044" t="s">
        <v>40</v>
      </c>
      <c r="G1044">
        <v>172</v>
      </c>
      <c r="H1044" t="s">
        <v>110</v>
      </c>
      <c r="I1044" t="s">
        <v>30</v>
      </c>
      <c r="J1044" t="s">
        <v>31</v>
      </c>
      <c r="K1044" t="s">
        <v>3</v>
      </c>
      <c r="L1044" s="36">
        <f ca="1">IF(C1044&lt;&gt;"Yes",0,IF(A1044=2025,N('2025'!D172),IF(A1044=2026,N('2026'!D172),IF(A1044=2027,N('2027'!D172),IF(A1044=2028,N('2028'!D172),IF(A1044=2029,N('2029'!D172),IF(A1044=2030,N('2030'!D172),IF(A1044=2031,N('2031'!D172),IF(A1044=2032,N('2032'!D172),IF(A1044=2033,N('2033'!D172),IF(A1044=2034,N('2034'!D172),IFERROR(N(INDIRECT("'"&amp;A1044&amp;"'!D"&amp;G1044)),0))))))))))))</f>
        <v>0</v>
      </c>
      <c r="M1044" s="36">
        <f>IFERROR(IF(NOT(ISBLANK(KPI_TARGETS!$K$21)),KPI_TARGETS!$K$21,IF(NOT(ISBLANK(KPI_TARGETS!$F$21)),KPI_TARGETS!$F$21,"")),"")</f>
        <v>0</v>
      </c>
      <c r="N1044" s="36" t="str">
        <f>IFERROR(KPI_TARGETS!$E$21,"Higher is better")</f>
        <v>Lower is better</v>
      </c>
      <c r="O1044" s="37">
        <f t="shared" ca="1" si="96"/>
        <v>1</v>
      </c>
      <c r="P1044" t="str">
        <f t="shared" ca="1" si="97"/>
        <v>Green</v>
      </c>
      <c r="Q1044" s="36">
        <f t="shared" ca="1" si="98"/>
        <v>0</v>
      </c>
      <c r="R1044" s="36" t="str">
        <f>""</f>
        <v/>
      </c>
      <c r="S1044" s="36" t="str">
        <f>""</f>
        <v/>
      </c>
      <c r="T1044" s="36" t="str">
        <f>""</f>
        <v/>
      </c>
      <c r="U1044" s="36" t="str">
        <f>""</f>
        <v/>
      </c>
      <c r="V1044" s="36" t="str">
        <f>""</f>
        <v/>
      </c>
      <c r="W1044" s="36">
        <f t="shared" si="99"/>
        <v>1</v>
      </c>
      <c r="X1044" t="str">
        <f t="shared" si="100"/>
        <v>Inactive</v>
      </c>
      <c r="Y1044" t="str">
        <f>IF(MAIN!$H$3="Selected Year",IF(A1044=MAIN!$B$3,"Yes","No"),IF(MAIN!$H$3="Included Years",IF(D1044="Yes","Yes","No"),IF(C1044="Yes","Yes","No")))</f>
        <v>No</v>
      </c>
      <c r="Z1044" t="str">
        <f>IF(MAIN!$F$3="Project to Date",IF(AND(A1044&gt;=SETTINGS!$B$4,A1044&lt;MAIN!$B$3),"Yes",IF(AND(A1044=MAIN!$B$3,E1044&lt;=MAIN!$L$3),"Yes","No")),IF(OR(MAIN!$F$3="Full Year",MAIN!$D$3="All"),"Yes",IF(MAIN!$F$3="Monthly",IF(E1044=MAIN!$L$3,"Yes","No"),IF(E1044&lt;=MAIN!$L$3,"Yes","No"))))</f>
        <v>Yes</v>
      </c>
      <c r="AA1044" t="str">
        <f t="shared" si="101"/>
        <v>No</v>
      </c>
    </row>
    <row r="1045" spans="1:27" x14ac:dyDescent="0.3">
      <c r="A1045">
        <f>INDEX(SETTINGS!$A$15:$A$24,$B1045)</f>
        <v>2029</v>
      </c>
      <c r="B1045">
        <v>5</v>
      </c>
      <c r="C1045" t="str">
        <f>IF(AND(A1045&gt;=SETTINGS!$B$4,A1045&lt;=SETTINGS!$B$5),"Yes","No")</f>
        <v>No</v>
      </c>
      <c r="D1045" t="str">
        <f>IFERROR(INDEX(SETTINGS!$C$15:$C$24,MATCH(A1045,SETTINGS!$A$15:$A$24,0)),"No")</f>
        <v>No</v>
      </c>
      <c r="E1045">
        <v>7</v>
      </c>
      <c r="F1045" t="s">
        <v>40</v>
      </c>
      <c r="G1045">
        <v>173</v>
      </c>
      <c r="H1045" t="s">
        <v>111</v>
      </c>
      <c r="I1045" t="s">
        <v>30</v>
      </c>
      <c r="J1045" t="s">
        <v>32</v>
      </c>
      <c r="K1045" t="s">
        <v>3</v>
      </c>
      <c r="L1045" s="36">
        <f ca="1">IF(C1045&lt;&gt;"Yes",0,IF(A1045=2025,N('2025'!D173),IF(A1045=2026,N('2026'!D173),IF(A1045=2027,N('2027'!D173),IF(A1045=2028,N('2028'!D173),IF(A1045=2029,N('2029'!D173),IF(A1045=2030,N('2030'!D173),IF(A1045=2031,N('2031'!D173),IF(A1045=2032,N('2032'!D173),IF(A1045=2033,N('2033'!D173),IF(A1045=2034,N('2034'!D173),IFERROR(N(INDIRECT("'"&amp;A1045&amp;"'!D"&amp;G1045)),0))))))))))))</f>
        <v>0</v>
      </c>
      <c r="M1045" s="36">
        <f>IFERROR(IF(NOT(ISBLANK(KPI_TARGETS!$K$22)),KPI_TARGETS!$K$22,IF(NOT(ISBLANK(KPI_TARGETS!$F$22)),KPI_TARGETS!$F$22,"")),"")</f>
        <v>1</v>
      </c>
      <c r="N1045" s="36" t="str">
        <f>IFERROR(KPI_TARGETS!$E$22,"Higher is better")</f>
        <v>Higher is better</v>
      </c>
      <c r="O1045" s="37">
        <f t="shared" ca="1" si="96"/>
        <v>0</v>
      </c>
      <c r="P1045" t="str">
        <f t="shared" ca="1" si="97"/>
        <v>Red</v>
      </c>
      <c r="Q1045" s="36">
        <f t="shared" ca="1" si="98"/>
        <v>-1</v>
      </c>
      <c r="R1045" s="36" t="str">
        <f>""</f>
        <v/>
      </c>
      <c r="S1045" s="36" t="str">
        <f>""</f>
        <v/>
      </c>
      <c r="T1045" s="36" t="str">
        <f>""</f>
        <v/>
      </c>
      <c r="U1045" s="36" t="str">
        <f>""</f>
        <v/>
      </c>
      <c r="V1045" s="36" t="str">
        <f>""</f>
        <v/>
      </c>
      <c r="W1045" s="36">
        <f t="shared" si="99"/>
        <v>1</v>
      </c>
      <c r="X1045" t="str">
        <f t="shared" si="100"/>
        <v>Inactive</v>
      </c>
      <c r="Y1045" t="str">
        <f>IF(MAIN!$H$3="Selected Year",IF(A1045=MAIN!$B$3,"Yes","No"),IF(MAIN!$H$3="Included Years",IF(D1045="Yes","Yes","No"),IF(C1045="Yes","Yes","No")))</f>
        <v>No</v>
      </c>
      <c r="Z1045" t="str">
        <f>IF(MAIN!$F$3="Project to Date",IF(AND(A1045&gt;=SETTINGS!$B$4,A1045&lt;MAIN!$B$3),"Yes",IF(AND(A1045=MAIN!$B$3,E1045&lt;=MAIN!$L$3),"Yes","No")),IF(OR(MAIN!$F$3="Full Year",MAIN!$D$3="All"),"Yes",IF(MAIN!$F$3="Monthly",IF(E1045=MAIN!$L$3,"Yes","No"),IF(E1045&lt;=MAIN!$L$3,"Yes","No"))))</f>
        <v>Yes</v>
      </c>
      <c r="AA1045" t="str">
        <f t="shared" si="101"/>
        <v>No</v>
      </c>
    </row>
    <row r="1046" spans="1:27" x14ac:dyDescent="0.3">
      <c r="A1046">
        <f>INDEX(SETTINGS!$A$15:$A$24,$B1046)</f>
        <v>2029</v>
      </c>
      <c r="B1046">
        <v>5</v>
      </c>
      <c r="C1046" t="str">
        <f>IF(AND(A1046&gt;=SETTINGS!$B$4,A1046&lt;=SETTINGS!$B$5),"Yes","No")</f>
        <v>No</v>
      </c>
      <c r="D1046" t="str">
        <f>IFERROR(INDEX(SETTINGS!$C$15:$C$24,MATCH(A1046,SETTINGS!$A$15:$A$24,0)),"No")</f>
        <v>No</v>
      </c>
      <c r="E1046">
        <v>7</v>
      </c>
      <c r="F1046" t="s">
        <v>40</v>
      </c>
      <c r="G1046">
        <v>174</v>
      </c>
      <c r="H1046" t="s">
        <v>112</v>
      </c>
      <c r="I1046" t="s">
        <v>30</v>
      </c>
      <c r="J1046" t="s">
        <v>33</v>
      </c>
      <c r="K1046" t="s">
        <v>34</v>
      </c>
      <c r="L1046" s="36">
        <f ca="1">IF(C1046&lt;&gt;"Yes",0,IF(A1046=2025,N('2025'!D174),IF(A1046=2026,N('2026'!D174),IF(A1046=2027,N('2027'!D174),IF(A1046=2028,N('2028'!D174),IF(A1046=2029,N('2029'!D174),IF(A1046=2030,N('2030'!D174),IF(A1046=2031,N('2031'!D174),IF(A1046=2032,N('2032'!D174),IF(A1046=2033,N('2033'!D174),IF(A1046=2034,N('2034'!D174),IFERROR(N(INDIRECT("'"&amp;A1046&amp;"'!D"&amp;G1046)),0))))))))))))</f>
        <v>0</v>
      </c>
      <c r="M1046" s="36">
        <f>IFERROR(IF(NOT(ISBLANK(KPI_TARGETS!$K$23)),KPI_TARGETS!$K$23,IF(NOT(ISBLANK(KPI_TARGETS!$F$23)),KPI_TARGETS!$F$23,"")),"")</f>
        <v>1</v>
      </c>
      <c r="N1046" s="36" t="str">
        <f>IFERROR(KPI_TARGETS!$E$23,"Higher is better")</f>
        <v>Higher is better</v>
      </c>
      <c r="O1046" s="37">
        <f t="shared" ca="1" si="96"/>
        <v>0</v>
      </c>
      <c r="P1046" t="str">
        <f t="shared" ca="1" si="97"/>
        <v>Red</v>
      </c>
      <c r="Q1046" s="36">
        <f t="shared" ca="1" si="98"/>
        <v>-1</v>
      </c>
      <c r="R1046" s="36" t="str">
        <f>""</f>
        <v/>
      </c>
      <c r="S1046" s="36" t="str">
        <f>""</f>
        <v/>
      </c>
      <c r="T1046" s="36" t="str">
        <f>""</f>
        <v/>
      </c>
      <c r="U1046" s="36" t="str">
        <f>""</f>
        <v/>
      </c>
      <c r="V1046" s="36" t="str">
        <f>""</f>
        <v/>
      </c>
      <c r="W1046" s="36">
        <f t="shared" si="99"/>
        <v>1</v>
      </c>
      <c r="X1046" t="str">
        <f t="shared" si="100"/>
        <v>Inactive</v>
      </c>
      <c r="Y1046" t="str">
        <f>IF(MAIN!$H$3="Selected Year",IF(A1046=MAIN!$B$3,"Yes","No"),IF(MAIN!$H$3="Included Years",IF(D1046="Yes","Yes","No"),IF(C1046="Yes","Yes","No")))</f>
        <v>No</v>
      </c>
      <c r="Z1046" t="str">
        <f>IF(MAIN!$F$3="Project to Date",IF(AND(A1046&gt;=SETTINGS!$B$4,A1046&lt;MAIN!$B$3),"Yes",IF(AND(A1046=MAIN!$B$3,E1046&lt;=MAIN!$L$3),"Yes","No")),IF(OR(MAIN!$F$3="Full Year",MAIN!$D$3="All"),"Yes",IF(MAIN!$F$3="Monthly",IF(E1046=MAIN!$L$3,"Yes","No"),IF(E1046&lt;=MAIN!$L$3,"Yes","No"))))</f>
        <v>Yes</v>
      </c>
      <c r="AA1046" t="str">
        <f t="shared" si="101"/>
        <v>No</v>
      </c>
    </row>
    <row r="1047" spans="1:27" x14ac:dyDescent="0.3">
      <c r="A1047">
        <f>INDEX(SETTINGS!$A$15:$A$24,$B1047)</f>
        <v>2029</v>
      </c>
      <c r="B1047">
        <v>5</v>
      </c>
      <c r="C1047" t="str">
        <f>IF(AND(A1047&gt;=SETTINGS!$B$4,A1047&lt;=SETTINGS!$B$5),"Yes","No")</f>
        <v>No</v>
      </c>
      <c r="D1047" t="str">
        <f>IFERROR(INDEX(SETTINGS!$C$15:$C$24,MATCH(A1047,SETTINGS!$A$15:$A$24,0)),"No")</f>
        <v>No</v>
      </c>
      <c r="E1047">
        <v>8</v>
      </c>
      <c r="F1047" t="s">
        <v>41</v>
      </c>
      <c r="G1047">
        <v>177</v>
      </c>
      <c r="H1047" t="s">
        <v>88</v>
      </c>
      <c r="I1047" t="s">
        <v>89</v>
      </c>
      <c r="J1047" t="s">
        <v>10</v>
      </c>
      <c r="K1047" t="s">
        <v>3</v>
      </c>
      <c r="L1047" s="36">
        <f ca="1">IF(C1047&lt;&gt;"Yes",0,IF(A1047=2025,N('2025'!D177),IF(A1047=2026,N('2026'!D177),IF(A1047=2027,N('2027'!D177),IF(A1047=2028,N('2028'!D177),IF(A1047=2029,N('2029'!D177),IF(A1047=2030,N('2030'!D177),IF(A1047=2031,N('2031'!D177),IF(A1047=2032,N('2032'!D177),IF(A1047=2033,N('2033'!D177),IF(A1047=2034,N('2034'!D177),IFERROR(N(INDIRECT("'"&amp;A1047&amp;"'!D"&amp;G1047)),0))))))))))))</f>
        <v>0</v>
      </c>
      <c r="M1047" s="36">
        <f>IFERROR(IF(NOT(ISBLANK(KPI_TARGETS!$K$5)),KPI_TARGETS!$K$5,IF(NOT(ISBLANK(KPI_TARGETS!$F$5)),KPI_TARGETS!$F$5,"")),"")</f>
        <v>104</v>
      </c>
      <c r="N1047" s="36" t="str">
        <f>IFERROR(KPI_TARGETS!$E$5,"Higher is better")</f>
        <v>Higher is better</v>
      </c>
      <c r="O1047" s="37">
        <f t="shared" ca="1" si="96"/>
        <v>0</v>
      </c>
      <c r="P1047" t="str">
        <f t="shared" ca="1" si="97"/>
        <v>Red</v>
      </c>
      <c r="Q1047" s="36">
        <f t="shared" ca="1" si="98"/>
        <v>-104</v>
      </c>
      <c r="R1047" s="36" t="str">
        <f>""</f>
        <v/>
      </c>
      <c r="S1047" s="36" t="str">
        <f>""</f>
        <v/>
      </c>
      <c r="T1047" s="36" t="str">
        <f>""</f>
        <v/>
      </c>
      <c r="U1047" s="36" t="str">
        <f>""</f>
        <v/>
      </c>
      <c r="V1047" s="36" t="str">
        <f>""</f>
        <v/>
      </c>
      <c r="W1047" s="36">
        <f t="shared" si="99"/>
        <v>1</v>
      </c>
      <c r="X1047" t="str">
        <f t="shared" si="100"/>
        <v>Inactive</v>
      </c>
      <c r="Y1047" t="str">
        <f>IF(MAIN!$H$3="Selected Year",IF(A1047=MAIN!$B$3,"Yes","No"),IF(MAIN!$H$3="Included Years",IF(D1047="Yes","Yes","No"),IF(C1047="Yes","Yes","No")))</f>
        <v>No</v>
      </c>
      <c r="Z1047" t="str">
        <f>IF(MAIN!$F$3="Project to Date",IF(AND(A1047&gt;=SETTINGS!$B$4,A1047&lt;MAIN!$B$3),"Yes",IF(AND(A1047=MAIN!$B$3,E1047&lt;=MAIN!$L$3),"Yes","No")),IF(OR(MAIN!$F$3="Full Year",MAIN!$D$3="All"),"Yes",IF(MAIN!$F$3="Monthly",IF(E1047=MAIN!$L$3,"Yes","No"),IF(E1047&lt;=MAIN!$L$3,"Yes","No"))))</f>
        <v>Yes</v>
      </c>
      <c r="AA1047" t="str">
        <f t="shared" si="101"/>
        <v>No</v>
      </c>
    </row>
    <row r="1048" spans="1:27" x14ac:dyDescent="0.3">
      <c r="A1048">
        <f>INDEX(SETTINGS!$A$15:$A$24,$B1048)</f>
        <v>2029</v>
      </c>
      <c r="B1048">
        <v>5</v>
      </c>
      <c r="C1048" t="str">
        <f>IF(AND(A1048&gt;=SETTINGS!$B$4,A1048&lt;=SETTINGS!$B$5),"Yes","No")</f>
        <v>No</v>
      </c>
      <c r="D1048" t="str">
        <f>IFERROR(INDEX(SETTINGS!$C$15:$C$24,MATCH(A1048,SETTINGS!$A$15:$A$24,0)),"No")</f>
        <v>No</v>
      </c>
      <c r="E1048">
        <v>8</v>
      </c>
      <c r="F1048" t="s">
        <v>41</v>
      </c>
      <c r="G1048">
        <v>178</v>
      </c>
      <c r="H1048" t="s">
        <v>91</v>
      </c>
      <c r="I1048" t="s">
        <v>89</v>
      </c>
      <c r="J1048" t="s">
        <v>11</v>
      </c>
      <c r="K1048" t="s">
        <v>12</v>
      </c>
      <c r="L1048" s="36">
        <f ca="1">IF(C1048&lt;&gt;"Yes",0,IF(A1048=2025,N('2025'!D178),IF(A1048=2026,N('2026'!D178),IF(A1048=2027,N('2027'!D178),IF(A1048=2028,N('2028'!D178),IF(A1048=2029,N('2029'!D178),IF(A1048=2030,N('2030'!D178),IF(A1048=2031,N('2031'!D178),IF(A1048=2032,N('2032'!D178),IF(A1048=2033,N('2033'!D178),IF(A1048=2034,N('2034'!D178),IFERROR(N(INDIRECT("'"&amp;A1048&amp;"'!D"&amp;G1048)),0))))))))))))</f>
        <v>0</v>
      </c>
      <c r="M1048" s="36">
        <f>IFERROR(IF(NOT(ISBLANK(KPI_TARGETS!$K$6)),KPI_TARGETS!$K$6,IF(NOT(ISBLANK(KPI_TARGETS!$F$6)),KPI_TARGETS!$F$6,"")),"")</f>
        <v>4000</v>
      </c>
      <c r="N1048" s="36" t="str">
        <f>IFERROR(KPI_TARGETS!$E$6,"Higher is better")</f>
        <v>Higher is better</v>
      </c>
      <c r="O1048" s="37">
        <f t="shared" ca="1" si="96"/>
        <v>0</v>
      </c>
      <c r="P1048" t="str">
        <f t="shared" ca="1" si="97"/>
        <v>Red</v>
      </c>
      <c r="Q1048" s="36">
        <f t="shared" ca="1" si="98"/>
        <v>-4000</v>
      </c>
      <c r="R1048" s="36" t="str">
        <f>""</f>
        <v/>
      </c>
      <c r="S1048" s="36" t="str">
        <f>""</f>
        <v/>
      </c>
      <c r="T1048" s="36" t="str">
        <f>""</f>
        <v/>
      </c>
      <c r="U1048" s="36" t="str">
        <f>""</f>
        <v/>
      </c>
      <c r="V1048" s="36" t="str">
        <f>""</f>
        <v/>
      </c>
      <c r="W1048" s="36">
        <f t="shared" si="99"/>
        <v>1</v>
      </c>
      <c r="X1048" t="str">
        <f t="shared" si="100"/>
        <v>Inactive</v>
      </c>
      <c r="Y1048" t="str">
        <f>IF(MAIN!$H$3="Selected Year",IF(A1048=MAIN!$B$3,"Yes","No"),IF(MAIN!$H$3="Included Years",IF(D1048="Yes","Yes","No"),IF(C1048="Yes","Yes","No")))</f>
        <v>No</v>
      </c>
      <c r="Z1048" t="str">
        <f>IF(MAIN!$F$3="Project to Date",IF(AND(A1048&gt;=SETTINGS!$B$4,A1048&lt;MAIN!$B$3),"Yes",IF(AND(A1048=MAIN!$B$3,E1048&lt;=MAIN!$L$3),"Yes","No")),IF(OR(MAIN!$F$3="Full Year",MAIN!$D$3="All"),"Yes",IF(MAIN!$F$3="Monthly",IF(E1048=MAIN!$L$3,"Yes","No"),IF(E1048&lt;=MAIN!$L$3,"Yes","No"))))</f>
        <v>Yes</v>
      </c>
      <c r="AA1048" t="str">
        <f t="shared" si="101"/>
        <v>No</v>
      </c>
    </row>
    <row r="1049" spans="1:27" x14ac:dyDescent="0.3">
      <c r="A1049">
        <f>INDEX(SETTINGS!$A$15:$A$24,$B1049)</f>
        <v>2029</v>
      </c>
      <c r="B1049">
        <v>5</v>
      </c>
      <c r="C1049" t="str">
        <f>IF(AND(A1049&gt;=SETTINGS!$B$4,A1049&lt;=SETTINGS!$B$5),"Yes","No")</f>
        <v>No</v>
      </c>
      <c r="D1049" t="str">
        <f>IFERROR(INDEX(SETTINGS!$C$15:$C$24,MATCH(A1049,SETTINGS!$A$15:$A$24,0)),"No")</f>
        <v>No</v>
      </c>
      <c r="E1049">
        <v>8</v>
      </c>
      <c r="F1049" t="s">
        <v>41</v>
      </c>
      <c r="G1049">
        <v>179</v>
      </c>
      <c r="H1049" t="s">
        <v>93</v>
      </c>
      <c r="I1049" t="s">
        <v>89</v>
      </c>
      <c r="J1049" t="s">
        <v>13</v>
      </c>
      <c r="K1049" t="s">
        <v>14</v>
      </c>
      <c r="L1049" s="36">
        <f ca="1">IF(C1049&lt;&gt;"Yes",0,IF(A1049=2025,N('2025'!D179),IF(A1049=2026,N('2026'!D179),IF(A1049=2027,N('2027'!D179),IF(A1049=2028,N('2028'!D179),IF(A1049=2029,N('2029'!D179),IF(A1049=2030,N('2030'!D179),IF(A1049=2031,N('2031'!D179),IF(A1049=2032,N('2032'!D179),IF(A1049=2033,N('2033'!D179),IF(A1049=2034,N('2034'!D179),IFERROR(N(INDIRECT("'"&amp;A1049&amp;"'!D"&amp;G1049)),0))))))))))))</f>
        <v>0</v>
      </c>
      <c r="M1049" s="36">
        <f>IFERROR(IF(NOT(ISBLANK(KPI_TARGETS!$K$7)),KPI_TARGETS!$K$7,IF(NOT(ISBLANK(KPI_TARGETS!$F$7)),KPI_TARGETS!$F$7,"")),"")</f>
        <v>8000</v>
      </c>
      <c r="N1049" s="36" t="str">
        <f>IFERROR(KPI_TARGETS!$E$7,"Higher is better")</f>
        <v>Higher is better</v>
      </c>
      <c r="O1049" s="37">
        <f t="shared" ca="1" si="96"/>
        <v>0</v>
      </c>
      <c r="P1049" t="str">
        <f t="shared" ca="1" si="97"/>
        <v>Red</v>
      </c>
      <c r="Q1049" s="36">
        <f t="shared" ca="1" si="98"/>
        <v>-8000</v>
      </c>
      <c r="R1049" s="36" t="str">
        <f>""</f>
        <v/>
      </c>
      <c r="S1049" s="36" t="str">
        <f>""</f>
        <v/>
      </c>
      <c r="T1049" s="36" t="str">
        <f>""</f>
        <v/>
      </c>
      <c r="U1049" s="36" t="str">
        <f>""</f>
        <v/>
      </c>
      <c r="V1049" s="36" t="str">
        <f>""</f>
        <v/>
      </c>
      <c r="W1049" s="36">
        <f t="shared" si="99"/>
        <v>1</v>
      </c>
      <c r="X1049" t="str">
        <f t="shared" si="100"/>
        <v>Inactive</v>
      </c>
      <c r="Y1049" t="str">
        <f>IF(MAIN!$H$3="Selected Year",IF(A1049=MAIN!$B$3,"Yes","No"),IF(MAIN!$H$3="Included Years",IF(D1049="Yes","Yes","No"),IF(C1049="Yes","Yes","No")))</f>
        <v>No</v>
      </c>
      <c r="Z1049" t="str">
        <f>IF(MAIN!$F$3="Project to Date",IF(AND(A1049&gt;=SETTINGS!$B$4,A1049&lt;MAIN!$B$3),"Yes",IF(AND(A1049=MAIN!$B$3,E1049&lt;=MAIN!$L$3),"Yes","No")),IF(OR(MAIN!$F$3="Full Year",MAIN!$D$3="All"),"Yes",IF(MAIN!$F$3="Monthly",IF(E1049=MAIN!$L$3,"Yes","No"),IF(E1049&lt;=MAIN!$L$3,"Yes","No"))))</f>
        <v>Yes</v>
      </c>
      <c r="AA1049" t="str">
        <f t="shared" si="101"/>
        <v>No</v>
      </c>
    </row>
    <row r="1050" spans="1:27" x14ac:dyDescent="0.3">
      <c r="A1050">
        <f>INDEX(SETTINGS!$A$15:$A$24,$B1050)</f>
        <v>2029</v>
      </c>
      <c r="B1050">
        <v>5</v>
      </c>
      <c r="C1050" t="str">
        <f>IF(AND(A1050&gt;=SETTINGS!$B$4,A1050&lt;=SETTINGS!$B$5),"Yes","No")</f>
        <v>No</v>
      </c>
      <c r="D1050" t="str">
        <f>IFERROR(INDEX(SETTINGS!$C$15:$C$24,MATCH(A1050,SETTINGS!$A$15:$A$24,0)),"No")</f>
        <v>No</v>
      </c>
      <c r="E1050">
        <v>8</v>
      </c>
      <c r="F1050" t="s">
        <v>41</v>
      </c>
      <c r="G1050">
        <v>181</v>
      </c>
      <c r="H1050" t="s">
        <v>95</v>
      </c>
      <c r="I1050" t="s">
        <v>15</v>
      </c>
      <c r="J1050" t="s">
        <v>16</v>
      </c>
      <c r="K1050" t="s">
        <v>3</v>
      </c>
      <c r="L1050" s="36">
        <f ca="1">IF(C1050&lt;&gt;"Yes",0,IF(A1050=2025,N('2025'!D181),IF(A1050=2026,N('2026'!D181),IF(A1050=2027,N('2027'!D181),IF(A1050=2028,N('2028'!D181),IF(A1050=2029,N('2029'!D181),IF(A1050=2030,N('2030'!D181),IF(A1050=2031,N('2031'!D181),IF(A1050=2032,N('2032'!D181),IF(A1050=2033,N('2033'!D181),IF(A1050=2034,N('2034'!D181),IFERROR(N(INDIRECT("'"&amp;A1050&amp;"'!D"&amp;G1050)),0))))))))))))</f>
        <v>0</v>
      </c>
      <c r="M1050" s="36">
        <f>IFERROR(IF(NOT(ISBLANK(KPI_TARGETS!$K$8)),KPI_TARGETS!$K$8,IF(NOT(ISBLANK(KPI_TARGETS!$F$8)),KPI_TARGETS!$F$8,"")),"")</f>
        <v>0</v>
      </c>
      <c r="N1050" s="36" t="str">
        <f>IFERROR(KPI_TARGETS!$E$8,"Higher is better")</f>
        <v>Lower is better</v>
      </c>
      <c r="O1050" s="37">
        <f t="shared" ca="1" si="96"/>
        <v>1</v>
      </c>
      <c r="P1050" t="str">
        <f t="shared" ca="1" si="97"/>
        <v>Green</v>
      </c>
      <c r="Q1050" s="36">
        <f t="shared" ca="1" si="98"/>
        <v>0</v>
      </c>
      <c r="R1050" s="36" t="str">
        <f>""</f>
        <v/>
      </c>
      <c r="S1050" s="36" t="str">
        <f>""</f>
        <v/>
      </c>
      <c r="T1050" s="36" t="str">
        <f>""</f>
        <v/>
      </c>
      <c r="U1050" s="36" t="str">
        <f>""</f>
        <v/>
      </c>
      <c r="V1050" s="36" t="str">
        <f>""</f>
        <v/>
      </c>
      <c r="W1050" s="36">
        <f t="shared" si="99"/>
        <v>1</v>
      </c>
      <c r="X1050" t="str">
        <f t="shared" si="100"/>
        <v>Inactive</v>
      </c>
      <c r="Y1050" t="str">
        <f>IF(MAIN!$H$3="Selected Year",IF(A1050=MAIN!$B$3,"Yes","No"),IF(MAIN!$H$3="Included Years",IF(D1050="Yes","Yes","No"),IF(C1050="Yes","Yes","No")))</f>
        <v>No</v>
      </c>
      <c r="Z1050" t="str">
        <f>IF(MAIN!$F$3="Project to Date",IF(AND(A1050&gt;=SETTINGS!$B$4,A1050&lt;MAIN!$B$3),"Yes",IF(AND(A1050=MAIN!$B$3,E1050&lt;=MAIN!$L$3),"Yes","No")),IF(OR(MAIN!$F$3="Full Year",MAIN!$D$3="All"),"Yes",IF(MAIN!$F$3="Monthly",IF(E1050=MAIN!$L$3,"Yes","No"),IF(E1050&lt;=MAIN!$L$3,"Yes","No"))))</f>
        <v>Yes</v>
      </c>
      <c r="AA1050" t="str">
        <f t="shared" si="101"/>
        <v>No</v>
      </c>
    </row>
    <row r="1051" spans="1:27" x14ac:dyDescent="0.3">
      <c r="A1051">
        <f>INDEX(SETTINGS!$A$15:$A$24,$B1051)</f>
        <v>2029</v>
      </c>
      <c r="B1051">
        <v>5</v>
      </c>
      <c r="C1051" t="str">
        <f>IF(AND(A1051&gt;=SETTINGS!$B$4,A1051&lt;=SETTINGS!$B$5),"Yes","No")</f>
        <v>No</v>
      </c>
      <c r="D1051" t="str">
        <f>IFERROR(INDEX(SETTINGS!$C$15:$C$24,MATCH(A1051,SETTINGS!$A$15:$A$24,0)),"No")</f>
        <v>No</v>
      </c>
      <c r="E1051">
        <v>8</v>
      </c>
      <c r="F1051" t="s">
        <v>41</v>
      </c>
      <c r="G1051">
        <v>182</v>
      </c>
      <c r="H1051" t="s">
        <v>97</v>
      </c>
      <c r="I1051" t="s">
        <v>15</v>
      </c>
      <c r="J1051" t="s">
        <v>17</v>
      </c>
      <c r="K1051" t="s">
        <v>3</v>
      </c>
      <c r="L1051" s="36">
        <f ca="1">IF(C1051&lt;&gt;"Yes",0,IF(A1051=2025,N('2025'!D182),IF(A1051=2026,N('2026'!D182),IF(A1051=2027,N('2027'!D182),IF(A1051=2028,N('2028'!D182),IF(A1051=2029,N('2029'!D182),IF(A1051=2030,N('2030'!D182),IF(A1051=2031,N('2031'!D182),IF(A1051=2032,N('2032'!D182),IF(A1051=2033,N('2033'!D182),IF(A1051=2034,N('2034'!D182),IFERROR(N(INDIRECT("'"&amp;A1051&amp;"'!D"&amp;G1051)),0))))))))))))</f>
        <v>0</v>
      </c>
      <c r="M1051" s="36">
        <f>IFERROR(IF(NOT(ISBLANK(KPI_TARGETS!$K$9)),KPI_TARGETS!$K$9,IF(NOT(ISBLANK(KPI_TARGETS!$F$9)),KPI_TARGETS!$F$9,"")),"")</f>
        <v>0</v>
      </c>
      <c r="N1051" s="36" t="str">
        <f>IFERROR(KPI_TARGETS!$E$9,"Higher is better")</f>
        <v>Higher is better</v>
      </c>
      <c r="O1051" s="37" t="str">
        <f t="shared" ca="1" si="96"/>
        <v/>
      </c>
      <c r="P1051" t="str">
        <f t="shared" ca="1" si="97"/>
        <v>Green</v>
      </c>
      <c r="Q1051" s="36">
        <f t="shared" ca="1" si="98"/>
        <v>0</v>
      </c>
      <c r="R1051" s="36" t="str">
        <f>""</f>
        <v/>
      </c>
      <c r="S1051" s="36" t="str">
        <f>""</f>
        <v/>
      </c>
      <c r="T1051" s="36" t="str">
        <f>""</f>
        <v/>
      </c>
      <c r="U1051" s="36" t="str">
        <f>""</f>
        <v/>
      </c>
      <c r="V1051" s="36" t="str">
        <f>""</f>
        <v/>
      </c>
      <c r="W1051" s="36">
        <f t="shared" si="99"/>
        <v>1</v>
      </c>
      <c r="X1051" t="str">
        <f t="shared" si="100"/>
        <v>Inactive</v>
      </c>
      <c r="Y1051" t="str">
        <f>IF(MAIN!$H$3="Selected Year",IF(A1051=MAIN!$B$3,"Yes","No"),IF(MAIN!$H$3="Included Years",IF(D1051="Yes","Yes","No"),IF(C1051="Yes","Yes","No")))</f>
        <v>No</v>
      </c>
      <c r="Z1051" t="str">
        <f>IF(MAIN!$F$3="Project to Date",IF(AND(A1051&gt;=SETTINGS!$B$4,A1051&lt;MAIN!$B$3),"Yes",IF(AND(A1051=MAIN!$B$3,E1051&lt;=MAIN!$L$3),"Yes","No")),IF(OR(MAIN!$F$3="Full Year",MAIN!$D$3="All"),"Yes",IF(MAIN!$F$3="Monthly",IF(E1051=MAIN!$L$3,"Yes","No"),IF(E1051&lt;=MAIN!$L$3,"Yes","No"))))</f>
        <v>Yes</v>
      </c>
      <c r="AA1051" t="str">
        <f t="shared" si="101"/>
        <v>No</v>
      </c>
    </row>
    <row r="1052" spans="1:27" x14ac:dyDescent="0.3">
      <c r="A1052">
        <f>INDEX(SETTINGS!$A$15:$A$24,$B1052)</f>
        <v>2029</v>
      </c>
      <c r="B1052">
        <v>5</v>
      </c>
      <c r="C1052" t="str">
        <f>IF(AND(A1052&gt;=SETTINGS!$B$4,A1052&lt;=SETTINGS!$B$5),"Yes","No")</f>
        <v>No</v>
      </c>
      <c r="D1052" t="str">
        <f>IFERROR(INDEX(SETTINGS!$C$15:$C$24,MATCH(A1052,SETTINGS!$A$15:$A$24,0)),"No")</f>
        <v>No</v>
      </c>
      <c r="E1052">
        <v>8</v>
      </c>
      <c r="F1052" t="s">
        <v>41</v>
      </c>
      <c r="G1052">
        <v>183</v>
      </c>
      <c r="H1052" t="s">
        <v>99</v>
      </c>
      <c r="I1052" t="s">
        <v>15</v>
      </c>
      <c r="J1052" t="s">
        <v>18</v>
      </c>
      <c r="K1052" t="s">
        <v>3</v>
      </c>
      <c r="L1052" s="36">
        <f ca="1">IF(C1052&lt;&gt;"Yes",0,IF(A1052=2025,N('2025'!D183),IF(A1052=2026,N('2026'!D183),IF(A1052=2027,N('2027'!D183),IF(A1052=2028,N('2028'!D183),IF(A1052=2029,N('2029'!D183),IF(A1052=2030,N('2030'!D183),IF(A1052=2031,N('2031'!D183),IF(A1052=2032,N('2032'!D183),IF(A1052=2033,N('2033'!D183),IF(A1052=2034,N('2034'!D183),IFERROR(N(INDIRECT("'"&amp;A1052&amp;"'!D"&amp;G1052)),0))))))))))))</f>
        <v>0</v>
      </c>
      <c r="M1052" s="36">
        <f>IFERROR(IF(NOT(ISBLANK(KPI_TARGETS!$K$10)),KPI_TARGETS!$K$10,IF(NOT(ISBLANK(KPI_TARGETS!$F$10)),KPI_TARGETS!$F$10,"")),"")</f>
        <v>0</v>
      </c>
      <c r="N1052" s="36" t="str">
        <f>IFERROR(KPI_TARGETS!$E$10,"Higher is better")</f>
        <v>Lower is better</v>
      </c>
      <c r="O1052" s="37">
        <f t="shared" ca="1" si="96"/>
        <v>1</v>
      </c>
      <c r="P1052" t="str">
        <f t="shared" ca="1" si="97"/>
        <v>Green</v>
      </c>
      <c r="Q1052" s="36">
        <f t="shared" ca="1" si="98"/>
        <v>0</v>
      </c>
      <c r="R1052" s="36" t="str">
        <f>""</f>
        <v/>
      </c>
      <c r="S1052" s="36" t="str">
        <f>""</f>
        <v/>
      </c>
      <c r="T1052" s="36" t="str">
        <f>""</f>
        <v/>
      </c>
      <c r="U1052" s="36" t="str">
        <f>""</f>
        <v/>
      </c>
      <c r="V1052" s="36" t="str">
        <f>""</f>
        <v/>
      </c>
      <c r="W1052" s="36">
        <f t="shared" si="99"/>
        <v>1</v>
      </c>
      <c r="X1052" t="str">
        <f t="shared" si="100"/>
        <v>Inactive</v>
      </c>
      <c r="Y1052" t="str">
        <f>IF(MAIN!$H$3="Selected Year",IF(A1052=MAIN!$B$3,"Yes","No"),IF(MAIN!$H$3="Included Years",IF(D1052="Yes","Yes","No"),IF(C1052="Yes","Yes","No")))</f>
        <v>No</v>
      </c>
      <c r="Z1052" t="str">
        <f>IF(MAIN!$F$3="Project to Date",IF(AND(A1052&gt;=SETTINGS!$B$4,A1052&lt;MAIN!$B$3),"Yes",IF(AND(A1052=MAIN!$B$3,E1052&lt;=MAIN!$L$3),"Yes","No")),IF(OR(MAIN!$F$3="Full Year",MAIN!$D$3="All"),"Yes",IF(MAIN!$F$3="Monthly",IF(E1052=MAIN!$L$3,"Yes","No"),IF(E1052&lt;=MAIN!$L$3,"Yes","No"))))</f>
        <v>Yes</v>
      </c>
      <c r="AA1052" t="str">
        <f t="shared" si="101"/>
        <v>No</v>
      </c>
    </row>
    <row r="1053" spans="1:27" x14ac:dyDescent="0.3">
      <c r="A1053">
        <f>INDEX(SETTINGS!$A$15:$A$24,$B1053)</f>
        <v>2029</v>
      </c>
      <c r="B1053">
        <v>5</v>
      </c>
      <c r="C1053" t="str">
        <f>IF(AND(A1053&gt;=SETTINGS!$B$4,A1053&lt;=SETTINGS!$B$5),"Yes","No")</f>
        <v>No</v>
      </c>
      <c r="D1053" t="str">
        <f>IFERROR(INDEX(SETTINGS!$C$15:$C$24,MATCH(A1053,SETTINGS!$A$15:$A$24,0)),"No")</f>
        <v>No</v>
      </c>
      <c r="E1053">
        <v>8</v>
      </c>
      <c r="F1053" t="s">
        <v>41</v>
      </c>
      <c r="G1053">
        <v>184</v>
      </c>
      <c r="H1053" t="s">
        <v>100</v>
      </c>
      <c r="I1053" t="s">
        <v>15</v>
      </c>
      <c r="J1053" t="s">
        <v>19</v>
      </c>
      <c r="K1053" t="s">
        <v>3</v>
      </c>
      <c r="L1053" s="36">
        <f ca="1">IF(C1053&lt;&gt;"Yes",0,IF(A1053=2025,N('2025'!D184),IF(A1053=2026,N('2026'!D184),IF(A1053=2027,N('2027'!D184),IF(A1053=2028,N('2028'!D184),IF(A1053=2029,N('2029'!D184),IF(A1053=2030,N('2030'!D184),IF(A1053=2031,N('2031'!D184),IF(A1053=2032,N('2032'!D184),IF(A1053=2033,N('2033'!D184),IF(A1053=2034,N('2034'!D184),IFERROR(N(INDIRECT("'"&amp;A1053&amp;"'!D"&amp;G1053)),0))))))))))))</f>
        <v>0</v>
      </c>
      <c r="M1053" s="36">
        <f>IFERROR(IF(NOT(ISBLANK(KPI_TARGETS!$K$11)),KPI_TARGETS!$K$11,IF(NOT(ISBLANK(KPI_TARGETS!$F$11)),KPI_TARGETS!$F$11,"")),"")</f>
        <v>0</v>
      </c>
      <c r="N1053" s="36" t="str">
        <f>IFERROR(KPI_TARGETS!$E$11,"Higher is better")</f>
        <v>Lower is better</v>
      </c>
      <c r="O1053" s="37">
        <f t="shared" ca="1" si="96"/>
        <v>1</v>
      </c>
      <c r="P1053" t="str">
        <f t="shared" ca="1" si="97"/>
        <v>Green</v>
      </c>
      <c r="Q1053" s="36">
        <f t="shared" ca="1" si="98"/>
        <v>0</v>
      </c>
      <c r="R1053" s="36" t="str">
        <f>""</f>
        <v/>
      </c>
      <c r="S1053" s="36" t="str">
        <f>""</f>
        <v/>
      </c>
      <c r="T1053" s="36" t="str">
        <f>""</f>
        <v/>
      </c>
      <c r="U1053" s="36" t="str">
        <f>""</f>
        <v/>
      </c>
      <c r="V1053" s="36" t="str">
        <f>""</f>
        <v/>
      </c>
      <c r="W1053" s="36">
        <f t="shared" si="99"/>
        <v>1</v>
      </c>
      <c r="X1053" t="str">
        <f t="shared" si="100"/>
        <v>Inactive</v>
      </c>
      <c r="Y1053" t="str">
        <f>IF(MAIN!$H$3="Selected Year",IF(A1053=MAIN!$B$3,"Yes","No"),IF(MAIN!$H$3="Included Years",IF(D1053="Yes","Yes","No"),IF(C1053="Yes","Yes","No")))</f>
        <v>No</v>
      </c>
      <c r="Z1053" t="str">
        <f>IF(MAIN!$F$3="Project to Date",IF(AND(A1053&gt;=SETTINGS!$B$4,A1053&lt;MAIN!$B$3),"Yes",IF(AND(A1053=MAIN!$B$3,E1053&lt;=MAIN!$L$3),"Yes","No")),IF(OR(MAIN!$F$3="Full Year",MAIN!$D$3="All"),"Yes",IF(MAIN!$F$3="Monthly",IF(E1053=MAIN!$L$3,"Yes","No"),IF(E1053&lt;=MAIN!$L$3,"Yes","No"))))</f>
        <v>Yes</v>
      </c>
      <c r="AA1053" t="str">
        <f t="shared" si="101"/>
        <v>No</v>
      </c>
    </row>
    <row r="1054" spans="1:27" x14ac:dyDescent="0.3">
      <c r="A1054">
        <f>INDEX(SETTINGS!$A$15:$A$24,$B1054)</f>
        <v>2029</v>
      </c>
      <c r="B1054">
        <v>5</v>
      </c>
      <c r="C1054" t="str">
        <f>IF(AND(A1054&gt;=SETTINGS!$B$4,A1054&lt;=SETTINGS!$B$5),"Yes","No")</f>
        <v>No</v>
      </c>
      <c r="D1054" t="str">
        <f>IFERROR(INDEX(SETTINGS!$C$15:$C$24,MATCH(A1054,SETTINGS!$A$15:$A$24,0)),"No")</f>
        <v>No</v>
      </c>
      <c r="E1054">
        <v>8</v>
      </c>
      <c r="F1054" t="s">
        <v>41</v>
      </c>
      <c r="G1054">
        <v>185</v>
      </c>
      <c r="H1054" t="s">
        <v>101</v>
      </c>
      <c r="I1054" t="s">
        <v>15</v>
      </c>
      <c r="J1054" t="s">
        <v>20</v>
      </c>
      <c r="K1054" t="s">
        <v>3</v>
      </c>
      <c r="L1054" s="36">
        <f ca="1">IF(C1054&lt;&gt;"Yes",0,IF(A1054=2025,N('2025'!D185),IF(A1054=2026,N('2026'!D185),IF(A1054=2027,N('2027'!D185),IF(A1054=2028,N('2028'!D185),IF(A1054=2029,N('2029'!D185),IF(A1054=2030,N('2030'!D185),IF(A1054=2031,N('2031'!D185),IF(A1054=2032,N('2032'!D185),IF(A1054=2033,N('2033'!D185),IF(A1054=2034,N('2034'!D185),IFERROR(N(INDIRECT("'"&amp;A1054&amp;"'!D"&amp;G1054)),0))))))))))))</f>
        <v>0</v>
      </c>
      <c r="M1054" s="36">
        <f>IFERROR(IF(NOT(ISBLANK(KPI_TARGETS!$K$12)),KPI_TARGETS!$K$12,IF(NOT(ISBLANK(KPI_TARGETS!$F$12)),KPI_TARGETS!$F$12,"")),"")</f>
        <v>0</v>
      </c>
      <c r="N1054" s="36" t="str">
        <f>IFERROR(KPI_TARGETS!$E$12,"Higher is better")</f>
        <v>Lower is better</v>
      </c>
      <c r="O1054" s="37">
        <f t="shared" ca="1" si="96"/>
        <v>1</v>
      </c>
      <c r="P1054" t="str">
        <f t="shared" ca="1" si="97"/>
        <v>Green</v>
      </c>
      <c r="Q1054" s="36">
        <f t="shared" ca="1" si="98"/>
        <v>0</v>
      </c>
      <c r="R1054" s="36" t="str">
        <f>""</f>
        <v/>
      </c>
      <c r="S1054" s="36" t="str">
        <f>""</f>
        <v/>
      </c>
      <c r="T1054" s="36" t="str">
        <f>""</f>
        <v/>
      </c>
      <c r="U1054" s="36" t="str">
        <f>""</f>
        <v/>
      </c>
      <c r="V1054" s="36" t="str">
        <f>""</f>
        <v/>
      </c>
      <c r="W1054" s="36">
        <f t="shared" si="99"/>
        <v>1</v>
      </c>
      <c r="X1054" t="str">
        <f t="shared" si="100"/>
        <v>Inactive</v>
      </c>
      <c r="Y1054" t="str">
        <f>IF(MAIN!$H$3="Selected Year",IF(A1054=MAIN!$B$3,"Yes","No"),IF(MAIN!$H$3="Included Years",IF(D1054="Yes","Yes","No"),IF(C1054="Yes","Yes","No")))</f>
        <v>No</v>
      </c>
      <c r="Z1054" t="str">
        <f>IF(MAIN!$F$3="Project to Date",IF(AND(A1054&gt;=SETTINGS!$B$4,A1054&lt;MAIN!$B$3),"Yes",IF(AND(A1054=MAIN!$B$3,E1054&lt;=MAIN!$L$3),"Yes","No")),IF(OR(MAIN!$F$3="Full Year",MAIN!$D$3="All"),"Yes",IF(MAIN!$F$3="Monthly",IF(E1054=MAIN!$L$3,"Yes","No"),IF(E1054&lt;=MAIN!$L$3,"Yes","No"))))</f>
        <v>Yes</v>
      </c>
      <c r="AA1054" t="str">
        <f t="shared" si="101"/>
        <v>No</v>
      </c>
    </row>
    <row r="1055" spans="1:27" x14ac:dyDescent="0.3">
      <c r="A1055">
        <f>INDEX(SETTINGS!$A$15:$A$24,$B1055)</f>
        <v>2029</v>
      </c>
      <c r="B1055">
        <v>5</v>
      </c>
      <c r="C1055" t="str">
        <f>IF(AND(A1055&gt;=SETTINGS!$B$4,A1055&lt;=SETTINGS!$B$5),"Yes","No")</f>
        <v>No</v>
      </c>
      <c r="D1055" t="str">
        <f>IFERROR(INDEX(SETTINGS!$C$15:$C$24,MATCH(A1055,SETTINGS!$A$15:$A$24,0)),"No")</f>
        <v>No</v>
      </c>
      <c r="E1055">
        <v>8</v>
      </c>
      <c r="F1055" t="s">
        <v>41</v>
      </c>
      <c r="G1055">
        <v>186</v>
      </c>
      <c r="H1055" t="s">
        <v>102</v>
      </c>
      <c r="I1055" t="s">
        <v>15</v>
      </c>
      <c r="J1055" t="s">
        <v>21</v>
      </c>
      <c r="K1055" t="s">
        <v>3</v>
      </c>
      <c r="L1055" s="36">
        <f ca="1">IF(C1055&lt;&gt;"Yes",0,IF(A1055=2025,N('2025'!D186),IF(A1055=2026,N('2026'!D186),IF(A1055=2027,N('2027'!D186),IF(A1055=2028,N('2028'!D186),IF(A1055=2029,N('2029'!D186),IF(A1055=2030,N('2030'!D186),IF(A1055=2031,N('2031'!D186),IF(A1055=2032,N('2032'!D186),IF(A1055=2033,N('2033'!D186),IF(A1055=2034,N('2034'!D186),IFERROR(N(INDIRECT("'"&amp;A1055&amp;"'!D"&amp;G1055)),0))))))))))))</f>
        <v>0</v>
      </c>
      <c r="M1055" s="36">
        <f>IFERROR(IF(NOT(ISBLANK(KPI_TARGETS!$K$13)),KPI_TARGETS!$K$13,IF(NOT(ISBLANK(KPI_TARGETS!$F$13)),KPI_TARGETS!$F$13,"")),"")</f>
        <v>0</v>
      </c>
      <c r="N1055" s="36" t="str">
        <f>IFERROR(KPI_TARGETS!$E$13,"Higher is better")</f>
        <v>Lower is better</v>
      </c>
      <c r="O1055" s="37">
        <f t="shared" ca="1" si="96"/>
        <v>1</v>
      </c>
      <c r="P1055" t="str">
        <f t="shared" ca="1" si="97"/>
        <v>Green</v>
      </c>
      <c r="Q1055" s="36">
        <f t="shared" ca="1" si="98"/>
        <v>0</v>
      </c>
      <c r="R1055" s="36" t="str">
        <f>""</f>
        <v/>
      </c>
      <c r="S1055" s="36" t="str">
        <f>""</f>
        <v/>
      </c>
      <c r="T1055" s="36" t="str">
        <f>""</f>
        <v/>
      </c>
      <c r="U1055" s="36" t="str">
        <f>""</f>
        <v/>
      </c>
      <c r="V1055" s="36" t="str">
        <f>""</f>
        <v/>
      </c>
      <c r="W1055" s="36">
        <f t="shared" si="99"/>
        <v>1</v>
      </c>
      <c r="X1055" t="str">
        <f t="shared" si="100"/>
        <v>Inactive</v>
      </c>
      <c r="Y1055" t="str">
        <f>IF(MAIN!$H$3="Selected Year",IF(A1055=MAIN!$B$3,"Yes","No"),IF(MAIN!$H$3="Included Years",IF(D1055="Yes","Yes","No"),IF(C1055="Yes","Yes","No")))</f>
        <v>No</v>
      </c>
      <c r="Z1055" t="str">
        <f>IF(MAIN!$F$3="Project to Date",IF(AND(A1055&gt;=SETTINGS!$B$4,A1055&lt;MAIN!$B$3),"Yes",IF(AND(A1055=MAIN!$B$3,E1055&lt;=MAIN!$L$3),"Yes","No")),IF(OR(MAIN!$F$3="Full Year",MAIN!$D$3="All"),"Yes",IF(MAIN!$F$3="Monthly",IF(E1055=MAIN!$L$3,"Yes","No"),IF(E1055&lt;=MAIN!$L$3,"Yes","No"))))</f>
        <v>Yes</v>
      </c>
      <c r="AA1055" t="str">
        <f t="shared" si="101"/>
        <v>No</v>
      </c>
    </row>
    <row r="1056" spans="1:27" x14ac:dyDescent="0.3">
      <c r="A1056">
        <f>INDEX(SETTINGS!$A$15:$A$24,$B1056)</f>
        <v>2029</v>
      </c>
      <c r="B1056">
        <v>5</v>
      </c>
      <c r="C1056" t="str">
        <f>IF(AND(A1056&gt;=SETTINGS!$B$4,A1056&lt;=SETTINGS!$B$5),"Yes","No")</f>
        <v>No</v>
      </c>
      <c r="D1056" t="str">
        <f>IFERROR(INDEX(SETTINGS!$C$15:$C$24,MATCH(A1056,SETTINGS!$A$15:$A$24,0)),"No")</f>
        <v>No</v>
      </c>
      <c r="E1056">
        <v>8</v>
      </c>
      <c r="F1056" t="s">
        <v>41</v>
      </c>
      <c r="G1056">
        <v>188</v>
      </c>
      <c r="H1056" t="s">
        <v>103</v>
      </c>
      <c r="I1056" t="s">
        <v>22</v>
      </c>
      <c r="J1056" t="s">
        <v>23</v>
      </c>
      <c r="K1056" t="s">
        <v>3</v>
      </c>
      <c r="L1056" s="36">
        <f ca="1">IF(C1056&lt;&gt;"Yes",0,IF(A1056=2025,N('2025'!D188),IF(A1056=2026,N('2026'!D188),IF(A1056=2027,N('2027'!D188),IF(A1056=2028,N('2028'!D188),IF(A1056=2029,N('2029'!D188),IF(A1056=2030,N('2030'!D188),IF(A1056=2031,N('2031'!D188),IF(A1056=2032,N('2032'!D188),IF(A1056=2033,N('2033'!D188),IF(A1056=2034,N('2034'!D188),IFERROR(N(INDIRECT("'"&amp;A1056&amp;"'!D"&amp;G1056)),0))))))))))))</f>
        <v>0</v>
      </c>
      <c r="M1056" s="36">
        <f>IFERROR(IF(NOT(ISBLANK(KPI_TARGETS!$K$14)),KPI_TARGETS!$K$14,IF(NOT(ISBLANK(KPI_TARGETS!$F$14)),KPI_TARGETS!$F$14,"")),"")</f>
        <v>35</v>
      </c>
      <c r="N1056" s="36" t="str">
        <f>IFERROR(KPI_TARGETS!$E$14,"Higher is better")</f>
        <v>Higher is better</v>
      </c>
      <c r="O1056" s="37">
        <f t="shared" ca="1" si="96"/>
        <v>0</v>
      </c>
      <c r="P1056" t="str">
        <f t="shared" ca="1" si="97"/>
        <v>Red</v>
      </c>
      <c r="Q1056" s="36">
        <f t="shared" ca="1" si="98"/>
        <v>-35</v>
      </c>
      <c r="R1056" s="36" t="str">
        <f>""</f>
        <v/>
      </c>
      <c r="S1056" s="36" t="str">
        <f>""</f>
        <v/>
      </c>
      <c r="T1056" s="36" t="str">
        <f>""</f>
        <v/>
      </c>
      <c r="U1056" s="36" t="str">
        <f>""</f>
        <v/>
      </c>
      <c r="V1056" s="36" t="str">
        <f>""</f>
        <v/>
      </c>
      <c r="W1056" s="36">
        <f t="shared" si="99"/>
        <v>1</v>
      </c>
      <c r="X1056" t="str">
        <f t="shared" si="100"/>
        <v>Inactive</v>
      </c>
      <c r="Y1056" t="str">
        <f>IF(MAIN!$H$3="Selected Year",IF(A1056=MAIN!$B$3,"Yes","No"),IF(MAIN!$H$3="Included Years",IF(D1056="Yes","Yes","No"),IF(C1056="Yes","Yes","No")))</f>
        <v>No</v>
      </c>
      <c r="Z1056" t="str">
        <f>IF(MAIN!$F$3="Project to Date",IF(AND(A1056&gt;=SETTINGS!$B$4,A1056&lt;MAIN!$B$3),"Yes",IF(AND(A1056=MAIN!$B$3,E1056&lt;=MAIN!$L$3),"Yes","No")),IF(OR(MAIN!$F$3="Full Year",MAIN!$D$3="All"),"Yes",IF(MAIN!$F$3="Monthly",IF(E1056=MAIN!$L$3,"Yes","No"),IF(E1056&lt;=MAIN!$L$3,"Yes","No"))))</f>
        <v>Yes</v>
      </c>
      <c r="AA1056" t="str">
        <f t="shared" si="101"/>
        <v>No</v>
      </c>
    </row>
    <row r="1057" spans="1:27" x14ac:dyDescent="0.3">
      <c r="A1057">
        <f>INDEX(SETTINGS!$A$15:$A$24,$B1057)</f>
        <v>2029</v>
      </c>
      <c r="B1057">
        <v>5</v>
      </c>
      <c r="C1057" t="str">
        <f>IF(AND(A1057&gt;=SETTINGS!$B$4,A1057&lt;=SETTINGS!$B$5),"Yes","No")</f>
        <v>No</v>
      </c>
      <c r="D1057" t="str">
        <f>IFERROR(INDEX(SETTINGS!$C$15:$C$24,MATCH(A1057,SETTINGS!$A$15:$A$24,0)),"No")</f>
        <v>No</v>
      </c>
      <c r="E1057">
        <v>8</v>
      </c>
      <c r="F1057" t="s">
        <v>41</v>
      </c>
      <c r="G1057">
        <v>189</v>
      </c>
      <c r="H1057" t="s">
        <v>104</v>
      </c>
      <c r="I1057" t="s">
        <v>22</v>
      </c>
      <c r="J1057" t="s">
        <v>24</v>
      </c>
      <c r="K1057" t="s">
        <v>3</v>
      </c>
      <c r="L1057" s="36">
        <f ca="1">IF(C1057&lt;&gt;"Yes",0,IF(A1057=2025,N('2025'!D189),IF(A1057=2026,N('2026'!D189),IF(A1057=2027,N('2027'!D189),IF(A1057=2028,N('2028'!D189),IF(A1057=2029,N('2029'!D189),IF(A1057=2030,N('2030'!D189),IF(A1057=2031,N('2031'!D189),IF(A1057=2032,N('2032'!D189),IF(A1057=2033,N('2033'!D189),IF(A1057=2034,N('2034'!D189),IFERROR(N(INDIRECT("'"&amp;A1057&amp;"'!D"&amp;G1057)),0))))))))))))</f>
        <v>0</v>
      </c>
      <c r="M1057" s="36">
        <f>IFERROR(IF(NOT(ISBLANK(KPI_TARGETS!$K$15)),KPI_TARGETS!$K$15,IF(NOT(ISBLANK(KPI_TARGETS!$F$15)),KPI_TARGETS!$F$15,"")),"")</f>
        <v>5</v>
      </c>
      <c r="N1057" s="36" t="str">
        <f>IFERROR(KPI_TARGETS!$E$15,"Higher is better")</f>
        <v>Higher is better</v>
      </c>
      <c r="O1057" s="37">
        <f t="shared" ca="1" si="96"/>
        <v>0</v>
      </c>
      <c r="P1057" t="str">
        <f t="shared" ca="1" si="97"/>
        <v>Red</v>
      </c>
      <c r="Q1057" s="36">
        <f t="shared" ca="1" si="98"/>
        <v>-5</v>
      </c>
      <c r="R1057" s="36" t="str">
        <f>""</f>
        <v/>
      </c>
      <c r="S1057" s="36" t="str">
        <f>""</f>
        <v/>
      </c>
      <c r="T1057" s="36" t="str">
        <f>""</f>
        <v/>
      </c>
      <c r="U1057" s="36" t="str">
        <f>""</f>
        <v/>
      </c>
      <c r="V1057" s="36" t="str">
        <f>""</f>
        <v/>
      </c>
      <c r="W1057" s="36">
        <f t="shared" si="99"/>
        <v>1</v>
      </c>
      <c r="X1057" t="str">
        <f t="shared" si="100"/>
        <v>Inactive</v>
      </c>
      <c r="Y1057" t="str">
        <f>IF(MAIN!$H$3="Selected Year",IF(A1057=MAIN!$B$3,"Yes","No"),IF(MAIN!$H$3="Included Years",IF(D1057="Yes","Yes","No"),IF(C1057="Yes","Yes","No")))</f>
        <v>No</v>
      </c>
      <c r="Z1057" t="str">
        <f>IF(MAIN!$F$3="Project to Date",IF(AND(A1057&gt;=SETTINGS!$B$4,A1057&lt;MAIN!$B$3),"Yes",IF(AND(A1057=MAIN!$B$3,E1057&lt;=MAIN!$L$3),"Yes","No")),IF(OR(MAIN!$F$3="Full Year",MAIN!$D$3="All"),"Yes",IF(MAIN!$F$3="Monthly",IF(E1057=MAIN!$L$3,"Yes","No"),IF(E1057&lt;=MAIN!$L$3,"Yes","No"))))</f>
        <v>Yes</v>
      </c>
      <c r="AA1057" t="str">
        <f t="shared" si="101"/>
        <v>No</v>
      </c>
    </row>
    <row r="1058" spans="1:27" x14ac:dyDescent="0.3">
      <c r="A1058">
        <f>INDEX(SETTINGS!$A$15:$A$24,$B1058)</f>
        <v>2029</v>
      </c>
      <c r="B1058">
        <v>5</v>
      </c>
      <c r="C1058" t="str">
        <f>IF(AND(A1058&gt;=SETTINGS!$B$4,A1058&lt;=SETTINGS!$B$5),"Yes","No")</f>
        <v>No</v>
      </c>
      <c r="D1058" t="str">
        <f>IFERROR(INDEX(SETTINGS!$C$15:$C$24,MATCH(A1058,SETTINGS!$A$15:$A$24,0)),"No")</f>
        <v>No</v>
      </c>
      <c r="E1058">
        <v>8</v>
      </c>
      <c r="F1058" t="s">
        <v>41</v>
      </c>
      <c r="G1058">
        <v>190</v>
      </c>
      <c r="H1058" t="s">
        <v>105</v>
      </c>
      <c r="I1058" t="s">
        <v>22</v>
      </c>
      <c r="J1058" t="s">
        <v>25</v>
      </c>
      <c r="K1058" t="s">
        <v>3</v>
      </c>
      <c r="L1058" s="36">
        <f ca="1">IF(C1058&lt;&gt;"Yes",0,IF(A1058=2025,N('2025'!D190),IF(A1058=2026,N('2026'!D190),IF(A1058=2027,N('2027'!D190),IF(A1058=2028,N('2028'!D190),IF(A1058=2029,N('2029'!D190),IF(A1058=2030,N('2030'!D190),IF(A1058=2031,N('2031'!D190),IF(A1058=2032,N('2032'!D190),IF(A1058=2033,N('2033'!D190),IF(A1058=2034,N('2034'!D190),IFERROR(N(INDIRECT("'"&amp;A1058&amp;"'!D"&amp;G1058)),0))))))))))))</f>
        <v>0</v>
      </c>
      <c r="M1058" s="36">
        <f>IFERROR(IF(NOT(ISBLANK(KPI_TARGETS!$K$16)),KPI_TARGETS!$K$16,IF(NOT(ISBLANK(KPI_TARGETS!$F$16)),KPI_TARGETS!$F$16,"")),"")</f>
        <v>4</v>
      </c>
      <c r="N1058" s="36" t="str">
        <f>IFERROR(KPI_TARGETS!$E$16,"Higher is better")</f>
        <v>Higher is better</v>
      </c>
      <c r="O1058" s="37">
        <f t="shared" ca="1" si="96"/>
        <v>0</v>
      </c>
      <c r="P1058" t="str">
        <f t="shared" ca="1" si="97"/>
        <v>Red</v>
      </c>
      <c r="Q1058" s="36">
        <f t="shared" ca="1" si="98"/>
        <v>-4</v>
      </c>
      <c r="R1058" s="36" t="str">
        <f>""</f>
        <v/>
      </c>
      <c r="S1058" s="36" t="str">
        <f>""</f>
        <v/>
      </c>
      <c r="T1058" s="36" t="str">
        <f>""</f>
        <v/>
      </c>
      <c r="U1058" s="36" t="str">
        <f>""</f>
        <v/>
      </c>
      <c r="V1058" s="36" t="str">
        <f>""</f>
        <v/>
      </c>
      <c r="W1058" s="36">
        <f t="shared" si="99"/>
        <v>1</v>
      </c>
      <c r="X1058" t="str">
        <f t="shared" si="100"/>
        <v>Inactive</v>
      </c>
      <c r="Y1058" t="str">
        <f>IF(MAIN!$H$3="Selected Year",IF(A1058=MAIN!$B$3,"Yes","No"),IF(MAIN!$H$3="Included Years",IF(D1058="Yes","Yes","No"),IF(C1058="Yes","Yes","No")))</f>
        <v>No</v>
      </c>
      <c r="Z1058" t="str">
        <f>IF(MAIN!$F$3="Project to Date",IF(AND(A1058&gt;=SETTINGS!$B$4,A1058&lt;MAIN!$B$3),"Yes",IF(AND(A1058=MAIN!$B$3,E1058&lt;=MAIN!$L$3),"Yes","No")),IF(OR(MAIN!$F$3="Full Year",MAIN!$D$3="All"),"Yes",IF(MAIN!$F$3="Monthly",IF(E1058=MAIN!$L$3,"Yes","No"),IF(E1058&lt;=MAIN!$L$3,"Yes","No"))))</f>
        <v>Yes</v>
      </c>
      <c r="AA1058" t="str">
        <f t="shared" si="101"/>
        <v>No</v>
      </c>
    </row>
    <row r="1059" spans="1:27" x14ac:dyDescent="0.3">
      <c r="A1059">
        <f>INDEX(SETTINGS!$A$15:$A$24,$B1059)</f>
        <v>2029</v>
      </c>
      <c r="B1059">
        <v>5</v>
      </c>
      <c r="C1059" t="str">
        <f>IF(AND(A1059&gt;=SETTINGS!$B$4,A1059&lt;=SETTINGS!$B$5),"Yes","No")</f>
        <v>No</v>
      </c>
      <c r="D1059" t="str">
        <f>IFERROR(INDEX(SETTINGS!$C$15:$C$24,MATCH(A1059,SETTINGS!$A$15:$A$24,0)),"No")</f>
        <v>No</v>
      </c>
      <c r="E1059">
        <v>8</v>
      </c>
      <c r="F1059" t="s">
        <v>41</v>
      </c>
      <c r="G1059">
        <v>191</v>
      </c>
      <c r="H1059" t="s">
        <v>106</v>
      </c>
      <c r="I1059" t="s">
        <v>22</v>
      </c>
      <c r="J1059" t="s">
        <v>26</v>
      </c>
      <c r="K1059" t="s">
        <v>3</v>
      </c>
      <c r="L1059" s="36">
        <f ca="1">IF(C1059&lt;&gt;"Yes",0,IF(A1059=2025,N('2025'!D191),IF(A1059=2026,N('2026'!D191),IF(A1059=2027,N('2027'!D191),IF(A1059=2028,N('2028'!D191),IF(A1059=2029,N('2029'!D191),IF(A1059=2030,N('2030'!D191),IF(A1059=2031,N('2031'!D191),IF(A1059=2032,N('2032'!D191),IF(A1059=2033,N('2033'!D191),IF(A1059=2034,N('2034'!D191),IFERROR(N(INDIRECT("'"&amp;A1059&amp;"'!D"&amp;G1059)),0))))))))))))</f>
        <v>0</v>
      </c>
      <c r="M1059" s="36">
        <f>IFERROR(IF(NOT(ISBLANK(KPI_TARGETS!$K$17)),KPI_TARGETS!$K$17,IF(NOT(ISBLANK(KPI_TARGETS!$F$17)),KPI_TARGETS!$F$17,"")),"")</f>
        <v>12</v>
      </c>
      <c r="N1059" s="36" t="str">
        <f>IFERROR(KPI_TARGETS!$E$17,"Higher is better")</f>
        <v>Higher is better</v>
      </c>
      <c r="O1059" s="37">
        <f t="shared" ca="1" si="96"/>
        <v>0</v>
      </c>
      <c r="P1059" t="str">
        <f t="shared" ca="1" si="97"/>
        <v>Red</v>
      </c>
      <c r="Q1059" s="36">
        <f t="shared" ca="1" si="98"/>
        <v>-12</v>
      </c>
      <c r="R1059" s="36" t="str">
        <f>""</f>
        <v/>
      </c>
      <c r="S1059" s="36" t="str">
        <f>""</f>
        <v/>
      </c>
      <c r="T1059" s="36" t="str">
        <f>""</f>
        <v/>
      </c>
      <c r="U1059" s="36" t="str">
        <f>""</f>
        <v/>
      </c>
      <c r="V1059" s="36" t="str">
        <f>""</f>
        <v/>
      </c>
      <c r="W1059" s="36">
        <f t="shared" si="99"/>
        <v>1</v>
      </c>
      <c r="X1059" t="str">
        <f t="shared" si="100"/>
        <v>Inactive</v>
      </c>
      <c r="Y1059" t="str">
        <f>IF(MAIN!$H$3="Selected Year",IF(A1059=MAIN!$B$3,"Yes","No"),IF(MAIN!$H$3="Included Years",IF(D1059="Yes","Yes","No"),IF(C1059="Yes","Yes","No")))</f>
        <v>No</v>
      </c>
      <c r="Z1059" t="str">
        <f>IF(MAIN!$F$3="Project to Date",IF(AND(A1059&gt;=SETTINGS!$B$4,A1059&lt;MAIN!$B$3),"Yes",IF(AND(A1059=MAIN!$B$3,E1059&lt;=MAIN!$L$3),"Yes","No")),IF(OR(MAIN!$F$3="Full Year",MAIN!$D$3="All"),"Yes",IF(MAIN!$F$3="Monthly",IF(E1059=MAIN!$L$3,"Yes","No"),IF(E1059&lt;=MAIN!$L$3,"Yes","No"))))</f>
        <v>Yes</v>
      </c>
      <c r="AA1059" t="str">
        <f t="shared" si="101"/>
        <v>No</v>
      </c>
    </row>
    <row r="1060" spans="1:27" x14ac:dyDescent="0.3">
      <c r="A1060">
        <f>INDEX(SETTINGS!$A$15:$A$24,$B1060)</f>
        <v>2029</v>
      </c>
      <c r="B1060">
        <v>5</v>
      </c>
      <c r="C1060" t="str">
        <f>IF(AND(A1060&gt;=SETTINGS!$B$4,A1060&lt;=SETTINGS!$B$5),"Yes","No")</f>
        <v>No</v>
      </c>
      <c r="D1060" t="str">
        <f>IFERROR(INDEX(SETTINGS!$C$15:$C$24,MATCH(A1060,SETTINGS!$A$15:$A$24,0)),"No")</f>
        <v>No</v>
      </c>
      <c r="E1060">
        <v>8</v>
      </c>
      <c r="F1060" t="s">
        <v>41</v>
      </c>
      <c r="G1060">
        <v>192</v>
      </c>
      <c r="H1060" t="s">
        <v>107</v>
      </c>
      <c r="I1060" t="s">
        <v>22</v>
      </c>
      <c r="J1060" t="s">
        <v>27</v>
      </c>
      <c r="K1060" t="s">
        <v>3</v>
      </c>
      <c r="L1060" s="36">
        <f ca="1">IF(C1060&lt;&gt;"Yes",0,IF(A1060=2025,N('2025'!D192),IF(A1060=2026,N('2026'!D192),IF(A1060=2027,N('2027'!D192),IF(A1060=2028,N('2028'!D192),IF(A1060=2029,N('2029'!D192),IF(A1060=2030,N('2030'!D192),IF(A1060=2031,N('2031'!D192),IF(A1060=2032,N('2032'!D192),IF(A1060=2033,N('2033'!D192),IF(A1060=2034,N('2034'!D192),IFERROR(N(INDIRECT("'"&amp;A1060&amp;"'!D"&amp;G1060)),0))))))))))))</f>
        <v>0</v>
      </c>
      <c r="M1060" s="36">
        <f>IFERROR(IF(NOT(ISBLANK(KPI_TARGETS!$K$18)),KPI_TARGETS!$K$18,IF(NOT(ISBLANK(KPI_TARGETS!$F$18)),KPI_TARGETS!$F$18,"")),"")</f>
        <v>4</v>
      </c>
      <c r="N1060" s="36" t="str">
        <f>IFERROR(KPI_TARGETS!$E$18,"Higher is better")</f>
        <v>Higher is better</v>
      </c>
      <c r="O1060" s="37">
        <f t="shared" ca="1" si="96"/>
        <v>0</v>
      </c>
      <c r="P1060" t="str">
        <f t="shared" ca="1" si="97"/>
        <v>Red</v>
      </c>
      <c r="Q1060" s="36">
        <f t="shared" ca="1" si="98"/>
        <v>-4</v>
      </c>
      <c r="R1060" s="36" t="str">
        <f>""</f>
        <v/>
      </c>
      <c r="S1060" s="36" t="str">
        <f>""</f>
        <v/>
      </c>
      <c r="T1060" s="36" t="str">
        <f>""</f>
        <v/>
      </c>
      <c r="U1060" s="36" t="str">
        <f>""</f>
        <v/>
      </c>
      <c r="V1060" s="36" t="str">
        <f>""</f>
        <v/>
      </c>
      <c r="W1060" s="36">
        <f t="shared" si="99"/>
        <v>1</v>
      </c>
      <c r="X1060" t="str">
        <f t="shared" si="100"/>
        <v>Inactive</v>
      </c>
      <c r="Y1060" t="str">
        <f>IF(MAIN!$H$3="Selected Year",IF(A1060=MAIN!$B$3,"Yes","No"),IF(MAIN!$H$3="Included Years",IF(D1060="Yes","Yes","No"),IF(C1060="Yes","Yes","No")))</f>
        <v>No</v>
      </c>
      <c r="Z1060" t="str">
        <f>IF(MAIN!$F$3="Project to Date",IF(AND(A1060&gt;=SETTINGS!$B$4,A1060&lt;MAIN!$B$3),"Yes",IF(AND(A1060=MAIN!$B$3,E1060&lt;=MAIN!$L$3),"Yes","No")),IF(OR(MAIN!$F$3="Full Year",MAIN!$D$3="All"),"Yes",IF(MAIN!$F$3="Monthly",IF(E1060=MAIN!$L$3,"Yes","No"),IF(E1060&lt;=MAIN!$L$3,"Yes","No"))))</f>
        <v>Yes</v>
      </c>
      <c r="AA1060" t="str">
        <f t="shared" si="101"/>
        <v>No</v>
      </c>
    </row>
    <row r="1061" spans="1:27" x14ac:dyDescent="0.3">
      <c r="A1061">
        <f>INDEX(SETTINGS!$A$15:$A$24,$B1061)</f>
        <v>2029</v>
      </c>
      <c r="B1061">
        <v>5</v>
      </c>
      <c r="C1061" t="str">
        <f>IF(AND(A1061&gt;=SETTINGS!$B$4,A1061&lt;=SETTINGS!$B$5),"Yes","No")</f>
        <v>No</v>
      </c>
      <c r="D1061" t="str">
        <f>IFERROR(INDEX(SETTINGS!$C$15:$C$24,MATCH(A1061,SETTINGS!$A$15:$A$24,0)),"No")</f>
        <v>No</v>
      </c>
      <c r="E1061">
        <v>8</v>
      </c>
      <c r="F1061" t="s">
        <v>41</v>
      </c>
      <c r="G1061">
        <v>193</v>
      </c>
      <c r="H1061" t="s">
        <v>108</v>
      </c>
      <c r="I1061" t="s">
        <v>22</v>
      </c>
      <c r="J1061" t="s">
        <v>28</v>
      </c>
      <c r="K1061" t="s">
        <v>3</v>
      </c>
      <c r="L1061" s="36">
        <f ca="1">IF(C1061&lt;&gt;"Yes",0,IF(A1061=2025,N('2025'!D193),IF(A1061=2026,N('2026'!D193),IF(A1061=2027,N('2027'!D193),IF(A1061=2028,N('2028'!D193),IF(A1061=2029,N('2029'!D193),IF(A1061=2030,N('2030'!D193),IF(A1061=2031,N('2031'!D193),IF(A1061=2032,N('2032'!D193),IF(A1061=2033,N('2033'!D193),IF(A1061=2034,N('2034'!D193),IFERROR(N(INDIRECT("'"&amp;A1061&amp;"'!D"&amp;G1061)),0))))))))))))</f>
        <v>0</v>
      </c>
      <c r="M1061" s="36">
        <f>IFERROR(IF(NOT(ISBLANK(KPI_TARGETS!$K$19)),KPI_TARGETS!$K$19,IF(NOT(ISBLANK(KPI_TARGETS!$F$19)),KPI_TARGETS!$F$19,"")),"")</f>
        <v>16</v>
      </c>
      <c r="N1061" s="36" t="str">
        <f>IFERROR(KPI_TARGETS!$E$19,"Higher is better")</f>
        <v>Higher is better</v>
      </c>
      <c r="O1061" s="37">
        <f t="shared" ca="1" si="96"/>
        <v>0</v>
      </c>
      <c r="P1061" t="str">
        <f t="shared" ca="1" si="97"/>
        <v>Red</v>
      </c>
      <c r="Q1061" s="36">
        <f t="shared" ca="1" si="98"/>
        <v>-16</v>
      </c>
      <c r="R1061" s="36" t="str">
        <f>""</f>
        <v/>
      </c>
      <c r="S1061" s="36" t="str">
        <f>""</f>
        <v/>
      </c>
      <c r="T1061" s="36" t="str">
        <f>""</f>
        <v/>
      </c>
      <c r="U1061" s="36" t="str">
        <f>""</f>
        <v/>
      </c>
      <c r="V1061" s="36" t="str">
        <f>""</f>
        <v/>
      </c>
      <c r="W1061" s="36">
        <f t="shared" si="99"/>
        <v>1</v>
      </c>
      <c r="X1061" t="str">
        <f t="shared" si="100"/>
        <v>Inactive</v>
      </c>
      <c r="Y1061" t="str">
        <f>IF(MAIN!$H$3="Selected Year",IF(A1061=MAIN!$B$3,"Yes","No"),IF(MAIN!$H$3="Included Years",IF(D1061="Yes","Yes","No"),IF(C1061="Yes","Yes","No")))</f>
        <v>No</v>
      </c>
      <c r="Z1061" t="str">
        <f>IF(MAIN!$F$3="Project to Date",IF(AND(A1061&gt;=SETTINGS!$B$4,A1061&lt;MAIN!$B$3),"Yes",IF(AND(A1061=MAIN!$B$3,E1061&lt;=MAIN!$L$3),"Yes","No")),IF(OR(MAIN!$F$3="Full Year",MAIN!$D$3="All"),"Yes",IF(MAIN!$F$3="Monthly",IF(E1061=MAIN!$L$3,"Yes","No"),IF(E1061&lt;=MAIN!$L$3,"Yes","No"))))</f>
        <v>Yes</v>
      </c>
      <c r="AA1061" t="str">
        <f t="shared" si="101"/>
        <v>No</v>
      </c>
    </row>
    <row r="1062" spans="1:27" x14ac:dyDescent="0.3">
      <c r="A1062">
        <f>INDEX(SETTINGS!$A$15:$A$24,$B1062)</f>
        <v>2029</v>
      </c>
      <c r="B1062">
        <v>5</v>
      </c>
      <c r="C1062" t="str">
        <f>IF(AND(A1062&gt;=SETTINGS!$B$4,A1062&lt;=SETTINGS!$B$5),"Yes","No")</f>
        <v>No</v>
      </c>
      <c r="D1062" t="str">
        <f>IFERROR(INDEX(SETTINGS!$C$15:$C$24,MATCH(A1062,SETTINGS!$A$15:$A$24,0)),"No")</f>
        <v>No</v>
      </c>
      <c r="E1062">
        <v>8</v>
      </c>
      <c r="F1062" t="s">
        <v>41</v>
      </c>
      <c r="G1062">
        <v>194</v>
      </c>
      <c r="H1062" t="s">
        <v>109</v>
      </c>
      <c r="I1062" t="s">
        <v>22</v>
      </c>
      <c r="J1062" t="s">
        <v>29</v>
      </c>
      <c r="K1062" t="s">
        <v>3</v>
      </c>
      <c r="L1062" s="36">
        <f ca="1">IF(C1062&lt;&gt;"Yes",0,IF(A1062=2025,N('2025'!D194),IF(A1062=2026,N('2026'!D194),IF(A1062=2027,N('2027'!D194),IF(A1062=2028,N('2028'!D194),IF(A1062=2029,N('2029'!D194),IF(A1062=2030,N('2030'!D194),IF(A1062=2031,N('2031'!D194),IF(A1062=2032,N('2032'!D194),IF(A1062=2033,N('2033'!D194),IF(A1062=2034,N('2034'!D194),IFERROR(N(INDIRECT("'"&amp;A1062&amp;"'!D"&amp;G1062)),0))))))))))))</f>
        <v>0</v>
      </c>
      <c r="M1062" s="36">
        <f>IFERROR(IF(NOT(ISBLANK(KPI_TARGETS!$K$20)),KPI_TARGETS!$K$20,IF(NOT(ISBLANK(KPI_TARGETS!$F$20)),KPI_TARGETS!$F$20,"")),"")</f>
        <v>1</v>
      </c>
      <c r="N1062" s="36" t="str">
        <f>IFERROR(KPI_TARGETS!$E$20,"Higher is better")</f>
        <v>Higher is better</v>
      </c>
      <c r="O1062" s="37">
        <f t="shared" ca="1" si="96"/>
        <v>0</v>
      </c>
      <c r="P1062" t="str">
        <f t="shared" ca="1" si="97"/>
        <v>Red</v>
      </c>
      <c r="Q1062" s="36">
        <f t="shared" ca="1" si="98"/>
        <v>-1</v>
      </c>
      <c r="R1062" s="36" t="str">
        <f>""</f>
        <v/>
      </c>
      <c r="S1062" s="36" t="str">
        <f>""</f>
        <v/>
      </c>
      <c r="T1062" s="36" t="str">
        <f>""</f>
        <v/>
      </c>
      <c r="U1062" s="36" t="str">
        <f>""</f>
        <v/>
      </c>
      <c r="V1062" s="36" t="str">
        <f>""</f>
        <v/>
      </c>
      <c r="W1062" s="36">
        <f t="shared" si="99"/>
        <v>1</v>
      </c>
      <c r="X1062" t="str">
        <f t="shared" si="100"/>
        <v>Inactive</v>
      </c>
      <c r="Y1062" t="str">
        <f>IF(MAIN!$H$3="Selected Year",IF(A1062=MAIN!$B$3,"Yes","No"),IF(MAIN!$H$3="Included Years",IF(D1062="Yes","Yes","No"),IF(C1062="Yes","Yes","No")))</f>
        <v>No</v>
      </c>
      <c r="Z1062" t="str">
        <f>IF(MAIN!$F$3="Project to Date",IF(AND(A1062&gt;=SETTINGS!$B$4,A1062&lt;MAIN!$B$3),"Yes",IF(AND(A1062=MAIN!$B$3,E1062&lt;=MAIN!$L$3),"Yes","No")),IF(OR(MAIN!$F$3="Full Year",MAIN!$D$3="All"),"Yes",IF(MAIN!$F$3="Monthly",IF(E1062=MAIN!$L$3,"Yes","No"),IF(E1062&lt;=MAIN!$L$3,"Yes","No"))))</f>
        <v>Yes</v>
      </c>
      <c r="AA1062" t="str">
        <f t="shared" si="101"/>
        <v>No</v>
      </c>
    </row>
    <row r="1063" spans="1:27" x14ac:dyDescent="0.3">
      <c r="A1063">
        <f>INDEX(SETTINGS!$A$15:$A$24,$B1063)</f>
        <v>2029</v>
      </c>
      <c r="B1063">
        <v>5</v>
      </c>
      <c r="C1063" t="str">
        <f>IF(AND(A1063&gt;=SETTINGS!$B$4,A1063&lt;=SETTINGS!$B$5),"Yes","No")</f>
        <v>No</v>
      </c>
      <c r="D1063" t="str">
        <f>IFERROR(INDEX(SETTINGS!$C$15:$C$24,MATCH(A1063,SETTINGS!$A$15:$A$24,0)),"No")</f>
        <v>No</v>
      </c>
      <c r="E1063">
        <v>8</v>
      </c>
      <c r="F1063" t="s">
        <v>41</v>
      </c>
      <c r="G1063">
        <v>196</v>
      </c>
      <c r="H1063" t="s">
        <v>110</v>
      </c>
      <c r="I1063" t="s">
        <v>30</v>
      </c>
      <c r="J1063" t="s">
        <v>31</v>
      </c>
      <c r="K1063" t="s">
        <v>3</v>
      </c>
      <c r="L1063" s="36">
        <f ca="1">IF(C1063&lt;&gt;"Yes",0,IF(A1063=2025,N('2025'!D196),IF(A1063=2026,N('2026'!D196),IF(A1063=2027,N('2027'!D196),IF(A1063=2028,N('2028'!D196),IF(A1063=2029,N('2029'!D196),IF(A1063=2030,N('2030'!D196),IF(A1063=2031,N('2031'!D196),IF(A1063=2032,N('2032'!D196),IF(A1063=2033,N('2033'!D196),IF(A1063=2034,N('2034'!D196),IFERROR(N(INDIRECT("'"&amp;A1063&amp;"'!D"&amp;G1063)),0))))))))))))</f>
        <v>0</v>
      </c>
      <c r="M1063" s="36">
        <f>IFERROR(IF(NOT(ISBLANK(KPI_TARGETS!$K$21)),KPI_TARGETS!$K$21,IF(NOT(ISBLANK(KPI_TARGETS!$F$21)),KPI_TARGETS!$F$21,"")),"")</f>
        <v>0</v>
      </c>
      <c r="N1063" s="36" t="str">
        <f>IFERROR(KPI_TARGETS!$E$21,"Higher is better")</f>
        <v>Lower is better</v>
      </c>
      <c r="O1063" s="37">
        <f t="shared" ca="1" si="96"/>
        <v>1</v>
      </c>
      <c r="P1063" t="str">
        <f t="shared" ca="1" si="97"/>
        <v>Green</v>
      </c>
      <c r="Q1063" s="36">
        <f t="shared" ca="1" si="98"/>
        <v>0</v>
      </c>
      <c r="R1063" s="36" t="str">
        <f>""</f>
        <v/>
      </c>
      <c r="S1063" s="36" t="str">
        <f>""</f>
        <v/>
      </c>
      <c r="T1063" s="36" t="str">
        <f>""</f>
        <v/>
      </c>
      <c r="U1063" s="36" t="str">
        <f>""</f>
        <v/>
      </c>
      <c r="V1063" s="36" t="str">
        <f>""</f>
        <v/>
      </c>
      <c r="W1063" s="36">
        <f t="shared" si="99"/>
        <v>1</v>
      </c>
      <c r="X1063" t="str">
        <f t="shared" si="100"/>
        <v>Inactive</v>
      </c>
      <c r="Y1063" t="str">
        <f>IF(MAIN!$H$3="Selected Year",IF(A1063=MAIN!$B$3,"Yes","No"),IF(MAIN!$H$3="Included Years",IF(D1063="Yes","Yes","No"),IF(C1063="Yes","Yes","No")))</f>
        <v>No</v>
      </c>
      <c r="Z1063" t="str">
        <f>IF(MAIN!$F$3="Project to Date",IF(AND(A1063&gt;=SETTINGS!$B$4,A1063&lt;MAIN!$B$3),"Yes",IF(AND(A1063=MAIN!$B$3,E1063&lt;=MAIN!$L$3),"Yes","No")),IF(OR(MAIN!$F$3="Full Year",MAIN!$D$3="All"),"Yes",IF(MAIN!$F$3="Monthly",IF(E1063=MAIN!$L$3,"Yes","No"),IF(E1063&lt;=MAIN!$L$3,"Yes","No"))))</f>
        <v>Yes</v>
      </c>
      <c r="AA1063" t="str">
        <f t="shared" si="101"/>
        <v>No</v>
      </c>
    </row>
    <row r="1064" spans="1:27" x14ac:dyDescent="0.3">
      <c r="A1064">
        <f>INDEX(SETTINGS!$A$15:$A$24,$B1064)</f>
        <v>2029</v>
      </c>
      <c r="B1064">
        <v>5</v>
      </c>
      <c r="C1064" t="str">
        <f>IF(AND(A1064&gt;=SETTINGS!$B$4,A1064&lt;=SETTINGS!$B$5),"Yes","No")</f>
        <v>No</v>
      </c>
      <c r="D1064" t="str">
        <f>IFERROR(INDEX(SETTINGS!$C$15:$C$24,MATCH(A1064,SETTINGS!$A$15:$A$24,0)),"No")</f>
        <v>No</v>
      </c>
      <c r="E1064">
        <v>8</v>
      </c>
      <c r="F1064" t="s">
        <v>41</v>
      </c>
      <c r="G1064">
        <v>197</v>
      </c>
      <c r="H1064" t="s">
        <v>111</v>
      </c>
      <c r="I1064" t="s">
        <v>30</v>
      </c>
      <c r="J1064" t="s">
        <v>32</v>
      </c>
      <c r="K1064" t="s">
        <v>3</v>
      </c>
      <c r="L1064" s="36">
        <f ca="1">IF(C1064&lt;&gt;"Yes",0,IF(A1064=2025,N('2025'!D197),IF(A1064=2026,N('2026'!D197),IF(A1064=2027,N('2027'!D197),IF(A1064=2028,N('2028'!D197),IF(A1064=2029,N('2029'!D197),IF(A1064=2030,N('2030'!D197),IF(A1064=2031,N('2031'!D197),IF(A1064=2032,N('2032'!D197),IF(A1064=2033,N('2033'!D197),IF(A1064=2034,N('2034'!D197),IFERROR(N(INDIRECT("'"&amp;A1064&amp;"'!D"&amp;G1064)),0))))))))))))</f>
        <v>0</v>
      </c>
      <c r="M1064" s="36">
        <f>IFERROR(IF(NOT(ISBLANK(KPI_TARGETS!$K$22)),KPI_TARGETS!$K$22,IF(NOT(ISBLANK(KPI_TARGETS!$F$22)),KPI_TARGETS!$F$22,"")),"")</f>
        <v>1</v>
      </c>
      <c r="N1064" s="36" t="str">
        <f>IFERROR(KPI_TARGETS!$E$22,"Higher is better")</f>
        <v>Higher is better</v>
      </c>
      <c r="O1064" s="37">
        <f t="shared" ca="1" si="96"/>
        <v>0</v>
      </c>
      <c r="P1064" t="str">
        <f t="shared" ca="1" si="97"/>
        <v>Red</v>
      </c>
      <c r="Q1064" s="36">
        <f t="shared" ca="1" si="98"/>
        <v>-1</v>
      </c>
      <c r="R1064" s="36" t="str">
        <f>""</f>
        <v/>
      </c>
      <c r="S1064" s="36" t="str">
        <f>""</f>
        <v/>
      </c>
      <c r="T1064" s="36" t="str">
        <f>""</f>
        <v/>
      </c>
      <c r="U1064" s="36" t="str">
        <f>""</f>
        <v/>
      </c>
      <c r="V1064" s="36" t="str">
        <f>""</f>
        <v/>
      </c>
      <c r="W1064" s="36">
        <f t="shared" si="99"/>
        <v>1</v>
      </c>
      <c r="X1064" t="str">
        <f t="shared" si="100"/>
        <v>Inactive</v>
      </c>
      <c r="Y1064" t="str">
        <f>IF(MAIN!$H$3="Selected Year",IF(A1064=MAIN!$B$3,"Yes","No"),IF(MAIN!$H$3="Included Years",IF(D1064="Yes","Yes","No"),IF(C1064="Yes","Yes","No")))</f>
        <v>No</v>
      </c>
      <c r="Z1064" t="str">
        <f>IF(MAIN!$F$3="Project to Date",IF(AND(A1064&gt;=SETTINGS!$B$4,A1064&lt;MAIN!$B$3),"Yes",IF(AND(A1064=MAIN!$B$3,E1064&lt;=MAIN!$L$3),"Yes","No")),IF(OR(MAIN!$F$3="Full Year",MAIN!$D$3="All"),"Yes",IF(MAIN!$F$3="Monthly",IF(E1064=MAIN!$L$3,"Yes","No"),IF(E1064&lt;=MAIN!$L$3,"Yes","No"))))</f>
        <v>Yes</v>
      </c>
      <c r="AA1064" t="str">
        <f t="shared" si="101"/>
        <v>No</v>
      </c>
    </row>
    <row r="1065" spans="1:27" x14ac:dyDescent="0.3">
      <c r="A1065">
        <f>INDEX(SETTINGS!$A$15:$A$24,$B1065)</f>
        <v>2029</v>
      </c>
      <c r="B1065">
        <v>5</v>
      </c>
      <c r="C1065" t="str">
        <f>IF(AND(A1065&gt;=SETTINGS!$B$4,A1065&lt;=SETTINGS!$B$5),"Yes","No")</f>
        <v>No</v>
      </c>
      <c r="D1065" t="str">
        <f>IFERROR(INDEX(SETTINGS!$C$15:$C$24,MATCH(A1065,SETTINGS!$A$15:$A$24,0)),"No")</f>
        <v>No</v>
      </c>
      <c r="E1065">
        <v>8</v>
      </c>
      <c r="F1065" t="s">
        <v>41</v>
      </c>
      <c r="G1065">
        <v>198</v>
      </c>
      <c r="H1065" t="s">
        <v>112</v>
      </c>
      <c r="I1065" t="s">
        <v>30</v>
      </c>
      <c r="J1065" t="s">
        <v>33</v>
      </c>
      <c r="K1065" t="s">
        <v>34</v>
      </c>
      <c r="L1065" s="36">
        <f ca="1">IF(C1065&lt;&gt;"Yes",0,IF(A1065=2025,N('2025'!D198),IF(A1065=2026,N('2026'!D198),IF(A1065=2027,N('2027'!D198),IF(A1065=2028,N('2028'!D198),IF(A1065=2029,N('2029'!D198),IF(A1065=2030,N('2030'!D198),IF(A1065=2031,N('2031'!D198),IF(A1065=2032,N('2032'!D198),IF(A1065=2033,N('2033'!D198),IF(A1065=2034,N('2034'!D198),IFERROR(N(INDIRECT("'"&amp;A1065&amp;"'!D"&amp;G1065)),0))))))))))))</f>
        <v>0</v>
      </c>
      <c r="M1065" s="36">
        <f>IFERROR(IF(NOT(ISBLANK(KPI_TARGETS!$K$23)),KPI_TARGETS!$K$23,IF(NOT(ISBLANK(KPI_TARGETS!$F$23)),KPI_TARGETS!$F$23,"")),"")</f>
        <v>1</v>
      </c>
      <c r="N1065" s="36" t="str">
        <f>IFERROR(KPI_TARGETS!$E$23,"Higher is better")</f>
        <v>Higher is better</v>
      </c>
      <c r="O1065" s="37">
        <f t="shared" ca="1" si="96"/>
        <v>0</v>
      </c>
      <c r="P1065" t="str">
        <f t="shared" ca="1" si="97"/>
        <v>Red</v>
      </c>
      <c r="Q1065" s="36">
        <f t="shared" ca="1" si="98"/>
        <v>-1</v>
      </c>
      <c r="R1065" s="36" t="str">
        <f>""</f>
        <v/>
      </c>
      <c r="S1065" s="36" t="str">
        <f>""</f>
        <v/>
      </c>
      <c r="T1065" s="36" t="str">
        <f>""</f>
        <v/>
      </c>
      <c r="U1065" s="36" t="str">
        <f>""</f>
        <v/>
      </c>
      <c r="V1065" s="36" t="str">
        <f>""</f>
        <v/>
      </c>
      <c r="W1065" s="36">
        <f t="shared" si="99"/>
        <v>1</v>
      </c>
      <c r="X1065" t="str">
        <f t="shared" si="100"/>
        <v>Inactive</v>
      </c>
      <c r="Y1065" t="str">
        <f>IF(MAIN!$H$3="Selected Year",IF(A1065=MAIN!$B$3,"Yes","No"),IF(MAIN!$H$3="Included Years",IF(D1065="Yes","Yes","No"),IF(C1065="Yes","Yes","No")))</f>
        <v>No</v>
      </c>
      <c r="Z1065" t="str">
        <f>IF(MAIN!$F$3="Project to Date",IF(AND(A1065&gt;=SETTINGS!$B$4,A1065&lt;MAIN!$B$3),"Yes",IF(AND(A1065=MAIN!$B$3,E1065&lt;=MAIN!$L$3),"Yes","No")),IF(OR(MAIN!$F$3="Full Year",MAIN!$D$3="All"),"Yes",IF(MAIN!$F$3="Monthly",IF(E1065=MAIN!$L$3,"Yes","No"),IF(E1065&lt;=MAIN!$L$3,"Yes","No"))))</f>
        <v>Yes</v>
      </c>
      <c r="AA1065" t="str">
        <f t="shared" si="101"/>
        <v>No</v>
      </c>
    </row>
    <row r="1066" spans="1:27" x14ac:dyDescent="0.3">
      <c r="A1066">
        <f>INDEX(SETTINGS!$A$15:$A$24,$B1066)</f>
        <v>2029</v>
      </c>
      <c r="B1066">
        <v>5</v>
      </c>
      <c r="C1066" t="str">
        <f>IF(AND(A1066&gt;=SETTINGS!$B$4,A1066&lt;=SETTINGS!$B$5),"Yes","No")</f>
        <v>No</v>
      </c>
      <c r="D1066" t="str">
        <f>IFERROR(INDEX(SETTINGS!$C$15:$C$24,MATCH(A1066,SETTINGS!$A$15:$A$24,0)),"No")</f>
        <v>No</v>
      </c>
      <c r="E1066">
        <v>9</v>
      </c>
      <c r="F1066" t="s">
        <v>42</v>
      </c>
      <c r="G1066">
        <v>201</v>
      </c>
      <c r="H1066" t="s">
        <v>88</v>
      </c>
      <c r="I1066" t="s">
        <v>89</v>
      </c>
      <c r="J1066" t="s">
        <v>10</v>
      </c>
      <c r="K1066" t="s">
        <v>3</v>
      </c>
      <c r="L1066" s="36">
        <f ca="1">IF(C1066&lt;&gt;"Yes",0,IF(A1066=2025,N('2025'!D201),IF(A1066=2026,N('2026'!D201),IF(A1066=2027,N('2027'!D201),IF(A1066=2028,N('2028'!D201),IF(A1066=2029,N('2029'!D201),IF(A1066=2030,N('2030'!D201),IF(A1066=2031,N('2031'!D201),IF(A1066=2032,N('2032'!D201),IF(A1066=2033,N('2033'!D201),IF(A1066=2034,N('2034'!D201),IFERROR(N(INDIRECT("'"&amp;A1066&amp;"'!D"&amp;G1066)),0))))))))))))</f>
        <v>0</v>
      </c>
      <c r="M1066" s="36">
        <f>IFERROR(IF(NOT(ISBLANK(KPI_TARGETS!$K$5)),KPI_TARGETS!$K$5,IF(NOT(ISBLANK(KPI_TARGETS!$F$5)),KPI_TARGETS!$F$5,"")),"")</f>
        <v>104</v>
      </c>
      <c r="N1066" s="36" t="str">
        <f>IFERROR(KPI_TARGETS!$E$5,"Higher is better")</f>
        <v>Higher is better</v>
      </c>
      <c r="O1066" s="37">
        <f t="shared" ca="1" si="96"/>
        <v>0</v>
      </c>
      <c r="P1066" t="str">
        <f t="shared" ca="1" si="97"/>
        <v>Red</v>
      </c>
      <c r="Q1066" s="36">
        <f t="shared" ca="1" si="98"/>
        <v>-104</v>
      </c>
      <c r="R1066" s="36" t="str">
        <f>""</f>
        <v/>
      </c>
      <c r="S1066" s="36" t="str">
        <f>""</f>
        <v/>
      </c>
      <c r="T1066" s="36" t="str">
        <f>""</f>
        <v/>
      </c>
      <c r="U1066" s="36" t="str">
        <f>""</f>
        <v/>
      </c>
      <c r="V1066" s="36" t="str">
        <f>""</f>
        <v/>
      </c>
      <c r="W1066" s="36">
        <f t="shared" si="99"/>
        <v>1</v>
      </c>
      <c r="X1066" t="str">
        <f t="shared" si="100"/>
        <v>Inactive</v>
      </c>
      <c r="Y1066" t="str">
        <f>IF(MAIN!$H$3="Selected Year",IF(A1066=MAIN!$B$3,"Yes","No"),IF(MAIN!$H$3="Included Years",IF(D1066="Yes","Yes","No"),IF(C1066="Yes","Yes","No")))</f>
        <v>No</v>
      </c>
      <c r="Z1066" t="str">
        <f>IF(MAIN!$F$3="Project to Date",IF(AND(A1066&gt;=SETTINGS!$B$4,A1066&lt;MAIN!$B$3),"Yes",IF(AND(A1066=MAIN!$B$3,E1066&lt;=MAIN!$L$3),"Yes","No")),IF(OR(MAIN!$F$3="Full Year",MAIN!$D$3="All"),"Yes",IF(MAIN!$F$3="Monthly",IF(E1066=MAIN!$L$3,"Yes","No"),IF(E1066&lt;=MAIN!$L$3,"Yes","No"))))</f>
        <v>Yes</v>
      </c>
      <c r="AA1066" t="str">
        <f t="shared" si="101"/>
        <v>No</v>
      </c>
    </row>
    <row r="1067" spans="1:27" x14ac:dyDescent="0.3">
      <c r="A1067">
        <f>INDEX(SETTINGS!$A$15:$A$24,$B1067)</f>
        <v>2029</v>
      </c>
      <c r="B1067">
        <v>5</v>
      </c>
      <c r="C1067" t="str">
        <f>IF(AND(A1067&gt;=SETTINGS!$B$4,A1067&lt;=SETTINGS!$B$5),"Yes","No")</f>
        <v>No</v>
      </c>
      <c r="D1067" t="str">
        <f>IFERROR(INDEX(SETTINGS!$C$15:$C$24,MATCH(A1067,SETTINGS!$A$15:$A$24,0)),"No")</f>
        <v>No</v>
      </c>
      <c r="E1067">
        <v>9</v>
      </c>
      <c r="F1067" t="s">
        <v>42</v>
      </c>
      <c r="G1067">
        <v>202</v>
      </c>
      <c r="H1067" t="s">
        <v>91</v>
      </c>
      <c r="I1067" t="s">
        <v>89</v>
      </c>
      <c r="J1067" t="s">
        <v>11</v>
      </c>
      <c r="K1067" t="s">
        <v>12</v>
      </c>
      <c r="L1067" s="36">
        <f ca="1">IF(C1067&lt;&gt;"Yes",0,IF(A1067=2025,N('2025'!D202),IF(A1067=2026,N('2026'!D202),IF(A1067=2027,N('2027'!D202),IF(A1067=2028,N('2028'!D202),IF(A1067=2029,N('2029'!D202),IF(A1067=2030,N('2030'!D202),IF(A1067=2031,N('2031'!D202),IF(A1067=2032,N('2032'!D202),IF(A1067=2033,N('2033'!D202),IF(A1067=2034,N('2034'!D202),IFERROR(N(INDIRECT("'"&amp;A1067&amp;"'!D"&amp;G1067)),0))))))))))))</f>
        <v>0</v>
      </c>
      <c r="M1067" s="36">
        <f>IFERROR(IF(NOT(ISBLANK(KPI_TARGETS!$K$6)),KPI_TARGETS!$K$6,IF(NOT(ISBLANK(KPI_TARGETS!$F$6)),KPI_TARGETS!$F$6,"")),"")</f>
        <v>4000</v>
      </c>
      <c r="N1067" s="36" t="str">
        <f>IFERROR(KPI_TARGETS!$E$6,"Higher is better")</f>
        <v>Higher is better</v>
      </c>
      <c r="O1067" s="37">
        <f t="shared" ca="1" si="96"/>
        <v>0</v>
      </c>
      <c r="P1067" t="str">
        <f t="shared" ca="1" si="97"/>
        <v>Red</v>
      </c>
      <c r="Q1067" s="36">
        <f t="shared" ca="1" si="98"/>
        <v>-4000</v>
      </c>
      <c r="R1067" s="36" t="str">
        <f>""</f>
        <v/>
      </c>
      <c r="S1067" s="36" t="str">
        <f>""</f>
        <v/>
      </c>
      <c r="T1067" s="36" t="str">
        <f>""</f>
        <v/>
      </c>
      <c r="U1067" s="36" t="str">
        <f>""</f>
        <v/>
      </c>
      <c r="V1067" s="36" t="str">
        <f>""</f>
        <v/>
      </c>
      <c r="W1067" s="36">
        <f t="shared" si="99"/>
        <v>1</v>
      </c>
      <c r="X1067" t="str">
        <f t="shared" si="100"/>
        <v>Inactive</v>
      </c>
      <c r="Y1067" t="str">
        <f>IF(MAIN!$H$3="Selected Year",IF(A1067=MAIN!$B$3,"Yes","No"),IF(MAIN!$H$3="Included Years",IF(D1067="Yes","Yes","No"),IF(C1067="Yes","Yes","No")))</f>
        <v>No</v>
      </c>
      <c r="Z1067" t="str">
        <f>IF(MAIN!$F$3="Project to Date",IF(AND(A1067&gt;=SETTINGS!$B$4,A1067&lt;MAIN!$B$3),"Yes",IF(AND(A1067=MAIN!$B$3,E1067&lt;=MAIN!$L$3),"Yes","No")),IF(OR(MAIN!$F$3="Full Year",MAIN!$D$3="All"),"Yes",IF(MAIN!$F$3="Monthly",IF(E1067=MAIN!$L$3,"Yes","No"),IF(E1067&lt;=MAIN!$L$3,"Yes","No"))))</f>
        <v>Yes</v>
      </c>
      <c r="AA1067" t="str">
        <f t="shared" si="101"/>
        <v>No</v>
      </c>
    </row>
    <row r="1068" spans="1:27" x14ac:dyDescent="0.3">
      <c r="A1068">
        <f>INDEX(SETTINGS!$A$15:$A$24,$B1068)</f>
        <v>2029</v>
      </c>
      <c r="B1068">
        <v>5</v>
      </c>
      <c r="C1068" t="str">
        <f>IF(AND(A1068&gt;=SETTINGS!$B$4,A1068&lt;=SETTINGS!$B$5),"Yes","No")</f>
        <v>No</v>
      </c>
      <c r="D1068" t="str">
        <f>IFERROR(INDEX(SETTINGS!$C$15:$C$24,MATCH(A1068,SETTINGS!$A$15:$A$24,0)),"No")</f>
        <v>No</v>
      </c>
      <c r="E1068">
        <v>9</v>
      </c>
      <c r="F1068" t="s">
        <v>42</v>
      </c>
      <c r="G1068">
        <v>203</v>
      </c>
      <c r="H1068" t="s">
        <v>93</v>
      </c>
      <c r="I1068" t="s">
        <v>89</v>
      </c>
      <c r="J1068" t="s">
        <v>13</v>
      </c>
      <c r="K1068" t="s">
        <v>14</v>
      </c>
      <c r="L1068" s="36">
        <f ca="1">IF(C1068&lt;&gt;"Yes",0,IF(A1068=2025,N('2025'!D203),IF(A1068=2026,N('2026'!D203),IF(A1068=2027,N('2027'!D203),IF(A1068=2028,N('2028'!D203),IF(A1068=2029,N('2029'!D203),IF(A1068=2030,N('2030'!D203),IF(A1068=2031,N('2031'!D203),IF(A1068=2032,N('2032'!D203),IF(A1068=2033,N('2033'!D203),IF(A1068=2034,N('2034'!D203),IFERROR(N(INDIRECT("'"&amp;A1068&amp;"'!D"&amp;G1068)),0))))))))))))</f>
        <v>0</v>
      </c>
      <c r="M1068" s="36">
        <f>IFERROR(IF(NOT(ISBLANK(KPI_TARGETS!$K$7)),KPI_TARGETS!$K$7,IF(NOT(ISBLANK(KPI_TARGETS!$F$7)),KPI_TARGETS!$F$7,"")),"")</f>
        <v>8000</v>
      </c>
      <c r="N1068" s="36" t="str">
        <f>IFERROR(KPI_TARGETS!$E$7,"Higher is better")</f>
        <v>Higher is better</v>
      </c>
      <c r="O1068" s="37">
        <f t="shared" ca="1" si="96"/>
        <v>0</v>
      </c>
      <c r="P1068" t="str">
        <f t="shared" ca="1" si="97"/>
        <v>Red</v>
      </c>
      <c r="Q1068" s="36">
        <f t="shared" ca="1" si="98"/>
        <v>-8000</v>
      </c>
      <c r="R1068" s="36" t="str">
        <f>""</f>
        <v/>
      </c>
      <c r="S1068" s="36" t="str">
        <f>""</f>
        <v/>
      </c>
      <c r="T1068" s="36" t="str">
        <f>""</f>
        <v/>
      </c>
      <c r="U1068" s="36" t="str">
        <f>""</f>
        <v/>
      </c>
      <c r="V1068" s="36" t="str">
        <f>""</f>
        <v/>
      </c>
      <c r="W1068" s="36">
        <f t="shared" si="99"/>
        <v>1</v>
      </c>
      <c r="X1068" t="str">
        <f t="shared" si="100"/>
        <v>Inactive</v>
      </c>
      <c r="Y1068" t="str">
        <f>IF(MAIN!$H$3="Selected Year",IF(A1068=MAIN!$B$3,"Yes","No"),IF(MAIN!$H$3="Included Years",IF(D1068="Yes","Yes","No"),IF(C1068="Yes","Yes","No")))</f>
        <v>No</v>
      </c>
      <c r="Z1068" t="str">
        <f>IF(MAIN!$F$3="Project to Date",IF(AND(A1068&gt;=SETTINGS!$B$4,A1068&lt;MAIN!$B$3),"Yes",IF(AND(A1068=MAIN!$B$3,E1068&lt;=MAIN!$L$3),"Yes","No")),IF(OR(MAIN!$F$3="Full Year",MAIN!$D$3="All"),"Yes",IF(MAIN!$F$3="Monthly",IF(E1068=MAIN!$L$3,"Yes","No"),IF(E1068&lt;=MAIN!$L$3,"Yes","No"))))</f>
        <v>Yes</v>
      </c>
      <c r="AA1068" t="str">
        <f t="shared" si="101"/>
        <v>No</v>
      </c>
    </row>
    <row r="1069" spans="1:27" x14ac:dyDescent="0.3">
      <c r="A1069">
        <f>INDEX(SETTINGS!$A$15:$A$24,$B1069)</f>
        <v>2029</v>
      </c>
      <c r="B1069">
        <v>5</v>
      </c>
      <c r="C1069" t="str">
        <f>IF(AND(A1069&gt;=SETTINGS!$B$4,A1069&lt;=SETTINGS!$B$5),"Yes","No")</f>
        <v>No</v>
      </c>
      <c r="D1069" t="str">
        <f>IFERROR(INDEX(SETTINGS!$C$15:$C$24,MATCH(A1069,SETTINGS!$A$15:$A$24,0)),"No")</f>
        <v>No</v>
      </c>
      <c r="E1069">
        <v>9</v>
      </c>
      <c r="F1069" t="s">
        <v>42</v>
      </c>
      <c r="G1069">
        <v>205</v>
      </c>
      <c r="H1069" t="s">
        <v>95</v>
      </c>
      <c r="I1069" t="s">
        <v>15</v>
      </c>
      <c r="J1069" t="s">
        <v>16</v>
      </c>
      <c r="K1069" t="s">
        <v>3</v>
      </c>
      <c r="L1069" s="36">
        <f ca="1">IF(C1069&lt;&gt;"Yes",0,IF(A1069=2025,N('2025'!D205),IF(A1069=2026,N('2026'!D205),IF(A1069=2027,N('2027'!D205),IF(A1069=2028,N('2028'!D205),IF(A1069=2029,N('2029'!D205),IF(A1069=2030,N('2030'!D205),IF(A1069=2031,N('2031'!D205),IF(A1069=2032,N('2032'!D205),IF(A1069=2033,N('2033'!D205),IF(A1069=2034,N('2034'!D205),IFERROR(N(INDIRECT("'"&amp;A1069&amp;"'!D"&amp;G1069)),0))))))))))))</f>
        <v>0</v>
      </c>
      <c r="M1069" s="36">
        <f>IFERROR(IF(NOT(ISBLANK(KPI_TARGETS!$K$8)),KPI_TARGETS!$K$8,IF(NOT(ISBLANK(KPI_TARGETS!$F$8)),KPI_TARGETS!$F$8,"")),"")</f>
        <v>0</v>
      </c>
      <c r="N1069" s="36" t="str">
        <f>IFERROR(KPI_TARGETS!$E$8,"Higher is better")</f>
        <v>Lower is better</v>
      </c>
      <c r="O1069" s="37">
        <f t="shared" ca="1" si="96"/>
        <v>1</v>
      </c>
      <c r="P1069" t="str">
        <f t="shared" ca="1" si="97"/>
        <v>Green</v>
      </c>
      <c r="Q1069" s="36">
        <f t="shared" ca="1" si="98"/>
        <v>0</v>
      </c>
      <c r="R1069" s="36" t="str">
        <f>""</f>
        <v/>
      </c>
      <c r="S1069" s="36" t="str">
        <f>""</f>
        <v/>
      </c>
      <c r="T1069" s="36" t="str">
        <f>""</f>
        <v/>
      </c>
      <c r="U1069" s="36" t="str">
        <f>""</f>
        <v/>
      </c>
      <c r="V1069" s="36" t="str">
        <f>""</f>
        <v/>
      </c>
      <c r="W1069" s="36">
        <f t="shared" si="99"/>
        <v>1</v>
      </c>
      <c r="X1069" t="str">
        <f t="shared" si="100"/>
        <v>Inactive</v>
      </c>
      <c r="Y1069" t="str">
        <f>IF(MAIN!$H$3="Selected Year",IF(A1069=MAIN!$B$3,"Yes","No"),IF(MAIN!$H$3="Included Years",IF(D1069="Yes","Yes","No"),IF(C1069="Yes","Yes","No")))</f>
        <v>No</v>
      </c>
      <c r="Z1069" t="str">
        <f>IF(MAIN!$F$3="Project to Date",IF(AND(A1069&gt;=SETTINGS!$B$4,A1069&lt;MAIN!$B$3),"Yes",IF(AND(A1069=MAIN!$B$3,E1069&lt;=MAIN!$L$3),"Yes","No")),IF(OR(MAIN!$F$3="Full Year",MAIN!$D$3="All"),"Yes",IF(MAIN!$F$3="Monthly",IF(E1069=MAIN!$L$3,"Yes","No"),IF(E1069&lt;=MAIN!$L$3,"Yes","No"))))</f>
        <v>Yes</v>
      </c>
      <c r="AA1069" t="str">
        <f t="shared" si="101"/>
        <v>No</v>
      </c>
    </row>
    <row r="1070" spans="1:27" x14ac:dyDescent="0.3">
      <c r="A1070">
        <f>INDEX(SETTINGS!$A$15:$A$24,$B1070)</f>
        <v>2029</v>
      </c>
      <c r="B1070">
        <v>5</v>
      </c>
      <c r="C1070" t="str">
        <f>IF(AND(A1070&gt;=SETTINGS!$B$4,A1070&lt;=SETTINGS!$B$5),"Yes","No")</f>
        <v>No</v>
      </c>
      <c r="D1070" t="str">
        <f>IFERROR(INDEX(SETTINGS!$C$15:$C$24,MATCH(A1070,SETTINGS!$A$15:$A$24,0)),"No")</f>
        <v>No</v>
      </c>
      <c r="E1070">
        <v>9</v>
      </c>
      <c r="F1070" t="s">
        <v>42</v>
      </c>
      <c r="G1070">
        <v>206</v>
      </c>
      <c r="H1070" t="s">
        <v>97</v>
      </c>
      <c r="I1070" t="s">
        <v>15</v>
      </c>
      <c r="J1070" t="s">
        <v>17</v>
      </c>
      <c r="K1070" t="s">
        <v>3</v>
      </c>
      <c r="L1070" s="36">
        <f ca="1">IF(C1070&lt;&gt;"Yes",0,IF(A1070=2025,N('2025'!D206),IF(A1070=2026,N('2026'!D206),IF(A1070=2027,N('2027'!D206),IF(A1070=2028,N('2028'!D206),IF(A1070=2029,N('2029'!D206),IF(A1070=2030,N('2030'!D206),IF(A1070=2031,N('2031'!D206),IF(A1070=2032,N('2032'!D206),IF(A1070=2033,N('2033'!D206),IF(A1070=2034,N('2034'!D206),IFERROR(N(INDIRECT("'"&amp;A1070&amp;"'!D"&amp;G1070)),0))))))))))))</f>
        <v>0</v>
      </c>
      <c r="M1070" s="36">
        <f>IFERROR(IF(NOT(ISBLANK(KPI_TARGETS!$K$9)),KPI_TARGETS!$K$9,IF(NOT(ISBLANK(KPI_TARGETS!$F$9)),KPI_TARGETS!$F$9,"")),"")</f>
        <v>0</v>
      </c>
      <c r="N1070" s="36" t="str">
        <f>IFERROR(KPI_TARGETS!$E$9,"Higher is better")</f>
        <v>Higher is better</v>
      </c>
      <c r="O1070" s="37" t="str">
        <f t="shared" ca="1" si="96"/>
        <v/>
      </c>
      <c r="P1070" t="str">
        <f t="shared" ca="1" si="97"/>
        <v>Green</v>
      </c>
      <c r="Q1070" s="36">
        <f t="shared" ca="1" si="98"/>
        <v>0</v>
      </c>
      <c r="R1070" s="36" t="str">
        <f>""</f>
        <v/>
      </c>
      <c r="S1070" s="36" t="str">
        <f>""</f>
        <v/>
      </c>
      <c r="T1070" s="36" t="str">
        <f>""</f>
        <v/>
      </c>
      <c r="U1070" s="36" t="str">
        <f>""</f>
        <v/>
      </c>
      <c r="V1070" s="36" t="str">
        <f>""</f>
        <v/>
      </c>
      <c r="W1070" s="36">
        <f t="shared" si="99"/>
        <v>1</v>
      </c>
      <c r="X1070" t="str">
        <f t="shared" si="100"/>
        <v>Inactive</v>
      </c>
      <c r="Y1070" t="str">
        <f>IF(MAIN!$H$3="Selected Year",IF(A1070=MAIN!$B$3,"Yes","No"),IF(MAIN!$H$3="Included Years",IF(D1070="Yes","Yes","No"),IF(C1070="Yes","Yes","No")))</f>
        <v>No</v>
      </c>
      <c r="Z1070" t="str">
        <f>IF(MAIN!$F$3="Project to Date",IF(AND(A1070&gt;=SETTINGS!$B$4,A1070&lt;MAIN!$B$3),"Yes",IF(AND(A1070=MAIN!$B$3,E1070&lt;=MAIN!$L$3),"Yes","No")),IF(OR(MAIN!$F$3="Full Year",MAIN!$D$3="All"),"Yes",IF(MAIN!$F$3="Monthly",IF(E1070=MAIN!$L$3,"Yes","No"),IF(E1070&lt;=MAIN!$L$3,"Yes","No"))))</f>
        <v>Yes</v>
      </c>
      <c r="AA1070" t="str">
        <f t="shared" si="101"/>
        <v>No</v>
      </c>
    </row>
    <row r="1071" spans="1:27" x14ac:dyDescent="0.3">
      <c r="A1071">
        <f>INDEX(SETTINGS!$A$15:$A$24,$B1071)</f>
        <v>2029</v>
      </c>
      <c r="B1071">
        <v>5</v>
      </c>
      <c r="C1071" t="str">
        <f>IF(AND(A1071&gt;=SETTINGS!$B$4,A1071&lt;=SETTINGS!$B$5),"Yes","No")</f>
        <v>No</v>
      </c>
      <c r="D1071" t="str">
        <f>IFERROR(INDEX(SETTINGS!$C$15:$C$24,MATCH(A1071,SETTINGS!$A$15:$A$24,0)),"No")</f>
        <v>No</v>
      </c>
      <c r="E1071">
        <v>9</v>
      </c>
      <c r="F1071" t="s">
        <v>42</v>
      </c>
      <c r="G1071">
        <v>207</v>
      </c>
      <c r="H1071" t="s">
        <v>99</v>
      </c>
      <c r="I1071" t="s">
        <v>15</v>
      </c>
      <c r="J1071" t="s">
        <v>18</v>
      </c>
      <c r="K1071" t="s">
        <v>3</v>
      </c>
      <c r="L1071" s="36">
        <f ca="1">IF(C1071&lt;&gt;"Yes",0,IF(A1071=2025,N('2025'!D207),IF(A1071=2026,N('2026'!D207),IF(A1071=2027,N('2027'!D207),IF(A1071=2028,N('2028'!D207),IF(A1071=2029,N('2029'!D207),IF(A1071=2030,N('2030'!D207),IF(A1071=2031,N('2031'!D207),IF(A1071=2032,N('2032'!D207),IF(A1071=2033,N('2033'!D207),IF(A1071=2034,N('2034'!D207),IFERROR(N(INDIRECT("'"&amp;A1071&amp;"'!D"&amp;G1071)),0))))))))))))</f>
        <v>0</v>
      </c>
      <c r="M1071" s="36">
        <f>IFERROR(IF(NOT(ISBLANK(KPI_TARGETS!$K$10)),KPI_TARGETS!$K$10,IF(NOT(ISBLANK(KPI_TARGETS!$F$10)),KPI_TARGETS!$F$10,"")),"")</f>
        <v>0</v>
      </c>
      <c r="N1071" s="36" t="str">
        <f>IFERROR(KPI_TARGETS!$E$10,"Higher is better")</f>
        <v>Lower is better</v>
      </c>
      <c r="O1071" s="37">
        <f t="shared" ca="1" si="96"/>
        <v>1</v>
      </c>
      <c r="P1071" t="str">
        <f t="shared" ca="1" si="97"/>
        <v>Green</v>
      </c>
      <c r="Q1071" s="36">
        <f t="shared" ca="1" si="98"/>
        <v>0</v>
      </c>
      <c r="R1071" s="36" t="str">
        <f>""</f>
        <v/>
      </c>
      <c r="S1071" s="36" t="str">
        <f>""</f>
        <v/>
      </c>
      <c r="T1071" s="36" t="str">
        <f>""</f>
        <v/>
      </c>
      <c r="U1071" s="36" t="str">
        <f>""</f>
        <v/>
      </c>
      <c r="V1071" s="36" t="str">
        <f>""</f>
        <v/>
      </c>
      <c r="W1071" s="36">
        <f t="shared" si="99"/>
        <v>1</v>
      </c>
      <c r="X1071" t="str">
        <f t="shared" si="100"/>
        <v>Inactive</v>
      </c>
      <c r="Y1071" t="str">
        <f>IF(MAIN!$H$3="Selected Year",IF(A1071=MAIN!$B$3,"Yes","No"),IF(MAIN!$H$3="Included Years",IF(D1071="Yes","Yes","No"),IF(C1071="Yes","Yes","No")))</f>
        <v>No</v>
      </c>
      <c r="Z1071" t="str">
        <f>IF(MAIN!$F$3="Project to Date",IF(AND(A1071&gt;=SETTINGS!$B$4,A1071&lt;MAIN!$B$3),"Yes",IF(AND(A1071=MAIN!$B$3,E1071&lt;=MAIN!$L$3),"Yes","No")),IF(OR(MAIN!$F$3="Full Year",MAIN!$D$3="All"),"Yes",IF(MAIN!$F$3="Monthly",IF(E1071=MAIN!$L$3,"Yes","No"),IF(E1071&lt;=MAIN!$L$3,"Yes","No"))))</f>
        <v>Yes</v>
      </c>
      <c r="AA1071" t="str">
        <f t="shared" si="101"/>
        <v>No</v>
      </c>
    </row>
    <row r="1072" spans="1:27" x14ac:dyDescent="0.3">
      <c r="A1072">
        <f>INDEX(SETTINGS!$A$15:$A$24,$B1072)</f>
        <v>2029</v>
      </c>
      <c r="B1072">
        <v>5</v>
      </c>
      <c r="C1072" t="str">
        <f>IF(AND(A1072&gt;=SETTINGS!$B$4,A1072&lt;=SETTINGS!$B$5),"Yes","No")</f>
        <v>No</v>
      </c>
      <c r="D1072" t="str">
        <f>IFERROR(INDEX(SETTINGS!$C$15:$C$24,MATCH(A1072,SETTINGS!$A$15:$A$24,0)),"No")</f>
        <v>No</v>
      </c>
      <c r="E1072">
        <v>9</v>
      </c>
      <c r="F1072" t="s">
        <v>42</v>
      </c>
      <c r="G1072">
        <v>208</v>
      </c>
      <c r="H1072" t="s">
        <v>100</v>
      </c>
      <c r="I1072" t="s">
        <v>15</v>
      </c>
      <c r="J1072" t="s">
        <v>19</v>
      </c>
      <c r="K1072" t="s">
        <v>3</v>
      </c>
      <c r="L1072" s="36">
        <f ca="1">IF(C1072&lt;&gt;"Yes",0,IF(A1072=2025,N('2025'!D208),IF(A1072=2026,N('2026'!D208),IF(A1072=2027,N('2027'!D208),IF(A1072=2028,N('2028'!D208),IF(A1072=2029,N('2029'!D208),IF(A1072=2030,N('2030'!D208),IF(A1072=2031,N('2031'!D208),IF(A1072=2032,N('2032'!D208),IF(A1072=2033,N('2033'!D208),IF(A1072=2034,N('2034'!D208),IFERROR(N(INDIRECT("'"&amp;A1072&amp;"'!D"&amp;G1072)),0))))))))))))</f>
        <v>0</v>
      </c>
      <c r="M1072" s="36">
        <f>IFERROR(IF(NOT(ISBLANK(KPI_TARGETS!$K$11)),KPI_TARGETS!$K$11,IF(NOT(ISBLANK(KPI_TARGETS!$F$11)),KPI_TARGETS!$F$11,"")),"")</f>
        <v>0</v>
      </c>
      <c r="N1072" s="36" t="str">
        <f>IFERROR(KPI_TARGETS!$E$11,"Higher is better")</f>
        <v>Lower is better</v>
      </c>
      <c r="O1072" s="37">
        <f t="shared" ca="1" si="96"/>
        <v>1</v>
      </c>
      <c r="P1072" t="str">
        <f t="shared" ca="1" si="97"/>
        <v>Green</v>
      </c>
      <c r="Q1072" s="36">
        <f t="shared" ca="1" si="98"/>
        <v>0</v>
      </c>
      <c r="R1072" s="36" t="str">
        <f>""</f>
        <v/>
      </c>
      <c r="S1072" s="36" t="str">
        <f>""</f>
        <v/>
      </c>
      <c r="T1072" s="36" t="str">
        <f>""</f>
        <v/>
      </c>
      <c r="U1072" s="36" t="str">
        <f>""</f>
        <v/>
      </c>
      <c r="V1072" s="36" t="str">
        <f>""</f>
        <v/>
      </c>
      <c r="W1072" s="36">
        <f t="shared" si="99"/>
        <v>1</v>
      </c>
      <c r="X1072" t="str">
        <f t="shared" si="100"/>
        <v>Inactive</v>
      </c>
      <c r="Y1072" t="str">
        <f>IF(MAIN!$H$3="Selected Year",IF(A1072=MAIN!$B$3,"Yes","No"),IF(MAIN!$H$3="Included Years",IF(D1072="Yes","Yes","No"),IF(C1072="Yes","Yes","No")))</f>
        <v>No</v>
      </c>
      <c r="Z1072" t="str">
        <f>IF(MAIN!$F$3="Project to Date",IF(AND(A1072&gt;=SETTINGS!$B$4,A1072&lt;MAIN!$B$3),"Yes",IF(AND(A1072=MAIN!$B$3,E1072&lt;=MAIN!$L$3),"Yes","No")),IF(OR(MAIN!$F$3="Full Year",MAIN!$D$3="All"),"Yes",IF(MAIN!$F$3="Monthly",IF(E1072=MAIN!$L$3,"Yes","No"),IF(E1072&lt;=MAIN!$L$3,"Yes","No"))))</f>
        <v>Yes</v>
      </c>
      <c r="AA1072" t="str">
        <f t="shared" si="101"/>
        <v>No</v>
      </c>
    </row>
    <row r="1073" spans="1:27" x14ac:dyDescent="0.3">
      <c r="A1073">
        <f>INDEX(SETTINGS!$A$15:$A$24,$B1073)</f>
        <v>2029</v>
      </c>
      <c r="B1073">
        <v>5</v>
      </c>
      <c r="C1073" t="str">
        <f>IF(AND(A1073&gt;=SETTINGS!$B$4,A1073&lt;=SETTINGS!$B$5),"Yes","No")</f>
        <v>No</v>
      </c>
      <c r="D1073" t="str">
        <f>IFERROR(INDEX(SETTINGS!$C$15:$C$24,MATCH(A1073,SETTINGS!$A$15:$A$24,0)),"No")</f>
        <v>No</v>
      </c>
      <c r="E1073">
        <v>9</v>
      </c>
      <c r="F1073" t="s">
        <v>42</v>
      </c>
      <c r="G1073">
        <v>209</v>
      </c>
      <c r="H1073" t="s">
        <v>101</v>
      </c>
      <c r="I1073" t="s">
        <v>15</v>
      </c>
      <c r="J1073" t="s">
        <v>20</v>
      </c>
      <c r="K1073" t="s">
        <v>3</v>
      </c>
      <c r="L1073" s="36">
        <f ca="1">IF(C1073&lt;&gt;"Yes",0,IF(A1073=2025,N('2025'!D209),IF(A1073=2026,N('2026'!D209),IF(A1073=2027,N('2027'!D209),IF(A1073=2028,N('2028'!D209),IF(A1073=2029,N('2029'!D209),IF(A1073=2030,N('2030'!D209),IF(A1073=2031,N('2031'!D209),IF(A1073=2032,N('2032'!D209),IF(A1073=2033,N('2033'!D209),IF(A1073=2034,N('2034'!D209),IFERROR(N(INDIRECT("'"&amp;A1073&amp;"'!D"&amp;G1073)),0))))))))))))</f>
        <v>0</v>
      </c>
      <c r="M1073" s="36">
        <f>IFERROR(IF(NOT(ISBLANK(KPI_TARGETS!$K$12)),KPI_TARGETS!$K$12,IF(NOT(ISBLANK(KPI_TARGETS!$F$12)),KPI_TARGETS!$F$12,"")),"")</f>
        <v>0</v>
      </c>
      <c r="N1073" s="36" t="str">
        <f>IFERROR(KPI_TARGETS!$E$12,"Higher is better")</f>
        <v>Lower is better</v>
      </c>
      <c r="O1073" s="37">
        <f t="shared" ca="1" si="96"/>
        <v>1</v>
      </c>
      <c r="P1073" t="str">
        <f t="shared" ca="1" si="97"/>
        <v>Green</v>
      </c>
      <c r="Q1073" s="36">
        <f t="shared" ca="1" si="98"/>
        <v>0</v>
      </c>
      <c r="R1073" s="36" t="str">
        <f>""</f>
        <v/>
      </c>
      <c r="S1073" s="36" t="str">
        <f>""</f>
        <v/>
      </c>
      <c r="T1073" s="36" t="str">
        <f>""</f>
        <v/>
      </c>
      <c r="U1073" s="36" t="str">
        <f>""</f>
        <v/>
      </c>
      <c r="V1073" s="36" t="str">
        <f>""</f>
        <v/>
      </c>
      <c r="W1073" s="36">
        <f t="shared" si="99"/>
        <v>1</v>
      </c>
      <c r="X1073" t="str">
        <f t="shared" si="100"/>
        <v>Inactive</v>
      </c>
      <c r="Y1073" t="str">
        <f>IF(MAIN!$H$3="Selected Year",IF(A1073=MAIN!$B$3,"Yes","No"),IF(MAIN!$H$3="Included Years",IF(D1073="Yes","Yes","No"),IF(C1073="Yes","Yes","No")))</f>
        <v>No</v>
      </c>
      <c r="Z1073" t="str">
        <f>IF(MAIN!$F$3="Project to Date",IF(AND(A1073&gt;=SETTINGS!$B$4,A1073&lt;MAIN!$B$3),"Yes",IF(AND(A1073=MAIN!$B$3,E1073&lt;=MAIN!$L$3),"Yes","No")),IF(OR(MAIN!$F$3="Full Year",MAIN!$D$3="All"),"Yes",IF(MAIN!$F$3="Monthly",IF(E1073=MAIN!$L$3,"Yes","No"),IF(E1073&lt;=MAIN!$L$3,"Yes","No"))))</f>
        <v>Yes</v>
      </c>
      <c r="AA1073" t="str">
        <f t="shared" si="101"/>
        <v>No</v>
      </c>
    </row>
    <row r="1074" spans="1:27" x14ac:dyDescent="0.3">
      <c r="A1074">
        <f>INDEX(SETTINGS!$A$15:$A$24,$B1074)</f>
        <v>2029</v>
      </c>
      <c r="B1074">
        <v>5</v>
      </c>
      <c r="C1074" t="str">
        <f>IF(AND(A1074&gt;=SETTINGS!$B$4,A1074&lt;=SETTINGS!$B$5),"Yes","No")</f>
        <v>No</v>
      </c>
      <c r="D1074" t="str">
        <f>IFERROR(INDEX(SETTINGS!$C$15:$C$24,MATCH(A1074,SETTINGS!$A$15:$A$24,0)),"No")</f>
        <v>No</v>
      </c>
      <c r="E1074">
        <v>9</v>
      </c>
      <c r="F1074" t="s">
        <v>42</v>
      </c>
      <c r="G1074">
        <v>210</v>
      </c>
      <c r="H1074" t="s">
        <v>102</v>
      </c>
      <c r="I1074" t="s">
        <v>15</v>
      </c>
      <c r="J1074" t="s">
        <v>21</v>
      </c>
      <c r="K1074" t="s">
        <v>3</v>
      </c>
      <c r="L1074" s="36">
        <f ca="1">IF(C1074&lt;&gt;"Yes",0,IF(A1074=2025,N('2025'!D210),IF(A1074=2026,N('2026'!D210),IF(A1074=2027,N('2027'!D210),IF(A1074=2028,N('2028'!D210),IF(A1074=2029,N('2029'!D210),IF(A1074=2030,N('2030'!D210),IF(A1074=2031,N('2031'!D210),IF(A1074=2032,N('2032'!D210),IF(A1074=2033,N('2033'!D210),IF(A1074=2034,N('2034'!D210),IFERROR(N(INDIRECT("'"&amp;A1074&amp;"'!D"&amp;G1074)),0))))))))))))</f>
        <v>0</v>
      </c>
      <c r="M1074" s="36">
        <f>IFERROR(IF(NOT(ISBLANK(KPI_TARGETS!$K$13)),KPI_TARGETS!$K$13,IF(NOT(ISBLANK(KPI_TARGETS!$F$13)),KPI_TARGETS!$F$13,"")),"")</f>
        <v>0</v>
      </c>
      <c r="N1074" s="36" t="str">
        <f>IFERROR(KPI_TARGETS!$E$13,"Higher is better")</f>
        <v>Lower is better</v>
      </c>
      <c r="O1074" s="37">
        <f t="shared" ca="1" si="96"/>
        <v>1</v>
      </c>
      <c r="P1074" t="str">
        <f t="shared" ca="1" si="97"/>
        <v>Green</v>
      </c>
      <c r="Q1074" s="36">
        <f t="shared" ca="1" si="98"/>
        <v>0</v>
      </c>
      <c r="R1074" s="36" t="str">
        <f>""</f>
        <v/>
      </c>
      <c r="S1074" s="36" t="str">
        <f>""</f>
        <v/>
      </c>
      <c r="T1074" s="36" t="str">
        <f>""</f>
        <v/>
      </c>
      <c r="U1074" s="36" t="str">
        <f>""</f>
        <v/>
      </c>
      <c r="V1074" s="36" t="str">
        <f>""</f>
        <v/>
      </c>
      <c r="W1074" s="36">
        <f t="shared" si="99"/>
        <v>1</v>
      </c>
      <c r="X1074" t="str">
        <f t="shared" si="100"/>
        <v>Inactive</v>
      </c>
      <c r="Y1074" t="str">
        <f>IF(MAIN!$H$3="Selected Year",IF(A1074=MAIN!$B$3,"Yes","No"),IF(MAIN!$H$3="Included Years",IF(D1074="Yes","Yes","No"),IF(C1074="Yes","Yes","No")))</f>
        <v>No</v>
      </c>
      <c r="Z1074" t="str">
        <f>IF(MAIN!$F$3="Project to Date",IF(AND(A1074&gt;=SETTINGS!$B$4,A1074&lt;MAIN!$B$3),"Yes",IF(AND(A1074=MAIN!$B$3,E1074&lt;=MAIN!$L$3),"Yes","No")),IF(OR(MAIN!$F$3="Full Year",MAIN!$D$3="All"),"Yes",IF(MAIN!$F$3="Monthly",IF(E1074=MAIN!$L$3,"Yes","No"),IF(E1074&lt;=MAIN!$L$3,"Yes","No"))))</f>
        <v>Yes</v>
      </c>
      <c r="AA1074" t="str">
        <f t="shared" si="101"/>
        <v>No</v>
      </c>
    </row>
    <row r="1075" spans="1:27" x14ac:dyDescent="0.3">
      <c r="A1075">
        <f>INDEX(SETTINGS!$A$15:$A$24,$B1075)</f>
        <v>2029</v>
      </c>
      <c r="B1075">
        <v>5</v>
      </c>
      <c r="C1075" t="str">
        <f>IF(AND(A1075&gt;=SETTINGS!$B$4,A1075&lt;=SETTINGS!$B$5),"Yes","No")</f>
        <v>No</v>
      </c>
      <c r="D1075" t="str">
        <f>IFERROR(INDEX(SETTINGS!$C$15:$C$24,MATCH(A1075,SETTINGS!$A$15:$A$24,0)),"No")</f>
        <v>No</v>
      </c>
      <c r="E1075">
        <v>9</v>
      </c>
      <c r="F1075" t="s">
        <v>42</v>
      </c>
      <c r="G1075">
        <v>212</v>
      </c>
      <c r="H1075" t="s">
        <v>103</v>
      </c>
      <c r="I1075" t="s">
        <v>22</v>
      </c>
      <c r="J1075" t="s">
        <v>23</v>
      </c>
      <c r="K1075" t="s">
        <v>3</v>
      </c>
      <c r="L1075" s="36">
        <f ca="1">IF(C1075&lt;&gt;"Yes",0,IF(A1075=2025,N('2025'!D212),IF(A1075=2026,N('2026'!D212),IF(A1075=2027,N('2027'!D212),IF(A1075=2028,N('2028'!D212),IF(A1075=2029,N('2029'!D212),IF(A1075=2030,N('2030'!D212),IF(A1075=2031,N('2031'!D212),IF(A1075=2032,N('2032'!D212),IF(A1075=2033,N('2033'!D212),IF(A1075=2034,N('2034'!D212),IFERROR(N(INDIRECT("'"&amp;A1075&amp;"'!D"&amp;G1075)),0))))))))))))</f>
        <v>0</v>
      </c>
      <c r="M1075" s="36">
        <f>IFERROR(IF(NOT(ISBLANK(KPI_TARGETS!$K$14)),KPI_TARGETS!$K$14,IF(NOT(ISBLANK(KPI_TARGETS!$F$14)),KPI_TARGETS!$F$14,"")),"")</f>
        <v>35</v>
      </c>
      <c r="N1075" s="36" t="str">
        <f>IFERROR(KPI_TARGETS!$E$14,"Higher is better")</f>
        <v>Higher is better</v>
      </c>
      <c r="O1075" s="37">
        <f t="shared" ca="1" si="96"/>
        <v>0</v>
      </c>
      <c r="P1075" t="str">
        <f t="shared" ca="1" si="97"/>
        <v>Red</v>
      </c>
      <c r="Q1075" s="36">
        <f t="shared" ca="1" si="98"/>
        <v>-35</v>
      </c>
      <c r="R1075" s="36" t="str">
        <f>""</f>
        <v/>
      </c>
      <c r="S1075" s="36" t="str">
        <f>""</f>
        <v/>
      </c>
      <c r="T1075" s="36" t="str">
        <f>""</f>
        <v/>
      </c>
      <c r="U1075" s="36" t="str">
        <f>""</f>
        <v/>
      </c>
      <c r="V1075" s="36" t="str">
        <f>""</f>
        <v/>
      </c>
      <c r="W1075" s="36">
        <f t="shared" si="99"/>
        <v>1</v>
      </c>
      <c r="X1075" t="str">
        <f t="shared" si="100"/>
        <v>Inactive</v>
      </c>
      <c r="Y1075" t="str">
        <f>IF(MAIN!$H$3="Selected Year",IF(A1075=MAIN!$B$3,"Yes","No"),IF(MAIN!$H$3="Included Years",IF(D1075="Yes","Yes","No"),IF(C1075="Yes","Yes","No")))</f>
        <v>No</v>
      </c>
      <c r="Z1075" t="str">
        <f>IF(MAIN!$F$3="Project to Date",IF(AND(A1075&gt;=SETTINGS!$B$4,A1075&lt;MAIN!$B$3),"Yes",IF(AND(A1075=MAIN!$B$3,E1075&lt;=MAIN!$L$3),"Yes","No")),IF(OR(MAIN!$F$3="Full Year",MAIN!$D$3="All"),"Yes",IF(MAIN!$F$3="Monthly",IF(E1075=MAIN!$L$3,"Yes","No"),IF(E1075&lt;=MAIN!$L$3,"Yes","No"))))</f>
        <v>Yes</v>
      </c>
      <c r="AA1075" t="str">
        <f t="shared" si="101"/>
        <v>No</v>
      </c>
    </row>
    <row r="1076" spans="1:27" x14ac:dyDescent="0.3">
      <c r="A1076">
        <f>INDEX(SETTINGS!$A$15:$A$24,$B1076)</f>
        <v>2029</v>
      </c>
      <c r="B1076">
        <v>5</v>
      </c>
      <c r="C1076" t="str">
        <f>IF(AND(A1076&gt;=SETTINGS!$B$4,A1076&lt;=SETTINGS!$B$5),"Yes","No")</f>
        <v>No</v>
      </c>
      <c r="D1076" t="str">
        <f>IFERROR(INDEX(SETTINGS!$C$15:$C$24,MATCH(A1076,SETTINGS!$A$15:$A$24,0)),"No")</f>
        <v>No</v>
      </c>
      <c r="E1076">
        <v>9</v>
      </c>
      <c r="F1076" t="s">
        <v>42</v>
      </c>
      <c r="G1076">
        <v>213</v>
      </c>
      <c r="H1076" t="s">
        <v>104</v>
      </c>
      <c r="I1076" t="s">
        <v>22</v>
      </c>
      <c r="J1076" t="s">
        <v>24</v>
      </c>
      <c r="K1076" t="s">
        <v>3</v>
      </c>
      <c r="L1076" s="36">
        <f ca="1">IF(C1076&lt;&gt;"Yes",0,IF(A1076=2025,N('2025'!D213),IF(A1076=2026,N('2026'!D213),IF(A1076=2027,N('2027'!D213),IF(A1076=2028,N('2028'!D213),IF(A1076=2029,N('2029'!D213),IF(A1076=2030,N('2030'!D213),IF(A1076=2031,N('2031'!D213),IF(A1076=2032,N('2032'!D213),IF(A1076=2033,N('2033'!D213),IF(A1076=2034,N('2034'!D213),IFERROR(N(INDIRECT("'"&amp;A1076&amp;"'!D"&amp;G1076)),0))))))))))))</f>
        <v>0</v>
      </c>
      <c r="M1076" s="36">
        <f>IFERROR(IF(NOT(ISBLANK(KPI_TARGETS!$K$15)),KPI_TARGETS!$K$15,IF(NOT(ISBLANK(KPI_TARGETS!$F$15)),KPI_TARGETS!$F$15,"")),"")</f>
        <v>5</v>
      </c>
      <c r="N1076" s="36" t="str">
        <f>IFERROR(KPI_TARGETS!$E$15,"Higher is better")</f>
        <v>Higher is better</v>
      </c>
      <c r="O1076" s="37">
        <f t="shared" ca="1" si="96"/>
        <v>0</v>
      </c>
      <c r="P1076" t="str">
        <f t="shared" ca="1" si="97"/>
        <v>Red</v>
      </c>
      <c r="Q1076" s="36">
        <f t="shared" ca="1" si="98"/>
        <v>-5</v>
      </c>
      <c r="R1076" s="36" t="str">
        <f>""</f>
        <v/>
      </c>
      <c r="S1076" s="36" t="str">
        <f>""</f>
        <v/>
      </c>
      <c r="T1076" s="36" t="str">
        <f>""</f>
        <v/>
      </c>
      <c r="U1076" s="36" t="str">
        <f>""</f>
        <v/>
      </c>
      <c r="V1076" s="36" t="str">
        <f>""</f>
        <v/>
      </c>
      <c r="W1076" s="36">
        <f t="shared" si="99"/>
        <v>1</v>
      </c>
      <c r="X1076" t="str">
        <f t="shared" si="100"/>
        <v>Inactive</v>
      </c>
      <c r="Y1076" t="str">
        <f>IF(MAIN!$H$3="Selected Year",IF(A1076=MAIN!$B$3,"Yes","No"),IF(MAIN!$H$3="Included Years",IF(D1076="Yes","Yes","No"),IF(C1076="Yes","Yes","No")))</f>
        <v>No</v>
      </c>
      <c r="Z1076" t="str">
        <f>IF(MAIN!$F$3="Project to Date",IF(AND(A1076&gt;=SETTINGS!$B$4,A1076&lt;MAIN!$B$3),"Yes",IF(AND(A1076=MAIN!$B$3,E1076&lt;=MAIN!$L$3),"Yes","No")),IF(OR(MAIN!$F$3="Full Year",MAIN!$D$3="All"),"Yes",IF(MAIN!$F$3="Monthly",IF(E1076=MAIN!$L$3,"Yes","No"),IF(E1076&lt;=MAIN!$L$3,"Yes","No"))))</f>
        <v>Yes</v>
      </c>
      <c r="AA1076" t="str">
        <f t="shared" si="101"/>
        <v>No</v>
      </c>
    </row>
    <row r="1077" spans="1:27" x14ac:dyDescent="0.3">
      <c r="A1077">
        <f>INDEX(SETTINGS!$A$15:$A$24,$B1077)</f>
        <v>2029</v>
      </c>
      <c r="B1077">
        <v>5</v>
      </c>
      <c r="C1077" t="str">
        <f>IF(AND(A1077&gt;=SETTINGS!$B$4,A1077&lt;=SETTINGS!$B$5),"Yes","No")</f>
        <v>No</v>
      </c>
      <c r="D1077" t="str">
        <f>IFERROR(INDEX(SETTINGS!$C$15:$C$24,MATCH(A1077,SETTINGS!$A$15:$A$24,0)),"No")</f>
        <v>No</v>
      </c>
      <c r="E1077">
        <v>9</v>
      </c>
      <c r="F1077" t="s">
        <v>42</v>
      </c>
      <c r="G1077">
        <v>214</v>
      </c>
      <c r="H1077" t="s">
        <v>105</v>
      </c>
      <c r="I1077" t="s">
        <v>22</v>
      </c>
      <c r="J1077" t="s">
        <v>25</v>
      </c>
      <c r="K1077" t="s">
        <v>3</v>
      </c>
      <c r="L1077" s="36">
        <f ca="1">IF(C1077&lt;&gt;"Yes",0,IF(A1077=2025,N('2025'!D214),IF(A1077=2026,N('2026'!D214),IF(A1077=2027,N('2027'!D214),IF(A1077=2028,N('2028'!D214),IF(A1077=2029,N('2029'!D214),IF(A1077=2030,N('2030'!D214),IF(A1077=2031,N('2031'!D214),IF(A1077=2032,N('2032'!D214),IF(A1077=2033,N('2033'!D214),IF(A1077=2034,N('2034'!D214),IFERROR(N(INDIRECT("'"&amp;A1077&amp;"'!D"&amp;G1077)),0))))))))))))</f>
        <v>0</v>
      </c>
      <c r="M1077" s="36">
        <f>IFERROR(IF(NOT(ISBLANK(KPI_TARGETS!$K$16)),KPI_TARGETS!$K$16,IF(NOT(ISBLANK(KPI_TARGETS!$F$16)),KPI_TARGETS!$F$16,"")),"")</f>
        <v>4</v>
      </c>
      <c r="N1077" s="36" t="str">
        <f>IFERROR(KPI_TARGETS!$E$16,"Higher is better")</f>
        <v>Higher is better</v>
      </c>
      <c r="O1077" s="37">
        <f t="shared" ca="1" si="96"/>
        <v>0</v>
      </c>
      <c r="P1077" t="str">
        <f t="shared" ca="1" si="97"/>
        <v>Red</v>
      </c>
      <c r="Q1077" s="36">
        <f t="shared" ca="1" si="98"/>
        <v>-4</v>
      </c>
      <c r="R1077" s="36" t="str">
        <f>""</f>
        <v/>
      </c>
      <c r="S1077" s="36" t="str">
        <f>""</f>
        <v/>
      </c>
      <c r="T1077" s="36" t="str">
        <f>""</f>
        <v/>
      </c>
      <c r="U1077" s="36" t="str">
        <f>""</f>
        <v/>
      </c>
      <c r="V1077" s="36" t="str">
        <f>""</f>
        <v/>
      </c>
      <c r="W1077" s="36">
        <f t="shared" si="99"/>
        <v>1</v>
      </c>
      <c r="X1077" t="str">
        <f t="shared" si="100"/>
        <v>Inactive</v>
      </c>
      <c r="Y1077" t="str">
        <f>IF(MAIN!$H$3="Selected Year",IF(A1077=MAIN!$B$3,"Yes","No"),IF(MAIN!$H$3="Included Years",IF(D1077="Yes","Yes","No"),IF(C1077="Yes","Yes","No")))</f>
        <v>No</v>
      </c>
      <c r="Z1077" t="str">
        <f>IF(MAIN!$F$3="Project to Date",IF(AND(A1077&gt;=SETTINGS!$B$4,A1077&lt;MAIN!$B$3),"Yes",IF(AND(A1077=MAIN!$B$3,E1077&lt;=MAIN!$L$3),"Yes","No")),IF(OR(MAIN!$F$3="Full Year",MAIN!$D$3="All"),"Yes",IF(MAIN!$F$3="Monthly",IF(E1077=MAIN!$L$3,"Yes","No"),IF(E1077&lt;=MAIN!$L$3,"Yes","No"))))</f>
        <v>Yes</v>
      </c>
      <c r="AA1077" t="str">
        <f t="shared" si="101"/>
        <v>No</v>
      </c>
    </row>
    <row r="1078" spans="1:27" x14ac:dyDescent="0.3">
      <c r="A1078">
        <f>INDEX(SETTINGS!$A$15:$A$24,$B1078)</f>
        <v>2029</v>
      </c>
      <c r="B1078">
        <v>5</v>
      </c>
      <c r="C1078" t="str">
        <f>IF(AND(A1078&gt;=SETTINGS!$B$4,A1078&lt;=SETTINGS!$B$5),"Yes","No")</f>
        <v>No</v>
      </c>
      <c r="D1078" t="str">
        <f>IFERROR(INDEX(SETTINGS!$C$15:$C$24,MATCH(A1078,SETTINGS!$A$15:$A$24,0)),"No")</f>
        <v>No</v>
      </c>
      <c r="E1078">
        <v>9</v>
      </c>
      <c r="F1078" t="s">
        <v>42</v>
      </c>
      <c r="G1078">
        <v>215</v>
      </c>
      <c r="H1078" t="s">
        <v>106</v>
      </c>
      <c r="I1078" t="s">
        <v>22</v>
      </c>
      <c r="J1078" t="s">
        <v>26</v>
      </c>
      <c r="K1078" t="s">
        <v>3</v>
      </c>
      <c r="L1078" s="36">
        <f ca="1">IF(C1078&lt;&gt;"Yes",0,IF(A1078=2025,N('2025'!D215),IF(A1078=2026,N('2026'!D215),IF(A1078=2027,N('2027'!D215),IF(A1078=2028,N('2028'!D215),IF(A1078=2029,N('2029'!D215),IF(A1078=2030,N('2030'!D215),IF(A1078=2031,N('2031'!D215),IF(A1078=2032,N('2032'!D215),IF(A1078=2033,N('2033'!D215),IF(A1078=2034,N('2034'!D215),IFERROR(N(INDIRECT("'"&amp;A1078&amp;"'!D"&amp;G1078)),0))))))))))))</f>
        <v>0</v>
      </c>
      <c r="M1078" s="36">
        <f>IFERROR(IF(NOT(ISBLANK(KPI_TARGETS!$K$17)),KPI_TARGETS!$K$17,IF(NOT(ISBLANK(KPI_TARGETS!$F$17)),KPI_TARGETS!$F$17,"")),"")</f>
        <v>12</v>
      </c>
      <c r="N1078" s="36" t="str">
        <f>IFERROR(KPI_TARGETS!$E$17,"Higher is better")</f>
        <v>Higher is better</v>
      </c>
      <c r="O1078" s="37">
        <f t="shared" ca="1" si="96"/>
        <v>0</v>
      </c>
      <c r="P1078" t="str">
        <f t="shared" ca="1" si="97"/>
        <v>Red</v>
      </c>
      <c r="Q1078" s="36">
        <f t="shared" ca="1" si="98"/>
        <v>-12</v>
      </c>
      <c r="R1078" s="36" t="str">
        <f>""</f>
        <v/>
      </c>
      <c r="S1078" s="36" t="str">
        <f>""</f>
        <v/>
      </c>
      <c r="T1078" s="36" t="str">
        <f>""</f>
        <v/>
      </c>
      <c r="U1078" s="36" t="str">
        <f>""</f>
        <v/>
      </c>
      <c r="V1078" s="36" t="str">
        <f>""</f>
        <v/>
      </c>
      <c r="W1078" s="36">
        <f t="shared" si="99"/>
        <v>1</v>
      </c>
      <c r="X1078" t="str">
        <f t="shared" si="100"/>
        <v>Inactive</v>
      </c>
      <c r="Y1078" t="str">
        <f>IF(MAIN!$H$3="Selected Year",IF(A1078=MAIN!$B$3,"Yes","No"),IF(MAIN!$H$3="Included Years",IF(D1078="Yes","Yes","No"),IF(C1078="Yes","Yes","No")))</f>
        <v>No</v>
      </c>
      <c r="Z1078" t="str">
        <f>IF(MAIN!$F$3="Project to Date",IF(AND(A1078&gt;=SETTINGS!$B$4,A1078&lt;MAIN!$B$3),"Yes",IF(AND(A1078=MAIN!$B$3,E1078&lt;=MAIN!$L$3),"Yes","No")),IF(OR(MAIN!$F$3="Full Year",MAIN!$D$3="All"),"Yes",IF(MAIN!$F$3="Monthly",IF(E1078=MAIN!$L$3,"Yes","No"),IF(E1078&lt;=MAIN!$L$3,"Yes","No"))))</f>
        <v>Yes</v>
      </c>
      <c r="AA1078" t="str">
        <f t="shared" si="101"/>
        <v>No</v>
      </c>
    </row>
    <row r="1079" spans="1:27" x14ac:dyDescent="0.3">
      <c r="A1079">
        <f>INDEX(SETTINGS!$A$15:$A$24,$B1079)</f>
        <v>2029</v>
      </c>
      <c r="B1079">
        <v>5</v>
      </c>
      <c r="C1079" t="str">
        <f>IF(AND(A1079&gt;=SETTINGS!$B$4,A1079&lt;=SETTINGS!$B$5),"Yes","No")</f>
        <v>No</v>
      </c>
      <c r="D1079" t="str">
        <f>IFERROR(INDEX(SETTINGS!$C$15:$C$24,MATCH(A1079,SETTINGS!$A$15:$A$24,0)),"No")</f>
        <v>No</v>
      </c>
      <c r="E1079">
        <v>9</v>
      </c>
      <c r="F1079" t="s">
        <v>42</v>
      </c>
      <c r="G1079">
        <v>216</v>
      </c>
      <c r="H1079" t="s">
        <v>107</v>
      </c>
      <c r="I1079" t="s">
        <v>22</v>
      </c>
      <c r="J1079" t="s">
        <v>27</v>
      </c>
      <c r="K1079" t="s">
        <v>3</v>
      </c>
      <c r="L1079" s="36">
        <f ca="1">IF(C1079&lt;&gt;"Yes",0,IF(A1079=2025,N('2025'!D216),IF(A1079=2026,N('2026'!D216),IF(A1079=2027,N('2027'!D216),IF(A1079=2028,N('2028'!D216),IF(A1079=2029,N('2029'!D216),IF(A1079=2030,N('2030'!D216),IF(A1079=2031,N('2031'!D216),IF(A1079=2032,N('2032'!D216),IF(A1079=2033,N('2033'!D216),IF(A1079=2034,N('2034'!D216),IFERROR(N(INDIRECT("'"&amp;A1079&amp;"'!D"&amp;G1079)),0))))))))))))</f>
        <v>0</v>
      </c>
      <c r="M1079" s="36">
        <f>IFERROR(IF(NOT(ISBLANK(KPI_TARGETS!$K$18)),KPI_TARGETS!$K$18,IF(NOT(ISBLANK(KPI_TARGETS!$F$18)),KPI_TARGETS!$F$18,"")),"")</f>
        <v>4</v>
      </c>
      <c r="N1079" s="36" t="str">
        <f>IFERROR(KPI_TARGETS!$E$18,"Higher is better")</f>
        <v>Higher is better</v>
      </c>
      <c r="O1079" s="37">
        <f t="shared" ca="1" si="96"/>
        <v>0</v>
      </c>
      <c r="P1079" t="str">
        <f t="shared" ca="1" si="97"/>
        <v>Red</v>
      </c>
      <c r="Q1079" s="36">
        <f t="shared" ca="1" si="98"/>
        <v>-4</v>
      </c>
      <c r="R1079" s="36" t="str">
        <f>""</f>
        <v/>
      </c>
      <c r="S1079" s="36" t="str">
        <f>""</f>
        <v/>
      </c>
      <c r="T1079" s="36" t="str">
        <f>""</f>
        <v/>
      </c>
      <c r="U1079" s="36" t="str">
        <f>""</f>
        <v/>
      </c>
      <c r="V1079" s="36" t="str">
        <f>""</f>
        <v/>
      </c>
      <c r="W1079" s="36">
        <f t="shared" si="99"/>
        <v>1</v>
      </c>
      <c r="X1079" t="str">
        <f t="shared" si="100"/>
        <v>Inactive</v>
      </c>
      <c r="Y1079" t="str">
        <f>IF(MAIN!$H$3="Selected Year",IF(A1079=MAIN!$B$3,"Yes","No"),IF(MAIN!$H$3="Included Years",IF(D1079="Yes","Yes","No"),IF(C1079="Yes","Yes","No")))</f>
        <v>No</v>
      </c>
      <c r="Z1079" t="str">
        <f>IF(MAIN!$F$3="Project to Date",IF(AND(A1079&gt;=SETTINGS!$B$4,A1079&lt;MAIN!$B$3),"Yes",IF(AND(A1079=MAIN!$B$3,E1079&lt;=MAIN!$L$3),"Yes","No")),IF(OR(MAIN!$F$3="Full Year",MAIN!$D$3="All"),"Yes",IF(MAIN!$F$3="Monthly",IF(E1079=MAIN!$L$3,"Yes","No"),IF(E1079&lt;=MAIN!$L$3,"Yes","No"))))</f>
        <v>Yes</v>
      </c>
      <c r="AA1079" t="str">
        <f t="shared" si="101"/>
        <v>No</v>
      </c>
    </row>
    <row r="1080" spans="1:27" x14ac:dyDescent="0.3">
      <c r="A1080">
        <f>INDEX(SETTINGS!$A$15:$A$24,$B1080)</f>
        <v>2029</v>
      </c>
      <c r="B1080">
        <v>5</v>
      </c>
      <c r="C1080" t="str">
        <f>IF(AND(A1080&gt;=SETTINGS!$B$4,A1080&lt;=SETTINGS!$B$5),"Yes","No")</f>
        <v>No</v>
      </c>
      <c r="D1080" t="str">
        <f>IFERROR(INDEX(SETTINGS!$C$15:$C$24,MATCH(A1080,SETTINGS!$A$15:$A$24,0)),"No")</f>
        <v>No</v>
      </c>
      <c r="E1080">
        <v>9</v>
      </c>
      <c r="F1080" t="s">
        <v>42</v>
      </c>
      <c r="G1080">
        <v>217</v>
      </c>
      <c r="H1080" t="s">
        <v>108</v>
      </c>
      <c r="I1080" t="s">
        <v>22</v>
      </c>
      <c r="J1080" t="s">
        <v>28</v>
      </c>
      <c r="K1080" t="s">
        <v>3</v>
      </c>
      <c r="L1080" s="36">
        <f ca="1">IF(C1080&lt;&gt;"Yes",0,IF(A1080=2025,N('2025'!D217),IF(A1080=2026,N('2026'!D217),IF(A1080=2027,N('2027'!D217),IF(A1080=2028,N('2028'!D217),IF(A1080=2029,N('2029'!D217),IF(A1080=2030,N('2030'!D217),IF(A1080=2031,N('2031'!D217),IF(A1080=2032,N('2032'!D217),IF(A1080=2033,N('2033'!D217),IF(A1080=2034,N('2034'!D217),IFERROR(N(INDIRECT("'"&amp;A1080&amp;"'!D"&amp;G1080)),0))))))))))))</f>
        <v>0</v>
      </c>
      <c r="M1080" s="36">
        <f>IFERROR(IF(NOT(ISBLANK(KPI_TARGETS!$K$19)),KPI_TARGETS!$K$19,IF(NOT(ISBLANK(KPI_TARGETS!$F$19)),KPI_TARGETS!$F$19,"")),"")</f>
        <v>16</v>
      </c>
      <c r="N1080" s="36" t="str">
        <f>IFERROR(KPI_TARGETS!$E$19,"Higher is better")</f>
        <v>Higher is better</v>
      </c>
      <c r="O1080" s="37">
        <f t="shared" ca="1" si="96"/>
        <v>0</v>
      </c>
      <c r="P1080" t="str">
        <f t="shared" ca="1" si="97"/>
        <v>Red</v>
      </c>
      <c r="Q1080" s="36">
        <f t="shared" ca="1" si="98"/>
        <v>-16</v>
      </c>
      <c r="R1080" s="36" t="str">
        <f>""</f>
        <v/>
      </c>
      <c r="S1080" s="36" t="str">
        <f>""</f>
        <v/>
      </c>
      <c r="T1080" s="36" t="str">
        <f>""</f>
        <v/>
      </c>
      <c r="U1080" s="36" t="str">
        <f>""</f>
        <v/>
      </c>
      <c r="V1080" s="36" t="str">
        <f>""</f>
        <v/>
      </c>
      <c r="W1080" s="36">
        <f t="shared" si="99"/>
        <v>1</v>
      </c>
      <c r="X1080" t="str">
        <f t="shared" si="100"/>
        <v>Inactive</v>
      </c>
      <c r="Y1080" t="str">
        <f>IF(MAIN!$H$3="Selected Year",IF(A1080=MAIN!$B$3,"Yes","No"),IF(MAIN!$H$3="Included Years",IF(D1080="Yes","Yes","No"),IF(C1080="Yes","Yes","No")))</f>
        <v>No</v>
      </c>
      <c r="Z1080" t="str">
        <f>IF(MAIN!$F$3="Project to Date",IF(AND(A1080&gt;=SETTINGS!$B$4,A1080&lt;MAIN!$B$3),"Yes",IF(AND(A1080=MAIN!$B$3,E1080&lt;=MAIN!$L$3),"Yes","No")),IF(OR(MAIN!$F$3="Full Year",MAIN!$D$3="All"),"Yes",IF(MAIN!$F$3="Monthly",IF(E1080=MAIN!$L$3,"Yes","No"),IF(E1080&lt;=MAIN!$L$3,"Yes","No"))))</f>
        <v>Yes</v>
      </c>
      <c r="AA1080" t="str">
        <f t="shared" si="101"/>
        <v>No</v>
      </c>
    </row>
    <row r="1081" spans="1:27" x14ac:dyDescent="0.3">
      <c r="A1081">
        <f>INDEX(SETTINGS!$A$15:$A$24,$B1081)</f>
        <v>2029</v>
      </c>
      <c r="B1081">
        <v>5</v>
      </c>
      <c r="C1081" t="str">
        <f>IF(AND(A1081&gt;=SETTINGS!$B$4,A1081&lt;=SETTINGS!$B$5),"Yes","No")</f>
        <v>No</v>
      </c>
      <c r="D1081" t="str">
        <f>IFERROR(INDEX(SETTINGS!$C$15:$C$24,MATCH(A1081,SETTINGS!$A$15:$A$24,0)),"No")</f>
        <v>No</v>
      </c>
      <c r="E1081">
        <v>9</v>
      </c>
      <c r="F1081" t="s">
        <v>42</v>
      </c>
      <c r="G1081">
        <v>218</v>
      </c>
      <c r="H1081" t="s">
        <v>109</v>
      </c>
      <c r="I1081" t="s">
        <v>22</v>
      </c>
      <c r="J1081" t="s">
        <v>29</v>
      </c>
      <c r="K1081" t="s">
        <v>3</v>
      </c>
      <c r="L1081" s="36">
        <f ca="1">IF(C1081&lt;&gt;"Yes",0,IF(A1081=2025,N('2025'!D218),IF(A1081=2026,N('2026'!D218),IF(A1081=2027,N('2027'!D218),IF(A1081=2028,N('2028'!D218),IF(A1081=2029,N('2029'!D218),IF(A1081=2030,N('2030'!D218),IF(A1081=2031,N('2031'!D218),IF(A1081=2032,N('2032'!D218),IF(A1081=2033,N('2033'!D218),IF(A1081=2034,N('2034'!D218),IFERROR(N(INDIRECT("'"&amp;A1081&amp;"'!D"&amp;G1081)),0))))))))))))</f>
        <v>0</v>
      </c>
      <c r="M1081" s="36">
        <f>IFERROR(IF(NOT(ISBLANK(KPI_TARGETS!$K$20)),KPI_TARGETS!$K$20,IF(NOT(ISBLANK(KPI_TARGETS!$F$20)),KPI_TARGETS!$F$20,"")),"")</f>
        <v>1</v>
      </c>
      <c r="N1081" s="36" t="str">
        <f>IFERROR(KPI_TARGETS!$E$20,"Higher is better")</f>
        <v>Higher is better</v>
      </c>
      <c r="O1081" s="37">
        <f t="shared" ca="1" si="96"/>
        <v>0</v>
      </c>
      <c r="P1081" t="str">
        <f t="shared" ca="1" si="97"/>
        <v>Red</v>
      </c>
      <c r="Q1081" s="36">
        <f t="shared" ca="1" si="98"/>
        <v>-1</v>
      </c>
      <c r="R1081" s="36" t="str">
        <f>""</f>
        <v/>
      </c>
      <c r="S1081" s="36" t="str">
        <f>""</f>
        <v/>
      </c>
      <c r="T1081" s="36" t="str">
        <f>""</f>
        <v/>
      </c>
      <c r="U1081" s="36" t="str">
        <f>""</f>
        <v/>
      </c>
      <c r="V1081" s="36" t="str">
        <f>""</f>
        <v/>
      </c>
      <c r="W1081" s="36">
        <f t="shared" si="99"/>
        <v>1</v>
      </c>
      <c r="X1081" t="str">
        <f t="shared" si="100"/>
        <v>Inactive</v>
      </c>
      <c r="Y1081" t="str">
        <f>IF(MAIN!$H$3="Selected Year",IF(A1081=MAIN!$B$3,"Yes","No"),IF(MAIN!$H$3="Included Years",IF(D1081="Yes","Yes","No"),IF(C1081="Yes","Yes","No")))</f>
        <v>No</v>
      </c>
      <c r="Z1081" t="str">
        <f>IF(MAIN!$F$3="Project to Date",IF(AND(A1081&gt;=SETTINGS!$B$4,A1081&lt;MAIN!$B$3),"Yes",IF(AND(A1081=MAIN!$B$3,E1081&lt;=MAIN!$L$3),"Yes","No")),IF(OR(MAIN!$F$3="Full Year",MAIN!$D$3="All"),"Yes",IF(MAIN!$F$3="Monthly",IF(E1081=MAIN!$L$3,"Yes","No"),IF(E1081&lt;=MAIN!$L$3,"Yes","No"))))</f>
        <v>Yes</v>
      </c>
      <c r="AA1081" t="str">
        <f t="shared" si="101"/>
        <v>No</v>
      </c>
    </row>
    <row r="1082" spans="1:27" x14ac:dyDescent="0.3">
      <c r="A1082">
        <f>INDEX(SETTINGS!$A$15:$A$24,$B1082)</f>
        <v>2029</v>
      </c>
      <c r="B1082">
        <v>5</v>
      </c>
      <c r="C1082" t="str">
        <f>IF(AND(A1082&gt;=SETTINGS!$B$4,A1082&lt;=SETTINGS!$B$5),"Yes","No")</f>
        <v>No</v>
      </c>
      <c r="D1082" t="str">
        <f>IFERROR(INDEX(SETTINGS!$C$15:$C$24,MATCH(A1082,SETTINGS!$A$15:$A$24,0)),"No")</f>
        <v>No</v>
      </c>
      <c r="E1082">
        <v>9</v>
      </c>
      <c r="F1082" t="s">
        <v>42</v>
      </c>
      <c r="G1082">
        <v>220</v>
      </c>
      <c r="H1082" t="s">
        <v>110</v>
      </c>
      <c r="I1082" t="s">
        <v>30</v>
      </c>
      <c r="J1082" t="s">
        <v>31</v>
      </c>
      <c r="K1082" t="s">
        <v>3</v>
      </c>
      <c r="L1082" s="36">
        <f ca="1">IF(C1082&lt;&gt;"Yes",0,IF(A1082=2025,N('2025'!D220),IF(A1082=2026,N('2026'!D220),IF(A1082=2027,N('2027'!D220),IF(A1082=2028,N('2028'!D220),IF(A1082=2029,N('2029'!D220),IF(A1082=2030,N('2030'!D220),IF(A1082=2031,N('2031'!D220),IF(A1082=2032,N('2032'!D220),IF(A1082=2033,N('2033'!D220),IF(A1082=2034,N('2034'!D220),IFERROR(N(INDIRECT("'"&amp;A1082&amp;"'!D"&amp;G1082)),0))))))))))))</f>
        <v>0</v>
      </c>
      <c r="M1082" s="36">
        <f>IFERROR(IF(NOT(ISBLANK(KPI_TARGETS!$K$21)),KPI_TARGETS!$K$21,IF(NOT(ISBLANK(KPI_TARGETS!$F$21)),KPI_TARGETS!$F$21,"")),"")</f>
        <v>0</v>
      </c>
      <c r="N1082" s="36" t="str">
        <f>IFERROR(KPI_TARGETS!$E$21,"Higher is better")</f>
        <v>Lower is better</v>
      </c>
      <c r="O1082" s="37">
        <f t="shared" ca="1" si="96"/>
        <v>1</v>
      </c>
      <c r="P1082" t="str">
        <f t="shared" ca="1" si="97"/>
        <v>Green</v>
      </c>
      <c r="Q1082" s="36">
        <f t="shared" ca="1" si="98"/>
        <v>0</v>
      </c>
      <c r="R1082" s="36" t="str">
        <f>""</f>
        <v/>
      </c>
      <c r="S1082" s="36" t="str">
        <f>""</f>
        <v/>
      </c>
      <c r="T1082" s="36" t="str">
        <f>""</f>
        <v/>
      </c>
      <c r="U1082" s="36" t="str">
        <f>""</f>
        <v/>
      </c>
      <c r="V1082" s="36" t="str">
        <f>""</f>
        <v/>
      </c>
      <c r="W1082" s="36">
        <f t="shared" si="99"/>
        <v>1</v>
      </c>
      <c r="X1082" t="str">
        <f t="shared" si="100"/>
        <v>Inactive</v>
      </c>
      <c r="Y1082" t="str">
        <f>IF(MAIN!$H$3="Selected Year",IF(A1082=MAIN!$B$3,"Yes","No"),IF(MAIN!$H$3="Included Years",IF(D1082="Yes","Yes","No"),IF(C1082="Yes","Yes","No")))</f>
        <v>No</v>
      </c>
      <c r="Z1082" t="str">
        <f>IF(MAIN!$F$3="Project to Date",IF(AND(A1082&gt;=SETTINGS!$B$4,A1082&lt;MAIN!$B$3),"Yes",IF(AND(A1082=MAIN!$B$3,E1082&lt;=MAIN!$L$3),"Yes","No")),IF(OR(MAIN!$F$3="Full Year",MAIN!$D$3="All"),"Yes",IF(MAIN!$F$3="Monthly",IF(E1082=MAIN!$L$3,"Yes","No"),IF(E1082&lt;=MAIN!$L$3,"Yes","No"))))</f>
        <v>Yes</v>
      </c>
      <c r="AA1082" t="str">
        <f t="shared" si="101"/>
        <v>No</v>
      </c>
    </row>
    <row r="1083" spans="1:27" x14ac:dyDescent="0.3">
      <c r="A1083">
        <f>INDEX(SETTINGS!$A$15:$A$24,$B1083)</f>
        <v>2029</v>
      </c>
      <c r="B1083">
        <v>5</v>
      </c>
      <c r="C1083" t="str">
        <f>IF(AND(A1083&gt;=SETTINGS!$B$4,A1083&lt;=SETTINGS!$B$5),"Yes","No")</f>
        <v>No</v>
      </c>
      <c r="D1083" t="str">
        <f>IFERROR(INDEX(SETTINGS!$C$15:$C$24,MATCH(A1083,SETTINGS!$A$15:$A$24,0)),"No")</f>
        <v>No</v>
      </c>
      <c r="E1083">
        <v>9</v>
      </c>
      <c r="F1083" t="s">
        <v>42</v>
      </c>
      <c r="G1083">
        <v>221</v>
      </c>
      <c r="H1083" t="s">
        <v>111</v>
      </c>
      <c r="I1083" t="s">
        <v>30</v>
      </c>
      <c r="J1083" t="s">
        <v>32</v>
      </c>
      <c r="K1083" t="s">
        <v>3</v>
      </c>
      <c r="L1083" s="36">
        <f ca="1">IF(C1083&lt;&gt;"Yes",0,IF(A1083=2025,N('2025'!D221),IF(A1083=2026,N('2026'!D221),IF(A1083=2027,N('2027'!D221),IF(A1083=2028,N('2028'!D221),IF(A1083=2029,N('2029'!D221),IF(A1083=2030,N('2030'!D221),IF(A1083=2031,N('2031'!D221),IF(A1083=2032,N('2032'!D221),IF(A1083=2033,N('2033'!D221),IF(A1083=2034,N('2034'!D221),IFERROR(N(INDIRECT("'"&amp;A1083&amp;"'!D"&amp;G1083)),0))))))))))))</f>
        <v>0</v>
      </c>
      <c r="M1083" s="36">
        <f>IFERROR(IF(NOT(ISBLANK(KPI_TARGETS!$K$22)),KPI_TARGETS!$K$22,IF(NOT(ISBLANK(KPI_TARGETS!$F$22)),KPI_TARGETS!$F$22,"")),"")</f>
        <v>1</v>
      </c>
      <c r="N1083" s="36" t="str">
        <f>IFERROR(KPI_TARGETS!$E$22,"Higher is better")</f>
        <v>Higher is better</v>
      </c>
      <c r="O1083" s="37">
        <f t="shared" ca="1" si="96"/>
        <v>0</v>
      </c>
      <c r="P1083" t="str">
        <f t="shared" ca="1" si="97"/>
        <v>Red</v>
      </c>
      <c r="Q1083" s="36">
        <f t="shared" ca="1" si="98"/>
        <v>-1</v>
      </c>
      <c r="R1083" s="36" t="str">
        <f>""</f>
        <v/>
      </c>
      <c r="S1083" s="36" t="str">
        <f>""</f>
        <v/>
      </c>
      <c r="T1083" s="36" t="str">
        <f>""</f>
        <v/>
      </c>
      <c r="U1083" s="36" t="str">
        <f>""</f>
        <v/>
      </c>
      <c r="V1083" s="36" t="str">
        <f>""</f>
        <v/>
      </c>
      <c r="W1083" s="36">
        <f t="shared" si="99"/>
        <v>1</v>
      </c>
      <c r="X1083" t="str">
        <f t="shared" si="100"/>
        <v>Inactive</v>
      </c>
      <c r="Y1083" t="str">
        <f>IF(MAIN!$H$3="Selected Year",IF(A1083=MAIN!$B$3,"Yes","No"),IF(MAIN!$H$3="Included Years",IF(D1083="Yes","Yes","No"),IF(C1083="Yes","Yes","No")))</f>
        <v>No</v>
      </c>
      <c r="Z1083" t="str">
        <f>IF(MAIN!$F$3="Project to Date",IF(AND(A1083&gt;=SETTINGS!$B$4,A1083&lt;MAIN!$B$3),"Yes",IF(AND(A1083=MAIN!$B$3,E1083&lt;=MAIN!$L$3),"Yes","No")),IF(OR(MAIN!$F$3="Full Year",MAIN!$D$3="All"),"Yes",IF(MAIN!$F$3="Monthly",IF(E1083=MAIN!$L$3,"Yes","No"),IF(E1083&lt;=MAIN!$L$3,"Yes","No"))))</f>
        <v>Yes</v>
      </c>
      <c r="AA1083" t="str">
        <f t="shared" si="101"/>
        <v>No</v>
      </c>
    </row>
    <row r="1084" spans="1:27" x14ac:dyDescent="0.3">
      <c r="A1084">
        <f>INDEX(SETTINGS!$A$15:$A$24,$B1084)</f>
        <v>2029</v>
      </c>
      <c r="B1084">
        <v>5</v>
      </c>
      <c r="C1084" t="str">
        <f>IF(AND(A1084&gt;=SETTINGS!$B$4,A1084&lt;=SETTINGS!$B$5),"Yes","No")</f>
        <v>No</v>
      </c>
      <c r="D1084" t="str">
        <f>IFERROR(INDEX(SETTINGS!$C$15:$C$24,MATCH(A1084,SETTINGS!$A$15:$A$24,0)),"No")</f>
        <v>No</v>
      </c>
      <c r="E1084">
        <v>9</v>
      </c>
      <c r="F1084" t="s">
        <v>42</v>
      </c>
      <c r="G1084">
        <v>222</v>
      </c>
      <c r="H1084" t="s">
        <v>112</v>
      </c>
      <c r="I1084" t="s">
        <v>30</v>
      </c>
      <c r="J1084" t="s">
        <v>33</v>
      </c>
      <c r="K1084" t="s">
        <v>34</v>
      </c>
      <c r="L1084" s="36">
        <f ca="1">IF(C1084&lt;&gt;"Yes",0,IF(A1084=2025,N('2025'!D222),IF(A1084=2026,N('2026'!D222),IF(A1084=2027,N('2027'!D222),IF(A1084=2028,N('2028'!D222),IF(A1084=2029,N('2029'!D222),IF(A1084=2030,N('2030'!D222),IF(A1084=2031,N('2031'!D222),IF(A1084=2032,N('2032'!D222),IF(A1084=2033,N('2033'!D222),IF(A1084=2034,N('2034'!D222),IFERROR(N(INDIRECT("'"&amp;A1084&amp;"'!D"&amp;G1084)),0))))))))))))</f>
        <v>0</v>
      </c>
      <c r="M1084" s="36">
        <f>IFERROR(IF(NOT(ISBLANK(KPI_TARGETS!$K$23)),KPI_TARGETS!$K$23,IF(NOT(ISBLANK(KPI_TARGETS!$F$23)),KPI_TARGETS!$F$23,"")),"")</f>
        <v>1</v>
      </c>
      <c r="N1084" s="36" t="str">
        <f>IFERROR(KPI_TARGETS!$E$23,"Higher is better")</f>
        <v>Higher is better</v>
      </c>
      <c r="O1084" s="37">
        <f t="shared" ca="1" si="96"/>
        <v>0</v>
      </c>
      <c r="P1084" t="str">
        <f t="shared" ca="1" si="97"/>
        <v>Red</v>
      </c>
      <c r="Q1084" s="36">
        <f t="shared" ca="1" si="98"/>
        <v>-1</v>
      </c>
      <c r="R1084" s="36" t="str">
        <f>""</f>
        <v/>
      </c>
      <c r="S1084" s="36" t="str">
        <f>""</f>
        <v/>
      </c>
      <c r="T1084" s="36" t="str">
        <f>""</f>
        <v/>
      </c>
      <c r="U1084" s="36" t="str">
        <f>""</f>
        <v/>
      </c>
      <c r="V1084" s="36" t="str">
        <f>""</f>
        <v/>
      </c>
      <c r="W1084" s="36">
        <f t="shared" si="99"/>
        <v>1</v>
      </c>
      <c r="X1084" t="str">
        <f t="shared" si="100"/>
        <v>Inactive</v>
      </c>
      <c r="Y1084" t="str">
        <f>IF(MAIN!$H$3="Selected Year",IF(A1084=MAIN!$B$3,"Yes","No"),IF(MAIN!$H$3="Included Years",IF(D1084="Yes","Yes","No"),IF(C1084="Yes","Yes","No")))</f>
        <v>No</v>
      </c>
      <c r="Z1084" t="str">
        <f>IF(MAIN!$F$3="Project to Date",IF(AND(A1084&gt;=SETTINGS!$B$4,A1084&lt;MAIN!$B$3),"Yes",IF(AND(A1084=MAIN!$B$3,E1084&lt;=MAIN!$L$3),"Yes","No")),IF(OR(MAIN!$F$3="Full Year",MAIN!$D$3="All"),"Yes",IF(MAIN!$F$3="Monthly",IF(E1084=MAIN!$L$3,"Yes","No"),IF(E1084&lt;=MAIN!$L$3,"Yes","No"))))</f>
        <v>Yes</v>
      </c>
      <c r="AA1084" t="str">
        <f t="shared" si="101"/>
        <v>No</v>
      </c>
    </row>
    <row r="1085" spans="1:27" x14ac:dyDescent="0.3">
      <c r="A1085">
        <f>INDEX(SETTINGS!$A$15:$A$24,$B1085)</f>
        <v>2029</v>
      </c>
      <c r="B1085">
        <v>5</v>
      </c>
      <c r="C1085" t="str">
        <f>IF(AND(A1085&gt;=SETTINGS!$B$4,A1085&lt;=SETTINGS!$B$5),"Yes","No")</f>
        <v>No</v>
      </c>
      <c r="D1085" t="str">
        <f>IFERROR(INDEX(SETTINGS!$C$15:$C$24,MATCH(A1085,SETTINGS!$A$15:$A$24,0)),"No")</f>
        <v>No</v>
      </c>
      <c r="E1085">
        <v>10</v>
      </c>
      <c r="F1085" t="s">
        <v>43</v>
      </c>
      <c r="G1085">
        <v>225</v>
      </c>
      <c r="H1085" t="s">
        <v>88</v>
      </c>
      <c r="I1085" t="s">
        <v>89</v>
      </c>
      <c r="J1085" t="s">
        <v>10</v>
      </c>
      <c r="K1085" t="s">
        <v>3</v>
      </c>
      <c r="L1085" s="36">
        <f ca="1">IF(C1085&lt;&gt;"Yes",0,IF(A1085=2025,N('2025'!D225),IF(A1085=2026,N('2026'!D225),IF(A1085=2027,N('2027'!D225),IF(A1085=2028,N('2028'!D225),IF(A1085=2029,N('2029'!D225),IF(A1085=2030,N('2030'!D225),IF(A1085=2031,N('2031'!D225),IF(A1085=2032,N('2032'!D225),IF(A1085=2033,N('2033'!D225),IF(A1085=2034,N('2034'!D225),IFERROR(N(INDIRECT("'"&amp;A1085&amp;"'!D"&amp;G1085)),0))))))))))))</f>
        <v>0</v>
      </c>
      <c r="M1085" s="36">
        <f>IFERROR(IF(NOT(ISBLANK(KPI_TARGETS!$K$5)),KPI_TARGETS!$K$5,IF(NOT(ISBLANK(KPI_TARGETS!$F$5)),KPI_TARGETS!$F$5,"")),"")</f>
        <v>104</v>
      </c>
      <c r="N1085" s="36" t="str">
        <f>IFERROR(KPI_TARGETS!$E$5,"Higher is better")</f>
        <v>Higher is better</v>
      </c>
      <c r="O1085" s="37">
        <f t="shared" ca="1" si="96"/>
        <v>0</v>
      </c>
      <c r="P1085" t="str">
        <f t="shared" ca="1" si="97"/>
        <v>Red</v>
      </c>
      <c r="Q1085" s="36">
        <f t="shared" ca="1" si="98"/>
        <v>-104</v>
      </c>
      <c r="R1085" s="36" t="str">
        <f>""</f>
        <v/>
      </c>
      <c r="S1085" s="36" t="str">
        <f>""</f>
        <v/>
      </c>
      <c r="T1085" s="36" t="str">
        <f>""</f>
        <v/>
      </c>
      <c r="U1085" s="36" t="str">
        <f>""</f>
        <v/>
      </c>
      <c r="V1085" s="36" t="str">
        <f>""</f>
        <v/>
      </c>
      <c r="W1085" s="36">
        <f t="shared" si="99"/>
        <v>1</v>
      </c>
      <c r="X1085" t="str">
        <f t="shared" si="100"/>
        <v>Inactive</v>
      </c>
      <c r="Y1085" t="str">
        <f>IF(MAIN!$H$3="Selected Year",IF(A1085=MAIN!$B$3,"Yes","No"),IF(MAIN!$H$3="Included Years",IF(D1085="Yes","Yes","No"),IF(C1085="Yes","Yes","No")))</f>
        <v>No</v>
      </c>
      <c r="Z1085" t="str">
        <f>IF(MAIN!$F$3="Project to Date",IF(AND(A1085&gt;=SETTINGS!$B$4,A1085&lt;MAIN!$B$3),"Yes",IF(AND(A1085=MAIN!$B$3,E1085&lt;=MAIN!$L$3),"Yes","No")),IF(OR(MAIN!$F$3="Full Year",MAIN!$D$3="All"),"Yes",IF(MAIN!$F$3="Monthly",IF(E1085=MAIN!$L$3,"Yes","No"),IF(E1085&lt;=MAIN!$L$3,"Yes","No"))))</f>
        <v>Yes</v>
      </c>
      <c r="AA1085" t="str">
        <f t="shared" si="101"/>
        <v>No</v>
      </c>
    </row>
    <row r="1086" spans="1:27" x14ac:dyDescent="0.3">
      <c r="A1086">
        <f>INDEX(SETTINGS!$A$15:$A$24,$B1086)</f>
        <v>2029</v>
      </c>
      <c r="B1086">
        <v>5</v>
      </c>
      <c r="C1086" t="str">
        <f>IF(AND(A1086&gt;=SETTINGS!$B$4,A1086&lt;=SETTINGS!$B$5),"Yes","No")</f>
        <v>No</v>
      </c>
      <c r="D1086" t="str">
        <f>IFERROR(INDEX(SETTINGS!$C$15:$C$24,MATCH(A1086,SETTINGS!$A$15:$A$24,0)),"No")</f>
        <v>No</v>
      </c>
      <c r="E1086">
        <v>10</v>
      </c>
      <c r="F1086" t="s">
        <v>43</v>
      </c>
      <c r="G1086">
        <v>226</v>
      </c>
      <c r="H1086" t="s">
        <v>91</v>
      </c>
      <c r="I1086" t="s">
        <v>89</v>
      </c>
      <c r="J1086" t="s">
        <v>11</v>
      </c>
      <c r="K1086" t="s">
        <v>12</v>
      </c>
      <c r="L1086" s="36">
        <f ca="1">IF(C1086&lt;&gt;"Yes",0,IF(A1086=2025,N('2025'!D226),IF(A1086=2026,N('2026'!D226),IF(A1086=2027,N('2027'!D226),IF(A1086=2028,N('2028'!D226),IF(A1086=2029,N('2029'!D226),IF(A1086=2030,N('2030'!D226),IF(A1086=2031,N('2031'!D226),IF(A1086=2032,N('2032'!D226),IF(A1086=2033,N('2033'!D226),IF(A1086=2034,N('2034'!D226),IFERROR(N(INDIRECT("'"&amp;A1086&amp;"'!D"&amp;G1086)),0))))))))))))</f>
        <v>0</v>
      </c>
      <c r="M1086" s="36">
        <f>IFERROR(IF(NOT(ISBLANK(KPI_TARGETS!$K$6)),KPI_TARGETS!$K$6,IF(NOT(ISBLANK(KPI_TARGETS!$F$6)),KPI_TARGETS!$F$6,"")),"")</f>
        <v>4000</v>
      </c>
      <c r="N1086" s="36" t="str">
        <f>IFERROR(KPI_TARGETS!$E$6,"Higher is better")</f>
        <v>Higher is better</v>
      </c>
      <c r="O1086" s="37">
        <f t="shared" ca="1" si="96"/>
        <v>0</v>
      </c>
      <c r="P1086" t="str">
        <f t="shared" ca="1" si="97"/>
        <v>Red</v>
      </c>
      <c r="Q1086" s="36">
        <f t="shared" ca="1" si="98"/>
        <v>-4000</v>
      </c>
      <c r="R1086" s="36" t="str">
        <f>""</f>
        <v/>
      </c>
      <c r="S1086" s="36" t="str">
        <f>""</f>
        <v/>
      </c>
      <c r="T1086" s="36" t="str">
        <f>""</f>
        <v/>
      </c>
      <c r="U1086" s="36" t="str">
        <f>""</f>
        <v/>
      </c>
      <c r="V1086" s="36" t="str">
        <f>""</f>
        <v/>
      </c>
      <c r="W1086" s="36">
        <f t="shared" si="99"/>
        <v>1</v>
      </c>
      <c r="X1086" t="str">
        <f t="shared" si="100"/>
        <v>Inactive</v>
      </c>
      <c r="Y1086" t="str">
        <f>IF(MAIN!$H$3="Selected Year",IF(A1086=MAIN!$B$3,"Yes","No"),IF(MAIN!$H$3="Included Years",IF(D1086="Yes","Yes","No"),IF(C1086="Yes","Yes","No")))</f>
        <v>No</v>
      </c>
      <c r="Z1086" t="str">
        <f>IF(MAIN!$F$3="Project to Date",IF(AND(A1086&gt;=SETTINGS!$B$4,A1086&lt;MAIN!$B$3),"Yes",IF(AND(A1086=MAIN!$B$3,E1086&lt;=MAIN!$L$3),"Yes","No")),IF(OR(MAIN!$F$3="Full Year",MAIN!$D$3="All"),"Yes",IF(MAIN!$F$3="Monthly",IF(E1086=MAIN!$L$3,"Yes","No"),IF(E1086&lt;=MAIN!$L$3,"Yes","No"))))</f>
        <v>Yes</v>
      </c>
      <c r="AA1086" t="str">
        <f t="shared" si="101"/>
        <v>No</v>
      </c>
    </row>
    <row r="1087" spans="1:27" x14ac:dyDescent="0.3">
      <c r="A1087">
        <f>INDEX(SETTINGS!$A$15:$A$24,$B1087)</f>
        <v>2029</v>
      </c>
      <c r="B1087">
        <v>5</v>
      </c>
      <c r="C1087" t="str">
        <f>IF(AND(A1087&gt;=SETTINGS!$B$4,A1087&lt;=SETTINGS!$B$5),"Yes","No")</f>
        <v>No</v>
      </c>
      <c r="D1087" t="str">
        <f>IFERROR(INDEX(SETTINGS!$C$15:$C$24,MATCH(A1087,SETTINGS!$A$15:$A$24,0)),"No")</f>
        <v>No</v>
      </c>
      <c r="E1087">
        <v>10</v>
      </c>
      <c r="F1087" t="s">
        <v>43</v>
      </c>
      <c r="G1087">
        <v>227</v>
      </c>
      <c r="H1087" t="s">
        <v>93</v>
      </c>
      <c r="I1087" t="s">
        <v>89</v>
      </c>
      <c r="J1087" t="s">
        <v>13</v>
      </c>
      <c r="K1087" t="s">
        <v>14</v>
      </c>
      <c r="L1087" s="36">
        <f ca="1">IF(C1087&lt;&gt;"Yes",0,IF(A1087=2025,N('2025'!D227),IF(A1087=2026,N('2026'!D227),IF(A1087=2027,N('2027'!D227),IF(A1087=2028,N('2028'!D227),IF(A1087=2029,N('2029'!D227),IF(A1087=2030,N('2030'!D227),IF(A1087=2031,N('2031'!D227),IF(A1087=2032,N('2032'!D227),IF(A1087=2033,N('2033'!D227),IF(A1087=2034,N('2034'!D227),IFERROR(N(INDIRECT("'"&amp;A1087&amp;"'!D"&amp;G1087)),0))))))))))))</f>
        <v>0</v>
      </c>
      <c r="M1087" s="36">
        <f>IFERROR(IF(NOT(ISBLANK(KPI_TARGETS!$K$7)),KPI_TARGETS!$K$7,IF(NOT(ISBLANK(KPI_TARGETS!$F$7)),KPI_TARGETS!$F$7,"")),"")</f>
        <v>8000</v>
      </c>
      <c r="N1087" s="36" t="str">
        <f>IFERROR(KPI_TARGETS!$E$7,"Higher is better")</f>
        <v>Higher is better</v>
      </c>
      <c r="O1087" s="37">
        <f t="shared" ca="1" si="96"/>
        <v>0</v>
      </c>
      <c r="P1087" t="str">
        <f t="shared" ca="1" si="97"/>
        <v>Red</v>
      </c>
      <c r="Q1087" s="36">
        <f t="shared" ca="1" si="98"/>
        <v>-8000</v>
      </c>
      <c r="R1087" s="36" t="str">
        <f>""</f>
        <v/>
      </c>
      <c r="S1087" s="36" t="str">
        <f>""</f>
        <v/>
      </c>
      <c r="T1087" s="36" t="str">
        <f>""</f>
        <v/>
      </c>
      <c r="U1087" s="36" t="str">
        <f>""</f>
        <v/>
      </c>
      <c r="V1087" s="36" t="str">
        <f>""</f>
        <v/>
      </c>
      <c r="W1087" s="36">
        <f t="shared" si="99"/>
        <v>1</v>
      </c>
      <c r="X1087" t="str">
        <f t="shared" si="100"/>
        <v>Inactive</v>
      </c>
      <c r="Y1087" t="str">
        <f>IF(MAIN!$H$3="Selected Year",IF(A1087=MAIN!$B$3,"Yes","No"),IF(MAIN!$H$3="Included Years",IF(D1087="Yes","Yes","No"),IF(C1087="Yes","Yes","No")))</f>
        <v>No</v>
      </c>
      <c r="Z1087" t="str">
        <f>IF(MAIN!$F$3="Project to Date",IF(AND(A1087&gt;=SETTINGS!$B$4,A1087&lt;MAIN!$B$3),"Yes",IF(AND(A1087=MAIN!$B$3,E1087&lt;=MAIN!$L$3),"Yes","No")),IF(OR(MAIN!$F$3="Full Year",MAIN!$D$3="All"),"Yes",IF(MAIN!$F$3="Monthly",IF(E1087=MAIN!$L$3,"Yes","No"),IF(E1087&lt;=MAIN!$L$3,"Yes","No"))))</f>
        <v>Yes</v>
      </c>
      <c r="AA1087" t="str">
        <f t="shared" si="101"/>
        <v>No</v>
      </c>
    </row>
    <row r="1088" spans="1:27" x14ac:dyDescent="0.3">
      <c r="A1088">
        <f>INDEX(SETTINGS!$A$15:$A$24,$B1088)</f>
        <v>2029</v>
      </c>
      <c r="B1088">
        <v>5</v>
      </c>
      <c r="C1088" t="str">
        <f>IF(AND(A1088&gt;=SETTINGS!$B$4,A1088&lt;=SETTINGS!$B$5),"Yes","No")</f>
        <v>No</v>
      </c>
      <c r="D1088" t="str">
        <f>IFERROR(INDEX(SETTINGS!$C$15:$C$24,MATCH(A1088,SETTINGS!$A$15:$A$24,0)),"No")</f>
        <v>No</v>
      </c>
      <c r="E1088">
        <v>10</v>
      </c>
      <c r="F1088" t="s">
        <v>43</v>
      </c>
      <c r="G1088">
        <v>229</v>
      </c>
      <c r="H1088" t="s">
        <v>95</v>
      </c>
      <c r="I1088" t="s">
        <v>15</v>
      </c>
      <c r="J1088" t="s">
        <v>16</v>
      </c>
      <c r="K1088" t="s">
        <v>3</v>
      </c>
      <c r="L1088" s="36">
        <f ca="1">IF(C1088&lt;&gt;"Yes",0,IF(A1088=2025,N('2025'!D229),IF(A1088=2026,N('2026'!D229),IF(A1088=2027,N('2027'!D229),IF(A1088=2028,N('2028'!D229),IF(A1088=2029,N('2029'!D229),IF(A1088=2030,N('2030'!D229),IF(A1088=2031,N('2031'!D229),IF(A1088=2032,N('2032'!D229),IF(A1088=2033,N('2033'!D229),IF(A1088=2034,N('2034'!D229),IFERROR(N(INDIRECT("'"&amp;A1088&amp;"'!D"&amp;G1088)),0))))))))))))</f>
        <v>0</v>
      </c>
      <c r="M1088" s="36">
        <f>IFERROR(IF(NOT(ISBLANK(KPI_TARGETS!$K$8)),KPI_TARGETS!$K$8,IF(NOT(ISBLANK(KPI_TARGETS!$F$8)),KPI_TARGETS!$F$8,"")),"")</f>
        <v>0</v>
      </c>
      <c r="N1088" s="36" t="str">
        <f>IFERROR(KPI_TARGETS!$E$8,"Higher is better")</f>
        <v>Lower is better</v>
      </c>
      <c r="O1088" s="37">
        <f t="shared" ca="1" si="96"/>
        <v>1</v>
      </c>
      <c r="P1088" t="str">
        <f t="shared" ca="1" si="97"/>
        <v>Green</v>
      </c>
      <c r="Q1088" s="36">
        <f t="shared" ca="1" si="98"/>
        <v>0</v>
      </c>
      <c r="R1088" s="36" t="str">
        <f>""</f>
        <v/>
      </c>
      <c r="S1088" s="36" t="str">
        <f>""</f>
        <v/>
      </c>
      <c r="T1088" s="36" t="str">
        <f>""</f>
        <v/>
      </c>
      <c r="U1088" s="36" t="str">
        <f>""</f>
        <v/>
      </c>
      <c r="V1088" s="36" t="str">
        <f>""</f>
        <v/>
      </c>
      <c r="W1088" s="36">
        <f t="shared" si="99"/>
        <v>1</v>
      </c>
      <c r="X1088" t="str">
        <f t="shared" si="100"/>
        <v>Inactive</v>
      </c>
      <c r="Y1088" t="str">
        <f>IF(MAIN!$H$3="Selected Year",IF(A1088=MAIN!$B$3,"Yes","No"),IF(MAIN!$H$3="Included Years",IF(D1088="Yes","Yes","No"),IF(C1088="Yes","Yes","No")))</f>
        <v>No</v>
      </c>
      <c r="Z1088" t="str">
        <f>IF(MAIN!$F$3="Project to Date",IF(AND(A1088&gt;=SETTINGS!$B$4,A1088&lt;MAIN!$B$3),"Yes",IF(AND(A1088=MAIN!$B$3,E1088&lt;=MAIN!$L$3),"Yes","No")),IF(OR(MAIN!$F$3="Full Year",MAIN!$D$3="All"),"Yes",IF(MAIN!$F$3="Monthly",IF(E1088=MAIN!$L$3,"Yes","No"),IF(E1088&lt;=MAIN!$L$3,"Yes","No"))))</f>
        <v>Yes</v>
      </c>
      <c r="AA1088" t="str">
        <f t="shared" si="101"/>
        <v>No</v>
      </c>
    </row>
    <row r="1089" spans="1:27" x14ac:dyDescent="0.3">
      <c r="A1089">
        <f>INDEX(SETTINGS!$A$15:$A$24,$B1089)</f>
        <v>2029</v>
      </c>
      <c r="B1089">
        <v>5</v>
      </c>
      <c r="C1089" t="str">
        <f>IF(AND(A1089&gt;=SETTINGS!$B$4,A1089&lt;=SETTINGS!$B$5),"Yes","No")</f>
        <v>No</v>
      </c>
      <c r="D1089" t="str">
        <f>IFERROR(INDEX(SETTINGS!$C$15:$C$24,MATCH(A1089,SETTINGS!$A$15:$A$24,0)),"No")</f>
        <v>No</v>
      </c>
      <c r="E1089">
        <v>10</v>
      </c>
      <c r="F1089" t="s">
        <v>43</v>
      </c>
      <c r="G1089">
        <v>230</v>
      </c>
      <c r="H1089" t="s">
        <v>97</v>
      </c>
      <c r="I1089" t="s">
        <v>15</v>
      </c>
      <c r="J1089" t="s">
        <v>17</v>
      </c>
      <c r="K1089" t="s">
        <v>3</v>
      </c>
      <c r="L1089" s="36">
        <f ca="1">IF(C1089&lt;&gt;"Yes",0,IF(A1089=2025,N('2025'!D230),IF(A1089=2026,N('2026'!D230),IF(A1089=2027,N('2027'!D230),IF(A1089=2028,N('2028'!D230),IF(A1089=2029,N('2029'!D230),IF(A1089=2030,N('2030'!D230),IF(A1089=2031,N('2031'!D230),IF(A1089=2032,N('2032'!D230),IF(A1089=2033,N('2033'!D230),IF(A1089=2034,N('2034'!D230),IFERROR(N(INDIRECT("'"&amp;A1089&amp;"'!D"&amp;G1089)),0))))))))))))</f>
        <v>0</v>
      </c>
      <c r="M1089" s="36">
        <f>IFERROR(IF(NOT(ISBLANK(KPI_TARGETS!$K$9)),KPI_TARGETS!$K$9,IF(NOT(ISBLANK(KPI_TARGETS!$F$9)),KPI_TARGETS!$F$9,"")),"")</f>
        <v>0</v>
      </c>
      <c r="N1089" s="36" t="str">
        <f>IFERROR(KPI_TARGETS!$E$9,"Higher is better")</f>
        <v>Higher is better</v>
      </c>
      <c r="O1089" s="37" t="str">
        <f t="shared" ca="1" si="96"/>
        <v/>
      </c>
      <c r="P1089" t="str">
        <f t="shared" ca="1" si="97"/>
        <v>Green</v>
      </c>
      <c r="Q1089" s="36">
        <f t="shared" ca="1" si="98"/>
        <v>0</v>
      </c>
      <c r="R1089" s="36" t="str">
        <f>""</f>
        <v/>
      </c>
      <c r="S1089" s="36" t="str">
        <f>""</f>
        <v/>
      </c>
      <c r="T1089" s="36" t="str">
        <f>""</f>
        <v/>
      </c>
      <c r="U1089" s="36" t="str">
        <f>""</f>
        <v/>
      </c>
      <c r="V1089" s="36" t="str">
        <f>""</f>
        <v/>
      </c>
      <c r="W1089" s="36">
        <f t="shared" si="99"/>
        <v>1</v>
      </c>
      <c r="X1089" t="str">
        <f t="shared" si="100"/>
        <v>Inactive</v>
      </c>
      <c r="Y1089" t="str">
        <f>IF(MAIN!$H$3="Selected Year",IF(A1089=MAIN!$B$3,"Yes","No"),IF(MAIN!$H$3="Included Years",IF(D1089="Yes","Yes","No"),IF(C1089="Yes","Yes","No")))</f>
        <v>No</v>
      </c>
      <c r="Z1089" t="str">
        <f>IF(MAIN!$F$3="Project to Date",IF(AND(A1089&gt;=SETTINGS!$B$4,A1089&lt;MAIN!$B$3),"Yes",IF(AND(A1089=MAIN!$B$3,E1089&lt;=MAIN!$L$3),"Yes","No")),IF(OR(MAIN!$F$3="Full Year",MAIN!$D$3="All"),"Yes",IF(MAIN!$F$3="Monthly",IF(E1089=MAIN!$L$3,"Yes","No"),IF(E1089&lt;=MAIN!$L$3,"Yes","No"))))</f>
        <v>Yes</v>
      </c>
      <c r="AA1089" t="str">
        <f t="shared" si="101"/>
        <v>No</v>
      </c>
    </row>
    <row r="1090" spans="1:27" x14ac:dyDescent="0.3">
      <c r="A1090">
        <f>INDEX(SETTINGS!$A$15:$A$24,$B1090)</f>
        <v>2029</v>
      </c>
      <c r="B1090">
        <v>5</v>
      </c>
      <c r="C1090" t="str">
        <f>IF(AND(A1090&gt;=SETTINGS!$B$4,A1090&lt;=SETTINGS!$B$5),"Yes","No")</f>
        <v>No</v>
      </c>
      <c r="D1090" t="str">
        <f>IFERROR(INDEX(SETTINGS!$C$15:$C$24,MATCH(A1090,SETTINGS!$A$15:$A$24,0)),"No")</f>
        <v>No</v>
      </c>
      <c r="E1090">
        <v>10</v>
      </c>
      <c r="F1090" t="s">
        <v>43</v>
      </c>
      <c r="G1090">
        <v>231</v>
      </c>
      <c r="H1090" t="s">
        <v>99</v>
      </c>
      <c r="I1090" t="s">
        <v>15</v>
      </c>
      <c r="J1090" t="s">
        <v>18</v>
      </c>
      <c r="K1090" t="s">
        <v>3</v>
      </c>
      <c r="L1090" s="36">
        <f ca="1">IF(C1090&lt;&gt;"Yes",0,IF(A1090=2025,N('2025'!D231),IF(A1090=2026,N('2026'!D231),IF(A1090=2027,N('2027'!D231),IF(A1090=2028,N('2028'!D231),IF(A1090=2029,N('2029'!D231),IF(A1090=2030,N('2030'!D231),IF(A1090=2031,N('2031'!D231),IF(A1090=2032,N('2032'!D231),IF(A1090=2033,N('2033'!D231),IF(A1090=2034,N('2034'!D231),IFERROR(N(INDIRECT("'"&amp;A1090&amp;"'!D"&amp;G1090)),0))))))))))))</f>
        <v>0</v>
      </c>
      <c r="M1090" s="36">
        <f>IFERROR(IF(NOT(ISBLANK(KPI_TARGETS!$K$10)),KPI_TARGETS!$K$10,IF(NOT(ISBLANK(KPI_TARGETS!$F$10)),KPI_TARGETS!$F$10,"")),"")</f>
        <v>0</v>
      </c>
      <c r="N1090" s="36" t="str">
        <f>IFERROR(KPI_TARGETS!$E$10,"Higher is better")</f>
        <v>Lower is better</v>
      </c>
      <c r="O1090" s="37">
        <f t="shared" ref="O1090:O1153" ca="1" si="102">IF(M1090="","",IF(N1090="Higher is better",IFERROR(L1090/M1090,""),IF(L1090=0,1,IFERROR(M1090/L1090,""))))</f>
        <v>1</v>
      </c>
      <c r="P1090" t="str">
        <f t="shared" ref="P1090:P1153" ca="1" si="103">IF(M1090="","Target Needed",IF(N1090="Higher is better",IF(L1090&gt;=M1090,"Green",IF(L1090&gt;=0.8*M1090,"Amber","Red")),IF(M1090=0,IF(L1090=0,"Green","Red"),IF(L1090&lt;=M1090,"Green",IF(L1090&lt;=1.25*M1090,"Amber","Red")))))</f>
        <v>Green</v>
      </c>
      <c r="Q1090" s="36">
        <f t="shared" ref="Q1090:Q1153" ca="1" si="104">IF(M1090="","",IF(N1090="Higher is better",L1090-M1090,M1090-L1090))</f>
        <v>0</v>
      </c>
      <c r="R1090" s="36" t="str">
        <f>""</f>
        <v/>
      </c>
      <c r="S1090" s="36" t="str">
        <f>""</f>
        <v/>
      </c>
      <c r="T1090" s="36" t="str">
        <f>""</f>
        <v/>
      </c>
      <c r="U1090" s="36" t="str">
        <f>""</f>
        <v/>
      </c>
      <c r="V1090" s="36" t="str">
        <f>""</f>
        <v/>
      </c>
      <c r="W1090" s="36">
        <f t="shared" ref="W1090:W1153" si="105">IF(LEN(M1090&amp;"")&gt;0,1,0)</f>
        <v>1</v>
      </c>
      <c r="X1090" t="str">
        <f t="shared" ref="X1090:X1153" si="106">IF(C1090&lt;&gt;"Yes","Inactive",IF(M1090="","Missing target","OK"))</f>
        <v>Inactive</v>
      </c>
      <c r="Y1090" t="str">
        <f>IF(MAIN!$H$3="Selected Year",IF(A1090=MAIN!$B$3,"Yes","No"),IF(MAIN!$H$3="Included Years",IF(D1090="Yes","Yes","No"),IF(C1090="Yes","Yes","No")))</f>
        <v>No</v>
      </c>
      <c r="Z1090" t="str">
        <f>IF(MAIN!$F$3="Project to Date",IF(AND(A1090&gt;=SETTINGS!$B$4,A1090&lt;MAIN!$B$3),"Yes",IF(AND(A1090=MAIN!$B$3,E1090&lt;=MAIN!$L$3),"Yes","No")),IF(OR(MAIN!$F$3="Full Year",MAIN!$D$3="All"),"Yes",IF(MAIN!$F$3="Monthly",IF(E1090=MAIN!$L$3,"Yes","No"),IF(E1090&lt;=MAIN!$L$3,"Yes","No"))))</f>
        <v>Yes</v>
      </c>
      <c r="AA1090" t="str">
        <f t="shared" ref="AA1090:AA1153" si="107">IF(AND(Y1090="Yes",Z1090="Yes"),"Yes","No")</f>
        <v>No</v>
      </c>
    </row>
    <row r="1091" spans="1:27" x14ac:dyDescent="0.3">
      <c r="A1091">
        <f>INDEX(SETTINGS!$A$15:$A$24,$B1091)</f>
        <v>2029</v>
      </c>
      <c r="B1091">
        <v>5</v>
      </c>
      <c r="C1091" t="str">
        <f>IF(AND(A1091&gt;=SETTINGS!$B$4,A1091&lt;=SETTINGS!$B$5),"Yes","No")</f>
        <v>No</v>
      </c>
      <c r="D1091" t="str">
        <f>IFERROR(INDEX(SETTINGS!$C$15:$C$24,MATCH(A1091,SETTINGS!$A$15:$A$24,0)),"No")</f>
        <v>No</v>
      </c>
      <c r="E1091">
        <v>10</v>
      </c>
      <c r="F1091" t="s">
        <v>43</v>
      </c>
      <c r="G1091">
        <v>232</v>
      </c>
      <c r="H1091" t="s">
        <v>100</v>
      </c>
      <c r="I1091" t="s">
        <v>15</v>
      </c>
      <c r="J1091" t="s">
        <v>19</v>
      </c>
      <c r="K1091" t="s">
        <v>3</v>
      </c>
      <c r="L1091" s="36">
        <f ca="1">IF(C1091&lt;&gt;"Yes",0,IF(A1091=2025,N('2025'!D232),IF(A1091=2026,N('2026'!D232),IF(A1091=2027,N('2027'!D232),IF(A1091=2028,N('2028'!D232),IF(A1091=2029,N('2029'!D232),IF(A1091=2030,N('2030'!D232),IF(A1091=2031,N('2031'!D232),IF(A1091=2032,N('2032'!D232),IF(A1091=2033,N('2033'!D232),IF(A1091=2034,N('2034'!D232),IFERROR(N(INDIRECT("'"&amp;A1091&amp;"'!D"&amp;G1091)),0))))))))))))</f>
        <v>0</v>
      </c>
      <c r="M1091" s="36">
        <f>IFERROR(IF(NOT(ISBLANK(KPI_TARGETS!$K$11)),KPI_TARGETS!$K$11,IF(NOT(ISBLANK(KPI_TARGETS!$F$11)),KPI_TARGETS!$F$11,"")),"")</f>
        <v>0</v>
      </c>
      <c r="N1091" s="36" t="str">
        <f>IFERROR(KPI_TARGETS!$E$11,"Higher is better")</f>
        <v>Lower is better</v>
      </c>
      <c r="O1091" s="37">
        <f t="shared" ca="1" si="102"/>
        <v>1</v>
      </c>
      <c r="P1091" t="str">
        <f t="shared" ca="1" si="103"/>
        <v>Green</v>
      </c>
      <c r="Q1091" s="36">
        <f t="shared" ca="1" si="104"/>
        <v>0</v>
      </c>
      <c r="R1091" s="36" t="str">
        <f>""</f>
        <v/>
      </c>
      <c r="S1091" s="36" t="str">
        <f>""</f>
        <v/>
      </c>
      <c r="T1091" s="36" t="str">
        <f>""</f>
        <v/>
      </c>
      <c r="U1091" s="36" t="str">
        <f>""</f>
        <v/>
      </c>
      <c r="V1091" s="36" t="str">
        <f>""</f>
        <v/>
      </c>
      <c r="W1091" s="36">
        <f t="shared" si="105"/>
        <v>1</v>
      </c>
      <c r="X1091" t="str">
        <f t="shared" si="106"/>
        <v>Inactive</v>
      </c>
      <c r="Y1091" t="str">
        <f>IF(MAIN!$H$3="Selected Year",IF(A1091=MAIN!$B$3,"Yes","No"),IF(MAIN!$H$3="Included Years",IF(D1091="Yes","Yes","No"),IF(C1091="Yes","Yes","No")))</f>
        <v>No</v>
      </c>
      <c r="Z1091" t="str">
        <f>IF(MAIN!$F$3="Project to Date",IF(AND(A1091&gt;=SETTINGS!$B$4,A1091&lt;MAIN!$B$3),"Yes",IF(AND(A1091=MAIN!$B$3,E1091&lt;=MAIN!$L$3),"Yes","No")),IF(OR(MAIN!$F$3="Full Year",MAIN!$D$3="All"),"Yes",IF(MAIN!$F$3="Monthly",IF(E1091=MAIN!$L$3,"Yes","No"),IF(E1091&lt;=MAIN!$L$3,"Yes","No"))))</f>
        <v>Yes</v>
      </c>
      <c r="AA1091" t="str">
        <f t="shared" si="107"/>
        <v>No</v>
      </c>
    </row>
    <row r="1092" spans="1:27" x14ac:dyDescent="0.3">
      <c r="A1092">
        <f>INDEX(SETTINGS!$A$15:$A$24,$B1092)</f>
        <v>2029</v>
      </c>
      <c r="B1092">
        <v>5</v>
      </c>
      <c r="C1092" t="str">
        <f>IF(AND(A1092&gt;=SETTINGS!$B$4,A1092&lt;=SETTINGS!$B$5),"Yes","No")</f>
        <v>No</v>
      </c>
      <c r="D1092" t="str">
        <f>IFERROR(INDEX(SETTINGS!$C$15:$C$24,MATCH(A1092,SETTINGS!$A$15:$A$24,0)),"No")</f>
        <v>No</v>
      </c>
      <c r="E1092">
        <v>10</v>
      </c>
      <c r="F1092" t="s">
        <v>43</v>
      </c>
      <c r="G1092">
        <v>233</v>
      </c>
      <c r="H1092" t="s">
        <v>101</v>
      </c>
      <c r="I1092" t="s">
        <v>15</v>
      </c>
      <c r="J1092" t="s">
        <v>20</v>
      </c>
      <c r="K1092" t="s">
        <v>3</v>
      </c>
      <c r="L1092" s="36">
        <f ca="1">IF(C1092&lt;&gt;"Yes",0,IF(A1092=2025,N('2025'!D233),IF(A1092=2026,N('2026'!D233),IF(A1092=2027,N('2027'!D233),IF(A1092=2028,N('2028'!D233),IF(A1092=2029,N('2029'!D233),IF(A1092=2030,N('2030'!D233),IF(A1092=2031,N('2031'!D233),IF(A1092=2032,N('2032'!D233),IF(A1092=2033,N('2033'!D233),IF(A1092=2034,N('2034'!D233),IFERROR(N(INDIRECT("'"&amp;A1092&amp;"'!D"&amp;G1092)),0))))))))))))</f>
        <v>0</v>
      </c>
      <c r="M1092" s="36">
        <f>IFERROR(IF(NOT(ISBLANK(KPI_TARGETS!$K$12)),KPI_TARGETS!$K$12,IF(NOT(ISBLANK(KPI_TARGETS!$F$12)),KPI_TARGETS!$F$12,"")),"")</f>
        <v>0</v>
      </c>
      <c r="N1092" s="36" t="str">
        <f>IFERROR(KPI_TARGETS!$E$12,"Higher is better")</f>
        <v>Lower is better</v>
      </c>
      <c r="O1092" s="37">
        <f t="shared" ca="1" si="102"/>
        <v>1</v>
      </c>
      <c r="P1092" t="str">
        <f t="shared" ca="1" si="103"/>
        <v>Green</v>
      </c>
      <c r="Q1092" s="36">
        <f t="shared" ca="1" si="104"/>
        <v>0</v>
      </c>
      <c r="R1092" s="36" t="str">
        <f>""</f>
        <v/>
      </c>
      <c r="S1092" s="36" t="str">
        <f>""</f>
        <v/>
      </c>
      <c r="T1092" s="36" t="str">
        <f>""</f>
        <v/>
      </c>
      <c r="U1092" s="36" t="str">
        <f>""</f>
        <v/>
      </c>
      <c r="V1092" s="36" t="str">
        <f>""</f>
        <v/>
      </c>
      <c r="W1092" s="36">
        <f t="shared" si="105"/>
        <v>1</v>
      </c>
      <c r="X1092" t="str">
        <f t="shared" si="106"/>
        <v>Inactive</v>
      </c>
      <c r="Y1092" t="str">
        <f>IF(MAIN!$H$3="Selected Year",IF(A1092=MAIN!$B$3,"Yes","No"),IF(MAIN!$H$3="Included Years",IF(D1092="Yes","Yes","No"),IF(C1092="Yes","Yes","No")))</f>
        <v>No</v>
      </c>
      <c r="Z1092" t="str">
        <f>IF(MAIN!$F$3="Project to Date",IF(AND(A1092&gt;=SETTINGS!$B$4,A1092&lt;MAIN!$B$3),"Yes",IF(AND(A1092=MAIN!$B$3,E1092&lt;=MAIN!$L$3),"Yes","No")),IF(OR(MAIN!$F$3="Full Year",MAIN!$D$3="All"),"Yes",IF(MAIN!$F$3="Monthly",IF(E1092=MAIN!$L$3,"Yes","No"),IF(E1092&lt;=MAIN!$L$3,"Yes","No"))))</f>
        <v>Yes</v>
      </c>
      <c r="AA1092" t="str">
        <f t="shared" si="107"/>
        <v>No</v>
      </c>
    </row>
    <row r="1093" spans="1:27" x14ac:dyDescent="0.3">
      <c r="A1093">
        <f>INDEX(SETTINGS!$A$15:$A$24,$B1093)</f>
        <v>2029</v>
      </c>
      <c r="B1093">
        <v>5</v>
      </c>
      <c r="C1093" t="str">
        <f>IF(AND(A1093&gt;=SETTINGS!$B$4,A1093&lt;=SETTINGS!$B$5),"Yes","No")</f>
        <v>No</v>
      </c>
      <c r="D1093" t="str">
        <f>IFERROR(INDEX(SETTINGS!$C$15:$C$24,MATCH(A1093,SETTINGS!$A$15:$A$24,0)),"No")</f>
        <v>No</v>
      </c>
      <c r="E1093">
        <v>10</v>
      </c>
      <c r="F1093" t="s">
        <v>43</v>
      </c>
      <c r="G1093">
        <v>234</v>
      </c>
      <c r="H1093" t="s">
        <v>102</v>
      </c>
      <c r="I1093" t="s">
        <v>15</v>
      </c>
      <c r="J1093" t="s">
        <v>21</v>
      </c>
      <c r="K1093" t="s">
        <v>3</v>
      </c>
      <c r="L1093" s="36">
        <f ca="1">IF(C1093&lt;&gt;"Yes",0,IF(A1093=2025,N('2025'!D234),IF(A1093=2026,N('2026'!D234),IF(A1093=2027,N('2027'!D234),IF(A1093=2028,N('2028'!D234),IF(A1093=2029,N('2029'!D234),IF(A1093=2030,N('2030'!D234),IF(A1093=2031,N('2031'!D234),IF(A1093=2032,N('2032'!D234),IF(A1093=2033,N('2033'!D234),IF(A1093=2034,N('2034'!D234),IFERROR(N(INDIRECT("'"&amp;A1093&amp;"'!D"&amp;G1093)),0))))))))))))</f>
        <v>0</v>
      </c>
      <c r="M1093" s="36">
        <f>IFERROR(IF(NOT(ISBLANK(KPI_TARGETS!$K$13)),KPI_TARGETS!$K$13,IF(NOT(ISBLANK(KPI_TARGETS!$F$13)),KPI_TARGETS!$F$13,"")),"")</f>
        <v>0</v>
      </c>
      <c r="N1093" s="36" t="str">
        <f>IFERROR(KPI_TARGETS!$E$13,"Higher is better")</f>
        <v>Lower is better</v>
      </c>
      <c r="O1093" s="37">
        <f t="shared" ca="1" si="102"/>
        <v>1</v>
      </c>
      <c r="P1093" t="str">
        <f t="shared" ca="1" si="103"/>
        <v>Green</v>
      </c>
      <c r="Q1093" s="36">
        <f t="shared" ca="1" si="104"/>
        <v>0</v>
      </c>
      <c r="R1093" s="36" t="str">
        <f>""</f>
        <v/>
      </c>
      <c r="S1093" s="36" t="str">
        <f>""</f>
        <v/>
      </c>
      <c r="T1093" s="36" t="str">
        <f>""</f>
        <v/>
      </c>
      <c r="U1093" s="36" t="str">
        <f>""</f>
        <v/>
      </c>
      <c r="V1093" s="36" t="str">
        <f>""</f>
        <v/>
      </c>
      <c r="W1093" s="36">
        <f t="shared" si="105"/>
        <v>1</v>
      </c>
      <c r="X1093" t="str">
        <f t="shared" si="106"/>
        <v>Inactive</v>
      </c>
      <c r="Y1093" t="str">
        <f>IF(MAIN!$H$3="Selected Year",IF(A1093=MAIN!$B$3,"Yes","No"),IF(MAIN!$H$3="Included Years",IF(D1093="Yes","Yes","No"),IF(C1093="Yes","Yes","No")))</f>
        <v>No</v>
      </c>
      <c r="Z1093" t="str">
        <f>IF(MAIN!$F$3="Project to Date",IF(AND(A1093&gt;=SETTINGS!$B$4,A1093&lt;MAIN!$B$3),"Yes",IF(AND(A1093=MAIN!$B$3,E1093&lt;=MAIN!$L$3),"Yes","No")),IF(OR(MAIN!$F$3="Full Year",MAIN!$D$3="All"),"Yes",IF(MAIN!$F$3="Monthly",IF(E1093=MAIN!$L$3,"Yes","No"),IF(E1093&lt;=MAIN!$L$3,"Yes","No"))))</f>
        <v>Yes</v>
      </c>
      <c r="AA1093" t="str">
        <f t="shared" si="107"/>
        <v>No</v>
      </c>
    </row>
    <row r="1094" spans="1:27" x14ac:dyDescent="0.3">
      <c r="A1094">
        <f>INDEX(SETTINGS!$A$15:$A$24,$B1094)</f>
        <v>2029</v>
      </c>
      <c r="B1094">
        <v>5</v>
      </c>
      <c r="C1094" t="str">
        <f>IF(AND(A1094&gt;=SETTINGS!$B$4,A1094&lt;=SETTINGS!$B$5),"Yes","No")</f>
        <v>No</v>
      </c>
      <c r="D1094" t="str">
        <f>IFERROR(INDEX(SETTINGS!$C$15:$C$24,MATCH(A1094,SETTINGS!$A$15:$A$24,0)),"No")</f>
        <v>No</v>
      </c>
      <c r="E1094">
        <v>10</v>
      </c>
      <c r="F1094" t="s">
        <v>43</v>
      </c>
      <c r="G1094">
        <v>236</v>
      </c>
      <c r="H1094" t="s">
        <v>103</v>
      </c>
      <c r="I1094" t="s">
        <v>22</v>
      </c>
      <c r="J1094" t="s">
        <v>23</v>
      </c>
      <c r="K1094" t="s">
        <v>3</v>
      </c>
      <c r="L1094" s="36">
        <f ca="1">IF(C1094&lt;&gt;"Yes",0,IF(A1094=2025,N('2025'!D236),IF(A1094=2026,N('2026'!D236),IF(A1094=2027,N('2027'!D236),IF(A1094=2028,N('2028'!D236),IF(A1094=2029,N('2029'!D236),IF(A1094=2030,N('2030'!D236),IF(A1094=2031,N('2031'!D236),IF(A1094=2032,N('2032'!D236),IF(A1094=2033,N('2033'!D236),IF(A1094=2034,N('2034'!D236),IFERROR(N(INDIRECT("'"&amp;A1094&amp;"'!D"&amp;G1094)),0))))))))))))</f>
        <v>0</v>
      </c>
      <c r="M1094" s="36">
        <f>IFERROR(IF(NOT(ISBLANK(KPI_TARGETS!$K$14)),KPI_TARGETS!$K$14,IF(NOT(ISBLANK(KPI_TARGETS!$F$14)),KPI_TARGETS!$F$14,"")),"")</f>
        <v>35</v>
      </c>
      <c r="N1094" s="36" t="str">
        <f>IFERROR(KPI_TARGETS!$E$14,"Higher is better")</f>
        <v>Higher is better</v>
      </c>
      <c r="O1094" s="37">
        <f t="shared" ca="1" si="102"/>
        <v>0</v>
      </c>
      <c r="P1094" t="str">
        <f t="shared" ca="1" si="103"/>
        <v>Red</v>
      </c>
      <c r="Q1094" s="36">
        <f t="shared" ca="1" si="104"/>
        <v>-35</v>
      </c>
      <c r="R1094" s="36" t="str">
        <f>""</f>
        <v/>
      </c>
      <c r="S1094" s="36" t="str">
        <f>""</f>
        <v/>
      </c>
      <c r="T1094" s="36" t="str">
        <f>""</f>
        <v/>
      </c>
      <c r="U1094" s="36" t="str">
        <f>""</f>
        <v/>
      </c>
      <c r="V1094" s="36" t="str">
        <f>""</f>
        <v/>
      </c>
      <c r="W1094" s="36">
        <f t="shared" si="105"/>
        <v>1</v>
      </c>
      <c r="X1094" t="str">
        <f t="shared" si="106"/>
        <v>Inactive</v>
      </c>
      <c r="Y1094" t="str">
        <f>IF(MAIN!$H$3="Selected Year",IF(A1094=MAIN!$B$3,"Yes","No"),IF(MAIN!$H$3="Included Years",IF(D1094="Yes","Yes","No"),IF(C1094="Yes","Yes","No")))</f>
        <v>No</v>
      </c>
      <c r="Z1094" t="str">
        <f>IF(MAIN!$F$3="Project to Date",IF(AND(A1094&gt;=SETTINGS!$B$4,A1094&lt;MAIN!$B$3),"Yes",IF(AND(A1094=MAIN!$B$3,E1094&lt;=MAIN!$L$3),"Yes","No")),IF(OR(MAIN!$F$3="Full Year",MAIN!$D$3="All"),"Yes",IF(MAIN!$F$3="Monthly",IF(E1094=MAIN!$L$3,"Yes","No"),IF(E1094&lt;=MAIN!$L$3,"Yes","No"))))</f>
        <v>Yes</v>
      </c>
      <c r="AA1094" t="str">
        <f t="shared" si="107"/>
        <v>No</v>
      </c>
    </row>
    <row r="1095" spans="1:27" x14ac:dyDescent="0.3">
      <c r="A1095">
        <f>INDEX(SETTINGS!$A$15:$A$24,$B1095)</f>
        <v>2029</v>
      </c>
      <c r="B1095">
        <v>5</v>
      </c>
      <c r="C1095" t="str">
        <f>IF(AND(A1095&gt;=SETTINGS!$B$4,A1095&lt;=SETTINGS!$B$5),"Yes","No")</f>
        <v>No</v>
      </c>
      <c r="D1095" t="str">
        <f>IFERROR(INDEX(SETTINGS!$C$15:$C$24,MATCH(A1095,SETTINGS!$A$15:$A$24,0)),"No")</f>
        <v>No</v>
      </c>
      <c r="E1095">
        <v>10</v>
      </c>
      <c r="F1095" t="s">
        <v>43</v>
      </c>
      <c r="G1095">
        <v>237</v>
      </c>
      <c r="H1095" t="s">
        <v>104</v>
      </c>
      <c r="I1095" t="s">
        <v>22</v>
      </c>
      <c r="J1095" t="s">
        <v>24</v>
      </c>
      <c r="K1095" t="s">
        <v>3</v>
      </c>
      <c r="L1095" s="36">
        <f ca="1">IF(C1095&lt;&gt;"Yes",0,IF(A1095=2025,N('2025'!D237),IF(A1095=2026,N('2026'!D237),IF(A1095=2027,N('2027'!D237),IF(A1095=2028,N('2028'!D237),IF(A1095=2029,N('2029'!D237),IF(A1095=2030,N('2030'!D237),IF(A1095=2031,N('2031'!D237),IF(A1095=2032,N('2032'!D237),IF(A1095=2033,N('2033'!D237),IF(A1095=2034,N('2034'!D237),IFERROR(N(INDIRECT("'"&amp;A1095&amp;"'!D"&amp;G1095)),0))))))))))))</f>
        <v>0</v>
      </c>
      <c r="M1095" s="36">
        <f>IFERROR(IF(NOT(ISBLANK(KPI_TARGETS!$K$15)),KPI_TARGETS!$K$15,IF(NOT(ISBLANK(KPI_TARGETS!$F$15)),KPI_TARGETS!$F$15,"")),"")</f>
        <v>5</v>
      </c>
      <c r="N1095" s="36" t="str">
        <f>IFERROR(KPI_TARGETS!$E$15,"Higher is better")</f>
        <v>Higher is better</v>
      </c>
      <c r="O1095" s="37">
        <f t="shared" ca="1" si="102"/>
        <v>0</v>
      </c>
      <c r="P1095" t="str">
        <f t="shared" ca="1" si="103"/>
        <v>Red</v>
      </c>
      <c r="Q1095" s="36">
        <f t="shared" ca="1" si="104"/>
        <v>-5</v>
      </c>
      <c r="R1095" s="36" t="str">
        <f>""</f>
        <v/>
      </c>
      <c r="S1095" s="36" t="str">
        <f>""</f>
        <v/>
      </c>
      <c r="T1095" s="36" t="str">
        <f>""</f>
        <v/>
      </c>
      <c r="U1095" s="36" t="str">
        <f>""</f>
        <v/>
      </c>
      <c r="V1095" s="36" t="str">
        <f>""</f>
        <v/>
      </c>
      <c r="W1095" s="36">
        <f t="shared" si="105"/>
        <v>1</v>
      </c>
      <c r="X1095" t="str">
        <f t="shared" si="106"/>
        <v>Inactive</v>
      </c>
      <c r="Y1095" t="str">
        <f>IF(MAIN!$H$3="Selected Year",IF(A1095=MAIN!$B$3,"Yes","No"),IF(MAIN!$H$3="Included Years",IF(D1095="Yes","Yes","No"),IF(C1095="Yes","Yes","No")))</f>
        <v>No</v>
      </c>
      <c r="Z1095" t="str">
        <f>IF(MAIN!$F$3="Project to Date",IF(AND(A1095&gt;=SETTINGS!$B$4,A1095&lt;MAIN!$B$3),"Yes",IF(AND(A1095=MAIN!$B$3,E1095&lt;=MAIN!$L$3),"Yes","No")),IF(OR(MAIN!$F$3="Full Year",MAIN!$D$3="All"),"Yes",IF(MAIN!$F$3="Monthly",IF(E1095=MAIN!$L$3,"Yes","No"),IF(E1095&lt;=MAIN!$L$3,"Yes","No"))))</f>
        <v>Yes</v>
      </c>
      <c r="AA1095" t="str">
        <f t="shared" si="107"/>
        <v>No</v>
      </c>
    </row>
    <row r="1096" spans="1:27" x14ac:dyDescent="0.3">
      <c r="A1096">
        <f>INDEX(SETTINGS!$A$15:$A$24,$B1096)</f>
        <v>2029</v>
      </c>
      <c r="B1096">
        <v>5</v>
      </c>
      <c r="C1096" t="str">
        <f>IF(AND(A1096&gt;=SETTINGS!$B$4,A1096&lt;=SETTINGS!$B$5),"Yes","No")</f>
        <v>No</v>
      </c>
      <c r="D1096" t="str">
        <f>IFERROR(INDEX(SETTINGS!$C$15:$C$24,MATCH(A1096,SETTINGS!$A$15:$A$24,0)),"No")</f>
        <v>No</v>
      </c>
      <c r="E1096">
        <v>10</v>
      </c>
      <c r="F1096" t="s">
        <v>43</v>
      </c>
      <c r="G1096">
        <v>238</v>
      </c>
      <c r="H1096" t="s">
        <v>105</v>
      </c>
      <c r="I1096" t="s">
        <v>22</v>
      </c>
      <c r="J1096" t="s">
        <v>25</v>
      </c>
      <c r="K1096" t="s">
        <v>3</v>
      </c>
      <c r="L1096" s="36">
        <f ca="1">IF(C1096&lt;&gt;"Yes",0,IF(A1096=2025,N('2025'!D238),IF(A1096=2026,N('2026'!D238),IF(A1096=2027,N('2027'!D238),IF(A1096=2028,N('2028'!D238),IF(A1096=2029,N('2029'!D238),IF(A1096=2030,N('2030'!D238),IF(A1096=2031,N('2031'!D238),IF(A1096=2032,N('2032'!D238),IF(A1096=2033,N('2033'!D238),IF(A1096=2034,N('2034'!D238),IFERROR(N(INDIRECT("'"&amp;A1096&amp;"'!D"&amp;G1096)),0))))))))))))</f>
        <v>0</v>
      </c>
      <c r="M1096" s="36">
        <f>IFERROR(IF(NOT(ISBLANK(KPI_TARGETS!$K$16)),KPI_TARGETS!$K$16,IF(NOT(ISBLANK(KPI_TARGETS!$F$16)),KPI_TARGETS!$F$16,"")),"")</f>
        <v>4</v>
      </c>
      <c r="N1096" s="36" t="str">
        <f>IFERROR(KPI_TARGETS!$E$16,"Higher is better")</f>
        <v>Higher is better</v>
      </c>
      <c r="O1096" s="37">
        <f t="shared" ca="1" si="102"/>
        <v>0</v>
      </c>
      <c r="P1096" t="str">
        <f t="shared" ca="1" si="103"/>
        <v>Red</v>
      </c>
      <c r="Q1096" s="36">
        <f t="shared" ca="1" si="104"/>
        <v>-4</v>
      </c>
      <c r="R1096" s="36" t="str">
        <f>""</f>
        <v/>
      </c>
      <c r="S1096" s="36" t="str">
        <f>""</f>
        <v/>
      </c>
      <c r="T1096" s="36" t="str">
        <f>""</f>
        <v/>
      </c>
      <c r="U1096" s="36" t="str">
        <f>""</f>
        <v/>
      </c>
      <c r="V1096" s="36" t="str">
        <f>""</f>
        <v/>
      </c>
      <c r="W1096" s="36">
        <f t="shared" si="105"/>
        <v>1</v>
      </c>
      <c r="X1096" t="str">
        <f t="shared" si="106"/>
        <v>Inactive</v>
      </c>
      <c r="Y1096" t="str">
        <f>IF(MAIN!$H$3="Selected Year",IF(A1096=MAIN!$B$3,"Yes","No"),IF(MAIN!$H$3="Included Years",IF(D1096="Yes","Yes","No"),IF(C1096="Yes","Yes","No")))</f>
        <v>No</v>
      </c>
      <c r="Z1096" t="str">
        <f>IF(MAIN!$F$3="Project to Date",IF(AND(A1096&gt;=SETTINGS!$B$4,A1096&lt;MAIN!$B$3),"Yes",IF(AND(A1096=MAIN!$B$3,E1096&lt;=MAIN!$L$3),"Yes","No")),IF(OR(MAIN!$F$3="Full Year",MAIN!$D$3="All"),"Yes",IF(MAIN!$F$3="Monthly",IF(E1096=MAIN!$L$3,"Yes","No"),IF(E1096&lt;=MAIN!$L$3,"Yes","No"))))</f>
        <v>Yes</v>
      </c>
      <c r="AA1096" t="str">
        <f t="shared" si="107"/>
        <v>No</v>
      </c>
    </row>
    <row r="1097" spans="1:27" x14ac:dyDescent="0.3">
      <c r="A1097">
        <f>INDEX(SETTINGS!$A$15:$A$24,$B1097)</f>
        <v>2029</v>
      </c>
      <c r="B1097">
        <v>5</v>
      </c>
      <c r="C1097" t="str">
        <f>IF(AND(A1097&gt;=SETTINGS!$B$4,A1097&lt;=SETTINGS!$B$5),"Yes","No")</f>
        <v>No</v>
      </c>
      <c r="D1097" t="str">
        <f>IFERROR(INDEX(SETTINGS!$C$15:$C$24,MATCH(A1097,SETTINGS!$A$15:$A$24,0)),"No")</f>
        <v>No</v>
      </c>
      <c r="E1097">
        <v>10</v>
      </c>
      <c r="F1097" t="s">
        <v>43</v>
      </c>
      <c r="G1097">
        <v>239</v>
      </c>
      <c r="H1097" t="s">
        <v>106</v>
      </c>
      <c r="I1097" t="s">
        <v>22</v>
      </c>
      <c r="J1097" t="s">
        <v>26</v>
      </c>
      <c r="K1097" t="s">
        <v>3</v>
      </c>
      <c r="L1097" s="36">
        <f ca="1">IF(C1097&lt;&gt;"Yes",0,IF(A1097=2025,N('2025'!D239),IF(A1097=2026,N('2026'!D239),IF(A1097=2027,N('2027'!D239),IF(A1097=2028,N('2028'!D239),IF(A1097=2029,N('2029'!D239),IF(A1097=2030,N('2030'!D239),IF(A1097=2031,N('2031'!D239),IF(A1097=2032,N('2032'!D239),IF(A1097=2033,N('2033'!D239),IF(A1097=2034,N('2034'!D239),IFERROR(N(INDIRECT("'"&amp;A1097&amp;"'!D"&amp;G1097)),0))))))))))))</f>
        <v>0</v>
      </c>
      <c r="M1097" s="36">
        <f>IFERROR(IF(NOT(ISBLANK(KPI_TARGETS!$K$17)),KPI_TARGETS!$K$17,IF(NOT(ISBLANK(KPI_TARGETS!$F$17)),KPI_TARGETS!$F$17,"")),"")</f>
        <v>12</v>
      </c>
      <c r="N1097" s="36" t="str">
        <f>IFERROR(KPI_TARGETS!$E$17,"Higher is better")</f>
        <v>Higher is better</v>
      </c>
      <c r="O1097" s="37">
        <f t="shared" ca="1" si="102"/>
        <v>0</v>
      </c>
      <c r="P1097" t="str">
        <f t="shared" ca="1" si="103"/>
        <v>Red</v>
      </c>
      <c r="Q1097" s="36">
        <f t="shared" ca="1" si="104"/>
        <v>-12</v>
      </c>
      <c r="R1097" s="36" t="str">
        <f>""</f>
        <v/>
      </c>
      <c r="S1097" s="36" t="str">
        <f>""</f>
        <v/>
      </c>
      <c r="T1097" s="36" t="str">
        <f>""</f>
        <v/>
      </c>
      <c r="U1097" s="36" t="str">
        <f>""</f>
        <v/>
      </c>
      <c r="V1097" s="36" t="str">
        <f>""</f>
        <v/>
      </c>
      <c r="W1097" s="36">
        <f t="shared" si="105"/>
        <v>1</v>
      </c>
      <c r="X1097" t="str">
        <f t="shared" si="106"/>
        <v>Inactive</v>
      </c>
      <c r="Y1097" t="str">
        <f>IF(MAIN!$H$3="Selected Year",IF(A1097=MAIN!$B$3,"Yes","No"),IF(MAIN!$H$3="Included Years",IF(D1097="Yes","Yes","No"),IF(C1097="Yes","Yes","No")))</f>
        <v>No</v>
      </c>
      <c r="Z1097" t="str">
        <f>IF(MAIN!$F$3="Project to Date",IF(AND(A1097&gt;=SETTINGS!$B$4,A1097&lt;MAIN!$B$3),"Yes",IF(AND(A1097=MAIN!$B$3,E1097&lt;=MAIN!$L$3),"Yes","No")),IF(OR(MAIN!$F$3="Full Year",MAIN!$D$3="All"),"Yes",IF(MAIN!$F$3="Monthly",IF(E1097=MAIN!$L$3,"Yes","No"),IF(E1097&lt;=MAIN!$L$3,"Yes","No"))))</f>
        <v>Yes</v>
      </c>
      <c r="AA1097" t="str">
        <f t="shared" si="107"/>
        <v>No</v>
      </c>
    </row>
    <row r="1098" spans="1:27" x14ac:dyDescent="0.3">
      <c r="A1098">
        <f>INDEX(SETTINGS!$A$15:$A$24,$B1098)</f>
        <v>2029</v>
      </c>
      <c r="B1098">
        <v>5</v>
      </c>
      <c r="C1098" t="str">
        <f>IF(AND(A1098&gt;=SETTINGS!$B$4,A1098&lt;=SETTINGS!$B$5),"Yes","No")</f>
        <v>No</v>
      </c>
      <c r="D1098" t="str">
        <f>IFERROR(INDEX(SETTINGS!$C$15:$C$24,MATCH(A1098,SETTINGS!$A$15:$A$24,0)),"No")</f>
        <v>No</v>
      </c>
      <c r="E1098">
        <v>10</v>
      </c>
      <c r="F1098" t="s">
        <v>43</v>
      </c>
      <c r="G1098">
        <v>240</v>
      </c>
      <c r="H1098" t="s">
        <v>107</v>
      </c>
      <c r="I1098" t="s">
        <v>22</v>
      </c>
      <c r="J1098" t="s">
        <v>27</v>
      </c>
      <c r="K1098" t="s">
        <v>3</v>
      </c>
      <c r="L1098" s="36">
        <f ca="1">IF(C1098&lt;&gt;"Yes",0,IF(A1098=2025,N('2025'!D240),IF(A1098=2026,N('2026'!D240),IF(A1098=2027,N('2027'!D240),IF(A1098=2028,N('2028'!D240),IF(A1098=2029,N('2029'!D240),IF(A1098=2030,N('2030'!D240),IF(A1098=2031,N('2031'!D240),IF(A1098=2032,N('2032'!D240),IF(A1098=2033,N('2033'!D240),IF(A1098=2034,N('2034'!D240),IFERROR(N(INDIRECT("'"&amp;A1098&amp;"'!D"&amp;G1098)),0))))))))))))</f>
        <v>0</v>
      </c>
      <c r="M1098" s="36">
        <f>IFERROR(IF(NOT(ISBLANK(KPI_TARGETS!$K$18)),KPI_TARGETS!$K$18,IF(NOT(ISBLANK(KPI_TARGETS!$F$18)),KPI_TARGETS!$F$18,"")),"")</f>
        <v>4</v>
      </c>
      <c r="N1098" s="36" t="str">
        <f>IFERROR(KPI_TARGETS!$E$18,"Higher is better")</f>
        <v>Higher is better</v>
      </c>
      <c r="O1098" s="37">
        <f t="shared" ca="1" si="102"/>
        <v>0</v>
      </c>
      <c r="P1098" t="str">
        <f t="shared" ca="1" si="103"/>
        <v>Red</v>
      </c>
      <c r="Q1098" s="36">
        <f t="shared" ca="1" si="104"/>
        <v>-4</v>
      </c>
      <c r="R1098" s="36" t="str">
        <f>""</f>
        <v/>
      </c>
      <c r="S1098" s="36" t="str">
        <f>""</f>
        <v/>
      </c>
      <c r="T1098" s="36" t="str">
        <f>""</f>
        <v/>
      </c>
      <c r="U1098" s="36" t="str">
        <f>""</f>
        <v/>
      </c>
      <c r="V1098" s="36" t="str">
        <f>""</f>
        <v/>
      </c>
      <c r="W1098" s="36">
        <f t="shared" si="105"/>
        <v>1</v>
      </c>
      <c r="X1098" t="str">
        <f t="shared" si="106"/>
        <v>Inactive</v>
      </c>
      <c r="Y1098" t="str">
        <f>IF(MAIN!$H$3="Selected Year",IF(A1098=MAIN!$B$3,"Yes","No"),IF(MAIN!$H$3="Included Years",IF(D1098="Yes","Yes","No"),IF(C1098="Yes","Yes","No")))</f>
        <v>No</v>
      </c>
      <c r="Z1098" t="str">
        <f>IF(MAIN!$F$3="Project to Date",IF(AND(A1098&gt;=SETTINGS!$B$4,A1098&lt;MAIN!$B$3),"Yes",IF(AND(A1098=MAIN!$B$3,E1098&lt;=MAIN!$L$3),"Yes","No")),IF(OR(MAIN!$F$3="Full Year",MAIN!$D$3="All"),"Yes",IF(MAIN!$F$3="Monthly",IF(E1098=MAIN!$L$3,"Yes","No"),IF(E1098&lt;=MAIN!$L$3,"Yes","No"))))</f>
        <v>Yes</v>
      </c>
      <c r="AA1098" t="str">
        <f t="shared" si="107"/>
        <v>No</v>
      </c>
    </row>
    <row r="1099" spans="1:27" x14ac:dyDescent="0.3">
      <c r="A1099">
        <f>INDEX(SETTINGS!$A$15:$A$24,$B1099)</f>
        <v>2029</v>
      </c>
      <c r="B1099">
        <v>5</v>
      </c>
      <c r="C1099" t="str">
        <f>IF(AND(A1099&gt;=SETTINGS!$B$4,A1099&lt;=SETTINGS!$B$5),"Yes","No")</f>
        <v>No</v>
      </c>
      <c r="D1099" t="str">
        <f>IFERROR(INDEX(SETTINGS!$C$15:$C$24,MATCH(A1099,SETTINGS!$A$15:$A$24,0)),"No")</f>
        <v>No</v>
      </c>
      <c r="E1099">
        <v>10</v>
      </c>
      <c r="F1099" t="s">
        <v>43</v>
      </c>
      <c r="G1099">
        <v>241</v>
      </c>
      <c r="H1099" t="s">
        <v>108</v>
      </c>
      <c r="I1099" t="s">
        <v>22</v>
      </c>
      <c r="J1099" t="s">
        <v>28</v>
      </c>
      <c r="K1099" t="s">
        <v>3</v>
      </c>
      <c r="L1099" s="36">
        <f ca="1">IF(C1099&lt;&gt;"Yes",0,IF(A1099=2025,N('2025'!D241),IF(A1099=2026,N('2026'!D241),IF(A1099=2027,N('2027'!D241),IF(A1099=2028,N('2028'!D241),IF(A1099=2029,N('2029'!D241),IF(A1099=2030,N('2030'!D241),IF(A1099=2031,N('2031'!D241),IF(A1099=2032,N('2032'!D241),IF(A1099=2033,N('2033'!D241),IF(A1099=2034,N('2034'!D241),IFERROR(N(INDIRECT("'"&amp;A1099&amp;"'!D"&amp;G1099)),0))))))))))))</f>
        <v>0</v>
      </c>
      <c r="M1099" s="36">
        <f>IFERROR(IF(NOT(ISBLANK(KPI_TARGETS!$K$19)),KPI_TARGETS!$K$19,IF(NOT(ISBLANK(KPI_TARGETS!$F$19)),KPI_TARGETS!$F$19,"")),"")</f>
        <v>16</v>
      </c>
      <c r="N1099" s="36" t="str">
        <f>IFERROR(KPI_TARGETS!$E$19,"Higher is better")</f>
        <v>Higher is better</v>
      </c>
      <c r="O1099" s="37">
        <f t="shared" ca="1" si="102"/>
        <v>0</v>
      </c>
      <c r="P1099" t="str">
        <f t="shared" ca="1" si="103"/>
        <v>Red</v>
      </c>
      <c r="Q1099" s="36">
        <f t="shared" ca="1" si="104"/>
        <v>-16</v>
      </c>
      <c r="R1099" s="36" t="str">
        <f>""</f>
        <v/>
      </c>
      <c r="S1099" s="36" t="str">
        <f>""</f>
        <v/>
      </c>
      <c r="T1099" s="36" t="str">
        <f>""</f>
        <v/>
      </c>
      <c r="U1099" s="36" t="str">
        <f>""</f>
        <v/>
      </c>
      <c r="V1099" s="36" t="str">
        <f>""</f>
        <v/>
      </c>
      <c r="W1099" s="36">
        <f t="shared" si="105"/>
        <v>1</v>
      </c>
      <c r="X1099" t="str">
        <f t="shared" si="106"/>
        <v>Inactive</v>
      </c>
      <c r="Y1099" t="str">
        <f>IF(MAIN!$H$3="Selected Year",IF(A1099=MAIN!$B$3,"Yes","No"),IF(MAIN!$H$3="Included Years",IF(D1099="Yes","Yes","No"),IF(C1099="Yes","Yes","No")))</f>
        <v>No</v>
      </c>
      <c r="Z1099" t="str">
        <f>IF(MAIN!$F$3="Project to Date",IF(AND(A1099&gt;=SETTINGS!$B$4,A1099&lt;MAIN!$B$3),"Yes",IF(AND(A1099=MAIN!$B$3,E1099&lt;=MAIN!$L$3),"Yes","No")),IF(OR(MAIN!$F$3="Full Year",MAIN!$D$3="All"),"Yes",IF(MAIN!$F$3="Monthly",IF(E1099=MAIN!$L$3,"Yes","No"),IF(E1099&lt;=MAIN!$L$3,"Yes","No"))))</f>
        <v>Yes</v>
      </c>
      <c r="AA1099" t="str">
        <f t="shared" si="107"/>
        <v>No</v>
      </c>
    </row>
    <row r="1100" spans="1:27" x14ac:dyDescent="0.3">
      <c r="A1100">
        <f>INDEX(SETTINGS!$A$15:$A$24,$B1100)</f>
        <v>2029</v>
      </c>
      <c r="B1100">
        <v>5</v>
      </c>
      <c r="C1100" t="str">
        <f>IF(AND(A1100&gt;=SETTINGS!$B$4,A1100&lt;=SETTINGS!$B$5),"Yes","No")</f>
        <v>No</v>
      </c>
      <c r="D1100" t="str">
        <f>IFERROR(INDEX(SETTINGS!$C$15:$C$24,MATCH(A1100,SETTINGS!$A$15:$A$24,0)),"No")</f>
        <v>No</v>
      </c>
      <c r="E1100">
        <v>10</v>
      </c>
      <c r="F1100" t="s">
        <v>43</v>
      </c>
      <c r="G1100">
        <v>242</v>
      </c>
      <c r="H1100" t="s">
        <v>109</v>
      </c>
      <c r="I1100" t="s">
        <v>22</v>
      </c>
      <c r="J1100" t="s">
        <v>29</v>
      </c>
      <c r="K1100" t="s">
        <v>3</v>
      </c>
      <c r="L1100" s="36">
        <f ca="1">IF(C1100&lt;&gt;"Yes",0,IF(A1100=2025,N('2025'!D242),IF(A1100=2026,N('2026'!D242),IF(A1100=2027,N('2027'!D242),IF(A1100=2028,N('2028'!D242),IF(A1100=2029,N('2029'!D242),IF(A1100=2030,N('2030'!D242),IF(A1100=2031,N('2031'!D242),IF(A1100=2032,N('2032'!D242),IF(A1100=2033,N('2033'!D242),IF(A1100=2034,N('2034'!D242),IFERROR(N(INDIRECT("'"&amp;A1100&amp;"'!D"&amp;G1100)),0))))))))))))</f>
        <v>0</v>
      </c>
      <c r="M1100" s="36">
        <f>IFERROR(IF(NOT(ISBLANK(KPI_TARGETS!$K$20)),KPI_TARGETS!$K$20,IF(NOT(ISBLANK(KPI_TARGETS!$F$20)),KPI_TARGETS!$F$20,"")),"")</f>
        <v>1</v>
      </c>
      <c r="N1100" s="36" t="str">
        <f>IFERROR(KPI_TARGETS!$E$20,"Higher is better")</f>
        <v>Higher is better</v>
      </c>
      <c r="O1100" s="37">
        <f t="shared" ca="1" si="102"/>
        <v>0</v>
      </c>
      <c r="P1100" t="str">
        <f t="shared" ca="1" si="103"/>
        <v>Red</v>
      </c>
      <c r="Q1100" s="36">
        <f t="shared" ca="1" si="104"/>
        <v>-1</v>
      </c>
      <c r="R1100" s="36" t="str">
        <f>""</f>
        <v/>
      </c>
      <c r="S1100" s="36" t="str">
        <f>""</f>
        <v/>
      </c>
      <c r="T1100" s="36" t="str">
        <f>""</f>
        <v/>
      </c>
      <c r="U1100" s="36" t="str">
        <f>""</f>
        <v/>
      </c>
      <c r="V1100" s="36" t="str">
        <f>""</f>
        <v/>
      </c>
      <c r="W1100" s="36">
        <f t="shared" si="105"/>
        <v>1</v>
      </c>
      <c r="X1100" t="str">
        <f t="shared" si="106"/>
        <v>Inactive</v>
      </c>
      <c r="Y1100" t="str">
        <f>IF(MAIN!$H$3="Selected Year",IF(A1100=MAIN!$B$3,"Yes","No"),IF(MAIN!$H$3="Included Years",IF(D1100="Yes","Yes","No"),IF(C1100="Yes","Yes","No")))</f>
        <v>No</v>
      </c>
      <c r="Z1100" t="str">
        <f>IF(MAIN!$F$3="Project to Date",IF(AND(A1100&gt;=SETTINGS!$B$4,A1100&lt;MAIN!$B$3),"Yes",IF(AND(A1100=MAIN!$B$3,E1100&lt;=MAIN!$L$3),"Yes","No")),IF(OR(MAIN!$F$3="Full Year",MAIN!$D$3="All"),"Yes",IF(MAIN!$F$3="Monthly",IF(E1100=MAIN!$L$3,"Yes","No"),IF(E1100&lt;=MAIN!$L$3,"Yes","No"))))</f>
        <v>Yes</v>
      </c>
      <c r="AA1100" t="str">
        <f t="shared" si="107"/>
        <v>No</v>
      </c>
    </row>
    <row r="1101" spans="1:27" x14ac:dyDescent="0.3">
      <c r="A1101">
        <f>INDEX(SETTINGS!$A$15:$A$24,$B1101)</f>
        <v>2029</v>
      </c>
      <c r="B1101">
        <v>5</v>
      </c>
      <c r="C1101" t="str">
        <f>IF(AND(A1101&gt;=SETTINGS!$B$4,A1101&lt;=SETTINGS!$B$5),"Yes","No")</f>
        <v>No</v>
      </c>
      <c r="D1101" t="str">
        <f>IFERROR(INDEX(SETTINGS!$C$15:$C$24,MATCH(A1101,SETTINGS!$A$15:$A$24,0)),"No")</f>
        <v>No</v>
      </c>
      <c r="E1101">
        <v>10</v>
      </c>
      <c r="F1101" t="s">
        <v>43</v>
      </c>
      <c r="G1101">
        <v>244</v>
      </c>
      <c r="H1101" t="s">
        <v>110</v>
      </c>
      <c r="I1101" t="s">
        <v>30</v>
      </c>
      <c r="J1101" t="s">
        <v>31</v>
      </c>
      <c r="K1101" t="s">
        <v>3</v>
      </c>
      <c r="L1101" s="36">
        <f ca="1">IF(C1101&lt;&gt;"Yes",0,IF(A1101=2025,N('2025'!D244),IF(A1101=2026,N('2026'!D244),IF(A1101=2027,N('2027'!D244),IF(A1101=2028,N('2028'!D244),IF(A1101=2029,N('2029'!D244),IF(A1101=2030,N('2030'!D244),IF(A1101=2031,N('2031'!D244),IF(A1101=2032,N('2032'!D244),IF(A1101=2033,N('2033'!D244),IF(A1101=2034,N('2034'!D244),IFERROR(N(INDIRECT("'"&amp;A1101&amp;"'!D"&amp;G1101)),0))))))))))))</f>
        <v>0</v>
      </c>
      <c r="M1101" s="36">
        <f>IFERROR(IF(NOT(ISBLANK(KPI_TARGETS!$K$21)),KPI_TARGETS!$K$21,IF(NOT(ISBLANK(KPI_TARGETS!$F$21)),KPI_TARGETS!$F$21,"")),"")</f>
        <v>0</v>
      </c>
      <c r="N1101" s="36" t="str">
        <f>IFERROR(KPI_TARGETS!$E$21,"Higher is better")</f>
        <v>Lower is better</v>
      </c>
      <c r="O1101" s="37">
        <f t="shared" ca="1" si="102"/>
        <v>1</v>
      </c>
      <c r="P1101" t="str">
        <f t="shared" ca="1" si="103"/>
        <v>Green</v>
      </c>
      <c r="Q1101" s="36">
        <f t="shared" ca="1" si="104"/>
        <v>0</v>
      </c>
      <c r="R1101" s="36" t="str">
        <f>""</f>
        <v/>
      </c>
      <c r="S1101" s="36" t="str">
        <f>""</f>
        <v/>
      </c>
      <c r="T1101" s="36" t="str">
        <f>""</f>
        <v/>
      </c>
      <c r="U1101" s="36" t="str">
        <f>""</f>
        <v/>
      </c>
      <c r="V1101" s="36" t="str">
        <f>""</f>
        <v/>
      </c>
      <c r="W1101" s="36">
        <f t="shared" si="105"/>
        <v>1</v>
      </c>
      <c r="X1101" t="str">
        <f t="shared" si="106"/>
        <v>Inactive</v>
      </c>
      <c r="Y1101" t="str">
        <f>IF(MAIN!$H$3="Selected Year",IF(A1101=MAIN!$B$3,"Yes","No"),IF(MAIN!$H$3="Included Years",IF(D1101="Yes","Yes","No"),IF(C1101="Yes","Yes","No")))</f>
        <v>No</v>
      </c>
      <c r="Z1101" t="str">
        <f>IF(MAIN!$F$3="Project to Date",IF(AND(A1101&gt;=SETTINGS!$B$4,A1101&lt;MAIN!$B$3),"Yes",IF(AND(A1101=MAIN!$B$3,E1101&lt;=MAIN!$L$3),"Yes","No")),IF(OR(MAIN!$F$3="Full Year",MAIN!$D$3="All"),"Yes",IF(MAIN!$F$3="Monthly",IF(E1101=MAIN!$L$3,"Yes","No"),IF(E1101&lt;=MAIN!$L$3,"Yes","No"))))</f>
        <v>Yes</v>
      </c>
      <c r="AA1101" t="str">
        <f t="shared" si="107"/>
        <v>No</v>
      </c>
    </row>
    <row r="1102" spans="1:27" x14ac:dyDescent="0.3">
      <c r="A1102">
        <f>INDEX(SETTINGS!$A$15:$A$24,$B1102)</f>
        <v>2029</v>
      </c>
      <c r="B1102">
        <v>5</v>
      </c>
      <c r="C1102" t="str">
        <f>IF(AND(A1102&gt;=SETTINGS!$B$4,A1102&lt;=SETTINGS!$B$5),"Yes","No")</f>
        <v>No</v>
      </c>
      <c r="D1102" t="str">
        <f>IFERROR(INDEX(SETTINGS!$C$15:$C$24,MATCH(A1102,SETTINGS!$A$15:$A$24,0)),"No")</f>
        <v>No</v>
      </c>
      <c r="E1102">
        <v>10</v>
      </c>
      <c r="F1102" t="s">
        <v>43</v>
      </c>
      <c r="G1102">
        <v>245</v>
      </c>
      <c r="H1102" t="s">
        <v>111</v>
      </c>
      <c r="I1102" t="s">
        <v>30</v>
      </c>
      <c r="J1102" t="s">
        <v>32</v>
      </c>
      <c r="K1102" t="s">
        <v>3</v>
      </c>
      <c r="L1102" s="36">
        <f ca="1">IF(C1102&lt;&gt;"Yes",0,IF(A1102=2025,N('2025'!D245),IF(A1102=2026,N('2026'!D245),IF(A1102=2027,N('2027'!D245),IF(A1102=2028,N('2028'!D245),IF(A1102=2029,N('2029'!D245),IF(A1102=2030,N('2030'!D245),IF(A1102=2031,N('2031'!D245),IF(A1102=2032,N('2032'!D245),IF(A1102=2033,N('2033'!D245),IF(A1102=2034,N('2034'!D245),IFERROR(N(INDIRECT("'"&amp;A1102&amp;"'!D"&amp;G1102)),0))))))))))))</f>
        <v>0</v>
      </c>
      <c r="M1102" s="36">
        <f>IFERROR(IF(NOT(ISBLANK(KPI_TARGETS!$K$22)),KPI_TARGETS!$K$22,IF(NOT(ISBLANK(KPI_TARGETS!$F$22)),KPI_TARGETS!$F$22,"")),"")</f>
        <v>1</v>
      </c>
      <c r="N1102" s="36" t="str">
        <f>IFERROR(KPI_TARGETS!$E$22,"Higher is better")</f>
        <v>Higher is better</v>
      </c>
      <c r="O1102" s="37">
        <f t="shared" ca="1" si="102"/>
        <v>0</v>
      </c>
      <c r="P1102" t="str">
        <f t="shared" ca="1" si="103"/>
        <v>Red</v>
      </c>
      <c r="Q1102" s="36">
        <f t="shared" ca="1" si="104"/>
        <v>-1</v>
      </c>
      <c r="R1102" s="36" t="str">
        <f>""</f>
        <v/>
      </c>
      <c r="S1102" s="36" t="str">
        <f>""</f>
        <v/>
      </c>
      <c r="T1102" s="36" t="str">
        <f>""</f>
        <v/>
      </c>
      <c r="U1102" s="36" t="str">
        <f>""</f>
        <v/>
      </c>
      <c r="V1102" s="36" t="str">
        <f>""</f>
        <v/>
      </c>
      <c r="W1102" s="36">
        <f t="shared" si="105"/>
        <v>1</v>
      </c>
      <c r="X1102" t="str">
        <f t="shared" si="106"/>
        <v>Inactive</v>
      </c>
      <c r="Y1102" t="str">
        <f>IF(MAIN!$H$3="Selected Year",IF(A1102=MAIN!$B$3,"Yes","No"),IF(MAIN!$H$3="Included Years",IF(D1102="Yes","Yes","No"),IF(C1102="Yes","Yes","No")))</f>
        <v>No</v>
      </c>
      <c r="Z1102" t="str">
        <f>IF(MAIN!$F$3="Project to Date",IF(AND(A1102&gt;=SETTINGS!$B$4,A1102&lt;MAIN!$B$3),"Yes",IF(AND(A1102=MAIN!$B$3,E1102&lt;=MAIN!$L$3),"Yes","No")),IF(OR(MAIN!$F$3="Full Year",MAIN!$D$3="All"),"Yes",IF(MAIN!$F$3="Monthly",IF(E1102=MAIN!$L$3,"Yes","No"),IF(E1102&lt;=MAIN!$L$3,"Yes","No"))))</f>
        <v>Yes</v>
      </c>
      <c r="AA1102" t="str">
        <f t="shared" si="107"/>
        <v>No</v>
      </c>
    </row>
    <row r="1103" spans="1:27" x14ac:dyDescent="0.3">
      <c r="A1103">
        <f>INDEX(SETTINGS!$A$15:$A$24,$B1103)</f>
        <v>2029</v>
      </c>
      <c r="B1103">
        <v>5</v>
      </c>
      <c r="C1103" t="str">
        <f>IF(AND(A1103&gt;=SETTINGS!$B$4,A1103&lt;=SETTINGS!$B$5),"Yes","No")</f>
        <v>No</v>
      </c>
      <c r="D1103" t="str">
        <f>IFERROR(INDEX(SETTINGS!$C$15:$C$24,MATCH(A1103,SETTINGS!$A$15:$A$24,0)),"No")</f>
        <v>No</v>
      </c>
      <c r="E1103">
        <v>10</v>
      </c>
      <c r="F1103" t="s">
        <v>43</v>
      </c>
      <c r="G1103">
        <v>246</v>
      </c>
      <c r="H1103" t="s">
        <v>112</v>
      </c>
      <c r="I1103" t="s">
        <v>30</v>
      </c>
      <c r="J1103" t="s">
        <v>33</v>
      </c>
      <c r="K1103" t="s">
        <v>34</v>
      </c>
      <c r="L1103" s="36">
        <f ca="1">IF(C1103&lt;&gt;"Yes",0,IF(A1103=2025,N('2025'!D246),IF(A1103=2026,N('2026'!D246),IF(A1103=2027,N('2027'!D246),IF(A1103=2028,N('2028'!D246),IF(A1103=2029,N('2029'!D246),IF(A1103=2030,N('2030'!D246),IF(A1103=2031,N('2031'!D246),IF(A1103=2032,N('2032'!D246),IF(A1103=2033,N('2033'!D246),IF(A1103=2034,N('2034'!D246),IFERROR(N(INDIRECT("'"&amp;A1103&amp;"'!D"&amp;G1103)),0))))))))))))</f>
        <v>0</v>
      </c>
      <c r="M1103" s="36">
        <f>IFERROR(IF(NOT(ISBLANK(KPI_TARGETS!$K$23)),KPI_TARGETS!$K$23,IF(NOT(ISBLANK(KPI_TARGETS!$F$23)),KPI_TARGETS!$F$23,"")),"")</f>
        <v>1</v>
      </c>
      <c r="N1103" s="36" t="str">
        <f>IFERROR(KPI_TARGETS!$E$23,"Higher is better")</f>
        <v>Higher is better</v>
      </c>
      <c r="O1103" s="37">
        <f t="shared" ca="1" si="102"/>
        <v>0</v>
      </c>
      <c r="P1103" t="str">
        <f t="shared" ca="1" si="103"/>
        <v>Red</v>
      </c>
      <c r="Q1103" s="36">
        <f t="shared" ca="1" si="104"/>
        <v>-1</v>
      </c>
      <c r="R1103" s="36" t="str">
        <f>""</f>
        <v/>
      </c>
      <c r="S1103" s="36" t="str">
        <f>""</f>
        <v/>
      </c>
      <c r="T1103" s="36" t="str">
        <f>""</f>
        <v/>
      </c>
      <c r="U1103" s="36" t="str">
        <f>""</f>
        <v/>
      </c>
      <c r="V1103" s="36" t="str">
        <f>""</f>
        <v/>
      </c>
      <c r="W1103" s="36">
        <f t="shared" si="105"/>
        <v>1</v>
      </c>
      <c r="X1103" t="str">
        <f t="shared" si="106"/>
        <v>Inactive</v>
      </c>
      <c r="Y1103" t="str">
        <f>IF(MAIN!$H$3="Selected Year",IF(A1103=MAIN!$B$3,"Yes","No"),IF(MAIN!$H$3="Included Years",IF(D1103="Yes","Yes","No"),IF(C1103="Yes","Yes","No")))</f>
        <v>No</v>
      </c>
      <c r="Z1103" t="str">
        <f>IF(MAIN!$F$3="Project to Date",IF(AND(A1103&gt;=SETTINGS!$B$4,A1103&lt;MAIN!$B$3),"Yes",IF(AND(A1103=MAIN!$B$3,E1103&lt;=MAIN!$L$3),"Yes","No")),IF(OR(MAIN!$F$3="Full Year",MAIN!$D$3="All"),"Yes",IF(MAIN!$F$3="Monthly",IF(E1103=MAIN!$L$3,"Yes","No"),IF(E1103&lt;=MAIN!$L$3,"Yes","No"))))</f>
        <v>Yes</v>
      </c>
      <c r="AA1103" t="str">
        <f t="shared" si="107"/>
        <v>No</v>
      </c>
    </row>
    <row r="1104" spans="1:27" x14ac:dyDescent="0.3">
      <c r="A1104">
        <f>INDEX(SETTINGS!$A$15:$A$24,$B1104)</f>
        <v>2029</v>
      </c>
      <c r="B1104">
        <v>5</v>
      </c>
      <c r="C1104" t="str">
        <f>IF(AND(A1104&gt;=SETTINGS!$B$4,A1104&lt;=SETTINGS!$B$5),"Yes","No")</f>
        <v>No</v>
      </c>
      <c r="D1104" t="str">
        <f>IFERROR(INDEX(SETTINGS!$C$15:$C$24,MATCH(A1104,SETTINGS!$A$15:$A$24,0)),"No")</f>
        <v>No</v>
      </c>
      <c r="E1104">
        <v>11</v>
      </c>
      <c r="F1104" t="s">
        <v>44</v>
      </c>
      <c r="G1104">
        <v>249</v>
      </c>
      <c r="H1104" t="s">
        <v>88</v>
      </c>
      <c r="I1104" t="s">
        <v>89</v>
      </c>
      <c r="J1104" t="s">
        <v>10</v>
      </c>
      <c r="K1104" t="s">
        <v>3</v>
      </c>
      <c r="L1104" s="36">
        <f ca="1">IF(C1104&lt;&gt;"Yes",0,IF(A1104=2025,N('2025'!D249),IF(A1104=2026,N('2026'!D249),IF(A1104=2027,N('2027'!D249),IF(A1104=2028,N('2028'!D249),IF(A1104=2029,N('2029'!D249),IF(A1104=2030,N('2030'!D249),IF(A1104=2031,N('2031'!D249),IF(A1104=2032,N('2032'!D249),IF(A1104=2033,N('2033'!D249),IF(A1104=2034,N('2034'!D249),IFERROR(N(INDIRECT("'"&amp;A1104&amp;"'!D"&amp;G1104)),0))))))))))))</f>
        <v>0</v>
      </c>
      <c r="M1104" s="36">
        <f>IFERROR(IF(NOT(ISBLANK(KPI_TARGETS!$K$5)),KPI_TARGETS!$K$5,IF(NOT(ISBLANK(KPI_TARGETS!$F$5)),KPI_TARGETS!$F$5,"")),"")</f>
        <v>104</v>
      </c>
      <c r="N1104" s="36" t="str">
        <f>IFERROR(KPI_TARGETS!$E$5,"Higher is better")</f>
        <v>Higher is better</v>
      </c>
      <c r="O1104" s="37">
        <f t="shared" ca="1" si="102"/>
        <v>0</v>
      </c>
      <c r="P1104" t="str">
        <f t="shared" ca="1" si="103"/>
        <v>Red</v>
      </c>
      <c r="Q1104" s="36">
        <f t="shared" ca="1" si="104"/>
        <v>-104</v>
      </c>
      <c r="R1104" s="36" t="str">
        <f>""</f>
        <v/>
      </c>
      <c r="S1104" s="36" t="str">
        <f>""</f>
        <v/>
      </c>
      <c r="T1104" s="36" t="str">
        <f>""</f>
        <v/>
      </c>
      <c r="U1104" s="36" t="str">
        <f>""</f>
        <v/>
      </c>
      <c r="V1104" s="36" t="str">
        <f>""</f>
        <v/>
      </c>
      <c r="W1104" s="36">
        <f t="shared" si="105"/>
        <v>1</v>
      </c>
      <c r="X1104" t="str">
        <f t="shared" si="106"/>
        <v>Inactive</v>
      </c>
      <c r="Y1104" t="str">
        <f>IF(MAIN!$H$3="Selected Year",IF(A1104=MAIN!$B$3,"Yes","No"),IF(MAIN!$H$3="Included Years",IF(D1104="Yes","Yes","No"),IF(C1104="Yes","Yes","No")))</f>
        <v>No</v>
      </c>
      <c r="Z1104" t="str">
        <f>IF(MAIN!$F$3="Project to Date",IF(AND(A1104&gt;=SETTINGS!$B$4,A1104&lt;MAIN!$B$3),"Yes",IF(AND(A1104=MAIN!$B$3,E1104&lt;=MAIN!$L$3),"Yes","No")),IF(OR(MAIN!$F$3="Full Year",MAIN!$D$3="All"),"Yes",IF(MAIN!$F$3="Monthly",IF(E1104=MAIN!$L$3,"Yes","No"),IF(E1104&lt;=MAIN!$L$3,"Yes","No"))))</f>
        <v>Yes</v>
      </c>
      <c r="AA1104" t="str">
        <f t="shared" si="107"/>
        <v>No</v>
      </c>
    </row>
    <row r="1105" spans="1:27" x14ac:dyDescent="0.3">
      <c r="A1105">
        <f>INDEX(SETTINGS!$A$15:$A$24,$B1105)</f>
        <v>2029</v>
      </c>
      <c r="B1105">
        <v>5</v>
      </c>
      <c r="C1105" t="str">
        <f>IF(AND(A1105&gt;=SETTINGS!$B$4,A1105&lt;=SETTINGS!$B$5),"Yes","No")</f>
        <v>No</v>
      </c>
      <c r="D1105" t="str">
        <f>IFERROR(INDEX(SETTINGS!$C$15:$C$24,MATCH(A1105,SETTINGS!$A$15:$A$24,0)),"No")</f>
        <v>No</v>
      </c>
      <c r="E1105">
        <v>11</v>
      </c>
      <c r="F1105" t="s">
        <v>44</v>
      </c>
      <c r="G1105">
        <v>250</v>
      </c>
      <c r="H1105" t="s">
        <v>91</v>
      </c>
      <c r="I1105" t="s">
        <v>89</v>
      </c>
      <c r="J1105" t="s">
        <v>11</v>
      </c>
      <c r="K1105" t="s">
        <v>12</v>
      </c>
      <c r="L1105" s="36">
        <f ca="1">IF(C1105&lt;&gt;"Yes",0,IF(A1105=2025,N('2025'!D250),IF(A1105=2026,N('2026'!D250),IF(A1105=2027,N('2027'!D250),IF(A1105=2028,N('2028'!D250),IF(A1105=2029,N('2029'!D250),IF(A1105=2030,N('2030'!D250),IF(A1105=2031,N('2031'!D250),IF(A1105=2032,N('2032'!D250),IF(A1105=2033,N('2033'!D250),IF(A1105=2034,N('2034'!D250),IFERROR(N(INDIRECT("'"&amp;A1105&amp;"'!D"&amp;G1105)),0))))))))))))</f>
        <v>0</v>
      </c>
      <c r="M1105" s="36">
        <f>IFERROR(IF(NOT(ISBLANK(KPI_TARGETS!$K$6)),KPI_TARGETS!$K$6,IF(NOT(ISBLANK(KPI_TARGETS!$F$6)),KPI_TARGETS!$F$6,"")),"")</f>
        <v>4000</v>
      </c>
      <c r="N1105" s="36" t="str">
        <f>IFERROR(KPI_TARGETS!$E$6,"Higher is better")</f>
        <v>Higher is better</v>
      </c>
      <c r="O1105" s="37">
        <f t="shared" ca="1" si="102"/>
        <v>0</v>
      </c>
      <c r="P1105" t="str">
        <f t="shared" ca="1" si="103"/>
        <v>Red</v>
      </c>
      <c r="Q1105" s="36">
        <f t="shared" ca="1" si="104"/>
        <v>-4000</v>
      </c>
      <c r="R1105" s="36" t="str">
        <f>""</f>
        <v/>
      </c>
      <c r="S1105" s="36" t="str">
        <f>""</f>
        <v/>
      </c>
      <c r="T1105" s="36" t="str">
        <f>""</f>
        <v/>
      </c>
      <c r="U1105" s="36" t="str">
        <f>""</f>
        <v/>
      </c>
      <c r="V1105" s="36" t="str">
        <f>""</f>
        <v/>
      </c>
      <c r="W1105" s="36">
        <f t="shared" si="105"/>
        <v>1</v>
      </c>
      <c r="X1105" t="str">
        <f t="shared" si="106"/>
        <v>Inactive</v>
      </c>
      <c r="Y1105" t="str">
        <f>IF(MAIN!$H$3="Selected Year",IF(A1105=MAIN!$B$3,"Yes","No"),IF(MAIN!$H$3="Included Years",IF(D1105="Yes","Yes","No"),IF(C1105="Yes","Yes","No")))</f>
        <v>No</v>
      </c>
      <c r="Z1105" t="str">
        <f>IF(MAIN!$F$3="Project to Date",IF(AND(A1105&gt;=SETTINGS!$B$4,A1105&lt;MAIN!$B$3),"Yes",IF(AND(A1105=MAIN!$B$3,E1105&lt;=MAIN!$L$3),"Yes","No")),IF(OR(MAIN!$F$3="Full Year",MAIN!$D$3="All"),"Yes",IF(MAIN!$F$3="Monthly",IF(E1105=MAIN!$L$3,"Yes","No"),IF(E1105&lt;=MAIN!$L$3,"Yes","No"))))</f>
        <v>Yes</v>
      </c>
      <c r="AA1105" t="str">
        <f t="shared" si="107"/>
        <v>No</v>
      </c>
    </row>
    <row r="1106" spans="1:27" x14ac:dyDescent="0.3">
      <c r="A1106">
        <f>INDEX(SETTINGS!$A$15:$A$24,$B1106)</f>
        <v>2029</v>
      </c>
      <c r="B1106">
        <v>5</v>
      </c>
      <c r="C1106" t="str">
        <f>IF(AND(A1106&gt;=SETTINGS!$B$4,A1106&lt;=SETTINGS!$B$5),"Yes","No")</f>
        <v>No</v>
      </c>
      <c r="D1106" t="str">
        <f>IFERROR(INDEX(SETTINGS!$C$15:$C$24,MATCH(A1106,SETTINGS!$A$15:$A$24,0)),"No")</f>
        <v>No</v>
      </c>
      <c r="E1106">
        <v>11</v>
      </c>
      <c r="F1106" t="s">
        <v>44</v>
      </c>
      <c r="G1106">
        <v>251</v>
      </c>
      <c r="H1106" t="s">
        <v>93</v>
      </c>
      <c r="I1106" t="s">
        <v>89</v>
      </c>
      <c r="J1106" t="s">
        <v>13</v>
      </c>
      <c r="K1106" t="s">
        <v>14</v>
      </c>
      <c r="L1106" s="36">
        <f ca="1">IF(C1106&lt;&gt;"Yes",0,IF(A1106=2025,N('2025'!D251),IF(A1106=2026,N('2026'!D251),IF(A1106=2027,N('2027'!D251),IF(A1106=2028,N('2028'!D251),IF(A1106=2029,N('2029'!D251),IF(A1106=2030,N('2030'!D251),IF(A1106=2031,N('2031'!D251),IF(A1106=2032,N('2032'!D251),IF(A1106=2033,N('2033'!D251),IF(A1106=2034,N('2034'!D251),IFERROR(N(INDIRECT("'"&amp;A1106&amp;"'!D"&amp;G1106)),0))))))))))))</f>
        <v>0</v>
      </c>
      <c r="M1106" s="36">
        <f>IFERROR(IF(NOT(ISBLANK(KPI_TARGETS!$K$7)),KPI_TARGETS!$K$7,IF(NOT(ISBLANK(KPI_TARGETS!$F$7)),KPI_TARGETS!$F$7,"")),"")</f>
        <v>8000</v>
      </c>
      <c r="N1106" s="36" t="str">
        <f>IFERROR(KPI_TARGETS!$E$7,"Higher is better")</f>
        <v>Higher is better</v>
      </c>
      <c r="O1106" s="37">
        <f t="shared" ca="1" si="102"/>
        <v>0</v>
      </c>
      <c r="P1106" t="str">
        <f t="shared" ca="1" si="103"/>
        <v>Red</v>
      </c>
      <c r="Q1106" s="36">
        <f t="shared" ca="1" si="104"/>
        <v>-8000</v>
      </c>
      <c r="R1106" s="36" t="str">
        <f>""</f>
        <v/>
      </c>
      <c r="S1106" s="36" t="str">
        <f>""</f>
        <v/>
      </c>
      <c r="T1106" s="36" t="str">
        <f>""</f>
        <v/>
      </c>
      <c r="U1106" s="36" t="str">
        <f>""</f>
        <v/>
      </c>
      <c r="V1106" s="36" t="str">
        <f>""</f>
        <v/>
      </c>
      <c r="W1106" s="36">
        <f t="shared" si="105"/>
        <v>1</v>
      </c>
      <c r="X1106" t="str">
        <f t="shared" si="106"/>
        <v>Inactive</v>
      </c>
      <c r="Y1106" t="str">
        <f>IF(MAIN!$H$3="Selected Year",IF(A1106=MAIN!$B$3,"Yes","No"),IF(MAIN!$H$3="Included Years",IF(D1106="Yes","Yes","No"),IF(C1106="Yes","Yes","No")))</f>
        <v>No</v>
      </c>
      <c r="Z1106" t="str">
        <f>IF(MAIN!$F$3="Project to Date",IF(AND(A1106&gt;=SETTINGS!$B$4,A1106&lt;MAIN!$B$3),"Yes",IF(AND(A1106=MAIN!$B$3,E1106&lt;=MAIN!$L$3),"Yes","No")),IF(OR(MAIN!$F$3="Full Year",MAIN!$D$3="All"),"Yes",IF(MAIN!$F$3="Monthly",IF(E1106=MAIN!$L$3,"Yes","No"),IF(E1106&lt;=MAIN!$L$3,"Yes","No"))))</f>
        <v>Yes</v>
      </c>
      <c r="AA1106" t="str">
        <f t="shared" si="107"/>
        <v>No</v>
      </c>
    </row>
    <row r="1107" spans="1:27" x14ac:dyDescent="0.3">
      <c r="A1107">
        <f>INDEX(SETTINGS!$A$15:$A$24,$B1107)</f>
        <v>2029</v>
      </c>
      <c r="B1107">
        <v>5</v>
      </c>
      <c r="C1107" t="str">
        <f>IF(AND(A1107&gt;=SETTINGS!$B$4,A1107&lt;=SETTINGS!$B$5),"Yes","No")</f>
        <v>No</v>
      </c>
      <c r="D1107" t="str">
        <f>IFERROR(INDEX(SETTINGS!$C$15:$C$24,MATCH(A1107,SETTINGS!$A$15:$A$24,0)),"No")</f>
        <v>No</v>
      </c>
      <c r="E1107">
        <v>11</v>
      </c>
      <c r="F1107" t="s">
        <v>44</v>
      </c>
      <c r="G1107">
        <v>253</v>
      </c>
      <c r="H1107" t="s">
        <v>95</v>
      </c>
      <c r="I1107" t="s">
        <v>15</v>
      </c>
      <c r="J1107" t="s">
        <v>16</v>
      </c>
      <c r="K1107" t="s">
        <v>3</v>
      </c>
      <c r="L1107" s="36">
        <f ca="1">IF(C1107&lt;&gt;"Yes",0,IF(A1107=2025,N('2025'!D253),IF(A1107=2026,N('2026'!D253),IF(A1107=2027,N('2027'!D253),IF(A1107=2028,N('2028'!D253),IF(A1107=2029,N('2029'!D253),IF(A1107=2030,N('2030'!D253),IF(A1107=2031,N('2031'!D253),IF(A1107=2032,N('2032'!D253),IF(A1107=2033,N('2033'!D253),IF(A1107=2034,N('2034'!D253),IFERROR(N(INDIRECT("'"&amp;A1107&amp;"'!D"&amp;G1107)),0))))))))))))</f>
        <v>0</v>
      </c>
      <c r="M1107" s="36">
        <f>IFERROR(IF(NOT(ISBLANK(KPI_TARGETS!$K$8)),KPI_TARGETS!$K$8,IF(NOT(ISBLANK(KPI_TARGETS!$F$8)),KPI_TARGETS!$F$8,"")),"")</f>
        <v>0</v>
      </c>
      <c r="N1107" s="36" t="str">
        <f>IFERROR(KPI_TARGETS!$E$8,"Higher is better")</f>
        <v>Lower is better</v>
      </c>
      <c r="O1107" s="37">
        <f t="shared" ca="1" si="102"/>
        <v>1</v>
      </c>
      <c r="P1107" t="str">
        <f t="shared" ca="1" si="103"/>
        <v>Green</v>
      </c>
      <c r="Q1107" s="36">
        <f t="shared" ca="1" si="104"/>
        <v>0</v>
      </c>
      <c r="R1107" s="36" t="str">
        <f>""</f>
        <v/>
      </c>
      <c r="S1107" s="36" t="str">
        <f>""</f>
        <v/>
      </c>
      <c r="T1107" s="36" t="str">
        <f>""</f>
        <v/>
      </c>
      <c r="U1107" s="36" t="str">
        <f>""</f>
        <v/>
      </c>
      <c r="V1107" s="36" t="str">
        <f>""</f>
        <v/>
      </c>
      <c r="W1107" s="36">
        <f t="shared" si="105"/>
        <v>1</v>
      </c>
      <c r="X1107" t="str">
        <f t="shared" si="106"/>
        <v>Inactive</v>
      </c>
      <c r="Y1107" t="str">
        <f>IF(MAIN!$H$3="Selected Year",IF(A1107=MAIN!$B$3,"Yes","No"),IF(MAIN!$H$3="Included Years",IF(D1107="Yes","Yes","No"),IF(C1107="Yes","Yes","No")))</f>
        <v>No</v>
      </c>
      <c r="Z1107" t="str">
        <f>IF(MAIN!$F$3="Project to Date",IF(AND(A1107&gt;=SETTINGS!$B$4,A1107&lt;MAIN!$B$3),"Yes",IF(AND(A1107=MAIN!$B$3,E1107&lt;=MAIN!$L$3),"Yes","No")),IF(OR(MAIN!$F$3="Full Year",MAIN!$D$3="All"),"Yes",IF(MAIN!$F$3="Monthly",IF(E1107=MAIN!$L$3,"Yes","No"),IF(E1107&lt;=MAIN!$L$3,"Yes","No"))))</f>
        <v>Yes</v>
      </c>
      <c r="AA1107" t="str">
        <f t="shared" si="107"/>
        <v>No</v>
      </c>
    </row>
    <row r="1108" spans="1:27" x14ac:dyDescent="0.3">
      <c r="A1108">
        <f>INDEX(SETTINGS!$A$15:$A$24,$B1108)</f>
        <v>2029</v>
      </c>
      <c r="B1108">
        <v>5</v>
      </c>
      <c r="C1108" t="str">
        <f>IF(AND(A1108&gt;=SETTINGS!$B$4,A1108&lt;=SETTINGS!$B$5),"Yes","No")</f>
        <v>No</v>
      </c>
      <c r="D1108" t="str">
        <f>IFERROR(INDEX(SETTINGS!$C$15:$C$24,MATCH(A1108,SETTINGS!$A$15:$A$24,0)),"No")</f>
        <v>No</v>
      </c>
      <c r="E1108">
        <v>11</v>
      </c>
      <c r="F1108" t="s">
        <v>44</v>
      </c>
      <c r="G1108">
        <v>254</v>
      </c>
      <c r="H1108" t="s">
        <v>97</v>
      </c>
      <c r="I1108" t="s">
        <v>15</v>
      </c>
      <c r="J1108" t="s">
        <v>17</v>
      </c>
      <c r="K1108" t="s">
        <v>3</v>
      </c>
      <c r="L1108" s="36">
        <f ca="1">IF(C1108&lt;&gt;"Yes",0,IF(A1108=2025,N('2025'!D254),IF(A1108=2026,N('2026'!D254),IF(A1108=2027,N('2027'!D254),IF(A1108=2028,N('2028'!D254),IF(A1108=2029,N('2029'!D254),IF(A1108=2030,N('2030'!D254),IF(A1108=2031,N('2031'!D254),IF(A1108=2032,N('2032'!D254),IF(A1108=2033,N('2033'!D254),IF(A1108=2034,N('2034'!D254),IFERROR(N(INDIRECT("'"&amp;A1108&amp;"'!D"&amp;G1108)),0))))))))))))</f>
        <v>0</v>
      </c>
      <c r="M1108" s="36">
        <f>IFERROR(IF(NOT(ISBLANK(KPI_TARGETS!$K$9)),KPI_TARGETS!$K$9,IF(NOT(ISBLANK(KPI_TARGETS!$F$9)),KPI_TARGETS!$F$9,"")),"")</f>
        <v>0</v>
      </c>
      <c r="N1108" s="36" t="str">
        <f>IFERROR(KPI_TARGETS!$E$9,"Higher is better")</f>
        <v>Higher is better</v>
      </c>
      <c r="O1108" s="37" t="str">
        <f t="shared" ca="1" si="102"/>
        <v/>
      </c>
      <c r="P1108" t="str">
        <f t="shared" ca="1" si="103"/>
        <v>Green</v>
      </c>
      <c r="Q1108" s="36">
        <f t="shared" ca="1" si="104"/>
        <v>0</v>
      </c>
      <c r="R1108" s="36" t="str">
        <f>""</f>
        <v/>
      </c>
      <c r="S1108" s="36" t="str">
        <f>""</f>
        <v/>
      </c>
      <c r="T1108" s="36" t="str">
        <f>""</f>
        <v/>
      </c>
      <c r="U1108" s="36" t="str">
        <f>""</f>
        <v/>
      </c>
      <c r="V1108" s="36" t="str">
        <f>""</f>
        <v/>
      </c>
      <c r="W1108" s="36">
        <f t="shared" si="105"/>
        <v>1</v>
      </c>
      <c r="X1108" t="str">
        <f t="shared" si="106"/>
        <v>Inactive</v>
      </c>
      <c r="Y1108" t="str">
        <f>IF(MAIN!$H$3="Selected Year",IF(A1108=MAIN!$B$3,"Yes","No"),IF(MAIN!$H$3="Included Years",IF(D1108="Yes","Yes","No"),IF(C1108="Yes","Yes","No")))</f>
        <v>No</v>
      </c>
      <c r="Z1108" t="str">
        <f>IF(MAIN!$F$3="Project to Date",IF(AND(A1108&gt;=SETTINGS!$B$4,A1108&lt;MAIN!$B$3),"Yes",IF(AND(A1108=MAIN!$B$3,E1108&lt;=MAIN!$L$3),"Yes","No")),IF(OR(MAIN!$F$3="Full Year",MAIN!$D$3="All"),"Yes",IF(MAIN!$F$3="Monthly",IF(E1108=MAIN!$L$3,"Yes","No"),IF(E1108&lt;=MAIN!$L$3,"Yes","No"))))</f>
        <v>Yes</v>
      </c>
      <c r="AA1108" t="str">
        <f t="shared" si="107"/>
        <v>No</v>
      </c>
    </row>
    <row r="1109" spans="1:27" x14ac:dyDescent="0.3">
      <c r="A1109">
        <f>INDEX(SETTINGS!$A$15:$A$24,$B1109)</f>
        <v>2029</v>
      </c>
      <c r="B1109">
        <v>5</v>
      </c>
      <c r="C1109" t="str">
        <f>IF(AND(A1109&gt;=SETTINGS!$B$4,A1109&lt;=SETTINGS!$B$5),"Yes","No")</f>
        <v>No</v>
      </c>
      <c r="D1109" t="str">
        <f>IFERROR(INDEX(SETTINGS!$C$15:$C$24,MATCH(A1109,SETTINGS!$A$15:$A$24,0)),"No")</f>
        <v>No</v>
      </c>
      <c r="E1109">
        <v>11</v>
      </c>
      <c r="F1109" t="s">
        <v>44</v>
      </c>
      <c r="G1109">
        <v>255</v>
      </c>
      <c r="H1109" t="s">
        <v>99</v>
      </c>
      <c r="I1109" t="s">
        <v>15</v>
      </c>
      <c r="J1109" t="s">
        <v>18</v>
      </c>
      <c r="K1109" t="s">
        <v>3</v>
      </c>
      <c r="L1109" s="36">
        <f ca="1">IF(C1109&lt;&gt;"Yes",0,IF(A1109=2025,N('2025'!D255),IF(A1109=2026,N('2026'!D255),IF(A1109=2027,N('2027'!D255),IF(A1109=2028,N('2028'!D255),IF(A1109=2029,N('2029'!D255),IF(A1109=2030,N('2030'!D255),IF(A1109=2031,N('2031'!D255),IF(A1109=2032,N('2032'!D255),IF(A1109=2033,N('2033'!D255),IF(A1109=2034,N('2034'!D255),IFERROR(N(INDIRECT("'"&amp;A1109&amp;"'!D"&amp;G1109)),0))))))))))))</f>
        <v>0</v>
      </c>
      <c r="M1109" s="36">
        <f>IFERROR(IF(NOT(ISBLANK(KPI_TARGETS!$K$10)),KPI_TARGETS!$K$10,IF(NOT(ISBLANK(KPI_TARGETS!$F$10)),KPI_TARGETS!$F$10,"")),"")</f>
        <v>0</v>
      </c>
      <c r="N1109" s="36" t="str">
        <f>IFERROR(KPI_TARGETS!$E$10,"Higher is better")</f>
        <v>Lower is better</v>
      </c>
      <c r="O1109" s="37">
        <f t="shared" ca="1" si="102"/>
        <v>1</v>
      </c>
      <c r="P1109" t="str">
        <f t="shared" ca="1" si="103"/>
        <v>Green</v>
      </c>
      <c r="Q1109" s="36">
        <f t="shared" ca="1" si="104"/>
        <v>0</v>
      </c>
      <c r="R1109" s="36" t="str">
        <f>""</f>
        <v/>
      </c>
      <c r="S1109" s="36" t="str">
        <f>""</f>
        <v/>
      </c>
      <c r="T1109" s="36" t="str">
        <f>""</f>
        <v/>
      </c>
      <c r="U1109" s="36" t="str">
        <f>""</f>
        <v/>
      </c>
      <c r="V1109" s="36" t="str">
        <f>""</f>
        <v/>
      </c>
      <c r="W1109" s="36">
        <f t="shared" si="105"/>
        <v>1</v>
      </c>
      <c r="X1109" t="str">
        <f t="shared" si="106"/>
        <v>Inactive</v>
      </c>
      <c r="Y1109" t="str">
        <f>IF(MAIN!$H$3="Selected Year",IF(A1109=MAIN!$B$3,"Yes","No"),IF(MAIN!$H$3="Included Years",IF(D1109="Yes","Yes","No"),IF(C1109="Yes","Yes","No")))</f>
        <v>No</v>
      </c>
      <c r="Z1109" t="str">
        <f>IF(MAIN!$F$3="Project to Date",IF(AND(A1109&gt;=SETTINGS!$B$4,A1109&lt;MAIN!$B$3),"Yes",IF(AND(A1109=MAIN!$B$3,E1109&lt;=MAIN!$L$3),"Yes","No")),IF(OR(MAIN!$F$3="Full Year",MAIN!$D$3="All"),"Yes",IF(MAIN!$F$3="Monthly",IF(E1109=MAIN!$L$3,"Yes","No"),IF(E1109&lt;=MAIN!$L$3,"Yes","No"))))</f>
        <v>Yes</v>
      </c>
      <c r="AA1109" t="str">
        <f t="shared" si="107"/>
        <v>No</v>
      </c>
    </row>
    <row r="1110" spans="1:27" x14ac:dyDescent="0.3">
      <c r="A1110">
        <f>INDEX(SETTINGS!$A$15:$A$24,$B1110)</f>
        <v>2029</v>
      </c>
      <c r="B1110">
        <v>5</v>
      </c>
      <c r="C1110" t="str">
        <f>IF(AND(A1110&gt;=SETTINGS!$B$4,A1110&lt;=SETTINGS!$B$5),"Yes","No")</f>
        <v>No</v>
      </c>
      <c r="D1110" t="str">
        <f>IFERROR(INDEX(SETTINGS!$C$15:$C$24,MATCH(A1110,SETTINGS!$A$15:$A$24,0)),"No")</f>
        <v>No</v>
      </c>
      <c r="E1110">
        <v>11</v>
      </c>
      <c r="F1110" t="s">
        <v>44</v>
      </c>
      <c r="G1110">
        <v>256</v>
      </c>
      <c r="H1110" t="s">
        <v>100</v>
      </c>
      <c r="I1110" t="s">
        <v>15</v>
      </c>
      <c r="J1110" t="s">
        <v>19</v>
      </c>
      <c r="K1110" t="s">
        <v>3</v>
      </c>
      <c r="L1110" s="36">
        <f ca="1">IF(C1110&lt;&gt;"Yes",0,IF(A1110=2025,N('2025'!D256),IF(A1110=2026,N('2026'!D256),IF(A1110=2027,N('2027'!D256),IF(A1110=2028,N('2028'!D256),IF(A1110=2029,N('2029'!D256),IF(A1110=2030,N('2030'!D256),IF(A1110=2031,N('2031'!D256),IF(A1110=2032,N('2032'!D256),IF(A1110=2033,N('2033'!D256),IF(A1110=2034,N('2034'!D256),IFERROR(N(INDIRECT("'"&amp;A1110&amp;"'!D"&amp;G1110)),0))))))))))))</f>
        <v>0</v>
      </c>
      <c r="M1110" s="36">
        <f>IFERROR(IF(NOT(ISBLANK(KPI_TARGETS!$K$11)),KPI_TARGETS!$K$11,IF(NOT(ISBLANK(KPI_TARGETS!$F$11)),KPI_TARGETS!$F$11,"")),"")</f>
        <v>0</v>
      </c>
      <c r="N1110" s="36" t="str">
        <f>IFERROR(KPI_TARGETS!$E$11,"Higher is better")</f>
        <v>Lower is better</v>
      </c>
      <c r="O1110" s="37">
        <f t="shared" ca="1" si="102"/>
        <v>1</v>
      </c>
      <c r="P1110" t="str">
        <f t="shared" ca="1" si="103"/>
        <v>Green</v>
      </c>
      <c r="Q1110" s="36">
        <f t="shared" ca="1" si="104"/>
        <v>0</v>
      </c>
      <c r="R1110" s="36" t="str">
        <f>""</f>
        <v/>
      </c>
      <c r="S1110" s="36" t="str">
        <f>""</f>
        <v/>
      </c>
      <c r="T1110" s="36" t="str">
        <f>""</f>
        <v/>
      </c>
      <c r="U1110" s="36" t="str">
        <f>""</f>
        <v/>
      </c>
      <c r="V1110" s="36" t="str">
        <f>""</f>
        <v/>
      </c>
      <c r="W1110" s="36">
        <f t="shared" si="105"/>
        <v>1</v>
      </c>
      <c r="X1110" t="str">
        <f t="shared" si="106"/>
        <v>Inactive</v>
      </c>
      <c r="Y1110" t="str">
        <f>IF(MAIN!$H$3="Selected Year",IF(A1110=MAIN!$B$3,"Yes","No"),IF(MAIN!$H$3="Included Years",IF(D1110="Yes","Yes","No"),IF(C1110="Yes","Yes","No")))</f>
        <v>No</v>
      </c>
      <c r="Z1110" t="str">
        <f>IF(MAIN!$F$3="Project to Date",IF(AND(A1110&gt;=SETTINGS!$B$4,A1110&lt;MAIN!$B$3),"Yes",IF(AND(A1110=MAIN!$B$3,E1110&lt;=MAIN!$L$3),"Yes","No")),IF(OR(MAIN!$F$3="Full Year",MAIN!$D$3="All"),"Yes",IF(MAIN!$F$3="Monthly",IF(E1110=MAIN!$L$3,"Yes","No"),IF(E1110&lt;=MAIN!$L$3,"Yes","No"))))</f>
        <v>Yes</v>
      </c>
      <c r="AA1110" t="str">
        <f t="shared" si="107"/>
        <v>No</v>
      </c>
    </row>
    <row r="1111" spans="1:27" x14ac:dyDescent="0.3">
      <c r="A1111">
        <f>INDEX(SETTINGS!$A$15:$A$24,$B1111)</f>
        <v>2029</v>
      </c>
      <c r="B1111">
        <v>5</v>
      </c>
      <c r="C1111" t="str">
        <f>IF(AND(A1111&gt;=SETTINGS!$B$4,A1111&lt;=SETTINGS!$B$5),"Yes","No")</f>
        <v>No</v>
      </c>
      <c r="D1111" t="str">
        <f>IFERROR(INDEX(SETTINGS!$C$15:$C$24,MATCH(A1111,SETTINGS!$A$15:$A$24,0)),"No")</f>
        <v>No</v>
      </c>
      <c r="E1111">
        <v>11</v>
      </c>
      <c r="F1111" t="s">
        <v>44</v>
      </c>
      <c r="G1111">
        <v>257</v>
      </c>
      <c r="H1111" t="s">
        <v>101</v>
      </c>
      <c r="I1111" t="s">
        <v>15</v>
      </c>
      <c r="J1111" t="s">
        <v>20</v>
      </c>
      <c r="K1111" t="s">
        <v>3</v>
      </c>
      <c r="L1111" s="36">
        <f ca="1">IF(C1111&lt;&gt;"Yes",0,IF(A1111=2025,N('2025'!D257),IF(A1111=2026,N('2026'!D257),IF(A1111=2027,N('2027'!D257),IF(A1111=2028,N('2028'!D257),IF(A1111=2029,N('2029'!D257),IF(A1111=2030,N('2030'!D257),IF(A1111=2031,N('2031'!D257),IF(A1111=2032,N('2032'!D257),IF(A1111=2033,N('2033'!D257),IF(A1111=2034,N('2034'!D257),IFERROR(N(INDIRECT("'"&amp;A1111&amp;"'!D"&amp;G1111)),0))))))))))))</f>
        <v>0</v>
      </c>
      <c r="M1111" s="36">
        <f>IFERROR(IF(NOT(ISBLANK(KPI_TARGETS!$K$12)),KPI_TARGETS!$K$12,IF(NOT(ISBLANK(KPI_TARGETS!$F$12)),KPI_TARGETS!$F$12,"")),"")</f>
        <v>0</v>
      </c>
      <c r="N1111" s="36" t="str">
        <f>IFERROR(KPI_TARGETS!$E$12,"Higher is better")</f>
        <v>Lower is better</v>
      </c>
      <c r="O1111" s="37">
        <f t="shared" ca="1" si="102"/>
        <v>1</v>
      </c>
      <c r="P1111" t="str">
        <f t="shared" ca="1" si="103"/>
        <v>Green</v>
      </c>
      <c r="Q1111" s="36">
        <f t="shared" ca="1" si="104"/>
        <v>0</v>
      </c>
      <c r="R1111" s="36" t="str">
        <f>""</f>
        <v/>
      </c>
      <c r="S1111" s="36" t="str">
        <f>""</f>
        <v/>
      </c>
      <c r="T1111" s="36" t="str">
        <f>""</f>
        <v/>
      </c>
      <c r="U1111" s="36" t="str">
        <f>""</f>
        <v/>
      </c>
      <c r="V1111" s="36" t="str">
        <f>""</f>
        <v/>
      </c>
      <c r="W1111" s="36">
        <f t="shared" si="105"/>
        <v>1</v>
      </c>
      <c r="X1111" t="str">
        <f t="shared" si="106"/>
        <v>Inactive</v>
      </c>
      <c r="Y1111" t="str">
        <f>IF(MAIN!$H$3="Selected Year",IF(A1111=MAIN!$B$3,"Yes","No"),IF(MAIN!$H$3="Included Years",IF(D1111="Yes","Yes","No"),IF(C1111="Yes","Yes","No")))</f>
        <v>No</v>
      </c>
      <c r="Z1111" t="str">
        <f>IF(MAIN!$F$3="Project to Date",IF(AND(A1111&gt;=SETTINGS!$B$4,A1111&lt;MAIN!$B$3),"Yes",IF(AND(A1111=MAIN!$B$3,E1111&lt;=MAIN!$L$3),"Yes","No")),IF(OR(MAIN!$F$3="Full Year",MAIN!$D$3="All"),"Yes",IF(MAIN!$F$3="Monthly",IF(E1111=MAIN!$L$3,"Yes","No"),IF(E1111&lt;=MAIN!$L$3,"Yes","No"))))</f>
        <v>Yes</v>
      </c>
      <c r="AA1111" t="str">
        <f t="shared" si="107"/>
        <v>No</v>
      </c>
    </row>
    <row r="1112" spans="1:27" x14ac:dyDescent="0.3">
      <c r="A1112">
        <f>INDEX(SETTINGS!$A$15:$A$24,$B1112)</f>
        <v>2029</v>
      </c>
      <c r="B1112">
        <v>5</v>
      </c>
      <c r="C1112" t="str">
        <f>IF(AND(A1112&gt;=SETTINGS!$B$4,A1112&lt;=SETTINGS!$B$5),"Yes","No")</f>
        <v>No</v>
      </c>
      <c r="D1112" t="str">
        <f>IFERROR(INDEX(SETTINGS!$C$15:$C$24,MATCH(A1112,SETTINGS!$A$15:$A$24,0)),"No")</f>
        <v>No</v>
      </c>
      <c r="E1112">
        <v>11</v>
      </c>
      <c r="F1112" t="s">
        <v>44</v>
      </c>
      <c r="G1112">
        <v>258</v>
      </c>
      <c r="H1112" t="s">
        <v>102</v>
      </c>
      <c r="I1112" t="s">
        <v>15</v>
      </c>
      <c r="J1112" t="s">
        <v>21</v>
      </c>
      <c r="K1112" t="s">
        <v>3</v>
      </c>
      <c r="L1112" s="36">
        <f ca="1">IF(C1112&lt;&gt;"Yes",0,IF(A1112=2025,N('2025'!D258),IF(A1112=2026,N('2026'!D258),IF(A1112=2027,N('2027'!D258),IF(A1112=2028,N('2028'!D258),IF(A1112=2029,N('2029'!D258),IF(A1112=2030,N('2030'!D258),IF(A1112=2031,N('2031'!D258),IF(A1112=2032,N('2032'!D258),IF(A1112=2033,N('2033'!D258),IF(A1112=2034,N('2034'!D258),IFERROR(N(INDIRECT("'"&amp;A1112&amp;"'!D"&amp;G1112)),0))))))))))))</f>
        <v>0</v>
      </c>
      <c r="M1112" s="36">
        <f>IFERROR(IF(NOT(ISBLANK(KPI_TARGETS!$K$13)),KPI_TARGETS!$K$13,IF(NOT(ISBLANK(KPI_TARGETS!$F$13)),KPI_TARGETS!$F$13,"")),"")</f>
        <v>0</v>
      </c>
      <c r="N1112" s="36" t="str">
        <f>IFERROR(KPI_TARGETS!$E$13,"Higher is better")</f>
        <v>Lower is better</v>
      </c>
      <c r="O1112" s="37">
        <f t="shared" ca="1" si="102"/>
        <v>1</v>
      </c>
      <c r="P1112" t="str">
        <f t="shared" ca="1" si="103"/>
        <v>Green</v>
      </c>
      <c r="Q1112" s="36">
        <f t="shared" ca="1" si="104"/>
        <v>0</v>
      </c>
      <c r="R1112" s="36" t="str">
        <f>""</f>
        <v/>
      </c>
      <c r="S1112" s="36" t="str">
        <f>""</f>
        <v/>
      </c>
      <c r="T1112" s="36" t="str">
        <f>""</f>
        <v/>
      </c>
      <c r="U1112" s="36" t="str">
        <f>""</f>
        <v/>
      </c>
      <c r="V1112" s="36" t="str">
        <f>""</f>
        <v/>
      </c>
      <c r="W1112" s="36">
        <f t="shared" si="105"/>
        <v>1</v>
      </c>
      <c r="X1112" t="str">
        <f t="shared" si="106"/>
        <v>Inactive</v>
      </c>
      <c r="Y1112" t="str">
        <f>IF(MAIN!$H$3="Selected Year",IF(A1112=MAIN!$B$3,"Yes","No"),IF(MAIN!$H$3="Included Years",IF(D1112="Yes","Yes","No"),IF(C1112="Yes","Yes","No")))</f>
        <v>No</v>
      </c>
      <c r="Z1112" t="str">
        <f>IF(MAIN!$F$3="Project to Date",IF(AND(A1112&gt;=SETTINGS!$B$4,A1112&lt;MAIN!$B$3),"Yes",IF(AND(A1112=MAIN!$B$3,E1112&lt;=MAIN!$L$3),"Yes","No")),IF(OR(MAIN!$F$3="Full Year",MAIN!$D$3="All"),"Yes",IF(MAIN!$F$3="Monthly",IF(E1112=MAIN!$L$3,"Yes","No"),IF(E1112&lt;=MAIN!$L$3,"Yes","No"))))</f>
        <v>Yes</v>
      </c>
      <c r="AA1112" t="str">
        <f t="shared" si="107"/>
        <v>No</v>
      </c>
    </row>
    <row r="1113" spans="1:27" x14ac:dyDescent="0.3">
      <c r="A1113">
        <f>INDEX(SETTINGS!$A$15:$A$24,$B1113)</f>
        <v>2029</v>
      </c>
      <c r="B1113">
        <v>5</v>
      </c>
      <c r="C1113" t="str">
        <f>IF(AND(A1113&gt;=SETTINGS!$B$4,A1113&lt;=SETTINGS!$B$5),"Yes","No")</f>
        <v>No</v>
      </c>
      <c r="D1113" t="str">
        <f>IFERROR(INDEX(SETTINGS!$C$15:$C$24,MATCH(A1113,SETTINGS!$A$15:$A$24,0)),"No")</f>
        <v>No</v>
      </c>
      <c r="E1113">
        <v>11</v>
      </c>
      <c r="F1113" t="s">
        <v>44</v>
      </c>
      <c r="G1113">
        <v>260</v>
      </c>
      <c r="H1113" t="s">
        <v>103</v>
      </c>
      <c r="I1113" t="s">
        <v>22</v>
      </c>
      <c r="J1113" t="s">
        <v>23</v>
      </c>
      <c r="K1113" t="s">
        <v>3</v>
      </c>
      <c r="L1113" s="36">
        <f ca="1">IF(C1113&lt;&gt;"Yes",0,IF(A1113=2025,N('2025'!D260),IF(A1113=2026,N('2026'!D260),IF(A1113=2027,N('2027'!D260),IF(A1113=2028,N('2028'!D260),IF(A1113=2029,N('2029'!D260),IF(A1113=2030,N('2030'!D260),IF(A1113=2031,N('2031'!D260),IF(A1113=2032,N('2032'!D260),IF(A1113=2033,N('2033'!D260),IF(A1113=2034,N('2034'!D260),IFERROR(N(INDIRECT("'"&amp;A1113&amp;"'!D"&amp;G1113)),0))))))))))))</f>
        <v>0</v>
      </c>
      <c r="M1113" s="36">
        <f>IFERROR(IF(NOT(ISBLANK(KPI_TARGETS!$K$14)),KPI_TARGETS!$K$14,IF(NOT(ISBLANK(KPI_TARGETS!$F$14)),KPI_TARGETS!$F$14,"")),"")</f>
        <v>35</v>
      </c>
      <c r="N1113" s="36" t="str">
        <f>IFERROR(KPI_TARGETS!$E$14,"Higher is better")</f>
        <v>Higher is better</v>
      </c>
      <c r="O1113" s="37">
        <f t="shared" ca="1" si="102"/>
        <v>0</v>
      </c>
      <c r="P1113" t="str">
        <f t="shared" ca="1" si="103"/>
        <v>Red</v>
      </c>
      <c r="Q1113" s="36">
        <f t="shared" ca="1" si="104"/>
        <v>-35</v>
      </c>
      <c r="R1113" s="36" t="str">
        <f>""</f>
        <v/>
      </c>
      <c r="S1113" s="36" t="str">
        <f>""</f>
        <v/>
      </c>
      <c r="T1113" s="36" t="str">
        <f>""</f>
        <v/>
      </c>
      <c r="U1113" s="36" t="str">
        <f>""</f>
        <v/>
      </c>
      <c r="V1113" s="36" t="str">
        <f>""</f>
        <v/>
      </c>
      <c r="W1113" s="36">
        <f t="shared" si="105"/>
        <v>1</v>
      </c>
      <c r="X1113" t="str">
        <f t="shared" si="106"/>
        <v>Inactive</v>
      </c>
      <c r="Y1113" t="str">
        <f>IF(MAIN!$H$3="Selected Year",IF(A1113=MAIN!$B$3,"Yes","No"),IF(MAIN!$H$3="Included Years",IF(D1113="Yes","Yes","No"),IF(C1113="Yes","Yes","No")))</f>
        <v>No</v>
      </c>
      <c r="Z1113" t="str">
        <f>IF(MAIN!$F$3="Project to Date",IF(AND(A1113&gt;=SETTINGS!$B$4,A1113&lt;MAIN!$B$3),"Yes",IF(AND(A1113=MAIN!$B$3,E1113&lt;=MAIN!$L$3),"Yes","No")),IF(OR(MAIN!$F$3="Full Year",MAIN!$D$3="All"),"Yes",IF(MAIN!$F$3="Monthly",IF(E1113=MAIN!$L$3,"Yes","No"),IF(E1113&lt;=MAIN!$L$3,"Yes","No"))))</f>
        <v>Yes</v>
      </c>
      <c r="AA1113" t="str">
        <f t="shared" si="107"/>
        <v>No</v>
      </c>
    </row>
    <row r="1114" spans="1:27" x14ac:dyDescent="0.3">
      <c r="A1114">
        <f>INDEX(SETTINGS!$A$15:$A$24,$B1114)</f>
        <v>2029</v>
      </c>
      <c r="B1114">
        <v>5</v>
      </c>
      <c r="C1114" t="str">
        <f>IF(AND(A1114&gt;=SETTINGS!$B$4,A1114&lt;=SETTINGS!$B$5),"Yes","No")</f>
        <v>No</v>
      </c>
      <c r="D1114" t="str">
        <f>IFERROR(INDEX(SETTINGS!$C$15:$C$24,MATCH(A1114,SETTINGS!$A$15:$A$24,0)),"No")</f>
        <v>No</v>
      </c>
      <c r="E1114">
        <v>11</v>
      </c>
      <c r="F1114" t="s">
        <v>44</v>
      </c>
      <c r="G1114">
        <v>261</v>
      </c>
      <c r="H1114" t="s">
        <v>104</v>
      </c>
      <c r="I1114" t="s">
        <v>22</v>
      </c>
      <c r="J1114" t="s">
        <v>24</v>
      </c>
      <c r="K1114" t="s">
        <v>3</v>
      </c>
      <c r="L1114" s="36">
        <f ca="1">IF(C1114&lt;&gt;"Yes",0,IF(A1114=2025,N('2025'!D261),IF(A1114=2026,N('2026'!D261),IF(A1114=2027,N('2027'!D261),IF(A1114=2028,N('2028'!D261),IF(A1114=2029,N('2029'!D261),IF(A1114=2030,N('2030'!D261),IF(A1114=2031,N('2031'!D261),IF(A1114=2032,N('2032'!D261),IF(A1114=2033,N('2033'!D261),IF(A1114=2034,N('2034'!D261),IFERROR(N(INDIRECT("'"&amp;A1114&amp;"'!D"&amp;G1114)),0))))))))))))</f>
        <v>0</v>
      </c>
      <c r="M1114" s="36">
        <f>IFERROR(IF(NOT(ISBLANK(KPI_TARGETS!$K$15)),KPI_TARGETS!$K$15,IF(NOT(ISBLANK(KPI_TARGETS!$F$15)),KPI_TARGETS!$F$15,"")),"")</f>
        <v>5</v>
      </c>
      <c r="N1114" s="36" t="str">
        <f>IFERROR(KPI_TARGETS!$E$15,"Higher is better")</f>
        <v>Higher is better</v>
      </c>
      <c r="O1114" s="37">
        <f t="shared" ca="1" si="102"/>
        <v>0</v>
      </c>
      <c r="P1114" t="str">
        <f t="shared" ca="1" si="103"/>
        <v>Red</v>
      </c>
      <c r="Q1114" s="36">
        <f t="shared" ca="1" si="104"/>
        <v>-5</v>
      </c>
      <c r="R1114" s="36" t="str">
        <f>""</f>
        <v/>
      </c>
      <c r="S1114" s="36" t="str">
        <f>""</f>
        <v/>
      </c>
      <c r="T1114" s="36" t="str">
        <f>""</f>
        <v/>
      </c>
      <c r="U1114" s="36" t="str">
        <f>""</f>
        <v/>
      </c>
      <c r="V1114" s="36" t="str">
        <f>""</f>
        <v/>
      </c>
      <c r="W1114" s="36">
        <f t="shared" si="105"/>
        <v>1</v>
      </c>
      <c r="X1114" t="str">
        <f t="shared" si="106"/>
        <v>Inactive</v>
      </c>
      <c r="Y1114" t="str">
        <f>IF(MAIN!$H$3="Selected Year",IF(A1114=MAIN!$B$3,"Yes","No"),IF(MAIN!$H$3="Included Years",IF(D1114="Yes","Yes","No"),IF(C1114="Yes","Yes","No")))</f>
        <v>No</v>
      </c>
      <c r="Z1114" t="str">
        <f>IF(MAIN!$F$3="Project to Date",IF(AND(A1114&gt;=SETTINGS!$B$4,A1114&lt;MAIN!$B$3),"Yes",IF(AND(A1114=MAIN!$B$3,E1114&lt;=MAIN!$L$3),"Yes","No")),IF(OR(MAIN!$F$3="Full Year",MAIN!$D$3="All"),"Yes",IF(MAIN!$F$3="Monthly",IF(E1114=MAIN!$L$3,"Yes","No"),IF(E1114&lt;=MAIN!$L$3,"Yes","No"))))</f>
        <v>Yes</v>
      </c>
      <c r="AA1114" t="str">
        <f t="shared" si="107"/>
        <v>No</v>
      </c>
    </row>
    <row r="1115" spans="1:27" x14ac:dyDescent="0.3">
      <c r="A1115">
        <f>INDEX(SETTINGS!$A$15:$A$24,$B1115)</f>
        <v>2029</v>
      </c>
      <c r="B1115">
        <v>5</v>
      </c>
      <c r="C1115" t="str">
        <f>IF(AND(A1115&gt;=SETTINGS!$B$4,A1115&lt;=SETTINGS!$B$5),"Yes","No")</f>
        <v>No</v>
      </c>
      <c r="D1115" t="str">
        <f>IFERROR(INDEX(SETTINGS!$C$15:$C$24,MATCH(A1115,SETTINGS!$A$15:$A$24,0)),"No")</f>
        <v>No</v>
      </c>
      <c r="E1115">
        <v>11</v>
      </c>
      <c r="F1115" t="s">
        <v>44</v>
      </c>
      <c r="G1115">
        <v>262</v>
      </c>
      <c r="H1115" t="s">
        <v>105</v>
      </c>
      <c r="I1115" t="s">
        <v>22</v>
      </c>
      <c r="J1115" t="s">
        <v>25</v>
      </c>
      <c r="K1115" t="s">
        <v>3</v>
      </c>
      <c r="L1115" s="36">
        <f ca="1">IF(C1115&lt;&gt;"Yes",0,IF(A1115=2025,N('2025'!D262),IF(A1115=2026,N('2026'!D262),IF(A1115=2027,N('2027'!D262),IF(A1115=2028,N('2028'!D262),IF(A1115=2029,N('2029'!D262),IF(A1115=2030,N('2030'!D262),IF(A1115=2031,N('2031'!D262),IF(A1115=2032,N('2032'!D262),IF(A1115=2033,N('2033'!D262),IF(A1115=2034,N('2034'!D262),IFERROR(N(INDIRECT("'"&amp;A1115&amp;"'!D"&amp;G1115)),0))))))))))))</f>
        <v>0</v>
      </c>
      <c r="M1115" s="36">
        <f>IFERROR(IF(NOT(ISBLANK(KPI_TARGETS!$K$16)),KPI_TARGETS!$K$16,IF(NOT(ISBLANK(KPI_TARGETS!$F$16)),KPI_TARGETS!$F$16,"")),"")</f>
        <v>4</v>
      </c>
      <c r="N1115" s="36" t="str">
        <f>IFERROR(KPI_TARGETS!$E$16,"Higher is better")</f>
        <v>Higher is better</v>
      </c>
      <c r="O1115" s="37">
        <f t="shared" ca="1" si="102"/>
        <v>0</v>
      </c>
      <c r="P1115" t="str">
        <f t="shared" ca="1" si="103"/>
        <v>Red</v>
      </c>
      <c r="Q1115" s="36">
        <f t="shared" ca="1" si="104"/>
        <v>-4</v>
      </c>
      <c r="R1115" s="36" t="str">
        <f>""</f>
        <v/>
      </c>
      <c r="S1115" s="36" t="str">
        <f>""</f>
        <v/>
      </c>
      <c r="T1115" s="36" t="str">
        <f>""</f>
        <v/>
      </c>
      <c r="U1115" s="36" t="str">
        <f>""</f>
        <v/>
      </c>
      <c r="V1115" s="36" t="str">
        <f>""</f>
        <v/>
      </c>
      <c r="W1115" s="36">
        <f t="shared" si="105"/>
        <v>1</v>
      </c>
      <c r="X1115" t="str">
        <f t="shared" si="106"/>
        <v>Inactive</v>
      </c>
      <c r="Y1115" t="str">
        <f>IF(MAIN!$H$3="Selected Year",IF(A1115=MAIN!$B$3,"Yes","No"),IF(MAIN!$H$3="Included Years",IF(D1115="Yes","Yes","No"),IF(C1115="Yes","Yes","No")))</f>
        <v>No</v>
      </c>
      <c r="Z1115" t="str">
        <f>IF(MAIN!$F$3="Project to Date",IF(AND(A1115&gt;=SETTINGS!$B$4,A1115&lt;MAIN!$B$3),"Yes",IF(AND(A1115=MAIN!$B$3,E1115&lt;=MAIN!$L$3),"Yes","No")),IF(OR(MAIN!$F$3="Full Year",MAIN!$D$3="All"),"Yes",IF(MAIN!$F$3="Monthly",IF(E1115=MAIN!$L$3,"Yes","No"),IF(E1115&lt;=MAIN!$L$3,"Yes","No"))))</f>
        <v>Yes</v>
      </c>
      <c r="AA1115" t="str">
        <f t="shared" si="107"/>
        <v>No</v>
      </c>
    </row>
    <row r="1116" spans="1:27" x14ac:dyDescent="0.3">
      <c r="A1116">
        <f>INDEX(SETTINGS!$A$15:$A$24,$B1116)</f>
        <v>2029</v>
      </c>
      <c r="B1116">
        <v>5</v>
      </c>
      <c r="C1116" t="str">
        <f>IF(AND(A1116&gt;=SETTINGS!$B$4,A1116&lt;=SETTINGS!$B$5),"Yes","No")</f>
        <v>No</v>
      </c>
      <c r="D1116" t="str">
        <f>IFERROR(INDEX(SETTINGS!$C$15:$C$24,MATCH(A1116,SETTINGS!$A$15:$A$24,0)),"No")</f>
        <v>No</v>
      </c>
      <c r="E1116">
        <v>11</v>
      </c>
      <c r="F1116" t="s">
        <v>44</v>
      </c>
      <c r="G1116">
        <v>263</v>
      </c>
      <c r="H1116" t="s">
        <v>106</v>
      </c>
      <c r="I1116" t="s">
        <v>22</v>
      </c>
      <c r="J1116" t="s">
        <v>26</v>
      </c>
      <c r="K1116" t="s">
        <v>3</v>
      </c>
      <c r="L1116" s="36">
        <f ca="1">IF(C1116&lt;&gt;"Yes",0,IF(A1116=2025,N('2025'!D263),IF(A1116=2026,N('2026'!D263),IF(A1116=2027,N('2027'!D263),IF(A1116=2028,N('2028'!D263),IF(A1116=2029,N('2029'!D263),IF(A1116=2030,N('2030'!D263),IF(A1116=2031,N('2031'!D263),IF(A1116=2032,N('2032'!D263),IF(A1116=2033,N('2033'!D263),IF(A1116=2034,N('2034'!D263),IFERROR(N(INDIRECT("'"&amp;A1116&amp;"'!D"&amp;G1116)),0))))))))))))</f>
        <v>0</v>
      </c>
      <c r="M1116" s="36">
        <f>IFERROR(IF(NOT(ISBLANK(KPI_TARGETS!$K$17)),KPI_TARGETS!$K$17,IF(NOT(ISBLANK(KPI_TARGETS!$F$17)),KPI_TARGETS!$F$17,"")),"")</f>
        <v>12</v>
      </c>
      <c r="N1116" s="36" t="str">
        <f>IFERROR(KPI_TARGETS!$E$17,"Higher is better")</f>
        <v>Higher is better</v>
      </c>
      <c r="O1116" s="37">
        <f t="shared" ca="1" si="102"/>
        <v>0</v>
      </c>
      <c r="P1116" t="str">
        <f t="shared" ca="1" si="103"/>
        <v>Red</v>
      </c>
      <c r="Q1116" s="36">
        <f t="shared" ca="1" si="104"/>
        <v>-12</v>
      </c>
      <c r="R1116" s="36" t="str">
        <f>""</f>
        <v/>
      </c>
      <c r="S1116" s="36" t="str">
        <f>""</f>
        <v/>
      </c>
      <c r="T1116" s="36" t="str">
        <f>""</f>
        <v/>
      </c>
      <c r="U1116" s="36" t="str">
        <f>""</f>
        <v/>
      </c>
      <c r="V1116" s="36" t="str">
        <f>""</f>
        <v/>
      </c>
      <c r="W1116" s="36">
        <f t="shared" si="105"/>
        <v>1</v>
      </c>
      <c r="X1116" t="str">
        <f t="shared" si="106"/>
        <v>Inactive</v>
      </c>
      <c r="Y1116" t="str">
        <f>IF(MAIN!$H$3="Selected Year",IF(A1116=MAIN!$B$3,"Yes","No"),IF(MAIN!$H$3="Included Years",IF(D1116="Yes","Yes","No"),IF(C1116="Yes","Yes","No")))</f>
        <v>No</v>
      </c>
      <c r="Z1116" t="str">
        <f>IF(MAIN!$F$3="Project to Date",IF(AND(A1116&gt;=SETTINGS!$B$4,A1116&lt;MAIN!$B$3),"Yes",IF(AND(A1116=MAIN!$B$3,E1116&lt;=MAIN!$L$3),"Yes","No")),IF(OR(MAIN!$F$3="Full Year",MAIN!$D$3="All"),"Yes",IF(MAIN!$F$3="Monthly",IF(E1116=MAIN!$L$3,"Yes","No"),IF(E1116&lt;=MAIN!$L$3,"Yes","No"))))</f>
        <v>Yes</v>
      </c>
      <c r="AA1116" t="str">
        <f t="shared" si="107"/>
        <v>No</v>
      </c>
    </row>
    <row r="1117" spans="1:27" x14ac:dyDescent="0.3">
      <c r="A1117">
        <f>INDEX(SETTINGS!$A$15:$A$24,$B1117)</f>
        <v>2029</v>
      </c>
      <c r="B1117">
        <v>5</v>
      </c>
      <c r="C1117" t="str">
        <f>IF(AND(A1117&gt;=SETTINGS!$B$4,A1117&lt;=SETTINGS!$B$5),"Yes","No")</f>
        <v>No</v>
      </c>
      <c r="D1117" t="str">
        <f>IFERROR(INDEX(SETTINGS!$C$15:$C$24,MATCH(A1117,SETTINGS!$A$15:$A$24,0)),"No")</f>
        <v>No</v>
      </c>
      <c r="E1117">
        <v>11</v>
      </c>
      <c r="F1117" t="s">
        <v>44</v>
      </c>
      <c r="G1117">
        <v>264</v>
      </c>
      <c r="H1117" t="s">
        <v>107</v>
      </c>
      <c r="I1117" t="s">
        <v>22</v>
      </c>
      <c r="J1117" t="s">
        <v>27</v>
      </c>
      <c r="K1117" t="s">
        <v>3</v>
      </c>
      <c r="L1117" s="36">
        <f ca="1">IF(C1117&lt;&gt;"Yes",0,IF(A1117=2025,N('2025'!D264),IF(A1117=2026,N('2026'!D264),IF(A1117=2027,N('2027'!D264),IF(A1117=2028,N('2028'!D264),IF(A1117=2029,N('2029'!D264),IF(A1117=2030,N('2030'!D264),IF(A1117=2031,N('2031'!D264),IF(A1117=2032,N('2032'!D264),IF(A1117=2033,N('2033'!D264),IF(A1117=2034,N('2034'!D264),IFERROR(N(INDIRECT("'"&amp;A1117&amp;"'!D"&amp;G1117)),0))))))))))))</f>
        <v>0</v>
      </c>
      <c r="M1117" s="36">
        <f>IFERROR(IF(NOT(ISBLANK(KPI_TARGETS!$K$18)),KPI_TARGETS!$K$18,IF(NOT(ISBLANK(KPI_TARGETS!$F$18)),KPI_TARGETS!$F$18,"")),"")</f>
        <v>4</v>
      </c>
      <c r="N1117" s="36" t="str">
        <f>IFERROR(KPI_TARGETS!$E$18,"Higher is better")</f>
        <v>Higher is better</v>
      </c>
      <c r="O1117" s="37">
        <f t="shared" ca="1" si="102"/>
        <v>0</v>
      </c>
      <c r="P1117" t="str">
        <f t="shared" ca="1" si="103"/>
        <v>Red</v>
      </c>
      <c r="Q1117" s="36">
        <f t="shared" ca="1" si="104"/>
        <v>-4</v>
      </c>
      <c r="R1117" s="36" t="str">
        <f>""</f>
        <v/>
      </c>
      <c r="S1117" s="36" t="str">
        <f>""</f>
        <v/>
      </c>
      <c r="T1117" s="36" t="str">
        <f>""</f>
        <v/>
      </c>
      <c r="U1117" s="36" t="str">
        <f>""</f>
        <v/>
      </c>
      <c r="V1117" s="36" t="str">
        <f>""</f>
        <v/>
      </c>
      <c r="W1117" s="36">
        <f t="shared" si="105"/>
        <v>1</v>
      </c>
      <c r="X1117" t="str">
        <f t="shared" si="106"/>
        <v>Inactive</v>
      </c>
      <c r="Y1117" t="str">
        <f>IF(MAIN!$H$3="Selected Year",IF(A1117=MAIN!$B$3,"Yes","No"),IF(MAIN!$H$3="Included Years",IF(D1117="Yes","Yes","No"),IF(C1117="Yes","Yes","No")))</f>
        <v>No</v>
      </c>
      <c r="Z1117" t="str">
        <f>IF(MAIN!$F$3="Project to Date",IF(AND(A1117&gt;=SETTINGS!$B$4,A1117&lt;MAIN!$B$3),"Yes",IF(AND(A1117=MAIN!$B$3,E1117&lt;=MAIN!$L$3),"Yes","No")),IF(OR(MAIN!$F$3="Full Year",MAIN!$D$3="All"),"Yes",IF(MAIN!$F$3="Monthly",IF(E1117=MAIN!$L$3,"Yes","No"),IF(E1117&lt;=MAIN!$L$3,"Yes","No"))))</f>
        <v>Yes</v>
      </c>
      <c r="AA1117" t="str">
        <f t="shared" si="107"/>
        <v>No</v>
      </c>
    </row>
    <row r="1118" spans="1:27" x14ac:dyDescent="0.3">
      <c r="A1118">
        <f>INDEX(SETTINGS!$A$15:$A$24,$B1118)</f>
        <v>2029</v>
      </c>
      <c r="B1118">
        <v>5</v>
      </c>
      <c r="C1118" t="str">
        <f>IF(AND(A1118&gt;=SETTINGS!$B$4,A1118&lt;=SETTINGS!$B$5),"Yes","No")</f>
        <v>No</v>
      </c>
      <c r="D1118" t="str">
        <f>IFERROR(INDEX(SETTINGS!$C$15:$C$24,MATCH(A1118,SETTINGS!$A$15:$A$24,0)),"No")</f>
        <v>No</v>
      </c>
      <c r="E1118">
        <v>11</v>
      </c>
      <c r="F1118" t="s">
        <v>44</v>
      </c>
      <c r="G1118">
        <v>265</v>
      </c>
      <c r="H1118" t="s">
        <v>108</v>
      </c>
      <c r="I1118" t="s">
        <v>22</v>
      </c>
      <c r="J1118" t="s">
        <v>28</v>
      </c>
      <c r="K1118" t="s">
        <v>3</v>
      </c>
      <c r="L1118" s="36">
        <f ca="1">IF(C1118&lt;&gt;"Yes",0,IF(A1118=2025,N('2025'!D265),IF(A1118=2026,N('2026'!D265),IF(A1118=2027,N('2027'!D265),IF(A1118=2028,N('2028'!D265),IF(A1118=2029,N('2029'!D265),IF(A1118=2030,N('2030'!D265),IF(A1118=2031,N('2031'!D265),IF(A1118=2032,N('2032'!D265),IF(A1118=2033,N('2033'!D265),IF(A1118=2034,N('2034'!D265),IFERROR(N(INDIRECT("'"&amp;A1118&amp;"'!D"&amp;G1118)),0))))))))))))</f>
        <v>0</v>
      </c>
      <c r="M1118" s="36">
        <f>IFERROR(IF(NOT(ISBLANK(KPI_TARGETS!$K$19)),KPI_TARGETS!$K$19,IF(NOT(ISBLANK(KPI_TARGETS!$F$19)),KPI_TARGETS!$F$19,"")),"")</f>
        <v>16</v>
      </c>
      <c r="N1118" s="36" t="str">
        <f>IFERROR(KPI_TARGETS!$E$19,"Higher is better")</f>
        <v>Higher is better</v>
      </c>
      <c r="O1118" s="37">
        <f t="shared" ca="1" si="102"/>
        <v>0</v>
      </c>
      <c r="P1118" t="str">
        <f t="shared" ca="1" si="103"/>
        <v>Red</v>
      </c>
      <c r="Q1118" s="36">
        <f t="shared" ca="1" si="104"/>
        <v>-16</v>
      </c>
      <c r="R1118" s="36" t="str">
        <f>""</f>
        <v/>
      </c>
      <c r="S1118" s="36" t="str">
        <f>""</f>
        <v/>
      </c>
      <c r="T1118" s="36" t="str">
        <f>""</f>
        <v/>
      </c>
      <c r="U1118" s="36" t="str">
        <f>""</f>
        <v/>
      </c>
      <c r="V1118" s="36" t="str">
        <f>""</f>
        <v/>
      </c>
      <c r="W1118" s="36">
        <f t="shared" si="105"/>
        <v>1</v>
      </c>
      <c r="X1118" t="str">
        <f t="shared" si="106"/>
        <v>Inactive</v>
      </c>
      <c r="Y1118" t="str">
        <f>IF(MAIN!$H$3="Selected Year",IF(A1118=MAIN!$B$3,"Yes","No"),IF(MAIN!$H$3="Included Years",IF(D1118="Yes","Yes","No"),IF(C1118="Yes","Yes","No")))</f>
        <v>No</v>
      </c>
      <c r="Z1118" t="str">
        <f>IF(MAIN!$F$3="Project to Date",IF(AND(A1118&gt;=SETTINGS!$B$4,A1118&lt;MAIN!$B$3),"Yes",IF(AND(A1118=MAIN!$B$3,E1118&lt;=MAIN!$L$3),"Yes","No")),IF(OR(MAIN!$F$3="Full Year",MAIN!$D$3="All"),"Yes",IF(MAIN!$F$3="Monthly",IF(E1118=MAIN!$L$3,"Yes","No"),IF(E1118&lt;=MAIN!$L$3,"Yes","No"))))</f>
        <v>Yes</v>
      </c>
      <c r="AA1118" t="str">
        <f t="shared" si="107"/>
        <v>No</v>
      </c>
    </row>
    <row r="1119" spans="1:27" x14ac:dyDescent="0.3">
      <c r="A1119">
        <f>INDEX(SETTINGS!$A$15:$A$24,$B1119)</f>
        <v>2029</v>
      </c>
      <c r="B1119">
        <v>5</v>
      </c>
      <c r="C1119" t="str">
        <f>IF(AND(A1119&gt;=SETTINGS!$B$4,A1119&lt;=SETTINGS!$B$5),"Yes","No")</f>
        <v>No</v>
      </c>
      <c r="D1119" t="str">
        <f>IFERROR(INDEX(SETTINGS!$C$15:$C$24,MATCH(A1119,SETTINGS!$A$15:$A$24,0)),"No")</f>
        <v>No</v>
      </c>
      <c r="E1119">
        <v>11</v>
      </c>
      <c r="F1119" t="s">
        <v>44</v>
      </c>
      <c r="G1119">
        <v>266</v>
      </c>
      <c r="H1119" t="s">
        <v>109</v>
      </c>
      <c r="I1119" t="s">
        <v>22</v>
      </c>
      <c r="J1119" t="s">
        <v>29</v>
      </c>
      <c r="K1119" t="s">
        <v>3</v>
      </c>
      <c r="L1119" s="36">
        <f ca="1">IF(C1119&lt;&gt;"Yes",0,IF(A1119=2025,N('2025'!D266),IF(A1119=2026,N('2026'!D266),IF(A1119=2027,N('2027'!D266),IF(A1119=2028,N('2028'!D266),IF(A1119=2029,N('2029'!D266),IF(A1119=2030,N('2030'!D266),IF(A1119=2031,N('2031'!D266),IF(A1119=2032,N('2032'!D266),IF(A1119=2033,N('2033'!D266),IF(A1119=2034,N('2034'!D266),IFERROR(N(INDIRECT("'"&amp;A1119&amp;"'!D"&amp;G1119)),0))))))))))))</f>
        <v>0</v>
      </c>
      <c r="M1119" s="36">
        <f>IFERROR(IF(NOT(ISBLANK(KPI_TARGETS!$K$20)),KPI_TARGETS!$K$20,IF(NOT(ISBLANK(KPI_TARGETS!$F$20)),KPI_TARGETS!$F$20,"")),"")</f>
        <v>1</v>
      </c>
      <c r="N1119" s="36" t="str">
        <f>IFERROR(KPI_TARGETS!$E$20,"Higher is better")</f>
        <v>Higher is better</v>
      </c>
      <c r="O1119" s="37">
        <f t="shared" ca="1" si="102"/>
        <v>0</v>
      </c>
      <c r="P1119" t="str">
        <f t="shared" ca="1" si="103"/>
        <v>Red</v>
      </c>
      <c r="Q1119" s="36">
        <f t="shared" ca="1" si="104"/>
        <v>-1</v>
      </c>
      <c r="R1119" s="36" t="str">
        <f>""</f>
        <v/>
      </c>
      <c r="S1119" s="36" t="str">
        <f>""</f>
        <v/>
      </c>
      <c r="T1119" s="36" t="str">
        <f>""</f>
        <v/>
      </c>
      <c r="U1119" s="36" t="str">
        <f>""</f>
        <v/>
      </c>
      <c r="V1119" s="36" t="str">
        <f>""</f>
        <v/>
      </c>
      <c r="W1119" s="36">
        <f t="shared" si="105"/>
        <v>1</v>
      </c>
      <c r="X1119" t="str">
        <f t="shared" si="106"/>
        <v>Inactive</v>
      </c>
      <c r="Y1119" t="str">
        <f>IF(MAIN!$H$3="Selected Year",IF(A1119=MAIN!$B$3,"Yes","No"),IF(MAIN!$H$3="Included Years",IF(D1119="Yes","Yes","No"),IF(C1119="Yes","Yes","No")))</f>
        <v>No</v>
      </c>
      <c r="Z1119" t="str">
        <f>IF(MAIN!$F$3="Project to Date",IF(AND(A1119&gt;=SETTINGS!$B$4,A1119&lt;MAIN!$B$3),"Yes",IF(AND(A1119=MAIN!$B$3,E1119&lt;=MAIN!$L$3),"Yes","No")),IF(OR(MAIN!$F$3="Full Year",MAIN!$D$3="All"),"Yes",IF(MAIN!$F$3="Monthly",IF(E1119=MAIN!$L$3,"Yes","No"),IF(E1119&lt;=MAIN!$L$3,"Yes","No"))))</f>
        <v>Yes</v>
      </c>
      <c r="AA1119" t="str">
        <f t="shared" si="107"/>
        <v>No</v>
      </c>
    </row>
    <row r="1120" spans="1:27" x14ac:dyDescent="0.3">
      <c r="A1120">
        <f>INDEX(SETTINGS!$A$15:$A$24,$B1120)</f>
        <v>2029</v>
      </c>
      <c r="B1120">
        <v>5</v>
      </c>
      <c r="C1120" t="str">
        <f>IF(AND(A1120&gt;=SETTINGS!$B$4,A1120&lt;=SETTINGS!$B$5),"Yes","No")</f>
        <v>No</v>
      </c>
      <c r="D1120" t="str">
        <f>IFERROR(INDEX(SETTINGS!$C$15:$C$24,MATCH(A1120,SETTINGS!$A$15:$A$24,0)),"No")</f>
        <v>No</v>
      </c>
      <c r="E1120">
        <v>11</v>
      </c>
      <c r="F1120" t="s">
        <v>44</v>
      </c>
      <c r="G1120">
        <v>268</v>
      </c>
      <c r="H1120" t="s">
        <v>110</v>
      </c>
      <c r="I1120" t="s">
        <v>30</v>
      </c>
      <c r="J1120" t="s">
        <v>31</v>
      </c>
      <c r="K1120" t="s">
        <v>3</v>
      </c>
      <c r="L1120" s="36">
        <f ca="1">IF(C1120&lt;&gt;"Yes",0,IF(A1120=2025,N('2025'!D268),IF(A1120=2026,N('2026'!D268),IF(A1120=2027,N('2027'!D268),IF(A1120=2028,N('2028'!D268),IF(A1120=2029,N('2029'!D268),IF(A1120=2030,N('2030'!D268),IF(A1120=2031,N('2031'!D268),IF(A1120=2032,N('2032'!D268),IF(A1120=2033,N('2033'!D268),IF(A1120=2034,N('2034'!D268),IFERROR(N(INDIRECT("'"&amp;A1120&amp;"'!D"&amp;G1120)),0))))))))))))</f>
        <v>0</v>
      </c>
      <c r="M1120" s="36">
        <f>IFERROR(IF(NOT(ISBLANK(KPI_TARGETS!$K$21)),KPI_TARGETS!$K$21,IF(NOT(ISBLANK(KPI_TARGETS!$F$21)),KPI_TARGETS!$F$21,"")),"")</f>
        <v>0</v>
      </c>
      <c r="N1120" s="36" t="str">
        <f>IFERROR(KPI_TARGETS!$E$21,"Higher is better")</f>
        <v>Lower is better</v>
      </c>
      <c r="O1120" s="37">
        <f t="shared" ca="1" si="102"/>
        <v>1</v>
      </c>
      <c r="P1120" t="str">
        <f t="shared" ca="1" si="103"/>
        <v>Green</v>
      </c>
      <c r="Q1120" s="36">
        <f t="shared" ca="1" si="104"/>
        <v>0</v>
      </c>
      <c r="R1120" s="36" t="str">
        <f>""</f>
        <v/>
      </c>
      <c r="S1120" s="36" t="str">
        <f>""</f>
        <v/>
      </c>
      <c r="T1120" s="36" t="str">
        <f>""</f>
        <v/>
      </c>
      <c r="U1120" s="36" t="str">
        <f>""</f>
        <v/>
      </c>
      <c r="V1120" s="36" t="str">
        <f>""</f>
        <v/>
      </c>
      <c r="W1120" s="36">
        <f t="shared" si="105"/>
        <v>1</v>
      </c>
      <c r="X1120" t="str">
        <f t="shared" si="106"/>
        <v>Inactive</v>
      </c>
      <c r="Y1120" t="str">
        <f>IF(MAIN!$H$3="Selected Year",IF(A1120=MAIN!$B$3,"Yes","No"),IF(MAIN!$H$3="Included Years",IF(D1120="Yes","Yes","No"),IF(C1120="Yes","Yes","No")))</f>
        <v>No</v>
      </c>
      <c r="Z1120" t="str">
        <f>IF(MAIN!$F$3="Project to Date",IF(AND(A1120&gt;=SETTINGS!$B$4,A1120&lt;MAIN!$B$3),"Yes",IF(AND(A1120=MAIN!$B$3,E1120&lt;=MAIN!$L$3),"Yes","No")),IF(OR(MAIN!$F$3="Full Year",MAIN!$D$3="All"),"Yes",IF(MAIN!$F$3="Monthly",IF(E1120=MAIN!$L$3,"Yes","No"),IF(E1120&lt;=MAIN!$L$3,"Yes","No"))))</f>
        <v>Yes</v>
      </c>
      <c r="AA1120" t="str">
        <f t="shared" si="107"/>
        <v>No</v>
      </c>
    </row>
    <row r="1121" spans="1:27" x14ac:dyDescent="0.3">
      <c r="A1121">
        <f>INDEX(SETTINGS!$A$15:$A$24,$B1121)</f>
        <v>2029</v>
      </c>
      <c r="B1121">
        <v>5</v>
      </c>
      <c r="C1121" t="str">
        <f>IF(AND(A1121&gt;=SETTINGS!$B$4,A1121&lt;=SETTINGS!$B$5),"Yes","No")</f>
        <v>No</v>
      </c>
      <c r="D1121" t="str">
        <f>IFERROR(INDEX(SETTINGS!$C$15:$C$24,MATCH(A1121,SETTINGS!$A$15:$A$24,0)),"No")</f>
        <v>No</v>
      </c>
      <c r="E1121">
        <v>11</v>
      </c>
      <c r="F1121" t="s">
        <v>44</v>
      </c>
      <c r="G1121">
        <v>269</v>
      </c>
      <c r="H1121" t="s">
        <v>111</v>
      </c>
      <c r="I1121" t="s">
        <v>30</v>
      </c>
      <c r="J1121" t="s">
        <v>32</v>
      </c>
      <c r="K1121" t="s">
        <v>3</v>
      </c>
      <c r="L1121" s="36">
        <f ca="1">IF(C1121&lt;&gt;"Yes",0,IF(A1121=2025,N('2025'!D269),IF(A1121=2026,N('2026'!D269),IF(A1121=2027,N('2027'!D269),IF(A1121=2028,N('2028'!D269),IF(A1121=2029,N('2029'!D269),IF(A1121=2030,N('2030'!D269),IF(A1121=2031,N('2031'!D269),IF(A1121=2032,N('2032'!D269),IF(A1121=2033,N('2033'!D269),IF(A1121=2034,N('2034'!D269),IFERROR(N(INDIRECT("'"&amp;A1121&amp;"'!D"&amp;G1121)),0))))))))))))</f>
        <v>0</v>
      </c>
      <c r="M1121" s="36">
        <f>IFERROR(IF(NOT(ISBLANK(KPI_TARGETS!$K$22)),KPI_TARGETS!$K$22,IF(NOT(ISBLANK(KPI_TARGETS!$F$22)),KPI_TARGETS!$F$22,"")),"")</f>
        <v>1</v>
      </c>
      <c r="N1121" s="36" t="str">
        <f>IFERROR(KPI_TARGETS!$E$22,"Higher is better")</f>
        <v>Higher is better</v>
      </c>
      <c r="O1121" s="37">
        <f t="shared" ca="1" si="102"/>
        <v>0</v>
      </c>
      <c r="P1121" t="str">
        <f t="shared" ca="1" si="103"/>
        <v>Red</v>
      </c>
      <c r="Q1121" s="36">
        <f t="shared" ca="1" si="104"/>
        <v>-1</v>
      </c>
      <c r="R1121" s="36" t="str">
        <f>""</f>
        <v/>
      </c>
      <c r="S1121" s="36" t="str">
        <f>""</f>
        <v/>
      </c>
      <c r="T1121" s="36" t="str">
        <f>""</f>
        <v/>
      </c>
      <c r="U1121" s="36" t="str">
        <f>""</f>
        <v/>
      </c>
      <c r="V1121" s="36" t="str">
        <f>""</f>
        <v/>
      </c>
      <c r="W1121" s="36">
        <f t="shared" si="105"/>
        <v>1</v>
      </c>
      <c r="X1121" t="str">
        <f t="shared" si="106"/>
        <v>Inactive</v>
      </c>
      <c r="Y1121" t="str">
        <f>IF(MAIN!$H$3="Selected Year",IF(A1121=MAIN!$B$3,"Yes","No"),IF(MAIN!$H$3="Included Years",IF(D1121="Yes","Yes","No"),IF(C1121="Yes","Yes","No")))</f>
        <v>No</v>
      </c>
      <c r="Z1121" t="str">
        <f>IF(MAIN!$F$3="Project to Date",IF(AND(A1121&gt;=SETTINGS!$B$4,A1121&lt;MAIN!$B$3),"Yes",IF(AND(A1121=MAIN!$B$3,E1121&lt;=MAIN!$L$3),"Yes","No")),IF(OR(MAIN!$F$3="Full Year",MAIN!$D$3="All"),"Yes",IF(MAIN!$F$3="Monthly",IF(E1121=MAIN!$L$3,"Yes","No"),IF(E1121&lt;=MAIN!$L$3,"Yes","No"))))</f>
        <v>Yes</v>
      </c>
      <c r="AA1121" t="str">
        <f t="shared" si="107"/>
        <v>No</v>
      </c>
    </row>
    <row r="1122" spans="1:27" x14ac:dyDescent="0.3">
      <c r="A1122">
        <f>INDEX(SETTINGS!$A$15:$A$24,$B1122)</f>
        <v>2029</v>
      </c>
      <c r="B1122">
        <v>5</v>
      </c>
      <c r="C1122" t="str">
        <f>IF(AND(A1122&gt;=SETTINGS!$B$4,A1122&lt;=SETTINGS!$B$5),"Yes","No")</f>
        <v>No</v>
      </c>
      <c r="D1122" t="str">
        <f>IFERROR(INDEX(SETTINGS!$C$15:$C$24,MATCH(A1122,SETTINGS!$A$15:$A$24,0)),"No")</f>
        <v>No</v>
      </c>
      <c r="E1122">
        <v>11</v>
      </c>
      <c r="F1122" t="s">
        <v>44</v>
      </c>
      <c r="G1122">
        <v>270</v>
      </c>
      <c r="H1122" t="s">
        <v>112</v>
      </c>
      <c r="I1122" t="s">
        <v>30</v>
      </c>
      <c r="J1122" t="s">
        <v>33</v>
      </c>
      <c r="K1122" t="s">
        <v>34</v>
      </c>
      <c r="L1122" s="36">
        <f ca="1">IF(C1122&lt;&gt;"Yes",0,IF(A1122=2025,N('2025'!D270),IF(A1122=2026,N('2026'!D270),IF(A1122=2027,N('2027'!D270),IF(A1122=2028,N('2028'!D270),IF(A1122=2029,N('2029'!D270),IF(A1122=2030,N('2030'!D270),IF(A1122=2031,N('2031'!D270),IF(A1122=2032,N('2032'!D270),IF(A1122=2033,N('2033'!D270),IF(A1122=2034,N('2034'!D270),IFERROR(N(INDIRECT("'"&amp;A1122&amp;"'!D"&amp;G1122)),0))))))))))))</f>
        <v>0</v>
      </c>
      <c r="M1122" s="36">
        <f>IFERROR(IF(NOT(ISBLANK(KPI_TARGETS!$K$23)),KPI_TARGETS!$K$23,IF(NOT(ISBLANK(KPI_TARGETS!$F$23)),KPI_TARGETS!$F$23,"")),"")</f>
        <v>1</v>
      </c>
      <c r="N1122" s="36" t="str">
        <f>IFERROR(KPI_TARGETS!$E$23,"Higher is better")</f>
        <v>Higher is better</v>
      </c>
      <c r="O1122" s="37">
        <f t="shared" ca="1" si="102"/>
        <v>0</v>
      </c>
      <c r="P1122" t="str">
        <f t="shared" ca="1" si="103"/>
        <v>Red</v>
      </c>
      <c r="Q1122" s="36">
        <f t="shared" ca="1" si="104"/>
        <v>-1</v>
      </c>
      <c r="R1122" s="36" t="str">
        <f>""</f>
        <v/>
      </c>
      <c r="S1122" s="36" t="str">
        <f>""</f>
        <v/>
      </c>
      <c r="T1122" s="36" t="str">
        <f>""</f>
        <v/>
      </c>
      <c r="U1122" s="36" t="str">
        <f>""</f>
        <v/>
      </c>
      <c r="V1122" s="36" t="str">
        <f>""</f>
        <v/>
      </c>
      <c r="W1122" s="36">
        <f t="shared" si="105"/>
        <v>1</v>
      </c>
      <c r="X1122" t="str">
        <f t="shared" si="106"/>
        <v>Inactive</v>
      </c>
      <c r="Y1122" t="str">
        <f>IF(MAIN!$H$3="Selected Year",IF(A1122=MAIN!$B$3,"Yes","No"),IF(MAIN!$H$3="Included Years",IF(D1122="Yes","Yes","No"),IF(C1122="Yes","Yes","No")))</f>
        <v>No</v>
      </c>
      <c r="Z1122" t="str">
        <f>IF(MAIN!$F$3="Project to Date",IF(AND(A1122&gt;=SETTINGS!$B$4,A1122&lt;MAIN!$B$3),"Yes",IF(AND(A1122=MAIN!$B$3,E1122&lt;=MAIN!$L$3),"Yes","No")),IF(OR(MAIN!$F$3="Full Year",MAIN!$D$3="All"),"Yes",IF(MAIN!$F$3="Monthly",IF(E1122=MAIN!$L$3,"Yes","No"),IF(E1122&lt;=MAIN!$L$3,"Yes","No"))))</f>
        <v>Yes</v>
      </c>
      <c r="AA1122" t="str">
        <f t="shared" si="107"/>
        <v>No</v>
      </c>
    </row>
    <row r="1123" spans="1:27" x14ac:dyDescent="0.3">
      <c r="A1123">
        <f>INDEX(SETTINGS!$A$15:$A$24,$B1123)</f>
        <v>2029</v>
      </c>
      <c r="B1123">
        <v>5</v>
      </c>
      <c r="C1123" t="str">
        <f>IF(AND(A1123&gt;=SETTINGS!$B$4,A1123&lt;=SETTINGS!$B$5),"Yes","No")</f>
        <v>No</v>
      </c>
      <c r="D1123" t="str">
        <f>IFERROR(INDEX(SETTINGS!$C$15:$C$24,MATCH(A1123,SETTINGS!$A$15:$A$24,0)),"No")</f>
        <v>No</v>
      </c>
      <c r="E1123">
        <v>12</v>
      </c>
      <c r="F1123" t="s">
        <v>45</v>
      </c>
      <c r="G1123">
        <v>273</v>
      </c>
      <c r="H1123" t="s">
        <v>88</v>
      </c>
      <c r="I1123" t="s">
        <v>89</v>
      </c>
      <c r="J1123" t="s">
        <v>10</v>
      </c>
      <c r="K1123" t="s">
        <v>3</v>
      </c>
      <c r="L1123" s="36">
        <f ca="1">IF(C1123&lt;&gt;"Yes",0,IF(A1123=2025,N('2025'!D273),IF(A1123=2026,N('2026'!D273),IF(A1123=2027,N('2027'!D273),IF(A1123=2028,N('2028'!D273),IF(A1123=2029,N('2029'!D273),IF(A1123=2030,N('2030'!D273),IF(A1123=2031,N('2031'!D273),IF(A1123=2032,N('2032'!D273),IF(A1123=2033,N('2033'!D273),IF(A1123=2034,N('2034'!D273),IFERROR(N(INDIRECT("'"&amp;A1123&amp;"'!D"&amp;G1123)),0))))))))))))</f>
        <v>0</v>
      </c>
      <c r="M1123" s="36">
        <f>IFERROR(IF(NOT(ISBLANK(KPI_TARGETS!$K$5)),KPI_TARGETS!$K$5,IF(NOT(ISBLANK(KPI_TARGETS!$F$5)),KPI_TARGETS!$F$5,"")),"")</f>
        <v>104</v>
      </c>
      <c r="N1123" s="36" t="str">
        <f>IFERROR(KPI_TARGETS!$E$5,"Higher is better")</f>
        <v>Higher is better</v>
      </c>
      <c r="O1123" s="37">
        <f t="shared" ca="1" si="102"/>
        <v>0</v>
      </c>
      <c r="P1123" t="str">
        <f t="shared" ca="1" si="103"/>
        <v>Red</v>
      </c>
      <c r="Q1123" s="36">
        <f t="shared" ca="1" si="104"/>
        <v>-104</v>
      </c>
      <c r="R1123" s="36" t="str">
        <f>""</f>
        <v/>
      </c>
      <c r="S1123" s="36" t="str">
        <f>""</f>
        <v/>
      </c>
      <c r="T1123" s="36" t="str">
        <f>""</f>
        <v/>
      </c>
      <c r="U1123" s="36" t="str">
        <f>""</f>
        <v/>
      </c>
      <c r="V1123" s="36" t="str">
        <f>""</f>
        <v/>
      </c>
      <c r="W1123" s="36">
        <f t="shared" si="105"/>
        <v>1</v>
      </c>
      <c r="X1123" t="str">
        <f t="shared" si="106"/>
        <v>Inactive</v>
      </c>
      <c r="Y1123" t="str">
        <f>IF(MAIN!$H$3="Selected Year",IF(A1123=MAIN!$B$3,"Yes","No"),IF(MAIN!$H$3="Included Years",IF(D1123="Yes","Yes","No"),IF(C1123="Yes","Yes","No")))</f>
        <v>No</v>
      </c>
      <c r="Z1123" t="str">
        <f>IF(MAIN!$F$3="Project to Date",IF(AND(A1123&gt;=SETTINGS!$B$4,A1123&lt;MAIN!$B$3),"Yes",IF(AND(A1123=MAIN!$B$3,E1123&lt;=MAIN!$L$3),"Yes","No")),IF(OR(MAIN!$F$3="Full Year",MAIN!$D$3="All"),"Yes",IF(MAIN!$F$3="Monthly",IF(E1123=MAIN!$L$3,"Yes","No"),IF(E1123&lt;=MAIN!$L$3,"Yes","No"))))</f>
        <v>Yes</v>
      </c>
      <c r="AA1123" t="str">
        <f t="shared" si="107"/>
        <v>No</v>
      </c>
    </row>
    <row r="1124" spans="1:27" x14ac:dyDescent="0.3">
      <c r="A1124">
        <f>INDEX(SETTINGS!$A$15:$A$24,$B1124)</f>
        <v>2029</v>
      </c>
      <c r="B1124">
        <v>5</v>
      </c>
      <c r="C1124" t="str">
        <f>IF(AND(A1124&gt;=SETTINGS!$B$4,A1124&lt;=SETTINGS!$B$5),"Yes","No")</f>
        <v>No</v>
      </c>
      <c r="D1124" t="str">
        <f>IFERROR(INDEX(SETTINGS!$C$15:$C$24,MATCH(A1124,SETTINGS!$A$15:$A$24,0)),"No")</f>
        <v>No</v>
      </c>
      <c r="E1124">
        <v>12</v>
      </c>
      <c r="F1124" t="s">
        <v>45</v>
      </c>
      <c r="G1124">
        <v>274</v>
      </c>
      <c r="H1124" t="s">
        <v>91</v>
      </c>
      <c r="I1124" t="s">
        <v>89</v>
      </c>
      <c r="J1124" t="s">
        <v>11</v>
      </c>
      <c r="K1124" t="s">
        <v>12</v>
      </c>
      <c r="L1124" s="36">
        <f ca="1">IF(C1124&lt;&gt;"Yes",0,IF(A1124=2025,N('2025'!D274),IF(A1124=2026,N('2026'!D274),IF(A1124=2027,N('2027'!D274),IF(A1124=2028,N('2028'!D274),IF(A1124=2029,N('2029'!D274),IF(A1124=2030,N('2030'!D274),IF(A1124=2031,N('2031'!D274),IF(A1124=2032,N('2032'!D274),IF(A1124=2033,N('2033'!D274),IF(A1124=2034,N('2034'!D274),IFERROR(N(INDIRECT("'"&amp;A1124&amp;"'!D"&amp;G1124)),0))))))))))))</f>
        <v>0</v>
      </c>
      <c r="M1124" s="36">
        <f>IFERROR(IF(NOT(ISBLANK(KPI_TARGETS!$K$6)),KPI_TARGETS!$K$6,IF(NOT(ISBLANK(KPI_TARGETS!$F$6)),KPI_TARGETS!$F$6,"")),"")</f>
        <v>4000</v>
      </c>
      <c r="N1124" s="36" t="str">
        <f>IFERROR(KPI_TARGETS!$E$6,"Higher is better")</f>
        <v>Higher is better</v>
      </c>
      <c r="O1124" s="37">
        <f t="shared" ca="1" si="102"/>
        <v>0</v>
      </c>
      <c r="P1124" t="str">
        <f t="shared" ca="1" si="103"/>
        <v>Red</v>
      </c>
      <c r="Q1124" s="36">
        <f t="shared" ca="1" si="104"/>
        <v>-4000</v>
      </c>
      <c r="R1124" s="36" t="str">
        <f>""</f>
        <v/>
      </c>
      <c r="S1124" s="36" t="str">
        <f>""</f>
        <v/>
      </c>
      <c r="T1124" s="36" t="str">
        <f>""</f>
        <v/>
      </c>
      <c r="U1124" s="36" t="str">
        <f>""</f>
        <v/>
      </c>
      <c r="V1124" s="36" t="str">
        <f>""</f>
        <v/>
      </c>
      <c r="W1124" s="36">
        <f t="shared" si="105"/>
        <v>1</v>
      </c>
      <c r="X1124" t="str">
        <f t="shared" si="106"/>
        <v>Inactive</v>
      </c>
      <c r="Y1124" t="str">
        <f>IF(MAIN!$H$3="Selected Year",IF(A1124=MAIN!$B$3,"Yes","No"),IF(MAIN!$H$3="Included Years",IF(D1124="Yes","Yes","No"),IF(C1124="Yes","Yes","No")))</f>
        <v>No</v>
      </c>
      <c r="Z1124" t="str">
        <f>IF(MAIN!$F$3="Project to Date",IF(AND(A1124&gt;=SETTINGS!$B$4,A1124&lt;MAIN!$B$3),"Yes",IF(AND(A1124=MAIN!$B$3,E1124&lt;=MAIN!$L$3),"Yes","No")),IF(OR(MAIN!$F$3="Full Year",MAIN!$D$3="All"),"Yes",IF(MAIN!$F$3="Monthly",IF(E1124=MAIN!$L$3,"Yes","No"),IF(E1124&lt;=MAIN!$L$3,"Yes","No"))))</f>
        <v>Yes</v>
      </c>
      <c r="AA1124" t="str">
        <f t="shared" si="107"/>
        <v>No</v>
      </c>
    </row>
    <row r="1125" spans="1:27" x14ac:dyDescent="0.3">
      <c r="A1125">
        <f>INDEX(SETTINGS!$A$15:$A$24,$B1125)</f>
        <v>2029</v>
      </c>
      <c r="B1125">
        <v>5</v>
      </c>
      <c r="C1125" t="str">
        <f>IF(AND(A1125&gt;=SETTINGS!$B$4,A1125&lt;=SETTINGS!$B$5),"Yes","No")</f>
        <v>No</v>
      </c>
      <c r="D1125" t="str">
        <f>IFERROR(INDEX(SETTINGS!$C$15:$C$24,MATCH(A1125,SETTINGS!$A$15:$A$24,0)),"No")</f>
        <v>No</v>
      </c>
      <c r="E1125">
        <v>12</v>
      </c>
      <c r="F1125" t="s">
        <v>45</v>
      </c>
      <c r="G1125">
        <v>275</v>
      </c>
      <c r="H1125" t="s">
        <v>93</v>
      </c>
      <c r="I1125" t="s">
        <v>89</v>
      </c>
      <c r="J1125" t="s">
        <v>13</v>
      </c>
      <c r="K1125" t="s">
        <v>14</v>
      </c>
      <c r="L1125" s="36">
        <f ca="1">IF(C1125&lt;&gt;"Yes",0,IF(A1125=2025,N('2025'!D275),IF(A1125=2026,N('2026'!D275),IF(A1125=2027,N('2027'!D275),IF(A1125=2028,N('2028'!D275),IF(A1125=2029,N('2029'!D275),IF(A1125=2030,N('2030'!D275),IF(A1125=2031,N('2031'!D275),IF(A1125=2032,N('2032'!D275),IF(A1125=2033,N('2033'!D275),IF(A1125=2034,N('2034'!D275),IFERROR(N(INDIRECT("'"&amp;A1125&amp;"'!D"&amp;G1125)),0))))))))))))</f>
        <v>0</v>
      </c>
      <c r="M1125" s="36">
        <f>IFERROR(IF(NOT(ISBLANK(KPI_TARGETS!$K$7)),KPI_TARGETS!$K$7,IF(NOT(ISBLANK(KPI_TARGETS!$F$7)),KPI_TARGETS!$F$7,"")),"")</f>
        <v>8000</v>
      </c>
      <c r="N1125" s="36" t="str">
        <f>IFERROR(KPI_TARGETS!$E$7,"Higher is better")</f>
        <v>Higher is better</v>
      </c>
      <c r="O1125" s="37">
        <f t="shared" ca="1" si="102"/>
        <v>0</v>
      </c>
      <c r="P1125" t="str">
        <f t="shared" ca="1" si="103"/>
        <v>Red</v>
      </c>
      <c r="Q1125" s="36">
        <f t="shared" ca="1" si="104"/>
        <v>-8000</v>
      </c>
      <c r="R1125" s="36" t="str">
        <f>""</f>
        <v/>
      </c>
      <c r="S1125" s="36" t="str">
        <f>""</f>
        <v/>
      </c>
      <c r="T1125" s="36" t="str">
        <f>""</f>
        <v/>
      </c>
      <c r="U1125" s="36" t="str">
        <f>""</f>
        <v/>
      </c>
      <c r="V1125" s="36" t="str">
        <f>""</f>
        <v/>
      </c>
      <c r="W1125" s="36">
        <f t="shared" si="105"/>
        <v>1</v>
      </c>
      <c r="X1125" t="str">
        <f t="shared" si="106"/>
        <v>Inactive</v>
      </c>
      <c r="Y1125" t="str">
        <f>IF(MAIN!$H$3="Selected Year",IF(A1125=MAIN!$B$3,"Yes","No"),IF(MAIN!$H$3="Included Years",IF(D1125="Yes","Yes","No"),IF(C1125="Yes","Yes","No")))</f>
        <v>No</v>
      </c>
      <c r="Z1125" t="str">
        <f>IF(MAIN!$F$3="Project to Date",IF(AND(A1125&gt;=SETTINGS!$B$4,A1125&lt;MAIN!$B$3),"Yes",IF(AND(A1125=MAIN!$B$3,E1125&lt;=MAIN!$L$3),"Yes","No")),IF(OR(MAIN!$F$3="Full Year",MAIN!$D$3="All"),"Yes",IF(MAIN!$F$3="Monthly",IF(E1125=MAIN!$L$3,"Yes","No"),IF(E1125&lt;=MAIN!$L$3,"Yes","No"))))</f>
        <v>Yes</v>
      </c>
      <c r="AA1125" t="str">
        <f t="shared" si="107"/>
        <v>No</v>
      </c>
    </row>
    <row r="1126" spans="1:27" x14ac:dyDescent="0.3">
      <c r="A1126">
        <f>INDEX(SETTINGS!$A$15:$A$24,$B1126)</f>
        <v>2029</v>
      </c>
      <c r="B1126">
        <v>5</v>
      </c>
      <c r="C1126" t="str">
        <f>IF(AND(A1126&gt;=SETTINGS!$B$4,A1126&lt;=SETTINGS!$B$5),"Yes","No")</f>
        <v>No</v>
      </c>
      <c r="D1126" t="str">
        <f>IFERROR(INDEX(SETTINGS!$C$15:$C$24,MATCH(A1126,SETTINGS!$A$15:$A$24,0)),"No")</f>
        <v>No</v>
      </c>
      <c r="E1126">
        <v>12</v>
      </c>
      <c r="F1126" t="s">
        <v>45</v>
      </c>
      <c r="G1126">
        <v>277</v>
      </c>
      <c r="H1126" t="s">
        <v>95</v>
      </c>
      <c r="I1126" t="s">
        <v>15</v>
      </c>
      <c r="J1126" t="s">
        <v>16</v>
      </c>
      <c r="K1126" t="s">
        <v>3</v>
      </c>
      <c r="L1126" s="36">
        <f ca="1">IF(C1126&lt;&gt;"Yes",0,IF(A1126=2025,N('2025'!D277),IF(A1126=2026,N('2026'!D277),IF(A1126=2027,N('2027'!D277),IF(A1126=2028,N('2028'!D277),IF(A1126=2029,N('2029'!D277),IF(A1126=2030,N('2030'!D277),IF(A1126=2031,N('2031'!D277),IF(A1126=2032,N('2032'!D277),IF(A1126=2033,N('2033'!D277),IF(A1126=2034,N('2034'!D277),IFERROR(N(INDIRECT("'"&amp;A1126&amp;"'!D"&amp;G1126)),0))))))))))))</f>
        <v>0</v>
      </c>
      <c r="M1126" s="36">
        <f>IFERROR(IF(NOT(ISBLANK(KPI_TARGETS!$K$8)),KPI_TARGETS!$K$8,IF(NOT(ISBLANK(KPI_TARGETS!$F$8)),KPI_TARGETS!$F$8,"")),"")</f>
        <v>0</v>
      </c>
      <c r="N1126" s="36" t="str">
        <f>IFERROR(KPI_TARGETS!$E$8,"Higher is better")</f>
        <v>Lower is better</v>
      </c>
      <c r="O1126" s="37">
        <f t="shared" ca="1" si="102"/>
        <v>1</v>
      </c>
      <c r="P1126" t="str">
        <f t="shared" ca="1" si="103"/>
        <v>Green</v>
      </c>
      <c r="Q1126" s="36">
        <f t="shared" ca="1" si="104"/>
        <v>0</v>
      </c>
      <c r="R1126" s="36" t="str">
        <f>""</f>
        <v/>
      </c>
      <c r="S1126" s="36" t="str">
        <f>""</f>
        <v/>
      </c>
      <c r="T1126" s="36" t="str">
        <f>""</f>
        <v/>
      </c>
      <c r="U1126" s="36" t="str">
        <f>""</f>
        <v/>
      </c>
      <c r="V1126" s="36" t="str">
        <f>""</f>
        <v/>
      </c>
      <c r="W1126" s="36">
        <f t="shared" si="105"/>
        <v>1</v>
      </c>
      <c r="X1126" t="str">
        <f t="shared" si="106"/>
        <v>Inactive</v>
      </c>
      <c r="Y1126" t="str">
        <f>IF(MAIN!$H$3="Selected Year",IF(A1126=MAIN!$B$3,"Yes","No"),IF(MAIN!$H$3="Included Years",IF(D1126="Yes","Yes","No"),IF(C1126="Yes","Yes","No")))</f>
        <v>No</v>
      </c>
      <c r="Z1126" t="str">
        <f>IF(MAIN!$F$3="Project to Date",IF(AND(A1126&gt;=SETTINGS!$B$4,A1126&lt;MAIN!$B$3),"Yes",IF(AND(A1126=MAIN!$B$3,E1126&lt;=MAIN!$L$3),"Yes","No")),IF(OR(MAIN!$F$3="Full Year",MAIN!$D$3="All"),"Yes",IF(MAIN!$F$3="Monthly",IF(E1126=MAIN!$L$3,"Yes","No"),IF(E1126&lt;=MAIN!$L$3,"Yes","No"))))</f>
        <v>Yes</v>
      </c>
      <c r="AA1126" t="str">
        <f t="shared" si="107"/>
        <v>No</v>
      </c>
    </row>
    <row r="1127" spans="1:27" x14ac:dyDescent="0.3">
      <c r="A1127">
        <f>INDEX(SETTINGS!$A$15:$A$24,$B1127)</f>
        <v>2029</v>
      </c>
      <c r="B1127">
        <v>5</v>
      </c>
      <c r="C1127" t="str">
        <f>IF(AND(A1127&gt;=SETTINGS!$B$4,A1127&lt;=SETTINGS!$B$5),"Yes","No")</f>
        <v>No</v>
      </c>
      <c r="D1127" t="str">
        <f>IFERROR(INDEX(SETTINGS!$C$15:$C$24,MATCH(A1127,SETTINGS!$A$15:$A$24,0)),"No")</f>
        <v>No</v>
      </c>
      <c r="E1127">
        <v>12</v>
      </c>
      <c r="F1127" t="s">
        <v>45</v>
      </c>
      <c r="G1127">
        <v>278</v>
      </c>
      <c r="H1127" t="s">
        <v>97</v>
      </c>
      <c r="I1127" t="s">
        <v>15</v>
      </c>
      <c r="J1127" t="s">
        <v>17</v>
      </c>
      <c r="K1127" t="s">
        <v>3</v>
      </c>
      <c r="L1127" s="36">
        <f ca="1">IF(C1127&lt;&gt;"Yes",0,IF(A1127=2025,N('2025'!D278),IF(A1127=2026,N('2026'!D278),IF(A1127=2027,N('2027'!D278),IF(A1127=2028,N('2028'!D278),IF(A1127=2029,N('2029'!D278),IF(A1127=2030,N('2030'!D278),IF(A1127=2031,N('2031'!D278),IF(A1127=2032,N('2032'!D278),IF(A1127=2033,N('2033'!D278),IF(A1127=2034,N('2034'!D278),IFERROR(N(INDIRECT("'"&amp;A1127&amp;"'!D"&amp;G1127)),0))))))))))))</f>
        <v>0</v>
      </c>
      <c r="M1127" s="36">
        <f>IFERROR(IF(NOT(ISBLANK(KPI_TARGETS!$K$9)),KPI_TARGETS!$K$9,IF(NOT(ISBLANK(KPI_TARGETS!$F$9)),KPI_TARGETS!$F$9,"")),"")</f>
        <v>0</v>
      </c>
      <c r="N1127" s="36" t="str">
        <f>IFERROR(KPI_TARGETS!$E$9,"Higher is better")</f>
        <v>Higher is better</v>
      </c>
      <c r="O1127" s="37" t="str">
        <f t="shared" ca="1" si="102"/>
        <v/>
      </c>
      <c r="P1127" t="str">
        <f t="shared" ca="1" si="103"/>
        <v>Green</v>
      </c>
      <c r="Q1127" s="36">
        <f t="shared" ca="1" si="104"/>
        <v>0</v>
      </c>
      <c r="R1127" s="36" t="str">
        <f>""</f>
        <v/>
      </c>
      <c r="S1127" s="36" t="str">
        <f>""</f>
        <v/>
      </c>
      <c r="T1127" s="36" t="str">
        <f>""</f>
        <v/>
      </c>
      <c r="U1127" s="36" t="str">
        <f>""</f>
        <v/>
      </c>
      <c r="V1127" s="36" t="str">
        <f>""</f>
        <v/>
      </c>
      <c r="W1127" s="36">
        <f t="shared" si="105"/>
        <v>1</v>
      </c>
      <c r="X1127" t="str">
        <f t="shared" si="106"/>
        <v>Inactive</v>
      </c>
      <c r="Y1127" t="str">
        <f>IF(MAIN!$H$3="Selected Year",IF(A1127=MAIN!$B$3,"Yes","No"),IF(MAIN!$H$3="Included Years",IF(D1127="Yes","Yes","No"),IF(C1127="Yes","Yes","No")))</f>
        <v>No</v>
      </c>
      <c r="Z1127" t="str">
        <f>IF(MAIN!$F$3="Project to Date",IF(AND(A1127&gt;=SETTINGS!$B$4,A1127&lt;MAIN!$B$3),"Yes",IF(AND(A1127=MAIN!$B$3,E1127&lt;=MAIN!$L$3),"Yes","No")),IF(OR(MAIN!$F$3="Full Year",MAIN!$D$3="All"),"Yes",IF(MAIN!$F$3="Monthly",IF(E1127=MAIN!$L$3,"Yes","No"),IF(E1127&lt;=MAIN!$L$3,"Yes","No"))))</f>
        <v>Yes</v>
      </c>
      <c r="AA1127" t="str">
        <f t="shared" si="107"/>
        <v>No</v>
      </c>
    </row>
    <row r="1128" spans="1:27" x14ac:dyDescent="0.3">
      <c r="A1128">
        <f>INDEX(SETTINGS!$A$15:$A$24,$B1128)</f>
        <v>2029</v>
      </c>
      <c r="B1128">
        <v>5</v>
      </c>
      <c r="C1128" t="str">
        <f>IF(AND(A1128&gt;=SETTINGS!$B$4,A1128&lt;=SETTINGS!$B$5),"Yes","No")</f>
        <v>No</v>
      </c>
      <c r="D1128" t="str">
        <f>IFERROR(INDEX(SETTINGS!$C$15:$C$24,MATCH(A1128,SETTINGS!$A$15:$A$24,0)),"No")</f>
        <v>No</v>
      </c>
      <c r="E1128">
        <v>12</v>
      </c>
      <c r="F1128" t="s">
        <v>45</v>
      </c>
      <c r="G1128">
        <v>279</v>
      </c>
      <c r="H1128" t="s">
        <v>99</v>
      </c>
      <c r="I1128" t="s">
        <v>15</v>
      </c>
      <c r="J1128" t="s">
        <v>18</v>
      </c>
      <c r="K1128" t="s">
        <v>3</v>
      </c>
      <c r="L1128" s="36">
        <f ca="1">IF(C1128&lt;&gt;"Yes",0,IF(A1128=2025,N('2025'!D279),IF(A1128=2026,N('2026'!D279),IF(A1128=2027,N('2027'!D279),IF(A1128=2028,N('2028'!D279),IF(A1128=2029,N('2029'!D279),IF(A1128=2030,N('2030'!D279),IF(A1128=2031,N('2031'!D279),IF(A1128=2032,N('2032'!D279),IF(A1128=2033,N('2033'!D279),IF(A1128=2034,N('2034'!D279),IFERROR(N(INDIRECT("'"&amp;A1128&amp;"'!D"&amp;G1128)),0))))))))))))</f>
        <v>0</v>
      </c>
      <c r="M1128" s="36">
        <f>IFERROR(IF(NOT(ISBLANK(KPI_TARGETS!$K$10)),KPI_TARGETS!$K$10,IF(NOT(ISBLANK(KPI_TARGETS!$F$10)),KPI_TARGETS!$F$10,"")),"")</f>
        <v>0</v>
      </c>
      <c r="N1128" s="36" t="str">
        <f>IFERROR(KPI_TARGETS!$E$10,"Higher is better")</f>
        <v>Lower is better</v>
      </c>
      <c r="O1128" s="37">
        <f t="shared" ca="1" si="102"/>
        <v>1</v>
      </c>
      <c r="P1128" t="str">
        <f t="shared" ca="1" si="103"/>
        <v>Green</v>
      </c>
      <c r="Q1128" s="36">
        <f t="shared" ca="1" si="104"/>
        <v>0</v>
      </c>
      <c r="R1128" s="36" t="str">
        <f>""</f>
        <v/>
      </c>
      <c r="S1128" s="36" t="str">
        <f>""</f>
        <v/>
      </c>
      <c r="T1128" s="36" t="str">
        <f>""</f>
        <v/>
      </c>
      <c r="U1128" s="36" t="str">
        <f>""</f>
        <v/>
      </c>
      <c r="V1128" s="36" t="str">
        <f>""</f>
        <v/>
      </c>
      <c r="W1128" s="36">
        <f t="shared" si="105"/>
        <v>1</v>
      </c>
      <c r="X1128" t="str">
        <f t="shared" si="106"/>
        <v>Inactive</v>
      </c>
      <c r="Y1128" t="str">
        <f>IF(MAIN!$H$3="Selected Year",IF(A1128=MAIN!$B$3,"Yes","No"),IF(MAIN!$H$3="Included Years",IF(D1128="Yes","Yes","No"),IF(C1128="Yes","Yes","No")))</f>
        <v>No</v>
      </c>
      <c r="Z1128" t="str">
        <f>IF(MAIN!$F$3="Project to Date",IF(AND(A1128&gt;=SETTINGS!$B$4,A1128&lt;MAIN!$B$3),"Yes",IF(AND(A1128=MAIN!$B$3,E1128&lt;=MAIN!$L$3),"Yes","No")),IF(OR(MAIN!$F$3="Full Year",MAIN!$D$3="All"),"Yes",IF(MAIN!$F$3="Monthly",IF(E1128=MAIN!$L$3,"Yes","No"),IF(E1128&lt;=MAIN!$L$3,"Yes","No"))))</f>
        <v>Yes</v>
      </c>
      <c r="AA1128" t="str">
        <f t="shared" si="107"/>
        <v>No</v>
      </c>
    </row>
    <row r="1129" spans="1:27" x14ac:dyDescent="0.3">
      <c r="A1129">
        <f>INDEX(SETTINGS!$A$15:$A$24,$B1129)</f>
        <v>2029</v>
      </c>
      <c r="B1129">
        <v>5</v>
      </c>
      <c r="C1129" t="str">
        <f>IF(AND(A1129&gt;=SETTINGS!$B$4,A1129&lt;=SETTINGS!$B$5),"Yes","No")</f>
        <v>No</v>
      </c>
      <c r="D1129" t="str">
        <f>IFERROR(INDEX(SETTINGS!$C$15:$C$24,MATCH(A1129,SETTINGS!$A$15:$A$24,0)),"No")</f>
        <v>No</v>
      </c>
      <c r="E1129">
        <v>12</v>
      </c>
      <c r="F1129" t="s">
        <v>45</v>
      </c>
      <c r="G1129">
        <v>280</v>
      </c>
      <c r="H1129" t="s">
        <v>100</v>
      </c>
      <c r="I1129" t="s">
        <v>15</v>
      </c>
      <c r="J1129" t="s">
        <v>19</v>
      </c>
      <c r="K1129" t="s">
        <v>3</v>
      </c>
      <c r="L1129" s="36">
        <f ca="1">IF(C1129&lt;&gt;"Yes",0,IF(A1129=2025,N('2025'!D280),IF(A1129=2026,N('2026'!D280),IF(A1129=2027,N('2027'!D280),IF(A1129=2028,N('2028'!D280),IF(A1129=2029,N('2029'!D280),IF(A1129=2030,N('2030'!D280),IF(A1129=2031,N('2031'!D280),IF(A1129=2032,N('2032'!D280),IF(A1129=2033,N('2033'!D280),IF(A1129=2034,N('2034'!D280),IFERROR(N(INDIRECT("'"&amp;A1129&amp;"'!D"&amp;G1129)),0))))))))))))</f>
        <v>0</v>
      </c>
      <c r="M1129" s="36">
        <f>IFERROR(IF(NOT(ISBLANK(KPI_TARGETS!$K$11)),KPI_TARGETS!$K$11,IF(NOT(ISBLANK(KPI_TARGETS!$F$11)),KPI_TARGETS!$F$11,"")),"")</f>
        <v>0</v>
      </c>
      <c r="N1129" s="36" t="str">
        <f>IFERROR(KPI_TARGETS!$E$11,"Higher is better")</f>
        <v>Lower is better</v>
      </c>
      <c r="O1129" s="37">
        <f t="shared" ca="1" si="102"/>
        <v>1</v>
      </c>
      <c r="P1129" t="str">
        <f t="shared" ca="1" si="103"/>
        <v>Green</v>
      </c>
      <c r="Q1129" s="36">
        <f t="shared" ca="1" si="104"/>
        <v>0</v>
      </c>
      <c r="R1129" s="36" t="str">
        <f>""</f>
        <v/>
      </c>
      <c r="S1129" s="36" t="str">
        <f>""</f>
        <v/>
      </c>
      <c r="T1129" s="36" t="str">
        <f>""</f>
        <v/>
      </c>
      <c r="U1129" s="36" t="str">
        <f>""</f>
        <v/>
      </c>
      <c r="V1129" s="36" t="str">
        <f>""</f>
        <v/>
      </c>
      <c r="W1129" s="36">
        <f t="shared" si="105"/>
        <v>1</v>
      </c>
      <c r="X1129" t="str">
        <f t="shared" si="106"/>
        <v>Inactive</v>
      </c>
      <c r="Y1129" t="str">
        <f>IF(MAIN!$H$3="Selected Year",IF(A1129=MAIN!$B$3,"Yes","No"),IF(MAIN!$H$3="Included Years",IF(D1129="Yes","Yes","No"),IF(C1129="Yes","Yes","No")))</f>
        <v>No</v>
      </c>
      <c r="Z1129" t="str">
        <f>IF(MAIN!$F$3="Project to Date",IF(AND(A1129&gt;=SETTINGS!$B$4,A1129&lt;MAIN!$B$3),"Yes",IF(AND(A1129=MAIN!$B$3,E1129&lt;=MAIN!$L$3),"Yes","No")),IF(OR(MAIN!$F$3="Full Year",MAIN!$D$3="All"),"Yes",IF(MAIN!$F$3="Monthly",IF(E1129=MAIN!$L$3,"Yes","No"),IF(E1129&lt;=MAIN!$L$3,"Yes","No"))))</f>
        <v>Yes</v>
      </c>
      <c r="AA1129" t="str">
        <f t="shared" si="107"/>
        <v>No</v>
      </c>
    </row>
    <row r="1130" spans="1:27" x14ac:dyDescent="0.3">
      <c r="A1130">
        <f>INDEX(SETTINGS!$A$15:$A$24,$B1130)</f>
        <v>2029</v>
      </c>
      <c r="B1130">
        <v>5</v>
      </c>
      <c r="C1130" t="str">
        <f>IF(AND(A1130&gt;=SETTINGS!$B$4,A1130&lt;=SETTINGS!$B$5),"Yes","No")</f>
        <v>No</v>
      </c>
      <c r="D1130" t="str">
        <f>IFERROR(INDEX(SETTINGS!$C$15:$C$24,MATCH(A1130,SETTINGS!$A$15:$A$24,0)),"No")</f>
        <v>No</v>
      </c>
      <c r="E1130">
        <v>12</v>
      </c>
      <c r="F1130" t="s">
        <v>45</v>
      </c>
      <c r="G1130">
        <v>281</v>
      </c>
      <c r="H1130" t="s">
        <v>101</v>
      </c>
      <c r="I1130" t="s">
        <v>15</v>
      </c>
      <c r="J1130" t="s">
        <v>20</v>
      </c>
      <c r="K1130" t="s">
        <v>3</v>
      </c>
      <c r="L1130" s="36">
        <f ca="1">IF(C1130&lt;&gt;"Yes",0,IF(A1130=2025,N('2025'!D281),IF(A1130=2026,N('2026'!D281),IF(A1130=2027,N('2027'!D281),IF(A1130=2028,N('2028'!D281),IF(A1130=2029,N('2029'!D281),IF(A1130=2030,N('2030'!D281),IF(A1130=2031,N('2031'!D281),IF(A1130=2032,N('2032'!D281),IF(A1130=2033,N('2033'!D281),IF(A1130=2034,N('2034'!D281),IFERROR(N(INDIRECT("'"&amp;A1130&amp;"'!D"&amp;G1130)),0))))))))))))</f>
        <v>0</v>
      </c>
      <c r="M1130" s="36">
        <f>IFERROR(IF(NOT(ISBLANK(KPI_TARGETS!$K$12)),KPI_TARGETS!$K$12,IF(NOT(ISBLANK(KPI_TARGETS!$F$12)),KPI_TARGETS!$F$12,"")),"")</f>
        <v>0</v>
      </c>
      <c r="N1130" s="36" t="str">
        <f>IFERROR(KPI_TARGETS!$E$12,"Higher is better")</f>
        <v>Lower is better</v>
      </c>
      <c r="O1130" s="37">
        <f t="shared" ca="1" si="102"/>
        <v>1</v>
      </c>
      <c r="P1130" t="str">
        <f t="shared" ca="1" si="103"/>
        <v>Green</v>
      </c>
      <c r="Q1130" s="36">
        <f t="shared" ca="1" si="104"/>
        <v>0</v>
      </c>
      <c r="R1130" s="36" t="str">
        <f>""</f>
        <v/>
      </c>
      <c r="S1130" s="36" t="str">
        <f>""</f>
        <v/>
      </c>
      <c r="T1130" s="36" t="str">
        <f>""</f>
        <v/>
      </c>
      <c r="U1130" s="36" t="str">
        <f>""</f>
        <v/>
      </c>
      <c r="V1130" s="36" t="str">
        <f>""</f>
        <v/>
      </c>
      <c r="W1130" s="36">
        <f t="shared" si="105"/>
        <v>1</v>
      </c>
      <c r="X1130" t="str">
        <f t="shared" si="106"/>
        <v>Inactive</v>
      </c>
      <c r="Y1130" t="str">
        <f>IF(MAIN!$H$3="Selected Year",IF(A1130=MAIN!$B$3,"Yes","No"),IF(MAIN!$H$3="Included Years",IF(D1130="Yes","Yes","No"),IF(C1130="Yes","Yes","No")))</f>
        <v>No</v>
      </c>
      <c r="Z1130" t="str">
        <f>IF(MAIN!$F$3="Project to Date",IF(AND(A1130&gt;=SETTINGS!$B$4,A1130&lt;MAIN!$B$3),"Yes",IF(AND(A1130=MAIN!$B$3,E1130&lt;=MAIN!$L$3),"Yes","No")),IF(OR(MAIN!$F$3="Full Year",MAIN!$D$3="All"),"Yes",IF(MAIN!$F$3="Monthly",IF(E1130=MAIN!$L$3,"Yes","No"),IF(E1130&lt;=MAIN!$L$3,"Yes","No"))))</f>
        <v>Yes</v>
      </c>
      <c r="AA1130" t="str">
        <f t="shared" si="107"/>
        <v>No</v>
      </c>
    </row>
    <row r="1131" spans="1:27" x14ac:dyDescent="0.3">
      <c r="A1131">
        <f>INDEX(SETTINGS!$A$15:$A$24,$B1131)</f>
        <v>2029</v>
      </c>
      <c r="B1131">
        <v>5</v>
      </c>
      <c r="C1131" t="str">
        <f>IF(AND(A1131&gt;=SETTINGS!$B$4,A1131&lt;=SETTINGS!$B$5),"Yes","No")</f>
        <v>No</v>
      </c>
      <c r="D1131" t="str">
        <f>IFERROR(INDEX(SETTINGS!$C$15:$C$24,MATCH(A1131,SETTINGS!$A$15:$A$24,0)),"No")</f>
        <v>No</v>
      </c>
      <c r="E1131">
        <v>12</v>
      </c>
      <c r="F1131" t="s">
        <v>45</v>
      </c>
      <c r="G1131">
        <v>282</v>
      </c>
      <c r="H1131" t="s">
        <v>102</v>
      </c>
      <c r="I1131" t="s">
        <v>15</v>
      </c>
      <c r="J1131" t="s">
        <v>21</v>
      </c>
      <c r="K1131" t="s">
        <v>3</v>
      </c>
      <c r="L1131" s="36">
        <f ca="1">IF(C1131&lt;&gt;"Yes",0,IF(A1131=2025,N('2025'!D282),IF(A1131=2026,N('2026'!D282),IF(A1131=2027,N('2027'!D282),IF(A1131=2028,N('2028'!D282),IF(A1131=2029,N('2029'!D282),IF(A1131=2030,N('2030'!D282),IF(A1131=2031,N('2031'!D282),IF(A1131=2032,N('2032'!D282),IF(A1131=2033,N('2033'!D282),IF(A1131=2034,N('2034'!D282),IFERROR(N(INDIRECT("'"&amp;A1131&amp;"'!D"&amp;G1131)),0))))))))))))</f>
        <v>0</v>
      </c>
      <c r="M1131" s="36">
        <f>IFERROR(IF(NOT(ISBLANK(KPI_TARGETS!$K$13)),KPI_TARGETS!$K$13,IF(NOT(ISBLANK(KPI_TARGETS!$F$13)),KPI_TARGETS!$F$13,"")),"")</f>
        <v>0</v>
      </c>
      <c r="N1131" s="36" t="str">
        <f>IFERROR(KPI_TARGETS!$E$13,"Higher is better")</f>
        <v>Lower is better</v>
      </c>
      <c r="O1131" s="37">
        <f t="shared" ca="1" si="102"/>
        <v>1</v>
      </c>
      <c r="P1131" t="str">
        <f t="shared" ca="1" si="103"/>
        <v>Green</v>
      </c>
      <c r="Q1131" s="36">
        <f t="shared" ca="1" si="104"/>
        <v>0</v>
      </c>
      <c r="R1131" s="36" t="str">
        <f>""</f>
        <v/>
      </c>
      <c r="S1131" s="36" t="str">
        <f>""</f>
        <v/>
      </c>
      <c r="T1131" s="36" t="str">
        <f>""</f>
        <v/>
      </c>
      <c r="U1131" s="36" t="str">
        <f>""</f>
        <v/>
      </c>
      <c r="V1131" s="36" t="str">
        <f>""</f>
        <v/>
      </c>
      <c r="W1131" s="36">
        <f t="shared" si="105"/>
        <v>1</v>
      </c>
      <c r="X1131" t="str">
        <f t="shared" si="106"/>
        <v>Inactive</v>
      </c>
      <c r="Y1131" t="str">
        <f>IF(MAIN!$H$3="Selected Year",IF(A1131=MAIN!$B$3,"Yes","No"),IF(MAIN!$H$3="Included Years",IF(D1131="Yes","Yes","No"),IF(C1131="Yes","Yes","No")))</f>
        <v>No</v>
      </c>
      <c r="Z1131" t="str">
        <f>IF(MAIN!$F$3="Project to Date",IF(AND(A1131&gt;=SETTINGS!$B$4,A1131&lt;MAIN!$B$3),"Yes",IF(AND(A1131=MAIN!$B$3,E1131&lt;=MAIN!$L$3),"Yes","No")),IF(OR(MAIN!$F$3="Full Year",MAIN!$D$3="All"),"Yes",IF(MAIN!$F$3="Monthly",IF(E1131=MAIN!$L$3,"Yes","No"),IF(E1131&lt;=MAIN!$L$3,"Yes","No"))))</f>
        <v>Yes</v>
      </c>
      <c r="AA1131" t="str">
        <f t="shared" si="107"/>
        <v>No</v>
      </c>
    </row>
    <row r="1132" spans="1:27" x14ac:dyDescent="0.3">
      <c r="A1132">
        <f>INDEX(SETTINGS!$A$15:$A$24,$B1132)</f>
        <v>2029</v>
      </c>
      <c r="B1132">
        <v>5</v>
      </c>
      <c r="C1132" t="str">
        <f>IF(AND(A1132&gt;=SETTINGS!$B$4,A1132&lt;=SETTINGS!$B$5),"Yes","No")</f>
        <v>No</v>
      </c>
      <c r="D1132" t="str">
        <f>IFERROR(INDEX(SETTINGS!$C$15:$C$24,MATCH(A1132,SETTINGS!$A$15:$A$24,0)),"No")</f>
        <v>No</v>
      </c>
      <c r="E1132">
        <v>12</v>
      </c>
      <c r="F1132" t="s">
        <v>45</v>
      </c>
      <c r="G1132">
        <v>284</v>
      </c>
      <c r="H1132" t="s">
        <v>103</v>
      </c>
      <c r="I1132" t="s">
        <v>22</v>
      </c>
      <c r="J1132" t="s">
        <v>23</v>
      </c>
      <c r="K1132" t="s">
        <v>3</v>
      </c>
      <c r="L1132" s="36">
        <f ca="1">IF(C1132&lt;&gt;"Yes",0,IF(A1132=2025,N('2025'!D284),IF(A1132=2026,N('2026'!D284),IF(A1132=2027,N('2027'!D284),IF(A1132=2028,N('2028'!D284),IF(A1132=2029,N('2029'!D284),IF(A1132=2030,N('2030'!D284),IF(A1132=2031,N('2031'!D284),IF(A1132=2032,N('2032'!D284),IF(A1132=2033,N('2033'!D284),IF(A1132=2034,N('2034'!D284),IFERROR(N(INDIRECT("'"&amp;A1132&amp;"'!D"&amp;G1132)),0))))))))))))</f>
        <v>0</v>
      </c>
      <c r="M1132" s="36">
        <f>IFERROR(IF(NOT(ISBLANK(KPI_TARGETS!$K$14)),KPI_TARGETS!$K$14,IF(NOT(ISBLANK(KPI_TARGETS!$F$14)),KPI_TARGETS!$F$14,"")),"")</f>
        <v>35</v>
      </c>
      <c r="N1132" s="36" t="str">
        <f>IFERROR(KPI_TARGETS!$E$14,"Higher is better")</f>
        <v>Higher is better</v>
      </c>
      <c r="O1132" s="37">
        <f t="shared" ca="1" si="102"/>
        <v>0</v>
      </c>
      <c r="P1132" t="str">
        <f t="shared" ca="1" si="103"/>
        <v>Red</v>
      </c>
      <c r="Q1132" s="36">
        <f t="shared" ca="1" si="104"/>
        <v>-35</v>
      </c>
      <c r="R1132" s="36" t="str">
        <f>""</f>
        <v/>
      </c>
      <c r="S1132" s="36" t="str">
        <f>""</f>
        <v/>
      </c>
      <c r="T1132" s="36" t="str">
        <f>""</f>
        <v/>
      </c>
      <c r="U1132" s="36" t="str">
        <f>""</f>
        <v/>
      </c>
      <c r="V1132" s="36" t="str">
        <f>""</f>
        <v/>
      </c>
      <c r="W1132" s="36">
        <f t="shared" si="105"/>
        <v>1</v>
      </c>
      <c r="X1132" t="str">
        <f t="shared" si="106"/>
        <v>Inactive</v>
      </c>
      <c r="Y1132" t="str">
        <f>IF(MAIN!$H$3="Selected Year",IF(A1132=MAIN!$B$3,"Yes","No"),IF(MAIN!$H$3="Included Years",IF(D1132="Yes","Yes","No"),IF(C1132="Yes","Yes","No")))</f>
        <v>No</v>
      </c>
      <c r="Z1132" t="str">
        <f>IF(MAIN!$F$3="Project to Date",IF(AND(A1132&gt;=SETTINGS!$B$4,A1132&lt;MAIN!$B$3),"Yes",IF(AND(A1132=MAIN!$B$3,E1132&lt;=MAIN!$L$3),"Yes","No")),IF(OR(MAIN!$F$3="Full Year",MAIN!$D$3="All"),"Yes",IF(MAIN!$F$3="Monthly",IF(E1132=MAIN!$L$3,"Yes","No"),IF(E1132&lt;=MAIN!$L$3,"Yes","No"))))</f>
        <v>Yes</v>
      </c>
      <c r="AA1132" t="str">
        <f t="shared" si="107"/>
        <v>No</v>
      </c>
    </row>
    <row r="1133" spans="1:27" x14ac:dyDescent="0.3">
      <c r="A1133">
        <f>INDEX(SETTINGS!$A$15:$A$24,$B1133)</f>
        <v>2029</v>
      </c>
      <c r="B1133">
        <v>5</v>
      </c>
      <c r="C1133" t="str">
        <f>IF(AND(A1133&gt;=SETTINGS!$B$4,A1133&lt;=SETTINGS!$B$5),"Yes","No")</f>
        <v>No</v>
      </c>
      <c r="D1133" t="str">
        <f>IFERROR(INDEX(SETTINGS!$C$15:$C$24,MATCH(A1133,SETTINGS!$A$15:$A$24,0)),"No")</f>
        <v>No</v>
      </c>
      <c r="E1133">
        <v>12</v>
      </c>
      <c r="F1133" t="s">
        <v>45</v>
      </c>
      <c r="G1133">
        <v>285</v>
      </c>
      <c r="H1133" t="s">
        <v>104</v>
      </c>
      <c r="I1133" t="s">
        <v>22</v>
      </c>
      <c r="J1133" t="s">
        <v>24</v>
      </c>
      <c r="K1133" t="s">
        <v>3</v>
      </c>
      <c r="L1133" s="36">
        <f ca="1">IF(C1133&lt;&gt;"Yes",0,IF(A1133=2025,N('2025'!D285),IF(A1133=2026,N('2026'!D285),IF(A1133=2027,N('2027'!D285),IF(A1133=2028,N('2028'!D285),IF(A1133=2029,N('2029'!D285),IF(A1133=2030,N('2030'!D285),IF(A1133=2031,N('2031'!D285),IF(A1133=2032,N('2032'!D285),IF(A1133=2033,N('2033'!D285),IF(A1133=2034,N('2034'!D285),IFERROR(N(INDIRECT("'"&amp;A1133&amp;"'!D"&amp;G1133)),0))))))))))))</f>
        <v>0</v>
      </c>
      <c r="M1133" s="36">
        <f>IFERROR(IF(NOT(ISBLANK(KPI_TARGETS!$K$15)),KPI_TARGETS!$K$15,IF(NOT(ISBLANK(KPI_TARGETS!$F$15)),KPI_TARGETS!$F$15,"")),"")</f>
        <v>5</v>
      </c>
      <c r="N1133" s="36" t="str">
        <f>IFERROR(KPI_TARGETS!$E$15,"Higher is better")</f>
        <v>Higher is better</v>
      </c>
      <c r="O1133" s="37">
        <f t="shared" ca="1" si="102"/>
        <v>0</v>
      </c>
      <c r="P1133" t="str">
        <f t="shared" ca="1" si="103"/>
        <v>Red</v>
      </c>
      <c r="Q1133" s="36">
        <f t="shared" ca="1" si="104"/>
        <v>-5</v>
      </c>
      <c r="R1133" s="36" t="str">
        <f>""</f>
        <v/>
      </c>
      <c r="S1133" s="36" t="str">
        <f>""</f>
        <v/>
      </c>
      <c r="T1133" s="36" t="str">
        <f>""</f>
        <v/>
      </c>
      <c r="U1133" s="36" t="str">
        <f>""</f>
        <v/>
      </c>
      <c r="V1133" s="36" t="str">
        <f>""</f>
        <v/>
      </c>
      <c r="W1133" s="36">
        <f t="shared" si="105"/>
        <v>1</v>
      </c>
      <c r="X1133" t="str">
        <f t="shared" si="106"/>
        <v>Inactive</v>
      </c>
      <c r="Y1133" t="str">
        <f>IF(MAIN!$H$3="Selected Year",IF(A1133=MAIN!$B$3,"Yes","No"),IF(MAIN!$H$3="Included Years",IF(D1133="Yes","Yes","No"),IF(C1133="Yes","Yes","No")))</f>
        <v>No</v>
      </c>
      <c r="Z1133" t="str">
        <f>IF(MAIN!$F$3="Project to Date",IF(AND(A1133&gt;=SETTINGS!$B$4,A1133&lt;MAIN!$B$3),"Yes",IF(AND(A1133=MAIN!$B$3,E1133&lt;=MAIN!$L$3),"Yes","No")),IF(OR(MAIN!$F$3="Full Year",MAIN!$D$3="All"),"Yes",IF(MAIN!$F$3="Monthly",IF(E1133=MAIN!$L$3,"Yes","No"),IF(E1133&lt;=MAIN!$L$3,"Yes","No"))))</f>
        <v>Yes</v>
      </c>
      <c r="AA1133" t="str">
        <f t="shared" si="107"/>
        <v>No</v>
      </c>
    </row>
    <row r="1134" spans="1:27" x14ac:dyDescent="0.3">
      <c r="A1134">
        <f>INDEX(SETTINGS!$A$15:$A$24,$B1134)</f>
        <v>2029</v>
      </c>
      <c r="B1134">
        <v>5</v>
      </c>
      <c r="C1134" t="str">
        <f>IF(AND(A1134&gt;=SETTINGS!$B$4,A1134&lt;=SETTINGS!$B$5),"Yes","No")</f>
        <v>No</v>
      </c>
      <c r="D1134" t="str">
        <f>IFERROR(INDEX(SETTINGS!$C$15:$C$24,MATCH(A1134,SETTINGS!$A$15:$A$24,0)),"No")</f>
        <v>No</v>
      </c>
      <c r="E1134">
        <v>12</v>
      </c>
      <c r="F1134" t="s">
        <v>45</v>
      </c>
      <c r="G1134">
        <v>286</v>
      </c>
      <c r="H1134" t="s">
        <v>105</v>
      </c>
      <c r="I1134" t="s">
        <v>22</v>
      </c>
      <c r="J1134" t="s">
        <v>25</v>
      </c>
      <c r="K1134" t="s">
        <v>3</v>
      </c>
      <c r="L1134" s="36">
        <f ca="1">IF(C1134&lt;&gt;"Yes",0,IF(A1134=2025,N('2025'!D286),IF(A1134=2026,N('2026'!D286),IF(A1134=2027,N('2027'!D286),IF(A1134=2028,N('2028'!D286),IF(A1134=2029,N('2029'!D286),IF(A1134=2030,N('2030'!D286),IF(A1134=2031,N('2031'!D286),IF(A1134=2032,N('2032'!D286),IF(A1134=2033,N('2033'!D286),IF(A1134=2034,N('2034'!D286),IFERROR(N(INDIRECT("'"&amp;A1134&amp;"'!D"&amp;G1134)),0))))))))))))</f>
        <v>0</v>
      </c>
      <c r="M1134" s="36">
        <f>IFERROR(IF(NOT(ISBLANK(KPI_TARGETS!$K$16)),KPI_TARGETS!$K$16,IF(NOT(ISBLANK(KPI_TARGETS!$F$16)),KPI_TARGETS!$F$16,"")),"")</f>
        <v>4</v>
      </c>
      <c r="N1134" s="36" t="str">
        <f>IFERROR(KPI_TARGETS!$E$16,"Higher is better")</f>
        <v>Higher is better</v>
      </c>
      <c r="O1134" s="37">
        <f t="shared" ca="1" si="102"/>
        <v>0</v>
      </c>
      <c r="P1134" t="str">
        <f t="shared" ca="1" si="103"/>
        <v>Red</v>
      </c>
      <c r="Q1134" s="36">
        <f t="shared" ca="1" si="104"/>
        <v>-4</v>
      </c>
      <c r="R1134" s="36" t="str">
        <f>""</f>
        <v/>
      </c>
      <c r="S1134" s="36" t="str">
        <f>""</f>
        <v/>
      </c>
      <c r="T1134" s="36" t="str">
        <f>""</f>
        <v/>
      </c>
      <c r="U1134" s="36" t="str">
        <f>""</f>
        <v/>
      </c>
      <c r="V1134" s="36" t="str">
        <f>""</f>
        <v/>
      </c>
      <c r="W1134" s="36">
        <f t="shared" si="105"/>
        <v>1</v>
      </c>
      <c r="X1134" t="str">
        <f t="shared" si="106"/>
        <v>Inactive</v>
      </c>
      <c r="Y1134" t="str">
        <f>IF(MAIN!$H$3="Selected Year",IF(A1134=MAIN!$B$3,"Yes","No"),IF(MAIN!$H$3="Included Years",IF(D1134="Yes","Yes","No"),IF(C1134="Yes","Yes","No")))</f>
        <v>No</v>
      </c>
      <c r="Z1134" t="str">
        <f>IF(MAIN!$F$3="Project to Date",IF(AND(A1134&gt;=SETTINGS!$B$4,A1134&lt;MAIN!$B$3),"Yes",IF(AND(A1134=MAIN!$B$3,E1134&lt;=MAIN!$L$3),"Yes","No")),IF(OR(MAIN!$F$3="Full Year",MAIN!$D$3="All"),"Yes",IF(MAIN!$F$3="Monthly",IF(E1134=MAIN!$L$3,"Yes","No"),IF(E1134&lt;=MAIN!$L$3,"Yes","No"))))</f>
        <v>Yes</v>
      </c>
      <c r="AA1134" t="str">
        <f t="shared" si="107"/>
        <v>No</v>
      </c>
    </row>
    <row r="1135" spans="1:27" x14ac:dyDescent="0.3">
      <c r="A1135">
        <f>INDEX(SETTINGS!$A$15:$A$24,$B1135)</f>
        <v>2029</v>
      </c>
      <c r="B1135">
        <v>5</v>
      </c>
      <c r="C1135" t="str">
        <f>IF(AND(A1135&gt;=SETTINGS!$B$4,A1135&lt;=SETTINGS!$B$5),"Yes","No")</f>
        <v>No</v>
      </c>
      <c r="D1135" t="str">
        <f>IFERROR(INDEX(SETTINGS!$C$15:$C$24,MATCH(A1135,SETTINGS!$A$15:$A$24,0)),"No")</f>
        <v>No</v>
      </c>
      <c r="E1135">
        <v>12</v>
      </c>
      <c r="F1135" t="s">
        <v>45</v>
      </c>
      <c r="G1135">
        <v>287</v>
      </c>
      <c r="H1135" t="s">
        <v>106</v>
      </c>
      <c r="I1135" t="s">
        <v>22</v>
      </c>
      <c r="J1135" t="s">
        <v>26</v>
      </c>
      <c r="K1135" t="s">
        <v>3</v>
      </c>
      <c r="L1135" s="36">
        <f ca="1">IF(C1135&lt;&gt;"Yes",0,IF(A1135=2025,N('2025'!D287),IF(A1135=2026,N('2026'!D287),IF(A1135=2027,N('2027'!D287),IF(A1135=2028,N('2028'!D287),IF(A1135=2029,N('2029'!D287),IF(A1135=2030,N('2030'!D287),IF(A1135=2031,N('2031'!D287),IF(A1135=2032,N('2032'!D287),IF(A1135=2033,N('2033'!D287),IF(A1135=2034,N('2034'!D287),IFERROR(N(INDIRECT("'"&amp;A1135&amp;"'!D"&amp;G1135)),0))))))))))))</f>
        <v>0</v>
      </c>
      <c r="M1135" s="36">
        <f>IFERROR(IF(NOT(ISBLANK(KPI_TARGETS!$K$17)),KPI_TARGETS!$K$17,IF(NOT(ISBLANK(KPI_TARGETS!$F$17)),KPI_TARGETS!$F$17,"")),"")</f>
        <v>12</v>
      </c>
      <c r="N1135" s="36" t="str">
        <f>IFERROR(KPI_TARGETS!$E$17,"Higher is better")</f>
        <v>Higher is better</v>
      </c>
      <c r="O1135" s="37">
        <f t="shared" ca="1" si="102"/>
        <v>0</v>
      </c>
      <c r="P1135" t="str">
        <f t="shared" ca="1" si="103"/>
        <v>Red</v>
      </c>
      <c r="Q1135" s="36">
        <f t="shared" ca="1" si="104"/>
        <v>-12</v>
      </c>
      <c r="R1135" s="36" t="str">
        <f>""</f>
        <v/>
      </c>
      <c r="S1135" s="36" t="str">
        <f>""</f>
        <v/>
      </c>
      <c r="T1135" s="36" t="str">
        <f>""</f>
        <v/>
      </c>
      <c r="U1135" s="36" t="str">
        <f>""</f>
        <v/>
      </c>
      <c r="V1135" s="36" t="str">
        <f>""</f>
        <v/>
      </c>
      <c r="W1135" s="36">
        <f t="shared" si="105"/>
        <v>1</v>
      </c>
      <c r="X1135" t="str">
        <f t="shared" si="106"/>
        <v>Inactive</v>
      </c>
      <c r="Y1135" t="str">
        <f>IF(MAIN!$H$3="Selected Year",IF(A1135=MAIN!$B$3,"Yes","No"),IF(MAIN!$H$3="Included Years",IF(D1135="Yes","Yes","No"),IF(C1135="Yes","Yes","No")))</f>
        <v>No</v>
      </c>
      <c r="Z1135" t="str">
        <f>IF(MAIN!$F$3="Project to Date",IF(AND(A1135&gt;=SETTINGS!$B$4,A1135&lt;MAIN!$B$3),"Yes",IF(AND(A1135=MAIN!$B$3,E1135&lt;=MAIN!$L$3),"Yes","No")),IF(OR(MAIN!$F$3="Full Year",MAIN!$D$3="All"),"Yes",IF(MAIN!$F$3="Monthly",IF(E1135=MAIN!$L$3,"Yes","No"),IF(E1135&lt;=MAIN!$L$3,"Yes","No"))))</f>
        <v>Yes</v>
      </c>
      <c r="AA1135" t="str">
        <f t="shared" si="107"/>
        <v>No</v>
      </c>
    </row>
    <row r="1136" spans="1:27" x14ac:dyDescent="0.3">
      <c r="A1136">
        <f>INDEX(SETTINGS!$A$15:$A$24,$B1136)</f>
        <v>2029</v>
      </c>
      <c r="B1136">
        <v>5</v>
      </c>
      <c r="C1136" t="str">
        <f>IF(AND(A1136&gt;=SETTINGS!$B$4,A1136&lt;=SETTINGS!$B$5),"Yes","No")</f>
        <v>No</v>
      </c>
      <c r="D1136" t="str">
        <f>IFERROR(INDEX(SETTINGS!$C$15:$C$24,MATCH(A1136,SETTINGS!$A$15:$A$24,0)),"No")</f>
        <v>No</v>
      </c>
      <c r="E1136">
        <v>12</v>
      </c>
      <c r="F1136" t="s">
        <v>45</v>
      </c>
      <c r="G1136">
        <v>288</v>
      </c>
      <c r="H1136" t="s">
        <v>107</v>
      </c>
      <c r="I1136" t="s">
        <v>22</v>
      </c>
      <c r="J1136" t="s">
        <v>27</v>
      </c>
      <c r="K1136" t="s">
        <v>3</v>
      </c>
      <c r="L1136" s="36">
        <f ca="1">IF(C1136&lt;&gt;"Yes",0,IF(A1136=2025,N('2025'!D288),IF(A1136=2026,N('2026'!D288),IF(A1136=2027,N('2027'!D288),IF(A1136=2028,N('2028'!D288),IF(A1136=2029,N('2029'!D288),IF(A1136=2030,N('2030'!D288),IF(A1136=2031,N('2031'!D288),IF(A1136=2032,N('2032'!D288),IF(A1136=2033,N('2033'!D288),IF(A1136=2034,N('2034'!D288),IFERROR(N(INDIRECT("'"&amp;A1136&amp;"'!D"&amp;G1136)),0))))))))))))</f>
        <v>0</v>
      </c>
      <c r="M1136" s="36">
        <f>IFERROR(IF(NOT(ISBLANK(KPI_TARGETS!$K$18)),KPI_TARGETS!$K$18,IF(NOT(ISBLANK(KPI_TARGETS!$F$18)),KPI_TARGETS!$F$18,"")),"")</f>
        <v>4</v>
      </c>
      <c r="N1136" s="36" t="str">
        <f>IFERROR(KPI_TARGETS!$E$18,"Higher is better")</f>
        <v>Higher is better</v>
      </c>
      <c r="O1136" s="37">
        <f t="shared" ca="1" si="102"/>
        <v>0</v>
      </c>
      <c r="P1136" t="str">
        <f t="shared" ca="1" si="103"/>
        <v>Red</v>
      </c>
      <c r="Q1136" s="36">
        <f t="shared" ca="1" si="104"/>
        <v>-4</v>
      </c>
      <c r="R1136" s="36" t="str">
        <f>""</f>
        <v/>
      </c>
      <c r="S1136" s="36" t="str">
        <f>""</f>
        <v/>
      </c>
      <c r="T1136" s="36" t="str">
        <f>""</f>
        <v/>
      </c>
      <c r="U1136" s="36" t="str">
        <f>""</f>
        <v/>
      </c>
      <c r="V1136" s="36" t="str">
        <f>""</f>
        <v/>
      </c>
      <c r="W1136" s="36">
        <f t="shared" si="105"/>
        <v>1</v>
      </c>
      <c r="X1136" t="str">
        <f t="shared" si="106"/>
        <v>Inactive</v>
      </c>
      <c r="Y1136" t="str">
        <f>IF(MAIN!$H$3="Selected Year",IF(A1136=MAIN!$B$3,"Yes","No"),IF(MAIN!$H$3="Included Years",IF(D1136="Yes","Yes","No"),IF(C1136="Yes","Yes","No")))</f>
        <v>No</v>
      </c>
      <c r="Z1136" t="str">
        <f>IF(MAIN!$F$3="Project to Date",IF(AND(A1136&gt;=SETTINGS!$B$4,A1136&lt;MAIN!$B$3),"Yes",IF(AND(A1136=MAIN!$B$3,E1136&lt;=MAIN!$L$3),"Yes","No")),IF(OR(MAIN!$F$3="Full Year",MAIN!$D$3="All"),"Yes",IF(MAIN!$F$3="Monthly",IF(E1136=MAIN!$L$3,"Yes","No"),IF(E1136&lt;=MAIN!$L$3,"Yes","No"))))</f>
        <v>Yes</v>
      </c>
      <c r="AA1136" t="str">
        <f t="shared" si="107"/>
        <v>No</v>
      </c>
    </row>
    <row r="1137" spans="1:27" x14ac:dyDescent="0.3">
      <c r="A1137">
        <f>INDEX(SETTINGS!$A$15:$A$24,$B1137)</f>
        <v>2029</v>
      </c>
      <c r="B1137">
        <v>5</v>
      </c>
      <c r="C1137" t="str">
        <f>IF(AND(A1137&gt;=SETTINGS!$B$4,A1137&lt;=SETTINGS!$B$5),"Yes","No")</f>
        <v>No</v>
      </c>
      <c r="D1137" t="str">
        <f>IFERROR(INDEX(SETTINGS!$C$15:$C$24,MATCH(A1137,SETTINGS!$A$15:$A$24,0)),"No")</f>
        <v>No</v>
      </c>
      <c r="E1137">
        <v>12</v>
      </c>
      <c r="F1137" t="s">
        <v>45</v>
      </c>
      <c r="G1137">
        <v>289</v>
      </c>
      <c r="H1137" t="s">
        <v>108</v>
      </c>
      <c r="I1137" t="s">
        <v>22</v>
      </c>
      <c r="J1137" t="s">
        <v>28</v>
      </c>
      <c r="K1137" t="s">
        <v>3</v>
      </c>
      <c r="L1137" s="36">
        <f ca="1">IF(C1137&lt;&gt;"Yes",0,IF(A1137=2025,N('2025'!D289),IF(A1137=2026,N('2026'!D289),IF(A1137=2027,N('2027'!D289),IF(A1137=2028,N('2028'!D289),IF(A1137=2029,N('2029'!D289),IF(A1137=2030,N('2030'!D289),IF(A1137=2031,N('2031'!D289),IF(A1137=2032,N('2032'!D289),IF(A1137=2033,N('2033'!D289),IF(A1137=2034,N('2034'!D289),IFERROR(N(INDIRECT("'"&amp;A1137&amp;"'!D"&amp;G1137)),0))))))))))))</f>
        <v>0</v>
      </c>
      <c r="M1137" s="36">
        <f>IFERROR(IF(NOT(ISBLANK(KPI_TARGETS!$K$19)),KPI_TARGETS!$K$19,IF(NOT(ISBLANK(KPI_TARGETS!$F$19)),KPI_TARGETS!$F$19,"")),"")</f>
        <v>16</v>
      </c>
      <c r="N1137" s="36" t="str">
        <f>IFERROR(KPI_TARGETS!$E$19,"Higher is better")</f>
        <v>Higher is better</v>
      </c>
      <c r="O1137" s="37">
        <f t="shared" ca="1" si="102"/>
        <v>0</v>
      </c>
      <c r="P1137" t="str">
        <f t="shared" ca="1" si="103"/>
        <v>Red</v>
      </c>
      <c r="Q1137" s="36">
        <f t="shared" ca="1" si="104"/>
        <v>-16</v>
      </c>
      <c r="R1137" s="36" t="str">
        <f>""</f>
        <v/>
      </c>
      <c r="S1137" s="36" t="str">
        <f>""</f>
        <v/>
      </c>
      <c r="T1137" s="36" t="str">
        <f>""</f>
        <v/>
      </c>
      <c r="U1137" s="36" t="str">
        <f>""</f>
        <v/>
      </c>
      <c r="V1137" s="36" t="str">
        <f>""</f>
        <v/>
      </c>
      <c r="W1137" s="36">
        <f t="shared" si="105"/>
        <v>1</v>
      </c>
      <c r="X1137" t="str">
        <f t="shared" si="106"/>
        <v>Inactive</v>
      </c>
      <c r="Y1137" t="str">
        <f>IF(MAIN!$H$3="Selected Year",IF(A1137=MAIN!$B$3,"Yes","No"),IF(MAIN!$H$3="Included Years",IF(D1137="Yes","Yes","No"),IF(C1137="Yes","Yes","No")))</f>
        <v>No</v>
      </c>
      <c r="Z1137" t="str">
        <f>IF(MAIN!$F$3="Project to Date",IF(AND(A1137&gt;=SETTINGS!$B$4,A1137&lt;MAIN!$B$3),"Yes",IF(AND(A1137=MAIN!$B$3,E1137&lt;=MAIN!$L$3),"Yes","No")),IF(OR(MAIN!$F$3="Full Year",MAIN!$D$3="All"),"Yes",IF(MAIN!$F$3="Monthly",IF(E1137=MAIN!$L$3,"Yes","No"),IF(E1137&lt;=MAIN!$L$3,"Yes","No"))))</f>
        <v>Yes</v>
      </c>
      <c r="AA1137" t="str">
        <f t="shared" si="107"/>
        <v>No</v>
      </c>
    </row>
    <row r="1138" spans="1:27" x14ac:dyDescent="0.3">
      <c r="A1138">
        <f>INDEX(SETTINGS!$A$15:$A$24,$B1138)</f>
        <v>2029</v>
      </c>
      <c r="B1138">
        <v>5</v>
      </c>
      <c r="C1138" t="str">
        <f>IF(AND(A1138&gt;=SETTINGS!$B$4,A1138&lt;=SETTINGS!$B$5),"Yes","No")</f>
        <v>No</v>
      </c>
      <c r="D1138" t="str">
        <f>IFERROR(INDEX(SETTINGS!$C$15:$C$24,MATCH(A1138,SETTINGS!$A$15:$A$24,0)),"No")</f>
        <v>No</v>
      </c>
      <c r="E1138">
        <v>12</v>
      </c>
      <c r="F1138" t="s">
        <v>45</v>
      </c>
      <c r="G1138">
        <v>290</v>
      </c>
      <c r="H1138" t="s">
        <v>109</v>
      </c>
      <c r="I1138" t="s">
        <v>22</v>
      </c>
      <c r="J1138" t="s">
        <v>29</v>
      </c>
      <c r="K1138" t="s">
        <v>3</v>
      </c>
      <c r="L1138" s="36">
        <f ca="1">IF(C1138&lt;&gt;"Yes",0,IF(A1138=2025,N('2025'!D290),IF(A1138=2026,N('2026'!D290),IF(A1138=2027,N('2027'!D290),IF(A1138=2028,N('2028'!D290),IF(A1138=2029,N('2029'!D290),IF(A1138=2030,N('2030'!D290),IF(A1138=2031,N('2031'!D290),IF(A1138=2032,N('2032'!D290),IF(A1138=2033,N('2033'!D290),IF(A1138=2034,N('2034'!D290),IFERROR(N(INDIRECT("'"&amp;A1138&amp;"'!D"&amp;G1138)),0))))))))))))</f>
        <v>0</v>
      </c>
      <c r="M1138" s="36">
        <f>IFERROR(IF(NOT(ISBLANK(KPI_TARGETS!$K$20)),KPI_TARGETS!$K$20,IF(NOT(ISBLANK(KPI_TARGETS!$F$20)),KPI_TARGETS!$F$20,"")),"")</f>
        <v>1</v>
      </c>
      <c r="N1138" s="36" t="str">
        <f>IFERROR(KPI_TARGETS!$E$20,"Higher is better")</f>
        <v>Higher is better</v>
      </c>
      <c r="O1138" s="37">
        <f t="shared" ca="1" si="102"/>
        <v>0</v>
      </c>
      <c r="P1138" t="str">
        <f t="shared" ca="1" si="103"/>
        <v>Red</v>
      </c>
      <c r="Q1138" s="36">
        <f t="shared" ca="1" si="104"/>
        <v>-1</v>
      </c>
      <c r="R1138" s="36" t="str">
        <f>""</f>
        <v/>
      </c>
      <c r="S1138" s="36" t="str">
        <f>""</f>
        <v/>
      </c>
      <c r="T1138" s="36" t="str">
        <f>""</f>
        <v/>
      </c>
      <c r="U1138" s="36" t="str">
        <f>""</f>
        <v/>
      </c>
      <c r="V1138" s="36" t="str">
        <f>""</f>
        <v/>
      </c>
      <c r="W1138" s="36">
        <f t="shared" si="105"/>
        <v>1</v>
      </c>
      <c r="X1138" t="str">
        <f t="shared" si="106"/>
        <v>Inactive</v>
      </c>
      <c r="Y1138" t="str">
        <f>IF(MAIN!$H$3="Selected Year",IF(A1138=MAIN!$B$3,"Yes","No"),IF(MAIN!$H$3="Included Years",IF(D1138="Yes","Yes","No"),IF(C1138="Yes","Yes","No")))</f>
        <v>No</v>
      </c>
      <c r="Z1138" t="str">
        <f>IF(MAIN!$F$3="Project to Date",IF(AND(A1138&gt;=SETTINGS!$B$4,A1138&lt;MAIN!$B$3),"Yes",IF(AND(A1138=MAIN!$B$3,E1138&lt;=MAIN!$L$3),"Yes","No")),IF(OR(MAIN!$F$3="Full Year",MAIN!$D$3="All"),"Yes",IF(MAIN!$F$3="Monthly",IF(E1138=MAIN!$L$3,"Yes","No"),IF(E1138&lt;=MAIN!$L$3,"Yes","No"))))</f>
        <v>Yes</v>
      </c>
      <c r="AA1138" t="str">
        <f t="shared" si="107"/>
        <v>No</v>
      </c>
    </row>
    <row r="1139" spans="1:27" x14ac:dyDescent="0.3">
      <c r="A1139">
        <f>INDEX(SETTINGS!$A$15:$A$24,$B1139)</f>
        <v>2029</v>
      </c>
      <c r="B1139">
        <v>5</v>
      </c>
      <c r="C1139" t="str">
        <f>IF(AND(A1139&gt;=SETTINGS!$B$4,A1139&lt;=SETTINGS!$B$5),"Yes","No")</f>
        <v>No</v>
      </c>
      <c r="D1139" t="str">
        <f>IFERROR(INDEX(SETTINGS!$C$15:$C$24,MATCH(A1139,SETTINGS!$A$15:$A$24,0)),"No")</f>
        <v>No</v>
      </c>
      <c r="E1139">
        <v>12</v>
      </c>
      <c r="F1139" t="s">
        <v>45</v>
      </c>
      <c r="G1139">
        <v>292</v>
      </c>
      <c r="H1139" t="s">
        <v>110</v>
      </c>
      <c r="I1139" t="s">
        <v>30</v>
      </c>
      <c r="J1139" t="s">
        <v>31</v>
      </c>
      <c r="K1139" t="s">
        <v>3</v>
      </c>
      <c r="L1139" s="36">
        <f ca="1">IF(C1139&lt;&gt;"Yes",0,IF(A1139=2025,N('2025'!D292),IF(A1139=2026,N('2026'!D292),IF(A1139=2027,N('2027'!D292),IF(A1139=2028,N('2028'!D292),IF(A1139=2029,N('2029'!D292),IF(A1139=2030,N('2030'!D292),IF(A1139=2031,N('2031'!D292),IF(A1139=2032,N('2032'!D292),IF(A1139=2033,N('2033'!D292),IF(A1139=2034,N('2034'!D292),IFERROR(N(INDIRECT("'"&amp;A1139&amp;"'!D"&amp;G1139)),0))))))))))))</f>
        <v>0</v>
      </c>
      <c r="M1139" s="36">
        <f>IFERROR(IF(NOT(ISBLANK(KPI_TARGETS!$K$21)),KPI_TARGETS!$K$21,IF(NOT(ISBLANK(KPI_TARGETS!$F$21)),KPI_TARGETS!$F$21,"")),"")</f>
        <v>0</v>
      </c>
      <c r="N1139" s="36" t="str">
        <f>IFERROR(KPI_TARGETS!$E$21,"Higher is better")</f>
        <v>Lower is better</v>
      </c>
      <c r="O1139" s="37">
        <f t="shared" ca="1" si="102"/>
        <v>1</v>
      </c>
      <c r="P1139" t="str">
        <f t="shared" ca="1" si="103"/>
        <v>Green</v>
      </c>
      <c r="Q1139" s="36">
        <f t="shared" ca="1" si="104"/>
        <v>0</v>
      </c>
      <c r="R1139" s="36" t="str">
        <f>""</f>
        <v/>
      </c>
      <c r="S1139" s="36" t="str">
        <f>""</f>
        <v/>
      </c>
      <c r="T1139" s="36" t="str">
        <f>""</f>
        <v/>
      </c>
      <c r="U1139" s="36" t="str">
        <f>""</f>
        <v/>
      </c>
      <c r="V1139" s="36" t="str">
        <f>""</f>
        <v/>
      </c>
      <c r="W1139" s="36">
        <f t="shared" si="105"/>
        <v>1</v>
      </c>
      <c r="X1139" t="str">
        <f t="shared" si="106"/>
        <v>Inactive</v>
      </c>
      <c r="Y1139" t="str">
        <f>IF(MAIN!$H$3="Selected Year",IF(A1139=MAIN!$B$3,"Yes","No"),IF(MAIN!$H$3="Included Years",IF(D1139="Yes","Yes","No"),IF(C1139="Yes","Yes","No")))</f>
        <v>No</v>
      </c>
      <c r="Z1139" t="str">
        <f>IF(MAIN!$F$3="Project to Date",IF(AND(A1139&gt;=SETTINGS!$B$4,A1139&lt;MAIN!$B$3),"Yes",IF(AND(A1139=MAIN!$B$3,E1139&lt;=MAIN!$L$3),"Yes","No")),IF(OR(MAIN!$F$3="Full Year",MAIN!$D$3="All"),"Yes",IF(MAIN!$F$3="Monthly",IF(E1139=MAIN!$L$3,"Yes","No"),IF(E1139&lt;=MAIN!$L$3,"Yes","No"))))</f>
        <v>Yes</v>
      </c>
      <c r="AA1139" t="str">
        <f t="shared" si="107"/>
        <v>No</v>
      </c>
    </row>
    <row r="1140" spans="1:27" x14ac:dyDescent="0.3">
      <c r="A1140">
        <f>INDEX(SETTINGS!$A$15:$A$24,$B1140)</f>
        <v>2029</v>
      </c>
      <c r="B1140">
        <v>5</v>
      </c>
      <c r="C1140" t="str">
        <f>IF(AND(A1140&gt;=SETTINGS!$B$4,A1140&lt;=SETTINGS!$B$5),"Yes","No")</f>
        <v>No</v>
      </c>
      <c r="D1140" t="str">
        <f>IFERROR(INDEX(SETTINGS!$C$15:$C$24,MATCH(A1140,SETTINGS!$A$15:$A$24,0)),"No")</f>
        <v>No</v>
      </c>
      <c r="E1140">
        <v>12</v>
      </c>
      <c r="F1140" t="s">
        <v>45</v>
      </c>
      <c r="G1140">
        <v>293</v>
      </c>
      <c r="H1140" t="s">
        <v>111</v>
      </c>
      <c r="I1140" t="s">
        <v>30</v>
      </c>
      <c r="J1140" t="s">
        <v>32</v>
      </c>
      <c r="K1140" t="s">
        <v>3</v>
      </c>
      <c r="L1140" s="36">
        <f ca="1">IF(C1140&lt;&gt;"Yes",0,IF(A1140=2025,N('2025'!D293),IF(A1140=2026,N('2026'!D293),IF(A1140=2027,N('2027'!D293),IF(A1140=2028,N('2028'!D293),IF(A1140=2029,N('2029'!D293),IF(A1140=2030,N('2030'!D293),IF(A1140=2031,N('2031'!D293),IF(A1140=2032,N('2032'!D293),IF(A1140=2033,N('2033'!D293),IF(A1140=2034,N('2034'!D293),IFERROR(N(INDIRECT("'"&amp;A1140&amp;"'!D"&amp;G1140)),0))))))))))))</f>
        <v>0</v>
      </c>
      <c r="M1140" s="36">
        <f>IFERROR(IF(NOT(ISBLANK(KPI_TARGETS!$K$22)),KPI_TARGETS!$K$22,IF(NOT(ISBLANK(KPI_TARGETS!$F$22)),KPI_TARGETS!$F$22,"")),"")</f>
        <v>1</v>
      </c>
      <c r="N1140" s="36" t="str">
        <f>IFERROR(KPI_TARGETS!$E$22,"Higher is better")</f>
        <v>Higher is better</v>
      </c>
      <c r="O1140" s="37">
        <f t="shared" ca="1" si="102"/>
        <v>0</v>
      </c>
      <c r="P1140" t="str">
        <f t="shared" ca="1" si="103"/>
        <v>Red</v>
      </c>
      <c r="Q1140" s="36">
        <f t="shared" ca="1" si="104"/>
        <v>-1</v>
      </c>
      <c r="R1140" s="36" t="str">
        <f>""</f>
        <v/>
      </c>
      <c r="S1140" s="36" t="str">
        <f>""</f>
        <v/>
      </c>
      <c r="T1140" s="36" t="str">
        <f>""</f>
        <v/>
      </c>
      <c r="U1140" s="36" t="str">
        <f>""</f>
        <v/>
      </c>
      <c r="V1140" s="36" t="str">
        <f>""</f>
        <v/>
      </c>
      <c r="W1140" s="36">
        <f t="shared" si="105"/>
        <v>1</v>
      </c>
      <c r="X1140" t="str">
        <f t="shared" si="106"/>
        <v>Inactive</v>
      </c>
      <c r="Y1140" t="str">
        <f>IF(MAIN!$H$3="Selected Year",IF(A1140=MAIN!$B$3,"Yes","No"),IF(MAIN!$H$3="Included Years",IF(D1140="Yes","Yes","No"),IF(C1140="Yes","Yes","No")))</f>
        <v>No</v>
      </c>
      <c r="Z1140" t="str">
        <f>IF(MAIN!$F$3="Project to Date",IF(AND(A1140&gt;=SETTINGS!$B$4,A1140&lt;MAIN!$B$3),"Yes",IF(AND(A1140=MAIN!$B$3,E1140&lt;=MAIN!$L$3),"Yes","No")),IF(OR(MAIN!$F$3="Full Year",MAIN!$D$3="All"),"Yes",IF(MAIN!$F$3="Monthly",IF(E1140=MAIN!$L$3,"Yes","No"),IF(E1140&lt;=MAIN!$L$3,"Yes","No"))))</f>
        <v>Yes</v>
      </c>
      <c r="AA1140" t="str">
        <f t="shared" si="107"/>
        <v>No</v>
      </c>
    </row>
    <row r="1141" spans="1:27" x14ac:dyDescent="0.3">
      <c r="A1141">
        <f>INDEX(SETTINGS!$A$15:$A$24,$B1141)</f>
        <v>2029</v>
      </c>
      <c r="B1141">
        <v>5</v>
      </c>
      <c r="C1141" t="str">
        <f>IF(AND(A1141&gt;=SETTINGS!$B$4,A1141&lt;=SETTINGS!$B$5),"Yes","No")</f>
        <v>No</v>
      </c>
      <c r="D1141" t="str">
        <f>IFERROR(INDEX(SETTINGS!$C$15:$C$24,MATCH(A1141,SETTINGS!$A$15:$A$24,0)),"No")</f>
        <v>No</v>
      </c>
      <c r="E1141">
        <v>12</v>
      </c>
      <c r="F1141" t="s">
        <v>45</v>
      </c>
      <c r="G1141">
        <v>294</v>
      </c>
      <c r="H1141" t="s">
        <v>112</v>
      </c>
      <c r="I1141" t="s">
        <v>30</v>
      </c>
      <c r="J1141" t="s">
        <v>33</v>
      </c>
      <c r="K1141" t="s">
        <v>34</v>
      </c>
      <c r="L1141" s="36">
        <f ca="1">IF(C1141&lt;&gt;"Yes",0,IF(A1141=2025,N('2025'!D294),IF(A1141=2026,N('2026'!D294),IF(A1141=2027,N('2027'!D294),IF(A1141=2028,N('2028'!D294),IF(A1141=2029,N('2029'!D294),IF(A1141=2030,N('2030'!D294),IF(A1141=2031,N('2031'!D294),IF(A1141=2032,N('2032'!D294),IF(A1141=2033,N('2033'!D294),IF(A1141=2034,N('2034'!D294),IFERROR(N(INDIRECT("'"&amp;A1141&amp;"'!D"&amp;G1141)),0))))))))))))</f>
        <v>0</v>
      </c>
      <c r="M1141" s="36">
        <f>IFERROR(IF(NOT(ISBLANK(KPI_TARGETS!$K$23)),KPI_TARGETS!$K$23,IF(NOT(ISBLANK(KPI_TARGETS!$F$23)),KPI_TARGETS!$F$23,"")),"")</f>
        <v>1</v>
      </c>
      <c r="N1141" s="36" t="str">
        <f>IFERROR(KPI_TARGETS!$E$23,"Higher is better")</f>
        <v>Higher is better</v>
      </c>
      <c r="O1141" s="37">
        <f t="shared" ca="1" si="102"/>
        <v>0</v>
      </c>
      <c r="P1141" t="str">
        <f t="shared" ca="1" si="103"/>
        <v>Red</v>
      </c>
      <c r="Q1141" s="36">
        <f t="shared" ca="1" si="104"/>
        <v>-1</v>
      </c>
      <c r="R1141" s="36" t="str">
        <f>""</f>
        <v/>
      </c>
      <c r="S1141" s="36" t="str">
        <f>""</f>
        <v/>
      </c>
      <c r="T1141" s="36" t="str">
        <f>""</f>
        <v/>
      </c>
      <c r="U1141" s="36" t="str">
        <f>""</f>
        <v/>
      </c>
      <c r="V1141" s="36" t="str">
        <f>""</f>
        <v/>
      </c>
      <c r="W1141" s="36">
        <f t="shared" si="105"/>
        <v>1</v>
      </c>
      <c r="X1141" t="str">
        <f t="shared" si="106"/>
        <v>Inactive</v>
      </c>
      <c r="Y1141" t="str">
        <f>IF(MAIN!$H$3="Selected Year",IF(A1141=MAIN!$B$3,"Yes","No"),IF(MAIN!$H$3="Included Years",IF(D1141="Yes","Yes","No"),IF(C1141="Yes","Yes","No")))</f>
        <v>No</v>
      </c>
      <c r="Z1141" t="str">
        <f>IF(MAIN!$F$3="Project to Date",IF(AND(A1141&gt;=SETTINGS!$B$4,A1141&lt;MAIN!$B$3),"Yes",IF(AND(A1141=MAIN!$B$3,E1141&lt;=MAIN!$L$3),"Yes","No")),IF(OR(MAIN!$F$3="Full Year",MAIN!$D$3="All"),"Yes",IF(MAIN!$F$3="Monthly",IF(E1141=MAIN!$L$3,"Yes","No"),IF(E1141&lt;=MAIN!$L$3,"Yes","No"))))</f>
        <v>Yes</v>
      </c>
      <c r="AA1141" t="str">
        <f t="shared" si="107"/>
        <v>No</v>
      </c>
    </row>
    <row r="1142" spans="1:27" x14ac:dyDescent="0.3">
      <c r="A1142">
        <f>INDEX(SETTINGS!$A$15:$A$24,$B1142)</f>
        <v>2030</v>
      </c>
      <c r="B1142">
        <v>6</v>
      </c>
      <c r="C1142" t="str">
        <f>IF(AND(A1142&gt;=SETTINGS!$B$4,A1142&lt;=SETTINGS!$B$5),"Yes","No")</f>
        <v>No</v>
      </c>
      <c r="D1142" t="str">
        <f>IFERROR(INDEX(SETTINGS!$C$15:$C$24,MATCH(A1142,SETTINGS!$A$15:$A$24,0)),"No")</f>
        <v>No</v>
      </c>
      <c r="E1142">
        <v>1</v>
      </c>
      <c r="F1142" t="s">
        <v>2</v>
      </c>
      <c r="G1142">
        <v>9</v>
      </c>
      <c r="H1142" t="s">
        <v>88</v>
      </c>
      <c r="I1142" t="s">
        <v>89</v>
      </c>
      <c r="J1142" t="s">
        <v>10</v>
      </c>
      <c r="K1142" t="s">
        <v>3</v>
      </c>
      <c r="L1142" s="36">
        <f ca="1">IF(C1142&lt;&gt;"Yes",0,IF(A1142=2025,N('2025'!D9),IF(A1142=2026,N('2026'!D9),IF(A1142=2027,N('2027'!D9),IF(A1142=2028,N('2028'!D9),IF(A1142=2029,N('2029'!D9),IF(A1142=2030,N('2030'!D9),IF(A1142=2031,N('2031'!D9),IF(A1142=2032,N('2032'!D9),IF(A1142=2033,N('2033'!D9),IF(A1142=2034,N('2034'!D9),IFERROR(N(INDIRECT("'"&amp;A1142&amp;"'!D"&amp;G1142)),0))))))))))))</f>
        <v>0</v>
      </c>
      <c r="M1142" s="36">
        <f>IFERROR(IF(NOT(ISBLANK(KPI_TARGETS!$L$5)),KPI_TARGETS!$L$5,IF(NOT(ISBLANK(KPI_TARGETS!$F$5)),KPI_TARGETS!$F$5,"")),"")</f>
        <v>104</v>
      </c>
      <c r="N1142" s="36" t="str">
        <f>IFERROR(KPI_TARGETS!$E$5,"Higher is better")</f>
        <v>Higher is better</v>
      </c>
      <c r="O1142" s="37">
        <f t="shared" ca="1" si="102"/>
        <v>0</v>
      </c>
      <c r="P1142" t="str">
        <f t="shared" ca="1" si="103"/>
        <v>Red</v>
      </c>
      <c r="Q1142" s="36">
        <f t="shared" ca="1" si="104"/>
        <v>-104</v>
      </c>
      <c r="R1142" s="36" t="str">
        <f>""</f>
        <v/>
      </c>
      <c r="S1142" s="36" t="str">
        <f>""</f>
        <v/>
      </c>
      <c r="T1142" s="36" t="str">
        <f>""</f>
        <v/>
      </c>
      <c r="U1142" s="36" t="str">
        <f>""</f>
        <v/>
      </c>
      <c r="V1142" s="36" t="str">
        <f>""</f>
        <v/>
      </c>
      <c r="W1142" s="36">
        <f t="shared" si="105"/>
        <v>1</v>
      </c>
      <c r="X1142" t="str">
        <f t="shared" si="106"/>
        <v>Inactive</v>
      </c>
      <c r="Y1142" t="str">
        <f>IF(MAIN!$H$3="Selected Year",IF(A1142=MAIN!$B$3,"Yes","No"),IF(MAIN!$H$3="Included Years",IF(D1142="Yes","Yes","No"),IF(C1142="Yes","Yes","No")))</f>
        <v>No</v>
      </c>
      <c r="Z1142" t="str">
        <f>IF(MAIN!$F$3="Project to Date",IF(AND(A1142&gt;=SETTINGS!$B$4,A1142&lt;MAIN!$B$3),"Yes",IF(AND(A1142=MAIN!$B$3,E1142&lt;=MAIN!$L$3),"Yes","No")),IF(OR(MAIN!$F$3="Full Year",MAIN!$D$3="All"),"Yes",IF(MAIN!$F$3="Monthly",IF(E1142=MAIN!$L$3,"Yes","No"),IF(E1142&lt;=MAIN!$L$3,"Yes","No"))))</f>
        <v>Yes</v>
      </c>
      <c r="AA1142" t="str">
        <f t="shared" si="107"/>
        <v>No</v>
      </c>
    </row>
    <row r="1143" spans="1:27" x14ac:dyDescent="0.3">
      <c r="A1143">
        <f>INDEX(SETTINGS!$A$15:$A$24,$B1143)</f>
        <v>2030</v>
      </c>
      <c r="B1143">
        <v>6</v>
      </c>
      <c r="C1143" t="str">
        <f>IF(AND(A1143&gt;=SETTINGS!$B$4,A1143&lt;=SETTINGS!$B$5),"Yes","No")</f>
        <v>No</v>
      </c>
      <c r="D1143" t="str">
        <f>IFERROR(INDEX(SETTINGS!$C$15:$C$24,MATCH(A1143,SETTINGS!$A$15:$A$24,0)),"No")</f>
        <v>No</v>
      </c>
      <c r="E1143">
        <v>1</v>
      </c>
      <c r="F1143" t="s">
        <v>2</v>
      </c>
      <c r="G1143">
        <v>10</v>
      </c>
      <c r="H1143" t="s">
        <v>91</v>
      </c>
      <c r="I1143" t="s">
        <v>89</v>
      </c>
      <c r="J1143" t="s">
        <v>11</v>
      </c>
      <c r="K1143" t="s">
        <v>12</v>
      </c>
      <c r="L1143" s="36">
        <f ca="1">IF(C1143&lt;&gt;"Yes",0,IF(A1143=2025,N('2025'!D10),IF(A1143=2026,N('2026'!D10),IF(A1143=2027,N('2027'!D10),IF(A1143=2028,N('2028'!D10),IF(A1143=2029,N('2029'!D10),IF(A1143=2030,N('2030'!D10),IF(A1143=2031,N('2031'!D10),IF(A1143=2032,N('2032'!D10),IF(A1143=2033,N('2033'!D10),IF(A1143=2034,N('2034'!D10),IFERROR(N(INDIRECT("'"&amp;A1143&amp;"'!D"&amp;G1143)),0))))))))))))</f>
        <v>0</v>
      </c>
      <c r="M1143" s="36">
        <f>IFERROR(IF(NOT(ISBLANK(KPI_TARGETS!$L$6)),KPI_TARGETS!$L$6,IF(NOT(ISBLANK(KPI_TARGETS!$F$6)),KPI_TARGETS!$F$6,"")),"")</f>
        <v>4000</v>
      </c>
      <c r="N1143" s="36" t="str">
        <f>IFERROR(KPI_TARGETS!$E$6,"Higher is better")</f>
        <v>Higher is better</v>
      </c>
      <c r="O1143" s="37">
        <f t="shared" ca="1" si="102"/>
        <v>0</v>
      </c>
      <c r="P1143" t="str">
        <f t="shared" ca="1" si="103"/>
        <v>Red</v>
      </c>
      <c r="Q1143" s="36">
        <f t="shared" ca="1" si="104"/>
        <v>-4000</v>
      </c>
      <c r="R1143" s="36" t="str">
        <f>""</f>
        <v/>
      </c>
      <c r="S1143" s="36" t="str">
        <f>""</f>
        <v/>
      </c>
      <c r="T1143" s="36" t="str">
        <f>""</f>
        <v/>
      </c>
      <c r="U1143" s="36" t="str">
        <f>""</f>
        <v/>
      </c>
      <c r="V1143" s="36" t="str">
        <f>""</f>
        <v/>
      </c>
      <c r="W1143" s="36">
        <f t="shared" si="105"/>
        <v>1</v>
      </c>
      <c r="X1143" t="str">
        <f t="shared" si="106"/>
        <v>Inactive</v>
      </c>
      <c r="Y1143" t="str">
        <f>IF(MAIN!$H$3="Selected Year",IF(A1143=MAIN!$B$3,"Yes","No"),IF(MAIN!$H$3="Included Years",IF(D1143="Yes","Yes","No"),IF(C1143="Yes","Yes","No")))</f>
        <v>No</v>
      </c>
      <c r="Z1143" t="str">
        <f>IF(MAIN!$F$3="Project to Date",IF(AND(A1143&gt;=SETTINGS!$B$4,A1143&lt;MAIN!$B$3),"Yes",IF(AND(A1143=MAIN!$B$3,E1143&lt;=MAIN!$L$3),"Yes","No")),IF(OR(MAIN!$F$3="Full Year",MAIN!$D$3="All"),"Yes",IF(MAIN!$F$3="Monthly",IF(E1143=MAIN!$L$3,"Yes","No"),IF(E1143&lt;=MAIN!$L$3,"Yes","No"))))</f>
        <v>Yes</v>
      </c>
      <c r="AA1143" t="str">
        <f t="shared" si="107"/>
        <v>No</v>
      </c>
    </row>
    <row r="1144" spans="1:27" x14ac:dyDescent="0.3">
      <c r="A1144">
        <f>INDEX(SETTINGS!$A$15:$A$24,$B1144)</f>
        <v>2030</v>
      </c>
      <c r="B1144">
        <v>6</v>
      </c>
      <c r="C1144" t="str">
        <f>IF(AND(A1144&gt;=SETTINGS!$B$4,A1144&lt;=SETTINGS!$B$5),"Yes","No")</f>
        <v>No</v>
      </c>
      <c r="D1144" t="str">
        <f>IFERROR(INDEX(SETTINGS!$C$15:$C$24,MATCH(A1144,SETTINGS!$A$15:$A$24,0)),"No")</f>
        <v>No</v>
      </c>
      <c r="E1144">
        <v>1</v>
      </c>
      <c r="F1144" t="s">
        <v>2</v>
      </c>
      <c r="G1144">
        <v>11</v>
      </c>
      <c r="H1144" t="s">
        <v>93</v>
      </c>
      <c r="I1144" t="s">
        <v>89</v>
      </c>
      <c r="J1144" t="s">
        <v>13</v>
      </c>
      <c r="K1144" t="s">
        <v>14</v>
      </c>
      <c r="L1144" s="36">
        <f ca="1">IF(C1144&lt;&gt;"Yes",0,IF(A1144=2025,N('2025'!D11),IF(A1144=2026,N('2026'!D11),IF(A1144=2027,N('2027'!D11),IF(A1144=2028,N('2028'!D11),IF(A1144=2029,N('2029'!D11),IF(A1144=2030,N('2030'!D11),IF(A1144=2031,N('2031'!D11),IF(A1144=2032,N('2032'!D11),IF(A1144=2033,N('2033'!D11),IF(A1144=2034,N('2034'!D11),IFERROR(N(INDIRECT("'"&amp;A1144&amp;"'!D"&amp;G1144)),0))))))))))))</f>
        <v>0</v>
      </c>
      <c r="M1144" s="36">
        <f>IFERROR(IF(NOT(ISBLANK(KPI_TARGETS!$L$7)),KPI_TARGETS!$L$7,IF(NOT(ISBLANK(KPI_TARGETS!$F$7)),KPI_TARGETS!$F$7,"")),"")</f>
        <v>8000</v>
      </c>
      <c r="N1144" s="36" t="str">
        <f>IFERROR(KPI_TARGETS!$E$7,"Higher is better")</f>
        <v>Higher is better</v>
      </c>
      <c r="O1144" s="37">
        <f t="shared" ca="1" si="102"/>
        <v>0</v>
      </c>
      <c r="P1144" t="str">
        <f t="shared" ca="1" si="103"/>
        <v>Red</v>
      </c>
      <c r="Q1144" s="36">
        <f t="shared" ca="1" si="104"/>
        <v>-8000</v>
      </c>
      <c r="R1144" s="36" t="str">
        <f>""</f>
        <v/>
      </c>
      <c r="S1144" s="36" t="str">
        <f>""</f>
        <v/>
      </c>
      <c r="T1144" s="36" t="str">
        <f>""</f>
        <v/>
      </c>
      <c r="U1144" s="36" t="str">
        <f>""</f>
        <v/>
      </c>
      <c r="V1144" s="36" t="str">
        <f>""</f>
        <v/>
      </c>
      <c r="W1144" s="36">
        <f t="shared" si="105"/>
        <v>1</v>
      </c>
      <c r="X1144" t="str">
        <f t="shared" si="106"/>
        <v>Inactive</v>
      </c>
      <c r="Y1144" t="str">
        <f>IF(MAIN!$H$3="Selected Year",IF(A1144=MAIN!$B$3,"Yes","No"),IF(MAIN!$H$3="Included Years",IF(D1144="Yes","Yes","No"),IF(C1144="Yes","Yes","No")))</f>
        <v>No</v>
      </c>
      <c r="Z1144" t="str">
        <f>IF(MAIN!$F$3="Project to Date",IF(AND(A1144&gt;=SETTINGS!$B$4,A1144&lt;MAIN!$B$3),"Yes",IF(AND(A1144=MAIN!$B$3,E1144&lt;=MAIN!$L$3),"Yes","No")),IF(OR(MAIN!$F$3="Full Year",MAIN!$D$3="All"),"Yes",IF(MAIN!$F$3="Monthly",IF(E1144=MAIN!$L$3,"Yes","No"),IF(E1144&lt;=MAIN!$L$3,"Yes","No"))))</f>
        <v>Yes</v>
      </c>
      <c r="AA1144" t="str">
        <f t="shared" si="107"/>
        <v>No</v>
      </c>
    </row>
    <row r="1145" spans="1:27" x14ac:dyDescent="0.3">
      <c r="A1145">
        <f>INDEX(SETTINGS!$A$15:$A$24,$B1145)</f>
        <v>2030</v>
      </c>
      <c r="B1145">
        <v>6</v>
      </c>
      <c r="C1145" t="str">
        <f>IF(AND(A1145&gt;=SETTINGS!$B$4,A1145&lt;=SETTINGS!$B$5),"Yes","No")</f>
        <v>No</v>
      </c>
      <c r="D1145" t="str">
        <f>IFERROR(INDEX(SETTINGS!$C$15:$C$24,MATCH(A1145,SETTINGS!$A$15:$A$24,0)),"No")</f>
        <v>No</v>
      </c>
      <c r="E1145">
        <v>1</v>
      </c>
      <c r="F1145" t="s">
        <v>2</v>
      </c>
      <c r="G1145">
        <v>13</v>
      </c>
      <c r="H1145" t="s">
        <v>95</v>
      </c>
      <c r="I1145" t="s">
        <v>15</v>
      </c>
      <c r="J1145" t="s">
        <v>16</v>
      </c>
      <c r="K1145" t="s">
        <v>3</v>
      </c>
      <c r="L1145" s="36">
        <f ca="1">IF(C1145&lt;&gt;"Yes",0,IF(A1145=2025,N('2025'!D13),IF(A1145=2026,N('2026'!D13),IF(A1145=2027,N('2027'!D13),IF(A1145=2028,N('2028'!D13),IF(A1145=2029,N('2029'!D13),IF(A1145=2030,N('2030'!D13),IF(A1145=2031,N('2031'!D13),IF(A1145=2032,N('2032'!D13),IF(A1145=2033,N('2033'!D13),IF(A1145=2034,N('2034'!D13),IFERROR(N(INDIRECT("'"&amp;A1145&amp;"'!D"&amp;G1145)),0))))))))))))</f>
        <v>0</v>
      </c>
      <c r="M1145" s="36">
        <f>IFERROR(IF(NOT(ISBLANK(KPI_TARGETS!$L$8)),KPI_TARGETS!$L$8,IF(NOT(ISBLANK(KPI_TARGETS!$F$8)),KPI_TARGETS!$F$8,"")),"")</f>
        <v>0</v>
      </c>
      <c r="N1145" s="36" t="str">
        <f>IFERROR(KPI_TARGETS!$E$8,"Higher is better")</f>
        <v>Lower is better</v>
      </c>
      <c r="O1145" s="37">
        <f t="shared" ca="1" si="102"/>
        <v>1</v>
      </c>
      <c r="P1145" t="str">
        <f t="shared" ca="1" si="103"/>
        <v>Green</v>
      </c>
      <c r="Q1145" s="36">
        <f t="shared" ca="1" si="104"/>
        <v>0</v>
      </c>
      <c r="R1145" s="36" t="str">
        <f>""</f>
        <v/>
      </c>
      <c r="S1145" s="36" t="str">
        <f>""</f>
        <v/>
      </c>
      <c r="T1145" s="36" t="str">
        <f>""</f>
        <v/>
      </c>
      <c r="U1145" s="36" t="str">
        <f>""</f>
        <v/>
      </c>
      <c r="V1145" s="36" t="str">
        <f>""</f>
        <v/>
      </c>
      <c r="W1145" s="36">
        <f t="shared" si="105"/>
        <v>1</v>
      </c>
      <c r="X1145" t="str">
        <f t="shared" si="106"/>
        <v>Inactive</v>
      </c>
      <c r="Y1145" t="str">
        <f>IF(MAIN!$H$3="Selected Year",IF(A1145=MAIN!$B$3,"Yes","No"),IF(MAIN!$H$3="Included Years",IF(D1145="Yes","Yes","No"),IF(C1145="Yes","Yes","No")))</f>
        <v>No</v>
      </c>
      <c r="Z1145" t="str">
        <f>IF(MAIN!$F$3="Project to Date",IF(AND(A1145&gt;=SETTINGS!$B$4,A1145&lt;MAIN!$B$3),"Yes",IF(AND(A1145=MAIN!$B$3,E1145&lt;=MAIN!$L$3),"Yes","No")),IF(OR(MAIN!$F$3="Full Year",MAIN!$D$3="All"),"Yes",IF(MAIN!$F$3="Monthly",IF(E1145=MAIN!$L$3,"Yes","No"),IF(E1145&lt;=MAIN!$L$3,"Yes","No"))))</f>
        <v>Yes</v>
      </c>
      <c r="AA1145" t="str">
        <f t="shared" si="107"/>
        <v>No</v>
      </c>
    </row>
    <row r="1146" spans="1:27" x14ac:dyDescent="0.3">
      <c r="A1146">
        <f>INDEX(SETTINGS!$A$15:$A$24,$B1146)</f>
        <v>2030</v>
      </c>
      <c r="B1146">
        <v>6</v>
      </c>
      <c r="C1146" t="str">
        <f>IF(AND(A1146&gt;=SETTINGS!$B$4,A1146&lt;=SETTINGS!$B$5),"Yes","No")</f>
        <v>No</v>
      </c>
      <c r="D1146" t="str">
        <f>IFERROR(INDEX(SETTINGS!$C$15:$C$24,MATCH(A1146,SETTINGS!$A$15:$A$24,0)),"No")</f>
        <v>No</v>
      </c>
      <c r="E1146">
        <v>1</v>
      </c>
      <c r="F1146" t="s">
        <v>2</v>
      </c>
      <c r="G1146">
        <v>14</v>
      </c>
      <c r="H1146" t="s">
        <v>97</v>
      </c>
      <c r="I1146" t="s">
        <v>15</v>
      </c>
      <c r="J1146" t="s">
        <v>17</v>
      </c>
      <c r="K1146" t="s">
        <v>3</v>
      </c>
      <c r="L1146" s="36">
        <f ca="1">IF(C1146&lt;&gt;"Yes",0,IF(A1146=2025,N('2025'!D14),IF(A1146=2026,N('2026'!D14),IF(A1146=2027,N('2027'!D14),IF(A1146=2028,N('2028'!D14),IF(A1146=2029,N('2029'!D14),IF(A1146=2030,N('2030'!D14),IF(A1146=2031,N('2031'!D14),IF(A1146=2032,N('2032'!D14),IF(A1146=2033,N('2033'!D14),IF(A1146=2034,N('2034'!D14),IFERROR(N(INDIRECT("'"&amp;A1146&amp;"'!D"&amp;G1146)),0))))))))))))</f>
        <v>0</v>
      </c>
      <c r="M1146" s="36">
        <f>IFERROR(IF(NOT(ISBLANK(KPI_TARGETS!$L$9)),KPI_TARGETS!$L$9,IF(NOT(ISBLANK(KPI_TARGETS!$F$9)),KPI_TARGETS!$F$9,"")),"")</f>
        <v>0</v>
      </c>
      <c r="N1146" s="36" t="str">
        <f>IFERROR(KPI_TARGETS!$E$9,"Higher is better")</f>
        <v>Higher is better</v>
      </c>
      <c r="O1146" s="37" t="str">
        <f t="shared" ca="1" si="102"/>
        <v/>
      </c>
      <c r="P1146" t="str">
        <f t="shared" ca="1" si="103"/>
        <v>Green</v>
      </c>
      <c r="Q1146" s="36">
        <f t="shared" ca="1" si="104"/>
        <v>0</v>
      </c>
      <c r="R1146" s="36" t="str">
        <f>""</f>
        <v/>
      </c>
      <c r="S1146" s="36" t="str">
        <f>""</f>
        <v/>
      </c>
      <c r="T1146" s="36" t="str">
        <f>""</f>
        <v/>
      </c>
      <c r="U1146" s="36" t="str">
        <f>""</f>
        <v/>
      </c>
      <c r="V1146" s="36" t="str">
        <f>""</f>
        <v/>
      </c>
      <c r="W1146" s="36">
        <f t="shared" si="105"/>
        <v>1</v>
      </c>
      <c r="X1146" t="str">
        <f t="shared" si="106"/>
        <v>Inactive</v>
      </c>
      <c r="Y1146" t="str">
        <f>IF(MAIN!$H$3="Selected Year",IF(A1146=MAIN!$B$3,"Yes","No"),IF(MAIN!$H$3="Included Years",IF(D1146="Yes","Yes","No"),IF(C1146="Yes","Yes","No")))</f>
        <v>No</v>
      </c>
      <c r="Z1146" t="str">
        <f>IF(MAIN!$F$3="Project to Date",IF(AND(A1146&gt;=SETTINGS!$B$4,A1146&lt;MAIN!$B$3),"Yes",IF(AND(A1146=MAIN!$B$3,E1146&lt;=MAIN!$L$3),"Yes","No")),IF(OR(MAIN!$F$3="Full Year",MAIN!$D$3="All"),"Yes",IF(MAIN!$F$3="Monthly",IF(E1146=MAIN!$L$3,"Yes","No"),IF(E1146&lt;=MAIN!$L$3,"Yes","No"))))</f>
        <v>Yes</v>
      </c>
      <c r="AA1146" t="str">
        <f t="shared" si="107"/>
        <v>No</v>
      </c>
    </row>
    <row r="1147" spans="1:27" x14ac:dyDescent="0.3">
      <c r="A1147">
        <f>INDEX(SETTINGS!$A$15:$A$24,$B1147)</f>
        <v>2030</v>
      </c>
      <c r="B1147">
        <v>6</v>
      </c>
      <c r="C1147" t="str">
        <f>IF(AND(A1147&gt;=SETTINGS!$B$4,A1147&lt;=SETTINGS!$B$5),"Yes","No")</f>
        <v>No</v>
      </c>
      <c r="D1147" t="str">
        <f>IFERROR(INDEX(SETTINGS!$C$15:$C$24,MATCH(A1147,SETTINGS!$A$15:$A$24,0)),"No")</f>
        <v>No</v>
      </c>
      <c r="E1147">
        <v>1</v>
      </c>
      <c r="F1147" t="s">
        <v>2</v>
      </c>
      <c r="G1147">
        <v>15</v>
      </c>
      <c r="H1147" t="s">
        <v>99</v>
      </c>
      <c r="I1147" t="s">
        <v>15</v>
      </c>
      <c r="J1147" t="s">
        <v>18</v>
      </c>
      <c r="K1147" t="s">
        <v>3</v>
      </c>
      <c r="L1147" s="36">
        <f ca="1">IF(C1147&lt;&gt;"Yes",0,IF(A1147=2025,N('2025'!D15),IF(A1147=2026,N('2026'!D15),IF(A1147=2027,N('2027'!D15),IF(A1147=2028,N('2028'!D15),IF(A1147=2029,N('2029'!D15),IF(A1147=2030,N('2030'!D15),IF(A1147=2031,N('2031'!D15),IF(A1147=2032,N('2032'!D15),IF(A1147=2033,N('2033'!D15),IF(A1147=2034,N('2034'!D15),IFERROR(N(INDIRECT("'"&amp;A1147&amp;"'!D"&amp;G1147)),0))))))))))))</f>
        <v>0</v>
      </c>
      <c r="M1147" s="36">
        <f>IFERROR(IF(NOT(ISBLANK(KPI_TARGETS!$L$10)),KPI_TARGETS!$L$10,IF(NOT(ISBLANK(KPI_TARGETS!$F$10)),KPI_TARGETS!$F$10,"")),"")</f>
        <v>0</v>
      </c>
      <c r="N1147" s="36" t="str">
        <f>IFERROR(KPI_TARGETS!$E$10,"Higher is better")</f>
        <v>Lower is better</v>
      </c>
      <c r="O1147" s="37">
        <f t="shared" ca="1" si="102"/>
        <v>1</v>
      </c>
      <c r="P1147" t="str">
        <f t="shared" ca="1" si="103"/>
        <v>Green</v>
      </c>
      <c r="Q1147" s="36">
        <f t="shared" ca="1" si="104"/>
        <v>0</v>
      </c>
      <c r="R1147" s="36" t="str">
        <f>""</f>
        <v/>
      </c>
      <c r="S1147" s="36" t="str">
        <f>""</f>
        <v/>
      </c>
      <c r="T1147" s="36" t="str">
        <f>""</f>
        <v/>
      </c>
      <c r="U1147" s="36" t="str">
        <f>""</f>
        <v/>
      </c>
      <c r="V1147" s="36" t="str">
        <f>""</f>
        <v/>
      </c>
      <c r="W1147" s="36">
        <f t="shared" si="105"/>
        <v>1</v>
      </c>
      <c r="X1147" t="str">
        <f t="shared" si="106"/>
        <v>Inactive</v>
      </c>
      <c r="Y1147" t="str">
        <f>IF(MAIN!$H$3="Selected Year",IF(A1147=MAIN!$B$3,"Yes","No"),IF(MAIN!$H$3="Included Years",IF(D1147="Yes","Yes","No"),IF(C1147="Yes","Yes","No")))</f>
        <v>No</v>
      </c>
      <c r="Z1147" t="str">
        <f>IF(MAIN!$F$3="Project to Date",IF(AND(A1147&gt;=SETTINGS!$B$4,A1147&lt;MAIN!$B$3),"Yes",IF(AND(A1147=MAIN!$B$3,E1147&lt;=MAIN!$L$3),"Yes","No")),IF(OR(MAIN!$F$3="Full Year",MAIN!$D$3="All"),"Yes",IF(MAIN!$F$3="Monthly",IF(E1147=MAIN!$L$3,"Yes","No"),IF(E1147&lt;=MAIN!$L$3,"Yes","No"))))</f>
        <v>Yes</v>
      </c>
      <c r="AA1147" t="str">
        <f t="shared" si="107"/>
        <v>No</v>
      </c>
    </row>
    <row r="1148" spans="1:27" x14ac:dyDescent="0.3">
      <c r="A1148">
        <f>INDEX(SETTINGS!$A$15:$A$24,$B1148)</f>
        <v>2030</v>
      </c>
      <c r="B1148">
        <v>6</v>
      </c>
      <c r="C1148" t="str">
        <f>IF(AND(A1148&gt;=SETTINGS!$B$4,A1148&lt;=SETTINGS!$B$5),"Yes","No")</f>
        <v>No</v>
      </c>
      <c r="D1148" t="str">
        <f>IFERROR(INDEX(SETTINGS!$C$15:$C$24,MATCH(A1148,SETTINGS!$A$15:$A$24,0)),"No")</f>
        <v>No</v>
      </c>
      <c r="E1148">
        <v>1</v>
      </c>
      <c r="F1148" t="s">
        <v>2</v>
      </c>
      <c r="G1148">
        <v>16</v>
      </c>
      <c r="H1148" t="s">
        <v>100</v>
      </c>
      <c r="I1148" t="s">
        <v>15</v>
      </c>
      <c r="J1148" t="s">
        <v>19</v>
      </c>
      <c r="K1148" t="s">
        <v>3</v>
      </c>
      <c r="L1148" s="36">
        <f ca="1">IF(C1148&lt;&gt;"Yes",0,IF(A1148=2025,N('2025'!D16),IF(A1148=2026,N('2026'!D16),IF(A1148=2027,N('2027'!D16),IF(A1148=2028,N('2028'!D16),IF(A1148=2029,N('2029'!D16),IF(A1148=2030,N('2030'!D16),IF(A1148=2031,N('2031'!D16),IF(A1148=2032,N('2032'!D16),IF(A1148=2033,N('2033'!D16),IF(A1148=2034,N('2034'!D16),IFERROR(N(INDIRECT("'"&amp;A1148&amp;"'!D"&amp;G1148)),0))))))))))))</f>
        <v>0</v>
      </c>
      <c r="M1148" s="36">
        <f>IFERROR(IF(NOT(ISBLANK(KPI_TARGETS!$L$11)),KPI_TARGETS!$L$11,IF(NOT(ISBLANK(KPI_TARGETS!$F$11)),KPI_TARGETS!$F$11,"")),"")</f>
        <v>0</v>
      </c>
      <c r="N1148" s="36" t="str">
        <f>IFERROR(KPI_TARGETS!$E$11,"Higher is better")</f>
        <v>Lower is better</v>
      </c>
      <c r="O1148" s="37">
        <f t="shared" ca="1" si="102"/>
        <v>1</v>
      </c>
      <c r="P1148" t="str">
        <f t="shared" ca="1" si="103"/>
        <v>Green</v>
      </c>
      <c r="Q1148" s="36">
        <f t="shared" ca="1" si="104"/>
        <v>0</v>
      </c>
      <c r="R1148" s="36" t="str">
        <f>""</f>
        <v/>
      </c>
      <c r="S1148" s="36" t="str">
        <f>""</f>
        <v/>
      </c>
      <c r="T1148" s="36" t="str">
        <f>""</f>
        <v/>
      </c>
      <c r="U1148" s="36" t="str">
        <f>""</f>
        <v/>
      </c>
      <c r="V1148" s="36" t="str">
        <f>""</f>
        <v/>
      </c>
      <c r="W1148" s="36">
        <f t="shared" si="105"/>
        <v>1</v>
      </c>
      <c r="X1148" t="str">
        <f t="shared" si="106"/>
        <v>Inactive</v>
      </c>
      <c r="Y1148" t="str">
        <f>IF(MAIN!$H$3="Selected Year",IF(A1148=MAIN!$B$3,"Yes","No"),IF(MAIN!$H$3="Included Years",IF(D1148="Yes","Yes","No"),IF(C1148="Yes","Yes","No")))</f>
        <v>No</v>
      </c>
      <c r="Z1148" t="str">
        <f>IF(MAIN!$F$3="Project to Date",IF(AND(A1148&gt;=SETTINGS!$B$4,A1148&lt;MAIN!$B$3),"Yes",IF(AND(A1148=MAIN!$B$3,E1148&lt;=MAIN!$L$3),"Yes","No")),IF(OR(MAIN!$F$3="Full Year",MAIN!$D$3="All"),"Yes",IF(MAIN!$F$3="Monthly",IF(E1148=MAIN!$L$3,"Yes","No"),IF(E1148&lt;=MAIN!$L$3,"Yes","No"))))</f>
        <v>Yes</v>
      </c>
      <c r="AA1148" t="str">
        <f t="shared" si="107"/>
        <v>No</v>
      </c>
    </row>
    <row r="1149" spans="1:27" x14ac:dyDescent="0.3">
      <c r="A1149">
        <f>INDEX(SETTINGS!$A$15:$A$24,$B1149)</f>
        <v>2030</v>
      </c>
      <c r="B1149">
        <v>6</v>
      </c>
      <c r="C1149" t="str">
        <f>IF(AND(A1149&gt;=SETTINGS!$B$4,A1149&lt;=SETTINGS!$B$5),"Yes","No")</f>
        <v>No</v>
      </c>
      <c r="D1149" t="str">
        <f>IFERROR(INDEX(SETTINGS!$C$15:$C$24,MATCH(A1149,SETTINGS!$A$15:$A$24,0)),"No")</f>
        <v>No</v>
      </c>
      <c r="E1149">
        <v>1</v>
      </c>
      <c r="F1149" t="s">
        <v>2</v>
      </c>
      <c r="G1149">
        <v>17</v>
      </c>
      <c r="H1149" t="s">
        <v>101</v>
      </c>
      <c r="I1149" t="s">
        <v>15</v>
      </c>
      <c r="J1149" t="s">
        <v>20</v>
      </c>
      <c r="K1149" t="s">
        <v>3</v>
      </c>
      <c r="L1149" s="36">
        <f ca="1">IF(C1149&lt;&gt;"Yes",0,IF(A1149=2025,N('2025'!D17),IF(A1149=2026,N('2026'!D17),IF(A1149=2027,N('2027'!D17),IF(A1149=2028,N('2028'!D17),IF(A1149=2029,N('2029'!D17),IF(A1149=2030,N('2030'!D17),IF(A1149=2031,N('2031'!D17),IF(A1149=2032,N('2032'!D17),IF(A1149=2033,N('2033'!D17),IF(A1149=2034,N('2034'!D17),IFERROR(N(INDIRECT("'"&amp;A1149&amp;"'!D"&amp;G1149)),0))))))))))))</f>
        <v>0</v>
      </c>
      <c r="M1149" s="36">
        <f>IFERROR(IF(NOT(ISBLANK(KPI_TARGETS!$L$12)),KPI_TARGETS!$L$12,IF(NOT(ISBLANK(KPI_TARGETS!$F$12)),KPI_TARGETS!$F$12,"")),"")</f>
        <v>0</v>
      </c>
      <c r="N1149" s="36" t="str">
        <f>IFERROR(KPI_TARGETS!$E$12,"Higher is better")</f>
        <v>Lower is better</v>
      </c>
      <c r="O1149" s="37">
        <f t="shared" ca="1" si="102"/>
        <v>1</v>
      </c>
      <c r="P1149" t="str">
        <f t="shared" ca="1" si="103"/>
        <v>Green</v>
      </c>
      <c r="Q1149" s="36">
        <f t="shared" ca="1" si="104"/>
        <v>0</v>
      </c>
      <c r="R1149" s="36" t="str">
        <f>""</f>
        <v/>
      </c>
      <c r="S1149" s="36" t="str">
        <f>""</f>
        <v/>
      </c>
      <c r="T1149" s="36" t="str">
        <f>""</f>
        <v/>
      </c>
      <c r="U1149" s="36" t="str">
        <f>""</f>
        <v/>
      </c>
      <c r="V1149" s="36" t="str">
        <f>""</f>
        <v/>
      </c>
      <c r="W1149" s="36">
        <f t="shared" si="105"/>
        <v>1</v>
      </c>
      <c r="X1149" t="str">
        <f t="shared" si="106"/>
        <v>Inactive</v>
      </c>
      <c r="Y1149" t="str">
        <f>IF(MAIN!$H$3="Selected Year",IF(A1149=MAIN!$B$3,"Yes","No"),IF(MAIN!$H$3="Included Years",IF(D1149="Yes","Yes","No"),IF(C1149="Yes","Yes","No")))</f>
        <v>No</v>
      </c>
      <c r="Z1149" t="str">
        <f>IF(MAIN!$F$3="Project to Date",IF(AND(A1149&gt;=SETTINGS!$B$4,A1149&lt;MAIN!$B$3),"Yes",IF(AND(A1149=MAIN!$B$3,E1149&lt;=MAIN!$L$3),"Yes","No")),IF(OR(MAIN!$F$3="Full Year",MAIN!$D$3="All"),"Yes",IF(MAIN!$F$3="Monthly",IF(E1149=MAIN!$L$3,"Yes","No"),IF(E1149&lt;=MAIN!$L$3,"Yes","No"))))</f>
        <v>Yes</v>
      </c>
      <c r="AA1149" t="str">
        <f t="shared" si="107"/>
        <v>No</v>
      </c>
    </row>
    <row r="1150" spans="1:27" x14ac:dyDescent="0.3">
      <c r="A1150">
        <f>INDEX(SETTINGS!$A$15:$A$24,$B1150)</f>
        <v>2030</v>
      </c>
      <c r="B1150">
        <v>6</v>
      </c>
      <c r="C1150" t="str">
        <f>IF(AND(A1150&gt;=SETTINGS!$B$4,A1150&lt;=SETTINGS!$B$5),"Yes","No")</f>
        <v>No</v>
      </c>
      <c r="D1150" t="str">
        <f>IFERROR(INDEX(SETTINGS!$C$15:$C$24,MATCH(A1150,SETTINGS!$A$15:$A$24,0)),"No")</f>
        <v>No</v>
      </c>
      <c r="E1150">
        <v>1</v>
      </c>
      <c r="F1150" t="s">
        <v>2</v>
      </c>
      <c r="G1150">
        <v>18</v>
      </c>
      <c r="H1150" t="s">
        <v>102</v>
      </c>
      <c r="I1150" t="s">
        <v>15</v>
      </c>
      <c r="J1150" t="s">
        <v>21</v>
      </c>
      <c r="K1150" t="s">
        <v>3</v>
      </c>
      <c r="L1150" s="36">
        <f ca="1">IF(C1150&lt;&gt;"Yes",0,IF(A1150=2025,N('2025'!D18),IF(A1150=2026,N('2026'!D18),IF(A1150=2027,N('2027'!D18),IF(A1150=2028,N('2028'!D18),IF(A1150=2029,N('2029'!D18),IF(A1150=2030,N('2030'!D18),IF(A1150=2031,N('2031'!D18),IF(A1150=2032,N('2032'!D18),IF(A1150=2033,N('2033'!D18),IF(A1150=2034,N('2034'!D18),IFERROR(N(INDIRECT("'"&amp;A1150&amp;"'!D"&amp;G1150)),0))))))))))))</f>
        <v>0</v>
      </c>
      <c r="M1150" s="36">
        <f>IFERROR(IF(NOT(ISBLANK(KPI_TARGETS!$L$13)),KPI_TARGETS!$L$13,IF(NOT(ISBLANK(KPI_TARGETS!$F$13)),KPI_TARGETS!$F$13,"")),"")</f>
        <v>0</v>
      </c>
      <c r="N1150" s="36" t="str">
        <f>IFERROR(KPI_TARGETS!$E$13,"Higher is better")</f>
        <v>Lower is better</v>
      </c>
      <c r="O1150" s="37">
        <f t="shared" ca="1" si="102"/>
        <v>1</v>
      </c>
      <c r="P1150" t="str">
        <f t="shared" ca="1" si="103"/>
        <v>Green</v>
      </c>
      <c r="Q1150" s="36">
        <f t="shared" ca="1" si="104"/>
        <v>0</v>
      </c>
      <c r="R1150" s="36" t="str">
        <f>""</f>
        <v/>
      </c>
      <c r="S1150" s="36" t="str">
        <f>""</f>
        <v/>
      </c>
      <c r="T1150" s="36" t="str">
        <f>""</f>
        <v/>
      </c>
      <c r="U1150" s="36" t="str">
        <f>""</f>
        <v/>
      </c>
      <c r="V1150" s="36" t="str">
        <f>""</f>
        <v/>
      </c>
      <c r="W1150" s="36">
        <f t="shared" si="105"/>
        <v>1</v>
      </c>
      <c r="X1150" t="str">
        <f t="shared" si="106"/>
        <v>Inactive</v>
      </c>
      <c r="Y1150" t="str">
        <f>IF(MAIN!$H$3="Selected Year",IF(A1150=MAIN!$B$3,"Yes","No"),IF(MAIN!$H$3="Included Years",IF(D1150="Yes","Yes","No"),IF(C1150="Yes","Yes","No")))</f>
        <v>No</v>
      </c>
      <c r="Z1150" t="str">
        <f>IF(MAIN!$F$3="Project to Date",IF(AND(A1150&gt;=SETTINGS!$B$4,A1150&lt;MAIN!$B$3),"Yes",IF(AND(A1150=MAIN!$B$3,E1150&lt;=MAIN!$L$3),"Yes","No")),IF(OR(MAIN!$F$3="Full Year",MAIN!$D$3="All"),"Yes",IF(MAIN!$F$3="Monthly",IF(E1150=MAIN!$L$3,"Yes","No"),IF(E1150&lt;=MAIN!$L$3,"Yes","No"))))</f>
        <v>Yes</v>
      </c>
      <c r="AA1150" t="str">
        <f t="shared" si="107"/>
        <v>No</v>
      </c>
    </row>
    <row r="1151" spans="1:27" x14ac:dyDescent="0.3">
      <c r="A1151">
        <f>INDEX(SETTINGS!$A$15:$A$24,$B1151)</f>
        <v>2030</v>
      </c>
      <c r="B1151">
        <v>6</v>
      </c>
      <c r="C1151" t="str">
        <f>IF(AND(A1151&gt;=SETTINGS!$B$4,A1151&lt;=SETTINGS!$B$5),"Yes","No")</f>
        <v>No</v>
      </c>
      <c r="D1151" t="str">
        <f>IFERROR(INDEX(SETTINGS!$C$15:$C$24,MATCH(A1151,SETTINGS!$A$15:$A$24,0)),"No")</f>
        <v>No</v>
      </c>
      <c r="E1151">
        <v>1</v>
      </c>
      <c r="F1151" t="s">
        <v>2</v>
      </c>
      <c r="G1151">
        <v>20</v>
      </c>
      <c r="H1151" t="s">
        <v>103</v>
      </c>
      <c r="I1151" t="s">
        <v>22</v>
      </c>
      <c r="J1151" t="s">
        <v>23</v>
      </c>
      <c r="K1151" t="s">
        <v>3</v>
      </c>
      <c r="L1151" s="36">
        <f ca="1">IF(C1151&lt;&gt;"Yes",0,IF(A1151=2025,N('2025'!D20),IF(A1151=2026,N('2026'!D20),IF(A1151=2027,N('2027'!D20),IF(A1151=2028,N('2028'!D20),IF(A1151=2029,N('2029'!D20),IF(A1151=2030,N('2030'!D20),IF(A1151=2031,N('2031'!D20),IF(A1151=2032,N('2032'!D20),IF(A1151=2033,N('2033'!D20),IF(A1151=2034,N('2034'!D20),IFERROR(N(INDIRECT("'"&amp;A1151&amp;"'!D"&amp;G1151)),0))))))))))))</f>
        <v>0</v>
      </c>
      <c r="M1151" s="36">
        <f>IFERROR(IF(NOT(ISBLANK(KPI_TARGETS!$L$14)),KPI_TARGETS!$L$14,IF(NOT(ISBLANK(KPI_TARGETS!$F$14)),KPI_TARGETS!$F$14,"")),"")</f>
        <v>35</v>
      </c>
      <c r="N1151" s="36" t="str">
        <f>IFERROR(KPI_TARGETS!$E$14,"Higher is better")</f>
        <v>Higher is better</v>
      </c>
      <c r="O1151" s="37">
        <f t="shared" ca="1" si="102"/>
        <v>0</v>
      </c>
      <c r="P1151" t="str">
        <f t="shared" ca="1" si="103"/>
        <v>Red</v>
      </c>
      <c r="Q1151" s="36">
        <f t="shared" ca="1" si="104"/>
        <v>-35</v>
      </c>
      <c r="R1151" s="36" t="str">
        <f>""</f>
        <v/>
      </c>
      <c r="S1151" s="36" t="str">
        <f>""</f>
        <v/>
      </c>
      <c r="T1151" s="36" t="str">
        <f>""</f>
        <v/>
      </c>
      <c r="U1151" s="36" t="str">
        <f>""</f>
        <v/>
      </c>
      <c r="V1151" s="36" t="str">
        <f>""</f>
        <v/>
      </c>
      <c r="W1151" s="36">
        <f t="shared" si="105"/>
        <v>1</v>
      </c>
      <c r="X1151" t="str">
        <f t="shared" si="106"/>
        <v>Inactive</v>
      </c>
      <c r="Y1151" t="str">
        <f>IF(MAIN!$H$3="Selected Year",IF(A1151=MAIN!$B$3,"Yes","No"),IF(MAIN!$H$3="Included Years",IF(D1151="Yes","Yes","No"),IF(C1151="Yes","Yes","No")))</f>
        <v>No</v>
      </c>
      <c r="Z1151" t="str">
        <f>IF(MAIN!$F$3="Project to Date",IF(AND(A1151&gt;=SETTINGS!$B$4,A1151&lt;MAIN!$B$3),"Yes",IF(AND(A1151=MAIN!$B$3,E1151&lt;=MAIN!$L$3),"Yes","No")),IF(OR(MAIN!$F$3="Full Year",MAIN!$D$3="All"),"Yes",IF(MAIN!$F$3="Monthly",IF(E1151=MAIN!$L$3,"Yes","No"),IF(E1151&lt;=MAIN!$L$3,"Yes","No"))))</f>
        <v>Yes</v>
      </c>
      <c r="AA1151" t="str">
        <f t="shared" si="107"/>
        <v>No</v>
      </c>
    </row>
    <row r="1152" spans="1:27" x14ac:dyDescent="0.3">
      <c r="A1152">
        <f>INDEX(SETTINGS!$A$15:$A$24,$B1152)</f>
        <v>2030</v>
      </c>
      <c r="B1152">
        <v>6</v>
      </c>
      <c r="C1152" t="str">
        <f>IF(AND(A1152&gt;=SETTINGS!$B$4,A1152&lt;=SETTINGS!$B$5),"Yes","No")</f>
        <v>No</v>
      </c>
      <c r="D1152" t="str">
        <f>IFERROR(INDEX(SETTINGS!$C$15:$C$24,MATCH(A1152,SETTINGS!$A$15:$A$24,0)),"No")</f>
        <v>No</v>
      </c>
      <c r="E1152">
        <v>1</v>
      </c>
      <c r="F1152" t="s">
        <v>2</v>
      </c>
      <c r="G1152">
        <v>21</v>
      </c>
      <c r="H1152" t="s">
        <v>104</v>
      </c>
      <c r="I1152" t="s">
        <v>22</v>
      </c>
      <c r="J1152" t="s">
        <v>24</v>
      </c>
      <c r="K1152" t="s">
        <v>3</v>
      </c>
      <c r="L1152" s="36">
        <f ca="1">IF(C1152&lt;&gt;"Yes",0,IF(A1152=2025,N('2025'!D21),IF(A1152=2026,N('2026'!D21),IF(A1152=2027,N('2027'!D21),IF(A1152=2028,N('2028'!D21),IF(A1152=2029,N('2029'!D21),IF(A1152=2030,N('2030'!D21),IF(A1152=2031,N('2031'!D21),IF(A1152=2032,N('2032'!D21),IF(A1152=2033,N('2033'!D21),IF(A1152=2034,N('2034'!D21),IFERROR(N(INDIRECT("'"&amp;A1152&amp;"'!D"&amp;G1152)),0))))))))))))</f>
        <v>0</v>
      </c>
      <c r="M1152" s="36">
        <f>IFERROR(IF(NOT(ISBLANK(KPI_TARGETS!$L$15)),KPI_TARGETS!$L$15,IF(NOT(ISBLANK(KPI_TARGETS!$F$15)),KPI_TARGETS!$F$15,"")),"")</f>
        <v>5</v>
      </c>
      <c r="N1152" s="36" t="str">
        <f>IFERROR(KPI_TARGETS!$E$15,"Higher is better")</f>
        <v>Higher is better</v>
      </c>
      <c r="O1152" s="37">
        <f t="shared" ca="1" si="102"/>
        <v>0</v>
      </c>
      <c r="P1152" t="str">
        <f t="shared" ca="1" si="103"/>
        <v>Red</v>
      </c>
      <c r="Q1152" s="36">
        <f t="shared" ca="1" si="104"/>
        <v>-5</v>
      </c>
      <c r="R1152" s="36" t="str">
        <f>""</f>
        <v/>
      </c>
      <c r="S1152" s="36" t="str">
        <f>""</f>
        <v/>
      </c>
      <c r="T1152" s="36" t="str">
        <f>""</f>
        <v/>
      </c>
      <c r="U1152" s="36" t="str">
        <f>""</f>
        <v/>
      </c>
      <c r="V1152" s="36" t="str">
        <f>""</f>
        <v/>
      </c>
      <c r="W1152" s="36">
        <f t="shared" si="105"/>
        <v>1</v>
      </c>
      <c r="X1152" t="str">
        <f t="shared" si="106"/>
        <v>Inactive</v>
      </c>
      <c r="Y1152" t="str">
        <f>IF(MAIN!$H$3="Selected Year",IF(A1152=MAIN!$B$3,"Yes","No"),IF(MAIN!$H$3="Included Years",IF(D1152="Yes","Yes","No"),IF(C1152="Yes","Yes","No")))</f>
        <v>No</v>
      </c>
      <c r="Z1152" t="str">
        <f>IF(MAIN!$F$3="Project to Date",IF(AND(A1152&gt;=SETTINGS!$B$4,A1152&lt;MAIN!$B$3),"Yes",IF(AND(A1152=MAIN!$B$3,E1152&lt;=MAIN!$L$3),"Yes","No")),IF(OR(MAIN!$F$3="Full Year",MAIN!$D$3="All"),"Yes",IF(MAIN!$F$3="Monthly",IF(E1152=MAIN!$L$3,"Yes","No"),IF(E1152&lt;=MAIN!$L$3,"Yes","No"))))</f>
        <v>Yes</v>
      </c>
      <c r="AA1152" t="str">
        <f t="shared" si="107"/>
        <v>No</v>
      </c>
    </row>
    <row r="1153" spans="1:27" x14ac:dyDescent="0.3">
      <c r="A1153">
        <f>INDEX(SETTINGS!$A$15:$A$24,$B1153)</f>
        <v>2030</v>
      </c>
      <c r="B1153">
        <v>6</v>
      </c>
      <c r="C1153" t="str">
        <f>IF(AND(A1153&gt;=SETTINGS!$B$4,A1153&lt;=SETTINGS!$B$5),"Yes","No")</f>
        <v>No</v>
      </c>
      <c r="D1153" t="str">
        <f>IFERROR(INDEX(SETTINGS!$C$15:$C$24,MATCH(A1153,SETTINGS!$A$15:$A$24,0)),"No")</f>
        <v>No</v>
      </c>
      <c r="E1153">
        <v>1</v>
      </c>
      <c r="F1153" t="s">
        <v>2</v>
      </c>
      <c r="G1153">
        <v>22</v>
      </c>
      <c r="H1153" t="s">
        <v>105</v>
      </c>
      <c r="I1153" t="s">
        <v>22</v>
      </c>
      <c r="J1153" t="s">
        <v>25</v>
      </c>
      <c r="K1153" t="s">
        <v>3</v>
      </c>
      <c r="L1153" s="36">
        <f ca="1">IF(C1153&lt;&gt;"Yes",0,IF(A1153=2025,N('2025'!D22),IF(A1153=2026,N('2026'!D22),IF(A1153=2027,N('2027'!D22),IF(A1153=2028,N('2028'!D22),IF(A1153=2029,N('2029'!D22),IF(A1153=2030,N('2030'!D22),IF(A1153=2031,N('2031'!D22),IF(A1153=2032,N('2032'!D22),IF(A1153=2033,N('2033'!D22),IF(A1153=2034,N('2034'!D22),IFERROR(N(INDIRECT("'"&amp;A1153&amp;"'!D"&amp;G1153)),0))))))))))))</f>
        <v>0</v>
      </c>
      <c r="M1153" s="36">
        <f>IFERROR(IF(NOT(ISBLANK(KPI_TARGETS!$L$16)),KPI_TARGETS!$L$16,IF(NOT(ISBLANK(KPI_TARGETS!$F$16)),KPI_TARGETS!$F$16,"")),"")</f>
        <v>4</v>
      </c>
      <c r="N1153" s="36" t="str">
        <f>IFERROR(KPI_TARGETS!$E$16,"Higher is better")</f>
        <v>Higher is better</v>
      </c>
      <c r="O1153" s="37">
        <f t="shared" ca="1" si="102"/>
        <v>0</v>
      </c>
      <c r="P1153" t="str">
        <f t="shared" ca="1" si="103"/>
        <v>Red</v>
      </c>
      <c r="Q1153" s="36">
        <f t="shared" ca="1" si="104"/>
        <v>-4</v>
      </c>
      <c r="R1153" s="36" t="str">
        <f>""</f>
        <v/>
      </c>
      <c r="S1153" s="36" t="str">
        <f>""</f>
        <v/>
      </c>
      <c r="T1153" s="36" t="str">
        <f>""</f>
        <v/>
      </c>
      <c r="U1153" s="36" t="str">
        <f>""</f>
        <v/>
      </c>
      <c r="V1153" s="36" t="str">
        <f>""</f>
        <v/>
      </c>
      <c r="W1153" s="36">
        <f t="shared" si="105"/>
        <v>1</v>
      </c>
      <c r="X1153" t="str">
        <f t="shared" si="106"/>
        <v>Inactive</v>
      </c>
      <c r="Y1153" t="str">
        <f>IF(MAIN!$H$3="Selected Year",IF(A1153=MAIN!$B$3,"Yes","No"),IF(MAIN!$H$3="Included Years",IF(D1153="Yes","Yes","No"),IF(C1153="Yes","Yes","No")))</f>
        <v>No</v>
      </c>
      <c r="Z1153" t="str">
        <f>IF(MAIN!$F$3="Project to Date",IF(AND(A1153&gt;=SETTINGS!$B$4,A1153&lt;MAIN!$B$3),"Yes",IF(AND(A1153=MAIN!$B$3,E1153&lt;=MAIN!$L$3),"Yes","No")),IF(OR(MAIN!$F$3="Full Year",MAIN!$D$3="All"),"Yes",IF(MAIN!$F$3="Monthly",IF(E1153=MAIN!$L$3,"Yes","No"),IF(E1153&lt;=MAIN!$L$3,"Yes","No"))))</f>
        <v>Yes</v>
      </c>
      <c r="AA1153" t="str">
        <f t="shared" si="107"/>
        <v>No</v>
      </c>
    </row>
    <row r="1154" spans="1:27" x14ac:dyDescent="0.3">
      <c r="A1154">
        <f>INDEX(SETTINGS!$A$15:$A$24,$B1154)</f>
        <v>2030</v>
      </c>
      <c r="B1154">
        <v>6</v>
      </c>
      <c r="C1154" t="str">
        <f>IF(AND(A1154&gt;=SETTINGS!$B$4,A1154&lt;=SETTINGS!$B$5),"Yes","No")</f>
        <v>No</v>
      </c>
      <c r="D1154" t="str">
        <f>IFERROR(INDEX(SETTINGS!$C$15:$C$24,MATCH(A1154,SETTINGS!$A$15:$A$24,0)),"No")</f>
        <v>No</v>
      </c>
      <c r="E1154">
        <v>1</v>
      </c>
      <c r="F1154" t="s">
        <v>2</v>
      </c>
      <c r="G1154">
        <v>23</v>
      </c>
      <c r="H1154" t="s">
        <v>106</v>
      </c>
      <c r="I1154" t="s">
        <v>22</v>
      </c>
      <c r="J1154" t="s">
        <v>26</v>
      </c>
      <c r="K1154" t="s">
        <v>3</v>
      </c>
      <c r="L1154" s="36">
        <f ca="1">IF(C1154&lt;&gt;"Yes",0,IF(A1154=2025,N('2025'!D23),IF(A1154=2026,N('2026'!D23),IF(A1154=2027,N('2027'!D23),IF(A1154=2028,N('2028'!D23),IF(A1154=2029,N('2029'!D23),IF(A1154=2030,N('2030'!D23),IF(A1154=2031,N('2031'!D23),IF(A1154=2032,N('2032'!D23),IF(A1154=2033,N('2033'!D23),IF(A1154=2034,N('2034'!D23),IFERROR(N(INDIRECT("'"&amp;A1154&amp;"'!D"&amp;G1154)),0))))))))))))</f>
        <v>0</v>
      </c>
      <c r="M1154" s="36">
        <f>IFERROR(IF(NOT(ISBLANK(KPI_TARGETS!$L$17)),KPI_TARGETS!$L$17,IF(NOT(ISBLANK(KPI_TARGETS!$F$17)),KPI_TARGETS!$F$17,"")),"")</f>
        <v>12</v>
      </c>
      <c r="N1154" s="36" t="str">
        <f>IFERROR(KPI_TARGETS!$E$17,"Higher is better")</f>
        <v>Higher is better</v>
      </c>
      <c r="O1154" s="37">
        <f t="shared" ref="O1154:O1217" ca="1" si="108">IF(M1154="","",IF(N1154="Higher is better",IFERROR(L1154/M1154,""),IF(L1154=0,1,IFERROR(M1154/L1154,""))))</f>
        <v>0</v>
      </c>
      <c r="P1154" t="str">
        <f t="shared" ref="P1154:P1217" ca="1" si="109">IF(M1154="","Target Needed",IF(N1154="Higher is better",IF(L1154&gt;=M1154,"Green",IF(L1154&gt;=0.8*M1154,"Amber","Red")),IF(M1154=0,IF(L1154=0,"Green","Red"),IF(L1154&lt;=M1154,"Green",IF(L1154&lt;=1.25*M1154,"Amber","Red")))))</f>
        <v>Red</v>
      </c>
      <c r="Q1154" s="36">
        <f t="shared" ref="Q1154:Q1217" ca="1" si="110">IF(M1154="","",IF(N1154="Higher is better",L1154-M1154,M1154-L1154))</f>
        <v>-12</v>
      </c>
      <c r="R1154" s="36" t="str">
        <f>""</f>
        <v/>
      </c>
      <c r="S1154" s="36" t="str">
        <f>""</f>
        <v/>
      </c>
      <c r="T1154" s="36" t="str">
        <f>""</f>
        <v/>
      </c>
      <c r="U1154" s="36" t="str">
        <f>""</f>
        <v/>
      </c>
      <c r="V1154" s="36" t="str">
        <f>""</f>
        <v/>
      </c>
      <c r="W1154" s="36">
        <f t="shared" ref="W1154:W1217" si="111">IF(LEN(M1154&amp;"")&gt;0,1,0)</f>
        <v>1</v>
      </c>
      <c r="X1154" t="str">
        <f t="shared" ref="X1154:X1217" si="112">IF(C1154&lt;&gt;"Yes","Inactive",IF(M1154="","Missing target","OK"))</f>
        <v>Inactive</v>
      </c>
      <c r="Y1154" t="str">
        <f>IF(MAIN!$H$3="Selected Year",IF(A1154=MAIN!$B$3,"Yes","No"),IF(MAIN!$H$3="Included Years",IF(D1154="Yes","Yes","No"),IF(C1154="Yes","Yes","No")))</f>
        <v>No</v>
      </c>
      <c r="Z1154" t="str">
        <f>IF(MAIN!$F$3="Project to Date",IF(AND(A1154&gt;=SETTINGS!$B$4,A1154&lt;MAIN!$B$3),"Yes",IF(AND(A1154=MAIN!$B$3,E1154&lt;=MAIN!$L$3),"Yes","No")),IF(OR(MAIN!$F$3="Full Year",MAIN!$D$3="All"),"Yes",IF(MAIN!$F$3="Monthly",IF(E1154=MAIN!$L$3,"Yes","No"),IF(E1154&lt;=MAIN!$L$3,"Yes","No"))))</f>
        <v>Yes</v>
      </c>
      <c r="AA1154" t="str">
        <f t="shared" ref="AA1154:AA1217" si="113">IF(AND(Y1154="Yes",Z1154="Yes"),"Yes","No")</f>
        <v>No</v>
      </c>
    </row>
    <row r="1155" spans="1:27" x14ac:dyDescent="0.3">
      <c r="A1155">
        <f>INDEX(SETTINGS!$A$15:$A$24,$B1155)</f>
        <v>2030</v>
      </c>
      <c r="B1155">
        <v>6</v>
      </c>
      <c r="C1155" t="str">
        <f>IF(AND(A1155&gt;=SETTINGS!$B$4,A1155&lt;=SETTINGS!$B$5),"Yes","No")</f>
        <v>No</v>
      </c>
      <c r="D1155" t="str">
        <f>IFERROR(INDEX(SETTINGS!$C$15:$C$24,MATCH(A1155,SETTINGS!$A$15:$A$24,0)),"No")</f>
        <v>No</v>
      </c>
      <c r="E1155">
        <v>1</v>
      </c>
      <c r="F1155" t="s">
        <v>2</v>
      </c>
      <c r="G1155">
        <v>24</v>
      </c>
      <c r="H1155" t="s">
        <v>107</v>
      </c>
      <c r="I1155" t="s">
        <v>22</v>
      </c>
      <c r="J1155" t="s">
        <v>27</v>
      </c>
      <c r="K1155" t="s">
        <v>3</v>
      </c>
      <c r="L1155" s="36">
        <f ca="1">IF(C1155&lt;&gt;"Yes",0,IF(A1155=2025,N('2025'!D24),IF(A1155=2026,N('2026'!D24),IF(A1155=2027,N('2027'!D24),IF(A1155=2028,N('2028'!D24),IF(A1155=2029,N('2029'!D24),IF(A1155=2030,N('2030'!D24),IF(A1155=2031,N('2031'!D24),IF(A1155=2032,N('2032'!D24),IF(A1155=2033,N('2033'!D24),IF(A1155=2034,N('2034'!D24),IFERROR(N(INDIRECT("'"&amp;A1155&amp;"'!D"&amp;G1155)),0))))))))))))</f>
        <v>0</v>
      </c>
      <c r="M1155" s="36">
        <f>IFERROR(IF(NOT(ISBLANK(KPI_TARGETS!$L$18)),KPI_TARGETS!$L$18,IF(NOT(ISBLANK(KPI_TARGETS!$F$18)),KPI_TARGETS!$F$18,"")),"")</f>
        <v>4</v>
      </c>
      <c r="N1155" s="36" t="str">
        <f>IFERROR(KPI_TARGETS!$E$18,"Higher is better")</f>
        <v>Higher is better</v>
      </c>
      <c r="O1155" s="37">
        <f t="shared" ca="1" si="108"/>
        <v>0</v>
      </c>
      <c r="P1155" t="str">
        <f t="shared" ca="1" si="109"/>
        <v>Red</v>
      </c>
      <c r="Q1155" s="36">
        <f t="shared" ca="1" si="110"/>
        <v>-4</v>
      </c>
      <c r="R1155" s="36" t="str">
        <f>""</f>
        <v/>
      </c>
      <c r="S1155" s="36" t="str">
        <f>""</f>
        <v/>
      </c>
      <c r="T1155" s="36" t="str">
        <f>""</f>
        <v/>
      </c>
      <c r="U1155" s="36" t="str">
        <f>""</f>
        <v/>
      </c>
      <c r="V1155" s="36" t="str">
        <f>""</f>
        <v/>
      </c>
      <c r="W1155" s="36">
        <f t="shared" si="111"/>
        <v>1</v>
      </c>
      <c r="X1155" t="str">
        <f t="shared" si="112"/>
        <v>Inactive</v>
      </c>
      <c r="Y1155" t="str">
        <f>IF(MAIN!$H$3="Selected Year",IF(A1155=MAIN!$B$3,"Yes","No"),IF(MAIN!$H$3="Included Years",IF(D1155="Yes","Yes","No"),IF(C1155="Yes","Yes","No")))</f>
        <v>No</v>
      </c>
      <c r="Z1155" t="str">
        <f>IF(MAIN!$F$3="Project to Date",IF(AND(A1155&gt;=SETTINGS!$B$4,A1155&lt;MAIN!$B$3),"Yes",IF(AND(A1155=MAIN!$B$3,E1155&lt;=MAIN!$L$3),"Yes","No")),IF(OR(MAIN!$F$3="Full Year",MAIN!$D$3="All"),"Yes",IF(MAIN!$F$3="Monthly",IF(E1155=MAIN!$L$3,"Yes","No"),IF(E1155&lt;=MAIN!$L$3,"Yes","No"))))</f>
        <v>Yes</v>
      </c>
      <c r="AA1155" t="str">
        <f t="shared" si="113"/>
        <v>No</v>
      </c>
    </row>
    <row r="1156" spans="1:27" x14ac:dyDescent="0.3">
      <c r="A1156">
        <f>INDEX(SETTINGS!$A$15:$A$24,$B1156)</f>
        <v>2030</v>
      </c>
      <c r="B1156">
        <v>6</v>
      </c>
      <c r="C1156" t="str">
        <f>IF(AND(A1156&gt;=SETTINGS!$B$4,A1156&lt;=SETTINGS!$B$5),"Yes","No")</f>
        <v>No</v>
      </c>
      <c r="D1156" t="str">
        <f>IFERROR(INDEX(SETTINGS!$C$15:$C$24,MATCH(A1156,SETTINGS!$A$15:$A$24,0)),"No")</f>
        <v>No</v>
      </c>
      <c r="E1156">
        <v>1</v>
      </c>
      <c r="F1156" t="s">
        <v>2</v>
      </c>
      <c r="G1156">
        <v>25</v>
      </c>
      <c r="H1156" t="s">
        <v>108</v>
      </c>
      <c r="I1156" t="s">
        <v>22</v>
      </c>
      <c r="J1156" t="s">
        <v>28</v>
      </c>
      <c r="K1156" t="s">
        <v>3</v>
      </c>
      <c r="L1156" s="36">
        <f ca="1">IF(C1156&lt;&gt;"Yes",0,IF(A1156=2025,N('2025'!D25),IF(A1156=2026,N('2026'!D25),IF(A1156=2027,N('2027'!D25),IF(A1156=2028,N('2028'!D25),IF(A1156=2029,N('2029'!D25),IF(A1156=2030,N('2030'!D25),IF(A1156=2031,N('2031'!D25),IF(A1156=2032,N('2032'!D25),IF(A1156=2033,N('2033'!D25),IF(A1156=2034,N('2034'!D25),IFERROR(N(INDIRECT("'"&amp;A1156&amp;"'!D"&amp;G1156)),0))))))))))))</f>
        <v>0</v>
      </c>
      <c r="M1156" s="36">
        <f>IFERROR(IF(NOT(ISBLANK(KPI_TARGETS!$L$19)),KPI_TARGETS!$L$19,IF(NOT(ISBLANK(KPI_TARGETS!$F$19)),KPI_TARGETS!$F$19,"")),"")</f>
        <v>16</v>
      </c>
      <c r="N1156" s="36" t="str">
        <f>IFERROR(KPI_TARGETS!$E$19,"Higher is better")</f>
        <v>Higher is better</v>
      </c>
      <c r="O1156" s="37">
        <f t="shared" ca="1" si="108"/>
        <v>0</v>
      </c>
      <c r="P1156" t="str">
        <f t="shared" ca="1" si="109"/>
        <v>Red</v>
      </c>
      <c r="Q1156" s="36">
        <f t="shared" ca="1" si="110"/>
        <v>-16</v>
      </c>
      <c r="R1156" s="36" t="str">
        <f>""</f>
        <v/>
      </c>
      <c r="S1156" s="36" t="str">
        <f>""</f>
        <v/>
      </c>
      <c r="T1156" s="36" t="str">
        <f>""</f>
        <v/>
      </c>
      <c r="U1156" s="36" t="str">
        <f>""</f>
        <v/>
      </c>
      <c r="V1156" s="36" t="str">
        <f>""</f>
        <v/>
      </c>
      <c r="W1156" s="36">
        <f t="shared" si="111"/>
        <v>1</v>
      </c>
      <c r="X1156" t="str">
        <f t="shared" si="112"/>
        <v>Inactive</v>
      </c>
      <c r="Y1156" t="str">
        <f>IF(MAIN!$H$3="Selected Year",IF(A1156=MAIN!$B$3,"Yes","No"),IF(MAIN!$H$3="Included Years",IF(D1156="Yes","Yes","No"),IF(C1156="Yes","Yes","No")))</f>
        <v>No</v>
      </c>
      <c r="Z1156" t="str">
        <f>IF(MAIN!$F$3="Project to Date",IF(AND(A1156&gt;=SETTINGS!$B$4,A1156&lt;MAIN!$B$3),"Yes",IF(AND(A1156=MAIN!$B$3,E1156&lt;=MAIN!$L$3),"Yes","No")),IF(OR(MAIN!$F$3="Full Year",MAIN!$D$3="All"),"Yes",IF(MAIN!$F$3="Monthly",IF(E1156=MAIN!$L$3,"Yes","No"),IF(E1156&lt;=MAIN!$L$3,"Yes","No"))))</f>
        <v>Yes</v>
      </c>
      <c r="AA1156" t="str">
        <f t="shared" si="113"/>
        <v>No</v>
      </c>
    </row>
    <row r="1157" spans="1:27" x14ac:dyDescent="0.3">
      <c r="A1157">
        <f>INDEX(SETTINGS!$A$15:$A$24,$B1157)</f>
        <v>2030</v>
      </c>
      <c r="B1157">
        <v>6</v>
      </c>
      <c r="C1157" t="str">
        <f>IF(AND(A1157&gt;=SETTINGS!$B$4,A1157&lt;=SETTINGS!$B$5),"Yes","No")</f>
        <v>No</v>
      </c>
      <c r="D1157" t="str">
        <f>IFERROR(INDEX(SETTINGS!$C$15:$C$24,MATCH(A1157,SETTINGS!$A$15:$A$24,0)),"No")</f>
        <v>No</v>
      </c>
      <c r="E1157">
        <v>1</v>
      </c>
      <c r="F1157" t="s">
        <v>2</v>
      </c>
      <c r="G1157">
        <v>26</v>
      </c>
      <c r="H1157" t="s">
        <v>109</v>
      </c>
      <c r="I1157" t="s">
        <v>22</v>
      </c>
      <c r="J1157" t="s">
        <v>29</v>
      </c>
      <c r="K1157" t="s">
        <v>3</v>
      </c>
      <c r="L1157" s="36">
        <f ca="1">IF(C1157&lt;&gt;"Yes",0,IF(A1157=2025,N('2025'!D26),IF(A1157=2026,N('2026'!D26),IF(A1157=2027,N('2027'!D26),IF(A1157=2028,N('2028'!D26),IF(A1157=2029,N('2029'!D26),IF(A1157=2030,N('2030'!D26),IF(A1157=2031,N('2031'!D26),IF(A1157=2032,N('2032'!D26),IF(A1157=2033,N('2033'!D26),IF(A1157=2034,N('2034'!D26),IFERROR(N(INDIRECT("'"&amp;A1157&amp;"'!D"&amp;G1157)),0))))))))))))</f>
        <v>0</v>
      </c>
      <c r="M1157" s="36">
        <f>IFERROR(IF(NOT(ISBLANK(KPI_TARGETS!$L$20)),KPI_TARGETS!$L$20,IF(NOT(ISBLANK(KPI_TARGETS!$F$20)),KPI_TARGETS!$F$20,"")),"")</f>
        <v>1</v>
      </c>
      <c r="N1157" s="36" t="str">
        <f>IFERROR(KPI_TARGETS!$E$20,"Higher is better")</f>
        <v>Higher is better</v>
      </c>
      <c r="O1157" s="37">
        <f t="shared" ca="1" si="108"/>
        <v>0</v>
      </c>
      <c r="P1157" t="str">
        <f t="shared" ca="1" si="109"/>
        <v>Red</v>
      </c>
      <c r="Q1157" s="36">
        <f t="shared" ca="1" si="110"/>
        <v>-1</v>
      </c>
      <c r="R1157" s="36" t="str">
        <f>""</f>
        <v/>
      </c>
      <c r="S1157" s="36" t="str">
        <f>""</f>
        <v/>
      </c>
      <c r="T1157" s="36" t="str">
        <f>""</f>
        <v/>
      </c>
      <c r="U1157" s="36" t="str">
        <f>""</f>
        <v/>
      </c>
      <c r="V1157" s="36" t="str">
        <f>""</f>
        <v/>
      </c>
      <c r="W1157" s="36">
        <f t="shared" si="111"/>
        <v>1</v>
      </c>
      <c r="X1157" t="str">
        <f t="shared" si="112"/>
        <v>Inactive</v>
      </c>
      <c r="Y1157" t="str">
        <f>IF(MAIN!$H$3="Selected Year",IF(A1157=MAIN!$B$3,"Yes","No"),IF(MAIN!$H$3="Included Years",IF(D1157="Yes","Yes","No"),IF(C1157="Yes","Yes","No")))</f>
        <v>No</v>
      </c>
      <c r="Z1157" t="str">
        <f>IF(MAIN!$F$3="Project to Date",IF(AND(A1157&gt;=SETTINGS!$B$4,A1157&lt;MAIN!$B$3),"Yes",IF(AND(A1157=MAIN!$B$3,E1157&lt;=MAIN!$L$3),"Yes","No")),IF(OR(MAIN!$F$3="Full Year",MAIN!$D$3="All"),"Yes",IF(MAIN!$F$3="Monthly",IF(E1157=MAIN!$L$3,"Yes","No"),IF(E1157&lt;=MAIN!$L$3,"Yes","No"))))</f>
        <v>Yes</v>
      </c>
      <c r="AA1157" t="str">
        <f t="shared" si="113"/>
        <v>No</v>
      </c>
    </row>
    <row r="1158" spans="1:27" x14ac:dyDescent="0.3">
      <c r="A1158">
        <f>INDEX(SETTINGS!$A$15:$A$24,$B1158)</f>
        <v>2030</v>
      </c>
      <c r="B1158">
        <v>6</v>
      </c>
      <c r="C1158" t="str">
        <f>IF(AND(A1158&gt;=SETTINGS!$B$4,A1158&lt;=SETTINGS!$B$5),"Yes","No")</f>
        <v>No</v>
      </c>
      <c r="D1158" t="str">
        <f>IFERROR(INDEX(SETTINGS!$C$15:$C$24,MATCH(A1158,SETTINGS!$A$15:$A$24,0)),"No")</f>
        <v>No</v>
      </c>
      <c r="E1158">
        <v>1</v>
      </c>
      <c r="F1158" t="s">
        <v>2</v>
      </c>
      <c r="G1158">
        <v>28</v>
      </c>
      <c r="H1158" t="s">
        <v>110</v>
      </c>
      <c r="I1158" t="s">
        <v>30</v>
      </c>
      <c r="J1158" t="s">
        <v>31</v>
      </c>
      <c r="K1158" t="s">
        <v>3</v>
      </c>
      <c r="L1158" s="36">
        <f ca="1">IF(C1158&lt;&gt;"Yes",0,IF(A1158=2025,N('2025'!D28),IF(A1158=2026,N('2026'!D28),IF(A1158=2027,N('2027'!D28),IF(A1158=2028,N('2028'!D28),IF(A1158=2029,N('2029'!D28),IF(A1158=2030,N('2030'!D28),IF(A1158=2031,N('2031'!D28),IF(A1158=2032,N('2032'!D28),IF(A1158=2033,N('2033'!D28),IF(A1158=2034,N('2034'!D28),IFERROR(N(INDIRECT("'"&amp;A1158&amp;"'!D"&amp;G1158)),0))))))))))))</f>
        <v>0</v>
      </c>
      <c r="M1158" s="36">
        <f>IFERROR(IF(NOT(ISBLANK(KPI_TARGETS!$L$21)),KPI_TARGETS!$L$21,IF(NOT(ISBLANK(KPI_TARGETS!$F$21)),KPI_TARGETS!$F$21,"")),"")</f>
        <v>0</v>
      </c>
      <c r="N1158" s="36" t="str">
        <f>IFERROR(KPI_TARGETS!$E$21,"Higher is better")</f>
        <v>Lower is better</v>
      </c>
      <c r="O1158" s="37">
        <f t="shared" ca="1" si="108"/>
        <v>1</v>
      </c>
      <c r="P1158" t="str">
        <f t="shared" ca="1" si="109"/>
        <v>Green</v>
      </c>
      <c r="Q1158" s="36">
        <f t="shared" ca="1" si="110"/>
        <v>0</v>
      </c>
      <c r="R1158" s="36" t="str">
        <f>""</f>
        <v/>
      </c>
      <c r="S1158" s="36" t="str">
        <f>""</f>
        <v/>
      </c>
      <c r="T1158" s="36" t="str">
        <f>""</f>
        <v/>
      </c>
      <c r="U1158" s="36" t="str">
        <f>""</f>
        <v/>
      </c>
      <c r="V1158" s="36" t="str">
        <f>""</f>
        <v/>
      </c>
      <c r="W1158" s="36">
        <f t="shared" si="111"/>
        <v>1</v>
      </c>
      <c r="X1158" t="str">
        <f t="shared" si="112"/>
        <v>Inactive</v>
      </c>
      <c r="Y1158" t="str">
        <f>IF(MAIN!$H$3="Selected Year",IF(A1158=MAIN!$B$3,"Yes","No"),IF(MAIN!$H$3="Included Years",IF(D1158="Yes","Yes","No"),IF(C1158="Yes","Yes","No")))</f>
        <v>No</v>
      </c>
      <c r="Z1158" t="str">
        <f>IF(MAIN!$F$3="Project to Date",IF(AND(A1158&gt;=SETTINGS!$B$4,A1158&lt;MAIN!$B$3),"Yes",IF(AND(A1158=MAIN!$B$3,E1158&lt;=MAIN!$L$3),"Yes","No")),IF(OR(MAIN!$F$3="Full Year",MAIN!$D$3="All"),"Yes",IF(MAIN!$F$3="Monthly",IF(E1158=MAIN!$L$3,"Yes","No"),IF(E1158&lt;=MAIN!$L$3,"Yes","No"))))</f>
        <v>Yes</v>
      </c>
      <c r="AA1158" t="str">
        <f t="shared" si="113"/>
        <v>No</v>
      </c>
    </row>
    <row r="1159" spans="1:27" x14ac:dyDescent="0.3">
      <c r="A1159">
        <f>INDEX(SETTINGS!$A$15:$A$24,$B1159)</f>
        <v>2030</v>
      </c>
      <c r="B1159">
        <v>6</v>
      </c>
      <c r="C1159" t="str">
        <f>IF(AND(A1159&gt;=SETTINGS!$B$4,A1159&lt;=SETTINGS!$B$5),"Yes","No")</f>
        <v>No</v>
      </c>
      <c r="D1159" t="str">
        <f>IFERROR(INDEX(SETTINGS!$C$15:$C$24,MATCH(A1159,SETTINGS!$A$15:$A$24,0)),"No")</f>
        <v>No</v>
      </c>
      <c r="E1159">
        <v>1</v>
      </c>
      <c r="F1159" t="s">
        <v>2</v>
      </c>
      <c r="G1159">
        <v>29</v>
      </c>
      <c r="H1159" t="s">
        <v>111</v>
      </c>
      <c r="I1159" t="s">
        <v>30</v>
      </c>
      <c r="J1159" t="s">
        <v>32</v>
      </c>
      <c r="K1159" t="s">
        <v>3</v>
      </c>
      <c r="L1159" s="36">
        <f ca="1">IF(C1159&lt;&gt;"Yes",0,IF(A1159=2025,N('2025'!D29),IF(A1159=2026,N('2026'!D29),IF(A1159=2027,N('2027'!D29),IF(A1159=2028,N('2028'!D29),IF(A1159=2029,N('2029'!D29),IF(A1159=2030,N('2030'!D29),IF(A1159=2031,N('2031'!D29),IF(A1159=2032,N('2032'!D29),IF(A1159=2033,N('2033'!D29),IF(A1159=2034,N('2034'!D29),IFERROR(N(INDIRECT("'"&amp;A1159&amp;"'!D"&amp;G1159)),0))))))))))))</f>
        <v>0</v>
      </c>
      <c r="M1159" s="36">
        <f>IFERROR(IF(NOT(ISBLANK(KPI_TARGETS!$L$22)),KPI_TARGETS!$L$22,IF(NOT(ISBLANK(KPI_TARGETS!$F$22)),KPI_TARGETS!$F$22,"")),"")</f>
        <v>1</v>
      </c>
      <c r="N1159" s="36" t="str">
        <f>IFERROR(KPI_TARGETS!$E$22,"Higher is better")</f>
        <v>Higher is better</v>
      </c>
      <c r="O1159" s="37">
        <f t="shared" ca="1" si="108"/>
        <v>0</v>
      </c>
      <c r="P1159" t="str">
        <f t="shared" ca="1" si="109"/>
        <v>Red</v>
      </c>
      <c r="Q1159" s="36">
        <f t="shared" ca="1" si="110"/>
        <v>-1</v>
      </c>
      <c r="R1159" s="36" t="str">
        <f>""</f>
        <v/>
      </c>
      <c r="S1159" s="36" t="str">
        <f>""</f>
        <v/>
      </c>
      <c r="T1159" s="36" t="str">
        <f>""</f>
        <v/>
      </c>
      <c r="U1159" s="36" t="str">
        <f>""</f>
        <v/>
      </c>
      <c r="V1159" s="36" t="str">
        <f>""</f>
        <v/>
      </c>
      <c r="W1159" s="36">
        <f t="shared" si="111"/>
        <v>1</v>
      </c>
      <c r="X1159" t="str">
        <f t="shared" si="112"/>
        <v>Inactive</v>
      </c>
      <c r="Y1159" t="str">
        <f>IF(MAIN!$H$3="Selected Year",IF(A1159=MAIN!$B$3,"Yes","No"),IF(MAIN!$H$3="Included Years",IF(D1159="Yes","Yes","No"),IF(C1159="Yes","Yes","No")))</f>
        <v>No</v>
      </c>
      <c r="Z1159" t="str">
        <f>IF(MAIN!$F$3="Project to Date",IF(AND(A1159&gt;=SETTINGS!$B$4,A1159&lt;MAIN!$B$3),"Yes",IF(AND(A1159=MAIN!$B$3,E1159&lt;=MAIN!$L$3),"Yes","No")),IF(OR(MAIN!$F$3="Full Year",MAIN!$D$3="All"),"Yes",IF(MAIN!$F$3="Monthly",IF(E1159=MAIN!$L$3,"Yes","No"),IF(E1159&lt;=MAIN!$L$3,"Yes","No"))))</f>
        <v>Yes</v>
      </c>
      <c r="AA1159" t="str">
        <f t="shared" si="113"/>
        <v>No</v>
      </c>
    </row>
    <row r="1160" spans="1:27" x14ac:dyDescent="0.3">
      <c r="A1160">
        <f>INDEX(SETTINGS!$A$15:$A$24,$B1160)</f>
        <v>2030</v>
      </c>
      <c r="B1160">
        <v>6</v>
      </c>
      <c r="C1160" t="str">
        <f>IF(AND(A1160&gt;=SETTINGS!$B$4,A1160&lt;=SETTINGS!$B$5),"Yes","No")</f>
        <v>No</v>
      </c>
      <c r="D1160" t="str">
        <f>IFERROR(INDEX(SETTINGS!$C$15:$C$24,MATCH(A1160,SETTINGS!$A$15:$A$24,0)),"No")</f>
        <v>No</v>
      </c>
      <c r="E1160">
        <v>1</v>
      </c>
      <c r="F1160" t="s">
        <v>2</v>
      </c>
      <c r="G1160">
        <v>30</v>
      </c>
      <c r="H1160" t="s">
        <v>112</v>
      </c>
      <c r="I1160" t="s">
        <v>30</v>
      </c>
      <c r="J1160" t="s">
        <v>33</v>
      </c>
      <c r="K1160" t="s">
        <v>34</v>
      </c>
      <c r="L1160" s="36">
        <f ca="1">IF(C1160&lt;&gt;"Yes",0,IF(A1160=2025,N('2025'!D30),IF(A1160=2026,N('2026'!D30),IF(A1160=2027,N('2027'!D30),IF(A1160=2028,N('2028'!D30),IF(A1160=2029,N('2029'!D30),IF(A1160=2030,N('2030'!D30),IF(A1160=2031,N('2031'!D30),IF(A1160=2032,N('2032'!D30),IF(A1160=2033,N('2033'!D30),IF(A1160=2034,N('2034'!D30),IFERROR(N(INDIRECT("'"&amp;A1160&amp;"'!D"&amp;G1160)),0))))))))))))</f>
        <v>0</v>
      </c>
      <c r="M1160" s="36">
        <f>IFERROR(IF(NOT(ISBLANK(KPI_TARGETS!$L$23)),KPI_TARGETS!$L$23,IF(NOT(ISBLANK(KPI_TARGETS!$F$23)),KPI_TARGETS!$F$23,"")),"")</f>
        <v>1</v>
      </c>
      <c r="N1160" s="36" t="str">
        <f>IFERROR(KPI_TARGETS!$E$23,"Higher is better")</f>
        <v>Higher is better</v>
      </c>
      <c r="O1160" s="37">
        <f t="shared" ca="1" si="108"/>
        <v>0</v>
      </c>
      <c r="P1160" t="str">
        <f t="shared" ca="1" si="109"/>
        <v>Red</v>
      </c>
      <c r="Q1160" s="36">
        <f t="shared" ca="1" si="110"/>
        <v>-1</v>
      </c>
      <c r="R1160" s="36" t="str">
        <f>""</f>
        <v/>
      </c>
      <c r="S1160" s="36" t="str">
        <f>""</f>
        <v/>
      </c>
      <c r="T1160" s="36" t="str">
        <f>""</f>
        <v/>
      </c>
      <c r="U1160" s="36" t="str">
        <f>""</f>
        <v/>
      </c>
      <c r="V1160" s="36" t="str">
        <f>""</f>
        <v/>
      </c>
      <c r="W1160" s="36">
        <f t="shared" si="111"/>
        <v>1</v>
      </c>
      <c r="X1160" t="str">
        <f t="shared" si="112"/>
        <v>Inactive</v>
      </c>
      <c r="Y1160" t="str">
        <f>IF(MAIN!$H$3="Selected Year",IF(A1160=MAIN!$B$3,"Yes","No"),IF(MAIN!$H$3="Included Years",IF(D1160="Yes","Yes","No"),IF(C1160="Yes","Yes","No")))</f>
        <v>No</v>
      </c>
      <c r="Z1160" t="str">
        <f>IF(MAIN!$F$3="Project to Date",IF(AND(A1160&gt;=SETTINGS!$B$4,A1160&lt;MAIN!$B$3),"Yes",IF(AND(A1160=MAIN!$B$3,E1160&lt;=MAIN!$L$3),"Yes","No")),IF(OR(MAIN!$F$3="Full Year",MAIN!$D$3="All"),"Yes",IF(MAIN!$F$3="Monthly",IF(E1160=MAIN!$L$3,"Yes","No"),IF(E1160&lt;=MAIN!$L$3,"Yes","No"))))</f>
        <v>Yes</v>
      </c>
      <c r="AA1160" t="str">
        <f t="shared" si="113"/>
        <v>No</v>
      </c>
    </row>
    <row r="1161" spans="1:27" x14ac:dyDescent="0.3">
      <c r="A1161">
        <f>INDEX(SETTINGS!$A$15:$A$24,$B1161)</f>
        <v>2030</v>
      </c>
      <c r="B1161">
        <v>6</v>
      </c>
      <c r="C1161" t="str">
        <f>IF(AND(A1161&gt;=SETTINGS!$B$4,A1161&lt;=SETTINGS!$B$5),"Yes","No")</f>
        <v>No</v>
      </c>
      <c r="D1161" t="str">
        <f>IFERROR(INDEX(SETTINGS!$C$15:$C$24,MATCH(A1161,SETTINGS!$A$15:$A$24,0)),"No")</f>
        <v>No</v>
      </c>
      <c r="E1161">
        <v>2</v>
      </c>
      <c r="F1161" t="s">
        <v>35</v>
      </c>
      <c r="G1161">
        <v>33</v>
      </c>
      <c r="H1161" t="s">
        <v>88</v>
      </c>
      <c r="I1161" t="s">
        <v>89</v>
      </c>
      <c r="J1161" t="s">
        <v>10</v>
      </c>
      <c r="K1161" t="s">
        <v>3</v>
      </c>
      <c r="L1161" s="36">
        <f ca="1">IF(C1161&lt;&gt;"Yes",0,IF(A1161=2025,N('2025'!D33),IF(A1161=2026,N('2026'!D33),IF(A1161=2027,N('2027'!D33),IF(A1161=2028,N('2028'!D33),IF(A1161=2029,N('2029'!D33),IF(A1161=2030,N('2030'!D33),IF(A1161=2031,N('2031'!D33),IF(A1161=2032,N('2032'!D33),IF(A1161=2033,N('2033'!D33),IF(A1161=2034,N('2034'!D33),IFERROR(N(INDIRECT("'"&amp;A1161&amp;"'!D"&amp;G1161)),0))))))))))))</f>
        <v>0</v>
      </c>
      <c r="M1161" s="36">
        <f>IFERROR(IF(NOT(ISBLANK(KPI_TARGETS!$L$5)),KPI_TARGETS!$L$5,IF(NOT(ISBLANK(KPI_TARGETS!$F$5)),KPI_TARGETS!$F$5,"")),"")</f>
        <v>104</v>
      </c>
      <c r="N1161" s="36" t="str">
        <f>IFERROR(KPI_TARGETS!$E$5,"Higher is better")</f>
        <v>Higher is better</v>
      </c>
      <c r="O1161" s="37">
        <f t="shared" ca="1" si="108"/>
        <v>0</v>
      </c>
      <c r="P1161" t="str">
        <f t="shared" ca="1" si="109"/>
        <v>Red</v>
      </c>
      <c r="Q1161" s="36">
        <f t="shared" ca="1" si="110"/>
        <v>-104</v>
      </c>
      <c r="R1161" s="36" t="str">
        <f>""</f>
        <v/>
      </c>
      <c r="S1161" s="36" t="str">
        <f>""</f>
        <v/>
      </c>
      <c r="T1161" s="36" t="str">
        <f>""</f>
        <v/>
      </c>
      <c r="U1161" s="36" t="str">
        <f>""</f>
        <v/>
      </c>
      <c r="V1161" s="36" t="str">
        <f>""</f>
        <v/>
      </c>
      <c r="W1161" s="36">
        <f t="shared" si="111"/>
        <v>1</v>
      </c>
      <c r="X1161" t="str">
        <f t="shared" si="112"/>
        <v>Inactive</v>
      </c>
      <c r="Y1161" t="str">
        <f>IF(MAIN!$H$3="Selected Year",IF(A1161=MAIN!$B$3,"Yes","No"),IF(MAIN!$H$3="Included Years",IF(D1161="Yes","Yes","No"),IF(C1161="Yes","Yes","No")))</f>
        <v>No</v>
      </c>
      <c r="Z1161" t="str">
        <f>IF(MAIN!$F$3="Project to Date",IF(AND(A1161&gt;=SETTINGS!$B$4,A1161&lt;MAIN!$B$3),"Yes",IF(AND(A1161=MAIN!$B$3,E1161&lt;=MAIN!$L$3),"Yes","No")),IF(OR(MAIN!$F$3="Full Year",MAIN!$D$3="All"),"Yes",IF(MAIN!$F$3="Monthly",IF(E1161=MAIN!$L$3,"Yes","No"),IF(E1161&lt;=MAIN!$L$3,"Yes","No"))))</f>
        <v>Yes</v>
      </c>
      <c r="AA1161" t="str">
        <f t="shared" si="113"/>
        <v>No</v>
      </c>
    </row>
    <row r="1162" spans="1:27" x14ac:dyDescent="0.3">
      <c r="A1162">
        <f>INDEX(SETTINGS!$A$15:$A$24,$B1162)</f>
        <v>2030</v>
      </c>
      <c r="B1162">
        <v>6</v>
      </c>
      <c r="C1162" t="str">
        <f>IF(AND(A1162&gt;=SETTINGS!$B$4,A1162&lt;=SETTINGS!$B$5),"Yes","No")</f>
        <v>No</v>
      </c>
      <c r="D1162" t="str">
        <f>IFERROR(INDEX(SETTINGS!$C$15:$C$24,MATCH(A1162,SETTINGS!$A$15:$A$24,0)),"No")</f>
        <v>No</v>
      </c>
      <c r="E1162">
        <v>2</v>
      </c>
      <c r="F1162" t="s">
        <v>35</v>
      </c>
      <c r="G1162">
        <v>34</v>
      </c>
      <c r="H1162" t="s">
        <v>91</v>
      </c>
      <c r="I1162" t="s">
        <v>89</v>
      </c>
      <c r="J1162" t="s">
        <v>11</v>
      </c>
      <c r="K1162" t="s">
        <v>12</v>
      </c>
      <c r="L1162" s="36">
        <f ca="1">IF(C1162&lt;&gt;"Yes",0,IF(A1162=2025,N('2025'!D34),IF(A1162=2026,N('2026'!D34),IF(A1162=2027,N('2027'!D34),IF(A1162=2028,N('2028'!D34),IF(A1162=2029,N('2029'!D34),IF(A1162=2030,N('2030'!D34),IF(A1162=2031,N('2031'!D34),IF(A1162=2032,N('2032'!D34),IF(A1162=2033,N('2033'!D34),IF(A1162=2034,N('2034'!D34),IFERROR(N(INDIRECT("'"&amp;A1162&amp;"'!D"&amp;G1162)),0))))))))))))</f>
        <v>0</v>
      </c>
      <c r="M1162" s="36">
        <f>IFERROR(IF(NOT(ISBLANK(KPI_TARGETS!$L$6)),KPI_TARGETS!$L$6,IF(NOT(ISBLANK(KPI_TARGETS!$F$6)),KPI_TARGETS!$F$6,"")),"")</f>
        <v>4000</v>
      </c>
      <c r="N1162" s="36" t="str">
        <f>IFERROR(KPI_TARGETS!$E$6,"Higher is better")</f>
        <v>Higher is better</v>
      </c>
      <c r="O1162" s="37">
        <f t="shared" ca="1" si="108"/>
        <v>0</v>
      </c>
      <c r="P1162" t="str">
        <f t="shared" ca="1" si="109"/>
        <v>Red</v>
      </c>
      <c r="Q1162" s="36">
        <f t="shared" ca="1" si="110"/>
        <v>-4000</v>
      </c>
      <c r="R1162" s="36" t="str">
        <f>""</f>
        <v/>
      </c>
      <c r="S1162" s="36" t="str">
        <f>""</f>
        <v/>
      </c>
      <c r="T1162" s="36" t="str">
        <f>""</f>
        <v/>
      </c>
      <c r="U1162" s="36" t="str">
        <f>""</f>
        <v/>
      </c>
      <c r="V1162" s="36" t="str">
        <f>""</f>
        <v/>
      </c>
      <c r="W1162" s="36">
        <f t="shared" si="111"/>
        <v>1</v>
      </c>
      <c r="X1162" t="str">
        <f t="shared" si="112"/>
        <v>Inactive</v>
      </c>
      <c r="Y1162" t="str">
        <f>IF(MAIN!$H$3="Selected Year",IF(A1162=MAIN!$B$3,"Yes","No"),IF(MAIN!$H$3="Included Years",IF(D1162="Yes","Yes","No"),IF(C1162="Yes","Yes","No")))</f>
        <v>No</v>
      </c>
      <c r="Z1162" t="str">
        <f>IF(MAIN!$F$3="Project to Date",IF(AND(A1162&gt;=SETTINGS!$B$4,A1162&lt;MAIN!$B$3),"Yes",IF(AND(A1162=MAIN!$B$3,E1162&lt;=MAIN!$L$3),"Yes","No")),IF(OR(MAIN!$F$3="Full Year",MAIN!$D$3="All"),"Yes",IF(MAIN!$F$3="Monthly",IF(E1162=MAIN!$L$3,"Yes","No"),IF(E1162&lt;=MAIN!$L$3,"Yes","No"))))</f>
        <v>Yes</v>
      </c>
      <c r="AA1162" t="str">
        <f t="shared" si="113"/>
        <v>No</v>
      </c>
    </row>
    <row r="1163" spans="1:27" x14ac:dyDescent="0.3">
      <c r="A1163">
        <f>INDEX(SETTINGS!$A$15:$A$24,$B1163)</f>
        <v>2030</v>
      </c>
      <c r="B1163">
        <v>6</v>
      </c>
      <c r="C1163" t="str">
        <f>IF(AND(A1163&gt;=SETTINGS!$B$4,A1163&lt;=SETTINGS!$B$5),"Yes","No")</f>
        <v>No</v>
      </c>
      <c r="D1163" t="str">
        <f>IFERROR(INDEX(SETTINGS!$C$15:$C$24,MATCH(A1163,SETTINGS!$A$15:$A$24,0)),"No")</f>
        <v>No</v>
      </c>
      <c r="E1163">
        <v>2</v>
      </c>
      <c r="F1163" t="s">
        <v>35</v>
      </c>
      <c r="G1163">
        <v>35</v>
      </c>
      <c r="H1163" t="s">
        <v>93</v>
      </c>
      <c r="I1163" t="s">
        <v>89</v>
      </c>
      <c r="J1163" t="s">
        <v>13</v>
      </c>
      <c r="K1163" t="s">
        <v>14</v>
      </c>
      <c r="L1163" s="36">
        <f ca="1">IF(C1163&lt;&gt;"Yes",0,IF(A1163=2025,N('2025'!D35),IF(A1163=2026,N('2026'!D35),IF(A1163=2027,N('2027'!D35),IF(A1163=2028,N('2028'!D35),IF(A1163=2029,N('2029'!D35),IF(A1163=2030,N('2030'!D35),IF(A1163=2031,N('2031'!D35),IF(A1163=2032,N('2032'!D35),IF(A1163=2033,N('2033'!D35),IF(A1163=2034,N('2034'!D35),IFERROR(N(INDIRECT("'"&amp;A1163&amp;"'!D"&amp;G1163)),0))))))))))))</f>
        <v>0</v>
      </c>
      <c r="M1163" s="36">
        <f>IFERROR(IF(NOT(ISBLANK(KPI_TARGETS!$L$7)),KPI_TARGETS!$L$7,IF(NOT(ISBLANK(KPI_TARGETS!$F$7)),KPI_TARGETS!$F$7,"")),"")</f>
        <v>8000</v>
      </c>
      <c r="N1163" s="36" t="str">
        <f>IFERROR(KPI_TARGETS!$E$7,"Higher is better")</f>
        <v>Higher is better</v>
      </c>
      <c r="O1163" s="37">
        <f t="shared" ca="1" si="108"/>
        <v>0</v>
      </c>
      <c r="P1163" t="str">
        <f t="shared" ca="1" si="109"/>
        <v>Red</v>
      </c>
      <c r="Q1163" s="36">
        <f t="shared" ca="1" si="110"/>
        <v>-8000</v>
      </c>
      <c r="R1163" s="36" t="str">
        <f>""</f>
        <v/>
      </c>
      <c r="S1163" s="36" t="str">
        <f>""</f>
        <v/>
      </c>
      <c r="T1163" s="36" t="str">
        <f>""</f>
        <v/>
      </c>
      <c r="U1163" s="36" t="str">
        <f>""</f>
        <v/>
      </c>
      <c r="V1163" s="36" t="str">
        <f>""</f>
        <v/>
      </c>
      <c r="W1163" s="36">
        <f t="shared" si="111"/>
        <v>1</v>
      </c>
      <c r="X1163" t="str">
        <f t="shared" si="112"/>
        <v>Inactive</v>
      </c>
      <c r="Y1163" t="str">
        <f>IF(MAIN!$H$3="Selected Year",IF(A1163=MAIN!$B$3,"Yes","No"),IF(MAIN!$H$3="Included Years",IF(D1163="Yes","Yes","No"),IF(C1163="Yes","Yes","No")))</f>
        <v>No</v>
      </c>
      <c r="Z1163" t="str">
        <f>IF(MAIN!$F$3="Project to Date",IF(AND(A1163&gt;=SETTINGS!$B$4,A1163&lt;MAIN!$B$3),"Yes",IF(AND(A1163=MAIN!$B$3,E1163&lt;=MAIN!$L$3),"Yes","No")),IF(OR(MAIN!$F$3="Full Year",MAIN!$D$3="All"),"Yes",IF(MAIN!$F$3="Monthly",IF(E1163=MAIN!$L$3,"Yes","No"),IF(E1163&lt;=MAIN!$L$3,"Yes","No"))))</f>
        <v>Yes</v>
      </c>
      <c r="AA1163" t="str">
        <f t="shared" si="113"/>
        <v>No</v>
      </c>
    </row>
    <row r="1164" spans="1:27" x14ac:dyDescent="0.3">
      <c r="A1164">
        <f>INDEX(SETTINGS!$A$15:$A$24,$B1164)</f>
        <v>2030</v>
      </c>
      <c r="B1164">
        <v>6</v>
      </c>
      <c r="C1164" t="str">
        <f>IF(AND(A1164&gt;=SETTINGS!$B$4,A1164&lt;=SETTINGS!$B$5),"Yes","No")</f>
        <v>No</v>
      </c>
      <c r="D1164" t="str">
        <f>IFERROR(INDEX(SETTINGS!$C$15:$C$24,MATCH(A1164,SETTINGS!$A$15:$A$24,0)),"No")</f>
        <v>No</v>
      </c>
      <c r="E1164">
        <v>2</v>
      </c>
      <c r="F1164" t="s">
        <v>35</v>
      </c>
      <c r="G1164">
        <v>37</v>
      </c>
      <c r="H1164" t="s">
        <v>95</v>
      </c>
      <c r="I1164" t="s">
        <v>15</v>
      </c>
      <c r="J1164" t="s">
        <v>16</v>
      </c>
      <c r="K1164" t="s">
        <v>3</v>
      </c>
      <c r="L1164" s="36">
        <f ca="1">IF(C1164&lt;&gt;"Yes",0,IF(A1164=2025,N('2025'!D37),IF(A1164=2026,N('2026'!D37),IF(A1164=2027,N('2027'!D37),IF(A1164=2028,N('2028'!D37),IF(A1164=2029,N('2029'!D37),IF(A1164=2030,N('2030'!D37),IF(A1164=2031,N('2031'!D37),IF(A1164=2032,N('2032'!D37),IF(A1164=2033,N('2033'!D37),IF(A1164=2034,N('2034'!D37),IFERROR(N(INDIRECT("'"&amp;A1164&amp;"'!D"&amp;G1164)),0))))))))))))</f>
        <v>0</v>
      </c>
      <c r="M1164" s="36">
        <f>IFERROR(IF(NOT(ISBLANK(KPI_TARGETS!$L$8)),KPI_TARGETS!$L$8,IF(NOT(ISBLANK(KPI_TARGETS!$F$8)),KPI_TARGETS!$F$8,"")),"")</f>
        <v>0</v>
      </c>
      <c r="N1164" s="36" t="str">
        <f>IFERROR(KPI_TARGETS!$E$8,"Higher is better")</f>
        <v>Lower is better</v>
      </c>
      <c r="O1164" s="37">
        <f t="shared" ca="1" si="108"/>
        <v>1</v>
      </c>
      <c r="P1164" t="str">
        <f t="shared" ca="1" si="109"/>
        <v>Green</v>
      </c>
      <c r="Q1164" s="36">
        <f t="shared" ca="1" si="110"/>
        <v>0</v>
      </c>
      <c r="R1164" s="36" t="str">
        <f>""</f>
        <v/>
      </c>
      <c r="S1164" s="36" t="str">
        <f>""</f>
        <v/>
      </c>
      <c r="T1164" s="36" t="str">
        <f>""</f>
        <v/>
      </c>
      <c r="U1164" s="36" t="str">
        <f>""</f>
        <v/>
      </c>
      <c r="V1164" s="36" t="str">
        <f>""</f>
        <v/>
      </c>
      <c r="W1164" s="36">
        <f t="shared" si="111"/>
        <v>1</v>
      </c>
      <c r="X1164" t="str">
        <f t="shared" si="112"/>
        <v>Inactive</v>
      </c>
      <c r="Y1164" t="str">
        <f>IF(MAIN!$H$3="Selected Year",IF(A1164=MAIN!$B$3,"Yes","No"),IF(MAIN!$H$3="Included Years",IF(D1164="Yes","Yes","No"),IF(C1164="Yes","Yes","No")))</f>
        <v>No</v>
      </c>
      <c r="Z1164" t="str">
        <f>IF(MAIN!$F$3="Project to Date",IF(AND(A1164&gt;=SETTINGS!$B$4,A1164&lt;MAIN!$B$3),"Yes",IF(AND(A1164=MAIN!$B$3,E1164&lt;=MAIN!$L$3),"Yes","No")),IF(OR(MAIN!$F$3="Full Year",MAIN!$D$3="All"),"Yes",IF(MAIN!$F$3="Monthly",IF(E1164=MAIN!$L$3,"Yes","No"),IF(E1164&lt;=MAIN!$L$3,"Yes","No"))))</f>
        <v>Yes</v>
      </c>
      <c r="AA1164" t="str">
        <f t="shared" si="113"/>
        <v>No</v>
      </c>
    </row>
    <row r="1165" spans="1:27" x14ac:dyDescent="0.3">
      <c r="A1165">
        <f>INDEX(SETTINGS!$A$15:$A$24,$B1165)</f>
        <v>2030</v>
      </c>
      <c r="B1165">
        <v>6</v>
      </c>
      <c r="C1165" t="str">
        <f>IF(AND(A1165&gt;=SETTINGS!$B$4,A1165&lt;=SETTINGS!$B$5),"Yes","No")</f>
        <v>No</v>
      </c>
      <c r="D1165" t="str">
        <f>IFERROR(INDEX(SETTINGS!$C$15:$C$24,MATCH(A1165,SETTINGS!$A$15:$A$24,0)),"No")</f>
        <v>No</v>
      </c>
      <c r="E1165">
        <v>2</v>
      </c>
      <c r="F1165" t="s">
        <v>35</v>
      </c>
      <c r="G1165">
        <v>38</v>
      </c>
      <c r="H1165" t="s">
        <v>97</v>
      </c>
      <c r="I1165" t="s">
        <v>15</v>
      </c>
      <c r="J1165" t="s">
        <v>17</v>
      </c>
      <c r="K1165" t="s">
        <v>3</v>
      </c>
      <c r="L1165" s="36">
        <f ca="1">IF(C1165&lt;&gt;"Yes",0,IF(A1165=2025,N('2025'!D38),IF(A1165=2026,N('2026'!D38),IF(A1165=2027,N('2027'!D38),IF(A1165=2028,N('2028'!D38),IF(A1165=2029,N('2029'!D38),IF(A1165=2030,N('2030'!D38),IF(A1165=2031,N('2031'!D38),IF(A1165=2032,N('2032'!D38),IF(A1165=2033,N('2033'!D38),IF(A1165=2034,N('2034'!D38),IFERROR(N(INDIRECT("'"&amp;A1165&amp;"'!D"&amp;G1165)),0))))))))))))</f>
        <v>0</v>
      </c>
      <c r="M1165" s="36">
        <f>IFERROR(IF(NOT(ISBLANK(KPI_TARGETS!$L$9)),KPI_TARGETS!$L$9,IF(NOT(ISBLANK(KPI_TARGETS!$F$9)),KPI_TARGETS!$F$9,"")),"")</f>
        <v>0</v>
      </c>
      <c r="N1165" s="36" t="str">
        <f>IFERROR(KPI_TARGETS!$E$9,"Higher is better")</f>
        <v>Higher is better</v>
      </c>
      <c r="O1165" s="37" t="str">
        <f t="shared" ca="1" si="108"/>
        <v/>
      </c>
      <c r="P1165" t="str">
        <f t="shared" ca="1" si="109"/>
        <v>Green</v>
      </c>
      <c r="Q1165" s="36">
        <f t="shared" ca="1" si="110"/>
        <v>0</v>
      </c>
      <c r="R1165" s="36" t="str">
        <f>""</f>
        <v/>
      </c>
      <c r="S1165" s="36" t="str">
        <f>""</f>
        <v/>
      </c>
      <c r="T1165" s="36" t="str">
        <f>""</f>
        <v/>
      </c>
      <c r="U1165" s="36" t="str">
        <f>""</f>
        <v/>
      </c>
      <c r="V1165" s="36" t="str">
        <f>""</f>
        <v/>
      </c>
      <c r="W1165" s="36">
        <f t="shared" si="111"/>
        <v>1</v>
      </c>
      <c r="X1165" t="str">
        <f t="shared" si="112"/>
        <v>Inactive</v>
      </c>
      <c r="Y1165" t="str">
        <f>IF(MAIN!$H$3="Selected Year",IF(A1165=MAIN!$B$3,"Yes","No"),IF(MAIN!$H$3="Included Years",IF(D1165="Yes","Yes","No"),IF(C1165="Yes","Yes","No")))</f>
        <v>No</v>
      </c>
      <c r="Z1165" t="str">
        <f>IF(MAIN!$F$3="Project to Date",IF(AND(A1165&gt;=SETTINGS!$B$4,A1165&lt;MAIN!$B$3),"Yes",IF(AND(A1165=MAIN!$B$3,E1165&lt;=MAIN!$L$3),"Yes","No")),IF(OR(MAIN!$F$3="Full Year",MAIN!$D$3="All"),"Yes",IF(MAIN!$F$3="Monthly",IF(E1165=MAIN!$L$3,"Yes","No"),IF(E1165&lt;=MAIN!$L$3,"Yes","No"))))</f>
        <v>Yes</v>
      </c>
      <c r="AA1165" t="str">
        <f t="shared" si="113"/>
        <v>No</v>
      </c>
    </row>
    <row r="1166" spans="1:27" x14ac:dyDescent="0.3">
      <c r="A1166">
        <f>INDEX(SETTINGS!$A$15:$A$24,$B1166)</f>
        <v>2030</v>
      </c>
      <c r="B1166">
        <v>6</v>
      </c>
      <c r="C1166" t="str">
        <f>IF(AND(A1166&gt;=SETTINGS!$B$4,A1166&lt;=SETTINGS!$B$5),"Yes","No")</f>
        <v>No</v>
      </c>
      <c r="D1166" t="str">
        <f>IFERROR(INDEX(SETTINGS!$C$15:$C$24,MATCH(A1166,SETTINGS!$A$15:$A$24,0)),"No")</f>
        <v>No</v>
      </c>
      <c r="E1166">
        <v>2</v>
      </c>
      <c r="F1166" t="s">
        <v>35</v>
      </c>
      <c r="G1166">
        <v>39</v>
      </c>
      <c r="H1166" t="s">
        <v>99</v>
      </c>
      <c r="I1166" t="s">
        <v>15</v>
      </c>
      <c r="J1166" t="s">
        <v>18</v>
      </c>
      <c r="K1166" t="s">
        <v>3</v>
      </c>
      <c r="L1166" s="36">
        <f ca="1">IF(C1166&lt;&gt;"Yes",0,IF(A1166=2025,N('2025'!D39),IF(A1166=2026,N('2026'!D39),IF(A1166=2027,N('2027'!D39),IF(A1166=2028,N('2028'!D39),IF(A1166=2029,N('2029'!D39),IF(A1166=2030,N('2030'!D39),IF(A1166=2031,N('2031'!D39),IF(A1166=2032,N('2032'!D39),IF(A1166=2033,N('2033'!D39),IF(A1166=2034,N('2034'!D39),IFERROR(N(INDIRECT("'"&amp;A1166&amp;"'!D"&amp;G1166)),0))))))))))))</f>
        <v>0</v>
      </c>
      <c r="M1166" s="36">
        <f>IFERROR(IF(NOT(ISBLANK(KPI_TARGETS!$L$10)),KPI_TARGETS!$L$10,IF(NOT(ISBLANK(KPI_TARGETS!$F$10)),KPI_TARGETS!$F$10,"")),"")</f>
        <v>0</v>
      </c>
      <c r="N1166" s="36" t="str">
        <f>IFERROR(KPI_TARGETS!$E$10,"Higher is better")</f>
        <v>Lower is better</v>
      </c>
      <c r="O1166" s="37">
        <f t="shared" ca="1" si="108"/>
        <v>1</v>
      </c>
      <c r="P1166" t="str">
        <f t="shared" ca="1" si="109"/>
        <v>Green</v>
      </c>
      <c r="Q1166" s="36">
        <f t="shared" ca="1" si="110"/>
        <v>0</v>
      </c>
      <c r="R1166" s="36" t="str">
        <f>""</f>
        <v/>
      </c>
      <c r="S1166" s="36" t="str">
        <f>""</f>
        <v/>
      </c>
      <c r="T1166" s="36" t="str">
        <f>""</f>
        <v/>
      </c>
      <c r="U1166" s="36" t="str">
        <f>""</f>
        <v/>
      </c>
      <c r="V1166" s="36" t="str">
        <f>""</f>
        <v/>
      </c>
      <c r="W1166" s="36">
        <f t="shared" si="111"/>
        <v>1</v>
      </c>
      <c r="X1166" t="str">
        <f t="shared" si="112"/>
        <v>Inactive</v>
      </c>
      <c r="Y1166" t="str">
        <f>IF(MAIN!$H$3="Selected Year",IF(A1166=MAIN!$B$3,"Yes","No"),IF(MAIN!$H$3="Included Years",IF(D1166="Yes","Yes","No"),IF(C1166="Yes","Yes","No")))</f>
        <v>No</v>
      </c>
      <c r="Z1166" t="str">
        <f>IF(MAIN!$F$3="Project to Date",IF(AND(A1166&gt;=SETTINGS!$B$4,A1166&lt;MAIN!$B$3),"Yes",IF(AND(A1166=MAIN!$B$3,E1166&lt;=MAIN!$L$3),"Yes","No")),IF(OR(MAIN!$F$3="Full Year",MAIN!$D$3="All"),"Yes",IF(MAIN!$F$3="Monthly",IF(E1166=MAIN!$L$3,"Yes","No"),IF(E1166&lt;=MAIN!$L$3,"Yes","No"))))</f>
        <v>Yes</v>
      </c>
      <c r="AA1166" t="str">
        <f t="shared" si="113"/>
        <v>No</v>
      </c>
    </row>
    <row r="1167" spans="1:27" x14ac:dyDescent="0.3">
      <c r="A1167">
        <f>INDEX(SETTINGS!$A$15:$A$24,$B1167)</f>
        <v>2030</v>
      </c>
      <c r="B1167">
        <v>6</v>
      </c>
      <c r="C1167" t="str">
        <f>IF(AND(A1167&gt;=SETTINGS!$B$4,A1167&lt;=SETTINGS!$B$5),"Yes","No")</f>
        <v>No</v>
      </c>
      <c r="D1167" t="str">
        <f>IFERROR(INDEX(SETTINGS!$C$15:$C$24,MATCH(A1167,SETTINGS!$A$15:$A$24,0)),"No")</f>
        <v>No</v>
      </c>
      <c r="E1167">
        <v>2</v>
      </c>
      <c r="F1167" t="s">
        <v>35</v>
      </c>
      <c r="G1167">
        <v>40</v>
      </c>
      <c r="H1167" t="s">
        <v>100</v>
      </c>
      <c r="I1167" t="s">
        <v>15</v>
      </c>
      <c r="J1167" t="s">
        <v>19</v>
      </c>
      <c r="K1167" t="s">
        <v>3</v>
      </c>
      <c r="L1167" s="36">
        <f ca="1">IF(C1167&lt;&gt;"Yes",0,IF(A1167=2025,N('2025'!D40),IF(A1167=2026,N('2026'!D40),IF(A1167=2027,N('2027'!D40),IF(A1167=2028,N('2028'!D40),IF(A1167=2029,N('2029'!D40),IF(A1167=2030,N('2030'!D40),IF(A1167=2031,N('2031'!D40),IF(A1167=2032,N('2032'!D40),IF(A1167=2033,N('2033'!D40),IF(A1167=2034,N('2034'!D40),IFERROR(N(INDIRECT("'"&amp;A1167&amp;"'!D"&amp;G1167)),0))))))))))))</f>
        <v>0</v>
      </c>
      <c r="M1167" s="36">
        <f>IFERROR(IF(NOT(ISBLANK(KPI_TARGETS!$L$11)),KPI_TARGETS!$L$11,IF(NOT(ISBLANK(KPI_TARGETS!$F$11)),KPI_TARGETS!$F$11,"")),"")</f>
        <v>0</v>
      </c>
      <c r="N1167" s="36" t="str">
        <f>IFERROR(KPI_TARGETS!$E$11,"Higher is better")</f>
        <v>Lower is better</v>
      </c>
      <c r="O1167" s="37">
        <f t="shared" ca="1" si="108"/>
        <v>1</v>
      </c>
      <c r="P1167" t="str">
        <f t="shared" ca="1" si="109"/>
        <v>Green</v>
      </c>
      <c r="Q1167" s="36">
        <f t="shared" ca="1" si="110"/>
        <v>0</v>
      </c>
      <c r="R1167" s="36" t="str">
        <f>""</f>
        <v/>
      </c>
      <c r="S1167" s="36" t="str">
        <f>""</f>
        <v/>
      </c>
      <c r="T1167" s="36" t="str">
        <f>""</f>
        <v/>
      </c>
      <c r="U1167" s="36" t="str">
        <f>""</f>
        <v/>
      </c>
      <c r="V1167" s="36" t="str">
        <f>""</f>
        <v/>
      </c>
      <c r="W1167" s="36">
        <f t="shared" si="111"/>
        <v>1</v>
      </c>
      <c r="X1167" t="str">
        <f t="shared" si="112"/>
        <v>Inactive</v>
      </c>
      <c r="Y1167" t="str">
        <f>IF(MAIN!$H$3="Selected Year",IF(A1167=MAIN!$B$3,"Yes","No"),IF(MAIN!$H$3="Included Years",IF(D1167="Yes","Yes","No"),IF(C1167="Yes","Yes","No")))</f>
        <v>No</v>
      </c>
      <c r="Z1167" t="str">
        <f>IF(MAIN!$F$3="Project to Date",IF(AND(A1167&gt;=SETTINGS!$B$4,A1167&lt;MAIN!$B$3),"Yes",IF(AND(A1167=MAIN!$B$3,E1167&lt;=MAIN!$L$3),"Yes","No")),IF(OR(MAIN!$F$3="Full Year",MAIN!$D$3="All"),"Yes",IF(MAIN!$F$3="Monthly",IF(E1167=MAIN!$L$3,"Yes","No"),IF(E1167&lt;=MAIN!$L$3,"Yes","No"))))</f>
        <v>Yes</v>
      </c>
      <c r="AA1167" t="str">
        <f t="shared" si="113"/>
        <v>No</v>
      </c>
    </row>
    <row r="1168" spans="1:27" x14ac:dyDescent="0.3">
      <c r="A1168">
        <f>INDEX(SETTINGS!$A$15:$A$24,$B1168)</f>
        <v>2030</v>
      </c>
      <c r="B1168">
        <v>6</v>
      </c>
      <c r="C1168" t="str">
        <f>IF(AND(A1168&gt;=SETTINGS!$B$4,A1168&lt;=SETTINGS!$B$5),"Yes","No")</f>
        <v>No</v>
      </c>
      <c r="D1168" t="str">
        <f>IFERROR(INDEX(SETTINGS!$C$15:$C$24,MATCH(A1168,SETTINGS!$A$15:$A$24,0)),"No")</f>
        <v>No</v>
      </c>
      <c r="E1168">
        <v>2</v>
      </c>
      <c r="F1168" t="s">
        <v>35</v>
      </c>
      <c r="G1168">
        <v>41</v>
      </c>
      <c r="H1168" t="s">
        <v>101</v>
      </c>
      <c r="I1168" t="s">
        <v>15</v>
      </c>
      <c r="J1168" t="s">
        <v>20</v>
      </c>
      <c r="K1168" t="s">
        <v>3</v>
      </c>
      <c r="L1168" s="36">
        <f ca="1">IF(C1168&lt;&gt;"Yes",0,IF(A1168=2025,N('2025'!D41),IF(A1168=2026,N('2026'!D41),IF(A1168=2027,N('2027'!D41),IF(A1168=2028,N('2028'!D41),IF(A1168=2029,N('2029'!D41),IF(A1168=2030,N('2030'!D41),IF(A1168=2031,N('2031'!D41),IF(A1168=2032,N('2032'!D41),IF(A1168=2033,N('2033'!D41),IF(A1168=2034,N('2034'!D41),IFERROR(N(INDIRECT("'"&amp;A1168&amp;"'!D"&amp;G1168)),0))))))))))))</f>
        <v>0</v>
      </c>
      <c r="M1168" s="36">
        <f>IFERROR(IF(NOT(ISBLANK(KPI_TARGETS!$L$12)),KPI_TARGETS!$L$12,IF(NOT(ISBLANK(KPI_TARGETS!$F$12)),KPI_TARGETS!$F$12,"")),"")</f>
        <v>0</v>
      </c>
      <c r="N1168" s="36" t="str">
        <f>IFERROR(KPI_TARGETS!$E$12,"Higher is better")</f>
        <v>Lower is better</v>
      </c>
      <c r="O1168" s="37">
        <f t="shared" ca="1" si="108"/>
        <v>1</v>
      </c>
      <c r="P1168" t="str">
        <f t="shared" ca="1" si="109"/>
        <v>Green</v>
      </c>
      <c r="Q1168" s="36">
        <f t="shared" ca="1" si="110"/>
        <v>0</v>
      </c>
      <c r="R1168" s="36" t="str">
        <f>""</f>
        <v/>
      </c>
      <c r="S1168" s="36" t="str">
        <f>""</f>
        <v/>
      </c>
      <c r="T1168" s="36" t="str">
        <f>""</f>
        <v/>
      </c>
      <c r="U1168" s="36" t="str">
        <f>""</f>
        <v/>
      </c>
      <c r="V1168" s="36" t="str">
        <f>""</f>
        <v/>
      </c>
      <c r="W1168" s="36">
        <f t="shared" si="111"/>
        <v>1</v>
      </c>
      <c r="X1168" t="str">
        <f t="shared" si="112"/>
        <v>Inactive</v>
      </c>
      <c r="Y1168" t="str">
        <f>IF(MAIN!$H$3="Selected Year",IF(A1168=MAIN!$B$3,"Yes","No"),IF(MAIN!$H$3="Included Years",IF(D1168="Yes","Yes","No"),IF(C1168="Yes","Yes","No")))</f>
        <v>No</v>
      </c>
      <c r="Z1168" t="str">
        <f>IF(MAIN!$F$3="Project to Date",IF(AND(A1168&gt;=SETTINGS!$B$4,A1168&lt;MAIN!$B$3),"Yes",IF(AND(A1168=MAIN!$B$3,E1168&lt;=MAIN!$L$3),"Yes","No")),IF(OR(MAIN!$F$3="Full Year",MAIN!$D$3="All"),"Yes",IF(MAIN!$F$3="Monthly",IF(E1168=MAIN!$L$3,"Yes","No"),IF(E1168&lt;=MAIN!$L$3,"Yes","No"))))</f>
        <v>Yes</v>
      </c>
      <c r="AA1168" t="str">
        <f t="shared" si="113"/>
        <v>No</v>
      </c>
    </row>
    <row r="1169" spans="1:27" x14ac:dyDescent="0.3">
      <c r="A1169">
        <f>INDEX(SETTINGS!$A$15:$A$24,$B1169)</f>
        <v>2030</v>
      </c>
      <c r="B1169">
        <v>6</v>
      </c>
      <c r="C1169" t="str">
        <f>IF(AND(A1169&gt;=SETTINGS!$B$4,A1169&lt;=SETTINGS!$B$5),"Yes","No")</f>
        <v>No</v>
      </c>
      <c r="D1169" t="str">
        <f>IFERROR(INDEX(SETTINGS!$C$15:$C$24,MATCH(A1169,SETTINGS!$A$15:$A$24,0)),"No")</f>
        <v>No</v>
      </c>
      <c r="E1169">
        <v>2</v>
      </c>
      <c r="F1169" t="s">
        <v>35</v>
      </c>
      <c r="G1169">
        <v>42</v>
      </c>
      <c r="H1169" t="s">
        <v>102</v>
      </c>
      <c r="I1169" t="s">
        <v>15</v>
      </c>
      <c r="J1169" t="s">
        <v>21</v>
      </c>
      <c r="K1169" t="s">
        <v>3</v>
      </c>
      <c r="L1169" s="36">
        <f ca="1">IF(C1169&lt;&gt;"Yes",0,IF(A1169=2025,N('2025'!D42),IF(A1169=2026,N('2026'!D42),IF(A1169=2027,N('2027'!D42),IF(A1169=2028,N('2028'!D42),IF(A1169=2029,N('2029'!D42),IF(A1169=2030,N('2030'!D42),IF(A1169=2031,N('2031'!D42),IF(A1169=2032,N('2032'!D42),IF(A1169=2033,N('2033'!D42),IF(A1169=2034,N('2034'!D42),IFERROR(N(INDIRECT("'"&amp;A1169&amp;"'!D"&amp;G1169)),0))))))))))))</f>
        <v>0</v>
      </c>
      <c r="M1169" s="36">
        <f>IFERROR(IF(NOT(ISBLANK(KPI_TARGETS!$L$13)),KPI_TARGETS!$L$13,IF(NOT(ISBLANK(KPI_TARGETS!$F$13)),KPI_TARGETS!$F$13,"")),"")</f>
        <v>0</v>
      </c>
      <c r="N1169" s="36" t="str">
        <f>IFERROR(KPI_TARGETS!$E$13,"Higher is better")</f>
        <v>Lower is better</v>
      </c>
      <c r="O1169" s="37">
        <f t="shared" ca="1" si="108"/>
        <v>1</v>
      </c>
      <c r="P1169" t="str">
        <f t="shared" ca="1" si="109"/>
        <v>Green</v>
      </c>
      <c r="Q1169" s="36">
        <f t="shared" ca="1" si="110"/>
        <v>0</v>
      </c>
      <c r="R1169" s="36" t="str">
        <f>""</f>
        <v/>
      </c>
      <c r="S1169" s="36" t="str">
        <f>""</f>
        <v/>
      </c>
      <c r="T1169" s="36" t="str">
        <f>""</f>
        <v/>
      </c>
      <c r="U1169" s="36" t="str">
        <f>""</f>
        <v/>
      </c>
      <c r="V1169" s="36" t="str">
        <f>""</f>
        <v/>
      </c>
      <c r="W1169" s="36">
        <f t="shared" si="111"/>
        <v>1</v>
      </c>
      <c r="X1169" t="str">
        <f t="shared" si="112"/>
        <v>Inactive</v>
      </c>
      <c r="Y1169" t="str">
        <f>IF(MAIN!$H$3="Selected Year",IF(A1169=MAIN!$B$3,"Yes","No"),IF(MAIN!$H$3="Included Years",IF(D1169="Yes","Yes","No"),IF(C1169="Yes","Yes","No")))</f>
        <v>No</v>
      </c>
      <c r="Z1169" t="str">
        <f>IF(MAIN!$F$3="Project to Date",IF(AND(A1169&gt;=SETTINGS!$B$4,A1169&lt;MAIN!$B$3),"Yes",IF(AND(A1169=MAIN!$B$3,E1169&lt;=MAIN!$L$3),"Yes","No")),IF(OR(MAIN!$F$3="Full Year",MAIN!$D$3="All"),"Yes",IF(MAIN!$F$3="Monthly",IF(E1169=MAIN!$L$3,"Yes","No"),IF(E1169&lt;=MAIN!$L$3,"Yes","No"))))</f>
        <v>Yes</v>
      </c>
      <c r="AA1169" t="str">
        <f t="shared" si="113"/>
        <v>No</v>
      </c>
    </row>
    <row r="1170" spans="1:27" x14ac:dyDescent="0.3">
      <c r="A1170">
        <f>INDEX(SETTINGS!$A$15:$A$24,$B1170)</f>
        <v>2030</v>
      </c>
      <c r="B1170">
        <v>6</v>
      </c>
      <c r="C1170" t="str">
        <f>IF(AND(A1170&gt;=SETTINGS!$B$4,A1170&lt;=SETTINGS!$B$5),"Yes","No")</f>
        <v>No</v>
      </c>
      <c r="D1170" t="str">
        <f>IFERROR(INDEX(SETTINGS!$C$15:$C$24,MATCH(A1170,SETTINGS!$A$15:$A$24,0)),"No")</f>
        <v>No</v>
      </c>
      <c r="E1170">
        <v>2</v>
      </c>
      <c r="F1170" t="s">
        <v>35</v>
      </c>
      <c r="G1170">
        <v>44</v>
      </c>
      <c r="H1170" t="s">
        <v>103</v>
      </c>
      <c r="I1170" t="s">
        <v>22</v>
      </c>
      <c r="J1170" t="s">
        <v>23</v>
      </c>
      <c r="K1170" t="s">
        <v>3</v>
      </c>
      <c r="L1170" s="36">
        <f ca="1">IF(C1170&lt;&gt;"Yes",0,IF(A1170=2025,N('2025'!D44),IF(A1170=2026,N('2026'!D44),IF(A1170=2027,N('2027'!D44),IF(A1170=2028,N('2028'!D44),IF(A1170=2029,N('2029'!D44),IF(A1170=2030,N('2030'!D44),IF(A1170=2031,N('2031'!D44),IF(A1170=2032,N('2032'!D44),IF(A1170=2033,N('2033'!D44),IF(A1170=2034,N('2034'!D44),IFERROR(N(INDIRECT("'"&amp;A1170&amp;"'!D"&amp;G1170)),0))))))))))))</f>
        <v>0</v>
      </c>
      <c r="M1170" s="36">
        <f>IFERROR(IF(NOT(ISBLANK(KPI_TARGETS!$L$14)),KPI_TARGETS!$L$14,IF(NOT(ISBLANK(KPI_TARGETS!$F$14)),KPI_TARGETS!$F$14,"")),"")</f>
        <v>35</v>
      </c>
      <c r="N1170" s="36" t="str">
        <f>IFERROR(KPI_TARGETS!$E$14,"Higher is better")</f>
        <v>Higher is better</v>
      </c>
      <c r="O1170" s="37">
        <f t="shared" ca="1" si="108"/>
        <v>0</v>
      </c>
      <c r="P1170" t="str">
        <f t="shared" ca="1" si="109"/>
        <v>Red</v>
      </c>
      <c r="Q1170" s="36">
        <f t="shared" ca="1" si="110"/>
        <v>-35</v>
      </c>
      <c r="R1170" s="36" t="str">
        <f>""</f>
        <v/>
      </c>
      <c r="S1170" s="36" t="str">
        <f>""</f>
        <v/>
      </c>
      <c r="T1170" s="36" t="str">
        <f>""</f>
        <v/>
      </c>
      <c r="U1170" s="36" t="str">
        <f>""</f>
        <v/>
      </c>
      <c r="V1170" s="36" t="str">
        <f>""</f>
        <v/>
      </c>
      <c r="W1170" s="36">
        <f t="shared" si="111"/>
        <v>1</v>
      </c>
      <c r="X1170" t="str">
        <f t="shared" si="112"/>
        <v>Inactive</v>
      </c>
      <c r="Y1170" t="str">
        <f>IF(MAIN!$H$3="Selected Year",IF(A1170=MAIN!$B$3,"Yes","No"),IF(MAIN!$H$3="Included Years",IF(D1170="Yes","Yes","No"),IF(C1170="Yes","Yes","No")))</f>
        <v>No</v>
      </c>
      <c r="Z1170" t="str">
        <f>IF(MAIN!$F$3="Project to Date",IF(AND(A1170&gt;=SETTINGS!$B$4,A1170&lt;MAIN!$B$3),"Yes",IF(AND(A1170=MAIN!$B$3,E1170&lt;=MAIN!$L$3),"Yes","No")),IF(OR(MAIN!$F$3="Full Year",MAIN!$D$3="All"),"Yes",IF(MAIN!$F$3="Monthly",IF(E1170=MAIN!$L$3,"Yes","No"),IF(E1170&lt;=MAIN!$L$3,"Yes","No"))))</f>
        <v>Yes</v>
      </c>
      <c r="AA1170" t="str">
        <f t="shared" si="113"/>
        <v>No</v>
      </c>
    </row>
    <row r="1171" spans="1:27" x14ac:dyDescent="0.3">
      <c r="A1171">
        <f>INDEX(SETTINGS!$A$15:$A$24,$B1171)</f>
        <v>2030</v>
      </c>
      <c r="B1171">
        <v>6</v>
      </c>
      <c r="C1171" t="str">
        <f>IF(AND(A1171&gt;=SETTINGS!$B$4,A1171&lt;=SETTINGS!$B$5),"Yes","No")</f>
        <v>No</v>
      </c>
      <c r="D1171" t="str">
        <f>IFERROR(INDEX(SETTINGS!$C$15:$C$24,MATCH(A1171,SETTINGS!$A$15:$A$24,0)),"No")</f>
        <v>No</v>
      </c>
      <c r="E1171">
        <v>2</v>
      </c>
      <c r="F1171" t="s">
        <v>35</v>
      </c>
      <c r="G1171">
        <v>45</v>
      </c>
      <c r="H1171" t="s">
        <v>104</v>
      </c>
      <c r="I1171" t="s">
        <v>22</v>
      </c>
      <c r="J1171" t="s">
        <v>24</v>
      </c>
      <c r="K1171" t="s">
        <v>3</v>
      </c>
      <c r="L1171" s="36">
        <f ca="1">IF(C1171&lt;&gt;"Yes",0,IF(A1171=2025,N('2025'!D45),IF(A1171=2026,N('2026'!D45),IF(A1171=2027,N('2027'!D45),IF(A1171=2028,N('2028'!D45),IF(A1171=2029,N('2029'!D45),IF(A1171=2030,N('2030'!D45),IF(A1171=2031,N('2031'!D45),IF(A1171=2032,N('2032'!D45),IF(A1171=2033,N('2033'!D45),IF(A1171=2034,N('2034'!D45),IFERROR(N(INDIRECT("'"&amp;A1171&amp;"'!D"&amp;G1171)),0))))))))))))</f>
        <v>0</v>
      </c>
      <c r="M1171" s="36">
        <f>IFERROR(IF(NOT(ISBLANK(KPI_TARGETS!$L$15)),KPI_TARGETS!$L$15,IF(NOT(ISBLANK(KPI_TARGETS!$F$15)),KPI_TARGETS!$F$15,"")),"")</f>
        <v>5</v>
      </c>
      <c r="N1171" s="36" t="str">
        <f>IFERROR(KPI_TARGETS!$E$15,"Higher is better")</f>
        <v>Higher is better</v>
      </c>
      <c r="O1171" s="37">
        <f t="shared" ca="1" si="108"/>
        <v>0</v>
      </c>
      <c r="P1171" t="str">
        <f t="shared" ca="1" si="109"/>
        <v>Red</v>
      </c>
      <c r="Q1171" s="36">
        <f t="shared" ca="1" si="110"/>
        <v>-5</v>
      </c>
      <c r="R1171" s="36" t="str">
        <f>""</f>
        <v/>
      </c>
      <c r="S1171" s="36" t="str">
        <f>""</f>
        <v/>
      </c>
      <c r="T1171" s="36" t="str">
        <f>""</f>
        <v/>
      </c>
      <c r="U1171" s="36" t="str">
        <f>""</f>
        <v/>
      </c>
      <c r="V1171" s="36" t="str">
        <f>""</f>
        <v/>
      </c>
      <c r="W1171" s="36">
        <f t="shared" si="111"/>
        <v>1</v>
      </c>
      <c r="X1171" t="str">
        <f t="shared" si="112"/>
        <v>Inactive</v>
      </c>
      <c r="Y1171" t="str">
        <f>IF(MAIN!$H$3="Selected Year",IF(A1171=MAIN!$B$3,"Yes","No"),IF(MAIN!$H$3="Included Years",IF(D1171="Yes","Yes","No"),IF(C1171="Yes","Yes","No")))</f>
        <v>No</v>
      </c>
      <c r="Z1171" t="str">
        <f>IF(MAIN!$F$3="Project to Date",IF(AND(A1171&gt;=SETTINGS!$B$4,A1171&lt;MAIN!$B$3),"Yes",IF(AND(A1171=MAIN!$B$3,E1171&lt;=MAIN!$L$3),"Yes","No")),IF(OR(MAIN!$F$3="Full Year",MAIN!$D$3="All"),"Yes",IF(MAIN!$F$3="Monthly",IF(E1171=MAIN!$L$3,"Yes","No"),IF(E1171&lt;=MAIN!$L$3,"Yes","No"))))</f>
        <v>Yes</v>
      </c>
      <c r="AA1171" t="str">
        <f t="shared" si="113"/>
        <v>No</v>
      </c>
    </row>
    <row r="1172" spans="1:27" x14ac:dyDescent="0.3">
      <c r="A1172">
        <f>INDEX(SETTINGS!$A$15:$A$24,$B1172)</f>
        <v>2030</v>
      </c>
      <c r="B1172">
        <v>6</v>
      </c>
      <c r="C1172" t="str">
        <f>IF(AND(A1172&gt;=SETTINGS!$B$4,A1172&lt;=SETTINGS!$B$5),"Yes","No")</f>
        <v>No</v>
      </c>
      <c r="D1172" t="str">
        <f>IFERROR(INDEX(SETTINGS!$C$15:$C$24,MATCH(A1172,SETTINGS!$A$15:$A$24,0)),"No")</f>
        <v>No</v>
      </c>
      <c r="E1172">
        <v>2</v>
      </c>
      <c r="F1172" t="s">
        <v>35</v>
      </c>
      <c r="G1172">
        <v>46</v>
      </c>
      <c r="H1172" t="s">
        <v>105</v>
      </c>
      <c r="I1172" t="s">
        <v>22</v>
      </c>
      <c r="J1172" t="s">
        <v>25</v>
      </c>
      <c r="K1172" t="s">
        <v>3</v>
      </c>
      <c r="L1172" s="36">
        <f ca="1">IF(C1172&lt;&gt;"Yes",0,IF(A1172=2025,N('2025'!D46),IF(A1172=2026,N('2026'!D46),IF(A1172=2027,N('2027'!D46),IF(A1172=2028,N('2028'!D46),IF(A1172=2029,N('2029'!D46),IF(A1172=2030,N('2030'!D46),IF(A1172=2031,N('2031'!D46),IF(A1172=2032,N('2032'!D46),IF(A1172=2033,N('2033'!D46),IF(A1172=2034,N('2034'!D46),IFERROR(N(INDIRECT("'"&amp;A1172&amp;"'!D"&amp;G1172)),0))))))))))))</f>
        <v>0</v>
      </c>
      <c r="M1172" s="36">
        <f>IFERROR(IF(NOT(ISBLANK(KPI_TARGETS!$L$16)),KPI_TARGETS!$L$16,IF(NOT(ISBLANK(KPI_TARGETS!$F$16)),KPI_TARGETS!$F$16,"")),"")</f>
        <v>4</v>
      </c>
      <c r="N1172" s="36" t="str">
        <f>IFERROR(KPI_TARGETS!$E$16,"Higher is better")</f>
        <v>Higher is better</v>
      </c>
      <c r="O1172" s="37">
        <f t="shared" ca="1" si="108"/>
        <v>0</v>
      </c>
      <c r="P1172" t="str">
        <f t="shared" ca="1" si="109"/>
        <v>Red</v>
      </c>
      <c r="Q1172" s="36">
        <f t="shared" ca="1" si="110"/>
        <v>-4</v>
      </c>
      <c r="R1172" s="36" t="str">
        <f>""</f>
        <v/>
      </c>
      <c r="S1172" s="36" t="str">
        <f>""</f>
        <v/>
      </c>
      <c r="T1172" s="36" t="str">
        <f>""</f>
        <v/>
      </c>
      <c r="U1172" s="36" t="str">
        <f>""</f>
        <v/>
      </c>
      <c r="V1172" s="36" t="str">
        <f>""</f>
        <v/>
      </c>
      <c r="W1172" s="36">
        <f t="shared" si="111"/>
        <v>1</v>
      </c>
      <c r="X1172" t="str">
        <f t="shared" si="112"/>
        <v>Inactive</v>
      </c>
      <c r="Y1172" t="str">
        <f>IF(MAIN!$H$3="Selected Year",IF(A1172=MAIN!$B$3,"Yes","No"),IF(MAIN!$H$3="Included Years",IF(D1172="Yes","Yes","No"),IF(C1172="Yes","Yes","No")))</f>
        <v>No</v>
      </c>
      <c r="Z1172" t="str">
        <f>IF(MAIN!$F$3="Project to Date",IF(AND(A1172&gt;=SETTINGS!$B$4,A1172&lt;MAIN!$B$3),"Yes",IF(AND(A1172=MAIN!$B$3,E1172&lt;=MAIN!$L$3),"Yes","No")),IF(OR(MAIN!$F$3="Full Year",MAIN!$D$3="All"),"Yes",IF(MAIN!$F$3="Monthly",IF(E1172=MAIN!$L$3,"Yes","No"),IF(E1172&lt;=MAIN!$L$3,"Yes","No"))))</f>
        <v>Yes</v>
      </c>
      <c r="AA1172" t="str">
        <f t="shared" si="113"/>
        <v>No</v>
      </c>
    </row>
    <row r="1173" spans="1:27" x14ac:dyDescent="0.3">
      <c r="A1173">
        <f>INDEX(SETTINGS!$A$15:$A$24,$B1173)</f>
        <v>2030</v>
      </c>
      <c r="B1173">
        <v>6</v>
      </c>
      <c r="C1173" t="str">
        <f>IF(AND(A1173&gt;=SETTINGS!$B$4,A1173&lt;=SETTINGS!$B$5),"Yes","No")</f>
        <v>No</v>
      </c>
      <c r="D1173" t="str">
        <f>IFERROR(INDEX(SETTINGS!$C$15:$C$24,MATCH(A1173,SETTINGS!$A$15:$A$24,0)),"No")</f>
        <v>No</v>
      </c>
      <c r="E1173">
        <v>2</v>
      </c>
      <c r="F1173" t="s">
        <v>35</v>
      </c>
      <c r="G1173">
        <v>47</v>
      </c>
      <c r="H1173" t="s">
        <v>106</v>
      </c>
      <c r="I1173" t="s">
        <v>22</v>
      </c>
      <c r="J1173" t="s">
        <v>26</v>
      </c>
      <c r="K1173" t="s">
        <v>3</v>
      </c>
      <c r="L1173" s="36">
        <f ca="1">IF(C1173&lt;&gt;"Yes",0,IF(A1173=2025,N('2025'!D47),IF(A1173=2026,N('2026'!D47),IF(A1173=2027,N('2027'!D47),IF(A1173=2028,N('2028'!D47),IF(A1173=2029,N('2029'!D47),IF(A1173=2030,N('2030'!D47),IF(A1173=2031,N('2031'!D47),IF(A1173=2032,N('2032'!D47),IF(A1173=2033,N('2033'!D47),IF(A1173=2034,N('2034'!D47),IFERROR(N(INDIRECT("'"&amp;A1173&amp;"'!D"&amp;G1173)),0))))))))))))</f>
        <v>0</v>
      </c>
      <c r="M1173" s="36">
        <f>IFERROR(IF(NOT(ISBLANK(KPI_TARGETS!$L$17)),KPI_TARGETS!$L$17,IF(NOT(ISBLANK(KPI_TARGETS!$F$17)),KPI_TARGETS!$F$17,"")),"")</f>
        <v>12</v>
      </c>
      <c r="N1173" s="36" t="str">
        <f>IFERROR(KPI_TARGETS!$E$17,"Higher is better")</f>
        <v>Higher is better</v>
      </c>
      <c r="O1173" s="37">
        <f t="shared" ca="1" si="108"/>
        <v>0</v>
      </c>
      <c r="P1173" t="str">
        <f t="shared" ca="1" si="109"/>
        <v>Red</v>
      </c>
      <c r="Q1173" s="36">
        <f t="shared" ca="1" si="110"/>
        <v>-12</v>
      </c>
      <c r="R1173" s="36" t="str">
        <f>""</f>
        <v/>
      </c>
      <c r="S1173" s="36" t="str">
        <f>""</f>
        <v/>
      </c>
      <c r="T1173" s="36" t="str">
        <f>""</f>
        <v/>
      </c>
      <c r="U1173" s="36" t="str">
        <f>""</f>
        <v/>
      </c>
      <c r="V1173" s="36" t="str">
        <f>""</f>
        <v/>
      </c>
      <c r="W1173" s="36">
        <f t="shared" si="111"/>
        <v>1</v>
      </c>
      <c r="X1173" t="str">
        <f t="shared" si="112"/>
        <v>Inactive</v>
      </c>
      <c r="Y1173" t="str">
        <f>IF(MAIN!$H$3="Selected Year",IF(A1173=MAIN!$B$3,"Yes","No"),IF(MAIN!$H$3="Included Years",IF(D1173="Yes","Yes","No"),IF(C1173="Yes","Yes","No")))</f>
        <v>No</v>
      </c>
      <c r="Z1173" t="str">
        <f>IF(MAIN!$F$3="Project to Date",IF(AND(A1173&gt;=SETTINGS!$B$4,A1173&lt;MAIN!$B$3),"Yes",IF(AND(A1173=MAIN!$B$3,E1173&lt;=MAIN!$L$3),"Yes","No")),IF(OR(MAIN!$F$3="Full Year",MAIN!$D$3="All"),"Yes",IF(MAIN!$F$3="Monthly",IF(E1173=MAIN!$L$3,"Yes","No"),IF(E1173&lt;=MAIN!$L$3,"Yes","No"))))</f>
        <v>Yes</v>
      </c>
      <c r="AA1173" t="str">
        <f t="shared" si="113"/>
        <v>No</v>
      </c>
    </row>
    <row r="1174" spans="1:27" x14ac:dyDescent="0.3">
      <c r="A1174">
        <f>INDEX(SETTINGS!$A$15:$A$24,$B1174)</f>
        <v>2030</v>
      </c>
      <c r="B1174">
        <v>6</v>
      </c>
      <c r="C1174" t="str">
        <f>IF(AND(A1174&gt;=SETTINGS!$B$4,A1174&lt;=SETTINGS!$B$5),"Yes","No")</f>
        <v>No</v>
      </c>
      <c r="D1174" t="str">
        <f>IFERROR(INDEX(SETTINGS!$C$15:$C$24,MATCH(A1174,SETTINGS!$A$15:$A$24,0)),"No")</f>
        <v>No</v>
      </c>
      <c r="E1174">
        <v>2</v>
      </c>
      <c r="F1174" t="s">
        <v>35</v>
      </c>
      <c r="G1174">
        <v>48</v>
      </c>
      <c r="H1174" t="s">
        <v>107</v>
      </c>
      <c r="I1174" t="s">
        <v>22</v>
      </c>
      <c r="J1174" t="s">
        <v>27</v>
      </c>
      <c r="K1174" t="s">
        <v>3</v>
      </c>
      <c r="L1174" s="36">
        <f ca="1">IF(C1174&lt;&gt;"Yes",0,IF(A1174=2025,N('2025'!D48),IF(A1174=2026,N('2026'!D48),IF(A1174=2027,N('2027'!D48),IF(A1174=2028,N('2028'!D48),IF(A1174=2029,N('2029'!D48),IF(A1174=2030,N('2030'!D48),IF(A1174=2031,N('2031'!D48),IF(A1174=2032,N('2032'!D48),IF(A1174=2033,N('2033'!D48),IF(A1174=2034,N('2034'!D48),IFERROR(N(INDIRECT("'"&amp;A1174&amp;"'!D"&amp;G1174)),0))))))))))))</f>
        <v>0</v>
      </c>
      <c r="M1174" s="36">
        <f>IFERROR(IF(NOT(ISBLANK(KPI_TARGETS!$L$18)),KPI_TARGETS!$L$18,IF(NOT(ISBLANK(KPI_TARGETS!$F$18)),KPI_TARGETS!$F$18,"")),"")</f>
        <v>4</v>
      </c>
      <c r="N1174" s="36" t="str">
        <f>IFERROR(KPI_TARGETS!$E$18,"Higher is better")</f>
        <v>Higher is better</v>
      </c>
      <c r="O1174" s="37">
        <f t="shared" ca="1" si="108"/>
        <v>0</v>
      </c>
      <c r="P1174" t="str">
        <f t="shared" ca="1" si="109"/>
        <v>Red</v>
      </c>
      <c r="Q1174" s="36">
        <f t="shared" ca="1" si="110"/>
        <v>-4</v>
      </c>
      <c r="R1174" s="36" t="str">
        <f>""</f>
        <v/>
      </c>
      <c r="S1174" s="36" t="str">
        <f>""</f>
        <v/>
      </c>
      <c r="T1174" s="36" t="str">
        <f>""</f>
        <v/>
      </c>
      <c r="U1174" s="36" t="str">
        <f>""</f>
        <v/>
      </c>
      <c r="V1174" s="36" t="str">
        <f>""</f>
        <v/>
      </c>
      <c r="W1174" s="36">
        <f t="shared" si="111"/>
        <v>1</v>
      </c>
      <c r="X1174" t="str">
        <f t="shared" si="112"/>
        <v>Inactive</v>
      </c>
      <c r="Y1174" t="str">
        <f>IF(MAIN!$H$3="Selected Year",IF(A1174=MAIN!$B$3,"Yes","No"),IF(MAIN!$H$3="Included Years",IF(D1174="Yes","Yes","No"),IF(C1174="Yes","Yes","No")))</f>
        <v>No</v>
      </c>
      <c r="Z1174" t="str">
        <f>IF(MAIN!$F$3="Project to Date",IF(AND(A1174&gt;=SETTINGS!$B$4,A1174&lt;MAIN!$B$3),"Yes",IF(AND(A1174=MAIN!$B$3,E1174&lt;=MAIN!$L$3),"Yes","No")),IF(OR(MAIN!$F$3="Full Year",MAIN!$D$3="All"),"Yes",IF(MAIN!$F$3="Monthly",IF(E1174=MAIN!$L$3,"Yes","No"),IF(E1174&lt;=MAIN!$L$3,"Yes","No"))))</f>
        <v>Yes</v>
      </c>
      <c r="AA1174" t="str">
        <f t="shared" si="113"/>
        <v>No</v>
      </c>
    </row>
    <row r="1175" spans="1:27" x14ac:dyDescent="0.3">
      <c r="A1175">
        <f>INDEX(SETTINGS!$A$15:$A$24,$B1175)</f>
        <v>2030</v>
      </c>
      <c r="B1175">
        <v>6</v>
      </c>
      <c r="C1175" t="str">
        <f>IF(AND(A1175&gt;=SETTINGS!$B$4,A1175&lt;=SETTINGS!$B$5),"Yes","No")</f>
        <v>No</v>
      </c>
      <c r="D1175" t="str">
        <f>IFERROR(INDEX(SETTINGS!$C$15:$C$24,MATCH(A1175,SETTINGS!$A$15:$A$24,0)),"No")</f>
        <v>No</v>
      </c>
      <c r="E1175">
        <v>2</v>
      </c>
      <c r="F1175" t="s">
        <v>35</v>
      </c>
      <c r="G1175">
        <v>49</v>
      </c>
      <c r="H1175" t="s">
        <v>108</v>
      </c>
      <c r="I1175" t="s">
        <v>22</v>
      </c>
      <c r="J1175" t="s">
        <v>28</v>
      </c>
      <c r="K1175" t="s">
        <v>3</v>
      </c>
      <c r="L1175" s="36">
        <f ca="1">IF(C1175&lt;&gt;"Yes",0,IF(A1175=2025,N('2025'!D49),IF(A1175=2026,N('2026'!D49),IF(A1175=2027,N('2027'!D49),IF(A1175=2028,N('2028'!D49),IF(A1175=2029,N('2029'!D49),IF(A1175=2030,N('2030'!D49),IF(A1175=2031,N('2031'!D49),IF(A1175=2032,N('2032'!D49),IF(A1175=2033,N('2033'!D49),IF(A1175=2034,N('2034'!D49),IFERROR(N(INDIRECT("'"&amp;A1175&amp;"'!D"&amp;G1175)),0))))))))))))</f>
        <v>0</v>
      </c>
      <c r="M1175" s="36">
        <f>IFERROR(IF(NOT(ISBLANK(KPI_TARGETS!$L$19)),KPI_TARGETS!$L$19,IF(NOT(ISBLANK(KPI_TARGETS!$F$19)),KPI_TARGETS!$F$19,"")),"")</f>
        <v>16</v>
      </c>
      <c r="N1175" s="36" t="str">
        <f>IFERROR(KPI_TARGETS!$E$19,"Higher is better")</f>
        <v>Higher is better</v>
      </c>
      <c r="O1175" s="37">
        <f t="shared" ca="1" si="108"/>
        <v>0</v>
      </c>
      <c r="P1175" t="str">
        <f t="shared" ca="1" si="109"/>
        <v>Red</v>
      </c>
      <c r="Q1175" s="36">
        <f t="shared" ca="1" si="110"/>
        <v>-16</v>
      </c>
      <c r="R1175" s="36" t="str">
        <f>""</f>
        <v/>
      </c>
      <c r="S1175" s="36" t="str">
        <f>""</f>
        <v/>
      </c>
      <c r="T1175" s="36" t="str">
        <f>""</f>
        <v/>
      </c>
      <c r="U1175" s="36" t="str">
        <f>""</f>
        <v/>
      </c>
      <c r="V1175" s="36" t="str">
        <f>""</f>
        <v/>
      </c>
      <c r="W1175" s="36">
        <f t="shared" si="111"/>
        <v>1</v>
      </c>
      <c r="X1175" t="str">
        <f t="shared" si="112"/>
        <v>Inactive</v>
      </c>
      <c r="Y1175" t="str">
        <f>IF(MAIN!$H$3="Selected Year",IF(A1175=MAIN!$B$3,"Yes","No"),IF(MAIN!$H$3="Included Years",IF(D1175="Yes","Yes","No"),IF(C1175="Yes","Yes","No")))</f>
        <v>No</v>
      </c>
      <c r="Z1175" t="str">
        <f>IF(MAIN!$F$3="Project to Date",IF(AND(A1175&gt;=SETTINGS!$B$4,A1175&lt;MAIN!$B$3),"Yes",IF(AND(A1175=MAIN!$B$3,E1175&lt;=MAIN!$L$3),"Yes","No")),IF(OR(MAIN!$F$3="Full Year",MAIN!$D$3="All"),"Yes",IF(MAIN!$F$3="Monthly",IF(E1175=MAIN!$L$3,"Yes","No"),IF(E1175&lt;=MAIN!$L$3,"Yes","No"))))</f>
        <v>Yes</v>
      </c>
      <c r="AA1175" t="str">
        <f t="shared" si="113"/>
        <v>No</v>
      </c>
    </row>
    <row r="1176" spans="1:27" x14ac:dyDescent="0.3">
      <c r="A1176">
        <f>INDEX(SETTINGS!$A$15:$A$24,$B1176)</f>
        <v>2030</v>
      </c>
      <c r="B1176">
        <v>6</v>
      </c>
      <c r="C1176" t="str">
        <f>IF(AND(A1176&gt;=SETTINGS!$B$4,A1176&lt;=SETTINGS!$B$5),"Yes","No")</f>
        <v>No</v>
      </c>
      <c r="D1176" t="str">
        <f>IFERROR(INDEX(SETTINGS!$C$15:$C$24,MATCH(A1176,SETTINGS!$A$15:$A$24,0)),"No")</f>
        <v>No</v>
      </c>
      <c r="E1176">
        <v>2</v>
      </c>
      <c r="F1176" t="s">
        <v>35</v>
      </c>
      <c r="G1176">
        <v>50</v>
      </c>
      <c r="H1176" t="s">
        <v>109</v>
      </c>
      <c r="I1176" t="s">
        <v>22</v>
      </c>
      <c r="J1176" t="s">
        <v>29</v>
      </c>
      <c r="K1176" t="s">
        <v>3</v>
      </c>
      <c r="L1176" s="36">
        <f ca="1">IF(C1176&lt;&gt;"Yes",0,IF(A1176=2025,N('2025'!D50),IF(A1176=2026,N('2026'!D50),IF(A1176=2027,N('2027'!D50),IF(A1176=2028,N('2028'!D50),IF(A1176=2029,N('2029'!D50),IF(A1176=2030,N('2030'!D50),IF(A1176=2031,N('2031'!D50),IF(A1176=2032,N('2032'!D50),IF(A1176=2033,N('2033'!D50),IF(A1176=2034,N('2034'!D50),IFERROR(N(INDIRECT("'"&amp;A1176&amp;"'!D"&amp;G1176)),0))))))))))))</f>
        <v>0</v>
      </c>
      <c r="M1176" s="36">
        <f>IFERROR(IF(NOT(ISBLANK(KPI_TARGETS!$L$20)),KPI_TARGETS!$L$20,IF(NOT(ISBLANK(KPI_TARGETS!$F$20)),KPI_TARGETS!$F$20,"")),"")</f>
        <v>1</v>
      </c>
      <c r="N1176" s="36" t="str">
        <f>IFERROR(KPI_TARGETS!$E$20,"Higher is better")</f>
        <v>Higher is better</v>
      </c>
      <c r="O1176" s="37">
        <f t="shared" ca="1" si="108"/>
        <v>0</v>
      </c>
      <c r="P1176" t="str">
        <f t="shared" ca="1" si="109"/>
        <v>Red</v>
      </c>
      <c r="Q1176" s="36">
        <f t="shared" ca="1" si="110"/>
        <v>-1</v>
      </c>
      <c r="R1176" s="36" t="str">
        <f>""</f>
        <v/>
      </c>
      <c r="S1176" s="36" t="str">
        <f>""</f>
        <v/>
      </c>
      <c r="T1176" s="36" t="str">
        <f>""</f>
        <v/>
      </c>
      <c r="U1176" s="36" t="str">
        <f>""</f>
        <v/>
      </c>
      <c r="V1176" s="36" t="str">
        <f>""</f>
        <v/>
      </c>
      <c r="W1176" s="36">
        <f t="shared" si="111"/>
        <v>1</v>
      </c>
      <c r="X1176" t="str">
        <f t="shared" si="112"/>
        <v>Inactive</v>
      </c>
      <c r="Y1176" t="str">
        <f>IF(MAIN!$H$3="Selected Year",IF(A1176=MAIN!$B$3,"Yes","No"),IF(MAIN!$H$3="Included Years",IF(D1176="Yes","Yes","No"),IF(C1176="Yes","Yes","No")))</f>
        <v>No</v>
      </c>
      <c r="Z1176" t="str">
        <f>IF(MAIN!$F$3="Project to Date",IF(AND(A1176&gt;=SETTINGS!$B$4,A1176&lt;MAIN!$B$3),"Yes",IF(AND(A1176=MAIN!$B$3,E1176&lt;=MAIN!$L$3),"Yes","No")),IF(OR(MAIN!$F$3="Full Year",MAIN!$D$3="All"),"Yes",IF(MAIN!$F$3="Monthly",IF(E1176=MAIN!$L$3,"Yes","No"),IF(E1176&lt;=MAIN!$L$3,"Yes","No"))))</f>
        <v>Yes</v>
      </c>
      <c r="AA1176" t="str">
        <f t="shared" si="113"/>
        <v>No</v>
      </c>
    </row>
    <row r="1177" spans="1:27" x14ac:dyDescent="0.3">
      <c r="A1177">
        <f>INDEX(SETTINGS!$A$15:$A$24,$B1177)</f>
        <v>2030</v>
      </c>
      <c r="B1177">
        <v>6</v>
      </c>
      <c r="C1177" t="str">
        <f>IF(AND(A1177&gt;=SETTINGS!$B$4,A1177&lt;=SETTINGS!$B$5),"Yes","No")</f>
        <v>No</v>
      </c>
      <c r="D1177" t="str">
        <f>IFERROR(INDEX(SETTINGS!$C$15:$C$24,MATCH(A1177,SETTINGS!$A$15:$A$24,0)),"No")</f>
        <v>No</v>
      </c>
      <c r="E1177">
        <v>2</v>
      </c>
      <c r="F1177" t="s">
        <v>35</v>
      </c>
      <c r="G1177">
        <v>52</v>
      </c>
      <c r="H1177" t="s">
        <v>110</v>
      </c>
      <c r="I1177" t="s">
        <v>30</v>
      </c>
      <c r="J1177" t="s">
        <v>31</v>
      </c>
      <c r="K1177" t="s">
        <v>3</v>
      </c>
      <c r="L1177" s="36">
        <f ca="1">IF(C1177&lt;&gt;"Yes",0,IF(A1177=2025,N('2025'!D52),IF(A1177=2026,N('2026'!D52),IF(A1177=2027,N('2027'!D52),IF(A1177=2028,N('2028'!D52),IF(A1177=2029,N('2029'!D52),IF(A1177=2030,N('2030'!D52),IF(A1177=2031,N('2031'!D52),IF(A1177=2032,N('2032'!D52),IF(A1177=2033,N('2033'!D52),IF(A1177=2034,N('2034'!D52),IFERROR(N(INDIRECT("'"&amp;A1177&amp;"'!D"&amp;G1177)),0))))))))))))</f>
        <v>0</v>
      </c>
      <c r="M1177" s="36">
        <f>IFERROR(IF(NOT(ISBLANK(KPI_TARGETS!$L$21)),KPI_TARGETS!$L$21,IF(NOT(ISBLANK(KPI_TARGETS!$F$21)),KPI_TARGETS!$F$21,"")),"")</f>
        <v>0</v>
      </c>
      <c r="N1177" s="36" t="str">
        <f>IFERROR(KPI_TARGETS!$E$21,"Higher is better")</f>
        <v>Lower is better</v>
      </c>
      <c r="O1177" s="37">
        <f t="shared" ca="1" si="108"/>
        <v>1</v>
      </c>
      <c r="P1177" t="str">
        <f t="shared" ca="1" si="109"/>
        <v>Green</v>
      </c>
      <c r="Q1177" s="36">
        <f t="shared" ca="1" si="110"/>
        <v>0</v>
      </c>
      <c r="R1177" s="36" t="str">
        <f>""</f>
        <v/>
      </c>
      <c r="S1177" s="36" t="str">
        <f>""</f>
        <v/>
      </c>
      <c r="T1177" s="36" t="str">
        <f>""</f>
        <v/>
      </c>
      <c r="U1177" s="36" t="str">
        <f>""</f>
        <v/>
      </c>
      <c r="V1177" s="36" t="str">
        <f>""</f>
        <v/>
      </c>
      <c r="W1177" s="36">
        <f t="shared" si="111"/>
        <v>1</v>
      </c>
      <c r="X1177" t="str">
        <f t="shared" si="112"/>
        <v>Inactive</v>
      </c>
      <c r="Y1177" t="str">
        <f>IF(MAIN!$H$3="Selected Year",IF(A1177=MAIN!$B$3,"Yes","No"),IF(MAIN!$H$3="Included Years",IF(D1177="Yes","Yes","No"),IF(C1177="Yes","Yes","No")))</f>
        <v>No</v>
      </c>
      <c r="Z1177" t="str">
        <f>IF(MAIN!$F$3="Project to Date",IF(AND(A1177&gt;=SETTINGS!$B$4,A1177&lt;MAIN!$B$3),"Yes",IF(AND(A1177=MAIN!$B$3,E1177&lt;=MAIN!$L$3),"Yes","No")),IF(OR(MAIN!$F$3="Full Year",MAIN!$D$3="All"),"Yes",IF(MAIN!$F$3="Monthly",IF(E1177=MAIN!$L$3,"Yes","No"),IF(E1177&lt;=MAIN!$L$3,"Yes","No"))))</f>
        <v>Yes</v>
      </c>
      <c r="AA1177" t="str">
        <f t="shared" si="113"/>
        <v>No</v>
      </c>
    </row>
    <row r="1178" spans="1:27" x14ac:dyDescent="0.3">
      <c r="A1178">
        <f>INDEX(SETTINGS!$A$15:$A$24,$B1178)</f>
        <v>2030</v>
      </c>
      <c r="B1178">
        <v>6</v>
      </c>
      <c r="C1178" t="str">
        <f>IF(AND(A1178&gt;=SETTINGS!$B$4,A1178&lt;=SETTINGS!$B$5),"Yes","No")</f>
        <v>No</v>
      </c>
      <c r="D1178" t="str">
        <f>IFERROR(INDEX(SETTINGS!$C$15:$C$24,MATCH(A1178,SETTINGS!$A$15:$A$24,0)),"No")</f>
        <v>No</v>
      </c>
      <c r="E1178">
        <v>2</v>
      </c>
      <c r="F1178" t="s">
        <v>35</v>
      </c>
      <c r="G1178">
        <v>53</v>
      </c>
      <c r="H1178" t="s">
        <v>111</v>
      </c>
      <c r="I1178" t="s">
        <v>30</v>
      </c>
      <c r="J1178" t="s">
        <v>32</v>
      </c>
      <c r="K1178" t="s">
        <v>3</v>
      </c>
      <c r="L1178" s="36">
        <f ca="1">IF(C1178&lt;&gt;"Yes",0,IF(A1178=2025,N('2025'!D53),IF(A1178=2026,N('2026'!D53),IF(A1178=2027,N('2027'!D53),IF(A1178=2028,N('2028'!D53),IF(A1178=2029,N('2029'!D53),IF(A1178=2030,N('2030'!D53),IF(A1178=2031,N('2031'!D53),IF(A1178=2032,N('2032'!D53),IF(A1178=2033,N('2033'!D53),IF(A1178=2034,N('2034'!D53),IFERROR(N(INDIRECT("'"&amp;A1178&amp;"'!D"&amp;G1178)),0))))))))))))</f>
        <v>0</v>
      </c>
      <c r="M1178" s="36">
        <f>IFERROR(IF(NOT(ISBLANK(KPI_TARGETS!$L$22)),KPI_TARGETS!$L$22,IF(NOT(ISBLANK(KPI_TARGETS!$F$22)),KPI_TARGETS!$F$22,"")),"")</f>
        <v>1</v>
      </c>
      <c r="N1178" s="36" t="str">
        <f>IFERROR(KPI_TARGETS!$E$22,"Higher is better")</f>
        <v>Higher is better</v>
      </c>
      <c r="O1178" s="37">
        <f t="shared" ca="1" si="108"/>
        <v>0</v>
      </c>
      <c r="P1178" t="str">
        <f t="shared" ca="1" si="109"/>
        <v>Red</v>
      </c>
      <c r="Q1178" s="36">
        <f t="shared" ca="1" si="110"/>
        <v>-1</v>
      </c>
      <c r="R1178" s="36" t="str">
        <f>""</f>
        <v/>
      </c>
      <c r="S1178" s="36" t="str">
        <f>""</f>
        <v/>
      </c>
      <c r="T1178" s="36" t="str">
        <f>""</f>
        <v/>
      </c>
      <c r="U1178" s="36" t="str">
        <f>""</f>
        <v/>
      </c>
      <c r="V1178" s="36" t="str">
        <f>""</f>
        <v/>
      </c>
      <c r="W1178" s="36">
        <f t="shared" si="111"/>
        <v>1</v>
      </c>
      <c r="X1178" t="str">
        <f t="shared" si="112"/>
        <v>Inactive</v>
      </c>
      <c r="Y1178" t="str">
        <f>IF(MAIN!$H$3="Selected Year",IF(A1178=MAIN!$B$3,"Yes","No"),IF(MAIN!$H$3="Included Years",IF(D1178="Yes","Yes","No"),IF(C1178="Yes","Yes","No")))</f>
        <v>No</v>
      </c>
      <c r="Z1178" t="str">
        <f>IF(MAIN!$F$3="Project to Date",IF(AND(A1178&gt;=SETTINGS!$B$4,A1178&lt;MAIN!$B$3),"Yes",IF(AND(A1178=MAIN!$B$3,E1178&lt;=MAIN!$L$3),"Yes","No")),IF(OR(MAIN!$F$3="Full Year",MAIN!$D$3="All"),"Yes",IF(MAIN!$F$3="Monthly",IF(E1178=MAIN!$L$3,"Yes","No"),IF(E1178&lt;=MAIN!$L$3,"Yes","No"))))</f>
        <v>Yes</v>
      </c>
      <c r="AA1178" t="str">
        <f t="shared" si="113"/>
        <v>No</v>
      </c>
    </row>
    <row r="1179" spans="1:27" x14ac:dyDescent="0.3">
      <c r="A1179">
        <f>INDEX(SETTINGS!$A$15:$A$24,$B1179)</f>
        <v>2030</v>
      </c>
      <c r="B1179">
        <v>6</v>
      </c>
      <c r="C1179" t="str">
        <f>IF(AND(A1179&gt;=SETTINGS!$B$4,A1179&lt;=SETTINGS!$B$5),"Yes","No")</f>
        <v>No</v>
      </c>
      <c r="D1179" t="str">
        <f>IFERROR(INDEX(SETTINGS!$C$15:$C$24,MATCH(A1179,SETTINGS!$A$15:$A$24,0)),"No")</f>
        <v>No</v>
      </c>
      <c r="E1179">
        <v>2</v>
      </c>
      <c r="F1179" t="s">
        <v>35</v>
      </c>
      <c r="G1179">
        <v>54</v>
      </c>
      <c r="H1179" t="s">
        <v>112</v>
      </c>
      <c r="I1179" t="s">
        <v>30</v>
      </c>
      <c r="J1179" t="s">
        <v>33</v>
      </c>
      <c r="K1179" t="s">
        <v>34</v>
      </c>
      <c r="L1179" s="36">
        <f ca="1">IF(C1179&lt;&gt;"Yes",0,IF(A1179=2025,N('2025'!D54),IF(A1179=2026,N('2026'!D54),IF(A1179=2027,N('2027'!D54),IF(A1179=2028,N('2028'!D54),IF(A1179=2029,N('2029'!D54),IF(A1179=2030,N('2030'!D54),IF(A1179=2031,N('2031'!D54),IF(A1179=2032,N('2032'!D54),IF(A1179=2033,N('2033'!D54),IF(A1179=2034,N('2034'!D54),IFERROR(N(INDIRECT("'"&amp;A1179&amp;"'!D"&amp;G1179)),0))))))))))))</f>
        <v>0</v>
      </c>
      <c r="M1179" s="36">
        <f>IFERROR(IF(NOT(ISBLANK(KPI_TARGETS!$L$23)),KPI_TARGETS!$L$23,IF(NOT(ISBLANK(KPI_TARGETS!$F$23)),KPI_TARGETS!$F$23,"")),"")</f>
        <v>1</v>
      </c>
      <c r="N1179" s="36" t="str">
        <f>IFERROR(KPI_TARGETS!$E$23,"Higher is better")</f>
        <v>Higher is better</v>
      </c>
      <c r="O1179" s="37">
        <f t="shared" ca="1" si="108"/>
        <v>0</v>
      </c>
      <c r="P1179" t="str">
        <f t="shared" ca="1" si="109"/>
        <v>Red</v>
      </c>
      <c r="Q1179" s="36">
        <f t="shared" ca="1" si="110"/>
        <v>-1</v>
      </c>
      <c r="R1179" s="36" t="str">
        <f>""</f>
        <v/>
      </c>
      <c r="S1179" s="36" t="str">
        <f>""</f>
        <v/>
      </c>
      <c r="T1179" s="36" t="str">
        <f>""</f>
        <v/>
      </c>
      <c r="U1179" s="36" t="str">
        <f>""</f>
        <v/>
      </c>
      <c r="V1179" s="36" t="str">
        <f>""</f>
        <v/>
      </c>
      <c r="W1179" s="36">
        <f t="shared" si="111"/>
        <v>1</v>
      </c>
      <c r="X1179" t="str">
        <f t="shared" si="112"/>
        <v>Inactive</v>
      </c>
      <c r="Y1179" t="str">
        <f>IF(MAIN!$H$3="Selected Year",IF(A1179=MAIN!$B$3,"Yes","No"),IF(MAIN!$H$3="Included Years",IF(D1179="Yes","Yes","No"),IF(C1179="Yes","Yes","No")))</f>
        <v>No</v>
      </c>
      <c r="Z1179" t="str">
        <f>IF(MAIN!$F$3="Project to Date",IF(AND(A1179&gt;=SETTINGS!$B$4,A1179&lt;MAIN!$B$3),"Yes",IF(AND(A1179=MAIN!$B$3,E1179&lt;=MAIN!$L$3),"Yes","No")),IF(OR(MAIN!$F$3="Full Year",MAIN!$D$3="All"),"Yes",IF(MAIN!$F$3="Monthly",IF(E1179=MAIN!$L$3,"Yes","No"),IF(E1179&lt;=MAIN!$L$3,"Yes","No"))))</f>
        <v>Yes</v>
      </c>
      <c r="AA1179" t="str">
        <f t="shared" si="113"/>
        <v>No</v>
      </c>
    </row>
    <row r="1180" spans="1:27" x14ac:dyDescent="0.3">
      <c r="A1180">
        <f>INDEX(SETTINGS!$A$15:$A$24,$B1180)</f>
        <v>2030</v>
      </c>
      <c r="B1180">
        <v>6</v>
      </c>
      <c r="C1180" t="str">
        <f>IF(AND(A1180&gt;=SETTINGS!$B$4,A1180&lt;=SETTINGS!$B$5),"Yes","No")</f>
        <v>No</v>
      </c>
      <c r="D1180" t="str">
        <f>IFERROR(INDEX(SETTINGS!$C$15:$C$24,MATCH(A1180,SETTINGS!$A$15:$A$24,0)),"No")</f>
        <v>No</v>
      </c>
      <c r="E1180">
        <v>3</v>
      </c>
      <c r="F1180" t="s">
        <v>36</v>
      </c>
      <c r="G1180">
        <v>57</v>
      </c>
      <c r="H1180" t="s">
        <v>88</v>
      </c>
      <c r="I1180" t="s">
        <v>89</v>
      </c>
      <c r="J1180" t="s">
        <v>10</v>
      </c>
      <c r="K1180" t="s">
        <v>3</v>
      </c>
      <c r="L1180" s="36">
        <f ca="1">IF(C1180&lt;&gt;"Yes",0,IF(A1180=2025,N('2025'!D57),IF(A1180=2026,N('2026'!D57),IF(A1180=2027,N('2027'!D57),IF(A1180=2028,N('2028'!D57),IF(A1180=2029,N('2029'!D57),IF(A1180=2030,N('2030'!D57),IF(A1180=2031,N('2031'!D57),IF(A1180=2032,N('2032'!D57),IF(A1180=2033,N('2033'!D57),IF(A1180=2034,N('2034'!D57),IFERROR(N(INDIRECT("'"&amp;A1180&amp;"'!D"&amp;G1180)),0))))))))))))</f>
        <v>0</v>
      </c>
      <c r="M1180" s="36">
        <f>IFERROR(IF(NOT(ISBLANK(KPI_TARGETS!$L$5)),KPI_TARGETS!$L$5,IF(NOT(ISBLANK(KPI_TARGETS!$F$5)),KPI_TARGETS!$F$5,"")),"")</f>
        <v>104</v>
      </c>
      <c r="N1180" s="36" t="str">
        <f>IFERROR(KPI_TARGETS!$E$5,"Higher is better")</f>
        <v>Higher is better</v>
      </c>
      <c r="O1180" s="37">
        <f t="shared" ca="1" si="108"/>
        <v>0</v>
      </c>
      <c r="P1180" t="str">
        <f t="shared" ca="1" si="109"/>
        <v>Red</v>
      </c>
      <c r="Q1180" s="36">
        <f t="shared" ca="1" si="110"/>
        <v>-104</v>
      </c>
      <c r="R1180" s="36" t="str">
        <f>""</f>
        <v/>
      </c>
      <c r="S1180" s="36" t="str">
        <f>""</f>
        <v/>
      </c>
      <c r="T1180" s="36" t="str">
        <f>""</f>
        <v/>
      </c>
      <c r="U1180" s="36" t="str">
        <f>""</f>
        <v/>
      </c>
      <c r="V1180" s="36" t="str">
        <f>""</f>
        <v/>
      </c>
      <c r="W1180" s="36">
        <f t="shared" si="111"/>
        <v>1</v>
      </c>
      <c r="X1180" t="str">
        <f t="shared" si="112"/>
        <v>Inactive</v>
      </c>
      <c r="Y1180" t="str">
        <f>IF(MAIN!$H$3="Selected Year",IF(A1180=MAIN!$B$3,"Yes","No"),IF(MAIN!$H$3="Included Years",IF(D1180="Yes","Yes","No"),IF(C1180="Yes","Yes","No")))</f>
        <v>No</v>
      </c>
      <c r="Z1180" t="str">
        <f>IF(MAIN!$F$3="Project to Date",IF(AND(A1180&gt;=SETTINGS!$B$4,A1180&lt;MAIN!$B$3),"Yes",IF(AND(A1180=MAIN!$B$3,E1180&lt;=MAIN!$L$3),"Yes","No")),IF(OR(MAIN!$F$3="Full Year",MAIN!$D$3="All"),"Yes",IF(MAIN!$F$3="Monthly",IF(E1180=MAIN!$L$3,"Yes","No"),IF(E1180&lt;=MAIN!$L$3,"Yes","No"))))</f>
        <v>Yes</v>
      </c>
      <c r="AA1180" t="str">
        <f t="shared" si="113"/>
        <v>No</v>
      </c>
    </row>
    <row r="1181" spans="1:27" x14ac:dyDescent="0.3">
      <c r="A1181">
        <f>INDEX(SETTINGS!$A$15:$A$24,$B1181)</f>
        <v>2030</v>
      </c>
      <c r="B1181">
        <v>6</v>
      </c>
      <c r="C1181" t="str">
        <f>IF(AND(A1181&gt;=SETTINGS!$B$4,A1181&lt;=SETTINGS!$B$5),"Yes","No")</f>
        <v>No</v>
      </c>
      <c r="D1181" t="str">
        <f>IFERROR(INDEX(SETTINGS!$C$15:$C$24,MATCH(A1181,SETTINGS!$A$15:$A$24,0)),"No")</f>
        <v>No</v>
      </c>
      <c r="E1181">
        <v>3</v>
      </c>
      <c r="F1181" t="s">
        <v>36</v>
      </c>
      <c r="G1181">
        <v>58</v>
      </c>
      <c r="H1181" t="s">
        <v>91</v>
      </c>
      <c r="I1181" t="s">
        <v>89</v>
      </c>
      <c r="J1181" t="s">
        <v>11</v>
      </c>
      <c r="K1181" t="s">
        <v>12</v>
      </c>
      <c r="L1181" s="36">
        <f ca="1">IF(C1181&lt;&gt;"Yes",0,IF(A1181=2025,N('2025'!D58),IF(A1181=2026,N('2026'!D58),IF(A1181=2027,N('2027'!D58),IF(A1181=2028,N('2028'!D58),IF(A1181=2029,N('2029'!D58),IF(A1181=2030,N('2030'!D58),IF(A1181=2031,N('2031'!D58),IF(A1181=2032,N('2032'!D58),IF(A1181=2033,N('2033'!D58),IF(A1181=2034,N('2034'!D58),IFERROR(N(INDIRECT("'"&amp;A1181&amp;"'!D"&amp;G1181)),0))))))))))))</f>
        <v>0</v>
      </c>
      <c r="M1181" s="36">
        <f>IFERROR(IF(NOT(ISBLANK(KPI_TARGETS!$L$6)),KPI_TARGETS!$L$6,IF(NOT(ISBLANK(KPI_TARGETS!$F$6)),KPI_TARGETS!$F$6,"")),"")</f>
        <v>4000</v>
      </c>
      <c r="N1181" s="36" t="str">
        <f>IFERROR(KPI_TARGETS!$E$6,"Higher is better")</f>
        <v>Higher is better</v>
      </c>
      <c r="O1181" s="37">
        <f t="shared" ca="1" si="108"/>
        <v>0</v>
      </c>
      <c r="P1181" t="str">
        <f t="shared" ca="1" si="109"/>
        <v>Red</v>
      </c>
      <c r="Q1181" s="36">
        <f t="shared" ca="1" si="110"/>
        <v>-4000</v>
      </c>
      <c r="R1181" s="36" t="str">
        <f>""</f>
        <v/>
      </c>
      <c r="S1181" s="36" t="str">
        <f>""</f>
        <v/>
      </c>
      <c r="T1181" s="36" t="str">
        <f>""</f>
        <v/>
      </c>
      <c r="U1181" s="36" t="str">
        <f>""</f>
        <v/>
      </c>
      <c r="V1181" s="36" t="str">
        <f>""</f>
        <v/>
      </c>
      <c r="W1181" s="36">
        <f t="shared" si="111"/>
        <v>1</v>
      </c>
      <c r="X1181" t="str">
        <f t="shared" si="112"/>
        <v>Inactive</v>
      </c>
      <c r="Y1181" t="str">
        <f>IF(MAIN!$H$3="Selected Year",IF(A1181=MAIN!$B$3,"Yes","No"),IF(MAIN!$H$3="Included Years",IF(D1181="Yes","Yes","No"),IF(C1181="Yes","Yes","No")))</f>
        <v>No</v>
      </c>
      <c r="Z1181" t="str">
        <f>IF(MAIN!$F$3="Project to Date",IF(AND(A1181&gt;=SETTINGS!$B$4,A1181&lt;MAIN!$B$3),"Yes",IF(AND(A1181=MAIN!$B$3,E1181&lt;=MAIN!$L$3),"Yes","No")),IF(OR(MAIN!$F$3="Full Year",MAIN!$D$3="All"),"Yes",IF(MAIN!$F$3="Monthly",IF(E1181=MAIN!$L$3,"Yes","No"),IF(E1181&lt;=MAIN!$L$3,"Yes","No"))))</f>
        <v>Yes</v>
      </c>
      <c r="AA1181" t="str">
        <f t="shared" si="113"/>
        <v>No</v>
      </c>
    </row>
    <row r="1182" spans="1:27" x14ac:dyDescent="0.3">
      <c r="A1182">
        <f>INDEX(SETTINGS!$A$15:$A$24,$B1182)</f>
        <v>2030</v>
      </c>
      <c r="B1182">
        <v>6</v>
      </c>
      <c r="C1182" t="str">
        <f>IF(AND(A1182&gt;=SETTINGS!$B$4,A1182&lt;=SETTINGS!$B$5),"Yes","No")</f>
        <v>No</v>
      </c>
      <c r="D1182" t="str">
        <f>IFERROR(INDEX(SETTINGS!$C$15:$C$24,MATCH(A1182,SETTINGS!$A$15:$A$24,0)),"No")</f>
        <v>No</v>
      </c>
      <c r="E1182">
        <v>3</v>
      </c>
      <c r="F1182" t="s">
        <v>36</v>
      </c>
      <c r="G1182">
        <v>59</v>
      </c>
      <c r="H1182" t="s">
        <v>93</v>
      </c>
      <c r="I1182" t="s">
        <v>89</v>
      </c>
      <c r="J1182" t="s">
        <v>13</v>
      </c>
      <c r="K1182" t="s">
        <v>14</v>
      </c>
      <c r="L1182" s="36">
        <f ca="1">IF(C1182&lt;&gt;"Yes",0,IF(A1182=2025,N('2025'!D59),IF(A1182=2026,N('2026'!D59),IF(A1182=2027,N('2027'!D59),IF(A1182=2028,N('2028'!D59),IF(A1182=2029,N('2029'!D59),IF(A1182=2030,N('2030'!D59),IF(A1182=2031,N('2031'!D59),IF(A1182=2032,N('2032'!D59),IF(A1182=2033,N('2033'!D59),IF(A1182=2034,N('2034'!D59),IFERROR(N(INDIRECT("'"&amp;A1182&amp;"'!D"&amp;G1182)),0))))))))))))</f>
        <v>0</v>
      </c>
      <c r="M1182" s="36">
        <f>IFERROR(IF(NOT(ISBLANK(KPI_TARGETS!$L$7)),KPI_TARGETS!$L$7,IF(NOT(ISBLANK(KPI_TARGETS!$F$7)),KPI_TARGETS!$F$7,"")),"")</f>
        <v>8000</v>
      </c>
      <c r="N1182" s="36" t="str">
        <f>IFERROR(KPI_TARGETS!$E$7,"Higher is better")</f>
        <v>Higher is better</v>
      </c>
      <c r="O1182" s="37">
        <f t="shared" ca="1" si="108"/>
        <v>0</v>
      </c>
      <c r="P1182" t="str">
        <f t="shared" ca="1" si="109"/>
        <v>Red</v>
      </c>
      <c r="Q1182" s="36">
        <f t="shared" ca="1" si="110"/>
        <v>-8000</v>
      </c>
      <c r="R1182" s="36" t="str">
        <f>""</f>
        <v/>
      </c>
      <c r="S1182" s="36" t="str">
        <f>""</f>
        <v/>
      </c>
      <c r="T1182" s="36" t="str">
        <f>""</f>
        <v/>
      </c>
      <c r="U1182" s="36" t="str">
        <f>""</f>
        <v/>
      </c>
      <c r="V1182" s="36" t="str">
        <f>""</f>
        <v/>
      </c>
      <c r="W1182" s="36">
        <f t="shared" si="111"/>
        <v>1</v>
      </c>
      <c r="X1182" t="str">
        <f t="shared" si="112"/>
        <v>Inactive</v>
      </c>
      <c r="Y1182" t="str">
        <f>IF(MAIN!$H$3="Selected Year",IF(A1182=MAIN!$B$3,"Yes","No"),IF(MAIN!$H$3="Included Years",IF(D1182="Yes","Yes","No"),IF(C1182="Yes","Yes","No")))</f>
        <v>No</v>
      </c>
      <c r="Z1182" t="str">
        <f>IF(MAIN!$F$3="Project to Date",IF(AND(A1182&gt;=SETTINGS!$B$4,A1182&lt;MAIN!$B$3),"Yes",IF(AND(A1182=MAIN!$B$3,E1182&lt;=MAIN!$L$3),"Yes","No")),IF(OR(MAIN!$F$3="Full Year",MAIN!$D$3="All"),"Yes",IF(MAIN!$F$3="Monthly",IF(E1182=MAIN!$L$3,"Yes","No"),IF(E1182&lt;=MAIN!$L$3,"Yes","No"))))</f>
        <v>Yes</v>
      </c>
      <c r="AA1182" t="str">
        <f t="shared" si="113"/>
        <v>No</v>
      </c>
    </row>
    <row r="1183" spans="1:27" x14ac:dyDescent="0.3">
      <c r="A1183">
        <f>INDEX(SETTINGS!$A$15:$A$24,$B1183)</f>
        <v>2030</v>
      </c>
      <c r="B1183">
        <v>6</v>
      </c>
      <c r="C1183" t="str">
        <f>IF(AND(A1183&gt;=SETTINGS!$B$4,A1183&lt;=SETTINGS!$B$5),"Yes","No")</f>
        <v>No</v>
      </c>
      <c r="D1183" t="str">
        <f>IFERROR(INDEX(SETTINGS!$C$15:$C$24,MATCH(A1183,SETTINGS!$A$15:$A$24,0)),"No")</f>
        <v>No</v>
      </c>
      <c r="E1183">
        <v>3</v>
      </c>
      <c r="F1183" t="s">
        <v>36</v>
      </c>
      <c r="G1183">
        <v>61</v>
      </c>
      <c r="H1183" t="s">
        <v>95</v>
      </c>
      <c r="I1183" t="s">
        <v>15</v>
      </c>
      <c r="J1183" t="s">
        <v>16</v>
      </c>
      <c r="K1183" t="s">
        <v>3</v>
      </c>
      <c r="L1183" s="36">
        <f ca="1">IF(C1183&lt;&gt;"Yes",0,IF(A1183=2025,N('2025'!D61),IF(A1183=2026,N('2026'!D61),IF(A1183=2027,N('2027'!D61),IF(A1183=2028,N('2028'!D61),IF(A1183=2029,N('2029'!D61),IF(A1183=2030,N('2030'!D61),IF(A1183=2031,N('2031'!D61),IF(A1183=2032,N('2032'!D61),IF(A1183=2033,N('2033'!D61),IF(A1183=2034,N('2034'!D61),IFERROR(N(INDIRECT("'"&amp;A1183&amp;"'!D"&amp;G1183)),0))))))))))))</f>
        <v>0</v>
      </c>
      <c r="M1183" s="36">
        <f>IFERROR(IF(NOT(ISBLANK(KPI_TARGETS!$L$8)),KPI_TARGETS!$L$8,IF(NOT(ISBLANK(KPI_TARGETS!$F$8)),KPI_TARGETS!$F$8,"")),"")</f>
        <v>0</v>
      </c>
      <c r="N1183" s="36" t="str">
        <f>IFERROR(KPI_TARGETS!$E$8,"Higher is better")</f>
        <v>Lower is better</v>
      </c>
      <c r="O1183" s="37">
        <f t="shared" ca="1" si="108"/>
        <v>1</v>
      </c>
      <c r="P1183" t="str">
        <f t="shared" ca="1" si="109"/>
        <v>Green</v>
      </c>
      <c r="Q1183" s="36">
        <f t="shared" ca="1" si="110"/>
        <v>0</v>
      </c>
      <c r="R1183" s="36" t="str">
        <f>""</f>
        <v/>
      </c>
      <c r="S1183" s="36" t="str">
        <f>""</f>
        <v/>
      </c>
      <c r="T1183" s="36" t="str">
        <f>""</f>
        <v/>
      </c>
      <c r="U1183" s="36" t="str">
        <f>""</f>
        <v/>
      </c>
      <c r="V1183" s="36" t="str">
        <f>""</f>
        <v/>
      </c>
      <c r="W1183" s="36">
        <f t="shared" si="111"/>
        <v>1</v>
      </c>
      <c r="X1183" t="str">
        <f t="shared" si="112"/>
        <v>Inactive</v>
      </c>
      <c r="Y1183" t="str">
        <f>IF(MAIN!$H$3="Selected Year",IF(A1183=MAIN!$B$3,"Yes","No"),IF(MAIN!$H$3="Included Years",IF(D1183="Yes","Yes","No"),IF(C1183="Yes","Yes","No")))</f>
        <v>No</v>
      </c>
      <c r="Z1183" t="str">
        <f>IF(MAIN!$F$3="Project to Date",IF(AND(A1183&gt;=SETTINGS!$B$4,A1183&lt;MAIN!$B$3),"Yes",IF(AND(A1183=MAIN!$B$3,E1183&lt;=MAIN!$L$3),"Yes","No")),IF(OR(MAIN!$F$3="Full Year",MAIN!$D$3="All"),"Yes",IF(MAIN!$F$3="Monthly",IF(E1183=MAIN!$L$3,"Yes","No"),IF(E1183&lt;=MAIN!$L$3,"Yes","No"))))</f>
        <v>Yes</v>
      </c>
      <c r="AA1183" t="str">
        <f t="shared" si="113"/>
        <v>No</v>
      </c>
    </row>
    <row r="1184" spans="1:27" x14ac:dyDescent="0.3">
      <c r="A1184">
        <f>INDEX(SETTINGS!$A$15:$A$24,$B1184)</f>
        <v>2030</v>
      </c>
      <c r="B1184">
        <v>6</v>
      </c>
      <c r="C1184" t="str">
        <f>IF(AND(A1184&gt;=SETTINGS!$B$4,A1184&lt;=SETTINGS!$B$5),"Yes","No")</f>
        <v>No</v>
      </c>
      <c r="D1184" t="str">
        <f>IFERROR(INDEX(SETTINGS!$C$15:$C$24,MATCH(A1184,SETTINGS!$A$15:$A$24,0)),"No")</f>
        <v>No</v>
      </c>
      <c r="E1184">
        <v>3</v>
      </c>
      <c r="F1184" t="s">
        <v>36</v>
      </c>
      <c r="G1184">
        <v>62</v>
      </c>
      <c r="H1184" t="s">
        <v>97</v>
      </c>
      <c r="I1184" t="s">
        <v>15</v>
      </c>
      <c r="J1184" t="s">
        <v>17</v>
      </c>
      <c r="K1184" t="s">
        <v>3</v>
      </c>
      <c r="L1184" s="36">
        <f ca="1">IF(C1184&lt;&gt;"Yes",0,IF(A1184=2025,N('2025'!D62),IF(A1184=2026,N('2026'!D62),IF(A1184=2027,N('2027'!D62),IF(A1184=2028,N('2028'!D62),IF(A1184=2029,N('2029'!D62),IF(A1184=2030,N('2030'!D62),IF(A1184=2031,N('2031'!D62),IF(A1184=2032,N('2032'!D62),IF(A1184=2033,N('2033'!D62),IF(A1184=2034,N('2034'!D62),IFERROR(N(INDIRECT("'"&amp;A1184&amp;"'!D"&amp;G1184)),0))))))))))))</f>
        <v>0</v>
      </c>
      <c r="M1184" s="36">
        <f>IFERROR(IF(NOT(ISBLANK(KPI_TARGETS!$L$9)),KPI_TARGETS!$L$9,IF(NOT(ISBLANK(KPI_TARGETS!$F$9)),KPI_TARGETS!$F$9,"")),"")</f>
        <v>0</v>
      </c>
      <c r="N1184" s="36" t="str">
        <f>IFERROR(KPI_TARGETS!$E$9,"Higher is better")</f>
        <v>Higher is better</v>
      </c>
      <c r="O1184" s="37" t="str">
        <f t="shared" ca="1" si="108"/>
        <v/>
      </c>
      <c r="P1184" t="str">
        <f t="shared" ca="1" si="109"/>
        <v>Green</v>
      </c>
      <c r="Q1184" s="36">
        <f t="shared" ca="1" si="110"/>
        <v>0</v>
      </c>
      <c r="R1184" s="36" t="str">
        <f>""</f>
        <v/>
      </c>
      <c r="S1184" s="36" t="str">
        <f>""</f>
        <v/>
      </c>
      <c r="T1184" s="36" t="str">
        <f>""</f>
        <v/>
      </c>
      <c r="U1184" s="36" t="str">
        <f>""</f>
        <v/>
      </c>
      <c r="V1184" s="36" t="str">
        <f>""</f>
        <v/>
      </c>
      <c r="W1184" s="36">
        <f t="shared" si="111"/>
        <v>1</v>
      </c>
      <c r="X1184" t="str">
        <f t="shared" si="112"/>
        <v>Inactive</v>
      </c>
      <c r="Y1184" t="str">
        <f>IF(MAIN!$H$3="Selected Year",IF(A1184=MAIN!$B$3,"Yes","No"),IF(MAIN!$H$3="Included Years",IF(D1184="Yes","Yes","No"),IF(C1184="Yes","Yes","No")))</f>
        <v>No</v>
      </c>
      <c r="Z1184" t="str">
        <f>IF(MAIN!$F$3="Project to Date",IF(AND(A1184&gt;=SETTINGS!$B$4,A1184&lt;MAIN!$B$3),"Yes",IF(AND(A1184=MAIN!$B$3,E1184&lt;=MAIN!$L$3),"Yes","No")),IF(OR(MAIN!$F$3="Full Year",MAIN!$D$3="All"),"Yes",IF(MAIN!$F$3="Monthly",IF(E1184=MAIN!$L$3,"Yes","No"),IF(E1184&lt;=MAIN!$L$3,"Yes","No"))))</f>
        <v>Yes</v>
      </c>
      <c r="AA1184" t="str">
        <f t="shared" si="113"/>
        <v>No</v>
      </c>
    </row>
    <row r="1185" spans="1:27" x14ac:dyDescent="0.3">
      <c r="A1185">
        <f>INDEX(SETTINGS!$A$15:$A$24,$B1185)</f>
        <v>2030</v>
      </c>
      <c r="B1185">
        <v>6</v>
      </c>
      <c r="C1185" t="str">
        <f>IF(AND(A1185&gt;=SETTINGS!$B$4,A1185&lt;=SETTINGS!$B$5),"Yes","No")</f>
        <v>No</v>
      </c>
      <c r="D1185" t="str">
        <f>IFERROR(INDEX(SETTINGS!$C$15:$C$24,MATCH(A1185,SETTINGS!$A$15:$A$24,0)),"No")</f>
        <v>No</v>
      </c>
      <c r="E1185">
        <v>3</v>
      </c>
      <c r="F1185" t="s">
        <v>36</v>
      </c>
      <c r="G1185">
        <v>63</v>
      </c>
      <c r="H1185" t="s">
        <v>99</v>
      </c>
      <c r="I1185" t="s">
        <v>15</v>
      </c>
      <c r="J1185" t="s">
        <v>18</v>
      </c>
      <c r="K1185" t="s">
        <v>3</v>
      </c>
      <c r="L1185" s="36">
        <f ca="1">IF(C1185&lt;&gt;"Yes",0,IF(A1185=2025,N('2025'!D63),IF(A1185=2026,N('2026'!D63),IF(A1185=2027,N('2027'!D63),IF(A1185=2028,N('2028'!D63),IF(A1185=2029,N('2029'!D63),IF(A1185=2030,N('2030'!D63),IF(A1185=2031,N('2031'!D63),IF(A1185=2032,N('2032'!D63),IF(A1185=2033,N('2033'!D63),IF(A1185=2034,N('2034'!D63),IFERROR(N(INDIRECT("'"&amp;A1185&amp;"'!D"&amp;G1185)),0))))))))))))</f>
        <v>0</v>
      </c>
      <c r="M1185" s="36">
        <f>IFERROR(IF(NOT(ISBLANK(KPI_TARGETS!$L$10)),KPI_TARGETS!$L$10,IF(NOT(ISBLANK(KPI_TARGETS!$F$10)),KPI_TARGETS!$F$10,"")),"")</f>
        <v>0</v>
      </c>
      <c r="N1185" s="36" t="str">
        <f>IFERROR(KPI_TARGETS!$E$10,"Higher is better")</f>
        <v>Lower is better</v>
      </c>
      <c r="O1185" s="37">
        <f t="shared" ca="1" si="108"/>
        <v>1</v>
      </c>
      <c r="P1185" t="str">
        <f t="shared" ca="1" si="109"/>
        <v>Green</v>
      </c>
      <c r="Q1185" s="36">
        <f t="shared" ca="1" si="110"/>
        <v>0</v>
      </c>
      <c r="R1185" s="36" t="str">
        <f>""</f>
        <v/>
      </c>
      <c r="S1185" s="36" t="str">
        <f>""</f>
        <v/>
      </c>
      <c r="T1185" s="36" t="str">
        <f>""</f>
        <v/>
      </c>
      <c r="U1185" s="36" t="str">
        <f>""</f>
        <v/>
      </c>
      <c r="V1185" s="36" t="str">
        <f>""</f>
        <v/>
      </c>
      <c r="W1185" s="36">
        <f t="shared" si="111"/>
        <v>1</v>
      </c>
      <c r="X1185" t="str">
        <f t="shared" si="112"/>
        <v>Inactive</v>
      </c>
      <c r="Y1185" t="str">
        <f>IF(MAIN!$H$3="Selected Year",IF(A1185=MAIN!$B$3,"Yes","No"),IF(MAIN!$H$3="Included Years",IF(D1185="Yes","Yes","No"),IF(C1185="Yes","Yes","No")))</f>
        <v>No</v>
      </c>
      <c r="Z1185" t="str">
        <f>IF(MAIN!$F$3="Project to Date",IF(AND(A1185&gt;=SETTINGS!$B$4,A1185&lt;MAIN!$B$3),"Yes",IF(AND(A1185=MAIN!$B$3,E1185&lt;=MAIN!$L$3),"Yes","No")),IF(OR(MAIN!$F$3="Full Year",MAIN!$D$3="All"),"Yes",IF(MAIN!$F$3="Monthly",IF(E1185=MAIN!$L$3,"Yes","No"),IF(E1185&lt;=MAIN!$L$3,"Yes","No"))))</f>
        <v>Yes</v>
      </c>
      <c r="AA1185" t="str">
        <f t="shared" si="113"/>
        <v>No</v>
      </c>
    </row>
    <row r="1186" spans="1:27" x14ac:dyDescent="0.3">
      <c r="A1186">
        <f>INDEX(SETTINGS!$A$15:$A$24,$B1186)</f>
        <v>2030</v>
      </c>
      <c r="B1186">
        <v>6</v>
      </c>
      <c r="C1186" t="str">
        <f>IF(AND(A1186&gt;=SETTINGS!$B$4,A1186&lt;=SETTINGS!$B$5),"Yes","No")</f>
        <v>No</v>
      </c>
      <c r="D1186" t="str">
        <f>IFERROR(INDEX(SETTINGS!$C$15:$C$24,MATCH(A1186,SETTINGS!$A$15:$A$24,0)),"No")</f>
        <v>No</v>
      </c>
      <c r="E1186">
        <v>3</v>
      </c>
      <c r="F1186" t="s">
        <v>36</v>
      </c>
      <c r="G1186">
        <v>64</v>
      </c>
      <c r="H1186" t="s">
        <v>100</v>
      </c>
      <c r="I1186" t="s">
        <v>15</v>
      </c>
      <c r="J1186" t="s">
        <v>19</v>
      </c>
      <c r="K1186" t="s">
        <v>3</v>
      </c>
      <c r="L1186" s="36">
        <f ca="1">IF(C1186&lt;&gt;"Yes",0,IF(A1186=2025,N('2025'!D64),IF(A1186=2026,N('2026'!D64),IF(A1186=2027,N('2027'!D64),IF(A1186=2028,N('2028'!D64),IF(A1186=2029,N('2029'!D64),IF(A1186=2030,N('2030'!D64),IF(A1186=2031,N('2031'!D64),IF(A1186=2032,N('2032'!D64),IF(A1186=2033,N('2033'!D64),IF(A1186=2034,N('2034'!D64),IFERROR(N(INDIRECT("'"&amp;A1186&amp;"'!D"&amp;G1186)),0))))))))))))</f>
        <v>0</v>
      </c>
      <c r="M1186" s="36">
        <f>IFERROR(IF(NOT(ISBLANK(KPI_TARGETS!$L$11)),KPI_TARGETS!$L$11,IF(NOT(ISBLANK(KPI_TARGETS!$F$11)),KPI_TARGETS!$F$11,"")),"")</f>
        <v>0</v>
      </c>
      <c r="N1186" s="36" t="str">
        <f>IFERROR(KPI_TARGETS!$E$11,"Higher is better")</f>
        <v>Lower is better</v>
      </c>
      <c r="O1186" s="37">
        <f t="shared" ca="1" si="108"/>
        <v>1</v>
      </c>
      <c r="P1186" t="str">
        <f t="shared" ca="1" si="109"/>
        <v>Green</v>
      </c>
      <c r="Q1186" s="36">
        <f t="shared" ca="1" si="110"/>
        <v>0</v>
      </c>
      <c r="R1186" s="36" t="str">
        <f>""</f>
        <v/>
      </c>
      <c r="S1186" s="36" t="str">
        <f>""</f>
        <v/>
      </c>
      <c r="T1186" s="36" t="str">
        <f>""</f>
        <v/>
      </c>
      <c r="U1186" s="36" t="str">
        <f>""</f>
        <v/>
      </c>
      <c r="V1186" s="36" t="str">
        <f>""</f>
        <v/>
      </c>
      <c r="W1186" s="36">
        <f t="shared" si="111"/>
        <v>1</v>
      </c>
      <c r="X1186" t="str">
        <f t="shared" si="112"/>
        <v>Inactive</v>
      </c>
      <c r="Y1186" t="str">
        <f>IF(MAIN!$H$3="Selected Year",IF(A1186=MAIN!$B$3,"Yes","No"),IF(MAIN!$H$3="Included Years",IF(D1186="Yes","Yes","No"),IF(C1186="Yes","Yes","No")))</f>
        <v>No</v>
      </c>
      <c r="Z1186" t="str">
        <f>IF(MAIN!$F$3="Project to Date",IF(AND(A1186&gt;=SETTINGS!$B$4,A1186&lt;MAIN!$B$3),"Yes",IF(AND(A1186=MAIN!$B$3,E1186&lt;=MAIN!$L$3),"Yes","No")),IF(OR(MAIN!$F$3="Full Year",MAIN!$D$3="All"),"Yes",IF(MAIN!$F$3="Monthly",IF(E1186=MAIN!$L$3,"Yes","No"),IF(E1186&lt;=MAIN!$L$3,"Yes","No"))))</f>
        <v>Yes</v>
      </c>
      <c r="AA1186" t="str">
        <f t="shared" si="113"/>
        <v>No</v>
      </c>
    </row>
    <row r="1187" spans="1:27" x14ac:dyDescent="0.3">
      <c r="A1187">
        <f>INDEX(SETTINGS!$A$15:$A$24,$B1187)</f>
        <v>2030</v>
      </c>
      <c r="B1187">
        <v>6</v>
      </c>
      <c r="C1187" t="str">
        <f>IF(AND(A1187&gt;=SETTINGS!$B$4,A1187&lt;=SETTINGS!$B$5),"Yes","No")</f>
        <v>No</v>
      </c>
      <c r="D1187" t="str">
        <f>IFERROR(INDEX(SETTINGS!$C$15:$C$24,MATCH(A1187,SETTINGS!$A$15:$A$24,0)),"No")</f>
        <v>No</v>
      </c>
      <c r="E1187">
        <v>3</v>
      </c>
      <c r="F1187" t="s">
        <v>36</v>
      </c>
      <c r="G1187">
        <v>65</v>
      </c>
      <c r="H1187" t="s">
        <v>101</v>
      </c>
      <c r="I1187" t="s">
        <v>15</v>
      </c>
      <c r="J1187" t="s">
        <v>20</v>
      </c>
      <c r="K1187" t="s">
        <v>3</v>
      </c>
      <c r="L1187" s="36">
        <f ca="1">IF(C1187&lt;&gt;"Yes",0,IF(A1187=2025,N('2025'!D65),IF(A1187=2026,N('2026'!D65),IF(A1187=2027,N('2027'!D65),IF(A1187=2028,N('2028'!D65),IF(A1187=2029,N('2029'!D65),IF(A1187=2030,N('2030'!D65),IF(A1187=2031,N('2031'!D65),IF(A1187=2032,N('2032'!D65),IF(A1187=2033,N('2033'!D65),IF(A1187=2034,N('2034'!D65),IFERROR(N(INDIRECT("'"&amp;A1187&amp;"'!D"&amp;G1187)),0))))))))))))</f>
        <v>0</v>
      </c>
      <c r="M1187" s="36">
        <f>IFERROR(IF(NOT(ISBLANK(KPI_TARGETS!$L$12)),KPI_TARGETS!$L$12,IF(NOT(ISBLANK(KPI_TARGETS!$F$12)),KPI_TARGETS!$F$12,"")),"")</f>
        <v>0</v>
      </c>
      <c r="N1187" s="36" t="str">
        <f>IFERROR(KPI_TARGETS!$E$12,"Higher is better")</f>
        <v>Lower is better</v>
      </c>
      <c r="O1187" s="37">
        <f t="shared" ca="1" si="108"/>
        <v>1</v>
      </c>
      <c r="P1187" t="str">
        <f t="shared" ca="1" si="109"/>
        <v>Green</v>
      </c>
      <c r="Q1187" s="36">
        <f t="shared" ca="1" si="110"/>
        <v>0</v>
      </c>
      <c r="R1187" s="36" t="str">
        <f>""</f>
        <v/>
      </c>
      <c r="S1187" s="36" t="str">
        <f>""</f>
        <v/>
      </c>
      <c r="T1187" s="36" t="str">
        <f>""</f>
        <v/>
      </c>
      <c r="U1187" s="36" t="str">
        <f>""</f>
        <v/>
      </c>
      <c r="V1187" s="36" t="str">
        <f>""</f>
        <v/>
      </c>
      <c r="W1187" s="36">
        <f t="shared" si="111"/>
        <v>1</v>
      </c>
      <c r="X1187" t="str">
        <f t="shared" si="112"/>
        <v>Inactive</v>
      </c>
      <c r="Y1187" t="str">
        <f>IF(MAIN!$H$3="Selected Year",IF(A1187=MAIN!$B$3,"Yes","No"),IF(MAIN!$H$3="Included Years",IF(D1187="Yes","Yes","No"),IF(C1187="Yes","Yes","No")))</f>
        <v>No</v>
      </c>
      <c r="Z1187" t="str">
        <f>IF(MAIN!$F$3="Project to Date",IF(AND(A1187&gt;=SETTINGS!$B$4,A1187&lt;MAIN!$B$3),"Yes",IF(AND(A1187=MAIN!$B$3,E1187&lt;=MAIN!$L$3),"Yes","No")),IF(OR(MAIN!$F$3="Full Year",MAIN!$D$3="All"),"Yes",IF(MAIN!$F$3="Monthly",IF(E1187=MAIN!$L$3,"Yes","No"),IF(E1187&lt;=MAIN!$L$3,"Yes","No"))))</f>
        <v>Yes</v>
      </c>
      <c r="AA1187" t="str">
        <f t="shared" si="113"/>
        <v>No</v>
      </c>
    </row>
    <row r="1188" spans="1:27" x14ac:dyDescent="0.3">
      <c r="A1188">
        <f>INDEX(SETTINGS!$A$15:$A$24,$B1188)</f>
        <v>2030</v>
      </c>
      <c r="B1188">
        <v>6</v>
      </c>
      <c r="C1188" t="str">
        <f>IF(AND(A1188&gt;=SETTINGS!$B$4,A1188&lt;=SETTINGS!$B$5),"Yes","No")</f>
        <v>No</v>
      </c>
      <c r="D1188" t="str">
        <f>IFERROR(INDEX(SETTINGS!$C$15:$C$24,MATCH(A1188,SETTINGS!$A$15:$A$24,0)),"No")</f>
        <v>No</v>
      </c>
      <c r="E1188">
        <v>3</v>
      </c>
      <c r="F1188" t="s">
        <v>36</v>
      </c>
      <c r="G1188">
        <v>66</v>
      </c>
      <c r="H1188" t="s">
        <v>102</v>
      </c>
      <c r="I1188" t="s">
        <v>15</v>
      </c>
      <c r="J1188" t="s">
        <v>21</v>
      </c>
      <c r="K1188" t="s">
        <v>3</v>
      </c>
      <c r="L1188" s="36">
        <f ca="1">IF(C1188&lt;&gt;"Yes",0,IF(A1188=2025,N('2025'!D66),IF(A1188=2026,N('2026'!D66),IF(A1188=2027,N('2027'!D66),IF(A1188=2028,N('2028'!D66),IF(A1188=2029,N('2029'!D66),IF(A1188=2030,N('2030'!D66),IF(A1188=2031,N('2031'!D66),IF(A1188=2032,N('2032'!D66),IF(A1188=2033,N('2033'!D66),IF(A1188=2034,N('2034'!D66),IFERROR(N(INDIRECT("'"&amp;A1188&amp;"'!D"&amp;G1188)),0))))))))))))</f>
        <v>0</v>
      </c>
      <c r="M1188" s="36">
        <f>IFERROR(IF(NOT(ISBLANK(KPI_TARGETS!$L$13)),KPI_TARGETS!$L$13,IF(NOT(ISBLANK(KPI_TARGETS!$F$13)),KPI_TARGETS!$F$13,"")),"")</f>
        <v>0</v>
      </c>
      <c r="N1188" s="36" t="str">
        <f>IFERROR(KPI_TARGETS!$E$13,"Higher is better")</f>
        <v>Lower is better</v>
      </c>
      <c r="O1188" s="37">
        <f t="shared" ca="1" si="108"/>
        <v>1</v>
      </c>
      <c r="P1188" t="str">
        <f t="shared" ca="1" si="109"/>
        <v>Green</v>
      </c>
      <c r="Q1188" s="36">
        <f t="shared" ca="1" si="110"/>
        <v>0</v>
      </c>
      <c r="R1188" s="36" t="str">
        <f>""</f>
        <v/>
      </c>
      <c r="S1188" s="36" t="str">
        <f>""</f>
        <v/>
      </c>
      <c r="T1188" s="36" t="str">
        <f>""</f>
        <v/>
      </c>
      <c r="U1188" s="36" t="str">
        <f>""</f>
        <v/>
      </c>
      <c r="V1188" s="36" t="str">
        <f>""</f>
        <v/>
      </c>
      <c r="W1188" s="36">
        <f t="shared" si="111"/>
        <v>1</v>
      </c>
      <c r="X1188" t="str">
        <f t="shared" si="112"/>
        <v>Inactive</v>
      </c>
      <c r="Y1188" t="str">
        <f>IF(MAIN!$H$3="Selected Year",IF(A1188=MAIN!$B$3,"Yes","No"),IF(MAIN!$H$3="Included Years",IF(D1188="Yes","Yes","No"),IF(C1188="Yes","Yes","No")))</f>
        <v>No</v>
      </c>
      <c r="Z1188" t="str">
        <f>IF(MAIN!$F$3="Project to Date",IF(AND(A1188&gt;=SETTINGS!$B$4,A1188&lt;MAIN!$B$3),"Yes",IF(AND(A1188=MAIN!$B$3,E1188&lt;=MAIN!$L$3),"Yes","No")),IF(OR(MAIN!$F$3="Full Year",MAIN!$D$3="All"),"Yes",IF(MAIN!$F$3="Monthly",IF(E1188=MAIN!$L$3,"Yes","No"),IF(E1188&lt;=MAIN!$L$3,"Yes","No"))))</f>
        <v>Yes</v>
      </c>
      <c r="AA1188" t="str">
        <f t="shared" si="113"/>
        <v>No</v>
      </c>
    </row>
    <row r="1189" spans="1:27" x14ac:dyDescent="0.3">
      <c r="A1189">
        <f>INDEX(SETTINGS!$A$15:$A$24,$B1189)</f>
        <v>2030</v>
      </c>
      <c r="B1189">
        <v>6</v>
      </c>
      <c r="C1189" t="str">
        <f>IF(AND(A1189&gt;=SETTINGS!$B$4,A1189&lt;=SETTINGS!$B$5),"Yes","No")</f>
        <v>No</v>
      </c>
      <c r="D1189" t="str">
        <f>IFERROR(INDEX(SETTINGS!$C$15:$C$24,MATCH(A1189,SETTINGS!$A$15:$A$24,0)),"No")</f>
        <v>No</v>
      </c>
      <c r="E1189">
        <v>3</v>
      </c>
      <c r="F1189" t="s">
        <v>36</v>
      </c>
      <c r="G1189">
        <v>68</v>
      </c>
      <c r="H1189" t="s">
        <v>103</v>
      </c>
      <c r="I1189" t="s">
        <v>22</v>
      </c>
      <c r="J1189" t="s">
        <v>23</v>
      </c>
      <c r="K1189" t="s">
        <v>3</v>
      </c>
      <c r="L1189" s="36">
        <f ca="1">IF(C1189&lt;&gt;"Yes",0,IF(A1189=2025,N('2025'!D68),IF(A1189=2026,N('2026'!D68),IF(A1189=2027,N('2027'!D68),IF(A1189=2028,N('2028'!D68),IF(A1189=2029,N('2029'!D68),IF(A1189=2030,N('2030'!D68),IF(A1189=2031,N('2031'!D68),IF(A1189=2032,N('2032'!D68),IF(A1189=2033,N('2033'!D68),IF(A1189=2034,N('2034'!D68),IFERROR(N(INDIRECT("'"&amp;A1189&amp;"'!D"&amp;G1189)),0))))))))))))</f>
        <v>0</v>
      </c>
      <c r="M1189" s="36">
        <f>IFERROR(IF(NOT(ISBLANK(KPI_TARGETS!$L$14)),KPI_TARGETS!$L$14,IF(NOT(ISBLANK(KPI_TARGETS!$F$14)),KPI_TARGETS!$F$14,"")),"")</f>
        <v>35</v>
      </c>
      <c r="N1189" s="36" t="str">
        <f>IFERROR(KPI_TARGETS!$E$14,"Higher is better")</f>
        <v>Higher is better</v>
      </c>
      <c r="O1189" s="37">
        <f t="shared" ca="1" si="108"/>
        <v>0</v>
      </c>
      <c r="P1189" t="str">
        <f t="shared" ca="1" si="109"/>
        <v>Red</v>
      </c>
      <c r="Q1189" s="36">
        <f t="shared" ca="1" si="110"/>
        <v>-35</v>
      </c>
      <c r="R1189" s="36" t="str">
        <f>""</f>
        <v/>
      </c>
      <c r="S1189" s="36" t="str">
        <f>""</f>
        <v/>
      </c>
      <c r="T1189" s="36" t="str">
        <f>""</f>
        <v/>
      </c>
      <c r="U1189" s="36" t="str">
        <f>""</f>
        <v/>
      </c>
      <c r="V1189" s="36" t="str">
        <f>""</f>
        <v/>
      </c>
      <c r="W1189" s="36">
        <f t="shared" si="111"/>
        <v>1</v>
      </c>
      <c r="X1189" t="str">
        <f t="shared" si="112"/>
        <v>Inactive</v>
      </c>
      <c r="Y1189" t="str">
        <f>IF(MAIN!$H$3="Selected Year",IF(A1189=MAIN!$B$3,"Yes","No"),IF(MAIN!$H$3="Included Years",IF(D1189="Yes","Yes","No"),IF(C1189="Yes","Yes","No")))</f>
        <v>No</v>
      </c>
      <c r="Z1189" t="str">
        <f>IF(MAIN!$F$3="Project to Date",IF(AND(A1189&gt;=SETTINGS!$B$4,A1189&lt;MAIN!$B$3),"Yes",IF(AND(A1189=MAIN!$B$3,E1189&lt;=MAIN!$L$3),"Yes","No")),IF(OR(MAIN!$F$3="Full Year",MAIN!$D$3="All"),"Yes",IF(MAIN!$F$3="Monthly",IF(E1189=MAIN!$L$3,"Yes","No"),IF(E1189&lt;=MAIN!$L$3,"Yes","No"))))</f>
        <v>Yes</v>
      </c>
      <c r="AA1189" t="str">
        <f t="shared" si="113"/>
        <v>No</v>
      </c>
    </row>
    <row r="1190" spans="1:27" x14ac:dyDescent="0.3">
      <c r="A1190">
        <f>INDEX(SETTINGS!$A$15:$A$24,$B1190)</f>
        <v>2030</v>
      </c>
      <c r="B1190">
        <v>6</v>
      </c>
      <c r="C1190" t="str">
        <f>IF(AND(A1190&gt;=SETTINGS!$B$4,A1190&lt;=SETTINGS!$B$5),"Yes","No")</f>
        <v>No</v>
      </c>
      <c r="D1190" t="str">
        <f>IFERROR(INDEX(SETTINGS!$C$15:$C$24,MATCH(A1190,SETTINGS!$A$15:$A$24,0)),"No")</f>
        <v>No</v>
      </c>
      <c r="E1190">
        <v>3</v>
      </c>
      <c r="F1190" t="s">
        <v>36</v>
      </c>
      <c r="G1190">
        <v>69</v>
      </c>
      <c r="H1190" t="s">
        <v>104</v>
      </c>
      <c r="I1190" t="s">
        <v>22</v>
      </c>
      <c r="J1190" t="s">
        <v>24</v>
      </c>
      <c r="K1190" t="s">
        <v>3</v>
      </c>
      <c r="L1190" s="36">
        <f ca="1">IF(C1190&lt;&gt;"Yes",0,IF(A1190=2025,N('2025'!D69),IF(A1190=2026,N('2026'!D69),IF(A1190=2027,N('2027'!D69),IF(A1190=2028,N('2028'!D69),IF(A1190=2029,N('2029'!D69),IF(A1190=2030,N('2030'!D69),IF(A1190=2031,N('2031'!D69),IF(A1190=2032,N('2032'!D69),IF(A1190=2033,N('2033'!D69),IF(A1190=2034,N('2034'!D69),IFERROR(N(INDIRECT("'"&amp;A1190&amp;"'!D"&amp;G1190)),0))))))))))))</f>
        <v>0</v>
      </c>
      <c r="M1190" s="36">
        <f>IFERROR(IF(NOT(ISBLANK(KPI_TARGETS!$L$15)),KPI_TARGETS!$L$15,IF(NOT(ISBLANK(KPI_TARGETS!$F$15)),KPI_TARGETS!$F$15,"")),"")</f>
        <v>5</v>
      </c>
      <c r="N1190" s="36" t="str">
        <f>IFERROR(KPI_TARGETS!$E$15,"Higher is better")</f>
        <v>Higher is better</v>
      </c>
      <c r="O1190" s="37">
        <f t="shared" ca="1" si="108"/>
        <v>0</v>
      </c>
      <c r="P1190" t="str">
        <f t="shared" ca="1" si="109"/>
        <v>Red</v>
      </c>
      <c r="Q1190" s="36">
        <f t="shared" ca="1" si="110"/>
        <v>-5</v>
      </c>
      <c r="R1190" s="36" t="str">
        <f>""</f>
        <v/>
      </c>
      <c r="S1190" s="36" t="str">
        <f>""</f>
        <v/>
      </c>
      <c r="T1190" s="36" t="str">
        <f>""</f>
        <v/>
      </c>
      <c r="U1190" s="36" t="str">
        <f>""</f>
        <v/>
      </c>
      <c r="V1190" s="36" t="str">
        <f>""</f>
        <v/>
      </c>
      <c r="W1190" s="36">
        <f t="shared" si="111"/>
        <v>1</v>
      </c>
      <c r="X1190" t="str">
        <f t="shared" si="112"/>
        <v>Inactive</v>
      </c>
      <c r="Y1190" t="str">
        <f>IF(MAIN!$H$3="Selected Year",IF(A1190=MAIN!$B$3,"Yes","No"),IF(MAIN!$H$3="Included Years",IF(D1190="Yes","Yes","No"),IF(C1190="Yes","Yes","No")))</f>
        <v>No</v>
      </c>
      <c r="Z1190" t="str">
        <f>IF(MAIN!$F$3="Project to Date",IF(AND(A1190&gt;=SETTINGS!$B$4,A1190&lt;MAIN!$B$3),"Yes",IF(AND(A1190=MAIN!$B$3,E1190&lt;=MAIN!$L$3),"Yes","No")),IF(OR(MAIN!$F$3="Full Year",MAIN!$D$3="All"),"Yes",IF(MAIN!$F$3="Monthly",IF(E1190=MAIN!$L$3,"Yes","No"),IF(E1190&lt;=MAIN!$L$3,"Yes","No"))))</f>
        <v>Yes</v>
      </c>
      <c r="AA1190" t="str">
        <f t="shared" si="113"/>
        <v>No</v>
      </c>
    </row>
    <row r="1191" spans="1:27" x14ac:dyDescent="0.3">
      <c r="A1191">
        <f>INDEX(SETTINGS!$A$15:$A$24,$B1191)</f>
        <v>2030</v>
      </c>
      <c r="B1191">
        <v>6</v>
      </c>
      <c r="C1191" t="str">
        <f>IF(AND(A1191&gt;=SETTINGS!$B$4,A1191&lt;=SETTINGS!$B$5),"Yes","No")</f>
        <v>No</v>
      </c>
      <c r="D1191" t="str">
        <f>IFERROR(INDEX(SETTINGS!$C$15:$C$24,MATCH(A1191,SETTINGS!$A$15:$A$24,0)),"No")</f>
        <v>No</v>
      </c>
      <c r="E1191">
        <v>3</v>
      </c>
      <c r="F1191" t="s">
        <v>36</v>
      </c>
      <c r="G1191">
        <v>70</v>
      </c>
      <c r="H1191" t="s">
        <v>105</v>
      </c>
      <c r="I1191" t="s">
        <v>22</v>
      </c>
      <c r="J1191" t="s">
        <v>25</v>
      </c>
      <c r="K1191" t="s">
        <v>3</v>
      </c>
      <c r="L1191" s="36">
        <f ca="1">IF(C1191&lt;&gt;"Yes",0,IF(A1191=2025,N('2025'!D70),IF(A1191=2026,N('2026'!D70),IF(A1191=2027,N('2027'!D70),IF(A1191=2028,N('2028'!D70),IF(A1191=2029,N('2029'!D70),IF(A1191=2030,N('2030'!D70),IF(A1191=2031,N('2031'!D70),IF(A1191=2032,N('2032'!D70),IF(A1191=2033,N('2033'!D70),IF(A1191=2034,N('2034'!D70),IFERROR(N(INDIRECT("'"&amp;A1191&amp;"'!D"&amp;G1191)),0))))))))))))</f>
        <v>0</v>
      </c>
      <c r="M1191" s="36">
        <f>IFERROR(IF(NOT(ISBLANK(KPI_TARGETS!$L$16)),KPI_TARGETS!$L$16,IF(NOT(ISBLANK(KPI_TARGETS!$F$16)),KPI_TARGETS!$F$16,"")),"")</f>
        <v>4</v>
      </c>
      <c r="N1191" s="36" t="str">
        <f>IFERROR(KPI_TARGETS!$E$16,"Higher is better")</f>
        <v>Higher is better</v>
      </c>
      <c r="O1191" s="37">
        <f t="shared" ca="1" si="108"/>
        <v>0</v>
      </c>
      <c r="P1191" t="str">
        <f t="shared" ca="1" si="109"/>
        <v>Red</v>
      </c>
      <c r="Q1191" s="36">
        <f t="shared" ca="1" si="110"/>
        <v>-4</v>
      </c>
      <c r="R1191" s="36" t="str">
        <f>""</f>
        <v/>
      </c>
      <c r="S1191" s="36" t="str">
        <f>""</f>
        <v/>
      </c>
      <c r="T1191" s="36" t="str">
        <f>""</f>
        <v/>
      </c>
      <c r="U1191" s="36" t="str">
        <f>""</f>
        <v/>
      </c>
      <c r="V1191" s="36" t="str">
        <f>""</f>
        <v/>
      </c>
      <c r="W1191" s="36">
        <f t="shared" si="111"/>
        <v>1</v>
      </c>
      <c r="X1191" t="str">
        <f t="shared" si="112"/>
        <v>Inactive</v>
      </c>
      <c r="Y1191" t="str">
        <f>IF(MAIN!$H$3="Selected Year",IF(A1191=MAIN!$B$3,"Yes","No"),IF(MAIN!$H$3="Included Years",IF(D1191="Yes","Yes","No"),IF(C1191="Yes","Yes","No")))</f>
        <v>No</v>
      </c>
      <c r="Z1191" t="str">
        <f>IF(MAIN!$F$3="Project to Date",IF(AND(A1191&gt;=SETTINGS!$B$4,A1191&lt;MAIN!$B$3),"Yes",IF(AND(A1191=MAIN!$B$3,E1191&lt;=MAIN!$L$3),"Yes","No")),IF(OR(MAIN!$F$3="Full Year",MAIN!$D$3="All"),"Yes",IF(MAIN!$F$3="Monthly",IF(E1191=MAIN!$L$3,"Yes","No"),IF(E1191&lt;=MAIN!$L$3,"Yes","No"))))</f>
        <v>Yes</v>
      </c>
      <c r="AA1191" t="str">
        <f t="shared" si="113"/>
        <v>No</v>
      </c>
    </row>
    <row r="1192" spans="1:27" x14ac:dyDescent="0.3">
      <c r="A1192">
        <f>INDEX(SETTINGS!$A$15:$A$24,$B1192)</f>
        <v>2030</v>
      </c>
      <c r="B1192">
        <v>6</v>
      </c>
      <c r="C1192" t="str">
        <f>IF(AND(A1192&gt;=SETTINGS!$B$4,A1192&lt;=SETTINGS!$B$5),"Yes","No")</f>
        <v>No</v>
      </c>
      <c r="D1192" t="str">
        <f>IFERROR(INDEX(SETTINGS!$C$15:$C$24,MATCH(A1192,SETTINGS!$A$15:$A$24,0)),"No")</f>
        <v>No</v>
      </c>
      <c r="E1192">
        <v>3</v>
      </c>
      <c r="F1192" t="s">
        <v>36</v>
      </c>
      <c r="G1192">
        <v>71</v>
      </c>
      <c r="H1192" t="s">
        <v>106</v>
      </c>
      <c r="I1192" t="s">
        <v>22</v>
      </c>
      <c r="J1192" t="s">
        <v>26</v>
      </c>
      <c r="K1192" t="s">
        <v>3</v>
      </c>
      <c r="L1192" s="36">
        <f ca="1">IF(C1192&lt;&gt;"Yes",0,IF(A1192=2025,N('2025'!D71),IF(A1192=2026,N('2026'!D71),IF(A1192=2027,N('2027'!D71),IF(A1192=2028,N('2028'!D71),IF(A1192=2029,N('2029'!D71),IF(A1192=2030,N('2030'!D71),IF(A1192=2031,N('2031'!D71),IF(A1192=2032,N('2032'!D71),IF(A1192=2033,N('2033'!D71),IF(A1192=2034,N('2034'!D71),IFERROR(N(INDIRECT("'"&amp;A1192&amp;"'!D"&amp;G1192)),0))))))))))))</f>
        <v>0</v>
      </c>
      <c r="M1192" s="36">
        <f>IFERROR(IF(NOT(ISBLANK(KPI_TARGETS!$L$17)),KPI_TARGETS!$L$17,IF(NOT(ISBLANK(KPI_TARGETS!$F$17)),KPI_TARGETS!$F$17,"")),"")</f>
        <v>12</v>
      </c>
      <c r="N1192" s="36" t="str">
        <f>IFERROR(KPI_TARGETS!$E$17,"Higher is better")</f>
        <v>Higher is better</v>
      </c>
      <c r="O1192" s="37">
        <f t="shared" ca="1" si="108"/>
        <v>0</v>
      </c>
      <c r="P1192" t="str">
        <f t="shared" ca="1" si="109"/>
        <v>Red</v>
      </c>
      <c r="Q1192" s="36">
        <f t="shared" ca="1" si="110"/>
        <v>-12</v>
      </c>
      <c r="R1192" s="36" t="str">
        <f>""</f>
        <v/>
      </c>
      <c r="S1192" s="36" t="str">
        <f>""</f>
        <v/>
      </c>
      <c r="T1192" s="36" t="str">
        <f>""</f>
        <v/>
      </c>
      <c r="U1192" s="36" t="str">
        <f>""</f>
        <v/>
      </c>
      <c r="V1192" s="36" t="str">
        <f>""</f>
        <v/>
      </c>
      <c r="W1192" s="36">
        <f t="shared" si="111"/>
        <v>1</v>
      </c>
      <c r="X1192" t="str">
        <f t="shared" si="112"/>
        <v>Inactive</v>
      </c>
      <c r="Y1192" t="str">
        <f>IF(MAIN!$H$3="Selected Year",IF(A1192=MAIN!$B$3,"Yes","No"),IF(MAIN!$H$3="Included Years",IF(D1192="Yes","Yes","No"),IF(C1192="Yes","Yes","No")))</f>
        <v>No</v>
      </c>
      <c r="Z1192" t="str">
        <f>IF(MAIN!$F$3="Project to Date",IF(AND(A1192&gt;=SETTINGS!$B$4,A1192&lt;MAIN!$B$3),"Yes",IF(AND(A1192=MAIN!$B$3,E1192&lt;=MAIN!$L$3),"Yes","No")),IF(OR(MAIN!$F$3="Full Year",MAIN!$D$3="All"),"Yes",IF(MAIN!$F$3="Monthly",IF(E1192=MAIN!$L$3,"Yes","No"),IF(E1192&lt;=MAIN!$L$3,"Yes","No"))))</f>
        <v>Yes</v>
      </c>
      <c r="AA1192" t="str">
        <f t="shared" si="113"/>
        <v>No</v>
      </c>
    </row>
    <row r="1193" spans="1:27" x14ac:dyDescent="0.3">
      <c r="A1193">
        <f>INDEX(SETTINGS!$A$15:$A$24,$B1193)</f>
        <v>2030</v>
      </c>
      <c r="B1193">
        <v>6</v>
      </c>
      <c r="C1193" t="str">
        <f>IF(AND(A1193&gt;=SETTINGS!$B$4,A1193&lt;=SETTINGS!$B$5),"Yes","No")</f>
        <v>No</v>
      </c>
      <c r="D1193" t="str">
        <f>IFERROR(INDEX(SETTINGS!$C$15:$C$24,MATCH(A1193,SETTINGS!$A$15:$A$24,0)),"No")</f>
        <v>No</v>
      </c>
      <c r="E1193">
        <v>3</v>
      </c>
      <c r="F1193" t="s">
        <v>36</v>
      </c>
      <c r="G1193">
        <v>72</v>
      </c>
      <c r="H1193" t="s">
        <v>107</v>
      </c>
      <c r="I1193" t="s">
        <v>22</v>
      </c>
      <c r="J1193" t="s">
        <v>27</v>
      </c>
      <c r="K1193" t="s">
        <v>3</v>
      </c>
      <c r="L1193" s="36">
        <f ca="1">IF(C1193&lt;&gt;"Yes",0,IF(A1193=2025,N('2025'!D72),IF(A1193=2026,N('2026'!D72),IF(A1193=2027,N('2027'!D72),IF(A1193=2028,N('2028'!D72),IF(A1193=2029,N('2029'!D72),IF(A1193=2030,N('2030'!D72),IF(A1193=2031,N('2031'!D72),IF(A1193=2032,N('2032'!D72),IF(A1193=2033,N('2033'!D72),IF(A1193=2034,N('2034'!D72),IFERROR(N(INDIRECT("'"&amp;A1193&amp;"'!D"&amp;G1193)),0))))))))))))</f>
        <v>0</v>
      </c>
      <c r="M1193" s="36">
        <f>IFERROR(IF(NOT(ISBLANK(KPI_TARGETS!$L$18)),KPI_TARGETS!$L$18,IF(NOT(ISBLANK(KPI_TARGETS!$F$18)),KPI_TARGETS!$F$18,"")),"")</f>
        <v>4</v>
      </c>
      <c r="N1193" s="36" t="str">
        <f>IFERROR(KPI_TARGETS!$E$18,"Higher is better")</f>
        <v>Higher is better</v>
      </c>
      <c r="O1193" s="37">
        <f t="shared" ca="1" si="108"/>
        <v>0</v>
      </c>
      <c r="P1193" t="str">
        <f t="shared" ca="1" si="109"/>
        <v>Red</v>
      </c>
      <c r="Q1193" s="36">
        <f t="shared" ca="1" si="110"/>
        <v>-4</v>
      </c>
      <c r="R1193" s="36" t="str">
        <f>""</f>
        <v/>
      </c>
      <c r="S1193" s="36" t="str">
        <f>""</f>
        <v/>
      </c>
      <c r="T1193" s="36" t="str">
        <f>""</f>
        <v/>
      </c>
      <c r="U1193" s="36" t="str">
        <f>""</f>
        <v/>
      </c>
      <c r="V1193" s="36" t="str">
        <f>""</f>
        <v/>
      </c>
      <c r="W1193" s="36">
        <f t="shared" si="111"/>
        <v>1</v>
      </c>
      <c r="X1193" t="str">
        <f t="shared" si="112"/>
        <v>Inactive</v>
      </c>
      <c r="Y1193" t="str">
        <f>IF(MAIN!$H$3="Selected Year",IF(A1193=MAIN!$B$3,"Yes","No"),IF(MAIN!$H$3="Included Years",IF(D1193="Yes","Yes","No"),IF(C1193="Yes","Yes","No")))</f>
        <v>No</v>
      </c>
      <c r="Z1193" t="str">
        <f>IF(MAIN!$F$3="Project to Date",IF(AND(A1193&gt;=SETTINGS!$B$4,A1193&lt;MAIN!$B$3),"Yes",IF(AND(A1193=MAIN!$B$3,E1193&lt;=MAIN!$L$3),"Yes","No")),IF(OR(MAIN!$F$3="Full Year",MAIN!$D$3="All"),"Yes",IF(MAIN!$F$3="Monthly",IF(E1193=MAIN!$L$3,"Yes","No"),IF(E1193&lt;=MAIN!$L$3,"Yes","No"))))</f>
        <v>Yes</v>
      </c>
      <c r="AA1193" t="str">
        <f t="shared" si="113"/>
        <v>No</v>
      </c>
    </row>
    <row r="1194" spans="1:27" x14ac:dyDescent="0.3">
      <c r="A1194">
        <f>INDEX(SETTINGS!$A$15:$A$24,$B1194)</f>
        <v>2030</v>
      </c>
      <c r="B1194">
        <v>6</v>
      </c>
      <c r="C1194" t="str">
        <f>IF(AND(A1194&gt;=SETTINGS!$B$4,A1194&lt;=SETTINGS!$B$5),"Yes","No")</f>
        <v>No</v>
      </c>
      <c r="D1194" t="str">
        <f>IFERROR(INDEX(SETTINGS!$C$15:$C$24,MATCH(A1194,SETTINGS!$A$15:$A$24,0)),"No")</f>
        <v>No</v>
      </c>
      <c r="E1194">
        <v>3</v>
      </c>
      <c r="F1194" t="s">
        <v>36</v>
      </c>
      <c r="G1194">
        <v>73</v>
      </c>
      <c r="H1194" t="s">
        <v>108</v>
      </c>
      <c r="I1194" t="s">
        <v>22</v>
      </c>
      <c r="J1194" t="s">
        <v>28</v>
      </c>
      <c r="K1194" t="s">
        <v>3</v>
      </c>
      <c r="L1194" s="36">
        <f ca="1">IF(C1194&lt;&gt;"Yes",0,IF(A1194=2025,N('2025'!D73),IF(A1194=2026,N('2026'!D73),IF(A1194=2027,N('2027'!D73),IF(A1194=2028,N('2028'!D73),IF(A1194=2029,N('2029'!D73),IF(A1194=2030,N('2030'!D73),IF(A1194=2031,N('2031'!D73),IF(A1194=2032,N('2032'!D73),IF(A1194=2033,N('2033'!D73),IF(A1194=2034,N('2034'!D73),IFERROR(N(INDIRECT("'"&amp;A1194&amp;"'!D"&amp;G1194)),0))))))))))))</f>
        <v>0</v>
      </c>
      <c r="M1194" s="36">
        <f>IFERROR(IF(NOT(ISBLANK(KPI_TARGETS!$L$19)),KPI_TARGETS!$L$19,IF(NOT(ISBLANK(KPI_TARGETS!$F$19)),KPI_TARGETS!$F$19,"")),"")</f>
        <v>16</v>
      </c>
      <c r="N1194" s="36" t="str">
        <f>IFERROR(KPI_TARGETS!$E$19,"Higher is better")</f>
        <v>Higher is better</v>
      </c>
      <c r="O1194" s="37">
        <f t="shared" ca="1" si="108"/>
        <v>0</v>
      </c>
      <c r="P1194" t="str">
        <f t="shared" ca="1" si="109"/>
        <v>Red</v>
      </c>
      <c r="Q1194" s="36">
        <f t="shared" ca="1" si="110"/>
        <v>-16</v>
      </c>
      <c r="R1194" s="36" t="str">
        <f>""</f>
        <v/>
      </c>
      <c r="S1194" s="36" t="str">
        <f>""</f>
        <v/>
      </c>
      <c r="T1194" s="36" t="str">
        <f>""</f>
        <v/>
      </c>
      <c r="U1194" s="36" t="str">
        <f>""</f>
        <v/>
      </c>
      <c r="V1194" s="36" t="str">
        <f>""</f>
        <v/>
      </c>
      <c r="W1194" s="36">
        <f t="shared" si="111"/>
        <v>1</v>
      </c>
      <c r="X1194" t="str">
        <f t="shared" si="112"/>
        <v>Inactive</v>
      </c>
      <c r="Y1194" t="str">
        <f>IF(MAIN!$H$3="Selected Year",IF(A1194=MAIN!$B$3,"Yes","No"),IF(MAIN!$H$3="Included Years",IF(D1194="Yes","Yes","No"),IF(C1194="Yes","Yes","No")))</f>
        <v>No</v>
      </c>
      <c r="Z1194" t="str">
        <f>IF(MAIN!$F$3="Project to Date",IF(AND(A1194&gt;=SETTINGS!$B$4,A1194&lt;MAIN!$B$3),"Yes",IF(AND(A1194=MAIN!$B$3,E1194&lt;=MAIN!$L$3),"Yes","No")),IF(OR(MAIN!$F$3="Full Year",MAIN!$D$3="All"),"Yes",IF(MAIN!$F$3="Monthly",IF(E1194=MAIN!$L$3,"Yes","No"),IF(E1194&lt;=MAIN!$L$3,"Yes","No"))))</f>
        <v>Yes</v>
      </c>
      <c r="AA1194" t="str">
        <f t="shared" si="113"/>
        <v>No</v>
      </c>
    </row>
    <row r="1195" spans="1:27" x14ac:dyDescent="0.3">
      <c r="A1195">
        <f>INDEX(SETTINGS!$A$15:$A$24,$B1195)</f>
        <v>2030</v>
      </c>
      <c r="B1195">
        <v>6</v>
      </c>
      <c r="C1195" t="str">
        <f>IF(AND(A1195&gt;=SETTINGS!$B$4,A1195&lt;=SETTINGS!$B$5),"Yes","No")</f>
        <v>No</v>
      </c>
      <c r="D1195" t="str">
        <f>IFERROR(INDEX(SETTINGS!$C$15:$C$24,MATCH(A1195,SETTINGS!$A$15:$A$24,0)),"No")</f>
        <v>No</v>
      </c>
      <c r="E1195">
        <v>3</v>
      </c>
      <c r="F1195" t="s">
        <v>36</v>
      </c>
      <c r="G1195">
        <v>74</v>
      </c>
      <c r="H1195" t="s">
        <v>109</v>
      </c>
      <c r="I1195" t="s">
        <v>22</v>
      </c>
      <c r="J1195" t="s">
        <v>29</v>
      </c>
      <c r="K1195" t="s">
        <v>3</v>
      </c>
      <c r="L1195" s="36">
        <f ca="1">IF(C1195&lt;&gt;"Yes",0,IF(A1195=2025,N('2025'!D74),IF(A1195=2026,N('2026'!D74),IF(A1195=2027,N('2027'!D74),IF(A1195=2028,N('2028'!D74),IF(A1195=2029,N('2029'!D74),IF(A1195=2030,N('2030'!D74),IF(A1195=2031,N('2031'!D74),IF(A1195=2032,N('2032'!D74),IF(A1195=2033,N('2033'!D74),IF(A1195=2034,N('2034'!D74),IFERROR(N(INDIRECT("'"&amp;A1195&amp;"'!D"&amp;G1195)),0))))))))))))</f>
        <v>0</v>
      </c>
      <c r="M1195" s="36">
        <f>IFERROR(IF(NOT(ISBLANK(KPI_TARGETS!$L$20)),KPI_TARGETS!$L$20,IF(NOT(ISBLANK(KPI_TARGETS!$F$20)),KPI_TARGETS!$F$20,"")),"")</f>
        <v>1</v>
      </c>
      <c r="N1195" s="36" t="str">
        <f>IFERROR(KPI_TARGETS!$E$20,"Higher is better")</f>
        <v>Higher is better</v>
      </c>
      <c r="O1195" s="37">
        <f t="shared" ca="1" si="108"/>
        <v>0</v>
      </c>
      <c r="P1195" t="str">
        <f t="shared" ca="1" si="109"/>
        <v>Red</v>
      </c>
      <c r="Q1195" s="36">
        <f t="shared" ca="1" si="110"/>
        <v>-1</v>
      </c>
      <c r="R1195" s="36" t="str">
        <f>""</f>
        <v/>
      </c>
      <c r="S1195" s="36" t="str">
        <f>""</f>
        <v/>
      </c>
      <c r="T1195" s="36" t="str">
        <f>""</f>
        <v/>
      </c>
      <c r="U1195" s="36" t="str">
        <f>""</f>
        <v/>
      </c>
      <c r="V1195" s="36" t="str">
        <f>""</f>
        <v/>
      </c>
      <c r="W1195" s="36">
        <f t="shared" si="111"/>
        <v>1</v>
      </c>
      <c r="X1195" t="str">
        <f t="shared" si="112"/>
        <v>Inactive</v>
      </c>
      <c r="Y1195" t="str">
        <f>IF(MAIN!$H$3="Selected Year",IF(A1195=MAIN!$B$3,"Yes","No"),IF(MAIN!$H$3="Included Years",IF(D1195="Yes","Yes","No"),IF(C1195="Yes","Yes","No")))</f>
        <v>No</v>
      </c>
      <c r="Z1195" t="str">
        <f>IF(MAIN!$F$3="Project to Date",IF(AND(A1195&gt;=SETTINGS!$B$4,A1195&lt;MAIN!$B$3),"Yes",IF(AND(A1195=MAIN!$B$3,E1195&lt;=MAIN!$L$3),"Yes","No")),IF(OR(MAIN!$F$3="Full Year",MAIN!$D$3="All"),"Yes",IF(MAIN!$F$3="Monthly",IF(E1195=MAIN!$L$3,"Yes","No"),IF(E1195&lt;=MAIN!$L$3,"Yes","No"))))</f>
        <v>Yes</v>
      </c>
      <c r="AA1195" t="str">
        <f t="shared" si="113"/>
        <v>No</v>
      </c>
    </row>
    <row r="1196" spans="1:27" x14ac:dyDescent="0.3">
      <c r="A1196">
        <f>INDEX(SETTINGS!$A$15:$A$24,$B1196)</f>
        <v>2030</v>
      </c>
      <c r="B1196">
        <v>6</v>
      </c>
      <c r="C1196" t="str">
        <f>IF(AND(A1196&gt;=SETTINGS!$B$4,A1196&lt;=SETTINGS!$B$5),"Yes","No")</f>
        <v>No</v>
      </c>
      <c r="D1196" t="str">
        <f>IFERROR(INDEX(SETTINGS!$C$15:$C$24,MATCH(A1196,SETTINGS!$A$15:$A$24,0)),"No")</f>
        <v>No</v>
      </c>
      <c r="E1196">
        <v>3</v>
      </c>
      <c r="F1196" t="s">
        <v>36</v>
      </c>
      <c r="G1196">
        <v>76</v>
      </c>
      <c r="H1196" t="s">
        <v>110</v>
      </c>
      <c r="I1196" t="s">
        <v>30</v>
      </c>
      <c r="J1196" t="s">
        <v>31</v>
      </c>
      <c r="K1196" t="s">
        <v>3</v>
      </c>
      <c r="L1196" s="36">
        <f ca="1">IF(C1196&lt;&gt;"Yes",0,IF(A1196=2025,N('2025'!D76),IF(A1196=2026,N('2026'!D76),IF(A1196=2027,N('2027'!D76),IF(A1196=2028,N('2028'!D76),IF(A1196=2029,N('2029'!D76),IF(A1196=2030,N('2030'!D76),IF(A1196=2031,N('2031'!D76),IF(A1196=2032,N('2032'!D76),IF(A1196=2033,N('2033'!D76),IF(A1196=2034,N('2034'!D76),IFERROR(N(INDIRECT("'"&amp;A1196&amp;"'!D"&amp;G1196)),0))))))))))))</f>
        <v>0</v>
      </c>
      <c r="M1196" s="36">
        <f>IFERROR(IF(NOT(ISBLANK(KPI_TARGETS!$L$21)),KPI_TARGETS!$L$21,IF(NOT(ISBLANK(KPI_TARGETS!$F$21)),KPI_TARGETS!$F$21,"")),"")</f>
        <v>0</v>
      </c>
      <c r="N1196" s="36" t="str">
        <f>IFERROR(KPI_TARGETS!$E$21,"Higher is better")</f>
        <v>Lower is better</v>
      </c>
      <c r="O1196" s="37">
        <f t="shared" ca="1" si="108"/>
        <v>1</v>
      </c>
      <c r="P1196" t="str">
        <f t="shared" ca="1" si="109"/>
        <v>Green</v>
      </c>
      <c r="Q1196" s="36">
        <f t="shared" ca="1" si="110"/>
        <v>0</v>
      </c>
      <c r="R1196" s="36" t="str">
        <f>""</f>
        <v/>
      </c>
      <c r="S1196" s="36" t="str">
        <f>""</f>
        <v/>
      </c>
      <c r="T1196" s="36" t="str">
        <f>""</f>
        <v/>
      </c>
      <c r="U1196" s="36" t="str">
        <f>""</f>
        <v/>
      </c>
      <c r="V1196" s="36" t="str">
        <f>""</f>
        <v/>
      </c>
      <c r="W1196" s="36">
        <f t="shared" si="111"/>
        <v>1</v>
      </c>
      <c r="X1196" t="str">
        <f t="shared" si="112"/>
        <v>Inactive</v>
      </c>
      <c r="Y1196" t="str">
        <f>IF(MAIN!$H$3="Selected Year",IF(A1196=MAIN!$B$3,"Yes","No"),IF(MAIN!$H$3="Included Years",IF(D1196="Yes","Yes","No"),IF(C1196="Yes","Yes","No")))</f>
        <v>No</v>
      </c>
      <c r="Z1196" t="str">
        <f>IF(MAIN!$F$3="Project to Date",IF(AND(A1196&gt;=SETTINGS!$B$4,A1196&lt;MAIN!$B$3),"Yes",IF(AND(A1196=MAIN!$B$3,E1196&lt;=MAIN!$L$3),"Yes","No")),IF(OR(MAIN!$F$3="Full Year",MAIN!$D$3="All"),"Yes",IF(MAIN!$F$3="Monthly",IF(E1196=MAIN!$L$3,"Yes","No"),IF(E1196&lt;=MAIN!$L$3,"Yes","No"))))</f>
        <v>Yes</v>
      </c>
      <c r="AA1196" t="str">
        <f t="shared" si="113"/>
        <v>No</v>
      </c>
    </row>
    <row r="1197" spans="1:27" x14ac:dyDescent="0.3">
      <c r="A1197">
        <f>INDEX(SETTINGS!$A$15:$A$24,$B1197)</f>
        <v>2030</v>
      </c>
      <c r="B1197">
        <v>6</v>
      </c>
      <c r="C1197" t="str">
        <f>IF(AND(A1197&gt;=SETTINGS!$B$4,A1197&lt;=SETTINGS!$B$5),"Yes","No")</f>
        <v>No</v>
      </c>
      <c r="D1197" t="str">
        <f>IFERROR(INDEX(SETTINGS!$C$15:$C$24,MATCH(A1197,SETTINGS!$A$15:$A$24,0)),"No")</f>
        <v>No</v>
      </c>
      <c r="E1197">
        <v>3</v>
      </c>
      <c r="F1197" t="s">
        <v>36</v>
      </c>
      <c r="G1197">
        <v>77</v>
      </c>
      <c r="H1197" t="s">
        <v>111</v>
      </c>
      <c r="I1197" t="s">
        <v>30</v>
      </c>
      <c r="J1197" t="s">
        <v>32</v>
      </c>
      <c r="K1197" t="s">
        <v>3</v>
      </c>
      <c r="L1197" s="36">
        <f ca="1">IF(C1197&lt;&gt;"Yes",0,IF(A1197=2025,N('2025'!D77),IF(A1197=2026,N('2026'!D77),IF(A1197=2027,N('2027'!D77),IF(A1197=2028,N('2028'!D77),IF(A1197=2029,N('2029'!D77),IF(A1197=2030,N('2030'!D77),IF(A1197=2031,N('2031'!D77),IF(A1197=2032,N('2032'!D77),IF(A1197=2033,N('2033'!D77),IF(A1197=2034,N('2034'!D77),IFERROR(N(INDIRECT("'"&amp;A1197&amp;"'!D"&amp;G1197)),0))))))))))))</f>
        <v>0</v>
      </c>
      <c r="M1197" s="36">
        <f>IFERROR(IF(NOT(ISBLANK(KPI_TARGETS!$L$22)),KPI_TARGETS!$L$22,IF(NOT(ISBLANK(KPI_TARGETS!$F$22)),KPI_TARGETS!$F$22,"")),"")</f>
        <v>1</v>
      </c>
      <c r="N1197" s="36" t="str">
        <f>IFERROR(KPI_TARGETS!$E$22,"Higher is better")</f>
        <v>Higher is better</v>
      </c>
      <c r="O1197" s="37">
        <f t="shared" ca="1" si="108"/>
        <v>0</v>
      </c>
      <c r="P1197" t="str">
        <f t="shared" ca="1" si="109"/>
        <v>Red</v>
      </c>
      <c r="Q1197" s="36">
        <f t="shared" ca="1" si="110"/>
        <v>-1</v>
      </c>
      <c r="R1197" s="36" t="str">
        <f>""</f>
        <v/>
      </c>
      <c r="S1197" s="36" t="str">
        <f>""</f>
        <v/>
      </c>
      <c r="T1197" s="36" t="str">
        <f>""</f>
        <v/>
      </c>
      <c r="U1197" s="36" t="str">
        <f>""</f>
        <v/>
      </c>
      <c r="V1197" s="36" t="str">
        <f>""</f>
        <v/>
      </c>
      <c r="W1197" s="36">
        <f t="shared" si="111"/>
        <v>1</v>
      </c>
      <c r="X1197" t="str">
        <f t="shared" si="112"/>
        <v>Inactive</v>
      </c>
      <c r="Y1197" t="str">
        <f>IF(MAIN!$H$3="Selected Year",IF(A1197=MAIN!$B$3,"Yes","No"),IF(MAIN!$H$3="Included Years",IF(D1197="Yes","Yes","No"),IF(C1197="Yes","Yes","No")))</f>
        <v>No</v>
      </c>
      <c r="Z1197" t="str">
        <f>IF(MAIN!$F$3="Project to Date",IF(AND(A1197&gt;=SETTINGS!$B$4,A1197&lt;MAIN!$B$3),"Yes",IF(AND(A1197=MAIN!$B$3,E1197&lt;=MAIN!$L$3),"Yes","No")),IF(OR(MAIN!$F$3="Full Year",MAIN!$D$3="All"),"Yes",IF(MAIN!$F$3="Monthly",IF(E1197=MAIN!$L$3,"Yes","No"),IF(E1197&lt;=MAIN!$L$3,"Yes","No"))))</f>
        <v>Yes</v>
      </c>
      <c r="AA1197" t="str">
        <f t="shared" si="113"/>
        <v>No</v>
      </c>
    </row>
    <row r="1198" spans="1:27" x14ac:dyDescent="0.3">
      <c r="A1198">
        <f>INDEX(SETTINGS!$A$15:$A$24,$B1198)</f>
        <v>2030</v>
      </c>
      <c r="B1198">
        <v>6</v>
      </c>
      <c r="C1198" t="str">
        <f>IF(AND(A1198&gt;=SETTINGS!$B$4,A1198&lt;=SETTINGS!$B$5),"Yes","No")</f>
        <v>No</v>
      </c>
      <c r="D1198" t="str">
        <f>IFERROR(INDEX(SETTINGS!$C$15:$C$24,MATCH(A1198,SETTINGS!$A$15:$A$24,0)),"No")</f>
        <v>No</v>
      </c>
      <c r="E1198">
        <v>3</v>
      </c>
      <c r="F1198" t="s">
        <v>36</v>
      </c>
      <c r="G1198">
        <v>78</v>
      </c>
      <c r="H1198" t="s">
        <v>112</v>
      </c>
      <c r="I1198" t="s">
        <v>30</v>
      </c>
      <c r="J1198" t="s">
        <v>33</v>
      </c>
      <c r="K1198" t="s">
        <v>34</v>
      </c>
      <c r="L1198" s="36">
        <f ca="1">IF(C1198&lt;&gt;"Yes",0,IF(A1198=2025,N('2025'!D78),IF(A1198=2026,N('2026'!D78),IF(A1198=2027,N('2027'!D78),IF(A1198=2028,N('2028'!D78),IF(A1198=2029,N('2029'!D78),IF(A1198=2030,N('2030'!D78),IF(A1198=2031,N('2031'!D78),IF(A1198=2032,N('2032'!D78),IF(A1198=2033,N('2033'!D78),IF(A1198=2034,N('2034'!D78),IFERROR(N(INDIRECT("'"&amp;A1198&amp;"'!D"&amp;G1198)),0))))))))))))</f>
        <v>0</v>
      </c>
      <c r="M1198" s="36">
        <f>IFERROR(IF(NOT(ISBLANK(KPI_TARGETS!$L$23)),KPI_TARGETS!$L$23,IF(NOT(ISBLANK(KPI_TARGETS!$F$23)),KPI_TARGETS!$F$23,"")),"")</f>
        <v>1</v>
      </c>
      <c r="N1198" s="36" t="str">
        <f>IFERROR(KPI_TARGETS!$E$23,"Higher is better")</f>
        <v>Higher is better</v>
      </c>
      <c r="O1198" s="37">
        <f t="shared" ca="1" si="108"/>
        <v>0</v>
      </c>
      <c r="P1198" t="str">
        <f t="shared" ca="1" si="109"/>
        <v>Red</v>
      </c>
      <c r="Q1198" s="36">
        <f t="shared" ca="1" si="110"/>
        <v>-1</v>
      </c>
      <c r="R1198" s="36" t="str">
        <f>""</f>
        <v/>
      </c>
      <c r="S1198" s="36" t="str">
        <f>""</f>
        <v/>
      </c>
      <c r="T1198" s="36" t="str">
        <f>""</f>
        <v/>
      </c>
      <c r="U1198" s="36" t="str">
        <f>""</f>
        <v/>
      </c>
      <c r="V1198" s="36" t="str">
        <f>""</f>
        <v/>
      </c>
      <c r="W1198" s="36">
        <f t="shared" si="111"/>
        <v>1</v>
      </c>
      <c r="X1198" t="str">
        <f t="shared" si="112"/>
        <v>Inactive</v>
      </c>
      <c r="Y1198" t="str">
        <f>IF(MAIN!$H$3="Selected Year",IF(A1198=MAIN!$B$3,"Yes","No"),IF(MAIN!$H$3="Included Years",IF(D1198="Yes","Yes","No"),IF(C1198="Yes","Yes","No")))</f>
        <v>No</v>
      </c>
      <c r="Z1198" t="str">
        <f>IF(MAIN!$F$3="Project to Date",IF(AND(A1198&gt;=SETTINGS!$B$4,A1198&lt;MAIN!$B$3),"Yes",IF(AND(A1198=MAIN!$B$3,E1198&lt;=MAIN!$L$3),"Yes","No")),IF(OR(MAIN!$F$3="Full Year",MAIN!$D$3="All"),"Yes",IF(MAIN!$F$3="Monthly",IF(E1198=MAIN!$L$3,"Yes","No"),IF(E1198&lt;=MAIN!$L$3,"Yes","No"))))</f>
        <v>Yes</v>
      </c>
      <c r="AA1198" t="str">
        <f t="shared" si="113"/>
        <v>No</v>
      </c>
    </row>
    <row r="1199" spans="1:27" x14ac:dyDescent="0.3">
      <c r="A1199">
        <f>INDEX(SETTINGS!$A$15:$A$24,$B1199)</f>
        <v>2030</v>
      </c>
      <c r="B1199">
        <v>6</v>
      </c>
      <c r="C1199" t="str">
        <f>IF(AND(A1199&gt;=SETTINGS!$B$4,A1199&lt;=SETTINGS!$B$5),"Yes","No")</f>
        <v>No</v>
      </c>
      <c r="D1199" t="str">
        <f>IFERROR(INDEX(SETTINGS!$C$15:$C$24,MATCH(A1199,SETTINGS!$A$15:$A$24,0)),"No")</f>
        <v>No</v>
      </c>
      <c r="E1199">
        <v>4</v>
      </c>
      <c r="F1199" t="s">
        <v>37</v>
      </c>
      <c r="G1199">
        <v>81</v>
      </c>
      <c r="H1199" t="s">
        <v>88</v>
      </c>
      <c r="I1199" t="s">
        <v>89</v>
      </c>
      <c r="J1199" t="s">
        <v>10</v>
      </c>
      <c r="K1199" t="s">
        <v>3</v>
      </c>
      <c r="L1199" s="36">
        <f ca="1">IF(C1199&lt;&gt;"Yes",0,IF(A1199=2025,N('2025'!D81),IF(A1199=2026,N('2026'!D81),IF(A1199=2027,N('2027'!D81),IF(A1199=2028,N('2028'!D81),IF(A1199=2029,N('2029'!D81),IF(A1199=2030,N('2030'!D81),IF(A1199=2031,N('2031'!D81),IF(A1199=2032,N('2032'!D81),IF(A1199=2033,N('2033'!D81),IF(A1199=2034,N('2034'!D81),IFERROR(N(INDIRECT("'"&amp;A1199&amp;"'!D"&amp;G1199)),0))))))))))))</f>
        <v>0</v>
      </c>
      <c r="M1199" s="36">
        <f>IFERROR(IF(NOT(ISBLANK(KPI_TARGETS!$L$5)),KPI_TARGETS!$L$5,IF(NOT(ISBLANK(KPI_TARGETS!$F$5)),KPI_TARGETS!$F$5,"")),"")</f>
        <v>104</v>
      </c>
      <c r="N1199" s="36" t="str">
        <f>IFERROR(KPI_TARGETS!$E$5,"Higher is better")</f>
        <v>Higher is better</v>
      </c>
      <c r="O1199" s="37">
        <f t="shared" ca="1" si="108"/>
        <v>0</v>
      </c>
      <c r="P1199" t="str">
        <f t="shared" ca="1" si="109"/>
        <v>Red</v>
      </c>
      <c r="Q1199" s="36">
        <f t="shared" ca="1" si="110"/>
        <v>-104</v>
      </c>
      <c r="R1199" s="36" t="str">
        <f>""</f>
        <v/>
      </c>
      <c r="S1199" s="36" t="str">
        <f>""</f>
        <v/>
      </c>
      <c r="T1199" s="36" t="str">
        <f>""</f>
        <v/>
      </c>
      <c r="U1199" s="36" t="str">
        <f>""</f>
        <v/>
      </c>
      <c r="V1199" s="36" t="str">
        <f>""</f>
        <v/>
      </c>
      <c r="W1199" s="36">
        <f t="shared" si="111"/>
        <v>1</v>
      </c>
      <c r="X1199" t="str">
        <f t="shared" si="112"/>
        <v>Inactive</v>
      </c>
      <c r="Y1199" t="str">
        <f>IF(MAIN!$H$3="Selected Year",IF(A1199=MAIN!$B$3,"Yes","No"),IF(MAIN!$H$3="Included Years",IF(D1199="Yes","Yes","No"),IF(C1199="Yes","Yes","No")))</f>
        <v>No</v>
      </c>
      <c r="Z1199" t="str">
        <f>IF(MAIN!$F$3="Project to Date",IF(AND(A1199&gt;=SETTINGS!$B$4,A1199&lt;MAIN!$B$3),"Yes",IF(AND(A1199=MAIN!$B$3,E1199&lt;=MAIN!$L$3),"Yes","No")),IF(OR(MAIN!$F$3="Full Year",MAIN!$D$3="All"),"Yes",IF(MAIN!$F$3="Monthly",IF(E1199=MAIN!$L$3,"Yes","No"),IF(E1199&lt;=MAIN!$L$3,"Yes","No"))))</f>
        <v>Yes</v>
      </c>
      <c r="AA1199" t="str">
        <f t="shared" si="113"/>
        <v>No</v>
      </c>
    </row>
    <row r="1200" spans="1:27" x14ac:dyDescent="0.3">
      <c r="A1200">
        <f>INDEX(SETTINGS!$A$15:$A$24,$B1200)</f>
        <v>2030</v>
      </c>
      <c r="B1200">
        <v>6</v>
      </c>
      <c r="C1200" t="str">
        <f>IF(AND(A1200&gt;=SETTINGS!$B$4,A1200&lt;=SETTINGS!$B$5),"Yes","No")</f>
        <v>No</v>
      </c>
      <c r="D1200" t="str">
        <f>IFERROR(INDEX(SETTINGS!$C$15:$C$24,MATCH(A1200,SETTINGS!$A$15:$A$24,0)),"No")</f>
        <v>No</v>
      </c>
      <c r="E1200">
        <v>4</v>
      </c>
      <c r="F1200" t="s">
        <v>37</v>
      </c>
      <c r="G1200">
        <v>82</v>
      </c>
      <c r="H1200" t="s">
        <v>91</v>
      </c>
      <c r="I1200" t="s">
        <v>89</v>
      </c>
      <c r="J1200" t="s">
        <v>11</v>
      </c>
      <c r="K1200" t="s">
        <v>12</v>
      </c>
      <c r="L1200" s="36">
        <f ca="1">IF(C1200&lt;&gt;"Yes",0,IF(A1200=2025,N('2025'!D82),IF(A1200=2026,N('2026'!D82),IF(A1200=2027,N('2027'!D82),IF(A1200=2028,N('2028'!D82),IF(A1200=2029,N('2029'!D82),IF(A1200=2030,N('2030'!D82),IF(A1200=2031,N('2031'!D82),IF(A1200=2032,N('2032'!D82),IF(A1200=2033,N('2033'!D82),IF(A1200=2034,N('2034'!D82),IFERROR(N(INDIRECT("'"&amp;A1200&amp;"'!D"&amp;G1200)),0))))))))))))</f>
        <v>0</v>
      </c>
      <c r="M1200" s="36">
        <f>IFERROR(IF(NOT(ISBLANK(KPI_TARGETS!$L$6)),KPI_TARGETS!$L$6,IF(NOT(ISBLANK(KPI_TARGETS!$F$6)),KPI_TARGETS!$F$6,"")),"")</f>
        <v>4000</v>
      </c>
      <c r="N1200" s="36" t="str">
        <f>IFERROR(KPI_TARGETS!$E$6,"Higher is better")</f>
        <v>Higher is better</v>
      </c>
      <c r="O1200" s="37">
        <f t="shared" ca="1" si="108"/>
        <v>0</v>
      </c>
      <c r="P1200" t="str">
        <f t="shared" ca="1" si="109"/>
        <v>Red</v>
      </c>
      <c r="Q1200" s="36">
        <f t="shared" ca="1" si="110"/>
        <v>-4000</v>
      </c>
      <c r="R1200" s="36" t="str">
        <f>""</f>
        <v/>
      </c>
      <c r="S1200" s="36" t="str">
        <f>""</f>
        <v/>
      </c>
      <c r="T1200" s="36" t="str">
        <f>""</f>
        <v/>
      </c>
      <c r="U1200" s="36" t="str">
        <f>""</f>
        <v/>
      </c>
      <c r="V1200" s="36" t="str">
        <f>""</f>
        <v/>
      </c>
      <c r="W1200" s="36">
        <f t="shared" si="111"/>
        <v>1</v>
      </c>
      <c r="X1200" t="str">
        <f t="shared" si="112"/>
        <v>Inactive</v>
      </c>
      <c r="Y1200" t="str">
        <f>IF(MAIN!$H$3="Selected Year",IF(A1200=MAIN!$B$3,"Yes","No"),IF(MAIN!$H$3="Included Years",IF(D1200="Yes","Yes","No"),IF(C1200="Yes","Yes","No")))</f>
        <v>No</v>
      </c>
      <c r="Z1200" t="str">
        <f>IF(MAIN!$F$3="Project to Date",IF(AND(A1200&gt;=SETTINGS!$B$4,A1200&lt;MAIN!$B$3),"Yes",IF(AND(A1200=MAIN!$B$3,E1200&lt;=MAIN!$L$3),"Yes","No")),IF(OR(MAIN!$F$3="Full Year",MAIN!$D$3="All"),"Yes",IF(MAIN!$F$3="Monthly",IF(E1200=MAIN!$L$3,"Yes","No"),IF(E1200&lt;=MAIN!$L$3,"Yes","No"))))</f>
        <v>Yes</v>
      </c>
      <c r="AA1200" t="str">
        <f t="shared" si="113"/>
        <v>No</v>
      </c>
    </row>
    <row r="1201" spans="1:27" x14ac:dyDescent="0.3">
      <c r="A1201">
        <f>INDEX(SETTINGS!$A$15:$A$24,$B1201)</f>
        <v>2030</v>
      </c>
      <c r="B1201">
        <v>6</v>
      </c>
      <c r="C1201" t="str">
        <f>IF(AND(A1201&gt;=SETTINGS!$B$4,A1201&lt;=SETTINGS!$B$5),"Yes","No")</f>
        <v>No</v>
      </c>
      <c r="D1201" t="str">
        <f>IFERROR(INDEX(SETTINGS!$C$15:$C$24,MATCH(A1201,SETTINGS!$A$15:$A$24,0)),"No")</f>
        <v>No</v>
      </c>
      <c r="E1201">
        <v>4</v>
      </c>
      <c r="F1201" t="s">
        <v>37</v>
      </c>
      <c r="G1201">
        <v>83</v>
      </c>
      <c r="H1201" t="s">
        <v>93</v>
      </c>
      <c r="I1201" t="s">
        <v>89</v>
      </c>
      <c r="J1201" t="s">
        <v>13</v>
      </c>
      <c r="K1201" t="s">
        <v>14</v>
      </c>
      <c r="L1201" s="36">
        <f ca="1">IF(C1201&lt;&gt;"Yes",0,IF(A1201=2025,N('2025'!D83),IF(A1201=2026,N('2026'!D83),IF(A1201=2027,N('2027'!D83),IF(A1201=2028,N('2028'!D83),IF(A1201=2029,N('2029'!D83),IF(A1201=2030,N('2030'!D83),IF(A1201=2031,N('2031'!D83),IF(A1201=2032,N('2032'!D83),IF(A1201=2033,N('2033'!D83),IF(A1201=2034,N('2034'!D83),IFERROR(N(INDIRECT("'"&amp;A1201&amp;"'!D"&amp;G1201)),0))))))))))))</f>
        <v>0</v>
      </c>
      <c r="M1201" s="36">
        <f>IFERROR(IF(NOT(ISBLANK(KPI_TARGETS!$L$7)),KPI_TARGETS!$L$7,IF(NOT(ISBLANK(KPI_TARGETS!$F$7)),KPI_TARGETS!$F$7,"")),"")</f>
        <v>8000</v>
      </c>
      <c r="N1201" s="36" t="str">
        <f>IFERROR(KPI_TARGETS!$E$7,"Higher is better")</f>
        <v>Higher is better</v>
      </c>
      <c r="O1201" s="37">
        <f t="shared" ca="1" si="108"/>
        <v>0</v>
      </c>
      <c r="P1201" t="str">
        <f t="shared" ca="1" si="109"/>
        <v>Red</v>
      </c>
      <c r="Q1201" s="36">
        <f t="shared" ca="1" si="110"/>
        <v>-8000</v>
      </c>
      <c r="R1201" s="36" t="str">
        <f>""</f>
        <v/>
      </c>
      <c r="S1201" s="36" t="str">
        <f>""</f>
        <v/>
      </c>
      <c r="T1201" s="36" t="str">
        <f>""</f>
        <v/>
      </c>
      <c r="U1201" s="36" t="str">
        <f>""</f>
        <v/>
      </c>
      <c r="V1201" s="36" t="str">
        <f>""</f>
        <v/>
      </c>
      <c r="W1201" s="36">
        <f t="shared" si="111"/>
        <v>1</v>
      </c>
      <c r="X1201" t="str">
        <f t="shared" si="112"/>
        <v>Inactive</v>
      </c>
      <c r="Y1201" t="str">
        <f>IF(MAIN!$H$3="Selected Year",IF(A1201=MAIN!$B$3,"Yes","No"),IF(MAIN!$H$3="Included Years",IF(D1201="Yes","Yes","No"),IF(C1201="Yes","Yes","No")))</f>
        <v>No</v>
      </c>
      <c r="Z1201" t="str">
        <f>IF(MAIN!$F$3="Project to Date",IF(AND(A1201&gt;=SETTINGS!$B$4,A1201&lt;MAIN!$B$3),"Yes",IF(AND(A1201=MAIN!$B$3,E1201&lt;=MAIN!$L$3),"Yes","No")),IF(OR(MAIN!$F$3="Full Year",MAIN!$D$3="All"),"Yes",IF(MAIN!$F$3="Monthly",IF(E1201=MAIN!$L$3,"Yes","No"),IF(E1201&lt;=MAIN!$L$3,"Yes","No"))))</f>
        <v>Yes</v>
      </c>
      <c r="AA1201" t="str">
        <f t="shared" si="113"/>
        <v>No</v>
      </c>
    </row>
    <row r="1202" spans="1:27" x14ac:dyDescent="0.3">
      <c r="A1202">
        <f>INDEX(SETTINGS!$A$15:$A$24,$B1202)</f>
        <v>2030</v>
      </c>
      <c r="B1202">
        <v>6</v>
      </c>
      <c r="C1202" t="str">
        <f>IF(AND(A1202&gt;=SETTINGS!$B$4,A1202&lt;=SETTINGS!$B$5),"Yes","No")</f>
        <v>No</v>
      </c>
      <c r="D1202" t="str">
        <f>IFERROR(INDEX(SETTINGS!$C$15:$C$24,MATCH(A1202,SETTINGS!$A$15:$A$24,0)),"No")</f>
        <v>No</v>
      </c>
      <c r="E1202">
        <v>4</v>
      </c>
      <c r="F1202" t="s">
        <v>37</v>
      </c>
      <c r="G1202">
        <v>85</v>
      </c>
      <c r="H1202" t="s">
        <v>95</v>
      </c>
      <c r="I1202" t="s">
        <v>15</v>
      </c>
      <c r="J1202" t="s">
        <v>16</v>
      </c>
      <c r="K1202" t="s">
        <v>3</v>
      </c>
      <c r="L1202" s="36">
        <f ca="1">IF(C1202&lt;&gt;"Yes",0,IF(A1202=2025,N('2025'!D85),IF(A1202=2026,N('2026'!D85),IF(A1202=2027,N('2027'!D85),IF(A1202=2028,N('2028'!D85),IF(A1202=2029,N('2029'!D85),IF(A1202=2030,N('2030'!D85),IF(A1202=2031,N('2031'!D85),IF(A1202=2032,N('2032'!D85),IF(A1202=2033,N('2033'!D85),IF(A1202=2034,N('2034'!D85),IFERROR(N(INDIRECT("'"&amp;A1202&amp;"'!D"&amp;G1202)),0))))))))))))</f>
        <v>0</v>
      </c>
      <c r="M1202" s="36">
        <f>IFERROR(IF(NOT(ISBLANK(KPI_TARGETS!$L$8)),KPI_TARGETS!$L$8,IF(NOT(ISBLANK(KPI_TARGETS!$F$8)),KPI_TARGETS!$F$8,"")),"")</f>
        <v>0</v>
      </c>
      <c r="N1202" s="36" t="str">
        <f>IFERROR(KPI_TARGETS!$E$8,"Higher is better")</f>
        <v>Lower is better</v>
      </c>
      <c r="O1202" s="37">
        <f t="shared" ca="1" si="108"/>
        <v>1</v>
      </c>
      <c r="P1202" t="str">
        <f t="shared" ca="1" si="109"/>
        <v>Green</v>
      </c>
      <c r="Q1202" s="36">
        <f t="shared" ca="1" si="110"/>
        <v>0</v>
      </c>
      <c r="R1202" s="36" t="str">
        <f>""</f>
        <v/>
      </c>
      <c r="S1202" s="36" t="str">
        <f>""</f>
        <v/>
      </c>
      <c r="T1202" s="36" t="str">
        <f>""</f>
        <v/>
      </c>
      <c r="U1202" s="36" t="str">
        <f>""</f>
        <v/>
      </c>
      <c r="V1202" s="36" t="str">
        <f>""</f>
        <v/>
      </c>
      <c r="W1202" s="36">
        <f t="shared" si="111"/>
        <v>1</v>
      </c>
      <c r="X1202" t="str">
        <f t="shared" si="112"/>
        <v>Inactive</v>
      </c>
      <c r="Y1202" t="str">
        <f>IF(MAIN!$H$3="Selected Year",IF(A1202=MAIN!$B$3,"Yes","No"),IF(MAIN!$H$3="Included Years",IF(D1202="Yes","Yes","No"),IF(C1202="Yes","Yes","No")))</f>
        <v>No</v>
      </c>
      <c r="Z1202" t="str">
        <f>IF(MAIN!$F$3="Project to Date",IF(AND(A1202&gt;=SETTINGS!$B$4,A1202&lt;MAIN!$B$3),"Yes",IF(AND(A1202=MAIN!$B$3,E1202&lt;=MAIN!$L$3),"Yes","No")),IF(OR(MAIN!$F$3="Full Year",MAIN!$D$3="All"),"Yes",IF(MAIN!$F$3="Monthly",IF(E1202=MAIN!$L$3,"Yes","No"),IF(E1202&lt;=MAIN!$L$3,"Yes","No"))))</f>
        <v>Yes</v>
      </c>
      <c r="AA1202" t="str">
        <f t="shared" si="113"/>
        <v>No</v>
      </c>
    </row>
    <row r="1203" spans="1:27" x14ac:dyDescent="0.3">
      <c r="A1203">
        <f>INDEX(SETTINGS!$A$15:$A$24,$B1203)</f>
        <v>2030</v>
      </c>
      <c r="B1203">
        <v>6</v>
      </c>
      <c r="C1203" t="str">
        <f>IF(AND(A1203&gt;=SETTINGS!$B$4,A1203&lt;=SETTINGS!$B$5),"Yes","No")</f>
        <v>No</v>
      </c>
      <c r="D1203" t="str">
        <f>IFERROR(INDEX(SETTINGS!$C$15:$C$24,MATCH(A1203,SETTINGS!$A$15:$A$24,0)),"No")</f>
        <v>No</v>
      </c>
      <c r="E1203">
        <v>4</v>
      </c>
      <c r="F1203" t="s">
        <v>37</v>
      </c>
      <c r="G1203">
        <v>86</v>
      </c>
      <c r="H1203" t="s">
        <v>97</v>
      </c>
      <c r="I1203" t="s">
        <v>15</v>
      </c>
      <c r="J1203" t="s">
        <v>17</v>
      </c>
      <c r="K1203" t="s">
        <v>3</v>
      </c>
      <c r="L1203" s="36">
        <f ca="1">IF(C1203&lt;&gt;"Yes",0,IF(A1203=2025,N('2025'!D86),IF(A1203=2026,N('2026'!D86),IF(A1203=2027,N('2027'!D86),IF(A1203=2028,N('2028'!D86),IF(A1203=2029,N('2029'!D86),IF(A1203=2030,N('2030'!D86),IF(A1203=2031,N('2031'!D86),IF(A1203=2032,N('2032'!D86),IF(A1203=2033,N('2033'!D86),IF(A1203=2034,N('2034'!D86),IFERROR(N(INDIRECT("'"&amp;A1203&amp;"'!D"&amp;G1203)),0))))))))))))</f>
        <v>0</v>
      </c>
      <c r="M1203" s="36">
        <f>IFERROR(IF(NOT(ISBLANK(KPI_TARGETS!$L$9)),KPI_TARGETS!$L$9,IF(NOT(ISBLANK(KPI_TARGETS!$F$9)),KPI_TARGETS!$F$9,"")),"")</f>
        <v>0</v>
      </c>
      <c r="N1203" s="36" t="str">
        <f>IFERROR(KPI_TARGETS!$E$9,"Higher is better")</f>
        <v>Higher is better</v>
      </c>
      <c r="O1203" s="37" t="str">
        <f t="shared" ca="1" si="108"/>
        <v/>
      </c>
      <c r="P1203" t="str">
        <f t="shared" ca="1" si="109"/>
        <v>Green</v>
      </c>
      <c r="Q1203" s="36">
        <f t="shared" ca="1" si="110"/>
        <v>0</v>
      </c>
      <c r="R1203" s="36" t="str">
        <f>""</f>
        <v/>
      </c>
      <c r="S1203" s="36" t="str">
        <f>""</f>
        <v/>
      </c>
      <c r="T1203" s="36" t="str">
        <f>""</f>
        <v/>
      </c>
      <c r="U1203" s="36" t="str">
        <f>""</f>
        <v/>
      </c>
      <c r="V1203" s="36" t="str">
        <f>""</f>
        <v/>
      </c>
      <c r="W1203" s="36">
        <f t="shared" si="111"/>
        <v>1</v>
      </c>
      <c r="X1203" t="str">
        <f t="shared" si="112"/>
        <v>Inactive</v>
      </c>
      <c r="Y1203" t="str">
        <f>IF(MAIN!$H$3="Selected Year",IF(A1203=MAIN!$B$3,"Yes","No"),IF(MAIN!$H$3="Included Years",IF(D1203="Yes","Yes","No"),IF(C1203="Yes","Yes","No")))</f>
        <v>No</v>
      </c>
      <c r="Z1203" t="str">
        <f>IF(MAIN!$F$3="Project to Date",IF(AND(A1203&gt;=SETTINGS!$B$4,A1203&lt;MAIN!$B$3),"Yes",IF(AND(A1203=MAIN!$B$3,E1203&lt;=MAIN!$L$3),"Yes","No")),IF(OR(MAIN!$F$3="Full Year",MAIN!$D$3="All"),"Yes",IF(MAIN!$F$3="Monthly",IF(E1203=MAIN!$L$3,"Yes","No"),IF(E1203&lt;=MAIN!$L$3,"Yes","No"))))</f>
        <v>Yes</v>
      </c>
      <c r="AA1203" t="str">
        <f t="shared" si="113"/>
        <v>No</v>
      </c>
    </row>
    <row r="1204" spans="1:27" x14ac:dyDescent="0.3">
      <c r="A1204">
        <f>INDEX(SETTINGS!$A$15:$A$24,$B1204)</f>
        <v>2030</v>
      </c>
      <c r="B1204">
        <v>6</v>
      </c>
      <c r="C1204" t="str">
        <f>IF(AND(A1204&gt;=SETTINGS!$B$4,A1204&lt;=SETTINGS!$B$5),"Yes","No")</f>
        <v>No</v>
      </c>
      <c r="D1204" t="str">
        <f>IFERROR(INDEX(SETTINGS!$C$15:$C$24,MATCH(A1204,SETTINGS!$A$15:$A$24,0)),"No")</f>
        <v>No</v>
      </c>
      <c r="E1204">
        <v>4</v>
      </c>
      <c r="F1204" t="s">
        <v>37</v>
      </c>
      <c r="G1204">
        <v>87</v>
      </c>
      <c r="H1204" t="s">
        <v>99</v>
      </c>
      <c r="I1204" t="s">
        <v>15</v>
      </c>
      <c r="J1204" t="s">
        <v>18</v>
      </c>
      <c r="K1204" t="s">
        <v>3</v>
      </c>
      <c r="L1204" s="36">
        <f ca="1">IF(C1204&lt;&gt;"Yes",0,IF(A1204=2025,N('2025'!D87),IF(A1204=2026,N('2026'!D87),IF(A1204=2027,N('2027'!D87),IF(A1204=2028,N('2028'!D87),IF(A1204=2029,N('2029'!D87),IF(A1204=2030,N('2030'!D87),IF(A1204=2031,N('2031'!D87),IF(A1204=2032,N('2032'!D87),IF(A1204=2033,N('2033'!D87),IF(A1204=2034,N('2034'!D87),IFERROR(N(INDIRECT("'"&amp;A1204&amp;"'!D"&amp;G1204)),0))))))))))))</f>
        <v>0</v>
      </c>
      <c r="M1204" s="36">
        <f>IFERROR(IF(NOT(ISBLANK(KPI_TARGETS!$L$10)),KPI_TARGETS!$L$10,IF(NOT(ISBLANK(KPI_TARGETS!$F$10)),KPI_TARGETS!$F$10,"")),"")</f>
        <v>0</v>
      </c>
      <c r="N1204" s="36" t="str">
        <f>IFERROR(KPI_TARGETS!$E$10,"Higher is better")</f>
        <v>Lower is better</v>
      </c>
      <c r="O1204" s="37">
        <f t="shared" ca="1" si="108"/>
        <v>1</v>
      </c>
      <c r="P1204" t="str">
        <f t="shared" ca="1" si="109"/>
        <v>Green</v>
      </c>
      <c r="Q1204" s="36">
        <f t="shared" ca="1" si="110"/>
        <v>0</v>
      </c>
      <c r="R1204" s="36" t="str">
        <f>""</f>
        <v/>
      </c>
      <c r="S1204" s="36" t="str">
        <f>""</f>
        <v/>
      </c>
      <c r="T1204" s="36" t="str">
        <f>""</f>
        <v/>
      </c>
      <c r="U1204" s="36" t="str">
        <f>""</f>
        <v/>
      </c>
      <c r="V1204" s="36" t="str">
        <f>""</f>
        <v/>
      </c>
      <c r="W1204" s="36">
        <f t="shared" si="111"/>
        <v>1</v>
      </c>
      <c r="X1204" t="str">
        <f t="shared" si="112"/>
        <v>Inactive</v>
      </c>
      <c r="Y1204" t="str">
        <f>IF(MAIN!$H$3="Selected Year",IF(A1204=MAIN!$B$3,"Yes","No"),IF(MAIN!$H$3="Included Years",IF(D1204="Yes","Yes","No"),IF(C1204="Yes","Yes","No")))</f>
        <v>No</v>
      </c>
      <c r="Z1204" t="str">
        <f>IF(MAIN!$F$3="Project to Date",IF(AND(A1204&gt;=SETTINGS!$B$4,A1204&lt;MAIN!$B$3),"Yes",IF(AND(A1204=MAIN!$B$3,E1204&lt;=MAIN!$L$3),"Yes","No")),IF(OR(MAIN!$F$3="Full Year",MAIN!$D$3="All"),"Yes",IF(MAIN!$F$3="Monthly",IF(E1204=MAIN!$L$3,"Yes","No"),IF(E1204&lt;=MAIN!$L$3,"Yes","No"))))</f>
        <v>Yes</v>
      </c>
      <c r="AA1204" t="str">
        <f t="shared" si="113"/>
        <v>No</v>
      </c>
    </row>
    <row r="1205" spans="1:27" x14ac:dyDescent="0.3">
      <c r="A1205">
        <f>INDEX(SETTINGS!$A$15:$A$24,$B1205)</f>
        <v>2030</v>
      </c>
      <c r="B1205">
        <v>6</v>
      </c>
      <c r="C1205" t="str">
        <f>IF(AND(A1205&gt;=SETTINGS!$B$4,A1205&lt;=SETTINGS!$B$5),"Yes","No")</f>
        <v>No</v>
      </c>
      <c r="D1205" t="str">
        <f>IFERROR(INDEX(SETTINGS!$C$15:$C$24,MATCH(A1205,SETTINGS!$A$15:$A$24,0)),"No")</f>
        <v>No</v>
      </c>
      <c r="E1205">
        <v>4</v>
      </c>
      <c r="F1205" t="s">
        <v>37</v>
      </c>
      <c r="G1205">
        <v>88</v>
      </c>
      <c r="H1205" t="s">
        <v>100</v>
      </c>
      <c r="I1205" t="s">
        <v>15</v>
      </c>
      <c r="J1205" t="s">
        <v>19</v>
      </c>
      <c r="K1205" t="s">
        <v>3</v>
      </c>
      <c r="L1205" s="36">
        <f ca="1">IF(C1205&lt;&gt;"Yes",0,IF(A1205=2025,N('2025'!D88),IF(A1205=2026,N('2026'!D88),IF(A1205=2027,N('2027'!D88),IF(A1205=2028,N('2028'!D88),IF(A1205=2029,N('2029'!D88),IF(A1205=2030,N('2030'!D88),IF(A1205=2031,N('2031'!D88),IF(A1205=2032,N('2032'!D88),IF(A1205=2033,N('2033'!D88),IF(A1205=2034,N('2034'!D88),IFERROR(N(INDIRECT("'"&amp;A1205&amp;"'!D"&amp;G1205)),0))))))))))))</f>
        <v>0</v>
      </c>
      <c r="M1205" s="36">
        <f>IFERROR(IF(NOT(ISBLANK(KPI_TARGETS!$L$11)),KPI_TARGETS!$L$11,IF(NOT(ISBLANK(KPI_TARGETS!$F$11)),KPI_TARGETS!$F$11,"")),"")</f>
        <v>0</v>
      </c>
      <c r="N1205" s="36" t="str">
        <f>IFERROR(KPI_TARGETS!$E$11,"Higher is better")</f>
        <v>Lower is better</v>
      </c>
      <c r="O1205" s="37">
        <f t="shared" ca="1" si="108"/>
        <v>1</v>
      </c>
      <c r="P1205" t="str">
        <f t="shared" ca="1" si="109"/>
        <v>Green</v>
      </c>
      <c r="Q1205" s="36">
        <f t="shared" ca="1" si="110"/>
        <v>0</v>
      </c>
      <c r="R1205" s="36" t="str">
        <f>""</f>
        <v/>
      </c>
      <c r="S1205" s="36" t="str">
        <f>""</f>
        <v/>
      </c>
      <c r="T1205" s="36" t="str">
        <f>""</f>
        <v/>
      </c>
      <c r="U1205" s="36" t="str">
        <f>""</f>
        <v/>
      </c>
      <c r="V1205" s="36" t="str">
        <f>""</f>
        <v/>
      </c>
      <c r="W1205" s="36">
        <f t="shared" si="111"/>
        <v>1</v>
      </c>
      <c r="X1205" t="str">
        <f t="shared" si="112"/>
        <v>Inactive</v>
      </c>
      <c r="Y1205" t="str">
        <f>IF(MAIN!$H$3="Selected Year",IF(A1205=MAIN!$B$3,"Yes","No"),IF(MAIN!$H$3="Included Years",IF(D1205="Yes","Yes","No"),IF(C1205="Yes","Yes","No")))</f>
        <v>No</v>
      </c>
      <c r="Z1205" t="str">
        <f>IF(MAIN!$F$3="Project to Date",IF(AND(A1205&gt;=SETTINGS!$B$4,A1205&lt;MAIN!$B$3),"Yes",IF(AND(A1205=MAIN!$B$3,E1205&lt;=MAIN!$L$3),"Yes","No")),IF(OR(MAIN!$F$3="Full Year",MAIN!$D$3="All"),"Yes",IF(MAIN!$F$3="Monthly",IF(E1205=MAIN!$L$3,"Yes","No"),IF(E1205&lt;=MAIN!$L$3,"Yes","No"))))</f>
        <v>Yes</v>
      </c>
      <c r="AA1205" t="str">
        <f t="shared" si="113"/>
        <v>No</v>
      </c>
    </row>
    <row r="1206" spans="1:27" x14ac:dyDescent="0.3">
      <c r="A1206">
        <f>INDEX(SETTINGS!$A$15:$A$24,$B1206)</f>
        <v>2030</v>
      </c>
      <c r="B1206">
        <v>6</v>
      </c>
      <c r="C1206" t="str">
        <f>IF(AND(A1206&gt;=SETTINGS!$B$4,A1206&lt;=SETTINGS!$B$5),"Yes","No")</f>
        <v>No</v>
      </c>
      <c r="D1206" t="str">
        <f>IFERROR(INDEX(SETTINGS!$C$15:$C$24,MATCH(A1206,SETTINGS!$A$15:$A$24,0)),"No")</f>
        <v>No</v>
      </c>
      <c r="E1206">
        <v>4</v>
      </c>
      <c r="F1206" t="s">
        <v>37</v>
      </c>
      <c r="G1206">
        <v>89</v>
      </c>
      <c r="H1206" t="s">
        <v>101</v>
      </c>
      <c r="I1206" t="s">
        <v>15</v>
      </c>
      <c r="J1206" t="s">
        <v>20</v>
      </c>
      <c r="K1206" t="s">
        <v>3</v>
      </c>
      <c r="L1206" s="36">
        <f ca="1">IF(C1206&lt;&gt;"Yes",0,IF(A1206=2025,N('2025'!D89),IF(A1206=2026,N('2026'!D89),IF(A1206=2027,N('2027'!D89),IF(A1206=2028,N('2028'!D89),IF(A1206=2029,N('2029'!D89),IF(A1206=2030,N('2030'!D89),IF(A1206=2031,N('2031'!D89),IF(A1206=2032,N('2032'!D89),IF(A1206=2033,N('2033'!D89),IF(A1206=2034,N('2034'!D89),IFERROR(N(INDIRECT("'"&amp;A1206&amp;"'!D"&amp;G1206)),0))))))))))))</f>
        <v>0</v>
      </c>
      <c r="M1206" s="36">
        <f>IFERROR(IF(NOT(ISBLANK(KPI_TARGETS!$L$12)),KPI_TARGETS!$L$12,IF(NOT(ISBLANK(KPI_TARGETS!$F$12)),KPI_TARGETS!$F$12,"")),"")</f>
        <v>0</v>
      </c>
      <c r="N1206" s="36" t="str">
        <f>IFERROR(KPI_TARGETS!$E$12,"Higher is better")</f>
        <v>Lower is better</v>
      </c>
      <c r="O1206" s="37">
        <f t="shared" ca="1" si="108"/>
        <v>1</v>
      </c>
      <c r="P1206" t="str">
        <f t="shared" ca="1" si="109"/>
        <v>Green</v>
      </c>
      <c r="Q1206" s="36">
        <f t="shared" ca="1" si="110"/>
        <v>0</v>
      </c>
      <c r="R1206" s="36" t="str">
        <f>""</f>
        <v/>
      </c>
      <c r="S1206" s="36" t="str">
        <f>""</f>
        <v/>
      </c>
      <c r="T1206" s="36" t="str">
        <f>""</f>
        <v/>
      </c>
      <c r="U1206" s="36" t="str">
        <f>""</f>
        <v/>
      </c>
      <c r="V1206" s="36" t="str">
        <f>""</f>
        <v/>
      </c>
      <c r="W1206" s="36">
        <f t="shared" si="111"/>
        <v>1</v>
      </c>
      <c r="X1206" t="str">
        <f t="shared" si="112"/>
        <v>Inactive</v>
      </c>
      <c r="Y1206" t="str">
        <f>IF(MAIN!$H$3="Selected Year",IF(A1206=MAIN!$B$3,"Yes","No"),IF(MAIN!$H$3="Included Years",IF(D1206="Yes","Yes","No"),IF(C1206="Yes","Yes","No")))</f>
        <v>No</v>
      </c>
      <c r="Z1206" t="str">
        <f>IF(MAIN!$F$3="Project to Date",IF(AND(A1206&gt;=SETTINGS!$B$4,A1206&lt;MAIN!$B$3),"Yes",IF(AND(A1206=MAIN!$B$3,E1206&lt;=MAIN!$L$3),"Yes","No")),IF(OR(MAIN!$F$3="Full Year",MAIN!$D$3="All"),"Yes",IF(MAIN!$F$3="Monthly",IF(E1206=MAIN!$L$3,"Yes","No"),IF(E1206&lt;=MAIN!$L$3,"Yes","No"))))</f>
        <v>Yes</v>
      </c>
      <c r="AA1206" t="str">
        <f t="shared" si="113"/>
        <v>No</v>
      </c>
    </row>
    <row r="1207" spans="1:27" x14ac:dyDescent="0.3">
      <c r="A1207">
        <f>INDEX(SETTINGS!$A$15:$A$24,$B1207)</f>
        <v>2030</v>
      </c>
      <c r="B1207">
        <v>6</v>
      </c>
      <c r="C1207" t="str">
        <f>IF(AND(A1207&gt;=SETTINGS!$B$4,A1207&lt;=SETTINGS!$B$5),"Yes","No")</f>
        <v>No</v>
      </c>
      <c r="D1207" t="str">
        <f>IFERROR(INDEX(SETTINGS!$C$15:$C$24,MATCH(A1207,SETTINGS!$A$15:$A$24,0)),"No")</f>
        <v>No</v>
      </c>
      <c r="E1207">
        <v>4</v>
      </c>
      <c r="F1207" t="s">
        <v>37</v>
      </c>
      <c r="G1207">
        <v>90</v>
      </c>
      <c r="H1207" t="s">
        <v>102</v>
      </c>
      <c r="I1207" t="s">
        <v>15</v>
      </c>
      <c r="J1207" t="s">
        <v>21</v>
      </c>
      <c r="K1207" t="s">
        <v>3</v>
      </c>
      <c r="L1207" s="36">
        <f ca="1">IF(C1207&lt;&gt;"Yes",0,IF(A1207=2025,N('2025'!D90),IF(A1207=2026,N('2026'!D90),IF(A1207=2027,N('2027'!D90),IF(A1207=2028,N('2028'!D90),IF(A1207=2029,N('2029'!D90),IF(A1207=2030,N('2030'!D90),IF(A1207=2031,N('2031'!D90),IF(A1207=2032,N('2032'!D90),IF(A1207=2033,N('2033'!D90),IF(A1207=2034,N('2034'!D90),IFERROR(N(INDIRECT("'"&amp;A1207&amp;"'!D"&amp;G1207)),0))))))))))))</f>
        <v>0</v>
      </c>
      <c r="M1207" s="36">
        <f>IFERROR(IF(NOT(ISBLANK(KPI_TARGETS!$L$13)),KPI_TARGETS!$L$13,IF(NOT(ISBLANK(KPI_TARGETS!$F$13)),KPI_TARGETS!$F$13,"")),"")</f>
        <v>0</v>
      </c>
      <c r="N1207" s="36" t="str">
        <f>IFERROR(KPI_TARGETS!$E$13,"Higher is better")</f>
        <v>Lower is better</v>
      </c>
      <c r="O1207" s="37">
        <f t="shared" ca="1" si="108"/>
        <v>1</v>
      </c>
      <c r="P1207" t="str">
        <f t="shared" ca="1" si="109"/>
        <v>Green</v>
      </c>
      <c r="Q1207" s="36">
        <f t="shared" ca="1" si="110"/>
        <v>0</v>
      </c>
      <c r="R1207" s="36" t="str">
        <f>""</f>
        <v/>
      </c>
      <c r="S1207" s="36" t="str">
        <f>""</f>
        <v/>
      </c>
      <c r="T1207" s="36" t="str">
        <f>""</f>
        <v/>
      </c>
      <c r="U1207" s="36" t="str">
        <f>""</f>
        <v/>
      </c>
      <c r="V1207" s="36" t="str">
        <f>""</f>
        <v/>
      </c>
      <c r="W1207" s="36">
        <f t="shared" si="111"/>
        <v>1</v>
      </c>
      <c r="X1207" t="str">
        <f t="shared" si="112"/>
        <v>Inactive</v>
      </c>
      <c r="Y1207" t="str">
        <f>IF(MAIN!$H$3="Selected Year",IF(A1207=MAIN!$B$3,"Yes","No"),IF(MAIN!$H$3="Included Years",IF(D1207="Yes","Yes","No"),IF(C1207="Yes","Yes","No")))</f>
        <v>No</v>
      </c>
      <c r="Z1207" t="str">
        <f>IF(MAIN!$F$3="Project to Date",IF(AND(A1207&gt;=SETTINGS!$B$4,A1207&lt;MAIN!$B$3),"Yes",IF(AND(A1207=MAIN!$B$3,E1207&lt;=MAIN!$L$3),"Yes","No")),IF(OR(MAIN!$F$3="Full Year",MAIN!$D$3="All"),"Yes",IF(MAIN!$F$3="Monthly",IF(E1207=MAIN!$L$3,"Yes","No"),IF(E1207&lt;=MAIN!$L$3,"Yes","No"))))</f>
        <v>Yes</v>
      </c>
      <c r="AA1207" t="str">
        <f t="shared" si="113"/>
        <v>No</v>
      </c>
    </row>
    <row r="1208" spans="1:27" x14ac:dyDescent="0.3">
      <c r="A1208">
        <f>INDEX(SETTINGS!$A$15:$A$24,$B1208)</f>
        <v>2030</v>
      </c>
      <c r="B1208">
        <v>6</v>
      </c>
      <c r="C1208" t="str">
        <f>IF(AND(A1208&gt;=SETTINGS!$B$4,A1208&lt;=SETTINGS!$B$5),"Yes","No")</f>
        <v>No</v>
      </c>
      <c r="D1208" t="str">
        <f>IFERROR(INDEX(SETTINGS!$C$15:$C$24,MATCH(A1208,SETTINGS!$A$15:$A$24,0)),"No")</f>
        <v>No</v>
      </c>
      <c r="E1208">
        <v>4</v>
      </c>
      <c r="F1208" t="s">
        <v>37</v>
      </c>
      <c r="G1208">
        <v>92</v>
      </c>
      <c r="H1208" t="s">
        <v>103</v>
      </c>
      <c r="I1208" t="s">
        <v>22</v>
      </c>
      <c r="J1208" t="s">
        <v>23</v>
      </c>
      <c r="K1208" t="s">
        <v>3</v>
      </c>
      <c r="L1208" s="36">
        <f ca="1">IF(C1208&lt;&gt;"Yes",0,IF(A1208=2025,N('2025'!D92),IF(A1208=2026,N('2026'!D92),IF(A1208=2027,N('2027'!D92),IF(A1208=2028,N('2028'!D92),IF(A1208=2029,N('2029'!D92),IF(A1208=2030,N('2030'!D92),IF(A1208=2031,N('2031'!D92),IF(A1208=2032,N('2032'!D92),IF(A1208=2033,N('2033'!D92),IF(A1208=2034,N('2034'!D92),IFERROR(N(INDIRECT("'"&amp;A1208&amp;"'!D"&amp;G1208)),0))))))))))))</f>
        <v>0</v>
      </c>
      <c r="M1208" s="36">
        <f>IFERROR(IF(NOT(ISBLANK(KPI_TARGETS!$L$14)),KPI_TARGETS!$L$14,IF(NOT(ISBLANK(KPI_TARGETS!$F$14)),KPI_TARGETS!$F$14,"")),"")</f>
        <v>35</v>
      </c>
      <c r="N1208" s="36" t="str">
        <f>IFERROR(KPI_TARGETS!$E$14,"Higher is better")</f>
        <v>Higher is better</v>
      </c>
      <c r="O1208" s="37">
        <f t="shared" ca="1" si="108"/>
        <v>0</v>
      </c>
      <c r="P1208" t="str">
        <f t="shared" ca="1" si="109"/>
        <v>Red</v>
      </c>
      <c r="Q1208" s="36">
        <f t="shared" ca="1" si="110"/>
        <v>-35</v>
      </c>
      <c r="R1208" s="36" t="str">
        <f>""</f>
        <v/>
      </c>
      <c r="S1208" s="36" t="str">
        <f>""</f>
        <v/>
      </c>
      <c r="T1208" s="36" t="str">
        <f>""</f>
        <v/>
      </c>
      <c r="U1208" s="36" t="str">
        <f>""</f>
        <v/>
      </c>
      <c r="V1208" s="36" t="str">
        <f>""</f>
        <v/>
      </c>
      <c r="W1208" s="36">
        <f t="shared" si="111"/>
        <v>1</v>
      </c>
      <c r="X1208" t="str">
        <f t="shared" si="112"/>
        <v>Inactive</v>
      </c>
      <c r="Y1208" t="str">
        <f>IF(MAIN!$H$3="Selected Year",IF(A1208=MAIN!$B$3,"Yes","No"),IF(MAIN!$H$3="Included Years",IF(D1208="Yes","Yes","No"),IF(C1208="Yes","Yes","No")))</f>
        <v>No</v>
      </c>
      <c r="Z1208" t="str">
        <f>IF(MAIN!$F$3="Project to Date",IF(AND(A1208&gt;=SETTINGS!$B$4,A1208&lt;MAIN!$B$3),"Yes",IF(AND(A1208=MAIN!$B$3,E1208&lt;=MAIN!$L$3),"Yes","No")),IF(OR(MAIN!$F$3="Full Year",MAIN!$D$3="All"),"Yes",IF(MAIN!$F$3="Monthly",IF(E1208=MAIN!$L$3,"Yes","No"),IF(E1208&lt;=MAIN!$L$3,"Yes","No"))))</f>
        <v>Yes</v>
      </c>
      <c r="AA1208" t="str">
        <f t="shared" si="113"/>
        <v>No</v>
      </c>
    </row>
    <row r="1209" spans="1:27" x14ac:dyDescent="0.3">
      <c r="A1209">
        <f>INDEX(SETTINGS!$A$15:$A$24,$B1209)</f>
        <v>2030</v>
      </c>
      <c r="B1209">
        <v>6</v>
      </c>
      <c r="C1209" t="str">
        <f>IF(AND(A1209&gt;=SETTINGS!$B$4,A1209&lt;=SETTINGS!$B$5),"Yes","No")</f>
        <v>No</v>
      </c>
      <c r="D1209" t="str">
        <f>IFERROR(INDEX(SETTINGS!$C$15:$C$24,MATCH(A1209,SETTINGS!$A$15:$A$24,0)),"No")</f>
        <v>No</v>
      </c>
      <c r="E1209">
        <v>4</v>
      </c>
      <c r="F1209" t="s">
        <v>37</v>
      </c>
      <c r="G1209">
        <v>93</v>
      </c>
      <c r="H1209" t="s">
        <v>104</v>
      </c>
      <c r="I1209" t="s">
        <v>22</v>
      </c>
      <c r="J1209" t="s">
        <v>24</v>
      </c>
      <c r="K1209" t="s">
        <v>3</v>
      </c>
      <c r="L1209" s="36">
        <f ca="1">IF(C1209&lt;&gt;"Yes",0,IF(A1209=2025,N('2025'!D93),IF(A1209=2026,N('2026'!D93),IF(A1209=2027,N('2027'!D93),IF(A1209=2028,N('2028'!D93),IF(A1209=2029,N('2029'!D93),IF(A1209=2030,N('2030'!D93),IF(A1209=2031,N('2031'!D93),IF(A1209=2032,N('2032'!D93),IF(A1209=2033,N('2033'!D93),IF(A1209=2034,N('2034'!D93),IFERROR(N(INDIRECT("'"&amp;A1209&amp;"'!D"&amp;G1209)),0))))))))))))</f>
        <v>0</v>
      </c>
      <c r="M1209" s="36">
        <f>IFERROR(IF(NOT(ISBLANK(KPI_TARGETS!$L$15)),KPI_TARGETS!$L$15,IF(NOT(ISBLANK(KPI_TARGETS!$F$15)),KPI_TARGETS!$F$15,"")),"")</f>
        <v>5</v>
      </c>
      <c r="N1209" s="36" t="str">
        <f>IFERROR(KPI_TARGETS!$E$15,"Higher is better")</f>
        <v>Higher is better</v>
      </c>
      <c r="O1209" s="37">
        <f t="shared" ca="1" si="108"/>
        <v>0</v>
      </c>
      <c r="P1209" t="str">
        <f t="shared" ca="1" si="109"/>
        <v>Red</v>
      </c>
      <c r="Q1209" s="36">
        <f t="shared" ca="1" si="110"/>
        <v>-5</v>
      </c>
      <c r="R1209" s="36" t="str">
        <f>""</f>
        <v/>
      </c>
      <c r="S1209" s="36" t="str">
        <f>""</f>
        <v/>
      </c>
      <c r="T1209" s="36" t="str">
        <f>""</f>
        <v/>
      </c>
      <c r="U1209" s="36" t="str">
        <f>""</f>
        <v/>
      </c>
      <c r="V1209" s="36" t="str">
        <f>""</f>
        <v/>
      </c>
      <c r="W1209" s="36">
        <f t="shared" si="111"/>
        <v>1</v>
      </c>
      <c r="X1209" t="str">
        <f t="shared" si="112"/>
        <v>Inactive</v>
      </c>
      <c r="Y1209" t="str">
        <f>IF(MAIN!$H$3="Selected Year",IF(A1209=MAIN!$B$3,"Yes","No"),IF(MAIN!$H$3="Included Years",IF(D1209="Yes","Yes","No"),IF(C1209="Yes","Yes","No")))</f>
        <v>No</v>
      </c>
      <c r="Z1209" t="str">
        <f>IF(MAIN!$F$3="Project to Date",IF(AND(A1209&gt;=SETTINGS!$B$4,A1209&lt;MAIN!$B$3),"Yes",IF(AND(A1209=MAIN!$B$3,E1209&lt;=MAIN!$L$3),"Yes","No")),IF(OR(MAIN!$F$3="Full Year",MAIN!$D$3="All"),"Yes",IF(MAIN!$F$3="Monthly",IF(E1209=MAIN!$L$3,"Yes","No"),IF(E1209&lt;=MAIN!$L$3,"Yes","No"))))</f>
        <v>Yes</v>
      </c>
      <c r="AA1209" t="str">
        <f t="shared" si="113"/>
        <v>No</v>
      </c>
    </row>
    <row r="1210" spans="1:27" x14ac:dyDescent="0.3">
      <c r="A1210">
        <f>INDEX(SETTINGS!$A$15:$A$24,$B1210)</f>
        <v>2030</v>
      </c>
      <c r="B1210">
        <v>6</v>
      </c>
      <c r="C1210" t="str">
        <f>IF(AND(A1210&gt;=SETTINGS!$B$4,A1210&lt;=SETTINGS!$B$5),"Yes","No")</f>
        <v>No</v>
      </c>
      <c r="D1210" t="str">
        <f>IFERROR(INDEX(SETTINGS!$C$15:$C$24,MATCH(A1210,SETTINGS!$A$15:$A$24,0)),"No")</f>
        <v>No</v>
      </c>
      <c r="E1210">
        <v>4</v>
      </c>
      <c r="F1210" t="s">
        <v>37</v>
      </c>
      <c r="G1210">
        <v>94</v>
      </c>
      <c r="H1210" t="s">
        <v>105</v>
      </c>
      <c r="I1210" t="s">
        <v>22</v>
      </c>
      <c r="J1210" t="s">
        <v>25</v>
      </c>
      <c r="K1210" t="s">
        <v>3</v>
      </c>
      <c r="L1210" s="36">
        <f ca="1">IF(C1210&lt;&gt;"Yes",0,IF(A1210=2025,N('2025'!D94),IF(A1210=2026,N('2026'!D94),IF(A1210=2027,N('2027'!D94),IF(A1210=2028,N('2028'!D94),IF(A1210=2029,N('2029'!D94),IF(A1210=2030,N('2030'!D94),IF(A1210=2031,N('2031'!D94),IF(A1210=2032,N('2032'!D94),IF(A1210=2033,N('2033'!D94),IF(A1210=2034,N('2034'!D94),IFERROR(N(INDIRECT("'"&amp;A1210&amp;"'!D"&amp;G1210)),0))))))))))))</f>
        <v>0</v>
      </c>
      <c r="M1210" s="36">
        <f>IFERROR(IF(NOT(ISBLANK(KPI_TARGETS!$L$16)),KPI_TARGETS!$L$16,IF(NOT(ISBLANK(KPI_TARGETS!$F$16)),KPI_TARGETS!$F$16,"")),"")</f>
        <v>4</v>
      </c>
      <c r="N1210" s="36" t="str">
        <f>IFERROR(KPI_TARGETS!$E$16,"Higher is better")</f>
        <v>Higher is better</v>
      </c>
      <c r="O1210" s="37">
        <f t="shared" ca="1" si="108"/>
        <v>0</v>
      </c>
      <c r="P1210" t="str">
        <f t="shared" ca="1" si="109"/>
        <v>Red</v>
      </c>
      <c r="Q1210" s="36">
        <f t="shared" ca="1" si="110"/>
        <v>-4</v>
      </c>
      <c r="R1210" s="36" t="str">
        <f>""</f>
        <v/>
      </c>
      <c r="S1210" s="36" t="str">
        <f>""</f>
        <v/>
      </c>
      <c r="T1210" s="36" t="str">
        <f>""</f>
        <v/>
      </c>
      <c r="U1210" s="36" t="str">
        <f>""</f>
        <v/>
      </c>
      <c r="V1210" s="36" t="str">
        <f>""</f>
        <v/>
      </c>
      <c r="W1210" s="36">
        <f t="shared" si="111"/>
        <v>1</v>
      </c>
      <c r="X1210" t="str">
        <f t="shared" si="112"/>
        <v>Inactive</v>
      </c>
      <c r="Y1210" t="str">
        <f>IF(MAIN!$H$3="Selected Year",IF(A1210=MAIN!$B$3,"Yes","No"),IF(MAIN!$H$3="Included Years",IF(D1210="Yes","Yes","No"),IF(C1210="Yes","Yes","No")))</f>
        <v>No</v>
      </c>
      <c r="Z1210" t="str">
        <f>IF(MAIN!$F$3="Project to Date",IF(AND(A1210&gt;=SETTINGS!$B$4,A1210&lt;MAIN!$B$3),"Yes",IF(AND(A1210=MAIN!$B$3,E1210&lt;=MAIN!$L$3),"Yes","No")),IF(OR(MAIN!$F$3="Full Year",MAIN!$D$3="All"),"Yes",IF(MAIN!$F$3="Monthly",IF(E1210=MAIN!$L$3,"Yes","No"),IF(E1210&lt;=MAIN!$L$3,"Yes","No"))))</f>
        <v>Yes</v>
      </c>
      <c r="AA1210" t="str">
        <f t="shared" si="113"/>
        <v>No</v>
      </c>
    </row>
    <row r="1211" spans="1:27" x14ac:dyDescent="0.3">
      <c r="A1211">
        <f>INDEX(SETTINGS!$A$15:$A$24,$B1211)</f>
        <v>2030</v>
      </c>
      <c r="B1211">
        <v>6</v>
      </c>
      <c r="C1211" t="str">
        <f>IF(AND(A1211&gt;=SETTINGS!$B$4,A1211&lt;=SETTINGS!$B$5),"Yes","No")</f>
        <v>No</v>
      </c>
      <c r="D1211" t="str">
        <f>IFERROR(INDEX(SETTINGS!$C$15:$C$24,MATCH(A1211,SETTINGS!$A$15:$A$24,0)),"No")</f>
        <v>No</v>
      </c>
      <c r="E1211">
        <v>4</v>
      </c>
      <c r="F1211" t="s">
        <v>37</v>
      </c>
      <c r="G1211">
        <v>95</v>
      </c>
      <c r="H1211" t="s">
        <v>106</v>
      </c>
      <c r="I1211" t="s">
        <v>22</v>
      </c>
      <c r="J1211" t="s">
        <v>26</v>
      </c>
      <c r="K1211" t="s">
        <v>3</v>
      </c>
      <c r="L1211" s="36">
        <f ca="1">IF(C1211&lt;&gt;"Yes",0,IF(A1211=2025,N('2025'!D95),IF(A1211=2026,N('2026'!D95),IF(A1211=2027,N('2027'!D95),IF(A1211=2028,N('2028'!D95),IF(A1211=2029,N('2029'!D95),IF(A1211=2030,N('2030'!D95),IF(A1211=2031,N('2031'!D95),IF(A1211=2032,N('2032'!D95),IF(A1211=2033,N('2033'!D95),IF(A1211=2034,N('2034'!D95),IFERROR(N(INDIRECT("'"&amp;A1211&amp;"'!D"&amp;G1211)),0))))))))))))</f>
        <v>0</v>
      </c>
      <c r="M1211" s="36">
        <f>IFERROR(IF(NOT(ISBLANK(KPI_TARGETS!$L$17)),KPI_TARGETS!$L$17,IF(NOT(ISBLANK(KPI_TARGETS!$F$17)),KPI_TARGETS!$F$17,"")),"")</f>
        <v>12</v>
      </c>
      <c r="N1211" s="36" t="str">
        <f>IFERROR(KPI_TARGETS!$E$17,"Higher is better")</f>
        <v>Higher is better</v>
      </c>
      <c r="O1211" s="37">
        <f t="shared" ca="1" si="108"/>
        <v>0</v>
      </c>
      <c r="P1211" t="str">
        <f t="shared" ca="1" si="109"/>
        <v>Red</v>
      </c>
      <c r="Q1211" s="36">
        <f t="shared" ca="1" si="110"/>
        <v>-12</v>
      </c>
      <c r="R1211" s="36" t="str">
        <f>""</f>
        <v/>
      </c>
      <c r="S1211" s="36" t="str">
        <f>""</f>
        <v/>
      </c>
      <c r="T1211" s="36" t="str">
        <f>""</f>
        <v/>
      </c>
      <c r="U1211" s="36" t="str">
        <f>""</f>
        <v/>
      </c>
      <c r="V1211" s="36" t="str">
        <f>""</f>
        <v/>
      </c>
      <c r="W1211" s="36">
        <f t="shared" si="111"/>
        <v>1</v>
      </c>
      <c r="X1211" t="str">
        <f t="shared" si="112"/>
        <v>Inactive</v>
      </c>
      <c r="Y1211" t="str">
        <f>IF(MAIN!$H$3="Selected Year",IF(A1211=MAIN!$B$3,"Yes","No"),IF(MAIN!$H$3="Included Years",IF(D1211="Yes","Yes","No"),IF(C1211="Yes","Yes","No")))</f>
        <v>No</v>
      </c>
      <c r="Z1211" t="str">
        <f>IF(MAIN!$F$3="Project to Date",IF(AND(A1211&gt;=SETTINGS!$B$4,A1211&lt;MAIN!$B$3),"Yes",IF(AND(A1211=MAIN!$B$3,E1211&lt;=MAIN!$L$3),"Yes","No")),IF(OR(MAIN!$F$3="Full Year",MAIN!$D$3="All"),"Yes",IF(MAIN!$F$3="Monthly",IF(E1211=MAIN!$L$3,"Yes","No"),IF(E1211&lt;=MAIN!$L$3,"Yes","No"))))</f>
        <v>Yes</v>
      </c>
      <c r="AA1211" t="str">
        <f t="shared" si="113"/>
        <v>No</v>
      </c>
    </row>
    <row r="1212" spans="1:27" x14ac:dyDescent="0.3">
      <c r="A1212">
        <f>INDEX(SETTINGS!$A$15:$A$24,$B1212)</f>
        <v>2030</v>
      </c>
      <c r="B1212">
        <v>6</v>
      </c>
      <c r="C1212" t="str">
        <f>IF(AND(A1212&gt;=SETTINGS!$B$4,A1212&lt;=SETTINGS!$B$5),"Yes","No")</f>
        <v>No</v>
      </c>
      <c r="D1212" t="str">
        <f>IFERROR(INDEX(SETTINGS!$C$15:$C$24,MATCH(A1212,SETTINGS!$A$15:$A$24,0)),"No")</f>
        <v>No</v>
      </c>
      <c r="E1212">
        <v>4</v>
      </c>
      <c r="F1212" t="s">
        <v>37</v>
      </c>
      <c r="G1212">
        <v>96</v>
      </c>
      <c r="H1212" t="s">
        <v>107</v>
      </c>
      <c r="I1212" t="s">
        <v>22</v>
      </c>
      <c r="J1212" t="s">
        <v>27</v>
      </c>
      <c r="K1212" t="s">
        <v>3</v>
      </c>
      <c r="L1212" s="36">
        <f ca="1">IF(C1212&lt;&gt;"Yes",0,IF(A1212=2025,N('2025'!D96),IF(A1212=2026,N('2026'!D96),IF(A1212=2027,N('2027'!D96),IF(A1212=2028,N('2028'!D96),IF(A1212=2029,N('2029'!D96),IF(A1212=2030,N('2030'!D96),IF(A1212=2031,N('2031'!D96),IF(A1212=2032,N('2032'!D96),IF(A1212=2033,N('2033'!D96),IF(A1212=2034,N('2034'!D96),IFERROR(N(INDIRECT("'"&amp;A1212&amp;"'!D"&amp;G1212)),0))))))))))))</f>
        <v>0</v>
      </c>
      <c r="M1212" s="36">
        <f>IFERROR(IF(NOT(ISBLANK(KPI_TARGETS!$L$18)),KPI_TARGETS!$L$18,IF(NOT(ISBLANK(KPI_TARGETS!$F$18)),KPI_TARGETS!$F$18,"")),"")</f>
        <v>4</v>
      </c>
      <c r="N1212" s="36" t="str">
        <f>IFERROR(KPI_TARGETS!$E$18,"Higher is better")</f>
        <v>Higher is better</v>
      </c>
      <c r="O1212" s="37">
        <f t="shared" ca="1" si="108"/>
        <v>0</v>
      </c>
      <c r="P1212" t="str">
        <f t="shared" ca="1" si="109"/>
        <v>Red</v>
      </c>
      <c r="Q1212" s="36">
        <f t="shared" ca="1" si="110"/>
        <v>-4</v>
      </c>
      <c r="R1212" s="36" t="str">
        <f>""</f>
        <v/>
      </c>
      <c r="S1212" s="36" t="str">
        <f>""</f>
        <v/>
      </c>
      <c r="T1212" s="36" t="str">
        <f>""</f>
        <v/>
      </c>
      <c r="U1212" s="36" t="str">
        <f>""</f>
        <v/>
      </c>
      <c r="V1212" s="36" t="str">
        <f>""</f>
        <v/>
      </c>
      <c r="W1212" s="36">
        <f t="shared" si="111"/>
        <v>1</v>
      </c>
      <c r="X1212" t="str">
        <f t="shared" si="112"/>
        <v>Inactive</v>
      </c>
      <c r="Y1212" t="str">
        <f>IF(MAIN!$H$3="Selected Year",IF(A1212=MAIN!$B$3,"Yes","No"),IF(MAIN!$H$3="Included Years",IF(D1212="Yes","Yes","No"),IF(C1212="Yes","Yes","No")))</f>
        <v>No</v>
      </c>
      <c r="Z1212" t="str">
        <f>IF(MAIN!$F$3="Project to Date",IF(AND(A1212&gt;=SETTINGS!$B$4,A1212&lt;MAIN!$B$3),"Yes",IF(AND(A1212=MAIN!$B$3,E1212&lt;=MAIN!$L$3),"Yes","No")),IF(OR(MAIN!$F$3="Full Year",MAIN!$D$3="All"),"Yes",IF(MAIN!$F$3="Monthly",IF(E1212=MAIN!$L$3,"Yes","No"),IF(E1212&lt;=MAIN!$L$3,"Yes","No"))))</f>
        <v>Yes</v>
      </c>
      <c r="AA1212" t="str">
        <f t="shared" si="113"/>
        <v>No</v>
      </c>
    </row>
    <row r="1213" spans="1:27" x14ac:dyDescent="0.3">
      <c r="A1213">
        <f>INDEX(SETTINGS!$A$15:$A$24,$B1213)</f>
        <v>2030</v>
      </c>
      <c r="B1213">
        <v>6</v>
      </c>
      <c r="C1213" t="str">
        <f>IF(AND(A1213&gt;=SETTINGS!$B$4,A1213&lt;=SETTINGS!$B$5),"Yes","No")</f>
        <v>No</v>
      </c>
      <c r="D1213" t="str">
        <f>IFERROR(INDEX(SETTINGS!$C$15:$C$24,MATCH(A1213,SETTINGS!$A$15:$A$24,0)),"No")</f>
        <v>No</v>
      </c>
      <c r="E1213">
        <v>4</v>
      </c>
      <c r="F1213" t="s">
        <v>37</v>
      </c>
      <c r="G1213">
        <v>97</v>
      </c>
      <c r="H1213" t="s">
        <v>108</v>
      </c>
      <c r="I1213" t="s">
        <v>22</v>
      </c>
      <c r="J1213" t="s">
        <v>28</v>
      </c>
      <c r="K1213" t="s">
        <v>3</v>
      </c>
      <c r="L1213" s="36">
        <f ca="1">IF(C1213&lt;&gt;"Yes",0,IF(A1213=2025,N('2025'!D97),IF(A1213=2026,N('2026'!D97),IF(A1213=2027,N('2027'!D97),IF(A1213=2028,N('2028'!D97),IF(A1213=2029,N('2029'!D97),IF(A1213=2030,N('2030'!D97),IF(A1213=2031,N('2031'!D97),IF(A1213=2032,N('2032'!D97),IF(A1213=2033,N('2033'!D97),IF(A1213=2034,N('2034'!D97),IFERROR(N(INDIRECT("'"&amp;A1213&amp;"'!D"&amp;G1213)),0))))))))))))</f>
        <v>0</v>
      </c>
      <c r="M1213" s="36">
        <f>IFERROR(IF(NOT(ISBLANK(KPI_TARGETS!$L$19)),KPI_TARGETS!$L$19,IF(NOT(ISBLANK(KPI_TARGETS!$F$19)),KPI_TARGETS!$F$19,"")),"")</f>
        <v>16</v>
      </c>
      <c r="N1213" s="36" t="str">
        <f>IFERROR(KPI_TARGETS!$E$19,"Higher is better")</f>
        <v>Higher is better</v>
      </c>
      <c r="O1213" s="37">
        <f t="shared" ca="1" si="108"/>
        <v>0</v>
      </c>
      <c r="P1213" t="str">
        <f t="shared" ca="1" si="109"/>
        <v>Red</v>
      </c>
      <c r="Q1213" s="36">
        <f t="shared" ca="1" si="110"/>
        <v>-16</v>
      </c>
      <c r="R1213" s="36" t="str">
        <f>""</f>
        <v/>
      </c>
      <c r="S1213" s="36" t="str">
        <f>""</f>
        <v/>
      </c>
      <c r="T1213" s="36" t="str">
        <f>""</f>
        <v/>
      </c>
      <c r="U1213" s="36" t="str">
        <f>""</f>
        <v/>
      </c>
      <c r="V1213" s="36" t="str">
        <f>""</f>
        <v/>
      </c>
      <c r="W1213" s="36">
        <f t="shared" si="111"/>
        <v>1</v>
      </c>
      <c r="X1213" t="str">
        <f t="shared" si="112"/>
        <v>Inactive</v>
      </c>
      <c r="Y1213" t="str">
        <f>IF(MAIN!$H$3="Selected Year",IF(A1213=MAIN!$B$3,"Yes","No"),IF(MAIN!$H$3="Included Years",IF(D1213="Yes","Yes","No"),IF(C1213="Yes","Yes","No")))</f>
        <v>No</v>
      </c>
      <c r="Z1213" t="str">
        <f>IF(MAIN!$F$3="Project to Date",IF(AND(A1213&gt;=SETTINGS!$B$4,A1213&lt;MAIN!$B$3),"Yes",IF(AND(A1213=MAIN!$B$3,E1213&lt;=MAIN!$L$3),"Yes","No")),IF(OR(MAIN!$F$3="Full Year",MAIN!$D$3="All"),"Yes",IF(MAIN!$F$3="Monthly",IF(E1213=MAIN!$L$3,"Yes","No"),IF(E1213&lt;=MAIN!$L$3,"Yes","No"))))</f>
        <v>Yes</v>
      </c>
      <c r="AA1213" t="str">
        <f t="shared" si="113"/>
        <v>No</v>
      </c>
    </row>
    <row r="1214" spans="1:27" x14ac:dyDescent="0.3">
      <c r="A1214">
        <f>INDEX(SETTINGS!$A$15:$A$24,$B1214)</f>
        <v>2030</v>
      </c>
      <c r="B1214">
        <v>6</v>
      </c>
      <c r="C1214" t="str">
        <f>IF(AND(A1214&gt;=SETTINGS!$B$4,A1214&lt;=SETTINGS!$B$5),"Yes","No")</f>
        <v>No</v>
      </c>
      <c r="D1214" t="str">
        <f>IFERROR(INDEX(SETTINGS!$C$15:$C$24,MATCH(A1214,SETTINGS!$A$15:$A$24,0)),"No")</f>
        <v>No</v>
      </c>
      <c r="E1214">
        <v>4</v>
      </c>
      <c r="F1214" t="s">
        <v>37</v>
      </c>
      <c r="G1214">
        <v>98</v>
      </c>
      <c r="H1214" t="s">
        <v>109</v>
      </c>
      <c r="I1214" t="s">
        <v>22</v>
      </c>
      <c r="J1214" t="s">
        <v>29</v>
      </c>
      <c r="K1214" t="s">
        <v>3</v>
      </c>
      <c r="L1214" s="36">
        <f ca="1">IF(C1214&lt;&gt;"Yes",0,IF(A1214=2025,N('2025'!D98),IF(A1214=2026,N('2026'!D98),IF(A1214=2027,N('2027'!D98),IF(A1214=2028,N('2028'!D98),IF(A1214=2029,N('2029'!D98),IF(A1214=2030,N('2030'!D98),IF(A1214=2031,N('2031'!D98),IF(A1214=2032,N('2032'!D98),IF(A1214=2033,N('2033'!D98),IF(A1214=2034,N('2034'!D98),IFERROR(N(INDIRECT("'"&amp;A1214&amp;"'!D"&amp;G1214)),0))))))))))))</f>
        <v>0</v>
      </c>
      <c r="M1214" s="36">
        <f>IFERROR(IF(NOT(ISBLANK(KPI_TARGETS!$L$20)),KPI_TARGETS!$L$20,IF(NOT(ISBLANK(KPI_TARGETS!$F$20)),KPI_TARGETS!$F$20,"")),"")</f>
        <v>1</v>
      </c>
      <c r="N1214" s="36" t="str">
        <f>IFERROR(KPI_TARGETS!$E$20,"Higher is better")</f>
        <v>Higher is better</v>
      </c>
      <c r="O1214" s="37">
        <f t="shared" ca="1" si="108"/>
        <v>0</v>
      </c>
      <c r="P1214" t="str">
        <f t="shared" ca="1" si="109"/>
        <v>Red</v>
      </c>
      <c r="Q1214" s="36">
        <f t="shared" ca="1" si="110"/>
        <v>-1</v>
      </c>
      <c r="R1214" s="36" t="str">
        <f>""</f>
        <v/>
      </c>
      <c r="S1214" s="36" t="str">
        <f>""</f>
        <v/>
      </c>
      <c r="T1214" s="36" t="str">
        <f>""</f>
        <v/>
      </c>
      <c r="U1214" s="36" t="str">
        <f>""</f>
        <v/>
      </c>
      <c r="V1214" s="36" t="str">
        <f>""</f>
        <v/>
      </c>
      <c r="W1214" s="36">
        <f t="shared" si="111"/>
        <v>1</v>
      </c>
      <c r="X1214" t="str">
        <f t="shared" si="112"/>
        <v>Inactive</v>
      </c>
      <c r="Y1214" t="str">
        <f>IF(MAIN!$H$3="Selected Year",IF(A1214=MAIN!$B$3,"Yes","No"),IF(MAIN!$H$3="Included Years",IF(D1214="Yes","Yes","No"),IF(C1214="Yes","Yes","No")))</f>
        <v>No</v>
      </c>
      <c r="Z1214" t="str">
        <f>IF(MAIN!$F$3="Project to Date",IF(AND(A1214&gt;=SETTINGS!$B$4,A1214&lt;MAIN!$B$3),"Yes",IF(AND(A1214=MAIN!$B$3,E1214&lt;=MAIN!$L$3),"Yes","No")),IF(OR(MAIN!$F$3="Full Year",MAIN!$D$3="All"),"Yes",IF(MAIN!$F$3="Monthly",IF(E1214=MAIN!$L$3,"Yes","No"),IF(E1214&lt;=MAIN!$L$3,"Yes","No"))))</f>
        <v>Yes</v>
      </c>
      <c r="AA1214" t="str">
        <f t="shared" si="113"/>
        <v>No</v>
      </c>
    </row>
    <row r="1215" spans="1:27" x14ac:dyDescent="0.3">
      <c r="A1215">
        <f>INDEX(SETTINGS!$A$15:$A$24,$B1215)</f>
        <v>2030</v>
      </c>
      <c r="B1215">
        <v>6</v>
      </c>
      <c r="C1215" t="str">
        <f>IF(AND(A1215&gt;=SETTINGS!$B$4,A1215&lt;=SETTINGS!$B$5),"Yes","No")</f>
        <v>No</v>
      </c>
      <c r="D1215" t="str">
        <f>IFERROR(INDEX(SETTINGS!$C$15:$C$24,MATCH(A1215,SETTINGS!$A$15:$A$24,0)),"No")</f>
        <v>No</v>
      </c>
      <c r="E1215">
        <v>4</v>
      </c>
      <c r="F1215" t="s">
        <v>37</v>
      </c>
      <c r="G1215">
        <v>100</v>
      </c>
      <c r="H1215" t="s">
        <v>110</v>
      </c>
      <c r="I1215" t="s">
        <v>30</v>
      </c>
      <c r="J1215" t="s">
        <v>31</v>
      </c>
      <c r="K1215" t="s">
        <v>3</v>
      </c>
      <c r="L1215" s="36">
        <f ca="1">IF(C1215&lt;&gt;"Yes",0,IF(A1215=2025,N('2025'!D100),IF(A1215=2026,N('2026'!D100),IF(A1215=2027,N('2027'!D100),IF(A1215=2028,N('2028'!D100),IF(A1215=2029,N('2029'!D100),IF(A1215=2030,N('2030'!D100),IF(A1215=2031,N('2031'!D100),IF(A1215=2032,N('2032'!D100),IF(A1215=2033,N('2033'!D100),IF(A1215=2034,N('2034'!D100),IFERROR(N(INDIRECT("'"&amp;A1215&amp;"'!D"&amp;G1215)),0))))))))))))</f>
        <v>0</v>
      </c>
      <c r="M1215" s="36">
        <f>IFERROR(IF(NOT(ISBLANK(KPI_TARGETS!$L$21)),KPI_TARGETS!$L$21,IF(NOT(ISBLANK(KPI_TARGETS!$F$21)),KPI_TARGETS!$F$21,"")),"")</f>
        <v>0</v>
      </c>
      <c r="N1215" s="36" t="str">
        <f>IFERROR(KPI_TARGETS!$E$21,"Higher is better")</f>
        <v>Lower is better</v>
      </c>
      <c r="O1215" s="37">
        <f t="shared" ca="1" si="108"/>
        <v>1</v>
      </c>
      <c r="P1215" t="str">
        <f t="shared" ca="1" si="109"/>
        <v>Green</v>
      </c>
      <c r="Q1215" s="36">
        <f t="shared" ca="1" si="110"/>
        <v>0</v>
      </c>
      <c r="R1215" s="36" t="str">
        <f>""</f>
        <v/>
      </c>
      <c r="S1215" s="36" t="str">
        <f>""</f>
        <v/>
      </c>
      <c r="T1215" s="36" t="str">
        <f>""</f>
        <v/>
      </c>
      <c r="U1215" s="36" t="str">
        <f>""</f>
        <v/>
      </c>
      <c r="V1215" s="36" t="str">
        <f>""</f>
        <v/>
      </c>
      <c r="W1215" s="36">
        <f t="shared" si="111"/>
        <v>1</v>
      </c>
      <c r="X1215" t="str">
        <f t="shared" si="112"/>
        <v>Inactive</v>
      </c>
      <c r="Y1215" t="str">
        <f>IF(MAIN!$H$3="Selected Year",IF(A1215=MAIN!$B$3,"Yes","No"),IF(MAIN!$H$3="Included Years",IF(D1215="Yes","Yes","No"),IF(C1215="Yes","Yes","No")))</f>
        <v>No</v>
      </c>
      <c r="Z1215" t="str">
        <f>IF(MAIN!$F$3="Project to Date",IF(AND(A1215&gt;=SETTINGS!$B$4,A1215&lt;MAIN!$B$3),"Yes",IF(AND(A1215=MAIN!$B$3,E1215&lt;=MAIN!$L$3),"Yes","No")),IF(OR(MAIN!$F$3="Full Year",MAIN!$D$3="All"),"Yes",IF(MAIN!$F$3="Monthly",IF(E1215=MAIN!$L$3,"Yes","No"),IF(E1215&lt;=MAIN!$L$3,"Yes","No"))))</f>
        <v>Yes</v>
      </c>
      <c r="AA1215" t="str">
        <f t="shared" si="113"/>
        <v>No</v>
      </c>
    </row>
    <row r="1216" spans="1:27" x14ac:dyDescent="0.3">
      <c r="A1216">
        <f>INDEX(SETTINGS!$A$15:$A$24,$B1216)</f>
        <v>2030</v>
      </c>
      <c r="B1216">
        <v>6</v>
      </c>
      <c r="C1216" t="str">
        <f>IF(AND(A1216&gt;=SETTINGS!$B$4,A1216&lt;=SETTINGS!$B$5),"Yes","No")</f>
        <v>No</v>
      </c>
      <c r="D1216" t="str">
        <f>IFERROR(INDEX(SETTINGS!$C$15:$C$24,MATCH(A1216,SETTINGS!$A$15:$A$24,0)),"No")</f>
        <v>No</v>
      </c>
      <c r="E1216">
        <v>4</v>
      </c>
      <c r="F1216" t="s">
        <v>37</v>
      </c>
      <c r="G1216">
        <v>101</v>
      </c>
      <c r="H1216" t="s">
        <v>111</v>
      </c>
      <c r="I1216" t="s">
        <v>30</v>
      </c>
      <c r="J1216" t="s">
        <v>32</v>
      </c>
      <c r="K1216" t="s">
        <v>3</v>
      </c>
      <c r="L1216" s="36">
        <f ca="1">IF(C1216&lt;&gt;"Yes",0,IF(A1216=2025,N('2025'!D101),IF(A1216=2026,N('2026'!D101),IF(A1216=2027,N('2027'!D101),IF(A1216=2028,N('2028'!D101),IF(A1216=2029,N('2029'!D101),IF(A1216=2030,N('2030'!D101),IF(A1216=2031,N('2031'!D101),IF(A1216=2032,N('2032'!D101),IF(A1216=2033,N('2033'!D101),IF(A1216=2034,N('2034'!D101),IFERROR(N(INDIRECT("'"&amp;A1216&amp;"'!D"&amp;G1216)),0))))))))))))</f>
        <v>0</v>
      </c>
      <c r="M1216" s="36">
        <f>IFERROR(IF(NOT(ISBLANK(KPI_TARGETS!$L$22)),KPI_TARGETS!$L$22,IF(NOT(ISBLANK(KPI_TARGETS!$F$22)),KPI_TARGETS!$F$22,"")),"")</f>
        <v>1</v>
      </c>
      <c r="N1216" s="36" t="str">
        <f>IFERROR(KPI_TARGETS!$E$22,"Higher is better")</f>
        <v>Higher is better</v>
      </c>
      <c r="O1216" s="37">
        <f t="shared" ca="1" si="108"/>
        <v>0</v>
      </c>
      <c r="P1216" t="str">
        <f t="shared" ca="1" si="109"/>
        <v>Red</v>
      </c>
      <c r="Q1216" s="36">
        <f t="shared" ca="1" si="110"/>
        <v>-1</v>
      </c>
      <c r="R1216" s="36" t="str">
        <f>""</f>
        <v/>
      </c>
      <c r="S1216" s="36" t="str">
        <f>""</f>
        <v/>
      </c>
      <c r="T1216" s="36" t="str">
        <f>""</f>
        <v/>
      </c>
      <c r="U1216" s="36" t="str">
        <f>""</f>
        <v/>
      </c>
      <c r="V1216" s="36" t="str">
        <f>""</f>
        <v/>
      </c>
      <c r="W1216" s="36">
        <f t="shared" si="111"/>
        <v>1</v>
      </c>
      <c r="X1216" t="str">
        <f t="shared" si="112"/>
        <v>Inactive</v>
      </c>
      <c r="Y1216" t="str">
        <f>IF(MAIN!$H$3="Selected Year",IF(A1216=MAIN!$B$3,"Yes","No"),IF(MAIN!$H$3="Included Years",IF(D1216="Yes","Yes","No"),IF(C1216="Yes","Yes","No")))</f>
        <v>No</v>
      </c>
      <c r="Z1216" t="str">
        <f>IF(MAIN!$F$3="Project to Date",IF(AND(A1216&gt;=SETTINGS!$B$4,A1216&lt;MAIN!$B$3),"Yes",IF(AND(A1216=MAIN!$B$3,E1216&lt;=MAIN!$L$3),"Yes","No")),IF(OR(MAIN!$F$3="Full Year",MAIN!$D$3="All"),"Yes",IF(MAIN!$F$3="Monthly",IF(E1216=MAIN!$L$3,"Yes","No"),IF(E1216&lt;=MAIN!$L$3,"Yes","No"))))</f>
        <v>Yes</v>
      </c>
      <c r="AA1216" t="str">
        <f t="shared" si="113"/>
        <v>No</v>
      </c>
    </row>
    <row r="1217" spans="1:27" x14ac:dyDescent="0.3">
      <c r="A1217">
        <f>INDEX(SETTINGS!$A$15:$A$24,$B1217)</f>
        <v>2030</v>
      </c>
      <c r="B1217">
        <v>6</v>
      </c>
      <c r="C1217" t="str">
        <f>IF(AND(A1217&gt;=SETTINGS!$B$4,A1217&lt;=SETTINGS!$B$5),"Yes","No")</f>
        <v>No</v>
      </c>
      <c r="D1217" t="str">
        <f>IFERROR(INDEX(SETTINGS!$C$15:$C$24,MATCH(A1217,SETTINGS!$A$15:$A$24,0)),"No")</f>
        <v>No</v>
      </c>
      <c r="E1217">
        <v>4</v>
      </c>
      <c r="F1217" t="s">
        <v>37</v>
      </c>
      <c r="G1217">
        <v>102</v>
      </c>
      <c r="H1217" t="s">
        <v>112</v>
      </c>
      <c r="I1217" t="s">
        <v>30</v>
      </c>
      <c r="J1217" t="s">
        <v>33</v>
      </c>
      <c r="K1217" t="s">
        <v>34</v>
      </c>
      <c r="L1217" s="36">
        <f ca="1">IF(C1217&lt;&gt;"Yes",0,IF(A1217=2025,N('2025'!D102),IF(A1217=2026,N('2026'!D102),IF(A1217=2027,N('2027'!D102),IF(A1217=2028,N('2028'!D102),IF(A1217=2029,N('2029'!D102),IF(A1217=2030,N('2030'!D102),IF(A1217=2031,N('2031'!D102),IF(A1217=2032,N('2032'!D102),IF(A1217=2033,N('2033'!D102),IF(A1217=2034,N('2034'!D102),IFERROR(N(INDIRECT("'"&amp;A1217&amp;"'!D"&amp;G1217)),0))))))))))))</f>
        <v>0</v>
      </c>
      <c r="M1217" s="36">
        <f>IFERROR(IF(NOT(ISBLANK(KPI_TARGETS!$L$23)),KPI_TARGETS!$L$23,IF(NOT(ISBLANK(KPI_TARGETS!$F$23)),KPI_TARGETS!$F$23,"")),"")</f>
        <v>1</v>
      </c>
      <c r="N1217" s="36" t="str">
        <f>IFERROR(KPI_TARGETS!$E$23,"Higher is better")</f>
        <v>Higher is better</v>
      </c>
      <c r="O1217" s="37">
        <f t="shared" ca="1" si="108"/>
        <v>0</v>
      </c>
      <c r="P1217" t="str">
        <f t="shared" ca="1" si="109"/>
        <v>Red</v>
      </c>
      <c r="Q1217" s="36">
        <f t="shared" ca="1" si="110"/>
        <v>-1</v>
      </c>
      <c r="R1217" s="36" t="str">
        <f>""</f>
        <v/>
      </c>
      <c r="S1217" s="36" t="str">
        <f>""</f>
        <v/>
      </c>
      <c r="T1217" s="36" t="str">
        <f>""</f>
        <v/>
      </c>
      <c r="U1217" s="36" t="str">
        <f>""</f>
        <v/>
      </c>
      <c r="V1217" s="36" t="str">
        <f>""</f>
        <v/>
      </c>
      <c r="W1217" s="36">
        <f t="shared" si="111"/>
        <v>1</v>
      </c>
      <c r="X1217" t="str">
        <f t="shared" si="112"/>
        <v>Inactive</v>
      </c>
      <c r="Y1217" t="str">
        <f>IF(MAIN!$H$3="Selected Year",IF(A1217=MAIN!$B$3,"Yes","No"),IF(MAIN!$H$3="Included Years",IF(D1217="Yes","Yes","No"),IF(C1217="Yes","Yes","No")))</f>
        <v>No</v>
      </c>
      <c r="Z1217" t="str">
        <f>IF(MAIN!$F$3="Project to Date",IF(AND(A1217&gt;=SETTINGS!$B$4,A1217&lt;MAIN!$B$3),"Yes",IF(AND(A1217=MAIN!$B$3,E1217&lt;=MAIN!$L$3),"Yes","No")),IF(OR(MAIN!$F$3="Full Year",MAIN!$D$3="All"),"Yes",IF(MAIN!$F$3="Monthly",IF(E1217=MAIN!$L$3,"Yes","No"),IF(E1217&lt;=MAIN!$L$3,"Yes","No"))))</f>
        <v>Yes</v>
      </c>
      <c r="AA1217" t="str">
        <f t="shared" si="113"/>
        <v>No</v>
      </c>
    </row>
    <row r="1218" spans="1:27" x14ac:dyDescent="0.3">
      <c r="A1218">
        <f>INDEX(SETTINGS!$A$15:$A$24,$B1218)</f>
        <v>2030</v>
      </c>
      <c r="B1218">
        <v>6</v>
      </c>
      <c r="C1218" t="str">
        <f>IF(AND(A1218&gt;=SETTINGS!$B$4,A1218&lt;=SETTINGS!$B$5),"Yes","No")</f>
        <v>No</v>
      </c>
      <c r="D1218" t="str">
        <f>IFERROR(INDEX(SETTINGS!$C$15:$C$24,MATCH(A1218,SETTINGS!$A$15:$A$24,0)),"No")</f>
        <v>No</v>
      </c>
      <c r="E1218">
        <v>5</v>
      </c>
      <c r="F1218" t="s">
        <v>38</v>
      </c>
      <c r="G1218">
        <v>105</v>
      </c>
      <c r="H1218" t="s">
        <v>88</v>
      </c>
      <c r="I1218" t="s">
        <v>89</v>
      </c>
      <c r="J1218" t="s">
        <v>10</v>
      </c>
      <c r="K1218" t="s">
        <v>3</v>
      </c>
      <c r="L1218" s="36">
        <f ca="1">IF(C1218&lt;&gt;"Yes",0,IF(A1218=2025,N('2025'!D105),IF(A1218=2026,N('2026'!D105),IF(A1218=2027,N('2027'!D105),IF(A1218=2028,N('2028'!D105),IF(A1218=2029,N('2029'!D105),IF(A1218=2030,N('2030'!D105),IF(A1218=2031,N('2031'!D105),IF(A1218=2032,N('2032'!D105),IF(A1218=2033,N('2033'!D105),IF(A1218=2034,N('2034'!D105),IFERROR(N(INDIRECT("'"&amp;A1218&amp;"'!D"&amp;G1218)),0))))))))))))</f>
        <v>0</v>
      </c>
      <c r="M1218" s="36">
        <f>IFERROR(IF(NOT(ISBLANK(KPI_TARGETS!$L$5)),KPI_TARGETS!$L$5,IF(NOT(ISBLANK(KPI_TARGETS!$F$5)),KPI_TARGETS!$F$5,"")),"")</f>
        <v>104</v>
      </c>
      <c r="N1218" s="36" t="str">
        <f>IFERROR(KPI_TARGETS!$E$5,"Higher is better")</f>
        <v>Higher is better</v>
      </c>
      <c r="O1218" s="37">
        <f t="shared" ref="O1218:O1281" ca="1" si="114">IF(M1218="","",IF(N1218="Higher is better",IFERROR(L1218/M1218,""),IF(L1218=0,1,IFERROR(M1218/L1218,""))))</f>
        <v>0</v>
      </c>
      <c r="P1218" t="str">
        <f t="shared" ref="P1218:P1281" ca="1" si="115">IF(M1218="","Target Needed",IF(N1218="Higher is better",IF(L1218&gt;=M1218,"Green",IF(L1218&gt;=0.8*M1218,"Amber","Red")),IF(M1218=0,IF(L1218=0,"Green","Red"),IF(L1218&lt;=M1218,"Green",IF(L1218&lt;=1.25*M1218,"Amber","Red")))))</f>
        <v>Red</v>
      </c>
      <c r="Q1218" s="36">
        <f t="shared" ref="Q1218:Q1281" ca="1" si="116">IF(M1218="","",IF(N1218="Higher is better",L1218-M1218,M1218-L1218))</f>
        <v>-104</v>
      </c>
      <c r="R1218" s="36" t="str">
        <f>""</f>
        <v/>
      </c>
      <c r="S1218" s="36" t="str">
        <f>""</f>
        <v/>
      </c>
      <c r="T1218" s="36" t="str">
        <f>""</f>
        <v/>
      </c>
      <c r="U1218" s="36" t="str">
        <f>""</f>
        <v/>
      </c>
      <c r="V1218" s="36" t="str">
        <f>""</f>
        <v/>
      </c>
      <c r="W1218" s="36">
        <f t="shared" ref="W1218:W1281" si="117">IF(LEN(M1218&amp;"")&gt;0,1,0)</f>
        <v>1</v>
      </c>
      <c r="X1218" t="str">
        <f t="shared" ref="X1218:X1281" si="118">IF(C1218&lt;&gt;"Yes","Inactive",IF(M1218="","Missing target","OK"))</f>
        <v>Inactive</v>
      </c>
      <c r="Y1218" t="str">
        <f>IF(MAIN!$H$3="Selected Year",IF(A1218=MAIN!$B$3,"Yes","No"),IF(MAIN!$H$3="Included Years",IF(D1218="Yes","Yes","No"),IF(C1218="Yes","Yes","No")))</f>
        <v>No</v>
      </c>
      <c r="Z1218" t="str">
        <f>IF(MAIN!$F$3="Project to Date",IF(AND(A1218&gt;=SETTINGS!$B$4,A1218&lt;MAIN!$B$3),"Yes",IF(AND(A1218=MAIN!$B$3,E1218&lt;=MAIN!$L$3),"Yes","No")),IF(OR(MAIN!$F$3="Full Year",MAIN!$D$3="All"),"Yes",IF(MAIN!$F$3="Monthly",IF(E1218=MAIN!$L$3,"Yes","No"),IF(E1218&lt;=MAIN!$L$3,"Yes","No"))))</f>
        <v>Yes</v>
      </c>
      <c r="AA1218" t="str">
        <f t="shared" ref="AA1218:AA1281" si="119">IF(AND(Y1218="Yes",Z1218="Yes"),"Yes","No")</f>
        <v>No</v>
      </c>
    </row>
    <row r="1219" spans="1:27" x14ac:dyDescent="0.3">
      <c r="A1219">
        <f>INDEX(SETTINGS!$A$15:$A$24,$B1219)</f>
        <v>2030</v>
      </c>
      <c r="B1219">
        <v>6</v>
      </c>
      <c r="C1219" t="str">
        <f>IF(AND(A1219&gt;=SETTINGS!$B$4,A1219&lt;=SETTINGS!$B$5),"Yes","No")</f>
        <v>No</v>
      </c>
      <c r="D1219" t="str">
        <f>IFERROR(INDEX(SETTINGS!$C$15:$C$24,MATCH(A1219,SETTINGS!$A$15:$A$24,0)),"No")</f>
        <v>No</v>
      </c>
      <c r="E1219">
        <v>5</v>
      </c>
      <c r="F1219" t="s">
        <v>38</v>
      </c>
      <c r="G1219">
        <v>106</v>
      </c>
      <c r="H1219" t="s">
        <v>91</v>
      </c>
      <c r="I1219" t="s">
        <v>89</v>
      </c>
      <c r="J1219" t="s">
        <v>11</v>
      </c>
      <c r="K1219" t="s">
        <v>12</v>
      </c>
      <c r="L1219" s="36">
        <f ca="1">IF(C1219&lt;&gt;"Yes",0,IF(A1219=2025,N('2025'!D106),IF(A1219=2026,N('2026'!D106),IF(A1219=2027,N('2027'!D106),IF(A1219=2028,N('2028'!D106),IF(A1219=2029,N('2029'!D106),IF(A1219=2030,N('2030'!D106),IF(A1219=2031,N('2031'!D106),IF(A1219=2032,N('2032'!D106),IF(A1219=2033,N('2033'!D106),IF(A1219=2034,N('2034'!D106),IFERROR(N(INDIRECT("'"&amp;A1219&amp;"'!D"&amp;G1219)),0))))))))))))</f>
        <v>0</v>
      </c>
      <c r="M1219" s="36">
        <f>IFERROR(IF(NOT(ISBLANK(KPI_TARGETS!$L$6)),KPI_TARGETS!$L$6,IF(NOT(ISBLANK(KPI_TARGETS!$F$6)),KPI_TARGETS!$F$6,"")),"")</f>
        <v>4000</v>
      </c>
      <c r="N1219" s="36" t="str">
        <f>IFERROR(KPI_TARGETS!$E$6,"Higher is better")</f>
        <v>Higher is better</v>
      </c>
      <c r="O1219" s="37">
        <f t="shared" ca="1" si="114"/>
        <v>0</v>
      </c>
      <c r="P1219" t="str">
        <f t="shared" ca="1" si="115"/>
        <v>Red</v>
      </c>
      <c r="Q1219" s="36">
        <f t="shared" ca="1" si="116"/>
        <v>-4000</v>
      </c>
      <c r="R1219" s="36" t="str">
        <f>""</f>
        <v/>
      </c>
      <c r="S1219" s="36" t="str">
        <f>""</f>
        <v/>
      </c>
      <c r="T1219" s="36" t="str">
        <f>""</f>
        <v/>
      </c>
      <c r="U1219" s="36" t="str">
        <f>""</f>
        <v/>
      </c>
      <c r="V1219" s="36" t="str">
        <f>""</f>
        <v/>
      </c>
      <c r="W1219" s="36">
        <f t="shared" si="117"/>
        <v>1</v>
      </c>
      <c r="X1219" t="str">
        <f t="shared" si="118"/>
        <v>Inactive</v>
      </c>
      <c r="Y1219" t="str">
        <f>IF(MAIN!$H$3="Selected Year",IF(A1219=MAIN!$B$3,"Yes","No"),IF(MAIN!$H$3="Included Years",IF(D1219="Yes","Yes","No"),IF(C1219="Yes","Yes","No")))</f>
        <v>No</v>
      </c>
      <c r="Z1219" t="str">
        <f>IF(MAIN!$F$3="Project to Date",IF(AND(A1219&gt;=SETTINGS!$B$4,A1219&lt;MAIN!$B$3),"Yes",IF(AND(A1219=MAIN!$B$3,E1219&lt;=MAIN!$L$3),"Yes","No")),IF(OR(MAIN!$F$3="Full Year",MAIN!$D$3="All"),"Yes",IF(MAIN!$F$3="Monthly",IF(E1219=MAIN!$L$3,"Yes","No"),IF(E1219&lt;=MAIN!$L$3,"Yes","No"))))</f>
        <v>Yes</v>
      </c>
      <c r="AA1219" t="str">
        <f t="shared" si="119"/>
        <v>No</v>
      </c>
    </row>
    <row r="1220" spans="1:27" x14ac:dyDescent="0.3">
      <c r="A1220">
        <f>INDEX(SETTINGS!$A$15:$A$24,$B1220)</f>
        <v>2030</v>
      </c>
      <c r="B1220">
        <v>6</v>
      </c>
      <c r="C1220" t="str">
        <f>IF(AND(A1220&gt;=SETTINGS!$B$4,A1220&lt;=SETTINGS!$B$5),"Yes","No")</f>
        <v>No</v>
      </c>
      <c r="D1220" t="str">
        <f>IFERROR(INDEX(SETTINGS!$C$15:$C$24,MATCH(A1220,SETTINGS!$A$15:$A$24,0)),"No")</f>
        <v>No</v>
      </c>
      <c r="E1220">
        <v>5</v>
      </c>
      <c r="F1220" t="s">
        <v>38</v>
      </c>
      <c r="G1220">
        <v>107</v>
      </c>
      <c r="H1220" t="s">
        <v>93</v>
      </c>
      <c r="I1220" t="s">
        <v>89</v>
      </c>
      <c r="J1220" t="s">
        <v>13</v>
      </c>
      <c r="K1220" t="s">
        <v>14</v>
      </c>
      <c r="L1220" s="36">
        <f ca="1">IF(C1220&lt;&gt;"Yes",0,IF(A1220=2025,N('2025'!D107),IF(A1220=2026,N('2026'!D107),IF(A1220=2027,N('2027'!D107),IF(A1220=2028,N('2028'!D107),IF(A1220=2029,N('2029'!D107),IF(A1220=2030,N('2030'!D107),IF(A1220=2031,N('2031'!D107),IF(A1220=2032,N('2032'!D107),IF(A1220=2033,N('2033'!D107),IF(A1220=2034,N('2034'!D107),IFERROR(N(INDIRECT("'"&amp;A1220&amp;"'!D"&amp;G1220)),0))))))))))))</f>
        <v>0</v>
      </c>
      <c r="M1220" s="36">
        <f>IFERROR(IF(NOT(ISBLANK(KPI_TARGETS!$L$7)),KPI_TARGETS!$L$7,IF(NOT(ISBLANK(KPI_TARGETS!$F$7)),KPI_TARGETS!$F$7,"")),"")</f>
        <v>8000</v>
      </c>
      <c r="N1220" s="36" t="str">
        <f>IFERROR(KPI_TARGETS!$E$7,"Higher is better")</f>
        <v>Higher is better</v>
      </c>
      <c r="O1220" s="37">
        <f t="shared" ca="1" si="114"/>
        <v>0</v>
      </c>
      <c r="P1220" t="str">
        <f t="shared" ca="1" si="115"/>
        <v>Red</v>
      </c>
      <c r="Q1220" s="36">
        <f t="shared" ca="1" si="116"/>
        <v>-8000</v>
      </c>
      <c r="R1220" s="36" t="str">
        <f>""</f>
        <v/>
      </c>
      <c r="S1220" s="36" t="str">
        <f>""</f>
        <v/>
      </c>
      <c r="T1220" s="36" t="str">
        <f>""</f>
        <v/>
      </c>
      <c r="U1220" s="36" t="str">
        <f>""</f>
        <v/>
      </c>
      <c r="V1220" s="36" t="str">
        <f>""</f>
        <v/>
      </c>
      <c r="W1220" s="36">
        <f t="shared" si="117"/>
        <v>1</v>
      </c>
      <c r="X1220" t="str">
        <f t="shared" si="118"/>
        <v>Inactive</v>
      </c>
      <c r="Y1220" t="str">
        <f>IF(MAIN!$H$3="Selected Year",IF(A1220=MAIN!$B$3,"Yes","No"),IF(MAIN!$H$3="Included Years",IF(D1220="Yes","Yes","No"),IF(C1220="Yes","Yes","No")))</f>
        <v>No</v>
      </c>
      <c r="Z1220" t="str">
        <f>IF(MAIN!$F$3="Project to Date",IF(AND(A1220&gt;=SETTINGS!$B$4,A1220&lt;MAIN!$B$3),"Yes",IF(AND(A1220=MAIN!$B$3,E1220&lt;=MAIN!$L$3),"Yes","No")),IF(OR(MAIN!$F$3="Full Year",MAIN!$D$3="All"),"Yes",IF(MAIN!$F$3="Monthly",IF(E1220=MAIN!$L$3,"Yes","No"),IF(E1220&lt;=MAIN!$L$3,"Yes","No"))))</f>
        <v>Yes</v>
      </c>
      <c r="AA1220" t="str">
        <f t="shared" si="119"/>
        <v>No</v>
      </c>
    </row>
    <row r="1221" spans="1:27" x14ac:dyDescent="0.3">
      <c r="A1221">
        <f>INDEX(SETTINGS!$A$15:$A$24,$B1221)</f>
        <v>2030</v>
      </c>
      <c r="B1221">
        <v>6</v>
      </c>
      <c r="C1221" t="str">
        <f>IF(AND(A1221&gt;=SETTINGS!$B$4,A1221&lt;=SETTINGS!$B$5),"Yes","No")</f>
        <v>No</v>
      </c>
      <c r="D1221" t="str">
        <f>IFERROR(INDEX(SETTINGS!$C$15:$C$24,MATCH(A1221,SETTINGS!$A$15:$A$24,0)),"No")</f>
        <v>No</v>
      </c>
      <c r="E1221">
        <v>5</v>
      </c>
      <c r="F1221" t="s">
        <v>38</v>
      </c>
      <c r="G1221">
        <v>109</v>
      </c>
      <c r="H1221" t="s">
        <v>95</v>
      </c>
      <c r="I1221" t="s">
        <v>15</v>
      </c>
      <c r="J1221" t="s">
        <v>16</v>
      </c>
      <c r="K1221" t="s">
        <v>3</v>
      </c>
      <c r="L1221" s="36">
        <f ca="1">IF(C1221&lt;&gt;"Yes",0,IF(A1221=2025,N('2025'!D109),IF(A1221=2026,N('2026'!D109),IF(A1221=2027,N('2027'!D109),IF(A1221=2028,N('2028'!D109),IF(A1221=2029,N('2029'!D109),IF(A1221=2030,N('2030'!D109),IF(A1221=2031,N('2031'!D109),IF(A1221=2032,N('2032'!D109),IF(A1221=2033,N('2033'!D109),IF(A1221=2034,N('2034'!D109),IFERROR(N(INDIRECT("'"&amp;A1221&amp;"'!D"&amp;G1221)),0))))))))))))</f>
        <v>0</v>
      </c>
      <c r="M1221" s="36">
        <f>IFERROR(IF(NOT(ISBLANK(KPI_TARGETS!$L$8)),KPI_TARGETS!$L$8,IF(NOT(ISBLANK(KPI_TARGETS!$F$8)),KPI_TARGETS!$F$8,"")),"")</f>
        <v>0</v>
      </c>
      <c r="N1221" s="36" t="str">
        <f>IFERROR(KPI_TARGETS!$E$8,"Higher is better")</f>
        <v>Lower is better</v>
      </c>
      <c r="O1221" s="37">
        <f t="shared" ca="1" si="114"/>
        <v>1</v>
      </c>
      <c r="P1221" t="str">
        <f t="shared" ca="1" si="115"/>
        <v>Green</v>
      </c>
      <c r="Q1221" s="36">
        <f t="shared" ca="1" si="116"/>
        <v>0</v>
      </c>
      <c r="R1221" s="36" t="str">
        <f>""</f>
        <v/>
      </c>
      <c r="S1221" s="36" t="str">
        <f>""</f>
        <v/>
      </c>
      <c r="T1221" s="36" t="str">
        <f>""</f>
        <v/>
      </c>
      <c r="U1221" s="36" t="str">
        <f>""</f>
        <v/>
      </c>
      <c r="V1221" s="36" t="str">
        <f>""</f>
        <v/>
      </c>
      <c r="W1221" s="36">
        <f t="shared" si="117"/>
        <v>1</v>
      </c>
      <c r="X1221" t="str">
        <f t="shared" si="118"/>
        <v>Inactive</v>
      </c>
      <c r="Y1221" t="str">
        <f>IF(MAIN!$H$3="Selected Year",IF(A1221=MAIN!$B$3,"Yes","No"),IF(MAIN!$H$3="Included Years",IF(D1221="Yes","Yes","No"),IF(C1221="Yes","Yes","No")))</f>
        <v>No</v>
      </c>
      <c r="Z1221" t="str">
        <f>IF(MAIN!$F$3="Project to Date",IF(AND(A1221&gt;=SETTINGS!$B$4,A1221&lt;MAIN!$B$3),"Yes",IF(AND(A1221=MAIN!$B$3,E1221&lt;=MAIN!$L$3),"Yes","No")),IF(OR(MAIN!$F$3="Full Year",MAIN!$D$3="All"),"Yes",IF(MAIN!$F$3="Monthly",IF(E1221=MAIN!$L$3,"Yes","No"),IF(E1221&lt;=MAIN!$L$3,"Yes","No"))))</f>
        <v>Yes</v>
      </c>
      <c r="AA1221" t="str">
        <f t="shared" si="119"/>
        <v>No</v>
      </c>
    </row>
    <row r="1222" spans="1:27" x14ac:dyDescent="0.3">
      <c r="A1222">
        <f>INDEX(SETTINGS!$A$15:$A$24,$B1222)</f>
        <v>2030</v>
      </c>
      <c r="B1222">
        <v>6</v>
      </c>
      <c r="C1222" t="str">
        <f>IF(AND(A1222&gt;=SETTINGS!$B$4,A1222&lt;=SETTINGS!$B$5),"Yes","No")</f>
        <v>No</v>
      </c>
      <c r="D1222" t="str">
        <f>IFERROR(INDEX(SETTINGS!$C$15:$C$24,MATCH(A1222,SETTINGS!$A$15:$A$24,0)),"No")</f>
        <v>No</v>
      </c>
      <c r="E1222">
        <v>5</v>
      </c>
      <c r="F1222" t="s">
        <v>38</v>
      </c>
      <c r="G1222">
        <v>110</v>
      </c>
      <c r="H1222" t="s">
        <v>97</v>
      </c>
      <c r="I1222" t="s">
        <v>15</v>
      </c>
      <c r="J1222" t="s">
        <v>17</v>
      </c>
      <c r="K1222" t="s">
        <v>3</v>
      </c>
      <c r="L1222" s="36">
        <f ca="1">IF(C1222&lt;&gt;"Yes",0,IF(A1222=2025,N('2025'!D110),IF(A1222=2026,N('2026'!D110),IF(A1222=2027,N('2027'!D110),IF(A1222=2028,N('2028'!D110),IF(A1222=2029,N('2029'!D110),IF(A1222=2030,N('2030'!D110),IF(A1222=2031,N('2031'!D110),IF(A1222=2032,N('2032'!D110),IF(A1222=2033,N('2033'!D110),IF(A1222=2034,N('2034'!D110),IFERROR(N(INDIRECT("'"&amp;A1222&amp;"'!D"&amp;G1222)),0))))))))))))</f>
        <v>0</v>
      </c>
      <c r="M1222" s="36">
        <f>IFERROR(IF(NOT(ISBLANK(KPI_TARGETS!$L$9)),KPI_TARGETS!$L$9,IF(NOT(ISBLANK(KPI_TARGETS!$F$9)),KPI_TARGETS!$F$9,"")),"")</f>
        <v>0</v>
      </c>
      <c r="N1222" s="36" t="str">
        <f>IFERROR(KPI_TARGETS!$E$9,"Higher is better")</f>
        <v>Higher is better</v>
      </c>
      <c r="O1222" s="37" t="str">
        <f t="shared" ca="1" si="114"/>
        <v/>
      </c>
      <c r="P1222" t="str">
        <f t="shared" ca="1" si="115"/>
        <v>Green</v>
      </c>
      <c r="Q1222" s="36">
        <f t="shared" ca="1" si="116"/>
        <v>0</v>
      </c>
      <c r="R1222" s="36" t="str">
        <f>""</f>
        <v/>
      </c>
      <c r="S1222" s="36" t="str">
        <f>""</f>
        <v/>
      </c>
      <c r="T1222" s="36" t="str">
        <f>""</f>
        <v/>
      </c>
      <c r="U1222" s="36" t="str">
        <f>""</f>
        <v/>
      </c>
      <c r="V1222" s="36" t="str">
        <f>""</f>
        <v/>
      </c>
      <c r="W1222" s="36">
        <f t="shared" si="117"/>
        <v>1</v>
      </c>
      <c r="X1222" t="str">
        <f t="shared" si="118"/>
        <v>Inactive</v>
      </c>
      <c r="Y1222" t="str">
        <f>IF(MAIN!$H$3="Selected Year",IF(A1222=MAIN!$B$3,"Yes","No"),IF(MAIN!$H$3="Included Years",IF(D1222="Yes","Yes","No"),IF(C1222="Yes","Yes","No")))</f>
        <v>No</v>
      </c>
      <c r="Z1222" t="str">
        <f>IF(MAIN!$F$3="Project to Date",IF(AND(A1222&gt;=SETTINGS!$B$4,A1222&lt;MAIN!$B$3),"Yes",IF(AND(A1222=MAIN!$B$3,E1222&lt;=MAIN!$L$3),"Yes","No")),IF(OR(MAIN!$F$3="Full Year",MAIN!$D$3="All"),"Yes",IF(MAIN!$F$3="Monthly",IF(E1222=MAIN!$L$3,"Yes","No"),IF(E1222&lt;=MAIN!$L$3,"Yes","No"))))</f>
        <v>Yes</v>
      </c>
      <c r="AA1222" t="str">
        <f t="shared" si="119"/>
        <v>No</v>
      </c>
    </row>
    <row r="1223" spans="1:27" x14ac:dyDescent="0.3">
      <c r="A1223">
        <f>INDEX(SETTINGS!$A$15:$A$24,$B1223)</f>
        <v>2030</v>
      </c>
      <c r="B1223">
        <v>6</v>
      </c>
      <c r="C1223" t="str">
        <f>IF(AND(A1223&gt;=SETTINGS!$B$4,A1223&lt;=SETTINGS!$B$5),"Yes","No")</f>
        <v>No</v>
      </c>
      <c r="D1223" t="str">
        <f>IFERROR(INDEX(SETTINGS!$C$15:$C$24,MATCH(A1223,SETTINGS!$A$15:$A$24,0)),"No")</f>
        <v>No</v>
      </c>
      <c r="E1223">
        <v>5</v>
      </c>
      <c r="F1223" t="s">
        <v>38</v>
      </c>
      <c r="G1223">
        <v>111</v>
      </c>
      <c r="H1223" t="s">
        <v>99</v>
      </c>
      <c r="I1223" t="s">
        <v>15</v>
      </c>
      <c r="J1223" t="s">
        <v>18</v>
      </c>
      <c r="K1223" t="s">
        <v>3</v>
      </c>
      <c r="L1223" s="36">
        <f ca="1">IF(C1223&lt;&gt;"Yes",0,IF(A1223=2025,N('2025'!D111),IF(A1223=2026,N('2026'!D111),IF(A1223=2027,N('2027'!D111),IF(A1223=2028,N('2028'!D111),IF(A1223=2029,N('2029'!D111),IF(A1223=2030,N('2030'!D111),IF(A1223=2031,N('2031'!D111),IF(A1223=2032,N('2032'!D111),IF(A1223=2033,N('2033'!D111),IF(A1223=2034,N('2034'!D111),IFERROR(N(INDIRECT("'"&amp;A1223&amp;"'!D"&amp;G1223)),0))))))))))))</f>
        <v>0</v>
      </c>
      <c r="M1223" s="36">
        <f>IFERROR(IF(NOT(ISBLANK(KPI_TARGETS!$L$10)),KPI_TARGETS!$L$10,IF(NOT(ISBLANK(KPI_TARGETS!$F$10)),KPI_TARGETS!$F$10,"")),"")</f>
        <v>0</v>
      </c>
      <c r="N1223" s="36" t="str">
        <f>IFERROR(KPI_TARGETS!$E$10,"Higher is better")</f>
        <v>Lower is better</v>
      </c>
      <c r="O1223" s="37">
        <f t="shared" ca="1" si="114"/>
        <v>1</v>
      </c>
      <c r="P1223" t="str">
        <f t="shared" ca="1" si="115"/>
        <v>Green</v>
      </c>
      <c r="Q1223" s="36">
        <f t="shared" ca="1" si="116"/>
        <v>0</v>
      </c>
      <c r="R1223" s="36" t="str">
        <f>""</f>
        <v/>
      </c>
      <c r="S1223" s="36" t="str">
        <f>""</f>
        <v/>
      </c>
      <c r="T1223" s="36" t="str">
        <f>""</f>
        <v/>
      </c>
      <c r="U1223" s="36" t="str">
        <f>""</f>
        <v/>
      </c>
      <c r="V1223" s="36" t="str">
        <f>""</f>
        <v/>
      </c>
      <c r="W1223" s="36">
        <f t="shared" si="117"/>
        <v>1</v>
      </c>
      <c r="X1223" t="str">
        <f t="shared" si="118"/>
        <v>Inactive</v>
      </c>
      <c r="Y1223" t="str">
        <f>IF(MAIN!$H$3="Selected Year",IF(A1223=MAIN!$B$3,"Yes","No"),IF(MAIN!$H$3="Included Years",IF(D1223="Yes","Yes","No"),IF(C1223="Yes","Yes","No")))</f>
        <v>No</v>
      </c>
      <c r="Z1223" t="str">
        <f>IF(MAIN!$F$3="Project to Date",IF(AND(A1223&gt;=SETTINGS!$B$4,A1223&lt;MAIN!$B$3),"Yes",IF(AND(A1223=MAIN!$B$3,E1223&lt;=MAIN!$L$3),"Yes","No")),IF(OR(MAIN!$F$3="Full Year",MAIN!$D$3="All"),"Yes",IF(MAIN!$F$3="Monthly",IF(E1223=MAIN!$L$3,"Yes","No"),IF(E1223&lt;=MAIN!$L$3,"Yes","No"))))</f>
        <v>Yes</v>
      </c>
      <c r="AA1223" t="str">
        <f t="shared" si="119"/>
        <v>No</v>
      </c>
    </row>
    <row r="1224" spans="1:27" x14ac:dyDescent="0.3">
      <c r="A1224">
        <f>INDEX(SETTINGS!$A$15:$A$24,$B1224)</f>
        <v>2030</v>
      </c>
      <c r="B1224">
        <v>6</v>
      </c>
      <c r="C1224" t="str">
        <f>IF(AND(A1224&gt;=SETTINGS!$B$4,A1224&lt;=SETTINGS!$B$5),"Yes","No")</f>
        <v>No</v>
      </c>
      <c r="D1224" t="str">
        <f>IFERROR(INDEX(SETTINGS!$C$15:$C$24,MATCH(A1224,SETTINGS!$A$15:$A$24,0)),"No")</f>
        <v>No</v>
      </c>
      <c r="E1224">
        <v>5</v>
      </c>
      <c r="F1224" t="s">
        <v>38</v>
      </c>
      <c r="G1224">
        <v>112</v>
      </c>
      <c r="H1224" t="s">
        <v>100</v>
      </c>
      <c r="I1224" t="s">
        <v>15</v>
      </c>
      <c r="J1224" t="s">
        <v>19</v>
      </c>
      <c r="K1224" t="s">
        <v>3</v>
      </c>
      <c r="L1224" s="36">
        <f ca="1">IF(C1224&lt;&gt;"Yes",0,IF(A1224=2025,N('2025'!D112),IF(A1224=2026,N('2026'!D112),IF(A1224=2027,N('2027'!D112),IF(A1224=2028,N('2028'!D112),IF(A1224=2029,N('2029'!D112),IF(A1224=2030,N('2030'!D112),IF(A1224=2031,N('2031'!D112),IF(A1224=2032,N('2032'!D112),IF(A1224=2033,N('2033'!D112),IF(A1224=2034,N('2034'!D112),IFERROR(N(INDIRECT("'"&amp;A1224&amp;"'!D"&amp;G1224)),0))))))))))))</f>
        <v>0</v>
      </c>
      <c r="M1224" s="36">
        <f>IFERROR(IF(NOT(ISBLANK(KPI_TARGETS!$L$11)),KPI_TARGETS!$L$11,IF(NOT(ISBLANK(KPI_TARGETS!$F$11)),KPI_TARGETS!$F$11,"")),"")</f>
        <v>0</v>
      </c>
      <c r="N1224" s="36" t="str">
        <f>IFERROR(KPI_TARGETS!$E$11,"Higher is better")</f>
        <v>Lower is better</v>
      </c>
      <c r="O1224" s="37">
        <f t="shared" ca="1" si="114"/>
        <v>1</v>
      </c>
      <c r="P1224" t="str">
        <f t="shared" ca="1" si="115"/>
        <v>Green</v>
      </c>
      <c r="Q1224" s="36">
        <f t="shared" ca="1" si="116"/>
        <v>0</v>
      </c>
      <c r="R1224" s="36" t="str">
        <f>""</f>
        <v/>
      </c>
      <c r="S1224" s="36" t="str">
        <f>""</f>
        <v/>
      </c>
      <c r="T1224" s="36" t="str">
        <f>""</f>
        <v/>
      </c>
      <c r="U1224" s="36" t="str">
        <f>""</f>
        <v/>
      </c>
      <c r="V1224" s="36" t="str">
        <f>""</f>
        <v/>
      </c>
      <c r="W1224" s="36">
        <f t="shared" si="117"/>
        <v>1</v>
      </c>
      <c r="X1224" t="str">
        <f t="shared" si="118"/>
        <v>Inactive</v>
      </c>
      <c r="Y1224" t="str">
        <f>IF(MAIN!$H$3="Selected Year",IF(A1224=MAIN!$B$3,"Yes","No"),IF(MAIN!$H$3="Included Years",IF(D1224="Yes","Yes","No"),IF(C1224="Yes","Yes","No")))</f>
        <v>No</v>
      </c>
      <c r="Z1224" t="str">
        <f>IF(MAIN!$F$3="Project to Date",IF(AND(A1224&gt;=SETTINGS!$B$4,A1224&lt;MAIN!$B$3),"Yes",IF(AND(A1224=MAIN!$B$3,E1224&lt;=MAIN!$L$3),"Yes","No")),IF(OR(MAIN!$F$3="Full Year",MAIN!$D$3="All"),"Yes",IF(MAIN!$F$3="Monthly",IF(E1224=MAIN!$L$3,"Yes","No"),IF(E1224&lt;=MAIN!$L$3,"Yes","No"))))</f>
        <v>Yes</v>
      </c>
      <c r="AA1224" t="str">
        <f t="shared" si="119"/>
        <v>No</v>
      </c>
    </row>
    <row r="1225" spans="1:27" x14ac:dyDescent="0.3">
      <c r="A1225">
        <f>INDEX(SETTINGS!$A$15:$A$24,$B1225)</f>
        <v>2030</v>
      </c>
      <c r="B1225">
        <v>6</v>
      </c>
      <c r="C1225" t="str">
        <f>IF(AND(A1225&gt;=SETTINGS!$B$4,A1225&lt;=SETTINGS!$B$5),"Yes","No")</f>
        <v>No</v>
      </c>
      <c r="D1225" t="str">
        <f>IFERROR(INDEX(SETTINGS!$C$15:$C$24,MATCH(A1225,SETTINGS!$A$15:$A$24,0)),"No")</f>
        <v>No</v>
      </c>
      <c r="E1225">
        <v>5</v>
      </c>
      <c r="F1225" t="s">
        <v>38</v>
      </c>
      <c r="G1225">
        <v>113</v>
      </c>
      <c r="H1225" t="s">
        <v>101</v>
      </c>
      <c r="I1225" t="s">
        <v>15</v>
      </c>
      <c r="J1225" t="s">
        <v>20</v>
      </c>
      <c r="K1225" t="s">
        <v>3</v>
      </c>
      <c r="L1225" s="36">
        <f ca="1">IF(C1225&lt;&gt;"Yes",0,IF(A1225=2025,N('2025'!D113),IF(A1225=2026,N('2026'!D113),IF(A1225=2027,N('2027'!D113),IF(A1225=2028,N('2028'!D113),IF(A1225=2029,N('2029'!D113),IF(A1225=2030,N('2030'!D113),IF(A1225=2031,N('2031'!D113),IF(A1225=2032,N('2032'!D113),IF(A1225=2033,N('2033'!D113),IF(A1225=2034,N('2034'!D113),IFERROR(N(INDIRECT("'"&amp;A1225&amp;"'!D"&amp;G1225)),0))))))))))))</f>
        <v>0</v>
      </c>
      <c r="M1225" s="36">
        <f>IFERROR(IF(NOT(ISBLANK(KPI_TARGETS!$L$12)),KPI_TARGETS!$L$12,IF(NOT(ISBLANK(KPI_TARGETS!$F$12)),KPI_TARGETS!$F$12,"")),"")</f>
        <v>0</v>
      </c>
      <c r="N1225" s="36" t="str">
        <f>IFERROR(KPI_TARGETS!$E$12,"Higher is better")</f>
        <v>Lower is better</v>
      </c>
      <c r="O1225" s="37">
        <f t="shared" ca="1" si="114"/>
        <v>1</v>
      </c>
      <c r="P1225" t="str">
        <f t="shared" ca="1" si="115"/>
        <v>Green</v>
      </c>
      <c r="Q1225" s="36">
        <f t="shared" ca="1" si="116"/>
        <v>0</v>
      </c>
      <c r="R1225" s="36" t="str">
        <f>""</f>
        <v/>
      </c>
      <c r="S1225" s="36" t="str">
        <f>""</f>
        <v/>
      </c>
      <c r="T1225" s="36" t="str">
        <f>""</f>
        <v/>
      </c>
      <c r="U1225" s="36" t="str">
        <f>""</f>
        <v/>
      </c>
      <c r="V1225" s="36" t="str">
        <f>""</f>
        <v/>
      </c>
      <c r="W1225" s="36">
        <f t="shared" si="117"/>
        <v>1</v>
      </c>
      <c r="X1225" t="str">
        <f t="shared" si="118"/>
        <v>Inactive</v>
      </c>
      <c r="Y1225" t="str">
        <f>IF(MAIN!$H$3="Selected Year",IF(A1225=MAIN!$B$3,"Yes","No"),IF(MAIN!$H$3="Included Years",IF(D1225="Yes","Yes","No"),IF(C1225="Yes","Yes","No")))</f>
        <v>No</v>
      </c>
      <c r="Z1225" t="str">
        <f>IF(MAIN!$F$3="Project to Date",IF(AND(A1225&gt;=SETTINGS!$B$4,A1225&lt;MAIN!$B$3),"Yes",IF(AND(A1225=MAIN!$B$3,E1225&lt;=MAIN!$L$3),"Yes","No")),IF(OR(MAIN!$F$3="Full Year",MAIN!$D$3="All"),"Yes",IF(MAIN!$F$3="Monthly",IF(E1225=MAIN!$L$3,"Yes","No"),IF(E1225&lt;=MAIN!$L$3,"Yes","No"))))</f>
        <v>Yes</v>
      </c>
      <c r="AA1225" t="str">
        <f t="shared" si="119"/>
        <v>No</v>
      </c>
    </row>
    <row r="1226" spans="1:27" x14ac:dyDescent="0.3">
      <c r="A1226">
        <f>INDEX(SETTINGS!$A$15:$A$24,$B1226)</f>
        <v>2030</v>
      </c>
      <c r="B1226">
        <v>6</v>
      </c>
      <c r="C1226" t="str">
        <f>IF(AND(A1226&gt;=SETTINGS!$B$4,A1226&lt;=SETTINGS!$B$5),"Yes","No")</f>
        <v>No</v>
      </c>
      <c r="D1226" t="str">
        <f>IFERROR(INDEX(SETTINGS!$C$15:$C$24,MATCH(A1226,SETTINGS!$A$15:$A$24,0)),"No")</f>
        <v>No</v>
      </c>
      <c r="E1226">
        <v>5</v>
      </c>
      <c r="F1226" t="s">
        <v>38</v>
      </c>
      <c r="G1226">
        <v>114</v>
      </c>
      <c r="H1226" t="s">
        <v>102</v>
      </c>
      <c r="I1226" t="s">
        <v>15</v>
      </c>
      <c r="J1226" t="s">
        <v>21</v>
      </c>
      <c r="K1226" t="s">
        <v>3</v>
      </c>
      <c r="L1226" s="36">
        <f ca="1">IF(C1226&lt;&gt;"Yes",0,IF(A1226=2025,N('2025'!D114),IF(A1226=2026,N('2026'!D114),IF(A1226=2027,N('2027'!D114),IF(A1226=2028,N('2028'!D114),IF(A1226=2029,N('2029'!D114),IF(A1226=2030,N('2030'!D114),IF(A1226=2031,N('2031'!D114),IF(A1226=2032,N('2032'!D114),IF(A1226=2033,N('2033'!D114),IF(A1226=2034,N('2034'!D114),IFERROR(N(INDIRECT("'"&amp;A1226&amp;"'!D"&amp;G1226)),0))))))))))))</f>
        <v>0</v>
      </c>
      <c r="M1226" s="36">
        <f>IFERROR(IF(NOT(ISBLANK(KPI_TARGETS!$L$13)),KPI_TARGETS!$L$13,IF(NOT(ISBLANK(KPI_TARGETS!$F$13)),KPI_TARGETS!$F$13,"")),"")</f>
        <v>0</v>
      </c>
      <c r="N1226" s="36" t="str">
        <f>IFERROR(KPI_TARGETS!$E$13,"Higher is better")</f>
        <v>Lower is better</v>
      </c>
      <c r="O1226" s="37">
        <f t="shared" ca="1" si="114"/>
        <v>1</v>
      </c>
      <c r="P1226" t="str">
        <f t="shared" ca="1" si="115"/>
        <v>Green</v>
      </c>
      <c r="Q1226" s="36">
        <f t="shared" ca="1" si="116"/>
        <v>0</v>
      </c>
      <c r="R1226" s="36" t="str">
        <f>""</f>
        <v/>
      </c>
      <c r="S1226" s="36" t="str">
        <f>""</f>
        <v/>
      </c>
      <c r="T1226" s="36" t="str">
        <f>""</f>
        <v/>
      </c>
      <c r="U1226" s="36" t="str">
        <f>""</f>
        <v/>
      </c>
      <c r="V1226" s="36" t="str">
        <f>""</f>
        <v/>
      </c>
      <c r="W1226" s="36">
        <f t="shared" si="117"/>
        <v>1</v>
      </c>
      <c r="X1226" t="str">
        <f t="shared" si="118"/>
        <v>Inactive</v>
      </c>
      <c r="Y1226" t="str">
        <f>IF(MAIN!$H$3="Selected Year",IF(A1226=MAIN!$B$3,"Yes","No"),IF(MAIN!$H$3="Included Years",IF(D1226="Yes","Yes","No"),IF(C1226="Yes","Yes","No")))</f>
        <v>No</v>
      </c>
      <c r="Z1226" t="str">
        <f>IF(MAIN!$F$3="Project to Date",IF(AND(A1226&gt;=SETTINGS!$B$4,A1226&lt;MAIN!$B$3),"Yes",IF(AND(A1226=MAIN!$B$3,E1226&lt;=MAIN!$L$3),"Yes","No")),IF(OR(MAIN!$F$3="Full Year",MAIN!$D$3="All"),"Yes",IF(MAIN!$F$3="Monthly",IF(E1226=MAIN!$L$3,"Yes","No"),IF(E1226&lt;=MAIN!$L$3,"Yes","No"))))</f>
        <v>Yes</v>
      </c>
      <c r="AA1226" t="str">
        <f t="shared" si="119"/>
        <v>No</v>
      </c>
    </row>
    <row r="1227" spans="1:27" x14ac:dyDescent="0.3">
      <c r="A1227">
        <f>INDEX(SETTINGS!$A$15:$A$24,$B1227)</f>
        <v>2030</v>
      </c>
      <c r="B1227">
        <v>6</v>
      </c>
      <c r="C1227" t="str">
        <f>IF(AND(A1227&gt;=SETTINGS!$B$4,A1227&lt;=SETTINGS!$B$5),"Yes","No")</f>
        <v>No</v>
      </c>
      <c r="D1227" t="str">
        <f>IFERROR(INDEX(SETTINGS!$C$15:$C$24,MATCH(A1227,SETTINGS!$A$15:$A$24,0)),"No")</f>
        <v>No</v>
      </c>
      <c r="E1227">
        <v>5</v>
      </c>
      <c r="F1227" t="s">
        <v>38</v>
      </c>
      <c r="G1227">
        <v>116</v>
      </c>
      <c r="H1227" t="s">
        <v>103</v>
      </c>
      <c r="I1227" t="s">
        <v>22</v>
      </c>
      <c r="J1227" t="s">
        <v>23</v>
      </c>
      <c r="K1227" t="s">
        <v>3</v>
      </c>
      <c r="L1227" s="36">
        <f ca="1">IF(C1227&lt;&gt;"Yes",0,IF(A1227=2025,N('2025'!D116),IF(A1227=2026,N('2026'!D116),IF(A1227=2027,N('2027'!D116),IF(A1227=2028,N('2028'!D116),IF(A1227=2029,N('2029'!D116),IF(A1227=2030,N('2030'!D116),IF(A1227=2031,N('2031'!D116),IF(A1227=2032,N('2032'!D116),IF(A1227=2033,N('2033'!D116),IF(A1227=2034,N('2034'!D116),IFERROR(N(INDIRECT("'"&amp;A1227&amp;"'!D"&amp;G1227)),0))))))))))))</f>
        <v>0</v>
      </c>
      <c r="M1227" s="36">
        <f>IFERROR(IF(NOT(ISBLANK(KPI_TARGETS!$L$14)),KPI_TARGETS!$L$14,IF(NOT(ISBLANK(KPI_TARGETS!$F$14)),KPI_TARGETS!$F$14,"")),"")</f>
        <v>35</v>
      </c>
      <c r="N1227" s="36" t="str">
        <f>IFERROR(KPI_TARGETS!$E$14,"Higher is better")</f>
        <v>Higher is better</v>
      </c>
      <c r="O1227" s="37">
        <f t="shared" ca="1" si="114"/>
        <v>0</v>
      </c>
      <c r="P1227" t="str">
        <f t="shared" ca="1" si="115"/>
        <v>Red</v>
      </c>
      <c r="Q1227" s="36">
        <f t="shared" ca="1" si="116"/>
        <v>-35</v>
      </c>
      <c r="R1227" s="36" t="str">
        <f>""</f>
        <v/>
      </c>
      <c r="S1227" s="36" t="str">
        <f>""</f>
        <v/>
      </c>
      <c r="T1227" s="36" t="str">
        <f>""</f>
        <v/>
      </c>
      <c r="U1227" s="36" t="str">
        <f>""</f>
        <v/>
      </c>
      <c r="V1227" s="36" t="str">
        <f>""</f>
        <v/>
      </c>
      <c r="W1227" s="36">
        <f t="shared" si="117"/>
        <v>1</v>
      </c>
      <c r="X1227" t="str">
        <f t="shared" si="118"/>
        <v>Inactive</v>
      </c>
      <c r="Y1227" t="str">
        <f>IF(MAIN!$H$3="Selected Year",IF(A1227=MAIN!$B$3,"Yes","No"),IF(MAIN!$H$3="Included Years",IF(D1227="Yes","Yes","No"),IF(C1227="Yes","Yes","No")))</f>
        <v>No</v>
      </c>
      <c r="Z1227" t="str">
        <f>IF(MAIN!$F$3="Project to Date",IF(AND(A1227&gt;=SETTINGS!$B$4,A1227&lt;MAIN!$B$3),"Yes",IF(AND(A1227=MAIN!$B$3,E1227&lt;=MAIN!$L$3),"Yes","No")),IF(OR(MAIN!$F$3="Full Year",MAIN!$D$3="All"),"Yes",IF(MAIN!$F$3="Monthly",IF(E1227=MAIN!$L$3,"Yes","No"),IF(E1227&lt;=MAIN!$L$3,"Yes","No"))))</f>
        <v>Yes</v>
      </c>
      <c r="AA1227" t="str">
        <f t="shared" si="119"/>
        <v>No</v>
      </c>
    </row>
    <row r="1228" spans="1:27" x14ac:dyDescent="0.3">
      <c r="A1228">
        <f>INDEX(SETTINGS!$A$15:$A$24,$B1228)</f>
        <v>2030</v>
      </c>
      <c r="B1228">
        <v>6</v>
      </c>
      <c r="C1228" t="str">
        <f>IF(AND(A1228&gt;=SETTINGS!$B$4,A1228&lt;=SETTINGS!$B$5),"Yes","No")</f>
        <v>No</v>
      </c>
      <c r="D1228" t="str">
        <f>IFERROR(INDEX(SETTINGS!$C$15:$C$24,MATCH(A1228,SETTINGS!$A$15:$A$24,0)),"No")</f>
        <v>No</v>
      </c>
      <c r="E1228">
        <v>5</v>
      </c>
      <c r="F1228" t="s">
        <v>38</v>
      </c>
      <c r="G1228">
        <v>117</v>
      </c>
      <c r="H1228" t="s">
        <v>104</v>
      </c>
      <c r="I1228" t="s">
        <v>22</v>
      </c>
      <c r="J1228" t="s">
        <v>24</v>
      </c>
      <c r="K1228" t="s">
        <v>3</v>
      </c>
      <c r="L1228" s="36">
        <f ca="1">IF(C1228&lt;&gt;"Yes",0,IF(A1228=2025,N('2025'!D117),IF(A1228=2026,N('2026'!D117),IF(A1228=2027,N('2027'!D117),IF(A1228=2028,N('2028'!D117),IF(A1228=2029,N('2029'!D117),IF(A1228=2030,N('2030'!D117),IF(A1228=2031,N('2031'!D117),IF(A1228=2032,N('2032'!D117),IF(A1228=2033,N('2033'!D117),IF(A1228=2034,N('2034'!D117),IFERROR(N(INDIRECT("'"&amp;A1228&amp;"'!D"&amp;G1228)),0))))))))))))</f>
        <v>0</v>
      </c>
      <c r="M1228" s="36">
        <f>IFERROR(IF(NOT(ISBLANK(KPI_TARGETS!$L$15)),KPI_TARGETS!$L$15,IF(NOT(ISBLANK(KPI_TARGETS!$F$15)),KPI_TARGETS!$F$15,"")),"")</f>
        <v>5</v>
      </c>
      <c r="N1228" s="36" t="str">
        <f>IFERROR(KPI_TARGETS!$E$15,"Higher is better")</f>
        <v>Higher is better</v>
      </c>
      <c r="O1228" s="37">
        <f t="shared" ca="1" si="114"/>
        <v>0</v>
      </c>
      <c r="P1228" t="str">
        <f t="shared" ca="1" si="115"/>
        <v>Red</v>
      </c>
      <c r="Q1228" s="36">
        <f t="shared" ca="1" si="116"/>
        <v>-5</v>
      </c>
      <c r="R1228" s="36" t="str">
        <f>""</f>
        <v/>
      </c>
      <c r="S1228" s="36" t="str">
        <f>""</f>
        <v/>
      </c>
      <c r="T1228" s="36" t="str">
        <f>""</f>
        <v/>
      </c>
      <c r="U1228" s="36" t="str">
        <f>""</f>
        <v/>
      </c>
      <c r="V1228" s="36" t="str">
        <f>""</f>
        <v/>
      </c>
      <c r="W1228" s="36">
        <f t="shared" si="117"/>
        <v>1</v>
      </c>
      <c r="X1228" t="str">
        <f t="shared" si="118"/>
        <v>Inactive</v>
      </c>
      <c r="Y1228" t="str">
        <f>IF(MAIN!$H$3="Selected Year",IF(A1228=MAIN!$B$3,"Yes","No"),IF(MAIN!$H$3="Included Years",IF(D1228="Yes","Yes","No"),IF(C1228="Yes","Yes","No")))</f>
        <v>No</v>
      </c>
      <c r="Z1228" t="str">
        <f>IF(MAIN!$F$3="Project to Date",IF(AND(A1228&gt;=SETTINGS!$B$4,A1228&lt;MAIN!$B$3),"Yes",IF(AND(A1228=MAIN!$B$3,E1228&lt;=MAIN!$L$3),"Yes","No")),IF(OR(MAIN!$F$3="Full Year",MAIN!$D$3="All"),"Yes",IF(MAIN!$F$3="Monthly",IF(E1228=MAIN!$L$3,"Yes","No"),IF(E1228&lt;=MAIN!$L$3,"Yes","No"))))</f>
        <v>Yes</v>
      </c>
      <c r="AA1228" t="str">
        <f t="shared" si="119"/>
        <v>No</v>
      </c>
    </row>
    <row r="1229" spans="1:27" x14ac:dyDescent="0.3">
      <c r="A1229">
        <f>INDEX(SETTINGS!$A$15:$A$24,$B1229)</f>
        <v>2030</v>
      </c>
      <c r="B1229">
        <v>6</v>
      </c>
      <c r="C1229" t="str">
        <f>IF(AND(A1229&gt;=SETTINGS!$B$4,A1229&lt;=SETTINGS!$B$5),"Yes","No")</f>
        <v>No</v>
      </c>
      <c r="D1229" t="str">
        <f>IFERROR(INDEX(SETTINGS!$C$15:$C$24,MATCH(A1229,SETTINGS!$A$15:$A$24,0)),"No")</f>
        <v>No</v>
      </c>
      <c r="E1229">
        <v>5</v>
      </c>
      <c r="F1229" t="s">
        <v>38</v>
      </c>
      <c r="G1229">
        <v>118</v>
      </c>
      <c r="H1229" t="s">
        <v>105</v>
      </c>
      <c r="I1229" t="s">
        <v>22</v>
      </c>
      <c r="J1229" t="s">
        <v>25</v>
      </c>
      <c r="K1229" t="s">
        <v>3</v>
      </c>
      <c r="L1229" s="36">
        <f ca="1">IF(C1229&lt;&gt;"Yes",0,IF(A1229=2025,N('2025'!D118),IF(A1229=2026,N('2026'!D118),IF(A1229=2027,N('2027'!D118),IF(A1229=2028,N('2028'!D118),IF(A1229=2029,N('2029'!D118),IF(A1229=2030,N('2030'!D118),IF(A1229=2031,N('2031'!D118),IF(A1229=2032,N('2032'!D118),IF(A1229=2033,N('2033'!D118),IF(A1229=2034,N('2034'!D118),IFERROR(N(INDIRECT("'"&amp;A1229&amp;"'!D"&amp;G1229)),0))))))))))))</f>
        <v>0</v>
      </c>
      <c r="M1229" s="36">
        <f>IFERROR(IF(NOT(ISBLANK(KPI_TARGETS!$L$16)),KPI_TARGETS!$L$16,IF(NOT(ISBLANK(KPI_TARGETS!$F$16)),KPI_TARGETS!$F$16,"")),"")</f>
        <v>4</v>
      </c>
      <c r="N1229" s="36" t="str">
        <f>IFERROR(KPI_TARGETS!$E$16,"Higher is better")</f>
        <v>Higher is better</v>
      </c>
      <c r="O1229" s="37">
        <f t="shared" ca="1" si="114"/>
        <v>0</v>
      </c>
      <c r="P1229" t="str">
        <f t="shared" ca="1" si="115"/>
        <v>Red</v>
      </c>
      <c r="Q1229" s="36">
        <f t="shared" ca="1" si="116"/>
        <v>-4</v>
      </c>
      <c r="R1229" s="36" t="str">
        <f>""</f>
        <v/>
      </c>
      <c r="S1229" s="36" t="str">
        <f>""</f>
        <v/>
      </c>
      <c r="T1229" s="36" t="str">
        <f>""</f>
        <v/>
      </c>
      <c r="U1229" s="36" t="str">
        <f>""</f>
        <v/>
      </c>
      <c r="V1229" s="36" t="str">
        <f>""</f>
        <v/>
      </c>
      <c r="W1229" s="36">
        <f t="shared" si="117"/>
        <v>1</v>
      </c>
      <c r="X1229" t="str">
        <f t="shared" si="118"/>
        <v>Inactive</v>
      </c>
      <c r="Y1229" t="str">
        <f>IF(MAIN!$H$3="Selected Year",IF(A1229=MAIN!$B$3,"Yes","No"),IF(MAIN!$H$3="Included Years",IF(D1229="Yes","Yes","No"),IF(C1229="Yes","Yes","No")))</f>
        <v>No</v>
      </c>
      <c r="Z1229" t="str">
        <f>IF(MAIN!$F$3="Project to Date",IF(AND(A1229&gt;=SETTINGS!$B$4,A1229&lt;MAIN!$B$3),"Yes",IF(AND(A1229=MAIN!$B$3,E1229&lt;=MAIN!$L$3),"Yes","No")),IF(OR(MAIN!$F$3="Full Year",MAIN!$D$3="All"),"Yes",IF(MAIN!$F$3="Monthly",IF(E1229=MAIN!$L$3,"Yes","No"),IF(E1229&lt;=MAIN!$L$3,"Yes","No"))))</f>
        <v>Yes</v>
      </c>
      <c r="AA1229" t="str">
        <f t="shared" si="119"/>
        <v>No</v>
      </c>
    </row>
    <row r="1230" spans="1:27" x14ac:dyDescent="0.3">
      <c r="A1230">
        <f>INDEX(SETTINGS!$A$15:$A$24,$B1230)</f>
        <v>2030</v>
      </c>
      <c r="B1230">
        <v>6</v>
      </c>
      <c r="C1230" t="str">
        <f>IF(AND(A1230&gt;=SETTINGS!$B$4,A1230&lt;=SETTINGS!$B$5),"Yes","No")</f>
        <v>No</v>
      </c>
      <c r="D1230" t="str">
        <f>IFERROR(INDEX(SETTINGS!$C$15:$C$24,MATCH(A1230,SETTINGS!$A$15:$A$24,0)),"No")</f>
        <v>No</v>
      </c>
      <c r="E1230">
        <v>5</v>
      </c>
      <c r="F1230" t="s">
        <v>38</v>
      </c>
      <c r="G1230">
        <v>119</v>
      </c>
      <c r="H1230" t="s">
        <v>106</v>
      </c>
      <c r="I1230" t="s">
        <v>22</v>
      </c>
      <c r="J1230" t="s">
        <v>26</v>
      </c>
      <c r="K1230" t="s">
        <v>3</v>
      </c>
      <c r="L1230" s="36">
        <f ca="1">IF(C1230&lt;&gt;"Yes",0,IF(A1230=2025,N('2025'!D119),IF(A1230=2026,N('2026'!D119),IF(A1230=2027,N('2027'!D119),IF(A1230=2028,N('2028'!D119),IF(A1230=2029,N('2029'!D119),IF(A1230=2030,N('2030'!D119),IF(A1230=2031,N('2031'!D119),IF(A1230=2032,N('2032'!D119),IF(A1230=2033,N('2033'!D119),IF(A1230=2034,N('2034'!D119),IFERROR(N(INDIRECT("'"&amp;A1230&amp;"'!D"&amp;G1230)),0))))))))))))</f>
        <v>0</v>
      </c>
      <c r="M1230" s="36">
        <f>IFERROR(IF(NOT(ISBLANK(KPI_TARGETS!$L$17)),KPI_TARGETS!$L$17,IF(NOT(ISBLANK(KPI_TARGETS!$F$17)),KPI_TARGETS!$F$17,"")),"")</f>
        <v>12</v>
      </c>
      <c r="N1230" s="36" t="str">
        <f>IFERROR(KPI_TARGETS!$E$17,"Higher is better")</f>
        <v>Higher is better</v>
      </c>
      <c r="O1230" s="37">
        <f t="shared" ca="1" si="114"/>
        <v>0</v>
      </c>
      <c r="P1230" t="str">
        <f t="shared" ca="1" si="115"/>
        <v>Red</v>
      </c>
      <c r="Q1230" s="36">
        <f t="shared" ca="1" si="116"/>
        <v>-12</v>
      </c>
      <c r="R1230" s="36" t="str">
        <f>""</f>
        <v/>
      </c>
      <c r="S1230" s="36" t="str">
        <f>""</f>
        <v/>
      </c>
      <c r="T1230" s="36" t="str">
        <f>""</f>
        <v/>
      </c>
      <c r="U1230" s="36" t="str">
        <f>""</f>
        <v/>
      </c>
      <c r="V1230" s="36" t="str">
        <f>""</f>
        <v/>
      </c>
      <c r="W1230" s="36">
        <f t="shared" si="117"/>
        <v>1</v>
      </c>
      <c r="X1230" t="str">
        <f t="shared" si="118"/>
        <v>Inactive</v>
      </c>
      <c r="Y1230" t="str">
        <f>IF(MAIN!$H$3="Selected Year",IF(A1230=MAIN!$B$3,"Yes","No"),IF(MAIN!$H$3="Included Years",IF(D1230="Yes","Yes","No"),IF(C1230="Yes","Yes","No")))</f>
        <v>No</v>
      </c>
      <c r="Z1230" t="str">
        <f>IF(MAIN!$F$3="Project to Date",IF(AND(A1230&gt;=SETTINGS!$B$4,A1230&lt;MAIN!$B$3),"Yes",IF(AND(A1230=MAIN!$B$3,E1230&lt;=MAIN!$L$3),"Yes","No")),IF(OR(MAIN!$F$3="Full Year",MAIN!$D$3="All"),"Yes",IF(MAIN!$F$3="Monthly",IF(E1230=MAIN!$L$3,"Yes","No"),IF(E1230&lt;=MAIN!$L$3,"Yes","No"))))</f>
        <v>Yes</v>
      </c>
      <c r="AA1230" t="str">
        <f t="shared" si="119"/>
        <v>No</v>
      </c>
    </row>
    <row r="1231" spans="1:27" x14ac:dyDescent="0.3">
      <c r="A1231">
        <f>INDEX(SETTINGS!$A$15:$A$24,$B1231)</f>
        <v>2030</v>
      </c>
      <c r="B1231">
        <v>6</v>
      </c>
      <c r="C1231" t="str">
        <f>IF(AND(A1231&gt;=SETTINGS!$B$4,A1231&lt;=SETTINGS!$B$5),"Yes","No")</f>
        <v>No</v>
      </c>
      <c r="D1231" t="str">
        <f>IFERROR(INDEX(SETTINGS!$C$15:$C$24,MATCH(A1231,SETTINGS!$A$15:$A$24,0)),"No")</f>
        <v>No</v>
      </c>
      <c r="E1231">
        <v>5</v>
      </c>
      <c r="F1231" t="s">
        <v>38</v>
      </c>
      <c r="G1231">
        <v>120</v>
      </c>
      <c r="H1231" t="s">
        <v>107</v>
      </c>
      <c r="I1231" t="s">
        <v>22</v>
      </c>
      <c r="J1231" t="s">
        <v>27</v>
      </c>
      <c r="K1231" t="s">
        <v>3</v>
      </c>
      <c r="L1231" s="36">
        <f ca="1">IF(C1231&lt;&gt;"Yes",0,IF(A1231=2025,N('2025'!D120),IF(A1231=2026,N('2026'!D120),IF(A1231=2027,N('2027'!D120),IF(A1231=2028,N('2028'!D120),IF(A1231=2029,N('2029'!D120),IF(A1231=2030,N('2030'!D120),IF(A1231=2031,N('2031'!D120),IF(A1231=2032,N('2032'!D120),IF(A1231=2033,N('2033'!D120),IF(A1231=2034,N('2034'!D120),IFERROR(N(INDIRECT("'"&amp;A1231&amp;"'!D"&amp;G1231)),0))))))))))))</f>
        <v>0</v>
      </c>
      <c r="M1231" s="36">
        <f>IFERROR(IF(NOT(ISBLANK(KPI_TARGETS!$L$18)),KPI_TARGETS!$L$18,IF(NOT(ISBLANK(KPI_TARGETS!$F$18)),KPI_TARGETS!$F$18,"")),"")</f>
        <v>4</v>
      </c>
      <c r="N1231" s="36" t="str">
        <f>IFERROR(KPI_TARGETS!$E$18,"Higher is better")</f>
        <v>Higher is better</v>
      </c>
      <c r="O1231" s="37">
        <f t="shared" ca="1" si="114"/>
        <v>0</v>
      </c>
      <c r="P1231" t="str">
        <f t="shared" ca="1" si="115"/>
        <v>Red</v>
      </c>
      <c r="Q1231" s="36">
        <f t="shared" ca="1" si="116"/>
        <v>-4</v>
      </c>
      <c r="R1231" s="36" t="str">
        <f>""</f>
        <v/>
      </c>
      <c r="S1231" s="36" t="str">
        <f>""</f>
        <v/>
      </c>
      <c r="T1231" s="36" t="str">
        <f>""</f>
        <v/>
      </c>
      <c r="U1231" s="36" t="str">
        <f>""</f>
        <v/>
      </c>
      <c r="V1231" s="36" t="str">
        <f>""</f>
        <v/>
      </c>
      <c r="W1231" s="36">
        <f t="shared" si="117"/>
        <v>1</v>
      </c>
      <c r="X1231" t="str">
        <f t="shared" si="118"/>
        <v>Inactive</v>
      </c>
      <c r="Y1231" t="str">
        <f>IF(MAIN!$H$3="Selected Year",IF(A1231=MAIN!$B$3,"Yes","No"),IF(MAIN!$H$3="Included Years",IF(D1231="Yes","Yes","No"),IF(C1231="Yes","Yes","No")))</f>
        <v>No</v>
      </c>
      <c r="Z1231" t="str">
        <f>IF(MAIN!$F$3="Project to Date",IF(AND(A1231&gt;=SETTINGS!$B$4,A1231&lt;MAIN!$B$3),"Yes",IF(AND(A1231=MAIN!$B$3,E1231&lt;=MAIN!$L$3),"Yes","No")),IF(OR(MAIN!$F$3="Full Year",MAIN!$D$3="All"),"Yes",IF(MAIN!$F$3="Monthly",IF(E1231=MAIN!$L$3,"Yes","No"),IF(E1231&lt;=MAIN!$L$3,"Yes","No"))))</f>
        <v>Yes</v>
      </c>
      <c r="AA1231" t="str">
        <f t="shared" si="119"/>
        <v>No</v>
      </c>
    </row>
    <row r="1232" spans="1:27" x14ac:dyDescent="0.3">
      <c r="A1232">
        <f>INDEX(SETTINGS!$A$15:$A$24,$B1232)</f>
        <v>2030</v>
      </c>
      <c r="B1232">
        <v>6</v>
      </c>
      <c r="C1232" t="str">
        <f>IF(AND(A1232&gt;=SETTINGS!$B$4,A1232&lt;=SETTINGS!$B$5),"Yes","No")</f>
        <v>No</v>
      </c>
      <c r="D1232" t="str">
        <f>IFERROR(INDEX(SETTINGS!$C$15:$C$24,MATCH(A1232,SETTINGS!$A$15:$A$24,0)),"No")</f>
        <v>No</v>
      </c>
      <c r="E1232">
        <v>5</v>
      </c>
      <c r="F1232" t="s">
        <v>38</v>
      </c>
      <c r="G1232">
        <v>121</v>
      </c>
      <c r="H1232" t="s">
        <v>108</v>
      </c>
      <c r="I1232" t="s">
        <v>22</v>
      </c>
      <c r="J1232" t="s">
        <v>28</v>
      </c>
      <c r="K1232" t="s">
        <v>3</v>
      </c>
      <c r="L1232" s="36">
        <f ca="1">IF(C1232&lt;&gt;"Yes",0,IF(A1232=2025,N('2025'!D121),IF(A1232=2026,N('2026'!D121),IF(A1232=2027,N('2027'!D121),IF(A1232=2028,N('2028'!D121),IF(A1232=2029,N('2029'!D121),IF(A1232=2030,N('2030'!D121),IF(A1232=2031,N('2031'!D121),IF(A1232=2032,N('2032'!D121),IF(A1232=2033,N('2033'!D121),IF(A1232=2034,N('2034'!D121),IFERROR(N(INDIRECT("'"&amp;A1232&amp;"'!D"&amp;G1232)),0))))))))))))</f>
        <v>0</v>
      </c>
      <c r="M1232" s="36">
        <f>IFERROR(IF(NOT(ISBLANK(KPI_TARGETS!$L$19)),KPI_TARGETS!$L$19,IF(NOT(ISBLANK(KPI_TARGETS!$F$19)),KPI_TARGETS!$F$19,"")),"")</f>
        <v>16</v>
      </c>
      <c r="N1232" s="36" t="str">
        <f>IFERROR(KPI_TARGETS!$E$19,"Higher is better")</f>
        <v>Higher is better</v>
      </c>
      <c r="O1232" s="37">
        <f t="shared" ca="1" si="114"/>
        <v>0</v>
      </c>
      <c r="P1232" t="str">
        <f t="shared" ca="1" si="115"/>
        <v>Red</v>
      </c>
      <c r="Q1232" s="36">
        <f t="shared" ca="1" si="116"/>
        <v>-16</v>
      </c>
      <c r="R1232" s="36" t="str">
        <f>""</f>
        <v/>
      </c>
      <c r="S1232" s="36" t="str">
        <f>""</f>
        <v/>
      </c>
      <c r="T1232" s="36" t="str">
        <f>""</f>
        <v/>
      </c>
      <c r="U1232" s="36" t="str">
        <f>""</f>
        <v/>
      </c>
      <c r="V1232" s="36" t="str">
        <f>""</f>
        <v/>
      </c>
      <c r="W1232" s="36">
        <f t="shared" si="117"/>
        <v>1</v>
      </c>
      <c r="X1232" t="str">
        <f t="shared" si="118"/>
        <v>Inactive</v>
      </c>
      <c r="Y1232" t="str">
        <f>IF(MAIN!$H$3="Selected Year",IF(A1232=MAIN!$B$3,"Yes","No"),IF(MAIN!$H$3="Included Years",IF(D1232="Yes","Yes","No"),IF(C1232="Yes","Yes","No")))</f>
        <v>No</v>
      </c>
      <c r="Z1232" t="str">
        <f>IF(MAIN!$F$3="Project to Date",IF(AND(A1232&gt;=SETTINGS!$B$4,A1232&lt;MAIN!$B$3),"Yes",IF(AND(A1232=MAIN!$B$3,E1232&lt;=MAIN!$L$3),"Yes","No")),IF(OR(MAIN!$F$3="Full Year",MAIN!$D$3="All"),"Yes",IF(MAIN!$F$3="Monthly",IF(E1232=MAIN!$L$3,"Yes","No"),IF(E1232&lt;=MAIN!$L$3,"Yes","No"))))</f>
        <v>Yes</v>
      </c>
      <c r="AA1232" t="str">
        <f t="shared" si="119"/>
        <v>No</v>
      </c>
    </row>
    <row r="1233" spans="1:27" x14ac:dyDescent="0.3">
      <c r="A1233">
        <f>INDEX(SETTINGS!$A$15:$A$24,$B1233)</f>
        <v>2030</v>
      </c>
      <c r="B1233">
        <v>6</v>
      </c>
      <c r="C1233" t="str">
        <f>IF(AND(A1233&gt;=SETTINGS!$B$4,A1233&lt;=SETTINGS!$B$5),"Yes","No")</f>
        <v>No</v>
      </c>
      <c r="D1233" t="str">
        <f>IFERROR(INDEX(SETTINGS!$C$15:$C$24,MATCH(A1233,SETTINGS!$A$15:$A$24,0)),"No")</f>
        <v>No</v>
      </c>
      <c r="E1233">
        <v>5</v>
      </c>
      <c r="F1233" t="s">
        <v>38</v>
      </c>
      <c r="G1233">
        <v>122</v>
      </c>
      <c r="H1233" t="s">
        <v>109</v>
      </c>
      <c r="I1233" t="s">
        <v>22</v>
      </c>
      <c r="J1233" t="s">
        <v>29</v>
      </c>
      <c r="K1233" t="s">
        <v>3</v>
      </c>
      <c r="L1233" s="36">
        <f ca="1">IF(C1233&lt;&gt;"Yes",0,IF(A1233=2025,N('2025'!D122),IF(A1233=2026,N('2026'!D122),IF(A1233=2027,N('2027'!D122),IF(A1233=2028,N('2028'!D122),IF(A1233=2029,N('2029'!D122),IF(A1233=2030,N('2030'!D122),IF(A1233=2031,N('2031'!D122),IF(A1233=2032,N('2032'!D122),IF(A1233=2033,N('2033'!D122),IF(A1233=2034,N('2034'!D122),IFERROR(N(INDIRECT("'"&amp;A1233&amp;"'!D"&amp;G1233)),0))))))))))))</f>
        <v>0</v>
      </c>
      <c r="M1233" s="36">
        <f>IFERROR(IF(NOT(ISBLANK(KPI_TARGETS!$L$20)),KPI_TARGETS!$L$20,IF(NOT(ISBLANK(KPI_TARGETS!$F$20)),KPI_TARGETS!$F$20,"")),"")</f>
        <v>1</v>
      </c>
      <c r="N1233" s="36" t="str">
        <f>IFERROR(KPI_TARGETS!$E$20,"Higher is better")</f>
        <v>Higher is better</v>
      </c>
      <c r="O1233" s="37">
        <f t="shared" ca="1" si="114"/>
        <v>0</v>
      </c>
      <c r="P1233" t="str">
        <f t="shared" ca="1" si="115"/>
        <v>Red</v>
      </c>
      <c r="Q1233" s="36">
        <f t="shared" ca="1" si="116"/>
        <v>-1</v>
      </c>
      <c r="R1233" s="36" t="str">
        <f>""</f>
        <v/>
      </c>
      <c r="S1233" s="36" t="str">
        <f>""</f>
        <v/>
      </c>
      <c r="T1233" s="36" t="str">
        <f>""</f>
        <v/>
      </c>
      <c r="U1233" s="36" t="str">
        <f>""</f>
        <v/>
      </c>
      <c r="V1233" s="36" t="str">
        <f>""</f>
        <v/>
      </c>
      <c r="W1233" s="36">
        <f t="shared" si="117"/>
        <v>1</v>
      </c>
      <c r="X1233" t="str">
        <f t="shared" si="118"/>
        <v>Inactive</v>
      </c>
      <c r="Y1233" t="str">
        <f>IF(MAIN!$H$3="Selected Year",IF(A1233=MAIN!$B$3,"Yes","No"),IF(MAIN!$H$3="Included Years",IF(D1233="Yes","Yes","No"),IF(C1233="Yes","Yes","No")))</f>
        <v>No</v>
      </c>
      <c r="Z1233" t="str">
        <f>IF(MAIN!$F$3="Project to Date",IF(AND(A1233&gt;=SETTINGS!$B$4,A1233&lt;MAIN!$B$3),"Yes",IF(AND(A1233=MAIN!$B$3,E1233&lt;=MAIN!$L$3),"Yes","No")),IF(OR(MAIN!$F$3="Full Year",MAIN!$D$3="All"),"Yes",IF(MAIN!$F$3="Monthly",IF(E1233=MAIN!$L$3,"Yes","No"),IF(E1233&lt;=MAIN!$L$3,"Yes","No"))))</f>
        <v>Yes</v>
      </c>
      <c r="AA1233" t="str">
        <f t="shared" si="119"/>
        <v>No</v>
      </c>
    </row>
    <row r="1234" spans="1:27" x14ac:dyDescent="0.3">
      <c r="A1234">
        <f>INDEX(SETTINGS!$A$15:$A$24,$B1234)</f>
        <v>2030</v>
      </c>
      <c r="B1234">
        <v>6</v>
      </c>
      <c r="C1234" t="str">
        <f>IF(AND(A1234&gt;=SETTINGS!$B$4,A1234&lt;=SETTINGS!$B$5),"Yes","No")</f>
        <v>No</v>
      </c>
      <c r="D1234" t="str">
        <f>IFERROR(INDEX(SETTINGS!$C$15:$C$24,MATCH(A1234,SETTINGS!$A$15:$A$24,0)),"No")</f>
        <v>No</v>
      </c>
      <c r="E1234">
        <v>5</v>
      </c>
      <c r="F1234" t="s">
        <v>38</v>
      </c>
      <c r="G1234">
        <v>124</v>
      </c>
      <c r="H1234" t="s">
        <v>110</v>
      </c>
      <c r="I1234" t="s">
        <v>30</v>
      </c>
      <c r="J1234" t="s">
        <v>31</v>
      </c>
      <c r="K1234" t="s">
        <v>3</v>
      </c>
      <c r="L1234" s="36">
        <f ca="1">IF(C1234&lt;&gt;"Yes",0,IF(A1234=2025,N('2025'!D124),IF(A1234=2026,N('2026'!D124),IF(A1234=2027,N('2027'!D124),IF(A1234=2028,N('2028'!D124),IF(A1234=2029,N('2029'!D124),IF(A1234=2030,N('2030'!D124),IF(A1234=2031,N('2031'!D124),IF(A1234=2032,N('2032'!D124),IF(A1234=2033,N('2033'!D124),IF(A1234=2034,N('2034'!D124),IFERROR(N(INDIRECT("'"&amp;A1234&amp;"'!D"&amp;G1234)),0))))))))))))</f>
        <v>0</v>
      </c>
      <c r="M1234" s="36">
        <f>IFERROR(IF(NOT(ISBLANK(KPI_TARGETS!$L$21)),KPI_TARGETS!$L$21,IF(NOT(ISBLANK(KPI_TARGETS!$F$21)),KPI_TARGETS!$F$21,"")),"")</f>
        <v>0</v>
      </c>
      <c r="N1234" s="36" t="str">
        <f>IFERROR(KPI_TARGETS!$E$21,"Higher is better")</f>
        <v>Lower is better</v>
      </c>
      <c r="O1234" s="37">
        <f t="shared" ca="1" si="114"/>
        <v>1</v>
      </c>
      <c r="P1234" t="str">
        <f t="shared" ca="1" si="115"/>
        <v>Green</v>
      </c>
      <c r="Q1234" s="36">
        <f t="shared" ca="1" si="116"/>
        <v>0</v>
      </c>
      <c r="R1234" s="36" t="str">
        <f>""</f>
        <v/>
      </c>
      <c r="S1234" s="36" t="str">
        <f>""</f>
        <v/>
      </c>
      <c r="T1234" s="36" t="str">
        <f>""</f>
        <v/>
      </c>
      <c r="U1234" s="36" t="str">
        <f>""</f>
        <v/>
      </c>
      <c r="V1234" s="36" t="str">
        <f>""</f>
        <v/>
      </c>
      <c r="W1234" s="36">
        <f t="shared" si="117"/>
        <v>1</v>
      </c>
      <c r="X1234" t="str">
        <f t="shared" si="118"/>
        <v>Inactive</v>
      </c>
      <c r="Y1234" t="str">
        <f>IF(MAIN!$H$3="Selected Year",IF(A1234=MAIN!$B$3,"Yes","No"),IF(MAIN!$H$3="Included Years",IF(D1234="Yes","Yes","No"),IF(C1234="Yes","Yes","No")))</f>
        <v>No</v>
      </c>
      <c r="Z1234" t="str">
        <f>IF(MAIN!$F$3="Project to Date",IF(AND(A1234&gt;=SETTINGS!$B$4,A1234&lt;MAIN!$B$3),"Yes",IF(AND(A1234=MAIN!$B$3,E1234&lt;=MAIN!$L$3),"Yes","No")),IF(OR(MAIN!$F$3="Full Year",MAIN!$D$3="All"),"Yes",IF(MAIN!$F$3="Monthly",IF(E1234=MAIN!$L$3,"Yes","No"),IF(E1234&lt;=MAIN!$L$3,"Yes","No"))))</f>
        <v>Yes</v>
      </c>
      <c r="AA1234" t="str">
        <f t="shared" si="119"/>
        <v>No</v>
      </c>
    </row>
    <row r="1235" spans="1:27" x14ac:dyDescent="0.3">
      <c r="A1235">
        <f>INDEX(SETTINGS!$A$15:$A$24,$B1235)</f>
        <v>2030</v>
      </c>
      <c r="B1235">
        <v>6</v>
      </c>
      <c r="C1235" t="str">
        <f>IF(AND(A1235&gt;=SETTINGS!$B$4,A1235&lt;=SETTINGS!$B$5),"Yes","No")</f>
        <v>No</v>
      </c>
      <c r="D1235" t="str">
        <f>IFERROR(INDEX(SETTINGS!$C$15:$C$24,MATCH(A1235,SETTINGS!$A$15:$A$24,0)),"No")</f>
        <v>No</v>
      </c>
      <c r="E1235">
        <v>5</v>
      </c>
      <c r="F1235" t="s">
        <v>38</v>
      </c>
      <c r="G1235">
        <v>125</v>
      </c>
      <c r="H1235" t="s">
        <v>111</v>
      </c>
      <c r="I1235" t="s">
        <v>30</v>
      </c>
      <c r="J1235" t="s">
        <v>32</v>
      </c>
      <c r="K1235" t="s">
        <v>3</v>
      </c>
      <c r="L1235" s="36">
        <f ca="1">IF(C1235&lt;&gt;"Yes",0,IF(A1235=2025,N('2025'!D125),IF(A1235=2026,N('2026'!D125),IF(A1235=2027,N('2027'!D125),IF(A1235=2028,N('2028'!D125),IF(A1235=2029,N('2029'!D125),IF(A1235=2030,N('2030'!D125),IF(A1235=2031,N('2031'!D125),IF(A1235=2032,N('2032'!D125),IF(A1235=2033,N('2033'!D125),IF(A1235=2034,N('2034'!D125),IFERROR(N(INDIRECT("'"&amp;A1235&amp;"'!D"&amp;G1235)),0))))))))))))</f>
        <v>0</v>
      </c>
      <c r="M1235" s="36">
        <f>IFERROR(IF(NOT(ISBLANK(KPI_TARGETS!$L$22)),KPI_TARGETS!$L$22,IF(NOT(ISBLANK(KPI_TARGETS!$F$22)),KPI_TARGETS!$F$22,"")),"")</f>
        <v>1</v>
      </c>
      <c r="N1235" s="36" t="str">
        <f>IFERROR(KPI_TARGETS!$E$22,"Higher is better")</f>
        <v>Higher is better</v>
      </c>
      <c r="O1235" s="37">
        <f t="shared" ca="1" si="114"/>
        <v>0</v>
      </c>
      <c r="P1235" t="str">
        <f t="shared" ca="1" si="115"/>
        <v>Red</v>
      </c>
      <c r="Q1235" s="36">
        <f t="shared" ca="1" si="116"/>
        <v>-1</v>
      </c>
      <c r="R1235" s="36" t="str">
        <f>""</f>
        <v/>
      </c>
      <c r="S1235" s="36" t="str">
        <f>""</f>
        <v/>
      </c>
      <c r="T1235" s="36" t="str">
        <f>""</f>
        <v/>
      </c>
      <c r="U1235" s="36" t="str">
        <f>""</f>
        <v/>
      </c>
      <c r="V1235" s="36" t="str">
        <f>""</f>
        <v/>
      </c>
      <c r="W1235" s="36">
        <f t="shared" si="117"/>
        <v>1</v>
      </c>
      <c r="X1235" t="str">
        <f t="shared" si="118"/>
        <v>Inactive</v>
      </c>
      <c r="Y1235" t="str">
        <f>IF(MAIN!$H$3="Selected Year",IF(A1235=MAIN!$B$3,"Yes","No"),IF(MAIN!$H$3="Included Years",IF(D1235="Yes","Yes","No"),IF(C1235="Yes","Yes","No")))</f>
        <v>No</v>
      </c>
      <c r="Z1235" t="str">
        <f>IF(MAIN!$F$3="Project to Date",IF(AND(A1235&gt;=SETTINGS!$B$4,A1235&lt;MAIN!$B$3),"Yes",IF(AND(A1235=MAIN!$B$3,E1235&lt;=MAIN!$L$3),"Yes","No")),IF(OR(MAIN!$F$3="Full Year",MAIN!$D$3="All"),"Yes",IF(MAIN!$F$3="Monthly",IF(E1235=MAIN!$L$3,"Yes","No"),IF(E1235&lt;=MAIN!$L$3,"Yes","No"))))</f>
        <v>Yes</v>
      </c>
      <c r="AA1235" t="str">
        <f t="shared" si="119"/>
        <v>No</v>
      </c>
    </row>
    <row r="1236" spans="1:27" x14ac:dyDescent="0.3">
      <c r="A1236">
        <f>INDEX(SETTINGS!$A$15:$A$24,$B1236)</f>
        <v>2030</v>
      </c>
      <c r="B1236">
        <v>6</v>
      </c>
      <c r="C1236" t="str">
        <f>IF(AND(A1236&gt;=SETTINGS!$B$4,A1236&lt;=SETTINGS!$B$5),"Yes","No")</f>
        <v>No</v>
      </c>
      <c r="D1236" t="str">
        <f>IFERROR(INDEX(SETTINGS!$C$15:$C$24,MATCH(A1236,SETTINGS!$A$15:$A$24,0)),"No")</f>
        <v>No</v>
      </c>
      <c r="E1236">
        <v>5</v>
      </c>
      <c r="F1236" t="s">
        <v>38</v>
      </c>
      <c r="G1236">
        <v>126</v>
      </c>
      <c r="H1236" t="s">
        <v>112</v>
      </c>
      <c r="I1236" t="s">
        <v>30</v>
      </c>
      <c r="J1236" t="s">
        <v>33</v>
      </c>
      <c r="K1236" t="s">
        <v>34</v>
      </c>
      <c r="L1236" s="36">
        <f ca="1">IF(C1236&lt;&gt;"Yes",0,IF(A1236=2025,N('2025'!D126),IF(A1236=2026,N('2026'!D126),IF(A1236=2027,N('2027'!D126),IF(A1236=2028,N('2028'!D126),IF(A1236=2029,N('2029'!D126),IF(A1236=2030,N('2030'!D126),IF(A1236=2031,N('2031'!D126),IF(A1236=2032,N('2032'!D126),IF(A1236=2033,N('2033'!D126),IF(A1236=2034,N('2034'!D126),IFERROR(N(INDIRECT("'"&amp;A1236&amp;"'!D"&amp;G1236)),0))))))))))))</f>
        <v>0</v>
      </c>
      <c r="M1236" s="36">
        <f>IFERROR(IF(NOT(ISBLANK(KPI_TARGETS!$L$23)),KPI_TARGETS!$L$23,IF(NOT(ISBLANK(KPI_TARGETS!$F$23)),KPI_TARGETS!$F$23,"")),"")</f>
        <v>1</v>
      </c>
      <c r="N1236" s="36" t="str">
        <f>IFERROR(KPI_TARGETS!$E$23,"Higher is better")</f>
        <v>Higher is better</v>
      </c>
      <c r="O1236" s="37">
        <f t="shared" ca="1" si="114"/>
        <v>0</v>
      </c>
      <c r="P1236" t="str">
        <f t="shared" ca="1" si="115"/>
        <v>Red</v>
      </c>
      <c r="Q1236" s="36">
        <f t="shared" ca="1" si="116"/>
        <v>-1</v>
      </c>
      <c r="R1236" s="36" t="str">
        <f>""</f>
        <v/>
      </c>
      <c r="S1236" s="36" t="str">
        <f>""</f>
        <v/>
      </c>
      <c r="T1236" s="36" t="str">
        <f>""</f>
        <v/>
      </c>
      <c r="U1236" s="36" t="str">
        <f>""</f>
        <v/>
      </c>
      <c r="V1236" s="36" t="str">
        <f>""</f>
        <v/>
      </c>
      <c r="W1236" s="36">
        <f t="shared" si="117"/>
        <v>1</v>
      </c>
      <c r="X1236" t="str">
        <f t="shared" si="118"/>
        <v>Inactive</v>
      </c>
      <c r="Y1236" t="str">
        <f>IF(MAIN!$H$3="Selected Year",IF(A1236=MAIN!$B$3,"Yes","No"),IF(MAIN!$H$3="Included Years",IF(D1236="Yes","Yes","No"),IF(C1236="Yes","Yes","No")))</f>
        <v>No</v>
      </c>
      <c r="Z1236" t="str">
        <f>IF(MAIN!$F$3="Project to Date",IF(AND(A1236&gt;=SETTINGS!$B$4,A1236&lt;MAIN!$B$3),"Yes",IF(AND(A1236=MAIN!$B$3,E1236&lt;=MAIN!$L$3),"Yes","No")),IF(OR(MAIN!$F$3="Full Year",MAIN!$D$3="All"),"Yes",IF(MAIN!$F$3="Monthly",IF(E1236=MAIN!$L$3,"Yes","No"),IF(E1236&lt;=MAIN!$L$3,"Yes","No"))))</f>
        <v>Yes</v>
      </c>
      <c r="AA1236" t="str">
        <f t="shared" si="119"/>
        <v>No</v>
      </c>
    </row>
    <row r="1237" spans="1:27" x14ac:dyDescent="0.3">
      <c r="A1237">
        <f>INDEX(SETTINGS!$A$15:$A$24,$B1237)</f>
        <v>2030</v>
      </c>
      <c r="B1237">
        <v>6</v>
      </c>
      <c r="C1237" t="str">
        <f>IF(AND(A1237&gt;=SETTINGS!$B$4,A1237&lt;=SETTINGS!$B$5),"Yes","No")</f>
        <v>No</v>
      </c>
      <c r="D1237" t="str">
        <f>IFERROR(INDEX(SETTINGS!$C$15:$C$24,MATCH(A1237,SETTINGS!$A$15:$A$24,0)),"No")</f>
        <v>No</v>
      </c>
      <c r="E1237">
        <v>6</v>
      </c>
      <c r="F1237" t="s">
        <v>39</v>
      </c>
      <c r="G1237">
        <v>129</v>
      </c>
      <c r="H1237" t="s">
        <v>88</v>
      </c>
      <c r="I1237" t="s">
        <v>89</v>
      </c>
      <c r="J1237" t="s">
        <v>10</v>
      </c>
      <c r="K1237" t="s">
        <v>3</v>
      </c>
      <c r="L1237" s="36">
        <f ca="1">IF(C1237&lt;&gt;"Yes",0,IF(A1237=2025,N('2025'!D129),IF(A1237=2026,N('2026'!D129),IF(A1237=2027,N('2027'!D129),IF(A1237=2028,N('2028'!D129),IF(A1237=2029,N('2029'!D129),IF(A1237=2030,N('2030'!D129),IF(A1237=2031,N('2031'!D129),IF(A1237=2032,N('2032'!D129),IF(A1237=2033,N('2033'!D129),IF(A1237=2034,N('2034'!D129),IFERROR(N(INDIRECT("'"&amp;A1237&amp;"'!D"&amp;G1237)),0))))))))))))</f>
        <v>0</v>
      </c>
      <c r="M1237" s="36">
        <f>IFERROR(IF(NOT(ISBLANK(KPI_TARGETS!$L$5)),KPI_TARGETS!$L$5,IF(NOT(ISBLANK(KPI_TARGETS!$F$5)),KPI_TARGETS!$F$5,"")),"")</f>
        <v>104</v>
      </c>
      <c r="N1237" s="36" t="str">
        <f>IFERROR(KPI_TARGETS!$E$5,"Higher is better")</f>
        <v>Higher is better</v>
      </c>
      <c r="O1237" s="37">
        <f t="shared" ca="1" si="114"/>
        <v>0</v>
      </c>
      <c r="P1237" t="str">
        <f t="shared" ca="1" si="115"/>
        <v>Red</v>
      </c>
      <c r="Q1237" s="36">
        <f t="shared" ca="1" si="116"/>
        <v>-104</v>
      </c>
      <c r="R1237" s="36" t="str">
        <f>""</f>
        <v/>
      </c>
      <c r="S1237" s="36" t="str">
        <f>""</f>
        <v/>
      </c>
      <c r="T1237" s="36" t="str">
        <f>""</f>
        <v/>
      </c>
      <c r="U1237" s="36" t="str">
        <f>""</f>
        <v/>
      </c>
      <c r="V1237" s="36" t="str">
        <f>""</f>
        <v/>
      </c>
      <c r="W1237" s="36">
        <f t="shared" si="117"/>
        <v>1</v>
      </c>
      <c r="X1237" t="str">
        <f t="shared" si="118"/>
        <v>Inactive</v>
      </c>
      <c r="Y1237" t="str">
        <f>IF(MAIN!$H$3="Selected Year",IF(A1237=MAIN!$B$3,"Yes","No"),IF(MAIN!$H$3="Included Years",IF(D1237="Yes","Yes","No"),IF(C1237="Yes","Yes","No")))</f>
        <v>No</v>
      </c>
      <c r="Z1237" t="str">
        <f>IF(MAIN!$F$3="Project to Date",IF(AND(A1237&gt;=SETTINGS!$B$4,A1237&lt;MAIN!$B$3),"Yes",IF(AND(A1237=MAIN!$B$3,E1237&lt;=MAIN!$L$3),"Yes","No")),IF(OR(MAIN!$F$3="Full Year",MAIN!$D$3="All"),"Yes",IF(MAIN!$F$3="Monthly",IF(E1237=MAIN!$L$3,"Yes","No"),IF(E1237&lt;=MAIN!$L$3,"Yes","No"))))</f>
        <v>Yes</v>
      </c>
      <c r="AA1237" t="str">
        <f t="shared" si="119"/>
        <v>No</v>
      </c>
    </row>
    <row r="1238" spans="1:27" x14ac:dyDescent="0.3">
      <c r="A1238">
        <f>INDEX(SETTINGS!$A$15:$A$24,$B1238)</f>
        <v>2030</v>
      </c>
      <c r="B1238">
        <v>6</v>
      </c>
      <c r="C1238" t="str">
        <f>IF(AND(A1238&gt;=SETTINGS!$B$4,A1238&lt;=SETTINGS!$B$5),"Yes","No")</f>
        <v>No</v>
      </c>
      <c r="D1238" t="str">
        <f>IFERROR(INDEX(SETTINGS!$C$15:$C$24,MATCH(A1238,SETTINGS!$A$15:$A$24,0)),"No")</f>
        <v>No</v>
      </c>
      <c r="E1238">
        <v>6</v>
      </c>
      <c r="F1238" t="s">
        <v>39</v>
      </c>
      <c r="G1238">
        <v>130</v>
      </c>
      <c r="H1238" t="s">
        <v>91</v>
      </c>
      <c r="I1238" t="s">
        <v>89</v>
      </c>
      <c r="J1238" t="s">
        <v>11</v>
      </c>
      <c r="K1238" t="s">
        <v>12</v>
      </c>
      <c r="L1238" s="36">
        <f ca="1">IF(C1238&lt;&gt;"Yes",0,IF(A1238=2025,N('2025'!D130),IF(A1238=2026,N('2026'!D130),IF(A1238=2027,N('2027'!D130),IF(A1238=2028,N('2028'!D130),IF(A1238=2029,N('2029'!D130),IF(A1238=2030,N('2030'!D130),IF(A1238=2031,N('2031'!D130),IF(A1238=2032,N('2032'!D130),IF(A1238=2033,N('2033'!D130),IF(A1238=2034,N('2034'!D130),IFERROR(N(INDIRECT("'"&amp;A1238&amp;"'!D"&amp;G1238)),0))))))))))))</f>
        <v>0</v>
      </c>
      <c r="M1238" s="36">
        <f>IFERROR(IF(NOT(ISBLANK(KPI_TARGETS!$L$6)),KPI_TARGETS!$L$6,IF(NOT(ISBLANK(KPI_TARGETS!$F$6)),KPI_TARGETS!$F$6,"")),"")</f>
        <v>4000</v>
      </c>
      <c r="N1238" s="36" t="str">
        <f>IFERROR(KPI_TARGETS!$E$6,"Higher is better")</f>
        <v>Higher is better</v>
      </c>
      <c r="O1238" s="37">
        <f t="shared" ca="1" si="114"/>
        <v>0</v>
      </c>
      <c r="P1238" t="str">
        <f t="shared" ca="1" si="115"/>
        <v>Red</v>
      </c>
      <c r="Q1238" s="36">
        <f t="shared" ca="1" si="116"/>
        <v>-4000</v>
      </c>
      <c r="R1238" s="36" t="str">
        <f>""</f>
        <v/>
      </c>
      <c r="S1238" s="36" t="str">
        <f>""</f>
        <v/>
      </c>
      <c r="T1238" s="36" t="str">
        <f>""</f>
        <v/>
      </c>
      <c r="U1238" s="36" t="str">
        <f>""</f>
        <v/>
      </c>
      <c r="V1238" s="36" t="str">
        <f>""</f>
        <v/>
      </c>
      <c r="W1238" s="36">
        <f t="shared" si="117"/>
        <v>1</v>
      </c>
      <c r="X1238" t="str">
        <f t="shared" si="118"/>
        <v>Inactive</v>
      </c>
      <c r="Y1238" t="str">
        <f>IF(MAIN!$H$3="Selected Year",IF(A1238=MAIN!$B$3,"Yes","No"),IF(MAIN!$H$3="Included Years",IF(D1238="Yes","Yes","No"),IF(C1238="Yes","Yes","No")))</f>
        <v>No</v>
      </c>
      <c r="Z1238" t="str">
        <f>IF(MAIN!$F$3="Project to Date",IF(AND(A1238&gt;=SETTINGS!$B$4,A1238&lt;MAIN!$B$3),"Yes",IF(AND(A1238=MAIN!$B$3,E1238&lt;=MAIN!$L$3),"Yes","No")),IF(OR(MAIN!$F$3="Full Year",MAIN!$D$3="All"),"Yes",IF(MAIN!$F$3="Monthly",IF(E1238=MAIN!$L$3,"Yes","No"),IF(E1238&lt;=MAIN!$L$3,"Yes","No"))))</f>
        <v>Yes</v>
      </c>
      <c r="AA1238" t="str">
        <f t="shared" si="119"/>
        <v>No</v>
      </c>
    </row>
    <row r="1239" spans="1:27" x14ac:dyDescent="0.3">
      <c r="A1239">
        <f>INDEX(SETTINGS!$A$15:$A$24,$B1239)</f>
        <v>2030</v>
      </c>
      <c r="B1239">
        <v>6</v>
      </c>
      <c r="C1239" t="str">
        <f>IF(AND(A1239&gt;=SETTINGS!$B$4,A1239&lt;=SETTINGS!$B$5),"Yes","No")</f>
        <v>No</v>
      </c>
      <c r="D1239" t="str">
        <f>IFERROR(INDEX(SETTINGS!$C$15:$C$24,MATCH(A1239,SETTINGS!$A$15:$A$24,0)),"No")</f>
        <v>No</v>
      </c>
      <c r="E1239">
        <v>6</v>
      </c>
      <c r="F1239" t="s">
        <v>39</v>
      </c>
      <c r="G1239">
        <v>131</v>
      </c>
      <c r="H1239" t="s">
        <v>93</v>
      </c>
      <c r="I1239" t="s">
        <v>89</v>
      </c>
      <c r="J1239" t="s">
        <v>13</v>
      </c>
      <c r="K1239" t="s">
        <v>14</v>
      </c>
      <c r="L1239" s="36">
        <f ca="1">IF(C1239&lt;&gt;"Yes",0,IF(A1239=2025,N('2025'!D131),IF(A1239=2026,N('2026'!D131),IF(A1239=2027,N('2027'!D131),IF(A1239=2028,N('2028'!D131),IF(A1239=2029,N('2029'!D131),IF(A1239=2030,N('2030'!D131),IF(A1239=2031,N('2031'!D131),IF(A1239=2032,N('2032'!D131),IF(A1239=2033,N('2033'!D131),IF(A1239=2034,N('2034'!D131),IFERROR(N(INDIRECT("'"&amp;A1239&amp;"'!D"&amp;G1239)),0))))))))))))</f>
        <v>0</v>
      </c>
      <c r="M1239" s="36">
        <f>IFERROR(IF(NOT(ISBLANK(KPI_TARGETS!$L$7)),KPI_TARGETS!$L$7,IF(NOT(ISBLANK(KPI_TARGETS!$F$7)),KPI_TARGETS!$F$7,"")),"")</f>
        <v>8000</v>
      </c>
      <c r="N1239" s="36" t="str">
        <f>IFERROR(KPI_TARGETS!$E$7,"Higher is better")</f>
        <v>Higher is better</v>
      </c>
      <c r="O1239" s="37">
        <f t="shared" ca="1" si="114"/>
        <v>0</v>
      </c>
      <c r="P1239" t="str">
        <f t="shared" ca="1" si="115"/>
        <v>Red</v>
      </c>
      <c r="Q1239" s="36">
        <f t="shared" ca="1" si="116"/>
        <v>-8000</v>
      </c>
      <c r="R1239" s="36" t="str">
        <f>""</f>
        <v/>
      </c>
      <c r="S1239" s="36" t="str">
        <f>""</f>
        <v/>
      </c>
      <c r="T1239" s="36" t="str">
        <f>""</f>
        <v/>
      </c>
      <c r="U1239" s="36" t="str">
        <f>""</f>
        <v/>
      </c>
      <c r="V1239" s="36" t="str">
        <f>""</f>
        <v/>
      </c>
      <c r="W1239" s="36">
        <f t="shared" si="117"/>
        <v>1</v>
      </c>
      <c r="X1239" t="str">
        <f t="shared" si="118"/>
        <v>Inactive</v>
      </c>
      <c r="Y1239" t="str">
        <f>IF(MAIN!$H$3="Selected Year",IF(A1239=MAIN!$B$3,"Yes","No"),IF(MAIN!$H$3="Included Years",IF(D1239="Yes","Yes","No"),IF(C1239="Yes","Yes","No")))</f>
        <v>No</v>
      </c>
      <c r="Z1239" t="str">
        <f>IF(MAIN!$F$3="Project to Date",IF(AND(A1239&gt;=SETTINGS!$B$4,A1239&lt;MAIN!$B$3),"Yes",IF(AND(A1239=MAIN!$B$3,E1239&lt;=MAIN!$L$3),"Yes","No")),IF(OR(MAIN!$F$3="Full Year",MAIN!$D$3="All"),"Yes",IF(MAIN!$F$3="Monthly",IF(E1239=MAIN!$L$3,"Yes","No"),IF(E1239&lt;=MAIN!$L$3,"Yes","No"))))</f>
        <v>Yes</v>
      </c>
      <c r="AA1239" t="str">
        <f t="shared" si="119"/>
        <v>No</v>
      </c>
    </row>
    <row r="1240" spans="1:27" x14ac:dyDescent="0.3">
      <c r="A1240">
        <f>INDEX(SETTINGS!$A$15:$A$24,$B1240)</f>
        <v>2030</v>
      </c>
      <c r="B1240">
        <v>6</v>
      </c>
      <c r="C1240" t="str">
        <f>IF(AND(A1240&gt;=SETTINGS!$B$4,A1240&lt;=SETTINGS!$B$5),"Yes","No")</f>
        <v>No</v>
      </c>
      <c r="D1240" t="str">
        <f>IFERROR(INDEX(SETTINGS!$C$15:$C$24,MATCH(A1240,SETTINGS!$A$15:$A$24,0)),"No")</f>
        <v>No</v>
      </c>
      <c r="E1240">
        <v>6</v>
      </c>
      <c r="F1240" t="s">
        <v>39</v>
      </c>
      <c r="G1240">
        <v>133</v>
      </c>
      <c r="H1240" t="s">
        <v>95</v>
      </c>
      <c r="I1240" t="s">
        <v>15</v>
      </c>
      <c r="J1240" t="s">
        <v>16</v>
      </c>
      <c r="K1240" t="s">
        <v>3</v>
      </c>
      <c r="L1240" s="36">
        <f ca="1">IF(C1240&lt;&gt;"Yes",0,IF(A1240=2025,N('2025'!D133),IF(A1240=2026,N('2026'!D133),IF(A1240=2027,N('2027'!D133),IF(A1240=2028,N('2028'!D133),IF(A1240=2029,N('2029'!D133),IF(A1240=2030,N('2030'!D133),IF(A1240=2031,N('2031'!D133),IF(A1240=2032,N('2032'!D133),IF(A1240=2033,N('2033'!D133),IF(A1240=2034,N('2034'!D133),IFERROR(N(INDIRECT("'"&amp;A1240&amp;"'!D"&amp;G1240)),0))))))))))))</f>
        <v>0</v>
      </c>
      <c r="M1240" s="36">
        <f>IFERROR(IF(NOT(ISBLANK(KPI_TARGETS!$L$8)),KPI_TARGETS!$L$8,IF(NOT(ISBLANK(KPI_TARGETS!$F$8)),KPI_TARGETS!$F$8,"")),"")</f>
        <v>0</v>
      </c>
      <c r="N1240" s="36" t="str">
        <f>IFERROR(KPI_TARGETS!$E$8,"Higher is better")</f>
        <v>Lower is better</v>
      </c>
      <c r="O1240" s="37">
        <f t="shared" ca="1" si="114"/>
        <v>1</v>
      </c>
      <c r="P1240" t="str">
        <f t="shared" ca="1" si="115"/>
        <v>Green</v>
      </c>
      <c r="Q1240" s="36">
        <f t="shared" ca="1" si="116"/>
        <v>0</v>
      </c>
      <c r="R1240" s="36" t="str">
        <f>""</f>
        <v/>
      </c>
      <c r="S1240" s="36" t="str">
        <f>""</f>
        <v/>
      </c>
      <c r="T1240" s="36" t="str">
        <f>""</f>
        <v/>
      </c>
      <c r="U1240" s="36" t="str">
        <f>""</f>
        <v/>
      </c>
      <c r="V1240" s="36" t="str">
        <f>""</f>
        <v/>
      </c>
      <c r="W1240" s="36">
        <f t="shared" si="117"/>
        <v>1</v>
      </c>
      <c r="X1240" t="str">
        <f t="shared" si="118"/>
        <v>Inactive</v>
      </c>
      <c r="Y1240" t="str">
        <f>IF(MAIN!$H$3="Selected Year",IF(A1240=MAIN!$B$3,"Yes","No"),IF(MAIN!$H$3="Included Years",IF(D1240="Yes","Yes","No"),IF(C1240="Yes","Yes","No")))</f>
        <v>No</v>
      </c>
      <c r="Z1240" t="str">
        <f>IF(MAIN!$F$3="Project to Date",IF(AND(A1240&gt;=SETTINGS!$B$4,A1240&lt;MAIN!$B$3),"Yes",IF(AND(A1240=MAIN!$B$3,E1240&lt;=MAIN!$L$3),"Yes","No")),IF(OR(MAIN!$F$3="Full Year",MAIN!$D$3="All"),"Yes",IF(MAIN!$F$3="Monthly",IF(E1240=MAIN!$L$3,"Yes","No"),IF(E1240&lt;=MAIN!$L$3,"Yes","No"))))</f>
        <v>Yes</v>
      </c>
      <c r="AA1240" t="str">
        <f t="shared" si="119"/>
        <v>No</v>
      </c>
    </row>
    <row r="1241" spans="1:27" x14ac:dyDescent="0.3">
      <c r="A1241">
        <f>INDEX(SETTINGS!$A$15:$A$24,$B1241)</f>
        <v>2030</v>
      </c>
      <c r="B1241">
        <v>6</v>
      </c>
      <c r="C1241" t="str">
        <f>IF(AND(A1241&gt;=SETTINGS!$B$4,A1241&lt;=SETTINGS!$B$5),"Yes","No")</f>
        <v>No</v>
      </c>
      <c r="D1241" t="str">
        <f>IFERROR(INDEX(SETTINGS!$C$15:$C$24,MATCH(A1241,SETTINGS!$A$15:$A$24,0)),"No")</f>
        <v>No</v>
      </c>
      <c r="E1241">
        <v>6</v>
      </c>
      <c r="F1241" t="s">
        <v>39</v>
      </c>
      <c r="G1241">
        <v>134</v>
      </c>
      <c r="H1241" t="s">
        <v>97</v>
      </c>
      <c r="I1241" t="s">
        <v>15</v>
      </c>
      <c r="J1241" t="s">
        <v>17</v>
      </c>
      <c r="K1241" t="s">
        <v>3</v>
      </c>
      <c r="L1241" s="36">
        <f ca="1">IF(C1241&lt;&gt;"Yes",0,IF(A1241=2025,N('2025'!D134),IF(A1241=2026,N('2026'!D134),IF(A1241=2027,N('2027'!D134),IF(A1241=2028,N('2028'!D134),IF(A1241=2029,N('2029'!D134),IF(A1241=2030,N('2030'!D134),IF(A1241=2031,N('2031'!D134),IF(A1241=2032,N('2032'!D134),IF(A1241=2033,N('2033'!D134),IF(A1241=2034,N('2034'!D134),IFERROR(N(INDIRECT("'"&amp;A1241&amp;"'!D"&amp;G1241)),0))))))))))))</f>
        <v>0</v>
      </c>
      <c r="M1241" s="36">
        <f>IFERROR(IF(NOT(ISBLANK(KPI_TARGETS!$L$9)),KPI_TARGETS!$L$9,IF(NOT(ISBLANK(KPI_TARGETS!$F$9)),KPI_TARGETS!$F$9,"")),"")</f>
        <v>0</v>
      </c>
      <c r="N1241" s="36" t="str">
        <f>IFERROR(KPI_TARGETS!$E$9,"Higher is better")</f>
        <v>Higher is better</v>
      </c>
      <c r="O1241" s="37" t="str">
        <f t="shared" ca="1" si="114"/>
        <v/>
      </c>
      <c r="P1241" t="str">
        <f t="shared" ca="1" si="115"/>
        <v>Green</v>
      </c>
      <c r="Q1241" s="36">
        <f t="shared" ca="1" si="116"/>
        <v>0</v>
      </c>
      <c r="R1241" s="36" t="str">
        <f>""</f>
        <v/>
      </c>
      <c r="S1241" s="36" t="str">
        <f>""</f>
        <v/>
      </c>
      <c r="T1241" s="36" t="str">
        <f>""</f>
        <v/>
      </c>
      <c r="U1241" s="36" t="str">
        <f>""</f>
        <v/>
      </c>
      <c r="V1241" s="36" t="str">
        <f>""</f>
        <v/>
      </c>
      <c r="W1241" s="36">
        <f t="shared" si="117"/>
        <v>1</v>
      </c>
      <c r="X1241" t="str">
        <f t="shared" si="118"/>
        <v>Inactive</v>
      </c>
      <c r="Y1241" t="str">
        <f>IF(MAIN!$H$3="Selected Year",IF(A1241=MAIN!$B$3,"Yes","No"),IF(MAIN!$H$3="Included Years",IF(D1241="Yes","Yes","No"),IF(C1241="Yes","Yes","No")))</f>
        <v>No</v>
      </c>
      <c r="Z1241" t="str">
        <f>IF(MAIN!$F$3="Project to Date",IF(AND(A1241&gt;=SETTINGS!$B$4,A1241&lt;MAIN!$B$3),"Yes",IF(AND(A1241=MAIN!$B$3,E1241&lt;=MAIN!$L$3),"Yes","No")),IF(OR(MAIN!$F$3="Full Year",MAIN!$D$3="All"),"Yes",IF(MAIN!$F$3="Monthly",IF(E1241=MAIN!$L$3,"Yes","No"),IF(E1241&lt;=MAIN!$L$3,"Yes","No"))))</f>
        <v>Yes</v>
      </c>
      <c r="AA1241" t="str">
        <f t="shared" si="119"/>
        <v>No</v>
      </c>
    </row>
    <row r="1242" spans="1:27" x14ac:dyDescent="0.3">
      <c r="A1242">
        <f>INDEX(SETTINGS!$A$15:$A$24,$B1242)</f>
        <v>2030</v>
      </c>
      <c r="B1242">
        <v>6</v>
      </c>
      <c r="C1242" t="str">
        <f>IF(AND(A1242&gt;=SETTINGS!$B$4,A1242&lt;=SETTINGS!$B$5),"Yes","No")</f>
        <v>No</v>
      </c>
      <c r="D1242" t="str">
        <f>IFERROR(INDEX(SETTINGS!$C$15:$C$24,MATCH(A1242,SETTINGS!$A$15:$A$24,0)),"No")</f>
        <v>No</v>
      </c>
      <c r="E1242">
        <v>6</v>
      </c>
      <c r="F1242" t="s">
        <v>39</v>
      </c>
      <c r="G1242">
        <v>135</v>
      </c>
      <c r="H1242" t="s">
        <v>99</v>
      </c>
      <c r="I1242" t="s">
        <v>15</v>
      </c>
      <c r="J1242" t="s">
        <v>18</v>
      </c>
      <c r="K1242" t="s">
        <v>3</v>
      </c>
      <c r="L1242" s="36">
        <f ca="1">IF(C1242&lt;&gt;"Yes",0,IF(A1242=2025,N('2025'!D135),IF(A1242=2026,N('2026'!D135),IF(A1242=2027,N('2027'!D135),IF(A1242=2028,N('2028'!D135),IF(A1242=2029,N('2029'!D135),IF(A1242=2030,N('2030'!D135),IF(A1242=2031,N('2031'!D135),IF(A1242=2032,N('2032'!D135),IF(A1242=2033,N('2033'!D135),IF(A1242=2034,N('2034'!D135),IFERROR(N(INDIRECT("'"&amp;A1242&amp;"'!D"&amp;G1242)),0))))))))))))</f>
        <v>0</v>
      </c>
      <c r="M1242" s="36">
        <f>IFERROR(IF(NOT(ISBLANK(KPI_TARGETS!$L$10)),KPI_TARGETS!$L$10,IF(NOT(ISBLANK(KPI_TARGETS!$F$10)),KPI_TARGETS!$F$10,"")),"")</f>
        <v>0</v>
      </c>
      <c r="N1242" s="36" t="str">
        <f>IFERROR(KPI_TARGETS!$E$10,"Higher is better")</f>
        <v>Lower is better</v>
      </c>
      <c r="O1242" s="37">
        <f t="shared" ca="1" si="114"/>
        <v>1</v>
      </c>
      <c r="P1242" t="str">
        <f t="shared" ca="1" si="115"/>
        <v>Green</v>
      </c>
      <c r="Q1242" s="36">
        <f t="shared" ca="1" si="116"/>
        <v>0</v>
      </c>
      <c r="R1242" s="36" t="str">
        <f>""</f>
        <v/>
      </c>
      <c r="S1242" s="36" t="str">
        <f>""</f>
        <v/>
      </c>
      <c r="T1242" s="36" t="str">
        <f>""</f>
        <v/>
      </c>
      <c r="U1242" s="36" t="str">
        <f>""</f>
        <v/>
      </c>
      <c r="V1242" s="36" t="str">
        <f>""</f>
        <v/>
      </c>
      <c r="W1242" s="36">
        <f t="shared" si="117"/>
        <v>1</v>
      </c>
      <c r="X1242" t="str">
        <f t="shared" si="118"/>
        <v>Inactive</v>
      </c>
      <c r="Y1242" t="str">
        <f>IF(MAIN!$H$3="Selected Year",IF(A1242=MAIN!$B$3,"Yes","No"),IF(MAIN!$H$3="Included Years",IF(D1242="Yes","Yes","No"),IF(C1242="Yes","Yes","No")))</f>
        <v>No</v>
      </c>
      <c r="Z1242" t="str">
        <f>IF(MAIN!$F$3="Project to Date",IF(AND(A1242&gt;=SETTINGS!$B$4,A1242&lt;MAIN!$B$3),"Yes",IF(AND(A1242=MAIN!$B$3,E1242&lt;=MAIN!$L$3),"Yes","No")),IF(OR(MAIN!$F$3="Full Year",MAIN!$D$3="All"),"Yes",IF(MAIN!$F$3="Monthly",IF(E1242=MAIN!$L$3,"Yes","No"),IF(E1242&lt;=MAIN!$L$3,"Yes","No"))))</f>
        <v>Yes</v>
      </c>
      <c r="AA1242" t="str">
        <f t="shared" si="119"/>
        <v>No</v>
      </c>
    </row>
    <row r="1243" spans="1:27" x14ac:dyDescent="0.3">
      <c r="A1243">
        <f>INDEX(SETTINGS!$A$15:$A$24,$B1243)</f>
        <v>2030</v>
      </c>
      <c r="B1243">
        <v>6</v>
      </c>
      <c r="C1243" t="str">
        <f>IF(AND(A1243&gt;=SETTINGS!$B$4,A1243&lt;=SETTINGS!$B$5),"Yes","No")</f>
        <v>No</v>
      </c>
      <c r="D1243" t="str">
        <f>IFERROR(INDEX(SETTINGS!$C$15:$C$24,MATCH(A1243,SETTINGS!$A$15:$A$24,0)),"No")</f>
        <v>No</v>
      </c>
      <c r="E1243">
        <v>6</v>
      </c>
      <c r="F1243" t="s">
        <v>39</v>
      </c>
      <c r="G1243">
        <v>136</v>
      </c>
      <c r="H1243" t="s">
        <v>100</v>
      </c>
      <c r="I1243" t="s">
        <v>15</v>
      </c>
      <c r="J1243" t="s">
        <v>19</v>
      </c>
      <c r="K1243" t="s">
        <v>3</v>
      </c>
      <c r="L1243" s="36">
        <f ca="1">IF(C1243&lt;&gt;"Yes",0,IF(A1243=2025,N('2025'!D136),IF(A1243=2026,N('2026'!D136),IF(A1243=2027,N('2027'!D136),IF(A1243=2028,N('2028'!D136),IF(A1243=2029,N('2029'!D136),IF(A1243=2030,N('2030'!D136),IF(A1243=2031,N('2031'!D136),IF(A1243=2032,N('2032'!D136),IF(A1243=2033,N('2033'!D136),IF(A1243=2034,N('2034'!D136),IFERROR(N(INDIRECT("'"&amp;A1243&amp;"'!D"&amp;G1243)),0))))))))))))</f>
        <v>0</v>
      </c>
      <c r="M1243" s="36">
        <f>IFERROR(IF(NOT(ISBLANK(KPI_TARGETS!$L$11)),KPI_TARGETS!$L$11,IF(NOT(ISBLANK(KPI_TARGETS!$F$11)),KPI_TARGETS!$F$11,"")),"")</f>
        <v>0</v>
      </c>
      <c r="N1243" s="36" t="str">
        <f>IFERROR(KPI_TARGETS!$E$11,"Higher is better")</f>
        <v>Lower is better</v>
      </c>
      <c r="O1243" s="37">
        <f t="shared" ca="1" si="114"/>
        <v>1</v>
      </c>
      <c r="P1243" t="str">
        <f t="shared" ca="1" si="115"/>
        <v>Green</v>
      </c>
      <c r="Q1243" s="36">
        <f t="shared" ca="1" si="116"/>
        <v>0</v>
      </c>
      <c r="R1243" s="36" t="str">
        <f>""</f>
        <v/>
      </c>
      <c r="S1243" s="36" t="str">
        <f>""</f>
        <v/>
      </c>
      <c r="T1243" s="36" t="str">
        <f>""</f>
        <v/>
      </c>
      <c r="U1243" s="36" t="str">
        <f>""</f>
        <v/>
      </c>
      <c r="V1243" s="36" t="str">
        <f>""</f>
        <v/>
      </c>
      <c r="W1243" s="36">
        <f t="shared" si="117"/>
        <v>1</v>
      </c>
      <c r="X1243" t="str">
        <f t="shared" si="118"/>
        <v>Inactive</v>
      </c>
      <c r="Y1243" t="str">
        <f>IF(MAIN!$H$3="Selected Year",IF(A1243=MAIN!$B$3,"Yes","No"),IF(MAIN!$H$3="Included Years",IF(D1243="Yes","Yes","No"),IF(C1243="Yes","Yes","No")))</f>
        <v>No</v>
      </c>
      <c r="Z1243" t="str">
        <f>IF(MAIN!$F$3="Project to Date",IF(AND(A1243&gt;=SETTINGS!$B$4,A1243&lt;MAIN!$B$3),"Yes",IF(AND(A1243=MAIN!$B$3,E1243&lt;=MAIN!$L$3),"Yes","No")),IF(OR(MAIN!$F$3="Full Year",MAIN!$D$3="All"),"Yes",IF(MAIN!$F$3="Monthly",IF(E1243=MAIN!$L$3,"Yes","No"),IF(E1243&lt;=MAIN!$L$3,"Yes","No"))))</f>
        <v>Yes</v>
      </c>
      <c r="AA1243" t="str">
        <f t="shared" si="119"/>
        <v>No</v>
      </c>
    </row>
    <row r="1244" spans="1:27" x14ac:dyDescent="0.3">
      <c r="A1244">
        <f>INDEX(SETTINGS!$A$15:$A$24,$B1244)</f>
        <v>2030</v>
      </c>
      <c r="B1244">
        <v>6</v>
      </c>
      <c r="C1244" t="str">
        <f>IF(AND(A1244&gt;=SETTINGS!$B$4,A1244&lt;=SETTINGS!$B$5),"Yes","No")</f>
        <v>No</v>
      </c>
      <c r="D1244" t="str">
        <f>IFERROR(INDEX(SETTINGS!$C$15:$C$24,MATCH(A1244,SETTINGS!$A$15:$A$24,0)),"No")</f>
        <v>No</v>
      </c>
      <c r="E1244">
        <v>6</v>
      </c>
      <c r="F1244" t="s">
        <v>39</v>
      </c>
      <c r="G1244">
        <v>137</v>
      </c>
      <c r="H1244" t="s">
        <v>101</v>
      </c>
      <c r="I1244" t="s">
        <v>15</v>
      </c>
      <c r="J1244" t="s">
        <v>20</v>
      </c>
      <c r="K1244" t="s">
        <v>3</v>
      </c>
      <c r="L1244" s="36">
        <f ca="1">IF(C1244&lt;&gt;"Yes",0,IF(A1244=2025,N('2025'!D137),IF(A1244=2026,N('2026'!D137),IF(A1244=2027,N('2027'!D137),IF(A1244=2028,N('2028'!D137),IF(A1244=2029,N('2029'!D137),IF(A1244=2030,N('2030'!D137),IF(A1244=2031,N('2031'!D137),IF(A1244=2032,N('2032'!D137),IF(A1244=2033,N('2033'!D137),IF(A1244=2034,N('2034'!D137),IFERROR(N(INDIRECT("'"&amp;A1244&amp;"'!D"&amp;G1244)),0))))))))))))</f>
        <v>0</v>
      </c>
      <c r="M1244" s="36">
        <f>IFERROR(IF(NOT(ISBLANK(KPI_TARGETS!$L$12)),KPI_TARGETS!$L$12,IF(NOT(ISBLANK(KPI_TARGETS!$F$12)),KPI_TARGETS!$F$12,"")),"")</f>
        <v>0</v>
      </c>
      <c r="N1244" s="36" t="str">
        <f>IFERROR(KPI_TARGETS!$E$12,"Higher is better")</f>
        <v>Lower is better</v>
      </c>
      <c r="O1244" s="37">
        <f t="shared" ca="1" si="114"/>
        <v>1</v>
      </c>
      <c r="P1244" t="str">
        <f t="shared" ca="1" si="115"/>
        <v>Green</v>
      </c>
      <c r="Q1244" s="36">
        <f t="shared" ca="1" si="116"/>
        <v>0</v>
      </c>
      <c r="R1244" s="36" t="str">
        <f>""</f>
        <v/>
      </c>
      <c r="S1244" s="36" t="str">
        <f>""</f>
        <v/>
      </c>
      <c r="T1244" s="36" t="str">
        <f>""</f>
        <v/>
      </c>
      <c r="U1244" s="36" t="str">
        <f>""</f>
        <v/>
      </c>
      <c r="V1244" s="36" t="str">
        <f>""</f>
        <v/>
      </c>
      <c r="W1244" s="36">
        <f t="shared" si="117"/>
        <v>1</v>
      </c>
      <c r="X1244" t="str">
        <f t="shared" si="118"/>
        <v>Inactive</v>
      </c>
      <c r="Y1244" t="str">
        <f>IF(MAIN!$H$3="Selected Year",IF(A1244=MAIN!$B$3,"Yes","No"),IF(MAIN!$H$3="Included Years",IF(D1244="Yes","Yes","No"),IF(C1244="Yes","Yes","No")))</f>
        <v>No</v>
      </c>
      <c r="Z1244" t="str">
        <f>IF(MAIN!$F$3="Project to Date",IF(AND(A1244&gt;=SETTINGS!$B$4,A1244&lt;MAIN!$B$3),"Yes",IF(AND(A1244=MAIN!$B$3,E1244&lt;=MAIN!$L$3),"Yes","No")),IF(OR(MAIN!$F$3="Full Year",MAIN!$D$3="All"),"Yes",IF(MAIN!$F$3="Monthly",IF(E1244=MAIN!$L$3,"Yes","No"),IF(E1244&lt;=MAIN!$L$3,"Yes","No"))))</f>
        <v>Yes</v>
      </c>
      <c r="AA1244" t="str">
        <f t="shared" si="119"/>
        <v>No</v>
      </c>
    </row>
    <row r="1245" spans="1:27" x14ac:dyDescent="0.3">
      <c r="A1245">
        <f>INDEX(SETTINGS!$A$15:$A$24,$B1245)</f>
        <v>2030</v>
      </c>
      <c r="B1245">
        <v>6</v>
      </c>
      <c r="C1245" t="str">
        <f>IF(AND(A1245&gt;=SETTINGS!$B$4,A1245&lt;=SETTINGS!$B$5),"Yes","No")</f>
        <v>No</v>
      </c>
      <c r="D1245" t="str">
        <f>IFERROR(INDEX(SETTINGS!$C$15:$C$24,MATCH(A1245,SETTINGS!$A$15:$A$24,0)),"No")</f>
        <v>No</v>
      </c>
      <c r="E1245">
        <v>6</v>
      </c>
      <c r="F1245" t="s">
        <v>39</v>
      </c>
      <c r="G1245">
        <v>138</v>
      </c>
      <c r="H1245" t="s">
        <v>102</v>
      </c>
      <c r="I1245" t="s">
        <v>15</v>
      </c>
      <c r="J1245" t="s">
        <v>21</v>
      </c>
      <c r="K1245" t="s">
        <v>3</v>
      </c>
      <c r="L1245" s="36">
        <f ca="1">IF(C1245&lt;&gt;"Yes",0,IF(A1245=2025,N('2025'!D138),IF(A1245=2026,N('2026'!D138),IF(A1245=2027,N('2027'!D138),IF(A1245=2028,N('2028'!D138),IF(A1245=2029,N('2029'!D138),IF(A1245=2030,N('2030'!D138),IF(A1245=2031,N('2031'!D138),IF(A1245=2032,N('2032'!D138),IF(A1245=2033,N('2033'!D138),IF(A1245=2034,N('2034'!D138),IFERROR(N(INDIRECT("'"&amp;A1245&amp;"'!D"&amp;G1245)),0))))))))))))</f>
        <v>0</v>
      </c>
      <c r="M1245" s="36">
        <f>IFERROR(IF(NOT(ISBLANK(KPI_TARGETS!$L$13)),KPI_TARGETS!$L$13,IF(NOT(ISBLANK(KPI_TARGETS!$F$13)),KPI_TARGETS!$F$13,"")),"")</f>
        <v>0</v>
      </c>
      <c r="N1245" s="36" t="str">
        <f>IFERROR(KPI_TARGETS!$E$13,"Higher is better")</f>
        <v>Lower is better</v>
      </c>
      <c r="O1245" s="37">
        <f t="shared" ca="1" si="114"/>
        <v>1</v>
      </c>
      <c r="P1245" t="str">
        <f t="shared" ca="1" si="115"/>
        <v>Green</v>
      </c>
      <c r="Q1245" s="36">
        <f t="shared" ca="1" si="116"/>
        <v>0</v>
      </c>
      <c r="R1245" s="36" t="str">
        <f>""</f>
        <v/>
      </c>
      <c r="S1245" s="36" t="str">
        <f>""</f>
        <v/>
      </c>
      <c r="T1245" s="36" t="str">
        <f>""</f>
        <v/>
      </c>
      <c r="U1245" s="36" t="str">
        <f>""</f>
        <v/>
      </c>
      <c r="V1245" s="36" t="str">
        <f>""</f>
        <v/>
      </c>
      <c r="W1245" s="36">
        <f t="shared" si="117"/>
        <v>1</v>
      </c>
      <c r="X1245" t="str">
        <f t="shared" si="118"/>
        <v>Inactive</v>
      </c>
      <c r="Y1245" t="str">
        <f>IF(MAIN!$H$3="Selected Year",IF(A1245=MAIN!$B$3,"Yes","No"),IF(MAIN!$H$3="Included Years",IF(D1245="Yes","Yes","No"),IF(C1245="Yes","Yes","No")))</f>
        <v>No</v>
      </c>
      <c r="Z1245" t="str">
        <f>IF(MAIN!$F$3="Project to Date",IF(AND(A1245&gt;=SETTINGS!$B$4,A1245&lt;MAIN!$B$3),"Yes",IF(AND(A1245=MAIN!$B$3,E1245&lt;=MAIN!$L$3),"Yes","No")),IF(OR(MAIN!$F$3="Full Year",MAIN!$D$3="All"),"Yes",IF(MAIN!$F$3="Monthly",IF(E1245=MAIN!$L$3,"Yes","No"),IF(E1245&lt;=MAIN!$L$3,"Yes","No"))))</f>
        <v>Yes</v>
      </c>
      <c r="AA1245" t="str">
        <f t="shared" si="119"/>
        <v>No</v>
      </c>
    </row>
    <row r="1246" spans="1:27" x14ac:dyDescent="0.3">
      <c r="A1246">
        <f>INDEX(SETTINGS!$A$15:$A$24,$B1246)</f>
        <v>2030</v>
      </c>
      <c r="B1246">
        <v>6</v>
      </c>
      <c r="C1246" t="str">
        <f>IF(AND(A1246&gt;=SETTINGS!$B$4,A1246&lt;=SETTINGS!$B$5),"Yes","No")</f>
        <v>No</v>
      </c>
      <c r="D1246" t="str">
        <f>IFERROR(INDEX(SETTINGS!$C$15:$C$24,MATCH(A1246,SETTINGS!$A$15:$A$24,0)),"No")</f>
        <v>No</v>
      </c>
      <c r="E1246">
        <v>6</v>
      </c>
      <c r="F1246" t="s">
        <v>39</v>
      </c>
      <c r="G1246">
        <v>140</v>
      </c>
      <c r="H1246" t="s">
        <v>103</v>
      </c>
      <c r="I1246" t="s">
        <v>22</v>
      </c>
      <c r="J1246" t="s">
        <v>23</v>
      </c>
      <c r="K1246" t="s">
        <v>3</v>
      </c>
      <c r="L1246" s="36">
        <f ca="1">IF(C1246&lt;&gt;"Yes",0,IF(A1246=2025,N('2025'!D140),IF(A1246=2026,N('2026'!D140),IF(A1246=2027,N('2027'!D140),IF(A1246=2028,N('2028'!D140),IF(A1246=2029,N('2029'!D140),IF(A1246=2030,N('2030'!D140),IF(A1246=2031,N('2031'!D140),IF(A1246=2032,N('2032'!D140),IF(A1246=2033,N('2033'!D140),IF(A1246=2034,N('2034'!D140),IFERROR(N(INDIRECT("'"&amp;A1246&amp;"'!D"&amp;G1246)),0))))))))))))</f>
        <v>0</v>
      </c>
      <c r="M1246" s="36">
        <f>IFERROR(IF(NOT(ISBLANK(KPI_TARGETS!$L$14)),KPI_TARGETS!$L$14,IF(NOT(ISBLANK(KPI_TARGETS!$F$14)),KPI_TARGETS!$F$14,"")),"")</f>
        <v>35</v>
      </c>
      <c r="N1246" s="36" t="str">
        <f>IFERROR(KPI_TARGETS!$E$14,"Higher is better")</f>
        <v>Higher is better</v>
      </c>
      <c r="O1246" s="37">
        <f t="shared" ca="1" si="114"/>
        <v>0</v>
      </c>
      <c r="P1246" t="str">
        <f t="shared" ca="1" si="115"/>
        <v>Red</v>
      </c>
      <c r="Q1246" s="36">
        <f t="shared" ca="1" si="116"/>
        <v>-35</v>
      </c>
      <c r="R1246" s="36" t="str">
        <f>""</f>
        <v/>
      </c>
      <c r="S1246" s="36" t="str">
        <f>""</f>
        <v/>
      </c>
      <c r="T1246" s="36" t="str">
        <f>""</f>
        <v/>
      </c>
      <c r="U1246" s="36" t="str">
        <f>""</f>
        <v/>
      </c>
      <c r="V1246" s="36" t="str">
        <f>""</f>
        <v/>
      </c>
      <c r="W1246" s="36">
        <f t="shared" si="117"/>
        <v>1</v>
      </c>
      <c r="X1246" t="str">
        <f t="shared" si="118"/>
        <v>Inactive</v>
      </c>
      <c r="Y1246" t="str">
        <f>IF(MAIN!$H$3="Selected Year",IF(A1246=MAIN!$B$3,"Yes","No"),IF(MAIN!$H$3="Included Years",IF(D1246="Yes","Yes","No"),IF(C1246="Yes","Yes","No")))</f>
        <v>No</v>
      </c>
      <c r="Z1246" t="str">
        <f>IF(MAIN!$F$3="Project to Date",IF(AND(A1246&gt;=SETTINGS!$B$4,A1246&lt;MAIN!$B$3),"Yes",IF(AND(A1246=MAIN!$B$3,E1246&lt;=MAIN!$L$3),"Yes","No")),IF(OR(MAIN!$F$3="Full Year",MAIN!$D$3="All"),"Yes",IF(MAIN!$F$3="Monthly",IF(E1246=MAIN!$L$3,"Yes","No"),IF(E1246&lt;=MAIN!$L$3,"Yes","No"))))</f>
        <v>Yes</v>
      </c>
      <c r="AA1246" t="str">
        <f t="shared" si="119"/>
        <v>No</v>
      </c>
    </row>
    <row r="1247" spans="1:27" x14ac:dyDescent="0.3">
      <c r="A1247">
        <f>INDEX(SETTINGS!$A$15:$A$24,$B1247)</f>
        <v>2030</v>
      </c>
      <c r="B1247">
        <v>6</v>
      </c>
      <c r="C1247" t="str">
        <f>IF(AND(A1247&gt;=SETTINGS!$B$4,A1247&lt;=SETTINGS!$B$5),"Yes","No")</f>
        <v>No</v>
      </c>
      <c r="D1247" t="str">
        <f>IFERROR(INDEX(SETTINGS!$C$15:$C$24,MATCH(A1247,SETTINGS!$A$15:$A$24,0)),"No")</f>
        <v>No</v>
      </c>
      <c r="E1247">
        <v>6</v>
      </c>
      <c r="F1247" t="s">
        <v>39</v>
      </c>
      <c r="G1247">
        <v>141</v>
      </c>
      <c r="H1247" t="s">
        <v>104</v>
      </c>
      <c r="I1247" t="s">
        <v>22</v>
      </c>
      <c r="J1247" t="s">
        <v>24</v>
      </c>
      <c r="K1247" t="s">
        <v>3</v>
      </c>
      <c r="L1247" s="36">
        <f ca="1">IF(C1247&lt;&gt;"Yes",0,IF(A1247=2025,N('2025'!D141),IF(A1247=2026,N('2026'!D141),IF(A1247=2027,N('2027'!D141),IF(A1247=2028,N('2028'!D141),IF(A1247=2029,N('2029'!D141),IF(A1247=2030,N('2030'!D141),IF(A1247=2031,N('2031'!D141),IF(A1247=2032,N('2032'!D141),IF(A1247=2033,N('2033'!D141),IF(A1247=2034,N('2034'!D141),IFERROR(N(INDIRECT("'"&amp;A1247&amp;"'!D"&amp;G1247)),0))))))))))))</f>
        <v>0</v>
      </c>
      <c r="M1247" s="36">
        <f>IFERROR(IF(NOT(ISBLANK(KPI_TARGETS!$L$15)),KPI_TARGETS!$L$15,IF(NOT(ISBLANK(KPI_TARGETS!$F$15)),KPI_TARGETS!$F$15,"")),"")</f>
        <v>5</v>
      </c>
      <c r="N1247" s="36" t="str">
        <f>IFERROR(KPI_TARGETS!$E$15,"Higher is better")</f>
        <v>Higher is better</v>
      </c>
      <c r="O1247" s="37">
        <f t="shared" ca="1" si="114"/>
        <v>0</v>
      </c>
      <c r="P1247" t="str">
        <f t="shared" ca="1" si="115"/>
        <v>Red</v>
      </c>
      <c r="Q1247" s="36">
        <f t="shared" ca="1" si="116"/>
        <v>-5</v>
      </c>
      <c r="R1247" s="36" t="str">
        <f>""</f>
        <v/>
      </c>
      <c r="S1247" s="36" t="str">
        <f>""</f>
        <v/>
      </c>
      <c r="T1247" s="36" t="str">
        <f>""</f>
        <v/>
      </c>
      <c r="U1247" s="36" t="str">
        <f>""</f>
        <v/>
      </c>
      <c r="V1247" s="36" t="str">
        <f>""</f>
        <v/>
      </c>
      <c r="W1247" s="36">
        <f t="shared" si="117"/>
        <v>1</v>
      </c>
      <c r="X1247" t="str">
        <f t="shared" si="118"/>
        <v>Inactive</v>
      </c>
      <c r="Y1247" t="str">
        <f>IF(MAIN!$H$3="Selected Year",IF(A1247=MAIN!$B$3,"Yes","No"),IF(MAIN!$H$3="Included Years",IF(D1247="Yes","Yes","No"),IF(C1247="Yes","Yes","No")))</f>
        <v>No</v>
      </c>
      <c r="Z1247" t="str">
        <f>IF(MAIN!$F$3="Project to Date",IF(AND(A1247&gt;=SETTINGS!$B$4,A1247&lt;MAIN!$B$3),"Yes",IF(AND(A1247=MAIN!$B$3,E1247&lt;=MAIN!$L$3),"Yes","No")),IF(OR(MAIN!$F$3="Full Year",MAIN!$D$3="All"),"Yes",IF(MAIN!$F$3="Monthly",IF(E1247=MAIN!$L$3,"Yes","No"),IF(E1247&lt;=MAIN!$L$3,"Yes","No"))))</f>
        <v>Yes</v>
      </c>
      <c r="AA1247" t="str">
        <f t="shared" si="119"/>
        <v>No</v>
      </c>
    </row>
    <row r="1248" spans="1:27" x14ac:dyDescent="0.3">
      <c r="A1248">
        <f>INDEX(SETTINGS!$A$15:$A$24,$B1248)</f>
        <v>2030</v>
      </c>
      <c r="B1248">
        <v>6</v>
      </c>
      <c r="C1248" t="str">
        <f>IF(AND(A1248&gt;=SETTINGS!$B$4,A1248&lt;=SETTINGS!$B$5),"Yes","No")</f>
        <v>No</v>
      </c>
      <c r="D1248" t="str">
        <f>IFERROR(INDEX(SETTINGS!$C$15:$C$24,MATCH(A1248,SETTINGS!$A$15:$A$24,0)),"No")</f>
        <v>No</v>
      </c>
      <c r="E1248">
        <v>6</v>
      </c>
      <c r="F1248" t="s">
        <v>39</v>
      </c>
      <c r="G1248">
        <v>142</v>
      </c>
      <c r="H1248" t="s">
        <v>105</v>
      </c>
      <c r="I1248" t="s">
        <v>22</v>
      </c>
      <c r="J1248" t="s">
        <v>25</v>
      </c>
      <c r="K1248" t="s">
        <v>3</v>
      </c>
      <c r="L1248" s="36">
        <f ca="1">IF(C1248&lt;&gt;"Yes",0,IF(A1248=2025,N('2025'!D142),IF(A1248=2026,N('2026'!D142),IF(A1248=2027,N('2027'!D142),IF(A1248=2028,N('2028'!D142),IF(A1248=2029,N('2029'!D142),IF(A1248=2030,N('2030'!D142),IF(A1248=2031,N('2031'!D142),IF(A1248=2032,N('2032'!D142),IF(A1248=2033,N('2033'!D142),IF(A1248=2034,N('2034'!D142),IFERROR(N(INDIRECT("'"&amp;A1248&amp;"'!D"&amp;G1248)),0))))))))))))</f>
        <v>0</v>
      </c>
      <c r="M1248" s="36">
        <f>IFERROR(IF(NOT(ISBLANK(KPI_TARGETS!$L$16)),KPI_TARGETS!$L$16,IF(NOT(ISBLANK(KPI_TARGETS!$F$16)),KPI_TARGETS!$F$16,"")),"")</f>
        <v>4</v>
      </c>
      <c r="N1248" s="36" t="str">
        <f>IFERROR(KPI_TARGETS!$E$16,"Higher is better")</f>
        <v>Higher is better</v>
      </c>
      <c r="O1248" s="37">
        <f t="shared" ca="1" si="114"/>
        <v>0</v>
      </c>
      <c r="P1248" t="str">
        <f t="shared" ca="1" si="115"/>
        <v>Red</v>
      </c>
      <c r="Q1248" s="36">
        <f t="shared" ca="1" si="116"/>
        <v>-4</v>
      </c>
      <c r="R1248" s="36" t="str">
        <f>""</f>
        <v/>
      </c>
      <c r="S1248" s="36" t="str">
        <f>""</f>
        <v/>
      </c>
      <c r="T1248" s="36" t="str">
        <f>""</f>
        <v/>
      </c>
      <c r="U1248" s="36" t="str">
        <f>""</f>
        <v/>
      </c>
      <c r="V1248" s="36" t="str">
        <f>""</f>
        <v/>
      </c>
      <c r="W1248" s="36">
        <f t="shared" si="117"/>
        <v>1</v>
      </c>
      <c r="X1248" t="str">
        <f t="shared" si="118"/>
        <v>Inactive</v>
      </c>
      <c r="Y1248" t="str">
        <f>IF(MAIN!$H$3="Selected Year",IF(A1248=MAIN!$B$3,"Yes","No"),IF(MAIN!$H$3="Included Years",IF(D1248="Yes","Yes","No"),IF(C1248="Yes","Yes","No")))</f>
        <v>No</v>
      </c>
      <c r="Z1248" t="str">
        <f>IF(MAIN!$F$3="Project to Date",IF(AND(A1248&gt;=SETTINGS!$B$4,A1248&lt;MAIN!$B$3),"Yes",IF(AND(A1248=MAIN!$B$3,E1248&lt;=MAIN!$L$3),"Yes","No")),IF(OR(MAIN!$F$3="Full Year",MAIN!$D$3="All"),"Yes",IF(MAIN!$F$3="Monthly",IF(E1248=MAIN!$L$3,"Yes","No"),IF(E1248&lt;=MAIN!$L$3,"Yes","No"))))</f>
        <v>Yes</v>
      </c>
      <c r="AA1248" t="str">
        <f t="shared" si="119"/>
        <v>No</v>
      </c>
    </row>
    <row r="1249" spans="1:27" x14ac:dyDescent="0.3">
      <c r="A1249">
        <f>INDEX(SETTINGS!$A$15:$A$24,$B1249)</f>
        <v>2030</v>
      </c>
      <c r="B1249">
        <v>6</v>
      </c>
      <c r="C1249" t="str">
        <f>IF(AND(A1249&gt;=SETTINGS!$B$4,A1249&lt;=SETTINGS!$B$5),"Yes","No")</f>
        <v>No</v>
      </c>
      <c r="D1249" t="str">
        <f>IFERROR(INDEX(SETTINGS!$C$15:$C$24,MATCH(A1249,SETTINGS!$A$15:$A$24,0)),"No")</f>
        <v>No</v>
      </c>
      <c r="E1249">
        <v>6</v>
      </c>
      <c r="F1249" t="s">
        <v>39</v>
      </c>
      <c r="G1249">
        <v>143</v>
      </c>
      <c r="H1249" t="s">
        <v>106</v>
      </c>
      <c r="I1249" t="s">
        <v>22</v>
      </c>
      <c r="J1249" t="s">
        <v>26</v>
      </c>
      <c r="K1249" t="s">
        <v>3</v>
      </c>
      <c r="L1249" s="36">
        <f ca="1">IF(C1249&lt;&gt;"Yes",0,IF(A1249=2025,N('2025'!D143),IF(A1249=2026,N('2026'!D143),IF(A1249=2027,N('2027'!D143),IF(A1249=2028,N('2028'!D143),IF(A1249=2029,N('2029'!D143),IF(A1249=2030,N('2030'!D143),IF(A1249=2031,N('2031'!D143),IF(A1249=2032,N('2032'!D143),IF(A1249=2033,N('2033'!D143),IF(A1249=2034,N('2034'!D143),IFERROR(N(INDIRECT("'"&amp;A1249&amp;"'!D"&amp;G1249)),0))))))))))))</f>
        <v>0</v>
      </c>
      <c r="M1249" s="36">
        <f>IFERROR(IF(NOT(ISBLANK(KPI_TARGETS!$L$17)),KPI_TARGETS!$L$17,IF(NOT(ISBLANK(KPI_TARGETS!$F$17)),KPI_TARGETS!$F$17,"")),"")</f>
        <v>12</v>
      </c>
      <c r="N1249" s="36" t="str">
        <f>IFERROR(KPI_TARGETS!$E$17,"Higher is better")</f>
        <v>Higher is better</v>
      </c>
      <c r="O1249" s="37">
        <f t="shared" ca="1" si="114"/>
        <v>0</v>
      </c>
      <c r="P1249" t="str">
        <f t="shared" ca="1" si="115"/>
        <v>Red</v>
      </c>
      <c r="Q1249" s="36">
        <f t="shared" ca="1" si="116"/>
        <v>-12</v>
      </c>
      <c r="R1249" s="36" t="str">
        <f>""</f>
        <v/>
      </c>
      <c r="S1249" s="36" t="str">
        <f>""</f>
        <v/>
      </c>
      <c r="T1249" s="36" t="str">
        <f>""</f>
        <v/>
      </c>
      <c r="U1249" s="36" t="str">
        <f>""</f>
        <v/>
      </c>
      <c r="V1249" s="36" t="str">
        <f>""</f>
        <v/>
      </c>
      <c r="W1249" s="36">
        <f t="shared" si="117"/>
        <v>1</v>
      </c>
      <c r="X1249" t="str">
        <f t="shared" si="118"/>
        <v>Inactive</v>
      </c>
      <c r="Y1249" t="str">
        <f>IF(MAIN!$H$3="Selected Year",IF(A1249=MAIN!$B$3,"Yes","No"),IF(MAIN!$H$3="Included Years",IF(D1249="Yes","Yes","No"),IF(C1249="Yes","Yes","No")))</f>
        <v>No</v>
      </c>
      <c r="Z1249" t="str">
        <f>IF(MAIN!$F$3="Project to Date",IF(AND(A1249&gt;=SETTINGS!$B$4,A1249&lt;MAIN!$B$3),"Yes",IF(AND(A1249=MAIN!$B$3,E1249&lt;=MAIN!$L$3),"Yes","No")),IF(OR(MAIN!$F$3="Full Year",MAIN!$D$3="All"),"Yes",IF(MAIN!$F$3="Monthly",IF(E1249=MAIN!$L$3,"Yes","No"),IF(E1249&lt;=MAIN!$L$3,"Yes","No"))))</f>
        <v>Yes</v>
      </c>
      <c r="AA1249" t="str">
        <f t="shared" si="119"/>
        <v>No</v>
      </c>
    </row>
    <row r="1250" spans="1:27" x14ac:dyDescent="0.3">
      <c r="A1250">
        <f>INDEX(SETTINGS!$A$15:$A$24,$B1250)</f>
        <v>2030</v>
      </c>
      <c r="B1250">
        <v>6</v>
      </c>
      <c r="C1250" t="str">
        <f>IF(AND(A1250&gt;=SETTINGS!$B$4,A1250&lt;=SETTINGS!$B$5),"Yes","No")</f>
        <v>No</v>
      </c>
      <c r="D1250" t="str">
        <f>IFERROR(INDEX(SETTINGS!$C$15:$C$24,MATCH(A1250,SETTINGS!$A$15:$A$24,0)),"No")</f>
        <v>No</v>
      </c>
      <c r="E1250">
        <v>6</v>
      </c>
      <c r="F1250" t="s">
        <v>39</v>
      </c>
      <c r="G1250">
        <v>144</v>
      </c>
      <c r="H1250" t="s">
        <v>107</v>
      </c>
      <c r="I1250" t="s">
        <v>22</v>
      </c>
      <c r="J1250" t="s">
        <v>27</v>
      </c>
      <c r="K1250" t="s">
        <v>3</v>
      </c>
      <c r="L1250" s="36">
        <f ca="1">IF(C1250&lt;&gt;"Yes",0,IF(A1250=2025,N('2025'!D144),IF(A1250=2026,N('2026'!D144),IF(A1250=2027,N('2027'!D144),IF(A1250=2028,N('2028'!D144),IF(A1250=2029,N('2029'!D144),IF(A1250=2030,N('2030'!D144),IF(A1250=2031,N('2031'!D144),IF(A1250=2032,N('2032'!D144),IF(A1250=2033,N('2033'!D144),IF(A1250=2034,N('2034'!D144),IFERROR(N(INDIRECT("'"&amp;A1250&amp;"'!D"&amp;G1250)),0))))))))))))</f>
        <v>0</v>
      </c>
      <c r="M1250" s="36">
        <f>IFERROR(IF(NOT(ISBLANK(KPI_TARGETS!$L$18)),KPI_TARGETS!$L$18,IF(NOT(ISBLANK(KPI_TARGETS!$F$18)),KPI_TARGETS!$F$18,"")),"")</f>
        <v>4</v>
      </c>
      <c r="N1250" s="36" t="str">
        <f>IFERROR(KPI_TARGETS!$E$18,"Higher is better")</f>
        <v>Higher is better</v>
      </c>
      <c r="O1250" s="37">
        <f t="shared" ca="1" si="114"/>
        <v>0</v>
      </c>
      <c r="P1250" t="str">
        <f t="shared" ca="1" si="115"/>
        <v>Red</v>
      </c>
      <c r="Q1250" s="36">
        <f t="shared" ca="1" si="116"/>
        <v>-4</v>
      </c>
      <c r="R1250" s="36" t="str">
        <f>""</f>
        <v/>
      </c>
      <c r="S1250" s="36" t="str">
        <f>""</f>
        <v/>
      </c>
      <c r="T1250" s="36" t="str">
        <f>""</f>
        <v/>
      </c>
      <c r="U1250" s="36" t="str">
        <f>""</f>
        <v/>
      </c>
      <c r="V1250" s="36" t="str">
        <f>""</f>
        <v/>
      </c>
      <c r="W1250" s="36">
        <f t="shared" si="117"/>
        <v>1</v>
      </c>
      <c r="X1250" t="str">
        <f t="shared" si="118"/>
        <v>Inactive</v>
      </c>
      <c r="Y1250" t="str">
        <f>IF(MAIN!$H$3="Selected Year",IF(A1250=MAIN!$B$3,"Yes","No"),IF(MAIN!$H$3="Included Years",IF(D1250="Yes","Yes","No"),IF(C1250="Yes","Yes","No")))</f>
        <v>No</v>
      </c>
      <c r="Z1250" t="str">
        <f>IF(MAIN!$F$3="Project to Date",IF(AND(A1250&gt;=SETTINGS!$B$4,A1250&lt;MAIN!$B$3),"Yes",IF(AND(A1250=MAIN!$B$3,E1250&lt;=MAIN!$L$3),"Yes","No")),IF(OR(MAIN!$F$3="Full Year",MAIN!$D$3="All"),"Yes",IF(MAIN!$F$3="Monthly",IF(E1250=MAIN!$L$3,"Yes","No"),IF(E1250&lt;=MAIN!$L$3,"Yes","No"))))</f>
        <v>Yes</v>
      </c>
      <c r="AA1250" t="str">
        <f t="shared" si="119"/>
        <v>No</v>
      </c>
    </row>
    <row r="1251" spans="1:27" x14ac:dyDescent="0.3">
      <c r="A1251">
        <f>INDEX(SETTINGS!$A$15:$A$24,$B1251)</f>
        <v>2030</v>
      </c>
      <c r="B1251">
        <v>6</v>
      </c>
      <c r="C1251" t="str">
        <f>IF(AND(A1251&gt;=SETTINGS!$B$4,A1251&lt;=SETTINGS!$B$5),"Yes","No")</f>
        <v>No</v>
      </c>
      <c r="D1251" t="str">
        <f>IFERROR(INDEX(SETTINGS!$C$15:$C$24,MATCH(A1251,SETTINGS!$A$15:$A$24,0)),"No")</f>
        <v>No</v>
      </c>
      <c r="E1251">
        <v>6</v>
      </c>
      <c r="F1251" t="s">
        <v>39</v>
      </c>
      <c r="G1251">
        <v>145</v>
      </c>
      <c r="H1251" t="s">
        <v>108</v>
      </c>
      <c r="I1251" t="s">
        <v>22</v>
      </c>
      <c r="J1251" t="s">
        <v>28</v>
      </c>
      <c r="K1251" t="s">
        <v>3</v>
      </c>
      <c r="L1251" s="36">
        <f ca="1">IF(C1251&lt;&gt;"Yes",0,IF(A1251=2025,N('2025'!D145),IF(A1251=2026,N('2026'!D145),IF(A1251=2027,N('2027'!D145),IF(A1251=2028,N('2028'!D145),IF(A1251=2029,N('2029'!D145),IF(A1251=2030,N('2030'!D145),IF(A1251=2031,N('2031'!D145),IF(A1251=2032,N('2032'!D145),IF(A1251=2033,N('2033'!D145),IF(A1251=2034,N('2034'!D145),IFERROR(N(INDIRECT("'"&amp;A1251&amp;"'!D"&amp;G1251)),0))))))))))))</f>
        <v>0</v>
      </c>
      <c r="M1251" s="36">
        <f>IFERROR(IF(NOT(ISBLANK(KPI_TARGETS!$L$19)),KPI_TARGETS!$L$19,IF(NOT(ISBLANK(KPI_TARGETS!$F$19)),KPI_TARGETS!$F$19,"")),"")</f>
        <v>16</v>
      </c>
      <c r="N1251" s="36" t="str">
        <f>IFERROR(KPI_TARGETS!$E$19,"Higher is better")</f>
        <v>Higher is better</v>
      </c>
      <c r="O1251" s="37">
        <f t="shared" ca="1" si="114"/>
        <v>0</v>
      </c>
      <c r="P1251" t="str">
        <f t="shared" ca="1" si="115"/>
        <v>Red</v>
      </c>
      <c r="Q1251" s="36">
        <f t="shared" ca="1" si="116"/>
        <v>-16</v>
      </c>
      <c r="R1251" s="36" t="str">
        <f>""</f>
        <v/>
      </c>
      <c r="S1251" s="36" t="str">
        <f>""</f>
        <v/>
      </c>
      <c r="T1251" s="36" t="str">
        <f>""</f>
        <v/>
      </c>
      <c r="U1251" s="36" t="str">
        <f>""</f>
        <v/>
      </c>
      <c r="V1251" s="36" t="str">
        <f>""</f>
        <v/>
      </c>
      <c r="W1251" s="36">
        <f t="shared" si="117"/>
        <v>1</v>
      </c>
      <c r="X1251" t="str">
        <f t="shared" si="118"/>
        <v>Inactive</v>
      </c>
      <c r="Y1251" t="str">
        <f>IF(MAIN!$H$3="Selected Year",IF(A1251=MAIN!$B$3,"Yes","No"),IF(MAIN!$H$3="Included Years",IF(D1251="Yes","Yes","No"),IF(C1251="Yes","Yes","No")))</f>
        <v>No</v>
      </c>
      <c r="Z1251" t="str">
        <f>IF(MAIN!$F$3="Project to Date",IF(AND(A1251&gt;=SETTINGS!$B$4,A1251&lt;MAIN!$B$3),"Yes",IF(AND(A1251=MAIN!$B$3,E1251&lt;=MAIN!$L$3),"Yes","No")),IF(OR(MAIN!$F$3="Full Year",MAIN!$D$3="All"),"Yes",IF(MAIN!$F$3="Monthly",IF(E1251=MAIN!$L$3,"Yes","No"),IF(E1251&lt;=MAIN!$L$3,"Yes","No"))))</f>
        <v>Yes</v>
      </c>
      <c r="AA1251" t="str">
        <f t="shared" si="119"/>
        <v>No</v>
      </c>
    </row>
    <row r="1252" spans="1:27" x14ac:dyDescent="0.3">
      <c r="A1252">
        <f>INDEX(SETTINGS!$A$15:$A$24,$B1252)</f>
        <v>2030</v>
      </c>
      <c r="B1252">
        <v>6</v>
      </c>
      <c r="C1252" t="str">
        <f>IF(AND(A1252&gt;=SETTINGS!$B$4,A1252&lt;=SETTINGS!$B$5),"Yes","No")</f>
        <v>No</v>
      </c>
      <c r="D1252" t="str">
        <f>IFERROR(INDEX(SETTINGS!$C$15:$C$24,MATCH(A1252,SETTINGS!$A$15:$A$24,0)),"No")</f>
        <v>No</v>
      </c>
      <c r="E1252">
        <v>6</v>
      </c>
      <c r="F1252" t="s">
        <v>39</v>
      </c>
      <c r="G1252">
        <v>146</v>
      </c>
      <c r="H1252" t="s">
        <v>109</v>
      </c>
      <c r="I1252" t="s">
        <v>22</v>
      </c>
      <c r="J1252" t="s">
        <v>29</v>
      </c>
      <c r="K1252" t="s">
        <v>3</v>
      </c>
      <c r="L1252" s="36">
        <f ca="1">IF(C1252&lt;&gt;"Yes",0,IF(A1252=2025,N('2025'!D146),IF(A1252=2026,N('2026'!D146),IF(A1252=2027,N('2027'!D146),IF(A1252=2028,N('2028'!D146),IF(A1252=2029,N('2029'!D146),IF(A1252=2030,N('2030'!D146),IF(A1252=2031,N('2031'!D146),IF(A1252=2032,N('2032'!D146),IF(A1252=2033,N('2033'!D146),IF(A1252=2034,N('2034'!D146),IFERROR(N(INDIRECT("'"&amp;A1252&amp;"'!D"&amp;G1252)),0))))))))))))</f>
        <v>0</v>
      </c>
      <c r="M1252" s="36">
        <f>IFERROR(IF(NOT(ISBLANK(KPI_TARGETS!$L$20)),KPI_TARGETS!$L$20,IF(NOT(ISBLANK(KPI_TARGETS!$F$20)),KPI_TARGETS!$F$20,"")),"")</f>
        <v>1</v>
      </c>
      <c r="N1252" s="36" t="str">
        <f>IFERROR(KPI_TARGETS!$E$20,"Higher is better")</f>
        <v>Higher is better</v>
      </c>
      <c r="O1252" s="37">
        <f t="shared" ca="1" si="114"/>
        <v>0</v>
      </c>
      <c r="P1252" t="str">
        <f t="shared" ca="1" si="115"/>
        <v>Red</v>
      </c>
      <c r="Q1252" s="36">
        <f t="shared" ca="1" si="116"/>
        <v>-1</v>
      </c>
      <c r="R1252" s="36" t="str">
        <f>""</f>
        <v/>
      </c>
      <c r="S1252" s="36" t="str">
        <f>""</f>
        <v/>
      </c>
      <c r="T1252" s="36" t="str">
        <f>""</f>
        <v/>
      </c>
      <c r="U1252" s="36" t="str">
        <f>""</f>
        <v/>
      </c>
      <c r="V1252" s="36" t="str">
        <f>""</f>
        <v/>
      </c>
      <c r="W1252" s="36">
        <f t="shared" si="117"/>
        <v>1</v>
      </c>
      <c r="X1252" t="str">
        <f t="shared" si="118"/>
        <v>Inactive</v>
      </c>
      <c r="Y1252" t="str">
        <f>IF(MAIN!$H$3="Selected Year",IF(A1252=MAIN!$B$3,"Yes","No"),IF(MAIN!$H$3="Included Years",IF(D1252="Yes","Yes","No"),IF(C1252="Yes","Yes","No")))</f>
        <v>No</v>
      </c>
      <c r="Z1252" t="str">
        <f>IF(MAIN!$F$3="Project to Date",IF(AND(A1252&gt;=SETTINGS!$B$4,A1252&lt;MAIN!$B$3),"Yes",IF(AND(A1252=MAIN!$B$3,E1252&lt;=MAIN!$L$3),"Yes","No")),IF(OR(MAIN!$F$3="Full Year",MAIN!$D$3="All"),"Yes",IF(MAIN!$F$3="Monthly",IF(E1252=MAIN!$L$3,"Yes","No"),IF(E1252&lt;=MAIN!$L$3,"Yes","No"))))</f>
        <v>Yes</v>
      </c>
      <c r="AA1252" t="str">
        <f t="shared" si="119"/>
        <v>No</v>
      </c>
    </row>
    <row r="1253" spans="1:27" x14ac:dyDescent="0.3">
      <c r="A1253">
        <f>INDEX(SETTINGS!$A$15:$A$24,$B1253)</f>
        <v>2030</v>
      </c>
      <c r="B1253">
        <v>6</v>
      </c>
      <c r="C1253" t="str">
        <f>IF(AND(A1253&gt;=SETTINGS!$B$4,A1253&lt;=SETTINGS!$B$5),"Yes","No")</f>
        <v>No</v>
      </c>
      <c r="D1253" t="str">
        <f>IFERROR(INDEX(SETTINGS!$C$15:$C$24,MATCH(A1253,SETTINGS!$A$15:$A$24,0)),"No")</f>
        <v>No</v>
      </c>
      <c r="E1253">
        <v>6</v>
      </c>
      <c r="F1253" t="s">
        <v>39</v>
      </c>
      <c r="G1253">
        <v>148</v>
      </c>
      <c r="H1253" t="s">
        <v>110</v>
      </c>
      <c r="I1253" t="s">
        <v>30</v>
      </c>
      <c r="J1253" t="s">
        <v>31</v>
      </c>
      <c r="K1253" t="s">
        <v>3</v>
      </c>
      <c r="L1253" s="36">
        <f ca="1">IF(C1253&lt;&gt;"Yes",0,IF(A1253=2025,N('2025'!D148),IF(A1253=2026,N('2026'!D148),IF(A1253=2027,N('2027'!D148),IF(A1253=2028,N('2028'!D148),IF(A1253=2029,N('2029'!D148),IF(A1253=2030,N('2030'!D148),IF(A1253=2031,N('2031'!D148),IF(A1253=2032,N('2032'!D148),IF(A1253=2033,N('2033'!D148),IF(A1253=2034,N('2034'!D148),IFERROR(N(INDIRECT("'"&amp;A1253&amp;"'!D"&amp;G1253)),0))))))))))))</f>
        <v>0</v>
      </c>
      <c r="M1253" s="36">
        <f>IFERROR(IF(NOT(ISBLANK(KPI_TARGETS!$L$21)),KPI_TARGETS!$L$21,IF(NOT(ISBLANK(KPI_TARGETS!$F$21)),KPI_TARGETS!$F$21,"")),"")</f>
        <v>0</v>
      </c>
      <c r="N1253" s="36" t="str">
        <f>IFERROR(KPI_TARGETS!$E$21,"Higher is better")</f>
        <v>Lower is better</v>
      </c>
      <c r="O1253" s="37">
        <f t="shared" ca="1" si="114"/>
        <v>1</v>
      </c>
      <c r="P1253" t="str">
        <f t="shared" ca="1" si="115"/>
        <v>Green</v>
      </c>
      <c r="Q1253" s="36">
        <f t="shared" ca="1" si="116"/>
        <v>0</v>
      </c>
      <c r="R1253" s="36" t="str">
        <f>""</f>
        <v/>
      </c>
      <c r="S1253" s="36" t="str">
        <f>""</f>
        <v/>
      </c>
      <c r="T1253" s="36" t="str">
        <f>""</f>
        <v/>
      </c>
      <c r="U1253" s="36" t="str">
        <f>""</f>
        <v/>
      </c>
      <c r="V1253" s="36" t="str">
        <f>""</f>
        <v/>
      </c>
      <c r="W1253" s="36">
        <f t="shared" si="117"/>
        <v>1</v>
      </c>
      <c r="X1253" t="str">
        <f t="shared" si="118"/>
        <v>Inactive</v>
      </c>
      <c r="Y1253" t="str">
        <f>IF(MAIN!$H$3="Selected Year",IF(A1253=MAIN!$B$3,"Yes","No"),IF(MAIN!$H$3="Included Years",IF(D1253="Yes","Yes","No"),IF(C1253="Yes","Yes","No")))</f>
        <v>No</v>
      </c>
      <c r="Z1253" t="str">
        <f>IF(MAIN!$F$3="Project to Date",IF(AND(A1253&gt;=SETTINGS!$B$4,A1253&lt;MAIN!$B$3),"Yes",IF(AND(A1253=MAIN!$B$3,E1253&lt;=MAIN!$L$3),"Yes","No")),IF(OR(MAIN!$F$3="Full Year",MAIN!$D$3="All"),"Yes",IF(MAIN!$F$3="Monthly",IF(E1253=MAIN!$L$3,"Yes","No"),IF(E1253&lt;=MAIN!$L$3,"Yes","No"))))</f>
        <v>Yes</v>
      </c>
      <c r="AA1253" t="str">
        <f t="shared" si="119"/>
        <v>No</v>
      </c>
    </row>
    <row r="1254" spans="1:27" x14ac:dyDescent="0.3">
      <c r="A1254">
        <f>INDEX(SETTINGS!$A$15:$A$24,$B1254)</f>
        <v>2030</v>
      </c>
      <c r="B1254">
        <v>6</v>
      </c>
      <c r="C1254" t="str">
        <f>IF(AND(A1254&gt;=SETTINGS!$B$4,A1254&lt;=SETTINGS!$B$5),"Yes","No")</f>
        <v>No</v>
      </c>
      <c r="D1254" t="str">
        <f>IFERROR(INDEX(SETTINGS!$C$15:$C$24,MATCH(A1254,SETTINGS!$A$15:$A$24,0)),"No")</f>
        <v>No</v>
      </c>
      <c r="E1254">
        <v>6</v>
      </c>
      <c r="F1254" t="s">
        <v>39</v>
      </c>
      <c r="G1254">
        <v>149</v>
      </c>
      <c r="H1254" t="s">
        <v>111</v>
      </c>
      <c r="I1254" t="s">
        <v>30</v>
      </c>
      <c r="J1254" t="s">
        <v>32</v>
      </c>
      <c r="K1254" t="s">
        <v>3</v>
      </c>
      <c r="L1254" s="36">
        <f ca="1">IF(C1254&lt;&gt;"Yes",0,IF(A1254=2025,N('2025'!D149),IF(A1254=2026,N('2026'!D149),IF(A1254=2027,N('2027'!D149),IF(A1254=2028,N('2028'!D149),IF(A1254=2029,N('2029'!D149),IF(A1254=2030,N('2030'!D149),IF(A1254=2031,N('2031'!D149),IF(A1254=2032,N('2032'!D149),IF(A1254=2033,N('2033'!D149),IF(A1254=2034,N('2034'!D149),IFERROR(N(INDIRECT("'"&amp;A1254&amp;"'!D"&amp;G1254)),0))))))))))))</f>
        <v>0</v>
      </c>
      <c r="M1254" s="36">
        <f>IFERROR(IF(NOT(ISBLANK(KPI_TARGETS!$L$22)),KPI_TARGETS!$L$22,IF(NOT(ISBLANK(KPI_TARGETS!$F$22)),KPI_TARGETS!$F$22,"")),"")</f>
        <v>1</v>
      </c>
      <c r="N1254" s="36" t="str">
        <f>IFERROR(KPI_TARGETS!$E$22,"Higher is better")</f>
        <v>Higher is better</v>
      </c>
      <c r="O1254" s="37">
        <f t="shared" ca="1" si="114"/>
        <v>0</v>
      </c>
      <c r="P1254" t="str">
        <f t="shared" ca="1" si="115"/>
        <v>Red</v>
      </c>
      <c r="Q1254" s="36">
        <f t="shared" ca="1" si="116"/>
        <v>-1</v>
      </c>
      <c r="R1254" s="36" t="str">
        <f>""</f>
        <v/>
      </c>
      <c r="S1254" s="36" t="str">
        <f>""</f>
        <v/>
      </c>
      <c r="T1254" s="36" t="str">
        <f>""</f>
        <v/>
      </c>
      <c r="U1254" s="36" t="str">
        <f>""</f>
        <v/>
      </c>
      <c r="V1254" s="36" t="str">
        <f>""</f>
        <v/>
      </c>
      <c r="W1254" s="36">
        <f t="shared" si="117"/>
        <v>1</v>
      </c>
      <c r="X1254" t="str">
        <f t="shared" si="118"/>
        <v>Inactive</v>
      </c>
      <c r="Y1254" t="str">
        <f>IF(MAIN!$H$3="Selected Year",IF(A1254=MAIN!$B$3,"Yes","No"),IF(MAIN!$H$3="Included Years",IF(D1254="Yes","Yes","No"),IF(C1254="Yes","Yes","No")))</f>
        <v>No</v>
      </c>
      <c r="Z1254" t="str">
        <f>IF(MAIN!$F$3="Project to Date",IF(AND(A1254&gt;=SETTINGS!$B$4,A1254&lt;MAIN!$B$3),"Yes",IF(AND(A1254=MAIN!$B$3,E1254&lt;=MAIN!$L$3),"Yes","No")),IF(OR(MAIN!$F$3="Full Year",MAIN!$D$3="All"),"Yes",IF(MAIN!$F$3="Monthly",IF(E1254=MAIN!$L$3,"Yes","No"),IF(E1254&lt;=MAIN!$L$3,"Yes","No"))))</f>
        <v>Yes</v>
      </c>
      <c r="AA1254" t="str">
        <f t="shared" si="119"/>
        <v>No</v>
      </c>
    </row>
    <row r="1255" spans="1:27" x14ac:dyDescent="0.3">
      <c r="A1255">
        <f>INDEX(SETTINGS!$A$15:$A$24,$B1255)</f>
        <v>2030</v>
      </c>
      <c r="B1255">
        <v>6</v>
      </c>
      <c r="C1255" t="str">
        <f>IF(AND(A1255&gt;=SETTINGS!$B$4,A1255&lt;=SETTINGS!$B$5),"Yes","No")</f>
        <v>No</v>
      </c>
      <c r="D1255" t="str">
        <f>IFERROR(INDEX(SETTINGS!$C$15:$C$24,MATCH(A1255,SETTINGS!$A$15:$A$24,0)),"No")</f>
        <v>No</v>
      </c>
      <c r="E1255">
        <v>6</v>
      </c>
      <c r="F1255" t="s">
        <v>39</v>
      </c>
      <c r="G1255">
        <v>150</v>
      </c>
      <c r="H1255" t="s">
        <v>112</v>
      </c>
      <c r="I1255" t="s">
        <v>30</v>
      </c>
      <c r="J1255" t="s">
        <v>33</v>
      </c>
      <c r="K1255" t="s">
        <v>34</v>
      </c>
      <c r="L1255" s="36">
        <f ca="1">IF(C1255&lt;&gt;"Yes",0,IF(A1255=2025,N('2025'!D150),IF(A1255=2026,N('2026'!D150),IF(A1255=2027,N('2027'!D150),IF(A1255=2028,N('2028'!D150),IF(A1255=2029,N('2029'!D150),IF(A1255=2030,N('2030'!D150),IF(A1255=2031,N('2031'!D150),IF(A1255=2032,N('2032'!D150),IF(A1255=2033,N('2033'!D150),IF(A1255=2034,N('2034'!D150),IFERROR(N(INDIRECT("'"&amp;A1255&amp;"'!D"&amp;G1255)),0))))))))))))</f>
        <v>0</v>
      </c>
      <c r="M1255" s="36">
        <f>IFERROR(IF(NOT(ISBLANK(KPI_TARGETS!$L$23)),KPI_TARGETS!$L$23,IF(NOT(ISBLANK(KPI_TARGETS!$F$23)),KPI_TARGETS!$F$23,"")),"")</f>
        <v>1</v>
      </c>
      <c r="N1255" s="36" t="str">
        <f>IFERROR(KPI_TARGETS!$E$23,"Higher is better")</f>
        <v>Higher is better</v>
      </c>
      <c r="O1255" s="37">
        <f t="shared" ca="1" si="114"/>
        <v>0</v>
      </c>
      <c r="P1255" t="str">
        <f t="shared" ca="1" si="115"/>
        <v>Red</v>
      </c>
      <c r="Q1255" s="36">
        <f t="shared" ca="1" si="116"/>
        <v>-1</v>
      </c>
      <c r="R1255" s="36" t="str">
        <f>""</f>
        <v/>
      </c>
      <c r="S1255" s="36" t="str">
        <f>""</f>
        <v/>
      </c>
      <c r="T1255" s="36" t="str">
        <f>""</f>
        <v/>
      </c>
      <c r="U1255" s="36" t="str">
        <f>""</f>
        <v/>
      </c>
      <c r="V1255" s="36" t="str">
        <f>""</f>
        <v/>
      </c>
      <c r="W1255" s="36">
        <f t="shared" si="117"/>
        <v>1</v>
      </c>
      <c r="X1255" t="str">
        <f t="shared" si="118"/>
        <v>Inactive</v>
      </c>
      <c r="Y1255" t="str">
        <f>IF(MAIN!$H$3="Selected Year",IF(A1255=MAIN!$B$3,"Yes","No"),IF(MAIN!$H$3="Included Years",IF(D1255="Yes","Yes","No"),IF(C1255="Yes","Yes","No")))</f>
        <v>No</v>
      </c>
      <c r="Z1255" t="str">
        <f>IF(MAIN!$F$3="Project to Date",IF(AND(A1255&gt;=SETTINGS!$B$4,A1255&lt;MAIN!$B$3),"Yes",IF(AND(A1255=MAIN!$B$3,E1255&lt;=MAIN!$L$3),"Yes","No")),IF(OR(MAIN!$F$3="Full Year",MAIN!$D$3="All"),"Yes",IF(MAIN!$F$3="Monthly",IF(E1255=MAIN!$L$3,"Yes","No"),IF(E1255&lt;=MAIN!$L$3,"Yes","No"))))</f>
        <v>Yes</v>
      </c>
      <c r="AA1255" t="str">
        <f t="shared" si="119"/>
        <v>No</v>
      </c>
    </row>
    <row r="1256" spans="1:27" x14ac:dyDescent="0.3">
      <c r="A1256">
        <f>INDEX(SETTINGS!$A$15:$A$24,$B1256)</f>
        <v>2030</v>
      </c>
      <c r="B1256">
        <v>6</v>
      </c>
      <c r="C1256" t="str">
        <f>IF(AND(A1256&gt;=SETTINGS!$B$4,A1256&lt;=SETTINGS!$B$5),"Yes","No")</f>
        <v>No</v>
      </c>
      <c r="D1256" t="str">
        <f>IFERROR(INDEX(SETTINGS!$C$15:$C$24,MATCH(A1256,SETTINGS!$A$15:$A$24,0)),"No")</f>
        <v>No</v>
      </c>
      <c r="E1256">
        <v>7</v>
      </c>
      <c r="F1256" t="s">
        <v>40</v>
      </c>
      <c r="G1256">
        <v>153</v>
      </c>
      <c r="H1256" t="s">
        <v>88</v>
      </c>
      <c r="I1256" t="s">
        <v>89</v>
      </c>
      <c r="J1256" t="s">
        <v>10</v>
      </c>
      <c r="K1256" t="s">
        <v>3</v>
      </c>
      <c r="L1256" s="36">
        <f ca="1">IF(C1256&lt;&gt;"Yes",0,IF(A1256=2025,N('2025'!D153),IF(A1256=2026,N('2026'!D153),IF(A1256=2027,N('2027'!D153),IF(A1256=2028,N('2028'!D153),IF(A1256=2029,N('2029'!D153),IF(A1256=2030,N('2030'!D153),IF(A1256=2031,N('2031'!D153),IF(A1256=2032,N('2032'!D153),IF(A1256=2033,N('2033'!D153),IF(A1256=2034,N('2034'!D153),IFERROR(N(INDIRECT("'"&amp;A1256&amp;"'!D"&amp;G1256)),0))))))))))))</f>
        <v>0</v>
      </c>
      <c r="M1256" s="36">
        <f>IFERROR(IF(NOT(ISBLANK(KPI_TARGETS!$L$5)),KPI_TARGETS!$L$5,IF(NOT(ISBLANK(KPI_TARGETS!$F$5)),KPI_TARGETS!$F$5,"")),"")</f>
        <v>104</v>
      </c>
      <c r="N1256" s="36" t="str">
        <f>IFERROR(KPI_TARGETS!$E$5,"Higher is better")</f>
        <v>Higher is better</v>
      </c>
      <c r="O1256" s="37">
        <f t="shared" ca="1" si="114"/>
        <v>0</v>
      </c>
      <c r="P1256" t="str">
        <f t="shared" ca="1" si="115"/>
        <v>Red</v>
      </c>
      <c r="Q1256" s="36">
        <f t="shared" ca="1" si="116"/>
        <v>-104</v>
      </c>
      <c r="R1256" s="36" t="str">
        <f>""</f>
        <v/>
      </c>
      <c r="S1256" s="36" t="str">
        <f>""</f>
        <v/>
      </c>
      <c r="T1256" s="36" t="str">
        <f>""</f>
        <v/>
      </c>
      <c r="U1256" s="36" t="str">
        <f>""</f>
        <v/>
      </c>
      <c r="V1256" s="36" t="str">
        <f>""</f>
        <v/>
      </c>
      <c r="W1256" s="36">
        <f t="shared" si="117"/>
        <v>1</v>
      </c>
      <c r="X1256" t="str">
        <f t="shared" si="118"/>
        <v>Inactive</v>
      </c>
      <c r="Y1256" t="str">
        <f>IF(MAIN!$H$3="Selected Year",IF(A1256=MAIN!$B$3,"Yes","No"),IF(MAIN!$H$3="Included Years",IF(D1256="Yes","Yes","No"),IF(C1256="Yes","Yes","No")))</f>
        <v>No</v>
      </c>
      <c r="Z1256" t="str">
        <f>IF(MAIN!$F$3="Project to Date",IF(AND(A1256&gt;=SETTINGS!$B$4,A1256&lt;MAIN!$B$3),"Yes",IF(AND(A1256=MAIN!$B$3,E1256&lt;=MAIN!$L$3),"Yes","No")),IF(OR(MAIN!$F$3="Full Year",MAIN!$D$3="All"),"Yes",IF(MAIN!$F$3="Monthly",IF(E1256=MAIN!$L$3,"Yes","No"),IF(E1256&lt;=MAIN!$L$3,"Yes","No"))))</f>
        <v>Yes</v>
      </c>
      <c r="AA1256" t="str">
        <f t="shared" si="119"/>
        <v>No</v>
      </c>
    </row>
    <row r="1257" spans="1:27" x14ac:dyDescent="0.3">
      <c r="A1257">
        <f>INDEX(SETTINGS!$A$15:$A$24,$B1257)</f>
        <v>2030</v>
      </c>
      <c r="B1257">
        <v>6</v>
      </c>
      <c r="C1257" t="str">
        <f>IF(AND(A1257&gt;=SETTINGS!$B$4,A1257&lt;=SETTINGS!$B$5),"Yes","No")</f>
        <v>No</v>
      </c>
      <c r="D1257" t="str">
        <f>IFERROR(INDEX(SETTINGS!$C$15:$C$24,MATCH(A1257,SETTINGS!$A$15:$A$24,0)),"No")</f>
        <v>No</v>
      </c>
      <c r="E1257">
        <v>7</v>
      </c>
      <c r="F1257" t="s">
        <v>40</v>
      </c>
      <c r="G1257">
        <v>154</v>
      </c>
      <c r="H1257" t="s">
        <v>91</v>
      </c>
      <c r="I1257" t="s">
        <v>89</v>
      </c>
      <c r="J1257" t="s">
        <v>11</v>
      </c>
      <c r="K1257" t="s">
        <v>12</v>
      </c>
      <c r="L1257" s="36">
        <f ca="1">IF(C1257&lt;&gt;"Yes",0,IF(A1257=2025,N('2025'!D154),IF(A1257=2026,N('2026'!D154),IF(A1257=2027,N('2027'!D154),IF(A1257=2028,N('2028'!D154),IF(A1257=2029,N('2029'!D154),IF(A1257=2030,N('2030'!D154),IF(A1257=2031,N('2031'!D154),IF(A1257=2032,N('2032'!D154),IF(A1257=2033,N('2033'!D154),IF(A1257=2034,N('2034'!D154),IFERROR(N(INDIRECT("'"&amp;A1257&amp;"'!D"&amp;G1257)),0))))))))))))</f>
        <v>0</v>
      </c>
      <c r="M1257" s="36">
        <f>IFERROR(IF(NOT(ISBLANK(KPI_TARGETS!$L$6)),KPI_TARGETS!$L$6,IF(NOT(ISBLANK(KPI_TARGETS!$F$6)),KPI_TARGETS!$F$6,"")),"")</f>
        <v>4000</v>
      </c>
      <c r="N1257" s="36" t="str">
        <f>IFERROR(KPI_TARGETS!$E$6,"Higher is better")</f>
        <v>Higher is better</v>
      </c>
      <c r="O1257" s="37">
        <f t="shared" ca="1" si="114"/>
        <v>0</v>
      </c>
      <c r="P1257" t="str">
        <f t="shared" ca="1" si="115"/>
        <v>Red</v>
      </c>
      <c r="Q1257" s="36">
        <f t="shared" ca="1" si="116"/>
        <v>-4000</v>
      </c>
      <c r="R1257" s="36" t="str">
        <f>""</f>
        <v/>
      </c>
      <c r="S1257" s="36" t="str">
        <f>""</f>
        <v/>
      </c>
      <c r="T1257" s="36" t="str">
        <f>""</f>
        <v/>
      </c>
      <c r="U1257" s="36" t="str">
        <f>""</f>
        <v/>
      </c>
      <c r="V1257" s="36" t="str">
        <f>""</f>
        <v/>
      </c>
      <c r="W1257" s="36">
        <f t="shared" si="117"/>
        <v>1</v>
      </c>
      <c r="X1257" t="str">
        <f t="shared" si="118"/>
        <v>Inactive</v>
      </c>
      <c r="Y1257" t="str">
        <f>IF(MAIN!$H$3="Selected Year",IF(A1257=MAIN!$B$3,"Yes","No"),IF(MAIN!$H$3="Included Years",IF(D1257="Yes","Yes","No"),IF(C1257="Yes","Yes","No")))</f>
        <v>No</v>
      </c>
      <c r="Z1257" t="str">
        <f>IF(MAIN!$F$3="Project to Date",IF(AND(A1257&gt;=SETTINGS!$B$4,A1257&lt;MAIN!$B$3),"Yes",IF(AND(A1257=MAIN!$B$3,E1257&lt;=MAIN!$L$3),"Yes","No")),IF(OR(MAIN!$F$3="Full Year",MAIN!$D$3="All"),"Yes",IF(MAIN!$F$3="Monthly",IF(E1257=MAIN!$L$3,"Yes","No"),IF(E1257&lt;=MAIN!$L$3,"Yes","No"))))</f>
        <v>Yes</v>
      </c>
      <c r="AA1257" t="str">
        <f t="shared" si="119"/>
        <v>No</v>
      </c>
    </row>
    <row r="1258" spans="1:27" x14ac:dyDescent="0.3">
      <c r="A1258">
        <f>INDEX(SETTINGS!$A$15:$A$24,$B1258)</f>
        <v>2030</v>
      </c>
      <c r="B1258">
        <v>6</v>
      </c>
      <c r="C1258" t="str">
        <f>IF(AND(A1258&gt;=SETTINGS!$B$4,A1258&lt;=SETTINGS!$B$5),"Yes","No")</f>
        <v>No</v>
      </c>
      <c r="D1258" t="str">
        <f>IFERROR(INDEX(SETTINGS!$C$15:$C$24,MATCH(A1258,SETTINGS!$A$15:$A$24,0)),"No")</f>
        <v>No</v>
      </c>
      <c r="E1258">
        <v>7</v>
      </c>
      <c r="F1258" t="s">
        <v>40</v>
      </c>
      <c r="G1258">
        <v>155</v>
      </c>
      <c r="H1258" t="s">
        <v>93</v>
      </c>
      <c r="I1258" t="s">
        <v>89</v>
      </c>
      <c r="J1258" t="s">
        <v>13</v>
      </c>
      <c r="K1258" t="s">
        <v>14</v>
      </c>
      <c r="L1258" s="36">
        <f ca="1">IF(C1258&lt;&gt;"Yes",0,IF(A1258=2025,N('2025'!D155),IF(A1258=2026,N('2026'!D155),IF(A1258=2027,N('2027'!D155),IF(A1258=2028,N('2028'!D155),IF(A1258=2029,N('2029'!D155),IF(A1258=2030,N('2030'!D155),IF(A1258=2031,N('2031'!D155),IF(A1258=2032,N('2032'!D155),IF(A1258=2033,N('2033'!D155),IF(A1258=2034,N('2034'!D155),IFERROR(N(INDIRECT("'"&amp;A1258&amp;"'!D"&amp;G1258)),0))))))))))))</f>
        <v>0</v>
      </c>
      <c r="M1258" s="36">
        <f>IFERROR(IF(NOT(ISBLANK(KPI_TARGETS!$L$7)),KPI_TARGETS!$L$7,IF(NOT(ISBLANK(KPI_TARGETS!$F$7)),KPI_TARGETS!$F$7,"")),"")</f>
        <v>8000</v>
      </c>
      <c r="N1258" s="36" t="str">
        <f>IFERROR(KPI_TARGETS!$E$7,"Higher is better")</f>
        <v>Higher is better</v>
      </c>
      <c r="O1258" s="37">
        <f t="shared" ca="1" si="114"/>
        <v>0</v>
      </c>
      <c r="P1258" t="str">
        <f t="shared" ca="1" si="115"/>
        <v>Red</v>
      </c>
      <c r="Q1258" s="36">
        <f t="shared" ca="1" si="116"/>
        <v>-8000</v>
      </c>
      <c r="R1258" s="36" t="str">
        <f>""</f>
        <v/>
      </c>
      <c r="S1258" s="36" t="str">
        <f>""</f>
        <v/>
      </c>
      <c r="T1258" s="36" t="str">
        <f>""</f>
        <v/>
      </c>
      <c r="U1258" s="36" t="str">
        <f>""</f>
        <v/>
      </c>
      <c r="V1258" s="36" t="str">
        <f>""</f>
        <v/>
      </c>
      <c r="W1258" s="36">
        <f t="shared" si="117"/>
        <v>1</v>
      </c>
      <c r="X1258" t="str">
        <f t="shared" si="118"/>
        <v>Inactive</v>
      </c>
      <c r="Y1258" t="str">
        <f>IF(MAIN!$H$3="Selected Year",IF(A1258=MAIN!$B$3,"Yes","No"),IF(MAIN!$H$3="Included Years",IF(D1258="Yes","Yes","No"),IF(C1258="Yes","Yes","No")))</f>
        <v>No</v>
      </c>
      <c r="Z1258" t="str">
        <f>IF(MAIN!$F$3="Project to Date",IF(AND(A1258&gt;=SETTINGS!$B$4,A1258&lt;MAIN!$B$3),"Yes",IF(AND(A1258=MAIN!$B$3,E1258&lt;=MAIN!$L$3),"Yes","No")),IF(OR(MAIN!$F$3="Full Year",MAIN!$D$3="All"),"Yes",IF(MAIN!$F$3="Monthly",IF(E1258=MAIN!$L$3,"Yes","No"),IF(E1258&lt;=MAIN!$L$3,"Yes","No"))))</f>
        <v>Yes</v>
      </c>
      <c r="AA1258" t="str">
        <f t="shared" si="119"/>
        <v>No</v>
      </c>
    </row>
    <row r="1259" spans="1:27" x14ac:dyDescent="0.3">
      <c r="A1259">
        <f>INDEX(SETTINGS!$A$15:$A$24,$B1259)</f>
        <v>2030</v>
      </c>
      <c r="B1259">
        <v>6</v>
      </c>
      <c r="C1259" t="str">
        <f>IF(AND(A1259&gt;=SETTINGS!$B$4,A1259&lt;=SETTINGS!$B$5),"Yes","No")</f>
        <v>No</v>
      </c>
      <c r="D1259" t="str">
        <f>IFERROR(INDEX(SETTINGS!$C$15:$C$24,MATCH(A1259,SETTINGS!$A$15:$A$24,0)),"No")</f>
        <v>No</v>
      </c>
      <c r="E1259">
        <v>7</v>
      </c>
      <c r="F1259" t="s">
        <v>40</v>
      </c>
      <c r="G1259">
        <v>157</v>
      </c>
      <c r="H1259" t="s">
        <v>95</v>
      </c>
      <c r="I1259" t="s">
        <v>15</v>
      </c>
      <c r="J1259" t="s">
        <v>16</v>
      </c>
      <c r="K1259" t="s">
        <v>3</v>
      </c>
      <c r="L1259" s="36">
        <f ca="1">IF(C1259&lt;&gt;"Yes",0,IF(A1259=2025,N('2025'!D157),IF(A1259=2026,N('2026'!D157),IF(A1259=2027,N('2027'!D157),IF(A1259=2028,N('2028'!D157),IF(A1259=2029,N('2029'!D157),IF(A1259=2030,N('2030'!D157),IF(A1259=2031,N('2031'!D157),IF(A1259=2032,N('2032'!D157),IF(A1259=2033,N('2033'!D157),IF(A1259=2034,N('2034'!D157),IFERROR(N(INDIRECT("'"&amp;A1259&amp;"'!D"&amp;G1259)),0))))))))))))</f>
        <v>0</v>
      </c>
      <c r="M1259" s="36">
        <f>IFERROR(IF(NOT(ISBLANK(KPI_TARGETS!$L$8)),KPI_TARGETS!$L$8,IF(NOT(ISBLANK(KPI_TARGETS!$F$8)),KPI_TARGETS!$F$8,"")),"")</f>
        <v>0</v>
      </c>
      <c r="N1259" s="36" t="str">
        <f>IFERROR(KPI_TARGETS!$E$8,"Higher is better")</f>
        <v>Lower is better</v>
      </c>
      <c r="O1259" s="37">
        <f t="shared" ca="1" si="114"/>
        <v>1</v>
      </c>
      <c r="P1259" t="str">
        <f t="shared" ca="1" si="115"/>
        <v>Green</v>
      </c>
      <c r="Q1259" s="36">
        <f t="shared" ca="1" si="116"/>
        <v>0</v>
      </c>
      <c r="R1259" s="36" t="str">
        <f>""</f>
        <v/>
      </c>
      <c r="S1259" s="36" t="str">
        <f>""</f>
        <v/>
      </c>
      <c r="T1259" s="36" t="str">
        <f>""</f>
        <v/>
      </c>
      <c r="U1259" s="36" t="str">
        <f>""</f>
        <v/>
      </c>
      <c r="V1259" s="36" t="str">
        <f>""</f>
        <v/>
      </c>
      <c r="W1259" s="36">
        <f t="shared" si="117"/>
        <v>1</v>
      </c>
      <c r="X1259" t="str">
        <f t="shared" si="118"/>
        <v>Inactive</v>
      </c>
      <c r="Y1259" t="str">
        <f>IF(MAIN!$H$3="Selected Year",IF(A1259=MAIN!$B$3,"Yes","No"),IF(MAIN!$H$3="Included Years",IF(D1259="Yes","Yes","No"),IF(C1259="Yes","Yes","No")))</f>
        <v>No</v>
      </c>
      <c r="Z1259" t="str">
        <f>IF(MAIN!$F$3="Project to Date",IF(AND(A1259&gt;=SETTINGS!$B$4,A1259&lt;MAIN!$B$3),"Yes",IF(AND(A1259=MAIN!$B$3,E1259&lt;=MAIN!$L$3),"Yes","No")),IF(OR(MAIN!$F$3="Full Year",MAIN!$D$3="All"),"Yes",IF(MAIN!$F$3="Monthly",IF(E1259=MAIN!$L$3,"Yes","No"),IF(E1259&lt;=MAIN!$L$3,"Yes","No"))))</f>
        <v>Yes</v>
      </c>
      <c r="AA1259" t="str">
        <f t="shared" si="119"/>
        <v>No</v>
      </c>
    </row>
    <row r="1260" spans="1:27" x14ac:dyDescent="0.3">
      <c r="A1260">
        <f>INDEX(SETTINGS!$A$15:$A$24,$B1260)</f>
        <v>2030</v>
      </c>
      <c r="B1260">
        <v>6</v>
      </c>
      <c r="C1260" t="str">
        <f>IF(AND(A1260&gt;=SETTINGS!$B$4,A1260&lt;=SETTINGS!$B$5),"Yes","No")</f>
        <v>No</v>
      </c>
      <c r="D1260" t="str">
        <f>IFERROR(INDEX(SETTINGS!$C$15:$C$24,MATCH(A1260,SETTINGS!$A$15:$A$24,0)),"No")</f>
        <v>No</v>
      </c>
      <c r="E1260">
        <v>7</v>
      </c>
      <c r="F1260" t="s">
        <v>40</v>
      </c>
      <c r="G1260">
        <v>158</v>
      </c>
      <c r="H1260" t="s">
        <v>97</v>
      </c>
      <c r="I1260" t="s">
        <v>15</v>
      </c>
      <c r="J1260" t="s">
        <v>17</v>
      </c>
      <c r="K1260" t="s">
        <v>3</v>
      </c>
      <c r="L1260" s="36">
        <f ca="1">IF(C1260&lt;&gt;"Yes",0,IF(A1260=2025,N('2025'!D158),IF(A1260=2026,N('2026'!D158),IF(A1260=2027,N('2027'!D158),IF(A1260=2028,N('2028'!D158),IF(A1260=2029,N('2029'!D158),IF(A1260=2030,N('2030'!D158),IF(A1260=2031,N('2031'!D158),IF(A1260=2032,N('2032'!D158),IF(A1260=2033,N('2033'!D158),IF(A1260=2034,N('2034'!D158),IFERROR(N(INDIRECT("'"&amp;A1260&amp;"'!D"&amp;G1260)),0))))))))))))</f>
        <v>0</v>
      </c>
      <c r="M1260" s="36">
        <f>IFERROR(IF(NOT(ISBLANK(KPI_TARGETS!$L$9)),KPI_TARGETS!$L$9,IF(NOT(ISBLANK(KPI_TARGETS!$F$9)),KPI_TARGETS!$F$9,"")),"")</f>
        <v>0</v>
      </c>
      <c r="N1260" s="36" t="str">
        <f>IFERROR(KPI_TARGETS!$E$9,"Higher is better")</f>
        <v>Higher is better</v>
      </c>
      <c r="O1260" s="37" t="str">
        <f t="shared" ca="1" si="114"/>
        <v/>
      </c>
      <c r="P1260" t="str">
        <f t="shared" ca="1" si="115"/>
        <v>Green</v>
      </c>
      <c r="Q1260" s="36">
        <f t="shared" ca="1" si="116"/>
        <v>0</v>
      </c>
      <c r="R1260" s="36" t="str">
        <f>""</f>
        <v/>
      </c>
      <c r="S1260" s="36" t="str">
        <f>""</f>
        <v/>
      </c>
      <c r="T1260" s="36" t="str">
        <f>""</f>
        <v/>
      </c>
      <c r="U1260" s="36" t="str">
        <f>""</f>
        <v/>
      </c>
      <c r="V1260" s="36" t="str">
        <f>""</f>
        <v/>
      </c>
      <c r="W1260" s="36">
        <f t="shared" si="117"/>
        <v>1</v>
      </c>
      <c r="X1260" t="str">
        <f t="shared" si="118"/>
        <v>Inactive</v>
      </c>
      <c r="Y1260" t="str">
        <f>IF(MAIN!$H$3="Selected Year",IF(A1260=MAIN!$B$3,"Yes","No"),IF(MAIN!$H$3="Included Years",IF(D1260="Yes","Yes","No"),IF(C1260="Yes","Yes","No")))</f>
        <v>No</v>
      </c>
      <c r="Z1260" t="str">
        <f>IF(MAIN!$F$3="Project to Date",IF(AND(A1260&gt;=SETTINGS!$B$4,A1260&lt;MAIN!$B$3),"Yes",IF(AND(A1260=MAIN!$B$3,E1260&lt;=MAIN!$L$3),"Yes","No")),IF(OR(MAIN!$F$3="Full Year",MAIN!$D$3="All"),"Yes",IF(MAIN!$F$3="Monthly",IF(E1260=MAIN!$L$3,"Yes","No"),IF(E1260&lt;=MAIN!$L$3,"Yes","No"))))</f>
        <v>Yes</v>
      </c>
      <c r="AA1260" t="str">
        <f t="shared" si="119"/>
        <v>No</v>
      </c>
    </row>
    <row r="1261" spans="1:27" x14ac:dyDescent="0.3">
      <c r="A1261">
        <f>INDEX(SETTINGS!$A$15:$A$24,$B1261)</f>
        <v>2030</v>
      </c>
      <c r="B1261">
        <v>6</v>
      </c>
      <c r="C1261" t="str">
        <f>IF(AND(A1261&gt;=SETTINGS!$B$4,A1261&lt;=SETTINGS!$B$5),"Yes","No")</f>
        <v>No</v>
      </c>
      <c r="D1261" t="str">
        <f>IFERROR(INDEX(SETTINGS!$C$15:$C$24,MATCH(A1261,SETTINGS!$A$15:$A$24,0)),"No")</f>
        <v>No</v>
      </c>
      <c r="E1261">
        <v>7</v>
      </c>
      <c r="F1261" t="s">
        <v>40</v>
      </c>
      <c r="G1261">
        <v>159</v>
      </c>
      <c r="H1261" t="s">
        <v>99</v>
      </c>
      <c r="I1261" t="s">
        <v>15</v>
      </c>
      <c r="J1261" t="s">
        <v>18</v>
      </c>
      <c r="K1261" t="s">
        <v>3</v>
      </c>
      <c r="L1261" s="36">
        <f ca="1">IF(C1261&lt;&gt;"Yes",0,IF(A1261=2025,N('2025'!D159),IF(A1261=2026,N('2026'!D159),IF(A1261=2027,N('2027'!D159),IF(A1261=2028,N('2028'!D159),IF(A1261=2029,N('2029'!D159),IF(A1261=2030,N('2030'!D159),IF(A1261=2031,N('2031'!D159),IF(A1261=2032,N('2032'!D159),IF(A1261=2033,N('2033'!D159),IF(A1261=2034,N('2034'!D159),IFERROR(N(INDIRECT("'"&amp;A1261&amp;"'!D"&amp;G1261)),0))))))))))))</f>
        <v>0</v>
      </c>
      <c r="M1261" s="36">
        <f>IFERROR(IF(NOT(ISBLANK(KPI_TARGETS!$L$10)),KPI_TARGETS!$L$10,IF(NOT(ISBLANK(KPI_TARGETS!$F$10)),KPI_TARGETS!$F$10,"")),"")</f>
        <v>0</v>
      </c>
      <c r="N1261" s="36" t="str">
        <f>IFERROR(KPI_TARGETS!$E$10,"Higher is better")</f>
        <v>Lower is better</v>
      </c>
      <c r="O1261" s="37">
        <f t="shared" ca="1" si="114"/>
        <v>1</v>
      </c>
      <c r="P1261" t="str">
        <f t="shared" ca="1" si="115"/>
        <v>Green</v>
      </c>
      <c r="Q1261" s="36">
        <f t="shared" ca="1" si="116"/>
        <v>0</v>
      </c>
      <c r="R1261" s="36" t="str">
        <f>""</f>
        <v/>
      </c>
      <c r="S1261" s="36" t="str">
        <f>""</f>
        <v/>
      </c>
      <c r="T1261" s="36" t="str">
        <f>""</f>
        <v/>
      </c>
      <c r="U1261" s="36" t="str">
        <f>""</f>
        <v/>
      </c>
      <c r="V1261" s="36" t="str">
        <f>""</f>
        <v/>
      </c>
      <c r="W1261" s="36">
        <f t="shared" si="117"/>
        <v>1</v>
      </c>
      <c r="X1261" t="str">
        <f t="shared" si="118"/>
        <v>Inactive</v>
      </c>
      <c r="Y1261" t="str">
        <f>IF(MAIN!$H$3="Selected Year",IF(A1261=MAIN!$B$3,"Yes","No"),IF(MAIN!$H$3="Included Years",IF(D1261="Yes","Yes","No"),IF(C1261="Yes","Yes","No")))</f>
        <v>No</v>
      </c>
      <c r="Z1261" t="str">
        <f>IF(MAIN!$F$3="Project to Date",IF(AND(A1261&gt;=SETTINGS!$B$4,A1261&lt;MAIN!$B$3),"Yes",IF(AND(A1261=MAIN!$B$3,E1261&lt;=MAIN!$L$3),"Yes","No")),IF(OR(MAIN!$F$3="Full Year",MAIN!$D$3="All"),"Yes",IF(MAIN!$F$3="Monthly",IF(E1261=MAIN!$L$3,"Yes","No"),IF(E1261&lt;=MAIN!$L$3,"Yes","No"))))</f>
        <v>Yes</v>
      </c>
      <c r="AA1261" t="str">
        <f t="shared" si="119"/>
        <v>No</v>
      </c>
    </row>
    <row r="1262" spans="1:27" x14ac:dyDescent="0.3">
      <c r="A1262">
        <f>INDEX(SETTINGS!$A$15:$A$24,$B1262)</f>
        <v>2030</v>
      </c>
      <c r="B1262">
        <v>6</v>
      </c>
      <c r="C1262" t="str">
        <f>IF(AND(A1262&gt;=SETTINGS!$B$4,A1262&lt;=SETTINGS!$B$5),"Yes","No")</f>
        <v>No</v>
      </c>
      <c r="D1262" t="str">
        <f>IFERROR(INDEX(SETTINGS!$C$15:$C$24,MATCH(A1262,SETTINGS!$A$15:$A$24,0)),"No")</f>
        <v>No</v>
      </c>
      <c r="E1262">
        <v>7</v>
      </c>
      <c r="F1262" t="s">
        <v>40</v>
      </c>
      <c r="G1262">
        <v>160</v>
      </c>
      <c r="H1262" t="s">
        <v>100</v>
      </c>
      <c r="I1262" t="s">
        <v>15</v>
      </c>
      <c r="J1262" t="s">
        <v>19</v>
      </c>
      <c r="K1262" t="s">
        <v>3</v>
      </c>
      <c r="L1262" s="36">
        <f ca="1">IF(C1262&lt;&gt;"Yes",0,IF(A1262=2025,N('2025'!D160),IF(A1262=2026,N('2026'!D160),IF(A1262=2027,N('2027'!D160),IF(A1262=2028,N('2028'!D160),IF(A1262=2029,N('2029'!D160),IF(A1262=2030,N('2030'!D160),IF(A1262=2031,N('2031'!D160),IF(A1262=2032,N('2032'!D160),IF(A1262=2033,N('2033'!D160),IF(A1262=2034,N('2034'!D160),IFERROR(N(INDIRECT("'"&amp;A1262&amp;"'!D"&amp;G1262)),0))))))))))))</f>
        <v>0</v>
      </c>
      <c r="M1262" s="36">
        <f>IFERROR(IF(NOT(ISBLANK(KPI_TARGETS!$L$11)),KPI_TARGETS!$L$11,IF(NOT(ISBLANK(KPI_TARGETS!$F$11)),KPI_TARGETS!$F$11,"")),"")</f>
        <v>0</v>
      </c>
      <c r="N1262" s="36" t="str">
        <f>IFERROR(KPI_TARGETS!$E$11,"Higher is better")</f>
        <v>Lower is better</v>
      </c>
      <c r="O1262" s="37">
        <f t="shared" ca="1" si="114"/>
        <v>1</v>
      </c>
      <c r="P1262" t="str">
        <f t="shared" ca="1" si="115"/>
        <v>Green</v>
      </c>
      <c r="Q1262" s="36">
        <f t="shared" ca="1" si="116"/>
        <v>0</v>
      </c>
      <c r="R1262" s="36" t="str">
        <f>""</f>
        <v/>
      </c>
      <c r="S1262" s="36" t="str">
        <f>""</f>
        <v/>
      </c>
      <c r="T1262" s="36" t="str">
        <f>""</f>
        <v/>
      </c>
      <c r="U1262" s="36" t="str">
        <f>""</f>
        <v/>
      </c>
      <c r="V1262" s="36" t="str">
        <f>""</f>
        <v/>
      </c>
      <c r="W1262" s="36">
        <f t="shared" si="117"/>
        <v>1</v>
      </c>
      <c r="X1262" t="str">
        <f t="shared" si="118"/>
        <v>Inactive</v>
      </c>
      <c r="Y1262" t="str">
        <f>IF(MAIN!$H$3="Selected Year",IF(A1262=MAIN!$B$3,"Yes","No"),IF(MAIN!$H$3="Included Years",IF(D1262="Yes","Yes","No"),IF(C1262="Yes","Yes","No")))</f>
        <v>No</v>
      </c>
      <c r="Z1262" t="str">
        <f>IF(MAIN!$F$3="Project to Date",IF(AND(A1262&gt;=SETTINGS!$B$4,A1262&lt;MAIN!$B$3),"Yes",IF(AND(A1262=MAIN!$B$3,E1262&lt;=MAIN!$L$3),"Yes","No")),IF(OR(MAIN!$F$3="Full Year",MAIN!$D$3="All"),"Yes",IF(MAIN!$F$3="Monthly",IF(E1262=MAIN!$L$3,"Yes","No"),IF(E1262&lt;=MAIN!$L$3,"Yes","No"))))</f>
        <v>Yes</v>
      </c>
      <c r="AA1262" t="str">
        <f t="shared" si="119"/>
        <v>No</v>
      </c>
    </row>
    <row r="1263" spans="1:27" x14ac:dyDescent="0.3">
      <c r="A1263">
        <f>INDEX(SETTINGS!$A$15:$A$24,$B1263)</f>
        <v>2030</v>
      </c>
      <c r="B1263">
        <v>6</v>
      </c>
      <c r="C1263" t="str">
        <f>IF(AND(A1263&gt;=SETTINGS!$B$4,A1263&lt;=SETTINGS!$B$5),"Yes","No")</f>
        <v>No</v>
      </c>
      <c r="D1263" t="str">
        <f>IFERROR(INDEX(SETTINGS!$C$15:$C$24,MATCH(A1263,SETTINGS!$A$15:$A$24,0)),"No")</f>
        <v>No</v>
      </c>
      <c r="E1263">
        <v>7</v>
      </c>
      <c r="F1263" t="s">
        <v>40</v>
      </c>
      <c r="G1263">
        <v>161</v>
      </c>
      <c r="H1263" t="s">
        <v>101</v>
      </c>
      <c r="I1263" t="s">
        <v>15</v>
      </c>
      <c r="J1263" t="s">
        <v>20</v>
      </c>
      <c r="K1263" t="s">
        <v>3</v>
      </c>
      <c r="L1263" s="36">
        <f ca="1">IF(C1263&lt;&gt;"Yes",0,IF(A1263=2025,N('2025'!D161),IF(A1263=2026,N('2026'!D161),IF(A1263=2027,N('2027'!D161),IF(A1263=2028,N('2028'!D161),IF(A1263=2029,N('2029'!D161),IF(A1263=2030,N('2030'!D161),IF(A1263=2031,N('2031'!D161),IF(A1263=2032,N('2032'!D161),IF(A1263=2033,N('2033'!D161),IF(A1263=2034,N('2034'!D161),IFERROR(N(INDIRECT("'"&amp;A1263&amp;"'!D"&amp;G1263)),0))))))))))))</f>
        <v>0</v>
      </c>
      <c r="M1263" s="36">
        <f>IFERROR(IF(NOT(ISBLANK(KPI_TARGETS!$L$12)),KPI_TARGETS!$L$12,IF(NOT(ISBLANK(KPI_TARGETS!$F$12)),KPI_TARGETS!$F$12,"")),"")</f>
        <v>0</v>
      </c>
      <c r="N1263" s="36" t="str">
        <f>IFERROR(KPI_TARGETS!$E$12,"Higher is better")</f>
        <v>Lower is better</v>
      </c>
      <c r="O1263" s="37">
        <f t="shared" ca="1" si="114"/>
        <v>1</v>
      </c>
      <c r="P1263" t="str">
        <f t="shared" ca="1" si="115"/>
        <v>Green</v>
      </c>
      <c r="Q1263" s="36">
        <f t="shared" ca="1" si="116"/>
        <v>0</v>
      </c>
      <c r="R1263" s="36" t="str">
        <f>""</f>
        <v/>
      </c>
      <c r="S1263" s="36" t="str">
        <f>""</f>
        <v/>
      </c>
      <c r="T1263" s="36" t="str">
        <f>""</f>
        <v/>
      </c>
      <c r="U1263" s="36" t="str">
        <f>""</f>
        <v/>
      </c>
      <c r="V1263" s="36" t="str">
        <f>""</f>
        <v/>
      </c>
      <c r="W1263" s="36">
        <f t="shared" si="117"/>
        <v>1</v>
      </c>
      <c r="X1263" t="str">
        <f t="shared" si="118"/>
        <v>Inactive</v>
      </c>
      <c r="Y1263" t="str">
        <f>IF(MAIN!$H$3="Selected Year",IF(A1263=MAIN!$B$3,"Yes","No"),IF(MAIN!$H$3="Included Years",IF(D1263="Yes","Yes","No"),IF(C1263="Yes","Yes","No")))</f>
        <v>No</v>
      </c>
      <c r="Z1263" t="str">
        <f>IF(MAIN!$F$3="Project to Date",IF(AND(A1263&gt;=SETTINGS!$B$4,A1263&lt;MAIN!$B$3),"Yes",IF(AND(A1263=MAIN!$B$3,E1263&lt;=MAIN!$L$3),"Yes","No")),IF(OR(MAIN!$F$3="Full Year",MAIN!$D$3="All"),"Yes",IF(MAIN!$F$3="Monthly",IF(E1263=MAIN!$L$3,"Yes","No"),IF(E1263&lt;=MAIN!$L$3,"Yes","No"))))</f>
        <v>Yes</v>
      </c>
      <c r="AA1263" t="str">
        <f t="shared" si="119"/>
        <v>No</v>
      </c>
    </row>
    <row r="1264" spans="1:27" x14ac:dyDescent="0.3">
      <c r="A1264">
        <f>INDEX(SETTINGS!$A$15:$A$24,$B1264)</f>
        <v>2030</v>
      </c>
      <c r="B1264">
        <v>6</v>
      </c>
      <c r="C1264" t="str">
        <f>IF(AND(A1264&gt;=SETTINGS!$B$4,A1264&lt;=SETTINGS!$B$5),"Yes","No")</f>
        <v>No</v>
      </c>
      <c r="D1264" t="str">
        <f>IFERROR(INDEX(SETTINGS!$C$15:$C$24,MATCH(A1264,SETTINGS!$A$15:$A$24,0)),"No")</f>
        <v>No</v>
      </c>
      <c r="E1264">
        <v>7</v>
      </c>
      <c r="F1264" t="s">
        <v>40</v>
      </c>
      <c r="G1264">
        <v>162</v>
      </c>
      <c r="H1264" t="s">
        <v>102</v>
      </c>
      <c r="I1264" t="s">
        <v>15</v>
      </c>
      <c r="J1264" t="s">
        <v>21</v>
      </c>
      <c r="K1264" t="s">
        <v>3</v>
      </c>
      <c r="L1264" s="36">
        <f ca="1">IF(C1264&lt;&gt;"Yes",0,IF(A1264=2025,N('2025'!D162),IF(A1264=2026,N('2026'!D162),IF(A1264=2027,N('2027'!D162),IF(A1264=2028,N('2028'!D162),IF(A1264=2029,N('2029'!D162),IF(A1264=2030,N('2030'!D162),IF(A1264=2031,N('2031'!D162),IF(A1264=2032,N('2032'!D162),IF(A1264=2033,N('2033'!D162),IF(A1264=2034,N('2034'!D162),IFERROR(N(INDIRECT("'"&amp;A1264&amp;"'!D"&amp;G1264)),0))))))))))))</f>
        <v>0</v>
      </c>
      <c r="M1264" s="36">
        <f>IFERROR(IF(NOT(ISBLANK(KPI_TARGETS!$L$13)),KPI_TARGETS!$L$13,IF(NOT(ISBLANK(KPI_TARGETS!$F$13)),KPI_TARGETS!$F$13,"")),"")</f>
        <v>0</v>
      </c>
      <c r="N1264" s="36" t="str">
        <f>IFERROR(KPI_TARGETS!$E$13,"Higher is better")</f>
        <v>Lower is better</v>
      </c>
      <c r="O1264" s="37">
        <f t="shared" ca="1" si="114"/>
        <v>1</v>
      </c>
      <c r="P1264" t="str">
        <f t="shared" ca="1" si="115"/>
        <v>Green</v>
      </c>
      <c r="Q1264" s="36">
        <f t="shared" ca="1" si="116"/>
        <v>0</v>
      </c>
      <c r="R1264" s="36" t="str">
        <f>""</f>
        <v/>
      </c>
      <c r="S1264" s="36" t="str">
        <f>""</f>
        <v/>
      </c>
      <c r="T1264" s="36" t="str">
        <f>""</f>
        <v/>
      </c>
      <c r="U1264" s="36" t="str">
        <f>""</f>
        <v/>
      </c>
      <c r="V1264" s="36" t="str">
        <f>""</f>
        <v/>
      </c>
      <c r="W1264" s="36">
        <f t="shared" si="117"/>
        <v>1</v>
      </c>
      <c r="X1264" t="str">
        <f t="shared" si="118"/>
        <v>Inactive</v>
      </c>
      <c r="Y1264" t="str">
        <f>IF(MAIN!$H$3="Selected Year",IF(A1264=MAIN!$B$3,"Yes","No"),IF(MAIN!$H$3="Included Years",IF(D1264="Yes","Yes","No"),IF(C1264="Yes","Yes","No")))</f>
        <v>No</v>
      </c>
      <c r="Z1264" t="str">
        <f>IF(MAIN!$F$3="Project to Date",IF(AND(A1264&gt;=SETTINGS!$B$4,A1264&lt;MAIN!$B$3),"Yes",IF(AND(A1264=MAIN!$B$3,E1264&lt;=MAIN!$L$3),"Yes","No")),IF(OR(MAIN!$F$3="Full Year",MAIN!$D$3="All"),"Yes",IF(MAIN!$F$3="Monthly",IF(E1264=MAIN!$L$3,"Yes","No"),IF(E1264&lt;=MAIN!$L$3,"Yes","No"))))</f>
        <v>Yes</v>
      </c>
      <c r="AA1264" t="str">
        <f t="shared" si="119"/>
        <v>No</v>
      </c>
    </row>
    <row r="1265" spans="1:27" x14ac:dyDescent="0.3">
      <c r="A1265">
        <f>INDEX(SETTINGS!$A$15:$A$24,$B1265)</f>
        <v>2030</v>
      </c>
      <c r="B1265">
        <v>6</v>
      </c>
      <c r="C1265" t="str">
        <f>IF(AND(A1265&gt;=SETTINGS!$B$4,A1265&lt;=SETTINGS!$B$5),"Yes","No")</f>
        <v>No</v>
      </c>
      <c r="D1265" t="str">
        <f>IFERROR(INDEX(SETTINGS!$C$15:$C$24,MATCH(A1265,SETTINGS!$A$15:$A$24,0)),"No")</f>
        <v>No</v>
      </c>
      <c r="E1265">
        <v>7</v>
      </c>
      <c r="F1265" t="s">
        <v>40</v>
      </c>
      <c r="G1265">
        <v>164</v>
      </c>
      <c r="H1265" t="s">
        <v>103</v>
      </c>
      <c r="I1265" t="s">
        <v>22</v>
      </c>
      <c r="J1265" t="s">
        <v>23</v>
      </c>
      <c r="K1265" t="s">
        <v>3</v>
      </c>
      <c r="L1265" s="36">
        <f ca="1">IF(C1265&lt;&gt;"Yes",0,IF(A1265=2025,N('2025'!D164),IF(A1265=2026,N('2026'!D164),IF(A1265=2027,N('2027'!D164),IF(A1265=2028,N('2028'!D164),IF(A1265=2029,N('2029'!D164),IF(A1265=2030,N('2030'!D164),IF(A1265=2031,N('2031'!D164),IF(A1265=2032,N('2032'!D164),IF(A1265=2033,N('2033'!D164),IF(A1265=2034,N('2034'!D164),IFERROR(N(INDIRECT("'"&amp;A1265&amp;"'!D"&amp;G1265)),0))))))))))))</f>
        <v>0</v>
      </c>
      <c r="M1265" s="36">
        <f>IFERROR(IF(NOT(ISBLANK(KPI_TARGETS!$L$14)),KPI_TARGETS!$L$14,IF(NOT(ISBLANK(KPI_TARGETS!$F$14)),KPI_TARGETS!$F$14,"")),"")</f>
        <v>35</v>
      </c>
      <c r="N1265" s="36" t="str">
        <f>IFERROR(KPI_TARGETS!$E$14,"Higher is better")</f>
        <v>Higher is better</v>
      </c>
      <c r="O1265" s="37">
        <f t="shared" ca="1" si="114"/>
        <v>0</v>
      </c>
      <c r="P1265" t="str">
        <f t="shared" ca="1" si="115"/>
        <v>Red</v>
      </c>
      <c r="Q1265" s="36">
        <f t="shared" ca="1" si="116"/>
        <v>-35</v>
      </c>
      <c r="R1265" s="36" t="str">
        <f>""</f>
        <v/>
      </c>
      <c r="S1265" s="36" t="str">
        <f>""</f>
        <v/>
      </c>
      <c r="T1265" s="36" t="str">
        <f>""</f>
        <v/>
      </c>
      <c r="U1265" s="36" t="str">
        <f>""</f>
        <v/>
      </c>
      <c r="V1265" s="36" t="str">
        <f>""</f>
        <v/>
      </c>
      <c r="W1265" s="36">
        <f t="shared" si="117"/>
        <v>1</v>
      </c>
      <c r="X1265" t="str">
        <f t="shared" si="118"/>
        <v>Inactive</v>
      </c>
      <c r="Y1265" t="str">
        <f>IF(MAIN!$H$3="Selected Year",IF(A1265=MAIN!$B$3,"Yes","No"),IF(MAIN!$H$3="Included Years",IF(D1265="Yes","Yes","No"),IF(C1265="Yes","Yes","No")))</f>
        <v>No</v>
      </c>
      <c r="Z1265" t="str">
        <f>IF(MAIN!$F$3="Project to Date",IF(AND(A1265&gt;=SETTINGS!$B$4,A1265&lt;MAIN!$B$3),"Yes",IF(AND(A1265=MAIN!$B$3,E1265&lt;=MAIN!$L$3),"Yes","No")),IF(OR(MAIN!$F$3="Full Year",MAIN!$D$3="All"),"Yes",IF(MAIN!$F$3="Monthly",IF(E1265=MAIN!$L$3,"Yes","No"),IF(E1265&lt;=MAIN!$L$3,"Yes","No"))))</f>
        <v>Yes</v>
      </c>
      <c r="AA1265" t="str">
        <f t="shared" si="119"/>
        <v>No</v>
      </c>
    </row>
    <row r="1266" spans="1:27" x14ac:dyDescent="0.3">
      <c r="A1266">
        <f>INDEX(SETTINGS!$A$15:$A$24,$B1266)</f>
        <v>2030</v>
      </c>
      <c r="B1266">
        <v>6</v>
      </c>
      <c r="C1266" t="str">
        <f>IF(AND(A1266&gt;=SETTINGS!$B$4,A1266&lt;=SETTINGS!$B$5),"Yes","No")</f>
        <v>No</v>
      </c>
      <c r="D1266" t="str">
        <f>IFERROR(INDEX(SETTINGS!$C$15:$C$24,MATCH(A1266,SETTINGS!$A$15:$A$24,0)),"No")</f>
        <v>No</v>
      </c>
      <c r="E1266">
        <v>7</v>
      </c>
      <c r="F1266" t="s">
        <v>40</v>
      </c>
      <c r="G1266">
        <v>165</v>
      </c>
      <c r="H1266" t="s">
        <v>104</v>
      </c>
      <c r="I1266" t="s">
        <v>22</v>
      </c>
      <c r="J1266" t="s">
        <v>24</v>
      </c>
      <c r="K1266" t="s">
        <v>3</v>
      </c>
      <c r="L1266" s="36">
        <f ca="1">IF(C1266&lt;&gt;"Yes",0,IF(A1266=2025,N('2025'!D165),IF(A1266=2026,N('2026'!D165),IF(A1266=2027,N('2027'!D165),IF(A1266=2028,N('2028'!D165),IF(A1266=2029,N('2029'!D165),IF(A1266=2030,N('2030'!D165),IF(A1266=2031,N('2031'!D165),IF(A1266=2032,N('2032'!D165),IF(A1266=2033,N('2033'!D165),IF(A1266=2034,N('2034'!D165),IFERROR(N(INDIRECT("'"&amp;A1266&amp;"'!D"&amp;G1266)),0))))))))))))</f>
        <v>0</v>
      </c>
      <c r="M1266" s="36">
        <f>IFERROR(IF(NOT(ISBLANK(KPI_TARGETS!$L$15)),KPI_TARGETS!$L$15,IF(NOT(ISBLANK(KPI_TARGETS!$F$15)),KPI_TARGETS!$F$15,"")),"")</f>
        <v>5</v>
      </c>
      <c r="N1266" s="36" t="str">
        <f>IFERROR(KPI_TARGETS!$E$15,"Higher is better")</f>
        <v>Higher is better</v>
      </c>
      <c r="O1266" s="37">
        <f t="shared" ca="1" si="114"/>
        <v>0</v>
      </c>
      <c r="P1266" t="str">
        <f t="shared" ca="1" si="115"/>
        <v>Red</v>
      </c>
      <c r="Q1266" s="36">
        <f t="shared" ca="1" si="116"/>
        <v>-5</v>
      </c>
      <c r="R1266" s="36" t="str">
        <f>""</f>
        <v/>
      </c>
      <c r="S1266" s="36" t="str">
        <f>""</f>
        <v/>
      </c>
      <c r="T1266" s="36" t="str">
        <f>""</f>
        <v/>
      </c>
      <c r="U1266" s="36" t="str">
        <f>""</f>
        <v/>
      </c>
      <c r="V1266" s="36" t="str">
        <f>""</f>
        <v/>
      </c>
      <c r="W1266" s="36">
        <f t="shared" si="117"/>
        <v>1</v>
      </c>
      <c r="X1266" t="str">
        <f t="shared" si="118"/>
        <v>Inactive</v>
      </c>
      <c r="Y1266" t="str">
        <f>IF(MAIN!$H$3="Selected Year",IF(A1266=MAIN!$B$3,"Yes","No"),IF(MAIN!$H$3="Included Years",IF(D1266="Yes","Yes","No"),IF(C1266="Yes","Yes","No")))</f>
        <v>No</v>
      </c>
      <c r="Z1266" t="str">
        <f>IF(MAIN!$F$3="Project to Date",IF(AND(A1266&gt;=SETTINGS!$B$4,A1266&lt;MAIN!$B$3),"Yes",IF(AND(A1266=MAIN!$B$3,E1266&lt;=MAIN!$L$3),"Yes","No")),IF(OR(MAIN!$F$3="Full Year",MAIN!$D$3="All"),"Yes",IF(MAIN!$F$3="Monthly",IF(E1266=MAIN!$L$3,"Yes","No"),IF(E1266&lt;=MAIN!$L$3,"Yes","No"))))</f>
        <v>Yes</v>
      </c>
      <c r="AA1266" t="str">
        <f t="shared" si="119"/>
        <v>No</v>
      </c>
    </row>
    <row r="1267" spans="1:27" x14ac:dyDescent="0.3">
      <c r="A1267">
        <f>INDEX(SETTINGS!$A$15:$A$24,$B1267)</f>
        <v>2030</v>
      </c>
      <c r="B1267">
        <v>6</v>
      </c>
      <c r="C1267" t="str">
        <f>IF(AND(A1267&gt;=SETTINGS!$B$4,A1267&lt;=SETTINGS!$B$5),"Yes","No")</f>
        <v>No</v>
      </c>
      <c r="D1267" t="str">
        <f>IFERROR(INDEX(SETTINGS!$C$15:$C$24,MATCH(A1267,SETTINGS!$A$15:$A$24,0)),"No")</f>
        <v>No</v>
      </c>
      <c r="E1267">
        <v>7</v>
      </c>
      <c r="F1267" t="s">
        <v>40</v>
      </c>
      <c r="G1267">
        <v>166</v>
      </c>
      <c r="H1267" t="s">
        <v>105</v>
      </c>
      <c r="I1267" t="s">
        <v>22</v>
      </c>
      <c r="J1267" t="s">
        <v>25</v>
      </c>
      <c r="K1267" t="s">
        <v>3</v>
      </c>
      <c r="L1267" s="36">
        <f ca="1">IF(C1267&lt;&gt;"Yes",0,IF(A1267=2025,N('2025'!D166),IF(A1267=2026,N('2026'!D166),IF(A1267=2027,N('2027'!D166),IF(A1267=2028,N('2028'!D166),IF(A1267=2029,N('2029'!D166),IF(A1267=2030,N('2030'!D166),IF(A1267=2031,N('2031'!D166),IF(A1267=2032,N('2032'!D166),IF(A1267=2033,N('2033'!D166),IF(A1267=2034,N('2034'!D166),IFERROR(N(INDIRECT("'"&amp;A1267&amp;"'!D"&amp;G1267)),0))))))))))))</f>
        <v>0</v>
      </c>
      <c r="M1267" s="36">
        <f>IFERROR(IF(NOT(ISBLANK(KPI_TARGETS!$L$16)),KPI_TARGETS!$L$16,IF(NOT(ISBLANK(KPI_TARGETS!$F$16)),KPI_TARGETS!$F$16,"")),"")</f>
        <v>4</v>
      </c>
      <c r="N1267" s="36" t="str">
        <f>IFERROR(KPI_TARGETS!$E$16,"Higher is better")</f>
        <v>Higher is better</v>
      </c>
      <c r="O1267" s="37">
        <f t="shared" ca="1" si="114"/>
        <v>0</v>
      </c>
      <c r="P1267" t="str">
        <f t="shared" ca="1" si="115"/>
        <v>Red</v>
      </c>
      <c r="Q1267" s="36">
        <f t="shared" ca="1" si="116"/>
        <v>-4</v>
      </c>
      <c r="R1267" s="36" t="str">
        <f>""</f>
        <v/>
      </c>
      <c r="S1267" s="36" t="str">
        <f>""</f>
        <v/>
      </c>
      <c r="T1267" s="36" t="str">
        <f>""</f>
        <v/>
      </c>
      <c r="U1267" s="36" t="str">
        <f>""</f>
        <v/>
      </c>
      <c r="V1267" s="36" t="str">
        <f>""</f>
        <v/>
      </c>
      <c r="W1267" s="36">
        <f t="shared" si="117"/>
        <v>1</v>
      </c>
      <c r="X1267" t="str">
        <f t="shared" si="118"/>
        <v>Inactive</v>
      </c>
      <c r="Y1267" t="str">
        <f>IF(MAIN!$H$3="Selected Year",IF(A1267=MAIN!$B$3,"Yes","No"),IF(MAIN!$H$3="Included Years",IF(D1267="Yes","Yes","No"),IF(C1267="Yes","Yes","No")))</f>
        <v>No</v>
      </c>
      <c r="Z1267" t="str">
        <f>IF(MAIN!$F$3="Project to Date",IF(AND(A1267&gt;=SETTINGS!$B$4,A1267&lt;MAIN!$B$3),"Yes",IF(AND(A1267=MAIN!$B$3,E1267&lt;=MAIN!$L$3),"Yes","No")),IF(OR(MAIN!$F$3="Full Year",MAIN!$D$3="All"),"Yes",IF(MAIN!$F$3="Monthly",IF(E1267=MAIN!$L$3,"Yes","No"),IF(E1267&lt;=MAIN!$L$3,"Yes","No"))))</f>
        <v>Yes</v>
      </c>
      <c r="AA1267" t="str">
        <f t="shared" si="119"/>
        <v>No</v>
      </c>
    </row>
    <row r="1268" spans="1:27" x14ac:dyDescent="0.3">
      <c r="A1268">
        <f>INDEX(SETTINGS!$A$15:$A$24,$B1268)</f>
        <v>2030</v>
      </c>
      <c r="B1268">
        <v>6</v>
      </c>
      <c r="C1268" t="str">
        <f>IF(AND(A1268&gt;=SETTINGS!$B$4,A1268&lt;=SETTINGS!$B$5),"Yes","No")</f>
        <v>No</v>
      </c>
      <c r="D1268" t="str">
        <f>IFERROR(INDEX(SETTINGS!$C$15:$C$24,MATCH(A1268,SETTINGS!$A$15:$A$24,0)),"No")</f>
        <v>No</v>
      </c>
      <c r="E1268">
        <v>7</v>
      </c>
      <c r="F1268" t="s">
        <v>40</v>
      </c>
      <c r="G1268">
        <v>167</v>
      </c>
      <c r="H1268" t="s">
        <v>106</v>
      </c>
      <c r="I1268" t="s">
        <v>22</v>
      </c>
      <c r="J1268" t="s">
        <v>26</v>
      </c>
      <c r="K1268" t="s">
        <v>3</v>
      </c>
      <c r="L1268" s="36">
        <f ca="1">IF(C1268&lt;&gt;"Yes",0,IF(A1268=2025,N('2025'!D167),IF(A1268=2026,N('2026'!D167),IF(A1268=2027,N('2027'!D167),IF(A1268=2028,N('2028'!D167),IF(A1268=2029,N('2029'!D167),IF(A1268=2030,N('2030'!D167),IF(A1268=2031,N('2031'!D167),IF(A1268=2032,N('2032'!D167),IF(A1268=2033,N('2033'!D167),IF(A1268=2034,N('2034'!D167),IFERROR(N(INDIRECT("'"&amp;A1268&amp;"'!D"&amp;G1268)),0))))))))))))</f>
        <v>0</v>
      </c>
      <c r="M1268" s="36">
        <f>IFERROR(IF(NOT(ISBLANK(KPI_TARGETS!$L$17)),KPI_TARGETS!$L$17,IF(NOT(ISBLANK(KPI_TARGETS!$F$17)),KPI_TARGETS!$F$17,"")),"")</f>
        <v>12</v>
      </c>
      <c r="N1268" s="36" t="str">
        <f>IFERROR(KPI_TARGETS!$E$17,"Higher is better")</f>
        <v>Higher is better</v>
      </c>
      <c r="O1268" s="37">
        <f t="shared" ca="1" si="114"/>
        <v>0</v>
      </c>
      <c r="P1268" t="str">
        <f t="shared" ca="1" si="115"/>
        <v>Red</v>
      </c>
      <c r="Q1268" s="36">
        <f t="shared" ca="1" si="116"/>
        <v>-12</v>
      </c>
      <c r="R1268" s="36" t="str">
        <f>""</f>
        <v/>
      </c>
      <c r="S1268" s="36" t="str">
        <f>""</f>
        <v/>
      </c>
      <c r="T1268" s="36" t="str">
        <f>""</f>
        <v/>
      </c>
      <c r="U1268" s="36" t="str">
        <f>""</f>
        <v/>
      </c>
      <c r="V1268" s="36" t="str">
        <f>""</f>
        <v/>
      </c>
      <c r="W1268" s="36">
        <f t="shared" si="117"/>
        <v>1</v>
      </c>
      <c r="X1268" t="str">
        <f t="shared" si="118"/>
        <v>Inactive</v>
      </c>
      <c r="Y1268" t="str">
        <f>IF(MAIN!$H$3="Selected Year",IF(A1268=MAIN!$B$3,"Yes","No"),IF(MAIN!$H$3="Included Years",IF(D1268="Yes","Yes","No"),IF(C1268="Yes","Yes","No")))</f>
        <v>No</v>
      </c>
      <c r="Z1268" t="str">
        <f>IF(MAIN!$F$3="Project to Date",IF(AND(A1268&gt;=SETTINGS!$B$4,A1268&lt;MAIN!$B$3),"Yes",IF(AND(A1268=MAIN!$B$3,E1268&lt;=MAIN!$L$3),"Yes","No")),IF(OR(MAIN!$F$3="Full Year",MAIN!$D$3="All"),"Yes",IF(MAIN!$F$3="Monthly",IF(E1268=MAIN!$L$3,"Yes","No"),IF(E1268&lt;=MAIN!$L$3,"Yes","No"))))</f>
        <v>Yes</v>
      </c>
      <c r="AA1268" t="str">
        <f t="shared" si="119"/>
        <v>No</v>
      </c>
    </row>
    <row r="1269" spans="1:27" x14ac:dyDescent="0.3">
      <c r="A1269">
        <f>INDEX(SETTINGS!$A$15:$A$24,$B1269)</f>
        <v>2030</v>
      </c>
      <c r="B1269">
        <v>6</v>
      </c>
      <c r="C1269" t="str">
        <f>IF(AND(A1269&gt;=SETTINGS!$B$4,A1269&lt;=SETTINGS!$B$5),"Yes","No")</f>
        <v>No</v>
      </c>
      <c r="D1269" t="str">
        <f>IFERROR(INDEX(SETTINGS!$C$15:$C$24,MATCH(A1269,SETTINGS!$A$15:$A$24,0)),"No")</f>
        <v>No</v>
      </c>
      <c r="E1269">
        <v>7</v>
      </c>
      <c r="F1269" t="s">
        <v>40</v>
      </c>
      <c r="G1269">
        <v>168</v>
      </c>
      <c r="H1269" t="s">
        <v>107</v>
      </c>
      <c r="I1269" t="s">
        <v>22</v>
      </c>
      <c r="J1269" t="s">
        <v>27</v>
      </c>
      <c r="K1269" t="s">
        <v>3</v>
      </c>
      <c r="L1269" s="36">
        <f ca="1">IF(C1269&lt;&gt;"Yes",0,IF(A1269=2025,N('2025'!D168),IF(A1269=2026,N('2026'!D168),IF(A1269=2027,N('2027'!D168),IF(A1269=2028,N('2028'!D168),IF(A1269=2029,N('2029'!D168),IF(A1269=2030,N('2030'!D168),IF(A1269=2031,N('2031'!D168),IF(A1269=2032,N('2032'!D168),IF(A1269=2033,N('2033'!D168),IF(A1269=2034,N('2034'!D168),IFERROR(N(INDIRECT("'"&amp;A1269&amp;"'!D"&amp;G1269)),0))))))))))))</f>
        <v>0</v>
      </c>
      <c r="M1269" s="36">
        <f>IFERROR(IF(NOT(ISBLANK(KPI_TARGETS!$L$18)),KPI_TARGETS!$L$18,IF(NOT(ISBLANK(KPI_TARGETS!$F$18)),KPI_TARGETS!$F$18,"")),"")</f>
        <v>4</v>
      </c>
      <c r="N1269" s="36" t="str">
        <f>IFERROR(KPI_TARGETS!$E$18,"Higher is better")</f>
        <v>Higher is better</v>
      </c>
      <c r="O1269" s="37">
        <f t="shared" ca="1" si="114"/>
        <v>0</v>
      </c>
      <c r="P1269" t="str">
        <f t="shared" ca="1" si="115"/>
        <v>Red</v>
      </c>
      <c r="Q1269" s="36">
        <f t="shared" ca="1" si="116"/>
        <v>-4</v>
      </c>
      <c r="R1269" s="36" t="str">
        <f>""</f>
        <v/>
      </c>
      <c r="S1269" s="36" t="str">
        <f>""</f>
        <v/>
      </c>
      <c r="T1269" s="36" t="str">
        <f>""</f>
        <v/>
      </c>
      <c r="U1269" s="36" t="str">
        <f>""</f>
        <v/>
      </c>
      <c r="V1269" s="36" t="str">
        <f>""</f>
        <v/>
      </c>
      <c r="W1269" s="36">
        <f t="shared" si="117"/>
        <v>1</v>
      </c>
      <c r="X1269" t="str">
        <f t="shared" si="118"/>
        <v>Inactive</v>
      </c>
      <c r="Y1269" t="str">
        <f>IF(MAIN!$H$3="Selected Year",IF(A1269=MAIN!$B$3,"Yes","No"),IF(MAIN!$H$3="Included Years",IF(D1269="Yes","Yes","No"),IF(C1269="Yes","Yes","No")))</f>
        <v>No</v>
      </c>
      <c r="Z1269" t="str">
        <f>IF(MAIN!$F$3="Project to Date",IF(AND(A1269&gt;=SETTINGS!$B$4,A1269&lt;MAIN!$B$3),"Yes",IF(AND(A1269=MAIN!$B$3,E1269&lt;=MAIN!$L$3),"Yes","No")),IF(OR(MAIN!$F$3="Full Year",MAIN!$D$3="All"),"Yes",IF(MAIN!$F$3="Monthly",IF(E1269=MAIN!$L$3,"Yes","No"),IF(E1269&lt;=MAIN!$L$3,"Yes","No"))))</f>
        <v>Yes</v>
      </c>
      <c r="AA1269" t="str">
        <f t="shared" si="119"/>
        <v>No</v>
      </c>
    </row>
    <row r="1270" spans="1:27" x14ac:dyDescent="0.3">
      <c r="A1270">
        <f>INDEX(SETTINGS!$A$15:$A$24,$B1270)</f>
        <v>2030</v>
      </c>
      <c r="B1270">
        <v>6</v>
      </c>
      <c r="C1270" t="str">
        <f>IF(AND(A1270&gt;=SETTINGS!$B$4,A1270&lt;=SETTINGS!$B$5),"Yes","No")</f>
        <v>No</v>
      </c>
      <c r="D1270" t="str">
        <f>IFERROR(INDEX(SETTINGS!$C$15:$C$24,MATCH(A1270,SETTINGS!$A$15:$A$24,0)),"No")</f>
        <v>No</v>
      </c>
      <c r="E1270">
        <v>7</v>
      </c>
      <c r="F1270" t="s">
        <v>40</v>
      </c>
      <c r="G1270">
        <v>169</v>
      </c>
      <c r="H1270" t="s">
        <v>108</v>
      </c>
      <c r="I1270" t="s">
        <v>22</v>
      </c>
      <c r="J1270" t="s">
        <v>28</v>
      </c>
      <c r="K1270" t="s">
        <v>3</v>
      </c>
      <c r="L1270" s="36">
        <f ca="1">IF(C1270&lt;&gt;"Yes",0,IF(A1270=2025,N('2025'!D169),IF(A1270=2026,N('2026'!D169),IF(A1270=2027,N('2027'!D169),IF(A1270=2028,N('2028'!D169),IF(A1270=2029,N('2029'!D169),IF(A1270=2030,N('2030'!D169),IF(A1270=2031,N('2031'!D169),IF(A1270=2032,N('2032'!D169),IF(A1270=2033,N('2033'!D169),IF(A1270=2034,N('2034'!D169),IFERROR(N(INDIRECT("'"&amp;A1270&amp;"'!D"&amp;G1270)),0))))))))))))</f>
        <v>0</v>
      </c>
      <c r="M1270" s="36">
        <f>IFERROR(IF(NOT(ISBLANK(KPI_TARGETS!$L$19)),KPI_TARGETS!$L$19,IF(NOT(ISBLANK(KPI_TARGETS!$F$19)),KPI_TARGETS!$F$19,"")),"")</f>
        <v>16</v>
      </c>
      <c r="N1270" s="36" t="str">
        <f>IFERROR(KPI_TARGETS!$E$19,"Higher is better")</f>
        <v>Higher is better</v>
      </c>
      <c r="O1270" s="37">
        <f t="shared" ca="1" si="114"/>
        <v>0</v>
      </c>
      <c r="P1270" t="str">
        <f t="shared" ca="1" si="115"/>
        <v>Red</v>
      </c>
      <c r="Q1270" s="36">
        <f t="shared" ca="1" si="116"/>
        <v>-16</v>
      </c>
      <c r="R1270" s="36" t="str">
        <f>""</f>
        <v/>
      </c>
      <c r="S1270" s="36" t="str">
        <f>""</f>
        <v/>
      </c>
      <c r="T1270" s="36" t="str">
        <f>""</f>
        <v/>
      </c>
      <c r="U1270" s="36" t="str">
        <f>""</f>
        <v/>
      </c>
      <c r="V1270" s="36" t="str">
        <f>""</f>
        <v/>
      </c>
      <c r="W1270" s="36">
        <f t="shared" si="117"/>
        <v>1</v>
      </c>
      <c r="X1270" t="str">
        <f t="shared" si="118"/>
        <v>Inactive</v>
      </c>
      <c r="Y1270" t="str">
        <f>IF(MAIN!$H$3="Selected Year",IF(A1270=MAIN!$B$3,"Yes","No"),IF(MAIN!$H$3="Included Years",IF(D1270="Yes","Yes","No"),IF(C1270="Yes","Yes","No")))</f>
        <v>No</v>
      </c>
      <c r="Z1270" t="str">
        <f>IF(MAIN!$F$3="Project to Date",IF(AND(A1270&gt;=SETTINGS!$B$4,A1270&lt;MAIN!$B$3),"Yes",IF(AND(A1270=MAIN!$B$3,E1270&lt;=MAIN!$L$3),"Yes","No")),IF(OR(MAIN!$F$3="Full Year",MAIN!$D$3="All"),"Yes",IF(MAIN!$F$3="Monthly",IF(E1270=MAIN!$L$3,"Yes","No"),IF(E1270&lt;=MAIN!$L$3,"Yes","No"))))</f>
        <v>Yes</v>
      </c>
      <c r="AA1270" t="str">
        <f t="shared" si="119"/>
        <v>No</v>
      </c>
    </row>
    <row r="1271" spans="1:27" x14ac:dyDescent="0.3">
      <c r="A1271">
        <f>INDEX(SETTINGS!$A$15:$A$24,$B1271)</f>
        <v>2030</v>
      </c>
      <c r="B1271">
        <v>6</v>
      </c>
      <c r="C1271" t="str">
        <f>IF(AND(A1271&gt;=SETTINGS!$B$4,A1271&lt;=SETTINGS!$B$5),"Yes","No")</f>
        <v>No</v>
      </c>
      <c r="D1271" t="str">
        <f>IFERROR(INDEX(SETTINGS!$C$15:$C$24,MATCH(A1271,SETTINGS!$A$15:$A$24,0)),"No")</f>
        <v>No</v>
      </c>
      <c r="E1271">
        <v>7</v>
      </c>
      <c r="F1271" t="s">
        <v>40</v>
      </c>
      <c r="G1271">
        <v>170</v>
      </c>
      <c r="H1271" t="s">
        <v>109</v>
      </c>
      <c r="I1271" t="s">
        <v>22</v>
      </c>
      <c r="J1271" t="s">
        <v>29</v>
      </c>
      <c r="K1271" t="s">
        <v>3</v>
      </c>
      <c r="L1271" s="36">
        <f ca="1">IF(C1271&lt;&gt;"Yes",0,IF(A1271=2025,N('2025'!D170),IF(A1271=2026,N('2026'!D170),IF(A1271=2027,N('2027'!D170),IF(A1271=2028,N('2028'!D170),IF(A1271=2029,N('2029'!D170),IF(A1271=2030,N('2030'!D170),IF(A1271=2031,N('2031'!D170),IF(A1271=2032,N('2032'!D170),IF(A1271=2033,N('2033'!D170),IF(A1271=2034,N('2034'!D170),IFERROR(N(INDIRECT("'"&amp;A1271&amp;"'!D"&amp;G1271)),0))))))))))))</f>
        <v>0</v>
      </c>
      <c r="M1271" s="36">
        <f>IFERROR(IF(NOT(ISBLANK(KPI_TARGETS!$L$20)),KPI_TARGETS!$L$20,IF(NOT(ISBLANK(KPI_TARGETS!$F$20)),KPI_TARGETS!$F$20,"")),"")</f>
        <v>1</v>
      </c>
      <c r="N1271" s="36" t="str">
        <f>IFERROR(KPI_TARGETS!$E$20,"Higher is better")</f>
        <v>Higher is better</v>
      </c>
      <c r="O1271" s="37">
        <f t="shared" ca="1" si="114"/>
        <v>0</v>
      </c>
      <c r="P1271" t="str">
        <f t="shared" ca="1" si="115"/>
        <v>Red</v>
      </c>
      <c r="Q1271" s="36">
        <f t="shared" ca="1" si="116"/>
        <v>-1</v>
      </c>
      <c r="R1271" s="36" t="str">
        <f>""</f>
        <v/>
      </c>
      <c r="S1271" s="36" t="str">
        <f>""</f>
        <v/>
      </c>
      <c r="T1271" s="36" t="str">
        <f>""</f>
        <v/>
      </c>
      <c r="U1271" s="36" t="str">
        <f>""</f>
        <v/>
      </c>
      <c r="V1271" s="36" t="str">
        <f>""</f>
        <v/>
      </c>
      <c r="W1271" s="36">
        <f t="shared" si="117"/>
        <v>1</v>
      </c>
      <c r="X1271" t="str">
        <f t="shared" si="118"/>
        <v>Inactive</v>
      </c>
      <c r="Y1271" t="str">
        <f>IF(MAIN!$H$3="Selected Year",IF(A1271=MAIN!$B$3,"Yes","No"),IF(MAIN!$H$3="Included Years",IF(D1271="Yes","Yes","No"),IF(C1271="Yes","Yes","No")))</f>
        <v>No</v>
      </c>
      <c r="Z1271" t="str">
        <f>IF(MAIN!$F$3="Project to Date",IF(AND(A1271&gt;=SETTINGS!$B$4,A1271&lt;MAIN!$B$3),"Yes",IF(AND(A1271=MAIN!$B$3,E1271&lt;=MAIN!$L$3),"Yes","No")),IF(OR(MAIN!$F$3="Full Year",MAIN!$D$3="All"),"Yes",IF(MAIN!$F$3="Monthly",IF(E1271=MAIN!$L$3,"Yes","No"),IF(E1271&lt;=MAIN!$L$3,"Yes","No"))))</f>
        <v>Yes</v>
      </c>
      <c r="AA1271" t="str">
        <f t="shared" si="119"/>
        <v>No</v>
      </c>
    </row>
    <row r="1272" spans="1:27" x14ac:dyDescent="0.3">
      <c r="A1272">
        <f>INDEX(SETTINGS!$A$15:$A$24,$B1272)</f>
        <v>2030</v>
      </c>
      <c r="B1272">
        <v>6</v>
      </c>
      <c r="C1272" t="str">
        <f>IF(AND(A1272&gt;=SETTINGS!$B$4,A1272&lt;=SETTINGS!$B$5),"Yes","No")</f>
        <v>No</v>
      </c>
      <c r="D1272" t="str">
        <f>IFERROR(INDEX(SETTINGS!$C$15:$C$24,MATCH(A1272,SETTINGS!$A$15:$A$24,0)),"No")</f>
        <v>No</v>
      </c>
      <c r="E1272">
        <v>7</v>
      </c>
      <c r="F1272" t="s">
        <v>40</v>
      </c>
      <c r="G1272">
        <v>172</v>
      </c>
      <c r="H1272" t="s">
        <v>110</v>
      </c>
      <c r="I1272" t="s">
        <v>30</v>
      </c>
      <c r="J1272" t="s">
        <v>31</v>
      </c>
      <c r="K1272" t="s">
        <v>3</v>
      </c>
      <c r="L1272" s="36">
        <f ca="1">IF(C1272&lt;&gt;"Yes",0,IF(A1272=2025,N('2025'!D172),IF(A1272=2026,N('2026'!D172),IF(A1272=2027,N('2027'!D172),IF(A1272=2028,N('2028'!D172),IF(A1272=2029,N('2029'!D172),IF(A1272=2030,N('2030'!D172),IF(A1272=2031,N('2031'!D172),IF(A1272=2032,N('2032'!D172),IF(A1272=2033,N('2033'!D172),IF(A1272=2034,N('2034'!D172),IFERROR(N(INDIRECT("'"&amp;A1272&amp;"'!D"&amp;G1272)),0))))))))))))</f>
        <v>0</v>
      </c>
      <c r="M1272" s="36">
        <f>IFERROR(IF(NOT(ISBLANK(KPI_TARGETS!$L$21)),KPI_TARGETS!$L$21,IF(NOT(ISBLANK(KPI_TARGETS!$F$21)),KPI_TARGETS!$F$21,"")),"")</f>
        <v>0</v>
      </c>
      <c r="N1272" s="36" t="str">
        <f>IFERROR(KPI_TARGETS!$E$21,"Higher is better")</f>
        <v>Lower is better</v>
      </c>
      <c r="O1272" s="37">
        <f t="shared" ca="1" si="114"/>
        <v>1</v>
      </c>
      <c r="P1272" t="str">
        <f t="shared" ca="1" si="115"/>
        <v>Green</v>
      </c>
      <c r="Q1272" s="36">
        <f t="shared" ca="1" si="116"/>
        <v>0</v>
      </c>
      <c r="R1272" s="36" t="str">
        <f>""</f>
        <v/>
      </c>
      <c r="S1272" s="36" t="str">
        <f>""</f>
        <v/>
      </c>
      <c r="T1272" s="36" t="str">
        <f>""</f>
        <v/>
      </c>
      <c r="U1272" s="36" t="str">
        <f>""</f>
        <v/>
      </c>
      <c r="V1272" s="36" t="str">
        <f>""</f>
        <v/>
      </c>
      <c r="W1272" s="36">
        <f t="shared" si="117"/>
        <v>1</v>
      </c>
      <c r="X1272" t="str">
        <f t="shared" si="118"/>
        <v>Inactive</v>
      </c>
      <c r="Y1272" t="str">
        <f>IF(MAIN!$H$3="Selected Year",IF(A1272=MAIN!$B$3,"Yes","No"),IF(MAIN!$H$3="Included Years",IF(D1272="Yes","Yes","No"),IF(C1272="Yes","Yes","No")))</f>
        <v>No</v>
      </c>
      <c r="Z1272" t="str">
        <f>IF(MAIN!$F$3="Project to Date",IF(AND(A1272&gt;=SETTINGS!$B$4,A1272&lt;MAIN!$B$3),"Yes",IF(AND(A1272=MAIN!$B$3,E1272&lt;=MAIN!$L$3),"Yes","No")),IF(OR(MAIN!$F$3="Full Year",MAIN!$D$3="All"),"Yes",IF(MAIN!$F$3="Monthly",IF(E1272=MAIN!$L$3,"Yes","No"),IF(E1272&lt;=MAIN!$L$3,"Yes","No"))))</f>
        <v>Yes</v>
      </c>
      <c r="AA1272" t="str">
        <f t="shared" si="119"/>
        <v>No</v>
      </c>
    </row>
    <row r="1273" spans="1:27" x14ac:dyDescent="0.3">
      <c r="A1273">
        <f>INDEX(SETTINGS!$A$15:$A$24,$B1273)</f>
        <v>2030</v>
      </c>
      <c r="B1273">
        <v>6</v>
      </c>
      <c r="C1273" t="str">
        <f>IF(AND(A1273&gt;=SETTINGS!$B$4,A1273&lt;=SETTINGS!$B$5),"Yes","No")</f>
        <v>No</v>
      </c>
      <c r="D1273" t="str">
        <f>IFERROR(INDEX(SETTINGS!$C$15:$C$24,MATCH(A1273,SETTINGS!$A$15:$A$24,0)),"No")</f>
        <v>No</v>
      </c>
      <c r="E1273">
        <v>7</v>
      </c>
      <c r="F1273" t="s">
        <v>40</v>
      </c>
      <c r="G1273">
        <v>173</v>
      </c>
      <c r="H1273" t="s">
        <v>111</v>
      </c>
      <c r="I1273" t="s">
        <v>30</v>
      </c>
      <c r="J1273" t="s">
        <v>32</v>
      </c>
      <c r="K1273" t="s">
        <v>3</v>
      </c>
      <c r="L1273" s="36">
        <f ca="1">IF(C1273&lt;&gt;"Yes",0,IF(A1273=2025,N('2025'!D173),IF(A1273=2026,N('2026'!D173),IF(A1273=2027,N('2027'!D173),IF(A1273=2028,N('2028'!D173),IF(A1273=2029,N('2029'!D173),IF(A1273=2030,N('2030'!D173),IF(A1273=2031,N('2031'!D173),IF(A1273=2032,N('2032'!D173),IF(A1273=2033,N('2033'!D173),IF(A1273=2034,N('2034'!D173),IFERROR(N(INDIRECT("'"&amp;A1273&amp;"'!D"&amp;G1273)),0))))))))))))</f>
        <v>0</v>
      </c>
      <c r="M1273" s="36">
        <f>IFERROR(IF(NOT(ISBLANK(KPI_TARGETS!$L$22)),KPI_TARGETS!$L$22,IF(NOT(ISBLANK(KPI_TARGETS!$F$22)),KPI_TARGETS!$F$22,"")),"")</f>
        <v>1</v>
      </c>
      <c r="N1273" s="36" t="str">
        <f>IFERROR(KPI_TARGETS!$E$22,"Higher is better")</f>
        <v>Higher is better</v>
      </c>
      <c r="O1273" s="37">
        <f t="shared" ca="1" si="114"/>
        <v>0</v>
      </c>
      <c r="P1273" t="str">
        <f t="shared" ca="1" si="115"/>
        <v>Red</v>
      </c>
      <c r="Q1273" s="36">
        <f t="shared" ca="1" si="116"/>
        <v>-1</v>
      </c>
      <c r="R1273" s="36" t="str">
        <f>""</f>
        <v/>
      </c>
      <c r="S1273" s="36" t="str">
        <f>""</f>
        <v/>
      </c>
      <c r="T1273" s="36" t="str">
        <f>""</f>
        <v/>
      </c>
      <c r="U1273" s="36" t="str">
        <f>""</f>
        <v/>
      </c>
      <c r="V1273" s="36" t="str">
        <f>""</f>
        <v/>
      </c>
      <c r="W1273" s="36">
        <f t="shared" si="117"/>
        <v>1</v>
      </c>
      <c r="X1273" t="str">
        <f t="shared" si="118"/>
        <v>Inactive</v>
      </c>
      <c r="Y1273" t="str">
        <f>IF(MAIN!$H$3="Selected Year",IF(A1273=MAIN!$B$3,"Yes","No"),IF(MAIN!$H$3="Included Years",IF(D1273="Yes","Yes","No"),IF(C1273="Yes","Yes","No")))</f>
        <v>No</v>
      </c>
      <c r="Z1273" t="str">
        <f>IF(MAIN!$F$3="Project to Date",IF(AND(A1273&gt;=SETTINGS!$B$4,A1273&lt;MAIN!$B$3),"Yes",IF(AND(A1273=MAIN!$B$3,E1273&lt;=MAIN!$L$3),"Yes","No")),IF(OR(MAIN!$F$3="Full Year",MAIN!$D$3="All"),"Yes",IF(MAIN!$F$3="Monthly",IF(E1273=MAIN!$L$3,"Yes","No"),IF(E1273&lt;=MAIN!$L$3,"Yes","No"))))</f>
        <v>Yes</v>
      </c>
      <c r="AA1273" t="str">
        <f t="shared" si="119"/>
        <v>No</v>
      </c>
    </row>
    <row r="1274" spans="1:27" x14ac:dyDescent="0.3">
      <c r="A1274">
        <f>INDEX(SETTINGS!$A$15:$A$24,$B1274)</f>
        <v>2030</v>
      </c>
      <c r="B1274">
        <v>6</v>
      </c>
      <c r="C1274" t="str">
        <f>IF(AND(A1274&gt;=SETTINGS!$B$4,A1274&lt;=SETTINGS!$B$5),"Yes","No")</f>
        <v>No</v>
      </c>
      <c r="D1274" t="str">
        <f>IFERROR(INDEX(SETTINGS!$C$15:$C$24,MATCH(A1274,SETTINGS!$A$15:$A$24,0)),"No")</f>
        <v>No</v>
      </c>
      <c r="E1274">
        <v>7</v>
      </c>
      <c r="F1274" t="s">
        <v>40</v>
      </c>
      <c r="G1274">
        <v>174</v>
      </c>
      <c r="H1274" t="s">
        <v>112</v>
      </c>
      <c r="I1274" t="s">
        <v>30</v>
      </c>
      <c r="J1274" t="s">
        <v>33</v>
      </c>
      <c r="K1274" t="s">
        <v>34</v>
      </c>
      <c r="L1274" s="36">
        <f ca="1">IF(C1274&lt;&gt;"Yes",0,IF(A1274=2025,N('2025'!D174),IF(A1274=2026,N('2026'!D174),IF(A1274=2027,N('2027'!D174),IF(A1274=2028,N('2028'!D174),IF(A1274=2029,N('2029'!D174),IF(A1274=2030,N('2030'!D174),IF(A1274=2031,N('2031'!D174),IF(A1274=2032,N('2032'!D174),IF(A1274=2033,N('2033'!D174),IF(A1274=2034,N('2034'!D174),IFERROR(N(INDIRECT("'"&amp;A1274&amp;"'!D"&amp;G1274)),0))))))))))))</f>
        <v>0</v>
      </c>
      <c r="M1274" s="36">
        <f>IFERROR(IF(NOT(ISBLANK(KPI_TARGETS!$L$23)),KPI_TARGETS!$L$23,IF(NOT(ISBLANK(KPI_TARGETS!$F$23)),KPI_TARGETS!$F$23,"")),"")</f>
        <v>1</v>
      </c>
      <c r="N1274" s="36" t="str">
        <f>IFERROR(KPI_TARGETS!$E$23,"Higher is better")</f>
        <v>Higher is better</v>
      </c>
      <c r="O1274" s="37">
        <f t="shared" ca="1" si="114"/>
        <v>0</v>
      </c>
      <c r="P1274" t="str">
        <f t="shared" ca="1" si="115"/>
        <v>Red</v>
      </c>
      <c r="Q1274" s="36">
        <f t="shared" ca="1" si="116"/>
        <v>-1</v>
      </c>
      <c r="R1274" s="36" t="str">
        <f>""</f>
        <v/>
      </c>
      <c r="S1274" s="36" t="str">
        <f>""</f>
        <v/>
      </c>
      <c r="T1274" s="36" t="str">
        <f>""</f>
        <v/>
      </c>
      <c r="U1274" s="36" t="str">
        <f>""</f>
        <v/>
      </c>
      <c r="V1274" s="36" t="str">
        <f>""</f>
        <v/>
      </c>
      <c r="W1274" s="36">
        <f t="shared" si="117"/>
        <v>1</v>
      </c>
      <c r="X1274" t="str">
        <f t="shared" si="118"/>
        <v>Inactive</v>
      </c>
      <c r="Y1274" t="str">
        <f>IF(MAIN!$H$3="Selected Year",IF(A1274=MAIN!$B$3,"Yes","No"),IF(MAIN!$H$3="Included Years",IF(D1274="Yes","Yes","No"),IF(C1274="Yes","Yes","No")))</f>
        <v>No</v>
      </c>
      <c r="Z1274" t="str">
        <f>IF(MAIN!$F$3="Project to Date",IF(AND(A1274&gt;=SETTINGS!$B$4,A1274&lt;MAIN!$B$3),"Yes",IF(AND(A1274=MAIN!$B$3,E1274&lt;=MAIN!$L$3),"Yes","No")),IF(OR(MAIN!$F$3="Full Year",MAIN!$D$3="All"),"Yes",IF(MAIN!$F$3="Monthly",IF(E1274=MAIN!$L$3,"Yes","No"),IF(E1274&lt;=MAIN!$L$3,"Yes","No"))))</f>
        <v>Yes</v>
      </c>
      <c r="AA1274" t="str">
        <f t="shared" si="119"/>
        <v>No</v>
      </c>
    </row>
    <row r="1275" spans="1:27" x14ac:dyDescent="0.3">
      <c r="A1275">
        <f>INDEX(SETTINGS!$A$15:$A$24,$B1275)</f>
        <v>2030</v>
      </c>
      <c r="B1275">
        <v>6</v>
      </c>
      <c r="C1275" t="str">
        <f>IF(AND(A1275&gt;=SETTINGS!$B$4,A1275&lt;=SETTINGS!$B$5),"Yes","No")</f>
        <v>No</v>
      </c>
      <c r="D1275" t="str">
        <f>IFERROR(INDEX(SETTINGS!$C$15:$C$24,MATCH(A1275,SETTINGS!$A$15:$A$24,0)),"No")</f>
        <v>No</v>
      </c>
      <c r="E1275">
        <v>8</v>
      </c>
      <c r="F1275" t="s">
        <v>41</v>
      </c>
      <c r="G1275">
        <v>177</v>
      </c>
      <c r="H1275" t="s">
        <v>88</v>
      </c>
      <c r="I1275" t="s">
        <v>89</v>
      </c>
      <c r="J1275" t="s">
        <v>10</v>
      </c>
      <c r="K1275" t="s">
        <v>3</v>
      </c>
      <c r="L1275" s="36">
        <f ca="1">IF(C1275&lt;&gt;"Yes",0,IF(A1275=2025,N('2025'!D177),IF(A1275=2026,N('2026'!D177),IF(A1275=2027,N('2027'!D177),IF(A1275=2028,N('2028'!D177),IF(A1275=2029,N('2029'!D177),IF(A1275=2030,N('2030'!D177),IF(A1275=2031,N('2031'!D177),IF(A1275=2032,N('2032'!D177),IF(A1275=2033,N('2033'!D177),IF(A1275=2034,N('2034'!D177),IFERROR(N(INDIRECT("'"&amp;A1275&amp;"'!D"&amp;G1275)),0))))))))))))</f>
        <v>0</v>
      </c>
      <c r="M1275" s="36">
        <f>IFERROR(IF(NOT(ISBLANK(KPI_TARGETS!$L$5)),KPI_TARGETS!$L$5,IF(NOT(ISBLANK(KPI_TARGETS!$F$5)),KPI_TARGETS!$F$5,"")),"")</f>
        <v>104</v>
      </c>
      <c r="N1275" s="36" t="str">
        <f>IFERROR(KPI_TARGETS!$E$5,"Higher is better")</f>
        <v>Higher is better</v>
      </c>
      <c r="O1275" s="37">
        <f t="shared" ca="1" si="114"/>
        <v>0</v>
      </c>
      <c r="P1275" t="str">
        <f t="shared" ca="1" si="115"/>
        <v>Red</v>
      </c>
      <c r="Q1275" s="36">
        <f t="shared" ca="1" si="116"/>
        <v>-104</v>
      </c>
      <c r="R1275" s="36" t="str">
        <f>""</f>
        <v/>
      </c>
      <c r="S1275" s="36" t="str">
        <f>""</f>
        <v/>
      </c>
      <c r="T1275" s="36" t="str">
        <f>""</f>
        <v/>
      </c>
      <c r="U1275" s="36" t="str">
        <f>""</f>
        <v/>
      </c>
      <c r="V1275" s="36" t="str">
        <f>""</f>
        <v/>
      </c>
      <c r="W1275" s="36">
        <f t="shared" si="117"/>
        <v>1</v>
      </c>
      <c r="X1275" t="str">
        <f t="shared" si="118"/>
        <v>Inactive</v>
      </c>
      <c r="Y1275" t="str">
        <f>IF(MAIN!$H$3="Selected Year",IF(A1275=MAIN!$B$3,"Yes","No"),IF(MAIN!$H$3="Included Years",IF(D1275="Yes","Yes","No"),IF(C1275="Yes","Yes","No")))</f>
        <v>No</v>
      </c>
      <c r="Z1275" t="str">
        <f>IF(MAIN!$F$3="Project to Date",IF(AND(A1275&gt;=SETTINGS!$B$4,A1275&lt;MAIN!$B$3),"Yes",IF(AND(A1275=MAIN!$B$3,E1275&lt;=MAIN!$L$3),"Yes","No")),IF(OR(MAIN!$F$3="Full Year",MAIN!$D$3="All"),"Yes",IF(MAIN!$F$3="Monthly",IF(E1275=MAIN!$L$3,"Yes","No"),IF(E1275&lt;=MAIN!$L$3,"Yes","No"))))</f>
        <v>Yes</v>
      </c>
      <c r="AA1275" t="str">
        <f t="shared" si="119"/>
        <v>No</v>
      </c>
    </row>
    <row r="1276" spans="1:27" x14ac:dyDescent="0.3">
      <c r="A1276">
        <f>INDEX(SETTINGS!$A$15:$A$24,$B1276)</f>
        <v>2030</v>
      </c>
      <c r="B1276">
        <v>6</v>
      </c>
      <c r="C1276" t="str">
        <f>IF(AND(A1276&gt;=SETTINGS!$B$4,A1276&lt;=SETTINGS!$B$5),"Yes","No")</f>
        <v>No</v>
      </c>
      <c r="D1276" t="str">
        <f>IFERROR(INDEX(SETTINGS!$C$15:$C$24,MATCH(A1276,SETTINGS!$A$15:$A$24,0)),"No")</f>
        <v>No</v>
      </c>
      <c r="E1276">
        <v>8</v>
      </c>
      <c r="F1276" t="s">
        <v>41</v>
      </c>
      <c r="G1276">
        <v>178</v>
      </c>
      <c r="H1276" t="s">
        <v>91</v>
      </c>
      <c r="I1276" t="s">
        <v>89</v>
      </c>
      <c r="J1276" t="s">
        <v>11</v>
      </c>
      <c r="K1276" t="s">
        <v>12</v>
      </c>
      <c r="L1276" s="36">
        <f ca="1">IF(C1276&lt;&gt;"Yes",0,IF(A1276=2025,N('2025'!D178),IF(A1276=2026,N('2026'!D178),IF(A1276=2027,N('2027'!D178),IF(A1276=2028,N('2028'!D178),IF(A1276=2029,N('2029'!D178),IF(A1276=2030,N('2030'!D178),IF(A1276=2031,N('2031'!D178),IF(A1276=2032,N('2032'!D178),IF(A1276=2033,N('2033'!D178),IF(A1276=2034,N('2034'!D178),IFERROR(N(INDIRECT("'"&amp;A1276&amp;"'!D"&amp;G1276)),0))))))))))))</f>
        <v>0</v>
      </c>
      <c r="M1276" s="36">
        <f>IFERROR(IF(NOT(ISBLANK(KPI_TARGETS!$L$6)),KPI_TARGETS!$L$6,IF(NOT(ISBLANK(KPI_TARGETS!$F$6)),KPI_TARGETS!$F$6,"")),"")</f>
        <v>4000</v>
      </c>
      <c r="N1276" s="36" t="str">
        <f>IFERROR(KPI_TARGETS!$E$6,"Higher is better")</f>
        <v>Higher is better</v>
      </c>
      <c r="O1276" s="37">
        <f t="shared" ca="1" si="114"/>
        <v>0</v>
      </c>
      <c r="P1276" t="str">
        <f t="shared" ca="1" si="115"/>
        <v>Red</v>
      </c>
      <c r="Q1276" s="36">
        <f t="shared" ca="1" si="116"/>
        <v>-4000</v>
      </c>
      <c r="R1276" s="36" t="str">
        <f>""</f>
        <v/>
      </c>
      <c r="S1276" s="36" t="str">
        <f>""</f>
        <v/>
      </c>
      <c r="T1276" s="36" t="str">
        <f>""</f>
        <v/>
      </c>
      <c r="U1276" s="36" t="str">
        <f>""</f>
        <v/>
      </c>
      <c r="V1276" s="36" t="str">
        <f>""</f>
        <v/>
      </c>
      <c r="W1276" s="36">
        <f t="shared" si="117"/>
        <v>1</v>
      </c>
      <c r="X1276" t="str">
        <f t="shared" si="118"/>
        <v>Inactive</v>
      </c>
      <c r="Y1276" t="str">
        <f>IF(MAIN!$H$3="Selected Year",IF(A1276=MAIN!$B$3,"Yes","No"),IF(MAIN!$H$3="Included Years",IF(D1276="Yes","Yes","No"),IF(C1276="Yes","Yes","No")))</f>
        <v>No</v>
      </c>
      <c r="Z1276" t="str">
        <f>IF(MAIN!$F$3="Project to Date",IF(AND(A1276&gt;=SETTINGS!$B$4,A1276&lt;MAIN!$B$3),"Yes",IF(AND(A1276=MAIN!$B$3,E1276&lt;=MAIN!$L$3),"Yes","No")),IF(OR(MAIN!$F$3="Full Year",MAIN!$D$3="All"),"Yes",IF(MAIN!$F$3="Monthly",IF(E1276=MAIN!$L$3,"Yes","No"),IF(E1276&lt;=MAIN!$L$3,"Yes","No"))))</f>
        <v>Yes</v>
      </c>
      <c r="AA1276" t="str">
        <f t="shared" si="119"/>
        <v>No</v>
      </c>
    </row>
    <row r="1277" spans="1:27" x14ac:dyDescent="0.3">
      <c r="A1277">
        <f>INDEX(SETTINGS!$A$15:$A$24,$B1277)</f>
        <v>2030</v>
      </c>
      <c r="B1277">
        <v>6</v>
      </c>
      <c r="C1277" t="str">
        <f>IF(AND(A1277&gt;=SETTINGS!$B$4,A1277&lt;=SETTINGS!$B$5),"Yes","No")</f>
        <v>No</v>
      </c>
      <c r="D1277" t="str">
        <f>IFERROR(INDEX(SETTINGS!$C$15:$C$24,MATCH(A1277,SETTINGS!$A$15:$A$24,0)),"No")</f>
        <v>No</v>
      </c>
      <c r="E1277">
        <v>8</v>
      </c>
      <c r="F1277" t="s">
        <v>41</v>
      </c>
      <c r="G1277">
        <v>179</v>
      </c>
      <c r="H1277" t="s">
        <v>93</v>
      </c>
      <c r="I1277" t="s">
        <v>89</v>
      </c>
      <c r="J1277" t="s">
        <v>13</v>
      </c>
      <c r="K1277" t="s">
        <v>14</v>
      </c>
      <c r="L1277" s="36">
        <f ca="1">IF(C1277&lt;&gt;"Yes",0,IF(A1277=2025,N('2025'!D179),IF(A1277=2026,N('2026'!D179),IF(A1277=2027,N('2027'!D179),IF(A1277=2028,N('2028'!D179),IF(A1277=2029,N('2029'!D179),IF(A1277=2030,N('2030'!D179),IF(A1277=2031,N('2031'!D179),IF(A1277=2032,N('2032'!D179),IF(A1277=2033,N('2033'!D179),IF(A1277=2034,N('2034'!D179),IFERROR(N(INDIRECT("'"&amp;A1277&amp;"'!D"&amp;G1277)),0))))))))))))</f>
        <v>0</v>
      </c>
      <c r="M1277" s="36">
        <f>IFERROR(IF(NOT(ISBLANK(KPI_TARGETS!$L$7)),KPI_TARGETS!$L$7,IF(NOT(ISBLANK(KPI_TARGETS!$F$7)),KPI_TARGETS!$F$7,"")),"")</f>
        <v>8000</v>
      </c>
      <c r="N1277" s="36" t="str">
        <f>IFERROR(KPI_TARGETS!$E$7,"Higher is better")</f>
        <v>Higher is better</v>
      </c>
      <c r="O1277" s="37">
        <f t="shared" ca="1" si="114"/>
        <v>0</v>
      </c>
      <c r="P1277" t="str">
        <f t="shared" ca="1" si="115"/>
        <v>Red</v>
      </c>
      <c r="Q1277" s="36">
        <f t="shared" ca="1" si="116"/>
        <v>-8000</v>
      </c>
      <c r="R1277" s="36" t="str">
        <f>""</f>
        <v/>
      </c>
      <c r="S1277" s="36" t="str">
        <f>""</f>
        <v/>
      </c>
      <c r="T1277" s="36" t="str">
        <f>""</f>
        <v/>
      </c>
      <c r="U1277" s="36" t="str">
        <f>""</f>
        <v/>
      </c>
      <c r="V1277" s="36" t="str">
        <f>""</f>
        <v/>
      </c>
      <c r="W1277" s="36">
        <f t="shared" si="117"/>
        <v>1</v>
      </c>
      <c r="X1277" t="str">
        <f t="shared" si="118"/>
        <v>Inactive</v>
      </c>
      <c r="Y1277" t="str">
        <f>IF(MAIN!$H$3="Selected Year",IF(A1277=MAIN!$B$3,"Yes","No"),IF(MAIN!$H$3="Included Years",IF(D1277="Yes","Yes","No"),IF(C1277="Yes","Yes","No")))</f>
        <v>No</v>
      </c>
      <c r="Z1277" t="str">
        <f>IF(MAIN!$F$3="Project to Date",IF(AND(A1277&gt;=SETTINGS!$B$4,A1277&lt;MAIN!$B$3),"Yes",IF(AND(A1277=MAIN!$B$3,E1277&lt;=MAIN!$L$3),"Yes","No")),IF(OR(MAIN!$F$3="Full Year",MAIN!$D$3="All"),"Yes",IF(MAIN!$F$3="Monthly",IF(E1277=MAIN!$L$3,"Yes","No"),IF(E1277&lt;=MAIN!$L$3,"Yes","No"))))</f>
        <v>Yes</v>
      </c>
      <c r="AA1277" t="str">
        <f t="shared" si="119"/>
        <v>No</v>
      </c>
    </row>
    <row r="1278" spans="1:27" x14ac:dyDescent="0.3">
      <c r="A1278">
        <f>INDEX(SETTINGS!$A$15:$A$24,$B1278)</f>
        <v>2030</v>
      </c>
      <c r="B1278">
        <v>6</v>
      </c>
      <c r="C1278" t="str">
        <f>IF(AND(A1278&gt;=SETTINGS!$B$4,A1278&lt;=SETTINGS!$B$5),"Yes","No")</f>
        <v>No</v>
      </c>
      <c r="D1278" t="str">
        <f>IFERROR(INDEX(SETTINGS!$C$15:$C$24,MATCH(A1278,SETTINGS!$A$15:$A$24,0)),"No")</f>
        <v>No</v>
      </c>
      <c r="E1278">
        <v>8</v>
      </c>
      <c r="F1278" t="s">
        <v>41</v>
      </c>
      <c r="G1278">
        <v>181</v>
      </c>
      <c r="H1278" t="s">
        <v>95</v>
      </c>
      <c r="I1278" t="s">
        <v>15</v>
      </c>
      <c r="J1278" t="s">
        <v>16</v>
      </c>
      <c r="K1278" t="s">
        <v>3</v>
      </c>
      <c r="L1278" s="36">
        <f ca="1">IF(C1278&lt;&gt;"Yes",0,IF(A1278=2025,N('2025'!D181),IF(A1278=2026,N('2026'!D181),IF(A1278=2027,N('2027'!D181),IF(A1278=2028,N('2028'!D181),IF(A1278=2029,N('2029'!D181),IF(A1278=2030,N('2030'!D181),IF(A1278=2031,N('2031'!D181),IF(A1278=2032,N('2032'!D181),IF(A1278=2033,N('2033'!D181),IF(A1278=2034,N('2034'!D181),IFERROR(N(INDIRECT("'"&amp;A1278&amp;"'!D"&amp;G1278)),0))))))))))))</f>
        <v>0</v>
      </c>
      <c r="M1278" s="36">
        <f>IFERROR(IF(NOT(ISBLANK(KPI_TARGETS!$L$8)),KPI_TARGETS!$L$8,IF(NOT(ISBLANK(KPI_TARGETS!$F$8)),KPI_TARGETS!$F$8,"")),"")</f>
        <v>0</v>
      </c>
      <c r="N1278" s="36" t="str">
        <f>IFERROR(KPI_TARGETS!$E$8,"Higher is better")</f>
        <v>Lower is better</v>
      </c>
      <c r="O1278" s="37">
        <f t="shared" ca="1" si="114"/>
        <v>1</v>
      </c>
      <c r="P1278" t="str">
        <f t="shared" ca="1" si="115"/>
        <v>Green</v>
      </c>
      <c r="Q1278" s="36">
        <f t="shared" ca="1" si="116"/>
        <v>0</v>
      </c>
      <c r="R1278" s="36" t="str">
        <f>""</f>
        <v/>
      </c>
      <c r="S1278" s="36" t="str">
        <f>""</f>
        <v/>
      </c>
      <c r="T1278" s="36" t="str">
        <f>""</f>
        <v/>
      </c>
      <c r="U1278" s="36" t="str">
        <f>""</f>
        <v/>
      </c>
      <c r="V1278" s="36" t="str">
        <f>""</f>
        <v/>
      </c>
      <c r="W1278" s="36">
        <f t="shared" si="117"/>
        <v>1</v>
      </c>
      <c r="X1278" t="str">
        <f t="shared" si="118"/>
        <v>Inactive</v>
      </c>
      <c r="Y1278" t="str">
        <f>IF(MAIN!$H$3="Selected Year",IF(A1278=MAIN!$B$3,"Yes","No"),IF(MAIN!$H$3="Included Years",IF(D1278="Yes","Yes","No"),IF(C1278="Yes","Yes","No")))</f>
        <v>No</v>
      </c>
      <c r="Z1278" t="str">
        <f>IF(MAIN!$F$3="Project to Date",IF(AND(A1278&gt;=SETTINGS!$B$4,A1278&lt;MAIN!$B$3),"Yes",IF(AND(A1278=MAIN!$B$3,E1278&lt;=MAIN!$L$3),"Yes","No")),IF(OR(MAIN!$F$3="Full Year",MAIN!$D$3="All"),"Yes",IF(MAIN!$F$3="Monthly",IF(E1278=MAIN!$L$3,"Yes","No"),IF(E1278&lt;=MAIN!$L$3,"Yes","No"))))</f>
        <v>Yes</v>
      </c>
      <c r="AA1278" t="str">
        <f t="shared" si="119"/>
        <v>No</v>
      </c>
    </row>
    <row r="1279" spans="1:27" x14ac:dyDescent="0.3">
      <c r="A1279">
        <f>INDEX(SETTINGS!$A$15:$A$24,$B1279)</f>
        <v>2030</v>
      </c>
      <c r="B1279">
        <v>6</v>
      </c>
      <c r="C1279" t="str">
        <f>IF(AND(A1279&gt;=SETTINGS!$B$4,A1279&lt;=SETTINGS!$B$5),"Yes","No")</f>
        <v>No</v>
      </c>
      <c r="D1279" t="str">
        <f>IFERROR(INDEX(SETTINGS!$C$15:$C$24,MATCH(A1279,SETTINGS!$A$15:$A$24,0)),"No")</f>
        <v>No</v>
      </c>
      <c r="E1279">
        <v>8</v>
      </c>
      <c r="F1279" t="s">
        <v>41</v>
      </c>
      <c r="G1279">
        <v>182</v>
      </c>
      <c r="H1279" t="s">
        <v>97</v>
      </c>
      <c r="I1279" t="s">
        <v>15</v>
      </c>
      <c r="J1279" t="s">
        <v>17</v>
      </c>
      <c r="K1279" t="s">
        <v>3</v>
      </c>
      <c r="L1279" s="36">
        <f ca="1">IF(C1279&lt;&gt;"Yes",0,IF(A1279=2025,N('2025'!D182),IF(A1279=2026,N('2026'!D182),IF(A1279=2027,N('2027'!D182),IF(A1279=2028,N('2028'!D182),IF(A1279=2029,N('2029'!D182),IF(A1279=2030,N('2030'!D182),IF(A1279=2031,N('2031'!D182),IF(A1279=2032,N('2032'!D182),IF(A1279=2033,N('2033'!D182),IF(A1279=2034,N('2034'!D182),IFERROR(N(INDIRECT("'"&amp;A1279&amp;"'!D"&amp;G1279)),0))))))))))))</f>
        <v>0</v>
      </c>
      <c r="M1279" s="36">
        <f>IFERROR(IF(NOT(ISBLANK(KPI_TARGETS!$L$9)),KPI_TARGETS!$L$9,IF(NOT(ISBLANK(KPI_TARGETS!$F$9)),KPI_TARGETS!$F$9,"")),"")</f>
        <v>0</v>
      </c>
      <c r="N1279" s="36" t="str">
        <f>IFERROR(KPI_TARGETS!$E$9,"Higher is better")</f>
        <v>Higher is better</v>
      </c>
      <c r="O1279" s="37" t="str">
        <f t="shared" ca="1" si="114"/>
        <v/>
      </c>
      <c r="P1279" t="str">
        <f t="shared" ca="1" si="115"/>
        <v>Green</v>
      </c>
      <c r="Q1279" s="36">
        <f t="shared" ca="1" si="116"/>
        <v>0</v>
      </c>
      <c r="R1279" s="36" t="str">
        <f>""</f>
        <v/>
      </c>
      <c r="S1279" s="36" t="str">
        <f>""</f>
        <v/>
      </c>
      <c r="T1279" s="36" t="str">
        <f>""</f>
        <v/>
      </c>
      <c r="U1279" s="36" t="str">
        <f>""</f>
        <v/>
      </c>
      <c r="V1279" s="36" t="str">
        <f>""</f>
        <v/>
      </c>
      <c r="W1279" s="36">
        <f t="shared" si="117"/>
        <v>1</v>
      </c>
      <c r="X1279" t="str">
        <f t="shared" si="118"/>
        <v>Inactive</v>
      </c>
      <c r="Y1279" t="str">
        <f>IF(MAIN!$H$3="Selected Year",IF(A1279=MAIN!$B$3,"Yes","No"),IF(MAIN!$H$3="Included Years",IF(D1279="Yes","Yes","No"),IF(C1279="Yes","Yes","No")))</f>
        <v>No</v>
      </c>
      <c r="Z1279" t="str">
        <f>IF(MAIN!$F$3="Project to Date",IF(AND(A1279&gt;=SETTINGS!$B$4,A1279&lt;MAIN!$B$3),"Yes",IF(AND(A1279=MAIN!$B$3,E1279&lt;=MAIN!$L$3),"Yes","No")),IF(OR(MAIN!$F$3="Full Year",MAIN!$D$3="All"),"Yes",IF(MAIN!$F$3="Monthly",IF(E1279=MAIN!$L$3,"Yes","No"),IF(E1279&lt;=MAIN!$L$3,"Yes","No"))))</f>
        <v>Yes</v>
      </c>
      <c r="AA1279" t="str">
        <f t="shared" si="119"/>
        <v>No</v>
      </c>
    </row>
    <row r="1280" spans="1:27" x14ac:dyDescent="0.3">
      <c r="A1280">
        <f>INDEX(SETTINGS!$A$15:$A$24,$B1280)</f>
        <v>2030</v>
      </c>
      <c r="B1280">
        <v>6</v>
      </c>
      <c r="C1280" t="str">
        <f>IF(AND(A1280&gt;=SETTINGS!$B$4,A1280&lt;=SETTINGS!$B$5),"Yes","No")</f>
        <v>No</v>
      </c>
      <c r="D1280" t="str">
        <f>IFERROR(INDEX(SETTINGS!$C$15:$C$24,MATCH(A1280,SETTINGS!$A$15:$A$24,0)),"No")</f>
        <v>No</v>
      </c>
      <c r="E1280">
        <v>8</v>
      </c>
      <c r="F1280" t="s">
        <v>41</v>
      </c>
      <c r="G1280">
        <v>183</v>
      </c>
      <c r="H1280" t="s">
        <v>99</v>
      </c>
      <c r="I1280" t="s">
        <v>15</v>
      </c>
      <c r="J1280" t="s">
        <v>18</v>
      </c>
      <c r="K1280" t="s">
        <v>3</v>
      </c>
      <c r="L1280" s="36">
        <f ca="1">IF(C1280&lt;&gt;"Yes",0,IF(A1280=2025,N('2025'!D183),IF(A1280=2026,N('2026'!D183),IF(A1280=2027,N('2027'!D183),IF(A1280=2028,N('2028'!D183),IF(A1280=2029,N('2029'!D183),IF(A1280=2030,N('2030'!D183),IF(A1280=2031,N('2031'!D183),IF(A1280=2032,N('2032'!D183),IF(A1280=2033,N('2033'!D183),IF(A1280=2034,N('2034'!D183),IFERROR(N(INDIRECT("'"&amp;A1280&amp;"'!D"&amp;G1280)),0))))))))))))</f>
        <v>0</v>
      </c>
      <c r="M1280" s="36">
        <f>IFERROR(IF(NOT(ISBLANK(KPI_TARGETS!$L$10)),KPI_TARGETS!$L$10,IF(NOT(ISBLANK(KPI_TARGETS!$F$10)),KPI_TARGETS!$F$10,"")),"")</f>
        <v>0</v>
      </c>
      <c r="N1280" s="36" t="str">
        <f>IFERROR(KPI_TARGETS!$E$10,"Higher is better")</f>
        <v>Lower is better</v>
      </c>
      <c r="O1280" s="37">
        <f t="shared" ca="1" si="114"/>
        <v>1</v>
      </c>
      <c r="P1280" t="str">
        <f t="shared" ca="1" si="115"/>
        <v>Green</v>
      </c>
      <c r="Q1280" s="36">
        <f t="shared" ca="1" si="116"/>
        <v>0</v>
      </c>
      <c r="R1280" s="36" t="str">
        <f>""</f>
        <v/>
      </c>
      <c r="S1280" s="36" t="str">
        <f>""</f>
        <v/>
      </c>
      <c r="T1280" s="36" t="str">
        <f>""</f>
        <v/>
      </c>
      <c r="U1280" s="36" t="str">
        <f>""</f>
        <v/>
      </c>
      <c r="V1280" s="36" t="str">
        <f>""</f>
        <v/>
      </c>
      <c r="W1280" s="36">
        <f t="shared" si="117"/>
        <v>1</v>
      </c>
      <c r="X1280" t="str">
        <f t="shared" si="118"/>
        <v>Inactive</v>
      </c>
      <c r="Y1280" t="str">
        <f>IF(MAIN!$H$3="Selected Year",IF(A1280=MAIN!$B$3,"Yes","No"),IF(MAIN!$H$3="Included Years",IF(D1280="Yes","Yes","No"),IF(C1280="Yes","Yes","No")))</f>
        <v>No</v>
      </c>
      <c r="Z1280" t="str">
        <f>IF(MAIN!$F$3="Project to Date",IF(AND(A1280&gt;=SETTINGS!$B$4,A1280&lt;MAIN!$B$3),"Yes",IF(AND(A1280=MAIN!$B$3,E1280&lt;=MAIN!$L$3),"Yes","No")),IF(OR(MAIN!$F$3="Full Year",MAIN!$D$3="All"),"Yes",IF(MAIN!$F$3="Monthly",IF(E1280=MAIN!$L$3,"Yes","No"),IF(E1280&lt;=MAIN!$L$3,"Yes","No"))))</f>
        <v>Yes</v>
      </c>
      <c r="AA1280" t="str">
        <f t="shared" si="119"/>
        <v>No</v>
      </c>
    </row>
    <row r="1281" spans="1:27" x14ac:dyDescent="0.3">
      <c r="A1281">
        <f>INDEX(SETTINGS!$A$15:$A$24,$B1281)</f>
        <v>2030</v>
      </c>
      <c r="B1281">
        <v>6</v>
      </c>
      <c r="C1281" t="str">
        <f>IF(AND(A1281&gt;=SETTINGS!$B$4,A1281&lt;=SETTINGS!$B$5),"Yes","No")</f>
        <v>No</v>
      </c>
      <c r="D1281" t="str">
        <f>IFERROR(INDEX(SETTINGS!$C$15:$C$24,MATCH(A1281,SETTINGS!$A$15:$A$24,0)),"No")</f>
        <v>No</v>
      </c>
      <c r="E1281">
        <v>8</v>
      </c>
      <c r="F1281" t="s">
        <v>41</v>
      </c>
      <c r="G1281">
        <v>184</v>
      </c>
      <c r="H1281" t="s">
        <v>100</v>
      </c>
      <c r="I1281" t="s">
        <v>15</v>
      </c>
      <c r="J1281" t="s">
        <v>19</v>
      </c>
      <c r="K1281" t="s">
        <v>3</v>
      </c>
      <c r="L1281" s="36">
        <f ca="1">IF(C1281&lt;&gt;"Yes",0,IF(A1281=2025,N('2025'!D184),IF(A1281=2026,N('2026'!D184),IF(A1281=2027,N('2027'!D184),IF(A1281=2028,N('2028'!D184),IF(A1281=2029,N('2029'!D184),IF(A1281=2030,N('2030'!D184),IF(A1281=2031,N('2031'!D184),IF(A1281=2032,N('2032'!D184),IF(A1281=2033,N('2033'!D184),IF(A1281=2034,N('2034'!D184),IFERROR(N(INDIRECT("'"&amp;A1281&amp;"'!D"&amp;G1281)),0))))))))))))</f>
        <v>0</v>
      </c>
      <c r="M1281" s="36">
        <f>IFERROR(IF(NOT(ISBLANK(KPI_TARGETS!$L$11)),KPI_TARGETS!$L$11,IF(NOT(ISBLANK(KPI_TARGETS!$F$11)),KPI_TARGETS!$F$11,"")),"")</f>
        <v>0</v>
      </c>
      <c r="N1281" s="36" t="str">
        <f>IFERROR(KPI_TARGETS!$E$11,"Higher is better")</f>
        <v>Lower is better</v>
      </c>
      <c r="O1281" s="37">
        <f t="shared" ca="1" si="114"/>
        <v>1</v>
      </c>
      <c r="P1281" t="str">
        <f t="shared" ca="1" si="115"/>
        <v>Green</v>
      </c>
      <c r="Q1281" s="36">
        <f t="shared" ca="1" si="116"/>
        <v>0</v>
      </c>
      <c r="R1281" s="36" t="str">
        <f>""</f>
        <v/>
      </c>
      <c r="S1281" s="36" t="str">
        <f>""</f>
        <v/>
      </c>
      <c r="T1281" s="36" t="str">
        <f>""</f>
        <v/>
      </c>
      <c r="U1281" s="36" t="str">
        <f>""</f>
        <v/>
      </c>
      <c r="V1281" s="36" t="str">
        <f>""</f>
        <v/>
      </c>
      <c r="W1281" s="36">
        <f t="shared" si="117"/>
        <v>1</v>
      </c>
      <c r="X1281" t="str">
        <f t="shared" si="118"/>
        <v>Inactive</v>
      </c>
      <c r="Y1281" t="str">
        <f>IF(MAIN!$H$3="Selected Year",IF(A1281=MAIN!$B$3,"Yes","No"),IF(MAIN!$H$3="Included Years",IF(D1281="Yes","Yes","No"),IF(C1281="Yes","Yes","No")))</f>
        <v>No</v>
      </c>
      <c r="Z1281" t="str">
        <f>IF(MAIN!$F$3="Project to Date",IF(AND(A1281&gt;=SETTINGS!$B$4,A1281&lt;MAIN!$B$3),"Yes",IF(AND(A1281=MAIN!$B$3,E1281&lt;=MAIN!$L$3),"Yes","No")),IF(OR(MAIN!$F$3="Full Year",MAIN!$D$3="All"),"Yes",IF(MAIN!$F$3="Monthly",IF(E1281=MAIN!$L$3,"Yes","No"),IF(E1281&lt;=MAIN!$L$3,"Yes","No"))))</f>
        <v>Yes</v>
      </c>
      <c r="AA1281" t="str">
        <f t="shared" si="119"/>
        <v>No</v>
      </c>
    </row>
    <row r="1282" spans="1:27" x14ac:dyDescent="0.3">
      <c r="A1282">
        <f>INDEX(SETTINGS!$A$15:$A$24,$B1282)</f>
        <v>2030</v>
      </c>
      <c r="B1282">
        <v>6</v>
      </c>
      <c r="C1282" t="str">
        <f>IF(AND(A1282&gt;=SETTINGS!$B$4,A1282&lt;=SETTINGS!$B$5),"Yes","No")</f>
        <v>No</v>
      </c>
      <c r="D1282" t="str">
        <f>IFERROR(INDEX(SETTINGS!$C$15:$C$24,MATCH(A1282,SETTINGS!$A$15:$A$24,0)),"No")</f>
        <v>No</v>
      </c>
      <c r="E1282">
        <v>8</v>
      </c>
      <c r="F1282" t="s">
        <v>41</v>
      </c>
      <c r="G1282">
        <v>185</v>
      </c>
      <c r="H1282" t="s">
        <v>101</v>
      </c>
      <c r="I1282" t="s">
        <v>15</v>
      </c>
      <c r="J1282" t="s">
        <v>20</v>
      </c>
      <c r="K1282" t="s">
        <v>3</v>
      </c>
      <c r="L1282" s="36">
        <f ca="1">IF(C1282&lt;&gt;"Yes",0,IF(A1282=2025,N('2025'!D185),IF(A1282=2026,N('2026'!D185),IF(A1282=2027,N('2027'!D185),IF(A1282=2028,N('2028'!D185),IF(A1282=2029,N('2029'!D185),IF(A1282=2030,N('2030'!D185),IF(A1282=2031,N('2031'!D185),IF(A1282=2032,N('2032'!D185),IF(A1282=2033,N('2033'!D185),IF(A1282=2034,N('2034'!D185),IFERROR(N(INDIRECT("'"&amp;A1282&amp;"'!D"&amp;G1282)),0))))))))))))</f>
        <v>0</v>
      </c>
      <c r="M1282" s="36">
        <f>IFERROR(IF(NOT(ISBLANK(KPI_TARGETS!$L$12)),KPI_TARGETS!$L$12,IF(NOT(ISBLANK(KPI_TARGETS!$F$12)),KPI_TARGETS!$F$12,"")),"")</f>
        <v>0</v>
      </c>
      <c r="N1282" s="36" t="str">
        <f>IFERROR(KPI_TARGETS!$E$12,"Higher is better")</f>
        <v>Lower is better</v>
      </c>
      <c r="O1282" s="37">
        <f t="shared" ref="O1282:O1345" ca="1" si="120">IF(M1282="","",IF(N1282="Higher is better",IFERROR(L1282/M1282,""),IF(L1282=0,1,IFERROR(M1282/L1282,""))))</f>
        <v>1</v>
      </c>
      <c r="P1282" t="str">
        <f t="shared" ref="P1282:P1345" ca="1" si="121">IF(M1282="","Target Needed",IF(N1282="Higher is better",IF(L1282&gt;=M1282,"Green",IF(L1282&gt;=0.8*M1282,"Amber","Red")),IF(M1282=0,IF(L1282=0,"Green","Red"),IF(L1282&lt;=M1282,"Green",IF(L1282&lt;=1.25*M1282,"Amber","Red")))))</f>
        <v>Green</v>
      </c>
      <c r="Q1282" s="36">
        <f t="shared" ref="Q1282:Q1345" ca="1" si="122">IF(M1282="","",IF(N1282="Higher is better",L1282-M1282,M1282-L1282))</f>
        <v>0</v>
      </c>
      <c r="R1282" s="36" t="str">
        <f>""</f>
        <v/>
      </c>
      <c r="S1282" s="36" t="str">
        <f>""</f>
        <v/>
      </c>
      <c r="T1282" s="36" t="str">
        <f>""</f>
        <v/>
      </c>
      <c r="U1282" s="36" t="str">
        <f>""</f>
        <v/>
      </c>
      <c r="V1282" s="36" t="str">
        <f>""</f>
        <v/>
      </c>
      <c r="W1282" s="36">
        <f t="shared" ref="W1282:W1345" si="123">IF(LEN(M1282&amp;"")&gt;0,1,0)</f>
        <v>1</v>
      </c>
      <c r="X1282" t="str">
        <f t="shared" ref="X1282:X1345" si="124">IF(C1282&lt;&gt;"Yes","Inactive",IF(M1282="","Missing target","OK"))</f>
        <v>Inactive</v>
      </c>
      <c r="Y1282" t="str">
        <f>IF(MAIN!$H$3="Selected Year",IF(A1282=MAIN!$B$3,"Yes","No"),IF(MAIN!$H$3="Included Years",IF(D1282="Yes","Yes","No"),IF(C1282="Yes","Yes","No")))</f>
        <v>No</v>
      </c>
      <c r="Z1282" t="str">
        <f>IF(MAIN!$F$3="Project to Date",IF(AND(A1282&gt;=SETTINGS!$B$4,A1282&lt;MAIN!$B$3),"Yes",IF(AND(A1282=MAIN!$B$3,E1282&lt;=MAIN!$L$3),"Yes","No")),IF(OR(MAIN!$F$3="Full Year",MAIN!$D$3="All"),"Yes",IF(MAIN!$F$3="Monthly",IF(E1282=MAIN!$L$3,"Yes","No"),IF(E1282&lt;=MAIN!$L$3,"Yes","No"))))</f>
        <v>Yes</v>
      </c>
      <c r="AA1282" t="str">
        <f t="shared" ref="AA1282:AA1345" si="125">IF(AND(Y1282="Yes",Z1282="Yes"),"Yes","No")</f>
        <v>No</v>
      </c>
    </row>
    <row r="1283" spans="1:27" x14ac:dyDescent="0.3">
      <c r="A1283">
        <f>INDEX(SETTINGS!$A$15:$A$24,$B1283)</f>
        <v>2030</v>
      </c>
      <c r="B1283">
        <v>6</v>
      </c>
      <c r="C1283" t="str">
        <f>IF(AND(A1283&gt;=SETTINGS!$B$4,A1283&lt;=SETTINGS!$B$5),"Yes","No")</f>
        <v>No</v>
      </c>
      <c r="D1283" t="str">
        <f>IFERROR(INDEX(SETTINGS!$C$15:$C$24,MATCH(A1283,SETTINGS!$A$15:$A$24,0)),"No")</f>
        <v>No</v>
      </c>
      <c r="E1283">
        <v>8</v>
      </c>
      <c r="F1283" t="s">
        <v>41</v>
      </c>
      <c r="G1283">
        <v>186</v>
      </c>
      <c r="H1283" t="s">
        <v>102</v>
      </c>
      <c r="I1283" t="s">
        <v>15</v>
      </c>
      <c r="J1283" t="s">
        <v>21</v>
      </c>
      <c r="K1283" t="s">
        <v>3</v>
      </c>
      <c r="L1283" s="36">
        <f ca="1">IF(C1283&lt;&gt;"Yes",0,IF(A1283=2025,N('2025'!D186),IF(A1283=2026,N('2026'!D186),IF(A1283=2027,N('2027'!D186),IF(A1283=2028,N('2028'!D186),IF(A1283=2029,N('2029'!D186),IF(A1283=2030,N('2030'!D186),IF(A1283=2031,N('2031'!D186),IF(A1283=2032,N('2032'!D186),IF(A1283=2033,N('2033'!D186),IF(A1283=2034,N('2034'!D186),IFERROR(N(INDIRECT("'"&amp;A1283&amp;"'!D"&amp;G1283)),0))))))))))))</f>
        <v>0</v>
      </c>
      <c r="M1283" s="36">
        <f>IFERROR(IF(NOT(ISBLANK(KPI_TARGETS!$L$13)),KPI_TARGETS!$L$13,IF(NOT(ISBLANK(KPI_TARGETS!$F$13)),KPI_TARGETS!$F$13,"")),"")</f>
        <v>0</v>
      </c>
      <c r="N1283" s="36" t="str">
        <f>IFERROR(KPI_TARGETS!$E$13,"Higher is better")</f>
        <v>Lower is better</v>
      </c>
      <c r="O1283" s="37">
        <f t="shared" ca="1" si="120"/>
        <v>1</v>
      </c>
      <c r="P1283" t="str">
        <f t="shared" ca="1" si="121"/>
        <v>Green</v>
      </c>
      <c r="Q1283" s="36">
        <f t="shared" ca="1" si="122"/>
        <v>0</v>
      </c>
      <c r="R1283" s="36" t="str">
        <f>""</f>
        <v/>
      </c>
      <c r="S1283" s="36" t="str">
        <f>""</f>
        <v/>
      </c>
      <c r="T1283" s="36" t="str">
        <f>""</f>
        <v/>
      </c>
      <c r="U1283" s="36" t="str">
        <f>""</f>
        <v/>
      </c>
      <c r="V1283" s="36" t="str">
        <f>""</f>
        <v/>
      </c>
      <c r="W1283" s="36">
        <f t="shared" si="123"/>
        <v>1</v>
      </c>
      <c r="X1283" t="str">
        <f t="shared" si="124"/>
        <v>Inactive</v>
      </c>
      <c r="Y1283" t="str">
        <f>IF(MAIN!$H$3="Selected Year",IF(A1283=MAIN!$B$3,"Yes","No"),IF(MAIN!$H$3="Included Years",IF(D1283="Yes","Yes","No"),IF(C1283="Yes","Yes","No")))</f>
        <v>No</v>
      </c>
      <c r="Z1283" t="str">
        <f>IF(MAIN!$F$3="Project to Date",IF(AND(A1283&gt;=SETTINGS!$B$4,A1283&lt;MAIN!$B$3),"Yes",IF(AND(A1283=MAIN!$B$3,E1283&lt;=MAIN!$L$3),"Yes","No")),IF(OR(MAIN!$F$3="Full Year",MAIN!$D$3="All"),"Yes",IF(MAIN!$F$3="Monthly",IF(E1283=MAIN!$L$3,"Yes","No"),IF(E1283&lt;=MAIN!$L$3,"Yes","No"))))</f>
        <v>Yes</v>
      </c>
      <c r="AA1283" t="str">
        <f t="shared" si="125"/>
        <v>No</v>
      </c>
    </row>
    <row r="1284" spans="1:27" x14ac:dyDescent="0.3">
      <c r="A1284">
        <f>INDEX(SETTINGS!$A$15:$A$24,$B1284)</f>
        <v>2030</v>
      </c>
      <c r="B1284">
        <v>6</v>
      </c>
      <c r="C1284" t="str">
        <f>IF(AND(A1284&gt;=SETTINGS!$B$4,A1284&lt;=SETTINGS!$B$5),"Yes","No")</f>
        <v>No</v>
      </c>
      <c r="D1284" t="str">
        <f>IFERROR(INDEX(SETTINGS!$C$15:$C$24,MATCH(A1284,SETTINGS!$A$15:$A$24,0)),"No")</f>
        <v>No</v>
      </c>
      <c r="E1284">
        <v>8</v>
      </c>
      <c r="F1284" t="s">
        <v>41</v>
      </c>
      <c r="G1284">
        <v>188</v>
      </c>
      <c r="H1284" t="s">
        <v>103</v>
      </c>
      <c r="I1284" t="s">
        <v>22</v>
      </c>
      <c r="J1284" t="s">
        <v>23</v>
      </c>
      <c r="K1284" t="s">
        <v>3</v>
      </c>
      <c r="L1284" s="36">
        <f ca="1">IF(C1284&lt;&gt;"Yes",0,IF(A1284=2025,N('2025'!D188),IF(A1284=2026,N('2026'!D188),IF(A1284=2027,N('2027'!D188),IF(A1284=2028,N('2028'!D188),IF(A1284=2029,N('2029'!D188),IF(A1284=2030,N('2030'!D188),IF(A1284=2031,N('2031'!D188),IF(A1284=2032,N('2032'!D188),IF(A1284=2033,N('2033'!D188),IF(A1284=2034,N('2034'!D188),IFERROR(N(INDIRECT("'"&amp;A1284&amp;"'!D"&amp;G1284)),0))))))))))))</f>
        <v>0</v>
      </c>
      <c r="M1284" s="36">
        <f>IFERROR(IF(NOT(ISBLANK(KPI_TARGETS!$L$14)),KPI_TARGETS!$L$14,IF(NOT(ISBLANK(KPI_TARGETS!$F$14)),KPI_TARGETS!$F$14,"")),"")</f>
        <v>35</v>
      </c>
      <c r="N1284" s="36" t="str">
        <f>IFERROR(KPI_TARGETS!$E$14,"Higher is better")</f>
        <v>Higher is better</v>
      </c>
      <c r="O1284" s="37">
        <f t="shared" ca="1" si="120"/>
        <v>0</v>
      </c>
      <c r="P1284" t="str">
        <f t="shared" ca="1" si="121"/>
        <v>Red</v>
      </c>
      <c r="Q1284" s="36">
        <f t="shared" ca="1" si="122"/>
        <v>-35</v>
      </c>
      <c r="R1284" s="36" t="str">
        <f>""</f>
        <v/>
      </c>
      <c r="S1284" s="36" t="str">
        <f>""</f>
        <v/>
      </c>
      <c r="T1284" s="36" t="str">
        <f>""</f>
        <v/>
      </c>
      <c r="U1284" s="36" t="str">
        <f>""</f>
        <v/>
      </c>
      <c r="V1284" s="36" t="str">
        <f>""</f>
        <v/>
      </c>
      <c r="W1284" s="36">
        <f t="shared" si="123"/>
        <v>1</v>
      </c>
      <c r="X1284" t="str">
        <f t="shared" si="124"/>
        <v>Inactive</v>
      </c>
      <c r="Y1284" t="str">
        <f>IF(MAIN!$H$3="Selected Year",IF(A1284=MAIN!$B$3,"Yes","No"),IF(MAIN!$H$3="Included Years",IF(D1284="Yes","Yes","No"),IF(C1284="Yes","Yes","No")))</f>
        <v>No</v>
      </c>
      <c r="Z1284" t="str">
        <f>IF(MAIN!$F$3="Project to Date",IF(AND(A1284&gt;=SETTINGS!$B$4,A1284&lt;MAIN!$B$3),"Yes",IF(AND(A1284=MAIN!$B$3,E1284&lt;=MAIN!$L$3),"Yes","No")),IF(OR(MAIN!$F$3="Full Year",MAIN!$D$3="All"),"Yes",IF(MAIN!$F$3="Monthly",IF(E1284=MAIN!$L$3,"Yes","No"),IF(E1284&lt;=MAIN!$L$3,"Yes","No"))))</f>
        <v>Yes</v>
      </c>
      <c r="AA1284" t="str">
        <f t="shared" si="125"/>
        <v>No</v>
      </c>
    </row>
    <row r="1285" spans="1:27" x14ac:dyDescent="0.3">
      <c r="A1285">
        <f>INDEX(SETTINGS!$A$15:$A$24,$B1285)</f>
        <v>2030</v>
      </c>
      <c r="B1285">
        <v>6</v>
      </c>
      <c r="C1285" t="str">
        <f>IF(AND(A1285&gt;=SETTINGS!$B$4,A1285&lt;=SETTINGS!$B$5),"Yes","No")</f>
        <v>No</v>
      </c>
      <c r="D1285" t="str">
        <f>IFERROR(INDEX(SETTINGS!$C$15:$C$24,MATCH(A1285,SETTINGS!$A$15:$A$24,0)),"No")</f>
        <v>No</v>
      </c>
      <c r="E1285">
        <v>8</v>
      </c>
      <c r="F1285" t="s">
        <v>41</v>
      </c>
      <c r="G1285">
        <v>189</v>
      </c>
      <c r="H1285" t="s">
        <v>104</v>
      </c>
      <c r="I1285" t="s">
        <v>22</v>
      </c>
      <c r="J1285" t="s">
        <v>24</v>
      </c>
      <c r="K1285" t="s">
        <v>3</v>
      </c>
      <c r="L1285" s="36">
        <f ca="1">IF(C1285&lt;&gt;"Yes",0,IF(A1285=2025,N('2025'!D189),IF(A1285=2026,N('2026'!D189),IF(A1285=2027,N('2027'!D189),IF(A1285=2028,N('2028'!D189),IF(A1285=2029,N('2029'!D189),IF(A1285=2030,N('2030'!D189),IF(A1285=2031,N('2031'!D189),IF(A1285=2032,N('2032'!D189),IF(A1285=2033,N('2033'!D189),IF(A1285=2034,N('2034'!D189),IFERROR(N(INDIRECT("'"&amp;A1285&amp;"'!D"&amp;G1285)),0))))))))))))</f>
        <v>0</v>
      </c>
      <c r="M1285" s="36">
        <f>IFERROR(IF(NOT(ISBLANK(KPI_TARGETS!$L$15)),KPI_TARGETS!$L$15,IF(NOT(ISBLANK(KPI_TARGETS!$F$15)),KPI_TARGETS!$F$15,"")),"")</f>
        <v>5</v>
      </c>
      <c r="N1285" s="36" t="str">
        <f>IFERROR(KPI_TARGETS!$E$15,"Higher is better")</f>
        <v>Higher is better</v>
      </c>
      <c r="O1285" s="37">
        <f t="shared" ca="1" si="120"/>
        <v>0</v>
      </c>
      <c r="P1285" t="str">
        <f t="shared" ca="1" si="121"/>
        <v>Red</v>
      </c>
      <c r="Q1285" s="36">
        <f t="shared" ca="1" si="122"/>
        <v>-5</v>
      </c>
      <c r="R1285" s="36" t="str">
        <f>""</f>
        <v/>
      </c>
      <c r="S1285" s="36" t="str">
        <f>""</f>
        <v/>
      </c>
      <c r="T1285" s="36" t="str">
        <f>""</f>
        <v/>
      </c>
      <c r="U1285" s="36" t="str">
        <f>""</f>
        <v/>
      </c>
      <c r="V1285" s="36" t="str">
        <f>""</f>
        <v/>
      </c>
      <c r="W1285" s="36">
        <f t="shared" si="123"/>
        <v>1</v>
      </c>
      <c r="X1285" t="str">
        <f t="shared" si="124"/>
        <v>Inactive</v>
      </c>
      <c r="Y1285" t="str">
        <f>IF(MAIN!$H$3="Selected Year",IF(A1285=MAIN!$B$3,"Yes","No"),IF(MAIN!$H$3="Included Years",IF(D1285="Yes","Yes","No"),IF(C1285="Yes","Yes","No")))</f>
        <v>No</v>
      </c>
      <c r="Z1285" t="str">
        <f>IF(MAIN!$F$3="Project to Date",IF(AND(A1285&gt;=SETTINGS!$B$4,A1285&lt;MAIN!$B$3),"Yes",IF(AND(A1285=MAIN!$B$3,E1285&lt;=MAIN!$L$3),"Yes","No")),IF(OR(MAIN!$F$3="Full Year",MAIN!$D$3="All"),"Yes",IF(MAIN!$F$3="Monthly",IF(E1285=MAIN!$L$3,"Yes","No"),IF(E1285&lt;=MAIN!$L$3,"Yes","No"))))</f>
        <v>Yes</v>
      </c>
      <c r="AA1285" t="str">
        <f t="shared" si="125"/>
        <v>No</v>
      </c>
    </row>
    <row r="1286" spans="1:27" x14ac:dyDescent="0.3">
      <c r="A1286">
        <f>INDEX(SETTINGS!$A$15:$A$24,$B1286)</f>
        <v>2030</v>
      </c>
      <c r="B1286">
        <v>6</v>
      </c>
      <c r="C1286" t="str">
        <f>IF(AND(A1286&gt;=SETTINGS!$B$4,A1286&lt;=SETTINGS!$B$5),"Yes","No")</f>
        <v>No</v>
      </c>
      <c r="D1286" t="str">
        <f>IFERROR(INDEX(SETTINGS!$C$15:$C$24,MATCH(A1286,SETTINGS!$A$15:$A$24,0)),"No")</f>
        <v>No</v>
      </c>
      <c r="E1286">
        <v>8</v>
      </c>
      <c r="F1286" t="s">
        <v>41</v>
      </c>
      <c r="G1286">
        <v>190</v>
      </c>
      <c r="H1286" t="s">
        <v>105</v>
      </c>
      <c r="I1286" t="s">
        <v>22</v>
      </c>
      <c r="J1286" t="s">
        <v>25</v>
      </c>
      <c r="K1286" t="s">
        <v>3</v>
      </c>
      <c r="L1286" s="36">
        <f ca="1">IF(C1286&lt;&gt;"Yes",0,IF(A1286=2025,N('2025'!D190),IF(A1286=2026,N('2026'!D190),IF(A1286=2027,N('2027'!D190),IF(A1286=2028,N('2028'!D190),IF(A1286=2029,N('2029'!D190),IF(A1286=2030,N('2030'!D190),IF(A1286=2031,N('2031'!D190),IF(A1286=2032,N('2032'!D190),IF(A1286=2033,N('2033'!D190),IF(A1286=2034,N('2034'!D190),IFERROR(N(INDIRECT("'"&amp;A1286&amp;"'!D"&amp;G1286)),0))))))))))))</f>
        <v>0</v>
      </c>
      <c r="M1286" s="36">
        <f>IFERROR(IF(NOT(ISBLANK(KPI_TARGETS!$L$16)),KPI_TARGETS!$L$16,IF(NOT(ISBLANK(KPI_TARGETS!$F$16)),KPI_TARGETS!$F$16,"")),"")</f>
        <v>4</v>
      </c>
      <c r="N1286" s="36" t="str">
        <f>IFERROR(KPI_TARGETS!$E$16,"Higher is better")</f>
        <v>Higher is better</v>
      </c>
      <c r="O1286" s="37">
        <f t="shared" ca="1" si="120"/>
        <v>0</v>
      </c>
      <c r="P1286" t="str">
        <f t="shared" ca="1" si="121"/>
        <v>Red</v>
      </c>
      <c r="Q1286" s="36">
        <f t="shared" ca="1" si="122"/>
        <v>-4</v>
      </c>
      <c r="R1286" s="36" t="str">
        <f>""</f>
        <v/>
      </c>
      <c r="S1286" s="36" t="str">
        <f>""</f>
        <v/>
      </c>
      <c r="T1286" s="36" t="str">
        <f>""</f>
        <v/>
      </c>
      <c r="U1286" s="36" t="str">
        <f>""</f>
        <v/>
      </c>
      <c r="V1286" s="36" t="str">
        <f>""</f>
        <v/>
      </c>
      <c r="W1286" s="36">
        <f t="shared" si="123"/>
        <v>1</v>
      </c>
      <c r="X1286" t="str">
        <f t="shared" si="124"/>
        <v>Inactive</v>
      </c>
      <c r="Y1286" t="str">
        <f>IF(MAIN!$H$3="Selected Year",IF(A1286=MAIN!$B$3,"Yes","No"),IF(MAIN!$H$3="Included Years",IF(D1286="Yes","Yes","No"),IF(C1286="Yes","Yes","No")))</f>
        <v>No</v>
      </c>
      <c r="Z1286" t="str">
        <f>IF(MAIN!$F$3="Project to Date",IF(AND(A1286&gt;=SETTINGS!$B$4,A1286&lt;MAIN!$B$3),"Yes",IF(AND(A1286=MAIN!$B$3,E1286&lt;=MAIN!$L$3),"Yes","No")),IF(OR(MAIN!$F$3="Full Year",MAIN!$D$3="All"),"Yes",IF(MAIN!$F$3="Monthly",IF(E1286=MAIN!$L$3,"Yes","No"),IF(E1286&lt;=MAIN!$L$3,"Yes","No"))))</f>
        <v>Yes</v>
      </c>
      <c r="AA1286" t="str">
        <f t="shared" si="125"/>
        <v>No</v>
      </c>
    </row>
    <row r="1287" spans="1:27" x14ac:dyDescent="0.3">
      <c r="A1287">
        <f>INDEX(SETTINGS!$A$15:$A$24,$B1287)</f>
        <v>2030</v>
      </c>
      <c r="B1287">
        <v>6</v>
      </c>
      <c r="C1287" t="str">
        <f>IF(AND(A1287&gt;=SETTINGS!$B$4,A1287&lt;=SETTINGS!$B$5),"Yes","No")</f>
        <v>No</v>
      </c>
      <c r="D1287" t="str">
        <f>IFERROR(INDEX(SETTINGS!$C$15:$C$24,MATCH(A1287,SETTINGS!$A$15:$A$24,0)),"No")</f>
        <v>No</v>
      </c>
      <c r="E1287">
        <v>8</v>
      </c>
      <c r="F1287" t="s">
        <v>41</v>
      </c>
      <c r="G1287">
        <v>191</v>
      </c>
      <c r="H1287" t="s">
        <v>106</v>
      </c>
      <c r="I1287" t="s">
        <v>22</v>
      </c>
      <c r="J1287" t="s">
        <v>26</v>
      </c>
      <c r="K1287" t="s">
        <v>3</v>
      </c>
      <c r="L1287" s="36">
        <f ca="1">IF(C1287&lt;&gt;"Yes",0,IF(A1287=2025,N('2025'!D191),IF(A1287=2026,N('2026'!D191),IF(A1287=2027,N('2027'!D191),IF(A1287=2028,N('2028'!D191),IF(A1287=2029,N('2029'!D191),IF(A1287=2030,N('2030'!D191),IF(A1287=2031,N('2031'!D191),IF(A1287=2032,N('2032'!D191),IF(A1287=2033,N('2033'!D191),IF(A1287=2034,N('2034'!D191),IFERROR(N(INDIRECT("'"&amp;A1287&amp;"'!D"&amp;G1287)),0))))))))))))</f>
        <v>0</v>
      </c>
      <c r="M1287" s="36">
        <f>IFERROR(IF(NOT(ISBLANK(KPI_TARGETS!$L$17)),KPI_TARGETS!$L$17,IF(NOT(ISBLANK(KPI_TARGETS!$F$17)),KPI_TARGETS!$F$17,"")),"")</f>
        <v>12</v>
      </c>
      <c r="N1287" s="36" t="str">
        <f>IFERROR(KPI_TARGETS!$E$17,"Higher is better")</f>
        <v>Higher is better</v>
      </c>
      <c r="O1287" s="37">
        <f t="shared" ca="1" si="120"/>
        <v>0</v>
      </c>
      <c r="P1287" t="str">
        <f t="shared" ca="1" si="121"/>
        <v>Red</v>
      </c>
      <c r="Q1287" s="36">
        <f t="shared" ca="1" si="122"/>
        <v>-12</v>
      </c>
      <c r="R1287" s="36" t="str">
        <f>""</f>
        <v/>
      </c>
      <c r="S1287" s="36" t="str">
        <f>""</f>
        <v/>
      </c>
      <c r="T1287" s="36" t="str">
        <f>""</f>
        <v/>
      </c>
      <c r="U1287" s="36" t="str">
        <f>""</f>
        <v/>
      </c>
      <c r="V1287" s="36" t="str">
        <f>""</f>
        <v/>
      </c>
      <c r="W1287" s="36">
        <f t="shared" si="123"/>
        <v>1</v>
      </c>
      <c r="X1287" t="str">
        <f t="shared" si="124"/>
        <v>Inactive</v>
      </c>
      <c r="Y1287" t="str">
        <f>IF(MAIN!$H$3="Selected Year",IF(A1287=MAIN!$B$3,"Yes","No"),IF(MAIN!$H$3="Included Years",IF(D1287="Yes","Yes","No"),IF(C1287="Yes","Yes","No")))</f>
        <v>No</v>
      </c>
      <c r="Z1287" t="str">
        <f>IF(MAIN!$F$3="Project to Date",IF(AND(A1287&gt;=SETTINGS!$B$4,A1287&lt;MAIN!$B$3),"Yes",IF(AND(A1287=MAIN!$B$3,E1287&lt;=MAIN!$L$3),"Yes","No")),IF(OR(MAIN!$F$3="Full Year",MAIN!$D$3="All"),"Yes",IF(MAIN!$F$3="Monthly",IF(E1287=MAIN!$L$3,"Yes","No"),IF(E1287&lt;=MAIN!$L$3,"Yes","No"))))</f>
        <v>Yes</v>
      </c>
      <c r="AA1287" t="str">
        <f t="shared" si="125"/>
        <v>No</v>
      </c>
    </row>
    <row r="1288" spans="1:27" x14ac:dyDescent="0.3">
      <c r="A1288">
        <f>INDEX(SETTINGS!$A$15:$A$24,$B1288)</f>
        <v>2030</v>
      </c>
      <c r="B1288">
        <v>6</v>
      </c>
      <c r="C1288" t="str">
        <f>IF(AND(A1288&gt;=SETTINGS!$B$4,A1288&lt;=SETTINGS!$B$5),"Yes","No")</f>
        <v>No</v>
      </c>
      <c r="D1288" t="str">
        <f>IFERROR(INDEX(SETTINGS!$C$15:$C$24,MATCH(A1288,SETTINGS!$A$15:$A$24,0)),"No")</f>
        <v>No</v>
      </c>
      <c r="E1288">
        <v>8</v>
      </c>
      <c r="F1288" t="s">
        <v>41</v>
      </c>
      <c r="G1288">
        <v>192</v>
      </c>
      <c r="H1288" t="s">
        <v>107</v>
      </c>
      <c r="I1288" t="s">
        <v>22</v>
      </c>
      <c r="J1288" t="s">
        <v>27</v>
      </c>
      <c r="K1288" t="s">
        <v>3</v>
      </c>
      <c r="L1288" s="36">
        <f ca="1">IF(C1288&lt;&gt;"Yes",0,IF(A1288=2025,N('2025'!D192),IF(A1288=2026,N('2026'!D192),IF(A1288=2027,N('2027'!D192),IF(A1288=2028,N('2028'!D192),IF(A1288=2029,N('2029'!D192),IF(A1288=2030,N('2030'!D192),IF(A1288=2031,N('2031'!D192),IF(A1288=2032,N('2032'!D192),IF(A1288=2033,N('2033'!D192),IF(A1288=2034,N('2034'!D192),IFERROR(N(INDIRECT("'"&amp;A1288&amp;"'!D"&amp;G1288)),0))))))))))))</f>
        <v>0</v>
      </c>
      <c r="M1288" s="36">
        <f>IFERROR(IF(NOT(ISBLANK(KPI_TARGETS!$L$18)),KPI_TARGETS!$L$18,IF(NOT(ISBLANK(KPI_TARGETS!$F$18)),KPI_TARGETS!$F$18,"")),"")</f>
        <v>4</v>
      </c>
      <c r="N1288" s="36" t="str">
        <f>IFERROR(KPI_TARGETS!$E$18,"Higher is better")</f>
        <v>Higher is better</v>
      </c>
      <c r="O1288" s="37">
        <f t="shared" ca="1" si="120"/>
        <v>0</v>
      </c>
      <c r="P1288" t="str">
        <f t="shared" ca="1" si="121"/>
        <v>Red</v>
      </c>
      <c r="Q1288" s="36">
        <f t="shared" ca="1" si="122"/>
        <v>-4</v>
      </c>
      <c r="R1288" s="36" t="str">
        <f>""</f>
        <v/>
      </c>
      <c r="S1288" s="36" t="str">
        <f>""</f>
        <v/>
      </c>
      <c r="T1288" s="36" t="str">
        <f>""</f>
        <v/>
      </c>
      <c r="U1288" s="36" t="str">
        <f>""</f>
        <v/>
      </c>
      <c r="V1288" s="36" t="str">
        <f>""</f>
        <v/>
      </c>
      <c r="W1288" s="36">
        <f t="shared" si="123"/>
        <v>1</v>
      </c>
      <c r="X1288" t="str">
        <f t="shared" si="124"/>
        <v>Inactive</v>
      </c>
      <c r="Y1288" t="str">
        <f>IF(MAIN!$H$3="Selected Year",IF(A1288=MAIN!$B$3,"Yes","No"),IF(MAIN!$H$3="Included Years",IF(D1288="Yes","Yes","No"),IF(C1288="Yes","Yes","No")))</f>
        <v>No</v>
      </c>
      <c r="Z1288" t="str">
        <f>IF(MAIN!$F$3="Project to Date",IF(AND(A1288&gt;=SETTINGS!$B$4,A1288&lt;MAIN!$B$3),"Yes",IF(AND(A1288=MAIN!$B$3,E1288&lt;=MAIN!$L$3),"Yes","No")),IF(OR(MAIN!$F$3="Full Year",MAIN!$D$3="All"),"Yes",IF(MAIN!$F$3="Monthly",IF(E1288=MAIN!$L$3,"Yes","No"),IF(E1288&lt;=MAIN!$L$3,"Yes","No"))))</f>
        <v>Yes</v>
      </c>
      <c r="AA1288" t="str">
        <f t="shared" si="125"/>
        <v>No</v>
      </c>
    </row>
    <row r="1289" spans="1:27" x14ac:dyDescent="0.3">
      <c r="A1289">
        <f>INDEX(SETTINGS!$A$15:$A$24,$B1289)</f>
        <v>2030</v>
      </c>
      <c r="B1289">
        <v>6</v>
      </c>
      <c r="C1289" t="str">
        <f>IF(AND(A1289&gt;=SETTINGS!$B$4,A1289&lt;=SETTINGS!$B$5),"Yes","No")</f>
        <v>No</v>
      </c>
      <c r="D1289" t="str">
        <f>IFERROR(INDEX(SETTINGS!$C$15:$C$24,MATCH(A1289,SETTINGS!$A$15:$A$24,0)),"No")</f>
        <v>No</v>
      </c>
      <c r="E1289">
        <v>8</v>
      </c>
      <c r="F1289" t="s">
        <v>41</v>
      </c>
      <c r="G1289">
        <v>193</v>
      </c>
      <c r="H1289" t="s">
        <v>108</v>
      </c>
      <c r="I1289" t="s">
        <v>22</v>
      </c>
      <c r="J1289" t="s">
        <v>28</v>
      </c>
      <c r="K1289" t="s">
        <v>3</v>
      </c>
      <c r="L1289" s="36">
        <f ca="1">IF(C1289&lt;&gt;"Yes",0,IF(A1289=2025,N('2025'!D193),IF(A1289=2026,N('2026'!D193),IF(A1289=2027,N('2027'!D193),IF(A1289=2028,N('2028'!D193),IF(A1289=2029,N('2029'!D193),IF(A1289=2030,N('2030'!D193),IF(A1289=2031,N('2031'!D193),IF(A1289=2032,N('2032'!D193),IF(A1289=2033,N('2033'!D193),IF(A1289=2034,N('2034'!D193),IFERROR(N(INDIRECT("'"&amp;A1289&amp;"'!D"&amp;G1289)),0))))))))))))</f>
        <v>0</v>
      </c>
      <c r="M1289" s="36">
        <f>IFERROR(IF(NOT(ISBLANK(KPI_TARGETS!$L$19)),KPI_TARGETS!$L$19,IF(NOT(ISBLANK(KPI_TARGETS!$F$19)),KPI_TARGETS!$F$19,"")),"")</f>
        <v>16</v>
      </c>
      <c r="N1289" s="36" t="str">
        <f>IFERROR(KPI_TARGETS!$E$19,"Higher is better")</f>
        <v>Higher is better</v>
      </c>
      <c r="O1289" s="37">
        <f t="shared" ca="1" si="120"/>
        <v>0</v>
      </c>
      <c r="P1289" t="str">
        <f t="shared" ca="1" si="121"/>
        <v>Red</v>
      </c>
      <c r="Q1289" s="36">
        <f t="shared" ca="1" si="122"/>
        <v>-16</v>
      </c>
      <c r="R1289" s="36" t="str">
        <f>""</f>
        <v/>
      </c>
      <c r="S1289" s="36" t="str">
        <f>""</f>
        <v/>
      </c>
      <c r="T1289" s="36" t="str">
        <f>""</f>
        <v/>
      </c>
      <c r="U1289" s="36" t="str">
        <f>""</f>
        <v/>
      </c>
      <c r="V1289" s="36" t="str">
        <f>""</f>
        <v/>
      </c>
      <c r="W1289" s="36">
        <f t="shared" si="123"/>
        <v>1</v>
      </c>
      <c r="X1289" t="str">
        <f t="shared" si="124"/>
        <v>Inactive</v>
      </c>
      <c r="Y1289" t="str">
        <f>IF(MAIN!$H$3="Selected Year",IF(A1289=MAIN!$B$3,"Yes","No"),IF(MAIN!$H$3="Included Years",IF(D1289="Yes","Yes","No"),IF(C1289="Yes","Yes","No")))</f>
        <v>No</v>
      </c>
      <c r="Z1289" t="str">
        <f>IF(MAIN!$F$3="Project to Date",IF(AND(A1289&gt;=SETTINGS!$B$4,A1289&lt;MAIN!$B$3),"Yes",IF(AND(A1289=MAIN!$B$3,E1289&lt;=MAIN!$L$3),"Yes","No")),IF(OR(MAIN!$F$3="Full Year",MAIN!$D$3="All"),"Yes",IF(MAIN!$F$3="Monthly",IF(E1289=MAIN!$L$3,"Yes","No"),IF(E1289&lt;=MAIN!$L$3,"Yes","No"))))</f>
        <v>Yes</v>
      </c>
      <c r="AA1289" t="str">
        <f t="shared" si="125"/>
        <v>No</v>
      </c>
    </row>
    <row r="1290" spans="1:27" x14ac:dyDescent="0.3">
      <c r="A1290">
        <f>INDEX(SETTINGS!$A$15:$A$24,$B1290)</f>
        <v>2030</v>
      </c>
      <c r="B1290">
        <v>6</v>
      </c>
      <c r="C1290" t="str">
        <f>IF(AND(A1290&gt;=SETTINGS!$B$4,A1290&lt;=SETTINGS!$B$5),"Yes","No")</f>
        <v>No</v>
      </c>
      <c r="D1290" t="str">
        <f>IFERROR(INDEX(SETTINGS!$C$15:$C$24,MATCH(A1290,SETTINGS!$A$15:$A$24,0)),"No")</f>
        <v>No</v>
      </c>
      <c r="E1290">
        <v>8</v>
      </c>
      <c r="F1290" t="s">
        <v>41</v>
      </c>
      <c r="G1290">
        <v>194</v>
      </c>
      <c r="H1290" t="s">
        <v>109</v>
      </c>
      <c r="I1290" t="s">
        <v>22</v>
      </c>
      <c r="J1290" t="s">
        <v>29</v>
      </c>
      <c r="K1290" t="s">
        <v>3</v>
      </c>
      <c r="L1290" s="36">
        <f ca="1">IF(C1290&lt;&gt;"Yes",0,IF(A1290=2025,N('2025'!D194),IF(A1290=2026,N('2026'!D194),IF(A1290=2027,N('2027'!D194),IF(A1290=2028,N('2028'!D194),IF(A1290=2029,N('2029'!D194),IF(A1290=2030,N('2030'!D194),IF(A1290=2031,N('2031'!D194),IF(A1290=2032,N('2032'!D194),IF(A1290=2033,N('2033'!D194),IF(A1290=2034,N('2034'!D194),IFERROR(N(INDIRECT("'"&amp;A1290&amp;"'!D"&amp;G1290)),0))))))))))))</f>
        <v>0</v>
      </c>
      <c r="M1290" s="36">
        <f>IFERROR(IF(NOT(ISBLANK(KPI_TARGETS!$L$20)),KPI_TARGETS!$L$20,IF(NOT(ISBLANK(KPI_TARGETS!$F$20)),KPI_TARGETS!$F$20,"")),"")</f>
        <v>1</v>
      </c>
      <c r="N1290" s="36" t="str">
        <f>IFERROR(KPI_TARGETS!$E$20,"Higher is better")</f>
        <v>Higher is better</v>
      </c>
      <c r="O1290" s="37">
        <f t="shared" ca="1" si="120"/>
        <v>0</v>
      </c>
      <c r="P1290" t="str">
        <f t="shared" ca="1" si="121"/>
        <v>Red</v>
      </c>
      <c r="Q1290" s="36">
        <f t="shared" ca="1" si="122"/>
        <v>-1</v>
      </c>
      <c r="R1290" s="36" t="str">
        <f>""</f>
        <v/>
      </c>
      <c r="S1290" s="36" t="str">
        <f>""</f>
        <v/>
      </c>
      <c r="T1290" s="36" t="str">
        <f>""</f>
        <v/>
      </c>
      <c r="U1290" s="36" t="str">
        <f>""</f>
        <v/>
      </c>
      <c r="V1290" s="36" t="str">
        <f>""</f>
        <v/>
      </c>
      <c r="W1290" s="36">
        <f t="shared" si="123"/>
        <v>1</v>
      </c>
      <c r="X1290" t="str">
        <f t="shared" si="124"/>
        <v>Inactive</v>
      </c>
      <c r="Y1290" t="str">
        <f>IF(MAIN!$H$3="Selected Year",IF(A1290=MAIN!$B$3,"Yes","No"),IF(MAIN!$H$3="Included Years",IF(D1290="Yes","Yes","No"),IF(C1290="Yes","Yes","No")))</f>
        <v>No</v>
      </c>
      <c r="Z1290" t="str">
        <f>IF(MAIN!$F$3="Project to Date",IF(AND(A1290&gt;=SETTINGS!$B$4,A1290&lt;MAIN!$B$3),"Yes",IF(AND(A1290=MAIN!$B$3,E1290&lt;=MAIN!$L$3),"Yes","No")),IF(OR(MAIN!$F$3="Full Year",MAIN!$D$3="All"),"Yes",IF(MAIN!$F$3="Monthly",IF(E1290=MAIN!$L$3,"Yes","No"),IF(E1290&lt;=MAIN!$L$3,"Yes","No"))))</f>
        <v>Yes</v>
      </c>
      <c r="AA1290" t="str">
        <f t="shared" si="125"/>
        <v>No</v>
      </c>
    </row>
    <row r="1291" spans="1:27" x14ac:dyDescent="0.3">
      <c r="A1291">
        <f>INDEX(SETTINGS!$A$15:$A$24,$B1291)</f>
        <v>2030</v>
      </c>
      <c r="B1291">
        <v>6</v>
      </c>
      <c r="C1291" t="str">
        <f>IF(AND(A1291&gt;=SETTINGS!$B$4,A1291&lt;=SETTINGS!$B$5),"Yes","No")</f>
        <v>No</v>
      </c>
      <c r="D1291" t="str">
        <f>IFERROR(INDEX(SETTINGS!$C$15:$C$24,MATCH(A1291,SETTINGS!$A$15:$A$24,0)),"No")</f>
        <v>No</v>
      </c>
      <c r="E1291">
        <v>8</v>
      </c>
      <c r="F1291" t="s">
        <v>41</v>
      </c>
      <c r="G1291">
        <v>196</v>
      </c>
      <c r="H1291" t="s">
        <v>110</v>
      </c>
      <c r="I1291" t="s">
        <v>30</v>
      </c>
      <c r="J1291" t="s">
        <v>31</v>
      </c>
      <c r="K1291" t="s">
        <v>3</v>
      </c>
      <c r="L1291" s="36">
        <f ca="1">IF(C1291&lt;&gt;"Yes",0,IF(A1291=2025,N('2025'!D196),IF(A1291=2026,N('2026'!D196),IF(A1291=2027,N('2027'!D196),IF(A1291=2028,N('2028'!D196),IF(A1291=2029,N('2029'!D196),IF(A1291=2030,N('2030'!D196),IF(A1291=2031,N('2031'!D196),IF(A1291=2032,N('2032'!D196),IF(A1291=2033,N('2033'!D196),IF(A1291=2034,N('2034'!D196),IFERROR(N(INDIRECT("'"&amp;A1291&amp;"'!D"&amp;G1291)),0))))))))))))</f>
        <v>0</v>
      </c>
      <c r="M1291" s="36">
        <f>IFERROR(IF(NOT(ISBLANK(KPI_TARGETS!$L$21)),KPI_TARGETS!$L$21,IF(NOT(ISBLANK(KPI_TARGETS!$F$21)),KPI_TARGETS!$F$21,"")),"")</f>
        <v>0</v>
      </c>
      <c r="N1291" s="36" t="str">
        <f>IFERROR(KPI_TARGETS!$E$21,"Higher is better")</f>
        <v>Lower is better</v>
      </c>
      <c r="O1291" s="37">
        <f t="shared" ca="1" si="120"/>
        <v>1</v>
      </c>
      <c r="P1291" t="str">
        <f t="shared" ca="1" si="121"/>
        <v>Green</v>
      </c>
      <c r="Q1291" s="36">
        <f t="shared" ca="1" si="122"/>
        <v>0</v>
      </c>
      <c r="R1291" s="36" t="str">
        <f>""</f>
        <v/>
      </c>
      <c r="S1291" s="36" t="str">
        <f>""</f>
        <v/>
      </c>
      <c r="T1291" s="36" t="str">
        <f>""</f>
        <v/>
      </c>
      <c r="U1291" s="36" t="str">
        <f>""</f>
        <v/>
      </c>
      <c r="V1291" s="36" t="str">
        <f>""</f>
        <v/>
      </c>
      <c r="W1291" s="36">
        <f t="shared" si="123"/>
        <v>1</v>
      </c>
      <c r="X1291" t="str">
        <f t="shared" si="124"/>
        <v>Inactive</v>
      </c>
      <c r="Y1291" t="str">
        <f>IF(MAIN!$H$3="Selected Year",IF(A1291=MAIN!$B$3,"Yes","No"),IF(MAIN!$H$3="Included Years",IF(D1291="Yes","Yes","No"),IF(C1291="Yes","Yes","No")))</f>
        <v>No</v>
      </c>
      <c r="Z1291" t="str">
        <f>IF(MAIN!$F$3="Project to Date",IF(AND(A1291&gt;=SETTINGS!$B$4,A1291&lt;MAIN!$B$3),"Yes",IF(AND(A1291=MAIN!$B$3,E1291&lt;=MAIN!$L$3),"Yes","No")),IF(OR(MAIN!$F$3="Full Year",MAIN!$D$3="All"),"Yes",IF(MAIN!$F$3="Monthly",IF(E1291=MAIN!$L$3,"Yes","No"),IF(E1291&lt;=MAIN!$L$3,"Yes","No"))))</f>
        <v>Yes</v>
      </c>
      <c r="AA1291" t="str">
        <f t="shared" si="125"/>
        <v>No</v>
      </c>
    </row>
    <row r="1292" spans="1:27" x14ac:dyDescent="0.3">
      <c r="A1292">
        <f>INDEX(SETTINGS!$A$15:$A$24,$B1292)</f>
        <v>2030</v>
      </c>
      <c r="B1292">
        <v>6</v>
      </c>
      <c r="C1292" t="str">
        <f>IF(AND(A1292&gt;=SETTINGS!$B$4,A1292&lt;=SETTINGS!$B$5),"Yes","No")</f>
        <v>No</v>
      </c>
      <c r="D1292" t="str">
        <f>IFERROR(INDEX(SETTINGS!$C$15:$C$24,MATCH(A1292,SETTINGS!$A$15:$A$24,0)),"No")</f>
        <v>No</v>
      </c>
      <c r="E1292">
        <v>8</v>
      </c>
      <c r="F1292" t="s">
        <v>41</v>
      </c>
      <c r="G1292">
        <v>197</v>
      </c>
      <c r="H1292" t="s">
        <v>111</v>
      </c>
      <c r="I1292" t="s">
        <v>30</v>
      </c>
      <c r="J1292" t="s">
        <v>32</v>
      </c>
      <c r="K1292" t="s">
        <v>3</v>
      </c>
      <c r="L1292" s="36">
        <f ca="1">IF(C1292&lt;&gt;"Yes",0,IF(A1292=2025,N('2025'!D197),IF(A1292=2026,N('2026'!D197),IF(A1292=2027,N('2027'!D197),IF(A1292=2028,N('2028'!D197),IF(A1292=2029,N('2029'!D197),IF(A1292=2030,N('2030'!D197),IF(A1292=2031,N('2031'!D197),IF(A1292=2032,N('2032'!D197),IF(A1292=2033,N('2033'!D197),IF(A1292=2034,N('2034'!D197),IFERROR(N(INDIRECT("'"&amp;A1292&amp;"'!D"&amp;G1292)),0))))))))))))</f>
        <v>0</v>
      </c>
      <c r="M1292" s="36">
        <f>IFERROR(IF(NOT(ISBLANK(KPI_TARGETS!$L$22)),KPI_TARGETS!$L$22,IF(NOT(ISBLANK(KPI_TARGETS!$F$22)),KPI_TARGETS!$F$22,"")),"")</f>
        <v>1</v>
      </c>
      <c r="N1292" s="36" t="str">
        <f>IFERROR(KPI_TARGETS!$E$22,"Higher is better")</f>
        <v>Higher is better</v>
      </c>
      <c r="O1292" s="37">
        <f t="shared" ca="1" si="120"/>
        <v>0</v>
      </c>
      <c r="P1292" t="str">
        <f t="shared" ca="1" si="121"/>
        <v>Red</v>
      </c>
      <c r="Q1292" s="36">
        <f t="shared" ca="1" si="122"/>
        <v>-1</v>
      </c>
      <c r="R1292" s="36" t="str">
        <f>""</f>
        <v/>
      </c>
      <c r="S1292" s="36" t="str">
        <f>""</f>
        <v/>
      </c>
      <c r="T1292" s="36" t="str">
        <f>""</f>
        <v/>
      </c>
      <c r="U1292" s="36" t="str">
        <f>""</f>
        <v/>
      </c>
      <c r="V1292" s="36" t="str">
        <f>""</f>
        <v/>
      </c>
      <c r="W1292" s="36">
        <f t="shared" si="123"/>
        <v>1</v>
      </c>
      <c r="X1292" t="str">
        <f t="shared" si="124"/>
        <v>Inactive</v>
      </c>
      <c r="Y1292" t="str">
        <f>IF(MAIN!$H$3="Selected Year",IF(A1292=MAIN!$B$3,"Yes","No"),IF(MAIN!$H$3="Included Years",IF(D1292="Yes","Yes","No"),IF(C1292="Yes","Yes","No")))</f>
        <v>No</v>
      </c>
      <c r="Z1292" t="str">
        <f>IF(MAIN!$F$3="Project to Date",IF(AND(A1292&gt;=SETTINGS!$B$4,A1292&lt;MAIN!$B$3),"Yes",IF(AND(A1292=MAIN!$B$3,E1292&lt;=MAIN!$L$3),"Yes","No")),IF(OR(MAIN!$F$3="Full Year",MAIN!$D$3="All"),"Yes",IF(MAIN!$F$3="Monthly",IF(E1292=MAIN!$L$3,"Yes","No"),IF(E1292&lt;=MAIN!$L$3,"Yes","No"))))</f>
        <v>Yes</v>
      </c>
      <c r="AA1292" t="str">
        <f t="shared" si="125"/>
        <v>No</v>
      </c>
    </row>
    <row r="1293" spans="1:27" x14ac:dyDescent="0.3">
      <c r="A1293">
        <f>INDEX(SETTINGS!$A$15:$A$24,$B1293)</f>
        <v>2030</v>
      </c>
      <c r="B1293">
        <v>6</v>
      </c>
      <c r="C1293" t="str">
        <f>IF(AND(A1293&gt;=SETTINGS!$B$4,A1293&lt;=SETTINGS!$B$5),"Yes","No")</f>
        <v>No</v>
      </c>
      <c r="D1293" t="str">
        <f>IFERROR(INDEX(SETTINGS!$C$15:$C$24,MATCH(A1293,SETTINGS!$A$15:$A$24,0)),"No")</f>
        <v>No</v>
      </c>
      <c r="E1293">
        <v>8</v>
      </c>
      <c r="F1293" t="s">
        <v>41</v>
      </c>
      <c r="G1293">
        <v>198</v>
      </c>
      <c r="H1293" t="s">
        <v>112</v>
      </c>
      <c r="I1293" t="s">
        <v>30</v>
      </c>
      <c r="J1293" t="s">
        <v>33</v>
      </c>
      <c r="K1293" t="s">
        <v>34</v>
      </c>
      <c r="L1293" s="36">
        <f ca="1">IF(C1293&lt;&gt;"Yes",0,IF(A1293=2025,N('2025'!D198),IF(A1293=2026,N('2026'!D198),IF(A1293=2027,N('2027'!D198),IF(A1293=2028,N('2028'!D198),IF(A1293=2029,N('2029'!D198),IF(A1293=2030,N('2030'!D198),IF(A1293=2031,N('2031'!D198),IF(A1293=2032,N('2032'!D198),IF(A1293=2033,N('2033'!D198),IF(A1293=2034,N('2034'!D198),IFERROR(N(INDIRECT("'"&amp;A1293&amp;"'!D"&amp;G1293)),0))))))))))))</f>
        <v>0</v>
      </c>
      <c r="M1293" s="36">
        <f>IFERROR(IF(NOT(ISBLANK(KPI_TARGETS!$L$23)),KPI_TARGETS!$L$23,IF(NOT(ISBLANK(KPI_TARGETS!$F$23)),KPI_TARGETS!$F$23,"")),"")</f>
        <v>1</v>
      </c>
      <c r="N1293" s="36" t="str">
        <f>IFERROR(KPI_TARGETS!$E$23,"Higher is better")</f>
        <v>Higher is better</v>
      </c>
      <c r="O1293" s="37">
        <f t="shared" ca="1" si="120"/>
        <v>0</v>
      </c>
      <c r="P1293" t="str">
        <f t="shared" ca="1" si="121"/>
        <v>Red</v>
      </c>
      <c r="Q1293" s="36">
        <f t="shared" ca="1" si="122"/>
        <v>-1</v>
      </c>
      <c r="R1293" s="36" t="str">
        <f>""</f>
        <v/>
      </c>
      <c r="S1293" s="36" t="str">
        <f>""</f>
        <v/>
      </c>
      <c r="T1293" s="36" t="str">
        <f>""</f>
        <v/>
      </c>
      <c r="U1293" s="36" t="str">
        <f>""</f>
        <v/>
      </c>
      <c r="V1293" s="36" t="str">
        <f>""</f>
        <v/>
      </c>
      <c r="W1293" s="36">
        <f t="shared" si="123"/>
        <v>1</v>
      </c>
      <c r="X1293" t="str">
        <f t="shared" si="124"/>
        <v>Inactive</v>
      </c>
      <c r="Y1293" t="str">
        <f>IF(MAIN!$H$3="Selected Year",IF(A1293=MAIN!$B$3,"Yes","No"),IF(MAIN!$H$3="Included Years",IF(D1293="Yes","Yes","No"),IF(C1293="Yes","Yes","No")))</f>
        <v>No</v>
      </c>
      <c r="Z1293" t="str">
        <f>IF(MAIN!$F$3="Project to Date",IF(AND(A1293&gt;=SETTINGS!$B$4,A1293&lt;MAIN!$B$3),"Yes",IF(AND(A1293=MAIN!$B$3,E1293&lt;=MAIN!$L$3),"Yes","No")),IF(OR(MAIN!$F$3="Full Year",MAIN!$D$3="All"),"Yes",IF(MAIN!$F$3="Monthly",IF(E1293=MAIN!$L$3,"Yes","No"),IF(E1293&lt;=MAIN!$L$3,"Yes","No"))))</f>
        <v>Yes</v>
      </c>
      <c r="AA1293" t="str">
        <f t="shared" si="125"/>
        <v>No</v>
      </c>
    </row>
    <row r="1294" spans="1:27" x14ac:dyDescent="0.3">
      <c r="A1294">
        <f>INDEX(SETTINGS!$A$15:$A$24,$B1294)</f>
        <v>2030</v>
      </c>
      <c r="B1294">
        <v>6</v>
      </c>
      <c r="C1294" t="str">
        <f>IF(AND(A1294&gt;=SETTINGS!$B$4,A1294&lt;=SETTINGS!$B$5),"Yes","No")</f>
        <v>No</v>
      </c>
      <c r="D1294" t="str">
        <f>IFERROR(INDEX(SETTINGS!$C$15:$C$24,MATCH(A1294,SETTINGS!$A$15:$A$24,0)),"No")</f>
        <v>No</v>
      </c>
      <c r="E1294">
        <v>9</v>
      </c>
      <c r="F1294" t="s">
        <v>42</v>
      </c>
      <c r="G1294">
        <v>201</v>
      </c>
      <c r="H1294" t="s">
        <v>88</v>
      </c>
      <c r="I1294" t="s">
        <v>89</v>
      </c>
      <c r="J1294" t="s">
        <v>10</v>
      </c>
      <c r="K1294" t="s">
        <v>3</v>
      </c>
      <c r="L1294" s="36">
        <f ca="1">IF(C1294&lt;&gt;"Yes",0,IF(A1294=2025,N('2025'!D201),IF(A1294=2026,N('2026'!D201),IF(A1294=2027,N('2027'!D201),IF(A1294=2028,N('2028'!D201),IF(A1294=2029,N('2029'!D201),IF(A1294=2030,N('2030'!D201),IF(A1294=2031,N('2031'!D201),IF(A1294=2032,N('2032'!D201),IF(A1294=2033,N('2033'!D201),IF(A1294=2034,N('2034'!D201),IFERROR(N(INDIRECT("'"&amp;A1294&amp;"'!D"&amp;G1294)),0))))))))))))</f>
        <v>0</v>
      </c>
      <c r="M1294" s="36">
        <f>IFERROR(IF(NOT(ISBLANK(KPI_TARGETS!$L$5)),KPI_TARGETS!$L$5,IF(NOT(ISBLANK(KPI_TARGETS!$F$5)),KPI_TARGETS!$F$5,"")),"")</f>
        <v>104</v>
      </c>
      <c r="N1294" s="36" t="str">
        <f>IFERROR(KPI_TARGETS!$E$5,"Higher is better")</f>
        <v>Higher is better</v>
      </c>
      <c r="O1294" s="37">
        <f t="shared" ca="1" si="120"/>
        <v>0</v>
      </c>
      <c r="P1294" t="str">
        <f t="shared" ca="1" si="121"/>
        <v>Red</v>
      </c>
      <c r="Q1294" s="36">
        <f t="shared" ca="1" si="122"/>
        <v>-104</v>
      </c>
      <c r="R1294" s="36" t="str">
        <f>""</f>
        <v/>
      </c>
      <c r="S1294" s="36" t="str">
        <f>""</f>
        <v/>
      </c>
      <c r="T1294" s="36" t="str">
        <f>""</f>
        <v/>
      </c>
      <c r="U1294" s="36" t="str">
        <f>""</f>
        <v/>
      </c>
      <c r="V1294" s="36" t="str">
        <f>""</f>
        <v/>
      </c>
      <c r="W1294" s="36">
        <f t="shared" si="123"/>
        <v>1</v>
      </c>
      <c r="X1294" t="str">
        <f t="shared" si="124"/>
        <v>Inactive</v>
      </c>
      <c r="Y1294" t="str">
        <f>IF(MAIN!$H$3="Selected Year",IF(A1294=MAIN!$B$3,"Yes","No"),IF(MAIN!$H$3="Included Years",IF(D1294="Yes","Yes","No"),IF(C1294="Yes","Yes","No")))</f>
        <v>No</v>
      </c>
      <c r="Z1294" t="str">
        <f>IF(MAIN!$F$3="Project to Date",IF(AND(A1294&gt;=SETTINGS!$B$4,A1294&lt;MAIN!$B$3),"Yes",IF(AND(A1294=MAIN!$B$3,E1294&lt;=MAIN!$L$3),"Yes","No")),IF(OR(MAIN!$F$3="Full Year",MAIN!$D$3="All"),"Yes",IF(MAIN!$F$3="Monthly",IF(E1294=MAIN!$L$3,"Yes","No"),IF(E1294&lt;=MAIN!$L$3,"Yes","No"))))</f>
        <v>Yes</v>
      </c>
      <c r="AA1294" t="str">
        <f t="shared" si="125"/>
        <v>No</v>
      </c>
    </row>
    <row r="1295" spans="1:27" x14ac:dyDescent="0.3">
      <c r="A1295">
        <f>INDEX(SETTINGS!$A$15:$A$24,$B1295)</f>
        <v>2030</v>
      </c>
      <c r="B1295">
        <v>6</v>
      </c>
      <c r="C1295" t="str">
        <f>IF(AND(A1295&gt;=SETTINGS!$B$4,A1295&lt;=SETTINGS!$B$5),"Yes","No")</f>
        <v>No</v>
      </c>
      <c r="D1295" t="str">
        <f>IFERROR(INDEX(SETTINGS!$C$15:$C$24,MATCH(A1295,SETTINGS!$A$15:$A$24,0)),"No")</f>
        <v>No</v>
      </c>
      <c r="E1295">
        <v>9</v>
      </c>
      <c r="F1295" t="s">
        <v>42</v>
      </c>
      <c r="G1295">
        <v>202</v>
      </c>
      <c r="H1295" t="s">
        <v>91</v>
      </c>
      <c r="I1295" t="s">
        <v>89</v>
      </c>
      <c r="J1295" t="s">
        <v>11</v>
      </c>
      <c r="K1295" t="s">
        <v>12</v>
      </c>
      <c r="L1295" s="36">
        <f ca="1">IF(C1295&lt;&gt;"Yes",0,IF(A1295=2025,N('2025'!D202),IF(A1295=2026,N('2026'!D202),IF(A1295=2027,N('2027'!D202),IF(A1295=2028,N('2028'!D202),IF(A1295=2029,N('2029'!D202),IF(A1295=2030,N('2030'!D202),IF(A1295=2031,N('2031'!D202),IF(A1295=2032,N('2032'!D202),IF(A1295=2033,N('2033'!D202),IF(A1295=2034,N('2034'!D202),IFERROR(N(INDIRECT("'"&amp;A1295&amp;"'!D"&amp;G1295)),0))))))))))))</f>
        <v>0</v>
      </c>
      <c r="M1295" s="36">
        <f>IFERROR(IF(NOT(ISBLANK(KPI_TARGETS!$L$6)),KPI_TARGETS!$L$6,IF(NOT(ISBLANK(KPI_TARGETS!$F$6)),KPI_TARGETS!$F$6,"")),"")</f>
        <v>4000</v>
      </c>
      <c r="N1295" s="36" t="str">
        <f>IFERROR(KPI_TARGETS!$E$6,"Higher is better")</f>
        <v>Higher is better</v>
      </c>
      <c r="O1295" s="37">
        <f t="shared" ca="1" si="120"/>
        <v>0</v>
      </c>
      <c r="P1295" t="str">
        <f t="shared" ca="1" si="121"/>
        <v>Red</v>
      </c>
      <c r="Q1295" s="36">
        <f t="shared" ca="1" si="122"/>
        <v>-4000</v>
      </c>
      <c r="R1295" s="36" t="str">
        <f>""</f>
        <v/>
      </c>
      <c r="S1295" s="36" t="str">
        <f>""</f>
        <v/>
      </c>
      <c r="T1295" s="36" t="str">
        <f>""</f>
        <v/>
      </c>
      <c r="U1295" s="36" t="str">
        <f>""</f>
        <v/>
      </c>
      <c r="V1295" s="36" t="str">
        <f>""</f>
        <v/>
      </c>
      <c r="W1295" s="36">
        <f t="shared" si="123"/>
        <v>1</v>
      </c>
      <c r="X1295" t="str">
        <f t="shared" si="124"/>
        <v>Inactive</v>
      </c>
      <c r="Y1295" t="str">
        <f>IF(MAIN!$H$3="Selected Year",IF(A1295=MAIN!$B$3,"Yes","No"),IF(MAIN!$H$3="Included Years",IF(D1295="Yes","Yes","No"),IF(C1295="Yes","Yes","No")))</f>
        <v>No</v>
      </c>
      <c r="Z1295" t="str">
        <f>IF(MAIN!$F$3="Project to Date",IF(AND(A1295&gt;=SETTINGS!$B$4,A1295&lt;MAIN!$B$3),"Yes",IF(AND(A1295=MAIN!$B$3,E1295&lt;=MAIN!$L$3),"Yes","No")),IF(OR(MAIN!$F$3="Full Year",MAIN!$D$3="All"),"Yes",IF(MAIN!$F$3="Monthly",IF(E1295=MAIN!$L$3,"Yes","No"),IF(E1295&lt;=MAIN!$L$3,"Yes","No"))))</f>
        <v>Yes</v>
      </c>
      <c r="AA1295" t="str">
        <f t="shared" si="125"/>
        <v>No</v>
      </c>
    </row>
    <row r="1296" spans="1:27" x14ac:dyDescent="0.3">
      <c r="A1296">
        <f>INDEX(SETTINGS!$A$15:$A$24,$B1296)</f>
        <v>2030</v>
      </c>
      <c r="B1296">
        <v>6</v>
      </c>
      <c r="C1296" t="str">
        <f>IF(AND(A1296&gt;=SETTINGS!$B$4,A1296&lt;=SETTINGS!$B$5),"Yes","No")</f>
        <v>No</v>
      </c>
      <c r="D1296" t="str">
        <f>IFERROR(INDEX(SETTINGS!$C$15:$C$24,MATCH(A1296,SETTINGS!$A$15:$A$24,0)),"No")</f>
        <v>No</v>
      </c>
      <c r="E1296">
        <v>9</v>
      </c>
      <c r="F1296" t="s">
        <v>42</v>
      </c>
      <c r="G1296">
        <v>203</v>
      </c>
      <c r="H1296" t="s">
        <v>93</v>
      </c>
      <c r="I1296" t="s">
        <v>89</v>
      </c>
      <c r="J1296" t="s">
        <v>13</v>
      </c>
      <c r="K1296" t="s">
        <v>14</v>
      </c>
      <c r="L1296" s="36">
        <f ca="1">IF(C1296&lt;&gt;"Yes",0,IF(A1296=2025,N('2025'!D203),IF(A1296=2026,N('2026'!D203),IF(A1296=2027,N('2027'!D203),IF(A1296=2028,N('2028'!D203),IF(A1296=2029,N('2029'!D203),IF(A1296=2030,N('2030'!D203),IF(A1296=2031,N('2031'!D203),IF(A1296=2032,N('2032'!D203),IF(A1296=2033,N('2033'!D203),IF(A1296=2034,N('2034'!D203),IFERROR(N(INDIRECT("'"&amp;A1296&amp;"'!D"&amp;G1296)),0))))))))))))</f>
        <v>0</v>
      </c>
      <c r="M1296" s="36">
        <f>IFERROR(IF(NOT(ISBLANK(KPI_TARGETS!$L$7)),KPI_TARGETS!$L$7,IF(NOT(ISBLANK(KPI_TARGETS!$F$7)),KPI_TARGETS!$F$7,"")),"")</f>
        <v>8000</v>
      </c>
      <c r="N1296" s="36" t="str">
        <f>IFERROR(KPI_TARGETS!$E$7,"Higher is better")</f>
        <v>Higher is better</v>
      </c>
      <c r="O1296" s="37">
        <f t="shared" ca="1" si="120"/>
        <v>0</v>
      </c>
      <c r="P1296" t="str">
        <f t="shared" ca="1" si="121"/>
        <v>Red</v>
      </c>
      <c r="Q1296" s="36">
        <f t="shared" ca="1" si="122"/>
        <v>-8000</v>
      </c>
      <c r="R1296" s="36" t="str">
        <f>""</f>
        <v/>
      </c>
      <c r="S1296" s="36" t="str">
        <f>""</f>
        <v/>
      </c>
      <c r="T1296" s="36" t="str">
        <f>""</f>
        <v/>
      </c>
      <c r="U1296" s="36" t="str">
        <f>""</f>
        <v/>
      </c>
      <c r="V1296" s="36" t="str">
        <f>""</f>
        <v/>
      </c>
      <c r="W1296" s="36">
        <f t="shared" si="123"/>
        <v>1</v>
      </c>
      <c r="X1296" t="str">
        <f t="shared" si="124"/>
        <v>Inactive</v>
      </c>
      <c r="Y1296" t="str">
        <f>IF(MAIN!$H$3="Selected Year",IF(A1296=MAIN!$B$3,"Yes","No"),IF(MAIN!$H$3="Included Years",IF(D1296="Yes","Yes","No"),IF(C1296="Yes","Yes","No")))</f>
        <v>No</v>
      </c>
      <c r="Z1296" t="str">
        <f>IF(MAIN!$F$3="Project to Date",IF(AND(A1296&gt;=SETTINGS!$B$4,A1296&lt;MAIN!$B$3),"Yes",IF(AND(A1296=MAIN!$B$3,E1296&lt;=MAIN!$L$3),"Yes","No")),IF(OR(MAIN!$F$3="Full Year",MAIN!$D$3="All"),"Yes",IF(MAIN!$F$3="Monthly",IF(E1296=MAIN!$L$3,"Yes","No"),IF(E1296&lt;=MAIN!$L$3,"Yes","No"))))</f>
        <v>Yes</v>
      </c>
      <c r="AA1296" t="str">
        <f t="shared" si="125"/>
        <v>No</v>
      </c>
    </row>
    <row r="1297" spans="1:27" x14ac:dyDescent="0.3">
      <c r="A1297">
        <f>INDEX(SETTINGS!$A$15:$A$24,$B1297)</f>
        <v>2030</v>
      </c>
      <c r="B1297">
        <v>6</v>
      </c>
      <c r="C1297" t="str">
        <f>IF(AND(A1297&gt;=SETTINGS!$B$4,A1297&lt;=SETTINGS!$B$5),"Yes","No")</f>
        <v>No</v>
      </c>
      <c r="D1297" t="str">
        <f>IFERROR(INDEX(SETTINGS!$C$15:$C$24,MATCH(A1297,SETTINGS!$A$15:$A$24,0)),"No")</f>
        <v>No</v>
      </c>
      <c r="E1297">
        <v>9</v>
      </c>
      <c r="F1297" t="s">
        <v>42</v>
      </c>
      <c r="G1297">
        <v>205</v>
      </c>
      <c r="H1297" t="s">
        <v>95</v>
      </c>
      <c r="I1297" t="s">
        <v>15</v>
      </c>
      <c r="J1297" t="s">
        <v>16</v>
      </c>
      <c r="K1297" t="s">
        <v>3</v>
      </c>
      <c r="L1297" s="36">
        <f ca="1">IF(C1297&lt;&gt;"Yes",0,IF(A1297=2025,N('2025'!D205),IF(A1297=2026,N('2026'!D205),IF(A1297=2027,N('2027'!D205),IF(A1297=2028,N('2028'!D205),IF(A1297=2029,N('2029'!D205),IF(A1297=2030,N('2030'!D205),IF(A1297=2031,N('2031'!D205),IF(A1297=2032,N('2032'!D205),IF(A1297=2033,N('2033'!D205),IF(A1297=2034,N('2034'!D205),IFERROR(N(INDIRECT("'"&amp;A1297&amp;"'!D"&amp;G1297)),0))))))))))))</f>
        <v>0</v>
      </c>
      <c r="M1297" s="36">
        <f>IFERROR(IF(NOT(ISBLANK(KPI_TARGETS!$L$8)),KPI_TARGETS!$L$8,IF(NOT(ISBLANK(KPI_TARGETS!$F$8)),KPI_TARGETS!$F$8,"")),"")</f>
        <v>0</v>
      </c>
      <c r="N1297" s="36" t="str">
        <f>IFERROR(KPI_TARGETS!$E$8,"Higher is better")</f>
        <v>Lower is better</v>
      </c>
      <c r="O1297" s="37">
        <f t="shared" ca="1" si="120"/>
        <v>1</v>
      </c>
      <c r="P1297" t="str">
        <f t="shared" ca="1" si="121"/>
        <v>Green</v>
      </c>
      <c r="Q1297" s="36">
        <f t="shared" ca="1" si="122"/>
        <v>0</v>
      </c>
      <c r="R1297" s="36" t="str">
        <f>""</f>
        <v/>
      </c>
      <c r="S1297" s="36" t="str">
        <f>""</f>
        <v/>
      </c>
      <c r="T1297" s="36" t="str">
        <f>""</f>
        <v/>
      </c>
      <c r="U1297" s="36" t="str">
        <f>""</f>
        <v/>
      </c>
      <c r="V1297" s="36" t="str">
        <f>""</f>
        <v/>
      </c>
      <c r="W1297" s="36">
        <f t="shared" si="123"/>
        <v>1</v>
      </c>
      <c r="X1297" t="str">
        <f t="shared" si="124"/>
        <v>Inactive</v>
      </c>
      <c r="Y1297" t="str">
        <f>IF(MAIN!$H$3="Selected Year",IF(A1297=MAIN!$B$3,"Yes","No"),IF(MAIN!$H$3="Included Years",IF(D1297="Yes","Yes","No"),IF(C1297="Yes","Yes","No")))</f>
        <v>No</v>
      </c>
      <c r="Z1297" t="str">
        <f>IF(MAIN!$F$3="Project to Date",IF(AND(A1297&gt;=SETTINGS!$B$4,A1297&lt;MAIN!$B$3),"Yes",IF(AND(A1297=MAIN!$B$3,E1297&lt;=MAIN!$L$3),"Yes","No")),IF(OR(MAIN!$F$3="Full Year",MAIN!$D$3="All"),"Yes",IF(MAIN!$F$3="Monthly",IF(E1297=MAIN!$L$3,"Yes","No"),IF(E1297&lt;=MAIN!$L$3,"Yes","No"))))</f>
        <v>Yes</v>
      </c>
      <c r="AA1297" t="str">
        <f t="shared" si="125"/>
        <v>No</v>
      </c>
    </row>
    <row r="1298" spans="1:27" x14ac:dyDescent="0.3">
      <c r="A1298">
        <f>INDEX(SETTINGS!$A$15:$A$24,$B1298)</f>
        <v>2030</v>
      </c>
      <c r="B1298">
        <v>6</v>
      </c>
      <c r="C1298" t="str">
        <f>IF(AND(A1298&gt;=SETTINGS!$B$4,A1298&lt;=SETTINGS!$B$5),"Yes","No")</f>
        <v>No</v>
      </c>
      <c r="D1298" t="str">
        <f>IFERROR(INDEX(SETTINGS!$C$15:$C$24,MATCH(A1298,SETTINGS!$A$15:$A$24,0)),"No")</f>
        <v>No</v>
      </c>
      <c r="E1298">
        <v>9</v>
      </c>
      <c r="F1298" t="s">
        <v>42</v>
      </c>
      <c r="G1298">
        <v>206</v>
      </c>
      <c r="H1298" t="s">
        <v>97</v>
      </c>
      <c r="I1298" t="s">
        <v>15</v>
      </c>
      <c r="J1298" t="s">
        <v>17</v>
      </c>
      <c r="K1298" t="s">
        <v>3</v>
      </c>
      <c r="L1298" s="36">
        <f ca="1">IF(C1298&lt;&gt;"Yes",0,IF(A1298=2025,N('2025'!D206),IF(A1298=2026,N('2026'!D206),IF(A1298=2027,N('2027'!D206),IF(A1298=2028,N('2028'!D206),IF(A1298=2029,N('2029'!D206),IF(A1298=2030,N('2030'!D206),IF(A1298=2031,N('2031'!D206),IF(A1298=2032,N('2032'!D206),IF(A1298=2033,N('2033'!D206),IF(A1298=2034,N('2034'!D206),IFERROR(N(INDIRECT("'"&amp;A1298&amp;"'!D"&amp;G1298)),0))))))))))))</f>
        <v>0</v>
      </c>
      <c r="M1298" s="36">
        <f>IFERROR(IF(NOT(ISBLANK(KPI_TARGETS!$L$9)),KPI_TARGETS!$L$9,IF(NOT(ISBLANK(KPI_TARGETS!$F$9)),KPI_TARGETS!$F$9,"")),"")</f>
        <v>0</v>
      </c>
      <c r="N1298" s="36" t="str">
        <f>IFERROR(KPI_TARGETS!$E$9,"Higher is better")</f>
        <v>Higher is better</v>
      </c>
      <c r="O1298" s="37" t="str">
        <f t="shared" ca="1" si="120"/>
        <v/>
      </c>
      <c r="P1298" t="str">
        <f t="shared" ca="1" si="121"/>
        <v>Green</v>
      </c>
      <c r="Q1298" s="36">
        <f t="shared" ca="1" si="122"/>
        <v>0</v>
      </c>
      <c r="R1298" s="36" t="str">
        <f>""</f>
        <v/>
      </c>
      <c r="S1298" s="36" t="str">
        <f>""</f>
        <v/>
      </c>
      <c r="T1298" s="36" t="str">
        <f>""</f>
        <v/>
      </c>
      <c r="U1298" s="36" t="str">
        <f>""</f>
        <v/>
      </c>
      <c r="V1298" s="36" t="str">
        <f>""</f>
        <v/>
      </c>
      <c r="W1298" s="36">
        <f t="shared" si="123"/>
        <v>1</v>
      </c>
      <c r="X1298" t="str">
        <f t="shared" si="124"/>
        <v>Inactive</v>
      </c>
      <c r="Y1298" t="str">
        <f>IF(MAIN!$H$3="Selected Year",IF(A1298=MAIN!$B$3,"Yes","No"),IF(MAIN!$H$3="Included Years",IF(D1298="Yes","Yes","No"),IF(C1298="Yes","Yes","No")))</f>
        <v>No</v>
      </c>
      <c r="Z1298" t="str">
        <f>IF(MAIN!$F$3="Project to Date",IF(AND(A1298&gt;=SETTINGS!$B$4,A1298&lt;MAIN!$B$3),"Yes",IF(AND(A1298=MAIN!$B$3,E1298&lt;=MAIN!$L$3),"Yes","No")),IF(OR(MAIN!$F$3="Full Year",MAIN!$D$3="All"),"Yes",IF(MAIN!$F$3="Monthly",IF(E1298=MAIN!$L$3,"Yes","No"),IF(E1298&lt;=MAIN!$L$3,"Yes","No"))))</f>
        <v>Yes</v>
      </c>
      <c r="AA1298" t="str">
        <f t="shared" si="125"/>
        <v>No</v>
      </c>
    </row>
    <row r="1299" spans="1:27" x14ac:dyDescent="0.3">
      <c r="A1299">
        <f>INDEX(SETTINGS!$A$15:$A$24,$B1299)</f>
        <v>2030</v>
      </c>
      <c r="B1299">
        <v>6</v>
      </c>
      <c r="C1299" t="str">
        <f>IF(AND(A1299&gt;=SETTINGS!$B$4,A1299&lt;=SETTINGS!$B$5),"Yes","No")</f>
        <v>No</v>
      </c>
      <c r="D1299" t="str">
        <f>IFERROR(INDEX(SETTINGS!$C$15:$C$24,MATCH(A1299,SETTINGS!$A$15:$A$24,0)),"No")</f>
        <v>No</v>
      </c>
      <c r="E1299">
        <v>9</v>
      </c>
      <c r="F1299" t="s">
        <v>42</v>
      </c>
      <c r="G1299">
        <v>207</v>
      </c>
      <c r="H1299" t="s">
        <v>99</v>
      </c>
      <c r="I1299" t="s">
        <v>15</v>
      </c>
      <c r="J1299" t="s">
        <v>18</v>
      </c>
      <c r="K1299" t="s">
        <v>3</v>
      </c>
      <c r="L1299" s="36">
        <f ca="1">IF(C1299&lt;&gt;"Yes",0,IF(A1299=2025,N('2025'!D207),IF(A1299=2026,N('2026'!D207),IF(A1299=2027,N('2027'!D207),IF(A1299=2028,N('2028'!D207),IF(A1299=2029,N('2029'!D207),IF(A1299=2030,N('2030'!D207),IF(A1299=2031,N('2031'!D207),IF(A1299=2032,N('2032'!D207),IF(A1299=2033,N('2033'!D207),IF(A1299=2034,N('2034'!D207),IFERROR(N(INDIRECT("'"&amp;A1299&amp;"'!D"&amp;G1299)),0))))))))))))</f>
        <v>0</v>
      </c>
      <c r="M1299" s="36">
        <f>IFERROR(IF(NOT(ISBLANK(KPI_TARGETS!$L$10)),KPI_TARGETS!$L$10,IF(NOT(ISBLANK(KPI_TARGETS!$F$10)),KPI_TARGETS!$F$10,"")),"")</f>
        <v>0</v>
      </c>
      <c r="N1299" s="36" t="str">
        <f>IFERROR(KPI_TARGETS!$E$10,"Higher is better")</f>
        <v>Lower is better</v>
      </c>
      <c r="O1299" s="37">
        <f t="shared" ca="1" si="120"/>
        <v>1</v>
      </c>
      <c r="P1299" t="str">
        <f t="shared" ca="1" si="121"/>
        <v>Green</v>
      </c>
      <c r="Q1299" s="36">
        <f t="shared" ca="1" si="122"/>
        <v>0</v>
      </c>
      <c r="R1299" s="36" t="str">
        <f>""</f>
        <v/>
      </c>
      <c r="S1299" s="36" t="str">
        <f>""</f>
        <v/>
      </c>
      <c r="T1299" s="36" t="str">
        <f>""</f>
        <v/>
      </c>
      <c r="U1299" s="36" t="str">
        <f>""</f>
        <v/>
      </c>
      <c r="V1299" s="36" t="str">
        <f>""</f>
        <v/>
      </c>
      <c r="W1299" s="36">
        <f t="shared" si="123"/>
        <v>1</v>
      </c>
      <c r="X1299" t="str">
        <f t="shared" si="124"/>
        <v>Inactive</v>
      </c>
      <c r="Y1299" t="str">
        <f>IF(MAIN!$H$3="Selected Year",IF(A1299=MAIN!$B$3,"Yes","No"),IF(MAIN!$H$3="Included Years",IF(D1299="Yes","Yes","No"),IF(C1299="Yes","Yes","No")))</f>
        <v>No</v>
      </c>
      <c r="Z1299" t="str">
        <f>IF(MAIN!$F$3="Project to Date",IF(AND(A1299&gt;=SETTINGS!$B$4,A1299&lt;MAIN!$B$3),"Yes",IF(AND(A1299=MAIN!$B$3,E1299&lt;=MAIN!$L$3),"Yes","No")),IF(OR(MAIN!$F$3="Full Year",MAIN!$D$3="All"),"Yes",IF(MAIN!$F$3="Monthly",IF(E1299=MAIN!$L$3,"Yes","No"),IF(E1299&lt;=MAIN!$L$3,"Yes","No"))))</f>
        <v>Yes</v>
      </c>
      <c r="AA1299" t="str">
        <f t="shared" si="125"/>
        <v>No</v>
      </c>
    </row>
    <row r="1300" spans="1:27" x14ac:dyDescent="0.3">
      <c r="A1300">
        <f>INDEX(SETTINGS!$A$15:$A$24,$B1300)</f>
        <v>2030</v>
      </c>
      <c r="B1300">
        <v>6</v>
      </c>
      <c r="C1300" t="str">
        <f>IF(AND(A1300&gt;=SETTINGS!$B$4,A1300&lt;=SETTINGS!$B$5),"Yes","No")</f>
        <v>No</v>
      </c>
      <c r="D1300" t="str">
        <f>IFERROR(INDEX(SETTINGS!$C$15:$C$24,MATCH(A1300,SETTINGS!$A$15:$A$24,0)),"No")</f>
        <v>No</v>
      </c>
      <c r="E1300">
        <v>9</v>
      </c>
      <c r="F1300" t="s">
        <v>42</v>
      </c>
      <c r="G1300">
        <v>208</v>
      </c>
      <c r="H1300" t="s">
        <v>100</v>
      </c>
      <c r="I1300" t="s">
        <v>15</v>
      </c>
      <c r="J1300" t="s">
        <v>19</v>
      </c>
      <c r="K1300" t="s">
        <v>3</v>
      </c>
      <c r="L1300" s="36">
        <f ca="1">IF(C1300&lt;&gt;"Yes",0,IF(A1300=2025,N('2025'!D208),IF(A1300=2026,N('2026'!D208),IF(A1300=2027,N('2027'!D208),IF(A1300=2028,N('2028'!D208),IF(A1300=2029,N('2029'!D208),IF(A1300=2030,N('2030'!D208),IF(A1300=2031,N('2031'!D208),IF(A1300=2032,N('2032'!D208),IF(A1300=2033,N('2033'!D208),IF(A1300=2034,N('2034'!D208),IFERROR(N(INDIRECT("'"&amp;A1300&amp;"'!D"&amp;G1300)),0))))))))))))</f>
        <v>0</v>
      </c>
      <c r="M1300" s="36">
        <f>IFERROR(IF(NOT(ISBLANK(KPI_TARGETS!$L$11)),KPI_TARGETS!$L$11,IF(NOT(ISBLANK(KPI_TARGETS!$F$11)),KPI_TARGETS!$F$11,"")),"")</f>
        <v>0</v>
      </c>
      <c r="N1300" s="36" t="str">
        <f>IFERROR(KPI_TARGETS!$E$11,"Higher is better")</f>
        <v>Lower is better</v>
      </c>
      <c r="O1300" s="37">
        <f t="shared" ca="1" si="120"/>
        <v>1</v>
      </c>
      <c r="P1300" t="str">
        <f t="shared" ca="1" si="121"/>
        <v>Green</v>
      </c>
      <c r="Q1300" s="36">
        <f t="shared" ca="1" si="122"/>
        <v>0</v>
      </c>
      <c r="R1300" s="36" t="str">
        <f>""</f>
        <v/>
      </c>
      <c r="S1300" s="36" t="str">
        <f>""</f>
        <v/>
      </c>
      <c r="T1300" s="36" t="str">
        <f>""</f>
        <v/>
      </c>
      <c r="U1300" s="36" t="str">
        <f>""</f>
        <v/>
      </c>
      <c r="V1300" s="36" t="str">
        <f>""</f>
        <v/>
      </c>
      <c r="W1300" s="36">
        <f t="shared" si="123"/>
        <v>1</v>
      </c>
      <c r="X1300" t="str">
        <f t="shared" si="124"/>
        <v>Inactive</v>
      </c>
      <c r="Y1300" t="str">
        <f>IF(MAIN!$H$3="Selected Year",IF(A1300=MAIN!$B$3,"Yes","No"),IF(MAIN!$H$3="Included Years",IF(D1300="Yes","Yes","No"),IF(C1300="Yes","Yes","No")))</f>
        <v>No</v>
      </c>
      <c r="Z1300" t="str">
        <f>IF(MAIN!$F$3="Project to Date",IF(AND(A1300&gt;=SETTINGS!$B$4,A1300&lt;MAIN!$B$3),"Yes",IF(AND(A1300=MAIN!$B$3,E1300&lt;=MAIN!$L$3),"Yes","No")),IF(OR(MAIN!$F$3="Full Year",MAIN!$D$3="All"),"Yes",IF(MAIN!$F$3="Monthly",IF(E1300=MAIN!$L$3,"Yes","No"),IF(E1300&lt;=MAIN!$L$3,"Yes","No"))))</f>
        <v>Yes</v>
      </c>
      <c r="AA1300" t="str">
        <f t="shared" si="125"/>
        <v>No</v>
      </c>
    </row>
    <row r="1301" spans="1:27" x14ac:dyDescent="0.3">
      <c r="A1301">
        <f>INDEX(SETTINGS!$A$15:$A$24,$B1301)</f>
        <v>2030</v>
      </c>
      <c r="B1301">
        <v>6</v>
      </c>
      <c r="C1301" t="str">
        <f>IF(AND(A1301&gt;=SETTINGS!$B$4,A1301&lt;=SETTINGS!$B$5),"Yes","No")</f>
        <v>No</v>
      </c>
      <c r="D1301" t="str">
        <f>IFERROR(INDEX(SETTINGS!$C$15:$C$24,MATCH(A1301,SETTINGS!$A$15:$A$24,0)),"No")</f>
        <v>No</v>
      </c>
      <c r="E1301">
        <v>9</v>
      </c>
      <c r="F1301" t="s">
        <v>42</v>
      </c>
      <c r="G1301">
        <v>209</v>
      </c>
      <c r="H1301" t="s">
        <v>101</v>
      </c>
      <c r="I1301" t="s">
        <v>15</v>
      </c>
      <c r="J1301" t="s">
        <v>20</v>
      </c>
      <c r="K1301" t="s">
        <v>3</v>
      </c>
      <c r="L1301" s="36">
        <f ca="1">IF(C1301&lt;&gt;"Yes",0,IF(A1301=2025,N('2025'!D209),IF(A1301=2026,N('2026'!D209),IF(A1301=2027,N('2027'!D209),IF(A1301=2028,N('2028'!D209),IF(A1301=2029,N('2029'!D209),IF(A1301=2030,N('2030'!D209),IF(A1301=2031,N('2031'!D209),IF(A1301=2032,N('2032'!D209),IF(A1301=2033,N('2033'!D209),IF(A1301=2034,N('2034'!D209),IFERROR(N(INDIRECT("'"&amp;A1301&amp;"'!D"&amp;G1301)),0))))))))))))</f>
        <v>0</v>
      </c>
      <c r="M1301" s="36">
        <f>IFERROR(IF(NOT(ISBLANK(KPI_TARGETS!$L$12)),KPI_TARGETS!$L$12,IF(NOT(ISBLANK(KPI_TARGETS!$F$12)),KPI_TARGETS!$F$12,"")),"")</f>
        <v>0</v>
      </c>
      <c r="N1301" s="36" t="str">
        <f>IFERROR(KPI_TARGETS!$E$12,"Higher is better")</f>
        <v>Lower is better</v>
      </c>
      <c r="O1301" s="37">
        <f t="shared" ca="1" si="120"/>
        <v>1</v>
      </c>
      <c r="P1301" t="str">
        <f t="shared" ca="1" si="121"/>
        <v>Green</v>
      </c>
      <c r="Q1301" s="36">
        <f t="shared" ca="1" si="122"/>
        <v>0</v>
      </c>
      <c r="R1301" s="36" t="str">
        <f>""</f>
        <v/>
      </c>
      <c r="S1301" s="36" t="str">
        <f>""</f>
        <v/>
      </c>
      <c r="T1301" s="36" t="str">
        <f>""</f>
        <v/>
      </c>
      <c r="U1301" s="36" t="str">
        <f>""</f>
        <v/>
      </c>
      <c r="V1301" s="36" t="str">
        <f>""</f>
        <v/>
      </c>
      <c r="W1301" s="36">
        <f t="shared" si="123"/>
        <v>1</v>
      </c>
      <c r="X1301" t="str">
        <f t="shared" si="124"/>
        <v>Inactive</v>
      </c>
      <c r="Y1301" t="str">
        <f>IF(MAIN!$H$3="Selected Year",IF(A1301=MAIN!$B$3,"Yes","No"),IF(MAIN!$H$3="Included Years",IF(D1301="Yes","Yes","No"),IF(C1301="Yes","Yes","No")))</f>
        <v>No</v>
      </c>
      <c r="Z1301" t="str">
        <f>IF(MAIN!$F$3="Project to Date",IF(AND(A1301&gt;=SETTINGS!$B$4,A1301&lt;MAIN!$B$3),"Yes",IF(AND(A1301=MAIN!$B$3,E1301&lt;=MAIN!$L$3),"Yes","No")),IF(OR(MAIN!$F$3="Full Year",MAIN!$D$3="All"),"Yes",IF(MAIN!$F$3="Monthly",IF(E1301=MAIN!$L$3,"Yes","No"),IF(E1301&lt;=MAIN!$L$3,"Yes","No"))))</f>
        <v>Yes</v>
      </c>
      <c r="AA1301" t="str">
        <f t="shared" si="125"/>
        <v>No</v>
      </c>
    </row>
    <row r="1302" spans="1:27" x14ac:dyDescent="0.3">
      <c r="A1302">
        <f>INDEX(SETTINGS!$A$15:$A$24,$B1302)</f>
        <v>2030</v>
      </c>
      <c r="B1302">
        <v>6</v>
      </c>
      <c r="C1302" t="str">
        <f>IF(AND(A1302&gt;=SETTINGS!$B$4,A1302&lt;=SETTINGS!$B$5),"Yes","No")</f>
        <v>No</v>
      </c>
      <c r="D1302" t="str">
        <f>IFERROR(INDEX(SETTINGS!$C$15:$C$24,MATCH(A1302,SETTINGS!$A$15:$A$24,0)),"No")</f>
        <v>No</v>
      </c>
      <c r="E1302">
        <v>9</v>
      </c>
      <c r="F1302" t="s">
        <v>42</v>
      </c>
      <c r="G1302">
        <v>210</v>
      </c>
      <c r="H1302" t="s">
        <v>102</v>
      </c>
      <c r="I1302" t="s">
        <v>15</v>
      </c>
      <c r="J1302" t="s">
        <v>21</v>
      </c>
      <c r="K1302" t="s">
        <v>3</v>
      </c>
      <c r="L1302" s="36">
        <f ca="1">IF(C1302&lt;&gt;"Yes",0,IF(A1302=2025,N('2025'!D210),IF(A1302=2026,N('2026'!D210),IF(A1302=2027,N('2027'!D210),IF(A1302=2028,N('2028'!D210),IF(A1302=2029,N('2029'!D210),IF(A1302=2030,N('2030'!D210),IF(A1302=2031,N('2031'!D210),IF(A1302=2032,N('2032'!D210),IF(A1302=2033,N('2033'!D210),IF(A1302=2034,N('2034'!D210),IFERROR(N(INDIRECT("'"&amp;A1302&amp;"'!D"&amp;G1302)),0))))))))))))</f>
        <v>0</v>
      </c>
      <c r="M1302" s="36">
        <f>IFERROR(IF(NOT(ISBLANK(KPI_TARGETS!$L$13)),KPI_TARGETS!$L$13,IF(NOT(ISBLANK(KPI_TARGETS!$F$13)),KPI_TARGETS!$F$13,"")),"")</f>
        <v>0</v>
      </c>
      <c r="N1302" s="36" t="str">
        <f>IFERROR(KPI_TARGETS!$E$13,"Higher is better")</f>
        <v>Lower is better</v>
      </c>
      <c r="O1302" s="37">
        <f t="shared" ca="1" si="120"/>
        <v>1</v>
      </c>
      <c r="P1302" t="str">
        <f t="shared" ca="1" si="121"/>
        <v>Green</v>
      </c>
      <c r="Q1302" s="36">
        <f t="shared" ca="1" si="122"/>
        <v>0</v>
      </c>
      <c r="R1302" s="36" t="str">
        <f>""</f>
        <v/>
      </c>
      <c r="S1302" s="36" t="str">
        <f>""</f>
        <v/>
      </c>
      <c r="T1302" s="36" t="str">
        <f>""</f>
        <v/>
      </c>
      <c r="U1302" s="36" t="str">
        <f>""</f>
        <v/>
      </c>
      <c r="V1302" s="36" t="str">
        <f>""</f>
        <v/>
      </c>
      <c r="W1302" s="36">
        <f t="shared" si="123"/>
        <v>1</v>
      </c>
      <c r="X1302" t="str">
        <f t="shared" si="124"/>
        <v>Inactive</v>
      </c>
      <c r="Y1302" t="str">
        <f>IF(MAIN!$H$3="Selected Year",IF(A1302=MAIN!$B$3,"Yes","No"),IF(MAIN!$H$3="Included Years",IF(D1302="Yes","Yes","No"),IF(C1302="Yes","Yes","No")))</f>
        <v>No</v>
      </c>
      <c r="Z1302" t="str">
        <f>IF(MAIN!$F$3="Project to Date",IF(AND(A1302&gt;=SETTINGS!$B$4,A1302&lt;MAIN!$B$3),"Yes",IF(AND(A1302=MAIN!$B$3,E1302&lt;=MAIN!$L$3),"Yes","No")),IF(OR(MAIN!$F$3="Full Year",MAIN!$D$3="All"),"Yes",IF(MAIN!$F$3="Monthly",IF(E1302=MAIN!$L$3,"Yes","No"),IF(E1302&lt;=MAIN!$L$3,"Yes","No"))))</f>
        <v>Yes</v>
      </c>
      <c r="AA1302" t="str">
        <f t="shared" si="125"/>
        <v>No</v>
      </c>
    </row>
    <row r="1303" spans="1:27" x14ac:dyDescent="0.3">
      <c r="A1303">
        <f>INDEX(SETTINGS!$A$15:$A$24,$B1303)</f>
        <v>2030</v>
      </c>
      <c r="B1303">
        <v>6</v>
      </c>
      <c r="C1303" t="str">
        <f>IF(AND(A1303&gt;=SETTINGS!$B$4,A1303&lt;=SETTINGS!$B$5),"Yes","No")</f>
        <v>No</v>
      </c>
      <c r="D1303" t="str">
        <f>IFERROR(INDEX(SETTINGS!$C$15:$C$24,MATCH(A1303,SETTINGS!$A$15:$A$24,0)),"No")</f>
        <v>No</v>
      </c>
      <c r="E1303">
        <v>9</v>
      </c>
      <c r="F1303" t="s">
        <v>42</v>
      </c>
      <c r="G1303">
        <v>212</v>
      </c>
      <c r="H1303" t="s">
        <v>103</v>
      </c>
      <c r="I1303" t="s">
        <v>22</v>
      </c>
      <c r="J1303" t="s">
        <v>23</v>
      </c>
      <c r="K1303" t="s">
        <v>3</v>
      </c>
      <c r="L1303" s="36">
        <f ca="1">IF(C1303&lt;&gt;"Yes",0,IF(A1303=2025,N('2025'!D212),IF(A1303=2026,N('2026'!D212),IF(A1303=2027,N('2027'!D212),IF(A1303=2028,N('2028'!D212),IF(A1303=2029,N('2029'!D212),IF(A1303=2030,N('2030'!D212),IF(A1303=2031,N('2031'!D212),IF(A1303=2032,N('2032'!D212),IF(A1303=2033,N('2033'!D212),IF(A1303=2034,N('2034'!D212),IFERROR(N(INDIRECT("'"&amp;A1303&amp;"'!D"&amp;G1303)),0))))))))))))</f>
        <v>0</v>
      </c>
      <c r="M1303" s="36">
        <f>IFERROR(IF(NOT(ISBLANK(KPI_TARGETS!$L$14)),KPI_TARGETS!$L$14,IF(NOT(ISBLANK(KPI_TARGETS!$F$14)),KPI_TARGETS!$F$14,"")),"")</f>
        <v>35</v>
      </c>
      <c r="N1303" s="36" t="str">
        <f>IFERROR(KPI_TARGETS!$E$14,"Higher is better")</f>
        <v>Higher is better</v>
      </c>
      <c r="O1303" s="37">
        <f t="shared" ca="1" si="120"/>
        <v>0</v>
      </c>
      <c r="P1303" t="str">
        <f t="shared" ca="1" si="121"/>
        <v>Red</v>
      </c>
      <c r="Q1303" s="36">
        <f t="shared" ca="1" si="122"/>
        <v>-35</v>
      </c>
      <c r="R1303" s="36" t="str">
        <f>""</f>
        <v/>
      </c>
      <c r="S1303" s="36" t="str">
        <f>""</f>
        <v/>
      </c>
      <c r="T1303" s="36" t="str">
        <f>""</f>
        <v/>
      </c>
      <c r="U1303" s="36" t="str">
        <f>""</f>
        <v/>
      </c>
      <c r="V1303" s="36" t="str">
        <f>""</f>
        <v/>
      </c>
      <c r="W1303" s="36">
        <f t="shared" si="123"/>
        <v>1</v>
      </c>
      <c r="X1303" t="str">
        <f t="shared" si="124"/>
        <v>Inactive</v>
      </c>
      <c r="Y1303" t="str">
        <f>IF(MAIN!$H$3="Selected Year",IF(A1303=MAIN!$B$3,"Yes","No"),IF(MAIN!$H$3="Included Years",IF(D1303="Yes","Yes","No"),IF(C1303="Yes","Yes","No")))</f>
        <v>No</v>
      </c>
      <c r="Z1303" t="str">
        <f>IF(MAIN!$F$3="Project to Date",IF(AND(A1303&gt;=SETTINGS!$B$4,A1303&lt;MAIN!$B$3),"Yes",IF(AND(A1303=MAIN!$B$3,E1303&lt;=MAIN!$L$3),"Yes","No")),IF(OR(MAIN!$F$3="Full Year",MAIN!$D$3="All"),"Yes",IF(MAIN!$F$3="Monthly",IF(E1303=MAIN!$L$3,"Yes","No"),IF(E1303&lt;=MAIN!$L$3,"Yes","No"))))</f>
        <v>Yes</v>
      </c>
      <c r="AA1303" t="str">
        <f t="shared" si="125"/>
        <v>No</v>
      </c>
    </row>
    <row r="1304" spans="1:27" x14ac:dyDescent="0.3">
      <c r="A1304">
        <f>INDEX(SETTINGS!$A$15:$A$24,$B1304)</f>
        <v>2030</v>
      </c>
      <c r="B1304">
        <v>6</v>
      </c>
      <c r="C1304" t="str">
        <f>IF(AND(A1304&gt;=SETTINGS!$B$4,A1304&lt;=SETTINGS!$B$5),"Yes","No")</f>
        <v>No</v>
      </c>
      <c r="D1304" t="str">
        <f>IFERROR(INDEX(SETTINGS!$C$15:$C$24,MATCH(A1304,SETTINGS!$A$15:$A$24,0)),"No")</f>
        <v>No</v>
      </c>
      <c r="E1304">
        <v>9</v>
      </c>
      <c r="F1304" t="s">
        <v>42</v>
      </c>
      <c r="G1304">
        <v>213</v>
      </c>
      <c r="H1304" t="s">
        <v>104</v>
      </c>
      <c r="I1304" t="s">
        <v>22</v>
      </c>
      <c r="J1304" t="s">
        <v>24</v>
      </c>
      <c r="K1304" t="s">
        <v>3</v>
      </c>
      <c r="L1304" s="36">
        <f ca="1">IF(C1304&lt;&gt;"Yes",0,IF(A1304=2025,N('2025'!D213),IF(A1304=2026,N('2026'!D213),IF(A1304=2027,N('2027'!D213),IF(A1304=2028,N('2028'!D213),IF(A1304=2029,N('2029'!D213),IF(A1304=2030,N('2030'!D213),IF(A1304=2031,N('2031'!D213),IF(A1304=2032,N('2032'!D213),IF(A1304=2033,N('2033'!D213),IF(A1304=2034,N('2034'!D213),IFERROR(N(INDIRECT("'"&amp;A1304&amp;"'!D"&amp;G1304)),0))))))))))))</f>
        <v>0</v>
      </c>
      <c r="M1304" s="36">
        <f>IFERROR(IF(NOT(ISBLANK(KPI_TARGETS!$L$15)),KPI_TARGETS!$L$15,IF(NOT(ISBLANK(KPI_TARGETS!$F$15)),KPI_TARGETS!$F$15,"")),"")</f>
        <v>5</v>
      </c>
      <c r="N1304" s="36" t="str">
        <f>IFERROR(KPI_TARGETS!$E$15,"Higher is better")</f>
        <v>Higher is better</v>
      </c>
      <c r="O1304" s="37">
        <f t="shared" ca="1" si="120"/>
        <v>0</v>
      </c>
      <c r="P1304" t="str">
        <f t="shared" ca="1" si="121"/>
        <v>Red</v>
      </c>
      <c r="Q1304" s="36">
        <f t="shared" ca="1" si="122"/>
        <v>-5</v>
      </c>
      <c r="R1304" s="36" t="str">
        <f>""</f>
        <v/>
      </c>
      <c r="S1304" s="36" t="str">
        <f>""</f>
        <v/>
      </c>
      <c r="T1304" s="36" t="str">
        <f>""</f>
        <v/>
      </c>
      <c r="U1304" s="36" t="str">
        <f>""</f>
        <v/>
      </c>
      <c r="V1304" s="36" t="str">
        <f>""</f>
        <v/>
      </c>
      <c r="W1304" s="36">
        <f t="shared" si="123"/>
        <v>1</v>
      </c>
      <c r="X1304" t="str">
        <f t="shared" si="124"/>
        <v>Inactive</v>
      </c>
      <c r="Y1304" t="str">
        <f>IF(MAIN!$H$3="Selected Year",IF(A1304=MAIN!$B$3,"Yes","No"),IF(MAIN!$H$3="Included Years",IF(D1304="Yes","Yes","No"),IF(C1304="Yes","Yes","No")))</f>
        <v>No</v>
      </c>
      <c r="Z1304" t="str">
        <f>IF(MAIN!$F$3="Project to Date",IF(AND(A1304&gt;=SETTINGS!$B$4,A1304&lt;MAIN!$B$3),"Yes",IF(AND(A1304=MAIN!$B$3,E1304&lt;=MAIN!$L$3),"Yes","No")),IF(OR(MAIN!$F$3="Full Year",MAIN!$D$3="All"),"Yes",IF(MAIN!$F$3="Monthly",IF(E1304=MAIN!$L$3,"Yes","No"),IF(E1304&lt;=MAIN!$L$3,"Yes","No"))))</f>
        <v>Yes</v>
      </c>
      <c r="AA1304" t="str">
        <f t="shared" si="125"/>
        <v>No</v>
      </c>
    </row>
    <row r="1305" spans="1:27" x14ac:dyDescent="0.3">
      <c r="A1305">
        <f>INDEX(SETTINGS!$A$15:$A$24,$B1305)</f>
        <v>2030</v>
      </c>
      <c r="B1305">
        <v>6</v>
      </c>
      <c r="C1305" t="str">
        <f>IF(AND(A1305&gt;=SETTINGS!$B$4,A1305&lt;=SETTINGS!$B$5),"Yes","No")</f>
        <v>No</v>
      </c>
      <c r="D1305" t="str">
        <f>IFERROR(INDEX(SETTINGS!$C$15:$C$24,MATCH(A1305,SETTINGS!$A$15:$A$24,0)),"No")</f>
        <v>No</v>
      </c>
      <c r="E1305">
        <v>9</v>
      </c>
      <c r="F1305" t="s">
        <v>42</v>
      </c>
      <c r="G1305">
        <v>214</v>
      </c>
      <c r="H1305" t="s">
        <v>105</v>
      </c>
      <c r="I1305" t="s">
        <v>22</v>
      </c>
      <c r="J1305" t="s">
        <v>25</v>
      </c>
      <c r="K1305" t="s">
        <v>3</v>
      </c>
      <c r="L1305" s="36">
        <f ca="1">IF(C1305&lt;&gt;"Yes",0,IF(A1305=2025,N('2025'!D214),IF(A1305=2026,N('2026'!D214),IF(A1305=2027,N('2027'!D214),IF(A1305=2028,N('2028'!D214),IF(A1305=2029,N('2029'!D214),IF(A1305=2030,N('2030'!D214),IF(A1305=2031,N('2031'!D214),IF(A1305=2032,N('2032'!D214),IF(A1305=2033,N('2033'!D214),IF(A1305=2034,N('2034'!D214),IFERROR(N(INDIRECT("'"&amp;A1305&amp;"'!D"&amp;G1305)),0))))))))))))</f>
        <v>0</v>
      </c>
      <c r="M1305" s="36">
        <f>IFERROR(IF(NOT(ISBLANK(KPI_TARGETS!$L$16)),KPI_TARGETS!$L$16,IF(NOT(ISBLANK(KPI_TARGETS!$F$16)),KPI_TARGETS!$F$16,"")),"")</f>
        <v>4</v>
      </c>
      <c r="N1305" s="36" t="str">
        <f>IFERROR(KPI_TARGETS!$E$16,"Higher is better")</f>
        <v>Higher is better</v>
      </c>
      <c r="O1305" s="37">
        <f t="shared" ca="1" si="120"/>
        <v>0</v>
      </c>
      <c r="P1305" t="str">
        <f t="shared" ca="1" si="121"/>
        <v>Red</v>
      </c>
      <c r="Q1305" s="36">
        <f t="shared" ca="1" si="122"/>
        <v>-4</v>
      </c>
      <c r="R1305" s="36" t="str">
        <f>""</f>
        <v/>
      </c>
      <c r="S1305" s="36" t="str">
        <f>""</f>
        <v/>
      </c>
      <c r="T1305" s="36" t="str">
        <f>""</f>
        <v/>
      </c>
      <c r="U1305" s="36" t="str">
        <f>""</f>
        <v/>
      </c>
      <c r="V1305" s="36" t="str">
        <f>""</f>
        <v/>
      </c>
      <c r="W1305" s="36">
        <f t="shared" si="123"/>
        <v>1</v>
      </c>
      <c r="X1305" t="str">
        <f t="shared" si="124"/>
        <v>Inactive</v>
      </c>
      <c r="Y1305" t="str">
        <f>IF(MAIN!$H$3="Selected Year",IF(A1305=MAIN!$B$3,"Yes","No"),IF(MAIN!$H$3="Included Years",IF(D1305="Yes","Yes","No"),IF(C1305="Yes","Yes","No")))</f>
        <v>No</v>
      </c>
      <c r="Z1305" t="str">
        <f>IF(MAIN!$F$3="Project to Date",IF(AND(A1305&gt;=SETTINGS!$B$4,A1305&lt;MAIN!$B$3),"Yes",IF(AND(A1305=MAIN!$B$3,E1305&lt;=MAIN!$L$3),"Yes","No")),IF(OR(MAIN!$F$3="Full Year",MAIN!$D$3="All"),"Yes",IF(MAIN!$F$3="Monthly",IF(E1305=MAIN!$L$3,"Yes","No"),IF(E1305&lt;=MAIN!$L$3,"Yes","No"))))</f>
        <v>Yes</v>
      </c>
      <c r="AA1305" t="str">
        <f t="shared" si="125"/>
        <v>No</v>
      </c>
    </row>
    <row r="1306" spans="1:27" x14ac:dyDescent="0.3">
      <c r="A1306">
        <f>INDEX(SETTINGS!$A$15:$A$24,$B1306)</f>
        <v>2030</v>
      </c>
      <c r="B1306">
        <v>6</v>
      </c>
      <c r="C1306" t="str">
        <f>IF(AND(A1306&gt;=SETTINGS!$B$4,A1306&lt;=SETTINGS!$B$5),"Yes","No")</f>
        <v>No</v>
      </c>
      <c r="D1306" t="str">
        <f>IFERROR(INDEX(SETTINGS!$C$15:$C$24,MATCH(A1306,SETTINGS!$A$15:$A$24,0)),"No")</f>
        <v>No</v>
      </c>
      <c r="E1306">
        <v>9</v>
      </c>
      <c r="F1306" t="s">
        <v>42</v>
      </c>
      <c r="G1306">
        <v>215</v>
      </c>
      <c r="H1306" t="s">
        <v>106</v>
      </c>
      <c r="I1306" t="s">
        <v>22</v>
      </c>
      <c r="J1306" t="s">
        <v>26</v>
      </c>
      <c r="K1306" t="s">
        <v>3</v>
      </c>
      <c r="L1306" s="36">
        <f ca="1">IF(C1306&lt;&gt;"Yes",0,IF(A1306=2025,N('2025'!D215),IF(A1306=2026,N('2026'!D215),IF(A1306=2027,N('2027'!D215),IF(A1306=2028,N('2028'!D215),IF(A1306=2029,N('2029'!D215),IF(A1306=2030,N('2030'!D215),IF(A1306=2031,N('2031'!D215),IF(A1306=2032,N('2032'!D215),IF(A1306=2033,N('2033'!D215),IF(A1306=2034,N('2034'!D215),IFERROR(N(INDIRECT("'"&amp;A1306&amp;"'!D"&amp;G1306)),0))))))))))))</f>
        <v>0</v>
      </c>
      <c r="M1306" s="36">
        <f>IFERROR(IF(NOT(ISBLANK(KPI_TARGETS!$L$17)),KPI_TARGETS!$L$17,IF(NOT(ISBLANK(KPI_TARGETS!$F$17)),KPI_TARGETS!$F$17,"")),"")</f>
        <v>12</v>
      </c>
      <c r="N1306" s="36" t="str">
        <f>IFERROR(KPI_TARGETS!$E$17,"Higher is better")</f>
        <v>Higher is better</v>
      </c>
      <c r="O1306" s="37">
        <f t="shared" ca="1" si="120"/>
        <v>0</v>
      </c>
      <c r="P1306" t="str">
        <f t="shared" ca="1" si="121"/>
        <v>Red</v>
      </c>
      <c r="Q1306" s="36">
        <f t="shared" ca="1" si="122"/>
        <v>-12</v>
      </c>
      <c r="R1306" s="36" t="str">
        <f>""</f>
        <v/>
      </c>
      <c r="S1306" s="36" t="str">
        <f>""</f>
        <v/>
      </c>
      <c r="T1306" s="36" t="str">
        <f>""</f>
        <v/>
      </c>
      <c r="U1306" s="36" t="str">
        <f>""</f>
        <v/>
      </c>
      <c r="V1306" s="36" t="str">
        <f>""</f>
        <v/>
      </c>
      <c r="W1306" s="36">
        <f t="shared" si="123"/>
        <v>1</v>
      </c>
      <c r="X1306" t="str">
        <f t="shared" si="124"/>
        <v>Inactive</v>
      </c>
      <c r="Y1306" t="str">
        <f>IF(MAIN!$H$3="Selected Year",IF(A1306=MAIN!$B$3,"Yes","No"),IF(MAIN!$H$3="Included Years",IF(D1306="Yes","Yes","No"),IF(C1306="Yes","Yes","No")))</f>
        <v>No</v>
      </c>
      <c r="Z1306" t="str">
        <f>IF(MAIN!$F$3="Project to Date",IF(AND(A1306&gt;=SETTINGS!$B$4,A1306&lt;MAIN!$B$3),"Yes",IF(AND(A1306=MAIN!$B$3,E1306&lt;=MAIN!$L$3),"Yes","No")),IF(OR(MAIN!$F$3="Full Year",MAIN!$D$3="All"),"Yes",IF(MAIN!$F$3="Monthly",IF(E1306=MAIN!$L$3,"Yes","No"),IF(E1306&lt;=MAIN!$L$3,"Yes","No"))))</f>
        <v>Yes</v>
      </c>
      <c r="AA1306" t="str">
        <f t="shared" si="125"/>
        <v>No</v>
      </c>
    </row>
    <row r="1307" spans="1:27" x14ac:dyDescent="0.3">
      <c r="A1307">
        <f>INDEX(SETTINGS!$A$15:$A$24,$B1307)</f>
        <v>2030</v>
      </c>
      <c r="B1307">
        <v>6</v>
      </c>
      <c r="C1307" t="str">
        <f>IF(AND(A1307&gt;=SETTINGS!$B$4,A1307&lt;=SETTINGS!$B$5),"Yes","No")</f>
        <v>No</v>
      </c>
      <c r="D1307" t="str">
        <f>IFERROR(INDEX(SETTINGS!$C$15:$C$24,MATCH(A1307,SETTINGS!$A$15:$A$24,0)),"No")</f>
        <v>No</v>
      </c>
      <c r="E1307">
        <v>9</v>
      </c>
      <c r="F1307" t="s">
        <v>42</v>
      </c>
      <c r="G1307">
        <v>216</v>
      </c>
      <c r="H1307" t="s">
        <v>107</v>
      </c>
      <c r="I1307" t="s">
        <v>22</v>
      </c>
      <c r="J1307" t="s">
        <v>27</v>
      </c>
      <c r="K1307" t="s">
        <v>3</v>
      </c>
      <c r="L1307" s="36">
        <f ca="1">IF(C1307&lt;&gt;"Yes",0,IF(A1307=2025,N('2025'!D216),IF(A1307=2026,N('2026'!D216),IF(A1307=2027,N('2027'!D216),IF(A1307=2028,N('2028'!D216),IF(A1307=2029,N('2029'!D216),IF(A1307=2030,N('2030'!D216),IF(A1307=2031,N('2031'!D216),IF(A1307=2032,N('2032'!D216),IF(A1307=2033,N('2033'!D216),IF(A1307=2034,N('2034'!D216),IFERROR(N(INDIRECT("'"&amp;A1307&amp;"'!D"&amp;G1307)),0))))))))))))</f>
        <v>0</v>
      </c>
      <c r="M1307" s="36">
        <f>IFERROR(IF(NOT(ISBLANK(KPI_TARGETS!$L$18)),KPI_TARGETS!$L$18,IF(NOT(ISBLANK(KPI_TARGETS!$F$18)),KPI_TARGETS!$F$18,"")),"")</f>
        <v>4</v>
      </c>
      <c r="N1307" s="36" t="str">
        <f>IFERROR(KPI_TARGETS!$E$18,"Higher is better")</f>
        <v>Higher is better</v>
      </c>
      <c r="O1307" s="37">
        <f t="shared" ca="1" si="120"/>
        <v>0</v>
      </c>
      <c r="P1307" t="str">
        <f t="shared" ca="1" si="121"/>
        <v>Red</v>
      </c>
      <c r="Q1307" s="36">
        <f t="shared" ca="1" si="122"/>
        <v>-4</v>
      </c>
      <c r="R1307" s="36" t="str">
        <f>""</f>
        <v/>
      </c>
      <c r="S1307" s="36" t="str">
        <f>""</f>
        <v/>
      </c>
      <c r="T1307" s="36" t="str">
        <f>""</f>
        <v/>
      </c>
      <c r="U1307" s="36" t="str">
        <f>""</f>
        <v/>
      </c>
      <c r="V1307" s="36" t="str">
        <f>""</f>
        <v/>
      </c>
      <c r="W1307" s="36">
        <f t="shared" si="123"/>
        <v>1</v>
      </c>
      <c r="X1307" t="str">
        <f t="shared" si="124"/>
        <v>Inactive</v>
      </c>
      <c r="Y1307" t="str">
        <f>IF(MAIN!$H$3="Selected Year",IF(A1307=MAIN!$B$3,"Yes","No"),IF(MAIN!$H$3="Included Years",IF(D1307="Yes","Yes","No"),IF(C1307="Yes","Yes","No")))</f>
        <v>No</v>
      </c>
      <c r="Z1307" t="str">
        <f>IF(MAIN!$F$3="Project to Date",IF(AND(A1307&gt;=SETTINGS!$B$4,A1307&lt;MAIN!$B$3),"Yes",IF(AND(A1307=MAIN!$B$3,E1307&lt;=MAIN!$L$3),"Yes","No")),IF(OR(MAIN!$F$3="Full Year",MAIN!$D$3="All"),"Yes",IF(MAIN!$F$3="Monthly",IF(E1307=MAIN!$L$3,"Yes","No"),IF(E1307&lt;=MAIN!$L$3,"Yes","No"))))</f>
        <v>Yes</v>
      </c>
      <c r="AA1307" t="str">
        <f t="shared" si="125"/>
        <v>No</v>
      </c>
    </row>
    <row r="1308" spans="1:27" x14ac:dyDescent="0.3">
      <c r="A1308">
        <f>INDEX(SETTINGS!$A$15:$A$24,$B1308)</f>
        <v>2030</v>
      </c>
      <c r="B1308">
        <v>6</v>
      </c>
      <c r="C1308" t="str">
        <f>IF(AND(A1308&gt;=SETTINGS!$B$4,A1308&lt;=SETTINGS!$B$5),"Yes","No")</f>
        <v>No</v>
      </c>
      <c r="D1308" t="str">
        <f>IFERROR(INDEX(SETTINGS!$C$15:$C$24,MATCH(A1308,SETTINGS!$A$15:$A$24,0)),"No")</f>
        <v>No</v>
      </c>
      <c r="E1308">
        <v>9</v>
      </c>
      <c r="F1308" t="s">
        <v>42</v>
      </c>
      <c r="G1308">
        <v>217</v>
      </c>
      <c r="H1308" t="s">
        <v>108</v>
      </c>
      <c r="I1308" t="s">
        <v>22</v>
      </c>
      <c r="J1308" t="s">
        <v>28</v>
      </c>
      <c r="K1308" t="s">
        <v>3</v>
      </c>
      <c r="L1308" s="36">
        <f ca="1">IF(C1308&lt;&gt;"Yes",0,IF(A1308=2025,N('2025'!D217),IF(A1308=2026,N('2026'!D217),IF(A1308=2027,N('2027'!D217),IF(A1308=2028,N('2028'!D217),IF(A1308=2029,N('2029'!D217),IF(A1308=2030,N('2030'!D217),IF(A1308=2031,N('2031'!D217),IF(A1308=2032,N('2032'!D217),IF(A1308=2033,N('2033'!D217),IF(A1308=2034,N('2034'!D217),IFERROR(N(INDIRECT("'"&amp;A1308&amp;"'!D"&amp;G1308)),0))))))))))))</f>
        <v>0</v>
      </c>
      <c r="M1308" s="36">
        <f>IFERROR(IF(NOT(ISBLANK(KPI_TARGETS!$L$19)),KPI_TARGETS!$L$19,IF(NOT(ISBLANK(KPI_TARGETS!$F$19)),KPI_TARGETS!$F$19,"")),"")</f>
        <v>16</v>
      </c>
      <c r="N1308" s="36" t="str">
        <f>IFERROR(KPI_TARGETS!$E$19,"Higher is better")</f>
        <v>Higher is better</v>
      </c>
      <c r="O1308" s="37">
        <f t="shared" ca="1" si="120"/>
        <v>0</v>
      </c>
      <c r="P1308" t="str">
        <f t="shared" ca="1" si="121"/>
        <v>Red</v>
      </c>
      <c r="Q1308" s="36">
        <f t="shared" ca="1" si="122"/>
        <v>-16</v>
      </c>
      <c r="R1308" s="36" t="str">
        <f>""</f>
        <v/>
      </c>
      <c r="S1308" s="36" t="str">
        <f>""</f>
        <v/>
      </c>
      <c r="T1308" s="36" t="str">
        <f>""</f>
        <v/>
      </c>
      <c r="U1308" s="36" t="str">
        <f>""</f>
        <v/>
      </c>
      <c r="V1308" s="36" t="str">
        <f>""</f>
        <v/>
      </c>
      <c r="W1308" s="36">
        <f t="shared" si="123"/>
        <v>1</v>
      </c>
      <c r="X1308" t="str">
        <f t="shared" si="124"/>
        <v>Inactive</v>
      </c>
      <c r="Y1308" t="str">
        <f>IF(MAIN!$H$3="Selected Year",IF(A1308=MAIN!$B$3,"Yes","No"),IF(MAIN!$H$3="Included Years",IF(D1308="Yes","Yes","No"),IF(C1308="Yes","Yes","No")))</f>
        <v>No</v>
      </c>
      <c r="Z1308" t="str">
        <f>IF(MAIN!$F$3="Project to Date",IF(AND(A1308&gt;=SETTINGS!$B$4,A1308&lt;MAIN!$B$3),"Yes",IF(AND(A1308=MAIN!$B$3,E1308&lt;=MAIN!$L$3),"Yes","No")),IF(OR(MAIN!$F$3="Full Year",MAIN!$D$3="All"),"Yes",IF(MAIN!$F$3="Monthly",IF(E1308=MAIN!$L$3,"Yes","No"),IF(E1308&lt;=MAIN!$L$3,"Yes","No"))))</f>
        <v>Yes</v>
      </c>
      <c r="AA1308" t="str">
        <f t="shared" si="125"/>
        <v>No</v>
      </c>
    </row>
    <row r="1309" spans="1:27" x14ac:dyDescent="0.3">
      <c r="A1309">
        <f>INDEX(SETTINGS!$A$15:$A$24,$B1309)</f>
        <v>2030</v>
      </c>
      <c r="B1309">
        <v>6</v>
      </c>
      <c r="C1309" t="str">
        <f>IF(AND(A1309&gt;=SETTINGS!$B$4,A1309&lt;=SETTINGS!$B$5),"Yes","No")</f>
        <v>No</v>
      </c>
      <c r="D1309" t="str">
        <f>IFERROR(INDEX(SETTINGS!$C$15:$C$24,MATCH(A1309,SETTINGS!$A$15:$A$24,0)),"No")</f>
        <v>No</v>
      </c>
      <c r="E1309">
        <v>9</v>
      </c>
      <c r="F1309" t="s">
        <v>42</v>
      </c>
      <c r="G1309">
        <v>218</v>
      </c>
      <c r="H1309" t="s">
        <v>109</v>
      </c>
      <c r="I1309" t="s">
        <v>22</v>
      </c>
      <c r="J1309" t="s">
        <v>29</v>
      </c>
      <c r="K1309" t="s">
        <v>3</v>
      </c>
      <c r="L1309" s="36">
        <f ca="1">IF(C1309&lt;&gt;"Yes",0,IF(A1309=2025,N('2025'!D218),IF(A1309=2026,N('2026'!D218),IF(A1309=2027,N('2027'!D218),IF(A1309=2028,N('2028'!D218),IF(A1309=2029,N('2029'!D218),IF(A1309=2030,N('2030'!D218),IF(A1309=2031,N('2031'!D218),IF(A1309=2032,N('2032'!D218),IF(A1309=2033,N('2033'!D218),IF(A1309=2034,N('2034'!D218),IFERROR(N(INDIRECT("'"&amp;A1309&amp;"'!D"&amp;G1309)),0))))))))))))</f>
        <v>0</v>
      </c>
      <c r="M1309" s="36">
        <f>IFERROR(IF(NOT(ISBLANK(KPI_TARGETS!$L$20)),KPI_TARGETS!$L$20,IF(NOT(ISBLANK(KPI_TARGETS!$F$20)),KPI_TARGETS!$F$20,"")),"")</f>
        <v>1</v>
      </c>
      <c r="N1309" s="36" t="str">
        <f>IFERROR(KPI_TARGETS!$E$20,"Higher is better")</f>
        <v>Higher is better</v>
      </c>
      <c r="O1309" s="37">
        <f t="shared" ca="1" si="120"/>
        <v>0</v>
      </c>
      <c r="P1309" t="str">
        <f t="shared" ca="1" si="121"/>
        <v>Red</v>
      </c>
      <c r="Q1309" s="36">
        <f t="shared" ca="1" si="122"/>
        <v>-1</v>
      </c>
      <c r="R1309" s="36" t="str">
        <f>""</f>
        <v/>
      </c>
      <c r="S1309" s="36" t="str">
        <f>""</f>
        <v/>
      </c>
      <c r="T1309" s="36" t="str">
        <f>""</f>
        <v/>
      </c>
      <c r="U1309" s="36" t="str">
        <f>""</f>
        <v/>
      </c>
      <c r="V1309" s="36" t="str">
        <f>""</f>
        <v/>
      </c>
      <c r="W1309" s="36">
        <f t="shared" si="123"/>
        <v>1</v>
      </c>
      <c r="X1309" t="str">
        <f t="shared" si="124"/>
        <v>Inactive</v>
      </c>
      <c r="Y1309" t="str">
        <f>IF(MAIN!$H$3="Selected Year",IF(A1309=MAIN!$B$3,"Yes","No"),IF(MAIN!$H$3="Included Years",IF(D1309="Yes","Yes","No"),IF(C1309="Yes","Yes","No")))</f>
        <v>No</v>
      </c>
      <c r="Z1309" t="str">
        <f>IF(MAIN!$F$3="Project to Date",IF(AND(A1309&gt;=SETTINGS!$B$4,A1309&lt;MAIN!$B$3),"Yes",IF(AND(A1309=MAIN!$B$3,E1309&lt;=MAIN!$L$3),"Yes","No")),IF(OR(MAIN!$F$3="Full Year",MAIN!$D$3="All"),"Yes",IF(MAIN!$F$3="Monthly",IF(E1309=MAIN!$L$3,"Yes","No"),IF(E1309&lt;=MAIN!$L$3,"Yes","No"))))</f>
        <v>Yes</v>
      </c>
      <c r="AA1309" t="str">
        <f t="shared" si="125"/>
        <v>No</v>
      </c>
    </row>
    <row r="1310" spans="1:27" x14ac:dyDescent="0.3">
      <c r="A1310">
        <f>INDEX(SETTINGS!$A$15:$A$24,$B1310)</f>
        <v>2030</v>
      </c>
      <c r="B1310">
        <v>6</v>
      </c>
      <c r="C1310" t="str">
        <f>IF(AND(A1310&gt;=SETTINGS!$B$4,A1310&lt;=SETTINGS!$B$5),"Yes","No")</f>
        <v>No</v>
      </c>
      <c r="D1310" t="str">
        <f>IFERROR(INDEX(SETTINGS!$C$15:$C$24,MATCH(A1310,SETTINGS!$A$15:$A$24,0)),"No")</f>
        <v>No</v>
      </c>
      <c r="E1310">
        <v>9</v>
      </c>
      <c r="F1310" t="s">
        <v>42</v>
      </c>
      <c r="G1310">
        <v>220</v>
      </c>
      <c r="H1310" t="s">
        <v>110</v>
      </c>
      <c r="I1310" t="s">
        <v>30</v>
      </c>
      <c r="J1310" t="s">
        <v>31</v>
      </c>
      <c r="K1310" t="s">
        <v>3</v>
      </c>
      <c r="L1310" s="36">
        <f ca="1">IF(C1310&lt;&gt;"Yes",0,IF(A1310=2025,N('2025'!D220),IF(A1310=2026,N('2026'!D220),IF(A1310=2027,N('2027'!D220),IF(A1310=2028,N('2028'!D220),IF(A1310=2029,N('2029'!D220),IF(A1310=2030,N('2030'!D220),IF(A1310=2031,N('2031'!D220),IF(A1310=2032,N('2032'!D220),IF(A1310=2033,N('2033'!D220),IF(A1310=2034,N('2034'!D220),IFERROR(N(INDIRECT("'"&amp;A1310&amp;"'!D"&amp;G1310)),0))))))))))))</f>
        <v>0</v>
      </c>
      <c r="M1310" s="36">
        <f>IFERROR(IF(NOT(ISBLANK(KPI_TARGETS!$L$21)),KPI_TARGETS!$L$21,IF(NOT(ISBLANK(KPI_TARGETS!$F$21)),KPI_TARGETS!$F$21,"")),"")</f>
        <v>0</v>
      </c>
      <c r="N1310" s="36" t="str">
        <f>IFERROR(KPI_TARGETS!$E$21,"Higher is better")</f>
        <v>Lower is better</v>
      </c>
      <c r="O1310" s="37">
        <f t="shared" ca="1" si="120"/>
        <v>1</v>
      </c>
      <c r="P1310" t="str">
        <f t="shared" ca="1" si="121"/>
        <v>Green</v>
      </c>
      <c r="Q1310" s="36">
        <f t="shared" ca="1" si="122"/>
        <v>0</v>
      </c>
      <c r="R1310" s="36" t="str">
        <f>""</f>
        <v/>
      </c>
      <c r="S1310" s="36" t="str">
        <f>""</f>
        <v/>
      </c>
      <c r="T1310" s="36" t="str">
        <f>""</f>
        <v/>
      </c>
      <c r="U1310" s="36" t="str">
        <f>""</f>
        <v/>
      </c>
      <c r="V1310" s="36" t="str">
        <f>""</f>
        <v/>
      </c>
      <c r="W1310" s="36">
        <f t="shared" si="123"/>
        <v>1</v>
      </c>
      <c r="X1310" t="str">
        <f t="shared" si="124"/>
        <v>Inactive</v>
      </c>
      <c r="Y1310" t="str">
        <f>IF(MAIN!$H$3="Selected Year",IF(A1310=MAIN!$B$3,"Yes","No"),IF(MAIN!$H$3="Included Years",IF(D1310="Yes","Yes","No"),IF(C1310="Yes","Yes","No")))</f>
        <v>No</v>
      </c>
      <c r="Z1310" t="str">
        <f>IF(MAIN!$F$3="Project to Date",IF(AND(A1310&gt;=SETTINGS!$B$4,A1310&lt;MAIN!$B$3),"Yes",IF(AND(A1310=MAIN!$B$3,E1310&lt;=MAIN!$L$3),"Yes","No")),IF(OR(MAIN!$F$3="Full Year",MAIN!$D$3="All"),"Yes",IF(MAIN!$F$3="Monthly",IF(E1310=MAIN!$L$3,"Yes","No"),IF(E1310&lt;=MAIN!$L$3,"Yes","No"))))</f>
        <v>Yes</v>
      </c>
      <c r="AA1310" t="str">
        <f t="shared" si="125"/>
        <v>No</v>
      </c>
    </row>
    <row r="1311" spans="1:27" x14ac:dyDescent="0.3">
      <c r="A1311">
        <f>INDEX(SETTINGS!$A$15:$A$24,$B1311)</f>
        <v>2030</v>
      </c>
      <c r="B1311">
        <v>6</v>
      </c>
      <c r="C1311" t="str">
        <f>IF(AND(A1311&gt;=SETTINGS!$B$4,A1311&lt;=SETTINGS!$B$5),"Yes","No")</f>
        <v>No</v>
      </c>
      <c r="D1311" t="str">
        <f>IFERROR(INDEX(SETTINGS!$C$15:$C$24,MATCH(A1311,SETTINGS!$A$15:$A$24,0)),"No")</f>
        <v>No</v>
      </c>
      <c r="E1311">
        <v>9</v>
      </c>
      <c r="F1311" t="s">
        <v>42</v>
      </c>
      <c r="G1311">
        <v>221</v>
      </c>
      <c r="H1311" t="s">
        <v>111</v>
      </c>
      <c r="I1311" t="s">
        <v>30</v>
      </c>
      <c r="J1311" t="s">
        <v>32</v>
      </c>
      <c r="K1311" t="s">
        <v>3</v>
      </c>
      <c r="L1311" s="36">
        <f ca="1">IF(C1311&lt;&gt;"Yes",0,IF(A1311=2025,N('2025'!D221),IF(A1311=2026,N('2026'!D221),IF(A1311=2027,N('2027'!D221),IF(A1311=2028,N('2028'!D221),IF(A1311=2029,N('2029'!D221),IF(A1311=2030,N('2030'!D221),IF(A1311=2031,N('2031'!D221),IF(A1311=2032,N('2032'!D221),IF(A1311=2033,N('2033'!D221),IF(A1311=2034,N('2034'!D221),IFERROR(N(INDIRECT("'"&amp;A1311&amp;"'!D"&amp;G1311)),0))))))))))))</f>
        <v>0</v>
      </c>
      <c r="M1311" s="36">
        <f>IFERROR(IF(NOT(ISBLANK(KPI_TARGETS!$L$22)),KPI_TARGETS!$L$22,IF(NOT(ISBLANK(KPI_TARGETS!$F$22)),KPI_TARGETS!$F$22,"")),"")</f>
        <v>1</v>
      </c>
      <c r="N1311" s="36" t="str">
        <f>IFERROR(KPI_TARGETS!$E$22,"Higher is better")</f>
        <v>Higher is better</v>
      </c>
      <c r="O1311" s="37">
        <f t="shared" ca="1" si="120"/>
        <v>0</v>
      </c>
      <c r="P1311" t="str">
        <f t="shared" ca="1" si="121"/>
        <v>Red</v>
      </c>
      <c r="Q1311" s="36">
        <f t="shared" ca="1" si="122"/>
        <v>-1</v>
      </c>
      <c r="R1311" s="36" t="str">
        <f>""</f>
        <v/>
      </c>
      <c r="S1311" s="36" t="str">
        <f>""</f>
        <v/>
      </c>
      <c r="T1311" s="36" t="str">
        <f>""</f>
        <v/>
      </c>
      <c r="U1311" s="36" t="str">
        <f>""</f>
        <v/>
      </c>
      <c r="V1311" s="36" t="str">
        <f>""</f>
        <v/>
      </c>
      <c r="W1311" s="36">
        <f t="shared" si="123"/>
        <v>1</v>
      </c>
      <c r="X1311" t="str">
        <f t="shared" si="124"/>
        <v>Inactive</v>
      </c>
      <c r="Y1311" t="str">
        <f>IF(MAIN!$H$3="Selected Year",IF(A1311=MAIN!$B$3,"Yes","No"),IF(MAIN!$H$3="Included Years",IF(D1311="Yes","Yes","No"),IF(C1311="Yes","Yes","No")))</f>
        <v>No</v>
      </c>
      <c r="Z1311" t="str">
        <f>IF(MAIN!$F$3="Project to Date",IF(AND(A1311&gt;=SETTINGS!$B$4,A1311&lt;MAIN!$B$3),"Yes",IF(AND(A1311=MAIN!$B$3,E1311&lt;=MAIN!$L$3),"Yes","No")),IF(OR(MAIN!$F$3="Full Year",MAIN!$D$3="All"),"Yes",IF(MAIN!$F$3="Monthly",IF(E1311=MAIN!$L$3,"Yes","No"),IF(E1311&lt;=MAIN!$L$3,"Yes","No"))))</f>
        <v>Yes</v>
      </c>
      <c r="AA1311" t="str">
        <f t="shared" si="125"/>
        <v>No</v>
      </c>
    </row>
    <row r="1312" spans="1:27" x14ac:dyDescent="0.3">
      <c r="A1312">
        <f>INDEX(SETTINGS!$A$15:$A$24,$B1312)</f>
        <v>2030</v>
      </c>
      <c r="B1312">
        <v>6</v>
      </c>
      <c r="C1312" t="str">
        <f>IF(AND(A1312&gt;=SETTINGS!$B$4,A1312&lt;=SETTINGS!$B$5),"Yes","No")</f>
        <v>No</v>
      </c>
      <c r="D1312" t="str">
        <f>IFERROR(INDEX(SETTINGS!$C$15:$C$24,MATCH(A1312,SETTINGS!$A$15:$A$24,0)),"No")</f>
        <v>No</v>
      </c>
      <c r="E1312">
        <v>9</v>
      </c>
      <c r="F1312" t="s">
        <v>42</v>
      </c>
      <c r="G1312">
        <v>222</v>
      </c>
      <c r="H1312" t="s">
        <v>112</v>
      </c>
      <c r="I1312" t="s">
        <v>30</v>
      </c>
      <c r="J1312" t="s">
        <v>33</v>
      </c>
      <c r="K1312" t="s">
        <v>34</v>
      </c>
      <c r="L1312" s="36">
        <f ca="1">IF(C1312&lt;&gt;"Yes",0,IF(A1312=2025,N('2025'!D222),IF(A1312=2026,N('2026'!D222),IF(A1312=2027,N('2027'!D222),IF(A1312=2028,N('2028'!D222),IF(A1312=2029,N('2029'!D222),IF(A1312=2030,N('2030'!D222),IF(A1312=2031,N('2031'!D222),IF(A1312=2032,N('2032'!D222),IF(A1312=2033,N('2033'!D222),IF(A1312=2034,N('2034'!D222),IFERROR(N(INDIRECT("'"&amp;A1312&amp;"'!D"&amp;G1312)),0))))))))))))</f>
        <v>0</v>
      </c>
      <c r="M1312" s="36">
        <f>IFERROR(IF(NOT(ISBLANK(KPI_TARGETS!$L$23)),KPI_TARGETS!$L$23,IF(NOT(ISBLANK(KPI_TARGETS!$F$23)),KPI_TARGETS!$F$23,"")),"")</f>
        <v>1</v>
      </c>
      <c r="N1312" s="36" t="str">
        <f>IFERROR(KPI_TARGETS!$E$23,"Higher is better")</f>
        <v>Higher is better</v>
      </c>
      <c r="O1312" s="37">
        <f t="shared" ca="1" si="120"/>
        <v>0</v>
      </c>
      <c r="P1312" t="str">
        <f t="shared" ca="1" si="121"/>
        <v>Red</v>
      </c>
      <c r="Q1312" s="36">
        <f t="shared" ca="1" si="122"/>
        <v>-1</v>
      </c>
      <c r="R1312" s="36" t="str">
        <f>""</f>
        <v/>
      </c>
      <c r="S1312" s="36" t="str">
        <f>""</f>
        <v/>
      </c>
      <c r="T1312" s="36" t="str">
        <f>""</f>
        <v/>
      </c>
      <c r="U1312" s="36" t="str">
        <f>""</f>
        <v/>
      </c>
      <c r="V1312" s="36" t="str">
        <f>""</f>
        <v/>
      </c>
      <c r="W1312" s="36">
        <f t="shared" si="123"/>
        <v>1</v>
      </c>
      <c r="X1312" t="str">
        <f t="shared" si="124"/>
        <v>Inactive</v>
      </c>
      <c r="Y1312" t="str">
        <f>IF(MAIN!$H$3="Selected Year",IF(A1312=MAIN!$B$3,"Yes","No"),IF(MAIN!$H$3="Included Years",IF(D1312="Yes","Yes","No"),IF(C1312="Yes","Yes","No")))</f>
        <v>No</v>
      </c>
      <c r="Z1312" t="str">
        <f>IF(MAIN!$F$3="Project to Date",IF(AND(A1312&gt;=SETTINGS!$B$4,A1312&lt;MAIN!$B$3),"Yes",IF(AND(A1312=MAIN!$B$3,E1312&lt;=MAIN!$L$3),"Yes","No")),IF(OR(MAIN!$F$3="Full Year",MAIN!$D$3="All"),"Yes",IF(MAIN!$F$3="Monthly",IF(E1312=MAIN!$L$3,"Yes","No"),IF(E1312&lt;=MAIN!$L$3,"Yes","No"))))</f>
        <v>Yes</v>
      </c>
      <c r="AA1312" t="str">
        <f t="shared" si="125"/>
        <v>No</v>
      </c>
    </row>
    <row r="1313" spans="1:27" x14ac:dyDescent="0.3">
      <c r="A1313">
        <f>INDEX(SETTINGS!$A$15:$A$24,$B1313)</f>
        <v>2030</v>
      </c>
      <c r="B1313">
        <v>6</v>
      </c>
      <c r="C1313" t="str">
        <f>IF(AND(A1313&gt;=SETTINGS!$B$4,A1313&lt;=SETTINGS!$B$5),"Yes","No")</f>
        <v>No</v>
      </c>
      <c r="D1313" t="str">
        <f>IFERROR(INDEX(SETTINGS!$C$15:$C$24,MATCH(A1313,SETTINGS!$A$15:$A$24,0)),"No")</f>
        <v>No</v>
      </c>
      <c r="E1313">
        <v>10</v>
      </c>
      <c r="F1313" t="s">
        <v>43</v>
      </c>
      <c r="G1313">
        <v>225</v>
      </c>
      <c r="H1313" t="s">
        <v>88</v>
      </c>
      <c r="I1313" t="s">
        <v>89</v>
      </c>
      <c r="J1313" t="s">
        <v>10</v>
      </c>
      <c r="K1313" t="s">
        <v>3</v>
      </c>
      <c r="L1313" s="36">
        <f ca="1">IF(C1313&lt;&gt;"Yes",0,IF(A1313=2025,N('2025'!D225),IF(A1313=2026,N('2026'!D225),IF(A1313=2027,N('2027'!D225),IF(A1313=2028,N('2028'!D225),IF(A1313=2029,N('2029'!D225),IF(A1313=2030,N('2030'!D225),IF(A1313=2031,N('2031'!D225),IF(A1313=2032,N('2032'!D225),IF(A1313=2033,N('2033'!D225),IF(A1313=2034,N('2034'!D225),IFERROR(N(INDIRECT("'"&amp;A1313&amp;"'!D"&amp;G1313)),0))))))))))))</f>
        <v>0</v>
      </c>
      <c r="M1313" s="36">
        <f>IFERROR(IF(NOT(ISBLANK(KPI_TARGETS!$L$5)),KPI_TARGETS!$L$5,IF(NOT(ISBLANK(KPI_TARGETS!$F$5)),KPI_TARGETS!$F$5,"")),"")</f>
        <v>104</v>
      </c>
      <c r="N1313" s="36" t="str">
        <f>IFERROR(KPI_TARGETS!$E$5,"Higher is better")</f>
        <v>Higher is better</v>
      </c>
      <c r="O1313" s="37">
        <f t="shared" ca="1" si="120"/>
        <v>0</v>
      </c>
      <c r="P1313" t="str">
        <f t="shared" ca="1" si="121"/>
        <v>Red</v>
      </c>
      <c r="Q1313" s="36">
        <f t="shared" ca="1" si="122"/>
        <v>-104</v>
      </c>
      <c r="R1313" s="36" t="str">
        <f>""</f>
        <v/>
      </c>
      <c r="S1313" s="36" t="str">
        <f>""</f>
        <v/>
      </c>
      <c r="T1313" s="36" t="str">
        <f>""</f>
        <v/>
      </c>
      <c r="U1313" s="36" t="str">
        <f>""</f>
        <v/>
      </c>
      <c r="V1313" s="36" t="str">
        <f>""</f>
        <v/>
      </c>
      <c r="W1313" s="36">
        <f t="shared" si="123"/>
        <v>1</v>
      </c>
      <c r="X1313" t="str">
        <f t="shared" si="124"/>
        <v>Inactive</v>
      </c>
      <c r="Y1313" t="str">
        <f>IF(MAIN!$H$3="Selected Year",IF(A1313=MAIN!$B$3,"Yes","No"),IF(MAIN!$H$3="Included Years",IF(D1313="Yes","Yes","No"),IF(C1313="Yes","Yes","No")))</f>
        <v>No</v>
      </c>
      <c r="Z1313" t="str">
        <f>IF(MAIN!$F$3="Project to Date",IF(AND(A1313&gt;=SETTINGS!$B$4,A1313&lt;MAIN!$B$3),"Yes",IF(AND(A1313=MAIN!$B$3,E1313&lt;=MAIN!$L$3),"Yes","No")),IF(OR(MAIN!$F$3="Full Year",MAIN!$D$3="All"),"Yes",IF(MAIN!$F$3="Monthly",IF(E1313=MAIN!$L$3,"Yes","No"),IF(E1313&lt;=MAIN!$L$3,"Yes","No"))))</f>
        <v>Yes</v>
      </c>
      <c r="AA1313" t="str">
        <f t="shared" si="125"/>
        <v>No</v>
      </c>
    </row>
    <row r="1314" spans="1:27" x14ac:dyDescent="0.3">
      <c r="A1314">
        <f>INDEX(SETTINGS!$A$15:$A$24,$B1314)</f>
        <v>2030</v>
      </c>
      <c r="B1314">
        <v>6</v>
      </c>
      <c r="C1314" t="str">
        <f>IF(AND(A1314&gt;=SETTINGS!$B$4,A1314&lt;=SETTINGS!$B$5),"Yes","No")</f>
        <v>No</v>
      </c>
      <c r="D1314" t="str">
        <f>IFERROR(INDEX(SETTINGS!$C$15:$C$24,MATCH(A1314,SETTINGS!$A$15:$A$24,0)),"No")</f>
        <v>No</v>
      </c>
      <c r="E1314">
        <v>10</v>
      </c>
      <c r="F1314" t="s">
        <v>43</v>
      </c>
      <c r="G1314">
        <v>226</v>
      </c>
      <c r="H1314" t="s">
        <v>91</v>
      </c>
      <c r="I1314" t="s">
        <v>89</v>
      </c>
      <c r="J1314" t="s">
        <v>11</v>
      </c>
      <c r="K1314" t="s">
        <v>12</v>
      </c>
      <c r="L1314" s="36">
        <f ca="1">IF(C1314&lt;&gt;"Yes",0,IF(A1314=2025,N('2025'!D226),IF(A1314=2026,N('2026'!D226),IF(A1314=2027,N('2027'!D226),IF(A1314=2028,N('2028'!D226),IF(A1314=2029,N('2029'!D226),IF(A1314=2030,N('2030'!D226),IF(A1314=2031,N('2031'!D226),IF(A1314=2032,N('2032'!D226),IF(A1314=2033,N('2033'!D226),IF(A1314=2034,N('2034'!D226),IFERROR(N(INDIRECT("'"&amp;A1314&amp;"'!D"&amp;G1314)),0))))))))))))</f>
        <v>0</v>
      </c>
      <c r="M1314" s="36">
        <f>IFERROR(IF(NOT(ISBLANK(KPI_TARGETS!$L$6)),KPI_TARGETS!$L$6,IF(NOT(ISBLANK(KPI_TARGETS!$F$6)),KPI_TARGETS!$F$6,"")),"")</f>
        <v>4000</v>
      </c>
      <c r="N1314" s="36" t="str">
        <f>IFERROR(KPI_TARGETS!$E$6,"Higher is better")</f>
        <v>Higher is better</v>
      </c>
      <c r="O1314" s="37">
        <f t="shared" ca="1" si="120"/>
        <v>0</v>
      </c>
      <c r="P1314" t="str">
        <f t="shared" ca="1" si="121"/>
        <v>Red</v>
      </c>
      <c r="Q1314" s="36">
        <f t="shared" ca="1" si="122"/>
        <v>-4000</v>
      </c>
      <c r="R1314" s="36" t="str">
        <f>""</f>
        <v/>
      </c>
      <c r="S1314" s="36" t="str">
        <f>""</f>
        <v/>
      </c>
      <c r="T1314" s="36" t="str">
        <f>""</f>
        <v/>
      </c>
      <c r="U1314" s="36" t="str">
        <f>""</f>
        <v/>
      </c>
      <c r="V1314" s="36" t="str">
        <f>""</f>
        <v/>
      </c>
      <c r="W1314" s="36">
        <f t="shared" si="123"/>
        <v>1</v>
      </c>
      <c r="X1314" t="str">
        <f t="shared" si="124"/>
        <v>Inactive</v>
      </c>
      <c r="Y1314" t="str">
        <f>IF(MAIN!$H$3="Selected Year",IF(A1314=MAIN!$B$3,"Yes","No"),IF(MAIN!$H$3="Included Years",IF(D1314="Yes","Yes","No"),IF(C1314="Yes","Yes","No")))</f>
        <v>No</v>
      </c>
      <c r="Z1314" t="str">
        <f>IF(MAIN!$F$3="Project to Date",IF(AND(A1314&gt;=SETTINGS!$B$4,A1314&lt;MAIN!$B$3),"Yes",IF(AND(A1314=MAIN!$B$3,E1314&lt;=MAIN!$L$3),"Yes","No")),IF(OR(MAIN!$F$3="Full Year",MAIN!$D$3="All"),"Yes",IF(MAIN!$F$3="Monthly",IF(E1314=MAIN!$L$3,"Yes","No"),IF(E1314&lt;=MAIN!$L$3,"Yes","No"))))</f>
        <v>Yes</v>
      </c>
      <c r="AA1314" t="str">
        <f t="shared" si="125"/>
        <v>No</v>
      </c>
    </row>
    <row r="1315" spans="1:27" x14ac:dyDescent="0.3">
      <c r="A1315">
        <f>INDEX(SETTINGS!$A$15:$A$24,$B1315)</f>
        <v>2030</v>
      </c>
      <c r="B1315">
        <v>6</v>
      </c>
      <c r="C1315" t="str">
        <f>IF(AND(A1315&gt;=SETTINGS!$B$4,A1315&lt;=SETTINGS!$B$5),"Yes","No")</f>
        <v>No</v>
      </c>
      <c r="D1315" t="str">
        <f>IFERROR(INDEX(SETTINGS!$C$15:$C$24,MATCH(A1315,SETTINGS!$A$15:$A$24,0)),"No")</f>
        <v>No</v>
      </c>
      <c r="E1315">
        <v>10</v>
      </c>
      <c r="F1315" t="s">
        <v>43</v>
      </c>
      <c r="G1315">
        <v>227</v>
      </c>
      <c r="H1315" t="s">
        <v>93</v>
      </c>
      <c r="I1315" t="s">
        <v>89</v>
      </c>
      <c r="J1315" t="s">
        <v>13</v>
      </c>
      <c r="K1315" t="s">
        <v>14</v>
      </c>
      <c r="L1315" s="36">
        <f ca="1">IF(C1315&lt;&gt;"Yes",0,IF(A1315=2025,N('2025'!D227),IF(A1315=2026,N('2026'!D227),IF(A1315=2027,N('2027'!D227),IF(A1315=2028,N('2028'!D227),IF(A1315=2029,N('2029'!D227),IF(A1315=2030,N('2030'!D227),IF(A1315=2031,N('2031'!D227),IF(A1315=2032,N('2032'!D227),IF(A1315=2033,N('2033'!D227),IF(A1315=2034,N('2034'!D227),IFERROR(N(INDIRECT("'"&amp;A1315&amp;"'!D"&amp;G1315)),0))))))))))))</f>
        <v>0</v>
      </c>
      <c r="M1315" s="36">
        <f>IFERROR(IF(NOT(ISBLANK(KPI_TARGETS!$L$7)),KPI_TARGETS!$L$7,IF(NOT(ISBLANK(KPI_TARGETS!$F$7)),KPI_TARGETS!$F$7,"")),"")</f>
        <v>8000</v>
      </c>
      <c r="N1315" s="36" t="str">
        <f>IFERROR(KPI_TARGETS!$E$7,"Higher is better")</f>
        <v>Higher is better</v>
      </c>
      <c r="O1315" s="37">
        <f t="shared" ca="1" si="120"/>
        <v>0</v>
      </c>
      <c r="P1315" t="str">
        <f t="shared" ca="1" si="121"/>
        <v>Red</v>
      </c>
      <c r="Q1315" s="36">
        <f t="shared" ca="1" si="122"/>
        <v>-8000</v>
      </c>
      <c r="R1315" s="36" t="str">
        <f>""</f>
        <v/>
      </c>
      <c r="S1315" s="36" t="str">
        <f>""</f>
        <v/>
      </c>
      <c r="T1315" s="36" t="str">
        <f>""</f>
        <v/>
      </c>
      <c r="U1315" s="36" t="str">
        <f>""</f>
        <v/>
      </c>
      <c r="V1315" s="36" t="str">
        <f>""</f>
        <v/>
      </c>
      <c r="W1315" s="36">
        <f t="shared" si="123"/>
        <v>1</v>
      </c>
      <c r="X1315" t="str">
        <f t="shared" si="124"/>
        <v>Inactive</v>
      </c>
      <c r="Y1315" t="str">
        <f>IF(MAIN!$H$3="Selected Year",IF(A1315=MAIN!$B$3,"Yes","No"),IF(MAIN!$H$3="Included Years",IF(D1315="Yes","Yes","No"),IF(C1315="Yes","Yes","No")))</f>
        <v>No</v>
      </c>
      <c r="Z1315" t="str">
        <f>IF(MAIN!$F$3="Project to Date",IF(AND(A1315&gt;=SETTINGS!$B$4,A1315&lt;MAIN!$B$3),"Yes",IF(AND(A1315=MAIN!$B$3,E1315&lt;=MAIN!$L$3),"Yes","No")),IF(OR(MAIN!$F$3="Full Year",MAIN!$D$3="All"),"Yes",IF(MAIN!$F$3="Monthly",IF(E1315=MAIN!$L$3,"Yes","No"),IF(E1315&lt;=MAIN!$L$3,"Yes","No"))))</f>
        <v>Yes</v>
      </c>
      <c r="AA1315" t="str">
        <f t="shared" si="125"/>
        <v>No</v>
      </c>
    </row>
    <row r="1316" spans="1:27" x14ac:dyDescent="0.3">
      <c r="A1316">
        <f>INDEX(SETTINGS!$A$15:$A$24,$B1316)</f>
        <v>2030</v>
      </c>
      <c r="B1316">
        <v>6</v>
      </c>
      <c r="C1316" t="str">
        <f>IF(AND(A1316&gt;=SETTINGS!$B$4,A1316&lt;=SETTINGS!$B$5),"Yes","No")</f>
        <v>No</v>
      </c>
      <c r="D1316" t="str">
        <f>IFERROR(INDEX(SETTINGS!$C$15:$C$24,MATCH(A1316,SETTINGS!$A$15:$A$24,0)),"No")</f>
        <v>No</v>
      </c>
      <c r="E1316">
        <v>10</v>
      </c>
      <c r="F1316" t="s">
        <v>43</v>
      </c>
      <c r="G1316">
        <v>229</v>
      </c>
      <c r="H1316" t="s">
        <v>95</v>
      </c>
      <c r="I1316" t="s">
        <v>15</v>
      </c>
      <c r="J1316" t="s">
        <v>16</v>
      </c>
      <c r="K1316" t="s">
        <v>3</v>
      </c>
      <c r="L1316" s="36">
        <f ca="1">IF(C1316&lt;&gt;"Yes",0,IF(A1316=2025,N('2025'!D229),IF(A1316=2026,N('2026'!D229),IF(A1316=2027,N('2027'!D229),IF(A1316=2028,N('2028'!D229),IF(A1316=2029,N('2029'!D229),IF(A1316=2030,N('2030'!D229),IF(A1316=2031,N('2031'!D229),IF(A1316=2032,N('2032'!D229),IF(A1316=2033,N('2033'!D229),IF(A1316=2034,N('2034'!D229),IFERROR(N(INDIRECT("'"&amp;A1316&amp;"'!D"&amp;G1316)),0))))))))))))</f>
        <v>0</v>
      </c>
      <c r="M1316" s="36">
        <f>IFERROR(IF(NOT(ISBLANK(KPI_TARGETS!$L$8)),KPI_TARGETS!$L$8,IF(NOT(ISBLANK(KPI_TARGETS!$F$8)),KPI_TARGETS!$F$8,"")),"")</f>
        <v>0</v>
      </c>
      <c r="N1316" s="36" t="str">
        <f>IFERROR(KPI_TARGETS!$E$8,"Higher is better")</f>
        <v>Lower is better</v>
      </c>
      <c r="O1316" s="37">
        <f t="shared" ca="1" si="120"/>
        <v>1</v>
      </c>
      <c r="P1316" t="str">
        <f t="shared" ca="1" si="121"/>
        <v>Green</v>
      </c>
      <c r="Q1316" s="36">
        <f t="shared" ca="1" si="122"/>
        <v>0</v>
      </c>
      <c r="R1316" s="36" t="str">
        <f>""</f>
        <v/>
      </c>
      <c r="S1316" s="36" t="str">
        <f>""</f>
        <v/>
      </c>
      <c r="T1316" s="36" t="str">
        <f>""</f>
        <v/>
      </c>
      <c r="U1316" s="36" t="str">
        <f>""</f>
        <v/>
      </c>
      <c r="V1316" s="36" t="str">
        <f>""</f>
        <v/>
      </c>
      <c r="W1316" s="36">
        <f t="shared" si="123"/>
        <v>1</v>
      </c>
      <c r="X1316" t="str">
        <f t="shared" si="124"/>
        <v>Inactive</v>
      </c>
      <c r="Y1316" t="str">
        <f>IF(MAIN!$H$3="Selected Year",IF(A1316=MAIN!$B$3,"Yes","No"),IF(MAIN!$H$3="Included Years",IF(D1316="Yes","Yes","No"),IF(C1316="Yes","Yes","No")))</f>
        <v>No</v>
      </c>
      <c r="Z1316" t="str">
        <f>IF(MAIN!$F$3="Project to Date",IF(AND(A1316&gt;=SETTINGS!$B$4,A1316&lt;MAIN!$B$3),"Yes",IF(AND(A1316=MAIN!$B$3,E1316&lt;=MAIN!$L$3),"Yes","No")),IF(OR(MAIN!$F$3="Full Year",MAIN!$D$3="All"),"Yes",IF(MAIN!$F$3="Monthly",IF(E1316=MAIN!$L$3,"Yes","No"),IF(E1316&lt;=MAIN!$L$3,"Yes","No"))))</f>
        <v>Yes</v>
      </c>
      <c r="AA1316" t="str">
        <f t="shared" si="125"/>
        <v>No</v>
      </c>
    </row>
    <row r="1317" spans="1:27" x14ac:dyDescent="0.3">
      <c r="A1317">
        <f>INDEX(SETTINGS!$A$15:$A$24,$B1317)</f>
        <v>2030</v>
      </c>
      <c r="B1317">
        <v>6</v>
      </c>
      <c r="C1317" t="str">
        <f>IF(AND(A1317&gt;=SETTINGS!$B$4,A1317&lt;=SETTINGS!$B$5),"Yes","No")</f>
        <v>No</v>
      </c>
      <c r="D1317" t="str">
        <f>IFERROR(INDEX(SETTINGS!$C$15:$C$24,MATCH(A1317,SETTINGS!$A$15:$A$24,0)),"No")</f>
        <v>No</v>
      </c>
      <c r="E1317">
        <v>10</v>
      </c>
      <c r="F1317" t="s">
        <v>43</v>
      </c>
      <c r="G1317">
        <v>230</v>
      </c>
      <c r="H1317" t="s">
        <v>97</v>
      </c>
      <c r="I1317" t="s">
        <v>15</v>
      </c>
      <c r="J1317" t="s">
        <v>17</v>
      </c>
      <c r="K1317" t="s">
        <v>3</v>
      </c>
      <c r="L1317" s="36">
        <f ca="1">IF(C1317&lt;&gt;"Yes",0,IF(A1317=2025,N('2025'!D230),IF(A1317=2026,N('2026'!D230),IF(A1317=2027,N('2027'!D230),IF(A1317=2028,N('2028'!D230),IF(A1317=2029,N('2029'!D230),IF(A1317=2030,N('2030'!D230),IF(A1317=2031,N('2031'!D230),IF(A1317=2032,N('2032'!D230),IF(A1317=2033,N('2033'!D230),IF(A1317=2034,N('2034'!D230),IFERROR(N(INDIRECT("'"&amp;A1317&amp;"'!D"&amp;G1317)),0))))))))))))</f>
        <v>0</v>
      </c>
      <c r="M1317" s="36">
        <f>IFERROR(IF(NOT(ISBLANK(KPI_TARGETS!$L$9)),KPI_TARGETS!$L$9,IF(NOT(ISBLANK(KPI_TARGETS!$F$9)),KPI_TARGETS!$F$9,"")),"")</f>
        <v>0</v>
      </c>
      <c r="N1317" s="36" t="str">
        <f>IFERROR(KPI_TARGETS!$E$9,"Higher is better")</f>
        <v>Higher is better</v>
      </c>
      <c r="O1317" s="37" t="str">
        <f t="shared" ca="1" si="120"/>
        <v/>
      </c>
      <c r="P1317" t="str">
        <f t="shared" ca="1" si="121"/>
        <v>Green</v>
      </c>
      <c r="Q1317" s="36">
        <f t="shared" ca="1" si="122"/>
        <v>0</v>
      </c>
      <c r="R1317" s="36" t="str">
        <f>""</f>
        <v/>
      </c>
      <c r="S1317" s="36" t="str">
        <f>""</f>
        <v/>
      </c>
      <c r="T1317" s="36" t="str">
        <f>""</f>
        <v/>
      </c>
      <c r="U1317" s="36" t="str">
        <f>""</f>
        <v/>
      </c>
      <c r="V1317" s="36" t="str">
        <f>""</f>
        <v/>
      </c>
      <c r="W1317" s="36">
        <f t="shared" si="123"/>
        <v>1</v>
      </c>
      <c r="X1317" t="str">
        <f t="shared" si="124"/>
        <v>Inactive</v>
      </c>
      <c r="Y1317" t="str">
        <f>IF(MAIN!$H$3="Selected Year",IF(A1317=MAIN!$B$3,"Yes","No"),IF(MAIN!$H$3="Included Years",IF(D1317="Yes","Yes","No"),IF(C1317="Yes","Yes","No")))</f>
        <v>No</v>
      </c>
      <c r="Z1317" t="str">
        <f>IF(MAIN!$F$3="Project to Date",IF(AND(A1317&gt;=SETTINGS!$B$4,A1317&lt;MAIN!$B$3),"Yes",IF(AND(A1317=MAIN!$B$3,E1317&lt;=MAIN!$L$3),"Yes","No")),IF(OR(MAIN!$F$3="Full Year",MAIN!$D$3="All"),"Yes",IF(MAIN!$F$3="Monthly",IF(E1317=MAIN!$L$3,"Yes","No"),IF(E1317&lt;=MAIN!$L$3,"Yes","No"))))</f>
        <v>Yes</v>
      </c>
      <c r="AA1317" t="str">
        <f t="shared" si="125"/>
        <v>No</v>
      </c>
    </row>
    <row r="1318" spans="1:27" x14ac:dyDescent="0.3">
      <c r="A1318">
        <f>INDEX(SETTINGS!$A$15:$A$24,$B1318)</f>
        <v>2030</v>
      </c>
      <c r="B1318">
        <v>6</v>
      </c>
      <c r="C1318" t="str">
        <f>IF(AND(A1318&gt;=SETTINGS!$B$4,A1318&lt;=SETTINGS!$B$5),"Yes","No")</f>
        <v>No</v>
      </c>
      <c r="D1318" t="str">
        <f>IFERROR(INDEX(SETTINGS!$C$15:$C$24,MATCH(A1318,SETTINGS!$A$15:$A$24,0)),"No")</f>
        <v>No</v>
      </c>
      <c r="E1318">
        <v>10</v>
      </c>
      <c r="F1318" t="s">
        <v>43</v>
      </c>
      <c r="G1318">
        <v>231</v>
      </c>
      <c r="H1318" t="s">
        <v>99</v>
      </c>
      <c r="I1318" t="s">
        <v>15</v>
      </c>
      <c r="J1318" t="s">
        <v>18</v>
      </c>
      <c r="K1318" t="s">
        <v>3</v>
      </c>
      <c r="L1318" s="36">
        <f ca="1">IF(C1318&lt;&gt;"Yes",0,IF(A1318=2025,N('2025'!D231),IF(A1318=2026,N('2026'!D231),IF(A1318=2027,N('2027'!D231),IF(A1318=2028,N('2028'!D231),IF(A1318=2029,N('2029'!D231),IF(A1318=2030,N('2030'!D231),IF(A1318=2031,N('2031'!D231),IF(A1318=2032,N('2032'!D231),IF(A1318=2033,N('2033'!D231),IF(A1318=2034,N('2034'!D231),IFERROR(N(INDIRECT("'"&amp;A1318&amp;"'!D"&amp;G1318)),0))))))))))))</f>
        <v>0</v>
      </c>
      <c r="M1318" s="36">
        <f>IFERROR(IF(NOT(ISBLANK(KPI_TARGETS!$L$10)),KPI_TARGETS!$L$10,IF(NOT(ISBLANK(KPI_TARGETS!$F$10)),KPI_TARGETS!$F$10,"")),"")</f>
        <v>0</v>
      </c>
      <c r="N1318" s="36" t="str">
        <f>IFERROR(KPI_TARGETS!$E$10,"Higher is better")</f>
        <v>Lower is better</v>
      </c>
      <c r="O1318" s="37">
        <f t="shared" ca="1" si="120"/>
        <v>1</v>
      </c>
      <c r="P1318" t="str">
        <f t="shared" ca="1" si="121"/>
        <v>Green</v>
      </c>
      <c r="Q1318" s="36">
        <f t="shared" ca="1" si="122"/>
        <v>0</v>
      </c>
      <c r="R1318" s="36" t="str">
        <f>""</f>
        <v/>
      </c>
      <c r="S1318" s="36" t="str">
        <f>""</f>
        <v/>
      </c>
      <c r="T1318" s="36" t="str">
        <f>""</f>
        <v/>
      </c>
      <c r="U1318" s="36" t="str">
        <f>""</f>
        <v/>
      </c>
      <c r="V1318" s="36" t="str">
        <f>""</f>
        <v/>
      </c>
      <c r="W1318" s="36">
        <f t="shared" si="123"/>
        <v>1</v>
      </c>
      <c r="X1318" t="str">
        <f t="shared" si="124"/>
        <v>Inactive</v>
      </c>
      <c r="Y1318" t="str">
        <f>IF(MAIN!$H$3="Selected Year",IF(A1318=MAIN!$B$3,"Yes","No"),IF(MAIN!$H$3="Included Years",IF(D1318="Yes","Yes","No"),IF(C1318="Yes","Yes","No")))</f>
        <v>No</v>
      </c>
      <c r="Z1318" t="str">
        <f>IF(MAIN!$F$3="Project to Date",IF(AND(A1318&gt;=SETTINGS!$B$4,A1318&lt;MAIN!$B$3),"Yes",IF(AND(A1318=MAIN!$B$3,E1318&lt;=MAIN!$L$3),"Yes","No")),IF(OR(MAIN!$F$3="Full Year",MAIN!$D$3="All"),"Yes",IF(MAIN!$F$3="Monthly",IF(E1318=MAIN!$L$3,"Yes","No"),IF(E1318&lt;=MAIN!$L$3,"Yes","No"))))</f>
        <v>Yes</v>
      </c>
      <c r="AA1318" t="str">
        <f t="shared" si="125"/>
        <v>No</v>
      </c>
    </row>
    <row r="1319" spans="1:27" x14ac:dyDescent="0.3">
      <c r="A1319">
        <f>INDEX(SETTINGS!$A$15:$A$24,$B1319)</f>
        <v>2030</v>
      </c>
      <c r="B1319">
        <v>6</v>
      </c>
      <c r="C1319" t="str">
        <f>IF(AND(A1319&gt;=SETTINGS!$B$4,A1319&lt;=SETTINGS!$B$5),"Yes","No")</f>
        <v>No</v>
      </c>
      <c r="D1319" t="str">
        <f>IFERROR(INDEX(SETTINGS!$C$15:$C$24,MATCH(A1319,SETTINGS!$A$15:$A$24,0)),"No")</f>
        <v>No</v>
      </c>
      <c r="E1319">
        <v>10</v>
      </c>
      <c r="F1319" t="s">
        <v>43</v>
      </c>
      <c r="G1319">
        <v>232</v>
      </c>
      <c r="H1319" t="s">
        <v>100</v>
      </c>
      <c r="I1319" t="s">
        <v>15</v>
      </c>
      <c r="J1319" t="s">
        <v>19</v>
      </c>
      <c r="K1319" t="s">
        <v>3</v>
      </c>
      <c r="L1319" s="36">
        <f ca="1">IF(C1319&lt;&gt;"Yes",0,IF(A1319=2025,N('2025'!D232),IF(A1319=2026,N('2026'!D232),IF(A1319=2027,N('2027'!D232),IF(A1319=2028,N('2028'!D232),IF(A1319=2029,N('2029'!D232),IF(A1319=2030,N('2030'!D232),IF(A1319=2031,N('2031'!D232),IF(A1319=2032,N('2032'!D232),IF(A1319=2033,N('2033'!D232),IF(A1319=2034,N('2034'!D232),IFERROR(N(INDIRECT("'"&amp;A1319&amp;"'!D"&amp;G1319)),0))))))))))))</f>
        <v>0</v>
      </c>
      <c r="M1319" s="36">
        <f>IFERROR(IF(NOT(ISBLANK(KPI_TARGETS!$L$11)),KPI_TARGETS!$L$11,IF(NOT(ISBLANK(KPI_TARGETS!$F$11)),KPI_TARGETS!$F$11,"")),"")</f>
        <v>0</v>
      </c>
      <c r="N1319" s="36" t="str">
        <f>IFERROR(KPI_TARGETS!$E$11,"Higher is better")</f>
        <v>Lower is better</v>
      </c>
      <c r="O1319" s="37">
        <f t="shared" ca="1" si="120"/>
        <v>1</v>
      </c>
      <c r="P1319" t="str">
        <f t="shared" ca="1" si="121"/>
        <v>Green</v>
      </c>
      <c r="Q1319" s="36">
        <f t="shared" ca="1" si="122"/>
        <v>0</v>
      </c>
      <c r="R1319" s="36" t="str">
        <f>""</f>
        <v/>
      </c>
      <c r="S1319" s="36" t="str">
        <f>""</f>
        <v/>
      </c>
      <c r="T1319" s="36" t="str">
        <f>""</f>
        <v/>
      </c>
      <c r="U1319" s="36" t="str">
        <f>""</f>
        <v/>
      </c>
      <c r="V1319" s="36" t="str">
        <f>""</f>
        <v/>
      </c>
      <c r="W1319" s="36">
        <f t="shared" si="123"/>
        <v>1</v>
      </c>
      <c r="X1319" t="str">
        <f t="shared" si="124"/>
        <v>Inactive</v>
      </c>
      <c r="Y1319" t="str">
        <f>IF(MAIN!$H$3="Selected Year",IF(A1319=MAIN!$B$3,"Yes","No"),IF(MAIN!$H$3="Included Years",IF(D1319="Yes","Yes","No"),IF(C1319="Yes","Yes","No")))</f>
        <v>No</v>
      </c>
      <c r="Z1319" t="str">
        <f>IF(MAIN!$F$3="Project to Date",IF(AND(A1319&gt;=SETTINGS!$B$4,A1319&lt;MAIN!$B$3),"Yes",IF(AND(A1319=MAIN!$B$3,E1319&lt;=MAIN!$L$3),"Yes","No")),IF(OR(MAIN!$F$3="Full Year",MAIN!$D$3="All"),"Yes",IF(MAIN!$F$3="Monthly",IF(E1319=MAIN!$L$3,"Yes","No"),IF(E1319&lt;=MAIN!$L$3,"Yes","No"))))</f>
        <v>Yes</v>
      </c>
      <c r="AA1319" t="str">
        <f t="shared" si="125"/>
        <v>No</v>
      </c>
    </row>
    <row r="1320" spans="1:27" x14ac:dyDescent="0.3">
      <c r="A1320">
        <f>INDEX(SETTINGS!$A$15:$A$24,$B1320)</f>
        <v>2030</v>
      </c>
      <c r="B1320">
        <v>6</v>
      </c>
      <c r="C1320" t="str">
        <f>IF(AND(A1320&gt;=SETTINGS!$B$4,A1320&lt;=SETTINGS!$B$5),"Yes","No")</f>
        <v>No</v>
      </c>
      <c r="D1320" t="str">
        <f>IFERROR(INDEX(SETTINGS!$C$15:$C$24,MATCH(A1320,SETTINGS!$A$15:$A$24,0)),"No")</f>
        <v>No</v>
      </c>
      <c r="E1320">
        <v>10</v>
      </c>
      <c r="F1320" t="s">
        <v>43</v>
      </c>
      <c r="G1320">
        <v>233</v>
      </c>
      <c r="H1320" t="s">
        <v>101</v>
      </c>
      <c r="I1320" t="s">
        <v>15</v>
      </c>
      <c r="J1320" t="s">
        <v>20</v>
      </c>
      <c r="K1320" t="s">
        <v>3</v>
      </c>
      <c r="L1320" s="36">
        <f ca="1">IF(C1320&lt;&gt;"Yes",0,IF(A1320=2025,N('2025'!D233),IF(A1320=2026,N('2026'!D233),IF(A1320=2027,N('2027'!D233),IF(A1320=2028,N('2028'!D233),IF(A1320=2029,N('2029'!D233),IF(A1320=2030,N('2030'!D233),IF(A1320=2031,N('2031'!D233),IF(A1320=2032,N('2032'!D233),IF(A1320=2033,N('2033'!D233),IF(A1320=2034,N('2034'!D233),IFERROR(N(INDIRECT("'"&amp;A1320&amp;"'!D"&amp;G1320)),0))))))))))))</f>
        <v>0</v>
      </c>
      <c r="M1320" s="36">
        <f>IFERROR(IF(NOT(ISBLANK(KPI_TARGETS!$L$12)),KPI_TARGETS!$L$12,IF(NOT(ISBLANK(KPI_TARGETS!$F$12)),KPI_TARGETS!$F$12,"")),"")</f>
        <v>0</v>
      </c>
      <c r="N1320" s="36" t="str">
        <f>IFERROR(KPI_TARGETS!$E$12,"Higher is better")</f>
        <v>Lower is better</v>
      </c>
      <c r="O1320" s="37">
        <f t="shared" ca="1" si="120"/>
        <v>1</v>
      </c>
      <c r="P1320" t="str">
        <f t="shared" ca="1" si="121"/>
        <v>Green</v>
      </c>
      <c r="Q1320" s="36">
        <f t="shared" ca="1" si="122"/>
        <v>0</v>
      </c>
      <c r="R1320" s="36" t="str">
        <f>""</f>
        <v/>
      </c>
      <c r="S1320" s="36" t="str">
        <f>""</f>
        <v/>
      </c>
      <c r="T1320" s="36" t="str">
        <f>""</f>
        <v/>
      </c>
      <c r="U1320" s="36" t="str">
        <f>""</f>
        <v/>
      </c>
      <c r="V1320" s="36" t="str">
        <f>""</f>
        <v/>
      </c>
      <c r="W1320" s="36">
        <f t="shared" si="123"/>
        <v>1</v>
      </c>
      <c r="X1320" t="str">
        <f t="shared" si="124"/>
        <v>Inactive</v>
      </c>
      <c r="Y1320" t="str">
        <f>IF(MAIN!$H$3="Selected Year",IF(A1320=MAIN!$B$3,"Yes","No"),IF(MAIN!$H$3="Included Years",IF(D1320="Yes","Yes","No"),IF(C1320="Yes","Yes","No")))</f>
        <v>No</v>
      </c>
      <c r="Z1320" t="str">
        <f>IF(MAIN!$F$3="Project to Date",IF(AND(A1320&gt;=SETTINGS!$B$4,A1320&lt;MAIN!$B$3),"Yes",IF(AND(A1320=MAIN!$B$3,E1320&lt;=MAIN!$L$3),"Yes","No")),IF(OR(MAIN!$F$3="Full Year",MAIN!$D$3="All"),"Yes",IF(MAIN!$F$3="Monthly",IF(E1320=MAIN!$L$3,"Yes","No"),IF(E1320&lt;=MAIN!$L$3,"Yes","No"))))</f>
        <v>Yes</v>
      </c>
      <c r="AA1320" t="str">
        <f t="shared" si="125"/>
        <v>No</v>
      </c>
    </row>
    <row r="1321" spans="1:27" x14ac:dyDescent="0.3">
      <c r="A1321">
        <f>INDEX(SETTINGS!$A$15:$A$24,$B1321)</f>
        <v>2030</v>
      </c>
      <c r="B1321">
        <v>6</v>
      </c>
      <c r="C1321" t="str">
        <f>IF(AND(A1321&gt;=SETTINGS!$B$4,A1321&lt;=SETTINGS!$B$5),"Yes","No")</f>
        <v>No</v>
      </c>
      <c r="D1321" t="str">
        <f>IFERROR(INDEX(SETTINGS!$C$15:$C$24,MATCH(A1321,SETTINGS!$A$15:$A$24,0)),"No")</f>
        <v>No</v>
      </c>
      <c r="E1321">
        <v>10</v>
      </c>
      <c r="F1321" t="s">
        <v>43</v>
      </c>
      <c r="G1321">
        <v>234</v>
      </c>
      <c r="H1321" t="s">
        <v>102</v>
      </c>
      <c r="I1321" t="s">
        <v>15</v>
      </c>
      <c r="J1321" t="s">
        <v>21</v>
      </c>
      <c r="K1321" t="s">
        <v>3</v>
      </c>
      <c r="L1321" s="36">
        <f ca="1">IF(C1321&lt;&gt;"Yes",0,IF(A1321=2025,N('2025'!D234),IF(A1321=2026,N('2026'!D234),IF(A1321=2027,N('2027'!D234),IF(A1321=2028,N('2028'!D234),IF(A1321=2029,N('2029'!D234),IF(A1321=2030,N('2030'!D234),IF(A1321=2031,N('2031'!D234),IF(A1321=2032,N('2032'!D234),IF(A1321=2033,N('2033'!D234),IF(A1321=2034,N('2034'!D234),IFERROR(N(INDIRECT("'"&amp;A1321&amp;"'!D"&amp;G1321)),0))))))))))))</f>
        <v>0</v>
      </c>
      <c r="M1321" s="36">
        <f>IFERROR(IF(NOT(ISBLANK(KPI_TARGETS!$L$13)),KPI_TARGETS!$L$13,IF(NOT(ISBLANK(KPI_TARGETS!$F$13)),KPI_TARGETS!$F$13,"")),"")</f>
        <v>0</v>
      </c>
      <c r="N1321" s="36" t="str">
        <f>IFERROR(KPI_TARGETS!$E$13,"Higher is better")</f>
        <v>Lower is better</v>
      </c>
      <c r="O1321" s="37">
        <f t="shared" ca="1" si="120"/>
        <v>1</v>
      </c>
      <c r="P1321" t="str">
        <f t="shared" ca="1" si="121"/>
        <v>Green</v>
      </c>
      <c r="Q1321" s="36">
        <f t="shared" ca="1" si="122"/>
        <v>0</v>
      </c>
      <c r="R1321" s="36" t="str">
        <f>""</f>
        <v/>
      </c>
      <c r="S1321" s="36" t="str">
        <f>""</f>
        <v/>
      </c>
      <c r="T1321" s="36" t="str">
        <f>""</f>
        <v/>
      </c>
      <c r="U1321" s="36" t="str">
        <f>""</f>
        <v/>
      </c>
      <c r="V1321" s="36" t="str">
        <f>""</f>
        <v/>
      </c>
      <c r="W1321" s="36">
        <f t="shared" si="123"/>
        <v>1</v>
      </c>
      <c r="X1321" t="str">
        <f t="shared" si="124"/>
        <v>Inactive</v>
      </c>
      <c r="Y1321" t="str">
        <f>IF(MAIN!$H$3="Selected Year",IF(A1321=MAIN!$B$3,"Yes","No"),IF(MAIN!$H$3="Included Years",IF(D1321="Yes","Yes","No"),IF(C1321="Yes","Yes","No")))</f>
        <v>No</v>
      </c>
      <c r="Z1321" t="str">
        <f>IF(MAIN!$F$3="Project to Date",IF(AND(A1321&gt;=SETTINGS!$B$4,A1321&lt;MAIN!$B$3),"Yes",IF(AND(A1321=MAIN!$B$3,E1321&lt;=MAIN!$L$3),"Yes","No")),IF(OR(MAIN!$F$3="Full Year",MAIN!$D$3="All"),"Yes",IF(MAIN!$F$3="Monthly",IF(E1321=MAIN!$L$3,"Yes","No"),IF(E1321&lt;=MAIN!$L$3,"Yes","No"))))</f>
        <v>Yes</v>
      </c>
      <c r="AA1321" t="str">
        <f t="shared" si="125"/>
        <v>No</v>
      </c>
    </row>
    <row r="1322" spans="1:27" x14ac:dyDescent="0.3">
      <c r="A1322">
        <f>INDEX(SETTINGS!$A$15:$A$24,$B1322)</f>
        <v>2030</v>
      </c>
      <c r="B1322">
        <v>6</v>
      </c>
      <c r="C1322" t="str">
        <f>IF(AND(A1322&gt;=SETTINGS!$B$4,A1322&lt;=SETTINGS!$B$5),"Yes","No")</f>
        <v>No</v>
      </c>
      <c r="D1322" t="str">
        <f>IFERROR(INDEX(SETTINGS!$C$15:$C$24,MATCH(A1322,SETTINGS!$A$15:$A$24,0)),"No")</f>
        <v>No</v>
      </c>
      <c r="E1322">
        <v>10</v>
      </c>
      <c r="F1322" t="s">
        <v>43</v>
      </c>
      <c r="G1322">
        <v>236</v>
      </c>
      <c r="H1322" t="s">
        <v>103</v>
      </c>
      <c r="I1322" t="s">
        <v>22</v>
      </c>
      <c r="J1322" t="s">
        <v>23</v>
      </c>
      <c r="K1322" t="s">
        <v>3</v>
      </c>
      <c r="L1322" s="36">
        <f ca="1">IF(C1322&lt;&gt;"Yes",0,IF(A1322=2025,N('2025'!D236),IF(A1322=2026,N('2026'!D236),IF(A1322=2027,N('2027'!D236),IF(A1322=2028,N('2028'!D236),IF(A1322=2029,N('2029'!D236),IF(A1322=2030,N('2030'!D236),IF(A1322=2031,N('2031'!D236),IF(A1322=2032,N('2032'!D236),IF(A1322=2033,N('2033'!D236),IF(A1322=2034,N('2034'!D236),IFERROR(N(INDIRECT("'"&amp;A1322&amp;"'!D"&amp;G1322)),0))))))))))))</f>
        <v>0</v>
      </c>
      <c r="M1322" s="36">
        <f>IFERROR(IF(NOT(ISBLANK(KPI_TARGETS!$L$14)),KPI_TARGETS!$L$14,IF(NOT(ISBLANK(KPI_TARGETS!$F$14)),KPI_TARGETS!$F$14,"")),"")</f>
        <v>35</v>
      </c>
      <c r="N1322" s="36" t="str">
        <f>IFERROR(KPI_TARGETS!$E$14,"Higher is better")</f>
        <v>Higher is better</v>
      </c>
      <c r="O1322" s="37">
        <f t="shared" ca="1" si="120"/>
        <v>0</v>
      </c>
      <c r="P1322" t="str">
        <f t="shared" ca="1" si="121"/>
        <v>Red</v>
      </c>
      <c r="Q1322" s="36">
        <f t="shared" ca="1" si="122"/>
        <v>-35</v>
      </c>
      <c r="R1322" s="36" t="str">
        <f>""</f>
        <v/>
      </c>
      <c r="S1322" s="36" t="str">
        <f>""</f>
        <v/>
      </c>
      <c r="T1322" s="36" t="str">
        <f>""</f>
        <v/>
      </c>
      <c r="U1322" s="36" t="str">
        <f>""</f>
        <v/>
      </c>
      <c r="V1322" s="36" t="str">
        <f>""</f>
        <v/>
      </c>
      <c r="W1322" s="36">
        <f t="shared" si="123"/>
        <v>1</v>
      </c>
      <c r="X1322" t="str">
        <f t="shared" si="124"/>
        <v>Inactive</v>
      </c>
      <c r="Y1322" t="str">
        <f>IF(MAIN!$H$3="Selected Year",IF(A1322=MAIN!$B$3,"Yes","No"),IF(MAIN!$H$3="Included Years",IF(D1322="Yes","Yes","No"),IF(C1322="Yes","Yes","No")))</f>
        <v>No</v>
      </c>
      <c r="Z1322" t="str">
        <f>IF(MAIN!$F$3="Project to Date",IF(AND(A1322&gt;=SETTINGS!$B$4,A1322&lt;MAIN!$B$3),"Yes",IF(AND(A1322=MAIN!$B$3,E1322&lt;=MAIN!$L$3),"Yes","No")),IF(OR(MAIN!$F$3="Full Year",MAIN!$D$3="All"),"Yes",IF(MAIN!$F$3="Monthly",IF(E1322=MAIN!$L$3,"Yes","No"),IF(E1322&lt;=MAIN!$L$3,"Yes","No"))))</f>
        <v>Yes</v>
      </c>
      <c r="AA1322" t="str">
        <f t="shared" si="125"/>
        <v>No</v>
      </c>
    </row>
    <row r="1323" spans="1:27" x14ac:dyDescent="0.3">
      <c r="A1323">
        <f>INDEX(SETTINGS!$A$15:$A$24,$B1323)</f>
        <v>2030</v>
      </c>
      <c r="B1323">
        <v>6</v>
      </c>
      <c r="C1323" t="str">
        <f>IF(AND(A1323&gt;=SETTINGS!$B$4,A1323&lt;=SETTINGS!$B$5),"Yes","No")</f>
        <v>No</v>
      </c>
      <c r="D1323" t="str">
        <f>IFERROR(INDEX(SETTINGS!$C$15:$C$24,MATCH(A1323,SETTINGS!$A$15:$A$24,0)),"No")</f>
        <v>No</v>
      </c>
      <c r="E1323">
        <v>10</v>
      </c>
      <c r="F1323" t="s">
        <v>43</v>
      </c>
      <c r="G1323">
        <v>237</v>
      </c>
      <c r="H1323" t="s">
        <v>104</v>
      </c>
      <c r="I1323" t="s">
        <v>22</v>
      </c>
      <c r="J1323" t="s">
        <v>24</v>
      </c>
      <c r="K1323" t="s">
        <v>3</v>
      </c>
      <c r="L1323" s="36">
        <f ca="1">IF(C1323&lt;&gt;"Yes",0,IF(A1323=2025,N('2025'!D237),IF(A1323=2026,N('2026'!D237),IF(A1323=2027,N('2027'!D237),IF(A1323=2028,N('2028'!D237),IF(A1323=2029,N('2029'!D237),IF(A1323=2030,N('2030'!D237),IF(A1323=2031,N('2031'!D237),IF(A1323=2032,N('2032'!D237),IF(A1323=2033,N('2033'!D237),IF(A1323=2034,N('2034'!D237),IFERROR(N(INDIRECT("'"&amp;A1323&amp;"'!D"&amp;G1323)),0))))))))))))</f>
        <v>0</v>
      </c>
      <c r="M1323" s="36">
        <f>IFERROR(IF(NOT(ISBLANK(KPI_TARGETS!$L$15)),KPI_TARGETS!$L$15,IF(NOT(ISBLANK(KPI_TARGETS!$F$15)),KPI_TARGETS!$F$15,"")),"")</f>
        <v>5</v>
      </c>
      <c r="N1323" s="36" t="str">
        <f>IFERROR(KPI_TARGETS!$E$15,"Higher is better")</f>
        <v>Higher is better</v>
      </c>
      <c r="O1323" s="37">
        <f t="shared" ca="1" si="120"/>
        <v>0</v>
      </c>
      <c r="P1323" t="str">
        <f t="shared" ca="1" si="121"/>
        <v>Red</v>
      </c>
      <c r="Q1323" s="36">
        <f t="shared" ca="1" si="122"/>
        <v>-5</v>
      </c>
      <c r="R1323" s="36" t="str">
        <f>""</f>
        <v/>
      </c>
      <c r="S1323" s="36" t="str">
        <f>""</f>
        <v/>
      </c>
      <c r="T1323" s="36" t="str">
        <f>""</f>
        <v/>
      </c>
      <c r="U1323" s="36" t="str">
        <f>""</f>
        <v/>
      </c>
      <c r="V1323" s="36" t="str">
        <f>""</f>
        <v/>
      </c>
      <c r="W1323" s="36">
        <f t="shared" si="123"/>
        <v>1</v>
      </c>
      <c r="X1323" t="str">
        <f t="shared" si="124"/>
        <v>Inactive</v>
      </c>
      <c r="Y1323" t="str">
        <f>IF(MAIN!$H$3="Selected Year",IF(A1323=MAIN!$B$3,"Yes","No"),IF(MAIN!$H$3="Included Years",IF(D1323="Yes","Yes","No"),IF(C1323="Yes","Yes","No")))</f>
        <v>No</v>
      </c>
      <c r="Z1323" t="str">
        <f>IF(MAIN!$F$3="Project to Date",IF(AND(A1323&gt;=SETTINGS!$B$4,A1323&lt;MAIN!$B$3),"Yes",IF(AND(A1323=MAIN!$B$3,E1323&lt;=MAIN!$L$3),"Yes","No")),IF(OR(MAIN!$F$3="Full Year",MAIN!$D$3="All"),"Yes",IF(MAIN!$F$3="Monthly",IF(E1323=MAIN!$L$3,"Yes","No"),IF(E1323&lt;=MAIN!$L$3,"Yes","No"))))</f>
        <v>Yes</v>
      </c>
      <c r="AA1323" t="str">
        <f t="shared" si="125"/>
        <v>No</v>
      </c>
    </row>
    <row r="1324" spans="1:27" x14ac:dyDescent="0.3">
      <c r="A1324">
        <f>INDEX(SETTINGS!$A$15:$A$24,$B1324)</f>
        <v>2030</v>
      </c>
      <c r="B1324">
        <v>6</v>
      </c>
      <c r="C1324" t="str">
        <f>IF(AND(A1324&gt;=SETTINGS!$B$4,A1324&lt;=SETTINGS!$B$5),"Yes","No")</f>
        <v>No</v>
      </c>
      <c r="D1324" t="str">
        <f>IFERROR(INDEX(SETTINGS!$C$15:$C$24,MATCH(A1324,SETTINGS!$A$15:$A$24,0)),"No")</f>
        <v>No</v>
      </c>
      <c r="E1324">
        <v>10</v>
      </c>
      <c r="F1324" t="s">
        <v>43</v>
      </c>
      <c r="G1324">
        <v>238</v>
      </c>
      <c r="H1324" t="s">
        <v>105</v>
      </c>
      <c r="I1324" t="s">
        <v>22</v>
      </c>
      <c r="J1324" t="s">
        <v>25</v>
      </c>
      <c r="K1324" t="s">
        <v>3</v>
      </c>
      <c r="L1324" s="36">
        <f ca="1">IF(C1324&lt;&gt;"Yes",0,IF(A1324=2025,N('2025'!D238),IF(A1324=2026,N('2026'!D238),IF(A1324=2027,N('2027'!D238),IF(A1324=2028,N('2028'!D238),IF(A1324=2029,N('2029'!D238),IF(A1324=2030,N('2030'!D238),IF(A1324=2031,N('2031'!D238),IF(A1324=2032,N('2032'!D238),IF(A1324=2033,N('2033'!D238),IF(A1324=2034,N('2034'!D238),IFERROR(N(INDIRECT("'"&amp;A1324&amp;"'!D"&amp;G1324)),0))))))))))))</f>
        <v>0</v>
      </c>
      <c r="M1324" s="36">
        <f>IFERROR(IF(NOT(ISBLANK(KPI_TARGETS!$L$16)),KPI_TARGETS!$L$16,IF(NOT(ISBLANK(KPI_TARGETS!$F$16)),KPI_TARGETS!$F$16,"")),"")</f>
        <v>4</v>
      </c>
      <c r="N1324" s="36" t="str">
        <f>IFERROR(KPI_TARGETS!$E$16,"Higher is better")</f>
        <v>Higher is better</v>
      </c>
      <c r="O1324" s="37">
        <f t="shared" ca="1" si="120"/>
        <v>0</v>
      </c>
      <c r="P1324" t="str">
        <f t="shared" ca="1" si="121"/>
        <v>Red</v>
      </c>
      <c r="Q1324" s="36">
        <f t="shared" ca="1" si="122"/>
        <v>-4</v>
      </c>
      <c r="R1324" s="36" t="str">
        <f>""</f>
        <v/>
      </c>
      <c r="S1324" s="36" t="str">
        <f>""</f>
        <v/>
      </c>
      <c r="T1324" s="36" t="str">
        <f>""</f>
        <v/>
      </c>
      <c r="U1324" s="36" t="str">
        <f>""</f>
        <v/>
      </c>
      <c r="V1324" s="36" t="str">
        <f>""</f>
        <v/>
      </c>
      <c r="W1324" s="36">
        <f t="shared" si="123"/>
        <v>1</v>
      </c>
      <c r="X1324" t="str">
        <f t="shared" si="124"/>
        <v>Inactive</v>
      </c>
      <c r="Y1324" t="str">
        <f>IF(MAIN!$H$3="Selected Year",IF(A1324=MAIN!$B$3,"Yes","No"),IF(MAIN!$H$3="Included Years",IF(D1324="Yes","Yes","No"),IF(C1324="Yes","Yes","No")))</f>
        <v>No</v>
      </c>
      <c r="Z1324" t="str">
        <f>IF(MAIN!$F$3="Project to Date",IF(AND(A1324&gt;=SETTINGS!$B$4,A1324&lt;MAIN!$B$3),"Yes",IF(AND(A1324=MAIN!$B$3,E1324&lt;=MAIN!$L$3),"Yes","No")),IF(OR(MAIN!$F$3="Full Year",MAIN!$D$3="All"),"Yes",IF(MAIN!$F$3="Monthly",IF(E1324=MAIN!$L$3,"Yes","No"),IF(E1324&lt;=MAIN!$L$3,"Yes","No"))))</f>
        <v>Yes</v>
      </c>
      <c r="AA1324" t="str">
        <f t="shared" si="125"/>
        <v>No</v>
      </c>
    </row>
    <row r="1325" spans="1:27" x14ac:dyDescent="0.3">
      <c r="A1325">
        <f>INDEX(SETTINGS!$A$15:$A$24,$B1325)</f>
        <v>2030</v>
      </c>
      <c r="B1325">
        <v>6</v>
      </c>
      <c r="C1325" t="str">
        <f>IF(AND(A1325&gt;=SETTINGS!$B$4,A1325&lt;=SETTINGS!$B$5),"Yes","No")</f>
        <v>No</v>
      </c>
      <c r="D1325" t="str">
        <f>IFERROR(INDEX(SETTINGS!$C$15:$C$24,MATCH(A1325,SETTINGS!$A$15:$A$24,0)),"No")</f>
        <v>No</v>
      </c>
      <c r="E1325">
        <v>10</v>
      </c>
      <c r="F1325" t="s">
        <v>43</v>
      </c>
      <c r="G1325">
        <v>239</v>
      </c>
      <c r="H1325" t="s">
        <v>106</v>
      </c>
      <c r="I1325" t="s">
        <v>22</v>
      </c>
      <c r="J1325" t="s">
        <v>26</v>
      </c>
      <c r="K1325" t="s">
        <v>3</v>
      </c>
      <c r="L1325" s="36">
        <f ca="1">IF(C1325&lt;&gt;"Yes",0,IF(A1325=2025,N('2025'!D239),IF(A1325=2026,N('2026'!D239),IF(A1325=2027,N('2027'!D239),IF(A1325=2028,N('2028'!D239),IF(A1325=2029,N('2029'!D239),IF(A1325=2030,N('2030'!D239),IF(A1325=2031,N('2031'!D239),IF(A1325=2032,N('2032'!D239),IF(A1325=2033,N('2033'!D239),IF(A1325=2034,N('2034'!D239),IFERROR(N(INDIRECT("'"&amp;A1325&amp;"'!D"&amp;G1325)),0))))))))))))</f>
        <v>0</v>
      </c>
      <c r="M1325" s="36">
        <f>IFERROR(IF(NOT(ISBLANK(KPI_TARGETS!$L$17)),KPI_TARGETS!$L$17,IF(NOT(ISBLANK(KPI_TARGETS!$F$17)),KPI_TARGETS!$F$17,"")),"")</f>
        <v>12</v>
      </c>
      <c r="N1325" s="36" t="str">
        <f>IFERROR(KPI_TARGETS!$E$17,"Higher is better")</f>
        <v>Higher is better</v>
      </c>
      <c r="O1325" s="37">
        <f t="shared" ca="1" si="120"/>
        <v>0</v>
      </c>
      <c r="P1325" t="str">
        <f t="shared" ca="1" si="121"/>
        <v>Red</v>
      </c>
      <c r="Q1325" s="36">
        <f t="shared" ca="1" si="122"/>
        <v>-12</v>
      </c>
      <c r="R1325" s="36" t="str">
        <f>""</f>
        <v/>
      </c>
      <c r="S1325" s="36" t="str">
        <f>""</f>
        <v/>
      </c>
      <c r="T1325" s="36" t="str">
        <f>""</f>
        <v/>
      </c>
      <c r="U1325" s="36" t="str">
        <f>""</f>
        <v/>
      </c>
      <c r="V1325" s="36" t="str">
        <f>""</f>
        <v/>
      </c>
      <c r="W1325" s="36">
        <f t="shared" si="123"/>
        <v>1</v>
      </c>
      <c r="X1325" t="str">
        <f t="shared" si="124"/>
        <v>Inactive</v>
      </c>
      <c r="Y1325" t="str">
        <f>IF(MAIN!$H$3="Selected Year",IF(A1325=MAIN!$B$3,"Yes","No"),IF(MAIN!$H$3="Included Years",IF(D1325="Yes","Yes","No"),IF(C1325="Yes","Yes","No")))</f>
        <v>No</v>
      </c>
      <c r="Z1325" t="str">
        <f>IF(MAIN!$F$3="Project to Date",IF(AND(A1325&gt;=SETTINGS!$B$4,A1325&lt;MAIN!$B$3),"Yes",IF(AND(A1325=MAIN!$B$3,E1325&lt;=MAIN!$L$3),"Yes","No")),IF(OR(MAIN!$F$3="Full Year",MAIN!$D$3="All"),"Yes",IF(MAIN!$F$3="Monthly",IF(E1325=MAIN!$L$3,"Yes","No"),IF(E1325&lt;=MAIN!$L$3,"Yes","No"))))</f>
        <v>Yes</v>
      </c>
      <c r="AA1325" t="str">
        <f t="shared" si="125"/>
        <v>No</v>
      </c>
    </row>
    <row r="1326" spans="1:27" x14ac:dyDescent="0.3">
      <c r="A1326">
        <f>INDEX(SETTINGS!$A$15:$A$24,$B1326)</f>
        <v>2030</v>
      </c>
      <c r="B1326">
        <v>6</v>
      </c>
      <c r="C1326" t="str">
        <f>IF(AND(A1326&gt;=SETTINGS!$B$4,A1326&lt;=SETTINGS!$B$5),"Yes","No")</f>
        <v>No</v>
      </c>
      <c r="D1326" t="str">
        <f>IFERROR(INDEX(SETTINGS!$C$15:$C$24,MATCH(A1326,SETTINGS!$A$15:$A$24,0)),"No")</f>
        <v>No</v>
      </c>
      <c r="E1326">
        <v>10</v>
      </c>
      <c r="F1326" t="s">
        <v>43</v>
      </c>
      <c r="G1326">
        <v>240</v>
      </c>
      <c r="H1326" t="s">
        <v>107</v>
      </c>
      <c r="I1326" t="s">
        <v>22</v>
      </c>
      <c r="J1326" t="s">
        <v>27</v>
      </c>
      <c r="K1326" t="s">
        <v>3</v>
      </c>
      <c r="L1326" s="36">
        <f ca="1">IF(C1326&lt;&gt;"Yes",0,IF(A1326=2025,N('2025'!D240),IF(A1326=2026,N('2026'!D240),IF(A1326=2027,N('2027'!D240),IF(A1326=2028,N('2028'!D240),IF(A1326=2029,N('2029'!D240),IF(A1326=2030,N('2030'!D240),IF(A1326=2031,N('2031'!D240),IF(A1326=2032,N('2032'!D240),IF(A1326=2033,N('2033'!D240),IF(A1326=2034,N('2034'!D240),IFERROR(N(INDIRECT("'"&amp;A1326&amp;"'!D"&amp;G1326)),0))))))))))))</f>
        <v>0</v>
      </c>
      <c r="M1326" s="36">
        <f>IFERROR(IF(NOT(ISBLANK(KPI_TARGETS!$L$18)),KPI_TARGETS!$L$18,IF(NOT(ISBLANK(KPI_TARGETS!$F$18)),KPI_TARGETS!$F$18,"")),"")</f>
        <v>4</v>
      </c>
      <c r="N1326" s="36" t="str">
        <f>IFERROR(KPI_TARGETS!$E$18,"Higher is better")</f>
        <v>Higher is better</v>
      </c>
      <c r="O1326" s="37">
        <f t="shared" ca="1" si="120"/>
        <v>0</v>
      </c>
      <c r="P1326" t="str">
        <f t="shared" ca="1" si="121"/>
        <v>Red</v>
      </c>
      <c r="Q1326" s="36">
        <f t="shared" ca="1" si="122"/>
        <v>-4</v>
      </c>
      <c r="R1326" s="36" t="str">
        <f>""</f>
        <v/>
      </c>
      <c r="S1326" s="36" t="str">
        <f>""</f>
        <v/>
      </c>
      <c r="T1326" s="36" t="str">
        <f>""</f>
        <v/>
      </c>
      <c r="U1326" s="36" t="str">
        <f>""</f>
        <v/>
      </c>
      <c r="V1326" s="36" t="str">
        <f>""</f>
        <v/>
      </c>
      <c r="W1326" s="36">
        <f t="shared" si="123"/>
        <v>1</v>
      </c>
      <c r="X1326" t="str">
        <f t="shared" si="124"/>
        <v>Inactive</v>
      </c>
      <c r="Y1326" t="str">
        <f>IF(MAIN!$H$3="Selected Year",IF(A1326=MAIN!$B$3,"Yes","No"),IF(MAIN!$H$3="Included Years",IF(D1326="Yes","Yes","No"),IF(C1326="Yes","Yes","No")))</f>
        <v>No</v>
      </c>
      <c r="Z1326" t="str">
        <f>IF(MAIN!$F$3="Project to Date",IF(AND(A1326&gt;=SETTINGS!$B$4,A1326&lt;MAIN!$B$3),"Yes",IF(AND(A1326=MAIN!$B$3,E1326&lt;=MAIN!$L$3),"Yes","No")),IF(OR(MAIN!$F$3="Full Year",MAIN!$D$3="All"),"Yes",IF(MAIN!$F$3="Monthly",IF(E1326=MAIN!$L$3,"Yes","No"),IF(E1326&lt;=MAIN!$L$3,"Yes","No"))))</f>
        <v>Yes</v>
      </c>
      <c r="AA1326" t="str">
        <f t="shared" si="125"/>
        <v>No</v>
      </c>
    </row>
    <row r="1327" spans="1:27" x14ac:dyDescent="0.3">
      <c r="A1327">
        <f>INDEX(SETTINGS!$A$15:$A$24,$B1327)</f>
        <v>2030</v>
      </c>
      <c r="B1327">
        <v>6</v>
      </c>
      <c r="C1327" t="str">
        <f>IF(AND(A1327&gt;=SETTINGS!$B$4,A1327&lt;=SETTINGS!$B$5),"Yes","No")</f>
        <v>No</v>
      </c>
      <c r="D1327" t="str">
        <f>IFERROR(INDEX(SETTINGS!$C$15:$C$24,MATCH(A1327,SETTINGS!$A$15:$A$24,0)),"No")</f>
        <v>No</v>
      </c>
      <c r="E1327">
        <v>10</v>
      </c>
      <c r="F1327" t="s">
        <v>43</v>
      </c>
      <c r="G1327">
        <v>241</v>
      </c>
      <c r="H1327" t="s">
        <v>108</v>
      </c>
      <c r="I1327" t="s">
        <v>22</v>
      </c>
      <c r="J1327" t="s">
        <v>28</v>
      </c>
      <c r="K1327" t="s">
        <v>3</v>
      </c>
      <c r="L1327" s="36">
        <f ca="1">IF(C1327&lt;&gt;"Yes",0,IF(A1327=2025,N('2025'!D241),IF(A1327=2026,N('2026'!D241),IF(A1327=2027,N('2027'!D241),IF(A1327=2028,N('2028'!D241),IF(A1327=2029,N('2029'!D241),IF(A1327=2030,N('2030'!D241),IF(A1327=2031,N('2031'!D241),IF(A1327=2032,N('2032'!D241),IF(A1327=2033,N('2033'!D241),IF(A1327=2034,N('2034'!D241),IFERROR(N(INDIRECT("'"&amp;A1327&amp;"'!D"&amp;G1327)),0))))))))))))</f>
        <v>0</v>
      </c>
      <c r="M1327" s="36">
        <f>IFERROR(IF(NOT(ISBLANK(KPI_TARGETS!$L$19)),KPI_TARGETS!$L$19,IF(NOT(ISBLANK(KPI_TARGETS!$F$19)),KPI_TARGETS!$F$19,"")),"")</f>
        <v>16</v>
      </c>
      <c r="N1327" s="36" t="str">
        <f>IFERROR(KPI_TARGETS!$E$19,"Higher is better")</f>
        <v>Higher is better</v>
      </c>
      <c r="O1327" s="37">
        <f t="shared" ca="1" si="120"/>
        <v>0</v>
      </c>
      <c r="P1327" t="str">
        <f t="shared" ca="1" si="121"/>
        <v>Red</v>
      </c>
      <c r="Q1327" s="36">
        <f t="shared" ca="1" si="122"/>
        <v>-16</v>
      </c>
      <c r="R1327" s="36" t="str">
        <f>""</f>
        <v/>
      </c>
      <c r="S1327" s="36" t="str">
        <f>""</f>
        <v/>
      </c>
      <c r="T1327" s="36" t="str">
        <f>""</f>
        <v/>
      </c>
      <c r="U1327" s="36" t="str">
        <f>""</f>
        <v/>
      </c>
      <c r="V1327" s="36" t="str">
        <f>""</f>
        <v/>
      </c>
      <c r="W1327" s="36">
        <f t="shared" si="123"/>
        <v>1</v>
      </c>
      <c r="X1327" t="str">
        <f t="shared" si="124"/>
        <v>Inactive</v>
      </c>
      <c r="Y1327" t="str">
        <f>IF(MAIN!$H$3="Selected Year",IF(A1327=MAIN!$B$3,"Yes","No"),IF(MAIN!$H$3="Included Years",IF(D1327="Yes","Yes","No"),IF(C1327="Yes","Yes","No")))</f>
        <v>No</v>
      </c>
      <c r="Z1327" t="str">
        <f>IF(MAIN!$F$3="Project to Date",IF(AND(A1327&gt;=SETTINGS!$B$4,A1327&lt;MAIN!$B$3),"Yes",IF(AND(A1327=MAIN!$B$3,E1327&lt;=MAIN!$L$3),"Yes","No")),IF(OR(MAIN!$F$3="Full Year",MAIN!$D$3="All"),"Yes",IF(MAIN!$F$3="Monthly",IF(E1327=MAIN!$L$3,"Yes","No"),IF(E1327&lt;=MAIN!$L$3,"Yes","No"))))</f>
        <v>Yes</v>
      </c>
      <c r="AA1327" t="str">
        <f t="shared" si="125"/>
        <v>No</v>
      </c>
    </row>
    <row r="1328" spans="1:27" x14ac:dyDescent="0.3">
      <c r="A1328">
        <f>INDEX(SETTINGS!$A$15:$A$24,$B1328)</f>
        <v>2030</v>
      </c>
      <c r="B1328">
        <v>6</v>
      </c>
      <c r="C1328" t="str">
        <f>IF(AND(A1328&gt;=SETTINGS!$B$4,A1328&lt;=SETTINGS!$B$5),"Yes","No")</f>
        <v>No</v>
      </c>
      <c r="D1328" t="str">
        <f>IFERROR(INDEX(SETTINGS!$C$15:$C$24,MATCH(A1328,SETTINGS!$A$15:$A$24,0)),"No")</f>
        <v>No</v>
      </c>
      <c r="E1328">
        <v>10</v>
      </c>
      <c r="F1328" t="s">
        <v>43</v>
      </c>
      <c r="G1328">
        <v>242</v>
      </c>
      <c r="H1328" t="s">
        <v>109</v>
      </c>
      <c r="I1328" t="s">
        <v>22</v>
      </c>
      <c r="J1328" t="s">
        <v>29</v>
      </c>
      <c r="K1328" t="s">
        <v>3</v>
      </c>
      <c r="L1328" s="36">
        <f ca="1">IF(C1328&lt;&gt;"Yes",0,IF(A1328=2025,N('2025'!D242),IF(A1328=2026,N('2026'!D242),IF(A1328=2027,N('2027'!D242),IF(A1328=2028,N('2028'!D242),IF(A1328=2029,N('2029'!D242),IF(A1328=2030,N('2030'!D242),IF(A1328=2031,N('2031'!D242),IF(A1328=2032,N('2032'!D242),IF(A1328=2033,N('2033'!D242),IF(A1328=2034,N('2034'!D242),IFERROR(N(INDIRECT("'"&amp;A1328&amp;"'!D"&amp;G1328)),0))))))))))))</f>
        <v>0</v>
      </c>
      <c r="M1328" s="36">
        <f>IFERROR(IF(NOT(ISBLANK(KPI_TARGETS!$L$20)),KPI_TARGETS!$L$20,IF(NOT(ISBLANK(KPI_TARGETS!$F$20)),KPI_TARGETS!$F$20,"")),"")</f>
        <v>1</v>
      </c>
      <c r="N1328" s="36" t="str">
        <f>IFERROR(KPI_TARGETS!$E$20,"Higher is better")</f>
        <v>Higher is better</v>
      </c>
      <c r="O1328" s="37">
        <f t="shared" ca="1" si="120"/>
        <v>0</v>
      </c>
      <c r="P1328" t="str">
        <f t="shared" ca="1" si="121"/>
        <v>Red</v>
      </c>
      <c r="Q1328" s="36">
        <f t="shared" ca="1" si="122"/>
        <v>-1</v>
      </c>
      <c r="R1328" s="36" t="str">
        <f>""</f>
        <v/>
      </c>
      <c r="S1328" s="36" t="str">
        <f>""</f>
        <v/>
      </c>
      <c r="T1328" s="36" t="str">
        <f>""</f>
        <v/>
      </c>
      <c r="U1328" s="36" t="str">
        <f>""</f>
        <v/>
      </c>
      <c r="V1328" s="36" t="str">
        <f>""</f>
        <v/>
      </c>
      <c r="W1328" s="36">
        <f t="shared" si="123"/>
        <v>1</v>
      </c>
      <c r="X1328" t="str">
        <f t="shared" si="124"/>
        <v>Inactive</v>
      </c>
      <c r="Y1328" t="str">
        <f>IF(MAIN!$H$3="Selected Year",IF(A1328=MAIN!$B$3,"Yes","No"),IF(MAIN!$H$3="Included Years",IF(D1328="Yes","Yes","No"),IF(C1328="Yes","Yes","No")))</f>
        <v>No</v>
      </c>
      <c r="Z1328" t="str">
        <f>IF(MAIN!$F$3="Project to Date",IF(AND(A1328&gt;=SETTINGS!$B$4,A1328&lt;MAIN!$B$3),"Yes",IF(AND(A1328=MAIN!$B$3,E1328&lt;=MAIN!$L$3),"Yes","No")),IF(OR(MAIN!$F$3="Full Year",MAIN!$D$3="All"),"Yes",IF(MAIN!$F$3="Monthly",IF(E1328=MAIN!$L$3,"Yes","No"),IF(E1328&lt;=MAIN!$L$3,"Yes","No"))))</f>
        <v>Yes</v>
      </c>
      <c r="AA1328" t="str">
        <f t="shared" si="125"/>
        <v>No</v>
      </c>
    </row>
    <row r="1329" spans="1:27" x14ac:dyDescent="0.3">
      <c r="A1329">
        <f>INDEX(SETTINGS!$A$15:$A$24,$B1329)</f>
        <v>2030</v>
      </c>
      <c r="B1329">
        <v>6</v>
      </c>
      <c r="C1329" t="str">
        <f>IF(AND(A1329&gt;=SETTINGS!$B$4,A1329&lt;=SETTINGS!$B$5),"Yes","No")</f>
        <v>No</v>
      </c>
      <c r="D1329" t="str">
        <f>IFERROR(INDEX(SETTINGS!$C$15:$C$24,MATCH(A1329,SETTINGS!$A$15:$A$24,0)),"No")</f>
        <v>No</v>
      </c>
      <c r="E1329">
        <v>10</v>
      </c>
      <c r="F1329" t="s">
        <v>43</v>
      </c>
      <c r="G1329">
        <v>244</v>
      </c>
      <c r="H1329" t="s">
        <v>110</v>
      </c>
      <c r="I1329" t="s">
        <v>30</v>
      </c>
      <c r="J1329" t="s">
        <v>31</v>
      </c>
      <c r="K1329" t="s">
        <v>3</v>
      </c>
      <c r="L1329" s="36">
        <f ca="1">IF(C1329&lt;&gt;"Yes",0,IF(A1329=2025,N('2025'!D244),IF(A1329=2026,N('2026'!D244),IF(A1329=2027,N('2027'!D244),IF(A1329=2028,N('2028'!D244),IF(A1329=2029,N('2029'!D244),IF(A1329=2030,N('2030'!D244),IF(A1329=2031,N('2031'!D244),IF(A1329=2032,N('2032'!D244),IF(A1329=2033,N('2033'!D244),IF(A1329=2034,N('2034'!D244),IFERROR(N(INDIRECT("'"&amp;A1329&amp;"'!D"&amp;G1329)),0))))))))))))</f>
        <v>0</v>
      </c>
      <c r="M1329" s="36">
        <f>IFERROR(IF(NOT(ISBLANK(KPI_TARGETS!$L$21)),KPI_TARGETS!$L$21,IF(NOT(ISBLANK(KPI_TARGETS!$F$21)),KPI_TARGETS!$F$21,"")),"")</f>
        <v>0</v>
      </c>
      <c r="N1329" s="36" t="str">
        <f>IFERROR(KPI_TARGETS!$E$21,"Higher is better")</f>
        <v>Lower is better</v>
      </c>
      <c r="O1329" s="37">
        <f t="shared" ca="1" si="120"/>
        <v>1</v>
      </c>
      <c r="P1329" t="str">
        <f t="shared" ca="1" si="121"/>
        <v>Green</v>
      </c>
      <c r="Q1329" s="36">
        <f t="shared" ca="1" si="122"/>
        <v>0</v>
      </c>
      <c r="R1329" s="36" t="str">
        <f>""</f>
        <v/>
      </c>
      <c r="S1329" s="36" t="str">
        <f>""</f>
        <v/>
      </c>
      <c r="T1329" s="36" t="str">
        <f>""</f>
        <v/>
      </c>
      <c r="U1329" s="36" t="str">
        <f>""</f>
        <v/>
      </c>
      <c r="V1329" s="36" t="str">
        <f>""</f>
        <v/>
      </c>
      <c r="W1329" s="36">
        <f t="shared" si="123"/>
        <v>1</v>
      </c>
      <c r="X1329" t="str">
        <f t="shared" si="124"/>
        <v>Inactive</v>
      </c>
      <c r="Y1329" t="str">
        <f>IF(MAIN!$H$3="Selected Year",IF(A1329=MAIN!$B$3,"Yes","No"),IF(MAIN!$H$3="Included Years",IF(D1329="Yes","Yes","No"),IF(C1329="Yes","Yes","No")))</f>
        <v>No</v>
      </c>
      <c r="Z1329" t="str">
        <f>IF(MAIN!$F$3="Project to Date",IF(AND(A1329&gt;=SETTINGS!$B$4,A1329&lt;MAIN!$B$3),"Yes",IF(AND(A1329=MAIN!$B$3,E1329&lt;=MAIN!$L$3),"Yes","No")),IF(OR(MAIN!$F$3="Full Year",MAIN!$D$3="All"),"Yes",IF(MAIN!$F$3="Monthly",IF(E1329=MAIN!$L$3,"Yes","No"),IF(E1329&lt;=MAIN!$L$3,"Yes","No"))))</f>
        <v>Yes</v>
      </c>
      <c r="AA1329" t="str">
        <f t="shared" si="125"/>
        <v>No</v>
      </c>
    </row>
    <row r="1330" spans="1:27" x14ac:dyDescent="0.3">
      <c r="A1330">
        <f>INDEX(SETTINGS!$A$15:$A$24,$B1330)</f>
        <v>2030</v>
      </c>
      <c r="B1330">
        <v>6</v>
      </c>
      <c r="C1330" t="str">
        <f>IF(AND(A1330&gt;=SETTINGS!$B$4,A1330&lt;=SETTINGS!$B$5),"Yes","No")</f>
        <v>No</v>
      </c>
      <c r="D1330" t="str">
        <f>IFERROR(INDEX(SETTINGS!$C$15:$C$24,MATCH(A1330,SETTINGS!$A$15:$A$24,0)),"No")</f>
        <v>No</v>
      </c>
      <c r="E1330">
        <v>10</v>
      </c>
      <c r="F1330" t="s">
        <v>43</v>
      </c>
      <c r="G1330">
        <v>245</v>
      </c>
      <c r="H1330" t="s">
        <v>111</v>
      </c>
      <c r="I1330" t="s">
        <v>30</v>
      </c>
      <c r="J1330" t="s">
        <v>32</v>
      </c>
      <c r="K1330" t="s">
        <v>3</v>
      </c>
      <c r="L1330" s="36">
        <f ca="1">IF(C1330&lt;&gt;"Yes",0,IF(A1330=2025,N('2025'!D245),IF(A1330=2026,N('2026'!D245),IF(A1330=2027,N('2027'!D245),IF(A1330=2028,N('2028'!D245),IF(A1330=2029,N('2029'!D245),IF(A1330=2030,N('2030'!D245),IF(A1330=2031,N('2031'!D245),IF(A1330=2032,N('2032'!D245),IF(A1330=2033,N('2033'!D245),IF(A1330=2034,N('2034'!D245),IFERROR(N(INDIRECT("'"&amp;A1330&amp;"'!D"&amp;G1330)),0))))))))))))</f>
        <v>0</v>
      </c>
      <c r="M1330" s="36">
        <f>IFERROR(IF(NOT(ISBLANK(KPI_TARGETS!$L$22)),KPI_TARGETS!$L$22,IF(NOT(ISBLANK(KPI_TARGETS!$F$22)),KPI_TARGETS!$F$22,"")),"")</f>
        <v>1</v>
      </c>
      <c r="N1330" s="36" t="str">
        <f>IFERROR(KPI_TARGETS!$E$22,"Higher is better")</f>
        <v>Higher is better</v>
      </c>
      <c r="O1330" s="37">
        <f t="shared" ca="1" si="120"/>
        <v>0</v>
      </c>
      <c r="P1330" t="str">
        <f t="shared" ca="1" si="121"/>
        <v>Red</v>
      </c>
      <c r="Q1330" s="36">
        <f t="shared" ca="1" si="122"/>
        <v>-1</v>
      </c>
      <c r="R1330" s="36" t="str">
        <f>""</f>
        <v/>
      </c>
      <c r="S1330" s="36" t="str">
        <f>""</f>
        <v/>
      </c>
      <c r="T1330" s="36" t="str">
        <f>""</f>
        <v/>
      </c>
      <c r="U1330" s="36" t="str">
        <f>""</f>
        <v/>
      </c>
      <c r="V1330" s="36" t="str">
        <f>""</f>
        <v/>
      </c>
      <c r="W1330" s="36">
        <f t="shared" si="123"/>
        <v>1</v>
      </c>
      <c r="X1330" t="str">
        <f t="shared" si="124"/>
        <v>Inactive</v>
      </c>
      <c r="Y1330" t="str">
        <f>IF(MAIN!$H$3="Selected Year",IF(A1330=MAIN!$B$3,"Yes","No"),IF(MAIN!$H$3="Included Years",IF(D1330="Yes","Yes","No"),IF(C1330="Yes","Yes","No")))</f>
        <v>No</v>
      </c>
      <c r="Z1330" t="str">
        <f>IF(MAIN!$F$3="Project to Date",IF(AND(A1330&gt;=SETTINGS!$B$4,A1330&lt;MAIN!$B$3),"Yes",IF(AND(A1330=MAIN!$B$3,E1330&lt;=MAIN!$L$3),"Yes","No")),IF(OR(MAIN!$F$3="Full Year",MAIN!$D$3="All"),"Yes",IF(MAIN!$F$3="Monthly",IF(E1330=MAIN!$L$3,"Yes","No"),IF(E1330&lt;=MAIN!$L$3,"Yes","No"))))</f>
        <v>Yes</v>
      </c>
      <c r="AA1330" t="str">
        <f t="shared" si="125"/>
        <v>No</v>
      </c>
    </row>
    <row r="1331" spans="1:27" x14ac:dyDescent="0.3">
      <c r="A1331">
        <f>INDEX(SETTINGS!$A$15:$A$24,$B1331)</f>
        <v>2030</v>
      </c>
      <c r="B1331">
        <v>6</v>
      </c>
      <c r="C1331" t="str">
        <f>IF(AND(A1331&gt;=SETTINGS!$B$4,A1331&lt;=SETTINGS!$B$5),"Yes","No")</f>
        <v>No</v>
      </c>
      <c r="D1331" t="str">
        <f>IFERROR(INDEX(SETTINGS!$C$15:$C$24,MATCH(A1331,SETTINGS!$A$15:$A$24,0)),"No")</f>
        <v>No</v>
      </c>
      <c r="E1331">
        <v>10</v>
      </c>
      <c r="F1331" t="s">
        <v>43</v>
      </c>
      <c r="G1331">
        <v>246</v>
      </c>
      <c r="H1331" t="s">
        <v>112</v>
      </c>
      <c r="I1331" t="s">
        <v>30</v>
      </c>
      <c r="J1331" t="s">
        <v>33</v>
      </c>
      <c r="K1331" t="s">
        <v>34</v>
      </c>
      <c r="L1331" s="36">
        <f ca="1">IF(C1331&lt;&gt;"Yes",0,IF(A1331=2025,N('2025'!D246),IF(A1331=2026,N('2026'!D246),IF(A1331=2027,N('2027'!D246),IF(A1331=2028,N('2028'!D246),IF(A1331=2029,N('2029'!D246),IF(A1331=2030,N('2030'!D246),IF(A1331=2031,N('2031'!D246),IF(A1331=2032,N('2032'!D246),IF(A1331=2033,N('2033'!D246),IF(A1331=2034,N('2034'!D246),IFERROR(N(INDIRECT("'"&amp;A1331&amp;"'!D"&amp;G1331)),0))))))))))))</f>
        <v>0</v>
      </c>
      <c r="M1331" s="36">
        <f>IFERROR(IF(NOT(ISBLANK(KPI_TARGETS!$L$23)),KPI_TARGETS!$L$23,IF(NOT(ISBLANK(KPI_TARGETS!$F$23)),KPI_TARGETS!$F$23,"")),"")</f>
        <v>1</v>
      </c>
      <c r="N1331" s="36" t="str">
        <f>IFERROR(KPI_TARGETS!$E$23,"Higher is better")</f>
        <v>Higher is better</v>
      </c>
      <c r="O1331" s="37">
        <f t="shared" ca="1" si="120"/>
        <v>0</v>
      </c>
      <c r="P1331" t="str">
        <f t="shared" ca="1" si="121"/>
        <v>Red</v>
      </c>
      <c r="Q1331" s="36">
        <f t="shared" ca="1" si="122"/>
        <v>-1</v>
      </c>
      <c r="R1331" s="36" t="str">
        <f>""</f>
        <v/>
      </c>
      <c r="S1331" s="36" t="str">
        <f>""</f>
        <v/>
      </c>
      <c r="T1331" s="36" t="str">
        <f>""</f>
        <v/>
      </c>
      <c r="U1331" s="36" t="str">
        <f>""</f>
        <v/>
      </c>
      <c r="V1331" s="36" t="str">
        <f>""</f>
        <v/>
      </c>
      <c r="W1331" s="36">
        <f t="shared" si="123"/>
        <v>1</v>
      </c>
      <c r="X1331" t="str">
        <f t="shared" si="124"/>
        <v>Inactive</v>
      </c>
      <c r="Y1331" t="str">
        <f>IF(MAIN!$H$3="Selected Year",IF(A1331=MAIN!$B$3,"Yes","No"),IF(MAIN!$H$3="Included Years",IF(D1331="Yes","Yes","No"),IF(C1331="Yes","Yes","No")))</f>
        <v>No</v>
      </c>
      <c r="Z1331" t="str">
        <f>IF(MAIN!$F$3="Project to Date",IF(AND(A1331&gt;=SETTINGS!$B$4,A1331&lt;MAIN!$B$3),"Yes",IF(AND(A1331=MAIN!$B$3,E1331&lt;=MAIN!$L$3),"Yes","No")),IF(OR(MAIN!$F$3="Full Year",MAIN!$D$3="All"),"Yes",IF(MAIN!$F$3="Monthly",IF(E1331=MAIN!$L$3,"Yes","No"),IF(E1331&lt;=MAIN!$L$3,"Yes","No"))))</f>
        <v>Yes</v>
      </c>
      <c r="AA1331" t="str">
        <f t="shared" si="125"/>
        <v>No</v>
      </c>
    </row>
    <row r="1332" spans="1:27" x14ac:dyDescent="0.3">
      <c r="A1332">
        <f>INDEX(SETTINGS!$A$15:$A$24,$B1332)</f>
        <v>2030</v>
      </c>
      <c r="B1332">
        <v>6</v>
      </c>
      <c r="C1332" t="str">
        <f>IF(AND(A1332&gt;=SETTINGS!$B$4,A1332&lt;=SETTINGS!$B$5),"Yes","No")</f>
        <v>No</v>
      </c>
      <c r="D1332" t="str">
        <f>IFERROR(INDEX(SETTINGS!$C$15:$C$24,MATCH(A1332,SETTINGS!$A$15:$A$24,0)),"No")</f>
        <v>No</v>
      </c>
      <c r="E1332">
        <v>11</v>
      </c>
      <c r="F1332" t="s">
        <v>44</v>
      </c>
      <c r="G1332">
        <v>249</v>
      </c>
      <c r="H1332" t="s">
        <v>88</v>
      </c>
      <c r="I1332" t="s">
        <v>89</v>
      </c>
      <c r="J1332" t="s">
        <v>10</v>
      </c>
      <c r="K1332" t="s">
        <v>3</v>
      </c>
      <c r="L1332" s="36">
        <f ca="1">IF(C1332&lt;&gt;"Yes",0,IF(A1332=2025,N('2025'!D249),IF(A1332=2026,N('2026'!D249),IF(A1332=2027,N('2027'!D249),IF(A1332=2028,N('2028'!D249),IF(A1332=2029,N('2029'!D249),IF(A1332=2030,N('2030'!D249),IF(A1332=2031,N('2031'!D249),IF(A1332=2032,N('2032'!D249),IF(A1332=2033,N('2033'!D249),IF(A1332=2034,N('2034'!D249),IFERROR(N(INDIRECT("'"&amp;A1332&amp;"'!D"&amp;G1332)),0))))))))))))</f>
        <v>0</v>
      </c>
      <c r="M1332" s="36">
        <f>IFERROR(IF(NOT(ISBLANK(KPI_TARGETS!$L$5)),KPI_TARGETS!$L$5,IF(NOT(ISBLANK(KPI_TARGETS!$F$5)),KPI_TARGETS!$F$5,"")),"")</f>
        <v>104</v>
      </c>
      <c r="N1332" s="36" t="str">
        <f>IFERROR(KPI_TARGETS!$E$5,"Higher is better")</f>
        <v>Higher is better</v>
      </c>
      <c r="O1332" s="37">
        <f t="shared" ca="1" si="120"/>
        <v>0</v>
      </c>
      <c r="P1332" t="str">
        <f t="shared" ca="1" si="121"/>
        <v>Red</v>
      </c>
      <c r="Q1332" s="36">
        <f t="shared" ca="1" si="122"/>
        <v>-104</v>
      </c>
      <c r="R1332" s="36" t="str">
        <f>""</f>
        <v/>
      </c>
      <c r="S1332" s="36" t="str">
        <f>""</f>
        <v/>
      </c>
      <c r="T1332" s="36" t="str">
        <f>""</f>
        <v/>
      </c>
      <c r="U1332" s="36" t="str">
        <f>""</f>
        <v/>
      </c>
      <c r="V1332" s="36" t="str">
        <f>""</f>
        <v/>
      </c>
      <c r="W1332" s="36">
        <f t="shared" si="123"/>
        <v>1</v>
      </c>
      <c r="X1332" t="str">
        <f t="shared" si="124"/>
        <v>Inactive</v>
      </c>
      <c r="Y1332" t="str">
        <f>IF(MAIN!$H$3="Selected Year",IF(A1332=MAIN!$B$3,"Yes","No"),IF(MAIN!$H$3="Included Years",IF(D1332="Yes","Yes","No"),IF(C1332="Yes","Yes","No")))</f>
        <v>No</v>
      </c>
      <c r="Z1332" t="str">
        <f>IF(MAIN!$F$3="Project to Date",IF(AND(A1332&gt;=SETTINGS!$B$4,A1332&lt;MAIN!$B$3),"Yes",IF(AND(A1332=MAIN!$B$3,E1332&lt;=MAIN!$L$3),"Yes","No")),IF(OR(MAIN!$F$3="Full Year",MAIN!$D$3="All"),"Yes",IF(MAIN!$F$3="Monthly",IF(E1332=MAIN!$L$3,"Yes","No"),IF(E1332&lt;=MAIN!$L$3,"Yes","No"))))</f>
        <v>Yes</v>
      </c>
      <c r="AA1332" t="str">
        <f t="shared" si="125"/>
        <v>No</v>
      </c>
    </row>
    <row r="1333" spans="1:27" x14ac:dyDescent="0.3">
      <c r="A1333">
        <f>INDEX(SETTINGS!$A$15:$A$24,$B1333)</f>
        <v>2030</v>
      </c>
      <c r="B1333">
        <v>6</v>
      </c>
      <c r="C1333" t="str">
        <f>IF(AND(A1333&gt;=SETTINGS!$B$4,A1333&lt;=SETTINGS!$B$5),"Yes","No")</f>
        <v>No</v>
      </c>
      <c r="D1333" t="str">
        <f>IFERROR(INDEX(SETTINGS!$C$15:$C$24,MATCH(A1333,SETTINGS!$A$15:$A$24,0)),"No")</f>
        <v>No</v>
      </c>
      <c r="E1333">
        <v>11</v>
      </c>
      <c r="F1333" t="s">
        <v>44</v>
      </c>
      <c r="G1333">
        <v>250</v>
      </c>
      <c r="H1333" t="s">
        <v>91</v>
      </c>
      <c r="I1333" t="s">
        <v>89</v>
      </c>
      <c r="J1333" t="s">
        <v>11</v>
      </c>
      <c r="K1333" t="s">
        <v>12</v>
      </c>
      <c r="L1333" s="36">
        <f ca="1">IF(C1333&lt;&gt;"Yes",0,IF(A1333=2025,N('2025'!D250),IF(A1333=2026,N('2026'!D250),IF(A1333=2027,N('2027'!D250),IF(A1333=2028,N('2028'!D250),IF(A1333=2029,N('2029'!D250),IF(A1333=2030,N('2030'!D250),IF(A1333=2031,N('2031'!D250),IF(A1333=2032,N('2032'!D250),IF(A1333=2033,N('2033'!D250),IF(A1333=2034,N('2034'!D250),IFERROR(N(INDIRECT("'"&amp;A1333&amp;"'!D"&amp;G1333)),0))))))))))))</f>
        <v>0</v>
      </c>
      <c r="M1333" s="36">
        <f>IFERROR(IF(NOT(ISBLANK(KPI_TARGETS!$L$6)),KPI_TARGETS!$L$6,IF(NOT(ISBLANK(KPI_TARGETS!$F$6)),KPI_TARGETS!$F$6,"")),"")</f>
        <v>4000</v>
      </c>
      <c r="N1333" s="36" t="str">
        <f>IFERROR(KPI_TARGETS!$E$6,"Higher is better")</f>
        <v>Higher is better</v>
      </c>
      <c r="O1333" s="37">
        <f t="shared" ca="1" si="120"/>
        <v>0</v>
      </c>
      <c r="P1333" t="str">
        <f t="shared" ca="1" si="121"/>
        <v>Red</v>
      </c>
      <c r="Q1333" s="36">
        <f t="shared" ca="1" si="122"/>
        <v>-4000</v>
      </c>
      <c r="R1333" s="36" t="str">
        <f>""</f>
        <v/>
      </c>
      <c r="S1333" s="36" t="str">
        <f>""</f>
        <v/>
      </c>
      <c r="T1333" s="36" t="str">
        <f>""</f>
        <v/>
      </c>
      <c r="U1333" s="36" t="str">
        <f>""</f>
        <v/>
      </c>
      <c r="V1333" s="36" t="str">
        <f>""</f>
        <v/>
      </c>
      <c r="W1333" s="36">
        <f t="shared" si="123"/>
        <v>1</v>
      </c>
      <c r="X1333" t="str">
        <f t="shared" si="124"/>
        <v>Inactive</v>
      </c>
      <c r="Y1333" t="str">
        <f>IF(MAIN!$H$3="Selected Year",IF(A1333=MAIN!$B$3,"Yes","No"),IF(MAIN!$H$3="Included Years",IF(D1333="Yes","Yes","No"),IF(C1333="Yes","Yes","No")))</f>
        <v>No</v>
      </c>
      <c r="Z1333" t="str">
        <f>IF(MAIN!$F$3="Project to Date",IF(AND(A1333&gt;=SETTINGS!$B$4,A1333&lt;MAIN!$B$3),"Yes",IF(AND(A1333=MAIN!$B$3,E1333&lt;=MAIN!$L$3),"Yes","No")),IF(OR(MAIN!$F$3="Full Year",MAIN!$D$3="All"),"Yes",IF(MAIN!$F$3="Monthly",IF(E1333=MAIN!$L$3,"Yes","No"),IF(E1333&lt;=MAIN!$L$3,"Yes","No"))))</f>
        <v>Yes</v>
      </c>
      <c r="AA1333" t="str">
        <f t="shared" si="125"/>
        <v>No</v>
      </c>
    </row>
    <row r="1334" spans="1:27" x14ac:dyDescent="0.3">
      <c r="A1334">
        <f>INDEX(SETTINGS!$A$15:$A$24,$B1334)</f>
        <v>2030</v>
      </c>
      <c r="B1334">
        <v>6</v>
      </c>
      <c r="C1334" t="str">
        <f>IF(AND(A1334&gt;=SETTINGS!$B$4,A1334&lt;=SETTINGS!$B$5),"Yes","No")</f>
        <v>No</v>
      </c>
      <c r="D1334" t="str">
        <f>IFERROR(INDEX(SETTINGS!$C$15:$C$24,MATCH(A1334,SETTINGS!$A$15:$A$24,0)),"No")</f>
        <v>No</v>
      </c>
      <c r="E1334">
        <v>11</v>
      </c>
      <c r="F1334" t="s">
        <v>44</v>
      </c>
      <c r="G1334">
        <v>251</v>
      </c>
      <c r="H1334" t="s">
        <v>93</v>
      </c>
      <c r="I1334" t="s">
        <v>89</v>
      </c>
      <c r="J1334" t="s">
        <v>13</v>
      </c>
      <c r="K1334" t="s">
        <v>14</v>
      </c>
      <c r="L1334" s="36">
        <f ca="1">IF(C1334&lt;&gt;"Yes",0,IF(A1334=2025,N('2025'!D251),IF(A1334=2026,N('2026'!D251),IF(A1334=2027,N('2027'!D251),IF(A1334=2028,N('2028'!D251),IF(A1334=2029,N('2029'!D251),IF(A1334=2030,N('2030'!D251),IF(A1334=2031,N('2031'!D251),IF(A1334=2032,N('2032'!D251),IF(A1334=2033,N('2033'!D251),IF(A1334=2034,N('2034'!D251),IFERROR(N(INDIRECT("'"&amp;A1334&amp;"'!D"&amp;G1334)),0))))))))))))</f>
        <v>0</v>
      </c>
      <c r="M1334" s="36">
        <f>IFERROR(IF(NOT(ISBLANK(KPI_TARGETS!$L$7)),KPI_TARGETS!$L$7,IF(NOT(ISBLANK(KPI_TARGETS!$F$7)),KPI_TARGETS!$F$7,"")),"")</f>
        <v>8000</v>
      </c>
      <c r="N1334" s="36" t="str">
        <f>IFERROR(KPI_TARGETS!$E$7,"Higher is better")</f>
        <v>Higher is better</v>
      </c>
      <c r="O1334" s="37">
        <f t="shared" ca="1" si="120"/>
        <v>0</v>
      </c>
      <c r="P1334" t="str">
        <f t="shared" ca="1" si="121"/>
        <v>Red</v>
      </c>
      <c r="Q1334" s="36">
        <f t="shared" ca="1" si="122"/>
        <v>-8000</v>
      </c>
      <c r="R1334" s="36" t="str">
        <f>""</f>
        <v/>
      </c>
      <c r="S1334" s="36" t="str">
        <f>""</f>
        <v/>
      </c>
      <c r="T1334" s="36" t="str">
        <f>""</f>
        <v/>
      </c>
      <c r="U1334" s="36" t="str">
        <f>""</f>
        <v/>
      </c>
      <c r="V1334" s="36" t="str">
        <f>""</f>
        <v/>
      </c>
      <c r="W1334" s="36">
        <f t="shared" si="123"/>
        <v>1</v>
      </c>
      <c r="X1334" t="str">
        <f t="shared" si="124"/>
        <v>Inactive</v>
      </c>
      <c r="Y1334" t="str">
        <f>IF(MAIN!$H$3="Selected Year",IF(A1334=MAIN!$B$3,"Yes","No"),IF(MAIN!$H$3="Included Years",IF(D1334="Yes","Yes","No"),IF(C1334="Yes","Yes","No")))</f>
        <v>No</v>
      </c>
      <c r="Z1334" t="str">
        <f>IF(MAIN!$F$3="Project to Date",IF(AND(A1334&gt;=SETTINGS!$B$4,A1334&lt;MAIN!$B$3),"Yes",IF(AND(A1334=MAIN!$B$3,E1334&lt;=MAIN!$L$3),"Yes","No")),IF(OR(MAIN!$F$3="Full Year",MAIN!$D$3="All"),"Yes",IF(MAIN!$F$3="Monthly",IF(E1334=MAIN!$L$3,"Yes","No"),IF(E1334&lt;=MAIN!$L$3,"Yes","No"))))</f>
        <v>Yes</v>
      </c>
      <c r="AA1334" t="str">
        <f t="shared" si="125"/>
        <v>No</v>
      </c>
    </row>
    <row r="1335" spans="1:27" x14ac:dyDescent="0.3">
      <c r="A1335">
        <f>INDEX(SETTINGS!$A$15:$A$24,$B1335)</f>
        <v>2030</v>
      </c>
      <c r="B1335">
        <v>6</v>
      </c>
      <c r="C1335" t="str">
        <f>IF(AND(A1335&gt;=SETTINGS!$B$4,A1335&lt;=SETTINGS!$B$5),"Yes","No")</f>
        <v>No</v>
      </c>
      <c r="D1335" t="str">
        <f>IFERROR(INDEX(SETTINGS!$C$15:$C$24,MATCH(A1335,SETTINGS!$A$15:$A$24,0)),"No")</f>
        <v>No</v>
      </c>
      <c r="E1335">
        <v>11</v>
      </c>
      <c r="F1335" t="s">
        <v>44</v>
      </c>
      <c r="G1335">
        <v>253</v>
      </c>
      <c r="H1335" t="s">
        <v>95</v>
      </c>
      <c r="I1335" t="s">
        <v>15</v>
      </c>
      <c r="J1335" t="s">
        <v>16</v>
      </c>
      <c r="K1335" t="s">
        <v>3</v>
      </c>
      <c r="L1335" s="36">
        <f ca="1">IF(C1335&lt;&gt;"Yes",0,IF(A1335=2025,N('2025'!D253),IF(A1335=2026,N('2026'!D253),IF(A1335=2027,N('2027'!D253),IF(A1335=2028,N('2028'!D253),IF(A1335=2029,N('2029'!D253),IF(A1335=2030,N('2030'!D253),IF(A1335=2031,N('2031'!D253),IF(A1335=2032,N('2032'!D253),IF(A1335=2033,N('2033'!D253),IF(A1335=2034,N('2034'!D253),IFERROR(N(INDIRECT("'"&amp;A1335&amp;"'!D"&amp;G1335)),0))))))))))))</f>
        <v>0</v>
      </c>
      <c r="M1335" s="36">
        <f>IFERROR(IF(NOT(ISBLANK(KPI_TARGETS!$L$8)),KPI_TARGETS!$L$8,IF(NOT(ISBLANK(KPI_TARGETS!$F$8)),KPI_TARGETS!$F$8,"")),"")</f>
        <v>0</v>
      </c>
      <c r="N1335" s="36" t="str">
        <f>IFERROR(KPI_TARGETS!$E$8,"Higher is better")</f>
        <v>Lower is better</v>
      </c>
      <c r="O1335" s="37">
        <f t="shared" ca="1" si="120"/>
        <v>1</v>
      </c>
      <c r="P1335" t="str">
        <f t="shared" ca="1" si="121"/>
        <v>Green</v>
      </c>
      <c r="Q1335" s="36">
        <f t="shared" ca="1" si="122"/>
        <v>0</v>
      </c>
      <c r="R1335" s="36" t="str">
        <f>""</f>
        <v/>
      </c>
      <c r="S1335" s="36" t="str">
        <f>""</f>
        <v/>
      </c>
      <c r="T1335" s="36" t="str">
        <f>""</f>
        <v/>
      </c>
      <c r="U1335" s="36" t="str">
        <f>""</f>
        <v/>
      </c>
      <c r="V1335" s="36" t="str">
        <f>""</f>
        <v/>
      </c>
      <c r="W1335" s="36">
        <f t="shared" si="123"/>
        <v>1</v>
      </c>
      <c r="X1335" t="str">
        <f t="shared" si="124"/>
        <v>Inactive</v>
      </c>
      <c r="Y1335" t="str">
        <f>IF(MAIN!$H$3="Selected Year",IF(A1335=MAIN!$B$3,"Yes","No"),IF(MAIN!$H$3="Included Years",IF(D1335="Yes","Yes","No"),IF(C1335="Yes","Yes","No")))</f>
        <v>No</v>
      </c>
      <c r="Z1335" t="str">
        <f>IF(MAIN!$F$3="Project to Date",IF(AND(A1335&gt;=SETTINGS!$B$4,A1335&lt;MAIN!$B$3),"Yes",IF(AND(A1335=MAIN!$B$3,E1335&lt;=MAIN!$L$3),"Yes","No")),IF(OR(MAIN!$F$3="Full Year",MAIN!$D$3="All"),"Yes",IF(MAIN!$F$3="Monthly",IF(E1335=MAIN!$L$3,"Yes","No"),IF(E1335&lt;=MAIN!$L$3,"Yes","No"))))</f>
        <v>Yes</v>
      </c>
      <c r="AA1335" t="str">
        <f t="shared" si="125"/>
        <v>No</v>
      </c>
    </row>
    <row r="1336" spans="1:27" x14ac:dyDescent="0.3">
      <c r="A1336">
        <f>INDEX(SETTINGS!$A$15:$A$24,$B1336)</f>
        <v>2030</v>
      </c>
      <c r="B1336">
        <v>6</v>
      </c>
      <c r="C1336" t="str">
        <f>IF(AND(A1336&gt;=SETTINGS!$B$4,A1336&lt;=SETTINGS!$B$5),"Yes","No")</f>
        <v>No</v>
      </c>
      <c r="D1336" t="str">
        <f>IFERROR(INDEX(SETTINGS!$C$15:$C$24,MATCH(A1336,SETTINGS!$A$15:$A$24,0)),"No")</f>
        <v>No</v>
      </c>
      <c r="E1336">
        <v>11</v>
      </c>
      <c r="F1336" t="s">
        <v>44</v>
      </c>
      <c r="G1336">
        <v>254</v>
      </c>
      <c r="H1336" t="s">
        <v>97</v>
      </c>
      <c r="I1336" t="s">
        <v>15</v>
      </c>
      <c r="J1336" t="s">
        <v>17</v>
      </c>
      <c r="K1336" t="s">
        <v>3</v>
      </c>
      <c r="L1336" s="36">
        <f ca="1">IF(C1336&lt;&gt;"Yes",0,IF(A1336=2025,N('2025'!D254),IF(A1336=2026,N('2026'!D254),IF(A1336=2027,N('2027'!D254),IF(A1336=2028,N('2028'!D254),IF(A1336=2029,N('2029'!D254),IF(A1336=2030,N('2030'!D254),IF(A1336=2031,N('2031'!D254),IF(A1336=2032,N('2032'!D254),IF(A1336=2033,N('2033'!D254),IF(A1336=2034,N('2034'!D254),IFERROR(N(INDIRECT("'"&amp;A1336&amp;"'!D"&amp;G1336)),0))))))))))))</f>
        <v>0</v>
      </c>
      <c r="M1336" s="36">
        <f>IFERROR(IF(NOT(ISBLANK(KPI_TARGETS!$L$9)),KPI_TARGETS!$L$9,IF(NOT(ISBLANK(KPI_TARGETS!$F$9)),KPI_TARGETS!$F$9,"")),"")</f>
        <v>0</v>
      </c>
      <c r="N1336" s="36" t="str">
        <f>IFERROR(KPI_TARGETS!$E$9,"Higher is better")</f>
        <v>Higher is better</v>
      </c>
      <c r="O1336" s="37" t="str">
        <f t="shared" ca="1" si="120"/>
        <v/>
      </c>
      <c r="P1336" t="str">
        <f t="shared" ca="1" si="121"/>
        <v>Green</v>
      </c>
      <c r="Q1336" s="36">
        <f t="shared" ca="1" si="122"/>
        <v>0</v>
      </c>
      <c r="R1336" s="36" t="str">
        <f>""</f>
        <v/>
      </c>
      <c r="S1336" s="36" t="str">
        <f>""</f>
        <v/>
      </c>
      <c r="T1336" s="36" t="str">
        <f>""</f>
        <v/>
      </c>
      <c r="U1336" s="36" t="str">
        <f>""</f>
        <v/>
      </c>
      <c r="V1336" s="36" t="str">
        <f>""</f>
        <v/>
      </c>
      <c r="W1336" s="36">
        <f t="shared" si="123"/>
        <v>1</v>
      </c>
      <c r="X1336" t="str">
        <f t="shared" si="124"/>
        <v>Inactive</v>
      </c>
      <c r="Y1336" t="str">
        <f>IF(MAIN!$H$3="Selected Year",IF(A1336=MAIN!$B$3,"Yes","No"),IF(MAIN!$H$3="Included Years",IF(D1336="Yes","Yes","No"),IF(C1336="Yes","Yes","No")))</f>
        <v>No</v>
      </c>
      <c r="Z1336" t="str">
        <f>IF(MAIN!$F$3="Project to Date",IF(AND(A1336&gt;=SETTINGS!$B$4,A1336&lt;MAIN!$B$3),"Yes",IF(AND(A1336=MAIN!$B$3,E1336&lt;=MAIN!$L$3),"Yes","No")),IF(OR(MAIN!$F$3="Full Year",MAIN!$D$3="All"),"Yes",IF(MAIN!$F$3="Monthly",IF(E1336=MAIN!$L$3,"Yes","No"),IF(E1336&lt;=MAIN!$L$3,"Yes","No"))))</f>
        <v>Yes</v>
      </c>
      <c r="AA1336" t="str">
        <f t="shared" si="125"/>
        <v>No</v>
      </c>
    </row>
    <row r="1337" spans="1:27" x14ac:dyDescent="0.3">
      <c r="A1337">
        <f>INDEX(SETTINGS!$A$15:$A$24,$B1337)</f>
        <v>2030</v>
      </c>
      <c r="B1337">
        <v>6</v>
      </c>
      <c r="C1337" t="str">
        <f>IF(AND(A1337&gt;=SETTINGS!$B$4,A1337&lt;=SETTINGS!$B$5),"Yes","No")</f>
        <v>No</v>
      </c>
      <c r="D1337" t="str">
        <f>IFERROR(INDEX(SETTINGS!$C$15:$C$24,MATCH(A1337,SETTINGS!$A$15:$A$24,0)),"No")</f>
        <v>No</v>
      </c>
      <c r="E1337">
        <v>11</v>
      </c>
      <c r="F1337" t="s">
        <v>44</v>
      </c>
      <c r="G1337">
        <v>255</v>
      </c>
      <c r="H1337" t="s">
        <v>99</v>
      </c>
      <c r="I1337" t="s">
        <v>15</v>
      </c>
      <c r="J1337" t="s">
        <v>18</v>
      </c>
      <c r="K1337" t="s">
        <v>3</v>
      </c>
      <c r="L1337" s="36">
        <f ca="1">IF(C1337&lt;&gt;"Yes",0,IF(A1337=2025,N('2025'!D255),IF(A1337=2026,N('2026'!D255),IF(A1337=2027,N('2027'!D255),IF(A1337=2028,N('2028'!D255),IF(A1337=2029,N('2029'!D255),IF(A1337=2030,N('2030'!D255),IF(A1337=2031,N('2031'!D255),IF(A1337=2032,N('2032'!D255),IF(A1337=2033,N('2033'!D255),IF(A1337=2034,N('2034'!D255),IFERROR(N(INDIRECT("'"&amp;A1337&amp;"'!D"&amp;G1337)),0))))))))))))</f>
        <v>0</v>
      </c>
      <c r="M1337" s="36">
        <f>IFERROR(IF(NOT(ISBLANK(KPI_TARGETS!$L$10)),KPI_TARGETS!$L$10,IF(NOT(ISBLANK(KPI_TARGETS!$F$10)),KPI_TARGETS!$F$10,"")),"")</f>
        <v>0</v>
      </c>
      <c r="N1337" s="36" t="str">
        <f>IFERROR(KPI_TARGETS!$E$10,"Higher is better")</f>
        <v>Lower is better</v>
      </c>
      <c r="O1337" s="37">
        <f t="shared" ca="1" si="120"/>
        <v>1</v>
      </c>
      <c r="P1337" t="str">
        <f t="shared" ca="1" si="121"/>
        <v>Green</v>
      </c>
      <c r="Q1337" s="36">
        <f t="shared" ca="1" si="122"/>
        <v>0</v>
      </c>
      <c r="R1337" s="36" t="str">
        <f>""</f>
        <v/>
      </c>
      <c r="S1337" s="36" t="str">
        <f>""</f>
        <v/>
      </c>
      <c r="T1337" s="36" t="str">
        <f>""</f>
        <v/>
      </c>
      <c r="U1337" s="36" t="str">
        <f>""</f>
        <v/>
      </c>
      <c r="V1337" s="36" t="str">
        <f>""</f>
        <v/>
      </c>
      <c r="W1337" s="36">
        <f t="shared" si="123"/>
        <v>1</v>
      </c>
      <c r="X1337" t="str">
        <f t="shared" si="124"/>
        <v>Inactive</v>
      </c>
      <c r="Y1337" t="str">
        <f>IF(MAIN!$H$3="Selected Year",IF(A1337=MAIN!$B$3,"Yes","No"),IF(MAIN!$H$3="Included Years",IF(D1337="Yes","Yes","No"),IF(C1337="Yes","Yes","No")))</f>
        <v>No</v>
      </c>
      <c r="Z1337" t="str">
        <f>IF(MAIN!$F$3="Project to Date",IF(AND(A1337&gt;=SETTINGS!$B$4,A1337&lt;MAIN!$B$3),"Yes",IF(AND(A1337=MAIN!$B$3,E1337&lt;=MAIN!$L$3),"Yes","No")),IF(OR(MAIN!$F$3="Full Year",MAIN!$D$3="All"),"Yes",IF(MAIN!$F$3="Monthly",IF(E1337=MAIN!$L$3,"Yes","No"),IF(E1337&lt;=MAIN!$L$3,"Yes","No"))))</f>
        <v>Yes</v>
      </c>
      <c r="AA1337" t="str">
        <f t="shared" si="125"/>
        <v>No</v>
      </c>
    </row>
    <row r="1338" spans="1:27" x14ac:dyDescent="0.3">
      <c r="A1338">
        <f>INDEX(SETTINGS!$A$15:$A$24,$B1338)</f>
        <v>2030</v>
      </c>
      <c r="B1338">
        <v>6</v>
      </c>
      <c r="C1338" t="str">
        <f>IF(AND(A1338&gt;=SETTINGS!$B$4,A1338&lt;=SETTINGS!$B$5),"Yes","No")</f>
        <v>No</v>
      </c>
      <c r="D1338" t="str">
        <f>IFERROR(INDEX(SETTINGS!$C$15:$C$24,MATCH(A1338,SETTINGS!$A$15:$A$24,0)),"No")</f>
        <v>No</v>
      </c>
      <c r="E1338">
        <v>11</v>
      </c>
      <c r="F1338" t="s">
        <v>44</v>
      </c>
      <c r="G1338">
        <v>256</v>
      </c>
      <c r="H1338" t="s">
        <v>100</v>
      </c>
      <c r="I1338" t="s">
        <v>15</v>
      </c>
      <c r="J1338" t="s">
        <v>19</v>
      </c>
      <c r="K1338" t="s">
        <v>3</v>
      </c>
      <c r="L1338" s="36">
        <f ca="1">IF(C1338&lt;&gt;"Yes",0,IF(A1338=2025,N('2025'!D256),IF(A1338=2026,N('2026'!D256),IF(A1338=2027,N('2027'!D256),IF(A1338=2028,N('2028'!D256),IF(A1338=2029,N('2029'!D256),IF(A1338=2030,N('2030'!D256),IF(A1338=2031,N('2031'!D256),IF(A1338=2032,N('2032'!D256),IF(A1338=2033,N('2033'!D256),IF(A1338=2034,N('2034'!D256),IFERROR(N(INDIRECT("'"&amp;A1338&amp;"'!D"&amp;G1338)),0))))))))))))</f>
        <v>0</v>
      </c>
      <c r="M1338" s="36">
        <f>IFERROR(IF(NOT(ISBLANK(KPI_TARGETS!$L$11)),KPI_TARGETS!$L$11,IF(NOT(ISBLANK(KPI_TARGETS!$F$11)),KPI_TARGETS!$F$11,"")),"")</f>
        <v>0</v>
      </c>
      <c r="N1338" s="36" t="str">
        <f>IFERROR(KPI_TARGETS!$E$11,"Higher is better")</f>
        <v>Lower is better</v>
      </c>
      <c r="O1338" s="37">
        <f t="shared" ca="1" si="120"/>
        <v>1</v>
      </c>
      <c r="P1338" t="str">
        <f t="shared" ca="1" si="121"/>
        <v>Green</v>
      </c>
      <c r="Q1338" s="36">
        <f t="shared" ca="1" si="122"/>
        <v>0</v>
      </c>
      <c r="R1338" s="36" t="str">
        <f>""</f>
        <v/>
      </c>
      <c r="S1338" s="36" t="str">
        <f>""</f>
        <v/>
      </c>
      <c r="T1338" s="36" t="str">
        <f>""</f>
        <v/>
      </c>
      <c r="U1338" s="36" t="str">
        <f>""</f>
        <v/>
      </c>
      <c r="V1338" s="36" t="str">
        <f>""</f>
        <v/>
      </c>
      <c r="W1338" s="36">
        <f t="shared" si="123"/>
        <v>1</v>
      </c>
      <c r="X1338" t="str">
        <f t="shared" si="124"/>
        <v>Inactive</v>
      </c>
      <c r="Y1338" t="str">
        <f>IF(MAIN!$H$3="Selected Year",IF(A1338=MAIN!$B$3,"Yes","No"),IF(MAIN!$H$3="Included Years",IF(D1338="Yes","Yes","No"),IF(C1338="Yes","Yes","No")))</f>
        <v>No</v>
      </c>
      <c r="Z1338" t="str">
        <f>IF(MAIN!$F$3="Project to Date",IF(AND(A1338&gt;=SETTINGS!$B$4,A1338&lt;MAIN!$B$3),"Yes",IF(AND(A1338=MAIN!$B$3,E1338&lt;=MAIN!$L$3),"Yes","No")),IF(OR(MAIN!$F$3="Full Year",MAIN!$D$3="All"),"Yes",IF(MAIN!$F$3="Monthly",IF(E1338=MAIN!$L$3,"Yes","No"),IF(E1338&lt;=MAIN!$L$3,"Yes","No"))))</f>
        <v>Yes</v>
      </c>
      <c r="AA1338" t="str">
        <f t="shared" si="125"/>
        <v>No</v>
      </c>
    </row>
    <row r="1339" spans="1:27" x14ac:dyDescent="0.3">
      <c r="A1339">
        <f>INDEX(SETTINGS!$A$15:$A$24,$B1339)</f>
        <v>2030</v>
      </c>
      <c r="B1339">
        <v>6</v>
      </c>
      <c r="C1339" t="str">
        <f>IF(AND(A1339&gt;=SETTINGS!$B$4,A1339&lt;=SETTINGS!$B$5),"Yes","No")</f>
        <v>No</v>
      </c>
      <c r="D1339" t="str">
        <f>IFERROR(INDEX(SETTINGS!$C$15:$C$24,MATCH(A1339,SETTINGS!$A$15:$A$24,0)),"No")</f>
        <v>No</v>
      </c>
      <c r="E1339">
        <v>11</v>
      </c>
      <c r="F1339" t="s">
        <v>44</v>
      </c>
      <c r="G1339">
        <v>257</v>
      </c>
      <c r="H1339" t="s">
        <v>101</v>
      </c>
      <c r="I1339" t="s">
        <v>15</v>
      </c>
      <c r="J1339" t="s">
        <v>20</v>
      </c>
      <c r="K1339" t="s">
        <v>3</v>
      </c>
      <c r="L1339" s="36">
        <f ca="1">IF(C1339&lt;&gt;"Yes",0,IF(A1339=2025,N('2025'!D257),IF(A1339=2026,N('2026'!D257),IF(A1339=2027,N('2027'!D257),IF(A1339=2028,N('2028'!D257),IF(A1339=2029,N('2029'!D257),IF(A1339=2030,N('2030'!D257),IF(A1339=2031,N('2031'!D257),IF(A1339=2032,N('2032'!D257),IF(A1339=2033,N('2033'!D257),IF(A1339=2034,N('2034'!D257),IFERROR(N(INDIRECT("'"&amp;A1339&amp;"'!D"&amp;G1339)),0))))))))))))</f>
        <v>0</v>
      </c>
      <c r="M1339" s="36">
        <f>IFERROR(IF(NOT(ISBLANK(KPI_TARGETS!$L$12)),KPI_TARGETS!$L$12,IF(NOT(ISBLANK(KPI_TARGETS!$F$12)),KPI_TARGETS!$F$12,"")),"")</f>
        <v>0</v>
      </c>
      <c r="N1339" s="36" t="str">
        <f>IFERROR(KPI_TARGETS!$E$12,"Higher is better")</f>
        <v>Lower is better</v>
      </c>
      <c r="O1339" s="37">
        <f t="shared" ca="1" si="120"/>
        <v>1</v>
      </c>
      <c r="P1339" t="str">
        <f t="shared" ca="1" si="121"/>
        <v>Green</v>
      </c>
      <c r="Q1339" s="36">
        <f t="shared" ca="1" si="122"/>
        <v>0</v>
      </c>
      <c r="R1339" s="36" t="str">
        <f>""</f>
        <v/>
      </c>
      <c r="S1339" s="36" t="str">
        <f>""</f>
        <v/>
      </c>
      <c r="T1339" s="36" t="str">
        <f>""</f>
        <v/>
      </c>
      <c r="U1339" s="36" t="str">
        <f>""</f>
        <v/>
      </c>
      <c r="V1339" s="36" t="str">
        <f>""</f>
        <v/>
      </c>
      <c r="W1339" s="36">
        <f t="shared" si="123"/>
        <v>1</v>
      </c>
      <c r="X1339" t="str">
        <f t="shared" si="124"/>
        <v>Inactive</v>
      </c>
      <c r="Y1339" t="str">
        <f>IF(MAIN!$H$3="Selected Year",IF(A1339=MAIN!$B$3,"Yes","No"),IF(MAIN!$H$3="Included Years",IF(D1339="Yes","Yes","No"),IF(C1339="Yes","Yes","No")))</f>
        <v>No</v>
      </c>
      <c r="Z1339" t="str">
        <f>IF(MAIN!$F$3="Project to Date",IF(AND(A1339&gt;=SETTINGS!$B$4,A1339&lt;MAIN!$B$3),"Yes",IF(AND(A1339=MAIN!$B$3,E1339&lt;=MAIN!$L$3),"Yes","No")),IF(OR(MAIN!$F$3="Full Year",MAIN!$D$3="All"),"Yes",IF(MAIN!$F$3="Monthly",IF(E1339=MAIN!$L$3,"Yes","No"),IF(E1339&lt;=MAIN!$L$3,"Yes","No"))))</f>
        <v>Yes</v>
      </c>
      <c r="AA1339" t="str">
        <f t="shared" si="125"/>
        <v>No</v>
      </c>
    </row>
    <row r="1340" spans="1:27" x14ac:dyDescent="0.3">
      <c r="A1340">
        <f>INDEX(SETTINGS!$A$15:$A$24,$B1340)</f>
        <v>2030</v>
      </c>
      <c r="B1340">
        <v>6</v>
      </c>
      <c r="C1340" t="str">
        <f>IF(AND(A1340&gt;=SETTINGS!$B$4,A1340&lt;=SETTINGS!$B$5),"Yes","No")</f>
        <v>No</v>
      </c>
      <c r="D1340" t="str">
        <f>IFERROR(INDEX(SETTINGS!$C$15:$C$24,MATCH(A1340,SETTINGS!$A$15:$A$24,0)),"No")</f>
        <v>No</v>
      </c>
      <c r="E1340">
        <v>11</v>
      </c>
      <c r="F1340" t="s">
        <v>44</v>
      </c>
      <c r="G1340">
        <v>258</v>
      </c>
      <c r="H1340" t="s">
        <v>102</v>
      </c>
      <c r="I1340" t="s">
        <v>15</v>
      </c>
      <c r="J1340" t="s">
        <v>21</v>
      </c>
      <c r="K1340" t="s">
        <v>3</v>
      </c>
      <c r="L1340" s="36">
        <f ca="1">IF(C1340&lt;&gt;"Yes",0,IF(A1340=2025,N('2025'!D258),IF(A1340=2026,N('2026'!D258),IF(A1340=2027,N('2027'!D258),IF(A1340=2028,N('2028'!D258),IF(A1340=2029,N('2029'!D258),IF(A1340=2030,N('2030'!D258),IF(A1340=2031,N('2031'!D258),IF(A1340=2032,N('2032'!D258),IF(A1340=2033,N('2033'!D258),IF(A1340=2034,N('2034'!D258),IFERROR(N(INDIRECT("'"&amp;A1340&amp;"'!D"&amp;G1340)),0))))))))))))</f>
        <v>0</v>
      </c>
      <c r="M1340" s="36">
        <f>IFERROR(IF(NOT(ISBLANK(KPI_TARGETS!$L$13)),KPI_TARGETS!$L$13,IF(NOT(ISBLANK(KPI_TARGETS!$F$13)),KPI_TARGETS!$F$13,"")),"")</f>
        <v>0</v>
      </c>
      <c r="N1340" s="36" t="str">
        <f>IFERROR(KPI_TARGETS!$E$13,"Higher is better")</f>
        <v>Lower is better</v>
      </c>
      <c r="O1340" s="37">
        <f t="shared" ca="1" si="120"/>
        <v>1</v>
      </c>
      <c r="P1340" t="str">
        <f t="shared" ca="1" si="121"/>
        <v>Green</v>
      </c>
      <c r="Q1340" s="36">
        <f t="shared" ca="1" si="122"/>
        <v>0</v>
      </c>
      <c r="R1340" s="36" t="str">
        <f>""</f>
        <v/>
      </c>
      <c r="S1340" s="36" t="str">
        <f>""</f>
        <v/>
      </c>
      <c r="T1340" s="36" t="str">
        <f>""</f>
        <v/>
      </c>
      <c r="U1340" s="36" t="str">
        <f>""</f>
        <v/>
      </c>
      <c r="V1340" s="36" t="str">
        <f>""</f>
        <v/>
      </c>
      <c r="W1340" s="36">
        <f t="shared" si="123"/>
        <v>1</v>
      </c>
      <c r="X1340" t="str">
        <f t="shared" si="124"/>
        <v>Inactive</v>
      </c>
      <c r="Y1340" t="str">
        <f>IF(MAIN!$H$3="Selected Year",IF(A1340=MAIN!$B$3,"Yes","No"),IF(MAIN!$H$3="Included Years",IF(D1340="Yes","Yes","No"),IF(C1340="Yes","Yes","No")))</f>
        <v>No</v>
      </c>
      <c r="Z1340" t="str">
        <f>IF(MAIN!$F$3="Project to Date",IF(AND(A1340&gt;=SETTINGS!$B$4,A1340&lt;MAIN!$B$3),"Yes",IF(AND(A1340=MAIN!$B$3,E1340&lt;=MAIN!$L$3),"Yes","No")),IF(OR(MAIN!$F$3="Full Year",MAIN!$D$3="All"),"Yes",IF(MAIN!$F$3="Monthly",IF(E1340=MAIN!$L$3,"Yes","No"),IF(E1340&lt;=MAIN!$L$3,"Yes","No"))))</f>
        <v>Yes</v>
      </c>
      <c r="AA1340" t="str">
        <f t="shared" si="125"/>
        <v>No</v>
      </c>
    </row>
    <row r="1341" spans="1:27" x14ac:dyDescent="0.3">
      <c r="A1341">
        <f>INDEX(SETTINGS!$A$15:$A$24,$B1341)</f>
        <v>2030</v>
      </c>
      <c r="B1341">
        <v>6</v>
      </c>
      <c r="C1341" t="str">
        <f>IF(AND(A1341&gt;=SETTINGS!$B$4,A1341&lt;=SETTINGS!$B$5),"Yes","No")</f>
        <v>No</v>
      </c>
      <c r="D1341" t="str">
        <f>IFERROR(INDEX(SETTINGS!$C$15:$C$24,MATCH(A1341,SETTINGS!$A$15:$A$24,0)),"No")</f>
        <v>No</v>
      </c>
      <c r="E1341">
        <v>11</v>
      </c>
      <c r="F1341" t="s">
        <v>44</v>
      </c>
      <c r="G1341">
        <v>260</v>
      </c>
      <c r="H1341" t="s">
        <v>103</v>
      </c>
      <c r="I1341" t="s">
        <v>22</v>
      </c>
      <c r="J1341" t="s">
        <v>23</v>
      </c>
      <c r="K1341" t="s">
        <v>3</v>
      </c>
      <c r="L1341" s="36">
        <f ca="1">IF(C1341&lt;&gt;"Yes",0,IF(A1341=2025,N('2025'!D260),IF(A1341=2026,N('2026'!D260),IF(A1341=2027,N('2027'!D260),IF(A1341=2028,N('2028'!D260),IF(A1341=2029,N('2029'!D260),IF(A1341=2030,N('2030'!D260),IF(A1341=2031,N('2031'!D260),IF(A1341=2032,N('2032'!D260),IF(A1341=2033,N('2033'!D260),IF(A1341=2034,N('2034'!D260),IFERROR(N(INDIRECT("'"&amp;A1341&amp;"'!D"&amp;G1341)),0))))))))))))</f>
        <v>0</v>
      </c>
      <c r="M1341" s="36">
        <f>IFERROR(IF(NOT(ISBLANK(KPI_TARGETS!$L$14)),KPI_TARGETS!$L$14,IF(NOT(ISBLANK(KPI_TARGETS!$F$14)),KPI_TARGETS!$F$14,"")),"")</f>
        <v>35</v>
      </c>
      <c r="N1341" s="36" t="str">
        <f>IFERROR(KPI_TARGETS!$E$14,"Higher is better")</f>
        <v>Higher is better</v>
      </c>
      <c r="O1341" s="37">
        <f t="shared" ca="1" si="120"/>
        <v>0</v>
      </c>
      <c r="P1341" t="str">
        <f t="shared" ca="1" si="121"/>
        <v>Red</v>
      </c>
      <c r="Q1341" s="36">
        <f t="shared" ca="1" si="122"/>
        <v>-35</v>
      </c>
      <c r="R1341" s="36" t="str">
        <f>""</f>
        <v/>
      </c>
      <c r="S1341" s="36" t="str">
        <f>""</f>
        <v/>
      </c>
      <c r="T1341" s="36" t="str">
        <f>""</f>
        <v/>
      </c>
      <c r="U1341" s="36" t="str">
        <f>""</f>
        <v/>
      </c>
      <c r="V1341" s="36" t="str">
        <f>""</f>
        <v/>
      </c>
      <c r="W1341" s="36">
        <f t="shared" si="123"/>
        <v>1</v>
      </c>
      <c r="X1341" t="str">
        <f t="shared" si="124"/>
        <v>Inactive</v>
      </c>
      <c r="Y1341" t="str">
        <f>IF(MAIN!$H$3="Selected Year",IF(A1341=MAIN!$B$3,"Yes","No"),IF(MAIN!$H$3="Included Years",IF(D1341="Yes","Yes","No"),IF(C1341="Yes","Yes","No")))</f>
        <v>No</v>
      </c>
      <c r="Z1341" t="str">
        <f>IF(MAIN!$F$3="Project to Date",IF(AND(A1341&gt;=SETTINGS!$B$4,A1341&lt;MAIN!$B$3),"Yes",IF(AND(A1341=MAIN!$B$3,E1341&lt;=MAIN!$L$3),"Yes","No")),IF(OR(MAIN!$F$3="Full Year",MAIN!$D$3="All"),"Yes",IF(MAIN!$F$3="Monthly",IF(E1341=MAIN!$L$3,"Yes","No"),IF(E1341&lt;=MAIN!$L$3,"Yes","No"))))</f>
        <v>Yes</v>
      </c>
      <c r="AA1341" t="str">
        <f t="shared" si="125"/>
        <v>No</v>
      </c>
    </row>
    <row r="1342" spans="1:27" x14ac:dyDescent="0.3">
      <c r="A1342">
        <f>INDEX(SETTINGS!$A$15:$A$24,$B1342)</f>
        <v>2030</v>
      </c>
      <c r="B1342">
        <v>6</v>
      </c>
      <c r="C1342" t="str">
        <f>IF(AND(A1342&gt;=SETTINGS!$B$4,A1342&lt;=SETTINGS!$B$5),"Yes","No")</f>
        <v>No</v>
      </c>
      <c r="D1342" t="str">
        <f>IFERROR(INDEX(SETTINGS!$C$15:$C$24,MATCH(A1342,SETTINGS!$A$15:$A$24,0)),"No")</f>
        <v>No</v>
      </c>
      <c r="E1342">
        <v>11</v>
      </c>
      <c r="F1342" t="s">
        <v>44</v>
      </c>
      <c r="G1342">
        <v>261</v>
      </c>
      <c r="H1342" t="s">
        <v>104</v>
      </c>
      <c r="I1342" t="s">
        <v>22</v>
      </c>
      <c r="J1342" t="s">
        <v>24</v>
      </c>
      <c r="K1342" t="s">
        <v>3</v>
      </c>
      <c r="L1342" s="36">
        <f ca="1">IF(C1342&lt;&gt;"Yes",0,IF(A1342=2025,N('2025'!D261),IF(A1342=2026,N('2026'!D261),IF(A1342=2027,N('2027'!D261),IF(A1342=2028,N('2028'!D261),IF(A1342=2029,N('2029'!D261),IF(A1342=2030,N('2030'!D261),IF(A1342=2031,N('2031'!D261),IF(A1342=2032,N('2032'!D261),IF(A1342=2033,N('2033'!D261),IF(A1342=2034,N('2034'!D261),IFERROR(N(INDIRECT("'"&amp;A1342&amp;"'!D"&amp;G1342)),0))))))))))))</f>
        <v>0</v>
      </c>
      <c r="M1342" s="36">
        <f>IFERROR(IF(NOT(ISBLANK(KPI_TARGETS!$L$15)),KPI_TARGETS!$L$15,IF(NOT(ISBLANK(KPI_TARGETS!$F$15)),KPI_TARGETS!$F$15,"")),"")</f>
        <v>5</v>
      </c>
      <c r="N1342" s="36" t="str">
        <f>IFERROR(KPI_TARGETS!$E$15,"Higher is better")</f>
        <v>Higher is better</v>
      </c>
      <c r="O1342" s="37">
        <f t="shared" ca="1" si="120"/>
        <v>0</v>
      </c>
      <c r="P1342" t="str">
        <f t="shared" ca="1" si="121"/>
        <v>Red</v>
      </c>
      <c r="Q1342" s="36">
        <f t="shared" ca="1" si="122"/>
        <v>-5</v>
      </c>
      <c r="R1342" s="36" t="str">
        <f>""</f>
        <v/>
      </c>
      <c r="S1342" s="36" t="str">
        <f>""</f>
        <v/>
      </c>
      <c r="T1342" s="36" t="str">
        <f>""</f>
        <v/>
      </c>
      <c r="U1342" s="36" t="str">
        <f>""</f>
        <v/>
      </c>
      <c r="V1342" s="36" t="str">
        <f>""</f>
        <v/>
      </c>
      <c r="W1342" s="36">
        <f t="shared" si="123"/>
        <v>1</v>
      </c>
      <c r="X1342" t="str">
        <f t="shared" si="124"/>
        <v>Inactive</v>
      </c>
      <c r="Y1342" t="str">
        <f>IF(MAIN!$H$3="Selected Year",IF(A1342=MAIN!$B$3,"Yes","No"),IF(MAIN!$H$3="Included Years",IF(D1342="Yes","Yes","No"),IF(C1342="Yes","Yes","No")))</f>
        <v>No</v>
      </c>
      <c r="Z1342" t="str">
        <f>IF(MAIN!$F$3="Project to Date",IF(AND(A1342&gt;=SETTINGS!$B$4,A1342&lt;MAIN!$B$3),"Yes",IF(AND(A1342=MAIN!$B$3,E1342&lt;=MAIN!$L$3),"Yes","No")),IF(OR(MAIN!$F$3="Full Year",MAIN!$D$3="All"),"Yes",IF(MAIN!$F$3="Monthly",IF(E1342=MAIN!$L$3,"Yes","No"),IF(E1342&lt;=MAIN!$L$3,"Yes","No"))))</f>
        <v>Yes</v>
      </c>
      <c r="AA1342" t="str">
        <f t="shared" si="125"/>
        <v>No</v>
      </c>
    </row>
    <row r="1343" spans="1:27" x14ac:dyDescent="0.3">
      <c r="A1343">
        <f>INDEX(SETTINGS!$A$15:$A$24,$B1343)</f>
        <v>2030</v>
      </c>
      <c r="B1343">
        <v>6</v>
      </c>
      <c r="C1343" t="str">
        <f>IF(AND(A1343&gt;=SETTINGS!$B$4,A1343&lt;=SETTINGS!$B$5),"Yes","No")</f>
        <v>No</v>
      </c>
      <c r="D1343" t="str">
        <f>IFERROR(INDEX(SETTINGS!$C$15:$C$24,MATCH(A1343,SETTINGS!$A$15:$A$24,0)),"No")</f>
        <v>No</v>
      </c>
      <c r="E1343">
        <v>11</v>
      </c>
      <c r="F1343" t="s">
        <v>44</v>
      </c>
      <c r="G1343">
        <v>262</v>
      </c>
      <c r="H1343" t="s">
        <v>105</v>
      </c>
      <c r="I1343" t="s">
        <v>22</v>
      </c>
      <c r="J1343" t="s">
        <v>25</v>
      </c>
      <c r="K1343" t="s">
        <v>3</v>
      </c>
      <c r="L1343" s="36">
        <f ca="1">IF(C1343&lt;&gt;"Yes",0,IF(A1343=2025,N('2025'!D262),IF(A1343=2026,N('2026'!D262),IF(A1343=2027,N('2027'!D262),IF(A1343=2028,N('2028'!D262),IF(A1343=2029,N('2029'!D262),IF(A1343=2030,N('2030'!D262),IF(A1343=2031,N('2031'!D262),IF(A1343=2032,N('2032'!D262),IF(A1343=2033,N('2033'!D262),IF(A1343=2034,N('2034'!D262),IFERROR(N(INDIRECT("'"&amp;A1343&amp;"'!D"&amp;G1343)),0))))))))))))</f>
        <v>0</v>
      </c>
      <c r="M1343" s="36">
        <f>IFERROR(IF(NOT(ISBLANK(KPI_TARGETS!$L$16)),KPI_TARGETS!$L$16,IF(NOT(ISBLANK(KPI_TARGETS!$F$16)),KPI_TARGETS!$F$16,"")),"")</f>
        <v>4</v>
      </c>
      <c r="N1343" s="36" t="str">
        <f>IFERROR(KPI_TARGETS!$E$16,"Higher is better")</f>
        <v>Higher is better</v>
      </c>
      <c r="O1343" s="37">
        <f t="shared" ca="1" si="120"/>
        <v>0</v>
      </c>
      <c r="P1343" t="str">
        <f t="shared" ca="1" si="121"/>
        <v>Red</v>
      </c>
      <c r="Q1343" s="36">
        <f t="shared" ca="1" si="122"/>
        <v>-4</v>
      </c>
      <c r="R1343" s="36" t="str">
        <f>""</f>
        <v/>
      </c>
      <c r="S1343" s="36" t="str">
        <f>""</f>
        <v/>
      </c>
      <c r="T1343" s="36" t="str">
        <f>""</f>
        <v/>
      </c>
      <c r="U1343" s="36" t="str">
        <f>""</f>
        <v/>
      </c>
      <c r="V1343" s="36" t="str">
        <f>""</f>
        <v/>
      </c>
      <c r="W1343" s="36">
        <f t="shared" si="123"/>
        <v>1</v>
      </c>
      <c r="X1343" t="str">
        <f t="shared" si="124"/>
        <v>Inactive</v>
      </c>
      <c r="Y1343" t="str">
        <f>IF(MAIN!$H$3="Selected Year",IF(A1343=MAIN!$B$3,"Yes","No"),IF(MAIN!$H$3="Included Years",IF(D1343="Yes","Yes","No"),IF(C1343="Yes","Yes","No")))</f>
        <v>No</v>
      </c>
      <c r="Z1343" t="str">
        <f>IF(MAIN!$F$3="Project to Date",IF(AND(A1343&gt;=SETTINGS!$B$4,A1343&lt;MAIN!$B$3),"Yes",IF(AND(A1343=MAIN!$B$3,E1343&lt;=MAIN!$L$3),"Yes","No")),IF(OR(MAIN!$F$3="Full Year",MAIN!$D$3="All"),"Yes",IF(MAIN!$F$3="Monthly",IF(E1343=MAIN!$L$3,"Yes","No"),IF(E1343&lt;=MAIN!$L$3,"Yes","No"))))</f>
        <v>Yes</v>
      </c>
      <c r="AA1343" t="str">
        <f t="shared" si="125"/>
        <v>No</v>
      </c>
    </row>
    <row r="1344" spans="1:27" x14ac:dyDescent="0.3">
      <c r="A1344">
        <f>INDEX(SETTINGS!$A$15:$A$24,$B1344)</f>
        <v>2030</v>
      </c>
      <c r="B1344">
        <v>6</v>
      </c>
      <c r="C1344" t="str">
        <f>IF(AND(A1344&gt;=SETTINGS!$B$4,A1344&lt;=SETTINGS!$B$5),"Yes","No")</f>
        <v>No</v>
      </c>
      <c r="D1344" t="str">
        <f>IFERROR(INDEX(SETTINGS!$C$15:$C$24,MATCH(A1344,SETTINGS!$A$15:$A$24,0)),"No")</f>
        <v>No</v>
      </c>
      <c r="E1344">
        <v>11</v>
      </c>
      <c r="F1344" t="s">
        <v>44</v>
      </c>
      <c r="G1344">
        <v>263</v>
      </c>
      <c r="H1344" t="s">
        <v>106</v>
      </c>
      <c r="I1344" t="s">
        <v>22</v>
      </c>
      <c r="J1344" t="s">
        <v>26</v>
      </c>
      <c r="K1344" t="s">
        <v>3</v>
      </c>
      <c r="L1344" s="36">
        <f ca="1">IF(C1344&lt;&gt;"Yes",0,IF(A1344=2025,N('2025'!D263),IF(A1344=2026,N('2026'!D263),IF(A1344=2027,N('2027'!D263),IF(A1344=2028,N('2028'!D263),IF(A1344=2029,N('2029'!D263),IF(A1344=2030,N('2030'!D263),IF(A1344=2031,N('2031'!D263),IF(A1344=2032,N('2032'!D263),IF(A1344=2033,N('2033'!D263),IF(A1344=2034,N('2034'!D263),IFERROR(N(INDIRECT("'"&amp;A1344&amp;"'!D"&amp;G1344)),0))))))))))))</f>
        <v>0</v>
      </c>
      <c r="M1344" s="36">
        <f>IFERROR(IF(NOT(ISBLANK(KPI_TARGETS!$L$17)),KPI_TARGETS!$L$17,IF(NOT(ISBLANK(KPI_TARGETS!$F$17)),KPI_TARGETS!$F$17,"")),"")</f>
        <v>12</v>
      </c>
      <c r="N1344" s="36" t="str">
        <f>IFERROR(KPI_TARGETS!$E$17,"Higher is better")</f>
        <v>Higher is better</v>
      </c>
      <c r="O1344" s="37">
        <f t="shared" ca="1" si="120"/>
        <v>0</v>
      </c>
      <c r="P1344" t="str">
        <f t="shared" ca="1" si="121"/>
        <v>Red</v>
      </c>
      <c r="Q1344" s="36">
        <f t="shared" ca="1" si="122"/>
        <v>-12</v>
      </c>
      <c r="R1344" s="36" t="str">
        <f>""</f>
        <v/>
      </c>
      <c r="S1344" s="36" t="str">
        <f>""</f>
        <v/>
      </c>
      <c r="T1344" s="36" t="str">
        <f>""</f>
        <v/>
      </c>
      <c r="U1344" s="36" t="str">
        <f>""</f>
        <v/>
      </c>
      <c r="V1344" s="36" t="str">
        <f>""</f>
        <v/>
      </c>
      <c r="W1344" s="36">
        <f t="shared" si="123"/>
        <v>1</v>
      </c>
      <c r="X1344" t="str">
        <f t="shared" si="124"/>
        <v>Inactive</v>
      </c>
      <c r="Y1344" t="str">
        <f>IF(MAIN!$H$3="Selected Year",IF(A1344=MAIN!$B$3,"Yes","No"),IF(MAIN!$H$3="Included Years",IF(D1344="Yes","Yes","No"),IF(C1344="Yes","Yes","No")))</f>
        <v>No</v>
      </c>
      <c r="Z1344" t="str">
        <f>IF(MAIN!$F$3="Project to Date",IF(AND(A1344&gt;=SETTINGS!$B$4,A1344&lt;MAIN!$B$3),"Yes",IF(AND(A1344=MAIN!$B$3,E1344&lt;=MAIN!$L$3),"Yes","No")),IF(OR(MAIN!$F$3="Full Year",MAIN!$D$3="All"),"Yes",IF(MAIN!$F$3="Monthly",IF(E1344=MAIN!$L$3,"Yes","No"),IF(E1344&lt;=MAIN!$L$3,"Yes","No"))))</f>
        <v>Yes</v>
      </c>
      <c r="AA1344" t="str">
        <f t="shared" si="125"/>
        <v>No</v>
      </c>
    </row>
    <row r="1345" spans="1:27" x14ac:dyDescent="0.3">
      <c r="A1345">
        <f>INDEX(SETTINGS!$A$15:$A$24,$B1345)</f>
        <v>2030</v>
      </c>
      <c r="B1345">
        <v>6</v>
      </c>
      <c r="C1345" t="str">
        <f>IF(AND(A1345&gt;=SETTINGS!$B$4,A1345&lt;=SETTINGS!$B$5),"Yes","No")</f>
        <v>No</v>
      </c>
      <c r="D1345" t="str">
        <f>IFERROR(INDEX(SETTINGS!$C$15:$C$24,MATCH(A1345,SETTINGS!$A$15:$A$24,0)),"No")</f>
        <v>No</v>
      </c>
      <c r="E1345">
        <v>11</v>
      </c>
      <c r="F1345" t="s">
        <v>44</v>
      </c>
      <c r="G1345">
        <v>264</v>
      </c>
      <c r="H1345" t="s">
        <v>107</v>
      </c>
      <c r="I1345" t="s">
        <v>22</v>
      </c>
      <c r="J1345" t="s">
        <v>27</v>
      </c>
      <c r="K1345" t="s">
        <v>3</v>
      </c>
      <c r="L1345" s="36">
        <f ca="1">IF(C1345&lt;&gt;"Yes",0,IF(A1345=2025,N('2025'!D264),IF(A1345=2026,N('2026'!D264),IF(A1345=2027,N('2027'!D264),IF(A1345=2028,N('2028'!D264),IF(A1345=2029,N('2029'!D264),IF(A1345=2030,N('2030'!D264),IF(A1345=2031,N('2031'!D264),IF(A1345=2032,N('2032'!D264),IF(A1345=2033,N('2033'!D264),IF(A1345=2034,N('2034'!D264),IFERROR(N(INDIRECT("'"&amp;A1345&amp;"'!D"&amp;G1345)),0))))))))))))</f>
        <v>0</v>
      </c>
      <c r="M1345" s="36">
        <f>IFERROR(IF(NOT(ISBLANK(KPI_TARGETS!$L$18)),KPI_TARGETS!$L$18,IF(NOT(ISBLANK(KPI_TARGETS!$F$18)),KPI_TARGETS!$F$18,"")),"")</f>
        <v>4</v>
      </c>
      <c r="N1345" s="36" t="str">
        <f>IFERROR(KPI_TARGETS!$E$18,"Higher is better")</f>
        <v>Higher is better</v>
      </c>
      <c r="O1345" s="37">
        <f t="shared" ca="1" si="120"/>
        <v>0</v>
      </c>
      <c r="P1345" t="str">
        <f t="shared" ca="1" si="121"/>
        <v>Red</v>
      </c>
      <c r="Q1345" s="36">
        <f t="shared" ca="1" si="122"/>
        <v>-4</v>
      </c>
      <c r="R1345" s="36" t="str">
        <f>""</f>
        <v/>
      </c>
      <c r="S1345" s="36" t="str">
        <f>""</f>
        <v/>
      </c>
      <c r="T1345" s="36" t="str">
        <f>""</f>
        <v/>
      </c>
      <c r="U1345" s="36" t="str">
        <f>""</f>
        <v/>
      </c>
      <c r="V1345" s="36" t="str">
        <f>""</f>
        <v/>
      </c>
      <c r="W1345" s="36">
        <f t="shared" si="123"/>
        <v>1</v>
      </c>
      <c r="X1345" t="str">
        <f t="shared" si="124"/>
        <v>Inactive</v>
      </c>
      <c r="Y1345" t="str">
        <f>IF(MAIN!$H$3="Selected Year",IF(A1345=MAIN!$B$3,"Yes","No"),IF(MAIN!$H$3="Included Years",IF(D1345="Yes","Yes","No"),IF(C1345="Yes","Yes","No")))</f>
        <v>No</v>
      </c>
      <c r="Z1345" t="str">
        <f>IF(MAIN!$F$3="Project to Date",IF(AND(A1345&gt;=SETTINGS!$B$4,A1345&lt;MAIN!$B$3),"Yes",IF(AND(A1345=MAIN!$B$3,E1345&lt;=MAIN!$L$3),"Yes","No")),IF(OR(MAIN!$F$3="Full Year",MAIN!$D$3="All"),"Yes",IF(MAIN!$F$3="Monthly",IF(E1345=MAIN!$L$3,"Yes","No"),IF(E1345&lt;=MAIN!$L$3,"Yes","No"))))</f>
        <v>Yes</v>
      </c>
      <c r="AA1345" t="str">
        <f t="shared" si="125"/>
        <v>No</v>
      </c>
    </row>
    <row r="1346" spans="1:27" x14ac:dyDescent="0.3">
      <c r="A1346">
        <f>INDEX(SETTINGS!$A$15:$A$24,$B1346)</f>
        <v>2030</v>
      </c>
      <c r="B1346">
        <v>6</v>
      </c>
      <c r="C1346" t="str">
        <f>IF(AND(A1346&gt;=SETTINGS!$B$4,A1346&lt;=SETTINGS!$B$5),"Yes","No")</f>
        <v>No</v>
      </c>
      <c r="D1346" t="str">
        <f>IFERROR(INDEX(SETTINGS!$C$15:$C$24,MATCH(A1346,SETTINGS!$A$15:$A$24,0)),"No")</f>
        <v>No</v>
      </c>
      <c r="E1346">
        <v>11</v>
      </c>
      <c r="F1346" t="s">
        <v>44</v>
      </c>
      <c r="G1346">
        <v>265</v>
      </c>
      <c r="H1346" t="s">
        <v>108</v>
      </c>
      <c r="I1346" t="s">
        <v>22</v>
      </c>
      <c r="J1346" t="s">
        <v>28</v>
      </c>
      <c r="K1346" t="s">
        <v>3</v>
      </c>
      <c r="L1346" s="36">
        <f ca="1">IF(C1346&lt;&gt;"Yes",0,IF(A1346=2025,N('2025'!D265),IF(A1346=2026,N('2026'!D265),IF(A1346=2027,N('2027'!D265),IF(A1346=2028,N('2028'!D265),IF(A1346=2029,N('2029'!D265),IF(A1346=2030,N('2030'!D265),IF(A1346=2031,N('2031'!D265),IF(A1346=2032,N('2032'!D265),IF(A1346=2033,N('2033'!D265),IF(A1346=2034,N('2034'!D265),IFERROR(N(INDIRECT("'"&amp;A1346&amp;"'!D"&amp;G1346)),0))))))))))))</f>
        <v>0</v>
      </c>
      <c r="M1346" s="36">
        <f>IFERROR(IF(NOT(ISBLANK(KPI_TARGETS!$L$19)),KPI_TARGETS!$L$19,IF(NOT(ISBLANK(KPI_TARGETS!$F$19)),KPI_TARGETS!$F$19,"")),"")</f>
        <v>16</v>
      </c>
      <c r="N1346" s="36" t="str">
        <f>IFERROR(KPI_TARGETS!$E$19,"Higher is better")</f>
        <v>Higher is better</v>
      </c>
      <c r="O1346" s="37">
        <f t="shared" ref="O1346:O1409" ca="1" si="126">IF(M1346="","",IF(N1346="Higher is better",IFERROR(L1346/M1346,""),IF(L1346=0,1,IFERROR(M1346/L1346,""))))</f>
        <v>0</v>
      </c>
      <c r="P1346" t="str">
        <f t="shared" ref="P1346:P1409" ca="1" si="127">IF(M1346="","Target Needed",IF(N1346="Higher is better",IF(L1346&gt;=M1346,"Green",IF(L1346&gt;=0.8*M1346,"Amber","Red")),IF(M1346=0,IF(L1346=0,"Green","Red"),IF(L1346&lt;=M1346,"Green",IF(L1346&lt;=1.25*M1346,"Amber","Red")))))</f>
        <v>Red</v>
      </c>
      <c r="Q1346" s="36">
        <f t="shared" ref="Q1346:Q1409" ca="1" si="128">IF(M1346="","",IF(N1346="Higher is better",L1346-M1346,M1346-L1346))</f>
        <v>-16</v>
      </c>
      <c r="R1346" s="36" t="str">
        <f>""</f>
        <v/>
      </c>
      <c r="S1346" s="36" t="str">
        <f>""</f>
        <v/>
      </c>
      <c r="T1346" s="36" t="str">
        <f>""</f>
        <v/>
      </c>
      <c r="U1346" s="36" t="str">
        <f>""</f>
        <v/>
      </c>
      <c r="V1346" s="36" t="str">
        <f>""</f>
        <v/>
      </c>
      <c r="W1346" s="36">
        <f t="shared" ref="W1346:W1409" si="129">IF(LEN(M1346&amp;"")&gt;0,1,0)</f>
        <v>1</v>
      </c>
      <c r="X1346" t="str">
        <f t="shared" ref="X1346:X1409" si="130">IF(C1346&lt;&gt;"Yes","Inactive",IF(M1346="","Missing target","OK"))</f>
        <v>Inactive</v>
      </c>
      <c r="Y1346" t="str">
        <f>IF(MAIN!$H$3="Selected Year",IF(A1346=MAIN!$B$3,"Yes","No"),IF(MAIN!$H$3="Included Years",IF(D1346="Yes","Yes","No"),IF(C1346="Yes","Yes","No")))</f>
        <v>No</v>
      </c>
      <c r="Z1346" t="str">
        <f>IF(MAIN!$F$3="Project to Date",IF(AND(A1346&gt;=SETTINGS!$B$4,A1346&lt;MAIN!$B$3),"Yes",IF(AND(A1346=MAIN!$B$3,E1346&lt;=MAIN!$L$3),"Yes","No")),IF(OR(MAIN!$F$3="Full Year",MAIN!$D$3="All"),"Yes",IF(MAIN!$F$3="Monthly",IF(E1346=MAIN!$L$3,"Yes","No"),IF(E1346&lt;=MAIN!$L$3,"Yes","No"))))</f>
        <v>Yes</v>
      </c>
      <c r="AA1346" t="str">
        <f t="shared" ref="AA1346:AA1409" si="131">IF(AND(Y1346="Yes",Z1346="Yes"),"Yes","No")</f>
        <v>No</v>
      </c>
    </row>
    <row r="1347" spans="1:27" x14ac:dyDescent="0.3">
      <c r="A1347">
        <f>INDEX(SETTINGS!$A$15:$A$24,$B1347)</f>
        <v>2030</v>
      </c>
      <c r="B1347">
        <v>6</v>
      </c>
      <c r="C1347" t="str">
        <f>IF(AND(A1347&gt;=SETTINGS!$B$4,A1347&lt;=SETTINGS!$B$5),"Yes","No")</f>
        <v>No</v>
      </c>
      <c r="D1347" t="str">
        <f>IFERROR(INDEX(SETTINGS!$C$15:$C$24,MATCH(A1347,SETTINGS!$A$15:$A$24,0)),"No")</f>
        <v>No</v>
      </c>
      <c r="E1347">
        <v>11</v>
      </c>
      <c r="F1347" t="s">
        <v>44</v>
      </c>
      <c r="G1347">
        <v>266</v>
      </c>
      <c r="H1347" t="s">
        <v>109</v>
      </c>
      <c r="I1347" t="s">
        <v>22</v>
      </c>
      <c r="J1347" t="s">
        <v>29</v>
      </c>
      <c r="K1347" t="s">
        <v>3</v>
      </c>
      <c r="L1347" s="36">
        <f ca="1">IF(C1347&lt;&gt;"Yes",0,IF(A1347=2025,N('2025'!D266),IF(A1347=2026,N('2026'!D266),IF(A1347=2027,N('2027'!D266),IF(A1347=2028,N('2028'!D266),IF(A1347=2029,N('2029'!D266),IF(A1347=2030,N('2030'!D266),IF(A1347=2031,N('2031'!D266),IF(A1347=2032,N('2032'!D266),IF(A1347=2033,N('2033'!D266),IF(A1347=2034,N('2034'!D266),IFERROR(N(INDIRECT("'"&amp;A1347&amp;"'!D"&amp;G1347)),0))))))))))))</f>
        <v>0</v>
      </c>
      <c r="M1347" s="36">
        <f>IFERROR(IF(NOT(ISBLANK(KPI_TARGETS!$L$20)),KPI_TARGETS!$L$20,IF(NOT(ISBLANK(KPI_TARGETS!$F$20)),KPI_TARGETS!$F$20,"")),"")</f>
        <v>1</v>
      </c>
      <c r="N1347" s="36" t="str">
        <f>IFERROR(KPI_TARGETS!$E$20,"Higher is better")</f>
        <v>Higher is better</v>
      </c>
      <c r="O1347" s="37">
        <f t="shared" ca="1" si="126"/>
        <v>0</v>
      </c>
      <c r="P1347" t="str">
        <f t="shared" ca="1" si="127"/>
        <v>Red</v>
      </c>
      <c r="Q1347" s="36">
        <f t="shared" ca="1" si="128"/>
        <v>-1</v>
      </c>
      <c r="R1347" s="36" t="str">
        <f>""</f>
        <v/>
      </c>
      <c r="S1347" s="36" t="str">
        <f>""</f>
        <v/>
      </c>
      <c r="T1347" s="36" t="str">
        <f>""</f>
        <v/>
      </c>
      <c r="U1347" s="36" t="str">
        <f>""</f>
        <v/>
      </c>
      <c r="V1347" s="36" t="str">
        <f>""</f>
        <v/>
      </c>
      <c r="W1347" s="36">
        <f t="shared" si="129"/>
        <v>1</v>
      </c>
      <c r="X1347" t="str">
        <f t="shared" si="130"/>
        <v>Inactive</v>
      </c>
      <c r="Y1347" t="str">
        <f>IF(MAIN!$H$3="Selected Year",IF(A1347=MAIN!$B$3,"Yes","No"),IF(MAIN!$H$3="Included Years",IF(D1347="Yes","Yes","No"),IF(C1347="Yes","Yes","No")))</f>
        <v>No</v>
      </c>
      <c r="Z1347" t="str">
        <f>IF(MAIN!$F$3="Project to Date",IF(AND(A1347&gt;=SETTINGS!$B$4,A1347&lt;MAIN!$B$3),"Yes",IF(AND(A1347=MAIN!$B$3,E1347&lt;=MAIN!$L$3),"Yes","No")),IF(OR(MAIN!$F$3="Full Year",MAIN!$D$3="All"),"Yes",IF(MAIN!$F$3="Monthly",IF(E1347=MAIN!$L$3,"Yes","No"),IF(E1347&lt;=MAIN!$L$3,"Yes","No"))))</f>
        <v>Yes</v>
      </c>
      <c r="AA1347" t="str">
        <f t="shared" si="131"/>
        <v>No</v>
      </c>
    </row>
    <row r="1348" spans="1:27" x14ac:dyDescent="0.3">
      <c r="A1348">
        <f>INDEX(SETTINGS!$A$15:$A$24,$B1348)</f>
        <v>2030</v>
      </c>
      <c r="B1348">
        <v>6</v>
      </c>
      <c r="C1348" t="str">
        <f>IF(AND(A1348&gt;=SETTINGS!$B$4,A1348&lt;=SETTINGS!$B$5),"Yes","No")</f>
        <v>No</v>
      </c>
      <c r="D1348" t="str">
        <f>IFERROR(INDEX(SETTINGS!$C$15:$C$24,MATCH(A1348,SETTINGS!$A$15:$A$24,0)),"No")</f>
        <v>No</v>
      </c>
      <c r="E1348">
        <v>11</v>
      </c>
      <c r="F1348" t="s">
        <v>44</v>
      </c>
      <c r="G1348">
        <v>268</v>
      </c>
      <c r="H1348" t="s">
        <v>110</v>
      </c>
      <c r="I1348" t="s">
        <v>30</v>
      </c>
      <c r="J1348" t="s">
        <v>31</v>
      </c>
      <c r="K1348" t="s">
        <v>3</v>
      </c>
      <c r="L1348" s="36">
        <f ca="1">IF(C1348&lt;&gt;"Yes",0,IF(A1348=2025,N('2025'!D268),IF(A1348=2026,N('2026'!D268),IF(A1348=2027,N('2027'!D268),IF(A1348=2028,N('2028'!D268),IF(A1348=2029,N('2029'!D268),IF(A1348=2030,N('2030'!D268),IF(A1348=2031,N('2031'!D268),IF(A1348=2032,N('2032'!D268),IF(A1348=2033,N('2033'!D268),IF(A1348=2034,N('2034'!D268),IFERROR(N(INDIRECT("'"&amp;A1348&amp;"'!D"&amp;G1348)),0))))))))))))</f>
        <v>0</v>
      </c>
      <c r="M1348" s="36">
        <f>IFERROR(IF(NOT(ISBLANK(KPI_TARGETS!$L$21)),KPI_TARGETS!$L$21,IF(NOT(ISBLANK(KPI_TARGETS!$F$21)),KPI_TARGETS!$F$21,"")),"")</f>
        <v>0</v>
      </c>
      <c r="N1348" s="36" t="str">
        <f>IFERROR(KPI_TARGETS!$E$21,"Higher is better")</f>
        <v>Lower is better</v>
      </c>
      <c r="O1348" s="37">
        <f t="shared" ca="1" si="126"/>
        <v>1</v>
      </c>
      <c r="P1348" t="str">
        <f t="shared" ca="1" si="127"/>
        <v>Green</v>
      </c>
      <c r="Q1348" s="36">
        <f t="shared" ca="1" si="128"/>
        <v>0</v>
      </c>
      <c r="R1348" s="36" t="str">
        <f>""</f>
        <v/>
      </c>
      <c r="S1348" s="36" t="str">
        <f>""</f>
        <v/>
      </c>
      <c r="T1348" s="36" t="str">
        <f>""</f>
        <v/>
      </c>
      <c r="U1348" s="36" t="str">
        <f>""</f>
        <v/>
      </c>
      <c r="V1348" s="36" t="str">
        <f>""</f>
        <v/>
      </c>
      <c r="W1348" s="36">
        <f t="shared" si="129"/>
        <v>1</v>
      </c>
      <c r="X1348" t="str">
        <f t="shared" si="130"/>
        <v>Inactive</v>
      </c>
      <c r="Y1348" t="str">
        <f>IF(MAIN!$H$3="Selected Year",IF(A1348=MAIN!$B$3,"Yes","No"),IF(MAIN!$H$3="Included Years",IF(D1348="Yes","Yes","No"),IF(C1348="Yes","Yes","No")))</f>
        <v>No</v>
      </c>
      <c r="Z1348" t="str">
        <f>IF(MAIN!$F$3="Project to Date",IF(AND(A1348&gt;=SETTINGS!$B$4,A1348&lt;MAIN!$B$3),"Yes",IF(AND(A1348=MAIN!$B$3,E1348&lt;=MAIN!$L$3),"Yes","No")),IF(OR(MAIN!$F$3="Full Year",MAIN!$D$3="All"),"Yes",IF(MAIN!$F$3="Monthly",IF(E1348=MAIN!$L$3,"Yes","No"),IF(E1348&lt;=MAIN!$L$3,"Yes","No"))))</f>
        <v>Yes</v>
      </c>
      <c r="AA1348" t="str">
        <f t="shared" si="131"/>
        <v>No</v>
      </c>
    </row>
    <row r="1349" spans="1:27" x14ac:dyDescent="0.3">
      <c r="A1349">
        <f>INDEX(SETTINGS!$A$15:$A$24,$B1349)</f>
        <v>2030</v>
      </c>
      <c r="B1349">
        <v>6</v>
      </c>
      <c r="C1349" t="str">
        <f>IF(AND(A1349&gt;=SETTINGS!$B$4,A1349&lt;=SETTINGS!$B$5),"Yes","No")</f>
        <v>No</v>
      </c>
      <c r="D1349" t="str">
        <f>IFERROR(INDEX(SETTINGS!$C$15:$C$24,MATCH(A1349,SETTINGS!$A$15:$A$24,0)),"No")</f>
        <v>No</v>
      </c>
      <c r="E1349">
        <v>11</v>
      </c>
      <c r="F1349" t="s">
        <v>44</v>
      </c>
      <c r="G1349">
        <v>269</v>
      </c>
      <c r="H1349" t="s">
        <v>111</v>
      </c>
      <c r="I1349" t="s">
        <v>30</v>
      </c>
      <c r="J1349" t="s">
        <v>32</v>
      </c>
      <c r="K1349" t="s">
        <v>3</v>
      </c>
      <c r="L1349" s="36">
        <f ca="1">IF(C1349&lt;&gt;"Yes",0,IF(A1349=2025,N('2025'!D269),IF(A1349=2026,N('2026'!D269),IF(A1349=2027,N('2027'!D269),IF(A1349=2028,N('2028'!D269),IF(A1349=2029,N('2029'!D269),IF(A1349=2030,N('2030'!D269),IF(A1349=2031,N('2031'!D269),IF(A1349=2032,N('2032'!D269),IF(A1349=2033,N('2033'!D269),IF(A1349=2034,N('2034'!D269),IFERROR(N(INDIRECT("'"&amp;A1349&amp;"'!D"&amp;G1349)),0))))))))))))</f>
        <v>0</v>
      </c>
      <c r="M1349" s="36">
        <f>IFERROR(IF(NOT(ISBLANK(KPI_TARGETS!$L$22)),KPI_TARGETS!$L$22,IF(NOT(ISBLANK(KPI_TARGETS!$F$22)),KPI_TARGETS!$F$22,"")),"")</f>
        <v>1</v>
      </c>
      <c r="N1349" s="36" t="str">
        <f>IFERROR(KPI_TARGETS!$E$22,"Higher is better")</f>
        <v>Higher is better</v>
      </c>
      <c r="O1349" s="37">
        <f t="shared" ca="1" si="126"/>
        <v>0</v>
      </c>
      <c r="P1349" t="str">
        <f t="shared" ca="1" si="127"/>
        <v>Red</v>
      </c>
      <c r="Q1349" s="36">
        <f t="shared" ca="1" si="128"/>
        <v>-1</v>
      </c>
      <c r="R1349" s="36" t="str">
        <f>""</f>
        <v/>
      </c>
      <c r="S1349" s="36" t="str">
        <f>""</f>
        <v/>
      </c>
      <c r="T1349" s="36" t="str">
        <f>""</f>
        <v/>
      </c>
      <c r="U1349" s="36" t="str">
        <f>""</f>
        <v/>
      </c>
      <c r="V1349" s="36" t="str">
        <f>""</f>
        <v/>
      </c>
      <c r="W1349" s="36">
        <f t="shared" si="129"/>
        <v>1</v>
      </c>
      <c r="X1349" t="str">
        <f t="shared" si="130"/>
        <v>Inactive</v>
      </c>
      <c r="Y1349" t="str">
        <f>IF(MAIN!$H$3="Selected Year",IF(A1349=MAIN!$B$3,"Yes","No"),IF(MAIN!$H$3="Included Years",IF(D1349="Yes","Yes","No"),IF(C1349="Yes","Yes","No")))</f>
        <v>No</v>
      </c>
      <c r="Z1349" t="str">
        <f>IF(MAIN!$F$3="Project to Date",IF(AND(A1349&gt;=SETTINGS!$B$4,A1349&lt;MAIN!$B$3),"Yes",IF(AND(A1349=MAIN!$B$3,E1349&lt;=MAIN!$L$3),"Yes","No")),IF(OR(MAIN!$F$3="Full Year",MAIN!$D$3="All"),"Yes",IF(MAIN!$F$3="Monthly",IF(E1349=MAIN!$L$3,"Yes","No"),IF(E1349&lt;=MAIN!$L$3,"Yes","No"))))</f>
        <v>Yes</v>
      </c>
      <c r="AA1349" t="str">
        <f t="shared" si="131"/>
        <v>No</v>
      </c>
    </row>
    <row r="1350" spans="1:27" x14ac:dyDescent="0.3">
      <c r="A1350">
        <f>INDEX(SETTINGS!$A$15:$A$24,$B1350)</f>
        <v>2030</v>
      </c>
      <c r="B1350">
        <v>6</v>
      </c>
      <c r="C1350" t="str">
        <f>IF(AND(A1350&gt;=SETTINGS!$B$4,A1350&lt;=SETTINGS!$B$5),"Yes","No")</f>
        <v>No</v>
      </c>
      <c r="D1350" t="str">
        <f>IFERROR(INDEX(SETTINGS!$C$15:$C$24,MATCH(A1350,SETTINGS!$A$15:$A$24,0)),"No")</f>
        <v>No</v>
      </c>
      <c r="E1350">
        <v>11</v>
      </c>
      <c r="F1350" t="s">
        <v>44</v>
      </c>
      <c r="G1350">
        <v>270</v>
      </c>
      <c r="H1350" t="s">
        <v>112</v>
      </c>
      <c r="I1350" t="s">
        <v>30</v>
      </c>
      <c r="J1350" t="s">
        <v>33</v>
      </c>
      <c r="K1350" t="s">
        <v>34</v>
      </c>
      <c r="L1350" s="36">
        <f ca="1">IF(C1350&lt;&gt;"Yes",0,IF(A1350=2025,N('2025'!D270),IF(A1350=2026,N('2026'!D270),IF(A1350=2027,N('2027'!D270),IF(A1350=2028,N('2028'!D270),IF(A1350=2029,N('2029'!D270),IF(A1350=2030,N('2030'!D270),IF(A1350=2031,N('2031'!D270),IF(A1350=2032,N('2032'!D270),IF(A1350=2033,N('2033'!D270),IF(A1350=2034,N('2034'!D270),IFERROR(N(INDIRECT("'"&amp;A1350&amp;"'!D"&amp;G1350)),0))))))))))))</f>
        <v>0</v>
      </c>
      <c r="M1350" s="36">
        <f>IFERROR(IF(NOT(ISBLANK(KPI_TARGETS!$L$23)),KPI_TARGETS!$L$23,IF(NOT(ISBLANK(KPI_TARGETS!$F$23)),KPI_TARGETS!$F$23,"")),"")</f>
        <v>1</v>
      </c>
      <c r="N1350" s="36" t="str">
        <f>IFERROR(KPI_TARGETS!$E$23,"Higher is better")</f>
        <v>Higher is better</v>
      </c>
      <c r="O1350" s="37">
        <f t="shared" ca="1" si="126"/>
        <v>0</v>
      </c>
      <c r="P1350" t="str">
        <f t="shared" ca="1" si="127"/>
        <v>Red</v>
      </c>
      <c r="Q1350" s="36">
        <f t="shared" ca="1" si="128"/>
        <v>-1</v>
      </c>
      <c r="R1350" s="36" t="str">
        <f>""</f>
        <v/>
      </c>
      <c r="S1350" s="36" t="str">
        <f>""</f>
        <v/>
      </c>
      <c r="T1350" s="36" t="str">
        <f>""</f>
        <v/>
      </c>
      <c r="U1350" s="36" t="str">
        <f>""</f>
        <v/>
      </c>
      <c r="V1350" s="36" t="str">
        <f>""</f>
        <v/>
      </c>
      <c r="W1350" s="36">
        <f t="shared" si="129"/>
        <v>1</v>
      </c>
      <c r="X1350" t="str">
        <f t="shared" si="130"/>
        <v>Inactive</v>
      </c>
      <c r="Y1350" t="str">
        <f>IF(MAIN!$H$3="Selected Year",IF(A1350=MAIN!$B$3,"Yes","No"),IF(MAIN!$H$3="Included Years",IF(D1350="Yes","Yes","No"),IF(C1350="Yes","Yes","No")))</f>
        <v>No</v>
      </c>
      <c r="Z1350" t="str">
        <f>IF(MAIN!$F$3="Project to Date",IF(AND(A1350&gt;=SETTINGS!$B$4,A1350&lt;MAIN!$B$3),"Yes",IF(AND(A1350=MAIN!$B$3,E1350&lt;=MAIN!$L$3),"Yes","No")),IF(OR(MAIN!$F$3="Full Year",MAIN!$D$3="All"),"Yes",IF(MAIN!$F$3="Monthly",IF(E1350=MAIN!$L$3,"Yes","No"),IF(E1350&lt;=MAIN!$L$3,"Yes","No"))))</f>
        <v>Yes</v>
      </c>
      <c r="AA1350" t="str">
        <f t="shared" si="131"/>
        <v>No</v>
      </c>
    </row>
    <row r="1351" spans="1:27" x14ac:dyDescent="0.3">
      <c r="A1351">
        <f>INDEX(SETTINGS!$A$15:$A$24,$B1351)</f>
        <v>2030</v>
      </c>
      <c r="B1351">
        <v>6</v>
      </c>
      <c r="C1351" t="str">
        <f>IF(AND(A1351&gt;=SETTINGS!$B$4,A1351&lt;=SETTINGS!$B$5),"Yes","No")</f>
        <v>No</v>
      </c>
      <c r="D1351" t="str">
        <f>IFERROR(INDEX(SETTINGS!$C$15:$C$24,MATCH(A1351,SETTINGS!$A$15:$A$24,0)),"No")</f>
        <v>No</v>
      </c>
      <c r="E1351">
        <v>12</v>
      </c>
      <c r="F1351" t="s">
        <v>45</v>
      </c>
      <c r="G1351">
        <v>273</v>
      </c>
      <c r="H1351" t="s">
        <v>88</v>
      </c>
      <c r="I1351" t="s">
        <v>89</v>
      </c>
      <c r="J1351" t="s">
        <v>10</v>
      </c>
      <c r="K1351" t="s">
        <v>3</v>
      </c>
      <c r="L1351" s="36">
        <f ca="1">IF(C1351&lt;&gt;"Yes",0,IF(A1351=2025,N('2025'!D273),IF(A1351=2026,N('2026'!D273),IF(A1351=2027,N('2027'!D273),IF(A1351=2028,N('2028'!D273),IF(A1351=2029,N('2029'!D273),IF(A1351=2030,N('2030'!D273),IF(A1351=2031,N('2031'!D273),IF(A1351=2032,N('2032'!D273),IF(A1351=2033,N('2033'!D273),IF(A1351=2034,N('2034'!D273),IFERROR(N(INDIRECT("'"&amp;A1351&amp;"'!D"&amp;G1351)),0))))))))))))</f>
        <v>0</v>
      </c>
      <c r="M1351" s="36">
        <f>IFERROR(IF(NOT(ISBLANK(KPI_TARGETS!$L$5)),KPI_TARGETS!$L$5,IF(NOT(ISBLANK(KPI_TARGETS!$F$5)),KPI_TARGETS!$F$5,"")),"")</f>
        <v>104</v>
      </c>
      <c r="N1351" s="36" t="str">
        <f>IFERROR(KPI_TARGETS!$E$5,"Higher is better")</f>
        <v>Higher is better</v>
      </c>
      <c r="O1351" s="37">
        <f t="shared" ca="1" si="126"/>
        <v>0</v>
      </c>
      <c r="P1351" t="str">
        <f t="shared" ca="1" si="127"/>
        <v>Red</v>
      </c>
      <c r="Q1351" s="36">
        <f t="shared" ca="1" si="128"/>
        <v>-104</v>
      </c>
      <c r="R1351" s="36" t="str">
        <f>""</f>
        <v/>
      </c>
      <c r="S1351" s="36" t="str">
        <f>""</f>
        <v/>
      </c>
      <c r="T1351" s="36" t="str">
        <f>""</f>
        <v/>
      </c>
      <c r="U1351" s="36" t="str">
        <f>""</f>
        <v/>
      </c>
      <c r="V1351" s="36" t="str">
        <f>""</f>
        <v/>
      </c>
      <c r="W1351" s="36">
        <f t="shared" si="129"/>
        <v>1</v>
      </c>
      <c r="X1351" t="str">
        <f t="shared" si="130"/>
        <v>Inactive</v>
      </c>
      <c r="Y1351" t="str">
        <f>IF(MAIN!$H$3="Selected Year",IF(A1351=MAIN!$B$3,"Yes","No"),IF(MAIN!$H$3="Included Years",IF(D1351="Yes","Yes","No"),IF(C1351="Yes","Yes","No")))</f>
        <v>No</v>
      </c>
      <c r="Z1351" t="str">
        <f>IF(MAIN!$F$3="Project to Date",IF(AND(A1351&gt;=SETTINGS!$B$4,A1351&lt;MAIN!$B$3),"Yes",IF(AND(A1351=MAIN!$B$3,E1351&lt;=MAIN!$L$3),"Yes","No")),IF(OR(MAIN!$F$3="Full Year",MAIN!$D$3="All"),"Yes",IF(MAIN!$F$3="Monthly",IF(E1351=MAIN!$L$3,"Yes","No"),IF(E1351&lt;=MAIN!$L$3,"Yes","No"))))</f>
        <v>Yes</v>
      </c>
      <c r="AA1351" t="str">
        <f t="shared" si="131"/>
        <v>No</v>
      </c>
    </row>
    <row r="1352" spans="1:27" x14ac:dyDescent="0.3">
      <c r="A1352">
        <f>INDEX(SETTINGS!$A$15:$A$24,$B1352)</f>
        <v>2030</v>
      </c>
      <c r="B1352">
        <v>6</v>
      </c>
      <c r="C1352" t="str">
        <f>IF(AND(A1352&gt;=SETTINGS!$B$4,A1352&lt;=SETTINGS!$B$5),"Yes","No")</f>
        <v>No</v>
      </c>
      <c r="D1352" t="str">
        <f>IFERROR(INDEX(SETTINGS!$C$15:$C$24,MATCH(A1352,SETTINGS!$A$15:$A$24,0)),"No")</f>
        <v>No</v>
      </c>
      <c r="E1352">
        <v>12</v>
      </c>
      <c r="F1352" t="s">
        <v>45</v>
      </c>
      <c r="G1352">
        <v>274</v>
      </c>
      <c r="H1352" t="s">
        <v>91</v>
      </c>
      <c r="I1352" t="s">
        <v>89</v>
      </c>
      <c r="J1352" t="s">
        <v>11</v>
      </c>
      <c r="K1352" t="s">
        <v>12</v>
      </c>
      <c r="L1352" s="36">
        <f ca="1">IF(C1352&lt;&gt;"Yes",0,IF(A1352=2025,N('2025'!D274),IF(A1352=2026,N('2026'!D274),IF(A1352=2027,N('2027'!D274),IF(A1352=2028,N('2028'!D274),IF(A1352=2029,N('2029'!D274),IF(A1352=2030,N('2030'!D274),IF(A1352=2031,N('2031'!D274),IF(A1352=2032,N('2032'!D274),IF(A1352=2033,N('2033'!D274),IF(A1352=2034,N('2034'!D274),IFERROR(N(INDIRECT("'"&amp;A1352&amp;"'!D"&amp;G1352)),0))))))))))))</f>
        <v>0</v>
      </c>
      <c r="M1352" s="36">
        <f>IFERROR(IF(NOT(ISBLANK(KPI_TARGETS!$L$6)),KPI_TARGETS!$L$6,IF(NOT(ISBLANK(KPI_TARGETS!$F$6)),KPI_TARGETS!$F$6,"")),"")</f>
        <v>4000</v>
      </c>
      <c r="N1352" s="36" t="str">
        <f>IFERROR(KPI_TARGETS!$E$6,"Higher is better")</f>
        <v>Higher is better</v>
      </c>
      <c r="O1352" s="37">
        <f t="shared" ca="1" si="126"/>
        <v>0</v>
      </c>
      <c r="P1352" t="str">
        <f t="shared" ca="1" si="127"/>
        <v>Red</v>
      </c>
      <c r="Q1352" s="36">
        <f t="shared" ca="1" si="128"/>
        <v>-4000</v>
      </c>
      <c r="R1352" s="36" t="str">
        <f>""</f>
        <v/>
      </c>
      <c r="S1352" s="36" t="str">
        <f>""</f>
        <v/>
      </c>
      <c r="T1352" s="36" t="str">
        <f>""</f>
        <v/>
      </c>
      <c r="U1352" s="36" t="str">
        <f>""</f>
        <v/>
      </c>
      <c r="V1352" s="36" t="str">
        <f>""</f>
        <v/>
      </c>
      <c r="W1352" s="36">
        <f t="shared" si="129"/>
        <v>1</v>
      </c>
      <c r="X1352" t="str">
        <f t="shared" si="130"/>
        <v>Inactive</v>
      </c>
      <c r="Y1352" t="str">
        <f>IF(MAIN!$H$3="Selected Year",IF(A1352=MAIN!$B$3,"Yes","No"),IF(MAIN!$H$3="Included Years",IF(D1352="Yes","Yes","No"),IF(C1352="Yes","Yes","No")))</f>
        <v>No</v>
      </c>
      <c r="Z1352" t="str">
        <f>IF(MAIN!$F$3="Project to Date",IF(AND(A1352&gt;=SETTINGS!$B$4,A1352&lt;MAIN!$B$3),"Yes",IF(AND(A1352=MAIN!$B$3,E1352&lt;=MAIN!$L$3),"Yes","No")),IF(OR(MAIN!$F$3="Full Year",MAIN!$D$3="All"),"Yes",IF(MAIN!$F$3="Monthly",IF(E1352=MAIN!$L$3,"Yes","No"),IF(E1352&lt;=MAIN!$L$3,"Yes","No"))))</f>
        <v>Yes</v>
      </c>
      <c r="AA1352" t="str">
        <f t="shared" si="131"/>
        <v>No</v>
      </c>
    </row>
    <row r="1353" spans="1:27" x14ac:dyDescent="0.3">
      <c r="A1353">
        <f>INDEX(SETTINGS!$A$15:$A$24,$B1353)</f>
        <v>2030</v>
      </c>
      <c r="B1353">
        <v>6</v>
      </c>
      <c r="C1353" t="str">
        <f>IF(AND(A1353&gt;=SETTINGS!$B$4,A1353&lt;=SETTINGS!$B$5),"Yes","No")</f>
        <v>No</v>
      </c>
      <c r="D1353" t="str">
        <f>IFERROR(INDEX(SETTINGS!$C$15:$C$24,MATCH(A1353,SETTINGS!$A$15:$A$24,0)),"No")</f>
        <v>No</v>
      </c>
      <c r="E1353">
        <v>12</v>
      </c>
      <c r="F1353" t="s">
        <v>45</v>
      </c>
      <c r="G1353">
        <v>275</v>
      </c>
      <c r="H1353" t="s">
        <v>93</v>
      </c>
      <c r="I1353" t="s">
        <v>89</v>
      </c>
      <c r="J1353" t="s">
        <v>13</v>
      </c>
      <c r="K1353" t="s">
        <v>14</v>
      </c>
      <c r="L1353" s="36">
        <f ca="1">IF(C1353&lt;&gt;"Yes",0,IF(A1353=2025,N('2025'!D275),IF(A1353=2026,N('2026'!D275),IF(A1353=2027,N('2027'!D275),IF(A1353=2028,N('2028'!D275),IF(A1353=2029,N('2029'!D275),IF(A1353=2030,N('2030'!D275),IF(A1353=2031,N('2031'!D275),IF(A1353=2032,N('2032'!D275),IF(A1353=2033,N('2033'!D275),IF(A1353=2034,N('2034'!D275),IFERROR(N(INDIRECT("'"&amp;A1353&amp;"'!D"&amp;G1353)),0))))))))))))</f>
        <v>0</v>
      </c>
      <c r="M1353" s="36">
        <f>IFERROR(IF(NOT(ISBLANK(KPI_TARGETS!$L$7)),KPI_TARGETS!$L$7,IF(NOT(ISBLANK(KPI_TARGETS!$F$7)),KPI_TARGETS!$F$7,"")),"")</f>
        <v>8000</v>
      </c>
      <c r="N1353" s="36" t="str">
        <f>IFERROR(KPI_TARGETS!$E$7,"Higher is better")</f>
        <v>Higher is better</v>
      </c>
      <c r="O1353" s="37">
        <f t="shared" ca="1" si="126"/>
        <v>0</v>
      </c>
      <c r="P1353" t="str">
        <f t="shared" ca="1" si="127"/>
        <v>Red</v>
      </c>
      <c r="Q1353" s="36">
        <f t="shared" ca="1" si="128"/>
        <v>-8000</v>
      </c>
      <c r="R1353" s="36" t="str">
        <f>""</f>
        <v/>
      </c>
      <c r="S1353" s="36" t="str">
        <f>""</f>
        <v/>
      </c>
      <c r="T1353" s="36" t="str">
        <f>""</f>
        <v/>
      </c>
      <c r="U1353" s="36" t="str">
        <f>""</f>
        <v/>
      </c>
      <c r="V1353" s="36" t="str">
        <f>""</f>
        <v/>
      </c>
      <c r="W1353" s="36">
        <f t="shared" si="129"/>
        <v>1</v>
      </c>
      <c r="X1353" t="str">
        <f t="shared" si="130"/>
        <v>Inactive</v>
      </c>
      <c r="Y1353" t="str">
        <f>IF(MAIN!$H$3="Selected Year",IF(A1353=MAIN!$B$3,"Yes","No"),IF(MAIN!$H$3="Included Years",IF(D1353="Yes","Yes","No"),IF(C1353="Yes","Yes","No")))</f>
        <v>No</v>
      </c>
      <c r="Z1353" t="str">
        <f>IF(MAIN!$F$3="Project to Date",IF(AND(A1353&gt;=SETTINGS!$B$4,A1353&lt;MAIN!$B$3),"Yes",IF(AND(A1353=MAIN!$B$3,E1353&lt;=MAIN!$L$3),"Yes","No")),IF(OR(MAIN!$F$3="Full Year",MAIN!$D$3="All"),"Yes",IF(MAIN!$F$3="Monthly",IF(E1353=MAIN!$L$3,"Yes","No"),IF(E1353&lt;=MAIN!$L$3,"Yes","No"))))</f>
        <v>Yes</v>
      </c>
      <c r="AA1353" t="str">
        <f t="shared" si="131"/>
        <v>No</v>
      </c>
    </row>
    <row r="1354" spans="1:27" x14ac:dyDescent="0.3">
      <c r="A1354">
        <f>INDEX(SETTINGS!$A$15:$A$24,$B1354)</f>
        <v>2030</v>
      </c>
      <c r="B1354">
        <v>6</v>
      </c>
      <c r="C1354" t="str">
        <f>IF(AND(A1354&gt;=SETTINGS!$B$4,A1354&lt;=SETTINGS!$B$5),"Yes","No")</f>
        <v>No</v>
      </c>
      <c r="D1354" t="str">
        <f>IFERROR(INDEX(SETTINGS!$C$15:$C$24,MATCH(A1354,SETTINGS!$A$15:$A$24,0)),"No")</f>
        <v>No</v>
      </c>
      <c r="E1354">
        <v>12</v>
      </c>
      <c r="F1354" t="s">
        <v>45</v>
      </c>
      <c r="G1354">
        <v>277</v>
      </c>
      <c r="H1354" t="s">
        <v>95</v>
      </c>
      <c r="I1354" t="s">
        <v>15</v>
      </c>
      <c r="J1354" t="s">
        <v>16</v>
      </c>
      <c r="K1354" t="s">
        <v>3</v>
      </c>
      <c r="L1354" s="36">
        <f ca="1">IF(C1354&lt;&gt;"Yes",0,IF(A1354=2025,N('2025'!D277),IF(A1354=2026,N('2026'!D277),IF(A1354=2027,N('2027'!D277),IF(A1354=2028,N('2028'!D277),IF(A1354=2029,N('2029'!D277),IF(A1354=2030,N('2030'!D277),IF(A1354=2031,N('2031'!D277),IF(A1354=2032,N('2032'!D277),IF(A1354=2033,N('2033'!D277),IF(A1354=2034,N('2034'!D277),IFERROR(N(INDIRECT("'"&amp;A1354&amp;"'!D"&amp;G1354)),0))))))))))))</f>
        <v>0</v>
      </c>
      <c r="M1354" s="36">
        <f>IFERROR(IF(NOT(ISBLANK(KPI_TARGETS!$L$8)),KPI_TARGETS!$L$8,IF(NOT(ISBLANK(KPI_TARGETS!$F$8)),KPI_TARGETS!$F$8,"")),"")</f>
        <v>0</v>
      </c>
      <c r="N1354" s="36" t="str">
        <f>IFERROR(KPI_TARGETS!$E$8,"Higher is better")</f>
        <v>Lower is better</v>
      </c>
      <c r="O1354" s="37">
        <f t="shared" ca="1" si="126"/>
        <v>1</v>
      </c>
      <c r="P1354" t="str">
        <f t="shared" ca="1" si="127"/>
        <v>Green</v>
      </c>
      <c r="Q1354" s="36">
        <f t="shared" ca="1" si="128"/>
        <v>0</v>
      </c>
      <c r="R1354" s="36" t="str">
        <f>""</f>
        <v/>
      </c>
      <c r="S1354" s="36" t="str">
        <f>""</f>
        <v/>
      </c>
      <c r="T1354" s="36" t="str">
        <f>""</f>
        <v/>
      </c>
      <c r="U1354" s="36" t="str">
        <f>""</f>
        <v/>
      </c>
      <c r="V1354" s="36" t="str">
        <f>""</f>
        <v/>
      </c>
      <c r="W1354" s="36">
        <f t="shared" si="129"/>
        <v>1</v>
      </c>
      <c r="X1354" t="str">
        <f t="shared" si="130"/>
        <v>Inactive</v>
      </c>
      <c r="Y1354" t="str">
        <f>IF(MAIN!$H$3="Selected Year",IF(A1354=MAIN!$B$3,"Yes","No"),IF(MAIN!$H$3="Included Years",IF(D1354="Yes","Yes","No"),IF(C1354="Yes","Yes","No")))</f>
        <v>No</v>
      </c>
      <c r="Z1354" t="str">
        <f>IF(MAIN!$F$3="Project to Date",IF(AND(A1354&gt;=SETTINGS!$B$4,A1354&lt;MAIN!$B$3),"Yes",IF(AND(A1354=MAIN!$B$3,E1354&lt;=MAIN!$L$3),"Yes","No")),IF(OR(MAIN!$F$3="Full Year",MAIN!$D$3="All"),"Yes",IF(MAIN!$F$3="Monthly",IF(E1354=MAIN!$L$3,"Yes","No"),IF(E1354&lt;=MAIN!$L$3,"Yes","No"))))</f>
        <v>Yes</v>
      </c>
      <c r="AA1354" t="str">
        <f t="shared" si="131"/>
        <v>No</v>
      </c>
    </row>
    <row r="1355" spans="1:27" x14ac:dyDescent="0.3">
      <c r="A1355">
        <f>INDEX(SETTINGS!$A$15:$A$24,$B1355)</f>
        <v>2030</v>
      </c>
      <c r="B1355">
        <v>6</v>
      </c>
      <c r="C1355" t="str">
        <f>IF(AND(A1355&gt;=SETTINGS!$B$4,A1355&lt;=SETTINGS!$B$5),"Yes","No")</f>
        <v>No</v>
      </c>
      <c r="D1355" t="str">
        <f>IFERROR(INDEX(SETTINGS!$C$15:$C$24,MATCH(A1355,SETTINGS!$A$15:$A$24,0)),"No")</f>
        <v>No</v>
      </c>
      <c r="E1355">
        <v>12</v>
      </c>
      <c r="F1355" t="s">
        <v>45</v>
      </c>
      <c r="G1355">
        <v>278</v>
      </c>
      <c r="H1355" t="s">
        <v>97</v>
      </c>
      <c r="I1355" t="s">
        <v>15</v>
      </c>
      <c r="J1355" t="s">
        <v>17</v>
      </c>
      <c r="K1355" t="s">
        <v>3</v>
      </c>
      <c r="L1355" s="36">
        <f ca="1">IF(C1355&lt;&gt;"Yes",0,IF(A1355=2025,N('2025'!D278),IF(A1355=2026,N('2026'!D278),IF(A1355=2027,N('2027'!D278),IF(A1355=2028,N('2028'!D278),IF(A1355=2029,N('2029'!D278),IF(A1355=2030,N('2030'!D278),IF(A1355=2031,N('2031'!D278),IF(A1355=2032,N('2032'!D278),IF(A1355=2033,N('2033'!D278),IF(A1355=2034,N('2034'!D278),IFERROR(N(INDIRECT("'"&amp;A1355&amp;"'!D"&amp;G1355)),0))))))))))))</f>
        <v>0</v>
      </c>
      <c r="M1355" s="36">
        <f>IFERROR(IF(NOT(ISBLANK(KPI_TARGETS!$L$9)),KPI_TARGETS!$L$9,IF(NOT(ISBLANK(KPI_TARGETS!$F$9)),KPI_TARGETS!$F$9,"")),"")</f>
        <v>0</v>
      </c>
      <c r="N1355" s="36" t="str">
        <f>IFERROR(KPI_TARGETS!$E$9,"Higher is better")</f>
        <v>Higher is better</v>
      </c>
      <c r="O1355" s="37" t="str">
        <f t="shared" ca="1" si="126"/>
        <v/>
      </c>
      <c r="P1355" t="str">
        <f t="shared" ca="1" si="127"/>
        <v>Green</v>
      </c>
      <c r="Q1355" s="36">
        <f t="shared" ca="1" si="128"/>
        <v>0</v>
      </c>
      <c r="R1355" s="36" t="str">
        <f>""</f>
        <v/>
      </c>
      <c r="S1355" s="36" t="str">
        <f>""</f>
        <v/>
      </c>
      <c r="T1355" s="36" t="str">
        <f>""</f>
        <v/>
      </c>
      <c r="U1355" s="36" t="str">
        <f>""</f>
        <v/>
      </c>
      <c r="V1355" s="36" t="str">
        <f>""</f>
        <v/>
      </c>
      <c r="W1355" s="36">
        <f t="shared" si="129"/>
        <v>1</v>
      </c>
      <c r="X1355" t="str">
        <f t="shared" si="130"/>
        <v>Inactive</v>
      </c>
      <c r="Y1355" t="str">
        <f>IF(MAIN!$H$3="Selected Year",IF(A1355=MAIN!$B$3,"Yes","No"),IF(MAIN!$H$3="Included Years",IF(D1355="Yes","Yes","No"),IF(C1355="Yes","Yes","No")))</f>
        <v>No</v>
      </c>
      <c r="Z1355" t="str">
        <f>IF(MAIN!$F$3="Project to Date",IF(AND(A1355&gt;=SETTINGS!$B$4,A1355&lt;MAIN!$B$3),"Yes",IF(AND(A1355=MAIN!$B$3,E1355&lt;=MAIN!$L$3),"Yes","No")),IF(OR(MAIN!$F$3="Full Year",MAIN!$D$3="All"),"Yes",IF(MAIN!$F$3="Monthly",IF(E1355=MAIN!$L$3,"Yes","No"),IF(E1355&lt;=MAIN!$L$3,"Yes","No"))))</f>
        <v>Yes</v>
      </c>
      <c r="AA1355" t="str">
        <f t="shared" si="131"/>
        <v>No</v>
      </c>
    </row>
    <row r="1356" spans="1:27" x14ac:dyDescent="0.3">
      <c r="A1356">
        <f>INDEX(SETTINGS!$A$15:$A$24,$B1356)</f>
        <v>2030</v>
      </c>
      <c r="B1356">
        <v>6</v>
      </c>
      <c r="C1356" t="str">
        <f>IF(AND(A1356&gt;=SETTINGS!$B$4,A1356&lt;=SETTINGS!$B$5),"Yes","No")</f>
        <v>No</v>
      </c>
      <c r="D1356" t="str">
        <f>IFERROR(INDEX(SETTINGS!$C$15:$C$24,MATCH(A1356,SETTINGS!$A$15:$A$24,0)),"No")</f>
        <v>No</v>
      </c>
      <c r="E1356">
        <v>12</v>
      </c>
      <c r="F1356" t="s">
        <v>45</v>
      </c>
      <c r="G1356">
        <v>279</v>
      </c>
      <c r="H1356" t="s">
        <v>99</v>
      </c>
      <c r="I1356" t="s">
        <v>15</v>
      </c>
      <c r="J1356" t="s">
        <v>18</v>
      </c>
      <c r="K1356" t="s">
        <v>3</v>
      </c>
      <c r="L1356" s="36">
        <f ca="1">IF(C1356&lt;&gt;"Yes",0,IF(A1356=2025,N('2025'!D279),IF(A1356=2026,N('2026'!D279),IF(A1356=2027,N('2027'!D279),IF(A1356=2028,N('2028'!D279),IF(A1356=2029,N('2029'!D279),IF(A1356=2030,N('2030'!D279),IF(A1356=2031,N('2031'!D279),IF(A1356=2032,N('2032'!D279),IF(A1356=2033,N('2033'!D279),IF(A1356=2034,N('2034'!D279),IFERROR(N(INDIRECT("'"&amp;A1356&amp;"'!D"&amp;G1356)),0))))))))))))</f>
        <v>0</v>
      </c>
      <c r="M1356" s="36">
        <f>IFERROR(IF(NOT(ISBLANK(KPI_TARGETS!$L$10)),KPI_TARGETS!$L$10,IF(NOT(ISBLANK(KPI_TARGETS!$F$10)),KPI_TARGETS!$F$10,"")),"")</f>
        <v>0</v>
      </c>
      <c r="N1356" s="36" t="str">
        <f>IFERROR(KPI_TARGETS!$E$10,"Higher is better")</f>
        <v>Lower is better</v>
      </c>
      <c r="O1356" s="37">
        <f t="shared" ca="1" si="126"/>
        <v>1</v>
      </c>
      <c r="P1356" t="str">
        <f t="shared" ca="1" si="127"/>
        <v>Green</v>
      </c>
      <c r="Q1356" s="36">
        <f t="shared" ca="1" si="128"/>
        <v>0</v>
      </c>
      <c r="R1356" s="36" t="str">
        <f>""</f>
        <v/>
      </c>
      <c r="S1356" s="36" t="str">
        <f>""</f>
        <v/>
      </c>
      <c r="T1356" s="36" t="str">
        <f>""</f>
        <v/>
      </c>
      <c r="U1356" s="36" t="str">
        <f>""</f>
        <v/>
      </c>
      <c r="V1356" s="36" t="str">
        <f>""</f>
        <v/>
      </c>
      <c r="W1356" s="36">
        <f t="shared" si="129"/>
        <v>1</v>
      </c>
      <c r="X1356" t="str">
        <f t="shared" si="130"/>
        <v>Inactive</v>
      </c>
      <c r="Y1356" t="str">
        <f>IF(MAIN!$H$3="Selected Year",IF(A1356=MAIN!$B$3,"Yes","No"),IF(MAIN!$H$3="Included Years",IF(D1356="Yes","Yes","No"),IF(C1356="Yes","Yes","No")))</f>
        <v>No</v>
      </c>
      <c r="Z1356" t="str">
        <f>IF(MAIN!$F$3="Project to Date",IF(AND(A1356&gt;=SETTINGS!$B$4,A1356&lt;MAIN!$B$3),"Yes",IF(AND(A1356=MAIN!$B$3,E1356&lt;=MAIN!$L$3),"Yes","No")),IF(OR(MAIN!$F$3="Full Year",MAIN!$D$3="All"),"Yes",IF(MAIN!$F$3="Monthly",IF(E1356=MAIN!$L$3,"Yes","No"),IF(E1356&lt;=MAIN!$L$3,"Yes","No"))))</f>
        <v>Yes</v>
      </c>
      <c r="AA1356" t="str">
        <f t="shared" si="131"/>
        <v>No</v>
      </c>
    </row>
    <row r="1357" spans="1:27" x14ac:dyDescent="0.3">
      <c r="A1357">
        <f>INDEX(SETTINGS!$A$15:$A$24,$B1357)</f>
        <v>2030</v>
      </c>
      <c r="B1357">
        <v>6</v>
      </c>
      <c r="C1357" t="str">
        <f>IF(AND(A1357&gt;=SETTINGS!$B$4,A1357&lt;=SETTINGS!$B$5),"Yes","No")</f>
        <v>No</v>
      </c>
      <c r="D1357" t="str">
        <f>IFERROR(INDEX(SETTINGS!$C$15:$C$24,MATCH(A1357,SETTINGS!$A$15:$A$24,0)),"No")</f>
        <v>No</v>
      </c>
      <c r="E1357">
        <v>12</v>
      </c>
      <c r="F1357" t="s">
        <v>45</v>
      </c>
      <c r="G1357">
        <v>280</v>
      </c>
      <c r="H1357" t="s">
        <v>100</v>
      </c>
      <c r="I1357" t="s">
        <v>15</v>
      </c>
      <c r="J1357" t="s">
        <v>19</v>
      </c>
      <c r="K1357" t="s">
        <v>3</v>
      </c>
      <c r="L1357" s="36">
        <f ca="1">IF(C1357&lt;&gt;"Yes",0,IF(A1357=2025,N('2025'!D280),IF(A1357=2026,N('2026'!D280),IF(A1357=2027,N('2027'!D280),IF(A1357=2028,N('2028'!D280),IF(A1357=2029,N('2029'!D280),IF(A1357=2030,N('2030'!D280),IF(A1357=2031,N('2031'!D280),IF(A1357=2032,N('2032'!D280),IF(A1357=2033,N('2033'!D280),IF(A1357=2034,N('2034'!D280),IFERROR(N(INDIRECT("'"&amp;A1357&amp;"'!D"&amp;G1357)),0))))))))))))</f>
        <v>0</v>
      </c>
      <c r="M1357" s="36">
        <f>IFERROR(IF(NOT(ISBLANK(KPI_TARGETS!$L$11)),KPI_TARGETS!$L$11,IF(NOT(ISBLANK(KPI_TARGETS!$F$11)),KPI_TARGETS!$F$11,"")),"")</f>
        <v>0</v>
      </c>
      <c r="N1357" s="36" t="str">
        <f>IFERROR(KPI_TARGETS!$E$11,"Higher is better")</f>
        <v>Lower is better</v>
      </c>
      <c r="O1357" s="37">
        <f t="shared" ca="1" si="126"/>
        <v>1</v>
      </c>
      <c r="P1357" t="str">
        <f t="shared" ca="1" si="127"/>
        <v>Green</v>
      </c>
      <c r="Q1357" s="36">
        <f t="shared" ca="1" si="128"/>
        <v>0</v>
      </c>
      <c r="R1357" s="36" t="str">
        <f>""</f>
        <v/>
      </c>
      <c r="S1357" s="36" t="str">
        <f>""</f>
        <v/>
      </c>
      <c r="T1357" s="36" t="str">
        <f>""</f>
        <v/>
      </c>
      <c r="U1357" s="36" t="str">
        <f>""</f>
        <v/>
      </c>
      <c r="V1357" s="36" t="str">
        <f>""</f>
        <v/>
      </c>
      <c r="W1357" s="36">
        <f t="shared" si="129"/>
        <v>1</v>
      </c>
      <c r="X1357" t="str">
        <f t="shared" si="130"/>
        <v>Inactive</v>
      </c>
      <c r="Y1357" t="str">
        <f>IF(MAIN!$H$3="Selected Year",IF(A1357=MAIN!$B$3,"Yes","No"),IF(MAIN!$H$3="Included Years",IF(D1357="Yes","Yes","No"),IF(C1357="Yes","Yes","No")))</f>
        <v>No</v>
      </c>
      <c r="Z1357" t="str">
        <f>IF(MAIN!$F$3="Project to Date",IF(AND(A1357&gt;=SETTINGS!$B$4,A1357&lt;MAIN!$B$3),"Yes",IF(AND(A1357=MAIN!$B$3,E1357&lt;=MAIN!$L$3),"Yes","No")),IF(OR(MAIN!$F$3="Full Year",MAIN!$D$3="All"),"Yes",IF(MAIN!$F$3="Monthly",IF(E1357=MAIN!$L$3,"Yes","No"),IF(E1357&lt;=MAIN!$L$3,"Yes","No"))))</f>
        <v>Yes</v>
      </c>
      <c r="AA1357" t="str">
        <f t="shared" si="131"/>
        <v>No</v>
      </c>
    </row>
    <row r="1358" spans="1:27" x14ac:dyDescent="0.3">
      <c r="A1358">
        <f>INDEX(SETTINGS!$A$15:$A$24,$B1358)</f>
        <v>2030</v>
      </c>
      <c r="B1358">
        <v>6</v>
      </c>
      <c r="C1358" t="str">
        <f>IF(AND(A1358&gt;=SETTINGS!$B$4,A1358&lt;=SETTINGS!$B$5),"Yes","No")</f>
        <v>No</v>
      </c>
      <c r="D1358" t="str">
        <f>IFERROR(INDEX(SETTINGS!$C$15:$C$24,MATCH(A1358,SETTINGS!$A$15:$A$24,0)),"No")</f>
        <v>No</v>
      </c>
      <c r="E1358">
        <v>12</v>
      </c>
      <c r="F1358" t="s">
        <v>45</v>
      </c>
      <c r="G1358">
        <v>281</v>
      </c>
      <c r="H1358" t="s">
        <v>101</v>
      </c>
      <c r="I1358" t="s">
        <v>15</v>
      </c>
      <c r="J1358" t="s">
        <v>20</v>
      </c>
      <c r="K1358" t="s">
        <v>3</v>
      </c>
      <c r="L1358" s="36">
        <f ca="1">IF(C1358&lt;&gt;"Yes",0,IF(A1358=2025,N('2025'!D281),IF(A1358=2026,N('2026'!D281),IF(A1358=2027,N('2027'!D281),IF(A1358=2028,N('2028'!D281),IF(A1358=2029,N('2029'!D281),IF(A1358=2030,N('2030'!D281),IF(A1358=2031,N('2031'!D281),IF(A1358=2032,N('2032'!D281),IF(A1358=2033,N('2033'!D281),IF(A1358=2034,N('2034'!D281),IFERROR(N(INDIRECT("'"&amp;A1358&amp;"'!D"&amp;G1358)),0))))))))))))</f>
        <v>0</v>
      </c>
      <c r="M1358" s="36">
        <f>IFERROR(IF(NOT(ISBLANK(KPI_TARGETS!$L$12)),KPI_TARGETS!$L$12,IF(NOT(ISBLANK(KPI_TARGETS!$F$12)),KPI_TARGETS!$F$12,"")),"")</f>
        <v>0</v>
      </c>
      <c r="N1358" s="36" t="str">
        <f>IFERROR(KPI_TARGETS!$E$12,"Higher is better")</f>
        <v>Lower is better</v>
      </c>
      <c r="O1358" s="37">
        <f t="shared" ca="1" si="126"/>
        <v>1</v>
      </c>
      <c r="P1358" t="str">
        <f t="shared" ca="1" si="127"/>
        <v>Green</v>
      </c>
      <c r="Q1358" s="36">
        <f t="shared" ca="1" si="128"/>
        <v>0</v>
      </c>
      <c r="R1358" s="36" t="str">
        <f>""</f>
        <v/>
      </c>
      <c r="S1358" s="36" t="str">
        <f>""</f>
        <v/>
      </c>
      <c r="T1358" s="36" t="str">
        <f>""</f>
        <v/>
      </c>
      <c r="U1358" s="36" t="str">
        <f>""</f>
        <v/>
      </c>
      <c r="V1358" s="36" t="str">
        <f>""</f>
        <v/>
      </c>
      <c r="W1358" s="36">
        <f t="shared" si="129"/>
        <v>1</v>
      </c>
      <c r="X1358" t="str">
        <f t="shared" si="130"/>
        <v>Inactive</v>
      </c>
      <c r="Y1358" t="str">
        <f>IF(MAIN!$H$3="Selected Year",IF(A1358=MAIN!$B$3,"Yes","No"),IF(MAIN!$H$3="Included Years",IF(D1358="Yes","Yes","No"),IF(C1358="Yes","Yes","No")))</f>
        <v>No</v>
      </c>
      <c r="Z1358" t="str">
        <f>IF(MAIN!$F$3="Project to Date",IF(AND(A1358&gt;=SETTINGS!$B$4,A1358&lt;MAIN!$B$3),"Yes",IF(AND(A1358=MAIN!$B$3,E1358&lt;=MAIN!$L$3),"Yes","No")),IF(OR(MAIN!$F$3="Full Year",MAIN!$D$3="All"),"Yes",IF(MAIN!$F$3="Monthly",IF(E1358=MAIN!$L$3,"Yes","No"),IF(E1358&lt;=MAIN!$L$3,"Yes","No"))))</f>
        <v>Yes</v>
      </c>
      <c r="AA1358" t="str">
        <f t="shared" si="131"/>
        <v>No</v>
      </c>
    </row>
    <row r="1359" spans="1:27" x14ac:dyDescent="0.3">
      <c r="A1359">
        <f>INDEX(SETTINGS!$A$15:$A$24,$B1359)</f>
        <v>2030</v>
      </c>
      <c r="B1359">
        <v>6</v>
      </c>
      <c r="C1359" t="str">
        <f>IF(AND(A1359&gt;=SETTINGS!$B$4,A1359&lt;=SETTINGS!$B$5),"Yes","No")</f>
        <v>No</v>
      </c>
      <c r="D1359" t="str">
        <f>IFERROR(INDEX(SETTINGS!$C$15:$C$24,MATCH(A1359,SETTINGS!$A$15:$A$24,0)),"No")</f>
        <v>No</v>
      </c>
      <c r="E1359">
        <v>12</v>
      </c>
      <c r="F1359" t="s">
        <v>45</v>
      </c>
      <c r="G1359">
        <v>282</v>
      </c>
      <c r="H1359" t="s">
        <v>102</v>
      </c>
      <c r="I1359" t="s">
        <v>15</v>
      </c>
      <c r="J1359" t="s">
        <v>21</v>
      </c>
      <c r="K1359" t="s">
        <v>3</v>
      </c>
      <c r="L1359" s="36">
        <f ca="1">IF(C1359&lt;&gt;"Yes",0,IF(A1359=2025,N('2025'!D282),IF(A1359=2026,N('2026'!D282),IF(A1359=2027,N('2027'!D282),IF(A1359=2028,N('2028'!D282),IF(A1359=2029,N('2029'!D282),IF(A1359=2030,N('2030'!D282),IF(A1359=2031,N('2031'!D282),IF(A1359=2032,N('2032'!D282),IF(A1359=2033,N('2033'!D282),IF(A1359=2034,N('2034'!D282),IFERROR(N(INDIRECT("'"&amp;A1359&amp;"'!D"&amp;G1359)),0))))))))))))</f>
        <v>0</v>
      </c>
      <c r="M1359" s="36">
        <f>IFERROR(IF(NOT(ISBLANK(KPI_TARGETS!$L$13)),KPI_TARGETS!$L$13,IF(NOT(ISBLANK(KPI_TARGETS!$F$13)),KPI_TARGETS!$F$13,"")),"")</f>
        <v>0</v>
      </c>
      <c r="N1359" s="36" t="str">
        <f>IFERROR(KPI_TARGETS!$E$13,"Higher is better")</f>
        <v>Lower is better</v>
      </c>
      <c r="O1359" s="37">
        <f t="shared" ca="1" si="126"/>
        <v>1</v>
      </c>
      <c r="P1359" t="str">
        <f t="shared" ca="1" si="127"/>
        <v>Green</v>
      </c>
      <c r="Q1359" s="36">
        <f t="shared" ca="1" si="128"/>
        <v>0</v>
      </c>
      <c r="R1359" s="36" t="str">
        <f>""</f>
        <v/>
      </c>
      <c r="S1359" s="36" t="str">
        <f>""</f>
        <v/>
      </c>
      <c r="T1359" s="36" t="str">
        <f>""</f>
        <v/>
      </c>
      <c r="U1359" s="36" t="str">
        <f>""</f>
        <v/>
      </c>
      <c r="V1359" s="36" t="str">
        <f>""</f>
        <v/>
      </c>
      <c r="W1359" s="36">
        <f t="shared" si="129"/>
        <v>1</v>
      </c>
      <c r="X1359" t="str">
        <f t="shared" si="130"/>
        <v>Inactive</v>
      </c>
      <c r="Y1359" t="str">
        <f>IF(MAIN!$H$3="Selected Year",IF(A1359=MAIN!$B$3,"Yes","No"),IF(MAIN!$H$3="Included Years",IF(D1359="Yes","Yes","No"),IF(C1359="Yes","Yes","No")))</f>
        <v>No</v>
      </c>
      <c r="Z1359" t="str">
        <f>IF(MAIN!$F$3="Project to Date",IF(AND(A1359&gt;=SETTINGS!$B$4,A1359&lt;MAIN!$B$3),"Yes",IF(AND(A1359=MAIN!$B$3,E1359&lt;=MAIN!$L$3),"Yes","No")),IF(OR(MAIN!$F$3="Full Year",MAIN!$D$3="All"),"Yes",IF(MAIN!$F$3="Monthly",IF(E1359=MAIN!$L$3,"Yes","No"),IF(E1359&lt;=MAIN!$L$3,"Yes","No"))))</f>
        <v>Yes</v>
      </c>
      <c r="AA1359" t="str">
        <f t="shared" si="131"/>
        <v>No</v>
      </c>
    </row>
    <row r="1360" spans="1:27" x14ac:dyDescent="0.3">
      <c r="A1360">
        <f>INDEX(SETTINGS!$A$15:$A$24,$B1360)</f>
        <v>2030</v>
      </c>
      <c r="B1360">
        <v>6</v>
      </c>
      <c r="C1360" t="str">
        <f>IF(AND(A1360&gt;=SETTINGS!$B$4,A1360&lt;=SETTINGS!$B$5),"Yes","No")</f>
        <v>No</v>
      </c>
      <c r="D1360" t="str">
        <f>IFERROR(INDEX(SETTINGS!$C$15:$C$24,MATCH(A1360,SETTINGS!$A$15:$A$24,0)),"No")</f>
        <v>No</v>
      </c>
      <c r="E1360">
        <v>12</v>
      </c>
      <c r="F1360" t="s">
        <v>45</v>
      </c>
      <c r="G1360">
        <v>284</v>
      </c>
      <c r="H1360" t="s">
        <v>103</v>
      </c>
      <c r="I1360" t="s">
        <v>22</v>
      </c>
      <c r="J1360" t="s">
        <v>23</v>
      </c>
      <c r="K1360" t="s">
        <v>3</v>
      </c>
      <c r="L1360" s="36">
        <f ca="1">IF(C1360&lt;&gt;"Yes",0,IF(A1360=2025,N('2025'!D284),IF(A1360=2026,N('2026'!D284),IF(A1360=2027,N('2027'!D284),IF(A1360=2028,N('2028'!D284),IF(A1360=2029,N('2029'!D284),IF(A1360=2030,N('2030'!D284),IF(A1360=2031,N('2031'!D284),IF(A1360=2032,N('2032'!D284),IF(A1360=2033,N('2033'!D284),IF(A1360=2034,N('2034'!D284),IFERROR(N(INDIRECT("'"&amp;A1360&amp;"'!D"&amp;G1360)),0))))))))))))</f>
        <v>0</v>
      </c>
      <c r="M1360" s="36">
        <f>IFERROR(IF(NOT(ISBLANK(KPI_TARGETS!$L$14)),KPI_TARGETS!$L$14,IF(NOT(ISBLANK(KPI_TARGETS!$F$14)),KPI_TARGETS!$F$14,"")),"")</f>
        <v>35</v>
      </c>
      <c r="N1360" s="36" t="str">
        <f>IFERROR(KPI_TARGETS!$E$14,"Higher is better")</f>
        <v>Higher is better</v>
      </c>
      <c r="O1360" s="37">
        <f t="shared" ca="1" si="126"/>
        <v>0</v>
      </c>
      <c r="P1360" t="str">
        <f t="shared" ca="1" si="127"/>
        <v>Red</v>
      </c>
      <c r="Q1360" s="36">
        <f t="shared" ca="1" si="128"/>
        <v>-35</v>
      </c>
      <c r="R1360" s="36" t="str">
        <f>""</f>
        <v/>
      </c>
      <c r="S1360" s="36" t="str">
        <f>""</f>
        <v/>
      </c>
      <c r="T1360" s="36" t="str">
        <f>""</f>
        <v/>
      </c>
      <c r="U1360" s="36" t="str">
        <f>""</f>
        <v/>
      </c>
      <c r="V1360" s="36" t="str">
        <f>""</f>
        <v/>
      </c>
      <c r="W1360" s="36">
        <f t="shared" si="129"/>
        <v>1</v>
      </c>
      <c r="X1360" t="str">
        <f t="shared" si="130"/>
        <v>Inactive</v>
      </c>
      <c r="Y1360" t="str">
        <f>IF(MAIN!$H$3="Selected Year",IF(A1360=MAIN!$B$3,"Yes","No"),IF(MAIN!$H$3="Included Years",IF(D1360="Yes","Yes","No"),IF(C1360="Yes","Yes","No")))</f>
        <v>No</v>
      </c>
      <c r="Z1360" t="str">
        <f>IF(MAIN!$F$3="Project to Date",IF(AND(A1360&gt;=SETTINGS!$B$4,A1360&lt;MAIN!$B$3),"Yes",IF(AND(A1360=MAIN!$B$3,E1360&lt;=MAIN!$L$3),"Yes","No")),IF(OR(MAIN!$F$3="Full Year",MAIN!$D$3="All"),"Yes",IF(MAIN!$F$3="Monthly",IF(E1360=MAIN!$L$3,"Yes","No"),IF(E1360&lt;=MAIN!$L$3,"Yes","No"))))</f>
        <v>Yes</v>
      </c>
      <c r="AA1360" t="str">
        <f t="shared" si="131"/>
        <v>No</v>
      </c>
    </row>
    <row r="1361" spans="1:27" x14ac:dyDescent="0.3">
      <c r="A1361">
        <f>INDEX(SETTINGS!$A$15:$A$24,$B1361)</f>
        <v>2030</v>
      </c>
      <c r="B1361">
        <v>6</v>
      </c>
      <c r="C1361" t="str">
        <f>IF(AND(A1361&gt;=SETTINGS!$B$4,A1361&lt;=SETTINGS!$B$5),"Yes","No")</f>
        <v>No</v>
      </c>
      <c r="D1361" t="str">
        <f>IFERROR(INDEX(SETTINGS!$C$15:$C$24,MATCH(A1361,SETTINGS!$A$15:$A$24,0)),"No")</f>
        <v>No</v>
      </c>
      <c r="E1361">
        <v>12</v>
      </c>
      <c r="F1361" t="s">
        <v>45</v>
      </c>
      <c r="G1361">
        <v>285</v>
      </c>
      <c r="H1361" t="s">
        <v>104</v>
      </c>
      <c r="I1361" t="s">
        <v>22</v>
      </c>
      <c r="J1361" t="s">
        <v>24</v>
      </c>
      <c r="K1361" t="s">
        <v>3</v>
      </c>
      <c r="L1361" s="36">
        <f ca="1">IF(C1361&lt;&gt;"Yes",0,IF(A1361=2025,N('2025'!D285),IF(A1361=2026,N('2026'!D285),IF(A1361=2027,N('2027'!D285),IF(A1361=2028,N('2028'!D285),IF(A1361=2029,N('2029'!D285),IF(A1361=2030,N('2030'!D285),IF(A1361=2031,N('2031'!D285),IF(A1361=2032,N('2032'!D285),IF(A1361=2033,N('2033'!D285),IF(A1361=2034,N('2034'!D285),IFERROR(N(INDIRECT("'"&amp;A1361&amp;"'!D"&amp;G1361)),0))))))))))))</f>
        <v>0</v>
      </c>
      <c r="M1361" s="36">
        <f>IFERROR(IF(NOT(ISBLANK(KPI_TARGETS!$L$15)),KPI_TARGETS!$L$15,IF(NOT(ISBLANK(KPI_TARGETS!$F$15)),KPI_TARGETS!$F$15,"")),"")</f>
        <v>5</v>
      </c>
      <c r="N1361" s="36" t="str">
        <f>IFERROR(KPI_TARGETS!$E$15,"Higher is better")</f>
        <v>Higher is better</v>
      </c>
      <c r="O1361" s="37">
        <f t="shared" ca="1" si="126"/>
        <v>0</v>
      </c>
      <c r="P1361" t="str">
        <f t="shared" ca="1" si="127"/>
        <v>Red</v>
      </c>
      <c r="Q1361" s="36">
        <f t="shared" ca="1" si="128"/>
        <v>-5</v>
      </c>
      <c r="R1361" s="36" t="str">
        <f>""</f>
        <v/>
      </c>
      <c r="S1361" s="36" t="str">
        <f>""</f>
        <v/>
      </c>
      <c r="T1361" s="36" t="str">
        <f>""</f>
        <v/>
      </c>
      <c r="U1361" s="36" t="str">
        <f>""</f>
        <v/>
      </c>
      <c r="V1361" s="36" t="str">
        <f>""</f>
        <v/>
      </c>
      <c r="W1361" s="36">
        <f t="shared" si="129"/>
        <v>1</v>
      </c>
      <c r="X1361" t="str">
        <f t="shared" si="130"/>
        <v>Inactive</v>
      </c>
      <c r="Y1361" t="str">
        <f>IF(MAIN!$H$3="Selected Year",IF(A1361=MAIN!$B$3,"Yes","No"),IF(MAIN!$H$3="Included Years",IF(D1361="Yes","Yes","No"),IF(C1361="Yes","Yes","No")))</f>
        <v>No</v>
      </c>
      <c r="Z1361" t="str">
        <f>IF(MAIN!$F$3="Project to Date",IF(AND(A1361&gt;=SETTINGS!$B$4,A1361&lt;MAIN!$B$3),"Yes",IF(AND(A1361=MAIN!$B$3,E1361&lt;=MAIN!$L$3),"Yes","No")),IF(OR(MAIN!$F$3="Full Year",MAIN!$D$3="All"),"Yes",IF(MAIN!$F$3="Monthly",IF(E1361=MAIN!$L$3,"Yes","No"),IF(E1361&lt;=MAIN!$L$3,"Yes","No"))))</f>
        <v>Yes</v>
      </c>
      <c r="AA1361" t="str">
        <f t="shared" si="131"/>
        <v>No</v>
      </c>
    </row>
    <row r="1362" spans="1:27" x14ac:dyDescent="0.3">
      <c r="A1362">
        <f>INDEX(SETTINGS!$A$15:$A$24,$B1362)</f>
        <v>2030</v>
      </c>
      <c r="B1362">
        <v>6</v>
      </c>
      <c r="C1362" t="str">
        <f>IF(AND(A1362&gt;=SETTINGS!$B$4,A1362&lt;=SETTINGS!$B$5),"Yes","No")</f>
        <v>No</v>
      </c>
      <c r="D1362" t="str">
        <f>IFERROR(INDEX(SETTINGS!$C$15:$C$24,MATCH(A1362,SETTINGS!$A$15:$A$24,0)),"No")</f>
        <v>No</v>
      </c>
      <c r="E1362">
        <v>12</v>
      </c>
      <c r="F1362" t="s">
        <v>45</v>
      </c>
      <c r="G1362">
        <v>286</v>
      </c>
      <c r="H1362" t="s">
        <v>105</v>
      </c>
      <c r="I1362" t="s">
        <v>22</v>
      </c>
      <c r="J1362" t="s">
        <v>25</v>
      </c>
      <c r="K1362" t="s">
        <v>3</v>
      </c>
      <c r="L1362" s="36">
        <f ca="1">IF(C1362&lt;&gt;"Yes",0,IF(A1362=2025,N('2025'!D286),IF(A1362=2026,N('2026'!D286),IF(A1362=2027,N('2027'!D286),IF(A1362=2028,N('2028'!D286),IF(A1362=2029,N('2029'!D286),IF(A1362=2030,N('2030'!D286),IF(A1362=2031,N('2031'!D286),IF(A1362=2032,N('2032'!D286),IF(A1362=2033,N('2033'!D286),IF(A1362=2034,N('2034'!D286),IFERROR(N(INDIRECT("'"&amp;A1362&amp;"'!D"&amp;G1362)),0))))))))))))</f>
        <v>0</v>
      </c>
      <c r="M1362" s="36">
        <f>IFERROR(IF(NOT(ISBLANK(KPI_TARGETS!$L$16)),KPI_TARGETS!$L$16,IF(NOT(ISBLANK(KPI_TARGETS!$F$16)),KPI_TARGETS!$F$16,"")),"")</f>
        <v>4</v>
      </c>
      <c r="N1362" s="36" t="str">
        <f>IFERROR(KPI_TARGETS!$E$16,"Higher is better")</f>
        <v>Higher is better</v>
      </c>
      <c r="O1362" s="37">
        <f t="shared" ca="1" si="126"/>
        <v>0</v>
      </c>
      <c r="P1362" t="str">
        <f t="shared" ca="1" si="127"/>
        <v>Red</v>
      </c>
      <c r="Q1362" s="36">
        <f t="shared" ca="1" si="128"/>
        <v>-4</v>
      </c>
      <c r="R1362" s="36" t="str">
        <f>""</f>
        <v/>
      </c>
      <c r="S1362" s="36" t="str">
        <f>""</f>
        <v/>
      </c>
      <c r="T1362" s="36" t="str">
        <f>""</f>
        <v/>
      </c>
      <c r="U1362" s="36" t="str">
        <f>""</f>
        <v/>
      </c>
      <c r="V1362" s="36" t="str">
        <f>""</f>
        <v/>
      </c>
      <c r="W1362" s="36">
        <f t="shared" si="129"/>
        <v>1</v>
      </c>
      <c r="X1362" t="str">
        <f t="shared" si="130"/>
        <v>Inactive</v>
      </c>
      <c r="Y1362" t="str">
        <f>IF(MAIN!$H$3="Selected Year",IF(A1362=MAIN!$B$3,"Yes","No"),IF(MAIN!$H$3="Included Years",IF(D1362="Yes","Yes","No"),IF(C1362="Yes","Yes","No")))</f>
        <v>No</v>
      </c>
      <c r="Z1362" t="str">
        <f>IF(MAIN!$F$3="Project to Date",IF(AND(A1362&gt;=SETTINGS!$B$4,A1362&lt;MAIN!$B$3),"Yes",IF(AND(A1362=MAIN!$B$3,E1362&lt;=MAIN!$L$3),"Yes","No")),IF(OR(MAIN!$F$3="Full Year",MAIN!$D$3="All"),"Yes",IF(MAIN!$F$3="Monthly",IF(E1362=MAIN!$L$3,"Yes","No"),IF(E1362&lt;=MAIN!$L$3,"Yes","No"))))</f>
        <v>Yes</v>
      </c>
      <c r="AA1362" t="str">
        <f t="shared" si="131"/>
        <v>No</v>
      </c>
    </row>
    <row r="1363" spans="1:27" x14ac:dyDescent="0.3">
      <c r="A1363">
        <f>INDEX(SETTINGS!$A$15:$A$24,$B1363)</f>
        <v>2030</v>
      </c>
      <c r="B1363">
        <v>6</v>
      </c>
      <c r="C1363" t="str">
        <f>IF(AND(A1363&gt;=SETTINGS!$B$4,A1363&lt;=SETTINGS!$B$5),"Yes","No")</f>
        <v>No</v>
      </c>
      <c r="D1363" t="str">
        <f>IFERROR(INDEX(SETTINGS!$C$15:$C$24,MATCH(A1363,SETTINGS!$A$15:$A$24,0)),"No")</f>
        <v>No</v>
      </c>
      <c r="E1363">
        <v>12</v>
      </c>
      <c r="F1363" t="s">
        <v>45</v>
      </c>
      <c r="G1363">
        <v>287</v>
      </c>
      <c r="H1363" t="s">
        <v>106</v>
      </c>
      <c r="I1363" t="s">
        <v>22</v>
      </c>
      <c r="J1363" t="s">
        <v>26</v>
      </c>
      <c r="K1363" t="s">
        <v>3</v>
      </c>
      <c r="L1363" s="36">
        <f ca="1">IF(C1363&lt;&gt;"Yes",0,IF(A1363=2025,N('2025'!D287),IF(A1363=2026,N('2026'!D287),IF(A1363=2027,N('2027'!D287),IF(A1363=2028,N('2028'!D287),IF(A1363=2029,N('2029'!D287),IF(A1363=2030,N('2030'!D287),IF(A1363=2031,N('2031'!D287),IF(A1363=2032,N('2032'!D287),IF(A1363=2033,N('2033'!D287),IF(A1363=2034,N('2034'!D287),IFERROR(N(INDIRECT("'"&amp;A1363&amp;"'!D"&amp;G1363)),0))))))))))))</f>
        <v>0</v>
      </c>
      <c r="M1363" s="36">
        <f>IFERROR(IF(NOT(ISBLANK(KPI_TARGETS!$L$17)),KPI_TARGETS!$L$17,IF(NOT(ISBLANK(KPI_TARGETS!$F$17)),KPI_TARGETS!$F$17,"")),"")</f>
        <v>12</v>
      </c>
      <c r="N1363" s="36" t="str">
        <f>IFERROR(KPI_TARGETS!$E$17,"Higher is better")</f>
        <v>Higher is better</v>
      </c>
      <c r="O1363" s="37">
        <f t="shared" ca="1" si="126"/>
        <v>0</v>
      </c>
      <c r="P1363" t="str">
        <f t="shared" ca="1" si="127"/>
        <v>Red</v>
      </c>
      <c r="Q1363" s="36">
        <f t="shared" ca="1" si="128"/>
        <v>-12</v>
      </c>
      <c r="R1363" s="36" t="str">
        <f>""</f>
        <v/>
      </c>
      <c r="S1363" s="36" t="str">
        <f>""</f>
        <v/>
      </c>
      <c r="T1363" s="36" t="str">
        <f>""</f>
        <v/>
      </c>
      <c r="U1363" s="36" t="str">
        <f>""</f>
        <v/>
      </c>
      <c r="V1363" s="36" t="str">
        <f>""</f>
        <v/>
      </c>
      <c r="W1363" s="36">
        <f t="shared" si="129"/>
        <v>1</v>
      </c>
      <c r="X1363" t="str">
        <f t="shared" si="130"/>
        <v>Inactive</v>
      </c>
      <c r="Y1363" t="str">
        <f>IF(MAIN!$H$3="Selected Year",IF(A1363=MAIN!$B$3,"Yes","No"),IF(MAIN!$H$3="Included Years",IF(D1363="Yes","Yes","No"),IF(C1363="Yes","Yes","No")))</f>
        <v>No</v>
      </c>
      <c r="Z1363" t="str">
        <f>IF(MAIN!$F$3="Project to Date",IF(AND(A1363&gt;=SETTINGS!$B$4,A1363&lt;MAIN!$B$3),"Yes",IF(AND(A1363=MAIN!$B$3,E1363&lt;=MAIN!$L$3),"Yes","No")),IF(OR(MAIN!$F$3="Full Year",MAIN!$D$3="All"),"Yes",IF(MAIN!$F$3="Monthly",IF(E1363=MAIN!$L$3,"Yes","No"),IF(E1363&lt;=MAIN!$L$3,"Yes","No"))))</f>
        <v>Yes</v>
      </c>
      <c r="AA1363" t="str">
        <f t="shared" si="131"/>
        <v>No</v>
      </c>
    </row>
    <row r="1364" spans="1:27" x14ac:dyDescent="0.3">
      <c r="A1364">
        <f>INDEX(SETTINGS!$A$15:$A$24,$B1364)</f>
        <v>2030</v>
      </c>
      <c r="B1364">
        <v>6</v>
      </c>
      <c r="C1364" t="str">
        <f>IF(AND(A1364&gt;=SETTINGS!$B$4,A1364&lt;=SETTINGS!$B$5),"Yes","No")</f>
        <v>No</v>
      </c>
      <c r="D1364" t="str">
        <f>IFERROR(INDEX(SETTINGS!$C$15:$C$24,MATCH(A1364,SETTINGS!$A$15:$A$24,0)),"No")</f>
        <v>No</v>
      </c>
      <c r="E1364">
        <v>12</v>
      </c>
      <c r="F1364" t="s">
        <v>45</v>
      </c>
      <c r="G1364">
        <v>288</v>
      </c>
      <c r="H1364" t="s">
        <v>107</v>
      </c>
      <c r="I1364" t="s">
        <v>22</v>
      </c>
      <c r="J1364" t="s">
        <v>27</v>
      </c>
      <c r="K1364" t="s">
        <v>3</v>
      </c>
      <c r="L1364" s="36">
        <f ca="1">IF(C1364&lt;&gt;"Yes",0,IF(A1364=2025,N('2025'!D288),IF(A1364=2026,N('2026'!D288),IF(A1364=2027,N('2027'!D288),IF(A1364=2028,N('2028'!D288),IF(A1364=2029,N('2029'!D288),IF(A1364=2030,N('2030'!D288),IF(A1364=2031,N('2031'!D288),IF(A1364=2032,N('2032'!D288),IF(A1364=2033,N('2033'!D288),IF(A1364=2034,N('2034'!D288),IFERROR(N(INDIRECT("'"&amp;A1364&amp;"'!D"&amp;G1364)),0))))))))))))</f>
        <v>0</v>
      </c>
      <c r="M1364" s="36">
        <f>IFERROR(IF(NOT(ISBLANK(KPI_TARGETS!$L$18)),KPI_TARGETS!$L$18,IF(NOT(ISBLANK(KPI_TARGETS!$F$18)),KPI_TARGETS!$F$18,"")),"")</f>
        <v>4</v>
      </c>
      <c r="N1364" s="36" t="str">
        <f>IFERROR(KPI_TARGETS!$E$18,"Higher is better")</f>
        <v>Higher is better</v>
      </c>
      <c r="O1364" s="37">
        <f t="shared" ca="1" si="126"/>
        <v>0</v>
      </c>
      <c r="P1364" t="str">
        <f t="shared" ca="1" si="127"/>
        <v>Red</v>
      </c>
      <c r="Q1364" s="36">
        <f t="shared" ca="1" si="128"/>
        <v>-4</v>
      </c>
      <c r="R1364" s="36" t="str">
        <f>""</f>
        <v/>
      </c>
      <c r="S1364" s="36" t="str">
        <f>""</f>
        <v/>
      </c>
      <c r="T1364" s="36" t="str">
        <f>""</f>
        <v/>
      </c>
      <c r="U1364" s="36" t="str">
        <f>""</f>
        <v/>
      </c>
      <c r="V1364" s="36" t="str">
        <f>""</f>
        <v/>
      </c>
      <c r="W1364" s="36">
        <f t="shared" si="129"/>
        <v>1</v>
      </c>
      <c r="X1364" t="str">
        <f t="shared" si="130"/>
        <v>Inactive</v>
      </c>
      <c r="Y1364" t="str">
        <f>IF(MAIN!$H$3="Selected Year",IF(A1364=MAIN!$B$3,"Yes","No"),IF(MAIN!$H$3="Included Years",IF(D1364="Yes","Yes","No"),IF(C1364="Yes","Yes","No")))</f>
        <v>No</v>
      </c>
      <c r="Z1364" t="str">
        <f>IF(MAIN!$F$3="Project to Date",IF(AND(A1364&gt;=SETTINGS!$B$4,A1364&lt;MAIN!$B$3),"Yes",IF(AND(A1364=MAIN!$B$3,E1364&lt;=MAIN!$L$3),"Yes","No")),IF(OR(MAIN!$F$3="Full Year",MAIN!$D$3="All"),"Yes",IF(MAIN!$F$3="Monthly",IF(E1364=MAIN!$L$3,"Yes","No"),IF(E1364&lt;=MAIN!$L$3,"Yes","No"))))</f>
        <v>Yes</v>
      </c>
      <c r="AA1364" t="str">
        <f t="shared" si="131"/>
        <v>No</v>
      </c>
    </row>
    <row r="1365" spans="1:27" x14ac:dyDescent="0.3">
      <c r="A1365">
        <f>INDEX(SETTINGS!$A$15:$A$24,$B1365)</f>
        <v>2030</v>
      </c>
      <c r="B1365">
        <v>6</v>
      </c>
      <c r="C1365" t="str">
        <f>IF(AND(A1365&gt;=SETTINGS!$B$4,A1365&lt;=SETTINGS!$B$5),"Yes","No")</f>
        <v>No</v>
      </c>
      <c r="D1365" t="str">
        <f>IFERROR(INDEX(SETTINGS!$C$15:$C$24,MATCH(A1365,SETTINGS!$A$15:$A$24,0)),"No")</f>
        <v>No</v>
      </c>
      <c r="E1365">
        <v>12</v>
      </c>
      <c r="F1365" t="s">
        <v>45</v>
      </c>
      <c r="G1365">
        <v>289</v>
      </c>
      <c r="H1365" t="s">
        <v>108</v>
      </c>
      <c r="I1365" t="s">
        <v>22</v>
      </c>
      <c r="J1365" t="s">
        <v>28</v>
      </c>
      <c r="K1365" t="s">
        <v>3</v>
      </c>
      <c r="L1365" s="36">
        <f ca="1">IF(C1365&lt;&gt;"Yes",0,IF(A1365=2025,N('2025'!D289),IF(A1365=2026,N('2026'!D289),IF(A1365=2027,N('2027'!D289),IF(A1365=2028,N('2028'!D289),IF(A1365=2029,N('2029'!D289),IF(A1365=2030,N('2030'!D289),IF(A1365=2031,N('2031'!D289),IF(A1365=2032,N('2032'!D289),IF(A1365=2033,N('2033'!D289),IF(A1365=2034,N('2034'!D289),IFERROR(N(INDIRECT("'"&amp;A1365&amp;"'!D"&amp;G1365)),0))))))))))))</f>
        <v>0</v>
      </c>
      <c r="M1365" s="36">
        <f>IFERROR(IF(NOT(ISBLANK(KPI_TARGETS!$L$19)),KPI_TARGETS!$L$19,IF(NOT(ISBLANK(KPI_TARGETS!$F$19)),KPI_TARGETS!$F$19,"")),"")</f>
        <v>16</v>
      </c>
      <c r="N1365" s="36" t="str">
        <f>IFERROR(KPI_TARGETS!$E$19,"Higher is better")</f>
        <v>Higher is better</v>
      </c>
      <c r="O1365" s="37">
        <f t="shared" ca="1" si="126"/>
        <v>0</v>
      </c>
      <c r="P1365" t="str">
        <f t="shared" ca="1" si="127"/>
        <v>Red</v>
      </c>
      <c r="Q1365" s="36">
        <f t="shared" ca="1" si="128"/>
        <v>-16</v>
      </c>
      <c r="R1365" s="36" t="str">
        <f>""</f>
        <v/>
      </c>
      <c r="S1365" s="36" t="str">
        <f>""</f>
        <v/>
      </c>
      <c r="T1365" s="36" t="str">
        <f>""</f>
        <v/>
      </c>
      <c r="U1365" s="36" t="str">
        <f>""</f>
        <v/>
      </c>
      <c r="V1365" s="36" t="str">
        <f>""</f>
        <v/>
      </c>
      <c r="W1365" s="36">
        <f t="shared" si="129"/>
        <v>1</v>
      </c>
      <c r="X1365" t="str">
        <f t="shared" si="130"/>
        <v>Inactive</v>
      </c>
      <c r="Y1365" t="str">
        <f>IF(MAIN!$H$3="Selected Year",IF(A1365=MAIN!$B$3,"Yes","No"),IF(MAIN!$H$3="Included Years",IF(D1365="Yes","Yes","No"),IF(C1365="Yes","Yes","No")))</f>
        <v>No</v>
      </c>
      <c r="Z1365" t="str">
        <f>IF(MAIN!$F$3="Project to Date",IF(AND(A1365&gt;=SETTINGS!$B$4,A1365&lt;MAIN!$B$3),"Yes",IF(AND(A1365=MAIN!$B$3,E1365&lt;=MAIN!$L$3),"Yes","No")),IF(OR(MAIN!$F$3="Full Year",MAIN!$D$3="All"),"Yes",IF(MAIN!$F$3="Monthly",IF(E1365=MAIN!$L$3,"Yes","No"),IF(E1365&lt;=MAIN!$L$3,"Yes","No"))))</f>
        <v>Yes</v>
      </c>
      <c r="AA1365" t="str">
        <f t="shared" si="131"/>
        <v>No</v>
      </c>
    </row>
    <row r="1366" spans="1:27" x14ac:dyDescent="0.3">
      <c r="A1366">
        <f>INDEX(SETTINGS!$A$15:$A$24,$B1366)</f>
        <v>2030</v>
      </c>
      <c r="B1366">
        <v>6</v>
      </c>
      <c r="C1366" t="str">
        <f>IF(AND(A1366&gt;=SETTINGS!$B$4,A1366&lt;=SETTINGS!$B$5),"Yes","No")</f>
        <v>No</v>
      </c>
      <c r="D1366" t="str">
        <f>IFERROR(INDEX(SETTINGS!$C$15:$C$24,MATCH(A1366,SETTINGS!$A$15:$A$24,0)),"No")</f>
        <v>No</v>
      </c>
      <c r="E1366">
        <v>12</v>
      </c>
      <c r="F1366" t="s">
        <v>45</v>
      </c>
      <c r="G1366">
        <v>290</v>
      </c>
      <c r="H1366" t="s">
        <v>109</v>
      </c>
      <c r="I1366" t="s">
        <v>22</v>
      </c>
      <c r="J1366" t="s">
        <v>29</v>
      </c>
      <c r="K1366" t="s">
        <v>3</v>
      </c>
      <c r="L1366" s="36">
        <f ca="1">IF(C1366&lt;&gt;"Yes",0,IF(A1366=2025,N('2025'!D290),IF(A1366=2026,N('2026'!D290),IF(A1366=2027,N('2027'!D290),IF(A1366=2028,N('2028'!D290),IF(A1366=2029,N('2029'!D290),IF(A1366=2030,N('2030'!D290),IF(A1366=2031,N('2031'!D290),IF(A1366=2032,N('2032'!D290),IF(A1366=2033,N('2033'!D290),IF(A1366=2034,N('2034'!D290),IFERROR(N(INDIRECT("'"&amp;A1366&amp;"'!D"&amp;G1366)),0))))))))))))</f>
        <v>0</v>
      </c>
      <c r="M1366" s="36">
        <f>IFERROR(IF(NOT(ISBLANK(KPI_TARGETS!$L$20)),KPI_TARGETS!$L$20,IF(NOT(ISBLANK(KPI_TARGETS!$F$20)),KPI_TARGETS!$F$20,"")),"")</f>
        <v>1</v>
      </c>
      <c r="N1366" s="36" t="str">
        <f>IFERROR(KPI_TARGETS!$E$20,"Higher is better")</f>
        <v>Higher is better</v>
      </c>
      <c r="O1366" s="37">
        <f t="shared" ca="1" si="126"/>
        <v>0</v>
      </c>
      <c r="P1366" t="str">
        <f t="shared" ca="1" si="127"/>
        <v>Red</v>
      </c>
      <c r="Q1366" s="36">
        <f t="shared" ca="1" si="128"/>
        <v>-1</v>
      </c>
      <c r="R1366" s="36" t="str">
        <f>""</f>
        <v/>
      </c>
      <c r="S1366" s="36" t="str">
        <f>""</f>
        <v/>
      </c>
      <c r="T1366" s="36" t="str">
        <f>""</f>
        <v/>
      </c>
      <c r="U1366" s="36" t="str">
        <f>""</f>
        <v/>
      </c>
      <c r="V1366" s="36" t="str">
        <f>""</f>
        <v/>
      </c>
      <c r="W1366" s="36">
        <f t="shared" si="129"/>
        <v>1</v>
      </c>
      <c r="X1366" t="str">
        <f t="shared" si="130"/>
        <v>Inactive</v>
      </c>
      <c r="Y1366" t="str">
        <f>IF(MAIN!$H$3="Selected Year",IF(A1366=MAIN!$B$3,"Yes","No"),IF(MAIN!$H$3="Included Years",IF(D1366="Yes","Yes","No"),IF(C1366="Yes","Yes","No")))</f>
        <v>No</v>
      </c>
      <c r="Z1366" t="str">
        <f>IF(MAIN!$F$3="Project to Date",IF(AND(A1366&gt;=SETTINGS!$B$4,A1366&lt;MAIN!$B$3),"Yes",IF(AND(A1366=MAIN!$B$3,E1366&lt;=MAIN!$L$3),"Yes","No")),IF(OR(MAIN!$F$3="Full Year",MAIN!$D$3="All"),"Yes",IF(MAIN!$F$3="Monthly",IF(E1366=MAIN!$L$3,"Yes","No"),IF(E1366&lt;=MAIN!$L$3,"Yes","No"))))</f>
        <v>Yes</v>
      </c>
      <c r="AA1366" t="str">
        <f t="shared" si="131"/>
        <v>No</v>
      </c>
    </row>
    <row r="1367" spans="1:27" x14ac:dyDescent="0.3">
      <c r="A1367">
        <f>INDEX(SETTINGS!$A$15:$A$24,$B1367)</f>
        <v>2030</v>
      </c>
      <c r="B1367">
        <v>6</v>
      </c>
      <c r="C1367" t="str">
        <f>IF(AND(A1367&gt;=SETTINGS!$B$4,A1367&lt;=SETTINGS!$B$5),"Yes","No")</f>
        <v>No</v>
      </c>
      <c r="D1367" t="str">
        <f>IFERROR(INDEX(SETTINGS!$C$15:$C$24,MATCH(A1367,SETTINGS!$A$15:$A$24,0)),"No")</f>
        <v>No</v>
      </c>
      <c r="E1367">
        <v>12</v>
      </c>
      <c r="F1367" t="s">
        <v>45</v>
      </c>
      <c r="G1367">
        <v>292</v>
      </c>
      <c r="H1367" t="s">
        <v>110</v>
      </c>
      <c r="I1367" t="s">
        <v>30</v>
      </c>
      <c r="J1367" t="s">
        <v>31</v>
      </c>
      <c r="K1367" t="s">
        <v>3</v>
      </c>
      <c r="L1367" s="36">
        <f ca="1">IF(C1367&lt;&gt;"Yes",0,IF(A1367=2025,N('2025'!D292),IF(A1367=2026,N('2026'!D292),IF(A1367=2027,N('2027'!D292),IF(A1367=2028,N('2028'!D292),IF(A1367=2029,N('2029'!D292),IF(A1367=2030,N('2030'!D292),IF(A1367=2031,N('2031'!D292),IF(A1367=2032,N('2032'!D292),IF(A1367=2033,N('2033'!D292),IF(A1367=2034,N('2034'!D292),IFERROR(N(INDIRECT("'"&amp;A1367&amp;"'!D"&amp;G1367)),0))))))))))))</f>
        <v>0</v>
      </c>
      <c r="M1367" s="36">
        <f>IFERROR(IF(NOT(ISBLANK(KPI_TARGETS!$L$21)),KPI_TARGETS!$L$21,IF(NOT(ISBLANK(KPI_TARGETS!$F$21)),KPI_TARGETS!$F$21,"")),"")</f>
        <v>0</v>
      </c>
      <c r="N1367" s="36" t="str">
        <f>IFERROR(KPI_TARGETS!$E$21,"Higher is better")</f>
        <v>Lower is better</v>
      </c>
      <c r="O1367" s="37">
        <f t="shared" ca="1" si="126"/>
        <v>1</v>
      </c>
      <c r="P1367" t="str">
        <f t="shared" ca="1" si="127"/>
        <v>Green</v>
      </c>
      <c r="Q1367" s="36">
        <f t="shared" ca="1" si="128"/>
        <v>0</v>
      </c>
      <c r="R1367" s="36" t="str">
        <f>""</f>
        <v/>
      </c>
      <c r="S1367" s="36" t="str">
        <f>""</f>
        <v/>
      </c>
      <c r="T1367" s="36" t="str">
        <f>""</f>
        <v/>
      </c>
      <c r="U1367" s="36" t="str">
        <f>""</f>
        <v/>
      </c>
      <c r="V1367" s="36" t="str">
        <f>""</f>
        <v/>
      </c>
      <c r="W1367" s="36">
        <f t="shared" si="129"/>
        <v>1</v>
      </c>
      <c r="X1367" t="str">
        <f t="shared" si="130"/>
        <v>Inactive</v>
      </c>
      <c r="Y1367" t="str">
        <f>IF(MAIN!$H$3="Selected Year",IF(A1367=MAIN!$B$3,"Yes","No"),IF(MAIN!$H$3="Included Years",IF(D1367="Yes","Yes","No"),IF(C1367="Yes","Yes","No")))</f>
        <v>No</v>
      </c>
      <c r="Z1367" t="str">
        <f>IF(MAIN!$F$3="Project to Date",IF(AND(A1367&gt;=SETTINGS!$B$4,A1367&lt;MAIN!$B$3),"Yes",IF(AND(A1367=MAIN!$B$3,E1367&lt;=MAIN!$L$3),"Yes","No")),IF(OR(MAIN!$F$3="Full Year",MAIN!$D$3="All"),"Yes",IF(MAIN!$F$3="Monthly",IF(E1367=MAIN!$L$3,"Yes","No"),IF(E1367&lt;=MAIN!$L$3,"Yes","No"))))</f>
        <v>Yes</v>
      </c>
      <c r="AA1367" t="str">
        <f t="shared" si="131"/>
        <v>No</v>
      </c>
    </row>
    <row r="1368" spans="1:27" x14ac:dyDescent="0.3">
      <c r="A1368">
        <f>INDEX(SETTINGS!$A$15:$A$24,$B1368)</f>
        <v>2030</v>
      </c>
      <c r="B1368">
        <v>6</v>
      </c>
      <c r="C1368" t="str">
        <f>IF(AND(A1368&gt;=SETTINGS!$B$4,A1368&lt;=SETTINGS!$B$5),"Yes","No")</f>
        <v>No</v>
      </c>
      <c r="D1368" t="str">
        <f>IFERROR(INDEX(SETTINGS!$C$15:$C$24,MATCH(A1368,SETTINGS!$A$15:$A$24,0)),"No")</f>
        <v>No</v>
      </c>
      <c r="E1368">
        <v>12</v>
      </c>
      <c r="F1368" t="s">
        <v>45</v>
      </c>
      <c r="G1368">
        <v>293</v>
      </c>
      <c r="H1368" t="s">
        <v>111</v>
      </c>
      <c r="I1368" t="s">
        <v>30</v>
      </c>
      <c r="J1368" t="s">
        <v>32</v>
      </c>
      <c r="K1368" t="s">
        <v>3</v>
      </c>
      <c r="L1368" s="36">
        <f ca="1">IF(C1368&lt;&gt;"Yes",0,IF(A1368=2025,N('2025'!D293),IF(A1368=2026,N('2026'!D293),IF(A1368=2027,N('2027'!D293),IF(A1368=2028,N('2028'!D293),IF(A1368=2029,N('2029'!D293),IF(A1368=2030,N('2030'!D293),IF(A1368=2031,N('2031'!D293),IF(A1368=2032,N('2032'!D293),IF(A1368=2033,N('2033'!D293),IF(A1368=2034,N('2034'!D293),IFERROR(N(INDIRECT("'"&amp;A1368&amp;"'!D"&amp;G1368)),0))))))))))))</f>
        <v>0</v>
      </c>
      <c r="M1368" s="36">
        <f>IFERROR(IF(NOT(ISBLANK(KPI_TARGETS!$L$22)),KPI_TARGETS!$L$22,IF(NOT(ISBLANK(KPI_TARGETS!$F$22)),KPI_TARGETS!$F$22,"")),"")</f>
        <v>1</v>
      </c>
      <c r="N1368" s="36" t="str">
        <f>IFERROR(KPI_TARGETS!$E$22,"Higher is better")</f>
        <v>Higher is better</v>
      </c>
      <c r="O1368" s="37">
        <f t="shared" ca="1" si="126"/>
        <v>0</v>
      </c>
      <c r="P1368" t="str">
        <f t="shared" ca="1" si="127"/>
        <v>Red</v>
      </c>
      <c r="Q1368" s="36">
        <f t="shared" ca="1" si="128"/>
        <v>-1</v>
      </c>
      <c r="R1368" s="36" t="str">
        <f>""</f>
        <v/>
      </c>
      <c r="S1368" s="36" t="str">
        <f>""</f>
        <v/>
      </c>
      <c r="T1368" s="36" t="str">
        <f>""</f>
        <v/>
      </c>
      <c r="U1368" s="36" t="str">
        <f>""</f>
        <v/>
      </c>
      <c r="V1368" s="36" t="str">
        <f>""</f>
        <v/>
      </c>
      <c r="W1368" s="36">
        <f t="shared" si="129"/>
        <v>1</v>
      </c>
      <c r="X1368" t="str">
        <f t="shared" si="130"/>
        <v>Inactive</v>
      </c>
      <c r="Y1368" t="str">
        <f>IF(MAIN!$H$3="Selected Year",IF(A1368=MAIN!$B$3,"Yes","No"),IF(MAIN!$H$3="Included Years",IF(D1368="Yes","Yes","No"),IF(C1368="Yes","Yes","No")))</f>
        <v>No</v>
      </c>
      <c r="Z1368" t="str">
        <f>IF(MAIN!$F$3="Project to Date",IF(AND(A1368&gt;=SETTINGS!$B$4,A1368&lt;MAIN!$B$3),"Yes",IF(AND(A1368=MAIN!$B$3,E1368&lt;=MAIN!$L$3),"Yes","No")),IF(OR(MAIN!$F$3="Full Year",MAIN!$D$3="All"),"Yes",IF(MAIN!$F$3="Monthly",IF(E1368=MAIN!$L$3,"Yes","No"),IF(E1368&lt;=MAIN!$L$3,"Yes","No"))))</f>
        <v>Yes</v>
      </c>
      <c r="AA1368" t="str">
        <f t="shared" si="131"/>
        <v>No</v>
      </c>
    </row>
    <row r="1369" spans="1:27" x14ac:dyDescent="0.3">
      <c r="A1369">
        <f>INDEX(SETTINGS!$A$15:$A$24,$B1369)</f>
        <v>2030</v>
      </c>
      <c r="B1369">
        <v>6</v>
      </c>
      <c r="C1369" t="str">
        <f>IF(AND(A1369&gt;=SETTINGS!$B$4,A1369&lt;=SETTINGS!$B$5),"Yes","No")</f>
        <v>No</v>
      </c>
      <c r="D1369" t="str">
        <f>IFERROR(INDEX(SETTINGS!$C$15:$C$24,MATCH(A1369,SETTINGS!$A$15:$A$24,0)),"No")</f>
        <v>No</v>
      </c>
      <c r="E1369">
        <v>12</v>
      </c>
      <c r="F1369" t="s">
        <v>45</v>
      </c>
      <c r="G1369">
        <v>294</v>
      </c>
      <c r="H1369" t="s">
        <v>112</v>
      </c>
      <c r="I1369" t="s">
        <v>30</v>
      </c>
      <c r="J1369" t="s">
        <v>33</v>
      </c>
      <c r="K1369" t="s">
        <v>34</v>
      </c>
      <c r="L1369" s="36">
        <f ca="1">IF(C1369&lt;&gt;"Yes",0,IF(A1369=2025,N('2025'!D294),IF(A1369=2026,N('2026'!D294),IF(A1369=2027,N('2027'!D294),IF(A1369=2028,N('2028'!D294),IF(A1369=2029,N('2029'!D294),IF(A1369=2030,N('2030'!D294),IF(A1369=2031,N('2031'!D294),IF(A1369=2032,N('2032'!D294),IF(A1369=2033,N('2033'!D294),IF(A1369=2034,N('2034'!D294),IFERROR(N(INDIRECT("'"&amp;A1369&amp;"'!D"&amp;G1369)),0))))))))))))</f>
        <v>0</v>
      </c>
      <c r="M1369" s="36">
        <f>IFERROR(IF(NOT(ISBLANK(KPI_TARGETS!$L$23)),KPI_TARGETS!$L$23,IF(NOT(ISBLANK(KPI_TARGETS!$F$23)),KPI_TARGETS!$F$23,"")),"")</f>
        <v>1</v>
      </c>
      <c r="N1369" s="36" t="str">
        <f>IFERROR(KPI_TARGETS!$E$23,"Higher is better")</f>
        <v>Higher is better</v>
      </c>
      <c r="O1369" s="37">
        <f t="shared" ca="1" si="126"/>
        <v>0</v>
      </c>
      <c r="P1369" t="str">
        <f t="shared" ca="1" si="127"/>
        <v>Red</v>
      </c>
      <c r="Q1369" s="36">
        <f t="shared" ca="1" si="128"/>
        <v>-1</v>
      </c>
      <c r="R1369" s="36" t="str">
        <f>""</f>
        <v/>
      </c>
      <c r="S1369" s="36" t="str">
        <f>""</f>
        <v/>
      </c>
      <c r="T1369" s="36" t="str">
        <f>""</f>
        <v/>
      </c>
      <c r="U1369" s="36" t="str">
        <f>""</f>
        <v/>
      </c>
      <c r="V1369" s="36" t="str">
        <f>""</f>
        <v/>
      </c>
      <c r="W1369" s="36">
        <f t="shared" si="129"/>
        <v>1</v>
      </c>
      <c r="X1369" t="str">
        <f t="shared" si="130"/>
        <v>Inactive</v>
      </c>
      <c r="Y1369" t="str">
        <f>IF(MAIN!$H$3="Selected Year",IF(A1369=MAIN!$B$3,"Yes","No"),IF(MAIN!$H$3="Included Years",IF(D1369="Yes","Yes","No"),IF(C1369="Yes","Yes","No")))</f>
        <v>No</v>
      </c>
      <c r="Z1369" t="str">
        <f>IF(MAIN!$F$3="Project to Date",IF(AND(A1369&gt;=SETTINGS!$B$4,A1369&lt;MAIN!$B$3),"Yes",IF(AND(A1369=MAIN!$B$3,E1369&lt;=MAIN!$L$3),"Yes","No")),IF(OR(MAIN!$F$3="Full Year",MAIN!$D$3="All"),"Yes",IF(MAIN!$F$3="Monthly",IF(E1369=MAIN!$L$3,"Yes","No"),IF(E1369&lt;=MAIN!$L$3,"Yes","No"))))</f>
        <v>Yes</v>
      </c>
      <c r="AA1369" t="str">
        <f t="shared" si="131"/>
        <v>No</v>
      </c>
    </row>
    <row r="1370" spans="1:27" x14ac:dyDescent="0.3">
      <c r="A1370">
        <f>INDEX(SETTINGS!$A$15:$A$24,$B1370)</f>
        <v>2031</v>
      </c>
      <c r="B1370">
        <v>7</v>
      </c>
      <c r="C1370" t="str">
        <f>IF(AND(A1370&gt;=SETTINGS!$B$4,A1370&lt;=SETTINGS!$B$5),"Yes","No")</f>
        <v>No</v>
      </c>
      <c r="D1370" t="str">
        <f>IFERROR(INDEX(SETTINGS!$C$15:$C$24,MATCH(A1370,SETTINGS!$A$15:$A$24,0)),"No")</f>
        <v>No</v>
      </c>
      <c r="E1370">
        <v>1</v>
      </c>
      <c r="F1370" t="s">
        <v>2</v>
      </c>
      <c r="G1370">
        <v>9</v>
      </c>
      <c r="H1370" t="s">
        <v>88</v>
      </c>
      <c r="I1370" t="s">
        <v>89</v>
      </c>
      <c r="J1370" t="s">
        <v>10</v>
      </c>
      <c r="K1370" t="s">
        <v>3</v>
      </c>
      <c r="L1370" s="36">
        <f ca="1">IF(C1370&lt;&gt;"Yes",0,IF(A1370=2025,N('2025'!D9),IF(A1370=2026,N('2026'!D9),IF(A1370=2027,N('2027'!D9),IF(A1370=2028,N('2028'!D9),IF(A1370=2029,N('2029'!D9),IF(A1370=2030,N('2030'!D9),IF(A1370=2031,N('2031'!D9),IF(A1370=2032,N('2032'!D9),IF(A1370=2033,N('2033'!D9),IF(A1370=2034,N('2034'!D9),IFERROR(N(INDIRECT("'"&amp;A1370&amp;"'!D"&amp;G1370)),0))))))))))))</f>
        <v>0</v>
      </c>
      <c r="M1370" s="36">
        <f>IFERROR(IF(NOT(ISBLANK(KPI_TARGETS!$M$5)),KPI_TARGETS!$M$5,IF(NOT(ISBLANK(KPI_TARGETS!$F$5)),KPI_TARGETS!$F$5,"")),"")</f>
        <v>104</v>
      </c>
      <c r="N1370" s="36" t="str">
        <f>IFERROR(KPI_TARGETS!$E$5,"Higher is better")</f>
        <v>Higher is better</v>
      </c>
      <c r="O1370" s="37">
        <f t="shared" ca="1" si="126"/>
        <v>0</v>
      </c>
      <c r="P1370" t="str">
        <f t="shared" ca="1" si="127"/>
        <v>Red</v>
      </c>
      <c r="Q1370" s="36">
        <f t="shared" ca="1" si="128"/>
        <v>-104</v>
      </c>
      <c r="R1370" s="36" t="str">
        <f>""</f>
        <v/>
      </c>
      <c r="S1370" s="36" t="str">
        <f>""</f>
        <v/>
      </c>
      <c r="T1370" s="36" t="str">
        <f>""</f>
        <v/>
      </c>
      <c r="U1370" s="36" t="str">
        <f>""</f>
        <v/>
      </c>
      <c r="V1370" s="36" t="str">
        <f>""</f>
        <v/>
      </c>
      <c r="W1370" s="36">
        <f t="shared" si="129"/>
        <v>1</v>
      </c>
      <c r="X1370" t="str">
        <f t="shared" si="130"/>
        <v>Inactive</v>
      </c>
      <c r="Y1370" t="str">
        <f>IF(MAIN!$H$3="Selected Year",IF(A1370=MAIN!$B$3,"Yes","No"),IF(MAIN!$H$3="Included Years",IF(D1370="Yes","Yes","No"),IF(C1370="Yes","Yes","No")))</f>
        <v>No</v>
      </c>
      <c r="Z1370" t="str">
        <f>IF(MAIN!$F$3="Project to Date",IF(AND(A1370&gt;=SETTINGS!$B$4,A1370&lt;MAIN!$B$3),"Yes",IF(AND(A1370=MAIN!$B$3,E1370&lt;=MAIN!$L$3),"Yes","No")),IF(OR(MAIN!$F$3="Full Year",MAIN!$D$3="All"),"Yes",IF(MAIN!$F$3="Monthly",IF(E1370=MAIN!$L$3,"Yes","No"),IF(E1370&lt;=MAIN!$L$3,"Yes","No"))))</f>
        <v>Yes</v>
      </c>
      <c r="AA1370" t="str">
        <f t="shared" si="131"/>
        <v>No</v>
      </c>
    </row>
    <row r="1371" spans="1:27" x14ac:dyDescent="0.3">
      <c r="A1371">
        <f>INDEX(SETTINGS!$A$15:$A$24,$B1371)</f>
        <v>2031</v>
      </c>
      <c r="B1371">
        <v>7</v>
      </c>
      <c r="C1371" t="str">
        <f>IF(AND(A1371&gt;=SETTINGS!$B$4,A1371&lt;=SETTINGS!$B$5),"Yes","No")</f>
        <v>No</v>
      </c>
      <c r="D1371" t="str">
        <f>IFERROR(INDEX(SETTINGS!$C$15:$C$24,MATCH(A1371,SETTINGS!$A$15:$A$24,0)),"No")</f>
        <v>No</v>
      </c>
      <c r="E1371">
        <v>1</v>
      </c>
      <c r="F1371" t="s">
        <v>2</v>
      </c>
      <c r="G1371">
        <v>10</v>
      </c>
      <c r="H1371" t="s">
        <v>91</v>
      </c>
      <c r="I1371" t="s">
        <v>89</v>
      </c>
      <c r="J1371" t="s">
        <v>11</v>
      </c>
      <c r="K1371" t="s">
        <v>12</v>
      </c>
      <c r="L1371" s="36">
        <f ca="1">IF(C1371&lt;&gt;"Yes",0,IF(A1371=2025,N('2025'!D10),IF(A1371=2026,N('2026'!D10),IF(A1371=2027,N('2027'!D10),IF(A1371=2028,N('2028'!D10),IF(A1371=2029,N('2029'!D10),IF(A1371=2030,N('2030'!D10),IF(A1371=2031,N('2031'!D10),IF(A1371=2032,N('2032'!D10),IF(A1371=2033,N('2033'!D10),IF(A1371=2034,N('2034'!D10),IFERROR(N(INDIRECT("'"&amp;A1371&amp;"'!D"&amp;G1371)),0))))))))))))</f>
        <v>0</v>
      </c>
      <c r="M1371" s="36">
        <f>IFERROR(IF(NOT(ISBLANK(KPI_TARGETS!$M$6)),KPI_TARGETS!$M$6,IF(NOT(ISBLANK(KPI_TARGETS!$F$6)),KPI_TARGETS!$F$6,"")),"")</f>
        <v>4000</v>
      </c>
      <c r="N1371" s="36" t="str">
        <f>IFERROR(KPI_TARGETS!$E$6,"Higher is better")</f>
        <v>Higher is better</v>
      </c>
      <c r="O1371" s="37">
        <f t="shared" ca="1" si="126"/>
        <v>0</v>
      </c>
      <c r="P1371" t="str">
        <f t="shared" ca="1" si="127"/>
        <v>Red</v>
      </c>
      <c r="Q1371" s="36">
        <f t="shared" ca="1" si="128"/>
        <v>-4000</v>
      </c>
      <c r="R1371" s="36" t="str">
        <f>""</f>
        <v/>
      </c>
      <c r="S1371" s="36" t="str">
        <f>""</f>
        <v/>
      </c>
      <c r="T1371" s="36" t="str">
        <f>""</f>
        <v/>
      </c>
      <c r="U1371" s="36" t="str">
        <f>""</f>
        <v/>
      </c>
      <c r="V1371" s="36" t="str">
        <f>""</f>
        <v/>
      </c>
      <c r="W1371" s="36">
        <f t="shared" si="129"/>
        <v>1</v>
      </c>
      <c r="X1371" t="str">
        <f t="shared" si="130"/>
        <v>Inactive</v>
      </c>
      <c r="Y1371" t="str">
        <f>IF(MAIN!$H$3="Selected Year",IF(A1371=MAIN!$B$3,"Yes","No"),IF(MAIN!$H$3="Included Years",IF(D1371="Yes","Yes","No"),IF(C1371="Yes","Yes","No")))</f>
        <v>No</v>
      </c>
      <c r="Z1371" t="str">
        <f>IF(MAIN!$F$3="Project to Date",IF(AND(A1371&gt;=SETTINGS!$B$4,A1371&lt;MAIN!$B$3),"Yes",IF(AND(A1371=MAIN!$B$3,E1371&lt;=MAIN!$L$3),"Yes","No")),IF(OR(MAIN!$F$3="Full Year",MAIN!$D$3="All"),"Yes",IF(MAIN!$F$3="Monthly",IF(E1371=MAIN!$L$3,"Yes","No"),IF(E1371&lt;=MAIN!$L$3,"Yes","No"))))</f>
        <v>Yes</v>
      </c>
      <c r="AA1371" t="str">
        <f t="shared" si="131"/>
        <v>No</v>
      </c>
    </row>
    <row r="1372" spans="1:27" x14ac:dyDescent="0.3">
      <c r="A1372">
        <f>INDEX(SETTINGS!$A$15:$A$24,$B1372)</f>
        <v>2031</v>
      </c>
      <c r="B1372">
        <v>7</v>
      </c>
      <c r="C1372" t="str">
        <f>IF(AND(A1372&gt;=SETTINGS!$B$4,A1372&lt;=SETTINGS!$B$5),"Yes","No")</f>
        <v>No</v>
      </c>
      <c r="D1372" t="str">
        <f>IFERROR(INDEX(SETTINGS!$C$15:$C$24,MATCH(A1372,SETTINGS!$A$15:$A$24,0)),"No")</f>
        <v>No</v>
      </c>
      <c r="E1372">
        <v>1</v>
      </c>
      <c r="F1372" t="s">
        <v>2</v>
      </c>
      <c r="G1372">
        <v>11</v>
      </c>
      <c r="H1372" t="s">
        <v>93</v>
      </c>
      <c r="I1372" t="s">
        <v>89</v>
      </c>
      <c r="J1372" t="s">
        <v>13</v>
      </c>
      <c r="K1372" t="s">
        <v>14</v>
      </c>
      <c r="L1372" s="36">
        <f ca="1">IF(C1372&lt;&gt;"Yes",0,IF(A1372=2025,N('2025'!D11),IF(A1372=2026,N('2026'!D11),IF(A1372=2027,N('2027'!D11),IF(A1372=2028,N('2028'!D11),IF(A1372=2029,N('2029'!D11),IF(A1372=2030,N('2030'!D11),IF(A1372=2031,N('2031'!D11),IF(A1372=2032,N('2032'!D11),IF(A1372=2033,N('2033'!D11),IF(A1372=2034,N('2034'!D11),IFERROR(N(INDIRECT("'"&amp;A1372&amp;"'!D"&amp;G1372)),0))))))))))))</f>
        <v>0</v>
      </c>
      <c r="M1372" s="36">
        <f>IFERROR(IF(NOT(ISBLANK(KPI_TARGETS!$M$7)),KPI_TARGETS!$M$7,IF(NOT(ISBLANK(KPI_TARGETS!$F$7)),KPI_TARGETS!$F$7,"")),"")</f>
        <v>8000</v>
      </c>
      <c r="N1372" s="36" t="str">
        <f>IFERROR(KPI_TARGETS!$E$7,"Higher is better")</f>
        <v>Higher is better</v>
      </c>
      <c r="O1372" s="37">
        <f t="shared" ca="1" si="126"/>
        <v>0</v>
      </c>
      <c r="P1372" t="str">
        <f t="shared" ca="1" si="127"/>
        <v>Red</v>
      </c>
      <c r="Q1372" s="36">
        <f t="shared" ca="1" si="128"/>
        <v>-8000</v>
      </c>
      <c r="R1372" s="36" t="str">
        <f>""</f>
        <v/>
      </c>
      <c r="S1372" s="36" t="str">
        <f>""</f>
        <v/>
      </c>
      <c r="T1372" s="36" t="str">
        <f>""</f>
        <v/>
      </c>
      <c r="U1372" s="36" t="str">
        <f>""</f>
        <v/>
      </c>
      <c r="V1372" s="36" t="str">
        <f>""</f>
        <v/>
      </c>
      <c r="W1372" s="36">
        <f t="shared" si="129"/>
        <v>1</v>
      </c>
      <c r="X1372" t="str">
        <f t="shared" si="130"/>
        <v>Inactive</v>
      </c>
      <c r="Y1372" t="str">
        <f>IF(MAIN!$H$3="Selected Year",IF(A1372=MAIN!$B$3,"Yes","No"),IF(MAIN!$H$3="Included Years",IF(D1372="Yes","Yes","No"),IF(C1372="Yes","Yes","No")))</f>
        <v>No</v>
      </c>
      <c r="Z1372" t="str">
        <f>IF(MAIN!$F$3="Project to Date",IF(AND(A1372&gt;=SETTINGS!$B$4,A1372&lt;MAIN!$B$3),"Yes",IF(AND(A1372=MAIN!$B$3,E1372&lt;=MAIN!$L$3),"Yes","No")),IF(OR(MAIN!$F$3="Full Year",MAIN!$D$3="All"),"Yes",IF(MAIN!$F$3="Monthly",IF(E1372=MAIN!$L$3,"Yes","No"),IF(E1372&lt;=MAIN!$L$3,"Yes","No"))))</f>
        <v>Yes</v>
      </c>
      <c r="AA1372" t="str">
        <f t="shared" si="131"/>
        <v>No</v>
      </c>
    </row>
    <row r="1373" spans="1:27" x14ac:dyDescent="0.3">
      <c r="A1373">
        <f>INDEX(SETTINGS!$A$15:$A$24,$B1373)</f>
        <v>2031</v>
      </c>
      <c r="B1373">
        <v>7</v>
      </c>
      <c r="C1373" t="str">
        <f>IF(AND(A1373&gt;=SETTINGS!$B$4,A1373&lt;=SETTINGS!$B$5),"Yes","No")</f>
        <v>No</v>
      </c>
      <c r="D1373" t="str">
        <f>IFERROR(INDEX(SETTINGS!$C$15:$C$24,MATCH(A1373,SETTINGS!$A$15:$A$24,0)),"No")</f>
        <v>No</v>
      </c>
      <c r="E1373">
        <v>1</v>
      </c>
      <c r="F1373" t="s">
        <v>2</v>
      </c>
      <c r="G1373">
        <v>13</v>
      </c>
      <c r="H1373" t="s">
        <v>95</v>
      </c>
      <c r="I1373" t="s">
        <v>15</v>
      </c>
      <c r="J1373" t="s">
        <v>16</v>
      </c>
      <c r="K1373" t="s">
        <v>3</v>
      </c>
      <c r="L1373" s="36">
        <f ca="1">IF(C1373&lt;&gt;"Yes",0,IF(A1373=2025,N('2025'!D13),IF(A1373=2026,N('2026'!D13),IF(A1373=2027,N('2027'!D13),IF(A1373=2028,N('2028'!D13),IF(A1373=2029,N('2029'!D13),IF(A1373=2030,N('2030'!D13),IF(A1373=2031,N('2031'!D13),IF(A1373=2032,N('2032'!D13),IF(A1373=2033,N('2033'!D13),IF(A1373=2034,N('2034'!D13),IFERROR(N(INDIRECT("'"&amp;A1373&amp;"'!D"&amp;G1373)),0))))))))))))</f>
        <v>0</v>
      </c>
      <c r="M1373" s="36">
        <f>IFERROR(IF(NOT(ISBLANK(KPI_TARGETS!$M$8)),KPI_TARGETS!$M$8,IF(NOT(ISBLANK(KPI_TARGETS!$F$8)),KPI_TARGETS!$F$8,"")),"")</f>
        <v>0</v>
      </c>
      <c r="N1373" s="36" t="str">
        <f>IFERROR(KPI_TARGETS!$E$8,"Higher is better")</f>
        <v>Lower is better</v>
      </c>
      <c r="O1373" s="37">
        <f t="shared" ca="1" si="126"/>
        <v>1</v>
      </c>
      <c r="P1373" t="str">
        <f t="shared" ca="1" si="127"/>
        <v>Green</v>
      </c>
      <c r="Q1373" s="36">
        <f t="shared" ca="1" si="128"/>
        <v>0</v>
      </c>
      <c r="R1373" s="36" t="str">
        <f>""</f>
        <v/>
      </c>
      <c r="S1373" s="36" t="str">
        <f>""</f>
        <v/>
      </c>
      <c r="T1373" s="36" t="str">
        <f>""</f>
        <v/>
      </c>
      <c r="U1373" s="36" t="str">
        <f>""</f>
        <v/>
      </c>
      <c r="V1373" s="36" t="str">
        <f>""</f>
        <v/>
      </c>
      <c r="W1373" s="36">
        <f t="shared" si="129"/>
        <v>1</v>
      </c>
      <c r="X1373" t="str">
        <f t="shared" si="130"/>
        <v>Inactive</v>
      </c>
      <c r="Y1373" t="str">
        <f>IF(MAIN!$H$3="Selected Year",IF(A1373=MAIN!$B$3,"Yes","No"),IF(MAIN!$H$3="Included Years",IF(D1373="Yes","Yes","No"),IF(C1373="Yes","Yes","No")))</f>
        <v>No</v>
      </c>
      <c r="Z1373" t="str">
        <f>IF(MAIN!$F$3="Project to Date",IF(AND(A1373&gt;=SETTINGS!$B$4,A1373&lt;MAIN!$B$3),"Yes",IF(AND(A1373=MAIN!$B$3,E1373&lt;=MAIN!$L$3),"Yes","No")),IF(OR(MAIN!$F$3="Full Year",MAIN!$D$3="All"),"Yes",IF(MAIN!$F$3="Monthly",IF(E1373=MAIN!$L$3,"Yes","No"),IF(E1373&lt;=MAIN!$L$3,"Yes","No"))))</f>
        <v>Yes</v>
      </c>
      <c r="AA1373" t="str">
        <f t="shared" si="131"/>
        <v>No</v>
      </c>
    </row>
    <row r="1374" spans="1:27" x14ac:dyDescent="0.3">
      <c r="A1374">
        <f>INDEX(SETTINGS!$A$15:$A$24,$B1374)</f>
        <v>2031</v>
      </c>
      <c r="B1374">
        <v>7</v>
      </c>
      <c r="C1374" t="str">
        <f>IF(AND(A1374&gt;=SETTINGS!$B$4,A1374&lt;=SETTINGS!$B$5),"Yes","No")</f>
        <v>No</v>
      </c>
      <c r="D1374" t="str">
        <f>IFERROR(INDEX(SETTINGS!$C$15:$C$24,MATCH(A1374,SETTINGS!$A$15:$A$24,0)),"No")</f>
        <v>No</v>
      </c>
      <c r="E1374">
        <v>1</v>
      </c>
      <c r="F1374" t="s">
        <v>2</v>
      </c>
      <c r="G1374">
        <v>14</v>
      </c>
      <c r="H1374" t="s">
        <v>97</v>
      </c>
      <c r="I1374" t="s">
        <v>15</v>
      </c>
      <c r="J1374" t="s">
        <v>17</v>
      </c>
      <c r="K1374" t="s">
        <v>3</v>
      </c>
      <c r="L1374" s="36">
        <f ca="1">IF(C1374&lt;&gt;"Yes",0,IF(A1374=2025,N('2025'!D14),IF(A1374=2026,N('2026'!D14),IF(A1374=2027,N('2027'!D14),IF(A1374=2028,N('2028'!D14),IF(A1374=2029,N('2029'!D14),IF(A1374=2030,N('2030'!D14),IF(A1374=2031,N('2031'!D14),IF(A1374=2032,N('2032'!D14),IF(A1374=2033,N('2033'!D14),IF(A1374=2034,N('2034'!D14),IFERROR(N(INDIRECT("'"&amp;A1374&amp;"'!D"&amp;G1374)),0))))))))))))</f>
        <v>0</v>
      </c>
      <c r="M1374" s="36">
        <f>IFERROR(IF(NOT(ISBLANK(KPI_TARGETS!$M$9)),KPI_TARGETS!$M$9,IF(NOT(ISBLANK(KPI_TARGETS!$F$9)),KPI_TARGETS!$F$9,"")),"")</f>
        <v>0</v>
      </c>
      <c r="N1374" s="36" t="str">
        <f>IFERROR(KPI_TARGETS!$E$9,"Higher is better")</f>
        <v>Higher is better</v>
      </c>
      <c r="O1374" s="37" t="str">
        <f t="shared" ca="1" si="126"/>
        <v/>
      </c>
      <c r="P1374" t="str">
        <f t="shared" ca="1" si="127"/>
        <v>Green</v>
      </c>
      <c r="Q1374" s="36">
        <f t="shared" ca="1" si="128"/>
        <v>0</v>
      </c>
      <c r="R1374" s="36" t="str">
        <f>""</f>
        <v/>
      </c>
      <c r="S1374" s="36" t="str">
        <f>""</f>
        <v/>
      </c>
      <c r="T1374" s="36" t="str">
        <f>""</f>
        <v/>
      </c>
      <c r="U1374" s="36" t="str">
        <f>""</f>
        <v/>
      </c>
      <c r="V1374" s="36" t="str">
        <f>""</f>
        <v/>
      </c>
      <c r="W1374" s="36">
        <f t="shared" si="129"/>
        <v>1</v>
      </c>
      <c r="X1374" t="str">
        <f t="shared" si="130"/>
        <v>Inactive</v>
      </c>
      <c r="Y1374" t="str">
        <f>IF(MAIN!$H$3="Selected Year",IF(A1374=MAIN!$B$3,"Yes","No"),IF(MAIN!$H$3="Included Years",IF(D1374="Yes","Yes","No"),IF(C1374="Yes","Yes","No")))</f>
        <v>No</v>
      </c>
      <c r="Z1374" t="str">
        <f>IF(MAIN!$F$3="Project to Date",IF(AND(A1374&gt;=SETTINGS!$B$4,A1374&lt;MAIN!$B$3),"Yes",IF(AND(A1374=MAIN!$B$3,E1374&lt;=MAIN!$L$3),"Yes","No")),IF(OR(MAIN!$F$3="Full Year",MAIN!$D$3="All"),"Yes",IF(MAIN!$F$3="Monthly",IF(E1374=MAIN!$L$3,"Yes","No"),IF(E1374&lt;=MAIN!$L$3,"Yes","No"))))</f>
        <v>Yes</v>
      </c>
      <c r="AA1374" t="str">
        <f t="shared" si="131"/>
        <v>No</v>
      </c>
    </row>
    <row r="1375" spans="1:27" x14ac:dyDescent="0.3">
      <c r="A1375">
        <f>INDEX(SETTINGS!$A$15:$A$24,$B1375)</f>
        <v>2031</v>
      </c>
      <c r="B1375">
        <v>7</v>
      </c>
      <c r="C1375" t="str">
        <f>IF(AND(A1375&gt;=SETTINGS!$B$4,A1375&lt;=SETTINGS!$B$5),"Yes","No")</f>
        <v>No</v>
      </c>
      <c r="D1375" t="str">
        <f>IFERROR(INDEX(SETTINGS!$C$15:$C$24,MATCH(A1375,SETTINGS!$A$15:$A$24,0)),"No")</f>
        <v>No</v>
      </c>
      <c r="E1375">
        <v>1</v>
      </c>
      <c r="F1375" t="s">
        <v>2</v>
      </c>
      <c r="G1375">
        <v>15</v>
      </c>
      <c r="H1375" t="s">
        <v>99</v>
      </c>
      <c r="I1375" t="s">
        <v>15</v>
      </c>
      <c r="J1375" t="s">
        <v>18</v>
      </c>
      <c r="K1375" t="s">
        <v>3</v>
      </c>
      <c r="L1375" s="36">
        <f ca="1">IF(C1375&lt;&gt;"Yes",0,IF(A1375=2025,N('2025'!D15),IF(A1375=2026,N('2026'!D15),IF(A1375=2027,N('2027'!D15),IF(A1375=2028,N('2028'!D15),IF(A1375=2029,N('2029'!D15),IF(A1375=2030,N('2030'!D15),IF(A1375=2031,N('2031'!D15),IF(A1375=2032,N('2032'!D15),IF(A1375=2033,N('2033'!D15),IF(A1375=2034,N('2034'!D15),IFERROR(N(INDIRECT("'"&amp;A1375&amp;"'!D"&amp;G1375)),0))))))))))))</f>
        <v>0</v>
      </c>
      <c r="M1375" s="36">
        <f>IFERROR(IF(NOT(ISBLANK(KPI_TARGETS!$M$10)),KPI_TARGETS!$M$10,IF(NOT(ISBLANK(KPI_TARGETS!$F$10)),KPI_TARGETS!$F$10,"")),"")</f>
        <v>0</v>
      </c>
      <c r="N1375" s="36" t="str">
        <f>IFERROR(KPI_TARGETS!$E$10,"Higher is better")</f>
        <v>Lower is better</v>
      </c>
      <c r="O1375" s="37">
        <f t="shared" ca="1" si="126"/>
        <v>1</v>
      </c>
      <c r="P1375" t="str">
        <f t="shared" ca="1" si="127"/>
        <v>Green</v>
      </c>
      <c r="Q1375" s="36">
        <f t="shared" ca="1" si="128"/>
        <v>0</v>
      </c>
      <c r="R1375" s="36" t="str">
        <f>""</f>
        <v/>
      </c>
      <c r="S1375" s="36" t="str">
        <f>""</f>
        <v/>
      </c>
      <c r="T1375" s="36" t="str">
        <f>""</f>
        <v/>
      </c>
      <c r="U1375" s="36" t="str">
        <f>""</f>
        <v/>
      </c>
      <c r="V1375" s="36" t="str">
        <f>""</f>
        <v/>
      </c>
      <c r="W1375" s="36">
        <f t="shared" si="129"/>
        <v>1</v>
      </c>
      <c r="X1375" t="str">
        <f t="shared" si="130"/>
        <v>Inactive</v>
      </c>
      <c r="Y1375" t="str">
        <f>IF(MAIN!$H$3="Selected Year",IF(A1375=MAIN!$B$3,"Yes","No"),IF(MAIN!$H$3="Included Years",IF(D1375="Yes","Yes","No"),IF(C1375="Yes","Yes","No")))</f>
        <v>No</v>
      </c>
      <c r="Z1375" t="str">
        <f>IF(MAIN!$F$3="Project to Date",IF(AND(A1375&gt;=SETTINGS!$B$4,A1375&lt;MAIN!$B$3),"Yes",IF(AND(A1375=MAIN!$B$3,E1375&lt;=MAIN!$L$3),"Yes","No")),IF(OR(MAIN!$F$3="Full Year",MAIN!$D$3="All"),"Yes",IF(MAIN!$F$3="Monthly",IF(E1375=MAIN!$L$3,"Yes","No"),IF(E1375&lt;=MAIN!$L$3,"Yes","No"))))</f>
        <v>Yes</v>
      </c>
      <c r="AA1375" t="str">
        <f t="shared" si="131"/>
        <v>No</v>
      </c>
    </row>
    <row r="1376" spans="1:27" x14ac:dyDescent="0.3">
      <c r="A1376">
        <f>INDEX(SETTINGS!$A$15:$A$24,$B1376)</f>
        <v>2031</v>
      </c>
      <c r="B1376">
        <v>7</v>
      </c>
      <c r="C1376" t="str">
        <f>IF(AND(A1376&gt;=SETTINGS!$B$4,A1376&lt;=SETTINGS!$B$5),"Yes","No")</f>
        <v>No</v>
      </c>
      <c r="D1376" t="str">
        <f>IFERROR(INDEX(SETTINGS!$C$15:$C$24,MATCH(A1376,SETTINGS!$A$15:$A$24,0)),"No")</f>
        <v>No</v>
      </c>
      <c r="E1376">
        <v>1</v>
      </c>
      <c r="F1376" t="s">
        <v>2</v>
      </c>
      <c r="G1376">
        <v>16</v>
      </c>
      <c r="H1376" t="s">
        <v>100</v>
      </c>
      <c r="I1376" t="s">
        <v>15</v>
      </c>
      <c r="J1376" t="s">
        <v>19</v>
      </c>
      <c r="K1376" t="s">
        <v>3</v>
      </c>
      <c r="L1376" s="36">
        <f ca="1">IF(C1376&lt;&gt;"Yes",0,IF(A1376=2025,N('2025'!D16),IF(A1376=2026,N('2026'!D16),IF(A1376=2027,N('2027'!D16),IF(A1376=2028,N('2028'!D16),IF(A1376=2029,N('2029'!D16),IF(A1376=2030,N('2030'!D16),IF(A1376=2031,N('2031'!D16),IF(A1376=2032,N('2032'!D16),IF(A1376=2033,N('2033'!D16),IF(A1376=2034,N('2034'!D16),IFERROR(N(INDIRECT("'"&amp;A1376&amp;"'!D"&amp;G1376)),0))))))))))))</f>
        <v>0</v>
      </c>
      <c r="M1376" s="36">
        <f>IFERROR(IF(NOT(ISBLANK(KPI_TARGETS!$M$11)),KPI_TARGETS!$M$11,IF(NOT(ISBLANK(KPI_TARGETS!$F$11)),KPI_TARGETS!$F$11,"")),"")</f>
        <v>0</v>
      </c>
      <c r="N1376" s="36" t="str">
        <f>IFERROR(KPI_TARGETS!$E$11,"Higher is better")</f>
        <v>Lower is better</v>
      </c>
      <c r="O1376" s="37">
        <f t="shared" ca="1" si="126"/>
        <v>1</v>
      </c>
      <c r="P1376" t="str">
        <f t="shared" ca="1" si="127"/>
        <v>Green</v>
      </c>
      <c r="Q1376" s="36">
        <f t="shared" ca="1" si="128"/>
        <v>0</v>
      </c>
      <c r="R1376" s="36" t="str">
        <f>""</f>
        <v/>
      </c>
      <c r="S1376" s="36" t="str">
        <f>""</f>
        <v/>
      </c>
      <c r="T1376" s="36" t="str">
        <f>""</f>
        <v/>
      </c>
      <c r="U1376" s="36" t="str">
        <f>""</f>
        <v/>
      </c>
      <c r="V1376" s="36" t="str">
        <f>""</f>
        <v/>
      </c>
      <c r="W1376" s="36">
        <f t="shared" si="129"/>
        <v>1</v>
      </c>
      <c r="X1376" t="str">
        <f t="shared" si="130"/>
        <v>Inactive</v>
      </c>
      <c r="Y1376" t="str">
        <f>IF(MAIN!$H$3="Selected Year",IF(A1376=MAIN!$B$3,"Yes","No"),IF(MAIN!$H$3="Included Years",IF(D1376="Yes","Yes","No"),IF(C1376="Yes","Yes","No")))</f>
        <v>No</v>
      </c>
      <c r="Z1376" t="str">
        <f>IF(MAIN!$F$3="Project to Date",IF(AND(A1376&gt;=SETTINGS!$B$4,A1376&lt;MAIN!$B$3),"Yes",IF(AND(A1376=MAIN!$B$3,E1376&lt;=MAIN!$L$3),"Yes","No")),IF(OR(MAIN!$F$3="Full Year",MAIN!$D$3="All"),"Yes",IF(MAIN!$F$3="Monthly",IF(E1376=MAIN!$L$3,"Yes","No"),IF(E1376&lt;=MAIN!$L$3,"Yes","No"))))</f>
        <v>Yes</v>
      </c>
      <c r="AA1376" t="str">
        <f t="shared" si="131"/>
        <v>No</v>
      </c>
    </row>
    <row r="1377" spans="1:27" x14ac:dyDescent="0.3">
      <c r="A1377">
        <f>INDEX(SETTINGS!$A$15:$A$24,$B1377)</f>
        <v>2031</v>
      </c>
      <c r="B1377">
        <v>7</v>
      </c>
      <c r="C1377" t="str">
        <f>IF(AND(A1377&gt;=SETTINGS!$B$4,A1377&lt;=SETTINGS!$B$5),"Yes","No")</f>
        <v>No</v>
      </c>
      <c r="D1377" t="str">
        <f>IFERROR(INDEX(SETTINGS!$C$15:$C$24,MATCH(A1377,SETTINGS!$A$15:$A$24,0)),"No")</f>
        <v>No</v>
      </c>
      <c r="E1377">
        <v>1</v>
      </c>
      <c r="F1377" t="s">
        <v>2</v>
      </c>
      <c r="G1377">
        <v>17</v>
      </c>
      <c r="H1377" t="s">
        <v>101</v>
      </c>
      <c r="I1377" t="s">
        <v>15</v>
      </c>
      <c r="J1377" t="s">
        <v>20</v>
      </c>
      <c r="K1377" t="s">
        <v>3</v>
      </c>
      <c r="L1377" s="36">
        <f ca="1">IF(C1377&lt;&gt;"Yes",0,IF(A1377=2025,N('2025'!D17),IF(A1377=2026,N('2026'!D17),IF(A1377=2027,N('2027'!D17),IF(A1377=2028,N('2028'!D17),IF(A1377=2029,N('2029'!D17),IF(A1377=2030,N('2030'!D17),IF(A1377=2031,N('2031'!D17),IF(A1377=2032,N('2032'!D17),IF(A1377=2033,N('2033'!D17),IF(A1377=2034,N('2034'!D17),IFERROR(N(INDIRECT("'"&amp;A1377&amp;"'!D"&amp;G1377)),0))))))))))))</f>
        <v>0</v>
      </c>
      <c r="M1377" s="36">
        <f>IFERROR(IF(NOT(ISBLANK(KPI_TARGETS!$M$12)),KPI_TARGETS!$M$12,IF(NOT(ISBLANK(KPI_TARGETS!$F$12)),KPI_TARGETS!$F$12,"")),"")</f>
        <v>0</v>
      </c>
      <c r="N1377" s="36" t="str">
        <f>IFERROR(KPI_TARGETS!$E$12,"Higher is better")</f>
        <v>Lower is better</v>
      </c>
      <c r="O1377" s="37">
        <f t="shared" ca="1" si="126"/>
        <v>1</v>
      </c>
      <c r="P1377" t="str">
        <f t="shared" ca="1" si="127"/>
        <v>Green</v>
      </c>
      <c r="Q1377" s="36">
        <f t="shared" ca="1" si="128"/>
        <v>0</v>
      </c>
      <c r="R1377" s="36" t="str">
        <f>""</f>
        <v/>
      </c>
      <c r="S1377" s="36" t="str">
        <f>""</f>
        <v/>
      </c>
      <c r="T1377" s="36" t="str">
        <f>""</f>
        <v/>
      </c>
      <c r="U1377" s="36" t="str">
        <f>""</f>
        <v/>
      </c>
      <c r="V1377" s="36" t="str">
        <f>""</f>
        <v/>
      </c>
      <c r="W1377" s="36">
        <f t="shared" si="129"/>
        <v>1</v>
      </c>
      <c r="X1377" t="str">
        <f t="shared" si="130"/>
        <v>Inactive</v>
      </c>
      <c r="Y1377" t="str">
        <f>IF(MAIN!$H$3="Selected Year",IF(A1377=MAIN!$B$3,"Yes","No"),IF(MAIN!$H$3="Included Years",IF(D1377="Yes","Yes","No"),IF(C1377="Yes","Yes","No")))</f>
        <v>No</v>
      </c>
      <c r="Z1377" t="str">
        <f>IF(MAIN!$F$3="Project to Date",IF(AND(A1377&gt;=SETTINGS!$B$4,A1377&lt;MAIN!$B$3),"Yes",IF(AND(A1377=MAIN!$B$3,E1377&lt;=MAIN!$L$3),"Yes","No")),IF(OR(MAIN!$F$3="Full Year",MAIN!$D$3="All"),"Yes",IF(MAIN!$F$3="Monthly",IF(E1377=MAIN!$L$3,"Yes","No"),IF(E1377&lt;=MAIN!$L$3,"Yes","No"))))</f>
        <v>Yes</v>
      </c>
      <c r="AA1377" t="str">
        <f t="shared" si="131"/>
        <v>No</v>
      </c>
    </row>
    <row r="1378" spans="1:27" x14ac:dyDescent="0.3">
      <c r="A1378">
        <f>INDEX(SETTINGS!$A$15:$A$24,$B1378)</f>
        <v>2031</v>
      </c>
      <c r="B1378">
        <v>7</v>
      </c>
      <c r="C1378" t="str">
        <f>IF(AND(A1378&gt;=SETTINGS!$B$4,A1378&lt;=SETTINGS!$B$5),"Yes","No")</f>
        <v>No</v>
      </c>
      <c r="D1378" t="str">
        <f>IFERROR(INDEX(SETTINGS!$C$15:$C$24,MATCH(A1378,SETTINGS!$A$15:$A$24,0)),"No")</f>
        <v>No</v>
      </c>
      <c r="E1378">
        <v>1</v>
      </c>
      <c r="F1378" t="s">
        <v>2</v>
      </c>
      <c r="G1378">
        <v>18</v>
      </c>
      <c r="H1378" t="s">
        <v>102</v>
      </c>
      <c r="I1378" t="s">
        <v>15</v>
      </c>
      <c r="J1378" t="s">
        <v>21</v>
      </c>
      <c r="K1378" t="s">
        <v>3</v>
      </c>
      <c r="L1378" s="36">
        <f ca="1">IF(C1378&lt;&gt;"Yes",0,IF(A1378=2025,N('2025'!D18),IF(A1378=2026,N('2026'!D18),IF(A1378=2027,N('2027'!D18),IF(A1378=2028,N('2028'!D18),IF(A1378=2029,N('2029'!D18),IF(A1378=2030,N('2030'!D18),IF(A1378=2031,N('2031'!D18),IF(A1378=2032,N('2032'!D18),IF(A1378=2033,N('2033'!D18),IF(A1378=2034,N('2034'!D18),IFERROR(N(INDIRECT("'"&amp;A1378&amp;"'!D"&amp;G1378)),0))))))))))))</f>
        <v>0</v>
      </c>
      <c r="M1378" s="36">
        <f>IFERROR(IF(NOT(ISBLANK(KPI_TARGETS!$M$13)),KPI_TARGETS!$M$13,IF(NOT(ISBLANK(KPI_TARGETS!$F$13)),KPI_TARGETS!$F$13,"")),"")</f>
        <v>0</v>
      </c>
      <c r="N1378" s="36" t="str">
        <f>IFERROR(KPI_TARGETS!$E$13,"Higher is better")</f>
        <v>Lower is better</v>
      </c>
      <c r="O1378" s="37">
        <f t="shared" ca="1" si="126"/>
        <v>1</v>
      </c>
      <c r="P1378" t="str">
        <f t="shared" ca="1" si="127"/>
        <v>Green</v>
      </c>
      <c r="Q1378" s="36">
        <f t="shared" ca="1" si="128"/>
        <v>0</v>
      </c>
      <c r="R1378" s="36" t="str">
        <f>""</f>
        <v/>
      </c>
      <c r="S1378" s="36" t="str">
        <f>""</f>
        <v/>
      </c>
      <c r="T1378" s="36" t="str">
        <f>""</f>
        <v/>
      </c>
      <c r="U1378" s="36" t="str">
        <f>""</f>
        <v/>
      </c>
      <c r="V1378" s="36" t="str">
        <f>""</f>
        <v/>
      </c>
      <c r="W1378" s="36">
        <f t="shared" si="129"/>
        <v>1</v>
      </c>
      <c r="X1378" t="str">
        <f t="shared" si="130"/>
        <v>Inactive</v>
      </c>
      <c r="Y1378" t="str">
        <f>IF(MAIN!$H$3="Selected Year",IF(A1378=MAIN!$B$3,"Yes","No"),IF(MAIN!$H$3="Included Years",IF(D1378="Yes","Yes","No"),IF(C1378="Yes","Yes","No")))</f>
        <v>No</v>
      </c>
      <c r="Z1378" t="str">
        <f>IF(MAIN!$F$3="Project to Date",IF(AND(A1378&gt;=SETTINGS!$B$4,A1378&lt;MAIN!$B$3),"Yes",IF(AND(A1378=MAIN!$B$3,E1378&lt;=MAIN!$L$3),"Yes","No")),IF(OR(MAIN!$F$3="Full Year",MAIN!$D$3="All"),"Yes",IF(MAIN!$F$3="Monthly",IF(E1378=MAIN!$L$3,"Yes","No"),IF(E1378&lt;=MAIN!$L$3,"Yes","No"))))</f>
        <v>Yes</v>
      </c>
      <c r="AA1378" t="str">
        <f t="shared" si="131"/>
        <v>No</v>
      </c>
    </row>
    <row r="1379" spans="1:27" x14ac:dyDescent="0.3">
      <c r="A1379">
        <f>INDEX(SETTINGS!$A$15:$A$24,$B1379)</f>
        <v>2031</v>
      </c>
      <c r="B1379">
        <v>7</v>
      </c>
      <c r="C1379" t="str">
        <f>IF(AND(A1379&gt;=SETTINGS!$B$4,A1379&lt;=SETTINGS!$B$5),"Yes","No")</f>
        <v>No</v>
      </c>
      <c r="D1379" t="str">
        <f>IFERROR(INDEX(SETTINGS!$C$15:$C$24,MATCH(A1379,SETTINGS!$A$15:$A$24,0)),"No")</f>
        <v>No</v>
      </c>
      <c r="E1379">
        <v>1</v>
      </c>
      <c r="F1379" t="s">
        <v>2</v>
      </c>
      <c r="G1379">
        <v>20</v>
      </c>
      <c r="H1379" t="s">
        <v>103</v>
      </c>
      <c r="I1379" t="s">
        <v>22</v>
      </c>
      <c r="J1379" t="s">
        <v>23</v>
      </c>
      <c r="K1379" t="s">
        <v>3</v>
      </c>
      <c r="L1379" s="36">
        <f ca="1">IF(C1379&lt;&gt;"Yes",0,IF(A1379=2025,N('2025'!D20),IF(A1379=2026,N('2026'!D20),IF(A1379=2027,N('2027'!D20),IF(A1379=2028,N('2028'!D20),IF(A1379=2029,N('2029'!D20),IF(A1379=2030,N('2030'!D20),IF(A1379=2031,N('2031'!D20),IF(A1379=2032,N('2032'!D20),IF(A1379=2033,N('2033'!D20),IF(A1379=2034,N('2034'!D20),IFERROR(N(INDIRECT("'"&amp;A1379&amp;"'!D"&amp;G1379)),0))))))))))))</f>
        <v>0</v>
      </c>
      <c r="M1379" s="36">
        <f>IFERROR(IF(NOT(ISBLANK(KPI_TARGETS!$M$14)),KPI_TARGETS!$M$14,IF(NOT(ISBLANK(KPI_TARGETS!$F$14)),KPI_TARGETS!$F$14,"")),"")</f>
        <v>35</v>
      </c>
      <c r="N1379" s="36" t="str">
        <f>IFERROR(KPI_TARGETS!$E$14,"Higher is better")</f>
        <v>Higher is better</v>
      </c>
      <c r="O1379" s="37">
        <f t="shared" ca="1" si="126"/>
        <v>0</v>
      </c>
      <c r="P1379" t="str">
        <f t="shared" ca="1" si="127"/>
        <v>Red</v>
      </c>
      <c r="Q1379" s="36">
        <f t="shared" ca="1" si="128"/>
        <v>-35</v>
      </c>
      <c r="R1379" s="36" t="str">
        <f>""</f>
        <v/>
      </c>
      <c r="S1379" s="36" t="str">
        <f>""</f>
        <v/>
      </c>
      <c r="T1379" s="36" t="str">
        <f>""</f>
        <v/>
      </c>
      <c r="U1379" s="36" t="str">
        <f>""</f>
        <v/>
      </c>
      <c r="V1379" s="36" t="str">
        <f>""</f>
        <v/>
      </c>
      <c r="W1379" s="36">
        <f t="shared" si="129"/>
        <v>1</v>
      </c>
      <c r="X1379" t="str">
        <f t="shared" si="130"/>
        <v>Inactive</v>
      </c>
      <c r="Y1379" t="str">
        <f>IF(MAIN!$H$3="Selected Year",IF(A1379=MAIN!$B$3,"Yes","No"),IF(MAIN!$H$3="Included Years",IF(D1379="Yes","Yes","No"),IF(C1379="Yes","Yes","No")))</f>
        <v>No</v>
      </c>
      <c r="Z1379" t="str">
        <f>IF(MAIN!$F$3="Project to Date",IF(AND(A1379&gt;=SETTINGS!$B$4,A1379&lt;MAIN!$B$3),"Yes",IF(AND(A1379=MAIN!$B$3,E1379&lt;=MAIN!$L$3),"Yes","No")),IF(OR(MAIN!$F$3="Full Year",MAIN!$D$3="All"),"Yes",IF(MAIN!$F$3="Monthly",IF(E1379=MAIN!$L$3,"Yes","No"),IF(E1379&lt;=MAIN!$L$3,"Yes","No"))))</f>
        <v>Yes</v>
      </c>
      <c r="AA1379" t="str">
        <f t="shared" si="131"/>
        <v>No</v>
      </c>
    </row>
    <row r="1380" spans="1:27" x14ac:dyDescent="0.3">
      <c r="A1380">
        <f>INDEX(SETTINGS!$A$15:$A$24,$B1380)</f>
        <v>2031</v>
      </c>
      <c r="B1380">
        <v>7</v>
      </c>
      <c r="C1380" t="str">
        <f>IF(AND(A1380&gt;=SETTINGS!$B$4,A1380&lt;=SETTINGS!$B$5),"Yes","No")</f>
        <v>No</v>
      </c>
      <c r="D1380" t="str">
        <f>IFERROR(INDEX(SETTINGS!$C$15:$C$24,MATCH(A1380,SETTINGS!$A$15:$A$24,0)),"No")</f>
        <v>No</v>
      </c>
      <c r="E1380">
        <v>1</v>
      </c>
      <c r="F1380" t="s">
        <v>2</v>
      </c>
      <c r="G1380">
        <v>21</v>
      </c>
      <c r="H1380" t="s">
        <v>104</v>
      </c>
      <c r="I1380" t="s">
        <v>22</v>
      </c>
      <c r="J1380" t="s">
        <v>24</v>
      </c>
      <c r="K1380" t="s">
        <v>3</v>
      </c>
      <c r="L1380" s="36">
        <f ca="1">IF(C1380&lt;&gt;"Yes",0,IF(A1380=2025,N('2025'!D21),IF(A1380=2026,N('2026'!D21),IF(A1380=2027,N('2027'!D21),IF(A1380=2028,N('2028'!D21),IF(A1380=2029,N('2029'!D21),IF(A1380=2030,N('2030'!D21),IF(A1380=2031,N('2031'!D21),IF(A1380=2032,N('2032'!D21),IF(A1380=2033,N('2033'!D21),IF(A1380=2034,N('2034'!D21),IFERROR(N(INDIRECT("'"&amp;A1380&amp;"'!D"&amp;G1380)),0))))))))))))</f>
        <v>0</v>
      </c>
      <c r="M1380" s="36">
        <f>IFERROR(IF(NOT(ISBLANK(KPI_TARGETS!$M$15)),KPI_TARGETS!$M$15,IF(NOT(ISBLANK(KPI_TARGETS!$F$15)),KPI_TARGETS!$F$15,"")),"")</f>
        <v>5</v>
      </c>
      <c r="N1380" s="36" t="str">
        <f>IFERROR(KPI_TARGETS!$E$15,"Higher is better")</f>
        <v>Higher is better</v>
      </c>
      <c r="O1380" s="37">
        <f t="shared" ca="1" si="126"/>
        <v>0</v>
      </c>
      <c r="P1380" t="str">
        <f t="shared" ca="1" si="127"/>
        <v>Red</v>
      </c>
      <c r="Q1380" s="36">
        <f t="shared" ca="1" si="128"/>
        <v>-5</v>
      </c>
      <c r="R1380" s="36" t="str">
        <f>""</f>
        <v/>
      </c>
      <c r="S1380" s="36" t="str">
        <f>""</f>
        <v/>
      </c>
      <c r="T1380" s="36" t="str">
        <f>""</f>
        <v/>
      </c>
      <c r="U1380" s="36" t="str">
        <f>""</f>
        <v/>
      </c>
      <c r="V1380" s="36" t="str">
        <f>""</f>
        <v/>
      </c>
      <c r="W1380" s="36">
        <f t="shared" si="129"/>
        <v>1</v>
      </c>
      <c r="X1380" t="str">
        <f t="shared" si="130"/>
        <v>Inactive</v>
      </c>
      <c r="Y1380" t="str">
        <f>IF(MAIN!$H$3="Selected Year",IF(A1380=MAIN!$B$3,"Yes","No"),IF(MAIN!$H$3="Included Years",IF(D1380="Yes","Yes","No"),IF(C1380="Yes","Yes","No")))</f>
        <v>No</v>
      </c>
      <c r="Z1380" t="str">
        <f>IF(MAIN!$F$3="Project to Date",IF(AND(A1380&gt;=SETTINGS!$B$4,A1380&lt;MAIN!$B$3),"Yes",IF(AND(A1380=MAIN!$B$3,E1380&lt;=MAIN!$L$3),"Yes","No")),IF(OR(MAIN!$F$3="Full Year",MAIN!$D$3="All"),"Yes",IF(MAIN!$F$3="Monthly",IF(E1380=MAIN!$L$3,"Yes","No"),IF(E1380&lt;=MAIN!$L$3,"Yes","No"))))</f>
        <v>Yes</v>
      </c>
      <c r="AA1380" t="str">
        <f t="shared" si="131"/>
        <v>No</v>
      </c>
    </row>
    <row r="1381" spans="1:27" x14ac:dyDescent="0.3">
      <c r="A1381">
        <f>INDEX(SETTINGS!$A$15:$A$24,$B1381)</f>
        <v>2031</v>
      </c>
      <c r="B1381">
        <v>7</v>
      </c>
      <c r="C1381" t="str">
        <f>IF(AND(A1381&gt;=SETTINGS!$B$4,A1381&lt;=SETTINGS!$B$5),"Yes","No")</f>
        <v>No</v>
      </c>
      <c r="D1381" t="str">
        <f>IFERROR(INDEX(SETTINGS!$C$15:$C$24,MATCH(A1381,SETTINGS!$A$15:$A$24,0)),"No")</f>
        <v>No</v>
      </c>
      <c r="E1381">
        <v>1</v>
      </c>
      <c r="F1381" t="s">
        <v>2</v>
      </c>
      <c r="G1381">
        <v>22</v>
      </c>
      <c r="H1381" t="s">
        <v>105</v>
      </c>
      <c r="I1381" t="s">
        <v>22</v>
      </c>
      <c r="J1381" t="s">
        <v>25</v>
      </c>
      <c r="K1381" t="s">
        <v>3</v>
      </c>
      <c r="L1381" s="36">
        <f ca="1">IF(C1381&lt;&gt;"Yes",0,IF(A1381=2025,N('2025'!D22),IF(A1381=2026,N('2026'!D22),IF(A1381=2027,N('2027'!D22),IF(A1381=2028,N('2028'!D22),IF(A1381=2029,N('2029'!D22),IF(A1381=2030,N('2030'!D22),IF(A1381=2031,N('2031'!D22),IF(A1381=2032,N('2032'!D22),IF(A1381=2033,N('2033'!D22),IF(A1381=2034,N('2034'!D22),IFERROR(N(INDIRECT("'"&amp;A1381&amp;"'!D"&amp;G1381)),0))))))))))))</f>
        <v>0</v>
      </c>
      <c r="M1381" s="36">
        <f>IFERROR(IF(NOT(ISBLANK(KPI_TARGETS!$M$16)),KPI_TARGETS!$M$16,IF(NOT(ISBLANK(KPI_TARGETS!$F$16)),KPI_TARGETS!$F$16,"")),"")</f>
        <v>4</v>
      </c>
      <c r="N1381" s="36" t="str">
        <f>IFERROR(KPI_TARGETS!$E$16,"Higher is better")</f>
        <v>Higher is better</v>
      </c>
      <c r="O1381" s="37">
        <f t="shared" ca="1" si="126"/>
        <v>0</v>
      </c>
      <c r="P1381" t="str">
        <f t="shared" ca="1" si="127"/>
        <v>Red</v>
      </c>
      <c r="Q1381" s="36">
        <f t="shared" ca="1" si="128"/>
        <v>-4</v>
      </c>
      <c r="R1381" s="36" t="str">
        <f>""</f>
        <v/>
      </c>
      <c r="S1381" s="36" t="str">
        <f>""</f>
        <v/>
      </c>
      <c r="T1381" s="36" t="str">
        <f>""</f>
        <v/>
      </c>
      <c r="U1381" s="36" t="str">
        <f>""</f>
        <v/>
      </c>
      <c r="V1381" s="36" t="str">
        <f>""</f>
        <v/>
      </c>
      <c r="W1381" s="36">
        <f t="shared" si="129"/>
        <v>1</v>
      </c>
      <c r="X1381" t="str">
        <f t="shared" si="130"/>
        <v>Inactive</v>
      </c>
      <c r="Y1381" t="str">
        <f>IF(MAIN!$H$3="Selected Year",IF(A1381=MAIN!$B$3,"Yes","No"),IF(MAIN!$H$3="Included Years",IF(D1381="Yes","Yes","No"),IF(C1381="Yes","Yes","No")))</f>
        <v>No</v>
      </c>
      <c r="Z1381" t="str">
        <f>IF(MAIN!$F$3="Project to Date",IF(AND(A1381&gt;=SETTINGS!$B$4,A1381&lt;MAIN!$B$3),"Yes",IF(AND(A1381=MAIN!$B$3,E1381&lt;=MAIN!$L$3),"Yes","No")),IF(OR(MAIN!$F$3="Full Year",MAIN!$D$3="All"),"Yes",IF(MAIN!$F$3="Monthly",IF(E1381=MAIN!$L$3,"Yes","No"),IF(E1381&lt;=MAIN!$L$3,"Yes","No"))))</f>
        <v>Yes</v>
      </c>
      <c r="AA1381" t="str">
        <f t="shared" si="131"/>
        <v>No</v>
      </c>
    </row>
    <row r="1382" spans="1:27" x14ac:dyDescent="0.3">
      <c r="A1382">
        <f>INDEX(SETTINGS!$A$15:$A$24,$B1382)</f>
        <v>2031</v>
      </c>
      <c r="B1382">
        <v>7</v>
      </c>
      <c r="C1382" t="str">
        <f>IF(AND(A1382&gt;=SETTINGS!$B$4,A1382&lt;=SETTINGS!$B$5),"Yes","No")</f>
        <v>No</v>
      </c>
      <c r="D1382" t="str">
        <f>IFERROR(INDEX(SETTINGS!$C$15:$C$24,MATCH(A1382,SETTINGS!$A$15:$A$24,0)),"No")</f>
        <v>No</v>
      </c>
      <c r="E1382">
        <v>1</v>
      </c>
      <c r="F1382" t="s">
        <v>2</v>
      </c>
      <c r="G1382">
        <v>23</v>
      </c>
      <c r="H1382" t="s">
        <v>106</v>
      </c>
      <c r="I1382" t="s">
        <v>22</v>
      </c>
      <c r="J1382" t="s">
        <v>26</v>
      </c>
      <c r="K1382" t="s">
        <v>3</v>
      </c>
      <c r="L1382" s="36">
        <f ca="1">IF(C1382&lt;&gt;"Yes",0,IF(A1382=2025,N('2025'!D23),IF(A1382=2026,N('2026'!D23),IF(A1382=2027,N('2027'!D23),IF(A1382=2028,N('2028'!D23),IF(A1382=2029,N('2029'!D23),IF(A1382=2030,N('2030'!D23),IF(A1382=2031,N('2031'!D23),IF(A1382=2032,N('2032'!D23),IF(A1382=2033,N('2033'!D23),IF(A1382=2034,N('2034'!D23),IFERROR(N(INDIRECT("'"&amp;A1382&amp;"'!D"&amp;G1382)),0))))))))))))</f>
        <v>0</v>
      </c>
      <c r="M1382" s="36">
        <f>IFERROR(IF(NOT(ISBLANK(KPI_TARGETS!$M$17)),KPI_TARGETS!$M$17,IF(NOT(ISBLANK(KPI_TARGETS!$F$17)),KPI_TARGETS!$F$17,"")),"")</f>
        <v>12</v>
      </c>
      <c r="N1382" s="36" t="str">
        <f>IFERROR(KPI_TARGETS!$E$17,"Higher is better")</f>
        <v>Higher is better</v>
      </c>
      <c r="O1382" s="37">
        <f t="shared" ca="1" si="126"/>
        <v>0</v>
      </c>
      <c r="P1382" t="str">
        <f t="shared" ca="1" si="127"/>
        <v>Red</v>
      </c>
      <c r="Q1382" s="36">
        <f t="shared" ca="1" si="128"/>
        <v>-12</v>
      </c>
      <c r="R1382" s="36" t="str">
        <f>""</f>
        <v/>
      </c>
      <c r="S1382" s="36" t="str">
        <f>""</f>
        <v/>
      </c>
      <c r="T1382" s="36" t="str">
        <f>""</f>
        <v/>
      </c>
      <c r="U1382" s="36" t="str">
        <f>""</f>
        <v/>
      </c>
      <c r="V1382" s="36" t="str">
        <f>""</f>
        <v/>
      </c>
      <c r="W1382" s="36">
        <f t="shared" si="129"/>
        <v>1</v>
      </c>
      <c r="X1382" t="str">
        <f t="shared" si="130"/>
        <v>Inactive</v>
      </c>
      <c r="Y1382" t="str">
        <f>IF(MAIN!$H$3="Selected Year",IF(A1382=MAIN!$B$3,"Yes","No"),IF(MAIN!$H$3="Included Years",IF(D1382="Yes","Yes","No"),IF(C1382="Yes","Yes","No")))</f>
        <v>No</v>
      </c>
      <c r="Z1382" t="str">
        <f>IF(MAIN!$F$3="Project to Date",IF(AND(A1382&gt;=SETTINGS!$B$4,A1382&lt;MAIN!$B$3),"Yes",IF(AND(A1382=MAIN!$B$3,E1382&lt;=MAIN!$L$3),"Yes","No")),IF(OR(MAIN!$F$3="Full Year",MAIN!$D$3="All"),"Yes",IF(MAIN!$F$3="Monthly",IF(E1382=MAIN!$L$3,"Yes","No"),IF(E1382&lt;=MAIN!$L$3,"Yes","No"))))</f>
        <v>Yes</v>
      </c>
      <c r="AA1382" t="str">
        <f t="shared" si="131"/>
        <v>No</v>
      </c>
    </row>
    <row r="1383" spans="1:27" x14ac:dyDescent="0.3">
      <c r="A1383">
        <f>INDEX(SETTINGS!$A$15:$A$24,$B1383)</f>
        <v>2031</v>
      </c>
      <c r="B1383">
        <v>7</v>
      </c>
      <c r="C1383" t="str">
        <f>IF(AND(A1383&gt;=SETTINGS!$B$4,A1383&lt;=SETTINGS!$B$5),"Yes","No")</f>
        <v>No</v>
      </c>
      <c r="D1383" t="str">
        <f>IFERROR(INDEX(SETTINGS!$C$15:$C$24,MATCH(A1383,SETTINGS!$A$15:$A$24,0)),"No")</f>
        <v>No</v>
      </c>
      <c r="E1383">
        <v>1</v>
      </c>
      <c r="F1383" t="s">
        <v>2</v>
      </c>
      <c r="G1383">
        <v>24</v>
      </c>
      <c r="H1383" t="s">
        <v>107</v>
      </c>
      <c r="I1383" t="s">
        <v>22</v>
      </c>
      <c r="J1383" t="s">
        <v>27</v>
      </c>
      <c r="K1383" t="s">
        <v>3</v>
      </c>
      <c r="L1383" s="36">
        <f ca="1">IF(C1383&lt;&gt;"Yes",0,IF(A1383=2025,N('2025'!D24),IF(A1383=2026,N('2026'!D24),IF(A1383=2027,N('2027'!D24),IF(A1383=2028,N('2028'!D24),IF(A1383=2029,N('2029'!D24),IF(A1383=2030,N('2030'!D24),IF(A1383=2031,N('2031'!D24),IF(A1383=2032,N('2032'!D24),IF(A1383=2033,N('2033'!D24),IF(A1383=2034,N('2034'!D24),IFERROR(N(INDIRECT("'"&amp;A1383&amp;"'!D"&amp;G1383)),0))))))))))))</f>
        <v>0</v>
      </c>
      <c r="M1383" s="36">
        <f>IFERROR(IF(NOT(ISBLANK(KPI_TARGETS!$M$18)),KPI_TARGETS!$M$18,IF(NOT(ISBLANK(KPI_TARGETS!$F$18)),KPI_TARGETS!$F$18,"")),"")</f>
        <v>4</v>
      </c>
      <c r="N1383" s="36" t="str">
        <f>IFERROR(KPI_TARGETS!$E$18,"Higher is better")</f>
        <v>Higher is better</v>
      </c>
      <c r="O1383" s="37">
        <f t="shared" ca="1" si="126"/>
        <v>0</v>
      </c>
      <c r="P1383" t="str">
        <f t="shared" ca="1" si="127"/>
        <v>Red</v>
      </c>
      <c r="Q1383" s="36">
        <f t="shared" ca="1" si="128"/>
        <v>-4</v>
      </c>
      <c r="R1383" s="36" t="str">
        <f>""</f>
        <v/>
      </c>
      <c r="S1383" s="36" t="str">
        <f>""</f>
        <v/>
      </c>
      <c r="T1383" s="36" t="str">
        <f>""</f>
        <v/>
      </c>
      <c r="U1383" s="36" t="str">
        <f>""</f>
        <v/>
      </c>
      <c r="V1383" s="36" t="str">
        <f>""</f>
        <v/>
      </c>
      <c r="W1383" s="36">
        <f t="shared" si="129"/>
        <v>1</v>
      </c>
      <c r="X1383" t="str">
        <f t="shared" si="130"/>
        <v>Inactive</v>
      </c>
      <c r="Y1383" t="str">
        <f>IF(MAIN!$H$3="Selected Year",IF(A1383=MAIN!$B$3,"Yes","No"),IF(MAIN!$H$3="Included Years",IF(D1383="Yes","Yes","No"),IF(C1383="Yes","Yes","No")))</f>
        <v>No</v>
      </c>
      <c r="Z1383" t="str">
        <f>IF(MAIN!$F$3="Project to Date",IF(AND(A1383&gt;=SETTINGS!$B$4,A1383&lt;MAIN!$B$3),"Yes",IF(AND(A1383=MAIN!$B$3,E1383&lt;=MAIN!$L$3),"Yes","No")),IF(OR(MAIN!$F$3="Full Year",MAIN!$D$3="All"),"Yes",IF(MAIN!$F$3="Monthly",IF(E1383=MAIN!$L$3,"Yes","No"),IF(E1383&lt;=MAIN!$L$3,"Yes","No"))))</f>
        <v>Yes</v>
      </c>
      <c r="AA1383" t="str">
        <f t="shared" si="131"/>
        <v>No</v>
      </c>
    </row>
    <row r="1384" spans="1:27" x14ac:dyDescent="0.3">
      <c r="A1384">
        <f>INDEX(SETTINGS!$A$15:$A$24,$B1384)</f>
        <v>2031</v>
      </c>
      <c r="B1384">
        <v>7</v>
      </c>
      <c r="C1384" t="str">
        <f>IF(AND(A1384&gt;=SETTINGS!$B$4,A1384&lt;=SETTINGS!$B$5),"Yes","No")</f>
        <v>No</v>
      </c>
      <c r="D1384" t="str">
        <f>IFERROR(INDEX(SETTINGS!$C$15:$C$24,MATCH(A1384,SETTINGS!$A$15:$A$24,0)),"No")</f>
        <v>No</v>
      </c>
      <c r="E1384">
        <v>1</v>
      </c>
      <c r="F1384" t="s">
        <v>2</v>
      </c>
      <c r="G1384">
        <v>25</v>
      </c>
      <c r="H1384" t="s">
        <v>108</v>
      </c>
      <c r="I1384" t="s">
        <v>22</v>
      </c>
      <c r="J1384" t="s">
        <v>28</v>
      </c>
      <c r="K1384" t="s">
        <v>3</v>
      </c>
      <c r="L1384" s="36">
        <f ca="1">IF(C1384&lt;&gt;"Yes",0,IF(A1384=2025,N('2025'!D25),IF(A1384=2026,N('2026'!D25),IF(A1384=2027,N('2027'!D25),IF(A1384=2028,N('2028'!D25),IF(A1384=2029,N('2029'!D25),IF(A1384=2030,N('2030'!D25),IF(A1384=2031,N('2031'!D25),IF(A1384=2032,N('2032'!D25),IF(A1384=2033,N('2033'!D25),IF(A1384=2034,N('2034'!D25),IFERROR(N(INDIRECT("'"&amp;A1384&amp;"'!D"&amp;G1384)),0))))))))))))</f>
        <v>0</v>
      </c>
      <c r="M1384" s="36">
        <f>IFERROR(IF(NOT(ISBLANK(KPI_TARGETS!$M$19)),KPI_TARGETS!$M$19,IF(NOT(ISBLANK(KPI_TARGETS!$F$19)),KPI_TARGETS!$F$19,"")),"")</f>
        <v>16</v>
      </c>
      <c r="N1384" s="36" t="str">
        <f>IFERROR(KPI_TARGETS!$E$19,"Higher is better")</f>
        <v>Higher is better</v>
      </c>
      <c r="O1384" s="37">
        <f t="shared" ca="1" si="126"/>
        <v>0</v>
      </c>
      <c r="P1384" t="str">
        <f t="shared" ca="1" si="127"/>
        <v>Red</v>
      </c>
      <c r="Q1384" s="36">
        <f t="shared" ca="1" si="128"/>
        <v>-16</v>
      </c>
      <c r="R1384" s="36" t="str">
        <f>""</f>
        <v/>
      </c>
      <c r="S1384" s="36" t="str">
        <f>""</f>
        <v/>
      </c>
      <c r="T1384" s="36" t="str">
        <f>""</f>
        <v/>
      </c>
      <c r="U1384" s="36" t="str">
        <f>""</f>
        <v/>
      </c>
      <c r="V1384" s="36" t="str">
        <f>""</f>
        <v/>
      </c>
      <c r="W1384" s="36">
        <f t="shared" si="129"/>
        <v>1</v>
      </c>
      <c r="X1384" t="str">
        <f t="shared" si="130"/>
        <v>Inactive</v>
      </c>
      <c r="Y1384" t="str">
        <f>IF(MAIN!$H$3="Selected Year",IF(A1384=MAIN!$B$3,"Yes","No"),IF(MAIN!$H$3="Included Years",IF(D1384="Yes","Yes","No"),IF(C1384="Yes","Yes","No")))</f>
        <v>No</v>
      </c>
      <c r="Z1384" t="str">
        <f>IF(MAIN!$F$3="Project to Date",IF(AND(A1384&gt;=SETTINGS!$B$4,A1384&lt;MAIN!$B$3),"Yes",IF(AND(A1384=MAIN!$B$3,E1384&lt;=MAIN!$L$3),"Yes","No")),IF(OR(MAIN!$F$3="Full Year",MAIN!$D$3="All"),"Yes",IF(MAIN!$F$3="Monthly",IF(E1384=MAIN!$L$3,"Yes","No"),IF(E1384&lt;=MAIN!$L$3,"Yes","No"))))</f>
        <v>Yes</v>
      </c>
      <c r="AA1384" t="str">
        <f t="shared" si="131"/>
        <v>No</v>
      </c>
    </row>
    <row r="1385" spans="1:27" x14ac:dyDescent="0.3">
      <c r="A1385">
        <f>INDEX(SETTINGS!$A$15:$A$24,$B1385)</f>
        <v>2031</v>
      </c>
      <c r="B1385">
        <v>7</v>
      </c>
      <c r="C1385" t="str">
        <f>IF(AND(A1385&gt;=SETTINGS!$B$4,A1385&lt;=SETTINGS!$B$5),"Yes","No")</f>
        <v>No</v>
      </c>
      <c r="D1385" t="str">
        <f>IFERROR(INDEX(SETTINGS!$C$15:$C$24,MATCH(A1385,SETTINGS!$A$15:$A$24,0)),"No")</f>
        <v>No</v>
      </c>
      <c r="E1385">
        <v>1</v>
      </c>
      <c r="F1385" t="s">
        <v>2</v>
      </c>
      <c r="G1385">
        <v>26</v>
      </c>
      <c r="H1385" t="s">
        <v>109</v>
      </c>
      <c r="I1385" t="s">
        <v>22</v>
      </c>
      <c r="J1385" t="s">
        <v>29</v>
      </c>
      <c r="K1385" t="s">
        <v>3</v>
      </c>
      <c r="L1385" s="36">
        <f ca="1">IF(C1385&lt;&gt;"Yes",0,IF(A1385=2025,N('2025'!D26),IF(A1385=2026,N('2026'!D26),IF(A1385=2027,N('2027'!D26),IF(A1385=2028,N('2028'!D26),IF(A1385=2029,N('2029'!D26),IF(A1385=2030,N('2030'!D26),IF(A1385=2031,N('2031'!D26),IF(A1385=2032,N('2032'!D26),IF(A1385=2033,N('2033'!D26),IF(A1385=2034,N('2034'!D26),IFERROR(N(INDIRECT("'"&amp;A1385&amp;"'!D"&amp;G1385)),0))))))))))))</f>
        <v>0</v>
      </c>
      <c r="M1385" s="36">
        <f>IFERROR(IF(NOT(ISBLANK(KPI_TARGETS!$M$20)),KPI_TARGETS!$M$20,IF(NOT(ISBLANK(KPI_TARGETS!$F$20)),KPI_TARGETS!$F$20,"")),"")</f>
        <v>1</v>
      </c>
      <c r="N1385" s="36" t="str">
        <f>IFERROR(KPI_TARGETS!$E$20,"Higher is better")</f>
        <v>Higher is better</v>
      </c>
      <c r="O1385" s="37">
        <f t="shared" ca="1" si="126"/>
        <v>0</v>
      </c>
      <c r="P1385" t="str">
        <f t="shared" ca="1" si="127"/>
        <v>Red</v>
      </c>
      <c r="Q1385" s="36">
        <f t="shared" ca="1" si="128"/>
        <v>-1</v>
      </c>
      <c r="R1385" s="36" t="str">
        <f>""</f>
        <v/>
      </c>
      <c r="S1385" s="36" t="str">
        <f>""</f>
        <v/>
      </c>
      <c r="T1385" s="36" t="str">
        <f>""</f>
        <v/>
      </c>
      <c r="U1385" s="36" t="str">
        <f>""</f>
        <v/>
      </c>
      <c r="V1385" s="36" t="str">
        <f>""</f>
        <v/>
      </c>
      <c r="W1385" s="36">
        <f t="shared" si="129"/>
        <v>1</v>
      </c>
      <c r="X1385" t="str">
        <f t="shared" si="130"/>
        <v>Inactive</v>
      </c>
      <c r="Y1385" t="str">
        <f>IF(MAIN!$H$3="Selected Year",IF(A1385=MAIN!$B$3,"Yes","No"),IF(MAIN!$H$3="Included Years",IF(D1385="Yes","Yes","No"),IF(C1385="Yes","Yes","No")))</f>
        <v>No</v>
      </c>
      <c r="Z1385" t="str">
        <f>IF(MAIN!$F$3="Project to Date",IF(AND(A1385&gt;=SETTINGS!$B$4,A1385&lt;MAIN!$B$3),"Yes",IF(AND(A1385=MAIN!$B$3,E1385&lt;=MAIN!$L$3),"Yes","No")),IF(OR(MAIN!$F$3="Full Year",MAIN!$D$3="All"),"Yes",IF(MAIN!$F$3="Monthly",IF(E1385=MAIN!$L$3,"Yes","No"),IF(E1385&lt;=MAIN!$L$3,"Yes","No"))))</f>
        <v>Yes</v>
      </c>
      <c r="AA1385" t="str">
        <f t="shared" si="131"/>
        <v>No</v>
      </c>
    </row>
    <row r="1386" spans="1:27" x14ac:dyDescent="0.3">
      <c r="A1386">
        <f>INDEX(SETTINGS!$A$15:$A$24,$B1386)</f>
        <v>2031</v>
      </c>
      <c r="B1386">
        <v>7</v>
      </c>
      <c r="C1386" t="str">
        <f>IF(AND(A1386&gt;=SETTINGS!$B$4,A1386&lt;=SETTINGS!$B$5),"Yes","No")</f>
        <v>No</v>
      </c>
      <c r="D1386" t="str">
        <f>IFERROR(INDEX(SETTINGS!$C$15:$C$24,MATCH(A1386,SETTINGS!$A$15:$A$24,0)),"No")</f>
        <v>No</v>
      </c>
      <c r="E1386">
        <v>1</v>
      </c>
      <c r="F1386" t="s">
        <v>2</v>
      </c>
      <c r="G1386">
        <v>28</v>
      </c>
      <c r="H1386" t="s">
        <v>110</v>
      </c>
      <c r="I1386" t="s">
        <v>30</v>
      </c>
      <c r="J1386" t="s">
        <v>31</v>
      </c>
      <c r="K1386" t="s">
        <v>3</v>
      </c>
      <c r="L1386" s="36">
        <f ca="1">IF(C1386&lt;&gt;"Yes",0,IF(A1386=2025,N('2025'!D28),IF(A1386=2026,N('2026'!D28),IF(A1386=2027,N('2027'!D28),IF(A1386=2028,N('2028'!D28),IF(A1386=2029,N('2029'!D28),IF(A1386=2030,N('2030'!D28),IF(A1386=2031,N('2031'!D28),IF(A1386=2032,N('2032'!D28),IF(A1386=2033,N('2033'!D28),IF(A1386=2034,N('2034'!D28),IFERROR(N(INDIRECT("'"&amp;A1386&amp;"'!D"&amp;G1386)),0))))))))))))</f>
        <v>0</v>
      </c>
      <c r="M1386" s="36">
        <f>IFERROR(IF(NOT(ISBLANK(KPI_TARGETS!$M$21)),KPI_TARGETS!$M$21,IF(NOT(ISBLANK(KPI_TARGETS!$F$21)),KPI_TARGETS!$F$21,"")),"")</f>
        <v>0</v>
      </c>
      <c r="N1386" s="36" t="str">
        <f>IFERROR(KPI_TARGETS!$E$21,"Higher is better")</f>
        <v>Lower is better</v>
      </c>
      <c r="O1386" s="37">
        <f t="shared" ca="1" si="126"/>
        <v>1</v>
      </c>
      <c r="P1386" t="str">
        <f t="shared" ca="1" si="127"/>
        <v>Green</v>
      </c>
      <c r="Q1386" s="36">
        <f t="shared" ca="1" si="128"/>
        <v>0</v>
      </c>
      <c r="R1386" s="36" t="str">
        <f>""</f>
        <v/>
      </c>
      <c r="S1386" s="36" t="str">
        <f>""</f>
        <v/>
      </c>
      <c r="T1386" s="36" t="str">
        <f>""</f>
        <v/>
      </c>
      <c r="U1386" s="36" t="str">
        <f>""</f>
        <v/>
      </c>
      <c r="V1386" s="36" t="str">
        <f>""</f>
        <v/>
      </c>
      <c r="W1386" s="36">
        <f t="shared" si="129"/>
        <v>1</v>
      </c>
      <c r="X1386" t="str">
        <f t="shared" si="130"/>
        <v>Inactive</v>
      </c>
      <c r="Y1386" t="str">
        <f>IF(MAIN!$H$3="Selected Year",IF(A1386=MAIN!$B$3,"Yes","No"),IF(MAIN!$H$3="Included Years",IF(D1386="Yes","Yes","No"),IF(C1386="Yes","Yes","No")))</f>
        <v>No</v>
      </c>
      <c r="Z1386" t="str">
        <f>IF(MAIN!$F$3="Project to Date",IF(AND(A1386&gt;=SETTINGS!$B$4,A1386&lt;MAIN!$B$3),"Yes",IF(AND(A1386=MAIN!$B$3,E1386&lt;=MAIN!$L$3),"Yes","No")),IF(OR(MAIN!$F$3="Full Year",MAIN!$D$3="All"),"Yes",IF(MAIN!$F$3="Monthly",IF(E1386=MAIN!$L$3,"Yes","No"),IF(E1386&lt;=MAIN!$L$3,"Yes","No"))))</f>
        <v>Yes</v>
      </c>
      <c r="AA1386" t="str">
        <f t="shared" si="131"/>
        <v>No</v>
      </c>
    </row>
    <row r="1387" spans="1:27" x14ac:dyDescent="0.3">
      <c r="A1387">
        <f>INDEX(SETTINGS!$A$15:$A$24,$B1387)</f>
        <v>2031</v>
      </c>
      <c r="B1387">
        <v>7</v>
      </c>
      <c r="C1387" t="str">
        <f>IF(AND(A1387&gt;=SETTINGS!$B$4,A1387&lt;=SETTINGS!$B$5),"Yes","No")</f>
        <v>No</v>
      </c>
      <c r="D1387" t="str">
        <f>IFERROR(INDEX(SETTINGS!$C$15:$C$24,MATCH(A1387,SETTINGS!$A$15:$A$24,0)),"No")</f>
        <v>No</v>
      </c>
      <c r="E1387">
        <v>1</v>
      </c>
      <c r="F1387" t="s">
        <v>2</v>
      </c>
      <c r="G1387">
        <v>29</v>
      </c>
      <c r="H1387" t="s">
        <v>111</v>
      </c>
      <c r="I1387" t="s">
        <v>30</v>
      </c>
      <c r="J1387" t="s">
        <v>32</v>
      </c>
      <c r="K1387" t="s">
        <v>3</v>
      </c>
      <c r="L1387" s="36">
        <f ca="1">IF(C1387&lt;&gt;"Yes",0,IF(A1387=2025,N('2025'!D29),IF(A1387=2026,N('2026'!D29),IF(A1387=2027,N('2027'!D29),IF(A1387=2028,N('2028'!D29),IF(A1387=2029,N('2029'!D29),IF(A1387=2030,N('2030'!D29),IF(A1387=2031,N('2031'!D29),IF(A1387=2032,N('2032'!D29),IF(A1387=2033,N('2033'!D29),IF(A1387=2034,N('2034'!D29),IFERROR(N(INDIRECT("'"&amp;A1387&amp;"'!D"&amp;G1387)),0))))))))))))</f>
        <v>0</v>
      </c>
      <c r="M1387" s="36">
        <f>IFERROR(IF(NOT(ISBLANK(KPI_TARGETS!$M$22)),KPI_TARGETS!$M$22,IF(NOT(ISBLANK(KPI_TARGETS!$F$22)),KPI_TARGETS!$F$22,"")),"")</f>
        <v>1</v>
      </c>
      <c r="N1387" s="36" t="str">
        <f>IFERROR(KPI_TARGETS!$E$22,"Higher is better")</f>
        <v>Higher is better</v>
      </c>
      <c r="O1387" s="37">
        <f t="shared" ca="1" si="126"/>
        <v>0</v>
      </c>
      <c r="P1387" t="str">
        <f t="shared" ca="1" si="127"/>
        <v>Red</v>
      </c>
      <c r="Q1387" s="36">
        <f t="shared" ca="1" si="128"/>
        <v>-1</v>
      </c>
      <c r="R1387" s="36" t="str">
        <f>""</f>
        <v/>
      </c>
      <c r="S1387" s="36" t="str">
        <f>""</f>
        <v/>
      </c>
      <c r="T1387" s="36" t="str">
        <f>""</f>
        <v/>
      </c>
      <c r="U1387" s="36" t="str">
        <f>""</f>
        <v/>
      </c>
      <c r="V1387" s="36" t="str">
        <f>""</f>
        <v/>
      </c>
      <c r="W1387" s="36">
        <f t="shared" si="129"/>
        <v>1</v>
      </c>
      <c r="X1387" t="str">
        <f t="shared" si="130"/>
        <v>Inactive</v>
      </c>
      <c r="Y1387" t="str">
        <f>IF(MAIN!$H$3="Selected Year",IF(A1387=MAIN!$B$3,"Yes","No"),IF(MAIN!$H$3="Included Years",IF(D1387="Yes","Yes","No"),IF(C1387="Yes","Yes","No")))</f>
        <v>No</v>
      </c>
      <c r="Z1387" t="str">
        <f>IF(MAIN!$F$3="Project to Date",IF(AND(A1387&gt;=SETTINGS!$B$4,A1387&lt;MAIN!$B$3),"Yes",IF(AND(A1387=MAIN!$B$3,E1387&lt;=MAIN!$L$3),"Yes","No")),IF(OR(MAIN!$F$3="Full Year",MAIN!$D$3="All"),"Yes",IF(MAIN!$F$3="Monthly",IF(E1387=MAIN!$L$3,"Yes","No"),IF(E1387&lt;=MAIN!$L$3,"Yes","No"))))</f>
        <v>Yes</v>
      </c>
      <c r="AA1387" t="str">
        <f t="shared" si="131"/>
        <v>No</v>
      </c>
    </row>
    <row r="1388" spans="1:27" x14ac:dyDescent="0.3">
      <c r="A1388">
        <f>INDEX(SETTINGS!$A$15:$A$24,$B1388)</f>
        <v>2031</v>
      </c>
      <c r="B1388">
        <v>7</v>
      </c>
      <c r="C1388" t="str">
        <f>IF(AND(A1388&gt;=SETTINGS!$B$4,A1388&lt;=SETTINGS!$B$5),"Yes","No")</f>
        <v>No</v>
      </c>
      <c r="D1388" t="str">
        <f>IFERROR(INDEX(SETTINGS!$C$15:$C$24,MATCH(A1388,SETTINGS!$A$15:$A$24,0)),"No")</f>
        <v>No</v>
      </c>
      <c r="E1388">
        <v>1</v>
      </c>
      <c r="F1388" t="s">
        <v>2</v>
      </c>
      <c r="G1388">
        <v>30</v>
      </c>
      <c r="H1388" t="s">
        <v>112</v>
      </c>
      <c r="I1388" t="s">
        <v>30</v>
      </c>
      <c r="J1388" t="s">
        <v>33</v>
      </c>
      <c r="K1388" t="s">
        <v>34</v>
      </c>
      <c r="L1388" s="36">
        <f ca="1">IF(C1388&lt;&gt;"Yes",0,IF(A1388=2025,N('2025'!D30),IF(A1388=2026,N('2026'!D30),IF(A1388=2027,N('2027'!D30),IF(A1388=2028,N('2028'!D30),IF(A1388=2029,N('2029'!D30),IF(A1388=2030,N('2030'!D30),IF(A1388=2031,N('2031'!D30),IF(A1388=2032,N('2032'!D30),IF(A1388=2033,N('2033'!D30),IF(A1388=2034,N('2034'!D30),IFERROR(N(INDIRECT("'"&amp;A1388&amp;"'!D"&amp;G1388)),0))))))))))))</f>
        <v>0</v>
      </c>
      <c r="M1388" s="36">
        <f>IFERROR(IF(NOT(ISBLANK(KPI_TARGETS!$M$23)),KPI_TARGETS!$M$23,IF(NOT(ISBLANK(KPI_TARGETS!$F$23)),KPI_TARGETS!$F$23,"")),"")</f>
        <v>1</v>
      </c>
      <c r="N1388" s="36" t="str">
        <f>IFERROR(KPI_TARGETS!$E$23,"Higher is better")</f>
        <v>Higher is better</v>
      </c>
      <c r="O1388" s="37">
        <f t="shared" ca="1" si="126"/>
        <v>0</v>
      </c>
      <c r="P1388" t="str">
        <f t="shared" ca="1" si="127"/>
        <v>Red</v>
      </c>
      <c r="Q1388" s="36">
        <f t="shared" ca="1" si="128"/>
        <v>-1</v>
      </c>
      <c r="R1388" s="36" t="str">
        <f>""</f>
        <v/>
      </c>
      <c r="S1388" s="36" t="str">
        <f>""</f>
        <v/>
      </c>
      <c r="T1388" s="36" t="str">
        <f>""</f>
        <v/>
      </c>
      <c r="U1388" s="36" t="str">
        <f>""</f>
        <v/>
      </c>
      <c r="V1388" s="36" t="str">
        <f>""</f>
        <v/>
      </c>
      <c r="W1388" s="36">
        <f t="shared" si="129"/>
        <v>1</v>
      </c>
      <c r="X1388" t="str">
        <f t="shared" si="130"/>
        <v>Inactive</v>
      </c>
      <c r="Y1388" t="str">
        <f>IF(MAIN!$H$3="Selected Year",IF(A1388=MAIN!$B$3,"Yes","No"),IF(MAIN!$H$3="Included Years",IF(D1388="Yes","Yes","No"),IF(C1388="Yes","Yes","No")))</f>
        <v>No</v>
      </c>
      <c r="Z1388" t="str">
        <f>IF(MAIN!$F$3="Project to Date",IF(AND(A1388&gt;=SETTINGS!$B$4,A1388&lt;MAIN!$B$3),"Yes",IF(AND(A1388=MAIN!$B$3,E1388&lt;=MAIN!$L$3),"Yes","No")),IF(OR(MAIN!$F$3="Full Year",MAIN!$D$3="All"),"Yes",IF(MAIN!$F$3="Monthly",IF(E1388=MAIN!$L$3,"Yes","No"),IF(E1388&lt;=MAIN!$L$3,"Yes","No"))))</f>
        <v>Yes</v>
      </c>
      <c r="AA1388" t="str">
        <f t="shared" si="131"/>
        <v>No</v>
      </c>
    </row>
    <row r="1389" spans="1:27" x14ac:dyDescent="0.3">
      <c r="A1389">
        <f>INDEX(SETTINGS!$A$15:$A$24,$B1389)</f>
        <v>2031</v>
      </c>
      <c r="B1389">
        <v>7</v>
      </c>
      <c r="C1389" t="str">
        <f>IF(AND(A1389&gt;=SETTINGS!$B$4,A1389&lt;=SETTINGS!$B$5),"Yes","No")</f>
        <v>No</v>
      </c>
      <c r="D1389" t="str">
        <f>IFERROR(INDEX(SETTINGS!$C$15:$C$24,MATCH(A1389,SETTINGS!$A$15:$A$24,0)),"No")</f>
        <v>No</v>
      </c>
      <c r="E1389">
        <v>2</v>
      </c>
      <c r="F1389" t="s">
        <v>35</v>
      </c>
      <c r="G1389">
        <v>33</v>
      </c>
      <c r="H1389" t="s">
        <v>88</v>
      </c>
      <c r="I1389" t="s">
        <v>89</v>
      </c>
      <c r="J1389" t="s">
        <v>10</v>
      </c>
      <c r="K1389" t="s">
        <v>3</v>
      </c>
      <c r="L1389" s="36">
        <f ca="1">IF(C1389&lt;&gt;"Yes",0,IF(A1389=2025,N('2025'!D33),IF(A1389=2026,N('2026'!D33),IF(A1389=2027,N('2027'!D33),IF(A1389=2028,N('2028'!D33),IF(A1389=2029,N('2029'!D33),IF(A1389=2030,N('2030'!D33),IF(A1389=2031,N('2031'!D33),IF(A1389=2032,N('2032'!D33),IF(A1389=2033,N('2033'!D33),IF(A1389=2034,N('2034'!D33),IFERROR(N(INDIRECT("'"&amp;A1389&amp;"'!D"&amp;G1389)),0))))))))))))</f>
        <v>0</v>
      </c>
      <c r="M1389" s="36">
        <f>IFERROR(IF(NOT(ISBLANK(KPI_TARGETS!$M$5)),KPI_TARGETS!$M$5,IF(NOT(ISBLANK(KPI_TARGETS!$F$5)),KPI_TARGETS!$F$5,"")),"")</f>
        <v>104</v>
      </c>
      <c r="N1389" s="36" t="str">
        <f>IFERROR(KPI_TARGETS!$E$5,"Higher is better")</f>
        <v>Higher is better</v>
      </c>
      <c r="O1389" s="37">
        <f t="shared" ca="1" si="126"/>
        <v>0</v>
      </c>
      <c r="P1389" t="str">
        <f t="shared" ca="1" si="127"/>
        <v>Red</v>
      </c>
      <c r="Q1389" s="36">
        <f t="shared" ca="1" si="128"/>
        <v>-104</v>
      </c>
      <c r="R1389" s="36" t="str">
        <f>""</f>
        <v/>
      </c>
      <c r="S1389" s="36" t="str">
        <f>""</f>
        <v/>
      </c>
      <c r="T1389" s="36" t="str">
        <f>""</f>
        <v/>
      </c>
      <c r="U1389" s="36" t="str">
        <f>""</f>
        <v/>
      </c>
      <c r="V1389" s="36" t="str">
        <f>""</f>
        <v/>
      </c>
      <c r="W1389" s="36">
        <f t="shared" si="129"/>
        <v>1</v>
      </c>
      <c r="X1389" t="str">
        <f t="shared" si="130"/>
        <v>Inactive</v>
      </c>
      <c r="Y1389" t="str">
        <f>IF(MAIN!$H$3="Selected Year",IF(A1389=MAIN!$B$3,"Yes","No"),IF(MAIN!$H$3="Included Years",IF(D1389="Yes","Yes","No"),IF(C1389="Yes","Yes","No")))</f>
        <v>No</v>
      </c>
      <c r="Z1389" t="str">
        <f>IF(MAIN!$F$3="Project to Date",IF(AND(A1389&gt;=SETTINGS!$B$4,A1389&lt;MAIN!$B$3),"Yes",IF(AND(A1389=MAIN!$B$3,E1389&lt;=MAIN!$L$3),"Yes","No")),IF(OR(MAIN!$F$3="Full Year",MAIN!$D$3="All"),"Yes",IF(MAIN!$F$3="Monthly",IF(E1389=MAIN!$L$3,"Yes","No"),IF(E1389&lt;=MAIN!$L$3,"Yes","No"))))</f>
        <v>Yes</v>
      </c>
      <c r="AA1389" t="str">
        <f t="shared" si="131"/>
        <v>No</v>
      </c>
    </row>
    <row r="1390" spans="1:27" x14ac:dyDescent="0.3">
      <c r="A1390">
        <f>INDEX(SETTINGS!$A$15:$A$24,$B1390)</f>
        <v>2031</v>
      </c>
      <c r="B1390">
        <v>7</v>
      </c>
      <c r="C1390" t="str">
        <f>IF(AND(A1390&gt;=SETTINGS!$B$4,A1390&lt;=SETTINGS!$B$5),"Yes","No")</f>
        <v>No</v>
      </c>
      <c r="D1390" t="str">
        <f>IFERROR(INDEX(SETTINGS!$C$15:$C$24,MATCH(A1390,SETTINGS!$A$15:$A$24,0)),"No")</f>
        <v>No</v>
      </c>
      <c r="E1390">
        <v>2</v>
      </c>
      <c r="F1390" t="s">
        <v>35</v>
      </c>
      <c r="G1390">
        <v>34</v>
      </c>
      <c r="H1390" t="s">
        <v>91</v>
      </c>
      <c r="I1390" t="s">
        <v>89</v>
      </c>
      <c r="J1390" t="s">
        <v>11</v>
      </c>
      <c r="K1390" t="s">
        <v>12</v>
      </c>
      <c r="L1390" s="36">
        <f ca="1">IF(C1390&lt;&gt;"Yes",0,IF(A1390=2025,N('2025'!D34),IF(A1390=2026,N('2026'!D34),IF(A1390=2027,N('2027'!D34),IF(A1390=2028,N('2028'!D34),IF(A1390=2029,N('2029'!D34),IF(A1390=2030,N('2030'!D34),IF(A1390=2031,N('2031'!D34),IF(A1390=2032,N('2032'!D34),IF(A1390=2033,N('2033'!D34),IF(A1390=2034,N('2034'!D34),IFERROR(N(INDIRECT("'"&amp;A1390&amp;"'!D"&amp;G1390)),0))))))))))))</f>
        <v>0</v>
      </c>
      <c r="M1390" s="36">
        <f>IFERROR(IF(NOT(ISBLANK(KPI_TARGETS!$M$6)),KPI_TARGETS!$M$6,IF(NOT(ISBLANK(KPI_TARGETS!$F$6)),KPI_TARGETS!$F$6,"")),"")</f>
        <v>4000</v>
      </c>
      <c r="N1390" s="36" t="str">
        <f>IFERROR(KPI_TARGETS!$E$6,"Higher is better")</f>
        <v>Higher is better</v>
      </c>
      <c r="O1390" s="37">
        <f t="shared" ca="1" si="126"/>
        <v>0</v>
      </c>
      <c r="P1390" t="str">
        <f t="shared" ca="1" si="127"/>
        <v>Red</v>
      </c>
      <c r="Q1390" s="36">
        <f t="shared" ca="1" si="128"/>
        <v>-4000</v>
      </c>
      <c r="R1390" s="36" t="str">
        <f>""</f>
        <v/>
      </c>
      <c r="S1390" s="36" t="str">
        <f>""</f>
        <v/>
      </c>
      <c r="T1390" s="36" t="str">
        <f>""</f>
        <v/>
      </c>
      <c r="U1390" s="36" t="str">
        <f>""</f>
        <v/>
      </c>
      <c r="V1390" s="36" t="str">
        <f>""</f>
        <v/>
      </c>
      <c r="W1390" s="36">
        <f t="shared" si="129"/>
        <v>1</v>
      </c>
      <c r="X1390" t="str">
        <f t="shared" si="130"/>
        <v>Inactive</v>
      </c>
      <c r="Y1390" t="str">
        <f>IF(MAIN!$H$3="Selected Year",IF(A1390=MAIN!$B$3,"Yes","No"),IF(MAIN!$H$3="Included Years",IF(D1390="Yes","Yes","No"),IF(C1390="Yes","Yes","No")))</f>
        <v>No</v>
      </c>
      <c r="Z1390" t="str">
        <f>IF(MAIN!$F$3="Project to Date",IF(AND(A1390&gt;=SETTINGS!$B$4,A1390&lt;MAIN!$B$3),"Yes",IF(AND(A1390=MAIN!$B$3,E1390&lt;=MAIN!$L$3),"Yes","No")),IF(OR(MAIN!$F$3="Full Year",MAIN!$D$3="All"),"Yes",IF(MAIN!$F$3="Monthly",IF(E1390=MAIN!$L$3,"Yes","No"),IF(E1390&lt;=MAIN!$L$3,"Yes","No"))))</f>
        <v>Yes</v>
      </c>
      <c r="AA1390" t="str">
        <f t="shared" si="131"/>
        <v>No</v>
      </c>
    </row>
    <row r="1391" spans="1:27" x14ac:dyDescent="0.3">
      <c r="A1391">
        <f>INDEX(SETTINGS!$A$15:$A$24,$B1391)</f>
        <v>2031</v>
      </c>
      <c r="B1391">
        <v>7</v>
      </c>
      <c r="C1391" t="str">
        <f>IF(AND(A1391&gt;=SETTINGS!$B$4,A1391&lt;=SETTINGS!$B$5),"Yes","No")</f>
        <v>No</v>
      </c>
      <c r="D1391" t="str">
        <f>IFERROR(INDEX(SETTINGS!$C$15:$C$24,MATCH(A1391,SETTINGS!$A$15:$A$24,0)),"No")</f>
        <v>No</v>
      </c>
      <c r="E1391">
        <v>2</v>
      </c>
      <c r="F1391" t="s">
        <v>35</v>
      </c>
      <c r="G1391">
        <v>35</v>
      </c>
      <c r="H1391" t="s">
        <v>93</v>
      </c>
      <c r="I1391" t="s">
        <v>89</v>
      </c>
      <c r="J1391" t="s">
        <v>13</v>
      </c>
      <c r="K1391" t="s">
        <v>14</v>
      </c>
      <c r="L1391" s="36">
        <f ca="1">IF(C1391&lt;&gt;"Yes",0,IF(A1391=2025,N('2025'!D35),IF(A1391=2026,N('2026'!D35),IF(A1391=2027,N('2027'!D35),IF(A1391=2028,N('2028'!D35),IF(A1391=2029,N('2029'!D35),IF(A1391=2030,N('2030'!D35),IF(A1391=2031,N('2031'!D35),IF(A1391=2032,N('2032'!D35),IF(A1391=2033,N('2033'!D35),IF(A1391=2034,N('2034'!D35),IFERROR(N(INDIRECT("'"&amp;A1391&amp;"'!D"&amp;G1391)),0))))))))))))</f>
        <v>0</v>
      </c>
      <c r="M1391" s="36">
        <f>IFERROR(IF(NOT(ISBLANK(KPI_TARGETS!$M$7)),KPI_TARGETS!$M$7,IF(NOT(ISBLANK(KPI_TARGETS!$F$7)),KPI_TARGETS!$F$7,"")),"")</f>
        <v>8000</v>
      </c>
      <c r="N1391" s="36" t="str">
        <f>IFERROR(KPI_TARGETS!$E$7,"Higher is better")</f>
        <v>Higher is better</v>
      </c>
      <c r="O1391" s="37">
        <f t="shared" ca="1" si="126"/>
        <v>0</v>
      </c>
      <c r="P1391" t="str">
        <f t="shared" ca="1" si="127"/>
        <v>Red</v>
      </c>
      <c r="Q1391" s="36">
        <f t="shared" ca="1" si="128"/>
        <v>-8000</v>
      </c>
      <c r="R1391" s="36" t="str">
        <f>""</f>
        <v/>
      </c>
      <c r="S1391" s="36" t="str">
        <f>""</f>
        <v/>
      </c>
      <c r="T1391" s="36" t="str">
        <f>""</f>
        <v/>
      </c>
      <c r="U1391" s="36" t="str">
        <f>""</f>
        <v/>
      </c>
      <c r="V1391" s="36" t="str">
        <f>""</f>
        <v/>
      </c>
      <c r="W1391" s="36">
        <f t="shared" si="129"/>
        <v>1</v>
      </c>
      <c r="X1391" t="str">
        <f t="shared" si="130"/>
        <v>Inactive</v>
      </c>
      <c r="Y1391" t="str">
        <f>IF(MAIN!$H$3="Selected Year",IF(A1391=MAIN!$B$3,"Yes","No"),IF(MAIN!$H$3="Included Years",IF(D1391="Yes","Yes","No"),IF(C1391="Yes","Yes","No")))</f>
        <v>No</v>
      </c>
      <c r="Z1391" t="str">
        <f>IF(MAIN!$F$3="Project to Date",IF(AND(A1391&gt;=SETTINGS!$B$4,A1391&lt;MAIN!$B$3),"Yes",IF(AND(A1391=MAIN!$B$3,E1391&lt;=MAIN!$L$3),"Yes","No")),IF(OR(MAIN!$F$3="Full Year",MAIN!$D$3="All"),"Yes",IF(MAIN!$F$3="Monthly",IF(E1391=MAIN!$L$3,"Yes","No"),IF(E1391&lt;=MAIN!$L$3,"Yes","No"))))</f>
        <v>Yes</v>
      </c>
      <c r="AA1391" t="str">
        <f t="shared" si="131"/>
        <v>No</v>
      </c>
    </row>
    <row r="1392" spans="1:27" x14ac:dyDescent="0.3">
      <c r="A1392">
        <f>INDEX(SETTINGS!$A$15:$A$24,$B1392)</f>
        <v>2031</v>
      </c>
      <c r="B1392">
        <v>7</v>
      </c>
      <c r="C1392" t="str">
        <f>IF(AND(A1392&gt;=SETTINGS!$B$4,A1392&lt;=SETTINGS!$B$5),"Yes","No")</f>
        <v>No</v>
      </c>
      <c r="D1392" t="str">
        <f>IFERROR(INDEX(SETTINGS!$C$15:$C$24,MATCH(A1392,SETTINGS!$A$15:$A$24,0)),"No")</f>
        <v>No</v>
      </c>
      <c r="E1392">
        <v>2</v>
      </c>
      <c r="F1392" t="s">
        <v>35</v>
      </c>
      <c r="G1392">
        <v>37</v>
      </c>
      <c r="H1392" t="s">
        <v>95</v>
      </c>
      <c r="I1392" t="s">
        <v>15</v>
      </c>
      <c r="J1392" t="s">
        <v>16</v>
      </c>
      <c r="K1392" t="s">
        <v>3</v>
      </c>
      <c r="L1392" s="36">
        <f ca="1">IF(C1392&lt;&gt;"Yes",0,IF(A1392=2025,N('2025'!D37),IF(A1392=2026,N('2026'!D37),IF(A1392=2027,N('2027'!D37),IF(A1392=2028,N('2028'!D37),IF(A1392=2029,N('2029'!D37),IF(A1392=2030,N('2030'!D37),IF(A1392=2031,N('2031'!D37),IF(A1392=2032,N('2032'!D37),IF(A1392=2033,N('2033'!D37),IF(A1392=2034,N('2034'!D37),IFERROR(N(INDIRECT("'"&amp;A1392&amp;"'!D"&amp;G1392)),0))))))))))))</f>
        <v>0</v>
      </c>
      <c r="M1392" s="36">
        <f>IFERROR(IF(NOT(ISBLANK(KPI_TARGETS!$M$8)),KPI_TARGETS!$M$8,IF(NOT(ISBLANK(KPI_TARGETS!$F$8)),KPI_TARGETS!$F$8,"")),"")</f>
        <v>0</v>
      </c>
      <c r="N1392" s="36" t="str">
        <f>IFERROR(KPI_TARGETS!$E$8,"Higher is better")</f>
        <v>Lower is better</v>
      </c>
      <c r="O1392" s="37">
        <f t="shared" ca="1" si="126"/>
        <v>1</v>
      </c>
      <c r="P1392" t="str">
        <f t="shared" ca="1" si="127"/>
        <v>Green</v>
      </c>
      <c r="Q1392" s="36">
        <f t="shared" ca="1" si="128"/>
        <v>0</v>
      </c>
      <c r="R1392" s="36" t="str">
        <f>""</f>
        <v/>
      </c>
      <c r="S1392" s="36" t="str">
        <f>""</f>
        <v/>
      </c>
      <c r="T1392" s="36" t="str">
        <f>""</f>
        <v/>
      </c>
      <c r="U1392" s="36" t="str">
        <f>""</f>
        <v/>
      </c>
      <c r="V1392" s="36" t="str">
        <f>""</f>
        <v/>
      </c>
      <c r="W1392" s="36">
        <f t="shared" si="129"/>
        <v>1</v>
      </c>
      <c r="X1392" t="str">
        <f t="shared" si="130"/>
        <v>Inactive</v>
      </c>
      <c r="Y1392" t="str">
        <f>IF(MAIN!$H$3="Selected Year",IF(A1392=MAIN!$B$3,"Yes","No"),IF(MAIN!$H$3="Included Years",IF(D1392="Yes","Yes","No"),IF(C1392="Yes","Yes","No")))</f>
        <v>No</v>
      </c>
      <c r="Z1392" t="str">
        <f>IF(MAIN!$F$3="Project to Date",IF(AND(A1392&gt;=SETTINGS!$B$4,A1392&lt;MAIN!$B$3),"Yes",IF(AND(A1392=MAIN!$B$3,E1392&lt;=MAIN!$L$3),"Yes","No")),IF(OR(MAIN!$F$3="Full Year",MAIN!$D$3="All"),"Yes",IF(MAIN!$F$3="Monthly",IF(E1392=MAIN!$L$3,"Yes","No"),IF(E1392&lt;=MAIN!$L$3,"Yes","No"))))</f>
        <v>Yes</v>
      </c>
      <c r="AA1392" t="str">
        <f t="shared" si="131"/>
        <v>No</v>
      </c>
    </row>
    <row r="1393" spans="1:27" x14ac:dyDescent="0.3">
      <c r="A1393">
        <f>INDEX(SETTINGS!$A$15:$A$24,$B1393)</f>
        <v>2031</v>
      </c>
      <c r="B1393">
        <v>7</v>
      </c>
      <c r="C1393" t="str">
        <f>IF(AND(A1393&gt;=SETTINGS!$B$4,A1393&lt;=SETTINGS!$B$5),"Yes","No")</f>
        <v>No</v>
      </c>
      <c r="D1393" t="str">
        <f>IFERROR(INDEX(SETTINGS!$C$15:$C$24,MATCH(A1393,SETTINGS!$A$15:$A$24,0)),"No")</f>
        <v>No</v>
      </c>
      <c r="E1393">
        <v>2</v>
      </c>
      <c r="F1393" t="s">
        <v>35</v>
      </c>
      <c r="G1393">
        <v>38</v>
      </c>
      <c r="H1393" t="s">
        <v>97</v>
      </c>
      <c r="I1393" t="s">
        <v>15</v>
      </c>
      <c r="J1393" t="s">
        <v>17</v>
      </c>
      <c r="K1393" t="s">
        <v>3</v>
      </c>
      <c r="L1393" s="36">
        <f ca="1">IF(C1393&lt;&gt;"Yes",0,IF(A1393=2025,N('2025'!D38),IF(A1393=2026,N('2026'!D38),IF(A1393=2027,N('2027'!D38),IF(A1393=2028,N('2028'!D38),IF(A1393=2029,N('2029'!D38),IF(A1393=2030,N('2030'!D38),IF(A1393=2031,N('2031'!D38),IF(A1393=2032,N('2032'!D38),IF(A1393=2033,N('2033'!D38),IF(A1393=2034,N('2034'!D38),IFERROR(N(INDIRECT("'"&amp;A1393&amp;"'!D"&amp;G1393)),0))))))))))))</f>
        <v>0</v>
      </c>
      <c r="M1393" s="36">
        <f>IFERROR(IF(NOT(ISBLANK(KPI_TARGETS!$M$9)),KPI_TARGETS!$M$9,IF(NOT(ISBLANK(KPI_TARGETS!$F$9)),KPI_TARGETS!$F$9,"")),"")</f>
        <v>0</v>
      </c>
      <c r="N1393" s="36" t="str">
        <f>IFERROR(KPI_TARGETS!$E$9,"Higher is better")</f>
        <v>Higher is better</v>
      </c>
      <c r="O1393" s="37" t="str">
        <f t="shared" ca="1" si="126"/>
        <v/>
      </c>
      <c r="P1393" t="str">
        <f t="shared" ca="1" si="127"/>
        <v>Green</v>
      </c>
      <c r="Q1393" s="36">
        <f t="shared" ca="1" si="128"/>
        <v>0</v>
      </c>
      <c r="R1393" s="36" t="str">
        <f>""</f>
        <v/>
      </c>
      <c r="S1393" s="36" t="str">
        <f>""</f>
        <v/>
      </c>
      <c r="T1393" s="36" t="str">
        <f>""</f>
        <v/>
      </c>
      <c r="U1393" s="36" t="str">
        <f>""</f>
        <v/>
      </c>
      <c r="V1393" s="36" t="str">
        <f>""</f>
        <v/>
      </c>
      <c r="W1393" s="36">
        <f t="shared" si="129"/>
        <v>1</v>
      </c>
      <c r="X1393" t="str">
        <f t="shared" si="130"/>
        <v>Inactive</v>
      </c>
      <c r="Y1393" t="str">
        <f>IF(MAIN!$H$3="Selected Year",IF(A1393=MAIN!$B$3,"Yes","No"),IF(MAIN!$H$3="Included Years",IF(D1393="Yes","Yes","No"),IF(C1393="Yes","Yes","No")))</f>
        <v>No</v>
      </c>
      <c r="Z1393" t="str">
        <f>IF(MAIN!$F$3="Project to Date",IF(AND(A1393&gt;=SETTINGS!$B$4,A1393&lt;MAIN!$B$3),"Yes",IF(AND(A1393=MAIN!$B$3,E1393&lt;=MAIN!$L$3),"Yes","No")),IF(OR(MAIN!$F$3="Full Year",MAIN!$D$3="All"),"Yes",IF(MAIN!$F$3="Monthly",IF(E1393=MAIN!$L$3,"Yes","No"),IF(E1393&lt;=MAIN!$L$3,"Yes","No"))))</f>
        <v>Yes</v>
      </c>
      <c r="AA1393" t="str">
        <f t="shared" si="131"/>
        <v>No</v>
      </c>
    </row>
    <row r="1394" spans="1:27" x14ac:dyDescent="0.3">
      <c r="A1394">
        <f>INDEX(SETTINGS!$A$15:$A$24,$B1394)</f>
        <v>2031</v>
      </c>
      <c r="B1394">
        <v>7</v>
      </c>
      <c r="C1394" t="str">
        <f>IF(AND(A1394&gt;=SETTINGS!$B$4,A1394&lt;=SETTINGS!$B$5),"Yes","No")</f>
        <v>No</v>
      </c>
      <c r="D1394" t="str">
        <f>IFERROR(INDEX(SETTINGS!$C$15:$C$24,MATCH(A1394,SETTINGS!$A$15:$A$24,0)),"No")</f>
        <v>No</v>
      </c>
      <c r="E1394">
        <v>2</v>
      </c>
      <c r="F1394" t="s">
        <v>35</v>
      </c>
      <c r="G1394">
        <v>39</v>
      </c>
      <c r="H1394" t="s">
        <v>99</v>
      </c>
      <c r="I1394" t="s">
        <v>15</v>
      </c>
      <c r="J1394" t="s">
        <v>18</v>
      </c>
      <c r="K1394" t="s">
        <v>3</v>
      </c>
      <c r="L1394" s="36">
        <f ca="1">IF(C1394&lt;&gt;"Yes",0,IF(A1394=2025,N('2025'!D39),IF(A1394=2026,N('2026'!D39),IF(A1394=2027,N('2027'!D39),IF(A1394=2028,N('2028'!D39),IF(A1394=2029,N('2029'!D39),IF(A1394=2030,N('2030'!D39),IF(A1394=2031,N('2031'!D39),IF(A1394=2032,N('2032'!D39),IF(A1394=2033,N('2033'!D39),IF(A1394=2034,N('2034'!D39),IFERROR(N(INDIRECT("'"&amp;A1394&amp;"'!D"&amp;G1394)),0))))))))))))</f>
        <v>0</v>
      </c>
      <c r="M1394" s="36">
        <f>IFERROR(IF(NOT(ISBLANK(KPI_TARGETS!$M$10)),KPI_TARGETS!$M$10,IF(NOT(ISBLANK(KPI_TARGETS!$F$10)),KPI_TARGETS!$F$10,"")),"")</f>
        <v>0</v>
      </c>
      <c r="N1394" s="36" t="str">
        <f>IFERROR(KPI_TARGETS!$E$10,"Higher is better")</f>
        <v>Lower is better</v>
      </c>
      <c r="O1394" s="37">
        <f t="shared" ca="1" si="126"/>
        <v>1</v>
      </c>
      <c r="P1394" t="str">
        <f t="shared" ca="1" si="127"/>
        <v>Green</v>
      </c>
      <c r="Q1394" s="36">
        <f t="shared" ca="1" si="128"/>
        <v>0</v>
      </c>
      <c r="R1394" s="36" t="str">
        <f>""</f>
        <v/>
      </c>
      <c r="S1394" s="36" t="str">
        <f>""</f>
        <v/>
      </c>
      <c r="T1394" s="36" t="str">
        <f>""</f>
        <v/>
      </c>
      <c r="U1394" s="36" t="str">
        <f>""</f>
        <v/>
      </c>
      <c r="V1394" s="36" t="str">
        <f>""</f>
        <v/>
      </c>
      <c r="W1394" s="36">
        <f t="shared" si="129"/>
        <v>1</v>
      </c>
      <c r="X1394" t="str">
        <f t="shared" si="130"/>
        <v>Inactive</v>
      </c>
      <c r="Y1394" t="str">
        <f>IF(MAIN!$H$3="Selected Year",IF(A1394=MAIN!$B$3,"Yes","No"),IF(MAIN!$H$3="Included Years",IF(D1394="Yes","Yes","No"),IF(C1394="Yes","Yes","No")))</f>
        <v>No</v>
      </c>
      <c r="Z1394" t="str">
        <f>IF(MAIN!$F$3="Project to Date",IF(AND(A1394&gt;=SETTINGS!$B$4,A1394&lt;MAIN!$B$3),"Yes",IF(AND(A1394=MAIN!$B$3,E1394&lt;=MAIN!$L$3),"Yes","No")),IF(OR(MAIN!$F$3="Full Year",MAIN!$D$3="All"),"Yes",IF(MAIN!$F$3="Monthly",IF(E1394=MAIN!$L$3,"Yes","No"),IF(E1394&lt;=MAIN!$L$3,"Yes","No"))))</f>
        <v>Yes</v>
      </c>
      <c r="AA1394" t="str">
        <f t="shared" si="131"/>
        <v>No</v>
      </c>
    </row>
    <row r="1395" spans="1:27" x14ac:dyDescent="0.3">
      <c r="A1395">
        <f>INDEX(SETTINGS!$A$15:$A$24,$B1395)</f>
        <v>2031</v>
      </c>
      <c r="B1395">
        <v>7</v>
      </c>
      <c r="C1395" t="str">
        <f>IF(AND(A1395&gt;=SETTINGS!$B$4,A1395&lt;=SETTINGS!$B$5),"Yes","No")</f>
        <v>No</v>
      </c>
      <c r="D1395" t="str">
        <f>IFERROR(INDEX(SETTINGS!$C$15:$C$24,MATCH(A1395,SETTINGS!$A$15:$A$24,0)),"No")</f>
        <v>No</v>
      </c>
      <c r="E1395">
        <v>2</v>
      </c>
      <c r="F1395" t="s">
        <v>35</v>
      </c>
      <c r="G1395">
        <v>40</v>
      </c>
      <c r="H1395" t="s">
        <v>100</v>
      </c>
      <c r="I1395" t="s">
        <v>15</v>
      </c>
      <c r="J1395" t="s">
        <v>19</v>
      </c>
      <c r="K1395" t="s">
        <v>3</v>
      </c>
      <c r="L1395" s="36">
        <f ca="1">IF(C1395&lt;&gt;"Yes",0,IF(A1395=2025,N('2025'!D40),IF(A1395=2026,N('2026'!D40),IF(A1395=2027,N('2027'!D40),IF(A1395=2028,N('2028'!D40),IF(A1395=2029,N('2029'!D40),IF(A1395=2030,N('2030'!D40),IF(A1395=2031,N('2031'!D40),IF(A1395=2032,N('2032'!D40),IF(A1395=2033,N('2033'!D40),IF(A1395=2034,N('2034'!D40),IFERROR(N(INDIRECT("'"&amp;A1395&amp;"'!D"&amp;G1395)),0))))))))))))</f>
        <v>0</v>
      </c>
      <c r="M1395" s="36">
        <f>IFERROR(IF(NOT(ISBLANK(KPI_TARGETS!$M$11)),KPI_TARGETS!$M$11,IF(NOT(ISBLANK(KPI_TARGETS!$F$11)),KPI_TARGETS!$F$11,"")),"")</f>
        <v>0</v>
      </c>
      <c r="N1395" s="36" t="str">
        <f>IFERROR(KPI_TARGETS!$E$11,"Higher is better")</f>
        <v>Lower is better</v>
      </c>
      <c r="O1395" s="37">
        <f t="shared" ca="1" si="126"/>
        <v>1</v>
      </c>
      <c r="P1395" t="str">
        <f t="shared" ca="1" si="127"/>
        <v>Green</v>
      </c>
      <c r="Q1395" s="36">
        <f t="shared" ca="1" si="128"/>
        <v>0</v>
      </c>
      <c r="R1395" s="36" t="str">
        <f>""</f>
        <v/>
      </c>
      <c r="S1395" s="36" t="str">
        <f>""</f>
        <v/>
      </c>
      <c r="T1395" s="36" t="str">
        <f>""</f>
        <v/>
      </c>
      <c r="U1395" s="36" t="str">
        <f>""</f>
        <v/>
      </c>
      <c r="V1395" s="36" t="str">
        <f>""</f>
        <v/>
      </c>
      <c r="W1395" s="36">
        <f t="shared" si="129"/>
        <v>1</v>
      </c>
      <c r="X1395" t="str">
        <f t="shared" si="130"/>
        <v>Inactive</v>
      </c>
      <c r="Y1395" t="str">
        <f>IF(MAIN!$H$3="Selected Year",IF(A1395=MAIN!$B$3,"Yes","No"),IF(MAIN!$H$3="Included Years",IF(D1395="Yes","Yes","No"),IF(C1395="Yes","Yes","No")))</f>
        <v>No</v>
      </c>
      <c r="Z1395" t="str">
        <f>IF(MAIN!$F$3="Project to Date",IF(AND(A1395&gt;=SETTINGS!$B$4,A1395&lt;MAIN!$B$3),"Yes",IF(AND(A1395=MAIN!$B$3,E1395&lt;=MAIN!$L$3),"Yes","No")),IF(OR(MAIN!$F$3="Full Year",MAIN!$D$3="All"),"Yes",IF(MAIN!$F$3="Monthly",IF(E1395=MAIN!$L$3,"Yes","No"),IF(E1395&lt;=MAIN!$L$3,"Yes","No"))))</f>
        <v>Yes</v>
      </c>
      <c r="AA1395" t="str">
        <f t="shared" si="131"/>
        <v>No</v>
      </c>
    </row>
    <row r="1396" spans="1:27" x14ac:dyDescent="0.3">
      <c r="A1396">
        <f>INDEX(SETTINGS!$A$15:$A$24,$B1396)</f>
        <v>2031</v>
      </c>
      <c r="B1396">
        <v>7</v>
      </c>
      <c r="C1396" t="str">
        <f>IF(AND(A1396&gt;=SETTINGS!$B$4,A1396&lt;=SETTINGS!$B$5),"Yes","No")</f>
        <v>No</v>
      </c>
      <c r="D1396" t="str">
        <f>IFERROR(INDEX(SETTINGS!$C$15:$C$24,MATCH(A1396,SETTINGS!$A$15:$A$24,0)),"No")</f>
        <v>No</v>
      </c>
      <c r="E1396">
        <v>2</v>
      </c>
      <c r="F1396" t="s">
        <v>35</v>
      </c>
      <c r="G1396">
        <v>41</v>
      </c>
      <c r="H1396" t="s">
        <v>101</v>
      </c>
      <c r="I1396" t="s">
        <v>15</v>
      </c>
      <c r="J1396" t="s">
        <v>20</v>
      </c>
      <c r="K1396" t="s">
        <v>3</v>
      </c>
      <c r="L1396" s="36">
        <f ca="1">IF(C1396&lt;&gt;"Yes",0,IF(A1396=2025,N('2025'!D41),IF(A1396=2026,N('2026'!D41),IF(A1396=2027,N('2027'!D41),IF(A1396=2028,N('2028'!D41),IF(A1396=2029,N('2029'!D41),IF(A1396=2030,N('2030'!D41),IF(A1396=2031,N('2031'!D41),IF(A1396=2032,N('2032'!D41),IF(A1396=2033,N('2033'!D41),IF(A1396=2034,N('2034'!D41),IFERROR(N(INDIRECT("'"&amp;A1396&amp;"'!D"&amp;G1396)),0))))))))))))</f>
        <v>0</v>
      </c>
      <c r="M1396" s="36">
        <f>IFERROR(IF(NOT(ISBLANK(KPI_TARGETS!$M$12)),KPI_TARGETS!$M$12,IF(NOT(ISBLANK(KPI_TARGETS!$F$12)),KPI_TARGETS!$F$12,"")),"")</f>
        <v>0</v>
      </c>
      <c r="N1396" s="36" t="str">
        <f>IFERROR(KPI_TARGETS!$E$12,"Higher is better")</f>
        <v>Lower is better</v>
      </c>
      <c r="O1396" s="37">
        <f t="shared" ca="1" si="126"/>
        <v>1</v>
      </c>
      <c r="P1396" t="str">
        <f t="shared" ca="1" si="127"/>
        <v>Green</v>
      </c>
      <c r="Q1396" s="36">
        <f t="shared" ca="1" si="128"/>
        <v>0</v>
      </c>
      <c r="R1396" s="36" t="str">
        <f>""</f>
        <v/>
      </c>
      <c r="S1396" s="36" t="str">
        <f>""</f>
        <v/>
      </c>
      <c r="T1396" s="36" t="str">
        <f>""</f>
        <v/>
      </c>
      <c r="U1396" s="36" t="str">
        <f>""</f>
        <v/>
      </c>
      <c r="V1396" s="36" t="str">
        <f>""</f>
        <v/>
      </c>
      <c r="W1396" s="36">
        <f t="shared" si="129"/>
        <v>1</v>
      </c>
      <c r="X1396" t="str">
        <f t="shared" si="130"/>
        <v>Inactive</v>
      </c>
      <c r="Y1396" t="str">
        <f>IF(MAIN!$H$3="Selected Year",IF(A1396=MAIN!$B$3,"Yes","No"),IF(MAIN!$H$3="Included Years",IF(D1396="Yes","Yes","No"),IF(C1396="Yes","Yes","No")))</f>
        <v>No</v>
      </c>
      <c r="Z1396" t="str">
        <f>IF(MAIN!$F$3="Project to Date",IF(AND(A1396&gt;=SETTINGS!$B$4,A1396&lt;MAIN!$B$3),"Yes",IF(AND(A1396=MAIN!$B$3,E1396&lt;=MAIN!$L$3),"Yes","No")),IF(OR(MAIN!$F$3="Full Year",MAIN!$D$3="All"),"Yes",IF(MAIN!$F$3="Monthly",IF(E1396=MAIN!$L$3,"Yes","No"),IF(E1396&lt;=MAIN!$L$3,"Yes","No"))))</f>
        <v>Yes</v>
      </c>
      <c r="AA1396" t="str">
        <f t="shared" si="131"/>
        <v>No</v>
      </c>
    </row>
    <row r="1397" spans="1:27" x14ac:dyDescent="0.3">
      <c r="A1397">
        <f>INDEX(SETTINGS!$A$15:$A$24,$B1397)</f>
        <v>2031</v>
      </c>
      <c r="B1397">
        <v>7</v>
      </c>
      <c r="C1397" t="str">
        <f>IF(AND(A1397&gt;=SETTINGS!$B$4,A1397&lt;=SETTINGS!$B$5),"Yes","No")</f>
        <v>No</v>
      </c>
      <c r="D1397" t="str">
        <f>IFERROR(INDEX(SETTINGS!$C$15:$C$24,MATCH(A1397,SETTINGS!$A$15:$A$24,0)),"No")</f>
        <v>No</v>
      </c>
      <c r="E1397">
        <v>2</v>
      </c>
      <c r="F1397" t="s">
        <v>35</v>
      </c>
      <c r="G1397">
        <v>42</v>
      </c>
      <c r="H1397" t="s">
        <v>102</v>
      </c>
      <c r="I1397" t="s">
        <v>15</v>
      </c>
      <c r="J1397" t="s">
        <v>21</v>
      </c>
      <c r="K1397" t="s">
        <v>3</v>
      </c>
      <c r="L1397" s="36">
        <f ca="1">IF(C1397&lt;&gt;"Yes",0,IF(A1397=2025,N('2025'!D42),IF(A1397=2026,N('2026'!D42),IF(A1397=2027,N('2027'!D42),IF(A1397=2028,N('2028'!D42),IF(A1397=2029,N('2029'!D42),IF(A1397=2030,N('2030'!D42),IF(A1397=2031,N('2031'!D42),IF(A1397=2032,N('2032'!D42),IF(A1397=2033,N('2033'!D42),IF(A1397=2034,N('2034'!D42),IFERROR(N(INDIRECT("'"&amp;A1397&amp;"'!D"&amp;G1397)),0))))))))))))</f>
        <v>0</v>
      </c>
      <c r="M1397" s="36">
        <f>IFERROR(IF(NOT(ISBLANK(KPI_TARGETS!$M$13)),KPI_TARGETS!$M$13,IF(NOT(ISBLANK(KPI_TARGETS!$F$13)),KPI_TARGETS!$F$13,"")),"")</f>
        <v>0</v>
      </c>
      <c r="N1397" s="36" t="str">
        <f>IFERROR(KPI_TARGETS!$E$13,"Higher is better")</f>
        <v>Lower is better</v>
      </c>
      <c r="O1397" s="37">
        <f t="shared" ca="1" si="126"/>
        <v>1</v>
      </c>
      <c r="P1397" t="str">
        <f t="shared" ca="1" si="127"/>
        <v>Green</v>
      </c>
      <c r="Q1397" s="36">
        <f t="shared" ca="1" si="128"/>
        <v>0</v>
      </c>
      <c r="R1397" s="36" t="str">
        <f>""</f>
        <v/>
      </c>
      <c r="S1397" s="36" t="str">
        <f>""</f>
        <v/>
      </c>
      <c r="T1397" s="36" t="str">
        <f>""</f>
        <v/>
      </c>
      <c r="U1397" s="36" t="str">
        <f>""</f>
        <v/>
      </c>
      <c r="V1397" s="36" t="str">
        <f>""</f>
        <v/>
      </c>
      <c r="W1397" s="36">
        <f t="shared" si="129"/>
        <v>1</v>
      </c>
      <c r="X1397" t="str">
        <f t="shared" si="130"/>
        <v>Inactive</v>
      </c>
      <c r="Y1397" t="str">
        <f>IF(MAIN!$H$3="Selected Year",IF(A1397=MAIN!$B$3,"Yes","No"),IF(MAIN!$H$3="Included Years",IF(D1397="Yes","Yes","No"),IF(C1397="Yes","Yes","No")))</f>
        <v>No</v>
      </c>
      <c r="Z1397" t="str">
        <f>IF(MAIN!$F$3="Project to Date",IF(AND(A1397&gt;=SETTINGS!$B$4,A1397&lt;MAIN!$B$3),"Yes",IF(AND(A1397=MAIN!$B$3,E1397&lt;=MAIN!$L$3),"Yes","No")),IF(OR(MAIN!$F$3="Full Year",MAIN!$D$3="All"),"Yes",IF(MAIN!$F$3="Monthly",IF(E1397=MAIN!$L$3,"Yes","No"),IF(E1397&lt;=MAIN!$L$3,"Yes","No"))))</f>
        <v>Yes</v>
      </c>
      <c r="AA1397" t="str">
        <f t="shared" si="131"/>
        <v>No</v>
      </c>
    </row>
    <row r="1398" spans="1:27" x14ac:dyDescent="0.3">
      <c r="A1398">
        <f>INDEX(SETTINGS!$A$15:$A$24,$B1398)</f>
        <v>2031</v>
      </c>
      <c r="B1398">
        <v>7</v>
      </c>
      <c r="C1398" t="str">
        <f>IF(AND(A1398&gt;=SETTINGS!$B$4,A1398&lt;=SETTINGS!$B$5),"Yes","No")</f>
        <v>No</v>
      </c>
      <c r="D1398" t="str">
        <f>IFERROR(INDEX(SETTINGS!$C$15:$C$24,MATCH(A1398,SETTINGS!$A$15:$A$24,0)),"No")</f>
        <v>No</v>
      </c>
      <c r="E1398">
        <v>2</v>
      </c>
      <c r="F1398" t="s">
        <v>35</v>
      </c>
      <c r="G1398">
        <v>44</v>
      </c>
      <c r="H1398" t="s">
        <v>103</v>
      </c>
      <c r="I1398" t="s">
        <v>22</v>
      </c>
      <c r="J1398" t="s">
        <v>23</v>
      </c>
      <c r="K1398" t="s">
        <v>3</v>
      </c>
      <c r="L1398" s="36">
        <f ca="1">IF(C1398&lt;&gt;"Yes",0,IF(A1398=2025,N('2025'!D44),IF(A1398=2026,N('2026'!D44),IF(A1398=2027,N('2027'!D44),IF(A1398=2028,N('2028'!D44),IF(A1398=2029,N('2029'!D44),IF(A1398=2030,N('2030'!D44),IF(A1398=2031,N('2031'!D44),IF(A1398=2032,N('2032'!D44),IF(A1398=2033,N('2033'!D44),IF(A1398=2034,N('2034'!D44),IFERROR(N(INDIRECT("'"&amp;A1398&amp;"'!D"&amp;G1398)),0))))))))))))</f>
        <v>0</v>
      </c>
      <c r="M1398" s="36">
        <f>IFERROR(IF(NOT(ISBLANK(KPI_TARGETS!$M$14)),KPI_TARGETS!$M$14,IF(NOT(ISBLANK(KPI_TARGETS!$F$14)),KPI_TARGETS!$F$14,"")),"")</f>
        <v>35</v>
      </c>
      <c r="N1398" s="36" t="str">
        <f>IFERROR(KPI_TARGETS!$E$14,"Higher is better")</f>
        <v>Higher is better</v>
      </c>
      <c r="O1398" s="37">
        <f t="shared" ca="1" si="126"/>
        <v>0</v>
      </c>
      <c r="P1398" t="str">
        <f t="shared" ca="1" si="127"/>
        <v>Red</v>
      </c>
      <c r="Q1398" s="36">
        <f t="shared" ca="1" si="128"/>
        <v>-35</v>
      </c>
      <c r="R1398" s="36" t="str">
        <f>""</f>
        <v/>
      </c>
      <c r="S1398" s="36" t="str">
        <f>""</f>
        <v/>
      </c>
      <c r="T1398" s="36" t="str">
        <f>""</f>
        <v/>
      </c>
      <c r="U1398" s="36" t="str">
        <f>""</f>
        <v/>
      </c>
      <c r="V1398" s="36" t="str">
        <f>""</f>
        <v/>
      </c>
      <c r="W1398" s="36">
        <f t="shared" si="129"/>
        <v>1</v>
      </c>
      <c r="X1398" t="str">
        <f t="shared" si="130"/>
        <v>Inactive</v>
      </c>
      <c r="Y1398" t="str">
        <f>IF(MAIN!$H$3="Selected Year",IF(A1398=MAIN!$B$3,"Yes","No"),IF(MAIN!$H$3="Included Years",IF(D1398="Yes","Yes","No"),IF(C1398="Yes","Yes","No")))</f>
        <v>No</v>
      </c>
      <c r="Z1398" t="str">
        <f>IF(MAIN!$F$3="Project to Date",IF(AND(A1398&gt;=SETTINGS!$B$4,A1398&lt;MAIN!$B$3),"Yes",IF(AND(A1398=MAIN!$B$3,E1398&lt;=MAIN!$L$3),"Yes","No")),IF(OR(MAIN!$F$3="Full Year",MAIN!$D$3="All"),"Yes",IF(MAIN!$F$3="Monthly",IF(E1398=MAIN!$L$3,"Yes","No"),IF(E1398&lt;=MAIN!$L$3,"Yes","No"))))</f>
        <v>Yes</v>
      </c>
      <c r="AA1398" t="str">
        <f t="shared" si="131"/>
        <v>No</v>
      </c>
    </row>
    <row r="1399" spans="1:27" x14ac:dyDescent="0.3">
      <c r="A1399">
        <f>INDEX(SETTINGS!$A$15:$A$24,$B1399)</f>
        <v>2031</v>
      </c>
      <c r="B1399">
        <v>7</v>
      </c>
      <c r="C1399" t="str">
        <f>IF(AND(A1399&gt;=SETTINGS!$B$4,A1399&lt;=SETTINGS!$B$5),"Yes","No")</f>
        <v>No</v>
      </c>
      <c r="D1399" t="str">
        <f>IFERROR(INDEX(SETTINGS!$C$15:$C$24,MATCH(A1399,SETTINGS!$A$15:$A$24,0)),"No")</f>
        <v>No</v>
      </c>
      <c r="E1399">
        <v>2</v>
      </c>
      <c r="F1399" t="s">
        <v>35</v>
      </c>
      <c r="G1399">
        <v>45</v>
      </c>
      <c r="H1399" t="s">
        <v>104</v>
      </c>
      <c r="I1399" t="s">
        <v>22</v>
      </c>
      <c r="J1399" t="s">
        <v>24</v>
      </c>
      <c r="K1399" t="s">
        <v>3</v>
      </c>
      <c r="L1399" s="36">
        <f ca="1">IF(C1399&lt;&gt;"Yes",0,IF(A1399=2025,N('2025'!D45),IF(A1399=2026,N('2026'!D45),IF(A1399=2027,N('2027'!D45),IF(A1399=2028,N('2028'!D45),IF(A1399=2029,N('2029'!D45),IF(A1399=2030,N('2030'!D45),IF(A1399=2031,N('2031'!D45),IF(A1399=2032,N('2032'!D45),IF(A1399=2033,N('2033'!D45),IF(A1399=2034,N('2034'!D45),IFERROR(N(INDIRECT("'"&amp;A1399&amp;"'!D"&amp;G1399)),0))))))))))))</f>
        <v>0</v>
      </c>
      <c r="M1399" s="36">
        <f>IFERROR(IF(NOT(ISBLANK(KPI_TARGETS!$M$15)),KPI_TARGETS!$M$15,IF(NOT(ISBLANK(KPI_TARGETS!$F$15)),KPI_TARGETS!$F$15,"")),"")</f>
        <v>5</v>
      </c>
      <c r="N1399" s="36" t="str">
        <f>IFERROR(KPI_TARGETS!$E$15,"Higher is better")</f>
        <v>Higher is better</v>
      </c>
      <c r="O1399" s="37">
        <f t="shared" ca="1" si="126"/>
        <v>0</v>
      </c>
      <c r="P1399" t="str">
        <f t="shared" ca="1" si="127"/>
        <v>Red</v>
      </c>
      <c r="Q1399" s="36">
        <f t="shared" ca="1" si="128"/>
        <v>-5</v>
      </c>
      <c r="R1399" s="36" t="str">
        <f>""</f>
        <v/>
      </c>
      <c r="S1399" s="36" t="str">
        <f>""</f>
        <v/>
      </c>
      <c r="T1399" s="36" t="str">
        <f>""</f>
        <v/>
      </c>
      <c r="U1399" s="36" t="str">
        <f>""</f>
        <v/>
      </c>
      <c r="V1399" s="36" t="str">
        <f>""</f>
        <v/>
      </c>
      <c r="W1399" s="36">
        <f t="shared" si="129"/>
        <v>1</v>
      </c>
      <c r="X1399" t="str">
        <f t="shared" si="130"/>
        <v>Inactive</v>
      </c>
      <c r="Y1399" t="str">
        <f>IF(MAIN!$H$3="Selected Year",IF(A1399=MAIN!$B$3,"Yes","No"),IF(MAIN!$H$3="Included Years",IF(D1399="Yes","Yes","No"),IF(C1399="Yes","Yes","No")))</f>
        <v>No</v>
      </c>
      <c r="Z1399" t="str">
        <f>IF(MAIN!$F$3="Project to Date",IF(AND(A1399&gt;=SETTINGS!$B$4,A1399&lt;MAIN!$B$3),"Yes",IF(AND(A1399=MAIN!$B$3,E1399&lt;=MAIN!$L$3),"Yes","No")),IF(OR(MAIN!$F$3="Full Year",MAIN!$D$3="All"),"Yes",IF(MAIN!$F$3="Monthly",IF(E1399=MAIN!$L$3,"Yes","No"),IF(E1399&lt;=MAIN!$L$3,"Yes","No"))))</f>
        <v>Yes</v>
      </c>
      <c r="AA1399" t="str">
        <f t="shared" si="131"/>
        <v>No</v>
      </c>
    </row>
    <row r="1400" spans="1:27" x14ac:dyDescent="0.3">
      <c r="A1400">
        <f>INDEX(SETTINGS!$A$15:$A$24,$B1400)</f>
        <v>2031</v>
      </c>
      <c r="B1400">
        <v>7</v>
      </c>
      <c r="C1400" t="str">
        <f>IF(AND(A1400&gt;=SETTINGS!$B$4,A1400&lt;=SETTINGS!$B$5),"Yes","No")</f>
        <v>No</v>
      </c>
      <c r="D1400" t="str">
        <f>IFERROR(INDEX(SETTINGS!$C$15:$C$24,MATCH(A1400,SETTINGS!$A$15:$A$24,0)),"No")</f>
        <v>No</v>
      </c>
      <c r="E1400">
        <v>2</v>
      </c>
      <c r="F1400" t="s">
        <v>35</v>
      </c>
      <c r="G1400">
        <v>46</v>
      </c>
      <c r="H1400" t="s">
        <v>105</v>
      </c>
      <c r="I1400" t="s">
        <v>22</v>
      </c>
      <c r="J1400" t="s">
        <v>25</v>
      </c>
      <c r="K1400" t="s">
        <v>3</v>
      </c>
      <c r="L1400" s="36">
        <f ca="1">IF(C1400&lt;&gt;"Yes",0,IF(A1400=2025,N('2025'!D46),IF(A1400=2026,N('2026'!D46),IF(A1400=2027,N('2027'!D46),IF(A1400=2028,N('2028'!D46),IF(A1400=2029,N('2029'!D46),IF(A1400=2030,N('2030'!D46),IF(A1400=2031,N('2031'!D46),IF(A1400=2032,N('2032'!D46),IF(A1400=2033,N('2033'!D46),IF(A1400=2034,N('2034'!D46),IFERROR(N(INDIRECT("'"&amp;A1400&amp;"'!D"&amp;G1400)),0))))))))))))</f>
        <v>0</v>
      </c>
      <c r="M1400" s="36">
        <f>IFERROR(IF(NOT(ISBLANK(KPI_TARGETS!$M$16)),KPI_TARGETS!$M$16,IF(NOT(ISBLANK(KPI_TARGETS!$F$16)),KPI_TARGETS!$F$16,"")),"")</f>
        <v>4</v>
      </c>
      <c r="N1400" s="36" t="str">
        <f>IFERROR(KPI_TARGETS!$E$16,"Higher is better")</f>
        <v>Higher is better</v>
      </c>
      <c r="O1400" s="37">
        <f t="shared" ca="1" si="126"/>
        <v>0</v>
      </c>
      <c r="P1400" t="str">
        <f t="shared" ca="1" si="127"/>
        <v>Red</v>
      </c>
      <c r="Q1400" s="36">
        <f t="shared" ca="1" si="128"/>
        <v>-4</v>
      </c>
      <c r="R1400" s="36" t="str">
        <f>""</f>
        <v/>
      </c>
      <c r="S1400" s="36" t="str">
        <f>""</f>
        <v/>
      </c>
      <c r="T1400" s="36" t="str">
        <f>""</f>
        <v/>
      </c>
      <c r="U1400" s="36" t="str">
        <f>""</f>
        <v/>
      </c>
      <c r="V1400" s="36" t="str">
        <f>""</f>
        <v/>
      </c>
      <c r="W1400" s="36">
        <f t="shared" si="129"/>
        <v>1</v>
      </c>
      <c r="X1400" t="str">
        <f t="shared" si="130"/>
        <v>Inactive</v>
      </c>
      <c r="Y1400" t="str">
        <f>IF(MAIN!$H$3="Selected Year",IF(A1400=MAIN!$B$3,"Yes","No"),IF(MAIN!$H$3="Included Years",IF(D1400="Yes","Yes","No"),IF(C1400="Yes","Yes","No")))</f>
        <v>No</v>
      </c>
      <c r="Z1400" t="str">
        <f>IF(MAIN!$F$3="Project to Date",IF(AND(A1400&gt;=SETTINGS!$B$4,A1400&lt;MAIN!$B$3),"Yes",IF(AND(A1400=MAIN!$B$3,E1400&lt;=MAIN!$L$3),"Yes","No")),IF(OR(MAIN!$F$3="Full Year",MAIN!$D$3="All"),"Yes",IF(MAIN!$F$3="Monthly",IF(E1400=MAIN!$L$3,"Yes","No"),IF(E1400&lt;=MAIN!$L$3,"Yes","No"))))</f>
        <v>Yes</v>
      </c>
      <c r="AA1400" t="str">
        <f t="shared" si="131"/>
        <v>No</v>
      </c>
    </row>
    <row r="1401" spans="1:27" x14ac:dyDescent="0.3">
      <c r="A1401">
        <f>INDEX(SETTINGS!$A$15:$A$24,$B1401)</f>
        <v>2031</v>
      </c>
      <c r="B1401">
        <v>7</v>
      </c>
      <c r="C1401" t="str">
        <f>IF(AND(A1401&gt;=SETTINGS!$B$4,A1401&lt;=SETTINGS!$B$5),"Yes","No")</f>
        <v>No</v>
      </c>
      <c r="D1401" t="str">
        <f>IFERROR(INDEX(SETTINGS!$C$15:$C$24,MATCH(A1401,SETTINGS!$A$15:$A$24,0)),"No")</f>
        <v>No</v>
      </c>
      <c r="E1401">
        <v>2</v>
      </c>
      <c r="F1401" t="s">
        <v>35</v>
      </c>
      <c r="G1401">
        <v>47</v>
      </c>
      <c r="H1401" t="s">
        <v>106</v>
      </c>
      <c r="I1401" t="s">
        <v>22</v>
      </c>
      <c r="J1401" t="s">
        <v>26</v>
      </c>
      <c r="K1401" t="s">
        <v>3</v>
      </c>
      <c r="L1401" s="36">
        <f ca="1">IF(C1401&lt;&gt;"Yes",0,IF(A1401=2025,N('2025'!D47),IF(A1401=2026,N('2026'!D47),IF(A1401=2027,N('2027'!D47),IF(A1401=2028,N('2028'!D47),IF(A1401=2029,N('2029'!D47),IF(A1401=2030,N('2030'!D47),IF(A1401=2031,N('2031'!D47),IF(A1401=2032,N('2032'!D47),IF(A1401=2033,N('2033'!D47),IF(A1401=2034,N('2034'!D47),IFERROR(N(INDIRECT("'"&amp;A1401&amp;"'!D"&amp;G1401)),0))))))))))))</f>
        <v>0</v>
      </c>
      <c r="M1401" s="36">
        <f>IFERROR(IF(NOT(ISBLANK(KPI_TARGETS!$M$17)),KPI_TARGETS!$M$17,IF(NOT(ISBLANK(KPI_TARGETS!$F$17)),KPI_TARGETS!$F$17,"")),"")</f>
        <v>12</v>
      </c>
      <c r="N1401" s="36" t="str">
        <f>IFERROR(KPI_TARGETS!$E$17,"Higher is better")</f>
        <v>Higher is better</v>
      </c>
      <c r="O1401" s="37">
        <f t="shared" ca="1" si="126"/>
        <v>0</v>
      </c>
      <c r="P1401" t="str">
        <f t="shared" ca="1" si="127"/>
        <v>Red</v>
      </c>
      <c r="Q1401" s="36">
        <f t="shared" ca="1" si="128"/>
        <v>-12</v>
      </c>
      <c r="R1401" s="36" t="str">
        <f>""</f>
        <v/>
      </c>
      <c r="S1401" s="36" t="str">
        <f>""</f>
        <v/>
      </c>
      <c r="T1401" s="36" t="str">
        <f>""</f>
        <v/>
      </c>
      <c r="U1401" s="36" t="str">
        <f>""</f>
        <v/>
      </c>
      <c r="V1401" s="36" t="str">
        <f>""</f>
        <v/>
      </c>
      <c r="W1401" s="36">
        <f t="shared" si="129"/>
        <v>1</v>
      </c>
      <c r="X1401" t="str">
        <f t="shared" si="130"/>
        <v>Inactive</v>
      </c>
      <c r="Y1401" t="str">
        <f>IF(MAIN!$H$3="Selected Year",IF(A1401=MAIN!$B$3,"Yes","No"),IF(MAIN!$H$3="Included Years",IF(D1401="Yes","Yes","No"),IF(C1401="Yes","Yes","No")))</f>
        <v>No</v>
      </c>
      <c r="Z1401" t="str">
        <f>IF(MAIN!$F$3="Project to Date",IF(AND(A1401&gt;=SETTINGS!$B$4,A1401&lt;MAIN!$B$3),"Yes",IF(AND(A1401=MAIN!$B$3,E1401&lt;=MAIN!$L$3),"Yes","No")),IF(OR(MAIN!$F$3="Full Year",MAIN!$D$3="All"),"Yes",IF(MAIN!$F$3="Monthly",IF(E1401=MAIN!$L$3,"Yes","No"),IF(E1401&lt;=MAIN!$L$3,"Yes","No"))))</f>
        <v>Yes</v>
      </c>
      <c r="AA1401" t="str">
        <f t="shared" si="131"/>
        <v>No</v>
      </c>
    </row>
    <row r="1402" spans="1:27" x14ac:dyDescent="0.3">
      <c r="A1402">
        <f>INDEX(SETTINGS!$A$15:$A$24,$B1402)</f>
        <v>2031</v>
      </c>
      <c r="B1402">
        <v>7</v>
      </c>
      <c r="C1402" t="str">
        <f>IF(AND(A1402&gt;=SETTINGS!$B$4,A1402&lt;=SETTINGS!$B$5),"Yes","No")</f>
        <v>No</v>
      </c>
      <c r="D1402" t="str">
        <f>IFERROR(INDEX(SETTINGS!$C$15:$C$24,MATCH(A1402,SETTINGS!$A$15:$A$24,0)),"No")</f>
        <v>No</v>
      </c>
      <c r="E1402">
        <v>2</v>
      </c>
      <c r="F1402" t="s">
        <v>35</v>
      </c>
      <c r="G1402">
        <v>48</v>
      </c>
      <c r="H1402" t="s">
        <v>107</v>
      </c>
      <c r="I1402" t="s">
        <v>22</v>
      </c>
      <c r="J1402" t="s">
        <v>27</v>
      </c>
      <c r="K1402" t="s">
        <v>3</v>
      </c>
      <c r="L1402" s="36">
        <f ca="1">IF(C1402&lt;&gt;"Yes",0,IF(A1402=2025,N('2025'!D48),IF(A1402=2026,N('2026'!D48),IF(A1402=2027,N('2027'!D48),IF(A1402=2028,N('2028'!D48),IF(A1402=2029,N('2029'!D48),IF(A1402=2030,N('2030'!D48),IF(A1402=2031,N('2031'!D48),IF(A1402=2032,N('2032'!D48),IF(A1402=2033,N('2033'!D48),IF(A1402=2034,N('2034'!D48),IFERROR(N(INDIRECT("'"&amp;A1402&amp;"'!D"&amp;G1402)),0))))))))))))</f>
        <v>0</v>
      </c>
      <c r="M1402" s="36">
        <f>IFERROR(IF(NOT(ISBLANK(KPI_TARGETS!$M$18)),KPI_TARGETS!$M$18,IF(NOT(ISBLANK(KPI_TARGETS!$F$18)),KPI_TARGETS!$F$18,"")),"")</f>
        <v>4</v>
      </c>
      <c r="N1402" s="36" t="str">
        <f>IFERROR(KPI_TARGETS!$E$18,"Higher is better")</f>
        <v>Higher is better</v>
      </c>
      <c r="O1402" s="37">
        <f t="shared" ca="1" si="126"/>
        <v>0</v>
      </c>
      <c r="P1402" t="str">
        <f t="shared" ca="1" si="127"/>
        <v>Red</v>
      </c>
      <c r="Q1402" s="36">
        <f t="shared" ca="1" si="128"/>
        <v>-4</v>
      </c>
      <c r="R1402" s="36" t="str">
        <f>""</f>
        <v/>
      </c>
      <c r="S1402" s="36" t="str">
        <f>""</f>
        <v/>
      </c>
      <c r="T1402" s="36" t="str">
        <f>""</f>
        <v/>
      </c>
      <c r="U1402" s="36" t="str">
        <f>""</f>
        <v/>
      </c>
      <c r="V1402" s="36" t="str">
        <f>""</f>
        <v/>
      </c>
      <c r="W1402" s="36">
        <f t="shared" si="129"/>
        <v>1</v>
      </c>
      <c r="X1402" t="str">
        <f t="shared" si="130"/>
        <v>Inactive</v>
      </c>
      <c r="Y1402" t="str">
        <f>IF(MAIN!$H$3="Selected Year",IF(A1402=MAIN!$B$3,"Yes","No"),IF(MAIN!$H$3="Included Years",IF(D1402="Yes","Yes","No"),IF(C1402="Yes","Yes","No")))</f>
        <v>No</v>
      </c>
      <c r="Z1402" t="str">
        <f>IF(MAIN!$F$3="Project to Date",IF(AND(A1402&gt;=SETTINGS!$B$4,A1402&lt;MAIN!$B$3),"Yes",IF(AND(A1402=MAIN!$B$3,E1402&lt;=MAIN!$L$3),"Yes","No")),IF(OR(MAIN!$F$3="Full Year",MAIN!$D$3="All"),"Yes",IF(MAIN!$F$3="Monthly",IF(E1402=MAIN!$L$3,"Yes","No"),IF(E1402&lt;=MAIN!$L$3,"Yes","No"))))</f>
        <v>Yes</v>
      </c>
      <c r="AA1402" t="str">
        <f t="shared" si="131"/>
        <v>No</v>
      </c>
    </row>
    <row r="1403" spans="1:27" x14ac:dyDescent="0.3">
      <c r="A1403">
        <f>INDEX(SETTINGS!$A$15:$A$24,$B1403)</f>
        <v>2031</v>
      </c>
      <c r="B1403">
        <v>7</v>
      </c>
      <c r="C1403" t="str">
        <f>IF(AND(A1403&gt;=SETTINGS!$B$4,A1403&lt;=SETTINGS!$B$5),"Yes","No")</f>
        <v>No</v>
      </c>
      <c r="D1403" t="str">
        <f>IFERROR(INDEX(SETTINGS!$C$15:$C$24,MATCH(A1403,SETTINGS!$A$15:$A$24,0)),"No")</f>
        <v>No</v>
      </c>
      <c r="E1403">
        <v>2</v>
      </c>
      <c r="F1403" t="s">
        <v>35</v>
      </c>
      <c r="G1403">
        <v>49</v>
      </c>
      <c r="H1403" t="s">
        <v>108</v>
      </c>
      <c r="I1403" t="s">
        <v>22</v>
      </c>
      <c r="J1403" t="s">
        <v>28</v>
      </c>
      <c r="K1403" t="s">
        <v>3</v>
      </c>
      <c r="L1403" s="36">
        <f ca="1">IF(C1403&lt;&gt;"Yes",0,IF(A1403=2025,N('2025'!D49),IF(A1403=2026,N('2026'!D49),IF(A1403=2027,N('2027'!D49),IF(A1403=2028,N('2028'!D49),IF(A1403=2029,N('2029'!D49),IF(A1403=2030,N('2030'!D49),IF(A1403=2031,N('2031'!D49),IF(A1403=2032,N('2032'!D49),IF(A1403=2033,N('2033'!D49),IF(A1403=2034,N('2034'!D49),IFERROR(N(INDIRECT("'"&amp;A1403&amp;"'!D"&amp;G1403)),0))))))))))))</f>
        <v>0</v>
      </c>
      <c r="M1403" s="36">
        <f>IFERROR(IF(NOT(ISBLANK(KPI_TARGETS!$M$19)),KPI_TARGETS!$M$19,IF(NOT(ISBLANK(KPI_TARGETS!$F$19)),KPI_TARGETS!$F$19,"")),"")</f>
        <v>16</v>
      </c>
      <c r="N1403" s="36" t="str">
        <f>IFERROR(KPI_TARGETS!$E$19,"Higher is better")</f>
        <v>Higher is better</v>
      </c>
      <c r="O1403" s="37">
        <f t="shared" ca="1" si="126"/>
        <v>0</v>
      </c>
      <c r="P1403" t="str">
        <f t="shared" ca="1" si="127"/>
        <v>Red</v>
      </c>
      <c r="Q1403" s="36">
        <f t="shared" ca="1" si="128"/>
        <v>-16</v>
      </c>
      <c r="R1403" s="36" t="str">
        <f>""</f>
        <v/>
      </c>
      <c r="S1403" s="36" t="str">
        <f>""</f>
        <v/>
      </c>
      <c r="T1403" s="36" t="str">
        <f>""</f>
        <v/>
      </c>
      <c r="U1403" s="36" t="str">
        <f>""</f>
        <v/>
      </c>
      <c r="V1403" s="36" t="str">
        <f>""</f>
        <v/>
      </c>
      <c r="W1403" s="36">
        <f t="shared" si="129"/>
        <v>1</v>
      </c>
      <c r="X1403" t="str">
        <f t="shared" si="130"/>
        <v>Inactive</v>
      </c>
      <c r="Y1403" t="str">
        <f>IF(MAIN!$H$3="Selected Year",IF(A1403=MAIN!$B$3,"Yes","No"),IF(MAIN!$H$3="Included Years",IF(D1403="Yes","Yes","No"),IF(C1403="Yes","Yes","No")))</f>
        <v>No</v>
      </c>
      <c r="Z1403" t="str">
        <f>IF(MAIN!$F$3="Project to Date",IF(AND(A1403&gt;=SETTINGS!$B$4,A1403&lt;MAIN!$B$3),"Yes",IF(AND(A1403=MAIN!$B$3,E1403&lt;=MAIN!$L$3),"Yes","No")),IF(OR(MAIN!$F$3="Full Year",MAIN!$D$3="All"),"Yes",IF(MAIN!$F$3="Monthly",IF(E1403=MAIN!$L$3,"Yes","No"),IF(E1403&lt;=MAIN!$L$3,"Yes","No"))))</f>
        <v>Yes</v>
      </c>
      <c r="AA1403" t="str">
        <f t="shared" si="131"/>
        <v>No</v>
      </c>
    </row>
    <row r="1404" spans="1:27" x14ac:dyDescent="0.3">
      <c r="A1404">
        <f>INDEX(SETTINGS!$A$15:$A$24,$B1404)</f>
        <v>2031</v>
      </c>
      <c r="B1404">
        <v>7</v>
      </c>
      <c r="C1404" t="str">
        <f>IF(AND(A1404&gt;=SETTINGS!$B$4,A1404&lt;=SETTINGS!$B$5),"Yes","No")</f>
        <v>No</v>
      </c>
      <c r="D1404" t="str">
        <f>IFERROR(INDEX(SETTINGS!$C$15:$C$24,MATCH(A1404,SETTINGS!$A$15:$A$24,0)),"No")</f>
        <v>No</v>
      </c>
      <c r="E1404">
        <v>2</v>
      </c>
      <c r="F1404" t="s">
        <v>35</v>
      </c>
      <c r="G1404">
        <v>50</v>
      </c>
      <c r="H1404" t="s">
        <v>109</v>
      </c>
      <c r="I1404" t="s">
        <v>22</v>
      </c>
      <c r="J1404" t="s">
        <v>29</v>
      </c>
      <c r="K1404" t="s">
        <v>3</v>
      </c>
      <c r="L1404" s="36">
        <f ca="1">IF(C1404&lt;&gt;"Yes",0,IF(A1404=2025,N('2025'!D50),IF(A1404=2026,N('2026'!D50),IF(A1404=2027,N('2027'!D50),IF(A1404=2028,N('2028'!D50),IF(A1404=2029,N('2029'!D50),IF(A1404=2030,N('2030'!D50),IF(A1404=2031,N('2031'!D50),IF(A1404=2032,N('2032'!D50),IF(A1404=2033,N('2033'!D50),IF(A1404=2034,N('2034'!D50),IFERROR(N(INDIRECT("'"&amp;A1404&amp;"'!D"&amp;G1404)),0))))))))))))</f>
        <v>0</v>
      </c>
      <c r="M1404" s="36">
        <f>IFERROR(IF(NOT(ISBLANK(KPI_TARGETS!$M$20)),KPI_TARGETS!$M$20,IF(NOT(ISBLANK(KPI_TARGETS!$F$20)),KPI_TARGETS!$F$20,"")),"")</f>
        <v>1</v>
      </c>
      <c r="N1404" s="36" t="str">
        <f>IFERROR(KPI_TARGETS!$E$20,"Higher is better")</f>
        <v>Higher is better</v>
      </c>
      <c r="O1404" s="37">
        <f t="shared" ca="1" si="126"/>
        <v>0</v>
      </c>
      <c r="P1404" t="str">
        <f t="shared" ca="1" si="127"/>
        <v>Red</v>
      </c>
      <c r="Q1404" s="36">
        <f t="shared" ca="1" si="128"/>
        <v>-1</v>
      </c>
      <c r="R1404" s="36" t="str">
        <f>""</f>
        <v/>
      </c>
      <c r="S1404" s="36" t="str">
        <f>""</f>
        <v/>
      </c>
      <c r="T1404" s="36" t="str">
        <f>""</f>
        <v/>
      </c>
      <c r="U1404" s="36" t="str">
        <f>""</f>
        <v/>
      </c>
      <c r="V1404" s="36" t="str">
        <f>""</f>
        <v/>
      </c>
      <c r="W1404" s="36">
        <f t="shared" si="129"/>
        <v>1</v>
      </c>
      <c r="X1404" t="str">
        <f t="shared" si="130"/>
        <v>Inactive</v>
      </c>
      <c r="Y1404" t="str">
        <f>IF(MAIN!$H$3="Selected Year",IF(A1404=MAIN!$B$3,"Yes","No"),IF(MAIN!$H$3="Included Years",IF(D1404="Yes","Yes","No"),IF(C1404="Yes","Yes","No")))</f>
        <v>No</v>
      </c>
      <c r="Z1404" t="str">
        <f>IF(MAIN!$F$3="Project to Date",IF(AND(A1404&gt;=SETTINGS!$B$4,A1404&lt;MAIN!$B$3),"Yes",IF(AND(A1404=MAIN!$B$3,E1404&lt;=MAIN!$L$3),"Yes","No")),IF(OR(MAIN!$F$3="Full Year",MAIN!$D$3="All"),"Yes",IF(MAIN!$F$3="Monthly",IF(E1404=MAIN!$L$3,"Yes","No"),IF(E1404&lt;=MAIN!$L$3,"Yes","No"))))</f>
        <v>Yes</v>
      </c>
      <c r="AA1404" t="str">
        <f t="shared" si="131"/>
        <v>No</v>
      </c>
    </row>
    <row r="1405" spans="1:27" x14ac:dyDescent="0.3">
      <c r="A1405">
        <f>INDEX(SETTINGS!$A$15:$A$24,$B1405)</f>
        <v>2031</v>
      </c>
      <c r="B1405">
        <v>7</v>
      </c>
      <c r="C1405" t="str">
        <f>IF(AND(A1405&gt;=SETTINGS!$B$4,A1405&lt;=SETTINGS!$B$5),"Yes","No")</f>
        <v>No</v>
      </c>
      <c r="D1405" t="str">
        <f>IFERROR(INDEX(SETTINGS!$C$15:$C$24,MATCH(A1405,SETTINGS!$A$15:$A$24,0)),"No")</f>
        <v>No</v>
      </c>
      <c r="E1405">
        <v>2</v>
      </c>
      <c r="F1405" t="s">
        <v>35</v>
      </c>
      <c r="G1405">
        <v>52</v>
      </c>
      <c r="H1405" t="s">
        <v>110</v>
      </c>
      <c r="I1405" t="s">
        <v>30</v>
      </c>
      <c r="J1405" t="s">
        <v>31</v>
      </c>
      <c r="K1405" t="s">
        <v>3</v>
      </c>
      <c r="L1405" s="36">
        <f ca="1">IF(C1405&lt;&gt;"Yes",0,IF(A1405=2025,N('2025'!D52),IF(A1405=2026,N('2026'!D52),IF(A1405=2027,N('2027'!D52),IF(A1405=2028,N('2028'!D52),IF(A1405=2029,N('2029'!D52),IF(A1405=2030,N('2030'!D52),IF(A1405=2031,N('2031'!D52),IF(A1405=2032,N('2032'!D52),IF(A1405=2033,N('2033'!D52),IF(A1405=2034,N('2034'!D52),IFERROR(N(INDIRECT("'"&amp;A1405&amp;"'!D"&amp;G1405)),0))))))))))))</f>
        <v>0</v>
      </c>
      <c r="M1405" s="36">
        <f>IFERROR(IF(NOT(ISBLANK(KPI_TARGETS!$M$21)),KPI_TARGETS!$M$21,IF(NOT(ISBLANK(KPI_TARGETS!$F$21)),KPI_TARGETS!$F$21,"")),"")</f>
        <v>0</v>
      </c>
      <c r="N1405" s="36" t="str">
        <f>IFERROR(KPI_TARGETS!$E$21,"Higher is better")</f>
        <v>Lower is better</v>
      </c>
      <c r="O1405" s="37">
        <f t="shared" ca="1" si="126"/>
        <v>1</v>
      </c>
      <c r="P1405" t="str">
        <f t="shared" ca="1" si="127"/>
        <v>Green</v>
      </c>
      <c r="Q1405" s="36">
        <f t="shared" ca="1" si="128"/>
        <v>0</v>
      </c>
      <c r="R1405" s="36" t="str">
        <f>""</f>
        <v/>
      </c>
      <c r="S1405" s="36" t="str">
        <f>""</f>
        <v/>
      </c>
      <c r="T1405" s="36" t="str">
        <f>""</f>
        <v/>
      </c>
      <c r="U1405" s="36" t="str">
        <f>""</f>
        <v/>
      </c>
      <c r="V1405" s="36" t="str">
        <f>""</f>
        <v/>
      </c>
      <c r="W1405" s="36">
        <f t="shared" si="129"/>
        <v>1</v>
      </c>
      <c r="X1405" t="str">
        <f t="shared" si="130"/>
        <v>Inactive</v>
      </c>
      <c r="Y1405" t="str">
        <f>IF(MAIN!$H$3="Selected Year",IF(A1405=MAIN!$B$3,"Yes","No"),IF(MAIN!$H$3="Included Years",IF(D1405="Yes","Yes","No"),IF(C1405="Yes","Yes","No")))</f>
        <v>No</v>
      </c>
      <c r="Z1405" t="str">
        <f>IF(MAIN!$F$3="Project to Date",IF(AND(A1405&gt;=SETTINGS!$B$4,A1405&lt;MAIN!$B$3),"Yes",IF(AND(A1405=MAIN!$B$3,E1405&lt;=MAIN!$L$3),"Yes","No")),IF(OR(MAIN!$F$3="Full Year",MAIN!$D$3="All"),"Yes",IF(MAIN!$F$3="Monthly",IF(E1405=MAIN!$L$3,"Yes","No"),IF(E1405&lt;=MAIN!$L$3,"Yes","No"))))</f>
        <v>Yes</v>
      </c>
      <c r="AA1405" t="str">
        <f t="shared" si="131"/>
        <v>No</v>
      </c>
    </row>
    <row r="1406" spans="1:27" x14ac:dyDescent="0.3">
      <c r="A1406">
        <f>INDEX(SETTINGS!$A$15:$A$24,$B1406)</f>
        <v>2031</v>
      </c>
      <c r="B1406">
        <v>7</v>
      </c>
      <c r="C1406" t="str">
        <f>IF(AND(A1406&gt;=SETTINGS!$B$4,A1406&lt;=SETTINGS!$B$5),"Yes","No")</f>
        <v>No</v>
      </c>
      <c r="D1406" t="str">
        <f>IFERROR(INDEX(SETTINGS!$C$15:$C$24,MATCH(A1406,SETTINGS!$A$15:$A$24,0)),"No")</f>
        <v>No</v>
      </c>
      <c r="E1406">
        <v>2</v>
      </c>
      <c r="F1406" t="s">
        <v>35</v>
      </c>
      <c r="G1406">
        <v>53</v>
      </c>
      <c r="H1406" t="s">
        <v>111</v>
      </c>
      <c r="I1406" t="s">
        <v>30</v>
      </c>
      <c r="J1406" t="s">
        <v>32</v>
      </c>
      <c r="K1406" t="s">
        <v>3</v>
      </c>
      <c r="L1406" s="36">
        <f ca="1">IF(C1406&lt;&gt;"Yes",0,IF(A1406=2025,N('2025'!D53),IF(A1406=2026,N('2026'!D53),IF(A1406=2027,N('2027'!D53),IF(A1406=2028,N('2028'!D53),IF(A1406=2029,N('2029'!D53),IF(A1406=2030,N('2030'!D53),IF(A1406=2031,N('2031'!D53),IF(A1406=2032,N('2032'!D53),IF(A1406=2033,N('2033'!D53),IF(A1406=2034,N('2034'!D53),IFERROR(N(INDIRECT("'"&amp;A1406&amp;"'!D"&amp;G1406)),0))))))))))))</f>
        <v>0</v>
      </c>
      <c r="M1406" s="36">
        <f>IFERROR(IF(NOT(ISBLANK(KPI_TARGETS!$M$22)),KPI_TARGETS!$M$22,IF(NOT(ISBLANK(KPI_TARGETS!$F$22)),KPI_TARGETS!$F$22,"")),"")</f>
        <v>1</v>
      </c>
      <c r="N1406" s="36" t="str">
        <f>IFERROR(KPI_TARGETS!$E$22,"Higher is better")</f>
        <v>Higher is better</v>
      </c>
      <c r="O1406" s="37">
        <f t="shared" ca="1" si="126"/>
        <v>0</v>
      </c>
      <c r="P1406" t="str">
        <f t="shared" ca="1" si="127"/>
        <v>Red</v>
      </c>
      <c r="Q1406" s="36">
        <f t="shared" ca="1" si="128"/>
        <v>-1</v>
      </c>
      <c r="R1406" s="36" t="str">
        <f>""</f>
        <v/>
      </c>
      <c r="S1406" s="36" t="str">
        <f>""</f>
        <v/>
      </c>
      <c r="T1406" s="36" t="str">
        <f>""</f>
        <v/>
      </c>
      <c r="U1406" s="36" t="str">
        <f>""</f>
        <v/>
      </c>
      <c r="V1406" s="36" t="str">
        <f>""</f>
        <v/>
      </c>
      <c r="W1406" s="36">
        <f t="shared" si="129"/>
        <v>1</v>
      </c>
      <c r="X1406" t="str">
        <f t="shared" si="130"/>
        <v>Inactive</v>
      </c>
      <c r="Y1406" t="str">
        <f>IF(MAIN!$H$3="Selected Year",IF(A1406=MAIN!$B$3,"Yes","No"),IF(MAIN!$H$3="Included Years",IF(D1406="Yes","Yes","No"),IF(C1406="Yes","Yes","No")))</f>
        <v>No</v>
      </c>
      <c r="Z1406" t="str">
        <f>IF(MAIN!$F$3="Project to Date",IF(AND(A1406&gt;=SETTINGS!$B$4,A1406&lt;MAIN!$B$3),"Yes",IF(AND(A1406=MAIN!$B$3,E1406&lt;=MAIN!$L$3),"Yes","No")),IF(OR(MAIN!$F$3="Full Year",MAIN!$D$3="All"),"Yes",IF(MAIN!$F$3="Monthly",IF(E1406=MAIN!$L$3,"Yes","No"),IF(E1406&lt;=MAIN!$L$3,"Yes","No"))))</f>
        <v>Yes</v>
      </c>
      <c r="AA1406" t="str">
        <f t="shared" si="131"/>
        <v>No</v>
      </c>
    </row>
    <row r="1407" spans="1:27" x14ac:dyDescent="0.3">
      <c r="A1407">
        <f>INDEX(SETTINGS!$A$15:$A$24,$B1407)</f>
        <v>2031</v>
      </c>
      <c r="B1407">
        <v>7</v>
      </c>
      <c r="C1407" t="str">
        <f>IF(AND(A1407&gt;=SETTINGS!$B$4,A1407&lt;=SETTINGS!$B$5),"Yes","No")</f>
        <v>No</v>
      </c>
      <c r="D1407" t="str">
        <f>IFERROR(INDEX(SETTINGS!$C$15:$C$24,MATCH(A1407,SETTINGS!$A$15:$A$24,0)),"No")</f>
        <v>No</v>
      </c>
      <c r="E1407">
        <v>2</v>
      </c>
      <c r="F1407" t="s">
        <v>35</v>
      </c>
      <c r="G1407">
        <v>54</v>
      </c>
      <c r="H1407" t="s">
        <v>112</v>
      </c>
      <c r="I1407" t="s">
        <v>30</v>
      </c>
      <c r="J1407" t="s">
        <v>33</v>
      </c>
      <c r="K1407" t="s">
        <v>34</v>
      </c>
      <c r="L1407" s="36">
        <f ca="1">IF(C1407&lt;&gt;"Yes",0,IF(A1407=2025,N('2025'!D54),IF(A1407=2026,N('2026'!D54),IF(A1407=2027,N('2027'!D54),IF(A1407=2028,N('2028'!D54),IF(A1407=2029,N('2029'!D54),IF(A1407=2030,N('2030'!D54),IF(A1407=2031,N('2031'!D54),IF(A1407=2032,N('2032'!D54),IF(A1407=2033,N('2033'!D54),IF(A1407=2034,N('2034'!D54),IFERROR(N(INDIRECT("'"&amp;A1407&amp;"'!D"&amp;G1407)),0))))))))))))</f>
        <v>0</v>
      </c>
      <c r="M1407" s="36">
        <f>IFERROR(IF(NOT(ISBLANK(KPI_TARGETS!$M$23)),KPI_TARGETS!$M$23,IF(NOT(ISBLANK(KPI_TARGETS!$F$23)),KPI_TARGETS!$F$23,"")),"")</f>
        <v>1</v>
      </c>
      <c r="N1407" s="36" t="str">
        <f>IFERROR(KPI_TARGETS!$E$23,"Higher is better")</f>
        <v>Higher is better</v>
      </c>
      <c r="O1407" s="37">
        <f t="shared" ca="1" si="126"/>
        <v>0</v>
      </c>
      <c r="P1407" t="str">
        <f t="shared" ca="1" si="127"/>
        <v>Red</v>
      </c>
      <c r="Q1407" s="36">
        <f t="shared" ca="1" si="128"/>
        <v>-1</v>
      </c>
      <c r="R1407" s="36" t="str">
        <f>""</f>
        <v/>
      </c>
      <c r="S1407" s="36" t="str">
        <f>""</f>
        <v/>
      </c>
      <c r="T1407" s="36" t="str">
        <f>""</f>
        <v/>
      </c>
      <c r="U1407" s="36" t="str">
        <f>""</f>
        <v/>
      </c>
      <c r="V1407" s="36" t="str">
        <f>""</f>
        <v/>
      </c>
      <c r="W1407" s="36">
        <f t="shared" si="129"/>
        <v>1</v>
      </c>
      <c r="X1407" t="str">
        <f t="shared" si="130"/>
        <v>Inactive</v>
      </c>
      <c r="Y1407" t="str">
        <f>IF(MAIN!$H$3="Selected Year",IF(A1407=MAIN!$B$3,"Yes","No"),IF(MAIN!$H$3="Included Years",IF(D1407="Yes","Yes","No"),IF(C1407="Yes","Yes","No")))</f>
        <v>No</v>
      </c>
      <c r="Z1407" t="str">
        <f>IF(MAIN!$F$3="Project to Date",IF(AND(A1407&gt;=SETTINGS!$B$4,A1407&lt;MAIN!$B$3),"Yes",IF(AND(A1407=MAIN!$B$3,E1407&lt;=MAIN!$L$3),"Yes","No")),IF(OR(MAIN!$F$3="Full Year",MAIN!$D$3="All"),"Yes",IF(MAIN!$F$3="Monthly",IF(E1407=MAIN!$L$3,"Yes","No"),IF(E1407&lt;=MAIN!$L$3,"Yes","No"))))</f>
        <v>Yes</v>
      </c>
      <c r="AA1407" t="str">
        <f t="shared" si="131"/>
        <v>No</v>
      </c>
    </row>
    <row r="1408" spans="1:27" x14ac:dyDescent="0.3">
      <c r="A1408">
        <f>INDEX(SETTINGS!$A$15:$A$24,$B1408)</f>
        <v>2031</v>
      </c>
      <c r="B1408">
        <v>7</v>
      </c>
      <c r="C1408" t="str">
        <f>IF(AND(A1408&gt;=SETTINGS!$B$4,A1408&lt;=SETTINGS!$B$5),"Yes","No")</f>
        <v>No</v>
      </c>
      <c r="D1408" t="str">
        <f>IFERROR(INDEX(SETTINGS!$C$15:$C$24,MATCH(A1408,SETTINGS!$A$15:$A$24,0)),"No")</f>
        <v>No</v>
      </c>
      <c r="E1408">
        <v>3</v>
      </c>
      <c r="F1408" t="s">
        <v>36</v>
      </c>
      <c r="G1408">
        <v>57</v>
      </c>
      <c r="H1408" t="s">
        <v>88</v>
      </c>
      <c r="I1408" t="s">
        <v>89</v>
      </c>
      <c r="J1408" t="s">
        <v>10</v>
      </c>
      <c r="K1408" t="s">
        <v>3</v>
      </c>
      <c r="L1408" s="36">
        <f ca="1">IF(C1408&lt;&gt;"Yes",0,IF(A1408=2025,N('2025'!D57),IF(A1408=2026,N('2026'!D57),IF(A1408=2027,N('2027'!D57),IF(A1408=2028,N('2028'!D57),IF(A1408=2029,N('2029'!D57),IF(A1408=2030,N('2030'!D57),IF(A1408=2031,N('2031'!D57),IF(A1408=2032,N('2032'!D57),IF(A1408=2033,N('2033'!D57),IF(A1408=2034,N('2034'!D57),IFERROR(N(INDIRECT("'"&amp;A1408&amp;"'!D"&amp;G1408)),0))))))))))))</f>
        <v>0</v>
      </c>
      <c r="M1408" s="36">
        <f>IFERROR(IF(NOT(ISBLANK(KPI_TARGETS!$M$5)),KPI_TARGETS!$M$5,IF(NOT(ISBLANK(KPI_TARGETS!$F$5)),KPI_TARGETS!$F$5,"")),"")</f>
        <v>104</v>
      </c>
      <c r="N1408" s="36" t="str">
        <f>IFERROR(KPI_TARGETS!$E$5,"Higher is better")</f>
        <v>Higher is better</v>
      </c>
      <c r="O1408" s="37">
        <f t="shared" ca="1" si="126"/>
        <v>0</v>
      </c>
      <c r="P1408" t="str">
        <f t="shared" ca="1" si="127"/>
        <v>Red</v>
      </c>
      <c r="Q1408" s="36">
        <f t="shared" ca="1" si="128"/>
        <v>-104</v>
      </c>
      <c r="R1408" s="36" t="str">
        <f>""</f>
        <v/>
      </c>
      <c r="S1408" s="36" t="str">
        <f>""</f>
        <v/>
      </c>
      <c r="T1408" s="36" t="str">
        <f>""</f>
        <v/>
      </c>
      <c r="U1408" s="36" t="str">
        <f>""</f>
        <v/>
      </c>
      <c r="V1408" s="36" t="str">
        <f>""</f>
        <v/>
      </c>
      <c r="W1408" s="36">
        <f t="shared" si="129"/>
        <v>1</v>
      </c>
      <c r="X1408" t="str">
        <f t="shared" si="130"/>
        <v>Inactive</v>
      </c>
      <c r="Y1408" t="str">
        <f>IF(MAIN!$H$3="Selected Year",IF(A1408=MAIN!$B$3,"Yes","No"),IF(MAIN!$H$3="Included Years",IF(D1408="Yes","Yes","No"),IF(C1408="Yes","Yes","No")))</f>
        <v>No</v>
      </c>
      <c r="Z1408" t="str">
        <f>IF(MAIN!$F$3="Project to Date",IF(AND(A1408&gt;=SETTINGS!$B$4,A1408&lt;MAIN!$B$3),"Yes",IF(AND(A1408=MAIN!$B$3,E1408&lt;=MAIN!$L$3),"Yes","No")),IF(OR(MAIN!$F$3="Full Year",MAIN!$D$3="All"),"Yes",IF(MAIN!$F$3="Monthly",IF(E1408=MAIN!$L$3,"Yes","No"),IF(E1408&lt;=MAIN!$L$3,"Yes","No"))))</f>
        <v>Yes</v>
      </c>
      <c r="AA1408" t="str">
        <f t="shared" si="131"/>
        <v>No</v>
      </c>
    </row>
    <row r="1409" spans="1:27" x14ac:dyDescent="0.3">
      <c r="A1409">
        <f>INDEX(SETTINGS!$A$15:$A$24,$B1409)</f>
        <v>2031</v>
      </c>
      <c r="B1409">
        <v>7</v>
      </c>
      <c r="C1409" t="str">
        <f>IF(AND(A1409&gt;=SETTINGS!$B$4,A1409&lt;=SETTINGS!$B$5),"Yes","No")</f>
        <v>No</v>
      </c>
      <c r="D1409" t="str">
        <f>IFERROR(INDEX(SETTINGS!$C$15:$C$24,MATCH(A1409,SETTINGS!$A$15:$A$24,0)),"No")</f>
        <v>No</v>
      </c>
      <c r="E1409">
        <v>3</v>
      </c>
      <c r="F1409" t="s">
        <v>36</v>
      </c>
      <c r="G1409">
        <v>58</v>
      </c>
      <c r="H1409" t="s">
        <v>91</v>
      </c>
      <c r="I1409" t="s">
        <v>89</v>
      </c>
      <c r="J1409" t="s">
        <v>11</v>
      </c>
      <c r="K1409" t="s">
        <v>12</v>
      </c>
      <c r="L1409" s="36">
        <f ca="1">IF(C1409&lt;&gt;"Yes",0,IF(A1409=2025,N('2025'!D58),IF(A1409=2026,N('2026'!D58),IF(A1409=2027,N('2027'!D58),IF(A1409=2028,N('2028'!D58),IF(A1409=2029,N('2029'!D58),IF(A1409=2030,N('2030'!D58),IF(A1409=2031,N('2031'!D58),IF(A1409=2032,N('2032'!D58),IF(A1409=2033,N('2033'!D58),IF(A1409=2034,N('2034'!D58),IFERROR(N(INDIRECT("'"&amp;A1409&amp;"'!D"&amp;G1409)),0))))))))))))</f>
        <v>0</v>
      </c>
      <c r="M1409" s="36">
        <f>IFERROR(IF(NOT(ISBLANK(KPI_TARGETS!$M$6)),KPI_TARGETS!$M$6,IF(NOT(ISBLANK(KPI_TARGETS!$F$6)),KPI_TARGETS!$F$6,"")),"")</f>
        <v>4000</v>
      </c>
      <c r="N1409" s="36" t="str">
        <f>IFERROR(KPI_TARGETS!$E$6,"Higher is better")</f>
        <v>Higher is better</v>
      </c>
      <c r="O1409" s="37">
        <f t="shared" ca="1" si="126"/>
        <v>0</v>
      </c>
      <c r="P1409" t="str">
        <f t="shared" ca="1" si="127"/>
        <v>Red</v>
      </c>
      <c r="Q1409" s="36">
        <f t="shared" ca="1" si="128"/>
        <v>-4000</v>
      </c>
      <c r="R1409" s="36" t="str">
        <f>""</f>
        <v/>
      </c>
      <c r="S1409" s="36" t="str">
        <f>""</f>
        <v/>
      </c>
      <c r="T1409" s="36" t="str">
        <f>""</f>
        <v/>
      </c>
      <c r="U1409" s="36" t="str">
        <f>""</f>
        <v/>
      </c>
      <c r="V1409" s="36" t="str">
        <f>""</f>
        <v/>
      </c>
      <c r="W1409" s="36">
        <f t="shared" si="129"/>
        <v>1</v>
      </c>
      <c r="X1409" t="str">
        <f t="shared" si="130"/>
        <v>Inactive</v>
      </c>
      <c r="Y1409" t="str">
        <f>IF(MAIN!$H$3="Selected Year",IF(A1409=MAIN!$B$3,"Yes","No"),IF(MAIN!$H$3="Included Years",IF(D1409="Yes","Yes","No"),IF(C1409="Yes","Yes","No")))</f>
        <v>No</v>
      </c>
      <c r="Z1409" t="str">
        <f>IF(MAIN!$F$3="Project to Date",IF(AND(A1409&gt;=SETTINGS!$B$4,A1409&lt;MAIN!$B$3),"Yes",IF(AND(A1409=MAIN!$B$3,E1409&lt;=MAIN!$L$3),"Yes","No")),IF(OR(MAIN!$F$3="Full Year",MAIN!$D$3="All"),"Yes",IF(MAIN!$F$3="Monthly",IF(E1409=MAIN!$L$3,"Yes","No"),IF(E1409&lt;=MAIN!$L$3,"Yes","No"))))</f>
        <v>Yes</v>
      </c>
      <c r="AA1409" t="str">
        <f t="shared" si="131"/>
        <v>No</v>
      </c>
    </row>
    <row r="1410" spans="1:27" x14ac:dyDescent="0.3">
      <c r="A1410">
        <f>INDEX(SETTINGS!$A$15:$A$24,$B1410)</f>
        <v>2031</v>
      </c>
      <c r="B1410">
        <v>7</v>
      </c>
      <c r="C1410" t="str">
        <f>IF(AND(A1410&gt;=SETTINGS!$B$4,A1410&lt;=SETTINGS!$B$5),"Yes","No")</f>
        <v>No</v>
      </c>
      <c r="D1410" t="str">
        <f>IFERROR(INDEX(SETTINGS!$C$15:$C$24,MATCH(A1410,SETTINGS!$A$15:$A$24,0)),"No")</f>
        <v>No</v>
      </c>
      <c r="E1410">
        <v>3</v>
      </c>
      <c r="F1410" t="s">
        <v>36</v>
      </c>
      <c r="G1410">
        <v>59</v>
      </c>
      <c r="H1410" t="s">
        <v>93</v>
      </c>
      <c r="I1410" t="s">
        <v>89</v>
      </c>
      <c r="J1410" t="s">
        <v>13</v>
      </c>
      <c r="K1410" t="s">
        <v>14</v>
      </c>
      <c r="L1410" s="36">
        <f ca="1">IF(C1410&lt;&gt;"Yes",0,IF(A1410=2025,N('2025'!D59),IF(A1410=2026,N('2026'!D59),IF(A1410=2027,N('2027'!D59),IF(A1410=2028,N('2028'!D59),IF(A1410=2029,N('2029'!D59),IF(A1410=2030,N('2030'!D59),IF(A1410=2031,N('2031'!D59),IF(A1410=2032,N('2032'!D59),IF(A1410=2033,N('2033'!D59),IF(A1410=2034,N('2034'!D59),IFERROR(N(INDIRECT("'"&amp;A1410&amp;"'!D"&amp;G1410)),0))))))))))))</f>
        <v>0</v>
      </c>
      <c r="M1410" s="36">
        <f>IFERROR(IF(NOT(ISBLANK(KPI_TARGETS!$M$7)),KPI_TARGETS!$M$7,IF(NOT(ISBLANK(KPI_TARGETS!$F$7)),KPI_TARGETS!$F$7,"")),"")</f>
        <v>8000</v>
      </c>
      <c r="N1410" s="36" t="str">
        <f>IFERROR(KPI_TARGETS!$E$7,"Higher is better")</f>
        <v>Higher is better</v>
      </c>
      <c r="O1410" s="37">
        <f t="shared" ref="O1410:O1473" ca="1" si="132">IF(M1410="","",IF(N1410="Higher is better",IFERROR(L1410/M1410,""),IF(L1410=0,1,IFERROR(M1410/L1410,""))))</f>
        <v>0</v>
      </c>
      <c r="P1410" t="str">
        <f t="shared" ref="P1410:P1473" ca="1" si="133">IF(M1410="","Target Needed",IF(N1410="Higher is better",IF(L1410&gt;=M1410,"Green",IF(L1410&gt;=0.8*M1410,"Amber","Red")),IF(M1410=0,IF(L1410=0,"Green","Red"),IF(L1410&lt;=M1410,"Green",IF(L1410&lt;=1.25*M1410,"Amber","Red")))))</f>
        <v>Red</v>
      </c>
      <c r="Q1410" s="36">
        <f t="shared" ref="Q1410:Q1473" ca="1" si="134">IF(M1410="","",IF(N1410="Higher is better",L1410-M1410,M1410-L1410))</f>
        <v>-8000</v>
      </c>
      <c r="R1410" s="36" t="str">
        <f>""</f>
        <v/>
      </c>
      <c r="S1410" s="36" t="str">
        <f>""</f>
        <v/>
      </c>
      <c r="T1410" s="36" t="str">
        <f>""</f>
        <v/>
      </c>
      <c r="U1410" s="36" t="str">
        <f>""</f>
        <v/>
      </c>
      <c r="V1410" s="36" t="str">
        <f>""</f>
        <v/>
      </c>
      <c r="W1410" s="36">
        <f t="shared" ref="W1410:W1473" si="135">IF(LEN(M1410&amp;"")&gt;0,1,0)</f>
        <v>1</v>
      </c>
      <c r="X1410" t="str">
        <f t="shared" ref="X1410:X1473" si="136">IF(C1410&lt;&gt;"Yes","Inactive",IF(M1410="","Missing target","OK"))</f>
        <v>Inactive</v>
      </c>
      <c r="Y1410" t="str">
        <f>IF(MAIN!$H$3="Selected Year",IF(A1410=MAIN!$B$3,"Yes","No"),IF(MAIN!$H$3="Included Years",IF(D1410="Yes","Yes","No"),IF(C1410="Yes","Yes","No")))</f>
        <v>No</v>
      </c>
      <c r="Z1410" t="str">
        <f>IF(MAIN!$F$3="Project to Date",IF(AND(A1410&gt;=SETTINGS!$B$4,A1410&lt;MAIN!$B$3),"Yes",IF(AND(A1410=MAIN!$B$3,E1410&lt;=MAIN!$L$3),"Yes","No")),IF(OR(MAIN!$F$3="Full Year",MAIN!$D$3="All"),"Yes",IF(MAIN!$F$3="Monthly",IF(E1410=MAIN!$L$3,"Yes","No"),IF(E1410&lt;=MAIN!$L$3,"Yes","No"))))</f>
        <v>Yes</v>
      </c>
      <c r="AA1410" t="str">
        <f t="shared" ref="AA1410:AA1473" si="137">IF(AND(Y1410="Yes",Z1410="Yes"),"Yes","No")</f>
        <v>No</v>
      </c>
    </row>
    <row r="1411" spans="1:27" x14ac:dyDescent="0.3">
      <c r="A1411">
        <f>INDEX(SETTINGS!$A$15:$A$24,$B1411)</f>
        <v>2031</v>
      </c>
      <c r="B1411">
        <v>7</v>
      </c>
      <c r="C1411" t="str">
        <f>IF(AND(A1411&gt;=SETTINGS!$B$4,A1411&lt;=SETTINGS!$B$5),"Yes","No")</f>
        <v>No</v>
      </c>
      <c r="D1411" t="str">
        <f>IFERROR(INDEX(SETTINGS!$C$15:$C$24,MATCH(A1411,SETTINGS!$A$15:$A$24,0)),"No")</f>
        <v>No</v>
      </c>
      <c r="E1411">
        <v>3</v>
      </c>
      <c r="F1411" t="s">
        <v>36</v>
      </c>
      <c r="G1411">
        <v>61</v>
      </c>
      <c r="H1411" t="s">
        <v>95</v>
      </c>
      <c r="I1411" t="s">
        <v>15</v>
      </c>
      <c r="J1411" t="s">
        <v>16</v>
      </c>
      <c r="K1411" t="s">
        <v>3</v>
      </c>
      <c r="L1411" s="36">
        <f ca="1">IF(C1411&lt;&gt;"Yes",0,IF(A1411=2025,N('2025'!D61),IF(A1411=2026,N('2026'!D61),IF(A1411=2027,N('2027'!D61),IF(A1411=2028,N('2028'!D61),IF(A1411=2029,N('2029'!D61),IF(A1411=2030,N('2030'!D61),IF(A1411=2031,N('2031'!D61),IF(A1411=2032,N('2032'!D61),IF(A1411=2033,N('2033'!D61),IF(A1411=2034,N('2034'!D61),IFERROR(N(INDIRECT("'"&amp;A1411&amp;"'!D"&amp;G1411)),0))))))))))))</f>
        <v>0</v>
      </c>
      <c r="M1411" s="36">
        <f>IFERROR(IF(NOT(ISBLANK(KPI_TARGETS!$M$8)),KPI_TARGETS!$M$8,IF(NOT(ISBLANK(KPI_TARGETS!$F$8)),KPI_TARGETS!$F$8,"")),"")</f>
        <v>0</v>
      </c>
      <c r="N1411" s="36" t="str">
        <f>IFERROR(KPI_TARGETS!$E$8,"Higher is better")</f>
        <v>Lower is better</v>
      </c>
      <c r="O1411" s="37">
        <f t="shared" ca="1" si="132"/>
        <v>1</v>
      </c>
      <c r="P1411" t="str">
        <f t="shared" ca="1" si="133"/>
        <v>Green</v>
      </c>
      <c r="Q1411" s="36">
        <f t="shared" ca="1" si="134"/>
        <v>0</v>
      </c>
      <c r="R1411" s="36" t="str">
        <f>""</f>
        <v/>
      </c>
      <c r="S1411" s="36" t="str">
        <f>""</f>
        <v/>
      </c>
      <c r="T1411" s="36" t="str">
        <f>""</f>
        <v/>
      </c>
      <c r="U1411" s="36" t="str">
        <f>""</f>
        <v/>
      </c>
      <c r="V1411" s="36" t="str">
        <f>""</f>
        <v/>
      </c>
      <c r="W1411" s="36">
        <f t="shared" si="135"/>
        <v>1</v>
      </c>
      <c r="X1411" t="str">
        <f t="shared" si="136"/>
        <v>Inactive</v>
      </c>
      <c r="Y1411" t="str">
        <f>IF(MAIN!$H$3="Selected Year",IF(A1411=MAIN!$B$3,"Yes","No"),IF(MAIN!$H$3="Included Years",IF(D1411="Yes","Yes","No"),IF(C1411="Yes","Yes","No")))</f>
        <v>No</v>
      </c>
      <c r="Z1411" t="str">
        <f>IF(MAIN!$F$3="Project to Date",IF(AND(A1411&gt;=SETTINGS!$B$4,A1411&lt;MAIN!$B$3),"Yes",IF(AND(A1411=MAIN!$B$3,E1411&lt;=MAIN!$L$3),"Yes","No")),IF(OR(MAIN!$F$3="Full Year",MAIN!$D$3="All"),"Yes",IF(MAIN!$F$3="Monthly",IF(E1411=MAIN!$L$3,"Yes","No"),IF(E1411&lt;=MAIN!$L$3,"Yes","No"))))</f>
        <v>Yes</v>
      </c>
      <c r="AA1411" t="str">
        <f t="shared" si="137"/>
        <v>No</v>
      </c>
    </row>
    <row r="1412" spans="1:27" x14ac:dyDescent="0.3">
      <c r="A1412">
        <f>INDEX(SETTINGS!$A$15:$A$24,$B1412)</f>
        <v>2031</v>
      </c>
      <c r="B1412">
        <v>7</v>
      </c>
      <c r="C1412" t="str">
        <f>IF(AND(A1412&gt;=SETTINGS!$B$4,A1412&lt;=SETTINGS!$B$5),"Yes","No")</f>
        <v>No</v>
      </c>
      <c r="D1412" t="str">
        <f>IFERROR(INDEX(SETTINGS!$C$15:$C$24,MATCH(A1412,SETTINGS!$A$15:$A$24,0)),"No")</f>
        <v>No</v>
      </c>
      <c r="E1412">
        <v>3</v>
      </c>
      <c r="F1412" t="s">
        <v>36</v>
      </c>
      <c r="G1412">
        <v>62</v>
      </c>
      <c r="H1412" t="s">
        <v>97</v>
      </c>
      <c r="I1412" t="s">
        <v>15</v>
      </c>
      <c r="J1412" t="s">
        <v>17</v>
      </c>
      <c r="K1412" t="s">
        <v>3</v>
      </c>
      <c r="L1412" s="36">
        <f ca="1">IF(C1412&lt;&gt;"Yes",0,IF(A1412=2025,N('2025'!D62),IF(A1412=2026,N('2026'!D62),IF(A1412=2027,N('2027'!D62),IF(A1412=2028,N('2028'!D62),IF(A1412=2029,N('2029'!D62),IF(A1412=2030,N('2030'!D62),IF(A1412=2031,N('2031'!D62),IF(A1412=2032,N('2032'!D62),IF(A1412=2033,N('2033'!D62),IF(A1412=2034,N('2034'!D62),IFERROR(N(INDIRECT("'"&amp;A1412&amp;"'!D"&amp;G1412)),0))))))))))))</f>
        <v>0</v>
      </c>
      <c r="M1412" s="36">
        <f>IFERROR(IF(NOT(ISBLANK(KPI_TARGETS!$M$9)),KPI_TARGETS!$M$9,IF(NOT(ISBLANK(KPI_TARGETS!$F$9)),KPI_TARGETS!$F$9,"")),"")</f>
        <v>0</v>
      </c>
      <c r="N1412" s="36" t="str">
        <f>IFERROR(KPI_TARGETS!$E$9,"Higher is better")</f>
        <v>Higher is better</v>
      </c>
      <c r="O1412" s="37" t="str">
        <f t="shared" ca="1" si="132"/>
        <v/>
      </c>
      <c r="P1412" t="str">
        <f t="shared" ca="1" si="133"/>
        <v>Green</v>
      </c>
      <c r="Q1412" s="36">
        <f t="shared" ca="1" si="134"/>
        <v>0</v>
      </c>
      <c r="R1412" s="36" t="str">
        <f>""</f>
        <v/>
      </c>
      <c r="S1412" s="36" t="str">
        <f>""</f>
        <v/>
      </c>
      <c r="T1412" s="36" t="str">
        <f>""</f>
        <v/>
      </c>
      <c r="U1412" s="36" t="str">
        <f>""</f>
        <v/>
      </c>
      <c r="V1412" s="36" t="str">
        <f>""</f>
        <v/>
      </c>
      <c r="W1412" s="36">
        <f t="shared" si="135"/>
        <v>1</v>
      </c>
      <c r="X1412" t="str">
        <f t="shared" si="136"/>
        <v>Inactive</v>
      </c>
      <c r="Y1412" t="str">
        <f>IF(MAIN!$H$3="Selected Year",IF(A1412=MAIN!$B$3,"Yes","No"),IF(MAIN!$H$3="Included Years",IF(D1412="Yes","Yes","No"),IF(C1412="Yes","Yes","No")))</f>
        <v>No</v>
      </c>
      <c r="Z1412" t="str">
        <f>IF(MAIN!$F$3="Project to Date",IF(AND(A1412&gt;=SETTINGS!$B$4,A1412&lt;MAIN!$B$3),"Yes",IF(AND(A1412=MAIN!$B$3,E1412&lt;=MAIN!$L$3),"Yes","No")),IF(OR(MAIN!$F$3="Full Year",MAIN!$D$3="All"),"Yes",IF(MAIN!$F$3="Monthly",IF(E1412=MAIN!$L$3,"Yes","No"),IF(E1412&lt;=MAIN!$L$3,"Yes","No"))))</f>
        <v>Yes</v>
      </c>
      <c r="AA1412" t="str">
        <f t="shared" si="137"/>
        <v>No</v>
      </c>
    </row>
    <row r="1413" spans="1:27" x14ac:dyDescent="0.3">
      <c r="A1413">
        <f>INDEX(SETTINGS!$A$15:$A$24,$B1413)</f>
        <v>2031</v>
      </c>
      <c r="B1413">
        <v>7</v>
      </c>
      <c r="C1413" t="str">
        <f>IF(AND(A1413&gt;=SETTINGS!$B$4,A1413&lt;=SETTINGS!$B$5),"Yes","No")</f>
        <v>No</v>
      </c>
      <c r="D1413" t="str">
        <f>IFERROR(INDEX(SETTINGS!$C$15:$C$24,MATCH(A1413,SETTINGS!$A$15:$A$24,0)),"No")</f>
        <v>No</v>
      </c>
      <c r="E1413">
        <v>3</v>
      </c>
      <c r="F1413" t="s">
        <v>36</v>
      </c>
      <c r="G1413">
        <v>63</v>
      </c>
      <c r="H1413" t="s">
        <v>99</v>
      </c>
      <c r="I1413" t="s">
        <v>15</v>
      </c>
      <c r="J1413" t="s">
        <v>18</v>
      </c>
      <c r="K1413" t="s">
        <v>3</v>
      </c>
      <c r="L1413" s="36">
        <f ca="1">IF(C1413&lt;&gt;"Yes",0,IF(A1413=2025,N('2025'!D63),IF(A1413=2026,N('2026'!D63),IF(A1413=2027,N('2027'!D63),IF(A1413=2028,N('2028'!D63),IF(A1413=2029,N('2029'!D63),IF(A1413=2030,N('2030'!D63),IF(A1413=2031,N('2031'!D63),IF(A1413=2032,N('2032'!D63),IF(A1413=2033,N('2033'!D63),IF(A1413=2034,N('2034'!D63),IFERROR(N(INDIRECT("'"&amp;A1413&amp;"'!D"&amp;G1413)),0))))))))))))</f>
        <v>0</v>
      </c>
      <c r="M1413" s="36">
        <f>IFERROR(IF(NOT(ISBLANK(KPI_TARGETS!$M$10)),KPI_TARGETS!$M$10,IF(NOT(ISBLANK(KPI_TARGETS!$F$10)),KPI_TARGETS!$F$10,"")),"")</f>
        <v>0</v>
      </c>
      <c r="N1413" s="36" t="str">
        <f>IFERROR(KPI_TARGETS!$E$10,"Higher is better")</f>
        <v>Lower is better</v>
      </c>
      <c r="O1413" s="37">
        <f t="shared" ca="1" si="132"/>
        <v>1</v>
      </c>
      <c r="P1413" t="str">
        <f t="shared" ca="1" si="133"/>
        <v>Green</v>
      </c>
      <c r="Q1413" s="36">
        <f t="shared" ca="1" si="134"/>
        <v>0</v>
      </c>
      <c r="R1413" s="36" t="str">
        <f>""</f>
        <v/>
      </c>
      <c r="S1413" s="36" t="str">
        <f>""</f>
        <v/>
      </c>
      <c r="T1413" s="36" t="str">
        <f>""</f>
        <v/>
      </c>
      <c r="U1413" s="36" t="str">
        <f>""</f>
        <v/>
      </c>
      <c r="V1413" s="36" t="str">
        <f>""</f>
        <v/>
      </c>
      <c r="W1413" s="36">
        <f t="shared" si="135"/>
        <v>1</v>
      </c>
      <c r="X1413" t="str">
        <f t="shared" si="136"/>
        <v>Inactive</v>
      </c>
      <c r="Y1413" t="str">
        <f>IF(MAIN!$H$3="Selected Year",IF(A1413=MAIN!$B$3,"Yes","No"),IF(MAIN!$H$3="Included Years",IF(D1413="Yes","Yes","No"),IF(C1413="Yes","Yes","No")))</f>
        <v>No</v>
      </c>
      <c r="Z1413" t="str">
        <f>IF(MAIN!$F$3="Project to Date",IF(AND(A1413&gt;=SETTINGS!$B$4,A1413&lt;MAIN!$B$3),"Yes",IF(AND(A1413=MAIN!$B$3,E1413&lt;=MAIN!$L$3),"Yes","No")),IF(OR(MAIN!$F$3="Full Year",MAIN!$D$3="All"),"Yes",IF(MAIN!$F$3="Monthly",IF(E1413=MAIN!$L$3,"Yes","No"),IF(E1413&lt;=MAIN!$L$3,"Yes","No"))))</f>
        <v>Yes</v>
      </c>
      <c r="AA1413" t="str">
        <f t="shared" si="137"/>
        <v>No</v>
      </c>
    </row>
    <row r="1414" spans="1:27" x14ac:dyDescent="0.3">
      <c r="A1414">
        <f>INDEX(SETTINGS!$A$15:$A$24,$B1414)</f>
        <v>2031</v>
      </c>
      <c r="B1414">
        <v>7</v>
      </c>
      <c r="C1414" t="str">
        <f>IF(AND(A1414&gt;=SETTINGS!$B$4,A1414&lt;=SETTINGS!$B$5),"Yes","No")</f>
        <v>No</v>
      </c>
      <c r="D1414" t="str">
        <f>IFERROR(INDEX(SETTINGS!$C$15:$C$24,MATCH(A1414,SETTINGS!$A$15:$A$24,0)),"No")</f>
        <v>No</v>
      </c>
      <c r="E1414">
        <v>3</v>
      </c>
      <c r="F1414" t="s">
        <v>36</v>
      </c>
      <c r="G1414">
        <v>64</v>
      </c>
      <c r="H1414" t="s">
        <v>100</v>
      </c>
      <c r="I1414" t="s">
        <v>15</v>
      </c>
      <c r="J1414" t="s">
        <v>19</v>
      </c>
      <c r="K1414" t="s">
        <v>3</v>
      </c>
      <c r="L1414" s="36">
        <f ca="1">IF(C1414&lt;&gt;"Yes",0,IF(A1414=2025,N('2025'!D64),IF(A1414=2026,N('2026'!D64),IF(A1414=2027,N('2027'!D64),IF(A1414=2028,N('2028'!D64),IF(A1414=2029,N('2029'!D64),IF(A1414=2030,N('2030'!D64),IF(A1414=2031,N('2031'!D64),IF(A1414=2032,N('2032'!D64),IF(A1414=2033,N('2033'!D64),IF(A1414=2034,N('2034'!D64),IFERROR(N(INDIRECT("'"&amp;A1414&amp;"'!D"&amp;G1414)),0))))))))))))</f>
        <v>0</v>
      </c>
      <c r="M1414" s="36">
        <f>IFERROR(IF(NOT(ISBLANK(KPI_TARGETS!$M$11)),KPI_TARGETS!$M$11,IF(NOT(ISBLANK(KPI_TARGETS!$F$11)),KPI_TARGETS!$F$11,"")),"")</f>
        <v>0</v>
      </c>
      <c r="N1414" s="36" t="str">
        <f>IFERROR(KPI_TARGETS!$E$11,"Higher is better")</f>
        <v>Lower is better</v>
      </c>
      <c r="O1414" s="37">
        <f t="shared" ca="1" si="132"/>
        <v>1</v>
      </c>
      <c r="P1414" t="str">
        <f t="shared" ca="1" si="133"/>
        <v>Green</v>
      </c>
      <c r="Q1414" s="36">
        <f t="shared" ca="1" si="134"/>
        <v>0</v>
      </c>
      <c r="R1414" s="36" t="str">
        <f>""</f>
        <v/>
      </c>
      <c r="S1414" s="36" t="str">
        <f>""</f>
        <v/>
      </c>
      <c r="T1414" s="36" t="str">
        <f>""</f>
        <v/>
      </c>
      <c r="U1414" s="36" t="str">
        <f>""</f>
        <v/>
      </c>
      <c r="V1414" s="36" t="str">
        <f>""</f>
        <v/>
      </c>
      <c r="W1414" s="36">
        <f t="shared" si="135"/>
        <v>1</v>
      </c>
      <c r="X1414" t="str">
        <f t="shared" si="136"/>
        <v>Inactive</v>
      </c>
      <c r="Y1414" t="str">
        <f>IF(MAIN!$H$3="Selected Year",IF(A1414=MAIN!$B$3,"Yes","No"),IF(MAIN!$H$3="Included Years",IF(D1414="Yes","Yes","No"),IF(C1414="Yes","Yes","No")))</f>
        <v>No</v>
      </c>
      <c r="Z1414" t="str">
        <f>IF(MAIN!$F$3="Project to Date",IF(AND(A1414&gt;=SETTINGS!$B$4,A1414&lt;MAIN!$B$3),"Yes",IF(AND(A1414=MAIN!$B$3,E1414&lt;=MAIN!$L$3),"Yes","No")),IF(OR(MAIN!$F$3="Full Year",MAIN!$D$3="All"),"Yes",IF(MAIN!$F$3="Monthly",IF(E1414=MAIN!$L$3,"Yes","No"),IF(E1414&lt;=MAIN!$L$3,"Yes","No"))))</f>
        <v>Yes</v>
      </c>
      <c r="AA1414" t="str">
        <f t="shared" si="137"/>
        <v>No</v>
      </c>
    </row>
    <row r="1415" spans="1:27" x14ac:dyDescent="0.3">
      <c r="A1415">
        <f>INDEX(SETTINGS!$A$15:$A$24,$B1415)</f>
        <v>2031</v>
      </c>
      <c r="B1415">
        <v>7</v>
      </c>
      <c r="C1415" t="str">
        <f>IF(AND(A1415&gt;=SETTINGS!$B$4,A1415&lt;=SETTINGS!$B$5),"Yes","No")</f>
        <v>No</v>
      </c>
      <c r="D1415" t="str">
        <f>IFERROR(INDEX(SETTINGS!$C$15:$C$24,MATCH(A1415,SETTINGS!$A$15:$A$24,0)),"No")</f>
        <v>No</v>
      </c>
      <c r="E1415">
        <v>3</v>
      </c>
      <c r="F1415" t="s">
        <v>36</v>
      </c>
      <c r="G1415">
        <v>65</v>
      </c>
      <c r="H1415" t="s">
        <v>101</v>
      </c>
      <c r="I1415" t="s">
        <v>15</v>
      </c>
      <c r="J1415" t="s">
        <v>20</v>
      </c>
      <c r="K1415" t="s">
        <v>3</v>
      </c>
      <c r="L1415" s="36">
        <f ca="1">IF(C1415&lt;&gt;"Yes",0,IF(A1415=2025,N('2025'!D65),IF(A1415=2026,N('2026'!D65),IF(A1415=2027,N('2027'!D65),IF(A1415=2028,N('2028'!D65),IF(A1415=2029,N('2029'!D65),IF(A1415=2030,N('2030'!D65),IF(A1415=2031,N('2031'!D65),IF(A1415=2032,N('2032'!D65),IF(A1415=2033,N('2033'!D65),IF(A1415=2034,N('2034'!D65),IFERROR(N(INDIRECT("'"&amp;A1415&amp;"'!D"&amp;G1415)),0))))))))))))</f>
        <v>0</v>
      </c>
      <c r="M1415" s="36">
        <f>IFERROR(IF(NOT(ISBLANK(KPI_TARGETS!$M$12)),KPI_TARGETS!$M$12,IF(NOT(ISBLANK(KPI_TARGETS!$F$12)),KPI_TARGETS!$F$12,"")),"")</f>
        <v>0</v>
      </c>
      <c r="N1415" s="36" t="str">
        <f>IFERROR(KPI_TARGETS!$E$12,"Higher is better")</f>
        <v>Lower is better</v>
      </c>
      <c r="O1415" s="37">
        <f t="shared" ca="1" si="132"/>
        <v>1</v>
      </c>
      <c r="P1415" t="str">
        <f t="shared" ca="1" si="133"/>
        <v>Green</v>
      </c>
      <c r="Q1415" s="36">
        <f t="shared" ca="1" si="134"/>
        <v>0</v>
      </c>
      <c r="R1415" s="36" t="str">
        <f>""</f>
        <v/>
      </c>
      <c r="S1415" s="36" t="str">
        <f>""</f>
        <v/>
      </c>
      <c r="T1415" s="36" t="str">
        <f>""</f>
        <v/>
      </c>
      <c r="U1415" s="36" t="str">
        <f>""</f>
        <v/>
      </c>
      <c r="V1415" s="36" t="str">
        <f>""</f>
        <v/>
      </c>
      <c r="W1415" s="36">
        <f t="shared" si="135"/>
        <v>1</v>
      </c>
      <c r="X1415" t="str">
        <f t="shared" si="136"/>
        <v>Inactive</v>
      </c>
      <c r="Y1415" t="str">
        <f>IF(MAIN!$H$3="Selected Year",IF(A1415=MAIN!$B$3,"Yes","No"),IF(MAIN!$H$3="Included Years",IF(D1415="Yes","Yes","No"),IF(C1415="Yes","Yes","No")))</f>
        <v>No</v>
      </c>
      <c r="Z1415" t="str">
        <f>IF(MAIN!$F$3="Project to Date",IF(AND(A1415&gt;=SETTINGS!$B$4,A1415&lt;MAIN!$B$3),"Yes",IF(AND(A1415=MAIN!$B$3,E1415&lt;=MAIN!$L$3),"Yes","No")),IF(OR(MAIN!$F$3="Full Year",MAIN!$D$3="All"),"Yes",IF(MAIN!$F$3="Monthly",IF(E1415=MAIN!$L$3,"Yes","No"),IF(E1415&lt;=MAIN!$L$3,"Yes","No"))))</f>
        <v>Yes</v>
      </c>
      <c r="AA1415" t="str">
        <f t="shared" si="137"/>
        <v>No</v>
      </c>
    </row>
    <row r="1416" spans="1:27" x14ac:dyDescent="0.3">
      <c r="A1416">
        <f>INDEX(SETTINGS!$A$15:$A$24,$B1416)</f>
        <v>2031</v>
      </c>
      <c r="B1416">
        <v>7</v>
      </c>
      <c r="C1416" t="str">
        <f>IF(AND(A1416&gt;=SETTINGS!$B$4,A1416&lt;=SETTINGS!$B$5),"Yes","No")</f>
        <v>No</v>
      </c>
      <c r="D1416" t="str">
        <f>IFERROR(INDEX(SETTINGS!$C$15:$C$24,MATCH(A1416,SETTINGS!$A$15:$A$24,0)),"No")</f>
        <v>No</v>
      </c>
      <c r="E1416">
        <v>3</v>
      </c>
      <c r="F1416" t="s">
        <v>36</v>
      </c>
      <c r="G1416">
        <v>66</v>
      </c>
      <c r="H1416" t="s">
        <v>102</v>
      </c>
      <c r="I1416" t="s">
        <v>15</v>
      </c>
      <c r="J1416" t="s">
        <v>21</v>
      </c>
      <c r="K1416" t="s">
        <v>3</v>
      </c>
      <c r="L1416" s="36">
        <f ca="1">IF(C1416&lt;&gt;"Yes",0,IF(A1416=2025,N('2025'!D66),IF(A1416=2026,N('2026'!D66),IF(A1416=2027,N('2027'!D66),IF(A1416=2028,N('2028'!D66),IF(A1416=2029,N('2029'!D66),IF(A1416=2030,N('2030'!D66),IF(A1416=2031,N('2031'!D66),IF(A1416=2032,N('2032'!D66),IF(A1416=2033,N('2033'!D66),IF(A1416=2034,N('2034'!D66),IFERROR(N(INDIRECT("'"&amp;A1416&amp;"'!D"&amp;G1416)),0))))))))))))</f>
        <v>0</v>
      </c>
      <c r="M1416" s="36">
        <f>IFERROR(IF(NOT(ISBLANK(KPI_TARGETS!$M$13)),KPI_TARGETS!$M$13,IF(NOT(ISBLANK(KPI_TARGETS!$F$13)),KPI_TARGETS!$F$13,"")),"")</f>
        <v>0</v>
      </c>
      <c r="N1416" s="36" t="str">
        <f>IFERROR(KPI_TARGETS!$E$13,"Higher is better")</f>
        <v>Lower is better</v>
      </c>
      <c r="O1416" s="37">
        <f t="shared" ca="1" si="132"/>
        <v>1</v>
      </c>
      <c r="P1416" t="str">
        <f t="shared" ca="1" si="133"/>
        <v>Green</v>
      </c>
      <c r="Q1416" s="36">
        <f t="shared" ca="1" si="134"/>
        <v>0</v>
      </c>
      <c r="R1416" s="36" t="str">
        <f>""</f>
        <v/>
      </c>
      <c r="S1416" s="36" t="str">
        <f>""</f>
        <v/>
      </c>
      <c r="T1416" s="36" t="str">
        <f>""</f>
        <v/>
      </c>
      <c r="U1416" s="36" t="str">
        <f>""</f>
        <v/>
      </c>
      <c r="V1416" s="36" t="str">
        <f>""</f>
        <v/>
      </c>
      <c r="W1416" s="36">
        <f t="shared" si="135"/>
        <v>1</v>
      </c>
      <c r="X1416" t="str">
        <f t="shared" si="136"/>
        <v>Inactive</v>
      </c>
      <c r="Y1416" t="str">
        <f>IF(MAIN!$H$3="Selected Year",IF(A1416=MAIN!$B$3,"Yes","No"),IF(MAIN!$H$3="Included Years",IF(D1416="Yes","Yes","No"),IF(C1416="Yes","Yes","No")))</f>
        <v>No</v>
      </c>
      <c r="Z1416" t="str">
        <f>IF(MAIN!$F$3="Project to Date",IF(AND(A1416&gt;=SETTINGS!$B$4,A1416&lt;MAIN!$B$3),"Yes",IF(AND(A1416=MAIN!$B$3,E1416&lt;=MAIN!$L$3),"Yes","No")),IF(OR(MAIN!$F$3="Full Year",MAIN!$D$3="All"),"Yes",IF(MAIN!$F$3="Monthly",IF(E1416=MAIN!$L$3,"Yes","No"),IF(E1416&lt;=MAIN!$L$3,"Yes","No"))))</f>
        <v>Yes</v>
      </c>
      <c r="AA1416" t="str">
        <f t="shared" si="137"/>
        <v>No</v>
      </c>
    </row>
    <row r="1417" spans="1:27" x14ac:dyDescent="0.3">
      <c r="A1417">
        <f>INDEX(SETTINGS!$A$15:$A$24,$B1417)</f>
        <v>2031</v>
      </c>
      <c r="B1417">
        <v>7</v>
      </c>
      <c r="C1417" t="str">
        <f>IF(AND(A1417&gt;=SETTINGS!$B$4,A1417&lt;=SETTINGS!$B$5),"Yes","No")</f>
        <v>No</v>
      </c>
      <c r="D1417" t="str">
        <f>IFERROR(INDEX(SETTINGS!$C$15:$C$24,MATCH(A1417,SETTINGS!$A$15:$A$24,0)),"No")</f>
        <v>No</v>
      </c>
      <c r="E1417">
        <v>3</v>
      </c>
      <c r="F1417" t="s">
        <v>36</v>
      </c>
      <c r="G1417">
        <v>68</v>
      </c>
      <c r="H1417" t="s">
        <v>103</v>
      </c>
      <c r="I1417" t="s">
        <v>22</v>
      </c>
      <c r="J1417" t="s">
        <v>23</v>
      </c>
      <c r="K1417" t="s">
        <v>3</v>
      </c>
      <c r="L1417" s="36">
        <f ca="1">IF(C1417&lt;&gt;"Yes",0,IF(A1417=2025,N('2025'!D68),IF(A1417=2026,N('2026'!D68),IF(A1417=2027,N('2027'!D68),IF(A1417=2028,N('2028'!D68),IF(A1417=2029,N('2029'!D68),IF(A1417=2030,N('2030'!D68),IF(A1417=2031,N('2031'!D68),IF(A1417=2032,N('2032'!D68),IF(A1417=2033,N('2033'!D68),IF(A1417=2034,N('2034'!D68),IFERROR(N(INDIRECT("'"&amp;A1417&amp;"'!D"&amp;G1417)),0))))))))))))</f>
        <v>0</v>
      </c>
      <c r="M1417" s="36">
        <f>IFERROR(IF(NOT(ISBLANK(KPI_TARGETS!$M$14)),KPI_TARGETS!$M$14,IF(NOT(ISBLANK(KPI_TARGETS!$F$14)),KPI_TARGETS!$F$14,"")),"")</f>
        <v>35</v>
      </c>
      <c r="N1417" s="36" t="str">
        <f>IFERROR(KPI_TARGETS!$E$14,"Higher is better")</f>
        <v>Higher is better</v>
      </c>
      <c r="O1417" s="37">
        <f t="shared" ca="1" si="132"/>
        <v>0</v>
      </c>
      <c r="P1417" t="str">
        <f t="shared" ca="1" si="133"/>
        <v>Red</v>
      </c>
      <c r="Q1417" s="36">
        <f t="shared" ca="1" si="134"/>
        <v>-35</v>
      </c>
      <c r="R1417" s="36" t="str">
        <f>""</f>
        <v/>
      </c>
      <c r="S1417" s="36" t="str">
        <f>""</f>
        <v/>
      </c>
      <c r="T1417" s="36" t="str">
        <f>""</f>
        <v/>
      </c>
      <c r="U1417" s="36" t="str">
        <f>""</f>
        <v/>
      </c>
      <c r="V1417" s="36" t="str">
        <f>""</f>
        <v/>
      </c>
      <c r="W1417" s="36">
        <f t="shared" si="135"/>
        <v>1</v>
      </c>
      <c r="X1417" t="str">
        <f t="shared" si="136"/>
        <v>Inactive</v>
      </c>
      <c r="Y1417" t="str">
        <f>IF(MAIN!$H$3="Selected Year",IF(A1417=MAIN!$B$3,"Yes","No"),IF(MAIN!$H$3="Included Years",IF(D1417="Yes","Yes","No"),IF(C1417="Yes","Yes","No")))</f>
        <v>No</v>
      </c>
      <c r="Z1417" t="str">
        <f>IF(MAIN!$F$3="Project to Date",IF(AND(A1417&gt;=SETTINGS!$B$4,A1417&lt;MAIN!$B$3),"Yes",IF(AND(A1417=MAIN!$B$3,E1417&lt;=MAIN!$L$3),"Yes","No")),IF(OR(MAIN!$F$3="Full Year",MAIN!$D$3="All"),"Yes",IF(MAIN!$F$3="Monthly",IF(E1417=MAIN!$L$3,"Yes","No"),IF(E1417&lt;=MAIN!$L$3,"Yes","No"))))</f>
        <v>Yes</v>
      </c>
      <c r="AA1417" t="str">
        <f t="shared" si="137"/>
        <v>No</v>
      </c>
    </row>
    <row r="1418" spans="1:27" x14ac:dyDescent="0.3">
      <c r="A1418">
        <f>INDEX(SETTINGS!$A$15:$A$24,$B1418)</f>
        <v>2031</v>
      </c>
      <c r="B1418">
        <v>7</v>
      </c>
      <c r="C1418" t="str">
        <f>IF(AND(A1418&gt;=SETTINGS!$B$4,A1418&lt;=SETTINGS!$B$5),"Yes","No")</f>
        <v>No</v>
      </c>
      <c r="D1418" t="str">
        <f>IFERROR(INDEX(SETTINGS!$C$15:$C$24,MATCH(A1418,SETTINGS!$A$15:$A$24,0)),"No")</f>
        <v>No</v>
      </c>
      <c r="E1418">
        <v>3</v>
      </c>
      <c r="F1418" t="s">
        <v>36</v>
      </c>
      <c r="G1418">
        <v>69</v>
      </c>
      <c r="H1418" t="s">
        <v>104</v>
      </c>
      <c r="I1418" t="s">
        <v>22</v>
      </c>
      <c r="J1418" t="s">
        <v>24</v>
      </c>
      <c r="K1418" t="s">
        <v>3</v>
      </c>
      <c r="L1418" s="36">
        <f ca="1">IF(C1418&lt;&gt;"Yes",0,IF(A1418=2025,N('2025'!D69),IF(A1418=2026,N('2026'!D69),IF(A1418=2027,N('2027'!D69),IF(A1418=2028,N('2028'!D69),IF(A1418=2029,N('2029'!D69),IF(A1418=2030,N('2030'!D69),IF(A1418=2031,N('2031'!D69),IF(A1418=2032,N('2032'!D69),IF(A1418=2033,N('2033'!D69),IF(A1418=2034,N('2034'!D69),IFERROR(N(INDIRECT("'"&amp;A1418&amp;"'!D"&amp;G1418)),0))))))))))))</f>
        <v>0</v>
      </c>
      <c r="M1418" s="36">
        <f>IFERROR(IF(NOT(ISBLANK(KPI_TARGETS!$M$15)),KPI_TARGETS!$M$15,IF(NOT(ISBLANK(KPI_TARGETS!$F$15)),KPI_TARGETS!$F$15,"")),"")</f>
        <v>5</v>
      </c>
      <c r="N1418" s="36" t="str">
        <f>IFERROR(KPI_TARGETS!$E$15,"Higher is better")</f>
        <v>Higher is better</v>
      </c>
      <c r="O1418" s="37">
        <f t="shared" ca="1" si="132"/>
        <v>0</v>
      </c>
      <c r="P1418" t="str">
        <f t="shared" ca="1" si="133"/>
        <v>Red</v>
      </c>
      <c r="Q1418" s="36">
        <f t="shared" ca="1" si="134"/>
        <v>-5</v>
      </c>
      <c r="R1418" s="36" t="str">
        <f>""</f>
        <v/>
      </c>
      <c r="S1418" s="36" t="str">
        <f>""</f>
        <v/>
      </c>
      <c r="T1418" s="36" t="str">
        <f>""</f>
        <v/>
      </c>
      <c r="U1418" s="36" t="str">
        <f>""</f>
        <v/>
      </c>
      <c r="V1418" s="36" t="str">
        <f>""</f>
        <v/>
      </c>
      <c r="W1418" s="36">
        <f t="shared" si="135"/>
        <v>1</v>
      </c>
      <c r="X1418" t="str">
        <f t="shared" si="136"/>
        <v>Inactive</v>
      </c>
      <c r="Y1418" t="str">
        <f>IF(MAIN!$H$3="Selected Year",IF(A1418=MAIN!$B$3,"Yes","No"),IF(MAIN!$H$3="Included Years",IF(D1418="Yes","Yes","No"),IF(C1418="Yes","Yes","No")))</f>
        <v>No</v>
      </c>
      <c r="Z1418" t="str">
        <f>IF(MAIN!$F$3="Project to Date",IF(AND(A1418&gt;=SETTINGS!$B$4,A1418&lt;MAIN!$B$3),"Yes",IF(AND(A1418=MAIN!$B$3,E1418&lt;=MAIN!$L$3),"Yes","No")),IF(OR(MAIN!$F$3="Full Year",MAIN!$D$3="All"),"Yes",IF(MAIN!$F$3="Monthly",IF(E1418=MAIN!$L$3,"Yes","No"),IF(E1418&lt;=MAIN!$L$3,"Yes","No"))))</f>
        <v>Yes</v>
      </c>
      <c r="AA1418" t="str">
        <f t="shared" si="137"/>
        <v>No</v>
      </c>
    </row>
    <row r="1419" spans="1:27" x14ac:dyDescent="0.3">
      <c r="A1419">
        <f>INDEX(SETTINGS!$A$15:$A$24,$B1419)</f>
        <v>2031</v>
      </c>
      <c r="B1419">
        <v>7</v>
      </c>
      <c r="C1419" t="str">
        <f>IF(AND(A1419&gt;=SETTINGS!$B$4,A1419&lt;=SETTINGS!$B$5),"Yes","No")</f>
        <v>No</v>
      </c>
      <c r="D1419" t="str">
        <f>IFERROR(INDEX(SETTINGS!$C$15:$C$24,MATCH(A1419,SETTINGS!$A$15:$A$24,0)),"No")</f>
        <v>No</v>
      </c>
      <c r="E1419">
        <v>3</v>
      </c>
      <c r="F1419" t="s">
        <v>36</v>
      </c>
      <c r="G1419">
        <v>70</v>
      </c>
      <c r="H1419" t="s">
        <v>105</v>
      </c>
      <c r="I1419" t="s">
        <v>22</v>
      </c>
      <c r="J1419" t="s">
        <v>25</v>
      </c>
      <c r="K1419" t="s">
        <v>3</v>
      </c>
      <c r="L1419" s="36">
        <f ca="1">IF(C1419&lt;&gt;"Yes",0,IF(A1419=2025,N('2025'!D70),IF(A1419=2026,N('2026'!D70),IF(A1419=2027,N('2027'!D70),IF(A1419=2028,N('2028'!D70),IF(A1419=2029,N('2029'!D70),IF(A1419=2030,N('2030'!D70),IF(A1419=2031,N('2031'!D70),IF(A1419=2032,N('2032'!D70),IF(A1419=2033,N('2033'!D70),IF(A1419=2034,N('2034'!D70),IFERROR(N(INDIRECT("'"&amp;A1419&amp;"'!D"&amp;G1419)),0))))))))))))</f>
        <v>0</v>
      </c>
      <c r="M1419" s="36">
        <f>IFERROR(IF(NOT(ISBLANK(KPI_TARGETS!$M$16)),KPI_TARGETS!$M$16,IF(NOT(ISBLANK(KPI_TARGETS!$F$16)),KPI_TARGETS!$F$16,"")),"")</f>
        <v>4</v>
      </c>
      <c r="N1419" s="36" t="str">
        <f>IFERROR(KPI_TARGETS!$E$16,"Higher is better")</f>
        <v>Higher is better</v>
      </c>
      <c r="O1419" s="37">
        <f t="shared" ca="1" si="132"/>
        <v>0</v>
      </c>
      <c r="P1419" t="str">
        <f t="shared" ca="1" si="133"/>
        <v>Red</v>
      </c>
      <c r="Q1419" s="36">
        <f t="shared" ca="1" si="134"/>
        <v>-4</v>
      </c>
      <c r="R1419" s="36" t="str">
        <f>""</f>
        <v/>
      </c>
      <c r="S1419" s="36" t="str">
        <f>""</f>
        <v/>
      </c>
      <c r="T1419" s="36" t="str">
        <f>""</f>
        <v/>
      </c>
      <c r="U1419" s="36" t="str">
        <f>""</f>
        <v/>
      </c>
      <c r="V1419" s="36" t="str">
        <f>""</f>
        <v/>
      </c>
      <c r="W1419" s="36">
        <f t="shared" si="135"/>
        <v>1</v>
      </c>
      <c r="X1419" t="str">
        <f t="shared" si="136"/>
        <v>Inactive</v>
      </c>
      <c r="Y1419" t="str">
        <f>IF(MAIN!$H$3="Selected Year",IF(A1419=MAIN!$B$3,"Yes","No"),IF(MAIN!$H$3="Included Years",IF(D1419="Yes","Yes","No"),IF(C1419="Yes","Yes","No")))</f>
        <v>No</v>
      </c>
      <c r="Z1419" t="str">
        <f>IF(MAIN!$F$3="Project to Date",IF(AND(A1419&gt;=SETTINGS!$B$4,A1419&lt;MAIN!$B$3),"Yes",IF(AND(A1419=MAIN!$B$3,E1419&lt;=MAIN!$L$3),"Yes","No")),IF(OR(MAIN!$F$3="Full Year",MAIN!$D$3="All"),"Yes",IF(MAIN!$F$3="Monthly",IF(E1419=MAIN!$L$3,"Yes","No"),IF(E1419&lt;=MAIN!$L$3,"Yes","No"))))</f>
        <v>Yes</v>
      </c>
      <c r="AA1419" t="str">
        <f t="shared" si="137"/>
        <v>No</v>
      </c>
    </row>
    <row r="1420" spans="1:27" x14ac:dyDescent="0.3">
      <c r="A1420">
        <f>INDEX(SETTINGS!$A$15:$A$24,$B1420)</f>
        <v>2031</v>
      </c>
      <c r="B1420">
        <v>7</v>
      </c>
      <c r="C1420" t="str">
        <f>IF(AND(A1420&gt;=SETTINGS!$B$4,A1420&lt;=SETTINGS!$B$5),"Yes","No")</f>
        <v>No</v>
      </c>
      <c r="D1420" t="str">
        <f>IFERROR(INDEX(SETTINGS!$C$15:$C$24,MATCH(A1420,SETTINGS!$A$15:$A$24,0)),"No")</f>
        <v>No</v>
      </c>
      <c r="E1420">
        <v>3</v>
      </c>
      <c r="F1420" t="s">
        <v>36</v>
      </c>
      <c r="G1420">
        <v>71</v>
      </c>
      <c r="H1420" t="s">
        <v>106</v>
      </c>
      <c r="I1420" t="s">
        <v>22</v>
      </c>
      <c r="J1420" t="s">
        <v>26</v>
      </c>
      <c r="K1420" t="s">
        <v>3</v>
      </c>
      <c r="L1420" s="36">
        <f ca="1">IF(C1420&lt;&gt;"Yes",0,IF(A1420=2025,N('2025'!D71),IF(A1420=2026,N('2026'!D71),IF(A1420=2027,N('2027'!D71),IF(A1420=2028,N('2028'!D71),IF(A1420=2029,N('2029'!D71),IF(A1420=2030,N('2030'!D71),IF(A1420=2031,N('2031'!D71),IF(A1420=2032,N('2032'!D71),IF(A1420=2033,N('2033'!D71),IF(A1420=2034,N('2034'!D71),IFERROR(N(INDIRECT("'"&amp;A1420&amp;"'!D"&amp;G1420)),0))))))))))))</f>
        <v>0</v>
      </c>
      <c r="M1420" s="36">
        <f>IFERROR(IF(NOT(ISBLANK(KPI_TARGETS!$M$17)),KPI_TARGETS!$M$17,IF(NOT(ISBLANK(KPI_TARGETS!$F$17)),KPI_TARGETS!$F$17,"")),"")</f>
        <v>12</v>
      </c>
      <c r="N1420" s="36" t="str">
        <f>IFERROR(KPI_TARGETS!$E$17,"Higher is better")</f>
        <v>Higher is better</v>
      </c>
      <c r="O1420" s="37">
        <f t="shared" ca="1" si="132"/>
        <v>0</v>
      </c>
      <c r="P1420" t="str">
        <f t="shared" ca="1" si="133"/>
        <v>Red</v>
      </c>
      <c r="Q1420" s="36">
        <f t="shared" ca="1" si="134"/>
        <v>-12</v>
      </c>
      <c r="R1420" s="36" t="str">
        <f>""</f>
        <v/>
      </c>
      <c r="S1420" s="36" t="str">
        <f>""</f>
        <v/>
      </c>
      <c r="T1420" s="36" t="str">
        <f>""</f>
        <v/>
      </c>
      <c r="U1420" s="36" t="str">
        <f>""</f>
        <v/>
      </c>
      <c r="V1420" s="36" t="str">
        <f>""</f>
        <v/>
      </c>
      <c r="W1420" s="36">
        <f t="shared" si="135"/>
        <v>1</v>
      </c>
      <c r="X1420" t="str">
        <f t="shared" si="136"/>
        <v>Inactive</v>
      </c>
      <c r="Y1420" t="str">
        <f>IF(MAIN!$H$3="Selected Year",IF(A1420=MAIN!$B$3,"Yes","No"),IF(MAIN!$H$3="Included Years",IF(D1420="Yes","Yes","No"),IF(C1420="Yes","Yes","No")))</f>
        <v>No</v>
      </c>
      <c r="Z1420" t="str">
        <f>IF(MAIN!$F$3="Project to Date",IF(AND(A1420&gt;=SETTINGS!$B$4,A1420&lt;MAIN!$B$3),"Yes",IF(AND(A1420=MAIN!$B$3,E1420&lt;=MAIN!$L$3),"Yes","No")),IF(OR(MAIN!$F$3="Full Year",MAIN!$D$3="All"),"Yes",IF(MAIN!$F$3="Monthly",IF(E1420=MAIN!$L$3,"Yes","No"),IF(E1420&lt;=MAIN!$L$3,"Yes","No"))))</f>
        <v>Yes</v>
      </c>
      <c r="AA1420" t="str">
        <f t="shared" si="137"/>
        <v>No</v>
      </c>
    </row>
    <row r="1421" spans="1:27" x14ac:dyDescent="0.3">
      <c r="A1421">
        <f>INDEX(SETTINGS!$A$15:$A$24,$B1421)</f>
        <v>2031</v>
      </c>
      <c r="B1421">
        <v>7</v>
      </c>
      <c r="C1421" t="str">
        <f>IF(AND(A1421&gt;=SETTINGS!$B$4,A1421&lt;=SETTINGS!$B$5),"Yes","No")</f>
        <v>No</v>
      </c>
      <c r="D1421" t="str">
        <f>IFERROR(INDEX(SETTINGS!$C$15:$C$24,MATCH(A1421,SETTINGS!$A$15:$A$24,0)),"No")</f>
        <v>No</v>
      </c>
      <c r="E1421">
        <v>3</v>
      </c>
      <c r="F1421" t="s">
        <v>36</v>
      </c>
      <c r="G1421">
        <v>72</v>
      </c>
      <c r="H1421" t="s">
        <v>107</v>
      </c>
      <c r="I1421" t="s">
        <v>22</v>
      </c>
      <c r="J1421" t="s">
        <v>27</v>
      </c>
      <c r="K1421" t="s">
        <v>3</v>
      </c>
      <c r="L1421" s="36">
        <f ca="1">IF(C1421&lt;&gt;"Yes",0,IF(A1421=2025,N('2025'!D72),IF(A1421=2026,N('2026'!D72),IF(A1421=2027,N('2027'!D72),IF(A1421=2028,N('2028'!D72),IF(A1421=2029,N('2029'!D72),IF(A1421=2030,N('2030'!D72),IF(A1421=2031,N('2031'!D72),IF(A1421=2032,N('2032'!D72),IF(A1421=2033,N('2033'!D72),IF(A1421=2034,N('2034'!D72),IFERROR(N(INDIRECT("'"&amp;A1421&amp;"'!D"&amp;G1421)),0))))))))))))</f>
        <v>0</v>
      </c>
      <c r="M1421" s="36">
        <f>IFERROR(IF(NOT(ISBLANK(KPI_TARGETS!$M$18)),KPI_TARGETS!$M$18,IF(NOT(ISBLANK(KPI_TARGETS!$F$18)),KPI_TARGETS!$F$18,"")),"")</f>
        <v>4</v>
      </c>
      <c r="N1421" s="36" t="str">
        <f>IFERROR(KPI_TARGETS!$E$18,"Higher is better")</f>
        <v>Higher is better</v>
      </c>
      <c r="O1421" s="37">
        <f t="shared" ca="1" si="132"/>
        <v>0</v>
      </c>
      <c r="P1421" t="str">
        <f t="shared" ca="1" si="133"/>
        <v>Red</v>
      </c>
      <c r="Q1421" s="36">
        <f t="shared" ca="1" si="134"/>
        <v>-4</v>
      </c>
      <c r="R1421" s="36" t="str">
        <f>""</f>
        <v/>
      </c>
      <c r="S1421" s="36" t="str">
        <f>""</f>
        <v/>
      </c>
      <c r="T1421" s="36" t="str">
        <f>""</f>
        <v/>
      </c>
      <c r="U1421" s="36" t="str">
        <f>""</f>
        <v/>
      </c>
      <c r="V1421" s="36" t="str">
        <f>""</f>
        <v/>
      </c>
      <c r="W1421" s="36">
        <f t="shared" si="135"/>
        <v>1</v>
      </c>
      <c r="X1421" t="str">
        <f t="shared" si="136"/>
        <v>Inactive</v>
      </c>
      <c r="Y1421" t="str">
        <f>IF(MAIN!$H$3="Selected Year",IF(A1421=MAIN!$B$3,"Yes","No"),IF(MAIN!$H$3="Included Years",IF(D1421="Yes","Yes","No"),IF(C1421="Yes","Yes","No")))</f>
        <v>No</v>
      </c>
      <c r="Z1421" t="str">
        <f>IF(MAIN!$F$3="Project to Date",IF(AND(A1421&gt;=SETTINGS!$B$4,A1421&lt;MAIN!$B$3),"Yes",IF(AND(A1421=MAIN!$B$3,E1421&lt;=MAIN!$L$3),"Yes","No")),IF(OR(MAIN!$F$3="Full Year",MAIN!$D$3="All"),"Yes",IF(MAIN!$F$3="Monthly",IF(E1421=MAIN!$L$3,"Yes","No"),IF(E1421&lt;=MAIN!$L$3,"Yes","No"))))</f>
        <v>Yes</v>
      </c>
      <c r="AA1421" t="str">
        <f t="shared" si="137"/>
        <v>No</v>
      </c>
    </row>
    <row r="1422" spans="1:27" x14ac:dyDescent="0.3">
      <c r="A1422">
        <f>INDEX(SETTINGS!$A$15:$A$24,$B1422)</f>
        <v>2031</v>
      </c>
      <c r="B1422">
        <v>7</v>
      </c>
      <c r="C1422" t="str">
        <f>IF(AND(A1422&gt;=SETTINGS!$B$4,A1422&lt;=SETTINGS!$B$5),"Yes","No")</f>
        <v>No</v>
      </c>
      <c r="D1422" t="str">
        <f>IFERROR(INDEX(SETTINGS!$C$15:$C$24,MATCH(A1422,SETTINGS!$A$15:$A$24,0)),"No")</f>
        <v>No</v>
      </c>
      <c r="E1422">
        <v>3</v>
      </c>
      <c r="F1422" t="s">
        <v>36</v>
      </c>
      <c r="G1422">
        <v>73</v>
      </c>
      <c r="H1422" t="s">
        <v>108</v>
      </c>
      <c r="I1422" t="s">
        <v>22</v>
      </c>
      <c r="J1422" t="s">
        <v>28</v>
      </c>
      <c r="K1422" t="s">
        <v>3</v>
      </c>
      <c r="L1422" s="36">
        <f ca="1">IF(C1422&lt;&gt;"Yes",0,IF(A1422=2025,N('2025'!D73),IF(A1422=2026,N('2026'!D73),IF(A1422=2027,N('2027'!D73),IF(A1422=2028,N('2028'!D73),IF(A1422=2029,N('2029'!D73),IF(A1422=2030,N('2030'!D73),IF(A1422=2031,N('2031'!D73),IF(A1422=2032,N('2032'!D73),IF(A1422=2033,N('2033'!D73),IF(A1422=2034,N('2034'!D73),IFERROR(N(INDIRECT("'"&amp;A1422&amp;"'!D"&amp;G1422)),0))))))))))))</f>
        <v>0</v>
      </c>
      <c r="M1422" s="36">
        <f>IFERROR(IF(NOT(ISBLANK(KPI_TARGETS!$M$19)),KPI_TARGETS!$M$19,IF(NOT(ISBLANK(KPI_TARGETS!$F$19)),KPI_TARGETS!$F$19,"")),"")</f>
        <v>16</v>
      </c>
      <c r="N1422" s="36" t="str">
        <f>IFERROR(KPI_TARGETS!$E$19,"Higher is better")</f>
        <v>Higher is better</v>
      </c>
      <c r="O1422" s="37">
        <f t="shared" ca="1" si="132"/>
        <v>0</v>
      </c>
      <c r="P1422" t="str">
        <f t="shared" ca="1" si="133"/>
        <v>Red</v>
      </c>
      <c r="Q1422" s="36">
        <f t="shared" ca="1" si="134"/>
        <v>-16</v>
      </c>
      <c r="R1422" s="36" t="str">
        <f>""</f>
        <v/>
      </c>
      <c r="S1422" s="36" t="str">
        <f>""</f>
        <v/>
      </c>
      <c r="T1422" s="36" t="str">
        <f>""</f>
        <v/>
      </c>
      <c r="U1422" s="36" t="str">
        <f>""</f>
        <v/>
      </c>
      <c r="V1422" s="36" t="str">
        <f>""</f>
        <v/>
      </c>
      <c r="W1422" s="36">
        <f t="shared" si="135"/>
        <v>1</v>
      </c>
      <c r="X1422" t="str">
        <f t="shared" si="136"/>
        <v>Inactive</v>
      </c>
      <c r="Y1422" t="str">
        <f>IF(MAIN!$H$3="Selected Year",IF(A1422=MAIN!$B$3,"Yes","No"),IF(MAIN!$H$3="Included Years",IF(D1422="Yes","Yes","No"),IF(C1422="Yes","Yes","No")))</f>
        <v>No</v>
      </c>
      <c r="Z1422" t="str">
        <f>IF(MAIN!$F$3="Project to Date",IF(AND(A1422&gt;=SETTINGS!$B$4,A1422&lt;MAIN!$B$3),"Yes",IF(AND(A1422=MAIN!$B$3,E1422&lt;=MAIN!$L$3),"Yes","No")),IF(OR(MAIN!$F$3="Full Year",MAIN!$D$3="All"),"Yes",IF(MAIN!$F$3="Monthly",IF(E1422=MAIN!$L$3,"Yes","No"),IF(E1422&lt;=MAIN!$L$3,"Yes","No"))))</f>
        <v>Yes</v>
      </c>
      <c r="AA1422" t="str">
        <f t="shared" si="137"/>
        <v>No</v>
      </c>
    </row>
    <row r="1423" spans="1:27" x14ac:dyDescent="0.3">
      <c r="A1423">
        <f>INDEX(SETTINGS!$A$15:$A$24,$B1423)</f>
        <v>2031</v>
      </c>
      <c r="B1423">
        <v>7</v>
      </c>
      <c r="C1423" t="str">
        <f>IF(AND(A1423&gt;=SETTINGS!$B$4,A1423&lt;=SETTINGS!$B$5),"Yes","No")</f>
        <v>No</v>
      </c>
      <c r="D1423" t="str">
        <f>IFERROR(INDEX(SETTINGS!$C$15:$C$24,MATCH(A1423,SETTINGS!$A$15:$A$24,0)),"No")</f>
        <v>No</v>
      </c>
      <c r="E1423">
        <v>3</v>
      </c>
      <c r="F1423" t="s">
        <v>36</v>
      </c>
      <c r="G1423">
        <v>74</v>
      </c>
      <c r="H1423" t="s">
        <v>109</v>
      </c>
      <c r="I1423" t="s">
        <v>22</v>
      </c>
      <c r="J1423" t="s">
        <v>29</v>
      </c>
      <c r="K1423" t="s">
        <v>3</v>
      </c>
      <c r="L1423" s="36">
        <f ca="1">IF(C1423&lt;&gt;"Yes",0,IF(A1423=2025,N('2025'!D74),IF(A1423=2026,N('2026'!D74),IF(A1423=2027,N('2027'!D74),IF(A1423=2028,N('2028'!D74),IF(A1423=2029,N('2029'!D74),IF(A1423=2030,N('2030'!D74),IF(A1423=2031,N('2031'!D74),IF(A1423=2032,N('2032'!D74),IF(A1423=2033,N('2033'!D74),IF(A1423=2034,N('2034'!D74),IFERROR(N(INDIRECT("'"&amp;A1423&amp;"'!D"&amp;G1423)),0))))))))))))</f>
        <v>0</v>
      </c>
      <c r="M1423" s="36">
        <f>IFERROR(IF(NOT(ISBLANK(KPI_TARGETS!$M$20)),KPI_TARGETS!$M$20,IF(NOT(ISBLANK(KPI_TARGETS!$F$20)),KPI_TARGETS!$F$20,"")),"")</f>
        <v>1</v>
      </c>
      <c r="N1423" s="36" t="str">
        <f>IFERROR(KPI_TARGETS!$E$20,"Higher is better")</f>
        <v>Higher is better</v>
      </c>
      <c r="O1423" s="37">
        <f t="shared" ca="1" si="132"/>
        <v>0</v>
      </c>
      <c r="P1423" t="str">
        <f t="shared" ca="1" si="133"/>
        <v>Red</v>
      </c>
      <c r="Q1423" s="36">
        <f t="shared" ca="1" si="134"/>
        <v>-1</v>
      </c>
      <c r="R1423" s="36" t="str">
        <f>""</f>
        <v/>
      </c>
      <c r="S1423" s="36" t="str">
        <f>""</f>
        <v/>
      </c>
      <c r="T1423" s="36" t="str">
        <f>""</f>
        <v/>
      </c>
      <c r="U1423" s="36" t="str">
        <f>""</f>
        <v/>
      </c>
      <c r="V1423" s="36" t="str">
        <f>""</f>
        <v/>
      </c>
      <c r="W1423" s="36">
        <f t="shared" si="135"/>
        <v>1</v>
      </c>
      <c r="X1423" t="str">
        <f t="shared" si="136"/>
        <v>Inactive</v>
      </c>
      <c r="Y1423" t="str">
        <f>IF(MAIN!$H$3="Selected Year",IF(A1423=MAIN!$B$3,"Yes","No"),IF(MAIN!$H$3="Included Years",IF(D1423="Yes","Yes","No"),IF(C1423="Yes","Yes","No")))</f>
        <v>No</v>
      </c>
      <c r="Z1423" t="str">
        <f>IF(MAIN!$F$3="Project to Date",IF(AND(A1423&gt;=SETTINGS!$B$4,A1423&lt;MAIN!$B$3),"Yes",IF(AND(A1423=MAIN!$B$3,E1423&lt;=MAIN!$L$3),"Yes","No")),IF(OR(MAIN!$F$3="Full Year",MAIN!$D$3="All"),"Yes",IF(MAIN!$F$3="Monthly",IF(E1423=MAIN!$L$3,"Yes","No"),IF(E1423&lt;=MAIN!$L$3,"Yes","No"))))</f>
        <v>Yes</v>
      </c>
      <c r="AA1423" t="str">
        <f t="shared" si="137"/>
        <v>No</v>
      </c>
    </row>
    <row r="1424" spans="1:27" x14ac:dyDescent="0.3">
      <c r="A1424">
        <f>INDEX(SETTINGS!$A$15:$A$24,$B1424)</f>
        <v>2031</v>
      </c>
      <c r="B1424">
        <v>7</v>
      </c>
      <c r="C1424" t="str">
        <f>IF(AND(A1424&gt;=SETTINGS!$B$4,A1424&lt;=SETTINGS!$B$5),"Yes","No")</f>
        <v>No</v>
      </c>
      <c r="D1424" t="str">
        <f>IFERROR(INDEX(SETTINGS!$C$15:$C$24,MATCH(A1424,SETTINGS!$A$15:$A$24,0)),"No")</f>
        <v>No</v>
      </c>
      <c r="E1424">
        <v>3</v>
      </c>
      <c r="F1424" t="s">
        <v>36</v>
      </c>
      <c r="G1424">
        <v>76</v>
      </c>
      <c r="H1424" t="s">
        <v>110</v>
      </c>
      <c r="I1424" t="s">
        <v>30</v>
      </c>
      <c r="J1424" t="s">
        <v>31</v>
      </c>
      <c r="K1424" t="s">
        <v>3</v>
      </c>
      <c r="L1424" s="36">
        <f ca="1">IF(C1424&lt;&gt;"Yes",0,IF(A1424=2025,N('2025'!D76),IF(A1424=2026,N('2026'!D76),IF(A1424=2027,N('2027'!D76),IF(A1424=2028,N('2028'!D76),IF(A1424=2029,N('2029'!D76),IF(A1424=2030,N('2030'!D76),IF(A1424=2031,N('2031'!D76),IF(A1424=2032,N('2032'!D76),IF(A1424=2033,N('2033'!D76),IF(A1424=2034,N('2034'!D76),IFERROR(N(INDIRECT("'"&amp;A1424&amp;"'!D"&amp;G1424)),0))))))))))))</f>
        <v>0</v>
      </c>
      <c r="M1424" s="36">
        <f>IFERROR(IF(NOT(ISBLANK(KPI_TARGETS!$M$21)),KPI_TARGETS!$M$21,IF(NOT(ISBLANK(KPI_TARGETS!$F$21)),KPI_TARGETS!$F$21,"")),"")</f>
        <v>0</v>
      </c>
      <c r="N1424" s="36" t="str">
        <f>IFERROR(KPI_TARGETS!$E$21,"Higher is better")</f>
        <v>Lower is better</v>
      </c>
      <c r="O1424" s="37">
        <f t="shared" ca="1" si="132"/>
        <v>1</v>
      </c>
      <c r="P1424" t="str">
        <f t="shared" ca="1" si="133"/>
        <v>Green</v>
      </c>
      <c r="Q1424" s="36">
        <f t="shared" ca="1" si="134"/>
        <v>0</v>
      </c>
      <c r="R1424" s="36" t="str">
        <f>""</f>
        <v/>
      </c>
      <c r="S1424" s="36" t="str">
        <f>""</f>
        <v/>
      </c>
      <c r="T1424" s="36" t="str">
        <f>""</f>
        <v/>
      </c>
      <c r="U1424" s="36" t="str">
        <f>""</f>
        <v/>
      </c>
      <c r="V1424" s="36" t="str">
        <f>""</f>
        <v/>
      </c>
      <c r="W1424" s="36">
        <f t="shared" si="135"/>
        <v>1</v>
      </c>
      <c r="X1424" t="str">
        <f t="shared" si="136"/>
        <v>Inactive</v>
      </c>
      <c r="Y1424" t="str">
        <f>IF(MAIN!$H$3="Selected Year",IF(A1424=MAIN!$B$3,"Yes","No"),IF(MAIN!$H$3="Included Years",IF(D1424="Yes","Yes","No"),IF(C1424="Yes","Yes","No")))</f>
        <v>No</v>
      </c>
      <c r="Z1424" t="str">
        <f>IF(MAIN!$F$3="Project to Date",IF(AND(A1424&gt;=SETTINGS!$B$4,A1424&lt;MAIN!$B$3),"Yes",IF(AND(A1424=MAIN!$B$3,E1424&lt;=MAIN!$L$3),"Yes","No")),IF(OR(MAIN!$F$3="Full Year",MAIN!$D$3="All"),"Yes",IF(MAIN!$F$3="Monthly",IF(E1424=MAIN!$L$3,"Yes","No"),IF(E1424&lt;=MAIN!$L$3,"Yes","No"))))</f>
        <v>Yes</v>
      </c>
      <c r="AA1424" t="str">
        <f t="shared" si="137"/>
        <v>No</v>
      </c>
    </row>
    <row r="1425" spans="1:27" x14ac:dyDescent="0.3">
      <c r="A1425">
        <f>INDEX(SETTINGS!$A$15:$A$24,$B1425)</f>
        <v>2031</v>
      </c>
      <c r="B1425">
        <v>7</v>
      </c>
      <c r="C1425" t="str">
        <f>IF(AND(A1425&gt;=SETTINGS!$B$4,A1425&lt;=SETTINGS!$B$5),"Yes","No")</f>
        <v>No</v>
      </c>
      <c r="D1425" t="str">
        <f>IFERROR(INDEX(SETTINGS!$C$15:$C$24,MATCH(A1425,SETTINGS!$A$15:$A$24,0)),"No")</f>
        <v>No</v>
      </c>
      <c r="E1425">
        <v>3</v>
      </c>
      <c r="F1425" t="s">
        <v>36</v>
      </c>
      <c r="G1425">
        <v>77</v>
      </c>
      <c r="H1425" t="s">
        <v>111</v>
      </c>
      <c r="I1425" t="s">
        <v>30</v>
      </c>
      <c r="J1425" t="s">
        <v>32</v>
      </c>
      <c r="K1425" t="s">
        <v>3</v>
      </c>
      <c r="L1425" s="36">
        <f ca="1">IF(C1425&lt;&gt;"Yes",0,IF(A1425=2025,N('2025'!D77),IF(A1425=2026,N('2026'!D77),IF(A1425=2027,N('2027'!D77),IF(A1425=2028,N('2028'!D77),IF(A1425=2029,N('2029'!D77),IF(A1425=2030,N('2030'!D77),IF(A1425=2031,N('2031'!D77),IF(A1425=2032,N('2032'!D77),IF(A1425=2033,N('2033'!D77),IF(A1425=2034,N('2034'!D77),IFERROR(N(INDIRECT("'"&amp;A1425&amp;"'!D"&amp;G1425)),0))))))))))))</f>
        <v>0</v>
      </c>
      <c r="M1425" s="36">
        <f>IFERROR(IF(NOT(ISBLANK(KPI_TARGETS!$M$22)),KPI_TARGETS!$M$22,IF(NOT(ISBLANK(KPI_TARGETS!$F$22)),KPI_TARGETS!$F$22,"")),"")</f>
        <v>1</v>
      </c>
      <c r="N1425" s="36" t="str">
        <f>IFERROR(KPI_TARGETS!$E$22,"Higher is better")</f>
        <v>Higher is better</v>
      </c>
      <c r="O1425" s="37">
        <f t="shared" ca="1" si="132"/>
        <v>0</v>
      </c>
      <c r="P1425" t="str">
        <f t="shared" ca="1" si="133"/>
        <v>Red</v>
      </c>
      <c r="Q1425" s="36">
        <f t="shared" ca="1" si="134"/>
        <v>-1</v>
      </c>
      <c r="R1425" s="36" t="str">
        <f>""</f>
        <v/>
      </c>
      <c r="S1425" s="36" t="str">
        <f>""</f>
        <v/>
      </c>
      <c r="T1425" s="36" t="str">
        <f>""</f>
        <v/>
      </c>
      <c r="U1425" s="36" t="str">
        <f>""</f>
        <v/>
      </c>
      <c r="V1425" s="36" t="str">
        <f>""</f>
        <v/>
      </c>
      <c r="W1425" s="36">
        <f t="shared" si="135"/>
        <v>1</v>
      </c>
      <c r="X1425" t="str">
        <f t="shared" si="136"/>
        <v>Inactive</v>
      </c>
      <c r="Y1425" t="str">
        <f>IF(MAIN!$H$3="Selected Year",IF(A1425=MAIN!$B$3,"Yes","No"),IF(MAIN!$H$3="Included Years",IF(D1425="Yes","Yes","No"),IF(C1425="Yes","Yes","No")))</f>
        <v>No</v>
      </c>
      <c r="Z1425" t="str">
        <f>IF(MAIN!$F$3="Project to Date",IF(AND(A1425&gt;=SETTINGS!$B$4,A1425&lt;MAIN!$B$3),"Yes",IF(AND(A1425=MAIN!$B$3,E1425&lt;=MAIN!$L$3),"Yes","No")),IF(OR(MAIN!$F$3="Full Year",MAIN!$D$3="All"),"Yes",IF(MAIN!$F$3="Monthly",IF(E1425=MAIN!$L$3,"Yes","No"),IF(E1425&lt;=MAIN!$L$3,"Yes","No"))))</f>
        <v>Yes</v>
      </c>
      <c r="AA1425" t="str">
        <f t="shared" si="137"/>
        <v>No</v>
      </c>
    </row>
    <row r="1426" spans="1:27" x14ac:dyDescent="0.3">
      <c r="A1426">
        <f>INDEX(SETTINGS!$A$15:$A$24,$B1426)</f>
        <v>2031</v>
      </c>
      <c r="B1426">
        <v>7</v>
      </c>
      <c r="C1426" t="str">
        <f>IF(AND(A1426&gt;=SETTINGS!$B$4,A1426&lt;=SETTINGS!$B$5),"Yes","No")</f>
        <v>No</v>
      </c>
      <c r="D1426" t="str">
        <f>IFERROR(INDEX(SETTINGS!$C$15:$C$24,MATCH(A1426,SETTINGS!$A$15:$A$24,0)),"No")</f>
        <v>No</v>
      </c>
      <c r="E1426">
        <v>3</v>
      </c>
      <c r="F1426" t="s">
        <v>36</v>
      </c>
      <c r="G1426">
        <v>78</v>
      </c>
      <c r="H1426" t="s">
        <v>112</v>
      </c>
      <c r="I1426" t="s">
        <v>30</v>
      </c>
      <c r="J1426" t="s">
        <v>33</v>
      </c>
      <c r="K1426" t="s">
        <v>34</v>
      </c>
      <c r="L1426" s="36">
        <f ca="1">IF(C1426&lt;&gt;"Yes",0,IF(A1426=2025,N('2025'!D78),IF(A1426=2026,N('2026'!D78),IF(A1426=2027,N('2027'!D78),IF(A1426=2028,N('2028'!D78),IF(A1426=2029,N('2029'!D78),IF(A1426=2030,N('2030'!D78),IF(A1426=2031,N('2031'!D78),IF(A1426=2032,N('2032'!D78),IF(A1426=2033,N('2033'!D78),IF(A1426=2034,N('2034'!D78),IFERROR(N(INDIRECT("'"&amp;A1426&amp;"'!D"&amp;G1426)),0))))))))))))</f>
        <v>0</v>
      </c>
      <c r="M1426" s="36">
        <f>IFERROR(IF(NOT(ISBLANK(KPI_TARGETS!$M$23)),KPI_TARGETS!$M$23,IF(NOT(ISBLANK(KPI_TARGETS!$F$23)),KPI_TARGETS!$F$23,"")),"")</f>
        <v>1</v>
      </c>
      <c r="N1426" s="36" t="str">
        <f>IFERROR(KPI_TARGETS!$E$23,"Higher is better")</f>
        <v>Higher is better</v>
      </c>
      <c r="O1426" s="37">
        <f t="shared" ca="1" si="132"/>
        <v>0</v>
      </c>
      <c r="P1426" t="str">
        <f t="shared" ca="1" si="133"/>
        <v>Red</v>
      </c>
      <c r="Q1426" s="36">
        <f t="shared" ca="1" si="134"/>
        <v>-1</v>
      </c>
      <c r="R1426" s="36" t="str">
        <f>""</f>
        <v/>
      </c>
      <c r="S1426" s="36" t="str">
        <f>""</f>
        <v/>
      </c>
      <c r="T1426" s="36" t="str">
        <f>""</f>
        <v/>
      </c>
      <c r="U1426" s="36" t="str">
        <f>""</f>
        <v/>
      </c>
      <c r="V1426" s="36" t="str">
        <f>""</f>
        <v/>
      </c>
      <c r="W1426" s="36">
        <f t="shared" si="135"/>
        <v>1</v>
      </c>
      <c r="X1426" t="str">
        <f t="shared" si="136"/>
        <v>Inactive</v>
      </c>
      <c r="Y1426" t="str">
        <f>IF(MAIN!$H$3="Selected Year",IF(A1426=MAIN!$B$3,"Yes","No"),IF(MAIN!$H$3="Included Years",IF(D1426="Yes","Yes","No"),IF(C1426="Yes","Yes","No")))</f>
        <v>No</v>
      </c>
      <c r="Z1426" t="str">
        <f>IF(MAIN!$F$3="Project to Date",IF(AND(A1426&gt;=SETTINGS!$B$4,A1426&lt;MAIN!$B$3),"Yes",IF(AND(A1426=MAIN!$B$3,E1426&lt;=MAIN!$L$3),"Yes","No")),IF(OR(MAIN!$F$3="Full Year",MAIN!$D$3="All"),"Yes",IF(MAIN!$F$3="Monthly",IF(E1426=MAIN!$L$3,"Yes","No"),IF(E1426&lt;=MAIN!$L$3,"Yes","No"))))</f>
        <v>Yes</v>
      </c>
      <c r="AA1426" t="str">
        <f t="shared" si="137"/>
        <v>No</v>
      </c>
    </row>
    <row r="1427" spans="1:27" x14ac:dyDescent="0.3">
      <c r="A1427">
        <f>INDEX(SETTINGS!$A$15:$A$24,$B1427)</f>
        <v>2031</v>
      </c>
      <c r="B1427">
        <v>7</v>
      </c>
      <c r="C1427" t="str">
        <f>IF(AND(A1427&gt;=SETTINGS!$B$4,A1427&lt;=SETTINGS!$B$5),"Yes","No")</f>
        <v>No</v>
      </c>
      <c r="D1427" t="str">
        <f>IFERROR(INDEX(SETTINGS!$C$15:$C$24,MATCH(A1427,SETTINGS!$A$15:$A$24,0)),"No")</f>
        <v>No</v>
      </c>
      <c r="E1427">
        <v>4</v>
      </c>
      <c r="F1427" t="s">
        <v>37</v>
      </c>
      <c r="G1427">
        <v>81</v>
      </c>
      <c r="H1427" t="s">
        <v>88</v>
      </c>
      <c r="I1427" t="s">
        <v>89</v>
      </c>
      <c r="J1427" t="s">
        <v>10</v>
      </c>
      <c r="K1427" t="s">
        <v>3</v>
      </c>
      <c r="L1427" s="36">
        <f ca="1">IF(C1427&lt;&gt;"Yes",0,IF(A1427=2025,N('2025'!D81),IF(A1427=2026,N('2026'!D81),IF(A1427=2027,N('2027'!D81),IF(A1427=2028,N('2028'!D81),IF(A1427=2029,N('2029'!D81),IF(A1427=2030,N('2030'!D81),IF(A1427=2031,N('2031'!D81),IF(A1427=2032,N('2032'!D81),IF(A1427=2033,N('2033'!D81),IF(A1427=2034,N('2034'!D81),IFERROR(N(INDIRECT("'"&amp;A1427&amp;"'!D"&amp;G1427)),0))))))))))))</f>
        <v>0</v>
      </c>
      <c r="M1427" s="36">
        <f>IFERROR(IF(NOT(ISBLANK(KPI_TARGETS!$M$5)),KPI_TARGETS!$M$5,IF(NOT(ISBLANK(KPI_TARGETS!$F$5)),KPI_TARGETS!$F$5,"")),"")</f>
        <v>104</v>
      </c>
      <c r="N1427" s="36" t="str">
        <f>IFERROR(KPI_TARGETS!$E$5,"Higher is better")</f>
        <v>Higher is better</v>
      </c>
      <c r="O1427" s="37">
        <f t="shared" ca="1" si="132"/>
        <v>0</v>
      </c>
      <c r="P1427" t="str">
        <f t="shared" ca="1" si="133"/>
        <v>Red</v>
      </c>
      <c r="Q1427" s="36">
        <f t="shared" ca="1" si="134"/>
        <v>-104</v>
      </c>
      <c r="R1427" s="36" t="str">
        <f>""</f>
        <v/>
      </c>
      <c r="S1427" s="36" t="str">
        <f>""</f>
        <v/>
      </c>
      <c r="T1427" s="36" t="str">
        <f>""</f>
        <v/>
      </c>
      <c r="U1427" s="36" t="str">
        <f>""</f>
        <v/>
      </c>
      <c r="V1427" s="36" t="str">
        <f>""</f>
        <v/>
      </c>
      <c r="W1427" s="36">
        <f t="shared" si="135"/>
        <v>1</v>
      </c>
      <c r="X1427" t="str">
        <f t="shared" si="136"/>
        <v>Inactive</v>
      </c>
      <c r="Y1427" t="str">
        <f>IF(MAIN!$H$3="Selected Year",IF(A1427=MAIN!$B$3,"Yes","No"),IF(MAIN!$H$3="Included Years",IF(D1427="Yes","Yes","No"),IF(C1427="Yes","Yes","No")))</f>
        <v>No</v>
      </c>
      <c r="Z1427" t="str">
        <f>IF(MAIN!$F$3="Project to Date",IF(AND(A1427&gt;=SETTINGS!$B$4,A1427&lt;MAIN!$B$3),"Yes",IF(AND(A1427=MAIN!$B$3,E1427&lt;=MAIN!$L$3),"Yes","No")),IF(OR(MAIN!$F$3="Full Year",MAIN!$D$3="All"),"Yes",IF(MAIN!$F$3="Monthly",IF(E1427=MAIN!$L$3,"Yes","No"),IF(E1427&lt;=MAIN!$L$3,"Yes","No"))))</f>
        <v>Yes</v>
      </c>
      <c r="AA1427" t="str">
        <f t="shared" si="137"/>
        <v>No</v>
      </c>
    </row>
    <row r="1428" spans="1:27" x14ac:dyDescent="0.3">
      <c r="A1428">
        <f>INDEX(SETTINGS!$A$15:$A$24,$B1428)</f>
        <v>2031</v>
      </c>
      <c r="B1428">
        <v>7</v>
      </c>
      <c r="C1428" t="str">
        <f>IF(AND(A1428&gt;=SETTINGS!$B$4,A1428&lt;=SETTINGS!$B$5),"Yes","No")</f>
        <v>No</v>
      </c>
      <c r="D1428" t="str">
        <f>IFERROR(INDEX(SETTINGS!$C$15:$C$24,MATCH(A1428,SETTINGS!$A$15:$A$24,0)),"No")</f>
        <v>No</v>
      </c>
      <c r="E1428">
        <v>4</v>
      </c>
      <c r="F1428" t="s">
        <v>37</v>
      </c>
      <c r="G1428">
        <v>82</v>
      </c>
      <c r="H1428" t="s">
        <v>91</v>
      </c>
      <c r="I1428" t="s">
        <v>89</v>
      </c>
      <c r="J1428" t="s">
        <v>11</v>
      </c>
      <c r="K1428" t="s">
        <v>12</v>
      </c>
      <c r="L1428" s="36">
        <f ca="1">IF(C1428&lt;&gt;"Yes",0,IF(A1428=2025,N('2025'!D82),IF(A1428=2026,N('2026'!D82),IF(A1428=2027,N('2027'!D82),IF(A1428=2028,N('2028'!D82),IF(A1428=2029,N('2029'!D82),IF(A1428=2030,N('2030'!D82),IF(A1428=2031,N('2031'!D82),IF(A1428=2032,N('2032'!D82),IF(A1428=2033,N('2033'!D82),IF(A1428=2034,N('2034'!D82),IFERROR(N(INDIRECT("'"&amp;A1428&amp;"'!D"&amp;G1428)),0))))))))))))</f>
        <v>0</v>
      </c>
      <c r="M1428" s="36">
        <f>IFERROR(IF(NOT(ISBLANK(KPI_TARGETS!$M$6)),KPI_TARGETS!$M$6,IF(NOT(ISBLANK(KPI_TARGETS!$F$6)),KPI_TARGETS!$F$6,"")),"")</f>
        <v>4000</v>
      </c>
      <c r="N1428" s="36" t="str">
        <f>IFERROR(KPI_TARGETS!$E$6,"Higher is better")</f>
        <v>Higher is better</v>
      </c>
      <c r="O1428" s="37">
        <f t="shared" ca="1" si="132"/>
        <v>0</v>
      </c>
      <c r="P1428" t="str">
        <f t="shared" ca="1" si="133"/>
        <v>Red</v>
      </c>
      <c r="Q1428" s="36">
        <f t="shared" ca="1" si="134"/>
        <v>-4000</v>
      </c>
      <c r="R1428" s="36" t="str">
        <f>""</f>
        <v/>
      </c>
      <c r="S1428" s="36" t="str">
        <f>""</f>
        <v/>
      </c>
      <c r="T1428" s="36" t="str">
        <f>""</f>
        <v/>
      </c>
      <c r="U1428" s="36" t="str">
        <f>""</f>
        <v/>
      </c>
      <c r="V1428" s="36" t="str">
        <f>""</f>
        <v/>
      </c>
      <c r="W1428" s="36">
        <f t="shared" si="135"/>
        <v>1</v>
      </c>
      <c r="X1428" t="str">
        <f t="shared" si="136"/>
        <v>Inactive</v>
      </c>
      <c r="Y1428" t="str">
        <f>IF(MAIN!$H$3="Selected Year",IF(A1428=MAIN!$B$3,"Yes","No"),IF(MAIN!$H$3="Included Years",IF(D1428="Yes","Yes","No"),IF(C1428="Yes","Yes","No")))</f>
        <v>No</v>
      </c>
      <c r="Z1428" t="str">
        <f>IF(MAIN!$F$3="Project to Date",IF(AND(A1428&gt;=SETTINGS!$B$4,A1428&lt;MAIN!$B$3),"Yes",IF(AND(A1428=MAIN!$B$3,E1428&lt;=MAIN!$L$3),"Yes","No")),IF(OR(MAIN!$F$3="Full Year",MAIN!$D$3="All"),"Yes",IF(MAIN!$F$3="Monthly",IF(E1428=MAIN!$L$3,"Yes","No"),IF(E1428&lt;=MAIN!$L$3,"Yes","No"))))</f>
        <v>Yes</v>
      </c>
      <c r="AA1428" t="str">
        <f t="shared" si="137"/>
        <v>No</v>
      </c>
    </row>
    <row r="1429" spans="1:27" x14ac:dyDescent="0.3">
      <c r="A1429">
        <f>INDEX(SETTINGS!$A$15:$A$24,$B1429)</f>
        <v>2031</v>
      </c>
      <c r="B1429">
        <v>7</v>
      </c>
      <c r="C1429" t="str">
        <f>IF(AND(A1429&gt;=SETTINGS!$B$4,A1429&lt;=SETTINGS!$B$5),"Yes","No")</f>
        <v>No</v>
      </c>
      <c r="D1429" t="str">
        <f>IFERROR(INDEX(SETTINGS!$C$15:$C$24,MATCH(A1429,SETTINGS!$A$15:$A$24,0)),"No")</f>
        <v>No</v>
      </c>
      <c r="E1429">
        <v>4</v>
      </c>
      <c r="F1429" t="s">
        <v>37</v>
      </c>
      <c r="G1429">
        <v>83</v>
      </c>
      <c r="H1429" t="s">
        <v>93</v>
      </c>
      <c r="I1429" t="s">
        <v>89</v>
      </c>
      <c r="J1429" t="s">
        <v>13</v>
      </c>
      <c r="K1429" t="s">
        <v>14</v>
      </c>
      <c r="L1429" s="36">
        <f ca="1">IF(C1429&lt;&gt;"Yes",0,IF(A1429=2025,N('2025'!D83),IF(A1429=2026,N('2026'!D83),IF(A1429=2027,N('2027'!D83),IF(A1429=2028,N('2028'!D83),IF(A1429=2029,N('2029'!D83),IF(A1429=2030,N('2030'!D83),IF(A1429=2031,N('2031'!D83),IF(A1429=2032,N('2032'!D83),IF(A1429=2033,N('2033'!D83),IF(A1429=2034,N('2034'!D83),IFERROR(N(INDIRECT("'"&amp;A1429&amp;"'!D"&amp;G1429)),0))))))))))))</f>
        <v>0</v>
      </c>
      <c r="M1429" s="36">
        <f>IFERROR(IF(NOT(ISBLANK(KPI_TARGETS!$M$7)),KPI_TARGETS!$M$7,IF(NOT(ISBLANK(KPI_TARGETS!$F$7)),KPI_TARGETS!$F$7,"")),"")</f>
        <v>8000</v>
      </c>
      <c r="N1429" s="36" t="str">
        <f>IFERROR(KPI_TARGETS!$E$7,"Higher is better")</f>
        <v>Higher is better</v>
      </c>
      <c r="O1429" s="37">
        <f t="shared" ca="1" si="132"/>
        <v>0</v>
      </c>
      <c r="P1429" t="str">
        <f t="shared" ca="1" si="133"/>
        <v>Red</v>
      </c>
      <c r="Q1429" s="36">
        <f t="shared" ca="1" si="134"/>
        <v>-8000</v>
      </c>
      <c r="R1429" s="36" t="str">
        <f>""</f>
        <v/>
      </c>
      <c r="S1429" s="36" t="str">
        <f>""</f>
        <v/>
      </c>
      <c r="T1429" s="36" t="str">
        <f>""</f>
        <v/>
      </c>
      <c r="U1429" s="36" t="str">
        <f>""</f>
        <v/>
      </c>
      <c r="V1429" s="36" t="str">
        <f>""</f>
        <v/>
      </c>
      <c r="W1429" s="36">
        <f t="shared" si="135"/>
        <v>1</v>
      </c>
      <c r="X1429" t="str">
        <f t="shared" si="136"/>
        <v>Inactive</v>
      </c>
      <c r="Y1429" t="str">
        <f>IF(MAIN!$H$3="Selected Year",IF(A1429=MAIN!$B$3,"Yes","No"),IF(MAIN!$H$3="Included Years",IF(D1429="Yes","Yes","No"),IF(C1429="Yes","Yes","No")))</f>
        <v>No</v>
      </c>
      <c r="Z1429" t="str">
        <f>IF(MAIN!$F$3="Project to Date",IF(AND(A1429&gt;=SETTINGS!$B$4,A1429&lt;MAIN!$B$3),"Yes",IF(AND(A1429=MAIN!$B$3,E1429&lt;=MAIN!$L$3),"Yes","No")),IF(OR(MAIN!$F$3="Full Year",MAIN!$D$3="All"),"Yes",IF(MAIN!$F$3="Monthly",IF(E1429=MAIN!$L$3,"Yes","No"),IF(E1429&lt;=MAIN!$L$3,"Yes","No"))))</f>
        <v>Yes</v>
      </c>
      <c r="AA1429" t="str">
        <f t="shared" si="137"/>
        <v>No</v>
      </c>
    </row>
    <row r="1430" spans="1:27" x14ac:dyDescent="0.3">
      <c r="A1430">
        <f>INDEX(SETTINGS!$A$15:$A$24,$B1430)</f>
        <v>2031</v>
      </c>
      <c r="B1430">
        <v>7</v>
      </c>
      <c r="C1430" t="str">
        <f>IF(AND(A1430&gt;=SETTINGS!$B$4,A1430&lt;=SETTINGS!$B$5),"Yes","No")</f>
        <v>No</v>
      </c>
      <c r="D1430" t="str">
        <f>IFERROR(INDEX(SETTINGS!$C$15:$C$24,MATCH(A1430,SETTINGS!$A$15:$A$24,0)),"No")</f>
        <v>No</v>
      </c>
      <c r="E1430">
        <v>4</v>
      </c>
      <c r="F1430" t="s">
        <v>37</v>
      </c>
      <c r="G1430">
        <v>85</v>
      </c>
      <c r="H1430" t="s">
        <v>95</v>
      </c>
      <c r="I1430" t="s">
        <v>15</v>
      </c>
      <c r="J1430" t="s">
        <v>16</v>
      </c>
      <c r="K1430" t="s">
        <v>3</v>
      </c>
      <c r="L1430" s="36">
        <f ca="1">IF(C1430&lt;&gt;"Yes",0,IF(A1430=2025,N('2025'!D85),IF(A1430=2026,N('2026'!D85),IF(A1430=2027,N('2027'!D85),IF(A1430=2028,N('2028'!D85),IF(A1430=2029,N('2029'!D85),IF(A1430=2030,N('2030'!D85),IF(A1430=2031,N('2031'!D85),IF(A1430=2032,N('2032'!D85),IF(A1430=2033,N('2033'!D85),IF(A1430=2034,N('2034'!D85),IFERROR(N(INDIRECT("'"&amp;A1430&amp;"'!D"&amp;G1430)),0))))))))))))</f>
        <v>0</v>
      </c>
      <c r="M1430" s="36">
        <f>IFERROR(IF(NOT(ISBLANK(KPI_TARGETS!$M$8)),KPI_TARGETS!$M$8,IF(NOT(ISBLANK(KPI_TARGETS!$F$8)),KPI_TARGETS!$F$8,"")),"")</f>
        <v>0</v>
      </c>
      <c r="N1430" s="36" t="str">
        <f>IFERROR(KPI_TARGETS!$E$8,"Higher is better")</f>
        <v>Lower is better</v>
      </c>
      <c r="O1430" s="37">
        <f t="shared" ca="1" si="132"/>
        <v>1</v>
      </c>
      <c r="P1430" t="str">
        <f t="shared" ca="1" si="133"/>
        <v>Green</v>
      </c>
      <c r="Q1430" s="36">
        <f t="shared" ca="1" si="134"/>
        <v>0</v>
      </c>
      <c r="R1430" s="36" t="str">
        <f>""</f>
        <v/>
      </c>
      <c r="S1430" s="36" t="str">
        <f>""</f>
        <v/>
      </c>
      <c r="T1430" s="36" t="str">
        <f>""</f>
        <v/>
      </c>
      <c r="U1430" s="36" t="str">
        <f>""</f>
        <v/>
      </c>
      <c r="V1430" s="36" t="str">
        <f>""</f>
        <v/>
      </c>
      <c r="W1430" s="36">
        <f t="shared" si="135"/>
        <v>1</v>
      </c>
      <c r="X1430" t="str">
        <f t="shared" si="136"/>
        <v>Inactive</v>
      </c>
      <c r="Y1430" t="str">
        <f>IF(MAIN!$H$3="Selected Year",IF(A1430=MAIN!$B$3,"Yes","No"),IF(MAIN!$H$3="Included Years",IF(D1430="Yes","Yes","No"),IF(C1430="Yes","Yes","No")))</f>
        <v>No</v>
      </c>
      <c r="Z1430" t="str">
        <f>IF(MAIN!$F$3="Project to Date",IF(AND(A1430&gt;=SETTINGS!$B$4,A1430&lt;MAIN!$B$3),"Yes",IF(AND(A1430=MAIN!$B$3,E1430&lt;=MAIN!$L$3),"Yes","No")),IF(OR(MAIN!$F$3="Full Year",MAIN!$D$3="All"),"Yes",IF(MAIN!$F$3="Monthly",IF(E1430=MAIN!$L$3,"Yes","No"),IF(E1430&lt;=MAIN!$L$3,"Yes","No"))))</f>
        <v>Yes</v>
      </c>
      <c r="AA1430" t="str">
        <f t="shared" si="137"/>
        <v>No</v>
      </c>
    </row>
    <row r="1431" spans="1:27" x14ac:dyDescent="0.3">
      <c r="A1431">
        <f>INDEX(SETTINGS!$A$15:$A$24,$B1431)</f>
        <v>2031</v>
      </c>
      <c r="B1431">
        <v>7</v>
      </c>
      <c r="C1431" t="str">
        <f>IF(AND(A1431&gt;=SETTINGS!$B$4,A1431&lt;=SETTINGS!$B$5),"Yes","No")</f>
        <v>No</v>
      </c>
      <c r="D1431" t="str">
        <f>IFERROR(INDEX(SETTINGS!$C$15:$C$24,MATCH(A1431,SETTINGS!$A$15:$A$24,0)),"No")</f>
        <v>No</v>
      </c>
      <c r="E1431">
        <v>4</v>
      </c>
      <c r="F1431" t="s">
        <v>37</v>
      </c>
      <c r="G1431">
        <v>86</v>
      </c>
      <c r="H1431" t="s">
        <v>97</v>
      </c>
      <c r="I1431" t="s">
        <v>15</v>
      </c>
      <c r="J1431" t="s">
        <v>17</v>
      </c>
      <c r="K1431" t="s">
        <v>3</v>
      </c>
      <c r="L1431" s="36">
        <f ca="1">IF(C1431&lt;&gt;"Yes",0,IF(A1431=2025,N('2025'!D86),IF(A1431=2026,N('2026'!D86),IF(A1431=2027,N('2027'!D86),IF(A1431=2028,N('2028'!D86),IF(A1431=2029,N('2029'!D86),IF(A1431=2030,N('2030'!D86),IF(A1431=2031,N('2031'!D86),IF(A1431=2032,N('2032'!D86),IF(A1431=2033,N('2033'!D86),IF(A1431=2034,N('2034'!D86),IFERROR(N(INDIRECT("'"&amp;A1431&amp;"'!D"&amp;G1431)),0))))))))))))</f>
        <v>0</v>
      </c>
      <c r="M1431" s="36">
        <f>IFERROR(IF(NOT(ISBLANK(KPI_TARGETS!$M$9)),KPI_TARGETS!$M$9,IF(NOT(ISBLANK(KPI_TARGETS!$F$9)),KPI_TARGETS!$F$9,"")),"")</f>
        <v>0</v>
      </c>
      <c r="N1431" s="36" t="str">
        <f>IFERROR(KPI_TARGETS!$E$9,"Higher is better")</f>
        <v>Higher is better</v>
      </c>
      <c r="O1431" s="37" t="str">
        <f t="shared" ca="1" si="132"/>
        <v/>
      </c>
      <c r="P1431" t="str">
        <f t="shared" ca="1" si="133"/>
        <v>Green</v>
      </c>
      <c r="Q1431" s="36">
        <f t="shared" ca="1" si="134"/>
        <v>0</v>
      </c>
      <c r="R1431" s="36" t="str">
        <f>""</f>
        <v/>
      </c>
      <c r="S1431" s="36" t="str">
        <f>""</f>
        <v/>
      </c>
      <c r="T1431" s="36" t="str">
        <f>""</f>
        <v/>
      </c>
      <c r="U1431" s="36" t="str">
        <f>""</f>
        <v/>
      </c>
      <c r="V1431" s="36" t="str">
        <f>""</f>
        <v/>
      </c>
      <c r="W1431" s="36">
        <f t="shared" si="135"/>
        <v>1</v>
      </c>
      <c r="X1431" t="str">
        <f t="shared" si="136"/>
        <v>Inactive</v>
      </c>
      <c r="Y1431" t="str">
        <f>IF(MAIN!$H$3="Selected Year",IF(A1431=MAIN!$B$3,"Yes","No"),IF(MAIN!$H$3="Included Years",IF(D1431="Yes","Yes","No"),IF(C1431="Yes","Yes","No")))</f>
        <v>No</v>
      </c>
      <c r="Z1431" t="str">
        <f>IF(MAIN!$F$3="Project to Date",IF(AND(A1431&gt;=SETTINGS!$B$4,A1431&lt;MAIN!$B$3),"Yes",IF(AND(A1431=MAIN!$B$3,E1431&lt;=MAIN!$L$3),"Yes","No")),IF(OR(MAIN!$F$3="Full Year",MAIN!$D$3="All"),"Yes",IF(MAIN!$F$3="Monthly",IF(E1431=MAIN!$L$3,"Yes","No"),IF(E1431&lt;=MAIN!$L$3,"Yes","No"))))</f>
        <v>Yes</v>
      </c>
      <c r="AA1431" t="str">
        <f t="shared" si="137"/>
        <v>No</v>
      </c>
    </row>
    <row r="1432" spans="1:27" x14ac:dyDescent="0.3">
      <c r="A1432">
        <f>INDEX(SETTINGS!$A$15:$A$24,$B1432)</f>
        <v>2031</v>
      </c>
      <c r="B1432">
        <v>7</v>
      </c>
      <c r="C1432" t="str">
        <f>IF(AND(A1432&gt;=SETTINGS!$B$4,A1432&lt;=SETTINGS!$B$5),"Yes","No")</f>
        <v>No</v>
      </c>
      <c r="D1432" t="str">
        <f>IFERROR(INDEX(SETTINGS!$C$15:$C$24,MATCH(A1432,SETTINGS!$A$15:$A$24,0)),"No")</f>
        <v>No</v>
      </c>
      <c r="E1432">
        <v>4</v>
      </c>
      <c r="F1432" t="s">
        <v>37</v>
      </c>
      <c r="G1432">
        <v>87</v>
      </c>
      <c r="H1432" t="s">
        <v>99</v>
      </c>
      <c r="I1432" t="s">
        <v>15</v>
      </c>
      <c r="J1432" t="s">
        <v>18</v>
      </c>
      <c r="K1432" t="s">
        <v>3</v>
      </c>
      <c r="L1432" s="36">
        <f ca="1">IF(C1432&lt;&gt;"Yes",0,IF(A1432=2025,N('2025'!D87),IF(A1432=2026,N('2026'!D87),IF(A1432=2027,N('2027'!D87),IF(A1432=2028,N('2028'!D87),IF(A1432=2029,N('2029'!D87),IF(A1432=2030,N('2030'!D87),IF(A1432=2031,N('2031'!D87),IF(A1432=2032,N('2032'!D87),IF(A1432=2033,N('2033'!D87),IF(A1432=2034,N('2034'!D87),IFERROR(N(INDIRECT("'"&amp;A1432&amp;"'!D"&amp;G1432)),0))))))))))))</f>
        <v>0</v>
      </c>
      <c r="M1432" s="36">
        <f>IFERROR(IF(NOT(ISBLANK(KPI_TARGETS!$M$10)),KPI_TARGETS!$M$10,IF(NOT(ISBLANK(KPI_TARGETS!$F$10)),KPI_TARGETS!$F$10,"")),"")</f>
        <v>0</v>
      </c>
      <c r="N1432" s="36" t="str">
        <f>IFERROR(KPI_TARGETS!$E$10,"Higher is better")</f>
        <v>Lower is better</v>
      </c>
      <c r="O1432" s="37">
        <f t="shared" ca="1" si="132"/>
        <v>1</v>
      </c>
      <c r="P1432" t="str">
        <f t="shared" ca="1" si="133"/>
        <v>Green</v>
      </c>
      <c r="Q1432" s="36">
        <f t="shared" ca="1" si="134"/>
        <v>0</v>
      </c>
      <c r="R1432" s="36" t="str">
        <f>""</f>
        <v/>
      </c>
      <c r="S1432" s="36" t="str">
        <f>""</f>
        <v/>
      </c>
      <c r="T1432" s="36" t="str">
        <f>""</f>
        <v/>
      </c>
      <c r="U1432" s="36" t="str">
        <f>""</f>
        <v/>
      </c>
      <c r="V1432" s="36" t="str">
        <f>""</f>
        <v/>
      </c>
      <c r="W1432" s="36">
        <f t="shared" si="135"/>
        <v>1</v>
      </c>
      <c r="X1432" t="str">
        <f t="shared" si="136"/>
        <v>Inactive</v>
      </c>
      <c r="Y1432" t="str">
        <f>IF(MAIN!$H$3="Selected Year",IF(A1432=MAIN!$B$3,"Yes","No"),IF(MAIN!$H$3="Included Years",IF(D1432="Yes","Yes","No"),IF(C1432="Yes","Yes","No")))</f>
        <v>No</v>
      </c>
      <c r="Z1432" t="str">
        <f>IF(MAIN!$F$3="Project to Date",IF(AND(A1432&gt;=SETTINGS!$B$4,A1432&lt;MAIN!$B$3),"Yes",IF(AND(A1432=MAIN!$B$3,E1432&lt;=MAIN!$L$3),"Yes","No")),IF(OR(MAIN!$F$3="Full Year",MAIN!$D$3="All"),"Yes",IF(MAIN!$F$3="Monthly",IF(E1432=MAIN!$L$3,"Yes","No"),IF(E1432&lt;=MAIN!$L$3,"Yes","No"))))</f>
        <v>Yes</v>
      </c>
      <c r="AA1432" t="str">
        <f t="shared" si="137"/>
        <v>No</v>
      </c>
    </row>
    <row r="1433" spans="1:27" x14ac:dyDescent="0.3">
      <c r="A1433">
        <f>INDEX(SETTINGS!$A$15:$A$24,$B1433)</f>
        <v>2031</v>
      </c>
      <c r="B1433">
        <v>7</v>
      </c>
      <c r="C1433" t="str">
        <f>IF(AND(A1433&gt;=SETTINGS!$B$4,A1433&lt;=SETTINGS!$B$5),"Yes","No")</f>
        <v>No</v>
      </c>
      <c r="D1433" t="str">
        <f>IFERROR(INDEX(SETTINGS!$C$15:$C$24,MATCH(A1433,SETTINGS!$A$15:$A$24,0)),"No")</f>
        <v>No</v>
      </c>
      <c r="E1433">
        <v>4</v>
      </c>
      <c r="F1433" t="s">
        <v>37</v>
      </c>
      <c r="G1433">
        <v>88</v>
      </c>
      <c r="H1433" t="s">
        <v>100</v>
      </c>
      <c r="I1433" t="s">
        <v>15</v>
      </c>
      <c r="J1433" t="s">
        <v>19</v>
      </c>
      <c r="K1433" t="s">
        <v>3</v>
      </c>
      <c r="L1433" s="36">
        <f ca="1">IF(C1433&lt;&gt;"Yes",0,IF(A1433=2025,N('2025'!D88),IF(A1433=2026,N('2026'!D88),IF(A1433=2027,N('2027'!D88),IF(A1433=2028,N('2028'!D88),IF(A1433=2029,N('2029'!D88),IF(A1433=2030,N('2030'!D88),IF(A1433=2031,N('2031'!D88),IF(A1433=2032,N('2032'!D88),IF(A1433=2033,N('2033'!D88),IF(A1433=2034,N('2034'!D88),IFERROR(N(INDIRECT("'"&amp;A1433&amp;"'!D"&amp;G1433)),0))))))))))))</f>
        <v>0</v>
      </c>
      <c r="M1433" s="36">
        <f>IFERROR(IF(NOT(ISBLANK(KPI_TARGETS!$M$11)),KPI_TARGETS!$M$11,IF(NOT(ISBLANK(KPI_TARGETS!$F$11)),KPI_TARGETS!$F$11,"")),"")</f>
        <v>0</v>
      </c>
      <c r="N1433" s="36" t="str">
        <f>IFERROR(KPI_TARGETS!$E$11,"Higher is better")</f>
        <v>Lower is better</v>
      </c>
      <c r="O1433" s="37">
        <f t="shared" ca="1" si="132"/>
        <v>1</v>
      </c>
      <c r="P1433" t="str">
        <f t="shared" ca="1" si="133"/>
        <v>Green</v>
      </c>
      <c r="Q1433" s="36">
        <f t="shared" ca="1" si="134"/>
        <v>0</v>
      </c>
      <c r="R1433" s="36" t="str">
        <f>""</f>
        <v/>
      </c>
      <c r="S1433" s="36" t="str">
        <f>""</f>
        <v/>
      </c>
      <c r="T1433" s="36" t="str">
        <f>""</f>
        <v/>
      </c>
      <c r="U1433" s="36" t="str">
        <f>""</f>
        <v/>
      </c>
      <c r="V1433" s="36" t="str">
        <f>""</f>
        <v/>
      </c>
      <c r="W1433" s="36">
        <f t="shared" si="135"/>
        <v>1</v>
      </c>
      <c r="X1433" t="str">
        <f t="shared" si="136"/>
        <v>Inactive</v>
      </c>
      <c r="Y1433" t="str">
        <f>IF(MAIN!$H$3="Selected Year",IF(A1433=MAIN!$B$3,"Yes","No"),IF(MAIN!$H$3="Included Years",IF(D1433="Yes","Yes","No"),IF(C1433="Yes","Yes","No")))</f>
        <v>No</v>
      </c>
      <c r="Z1433" t="str">
        <f>IF(MAIN!$F$3="Project to Date",IF(AND(A1433&gt;=SETTINGS!$B$4,A1433&lt;MAIN!$B$3),"Yes",IF(AND(A1433=MAIN!$B$3,E1433&lt;=MAIN!$L$3),"Yes","No")),IF(OR(MAIN!$F$3="Full Year",MAIN!$D$3="All"),"Yes",IF(MAIN!$F$3="Monthly",IF(E1433=MAIN!$L$3,"Yes","No"),IF(E1433&lt;=MAIN!$L$3,"Yes","No"))))</f>
        <v>Yes</v>
      </c>
      <c r="AA1433" t="str">
        <f t="shared" si="137"/>
        <v>No</v>
      </c>
    </row>
    <row r="1434" spans="1:27" x14ac:dyDescent="0.3">
      <c r="A1434">
        <f>INDEX(SETTINGS!$A$15:$A$24,$B1434)</f>
        <v>2031</v>
      </c>
      <c r="B1434">
        <v>7</v>
      </c>
      <c r="C1434" t="str">
        <f>IF(AND(A1434&gt;=SETTINGS!$B$4,A1434&lt;=SETTINGS!$B$5),"Yes","No")</f>
        <v>No</v>
      </c>
      <c r="D1434" t="str">
        <f>IFERROR(INDEX(SETTINGS!$C$15:$C$24,MATCH(A1434,SETTINGS!$A$15:$A$24,0)),"No")</f>
        <v>No</v>
      </c>
      <c r="E1434">
        <v>4</v>
      </c>
      <c r="F1434" t="s">
        <v>37</v>
      </c>
      <c r="G1434">
        <v>89</v>
      </c>
      <c r="H1434" t="s">
        <v>101</v>
      </c>
      <c r="I1434" t="s">
        <v>15</v>
      </c>
      <c r="J1434" t="s">
        <v>20</v>
      </c>
      <c r="K1434" t="s">
        <v>3</v>
      </c>
      <c r="L1434" s="36">
        <f ca="1">IF(C1434&lt;&gt;"Yes",0,IF(A1434=2025,N('2025'!D89),IF(A1434=2026,N('2026'!D89),IF(A1434=2027,N('2027'!D89),IF(A1434=2028,N('2028'!D89),IF(A1434=2029,N('2029'!D89),IF(A1434=2030,N('2030'!D89),IF(A1434=2031,N('2031'!D89),IF(A1434=2032,N('2032'!D89),IF(A1434=2033,N('2033'!D89),IF(A1434=2034,N('2034'!D89),IFERROR(N(INDIRECT("'"&amp;A1434&amp;"'!D"&amp;G1434)),0))))))))))))</f>
        <v>0</v>
      </c>
      <c r="M1434" s="36">
        <f>IFERROR(IF(NOT(ISBLANK(KPI_TARGETS!$M$12)),KPI_TARGETS!$M$12,IF(NOT(ISBLANK(KPI_TARGETS!$F$12)),KPI_TARGETS!$F$12,"")),"")</f>
        <v>0</v>
      </c>
      <c r="N1434" s="36" t="str">
        <f>IFERROR(KPI_TARGETS!$E$12,"Higher is better")</f>
        <v>Lower is better</v>
      </c>
      <c r="O1434" s="37">
        <f t="shared" ca="1" si="132"/>
        <v>1</v>
      </c>
      <c r="P1434" t="str">
        <f t="shared" ca="1" si="133"/>
        <v>Green</v>
      </c>
      <c r="Q1434" s="36">
        <f t="shared" ca="1" si="134"/>
        <v>0</v>
      </c>
      <c r="R1434" s="36" t="str">
        <f>""</f>
        <v/>
      </c>
      <c r="S1434" s="36" t="str">
        <f>""</f>
        <v/>
      </c>
      <c r="T1434" s="36" t="str">
        <f>""</f>
        <v/>
      </c>
      <c r="U1434" s="36" t="str">
        <f>""</f>
        <v/>
      </c>
      <c r="V1434" s="36" t="str">
        <f>""</f>
        <v/>
      </c>
      <c r="W1434" s="36">
        <f t="shared" si="135"/>
        <v>1</v>
      </c>
      <c r="X1434" t="str">
        <f t="shared" si="136"/>
        <v>Inactive</v>
      </c>
      <c r="Y1434" t="str">
        <f>IF(MAIN!$H$3="Selected Year",IF(A1434=MAIN!$B$3,"Yes","No"),IF(MAIN!$H$3="Included Years",IF(D1434="Yes","Yes","No"),IF(C1434="Yes","Yes","No")))</f>
        <v>No</v>
      </c>
      <c r="Z1434" t="str">
        <f>IF(MAIN!$F$3="Project to Date",IF(AND(A1434&gt;=SETTINGS!$B$4,A1434&lt;MAIN!$B$3),"Yes",IF(AND(A1434=MAIN!$B$3,E1434&lt;=MAIN!$L$3),"Yes","No")),IF(OR(MAIN!$F$3="Full Year",MAIN!$D$3="All"),"Yes",IF(MAIN!$F$3="Monthly",IF(E1434=MAIN!$L$3,"Yes","No"),IF(E1434&lt;=MAIN!$L$3,"Yes","No"))))</f>
        <v>Yes</v>
      </c>
      <c r="AA1434" t="str">
        <f t="shared" si="137"/>
        <v>No</v>
      </c>
    </row>
    <row r="1435" spans="1:27" x14ac:dyDescent="0.3">
      <c r="A1435">
        <f>INDEX(SETTINGS!$A$15:$A$24,$B1435)</f>
        <v>2031</v>
      </c>
      <c r="B1435">
        <v>7</v>
      </c>
      <c r="C1435" t="str">
        <f>IF(AND(A1435&gt;=SETTINGS!$B$4,A1435&lt;=SETTINGS!$B$5),"Yes","No")</f>
        <v>No</v>
      </c>
      <c r="D1435" t="str">
        <f>IFERROR(INDEX(SETTINGS!$C$15:$C$24,MATCH(A1435,SETTINGS!$A$15:$A$24,0)),"No")</f>
        <v>No</v>
      </c>
      <c r="E1435">
        <v>4</v>
      </c>
      <c r="F1435" t="s">
        <v>37</v>
      </c>
      <c r="G1435">
        <v>90</v>
      </c>
      <c r="H1435" t="s">
        <v>102</v>
      </c>
      <c r="I1435" t="s">
        <v>15</v>
      </c>
      <c r="J1435" t="s">
        <v>21</v>
      </c>
      <c r="K1435" t="s">
        <v>3</v>
      </c>
      <c r="L1435" s="36">
        <f ca="1">IF(C1435&lt;&gt;"Yes",0,IF(A1435=2025,N('2025'!D90),IF(A1435=2026,N('2026'!D90),IF(A1435=2027,N('2027'!D90),IF(A1435=2028,N('2028'!D90),IF(A1435=2029,N('2029'!D90),IF(A1435=2030,N('2030'!D90),IF(A1435=2031,N('2031'!D90),IF(A1435=2032,N('2032'!D90),IF(A1435=2033,N('2033'!D90),IF(A1435=2034,N('2034'!D90),IFERROR(N(INDIRECT("'"&amp;A1435&amp;"'!D"&amp;G1435)),0))))))))))))</f>
        <v>0</v>
      </c>
      <c r="M1435" s="36">
        <f>IFERROR(IF(NOT(ISBLANK(KPI_TARGETS!$M$13)),KPI_TARGETS!$M$13,IF(NOT(ISBLANK(KPI_TARGETS!$F$13)),KPI_TARGETS!$F$13,"")),"")</f>
        <v>0</v>
      </c>
      <c r="N1435" s="36" t="str">
        <f>IFERROR(KPI_TARGETS!$E$13,"Higher is better")</f>
        <v>Lower is better</v>
      </c>
      <c r="O1435" s="37">
        <f t="shared" ca="1" si="132"/>
        <v>1</v>
      </c>
      <c r="P1435" t="str">
        <f t="shared" ca="1" si="133"/>
        <v>Green</v>
      </c>
      <c r="Q1435" s="36">
        <f t="shared" ca="1" si="134"/>
        <v>0</v>
      </c>
      <c r="R1435" s="36" t="str">
        <f>""</f>
        <v/>
      </c>
      <c r="S1435" s="36" t="str">
        <f>""</f>
        <v/>
      </c>
      <c r="T1435" s="36" t="str">
        <f>""</f>
        <v/>
      </c>
      <c r="U1435" s="36" t="str">
        <f>""</f>
        <v/>
      </c>
      <c r="V1435" s="36" t="str">
        <f>""</f>
        <v/>
      </c>
      <c r="W1435" s="36">
        <f t="shared" si="135"/>
        <v>1</v>
      </c>
      <c r="X1435" t="str">
        <f t="shared" si="136"/>
        <v>Inactive</v>
      </c>
      <c r="Y1435" t="str">
        <f>IF(MAIN!$H$3="Selected Year",IF(A1435=MAIN!$B$3,"Yes","No"),IF(MAIN!$H$3="Included Years",IF(D1435="Yes","Yes","No"),IF(C1435="Yes","Yes","No")))</f>
        <v>No</v>
      </c>
      <c r="Z1435" t="str">
        <f>IF(MAIN!$F$3="Project to Date",IF(AND(A1435&gt;=SETTINGS!$B$4,A1435&lt;MAIN!$B$3),"Yes",IF(AND(A1435=MAIN!$B$3,E1435&lt;=MAIN!$L$3),"Yes","No")),IF(OR(MAIN!$F$3="Full Year",MAIN!$D$3="All"),"Yes",IF(MAIN!$F$3="Monthly",IF(E1435=MAIN!$L$3,"Yes","No"),IF(E1435&lt;=MAIN!$L$3,"Yes","No"))))</f>
        <v>Yes</v>
      </c>
      <c r="AA1435" t="str">
        <f t="shared" si="137"/>
        <v>No</v>
      </c>
    </row>
    <row r="1436" spans="1:27" x14ac:dyDescent="0.3">
      <c r="A1436">
        <f>INDEX(SETTINGS!$A$15:$A$24,$B1436)</f>
        <v>2031</v>
      </c>
      <c r="B1436">
        <v>7</v>
      </c>
      <c r="C1436" t="str">
        <f>IF(AND(A1436&gt;=SETTINGS!$B$4,A1436&lt;=SETTINGS!$B$5),"Yes","No")</f>
        <v>No</v>
      </c>
      <c r="D1436" t="str">
        <f>IFERROR(INDEX(SETTINGS!$C$15:$C$24,MATCH(A1436,SETTINGS!$A$15:$A$24,0)),"No")</f>
        <v>No</v>
      </c>
      <c r="E1436">
        <v>4</v>
      </c>
      <c r="F1436" t="s">
        <v>37</v>
      </c>
      <c r="G1436">
        <v>92</v>
      </c>
      <c r="H1436" t="s">
        <v>103</v>
      </c>
      <c r="I1436" t="s">
        <v>22</v>
      </c>
      <c r="J1436" t="s">
        <v>23</v>
      </c>
      <c r="K1436" t="s">
        <v>3</v>
      </c>
      <c r="L1436" s="36">
        <f ca="1">IF(C1436&lt;&gt;"Yes",0,IF(A1436=2025,N('2025'!D92),IF(A1436=2026,N('2026'!D92),IF(A1436=2027,N('2027'!D92),IF(A1436=2028,N('2028'!D92),IF(A1436=2029,N('2029'!D92),IF(A1436=2030,N('2030'!D92),IF(A1436=2031,N('2031'!D92),IF(A1436=2032,N('2032'!D92),IF(A1436=2033,N('2033'!D92),IF(A1436=2034,N('2034'!D92),IFERROR(N(INDIRECT("'"&amp;A1436&amp;"'!D"&amp;G1436)),0))))))))))))</f>
        <v>0</v>
      </c>
      <c r="M1436" s="36">
        <f>IFERROR(IF(NOT(ISBLANK(KPI_TARGETS!$M$14)),KPI_TARGETS!$M$14,IF(NOT(ISBLANK(KPI_TARGETS!$F$14)),KPI_TARGETS!$F$14,"")),"")</f>
        <v>35</v>
      </c>
      <c r="N1436" s="36" t="str">
        <f>IFERROR(KPI_TARGETS!$E$14,"Higher is better")</f>
        <v>Higher is better</v>
      </c>
      <c r="O1436" s="37">
        <f t="shared" ca="1" si="132"/>
        <v>0</v>
      </c>
      <c r="P1436" t="str">
        <f t="shared" ca="1" si="133"/>
        <v>Red</v>
      </c>
      <c r="Q1436" s="36">
        <f t="shared" ca="1" si="134"/>
        <v>-35</v>
      </c>
      <c r="R1436" s="36" t="str">
        <f>""</f>
        <v/>
      </c>
      <c r="S1436" s="36" t="str">
        <f>""</f>
        <v/>
      </c>
      <c r="T1436" s="36" t="str">
        <f>""</f>
        <v/>
      </c>
      <c r="U1436" s="36" t="str">
        <f>""</f>
        <v/>
      </c>
      <c r="V1436" s="36" t="str">
        <f>""</f>
        <v/>
      </c>
      <c r="W1436" s="36">
        <f t="shared" si="135"/>
        <v>1</v>
      </c>
      <c r="X1436" t="str">
        <f t="shared" si="136"/>
        <v>Inactive</v>
      </c>
      <c r="Y1436" t="str">
        <f>IF(MAIN!$H$3="Selected Year",IF(A1436=MAIN!$B$3,"Yes","No"),IF(MAIN!$H$3="Included Years",IF(D1436="Yes","Yes","No"),IF(C1436="Yes","Yes","No")))</f>
        <v>No</v>
      </c>
      <c r="Z1436" t="str">
        <f>IF(MAIN!$F$3="Project to Date",IF(AND(A1436&gt;=SETTINGS!$B$4,A1436&lt;MAIN!$B$3),"Yes",IF(AND(A1436=MAIN!$B$3,E1436&lt;=MAIN!$L$3),"Yes","No")),IF(OR(MAIN!$F$3="Full Year",MAIN!$D$3="All"),"Yes",IF(MAIN!$F$3="Monthly",IF(E1436=MAIN!$L$3,"Yes","No"),IF(E1436&lt;=MAIN!$L$3,"Yes","No"))))</f>
        <v>Yes</v>
      </c>
      <c r="AA1436" t="str">
        <f t="shared" si="137"/>
        <v>No</v>
      </c>
    </row>
    <row r="1437" spans="1:27" x14ac:dyDescent="0.3">
      <c r="A1437">
        <f>INDEX(SETTINGS!$A$15:$A$24,$B1437)</f>
        <v>2031</v>
      </c>
      <c r="B1437">
        <v>7</v>
      </c>
      <c r="C1437" t="str">
        <f>IF(AND(A1437&gt;=SETTINGS!$B$4,A1437&lt;=SETTINGS!$B$5),"Yes","No")</f>
        <v>No</v>
      </c>
      <c r="D1437" t="str">
        <f>IFERROR(INDEX(SETTINGS!$C$15:$C$24,MATCH(A1437,SETTINGS!$A$15:$A$24,0)),"No")</f>
        <v>No</v>
      </c>
      <c r="E1437">
        <v>4</v>
      </c>
      <c r="F1437" t="s">
        <v>37</v>
      </c>
      <c r="G1437">
        <v>93</v>
      </c>
      <c r="H1437" t="s">
        <v>104</v>
      </c>
      <c r="I1437" t="s">
        <v>22</v>
      </c>
      <c r="J1437" t="s">
        <v>24</v>
      </c>
      <c r="K1437" t="s">
        <v>3</v>
      </c>
      <c r="L1437" s="36">
        <f ca="1">IF(C1437&lt;&gt;"Yes",0,IF(A1437=2025,N('2025'!D93),IF(A1437=2026,N('2026'!D93),IF(A1437=2027,N('2027'!D93),IF(A1437=2028,N('2028'!D93),IF(A1437=2029,N('2029'!D93),IF(A1437=2030,N('2030'!D93),IF(A1437=2031,N('2031'!D93),IF(A1437=2032,N('2032'!D93),IF(A1437=2033,N('2033'!D93),IF(A1437=2034,N('2034'!D93),IFERROR(N(INDIRECT("'"&amp;A1437&amp;"'!D"&amp;G1437)),0))))))))))))</f>
        <v>0</v>
      </c>
      <c r="M1437" s="36">
        <f>IFERROR(IF(NOT(ISBLANK(KPI_TARGETS!$M$15)),KPI_TARGETS!$M$15,IF(NOT(ISBLANK(KPI_TARGETS!$F$15)),KPI_TARGETS!$F$15,"")),"")</f>
        <v>5</v>
      </c>
      <c r="N1437" s="36" t="str">
        <f>IFERROR(KPI_TARGETS!$E$15,"Higher is better")</f>
        <v>Higher is better</v>
      </c>
      <c r="O1437" s="37">
        <f t="shared" ca="1" si="132"/>
        <v>0</v>
      </c>
      <c r="P1437" t="str">
        <f t="shared" ca="1" si="133"/>
        <v>Red</v>
      </c>
      <c r="Q1437" s="36">
        <f t="shared" ca="1" si="134"/>
        <v>-5</v>
      </c>
      <c r="R1437" s="36" t="str">
        <f>""</f>
        <v/>
      </c>
      <c r="S1437" s="36" t="str">
        <f>""</f>
        <v/>
      </c>
      <c r="T1437" s="36" t="str">
        <f>""</f>
        <v/>
      </c>
      <c r="U1437" s="36" t="str">
        <f>""</f>
        <v/>
      </c>
      <c r="V1437" s="36" t="str">
        <f>""</f>
        <v/>
      </c>
      <c r="W1437" s="36">
        <f t="shared" si="135"/>
        <v>1</v>
      </c>
      <c r="X1437" t="str">
        <f t="shared" si="136"/>
        <v>Inactive</v>
      </c>
      <c r="Y1437" t="str">
        <f>IF(MAIN!$H$3="Selected Year",IF(A1437=MAIN!$B$3,"Yes","No"),IF(MAIN!$H$3="Included Years",IF(D1437="Yes","Yes","No"),IF(C1437="Yes","Yes","No")))</f>
        <v>No</v>
      </c>
      <c r="Z1437" t="str">
        <f>IF(MAIN!$F$3="Project to Date",IF(AND(A1437&gt;=SETTINGS!$B$4,A1437&lt;MAIN!$B$3),"Yes",IF(AND(A1437=MAIN!$B$3,E1437&lt;=MAIN!$L$3),"Yes","No")),IF(OR(MAIN!$F$3="Full Year",MAIN!$D$3="All"),"Yes",IF(MAIN!$F$3="Monthly",IF(E1437=MAIN!$L$3,"Yes","No"),IF(E1437&lt;=MAIN!$L$3,"Yes","No"))))</f>
        <v>Yes</v>
      </c>
      <c r="AA1437" t="str">
        <f t="shared" si="137"/>
        <v>No</v>
      </c>
    </row>
    <row r="1438" spans="1:27" x14ac:dyDescent="0.3">
      <c r="A1438">
        <f>INDEX(SETTINGS!$A$15:$A$24,$B1438)</f>
        <v>2031</v>
      </c>
      <c r="B1438">
        <v>7</v>
      </c>
      <c r="C1438" t="str">
        <f>IF(AND(A1438&gt;=SETTINGS!$B$4,A1438&lt;=SETTINGS!$B$5),"Yes","No")</f>
        <v>No</v>
      </c>
      <c r="D1438" t="str">
        <f>IFERROR(INDEX(SETTINGS!$C$15:$C$24,MATCH(A1438,SETTINGS!$A$15:$A$24,0)),"No")</f>
        <v>No</v>
      </c>
      <c r="E1438">
        <v>4</v>
      </c>
      <c r="F1438" t="s">
        <v>37</v>
      </c>
      <c r="G1438">
        <v>94</v>
      </c>
      <c r="H1438" t="s">
        <v>105</v>
      </c>
      <c r="I1438" t="s">
        <v>22</v>
      </c>
      <c r="J1438" t="s">
        <v>25</v>
      </c>
      <c r="K1438" t="s">
        <v>3</v>
      </c>
      <c r="L1438" s="36">
        <f ca="1">IF(C1438&lt;&gt;"Yes",0,IF(A1438=2025,N('2025'!D94),IF(A1438=2026,N('2026'!D94),IF(A1438=2027,N('2027'!D94),IF(A1438=2028,N('2028'!D94),IF(A1438=2029,N('2029'!D94),IF(A1438=2030,N('2030'!D94),IF(A1438=2031,N('2031'!D94),IF(A1438=2032,N('2032'!D94),IF(A1438=2033,N('2033'!D94),IF(A1438=2034,N('2034'!D94),IFERROR(N(INDIRECT("'"&amp;A1438&amp;"'!D"&amp;G1438)),0))))))))))))</f>
        <v>0</v>
      </c>
      <c r="M1438" s="36">
        <f>IFERROR(IF(NOT(ISBLANK(KPI_TARGETS!$M$16)),KPI_TARGETS!$M$16,IF(NOT(ISBLANK(KPI_TARGETS!$F$16)),KPI_TARGETS!$F$16,"")),"")</f>
        <v>4</v>
      </c>
      <c r="N1438" s="36" t="str">
        <f>IFERROR(KPI_TARGETS!$E$16,"Higher is better")</f>
        <v>Higher is better</v>
      </c>
      <c r="O1438" s="37">
        <f t="shared" ca="1" si="132"/>
        <v>0</v>
      </c>
      <c r="P1438" t="str">
        <f t="shared" ca="1" si="133"/>
        <v>Red</v>
      </c>
      <c r="Q1438" s="36">
        <f t="shared" ca="1" si="134"/>
        <v>-4</v>
      </c>
      <c r="R1438" s="36" t="str">
        <f>""</f>
        <v/>
      </c>
      <c r="S1438" s="36" t="str">
        <f>""</f>
        <v/>
      </c>
      <c r="T1438" s="36" t="str">
        <f>""</f>
        <v/>
      </c>
      <c r="U1438" s="36" t="str">
        <f>""</f>
        <v/>
      </c>
      <c r="V1438" s="36" t="str">
        <f>""</f>
        <v/>
      </c>
      <c r="W1438" s="36">
        <f t="shared" si="135"/>
        <v>1</v>
      </c>
      <c r="X1438" t="str">
        <f t="shared" si="136"/>
        <v>Inactive</v>
      </c>
      <c r="Y1438" t="str">
        <f>IF(MAIN!$H$3="Selected Year",IF(A1438=MAIN!$B$3,"Yes","No"),IF(MAIN!$H$3="Included Years",IF(D1438="Yes","Yes","No"),IF(C1438="Yes","Yes","No")))</f>
        <v>No</v>
      </c>
      <c r="Z1438" t="str">
        <f>IF(MAIN!$F$3="Project to Date",IF(AND(A1438&gt;=SETTINGS!$B$4,A1438&lt;MAIN!$B$3),"Yes",IF(AND(A1438=MAIN!$B$3,E1438&lt;=MAIN!$L$3),"Yes","No")),IF(OR(MAIN!$F$3="Full Year",MAIN!$D$3="All"),"Yes",IF(MAIN!$F$3="Monthly",IF(E1438=MAIN!$L$3,"Yes","No"),IF(E1438&lt;=MAIN!$L$3,"Yes","No"))))</f>
        <v>Yes</v>
      </c>
      <c r="AA1438" t="str">
        <f t="shared" si="137"/>
        <v>No</v>
      </c>
    </row>
    <row r="1439" spans="1:27" x14ac:dyDescent="0.3">
      <c r="A1439">
        <f>INDEX(SETTINGS!$A$15:$A$24,$B1439)</f>
        <v>2031</v>
      </c>
      <c r="B1439">
        <v>7</v>
      </c>
      <c r="C1439" t="str">
        <f>IF(AND(A1439&gt;=SETTINGS!$B$4,A1439&lt;=SETTINGS!$B$5),"Yes","No")</f>
        <v>No</v>
      </c>
      <c r="D1439" t="str">
        <f>IFERROR(INDEX(SETTINGS!$C$15:$C$24,MATCH(A1439,SETTINGS!$A$15:$A$24,0)),"No")</f>
        <v>No</v>
      </c>
      <c r="E1439">
        <v>4</v>
      </c>
      <c r="F1439" t="s">
        <v>37</v>
      </c>
      <c r="G1439">
        <v>95</v>
      </c>
      <c r="H1439" t="s">
        <v>106</v>
      </c>
      <c r="I1439" t="s">
        <v>22</v>
      </c>
      <c r="J1439" t="s">
        <v>26</v>
      </c>
      <c r="K1439" t="s">
        <v>3</v>
      </c>
      <c r="L1439" s="36">
        <f ca="1">IF(C1439&lt;&gt;"Yes",0,IF(A1439=2025,N('2025'!D95),IF(A1439=2026,N('2026'!D95),IF(A1439=2027,N('2027'!D95),IF(A1439=2028,N('2028'!D95),IF(A1439=2029,N('2029'!D95),IF(A1439=2030,N('2030'!D95),IF(A1439=2031,N('2031'!D95),IF(A1439=2032,N('2032'!D95),IF(A1439=2033,N('2033'!D95),IF(A1439=2034,N('2034'!D95),IFERROR(N(INDIRECT("'"&amp;A1439&amp;"'!D"&amp;G1439)),0))))))))))))</f>
        <v>0</v>
      </c>
      <c r="M1439" s="36">
        <f>IFERROR(IF(NOT(ISBLANK(KPI_TARGETS!$M$17)),KPI_TARGETS!$M$17,IF(NOT(ISBLANK(KPI_TARGETS!$F$17)),KPI_TARGETS!$F$17,"")),"")</f>
        <v>12</v>
      </c>
      <c r="N1439" s="36" t="str">
        <f>IFERROR(KPI_TARGETS!$E$17,"Higher is better")</f>
        <v>Higher is better</v>
      </c>
      <c r="O1439" s="37">
        <f t="shared" ca="1" si="132"/>
        <v>0</v>
      </c>
      <c r="P1439" t="str">
        <f t="shared" ca="1" si="133"/>
        <v>Red</v>
      </c>
      <c r="Q1439" s="36">
        <f t="shared" ca="1" si="134"/>
        <v>-12</v>
      </c>
      <c r="R1439" s="36" t="str">
        <f>""</f>
        <v/>
      </c>
      <c r="S1439" s="36" t="str">
        <f>""</f>
        <v/>
      </c>
      <c r="T1439" s="36" t="str">
        <f>""</f>
        <v/>
      </c>
      <c r="U1439" s="36" t="str">
        <f>""</f>
        <v/>
      </c>
      <c r="V1439" s="36" t="str">
        <f>""</f>
        <v/>
      </c>
      <c r="W1439" s="36">
        <f t="shared" si="135"/>
        <v>1</v>
      </c>
      <c r="X1439" t="str">
        <f t="shared" si="136"/>
        <v>Inactive</v>
      </c>
      <c r="Y1439" t="str">
        <f>IF(MAIN!$H$3="Selected Year",IF(A1439=MAIN!$B$3,"Yes","No"),IF(MAIN!$H$3="Included Years",IF(D1439="Yes","Yes","No"),IF(C1439="Yes","Yes","No")))</f>
        <v>No</v>
      </c>
      <c r="Z1439" t="str">
        <f>IF(MAIN!$F$3="Project to Date",IF(AND(A1439&gt;=SETTINGS!$B$4,A1439&lt;MAIN!$B$3),"Yes",IF(AND(A1439=MAIN!$B$3,E1439&lt;=MAIN!$L$3),"Yes","No")),IF(OR(MAIN!$F$3="Full Year",MAIN!$D$3="All"),"Yes",IF(MAIN!$F$3="Monthly",IF(E1439=MAIN!$L$3,"Yes","No"),IF(E1439&lt;=MAIN!$L$3,"Yes","No"))))</f>
        <v>Yes</v>
      </c>
      <c r="AA1439" t="str">
        <f t="shared" si="137"/>
        <v>No</v>
      </c>
    </row>
    <row r="1440" spans="1:27" x14ac:dyDescent="0.3">
      <c r="A1440">
        <f>INDEX(SETTINGS!$A$15:$A$24,$B1440)</f>
        <v>2031</v>
      </c>
      <c r="B1440">
        <v>7</v>
      </c>
      <c r="C1440" t="str">
        <f>IF(AND(A1440&gt;=SETTINGS!$B$4,A1440&lt;=SETTINGS!$B$5),"Yes","No")</f>
        <v>No</v>
      </c>
      <c r="D1440" t="str">
        <f>IFERROR(INDEX(SETTINGS!$C$15:$C$24,MATCH(A1440,SETTINGS!$A$15:$A$24,0)),"No")</f>
        <v>No</v>
      </c>
      <c r="E1440">
        <v>4</v>
      </c>
      <c r="F1440" t="s">
        <v>37</v>
      </c>
      <c r="G1440">
        <v>96</v>
      </c>
      <c r="H1440" t="s">
        <v>107</v>
      </c>
      <c r="I1440" t="s">
        <v>22</v>
      </c>
      <c r="J1440" t="s">
        <v>27</v>
      </c>
      <c r="K1440" t="s">
        <v>3</v>
      </c>
      <c r="L1440" s="36">
        <f ca="1">IF(C1440&lt;&gt;"Yes",0,IF(A1440=2025,N('2025'!D96),IF(A1440=2026,N('2026'!D96),IF(A1440=2027,N('2027'!D96),IF(A1440=2028,N('2028'!D96),IF(A1440=2029,N('2029'!D96),IF(A1440=2030,N('2030'!D96),IF(A1440=2031,N('2031'!D96),IF(A1440=2032,N('2032'!D96),IF(A1440=2033,N('2033'!D96),IF(A1440=2034,N('2034'!D96),IFERROR(N(INDIRECT("'"&amp;A1440&amp;"'!D"&amp;G1440)),0))))))))))))</f>
        <v>0</v>
      </c>
      <c r="M1440" s="36">
        <f>IFERROR(IF(NOT(ISBLANK(KPI_TARGETS!$M$18)),KPI_TARGETS!$M$18,IF(NOT(ISBLANK(KPI_TARGETS!$F$18)),KPI_TARGETS!$F$18,"")),"")</f>
        <v>4</v>
      </c>
      <c r="N1440" s="36" t="str">
        <f>IFERROR(KPI_TARGETS!$E$18,"Higher is better")</f>
        <v>Higher is better</v>
      </c>
      <c r="O1440" s="37">
        <f t="shared" ca="1" si="132"/>
        <v>0</v>
      </c>
      <c r="P1440" t="str">
        <f t="shared" ca="1" si="133"/>
        <v>Red</v>
      </c>
      <c r="Q1440" s="36">
        <f t="shared" ca="1" si="134"/>
        <v>-4</v>
      </c>
      <c r="R1440" s="36" t="str">
        <f>""</f>
        <v/>
      </c>
      <c r="S1440" s="36" t="str">
        <f>""</f>
        <v/>
      </c>
      <c r="T1440" s="36" t="str">
        <f>""</f>
        <v/>
      </c>
      <c r="U1440" s="36" t="str">
        <f>""</f>
        <v/>
      </c>
      <c r="V1440" s="36" t="str">
        <f>""</f>
        <v/>
      </c>
      <c r="W1440" s="36">
        <f t="shared" si="135"/>
        <v>1</v>
      </c>
      <c r="X1440" t="str">
        <f t="shared" si="136"/>
        <v>Inactive</v>
      </c>
      <c r="Y1440" t="str">
        <f>IF(MAIN!$H$3="Selected Year",IF(A1440=MAIN!$B$3,"Yes","No"),IF(MAIN!$H$3="Included Years",IF(D1440="Yes","Yes","No"),IF(C1440="Yes","Yes","No")))</f>
        <v>No</v>
      </c>
      <c r="Z1440" t="str">
        <f>IF(MAIN!$F$3="Project to Date",IF(AND(A1440&gt;=SETTINGS!$B$4,A1440&lt;MAIN!$B$3),"Yes",IF(AND(A1440=MAIN!$B$3,E1440&lt;=MAIN!$L$3),"Yes","No")),IF(OR(MAIN!$F$3="Full Year",MAIN!$D$3="All"),"Yes",IF(MAIN!$F$3="Monthly",IF(E1440=MAIN!$L$3,"Yes","No"),IF(E1440&lt;=MAIN!$L$3,"Yes","No"))))</f>
        <v>Yes</v>
      </c>
      <c r="AA1440" t="str">
        <f t="shared" si="137"/>
        <v>No</v>
      </c>
    </row>
    <row r="1441" spans="1:27" x14ac:dyDescent="0.3">
      <c r="A1441">
        <f>INDEX(SETTINGS!$A$15:$A$24,$B1441)</f>
        <v>2031</v>
      </c>
      <c r="B1441">
        <v>7</v>
      </c>
      <c r="C1441" t="str">
        <f>IF(AND(A1441&gt;=SETTINGS!$B$4,A1441&lt;=SETTINGS!$B$5),"Yes","No")</f>
        <v>No</v>
      </c>
      <c r="D1441" t="str">
        <f>IFERROR(INDEX(SETTINGS!$C$15:$C$24,MATCH(A1441,SETTINGS!$A$15:$A$24,0)),"No")</f>
        <v>No</v>
      </c>
      <c r="E1441">
        <v>4</v>
      </c>
      <c r="F1441" t="s">
        <v>37</v>
      </c>
      <c r="G1441">
        <v>97</v>
      </c>
      <c r="H1441" t="s">
        <v>108</v>
      </c>
      <c r="I1441" t="s">
        <v>22</v>
      </c>
      <c r="J1441" t="s">
        <v>28</v>
      </c>
      <c r="K1441" t="s">
        <v>3</v>
      </c>
      <c r="L1441" s="36">
        <f ca="1">IF(C1441&lt;&gt;"Yes",0,IF(A1441=2025,N('2025'!D97),IF(A1441=2026,N('2026'!D97),IF(A1441=2027,N('2027'!D97),IF(A1441=2028,N('2028'!D97),IF(A1441=2029,N('2029'!D97),IF(A1441=2030,N('2030'!D97),IF(A1441=2031,N('2031'!D97),IF(A1441=2032,N('2032'!D97),IF(A1441=2033,N('2033'!D97),IF(A1441=2034,N('2034'!D97),IFERROR(N(INDIRECT("'"&amp;A1441&amp;"'!D"&amp;G1441)),0))))))))))))</f>
        <v>0</v>
      </c>
      <c r="M1441" s="36">
        <f>IFERROR(IF(NOT(ISBLANK(KPI_TARGETS!$M$19)),KPI_TARGETS!$M$19,IF(NOT(ISBLANK(KPI_TARGETS!$F$19)),KPI_TARGETS!$F$19,"")),"")</f>
        <v>16</v>
      </c>
      <c r="N1441" s="36" t="str">
        <f>IFERROR(KPI_TARGETS!$E$19,"Higher is better")</f>
        <v>Higher is better</v>
      </c>
      <c r="O1441" s="37">
        <f t="shared" ca="1" si="132"/>
        <v>0</v>
      </c>
      <c r="P1441" t="str">
        <f t="shared" ca="1" si="133"/>
        <v>Red</v>
      </c>
      <c r="Q1441" s="36">
        <f t="shared" ca="1" si="134"/>
        <v>-16</v>
      </c>
      <c r="R1441" s="36" t="str">
        <f>""</f>
        <v/>
      </c>
      <c r="S1441" s="36" t="str">
        <f>""</f>
        <v/>
      </c>
      <c r="T1441" s="36" t="str">
        <f>""</f>
        <v/>
      </c>
      <c r="U1441" s="36" t="str">
        <f>""</f>
        <v/>
      </c>
      <c r="V1441" s="36" t="str">
        <f>""</f>
        <v/>
      </c>
      <c r="W1441" s="36">
        <f t="shared" si="135"/>
        <v>1</v>
      </c>
      <c r="X1441" t="str">
        <f t="shared" si="136"/>
        <v>Inactive</v>
      </c>
      <c r="Y1441" t="str">
        <f>IF(MAIN!$H$3="Selected Year",IF(A1441=MAIN!$B$3,"Yes","No"),IF(MAIN!$H$3="Included Years",IF(D1441="Yes","Yes","No"),IF(C1441="Yes","Yes","No")))</f>
        <v>No</v>
      </c>
      <c r="Z1441" t="str">
        <f>IF(MAIN!$F$3="Project to Date",IF(AND(A1441&gt;=SETTINGS!$B$4,A1441&lt;MAIN!$B$3),"Yes",IF(AND(A1441=MAIN!$B$3,E1441&lt;=MAIN!$L$3),"Yes","No")),IF(OR(MAIN!$F$3="Full Year",MAIN!$D$3="All"),"Yes",IF(MAIN!$F$3="Monthly",IF(E1441=MAIN!$L$3,"Yes","No"),IF(E1441&lt;=MAIN!$L$3,"Yes","No"))))</f>
        <v>Yes</v>
      </c>
      <c r="AA1441" t="str">
        <f t="shared" si="137"/>
        <v>No</v>
      </c>
    </row>
    <row r="1442" spans="1:27" x14ac:dyDescent="0.3">
      <c r="A1442">
        <f>INDEX(SETTINGS!$A$15:$A$24,$B1442)</f>
        <v>2031</v>
      </c>
      <c r="B1442">
        <v>7</v>
      </c>
      <c r="C1442" t="str">
        <f>IF(AND(A1442&gt;=SETTINGS!$B$4,A1442&lt;=SETTINGS!$B$5),"Yes","No")</f>
        <v>No</v>
      </c>
      <c r="D1442" t="str">
        <f>IFERROR(INDEX(SETTINGS!$C$15:$C$24,MATCH(A1442,SETTINGS!$A$15:$A$24,0)),"No")</f>
        <v>No</v>
      </c>
      <c r="E1442">
        <v>4</v>
      </c>
      <c r="F1442" t="s">
        <v>37</v>
      </c>
      <c r="G1442">
        <v>98</v>
      </c>
      <c r="H1442" t="s">
        <v>109</v>
      </c>
      <c r="I1442" t="s">
        <v>22</v>
      </c>
      <c r="J1442" t="s">
        <v>29</v>
      </c>
      <c r="K1442" t="s">
        <v>3</v>
      </c>
      <c r="L1442" s="36">
        <f ca="1">IF(C1442&lt;&gt;"Yes",0,IF(A1442=2025,N('2025'!D98),IF(A1442=2026,N('2026'!D98),IF(A1442=2027,N('2027'!D98),IF(A1442=2028,N('2028'!D98),IF(A1442=2029,N('2029'!D98),IF(A1442=2030,N('2030'!D98),IF(A1442=2031,N('2031'!D98),IF(A1442=2032,N('2032'!D98),IF(A1442=2033,N('2033'!D98),IF(A1442=2034,N('2034'!D98),IFERROR(N(INDIRECT("'"&amp;A1442&amp;"'!D"&amp;G1442)),0))))))))))))</f>
        <v>0</v>
      </c>
      <c r="M1442" s="36">
        <f>IFERROR(IF(NOT(ISBLANK(KPI_TARGETS!$M$20)),KPI_TARGETS!$M$20,IF(NOT(ISBLANK(KPI_TARGETS!$F$20)),KPI_TARGETS!$F$20,"")),"")</f>
        <v>1</v>
      </c>
      <c r="N1442" s="36" t="str">
        <f>IFERROR(KPI_TARGETS!$E$20,"Higher is better")</f>
        <v>Higher is better</v>
      </c>
      <c r="O1442" s="37">
        <f t="shared" ca="1" si="132"/>
        <v>0</v>
      </c>
      <c r="P1442" t="str">
        <f t="shared" ca="1" si="133"/>
        <v>Red</v>
      </c>
      <c r="Q1442" s="36">
        <f t="shared" ca="1" si="134"/>
        <v>-1</v>
      </c>
      <c r="R1442" s="36" t="str">
        <f>""</f>
        <v/>
      </c>
      <c r="S1442" s="36" t="str">
        <f>""</f>
        <v/>
      </c>
      <c r="T1442" s="36" t="str">
        <f>""</f>
        <v/>
      </c>
      <c r="U1442" s="36" t="str">
        <f>""</f>
        <v/>
      </c>
      <c r="V1442" s="36" t="str">
        <f>""</f>
        <v/>
      </c>
      <c r="W1442" s="36">
        <f t="shared" si="135"/>
        <v>1</v>
      </c>
      <c r="X1442" t="str">
        <f t="shared" si="136"/>
        <v>Inactive</v>
      </c>
      <c r="Y1442" t="str">
        <f>IF(MAIN!$H$3="Selected Year",IF(A1442=MAIN!$B$3,"Yes","No"),IF(MAIN!$H$3="Included Years",IF(D1442="Yes","Yes","No"),IF(C1442="Yes","Yes","No")))</f>
        <v>No</v>
      </c>
      <c r="Z1442" t="str">
        <f>IF(MAIN!$F$3="Project to Date",IF(AND(A1442&gt;=SETTINGS!$B$4,A1442&lt;MAIN!$B$3),"Yes",IF(AND(A1442=MAIN!$B$3,E1442&lt;=MAIN!$L$3),"Yes","No")),IF(OR(MAIN!$F$3="Full Year",MAIN!$D$3="All"),"Yes",IF(MAIN!$F$3="Monthly",IF(E1442=MAIN!$L$3,"Yes","No"),IF(E1442&lt;=MAIN!$L$3,"Yes","No"))))</f>
        <v>Yes</v>
      </c>
      <c r="AA1442" t="str">
        <f t="shared" si="137"/>
        <v>No</v>
      </c>
    </row>
    <row r="1443" spans="1:27" x14ac:dyDescent="0.3">
      <c r="A1443">
        <f>INDEX(SETTINGS!$A$15:$A$24,$B1443)</f>
        <v>2031</v>
      </c>
      <c r="B1443">
        <v>7</v>
      </c>
      <c r="C1443" t="str">
        <f>IF(AND(A1443&gt;=SETTINGS!$B$4,A1443&lt;=SETTINGS!$B$5),"Yes","No")</f>
        <v>No</v>
      </c>
      <c r="D1443" t="str">
        <f>IFERROR(INDEX(SETTINGS!$C$15:$C$24,MATCH(A1443,SETTINGS!$A$15:$A$24,0)),"No")</f>
        <v>No</v>
      </c>
      <c r="E1443">
        <v>4</v>
      </c>
      <c r="F1443" t="s">
        <v>37</v>
      </c>
      <c r="G1443">
        <v>100</v>
      </c>
      <c r="H1443" t="s">
        <v>110</v>
      </c>
      <c r="I1443" t="s">
        <v>30</v>
      </c>
      <c r="J1443" t="s">
        <v>31</v>
      </c>
      <c r="K1443" t="s">
        <v>3</v>
      </c>
      <c r="L1443" s="36">
        <f ca="1">IF(C1443&lt;&gt;"Yes",0,IF(A1443=2025,N('2025'!D100),IF(A1443=2026,N('2026'!D100),IF(A1443=2027,N('2027'!D100),IF(A1443=2028,N('2028'!D100),IF(A1443=2029,N('2029'!D100),IF(A1443=2030,N('2030'!D100),IF(A1443=2031,N('2031'!D100),IF(A1443=2032,N('2032'!D100),IF(A1443=2033,N('2033'!D100),IF(A1443=2034,N('2034'!D100),IFERROR(N(INDIRECT("'"&amp;A1443&amp;"'!D"&amp;G1443)),0))))))))))))</f>
        <v>0</v>
      </c>
      <c r="M1443" s="36">
        <f>IFERROR(IF(NOT(ISBLANK(KPI_TARGETS!$M$21)),KPI_TARGETS!$M$21,IF(NOT(ISBLANK(KPI_TARGETS!$F$21)),KPI_TARGETS!$F$21,"")),"")</f>
        <v>0</v>
      </c>
      <c r="N1443" s="36" t="str">
        <f>IFERROR(KPI_TARGETS!$E$21,"Higher is better")</f>
        <v>Lower is better</v>
      </c>
      <c r="O1443" s="37">
        <f t="shared" ca="1" si="132"/>
        <v>1</v>
      </c>
      <c r="P1443" t="str">
        <f t="shared" ca="1" si="133"/>
        <v>Green</v>
      </c>
      <c r="Q1443" s="36">
        <f t="shared" ca="1" si="134"/>
        <v>0</v>
      </c>
      <c r="R1443" s="36" t="str">
        <f>""</f>
        <v/>
      </c>
      <c r="S1443" s="36" t="str">
        <f>""</f>
        <v/>
      </c>
      <c r="T1443" s="36" t="str">
        <f>""</f>
        <v/>
      </c>
      <c r="U1443" s="36" t="str">
        <f>""</f>
        <v/>
      </c>
      <c r="V1443" s="36" t="str">
        <f>""</f>
        <v/>
      </c>
      <c r="W1443" s="36">
        <f t="shared" si="135"/>
        <v>1</v>
      </c>
      <c r="X1443" t="str">
        <f t="shared" si="136"/>
        <v>Inactive</v>
      </c>
      <c r="Y1443" t="str">
        <f>IF(MAIN!$H$3="Selected Year",IF(A1443=MAIN!$B$3,"Yes","No"),IF(MAIN!$H$3="Included Years",IF(D1443="Yes","Yes","No"),IF(C1443="Yes","Yes","No")))</f>
        <v>No</v>
      </c>
      <c r="Z1443" t="str">
        <f>IF(MAIN!$F$3="Project to Date",IF(AND(A1443&gt;=SETTINGS!$B$4,A1443&lt;MAIN!$B$3),"Yes",IF(AND(A1443=MAIN!$B$3,E1443&lt;=MAIN!$L$3),"Yes","No")),IF(OR(MAIN!$F$3="Full Year",MAIN!$D$3="All"),"Yes",IF(MAIN!$F$3="Monthly",IF(E1443=MAIN!$L$3,"Yes","No"),IF(E1443&lt;=MAIN!$L$3,"Yes","No"))))</f>
        <v>Yes</v>
      </c>
      <c r="AA1443" t="str">
        <f t="shared" si="137"/>
        <v>No</v>
      </c>
    </row>
    <row r="1444" spans="1:27" x14ac:dyDescent="0.3">
      <c r="A1444">
        <f>INDEX(SETTINGS!$A$15:$A$24,$B1444)</f>
        <v>2031</v>
      </c>
      <c r="B1444">
        <v>7</v>
      </c>
      <c r="C1444" t="str">
        <f>IF(AND(A1444&gt;=SETTINGS!$B$4,A1444&lt;=SETTINGS!$B$5),"Yes","No")</f>
        <v>No</v>
      </c>
      <c r="D1444" t="str">
        <f>IFERROR(INDEX(SETTINGS!$C$15:$C$24,MATCH(A1444,SETTINGS!$A$15:$A$24,0)),"No")</f>
        <v>No</v>
      </c>
      <c r="E1444">
        <v>4</v>
      </c>
      <c r="F1444" t="s">
        <v>37</v>
      </c>
      <c r="G1444">
        <v>101</v>
      </c>
      <c r="H1444" t="s">
        <v>111</v>
      </c>
      <c r="I1444" t="s">
        <v>30</v>
      </c>
      <c r="J1444" t="s">
        <v>32</v>
      </c>
      <c r="K1444" t="s">
        <v>3</v>
      </c>
      <c r="L1444" s="36">
        <f ca="1">IF(C1444&lt;&gt;"Yes",0,IF(A1444=2025,N('2025'!D101),IF(A1444=2026,N('2026'!D101),IF(A1444=2027,N('2027'!D101),IF(A1444=2028,N('2028'!D101),IF(A1444=2029,N('2029'!D101),IF(A1444=2030,N('2030'!D101),IF(A1444=2031,N('2031'!D101),IF(A1444=2032,N('2032'!D101),IF(A1444=2033,N('2033'!D101),IF(A1444=2034,N('2034'!D101),IFERROR(N(INDIRECT("'"&amp;A1444&amp;"'!D"&amp;G1444)),0))))))))))))</f>
        <v>0</v>
      </c>
      <c r="M1444" s="36">
        <f>IFERROR(IF(NOT(ISBLANK(KPI_TARGETS!$M$22)),KPI_TARGETS!$M$22,IF(NOT(ISBLANK(KPI_TARGETS!$F$22)),KPI_TARGETS!$F$22,"")),"")</f>
        <v>1</v>
      </c>
      <c r="N1444" s="36" t="str">
        <f>IFERROR(KPI_TARGETS!$E$22,"Higher is better")</f>
        <v>Higher is better</v>
      </c>
      <c r="O1444" s="37">
        <f t="shared" ca="1" si="132"/>
        <v>0</v>
      </c>
      <c r="P1444" t="str">
        <f t="shared" ca="1" si="133"/>
        <v>Red</v>
      </c>
      <c r="Q1444" s="36">
        <f t="shared" ca="1" si="134"/>
        <v>-1</v>
      </c>
      <c r="R1444" s="36" t="str">
        <f>""</f>
        <v/>
      </c>
      <c r="S1444" s="36" t="str">
        <f>""</f>
        <v/>
      </c>
      <c r="T1444" s="36" t="str">
        <f>""</f>
        <v/>
      </c>
      <c r="U1444" s="36" t="str">
        <f>""</f>
        <v/>
      </c>
      <c r="V1444" s="36" t="str">
        <f>""</f>
        <v/>
      </c>
      <c r="W1444" s="36">
        <f t="shared" si="135"/>
        <v>1</v>
      </c>
      <c r="X1444" t="str">
        <f t="shared" si="136"/>
        <v>Inactive</v>
      </c>
      <c r="Y1444" t="str">
        <f>IF(MAIN!$H$3="Selected Year",IF(A1444=MAIN!$B$3,"Yes","No"),IF(MAIN!$H$3="Included Years",IF(D1444="Yes","Yes","No"),IF(C1444="Yes","Yes","No")))</f>
        <v>No</v>
      </c>
      <c r="Z1444" t="str">
        <f>IF(MAIN!$F$3="Project to Date",IF(AND(A1444&gt;=SETTINGS!$B$4,A1444&lt;MAIN!$B$3),"Yes",IF(AND(A1444=MAIN!$B$3,E1444&lt;=MAIN!$L$3),"Yes","No")),IF(OR(MAIN!$F$3="Full Year",MAIN!$D$3="All"),"Yes",IF(MAIN!$F$3="Monthly",IF(E1444=MAIN!$L$3,"Yes","No"),IF(E1444&lt;=MAIN!$L$3,"Yes","No"))))</f>
        <v>Yes</v>
      </c>
      <c r="AA1444" t="str">
        <f t="shared" si="137"/>
        <v>No</v>
      </c>
    </row>
    <row r="1445" spans="1:27" x14ac:dyDescent="0.3">
      <c r="A1445">
        <f>INDEX(SETTINGS!$A$15:$A$24,$B1445)</f>
        <v>2031</v>
      </c>
      <c r="B1445">
        <v>7</v>
      </c>
      <c r="C1445" t="str">
        <f>IF(AND(A1445&gt;=SETTINGS!$B$4,A1445&lt;=SETTINGS!$B$5),"Yes","No")</f>
        <v>No</v>
      </c>
      <c r="D1445" t="str">
        <f>IFERROR(INDEX(SETTINGS!$C$15:$C$24,MATCH(A1445,SETTINGS!$A$15:$A$24,0)),"No")</f>
        <v>No</v>
      </c>
      <c r="E1445">
        <v>4</v>
      </c>
      <c r="F1445" t="s">
        <v>37</v>
      </c>
      <c r="G1445">
        <v>102</v>
      </c>
      <c r="H1445" t="s">
        <v>112</v>
      </c>
      <c r="I1445" t="s">
        <v>30</v>
      </c>
      <c r="J1445" t="s">
        <v>33</v>
      </c>
      <c r="K1445" t="s">
        <v>34</v>
      </c>
      <c r="L1445" s="36">
        <f ca="1">IF(C1445&lt;&gt;"Yes",0,IF(A1445=2025,N('2025'!D102),IF(A1445=2026,N('2026'!D102),IF(A1445=2027,N('2027'!D102),IF(A1445=2028,N('2028'!D102),IF(A1445=2029,N('2029'!D102),IF(A1445=2030,N('2030'!D102),IF(A1445=2031,N('2031'!D102),IF(A1445=2032,N('2032'!D102),IF(A1445=2033,N('2033'!D102),IF(A1445=2034,N('2034'!D102),IFERROR(N(INDIRECT("'"&amp;A1445&amp;"'!D"&amp;G1445)),0))))))))))))</f>
        <v>0</v>
      </c>
      <c r="M1445" s="36">
        <f>IFERROR(IF(NOT(ISBLANK(KPI_TARGETS!$M$23)),KPI_TARGETS!$M$23,IF(NOT(ISBLANK(KPI_TARGETS!$F$23)),KPI_TARGETS!$F$23,"")),"")</f>
        <v>1</v>
      </c>
      <c r="N1445" s="36" t="str">
        <f>IFERROR(KPI_TARGETS!$E$23,"Higher is better")</f>
        <v>Higher is better</v>
      </c>
      <c r="O1445" s="37">
        <f t="shared" ca="1" si="132"/>
        <v>0</v>
      </c>
      <c r="P1445" t="str">
        <f t="shared" ca="1" si="133"/>
        <v>Red</v>
      </c>
      <c r="Q1445" s="36">
        <f t="shared" ca="1" si="134"/>
        <v>-1</v>
      </c>
      <c r="R1445" s="36" t="str">
        <f>""</f>
        <v/>
      </c>
      <c r="S1445" s="36" t="str">
        <f>""</f>
        <v/>
      </c>
      <c r="T1445" s="36" t="str">
        <f>""</f>
        <v/>
      </c>
      <c r="U1445" s="36" t="str">
        <f>""</f>
        <v/>
      </c>
      <c r="V1445" s="36" t="str">
        <f>""</f>
        <v/>
      </c>
      <c r="W1445" s="36">
        <f t="shared" si="135"/>
        <v>1</v>
      </c>
      <c r="X1445" t="str">
        <f t="shared" si="136"/>
        <v>Inactive</v>
      </c>
      <c r="Y1445" t="str">
        <f>IF(MAIN!$H$3="Selected Year",IF(A1445=MAIN!$B$3,"Yes","No"),IF(MAIN!$H$3="Included Years",IF(D1445="Yes","Yes","No"),IF(C1445="Yes","Yes","No")))</f>
        <v>No</v>
      </c>
      <c r="Z1445" t="str">
        <f>IF(MAIN!$F$3="Project to Date",IF(AND(A1445&gt;=SETTINGS!$B$4,A1445&lt;MAIN!$B$3),"Yes",IF(AND(A1445=MAIN!$B$3,E1445&lt;=MAIN!$L$3),"Yes","No")),IF(OR(MAIN!$F$3="Full Year",MAIN!$D$3="All"),"Yes",IF(MAIN!$F$3="Monthly",IF(E1445=MAIN!$L$3,"Yes","No"),IF(E1445&lt;=MAIN!$L$3,"Yes","No"))))</f>
        <v>Yes</v>
      </c>
      <c r="AA1445" t="str">
        <f t="shared" si="137"/>
        <v>No</v>
      </c>
    </row>
    <row r="1446" spans="1:27" x14ac:dyDescent="0.3">
      <c r="A1446">
        <f>INDEX(SETTINGS!$A$15:$A$24,$B1446)</f>
        <v>2031</v>
      </c>
      <c r="B1446">
        <v>7</v>
      </c>
      <c r="C1446" t="str">
        <f>IF(AND(A1446&gt;=SETTINGS!$B$4,A1446&lt;=SETTINGS!$B$5),"Yes","No")</f>
        <v>No</v>
      </c>
      <c r="D1446" t="str">
        <f>IFERROR(INDEX(SETTINGS!$C$15:$C$24,MATCH(A1446,SETTINGS!$A$15:$A$24,0)),"No")</f>
        <v>No</v>
      </c>
      <c r="E1446">
        <v>5</v>
      </c>
      <c r="F1446" t="s">
        <v>38</v>
      </c>
      <c r="G1446">
        <v>105</v>
      </c>
      <c r="H1446" t="s">
        <v>88</v>
      </c>
      <c r="I1446" t="s">
        <v>89</v>
      </c>
      <c r="J1446" t="s">
        <v>10</v>
      </c>
      <c r="K1446" t="s">
        <v>3</v>
      </c>
      <c r="L1446" s="36">
        <f ca="1">IF(C1446&lt;&gt;"Yes",0,IF(A1446=2025,N('2025'!D105),IF(A1446=2026,N('2026'!D105),IF(A1446=2027,N('2027'!D105),IF(A1446=2028,N('2028'!D105),IF(A1446=2029,N('2029'!D105),IF(A1446=2030,N('2030'!D105),IF(A1446=2031,N('2031'!D105),IF(A1446=2032,N('2032'!D105),IF(A1446=2033,N('2033'!D105),IF(A1446=2034,N('2034'!D105),IFERROR(N(INDIRECT("'"&amp;A1446&amp;"'!D"&amp;G1446)),0))))))))))))</f>
        <v>0</v>
      </c>
      <c r="M1446" s="36">
        <f>IFERROR(IF(NOT(ISBLANK(KPI_TARGETS!$M$5)),KPI_TARGETS!$M$5,IF(NOT(ISBLANK(KPI_TARGETS!$F$5)),KPI_TARGETS!$F$5,"")),"")</f>
        <v>104</v>
      </c>
      <c r="N1446" s="36" t="str">
        <f>IFERROR(KPI_TARGETS!$E$5,"Higher is better")</f>
        <v>Higher is better</v>
      </c>
      <c r="O1446" s="37">
        <f t="shared" ca="1" si="132"/>
        <v>0</v>
      </c>
      <c r="P1446" t="str">
        <f t="shared" ca="1" si="133"/>
        <v>Red</v>
      </c>
      <c r="Q1446" s="36">
        <f t="shared" ca="1" si="134"/>
        <v>-104</v>
      </c>
      <c r="R1446" s="36" t="str">
        <f>""</f>
        <v/>
      </c>
      <c r="S1446" s="36" t="str">
        <f>""</f>
        <v/>
      </c>
      <c r="T1446" s="36" t="str">
        <f>""</f>
        <v/>
      </c>
      <c r="U1446" s="36" t="str">
        <f>""</f>
        <v/>
      </c>
      <c r="V1446" s="36" t="str">
        <f>""</f>
        <v/>
      </c>
      <c r="W1446" s="36">
        <f t="shared" si="135"/>
        <v>1</v>
      </c>
      <c r="X1446" t="str">
        <f t="shared" si="136"/>
        <v>Inactive</v>
      </c>
      <c r="Y1446" t="str">
        <f>IF(MAIN!$H$3="Selected Year",IF(A1446=MAIN!$B$3,"Yes","No"),IF(MAIN!$H$3="Included Years",IF(D1446="Yes","Yes","No"),IF(C1446="Yes","Yes","No")))</f>
        <v>No</v>
      </c>
      <c r="Z1446" t="str">
        <f>IF(MAIN!$F$3="Project to Date",IF(AND(A1446&gt;=SETTINGS!$B$4,A1446&lt;MAIN!$B$3),"Yes",IF(AND(A1446=MAIN!$B$3,E1446&lt;=MAIN!$L$3),"Yes","No")),IF(OR(MAIN!$F$3="Full Year",MAIN!$D$3="All"),"Yes",IF(MAIN!$F$3="Monthly",IF(E1446=MAIN!$L$3,"Yes","No"),IF(E1446&lt;=MAIN!$L$3,"Yes","No"))))</f>
        <v>Yes</v>
      </c>
      <c r="AA1446" t="str">
        <f t="shared" si="137"/>
        <v>No</v>
      </c>
    </row>
    <row r="1447" spans="1:27" x14ac:dyDescent="0.3">
      <c r="A1447">
        <f>INDEX(SETTINGS!$A$15:$A$24,$B1447)</f>
        <v>2031</v>
      </c>
      <c r="B1447">
        <v>7</v>
      </c>
      <c r="C1447" t="str">
        <f>IF(AND(A1447&gt;=SETTINGS!$B$4,A1447&lt;=SETTINGS!$B$5),"Yes","No")</f>
        <v>No</v>
      </c>
      <c r="D1447" t="str">
        <f>IFERROR(INDEX(SETTINGS!$C$15:$C$24,MATCH(A1447,SETTINGS!$A$15:$A$24,0)),"No")</f>
        <v>No</v>
      </c>
      <c r="E1447">
        <v>5</v>
      </c>
      <c r="F1447" t="s">
        <v>38</v>
      </c>
      <c r="G1447">
        <v>106</v>
      </c>
      <c r="H1447" t="s">
        <v>91</v>
      </c>
      <c r="I1447" t="s">
        <v>89</v>
      </c>
      <c r="J1447" t="s">
        <v>11</v>
      </c>
      <c r="K1447" t="s">
        <v>12</v>
      </c>
      <c r="L1447" s="36">
        <f ca="1">IF(C1447&lt;&gt;"Yes",0,IF(A1447=2025,N('2025'!D106),IF(A1447=2026,N('2026'!D106),IF(A1447=2027,N('2027'!D106),IF(A1447=2028,N('2028'!D106),IF(A1447=2029,N('2029'!D106),IF(A1447=2030,N('2030'!D106),IF(A1447=2031,N('2031'!D106),IF(A1447=2032,N('2032'!D106),IF(A1447=2033,N('2033'!D106),IF(A1447=2034,N('2034'!D106),IFERROR(N(INDIRECT("'"&amp;A1447&amp;"'!D"&amp;G1447)),0))))))))))))</f>
        <v>0</v>
      </c>
      <c r="M1447" s="36">
        <f>IFERROR(IF(NOT(ISBLANK(KPI_TARGETS!$M$6)),KPI_TARGETS!$M$6,IF(NOT(ISBLANK(KPI_TARGETS!$F$6)),KPI_TARGETS!$F$6,"")),"")</f>
        <v>4000</v>
      </c>
      <c r="N1447" s="36" t="str">
        <f>IFERROR(KPI_TARGETS!$E$6,"Higher is better")</f>
        <v>Higher is better</v>
      </c>
      <c r="O1447" s="37">
        <f t="shared" ca="1" si="132"/>
        <v>0</v>
      </c>
      <c r="P1447" t="str">
        <f t="shared" ca="1" si="133"/>
        <v>Red</v>
      </c>
      <c r="Q1447" s="36">
        <f t="shared" ca="1" si="134"/>
        <v>-4000</v>
      </c>
      <c r="R1447" s="36" t="str">
        <f>""</f>
        <v/>
      </c>
      <c r="S1447" s="36" t="str">
        <f>""</f>
        <v/>
      </c>
      <c r="T1447" s="36" t="str">
        <f>""</f>
        <v/>
      </c>
      <c r="U1447" s="36" t="str">
        <f>""</f>
        <v/>
      </c>
      <c r="V1447" s="36" t="str">
        <f>""</f>
        <v/>
      </c>
      <c r="W1447" s="36">
        <f t="shared" si="135"/>
        <v>1</v>
      </c>
      <c r="X1447" t="str">
        <f t="shared" si="136"/>
        <v>Inactive</v>
      </c>
      <c r="Y1447" t="str">
        <f>IF(MAIN!$H$3="Selected Year",IF(A1447=MAIN!$B$3,"Yes","No"),IF(MAIN!$H$3="Included Years",IF(D1447="Yes","Yes","No"),IF(C1447="Yes","Yes","No")))</f>
        <v>No</v>
      </c>
      <c r="Z1447" t="str">
        <f>IF(MAIN!$F$3="Project to Date",IF(AND(A1447&gt;=SETTINGS!$B$4,A1447&lt;MAIN!$B$3),"Yes",IF(AND(A1447=MAIN!$B$3,E1447&lt;=MAIN!$L$3),"Yes","No")),IF(OR(MAIN!$F$3="Full Year",MAIN!$D$3="All"),"Yes",IF(MAIN!$F$3="Monthly",IF(E1447=MAIN!$L$3,"Yes","No"),IF(E1447&lt;=MAIN!$L$3,"Yes","No"))))</f>
        <v>Yes</v>
      </c>
      <c r="AA1447" t="str">
        <f t="shared" si="137"/>
        <v>No</v>
      </c>
    </row>
    <row r="1448" spans="1:27" x14ac:dyDescent="0.3">
      <c r="A1448">
        <f>INDEX(SETTINGS!$A$15:$A$24,$B1448)</f>
        <v>2031</v>
      </c>
      <c r="B1448">
        <v>7</v>
      </c>
      <c r="C1448" t="str">
        <f>IF(AND(A1448&gt;=SETTINGS!$B$4,A1448&lt;=SETTINGS!$B$5),"Yes","No")</f>
        <v>No</v>
      </c>
      <c r="D1448" t="str">
        <f>IFERROR(INDEX(SETTINGS!$C$15:$C$24,MATCH(A1448,SETTINGS!$A$15:$A$24,0)),"No")</f>
        <v>No</v>
      </c>
      <c r="E1448">
        <v>5</v>
      </c>
      <c r="F1448" t="s">
        <v>38</v>
      </c>
      <c r="G1448">
        <v>107</v>
      </c>
      <c r="H1448" t="s">
        <v>93</v>
      </c>
      <c r="I1448" t="s">
        <v>89</v>
      </c>
      <c r="J1448" t="s">
        <v>13</v>
      </c>
      <c r="K1448" t="s">
        <v>14</v>
      </c>
      <c r="L1448" s="36">
        <f ca="1">IF(C1448&lt;&gt;"Yes",0,IF(A1448=2025,N('2025'!D107),IF(A1448=2026,N('2026'!D107),IF(A1448=2027,N('2027'!D107),IF(A1448=2028,N('2028'!D107),IF(A1448=2029,N('2029'!D107),IF(A1448=2030,N('2030'!D107),IF(A1448=2031,N('2031'!D107),IF(A1448=2032,N('2032'!D107),IF(A1448=2033,N('2033'!D107),IF(A1448=2034,N('2034'!D107),IFERROR(N(INDIRECT("'"&amp;A1448&amp;"'!D"&amp;G1448)),0))))))))))))</f>
        <v>0</v>
      </c>
      <c r="M1448" s="36">
        <f>IFERROR(IF(NOT(ISBLANK(KPI_TARGETS!$M$7)),KPI_TARGETS!$M$7,IF(NOT(ISBLANK(KPI_TARGETS!$F$7)),KPI_TARGETS!$F$7,"")),"")</f>
        <v>8000</v>
      </c>
      <c r="N1448" s="36" t="str">
        <f>IFERROR(KPI_TARGETS!$E$7,"Higher is better")</f>
        <v>Higher is better</v>
      </c>
      <c r="O1448" s="37">
        <f t="shared" ca="1" si="132"/>
        <v>0</v>
      </c>
      <c r="P1448" t="str">
        <f t="shared" ca="1" si="133"/>
        <v>Red</v>
      </c>
      <c r="Q1448" s="36">
        <f t="shared" ca="1" si="134"/>
        <v>-8000</v>
      </c>
      <c r="R1448" s="36" t="str">
        <f>""</f>
        <v/>
      </c>
      <c r="S1448" s="36" t="str">
        <f>""</f>
        <v/>
      </c>
      <c r="T1448" s="36" t="str">
        <f>""</f>
        <v/>
      </c>
      <c r="U1448" s="36" t="str">
        <f>""</f>
        <v/>
      </c>
      <c r="V1448" s="36" t="str">
        <f>""</f>
        <v/>
      </c>
      <c r="W1448" s="36">
        <f t="shared" si="135"/>
        <v>1</v>
      </c>
      <c r="X1448" t="str">
        <f t="shared" si="136"/>
        <v>Inactive</v>
      </c>
      <c r="Y1448" t="str">
        <f>IF(MAIN!$H$3="Selected Year",IF(A1448=MAIN!$B$3,"Yes","No"),IF(MAIN!$H$3="Included Years",IF(D1448="Yes","Yes","No"),IF(C1448="Yes","Yes","No")))</f>
        <v>No</v>
      </c>
      <c r="Z1448" t="str">
        <f>IF(MAIN!$F$3="Project to Date",IF(AND(A1448&gt;=SETTINGS!$B$4,A1448&lt;MAIN!$B$3),"Yes",IF(AND(A1448=MAIN!$B$3,E1448&lt;=MAIN!$L$3),"Yes","No")),IF(OR(MAIN!$F$3="Full Year",MAIN!$D$3="All"),"Yes",IF(MAIN!$F$3="Monthly",IF(E1448=MAIN!$L$3,"Yes","No"),IF(E1448&lt;=MAIN!$L$3,"Yes","No"))))</f>
        <v>Yes</v>
      </c>
      <c r="AA1448" t="str">
        <f t="shared" si="137"/>
        <v>No</v>
      </c>
    </row>
    <row r="1449" spans="1:27" x14ac:dyDescent="0.3">
      <c r="A1449">
        <f>INDEX(SETTINGS!$A$15:$A$24,$B1449)</f>
        <v>2031</v>
      </c>
      <c r="B1449">
        <v>7</v>
      </c>
      <c r="C1449" t="str">
        <f>IF(AND(A1449&gt;=SETTINGS!$B$4,A1449&lt;=SETTINGS!$B$5),"Yes","No")</f>
        <v>No</v>
      </c>
      <c r="D1449" t="str">
        <f>IFERROR(INDEX(SETTINGS!$C$15:$C$24,MATCH(A1449,SETTINGS!$A$15:$A$24,0)),"No")</f>
        <v>No</v>
      </c>
      <c r="E1449">
        <v>5</v>
      </c>
      <c r="F1449" t="s">
        <v>38</v>
      </c>
      <c r="G1449">
        <v>109</v>
      </c>
      <c r="H1449" t="s">
        <v>95</v>
      </c>
      <c r="I1449" t="s">
        <v>15</v>
      </c>
      <c r="J1449" t="s">
        <v>16</v>
      </c>
      <c r="K1449" t="s">
        <v>3</v>
      </c>
      <c r="L1449" s="36">
        <f ca="1">IF(C1449&lt;&gt;"Yes",0,IF(A1449=2025,N('2025'!D109),IF(A1449=2026,N('2026'!D109),IF(A1449=2027,N('2027'!D109),IF(A1449=2028,N('2028'!D109),IF(A1449=2029,N('2029'!D109),IF(A1449=2030,N('2030'!D109),IF(A1449=2031,N('2031'!D109),IF(A1449=2032,N('2032'!D109),IF(A1449=2033,N('2033'!D109),IF(A1449=2034,N('2034'!D109),IFERROR(N(INDIRECT("'"&amp;A1449&amp;"'!D"&amp;G1449)),0))))))))))))</f>
        <v>0</v>
      </c>
      <c r="M1449" s="36">
        <f>IFERROR(IF(NOT(ISBLANK(KPI_TARGETS!$M$8)),KPI_TARGETS!$M$8,IF(NOT(ISBLANK(KPI_TARGETS!$F$8)),KPI_TARGETS!$F$8,"")),"")</f>
        <v>0</v>
      </c>
      <c r="N1449" s="36" t="str">
        <f>IFERROR(KPI_TARGETS!$E$8,"Higher is better")</f>
        <v>Lower is better</v>
      </c>
      <c r="O1449" s="37">
        <f t="shared" ca="1" si="132"/>
        <v>1</v>
      </c>
      <c r="P1449" t="str">
        <f t="shared" ca="1" si="133"/>
        <v>Green</v>
      </c>
      <c r="Q1449" s="36">
        <f t="shared" ca="1" si="134"/>
        <v>0</v>
      </c>
      <c r="R1449" s="36" t="str">
        <f>""</f>
        <v/>
      </c>
      <c r="S1449" s="36" t="str">
        <f>""</f>
        <v/>
      </c>
      <c r="T1449" s="36" t="str">
        <f>""</f>
        <v/>
      </c>
      <c r="U1449" s="36" t="str">
        <f>""</f>
        <v/>
      </c>
      <c r="V1449" s="36" t="str">
        <f>""</f>
        <v/>
      </c>
      <c r="W1449" s="36">
        <f t="shared" si="135"/>
        <v>1</v>
      </c>
      <c r="X1449" t="str">
        <f t="shared" si="136"/>
        <v>Inactive</v>
      </c>
      <c r="Y1449" t="str">
        <f>IF(MAIN!$H$3="Selected Year",IF(A1449=MAIN!$B$3,"Yes","No"),IF(MAIN!$H$3="Included Years",IF(D1449="Yes","Yes","No"),IF(C1449="Yes","Yes","No")))</f>
        <v>No</v>
      </c>
      <c r="Z1449" t="str">
        <f>IF(MAIN!$F$3="Project to Date",IF(AND(A1449&gt;=SETTINGS!$B$4,A1449&lt;MAIN!$B$3),"Yes",IF(AND(A1449=MAIN!$B$3,E1449&lt;=MAIN!$L$3),"Yes","No")),IF(OR(MAIN!$F$3="Full Year",MAIN!$D$3="All"),"Yes",IF(MAIN!$F$3="Monthly",IF(E1449=MAIN!$L$3,"Yes","No"),IF(E1449&lt;=MAIN!$L$3,"Yes","No"))))</f>
        <v>Yes</v>
      </c>
      <c r="AA1449" t="str">
        <f t="shared" si="137"/>
        <v>No</v>
      </c>
    </row>
    <row r="1450" spans="1:27" x14ac:dyDescent="0.3">
      <c r="A1450">
        <f>INDEX(SETTINGS!$A$15:$A$24,$B1450)</f>
        <v>2031</v>
      </c>
      <c r="B1450">
        <v>7</v>
      </c>
      <c r="C1450" t="str">
        <f>IF(AND(A1450&gt;=SETTINGS!$B$4,A1450&lt;=SETTINGS!$B$5),"Yes","No")</f>
        <v>No</v>
      </c>
      <c r="D1450" t="str">
        <f>IFERROR(INDEX(SETTINGS!$C$15:$C$24,MATCH(A1450,SETTINGS!$A$15:$A$24,0)),"No")</f>
        <v>No</v>
      </c>
      <c r="E1450">
        <v>5</v>
      </c>
      <c r="F1450" t="s">
        <v>38</v>
      </c>
      <c r="G1450">
        <v>110</v>
      </c>
      <c r="H1450" t="s">
        <v>97</v>
      </c>
      <c r="I1450" t="s">
        <v>15</v>
      </c>
      <c r="J1450" t="s">
        <v>17</v>
      </c>
      <c r="K1450" t="s">
        <v>3</v>
      </c>
      <c r="L1450" s="36">
        <f ca="1">IF(C1450&lt;&gt;"Yes",0,IF(A1450=2025,N('2025'!D110),IF(A1450=2026,N('2026'!D110),IF(A1450=2027,N('2027'!D110),IF(A1450=2028,N('2028'!D110),IF(A1450=2029,N('2029'!D110),IF(A1450=2030,N('2030'!D110),IF(A1450=2031,N('2031'!D110),IF(A1450=2032,N('2032'!D110),IF(A1450=2033,N('2033'!D110),IF(A1450=2034,N('2034'!D110),IFERROR(N(INDIRECT("'"&amp;A1450&amp;"'!D"&amp;G1450)),0))))))))))))</f>
        <v>0</v>
      </c>
      <c r="M1450" s="36">
        <f>IFERROR(IF(NOT(ISBLANK(KPI_TARGETS!$M$9)),KPI_TARGETS!$M$9,IF(NOT(ISBLANK(KPI_TARGETS!$F$9)),KPI_TARGETS!$F$9,"")),"")</f>
        <v>0</v>
      </c>
      <c r="N1450" s="36" t="str">
        <f>IFERROR(KPI_TARGETS!$E$9,"Higher is better")</f>
        <v>Higher is better</v>
      </c>
      <c r="O1450" s="37" t="str">
        <f t="shared" ca="1" si="132"/>
        <v/>
      </c>
      <c r="P1450" t="str">
        <f t="shared" ca="1" si="133"/>
        <v>Green</v>
      </c>
      <c r="Q1450" s="36">
        <f t="shared" ca="1" si="134"/>
        <v>0</v>
      </c>
      <c r="R1450" s="36" t="str">
        <f>""</f>
        <v/>
      </c>
      <c r="S1450" s="36" t="str">
        <f>""</f>
        <v/>
      </c>
      <c r="T1450" s="36" t="str">
        <f>""</f>
        <v/>
      </c>
      <c r="U1450" s="36" t="str">
        <f>""</f>
        <v/>
      </c>
      <c r="V1450" s="36" t="str">
        <f>""</f>
        <v/>
      </c>
      <c r="W1450" s="36">
        <f t="shared" si="135"/>
        <v>1</v>
      </c>
      <c r="X1450" t="str">
        <f t="shared" si="136"/>
        <v>Inactive</v>
      </c>
      <c r="Y1450" t="str">
        <f>IF(MAIN!$H$3="Selected Year",IF(A1450=MAIN!$B$3,"Yes","No"),IF(MAIN!$H$3="Included Years",IF(D1450="Yes","Yes","No"),IF(C1450="Yes","Yes","No")))</f>
        <v>No</v>
      </c>
      <c r="Z1450" t="str">
        <f>IF(MAIN!$F$3="Project to Date",IF(AND(A1450&gt;=SETTINGS!$B$4,A1450&lt;MAIN!$B$3),"Yes",IF(AND(A1450=MAIN!$B$3,E1450&lt;=MAIN!$L$3),"Yes","No")),IF(OR(MAIN!$F$3="Full Year",MAIN!$D$3="All"),"Yes",IF(MAIN!$F$3="Monthly",IF(E1450=MAIN!$L$3,"Yes","No"),IF(E1450&lt;=MAIN!$L$3,"Yes","No"))))</f>
        <v>Yes</v>
      </c>
      <c r="AA1450" t="str">
        <f t="shared" si="137"/>
        <v>No</v>
      </c>
    </row>
    <row r="1451" spans="1:27" x14ac:dyDescent="0.3">
      <c r="A1451">
        <f>INDEX(SETTINGS!$A$15:$A$24,$B1451)</f>
        <v>2031</v>
      </c>
      <c r="B1451">
        <v>7</v>
      </c>
      <c r="C1451" t="str">
        <f>IF(AND(A1451&gt;=SETTINGS!$B$4,A1451&lt;=SETTINGS!$B$5),"Yes","No")</f>
        <v>No</v>
      </c>
      <c r="D1451" t="str">
        <f>IFERROR(INDEX(SETTINGS!$C$15:$C$24,MATCH(A1451,SETTINGS!$A$15:$A$24,0)),"No")</f>
        <v>No</v>
      </c>
      <c r="E1451">
        <v>5</v>
      </c>
      <c r="F1451" t="s">
        <v>38</v>
      </c>
      <c r="G1451">
        <v>111</v>
      </c>
      <c r="H1451" t="s">
        <v>99</v>
      </c>
      <c r="I1451" t="s">
        <v>15</v>
      </c>
      <c r="J1451" t="s">
        <v>18</v>
      </c>
      <c r="K1451" t="s">
        <v>3</v>
      </c>
      <c r="L1451" s="36">
        <f ca="1">IF(C1451&lt;&gt;"Yes",0,IF(A1451=2025,N('2025'!D111),IF(A1451=2026,N('2026'!D111),IF(A1451=2027,N('2027'!D111),IF(A1451=2028,N('2028'!D111),IF(A1451=2029,N('2029'!D111),IF(A1451=2030,N('2030'!D111),IF(A1451=2031,N('2031'!D111),IF(A1451=2032,N('2032'!D111),IF(A1451=2033,N('2033'!D111),IF(A1451=2034,N('2034'!D111),IFERROR(N(INDIRECT("'"&amp;A1451&amp;"'!D"&amp;G1451)),0))))))))))))</f>
        <v>0</v>
      </c>
      <c r="M1451" s="36">
        <f>IFERROR(IF(NOT(ISBLANK(KPI_TARGETS!$M$10)),KPI_TARGETS!$M$10,IF(NOT(ISBLANK(KPI_TARGETS!$F$10)),KPI_TARGETS!$F$10,"")),"")</f>
        <v>0</v>
      </c>
      <c r="N1451" s="36" t="str">
        <f>IFERROR(KPI_TARGETS!$E$10,"Higher is better")</f>
        <v>Lower is better</v>
      </c>
      <c r="O1451" s="37">
        <f t="shared" ca="1" si="132"/>
        <v>1</v>
      </c>
      <c r="P1451" t="str">
        <f t="shared" ca="1" si="133"/>
        <v>Green</v>
      </c>
      <c r="Q1451" s="36">
        <f t="shared" ca="1" si="134"/>
        <v>0</v>
      </c>
      <c r="R1451" s="36" t="str">
        <f>""</f>
        <v/>
      </c>
      <c r="S1451" s="36" t="str">
        <f>""</f>
        <v/>
      </c>
      <c r="T1451" s="36" t="str">
        <f>""</f>
        <v/>
      </c>
      <c r="U1451" s="36" t="str">
        <f>""</f>
        <v/>
      </c>
      <c r="V1451" s="36" t="str">
        <f>""</f>
        <v/>
      </c>
      <c r="W1451" s="36">
        <f t="shared" si="135"/>
        <v>1</v>
      </c>
      <c r="X1451" t="str">
        <f t="shared" si="136"/>
        <v>Inactive</v>
      </c>
      <c r="Y1451" t="str">
        <f>IF(MAIN!$H$3="Selected Year",IF(A1451=MAIN!$B$3,"Yes","No"),IF(MAIN!$H$3="Included Years",IF(D1451="Yes","Yes","No"),IF(C1451="Yes","Yes","No")))</f>
        <v>No</v>
      </c>
      <c r="Z1451" t="str">
        <f>IF(MAIN!$F$3="Project to Date",IF(AND(A1451&gt;=SETTINGS!$B$4,A1451&lt;MAIN!$B$3),"Yes",IF(AND(A1451=MAIN!$B$3,E1451&lt;=MAIN!$L$3),"Yes","No")),IF(OR(MAIN!$F$3="Full Year",MAIN!$D$3="All"),"Yes",IF(MAIN!$F$3="Monthly",IF(E1451=MAIN!$L$3,"Yes","No"),IF(E1451&lt;=MAIN!$L$3,"Yes","No"))))</f>
        <v>Yes</v>
      </c>
      <c r="AA1451" t="str">
        <f t="shared" si="137"/>
        <v>No</v>
      </c>
    </row>
    <row r="1452" spans="1:27" x14ac:dyDescent="0.3">
      <c r="A1452">
        <f>INDEX(SETTINGS!$A$15:$A$24,$B1452)</f>
        <v>2031</v>
      </c>
      <c r="B1452">
        <v>7</v>
      </c>
      <c r="C1452" t="str">
        <f>IF(AND(A1452&gt;=SETTINGS!$B$4,A1452&lt;=SETTINGS!$B$5),"Yes","No")</f>
        <v>No</v>
      </c>
      <c r="D1452" t="str">
        <f>IFERROR(INDEX(SETTINGS!$C$15:$C$24,MATCH(A1452,SETTINGS!$A$15:$A$24,0)),"No")</f>
        <v>No</v>
      </c>
      <c r="E1452">
        <v>5</v>
      </c>
      <c r="F1452" t="s">
        <v>38</v>
      </c>
      <c r="G1452">
        <v>112</v>
      </c>
      <c r="H1452" t="s">
        <v>100</v>
      </c>
      <c r="I1452" t="s">
        <v>15</v>
      </c>
      <c r="J1452" t="s">
        <v>19</v>
      </c>
      <c r="K1452" t="s">
        <v>3</v>
      </c>
      <c r="L1452" s="36">
        <f ca="1">IF(C1452&lt;&gt;"Yes",0,IF(A1452=2025,N('2025'!D112),IF(A1452=2026,N('2026'!D112),IF(A1452=2027,N('2027'!D112),IF(A1452=2028,N('2028'!D112),IF(A1452=2029,N('2029'!D112),IF(A1452=2030,N('2030'!D112),IF(A1452=2031,N('2031'!D112),IF(A1452=2032,N('2032'!D112),IF(A1452=2033,N('2033'!D112),IF(A1452=2034,N('2034'!D112),IFERROR(N(INDIRECT("'"&amp;A1452&amp;"'!D"&amp;G1452)),0))))))))))))</f>
        <v>0</v>
      </c>
      <c r="M1452" s="36">
        <f>IFERROR(IF(NOT(ISBLANK(KPI_TARGETS!$M$11)),KPI_TARGETS!$M$11,IF(NOT(ISBLANK(KPI_TARGETS!$F$11)),KPI_TARGETS!$F$11,"")),"")</f>
        <v>0</v>
      </c>
      <c r="N1452" s="36" t="str">
        <f>IFERROR(KPI_TARGETS!$E$11,"Higher is better")</f>
        <v>Lower is better</v>
      </c>
      <c r="O1452" s="37">
        <f t="shared" ca="1" si="132"/>
        <v>1</v>
      </c>
      <c r="P1452" t="str">
        <f t="shared" ca="1" si="133"/>
        <v>Green</v>
      </c>
      <c r="Q1452" s="36">
        <f t="shared" ca="1" si="134"/>
        <v>0</v>
      </c>
      <c r="R1452" s="36" t="str">
        <f>""</f>
        <v/>
      </c>
      <c r="S1452" s="36" t="str">
        <f>""</f>
        <v/>
      </c>
      <c r="T1452" s="36" t="str">
        <f>""</f>
        <v/>
      </c>
      <c r="U1452" s="36" t="str">
        <f>""</f>
        <v/>
      </c>
      <c r="V1452" s="36" t="str">
        <f>""</f>
        <v/>
      </c>
      <c r="W1452" s="36">
        <f t="shared" si="135"/>
        <v>1</v>
      </c>
      <c r="X1452" t="str">
        <f t="shared" si="136"/>
        <v>Inactive</v>
      </c>
      <c r="Y1452" t="str">
        <f>IF(MAIN!$H$3="Selected Year",IF(A1452=MAIN!$B$3,"Yes","No"),IF(MAIN!$H$3="Included Years",IF(D1452="Yes","Yes","No"),IF(C1452="Yes","Yes","No")))</f>
        <v>No</v>
      </c>
      <c r="Z1452" t="str">
        <f>IF(MAIN!$F$3="Project to Date",IF(AND(A1452&gt;=SETTINGS!$B$4,A1452&lt;MAIN!$B$3),"Yes",IF(AND(A1452=MAIN!$B$3,E1452&lt;=MAIN!$L$3),"Yes","No")),IF(OR(MAIN!$F$3="Full Year",MAIN!$D$3="All"),"Yes",IF(MAIN!$F$3="Monthly",IF(E1452=MAIN!$L$3,"Yes","No"),IF(E1452&lt;=MAIN!$L$3,"Yes","No"))))</f>
        <v>Yes</v>
      </c>
      <c r="AA1452" t="str">
        <f t="shared" si="137"/>
        <v>No</v>
      </c>
    </row>
    <row r="1453" spans="1:27" x14ac:dyDescent="0.3">
      <c r="A1453">
        <f>INDEX(SETTINGS!$A$15:$A$24,$B1453)</f>
        <v>2031</v>
      </c>
      <c r="B1453">
        <v>7</v>
      </c>
      <c r="C1453" t="str">
        <f>IF(AND(A1453&gt;=SETTINGS!$B$4,A1453&lt;=SETTINGS!$B$5),"Yes","No")</f>
        <v>No</v>
      </c>
      <c r="D1453" t="str">
        <f>IFERROR(INDEX(SETTINGS!$C$15:$C$24,MATCH(A1453,SETTINGS!$A$15:$A$24,0)),"No")</f>
        <v>No</v>
      </c>
      <c r="E1453">
        <v>5</v>
      </c>
      <c r="F1453" t="s">
        <v>38</v>
      </c>
      <c r="G1453">
        <v>113</v>
      </c>
      <c r="H1453" t="s">
        <v>101</v>
      </c>
      <c r="I1453" t="s">
        <v>15</v>
      </c>
      <c r="J1453" t="s">
        <v>20</v>
      </c>
      <c r="K1453" t="s">
        <v>3</v>
      </c>
      <c r="L1453" s="36">
        <f ca="1">IF(C1453&lt;&gt;"Yes",0,IF(A1453=2025,N('2025'!D113),IF(A1453=2026,N('2026'!D113),IF(A1453=2027,N('2027'!D113),IF(A1453=2028,N('2028'!D113),IF(A1453=2029,N('2029'!D113),IF(A1453=2030,N('2030'!D113),IF(A1453=2031,N('2031'!D113),IF(A1453=2032,N('2032'!D113),IF(A1453=2033,N('2033'!D113),IF(A1453=2034,N('2034'!D113),IFERROR(N(INDIRECT("'"&amp;A1453&amp;"'!D"&amp;G1453)),0))))))))))))</f>
        <v>0</v>
      </c>
      <c r="M1453" s="36">
        <f>IFERROR(IF(NOT(ISBLANK(KPI_TARGETS!$M$12)),KPI_TARGETS!$M$12,IF(NOT(ISBLANK(KPI_TARGETS!$F$12)),KPI_TARGETS!$F$12,"")),"")</f>
        <v>0</v>
      </c>
      <c r="N1453" s="36" t="str">
        <f>IFERROR(KPI_TARGETS!$E$12,"Higher is better")</f>
        <v>Lower is better</v>
      </c>
      <c r="O1453" s="37">
        <f t="shared" ca="1" si="132"/>
        <v>1</v>
      </c>
      <c r="P1453" t="str">
        <f t="shared" ca="1" si="133"/>
        <v>Green</v>
      </c>
      <c r="Q1453" s="36">
        <f t="shared" ca="1" si="134"/>
        <v>0</v>
      </c>
      <c r="R1453" s="36" t="str">
        <f>""</f>
        <v/>
      </c>
      <c r="S1453" s="36" t="str">
        <f>""</f>
        <v/>
      </c>
      <c r="T1453" s="36" t="str">
        <f>""</f>
        <v/>
      </c>
      <c r="U1453" s="36" t="str">
        <f>""</f>
        <v/>
      </c>
      <c r="V1453" s="36" t="str">
        <f>""</f>
        <v/>
      </c>
      <c r="W1453" s="36">
        <f t="shared" si="135"/>
        <v>1</v>
      </c>
      <c r="X1453" t="str">
        <f t="shared" si="136"/>
        <v>Inactive</v>
      </c>
      <c r="Y1453" t="str">
        <f>IF(MAIN!$H$3="Selected Year",IF(A1453=MAIN!$B$3,"Yes","No"),IF(MAIN!$H$3="Included Years",IF(D1453="Yes","Yes","No"),IF(C1453="Yes","Yes","No")))</f>
        <v>No</v>
      </c>
      <c r="Z1453" t="str">
        <f>IF(MAIN!$F$3="Project to Date",IF(AND(A1453&gt;=SETTINGS!$B$4,A1453&lt;MAIN!$B$3),"Yes",IF(AND(A1453=MAIN!$B$3,E1453&lt;=MAIN!$L$3),"Yes","No")),IF(OR(MAIN!$F$3="Full Year",MAIN!$D$3="All"),"Yes",IF(MAIN!$F$3="Monthly",IF(E1453=MAIN!$L$3,"Yes","No"),IF(E1453&lt;=MAIN!$L$3,"Yes","No"))))</f>
        <v>Yes</v>
      </c>
      <c r="AA1453" t="str">
        <f t="shared" si="137"/>
        <v>No</v>
      </c>
    </row>
    <row r="1454" spans="1:27" x14ac:dyDescent="0.3">
      <c r="A1454">
        <f>INDEX(SETTINGS!$A$15:$A$24,$B1454)</f>
        <v>2031</v>
      </c>
      <c r="B1454">
        <v>7</v>
      </c>
      <c r="C1454" t="str">
        <f>IF(AND(A1454&gt;=SETTINGS!$B$4,A1454&lt;=SETTINGS!$B$5),"Yes","No")</f>
        <v>No</v>
      </c>
      <c r="D1454" t="str">
        <f>IFERROR(INDEX(SETTINGS!$C$15:$C$24,MATCH(A1454,SETTINGS!$A$15:$A$24,0)),"No")</f>
        <v>No</v>
      </c>
      <c r="E1454">
        <v>5</v>
      </c>
      <c r="F1454" t="s">
        <v>38</v>
      </c>
      <c r="G1454">
        <v>114</v>
      </c>
      <c r="H1454" t="s">
        <v>102</v>
      </c>
      <c r="I1454" t="s">
        <v>15</v>
      </c>
      <c r="J1454" t="s">
        <v>21</v>
      </c>
      <c r="K1454" t="s">
        <v>3</v>
      </c>
      <c r="L1454" s="36">
        <f ca="1">IF(C1454&lt;&gt;"Yes",0,IF(A1454=2025,N('2025'!D114),IF(A1454=2026,N('2026'!D114),IF(A1454=2027,N('2027'!D114),IF(A1454=2028,N('2028'!D114),IF(A1454=2029,N('2029'!D114),IF(A1454=2030,N('2030'!D114),IF(A1454=2031,N('2031'!D114),IF(A1454=2032,N('2032'!D114),IF(A1454=2033,N('2033'!D114),IF(A1454=2034,N('2034'!D114),IFERROR(N(INDIRECT("'"&amp;A1454&amp;"'!D"&amp;G1454)),0))))))))))))</f>
        <v>0</v>
      </c>
      <c r="M1454" s="36">
        <f>IFERROR(IF(NOT(ISBLANK(KPI_TARGETS!$M$13)),KPI_TARGETS!$M$13,IF(NOT(ISBLANK(KPI_TARGETS!$F$13)),KPI_TARGETS!$F$13,"")),"")</f>
        <v>0</v>
      </c>
      <c r="N1454" s="36" t="str">
        <f>IFERROR(KPI_TARGETS!$E$13,"Higher is better")</f>
        <v>Lower is better</v>
      </c>
      <c r="O1454" s="37">
        <f t="shared" ca="1" si="132"/>
        <v>1</v>
      </c>
      <c r="P1454" t="str">
        <f t="shared" ca="1" si="133"/>
        <v>Green</v>
      </c>
      <c r="Q1454" s="36">
        <f t="shared" ca="1" si="134"/>
        <v>0</v>
      </c>
      <c r="R1454" s="36" t="str">
        <f>""</f>
        <v/>
      </c>
      <c r="S1454" s="36" t="str">
        <f>""</f>
        <v/>
      </c>
      <c r="T1454" s="36" t="str">
        <f>""</f>
        <v/>
      </c>
      <c r="U1454" s="36" t="str">
        <f>""</f>
        <v/>
      </c>
      <c r="V1454" s="36" t="str">
        <f>""</f>
        <v/>
      </c>
      <c r="W1454" s="36">
        <f t="shared" si="135"/>
        <v>1</v>
      </c>
      <c r="X1454" t="str">
        <f t="shared" si="136"/>
        <v>Inactive</v>
      </c>
      <c r="Y1454" t="str">
        <f>IF(MAIN!$H$3="Selected Year",IF(A1454=MAIN!$B$3,"Yes","No"),IF(MAIN!$H$3="Included Years",IF(D1454="Yes","Yes","No"),IF(C1454="Yes","Yes","No")))</f>
        <v>No</v>
      </c>
      <c r="Z1454" t="str">
        <f>IF(MAIN!$F$3="Project to Date",IF(AND(A1454&gt;=SETTINGS!$B$4,A1454&lt;MAIN!$B$3),"Yes",IF(AND(A1454=MAIN!$B$3,E1454&lt;=MAIN!$L$3),"Yes","No")),IF(OR(MAIN!$F$3="Full Year",MAIN!$D$3="All"),"Yes",IF(MAIN!$F$3="Monthly",IF(E1454=MAIN!$L$3,"Yes","No"),IF(E1454&lt;=MAIN!$L$3,"Yes","No"))))</f>
        <v>Yes</v>
      </c>
      <c r="AA1454" t="str">
        <f t="shared" si="137"/>
        <v>No</v>
      </c>
    </row>
    <row r="1455" spans="1:27" x14ac:dyDescent="0.3">
      <c r="A1455">
        <f>INDEX(SETTINGS!$A$15:$A$24,$B1455)</f>
        <v>2031</v>
      </c>
      <c r="B1455">
        <v>7</v>
      </c>
      <c r="C1455" t="str">
        <f>IF(AND(A1455&gt;=SETTINGS!$B$4,A1455&lt;=SETTINGS!$B$5),"Yes","No")</f>
        <v>No</v>
      </c>
      <c r="D1455" t="str">
        <f>IFERROR(INDEX(SETTINGS!$C$15:$C$24,MATCH(A1455,SETTINGS!$A$15:$A$24,0)),"No")</f>
        <v>No</v>
      </c>
      <c r="E1455">
        <v>5</v>
      </c>
      <c r="F1455" t="s">
        <v>38</v>
      </c>
      <c r="G1455">
        <v>116</v>
      </c>
      <c r="H1455" t="s">
        <v>103</v>
      </c>
      <c r="I1455" t="s">
        <v>22</v>
      </c>
      <c r="J1455" t="s">
        <v>23</v>
      </c>
      <c r="K1455" t="s">
        <v>3</v>
      </c>
      <c r="L1455" s="36">
        <f ca="1">IF(C1455&lt;&gt;"Yes",0,IF(A1455=2025,N('2025'!D116),IF(A1455=2026,N('2026'!D116),IF(A1455=2027,N('2027'!D116),IF(A1455=2028,N('2028'!D116),IF(A1455=2029,N('2029'!D116),IF(A1455=2030,N('2030'!D116),IF(A1455=2031,N('2031'!D116),IF(A1455=2032,N('2032'!D116),IF(A1455=2033,N('2033'!D116),IF(A1455=2034,N('2034'!D116),IFERROR(N(INDIRECT("'"&amp;A1455&amp;"'!D"&amp;G1455)),0))))))))))))</f>
        <v>0</v>
      </c>
      <c r="M1455" s="36">
        <f>IFERROR(IF(NOT(ISBLANK(KPI_TARGETS!$M$14)),KPI_TARGETS!$M$14,IF(NOT(ISBLANK(KPI_TARGETS!$F$14)),KPI_TARGETS!$F$14,"")),"")</f>
        <v>35</v>
      </c>
      <c r="N1455" s="36" t="str">
        <f>IFERROR(KPI_TARGETS!$E$14,"Higher is better")</f>
        <v>Higher is better</v>
      </c>
      <c r="O1455" s="37">
        <f t="shared" ca="1" si="132"/>
        <v>0</v>
      </c>
      <c r="P1455" t="str">
        <f t="shared" ca="1" si="133"/>
        <v>Red</v>
      </c>
      <c r="Q1455" s="36">
        <f t="shared" ca="1" si="134"/>
        <v>-35</v>
      </c>
      <c r="R1455" s="36" t="str">
        <f>""</f>
        <v/>
      </c>
      <c r="S1455" s="36" t="str">
        <f>""</f>
        <v/>
      </c>
      <c r="T1455" s="36" t="str">
        <f>""</f>
        <v/>
      </c>
      <c r="U1455" s="36" t="str">
        <f>""</f>
        <v/>
      </c>
      <c r="V1455" s="36" t="str">
        <f>""</f>
        <v/>
      </c>
      <c r="W1455" s="36">
        <f t="shared" si="135"/>
        <v>1</v>
      </c>
      <c r="X1455" t="str">
        <f t="shared" si="136"/>
        <v>Inactive</v>
      </c>
      <c r="Y1455" t="str">
        <f>IF(MAIN!$H$3="Selected Year",IF(A1455=MAIN!$B$3,"Yes","No"),IF(MAIN!$H$3="Included Years",IF(D1455="Yes","Yes","No"),IF(C1455="Yes","Yes","No")))</f>
        <v>No</v>
      </c>
      <c r="Z1455" t="str">
        <f>IF(MAIN!$F$3="Project to Date",IF(AND(A1455&gt;=SETTINGS!$B$4,A1455&lt;MAIN!$B$3),"Yes",IF(AND(A1455=MAIN!$B$3,E1455&lt;=MAIN!$L$3),"Yes","No")),IF(OR(MAIN!$F$3="Full Year",MAIN!$D$3="All"),"Yes",IF(MAIN!$F$3="Monthly",IF(E1455=MAIN!$L$3,"Yes","No"),IF(E1455&lt;=MAIN!$L$3,"Yes","No"))))</f>
        <v>Yes</v>
      </c>
      <c r="AA1455" t="str">
        <f t="shared" si="137"/>
        <v>No</v>
      </c>
    </row>
    <row r="1456" spans="1:27" x14ac:dyDescent="0.3">
      <c r="A1456">
        <f>INDEX(SETTINGS!$A$15:$A$24,$B1456)</f>
        <v>2031</v>
      </c>
      <c r="B1456">
        <v>7</v>
      </c>
      <c r="C1456" t="str">
        <f>IF(AND(A1456&gt;=SETTINGS!$B$4,A1456&lt;=SETTINGS!$B$5),"Yes","No")</f>
        <v>No</v>
      </c>
      <c r="D1456" t="str">
        <f>IFERROR(INDEX(SETTINGS!$C$15:$C$24,MATCH(A1456,SETTINGS!$A$15:$A$24,0)),"No")</f>
        <v>No</v>
      </c>
      <c r="E1456">
        <v>5</v>
      </c>
      <c r="F1456" t="s">
        <v>38</v>
      </c>
      <c r="G1456">
        <v>117</v>
      </c>
      <c r="H1456" t="s">
        <v>104</v>
      </c>
      <c r="I1456" t="s">
        <v>22</v>
      </c>
      <c r="J1456" t="s">
        <v>24</v>
      </c>
      <c r="K1456" t="s">
        <v>3</v>
      </c>
      <c r="L1456" s="36">
        <f ca="1">IF(C1456&lt;&gt;"Yes",0,IF(A1456=2025,N('2025'!D117),IF(A1456=2026,N('2026'!D117),IF(A1456=2027,N('2027'!D117),IF(A1456=2028,N('2028'!D117),IF(A1456=2029,N('2029'!D117),IF(A1456=2030,N('2030'!D117),IF(A1456=2031,N('2031'!D117),IF(A1456=2032,N('2032'!D117),IF(A1456=2033,N('2033'!D117),IF(A1456=2034,N('2034'!D117),IFERROR(N(INDIRECT("'"&amp;A1456&amp;"'!D"&amp;G1456)),0))))))))))))</f>
        <v>0</v>
      </c>
      <c r="M1456" s="36">
        <f>IFERROR(IF(NOT(ISBLANK(KPI_TARGETS!$M$15)),KPI_TARGETS!$M$15,IF(NOT(ISBLANK(KPI_TARGETS!$F$15)),KPI_TARGETS!$F$15,"")),"")</f>
        <v>5</v>
      </c>
      <c r="N1456" s="36" t="str">
        <f>IFERROR(KPI_TARGETS!$E$15,"Higher is better")</f>
        <v>Higher is better</v>
      </c>
      <c r="O1456" s="37">
        <f t="shared" ca="1" si="132"/>
        <v>0</v>
      </c>
      <c r="P1456" t="str">
        <f t="shared" ca="1" si="133"/>
        <v>Red</v>
      </c>
      <c r="Q1456" s="36">
        <f t="shared" ca="1" si="134"/>
        <v>-5</v>
      </c>
      <c r="R1456" s="36" t="str">
        <f>""</f>
        <v/>
      </c>
      <c r="S1456" s="36" t="str">
        <f>""</f>
        <v/>
      </c>
      <c r="T1456" s="36" t="str">
        <f>""</f>
        <v/>
      </c>
      <c r="U1456" s="36" t="str">
        <f>""</f>
        <v/>
      </c>
      <c r="V1456" s="36" t="str">
        <f>""</f>
        <v/>
      </c>
      <c r="W1456" s="36">
        <f t="shared" si="135"/>
        <v>1</v>
      </c>
      <c r="X1456" t="str">
        <f t="shared" si="136"/>
        <v>Inactive</v>
      </c>
      <c r="Y1456" t="str">
        <f>IF(MAIN!$H$3="Selected Year",IF(A1456=MAIN!$B$3,"Yes","No"),IF(MAIN!$H$3="Included Years",IF(D1456="Yes","Yes","No"),IF(C1456="Yes","Yes","No")))</f>
        <v>No</v>
      </c>
      <c r="Z1456" t="str">
        <f>IF(MAIN!$F$3="Project to Date",IF(AND(A1456&gt;=SETTINGS!$B$4,A1456&lt;MAIN!$B$3),"Yes",IF(AND(A1456=MAIN!$B$3,E1456&lt;=MAIN!$L$3),"Yes","No")),IF(OR(MAIN!$F$3="Full Year",MAIN!$D$3="All"),"Yes",IF(MAIN!$F$3="Monthly",IF(E1456=MAIN!$L$3,"Yes","No"),IF(E1456&lt;=MAIN!$L$3,"Yes","No"))))</f>
        <v>Yes</v>
      </c>
      <c r="AA1456" t="str">
        <f t="shared" si="137"/>
        <v>No</v>
      </c>
    </row>
    <row r="1457" spans="1:27" x14ac:dyDescent="0.3">
      <c r="A1457">
        <f>INDEX(SETTINGS!$A$15:$A$24,$B1457)</f>
        <v>2031</v>
      </c>
      <c r="B1457">
        <v>7</v>
      </c>
      <c r="C1457" t="str">
        <f>IF(AND(A1457&gt;=SETTINGS!$B$4,A1457&lt;=SETTINGS!$B$5),"Yes","No")</f>
        <v>No</v>
      </c>
      <c r="D1457" t="str">
        <f>IFERROR(INDEX(SETTINGS!$C$15:$C$24,MATCH(A1457,SETTINGS!$A$15:$A$24,0)),"No")</f>
        <v>No</v>
      </c>
      <c r="E1457">
        <v>5</v>
      </c>
      <c r="F1457" t="s">
        <v>38</v>
      </c>
      <c r="G1457">
        <v>118</v>
      </c>
      <c r="H1457" t="s">
        <v>105</v>
      </c>
      <c r="I1457" t="s">
        <v>22</v>
      </c>
      <c r="J1457" t="s">
        <v>25</v>
      </c>
      <c r="K1457" t="s">
        <v>3</v>
      </c>
      <c r="L1457" s="36">
        <f ca="1">IF(C1457&lt;&gt;"Yes",0,IF(A1457=2025,N('2025'!D118),IF(A1457=2026,N('2026'!D118),IF(A1457=2027,N('2027'!D118),IF(A1457=2028,N('2028'!D118),IF(A1457=2029,N('2029'!D118),IF(A1457=2030,N('2030'!D118),IF(A1457=2031,N('2031'!D118),IF(A1457=2032,N('2032'!D118),IF(A1457=2033,N('2033'!D118),IF(A1457=2034,N('2034'!D118),IFERROR(N(INDIRECT("'"&amp;A1457&amp;"'!D"&amp;G1457)),0))))))))))))</f>
        <v>0</v>
      </c>
      <c r="M1457" s="36">
        <f>IFERROR(IF(NOT(ISBLANK(KPI_TARGETS!$M$16)),KPI_TARGETS!$M$16,IF(NOT(ISBLANK(KPI_TARGETS!$F$16)),KPI_TARGETS!$F$16,"")),"")</f>
        <v>4</v>
      </c>
      <c r="N1457" s="36" t="str">
        <f>IFERROR(KPI_TARGETS!$E$16,"Higher is better")</f>
        <v>Higher is better</v>
      </c>
      <c r="O1457" s="37">
        <f t="shared" ca="1" si="132"/>
        <v>0</v>
      </c>
      <c r="P1457" t="str">
        <f t="shared" ca="1" si="133"/>
        <v>Red</v>
      </c>
      <c r="Q1457" s="36">
        <f t="shared" ca="1" si="134"/>
        <v>-4</v>
      </c>
      <c r="R1457" s="36" t="str">
        <f>""</f>
        <v/>
      </c>
      <c r="S1457" s="36" t="str">
        <f>""</f>
        <v/>
      </c>
      <c r="T1457" s="36" t="str">
        <f>""</f>
        <v/>
      </c>
      <c r="U1457" s="36" t="str">
        <f>""</f>
        <v/>
      </c>
      <c r="V1457" s="36" t="str">
        <f>""</f>
        <v/>
      </c>
      <c r="W1457" s="36">
        <f t="shared" si="135"/>
        <v>1</v>
      </c>
      <c r="X1457" t="str">
        <f t="shared" si="136"/>
        <v>Inactive</v>
      </c>
      <c r="Y1457" t="str">
        <f>IF(MAIN!$H$3="Selected Year",IF(A1457=MAIN!$B$3,"Yes","No"),IF(MAIN!$H$3="Included Years",IF(D1457="Yes","Yes","No"),IF(C1457="Yes","Yes","No")))</f>
        <v>No</v>
      </c>
      <c r="Z1457" t="str">
        <f>IF(MAIN!$F$3="Project to Date",IF(AND(A1457&gt;=SETTINGS!$B$4,A1457&lt;MAIN!$B$3),"Yes",IF(AND(A1457=MAIN!$B$3,E1457&lt;=MAIN!$L$3),"Yes","No")),IF(OR(MAIN!$F$3="Full Year",MAIN!$D$3="All"),"Yes",IF(MAIN!$F$3="Monthly",IF(E1457=MAIN!$L$3,"Yes","No"),IF(E1457&lt;=MAIN!$L$3,"Yes","No"))))</f>
        <v>Yes</v>
      </c>
      <c r="AA1457" t="str">
        <f t="shared" si="137"/>
        <v>No</v>
      </c>
    </row>
    <row r="1458" spans="1:27" x14ac:dyDescent="0.3">
      <c r="A1458">
        <f>INDEX(SETTINGS!$A$15:$A$24,$B1458)</f>
        <v>2031</v>
      </c>
      <c r="B1458">
        <v>7</v>
      </c>
      <c r="C1458" t="str">
        <f>IF(AND(A1458&gt;=SETTINGS!$B$4,A1458&lt;=SETTINGS!$B$5),"Yes","No")</f>
        <v>No</v>
      </c>
      <c r="D1458" t="str">
        <f>IFERROR(INDEX(SETTINGS!$C$15:$C$24,MATCH(A1458,SETTINGS!$A$15:$A$24,0)),"No")</f>
        <v>No</v>
      </c>
      <c r="E1458">
        <v>5</v>
      </c>
      <c r="F1458" t="s">
        <v>38</v>
      </c>
      <c r="G1458">
        <v>119</v>
      </c>
      <c r="H1458" t="s">
        <v>106</v>
      </c>
      <c r="I1458" t="s">
        <v>22</v>
      </c>
      <c r="J1458" t="s">
        <v>26</v>
      </c>
      <c r="K1458" t="s">
        <v>3</v>
      </c>
      <c r="L1458" s="36">
        <f ca="1">IF(C1458&lt;&gt;"Yes",0,IF(A1458=2025,N('2025'!D119),IF(A1458=2026,N('2026'!D119),IF(A1458=2027,N('2027'!D119),IF(A1458=2028,N('2028'!D119),IF(A1458=2029,N('2029'!D119),IF(A1458=2030,N('2030'!D119),IF(A1458=2031,N('2031'!D119),IF(A1458=2032,N('2032'!D119),IF(A1458=2033,N('2033'!D119),IF(A1458=2034,N('2034'!D119),IFERROR(N(INDIRECT("'"&amp;A1458&amp;"'!D"&amp;G1458)),0))))))))))))</f>
        <v>0</v>
      </c>
      <c r="M1458" s="36">
        <f>IFERROR(IF(NOT(ISBLANK(KPI_TARGETS!$M$17)),KPI_TARGETS!$M$17,IF(NOT(ISBLANK(KPI_TARGETS!$F$17)),KPI_TARGETS!$F$17,"")),"")</f>
        <v>12</v>
      </c>
      <c r="N1458" s="36" t="str">
        <f>IFERROR(KPI_TARGETS!$E$17,"Higher is better")</f>
        <v>Higher is better</v>
      </c>
      <c r="O1458" s="37">
        <f t="shared" ca="1" si="132"/>
        <v>0</v>
      </c>
      <c r="P1458" t="str">
        <f t="shared" ca="1" si="133"/>
        <v>Red</v>
      </c>
      <c r="Q1458" s="36">
        <f t="shared" ca="1" si="134"/>
        <v>-12</v>
      </c>
      <c r="R1458" s="36" t="str">
        <f>""</f>
        <v/>
      </c>
      <c r="S1458" s="36" t="str">
        <f>""</f>
        <v/>
      </c>
      <c r="T1458" s="36" t="str">
        <f>""</f>
        <v/>
      </c>
      <c r="U1458" s="36" t="str">
        <f>""</f>
        <v/>
      </c>
      <c r="V1458" s="36" t="str">
        <f>""</f>
        <v/>
      </c>
      <c r="W1458" s="36">
        <f t="shared" si="135"/>
        <v>1</v>
      </c>
      <c r="X1458" t="str">
        <f t="shared" si="136"/>
        <v>Inactive</v>
      </c>
      <c r="Y1458" t="str">
        <f>IF(MAIN!$H$3="Selected Year",IF(A1458=MAIN!$B$3,"Yes","No"),IF(MAIN!$H$3="Included Years",IF(D1458="Yes","Yes","No"),IF(C1458="Yes","Yes","No")))</f>
        <v>No</v>
      </c>
      <c r="Z1458" t="str">
        <f>IF(MAIN!$F$3="Project to Date",IF(AND(A1458&gt;=SETTINGS!$B$4,A1458&lt;MAIN!$B$3),"Yes",IF(AND(A1458=MAIN!$B$3,E1458&lt;=MAIN!$L$3),"Yes","No")),IF(OR(MAIN!$F$3="Full Year",MAIN!$D$3="All"),"Yes",IF(MAIN!$F$3="Monthly",IF(E1458=MAIN!$L$3,"Yes","No"),IF(E1458&lt;=MAIN!$L$3,"Yes","No"))))</f>
        <v>Yes</v>
      </c>
      <c r="AA1458" t="str">
        <f t="shared" si="137"/>
        <v>No</v>
      </c>
    </row>
    <row r="1459" spans="1:27" x14ac:dyDescent="0.3">
      <c r="A1459">
        <f>INDEX(SETTINGS!$A$15:$A$24,$B1459)</f>
        <v>2031</v>
      </c>
      <c r="B1459">
        <v>7</v>
      </c>
      <c r="C1459" t="str">
        <f>IF(AND(A1459&gt;=SETTINGS!$B$4,A1459&lt;=SETTINGS!$B$5),"Yes","No")</f>
        <v>No</v>
      </c>
      <c r="D1459" t="str">
        <f>IFERROR(INDEX(SETTINGS!$C$15:$C$24,MATCH(A1459,SETTINGS!$A$15:$A$24,0)),"No")</f>
        <v>No</v>
      </c>
      <c r="E1459">
        <v>5</v>
      </c>
      <c r="F1459" t="s">
        <v>38</v>
      </c>
      <c r="G1459">
        <v>120</v>
      </c>
      <c r="H1459" t="s">
        <v>107</v>
      </c>
      <c r="I1459" t="s">
        <v>22</v>
      </c>
      <c r="J1459" t="s">
        <v>27</v>
      </c>
      <c r="K1459" t="s">
        <v>3</v>
      </c>
      <c r="L1459" s="36">
        <f ca="1">IF(C1459&lt;&gt;"Yes",0,IF(A1459=2025,N('2025'!D120),IF(A1459=2026,N('2026'!D120),IF(A1459=2027,N('2027'!D120),IF(A1459=2028,N('2028'!D120),IF(A1459=2029,N('2029'!D120),IF(A1459=2030,N('2030'!D120),IF(A1459=2031,N('2031'!D120),IF(A1459=2032,N('2032'!D120),IF(A1459=2033,N('2033'!D120),IF(A1459=2034,N('2034'!D120),IFERROR(N(INDIRECT("'"&amp;A1459&amp;"'!D"&amp;G1459)),0))))))))))))</f>
        <v>0</v>
      </c>
      <c r="M1459" s="36">
        <f>IFERROR(IF(NOT(ISBLANK(KPI_TARGETS!$M$18)),KPI_TARGETS!$M$18,IF(NOT(ISBLANK(KPI_TARGETS!$F$18)),KPI_TARGETS!$F$18,"")),"")</f>
        <v>4</v>
      </c>
      <c r="N1459" s="36" t="str">
        <f>IFERROR(KPI_TARGETS!$E$18,"Higher is better")</f>
        <v>Higher is better</v>
      </c>
      <c r="O1459" s="37">
        <f t="shared" ca="1" si="132"/>
        <v>0</v>
      </c>
      <c r="P1459" t="str">
        <f t="shared" ca="1" si="133"/>
        <v>Red</v>
      </c>
      <c r="Q1459" s="36">
        <f t="shared" ca="1" si="134"/>
        <v>-4</v>
      </c>
      <c r="R1459" s="36" t="str">
        <f>""</f>
        <v/>
      </c>
      <c r="S1459" s="36" t="str">
        <f>""</f>
        <v/>
      </c>
      <c r="T1459" s="36" t="str">
        <f>""</f>
        <v/>
      </c>
      <c r="U1459" s="36" t="str">
        <f>""</f>
        <v/>
      </c>
      <c r="V1459" s="36" t="str">
        <f>""</f>
        <v/>
      </c>
      <c r="W1459" s="36">
        <f t="shared" si="135"/>
        <v>1</v>
      </c>
      <c r="X1459" t="str">
        <f t="shared" si="136"/>
        <v>Inactive</v>
      </c>
      <c r="Y1459" t="str">
        <f>IF(MAIN!$H$3="Selected Year",IF(A1459=MAIN!$B$3,"Yes","No"),IF(MAIN!$H$3="Included Years",IF(D1459="Yes","Yes","No"),IF(C1459="Yes","Yes","No")))</f>
        <v>No</v>
      </c>
      <c r="Z1459" t="str">
        <f>IF(MAIN!$F$3="Project to Date",IF(AND(A1459&gt;=SETTINGS!$B$4,A1459&lt;MAIN!$B$3),"Yes",IF(AND(A1459=MAIN!$B$3,E1459&lt;=MAIN!$L$3),"Yes","No")),IF(OR(MAIN!$F$3="Full Year",MAIN!$D$3="All"),"Yes",IF(MAIN!$F$3="Monthly",IF(E1459=MAIN!$L$3,"Yes","No"),IF(E1459&lt;=MAIN!$L$3,"Yes","No"))))</f>
        <v>Yes</v>
      </c>
      <c r="AA1459" t="str">
        <f t="shared" si="137"/>
        <v>No</v>
      </c>
    </row>
    <row r="1460" spans="1:27" x14ac:dyDescent="0.3">
      <c r="A1460">
        <f>INDEX(SETTINGS!$A$15:$A$24,$B1460)</f>
        <v>2031</v>
      </c>
      <c r="B1460">
        <v>7</v>
      </c>
      <c r="C1460" t="str">
        <f>IF(AND(A1460&gt;=SETTINGS!$B$4,A1460&lt;=SETTINGS!$B$5),"Yes","No")</f>
        <v>No</v>
      </c>
      <c r="D1460" t="str">
        <f>IFERROR(INDEX(SETTINGS!$C$15:$C$24,MATCH(A1460,SETTINGS!$A$15:$A$24,0)),"No")</f>
        <v>No</v>
      </c>
      <c r="E1460">
        <v>5</v>
      </c>
      <c r="F1460" t="s">
        <v>38</v>
      </c>
      <c r="G1460">
        <v>121</v>
      </c>
      <c r="H1460" t="s">
        <v>108</v>
      </c>
      <c r="I1460" t="s">
        <v>22</v>
      </c>
      <c r="J1460" t="s">
        <v>28</v>
      </c>
      <c r="K1460" t="s">
        <v>3</v>
      </c>
      <c r="L1460" s="36">
        <f ca="1">IF(C1460&lt;&gt;"Yes",0,IF(A1460=2025,N('2025'!D121),IF(A1460=2026,N('2026'!D121),IF(A1460=2027,N('2027'!D121),IF(A1460=2028,N('2028'!D121),IF(A1460=2029,N('2029'!D121),IF(A1460=2030,N('2030'!D121),IF(A1460=2031,N('2031'!D121),IF(A1460=2032,N('2032'!D121),IF(A1460=2033,N('2033'!D121),IF(A1460=2034,N('2034'!D121),IFERROR(N(INDIRECT("'"&amp;A1460&amp;"'!D"&amp;G1460)),0))))))))))))</f>
        <v>0</v>
      </c>
      <c r="M1460" s="36">
        <f>IFERROR(IF(NOT(ISBLANK(KPI_TARGETS!$M$19)),KPI_TARGETS!$M$19,IF(NOT(ISBLANK(KPI_TARGETS!$F$19)),KPI_TARGETS!$F$19,"")),"")</f>
        <v>16</v>
      </c>
      <c r="N1460" s="36" t="str">
        <f>IFERROR(KPI_TARGETS!$E$19,"Higher is better")</f>
        <v>Higher is better</v>
      </c>
      <c r="O1460" s="37">
        <f t="shared" ca="1" si="132"/>
        <v>0</v>
      </c>
      <c r="P1460" t="str">
        <f t="shared" ca="1" si="133"/>
        <v>Red</v>
      </c>
      <c r="Q1460" s="36">
        <f t="shared" ca="1" si="134"/>
        <v>-16</v>
      </c>
      <c r="R1460" s="36" t="str">
        <f>""</f>
        <v/>
      </c>
      <c r="S1460" s="36" t="str">
        <f>""</f>
        <v/>
      </c>
      <c r="T1460" s="36" t="str">
        <f>""</f>
        <v/>
      </c>
      <c r="U1460" s="36" t="str">
        <f>""</f>
        <v/>
      </c>
      <c r="V1460" s="36" t="str">
        <f>""</f>
        <v/>
      </c>
      <c r="W1460" s="36">
        <f t="shared" si="135"/>
        <v>1</v>
      </c>
      <c r="X1460" t="str">
        <f t="shared" si="136"/>
        <v>Inactive</v>
      </c>
      <c r="Y1460" t="str">
        <f>IF(MAIN!$H$3="Selected Year",IF(A1460=MAIN!$B$3,"Yes","No"),IF(MAIN!$H$3="Included Years",IF(D1460="Yes","Yes","No"),IF(C1460="Yes","Yes","No")))</f>
        <v>No</v>
      </c>
      <c r="Z1460" t="str">
        <f>IF(MAIN!$F$3="Project to Date",IF(AND(A1460&gt;=SETTINGS!$B$4,A1460&lt;MAIN!$B$3),"Yes",IF(AND(A1460=MAIN!$B$3,E1460&lt;=MAIN!$L$3),"Yes","No")),IF(OR(MAIN!$F$3="Full Year",MAIN!$D$3="All"),"Yes",IF(MAIN!$F$3="Monthly",IF(E1460=MAIN!$L$3,"Yes","No"),IF(E1460&lt;=MAIN!$L$3,"Yes","No"))))</f>
        <v>Yes</v>
      </c>
      <c r="AA1460" t="str">
        <f t="shared" si="137"/>
        <v>No</v>
      </c>
    </row>
    <row r="1461" spans="1:27" x14ac:dyDescent="0.3">
      <c r="A1461">
        <f>INDEX(SETTINGS!$A$15:$A$24,$B1461)</f>
        <v>2031</v>
      </c>
      <c r="B1461">
        <v>7</v>
      </c>
      <c r="C1461" t="str">
        <f>IF(AND(A1461&gt;=SETTINGS!$B$4,A1461&lt;=SETTINGS!$B$5),"Yes","No")</f>
        <v>No</v>
      </c>
      <c r="D1461" t="str">
        <f>IFERROR(INDEX(SETTINGS!$C$15:$C$24,MATCH(A1461,SETTINGS!$A$15:$A$24,0)),"No")</f>
        <v>No</v>
      </c>
      <c r="E1461">
        <v>5</v>
      </c>
      <c r="F1461" t="s">
        <v>38</v>
      </c>
      <c r="G1461">
        <v>122</v>
      </c>
      <c r="H1461" t="s">
        <v>109</v>
      </c>
      <c r="I1461" t="s">
        <v>22</v>
      </c>
      <c r="J1461" t="s">
        <v>29</v>
      </c>
      <c r="K1461" t="s">
        <v>3</v>
      </c>
      <c r="L1461" s="36">
        <f ca="1">IF(C1461&lt;&gt;"Yes",0,IF(A1461=2025,N('2025'!D122),IF(A1461=2026,N('2026'!D122),IF(A1461=2027,N('2027'!D122),IF(A1461=2028,N('2028'!D122),IF(A1461=2029,N('2029'!D122),IF(A1461=2030,N('2030'!D122),IF(A1461=2031,N('2031'!D122),IF(A1461=2032,N('2032'!D122),IF(A1461=2033,N('2033'!D122),IF(A1461=2034,N('2034'!D122),IFERROR(N(INDIRECT("'"&amp;A1461&amp;"'!D"&amp;G1461)),0))))))))))))</f>
        <v>0</v>
      </c>
      <c r="M1461" s="36">
        <f>IFERROR(IF(NOT(ISBLANK(KPI_TARGETS!$M$20)),KPI_TARGETS!$M$20,IF(NOT(ISBLANK(KPI_TARGETS!$F$20)),KPI_TARGETS!$F$20,"")),"")</f>
        <v>1</v>
      </c>
      <c r="N1461" s="36" t="str">
        <f>IFERROR(KPI_TARGETS!$E$20,"Higher is better")</f>
        <v>Higher is better</v>
      </c>
      <c r="O1461" s="37">
        <f t="shared" ca="1" si="132"/>
        <v>0</v>
      </c>
      <c r="P1461" t="str">
        <f t="shared" ca="1" si="133"/>
        <v>Red</v>
      </c>
      <c r="Q1461" s="36">
        <f t="shared" ca="1" si="134"/>
        <v>-1</v>
      </c>
      <c r="R1461" s="36" t="str">
        <f>""</f>
        <v/>
      </c>
      <c r="S1461" s="36" t="str">
        <f>""</f>
        <v/>
      </c>
      <c r="T1461" s="36" t="str">
        <f>""</f>
        <v/>
      </c>
      <c r="U1461" s="36" t="str">
        <f>""</f>
        <v/>
      </c>
      <c r="V1461" s="36" t="str">
        <f>""</f>
        <v/>
      </c>
      <c r="W1461" s="36">
        <f t="shared" si="135"/>
        <v>1</v>
      </c>
      <c r="X1461" t="str">
        <f t="shared" si="136"/>
        <v>Inactive</v>
      </c>
      <c r="Y1461" t="str">
        <f>IF(MAIN!$H$3="Selected Year",IF(A1461=MAIN!$B$3,"Yes","No"),IF(MAIN!$H$3="Included Years",IF(D1461="Yes","Yes","No"),IF(C1461="Yes","Yes","No")))</f>
        <v>No</v>
      </c>
      <c r="Z1461" t="str">
        <f>IF(MAIN!$F$3="Project to Date",IF(AND(A1461&gt;=SETTINGS!$B$4,A1461&lt;MAIN!$B$3),"Yes",IF(AND(A1461=MAIN!$B$3,E1461&lt;=MAIN!$L$3),"Yes","No")),IF(OR(MAIN!$F$3="Full Year",MAIN!$D$3="All"),"Yes",IF(MAIN!$F$3="Monthly",IF(E1461=MAIN!$L$3,"Yes","No"),IF(E1461&lt;=MAIN!$L$3,"Yes","No"))))</f>
        <v>Yes</v>
      </c>
      <c r="AA1461" t="str">
        <f t="shared" si="137"/>
        <v>No</v>
      </c>
    </row>
    <row r="1462" spans="1:27" x14ac:dyDescent="0.3">
      <c r="A1462">
        <f>INDEX(SETTINGS!$A$15:$A$24,$B1462)</f>
        <v>2031</v>
      </c>
      <c r="B1462">
        <v>7</v>
      </c>
      <c r="C1462" t="str">
        <f>IF(AND(A1462&gt;=SETTINGS!$B$4,A1462&lt;=SETTINGS!$B$5),"Yes","No")</f>
        <v>No</v>
      </c>
      <c r="D1462" t="str">
        <f>IFERROR(INDEX(SETTINGS!$C$15:$C$24,MATCH(A1462,SETTINGS!$A$15:$A$24,0)),"No")</f>
        <v>No</v>
      </c>
      <c r="E1462">
        <v>5</v>
      </c>
      <c r="F1462" t="s">
        <v>38</v>
      </c>
      <c r="G1462">
        <v>124</v>
      </c>
      <c r="H1462" t="s">
        <v>110</v>
      </c>
      <c r="I1462" t="s">
        <v>30</v>
      </c>
      <c r="J1462" t="s">
        <v>31</v>
      </c>
      <c r="K1462" t="s">
        <v>3</v>
      </c>
      <c r="L1462" s="36">
        <f ca="1">IF(C1462&lt;&gt;"Yes",0,IF(A1462=2025,N('2025'!D124),IF(A1462=2026,N('2026'!D124),IF(A1462=2027,N('2027'!D124),IF(A1462=2028,N('2028'!D124),IF(A1462=2029,N('2029'!D124),IF(A1462=2030,N('2030'!D124),IF(A1462=2031,N('2031'!D124),IF(A1462=2032,N('2032'!D124),IF(A1462=2033,N('2033'!D124),IF(A1462=2034,N('2034'!D124),IFERROR(N(INDIRECT("'"&amp;A1462&amp;"'!D"&amp;G1462)),0))))))))))))</f>
        <v>0</v>
      </c>
      <c r="M1462" s="36">
        <f>IFERROR(IF(NOT(ISBLANK(KPI_TARGETS!$M$21)),KPI_TARGETS!$M$21,IF(NOT(ISBLANK(KPI_TARGETS!$F$21)),KPI_TARGETS!$F$21,"")),"")</f>
        <v>0</v>
      </c>
      <c r="N1462" s="36" t="str">
        <f>IFERROR(KPI_TARGETS!$E$21,"Higher is better")</f>
        <v>Lower is better</v>
      </c>
      <c r="O1462" s="37">
        <f t="shared" ca="1" si="132"/>
        <v>1</v>
      </c>
      <c r="P1462" t="str">
        <f t="shared" ca="1" si="133"/>
        <v>Green</v>
      </c>
      <c r="Q1462" s="36">
        <f t="shared" ca="1" si="134"/>
        <v>0</v>
      </c>
      <c r="R1462" s="36" t="str">
        <f>""</f>
        <v/>
      </c>
      <c r="S1462" s="36" t="str">
        <f>""</f>
        <v/>
      </c>
      <c r="T1462" s="36" t="str">
        <f>""</f>
        <v/>
      </c>
      <c r="U1462" s="36" t="str">
        <f>""</f>
        <v/>
      </c>
      <c r="V1462" s="36" t="str">
        <f>""</f>
        <v/>
      </c>
      <c r="W1462" s="36">
        <f t="shared" si="135"/>
        <v>1</v>
      </c>
      <c r="X1462" t="str">
        <f t="shared" si="136"/>
        <v>Inactive</v>
      </c>
      <c r="Y1462" t="str">
        <f>IF(MAIN!$H$3="Selected Year",IF(A1462=MAIN!$B$3,"Yes","No"),IF(MAIN!$H$3="Included Years",IF(D1462="Yes","Yes","No"),IF(C1462="Yes","Yes","No")))</f>
        <v>No</v>
      </c>
      <c r="Z1462" t="str">
        <f>IF(MAIN!$F$3="Project to Date",IF(AND(A1462&gt;=SETTINGS!$B$4,A1462&lt;MAIN!$B$3),"Yes",IF(AND(A1462=MAIN!$B$3,E1462&lt;=MAIN!$L$3),"Yes","No")),IF(OR(MAIN!$F$3="Full Year",MAIN!$D$3="All"),"Yes",IF(MAIN!$F$3="Monthly",IF(E1462=MAIN!$L$3,"Yes","No"),IF(E1462&lt;=MAIN!$L$3,"Yes","No"))))</f>
        <v>Yes</v>
      </c>
      <c r="AA1462" t="str">
        <f t="shared" si="137"/>
        <v>No</v>
      </c>
    </row>
    <row r="1463" spans="1:27" x14ac:dyDescent="0.3">
      <c r="A1463">
        <f>INDEX(SETTINGS!$A$15:$A$24,$B1463)</f>
        <v>2031</v>
      </c>
      <c r="B1463">
        <v>7</v>
      </c>
      <c r="C1463" t="str">
        <f>IF(AND(A1463&gt;=SETTINGS!$B$4,A1463&lt;=SETTINGS!$B$5),"Yes","No")</f>
        <v>No</v>
      </c>
      <c r="D1463" t="str">
        <f>IFERROR(INDEX(SETTINGS!$C$15:$C$24,MATCH(A1463,SETTINGS!$A$15:$A$24,0)),"No")</f>
        <v>No</v>
      </c>
      <c r="E1463">
        <v>5</v>
      </c>
      <c r="F1463" t="s">
        <v>38</v>
      </c>
      <c r="G1463">
        <v>125</v>
      </c>
      <c r="H1463" t="s">
        <v>111</v>
      </c>
      <c r="I1463" t="s">
        <v>30</v>
      </c>
      <c r="J1463" t="s">
        <v>32</v>
      </c>
      <c r="K1463" t="s">
        <v>3</v>
      </c>
      <c r="L1463" s="36">
        <f ca="1">IF(C1463&lt;&gt;"Yes",0,IF(A1463=2025,N('2025'!D125),IF(A1463=2026,N('2026'!D125),IF(A1463=2027,N('2027'!D125),IF(A1463=2028,N('2028'!D125),IF(A1463=2029,N('2029'!D125),IF(A1463=2030,N('2030'!D125),IF(A1463=2031,N('2031'!D125),IF(A1463=2032,N('2032'!D125),IF(A1463=2033,N('2033'!D125),IF(A1463=2034,N('2034'!D125),IFERROR(N(INDIRECT("'"&amp;A1463&amp;"'!D"&amp;G1463)),0))))))))))))</f>
        <v>0</v>
      </c>
      <c r="M1463" s="36">
        <f>IFERROR(IF(NOT(ISBLANK(KPI_TARGETS!$M$22)),KPI_TARGETS!$M$22,IF(NOT(ISBLANK(KPI_TARGETS!$F$22)),KPI_TARGETS!$F$22,"")),"")</f>
        <v>1</v>
      </c>
      <c r="N1463" s="36" t="str">
        <f>IFERROR(KPI_TARGETS!$E$22,"Higher is better")</f>
        <v>Higher is better</v>
      </c>
      <c r="O1463" s="37">
        <f t="shared" ca="1" si="132"/>
        <v>0</v>
      </c>
      <c r="P1463" t="str">
        <f t="shared" ca="1" si="133"/>
        <v>Red</v>
      </c>
      <c r="Q1463" s="36">
        <f t="shared" ca="1" si="134"/>
        <v>-1</v>
      </c>
      <c r="R1463" s="36" t="str">
        <f>""</f>
        <v/>
      </c>
      <c r="S1463" s="36" t="str">
        <f>""</f>
        <v/>
      </c>
      <c r="T1463" s="36" t="str">
        <f>""</f>
        <v/>
      </c>
      <c r="U1463" s="36" t="str">
        <f>""</f>
        <v/>
      </c>
      <c r="V1463" s="36" t="str">
        <f>""</f>
        <v/>
      </c>
      <c r="W1463" s="36">
        <f t="shared" si="135"/>
        <v>1</v>
      </c>
      <c r="X1463" t="str">
        <f t="shared" si="136"/>
        <v>Inactive</v>
      </c>
      <c r="Y1463" t="str">
        <f>IF(MAIN!$H$3="Selected Year",IF(A1463=MAIN!$B$3,"Yes","No"),IF(MAIN!$H$3="Included Years",IF(D1463="Yes","Yes","No"),IF(C1463="Yes","Yes","No")))</f>
        <v>No</v>
      </c>
      <c r="Z1463" t="str">
        <f>IF(MAIN!$F$3="Project to Date",IF(AND(A1463&gt;=SETTINGS!$B$4,A1463&lt;MAIN!$B$3),"Yes",IF(AND(A1463=MAIN!$B$3,E1463&lt;=MAIN!$L$3),"Yes","No")),IF(OR(MAIN!$F$3="Full Year",MAIN!$D$3="All"),"Yes",IF(MAIN!$F$3="Monthly",IF(E1463=MAIN!$L$3,"Yes","No"),IF(E1463&lt;=MAIN!$L$3,"Yes","No"))))</f>
        <v>Yes</v>
      </c>
      <c r="AA1463" t="str">
        <f t="shared" si="137"/>
        <v>No</v>
      </c>
    </row>
    <row r="1464" spans="1:27" x14ac:dyDescent="0.3">
      <c r="A1464">
        <f>INDEX(SETTINGS!$A$15:$A$24,$B1464)</f>
        <v>2031</v>
      </c>
      <c r="B1464">
        <v>7</v>
      </c>
      <c r="C1464" t="str">
        <f>IF(AND(A1464&gt;=SETTINGS!$B$4,A1464&lt;=SETTINGS!$B$5),"Yes","No")</f>
        <v>No</v>
      </c>
      <c r="D1464" t="str">
        <f>IFERROR(INDEX(SETTINGS!$C$15:$C$24,MATCH(A1464,SETTINGS!$A$15:$A$24,0)),"No")</f>
        <v>No</v>
      </c>
      <c r="E1464">
        <v>5</v>
      </c>
      <c r="F1464" t="s">
        <v>38</v>
      </c>
      <c r="G1464">
        <v>126</v>
      </c>
      <c r="H1464" t="s">
        <v>112</v>
      </c>
      <c r="I1464" t="s">
        <v>30</v>
      </c>
      <c r="J1464" t="s">
        <v>33</v>
      </c>
      <c r="K1464" t="s">
        <v>34</v>
      </c>
      <c r="L1464" s="36">
        <f ca="1">IF(C1464&lt;&gt;"Yes",0,IF(A1464=2025,N('2025'!D126),IF(A1464=2026,N('2026'!D126),IF(A1464=2027,N('2027'!D126),IF(A1464=2028,N('2028'!D126),IF(A1464=2029,N('2029'!D126),IF(A1464=2030,N('2030'!D126),IF(A1464=2031,N('2031'!D126),IF(A1464=2032,N('2032'!D126),IF(A1464=2033,N('2033'!D126),IF(A1464=2034,N('2034'!D126),IFERROR(N(INDIRECT("'"&amp;A1464&amp;"'!D"&amp;G1464)),0))))))))))))</f>
        <v>0</v>
      </c>
      <c r="M1464" s="36">
        <f>IFERROR(IF(NOT(ISBLANK(KPI_TARGETS!$M$23)),KPI_TARGETS!$M$23,IF(NOT(ISBLANK(KPI_TARGETS!$F$23)),KPI_TARGETS!$F$23,"")),"")</f>
        <v>1</v>
      </c>
      <c r="N1464" s="36" t="str">
        <f>IFERROR(KPI_TARGETS!$E$23,"Higher is better")</f>
        <v>Higher is better</v>
      </c>
      <c r="O1464" s="37">
        <f t="shared" ca="1" si="132"/>
        <v>0</v>
      </c>
      <c r="P1464" t="str">
        <f t="shared" ca="1" si="133"/>
        <v>Red</v>
      </c>
      <c r="Q1464" s="36">
        <f t="shared" ca="1" si="134"/>
        <v>-1</v>
      </c>
      <c r="R1464" s="36" t="str">
        <f>""</f>
        <v/>
      </c>
      <c r="S1464" s="36" t="str">
        <f>""</f>
        <v/>
      </c>
      <c r="T1464" s="36" t="str">
        <f>""</f>
        <v/>
      </c>
      <c r="U1464" s="36" t="str">
        <f>""</f>
        <v/>
      </c>
      <c r="V1464" s="36" t="str">
        <f>""</f>
        <v/>
      </c>
      <c r="W1464" s="36">
        <f t="shared" si="135"/>
        <v>1</v>
      </c>
      <c r="X1464" t="str">
        <f t="shared" si="136"/>
        <v>Inactive</v>
      </c>
      <c r="Y1464" t="str">
        <f>IF(MAIN!$H$3="Selected Year",IF(A1464=MAIN!$B$3,"Yes","No"),IF(MAIN!$H$3="Included Years",IF(D1464="Yes","Yes","No"),IF(C1464="Yes","Yes","No")))</f>
        <v>No</v>
      </c>
      <c r="Z1464" t="str">
        <f>IF(MAIN!$F$3="Project to Date",IF(AND(A1464&gt;=SETTINGS!$B$4,A1464&lt;MAIN!$B$3),"Yes",IF(AND(A1464=MAIN!$B$3,E1464&lt;=MAIN!$L$3),"Yes","No")),IF(OR(MAIN!$F$3="Full Year",MAIN!$D$3="All"),"Yes",IF(MAIN!$F$3="Monthly",IF(E1464=MAIN!$L$3,"Yes","No"),IF(E1464&lt;=MAIN!$L$3,"Yes","No"))))</f>
        <v>Yes</v>
      </c>
      <c r="AA1464" t="str">
        <f t="shared" si="137"/>
        <v>No</v>
      </c>
    </row>
    <row r="1465" spans="1:27" x14ac:dyDescent="0.3">
      <c r="A1465">
        <f>INDEX(SETTINGS!$A$15:$A$24,$B1465)</f>
        <v>2031</v>
      </c>
      <c r="B1465">
        <v>7</v>
      </c>
      <c r="C1465" t="str">
        <f>IF(AND(A1465&gt;=SETTINGS!$B$4,A1465&lt;=SETTINGS!$B$5),"Yes","No")</f>
        <v>No</v>
      </c>
      <c r="D1465" t="str">
        <f>IFERROR(INDEX(SETTINGS!$C$15:$C$24,MATCH(A1465,SETTINGS!$A$15:$A$24,0)),"No")</f>
        <v>No</v>
      </c>
      <c r="E1465">
        <v>6</v>
      </c>
      <c r="F1465" t="s">
        <v>39</v>
      </c>
      <c r="G1465">
        <v>129</v>
      </c>
      <c r="H1465" t="s">
        <v>88</v>
      </c>
      <c r="I1465" t="s">
        <v>89</v>
      </c>
      <c r="J1465" t="s">
        <v>10</v>
      </c>
      <c r="K1465" t="s">
        <v>3</v>
      </c>
      <c r="L1465" s="36">
        <f ca="1">IF(C1465&lt;&gt;"Yes",0,IF(A1465=2025,N('2025'!D129),IF(A1465=2026,N('2026'!D129),IF(A1465=2027,N('2027'!D129),IF(A1465=2028,N('2028'!D129),IF(A1465=2029,N('2029'!D129),IF(A1465=2030,N('2030'!D129),IF(A1465=2031,N('2031'!D129),IF(A1465=2032,N('2032'!D129),IF(A1465=2033,N('2033'!D129),IF(A1465=2034,N('2034'!D129),IFERROR(N(INDIRECT("'"&amp;A1465&amp;"'!D"&amp;G1465)),0))))))))))))</f>
        <v>0</v>
      </c>
      <c r="M1465" s="36">
        <f>IFERROR(IF(NOT(ISBLANK(KPI_TARGETS!$M$5)),KPI_TARGETS!$M$5,IF(NOT(ISBLANK(KPI_TARGETS!$F$5)),KPI_TARGETS!$F$5,"")),"")</f>
        <v>104</v>
      </c>
      <c r="N1465" s="36" t="str">
        <f>IFERROR(KPI_TARGETS!$E$5,"Higher is better")</f>
        <v>Higher is better</v>
      </c>
      <c r="O1465" s="37">
        <f t="shared" ca="1" si="132"/>
        <v>0</v>
      </c>
      <c r="P1465" t="str">
        <f t="shared" ca="1" si="133"/>
        <v>Red</v>
      </c>
      <c r="Q1465" s="36">
        <f t="shared" ca="1" si="134"/>
        <v>-104</v>
      </c>
      <c r="R1465" s="36" t="str">
        <f>""</f>
        <v/>
      </c>
      <c r="S1465" s="36" t="str">
        <f>""</f>
        <v/>
      </c>
      <c r="T1465" s="36" t="str">
        <f>""</f>
        <v/>
      </c>
      <c r="U1465" s="36" t="str">
        <f>""</f>
        <v/>
      </c>
      <c r="V1465" s="36" t="str">
        <f>""</f>
        <v/>
      </c>
      <c r="W1465" s="36">
        <f t="shared" si="135"/>
        <v>1</v>
      </c>
      <c r="X1465" t="str">
        <f t="shared" si="136"/>
        <v>Inactive</v>
      </c>
      <c r="Y1465" t="str">
        <f>IF(MAIN!$H$3="Selected Year",IF(A1465=MAIN!$B$3,"Yes","No"),IF(MAIN!$H$3="Included Years",IF(D1465="Yes","Yes","No"),IF(C1465="Yes","Yes","No")))</f>
        <v>No</v>
      </c>
      <c r="Z1465" t="str">
        <f>IF(MAIN!$F$3="Project to Date",IF(AND(A1465&gt;=SETTINGS!$B$4,A1465&lt;MAIN!$B$3),"Yes",IF(AND(A1465=MAIN!$B$3,E1465&lt;=MAIN!$L$3),"Yes","No")),IF(OR(MAIN!$F$3="Full Year",MAIN!$D$3="All"),"Yes",IF(MAIN!$F$3="Monthly",IF(E1465=MAIN!$L$3,"Yes","No"),IF(E1465&lt;=MAIN!$L$3,"Yes","No"))))</f>
        <v>Yes</v>
      </c>
      <c r="AA1465" t="str">
        <f t="shared" si="137"/>
        <v>No</v>
      </c>
    </row>
    <row r="1466" spans="1:27" x14ac:dyDescent="0.3">
      <c r="A1466">
        <f>INDEX(SETTINGS!$A$15:$A$24,$B1466)</f>
        <v>2031</v>
      </c>
      <c r="B1466">
        <v>7</v>
      </c>
      <c r="C1466" t="str">
        <f>IF(AND(A1466&gt;=SETTINGS!$B$4,A1466&lt;=SETTINGS!$B$5),"Yes","No")</f>
        <v>No</v>
      </c>
      <c r="D1466" t="str">
        <f>IFERROR(INDEX(SETTINGS!$C$15:$C$24,MATCH(A1466,SETTINGS!$A$15:$A$24,0)),"No")</f>
        <v>No</v>
      </c>
      <c r="E1466">
        <v>6</v>
      </c>
      <c r="F1466" t="s">
        <v>39</v>
      </c>
      <c r="G1466">
        <v>130</v>
      </c>
      <c r="H1466" t="s">
        <v>91</v>
      </c>
      <c r="I1466" t="s">
        <v>89</v>
      </c>
      <c r="J1466" t="s">
        <v>11</v>
      </c>
      <c r="K1466" t="s">
        <v>12</v>
      </c>
      <c r="L1466" s="36">
        <f ca="1">IF(C1466&lt;&gt;"Yes",0,IF(A1466=2025,N('2025'!D130),IF(A1466=2026,N('2026'!D130),IF(A1466=2027,N('2027'!D130),IF(A1466=2028,N('2028'!D130),IF(A1466=2029,N('2029'!D130),IF(A1466=2030,N('2030'!D130),IF(A1466=2031,N('2031'!D130),IF(A1466=2032,N('2032'!D130),IF(A1466=2033,N('2033'!D130),IF(A1466=2034,N('2034'!D130),IFERROR(N(INDIRECT("'"&amp;A1466&amp;"'!D"&amp;G1466)),0))))))))))))</f>
        <v>0</v>
      </c>
      <c r="M1466" s="36">
        <f>IFERROR(IF(NOT(ISBLANK(KPI_TARGETS!$M$6)),KPI_TARGETS!$M$6,IF(NOT(ISBLANK(KPI_TARGETS!$F$6)),KPI_TARGETS!$F$6,"")),"")</f>
        <v>4000</v>
      </c>
      <c r="N1466" s="36" t="str">
        <f>IFERROR(KPI_TARGETS!$E$6,"Higher is better")</f>
        <v>Higher is better</v>
      </c>
      <c r="O1466" s="37">
        <f t="shared" ca="1" si="132"/>
        <v>0</v>
      </c>
      <c r="P1466" t="str">
        <f t="shared" ca="1" si="133"/>
        <v>Red</v>
      </c>
      <c r="Q1466" s="36">
        <f t="shared" ca="1" si="134"/>
        <v>-4000</v>
      </c>
      <c r="R1466" s="36" t="str">
        <f>""</f>
        <v/>
      </c>
      <c r="S1466" s="36" t="str">
        <f>""</f>
        <v/>
      </c>
      <c r="T1466" s="36" t="str">
        <f>""</f>
        <v/>
      </c>
      <c r="U1466" s="36" t="str">
        <f>""</f>
        <v/>
      </c>
      <c r="V1466" s="36" t="str">
        <f>""</f>
        <v/>
      </c>
      <c r="W1466" s="36">
        <f t="shared" si="135"/>
        <v>1</v>
      </c>
      <c r="X1466" t="str">
        <f t="shared" si="136"/>
        <v>Inactive</v>
      </c>
      <c r="Y1466" t="str">
        <f>IF(MAIN!$H$3="Selected Year",IF(A1466=MAIN!$B$3,"Yes","No"),IF(MAIN!$H$3="Included Years",IF(D1466="Yes","Yes","No"),IF(C1466="Yes","Yes","No")))</f>
        <v>No</v>
      </c>
      <c r="Z1466" t="str">
        <f>IF(MAIN!$F$3="Project to Date",IF(AND(A1466&gt;=SETTINGS!$B$4,A1466&lt;MAIN!$B$3),"Yes",IF(AND(A1466=MAIN!$B$3,E1466&lt;=MAIN!$L$3),"Yes","No")),IF(OR(MAIN!$F$3="Full Year",MAIN!$D$3="All"),"Yes",IF(MAIN!$F$3="Monthly",IF(E1466=MAIN!$L$3,"Yes","No"),IF(E1466&lt;=MAIN!$L$3,"Yes","No"))))</f>
        <v>Yes</v>
      </c>
      <c r="AA1466" t="str">
        <f t="shared" si="137"/>
        <v>No</v>
      </c>
    </row>
    <row r="1467" spans="1:27" x14ac:dyDescent="0.3">
      <c r="A1467">
        <f>INDEX(SETTINGS!$A$15:$A$24,$B1467)</f>
        <v>2031</v>
      </c>
      <c r="B1467">
        <v>7</v>
      </c>
      <c r="C1467" t="str">
        <f>IF(AND(A1467&gt;=SETTINGS!$B$4,A1467&lt;=SETTINGS!$B$5),"Yes","No")</f>
        <v>No</v>
      </c>
      <c r="D1467" t="str">
        <f>IFERROR(INDEX(SETTINGS!$C$15:$C$24,MATCH(A1467,SETTINGS!$A$15:$A$24,0)),"No")</f>
        <v>No</v>
      </c>
      <c r="E1467">
        <v>6</v>
      </c>
      <c r="F1467" t="s">
        <v>39</v>
      </c>
      <c r="G1467">
        <v>131</v>
      </c>
      <c r="H1467" t="s">
        <v>93</v>
      </c>
      <c r="I1467" t="s">
        <v>89</v>
      </c>
      <c r="J1467" t="s">
        <v>13</v>
      </c>
      <c r="K1467" t="s">
        <v>14</v>
      </c>
      <c r="L1467" s="36">
        <f ca="1">IF(C1467&lt;&gt;"Yes",0,IF(A1467=2025,N('2025'!D131),IF(A1467=2026,N('2026'!D131),IF(A1467=2027,N('2027'!D131),IF(A1467=2028,N('2028'!D131),IF(A1467=2029,N('2029'!D131),IF(A1467=2030,N('2030'!D131),IF(A1467=2031,N('2031'!D131),IF(A1467=2032,N('2032'!D131),IF(A1467=2033,N('2033'!D131),IF(A1467=2034,N('2034'!D131),IFERROR(N(INDIRECT("'"&amp;A1467&amp;"'!D"&amp;G1467)),0))))))))))))</f>
        <v>0</v>
      </c>
      <c r="M1467" s="36">
        <f>IFERROR(IF(NOT(ISBLANK(KPI_TARGETS!$M$7)),KPI_TARGETS!$M$7,IF(NOT(ISBLANK(KPI_TARGETS!$F$7)),KPI_TARGETS!$F$7,"")),"")</f>
        <v>8000</v>
      </c>
      <c r="N1467" s="36" t="str">
        <f>IFERROR(KPI_TARGETS!$E$7,"Higher is better")</f>
        <v>Higher is better</v>
      </c>
      <c r="O1467" s="37">
        <f t="shared" ca="1" si="132"/>
        <v>0</v>
      </c>
      <c r="P1467" t="str">
        <f t="shared" ca="1" si="133"/>
        <v>Red</v>
      </c>
      <c r="Q1467" s="36">
        <f t="shared" ca="1" si="134"/>
        <v>-8000</v>
      </c>
      <c r="R1467" s="36" t="str">
        <f>""</f>
        <v/>
      </c>
      <c r="S1467" s="36" t="str">
        <f>""</f>
        <v/>
      </c>
      <c r="T1467" s="36" t="str">
        <f>""</f>
        <v/>
      </c>
      <c r="U1467" s="36" t="str">
        <f>""</f>
        <v/>
      </c>
      <c r="V1467" s="36" t="str">
        <f>""</f>
        <v/>
      </c>
      <c r="W1467" s="36">
        <f t="shared" si="135"/>
        <v>1</v>
      </c>
      <c r="X1467" t="str">
        <f t="shared" si="136"/>
        <v>Inactive</v>
      </c>
      <c r="Y1467" t="str">
        <f>IF(MAIN!$H$3="Selected Year",IF(A1467=MAIN!$B$3,"Yes","No"),IF(MAIN!$H$3="Included Years",IF(D1467="Yes","Yes","No"),IF(C1467="Yes","Yes","No")))</f>
        <v>No</v>
      </c>
      <c r="Z1467" t="str">
        <f>IF(MAIN!$F$3="Project to Date",IF(AND(A1467&gt;=SETTINGS!$B$4,A1467&lt;MAIN!$B$3),"Yes",IF(AND(A1467=MAIN!$B$3,E1467&lt;=MAIN!$L$3),"Yes","No")),IF(OR(MAIN!$F$3="Full Year",MAIN!$D$3="All"),"Yes",IF(MAIN!$F$3="Monthly",IF(E1467=MAIN!$L$3,"Yes","No"),IF(E1467&lt;=MAIN!$L$3,"Yes","No"))))</f>
        <v>Yes</v>
      </c>
      <c r="AA1467" t="str">
        <f t="shared" si="137"/>
        <v>No</v>
      </c>
    </row>
    <row r="1468" spans="1:27" x14ac:dyDescent="0.3">
      <c r="A1468">
        <f>INDEX(SETTINGS!$A$15:$A$24,$B1468)</f>
        <v>2031</v>
      </c>
      <c r="B1468">
        <v>7</v>
      </c>
      <c r="C1468" t="str">
        <f>IF(AND(A1468&gt;=SETTINGS!$B$4,A1468&lt;=SETTINGS!$B$5),"Yes","No")</f>
        <v>No</v>
      </c>
      <c r="D1468" t="str">
        <f>IFERROR(INDEX(SETTINGS!$C$15:$C$24,MATCH(A1468,SETTINGS!$A$15:$A$24,0)),"No")</f>
        <v>No</v>
      </c>
      <c r="E1468">
        <v>6</v>
      </c>
      <c r="F1468" t="s">
        <v>39</v>
      </c>
      <c r="G1468">
        <v>133</v>
      </c>
      <c r="H1468" t="s">
        <v>95</v>
      </c>
      <c r="I1468" t="s">
        <v>15</v>
      </c>
      <c r="J1468" t="s">
        <v>16</v>
      </c>
      <c r="K1468" t="s">
        <v>3</v>
      </c>
      <c r="L1468" s="36">
        <f ca="1">IF(C1468&lt;&gt;"Yes",0,IF(A1468=2025,N('2025'!D133),IF(A1468=2026,N('2026'!D133),IF(A1468=2027,N('2027'!D133),IF(A1468=2028,N('2028'!D133),IF(A1468=2029,N('2029'!D133),IF(A1468=2030,N('2030'!D133),IF(A1468=2031,N('2031'!D133),IF(A1468=2032,N('2032'!D133),IF(A1468=2033,N('2033'!D133),IF(A1468=2034,N('2034'!D133),IFERROR(N(INDIRECT("'"&amp;A1468&amp;"'!D"&amp;G1468)),0))))))))))))</f>
        <v>0</v>
      </c>
      <c r="M1468" s="36">
        <f>IFERROR(IF(NOT(ISBLANK(KPI_TARGETS!$M$8)),KPI_TARGETS!$M$8,IF(NOT(ISBLANK(KPI_TARGETS!$F$8)),KPI_TARGETS!$F$8,"")),"")</f>
        <v>0</v>
      </c>
      <c r="N1468" s="36" t="str">
        <f>IFERROR(KPI_TARGETS!$E$8,"Higher is better")</f>
        <v>Lower is better</v>
      </c>
      <c r="O1468" s="37">
        <f t="shared" ca="1" si="132"/>
        <v>1</v>
      </c>
      <c r="P1468" t="str">
        <f t="shared" ca="1" si="133"/>
        <v>Green</v>
      </c>
      <c r="Q1468" s="36">
        <f t="shared" ca="1" si="134"/>
        <v>0</v>
      </c>
      <c r="R1468" s="36" t="str">
        <f>""</f>
        <v/>
      </c>
      <c r="S1468" s="36" t="str">
        <f>""</f>
        <v/>
      </c>
      <c r="T1468" s="36" t="str">
        <f>""</f>
        <v/>
      </c>
      <c r="U1468" s="36" t="str">
        <f>""</f>
        <v/>
      </c>
      <c r="V1468" s="36" t="str">
        <f>""</f>
        <v/>
      </c>
      <c r="W1468" s="36">
        <f t="shared" si="135"/>
        <v>1</v>
      </c>
      <c r="X1468" t="str">
        <f t="shared" si="136"/>
        <v>Inactive</v>
      </c>
      <c r="Y1468" t="str">
        <f>IF(MAIN!$H$3="Selected Year",IF(A1468=MAIN!$B$3,"Yes","No"),IF(MAIN!$H$3="Included Years",IF(D1468="Yes","Yes","No"),IF(C1468="Yes","Yes","No")))</f>
        <v>No</v>
      </c>
      <c r="Z1468" t="str">
        <f>IF(MAIN!$F$3="Project to Date",IF(AND(A1468&gt;=SETTINGS!$B$4,A1468&lt;MAIN!$B$3),"Yes",IF(AND(A1468=MAIN!$B$3,E1468&lt;=MAIN!$L$3),"Yes","No")),IF(OR(MAIN!$F$3="Full Year",MAIN!$D$3="All"),"Yes",IF(MAIN!$F$3="Monthly",IF(E1468=MAIN!$L$3,"Yes","No"),IF(E1468&lt;=MAIN!$L$3,"Yes","No"))))</f>
        <v>Yes</v>
      </c>
      <c r="AA1468" t="str">
        <f t="shared" si="137"/>
        <v>No</v>
      </c>
    </row>
    <row r="1469" spans="1:27" x14ac:dyDescent="0.3">
      <c r="A1469">
        <f>INDEX(SETTINGS!$A$15:$A$24,$B1469)</f>
        <v>2031</v>
      </c>
      <c r="B1469">
        <v>7</v>
      </c>
      <c r="C1469" t="str">
        <f>IF(AND(A1469&gt;=SETTINGS!$B$4,A1469&lt;=SETTINGS!$B$5),"Yes","No")</f>
        <v>No</v>
      </c>
      <c r="D1469" t="str">
        <f>IFERROR(INDEX(SETTINGS!$C$15:$C$24,MATCH(A1469,SETTINGS!$A$15:$A$24,0)),"No")</f>
        <v>No</v>
      </c>
      <c r="E1469">
        <v>6</v>
      </c>
      <c r="F1469" t="s">
        <v>39</v>
      </c>
      <c r="G1469">
        <v>134</v>
      </c>
      <c r="H1469" t="s">
        <v>97</v>
      </c>
      <c r="I1469" t="s">
        <v>15</v>
      </c>
      <c r="J1469" t="s">
        <v>17</v>
      </c>
      <c r="K1469" t="s">
        <v>3</v>
      </c>
      <c r="L1469" s="36">
        <f ca="1">IF(C1469&lt;&gt;"Yes",0,IF(A1469=2025,N('2025'!D134),IF(A1469=2026,N('2026'!D134),IF(A1469=2027,N('2027'!D134),IF(A1469=2028,N('2028'!D134),IF(A1469=2029,N('2029'!D134),IF(A1469=2030,N('2030'!D134),IF(A1469=2031,N('2031'!D134),IF(A1469=2032,N('2032'!D134),IF(A1469=2033,N('2033'!D134),IF(A1469=2034,N('2034'!D134),IFERROR(N(INDIRECT("'"&amp;A1469&amp;"'!D"&amp;G1469)),0))))))))))))</f>
        <v>0</v>
      </c>
      <c r="M1469" s="36">
        <f>IFERROR(IF(NOT(ISBLANK(KPI_TARGETS!$M$9)),KPI_TARGETS!$M$9,IF(NOT(ISBLANK(KPI_TARGETS!$F$9)),KPI_TARGETS!$F$9,"")),"")</f>
        <v>0</v>
      </c>
      <c r="N1469" s="36" t="str">
        <f>IFERROR(KPI_TARGETS!$E$9,"Higher is better")</f>
        <v>Higher is better</v>
      </c>
      <c r="O1469" s="37" t="str">
        <f t="shared" ca="1" si="132"/>
        <v/>
      </c>
      <c r="P1469" t="str">
        <f t="shared" ca="1" si="133"/>
        <v>Green</v>
      </c>
      <c r="Q1469" s="36">
        <f t="shared" ca="1" si="134"/>
        <v>0</v>
      </c>
      <c r="R1469" s="36" t="str">
        <f>""</f>
        <v/>
      </c>
      <c r="S1469" s="36" t="str">
        <f>""</f>
        <v/>
      </c>
      <c r="T1469" s="36" t="str">
        <f>""</f>
        <v/>
      </c>
      <c r="U1469" s="36" t="str">
        <f>""</f>
        <v/>
      </c>
      <c r="V1469" s="36" t="str">
        <f>""</f>
        <v/>
      </c>
      <c r="W1469" s="36">
        <f t="shared" si="135"/>
        <v>1</v>
      </c>
      <c r="X1469" t="str">
        <f t="shared" si="136"/>
        <v>Inactive</v>
      </c>
      <c r="Y1469" t="str">
        <f>IF(MAIN!$H$3="Selected Year",IF(A1469=MAIN!$B$3,"Yes","No"),IF(MAIN!$H$3="Included Years",IF(D1469="Yes","Yes","No"),IF(C1469="Yes","Yes","No")))</f>
        <v>No</v>
      </c>
      <c r="Z1469" t="str">
        <f>IF(MAIN!$F$3="Project to Date",IF(AND(A1469&gt;=SETTINGS!$B$4,A1469&lt;MAIN!$B$3),"Yes",IF(AND(A1469=MAIN!$B$3,E1469&lt;=MAIN!$L$3),"Yes","No")),IF(OR(MAIN!$F$3="Full Year",MAIN!$D$3="All"),"Yes",IF(MAIN!$F$3="Monthly",IF(E1469=MAIN!$L$3,"Yes","No"),IF(E1469&lt;=MAIN!$L$3,"Yes","No"))))</f>
        <v>Yes</v>
      </c>
      <c r="AA1469" t="str">
        <f t="shared" si="137"/>
        <v>No</v>
      </c>
    </row>
    <row r="1470" spans="1:27" x14ac:dyDescent="0.3">
      <c r="A1470">
        <f>INDEX(SETTINGS!$A$15:$A$24,$B1470)</f>
        <v>2031</v>
      </c>
      <c r="B1470">
        <v>7</v>
      </c>
      <c r="C1470" t="str">
        <f>IF(AND(A1470&gt;=SETTINGS!$B$4,A1470&lt;=SETTINGS!$B$5),"Yes","No")</f>
        <v>No</v>
      </c>
      <c r="D1470" t="str">
        <f>IFERROR(INDEX(SETTINGS!$C$15:$C$24,MATCH(A1470,SETTINGS!$A$15:$A$24,0)),"No")</f>
        <v>No</v>
      </c>
      <c r="E1470">
        <v>6</v>
      </c>
      <c r="F1470" t="s">
        <v>39</v>
      </c>
      <c r="G1470">
        <v>135</v>
      </c>
      <c r="H1470" t="s">
        <v>99</v>
      </c>
      <c r="I1470" t="s">
        <v>15</v>
      </c>
      <c r="J1470" t="s">
        <v>18</v>
      </c>
      <c r="K1470" t="s">
        <v>3</v>
      </c>
      <c r="L1470" s="36">
        <f ca="1">IF(C1470&lt;&gt;"Yes",0,IF(A1470=2025,N('2025'!D135),IF(A1470=2026,N('2026'!D135),IF(A1470=2027,N('2027'!D135),IF(A1470=2028,N('2028'!D135),IF(A1470=2029,N('2029'!D135),IF(A1470=2030,N('2030'!D135),IF(A1470=2031,N('2031'!D135),IF(A1470=2032,N('2032'!D135),IF(A1470=2033,N('2033'!D135),IF(A1470=2034,N('2034'!D135),IFERROR(N(INDIRECT("'"&amp;A1470&amp;"'!D"&amp;G1470)),0))))))))))))</f>
        <v>0</v>
      </c>
      <c r="M1470" s="36">
        <f>IFERROR(IF(NOT(ISBLANK(KPI_TARGETS!$M$10)),KPI_TARGETS!$M$10,IF(NOT(ISBLANK(KPI_TARGETS!$F$10)),KPI_TARGETS!$F$10,"")),"")</f>
        <v>0</v>
      </c>
      <c r="N1470" s="36" t="str">
        <f>IFERROR(KPI_TARGETS!$E$10,"Higher is better")</f>
        <v>Lower is better</v>
      </c>
      <c r="O1470" s="37">
        <f t="shared" ca="1" si="132"/>
        <v>1</v>
      </c>
      <c r="P1470" t="str">
        <f t="shared" ca="1" si="133"/>
        <v>Green</v>
      </c>
      <c r="Q1470" s="36">
        <f t="shared" ca="1" si="134"/>
        <v>0</v>
      </c>
      <c r="R1470" s="36" t="str">
        <f>""</f>
        <v/>
      </c>
      <c r="S1470" s="36" t="str">
        <f>""</f>
        <v/>
      </c>
      <c r="T1470" s="36" t="str">
        <f>""</f>
        <v/>
      </c>
      <c r="U1470" s="36" t="str">
        <f>""</f>
        <v/>
      </c>
      <c r="V1470" s="36" t="str">
        <f>""</f>
        <v/>
      </c>
      <c r="W1470" s="36">
        <f t="shared" si="135"/>
        <v>1</v>
      </c>
      <c r="X1470" t="str">
        <f t="shared" si="136"/>
        <v>Inactive</v>
      </c>
      <c r="Y1470" t="str">
        <f>IF(MAIN!$H$3="Selected Year",IF(A1470=MAIN!$B$3,"Yes","No"),IF(MAIN!$H$3="Included Years",IF(D1470="Yes","Yes","No"),IF(C1470="Yes","Yes","No")))</f>
        <v>No</v>
      </c>
      <c r="Z1470" t="str">
        <f>IF(MAIN!$F$3="Project to Date",IF(AND(A1470&gt;=SETTINGS!$B$4,A1470&lt;MAIN!$B$3),"Yes",IF(AND(A1470=MAIN!$B$3,E1470&lt;=MAIN!$L$3),"Yes","No")),IF(OR(MAIN!$F$3="Full Year",MAIN!$D$3="All"),"Yes",IF(MAIN!$F$3="Monthly",IF(E1470=MAIN!$L$3,"Yes","No"),IF(E1470&lt;=MAIN!$L$3,"Yes","No"))))</f>
        <v>Yes</v>
      </c>
      <c r="AA1470" t="str">
        <f t="shared" si="137"/>
        <v>No</v>
      </c>
    </row>
    <row r="1471" spans="1:27" x14ac:dyDescent="0.3">
      <c r="A1471">
        <f>INDEX(SETTINGS!$A$15:$A$24,$B1471)</f>
        <v>2031</v>
      </c>
      <c r="B1471">
        <v>7</v>
      </c>
      <c r="C1471" t="str">
        <f>IF(AND(A1471&gt;=SETTINGS!$B$4,A1471&lt;=SETTINGS!$B$5),"Yes","No")</f>
        <v>No</v>
      </c>
      <c r="D1471" t="str">
        <f>IFERROR(INDEX(SETTINGS!$C$15:$C$24,MATCH(A1471,SETTINGS!$A$15:$A$24,0)),"No")</f>
        <v>No</v>
      </c>
      <c r="E1471">
        <v>6</v>
      </c>
      <c r="F1471" t="s">
        <v>39</v>
      </c>
      <c r="G1471">
        <v>136</v>
      </c>
      <c r="H1471" t="s">
        <v>100</v>
      </c>
      <c r="I1471" t="s">
        <v>15</v>
      </c>
      <c r="J1471" t="s">
        <v>19</v>
      </c>
      <c r="K1471" t="s">
        <v>3</v>
      </c>
      <c r="L1471" s="36">
        <f ca="1">IF(C1471&lt;&gt;"Yes",0,IF(A1471=2025,N('2025'!D136),IF(A1471=2026,N('2026'!D136),IF(A1471=2027,N('2027'!D136),IF(A1471=2028,N('2028'!D136),IF(A1471=2029,N('2029'!D136),IF(A1471=2030,N('2030'!D136),IF(A1471=2031,N('2031'!D136),IF(A1471=2032,N('2032'!D136),IF(A1471=2033,N('2033'!D136),IF(A1471=2034,N('2034'!D136),IFERROR(N(INDIRECT("'"&amp;A1471&amp;"'!D"&amp;G1471)),0))))))))))))</f>
        <v>0</v>
      </c>
      <c r="M1471" s="36">
        <f>IFERROR(IF(NOT(ISBLANK(KPI_TARGETS!$M$11)),KPI_TARGETS!$M$11,IF(NOT(ISBLANK(KPI_TARGETS!$F$11)),KPI_TARGETS!$F$11,"")),"")</f>
        <v>0</v>
      </c>
      <c r="N1471" s="36" t="str">
        <f>IFERROR(KPI_TARGETS!$E$11,"Higher is better")</f>
        <v>Lower is better</v>
      </c>
      <c r="O1471" s="37">
        <f t="shared" ca="1" si="132"/>
        <v>1</v>
      </c>
      <c r="P1471" t="str">
        <f t="shared" ca="1" si="133"/>
        <v>Green</v>
      </c>
      <c r="Q1471" s="36">
        <f t="shared" ca="1" si="134"/>
        <v>0</v>
      </c>
      <c r="R1471" s="36" t="str">
        <f>""</f>
        <v/>
      </c>
      <c r="S1471" s="36" t="str">
        <f>""</f>
        <v/>
      </c>
      <c r="T1471" s="36" t="str">
        <f>""</f>
        <v/>
      </c>
      <c r="U1471" s="36" t="str">
        <f>""</f>
        <v/>
      </c>
      <c r="V1471" s="36" t="str">
        <f>""</f>
        <v/>
      </c>
      <c r="W1471" s="36">
        <f t="shared" si="135"/>
        <v>1</v>
      </c>
      <c r="X1471" t="str">
        <f t="shared" si="136"/>
        <v>Inactive</v>
      </c>
      <c r="Y1471" t="str">
        <f>IF(MAIN!$H$3="Selected Year",IF(A1471=MAIN!$B$3,"Yes","No"),IF(MAIN!$H$3="Included Years",IF(D1471="Yes","Yes","No"),IF(C1471="Yes","Yes","No")))</f>
        <v>No</v>
      </c>
      <c r="Z1471" t="str">
        <f>IF(MAIN!$F$3="Project to Date",IF(AND(A1471&gt;=SETTINGS!$B$4,A1471&lt;MAIN!$B$3),"Yes",IF(AND(A1471=MAIN!$B$3,E1471&lt;=MAIN!$L$3),"Yes","No")),IF(OR(MAIN!$F$3="Full Year",MAIN!$D$3="All"),"Yes",IF(MAIN!$F$3="Monthly",IF(E1471=MAIN!$L$3,"Yes","No"),IF(E1471&lt;=MAIN!$L$3,"Yes","No"))))</f>
        <v>Yes</v>
      </c>
      <c r="AA1471" t="str">
        <f t="shared" si="137"/>
        <v>No</v>
      </c>
    </row>
    <row r="1472" spans="1:27" x14ac:dyDescent="0.3">
      <c r="A1472">
        <f>INDEX(SETTINGS!$A$15:$A$24,$B1472)</f>
        <v>2031</v>
      </c>
      <c r="B1472">
        <v>7</v>
      </c>
      <c r="C1472" t="str">
        <f>IF(AND(A1472&gt;=SETTINGS!$B$4,A1472&lt;=SETTINGS!$B$5),"Yes","No")</f>
        <v>No</v>
      </c>
      <c r="D1472" t="str">
        <f>IFERROR(INDEX(SETTINGS!$C$15:$C$24,MATCH(A1472,SETTINGS!$A$15:$A$24,0)),"No")</f>
        <v>No</v>
      </c>
      <c r="E1472">
        <v>6</v>
      </c>
      <c r="F1472" t="s">
        <v>39</v>
      </c>
      <c r="G1472">
        <v>137</v>
      </c>
      <c r="H1472" t="s">
        <v>101</v>
      </c>
      <c r="I1472" t="s">
        <v>15</v>
      </c>
      <c r="J1472" t="s">
        <v>20</v>
      </c>
      <c r="K1472" t="s">
        <v>3</v>
      </c>
      <c r="L1472" s="36">
        <f ca="1">IF(C1472&lt;&gt;"Yes",0,IF(A1472=2025,N('2025'!D137),IF(A1472=2026,N('2026'!D137),IF(A1472=2027,N('2027'!D137),IF(A1472=2028,N('2028'!D137),IF(A1472=2029,N('2029'!D137),IF(A1472=2030,N('2030'!D137),IF(A1472=2031,N('2031'!D137),IF(A1472=2032,N('2032'!D137),IF(A1472=2033,N('2033'!D137),IF(A1472=2034,N('2034'!D137),IFERROR(N(INDIRECT("'"&amp;A1472&amp;"'!D"&amp;G1472)),0))))))))))))</f>
        <v>0</v>
      </c>
      <c r="M1472" s="36">
        <f>IFERROR(IF(NOT(ISBLANK(KPI_TARGETS!$M$12)),KPI_TARGETS!$M$12,IF(NOT(ISBLANK(KPI_TARGETS!$F$12)),KPI_TARGETS!$F$12,"")),"")</f>
        <v>0</v>
      </c>
      <c r="N1472" s="36" t="str">
        <f>IFERROR(KPI_TARGETS!$E$12,"Higher is better")</f>
        <v>Lower is better</v>
      </c>
      <c r="O1472" s="37">
        <f t="shared" ca="1" si="132"/>
        <v>1</v>
      </c>
      <c r="P1472" t="str">
        <f t="shared" ca="1" si="133"/>
        <v>Green</v>
      </c>
      <c r="Q1472" s="36">
        <f t="shared" ca="1" si="134"/>
        <v>0</v>
      </c>
      <c r="R1472" s="36" t="str">
        <f>""</f>
        <v/>
      </c>
      <c r="S1472" s="36" t="str">
        <f>""</f>
        <v/>
      </c>
      <c r="T1472" s="36" t="str">
        <f>""</f>
        <v/>
      </c>
      <c r="U1472" s="36" t="str">
        <f>""</f>
        <v/>
      </c>
      <c r="V1472" s="36" t="str">
        <f>""</f>
        <v/>
      </c>
      <c r="W1472" s="36">
        <f t="shared" si="135"/>
        <v>1</v>
      </c>
      <c r="X1472" t="str">
        <f t="shared" si="136"/>
        <v>Inactive</v>
      </c>
      <c r="Y1472" t="str">
        <f>IF(MAIN!$H$3="Selected Year",IF(A1472=MAIN!$B$3,"Yes","No"),IF(MAIN!$H$3="Included Years",IF(D1472="Yes","Yes","No"),IF(C1472="Yes","Yes","No")))</f>
        <v>No</v>
      </c>
      <c r="Z1472" t="str">
        <f>IF(MAIN!$F$3="Project to Date",IF(AND(A1472&gt;=SETTINGS!$B$4,A1472&lt;MAIN!$B$3),"Yes",IF(AND(A1472=MAIN!$B$3,E1472&lt;=MAIN!$L$3),"Yes","No")),IF(OR(MAIN!$F$3="Full Year",MAIN!$D$3="All"),"Yes",IF(MAIN!$F$3="Monthly",IF(E1472=MAIN!$L$3,"Yes","No"),IF(E1472&lt;=MAIN!$L$3,"Yes","No"))))</f>
        <v>Yes</v>
      </c>
      <c r="AA1472" t="str">
        <f t="shared" si="137"/>
        <v>No</v>
      </c>
    </row>
    <row r="1473" spans="1:27" x14ac:dyDescent="0.3">
      <c r="A1473">
        <f>INDEX(SETTINGS!$A$15:$A$24,$B1473)</f>
        <v>2031</v>
      </c>
      <c r="B1473">
        <v>7</v>
      </c>
      <c r="C1473" t="str">
        <f>IF(AND(A1473&gt;=SETTINGS!$B$4,A1473&lt;=SETTINGS!$B$5),"Yes","No")</f>
        <v>No</v>
      </c>
      <c r="D1473" t="str">
        <f>IFERROR(INDEX(SETTINGS!$C$15:$C$24,MATCH(A1473,SETTINGS!$A$15:$A$24,0)),"No")</f>
        <v>No</v>
      </c>
      <c r="E1473">
        <v>6</v>
      </c>
      <c r="F1473" t="s">
        <v>39</v>
      </c>
      <c r="G1473">
        <v>138</v>
      </c>
      <c r="H1473" t="s">
        <v>102</v>
      </c>
      <c r="I1473" t="s">
        <v>15</v>
      </c>
      <c r="J1473" t="s">
        <v>21</v>
      </c>
      <c r="K1473" t="s">
        <v>3</v>
      </c>
      <c r="L1473" s="36">
        <f ca="1">IF(C1473&lt;&gt;"Yes",0,IF(A1473=2025,N('2025'!D138),IF(A1473=2026,N('2026'!D138),IF(A1473=2027,N('2027'!D138),IF(A1473=2028,N('2028'!D138),IF(A1473=2029,N('2029'!D138),IF(A1473=2030,N('2030'!D138),IF(A1473=2031,N('2031'!D138),IF(A1473=2032,N('2032'!D138),IF(A1473=2033,N('2033'!D138),IF(A1473=2034,N('2034'!D138),IFERROR(N(INDIRECT("'"&amp;A1473&amp;"'!D"&amp;G1473)),0))))))))))))</f>
        <v>0</v>
      </c>
      <c r="M1473" s="36">
        <f>IFERROR(IF(NOT(ISBLANK(KPI_TARGETS!$M$13)),KPI_TARGETS!$M$13,IF(NOT(ISBLANK(KPI_TARGETS!$F$13)),KPI_TARGETS!$F$13,"")),"")</f>
        <v>0</v>
      </c>
      <c r="N1473" s="36" t="str">
        <f>IFERROR(KPI_TARGETS!$E$13,"Higher is better")</f>
        <v>Lower is better</v>
      </c>
      <c r="O1473" s="37">
        <f t="shared" ca="1" si="132"/>
        <v>1</v>
      </c>
      <c r="P1473" t="str">
        <f t="shared" ca="1" si="133"/>
        <v>Green</v>
      </c>
      <c r="Q1473" s="36">
        <f t="shared" ca="1" si="134"/>
        <v>0</v>
      </c>
      <c r="R1473" s="36" t="str">
        <f>""</f>
        <v/>
      </c>
      <c r="S1473" s="36" t="str">
        <f>""</f>
        <v/>
      </c>
      <c r="T1473" s="36" t="str">
        <f>""</f>
        <v/>
      </c>
      <c r="U1473" s="36" t="str">
        <f>""</f>
        <v/>
      </c>
      <c r="V1473" s="36" t="str">
        <f>""</f>
        <v/>
      </c>
      <c r="W1473" s="36">
        <f t="shared" si="135"/>
        <v>1</v>
      </c>
      <c r="X1473" t="str">
        <f t="shared" si="136"/>
        <v>Inactive</v>
      </c>
      <c r="Y1473" t="str">
        <f>IF(MAIN!$H$3="Selected Year",IF(A1473=MAIN!$B$3,"Yes","No"),IF(MAIN!$H$3="Included Years",IF(D1473="Yes","Yes","No"),IF(C1473="Yes","Yes","No")))</f>
        <v>No</v>
      </c>
      <c r="Z1473" t="str">
        <f>IF(MAIN!$F$3="Project to Date",IF(AND(A1473&gt;=SETTINGS!$B$4,A1473&lt;MAIN!$B$3),"Yes",IF(AND(A1473=MAIN!$B$3,E1473&lt;=MAIN!$L$3),"Yes","No")),IF(OR(MAIN!$F$3="Full Year",MAIN!$D$3="All"),"Yes",IF(MAIN!$F$3="Monthly",IF(E1473=MAIN!$L$3,"Yes","No"),IF(E1473&lt;=MAIN!$L$3,"Yes","No"))))</f>
        <v>Yes</v>
      </c>
      <c r="AA1473" t="str">
        <f t="shared" si="137"/>
        <v>No</v>
      </c>
    </row>
    <row r="1474" spans="1:27" x14ac:dyDescent="0.3">
      <c r="A1474">
        <f>INDEX(SETTINGS!$A$15:$A$24,$B1474)</f>
        <v>2031</v>
      </c>
      <c r="B1474">
        <v>7</v>
      </c>
      <c r="C1474" t="str">
        <f>IF(AND(A1474&gt;=SETTINGS!$B$4,A1474&lt;=SETTINGS!$B$5),"Yes","No")</f>
        <v>No</v>
      </c>
      <c r="D1474" t="str">
        <f>IFERROR(INDEX(SETTINGS!$C$15:$C$24,MATCH(A1474,SETTINGS!$A$15:$A$24,0)),"No")</f>
        <v>No</v>
      </c>
      <c r="E1474">
        <v>6</v>
      </c>
      <c r="F1474" t="s">
        <v>39</v>
      </c>
      <c r="G1474">
        <v>140</v>
      </c>
      <c r="H1474" t="s">
        <v>103</v>
      </c>
      <c r="I1474" t="s">
        <v>22</v>
      </c>
      <c r="J1474" t="s">
        <v>23</v>
      </c>
      <c r="K1474" t="s">
        <v>3</v>
      </c>
      <c r="L1474" s="36">
        <f ca="1">IF(C1474&lt;&gt;"Yes",0,IF(A1474=2025,N('2025'!D140),IF(A1474=2026,N('2026'!D140),IF(A1474=2027,N('2027'!D140),IF(A1474=2028,N('2028'!D140),IF(A1474=2029,N('2029'!D140),IF(A1474=2030,N('2030'!D140),IF(A1474=2031,N('2031'!D140),IF(A1474=2032,N('2032'!D140),IF(A1474=2033,N('2033'!D140),IF(A1474=2034,N('2034'!D140),IFERROR(N(INDIRECT("'"&amp;A1474&amp;"'!D"&amp;G1474)),0))))))))))))</f>
        <v>0</v>
      </c>
      <c r="M1474" s="36">
        <f>IFERROR(IF(NOT(ISBLANK(KPI_TARGETS!$M$14)),KPI_TARGETS!$M$14,IF(NOT(ISBLANK(KPI_TARGETS!$F$14)),KPI_TARGETS!$F$14,"")),"")</f>
        <v>35</v>
      </c>
      <c r="N1474" s="36" t="str">
        <f>IFERROR(KPI_TARGETS!$E$14,"Higher is better")</f>
        <v>Higher is better</v>
      </c>
      <c r="O1474" s="37">
        <f t="shared" ref="O1474:O1537" ca="1" si="138">IF(M1474="","",IF(N1474="Higher is better",IFERROR(L1474/M1474,""),IF(L1474=0,1,IFERROR(M1474/L1474,""))))</f>
        <v>0</v>
      </c>
      <c r="P1474" t="str">
        <f t="shared" ref="P1474:P1537" ca="1" si="139">IF(M1474="","Target Needed",IF(N1474="Higher is better",IF(L1474&gt;=M1474,"Green",IF(L1474&gt;=0.8*M1474,"Amber","Red")),IF(M1474=0,IF(L1474=0,"Green","Red"),IF(L1474&lt;=M1474,"Green",IF(L1474&lt;=1.25*M1474,"Amber","Red")))))</f>
        <v>Red</v>
      </c>
      <c r="Q1474" s="36">
        <f t="shared" ref="Q1474:Q1537" ca="1" si="140">IF(M1474="","",IF(N1474="Higher is better",L1474-M1474,M1474-L1474))</f>
        <v>-35</v>
      </c>
      <c r="R1474" s="36" t="str">
        <f>""</f>
        <v/>
      </c>
      <c r="S1474" s="36" t="str">
        <f>""</f>
        <v/>
      </c>
      <c r="T1474" s="36" t="str">
        <f>""</f>
        <v/>
      </c>
      <c r="U1474" s="36" t="str">
        <f>""</f>
        <v/>
      </c>
      <c r="V1474" s="36" t="str">
        <f>""</f>
        <v/>
      </c>
      <c r="W1474" s="36">
        <f t="shared" ref="W1474:W1537" si="141">IF(LEN(M1474&amp;"")&gt;0,1,0)</f>
        <v>1</v>
      </c>
      <c r="X1474" t="str">
        <f t="shared" ref="X1474:X1537" si="142">IF(C1474&lt;&gt;"Yes","Inactive",IF(M1474="","Missing target","OK"))</f>
        <v>Inactive</v>
      </c>
      <c r="Y1474" t="str">
        <f>IF(MAIN!$H$3="Selected Year",IF(A1474=MAIN!$B$3,"Yes","No"),IF(MAIN!$H$3="Included Years",IF(D1474="Yes","Yes","No"),IF(C1474="Yes","Yes","No")))</f>
        <v>No</v>
      </c>
      <c r="Z1474" t="str">
        <f>IF(MAIN!$F$3="Project to Date",IF(AND(A1474&gt;=SETTINGS!$B$4,A1474&lt;MAIN!$B$3),"Yes",IF(AND(A1474=MAIN!$B$3,E1474&lt;=MAIN!$L$3),"Yes","No")),IF(OR(MAIN!$F$3="Full Year",MAIN!$D$3="All"),"Yes",IF(MAIN!$F$3="Monthly",IF(E1474=MAIN!$L$3,"Yes","No"),IF(E1474&lt;=MAIN!$L$3,"Yes","No"))))</f>
        <v>Yes</v>
      </c>
      <c r="AA1474" t="str">
        <f t="shared" ref="AA1474:AA1537" si="143">IF(AND(Y1474="Yes",Z1474="Yes"),"Yes","No")</f>
        <v>No</v>
      </c>
    </row>
    <row r="1475" spans="1:27" x14ac:dyDescent="0.3">
      <c r="A1475">
        <f>INDEX(SETTINGS!$A$15:$A$24,$B1475)</f>
        <v>2031</v>
      </c>
      <c r="B1475">
        <v>7</v>
      </c>
      <c r="C1475" t="str">
        <f>IF(AND(A1475&gt;=SETTINGS!$B$4,A1475&lt;=SETTINGS!$B$5),"Yes","No")</f>
        <v>No</v>
      </c>
      <c r="D1475" t="str">
        <f>IFERROR(INDEX(SETTINGS!$C$15:$C$24,MATCH(A1475,SETTINGS!$A$15:$A$24,0)),"No")</f>
        <v>No</v>
      </c>
      <c r="E1475">
        <v>6</v>
      </c>
      <c r="F1475" t="s">
        <v>39</v>
      </c>
      <c r="G1475">
        <v>141</v>
      </c>
      <c r="H1475" t="s">
        <v>104</v>
      </c>
      <c r="I1475" t="s">
        <v>22</v>
      </c>
      <c r="J1475" t="s">
        <v>24</v>
      </c>
      <c r="K1475" t="s">
        <v>3</v>
      </c>
      <c r="L1475" s="36">
        <f ca="1">IF(C1475&lt;&gt;"Yes",0,IF(A1475=2025,N('2025'!D141),IF(A1475=2026,N('2026'!D141),IF(A1475=2027,N('2027'!D141),IF(A1475=2028,N('2028'!D141),IF(A1475=2029,N('2029'!D141),IF(A1475=2030,N('2030'!D141),IF(A1475=2031,N('2031'!D141),IF(A1475=2032,N('2032'!D141),IF(A1475=2033,N('2033'!D141),IF(A1475=2034,N('2034'!D141),IFERROR(N(INDIRECT("'"&amp;A1475&amp;"'!D"&amp;G1475)),0))))))))))))</f>
        <v>0</v>
      </c>
      <c r="M1475" s="36">
        <f>IFERROR(IF(NOT(ISBLANK(KPI_TARGETS!$M$15)),KPI_TARGETS!$M$15,IF(NOT(ISBLANK(KPI_TARGETS!$F$15)),KPI_TARGETS!$F$15,"")),"")</f>
        <v>5</v>
      </c>
      <c r="N1475" s="36" t="str">
        <f>IFERROR(KPI_TARGETS!$E$15,"Higher is better")</f>
        <v>Higher is better</v>
      </c>
      <c r="O1475" s="37">
        <f t="shared" ca="1" si="138"/>
        <v>0</v>
      </c>
      <c r="P1475" t="str">
        <f t="shared" ca="1" si="139"/>
        <v>Red</v>
      </c>
      <c r="Q1475" s="36">
        <f t="shared" ca="1" si="140"/>
        <v>-5</v>
      </c>
      <c r="R1475" s="36" t="str">
        <f>""</f>
        <v/>
      </c>
      <c r="S1475" s="36" t="str">
        <f>""</f>
        <v/>
      </c>
      <c r="T1475" s="36" t="str">
        <f>""</f>
        <v/>
      </c>
      <c r="U1475" s="36" t="str">
        <f>""</f>
        <v/>
      </c>
      <c r="V1475" s="36" t="str">
        <f>""</f>
        <v/>
      </c>
      <c r="W1475" s="36">
        <f t="shared" si="141"/>
        <v>1</v>
      </c>
      <c r="X1475" t="str">
        <f t="shared" si="142"/>
        <v>Inactive</v>
      </c>
      <c r="Y1475" t="str">
        <f>IF(MAIN!$H$3="Selected Year",IF(A1475=MAIN!$B$3,"Yes","No"),IF(MAIN!$H$3="Included Years",IF(D1475="Yes","Yes","No"),IF(C1475="Yes","Yes","No")))</f>
        <v>No</v>
      </c>
      <c r="Z1475" t="str">
        <f>IF(MAIN!$F$3="Project to Date",IF(AND(A1475&gt;=SETTINGS!$B$4,A1475&lt;MAIN!$B$3),"Yes",IF(AND(A1475=MAIN!$B$3,E1475&lt;=MAIN!$L$3),"Yes","No")),IF(OR(MAIN!$F$3="Full Year",MAIN!$D$3="All"),"Yes",IF(MAIN!$F$3="Monthly",IF(E1475=MAIN!$L$3,"Yes","No"),IF(E1475&lt;=MAIN!$L$3,"Yes","No"))))</f>
        <v>Yes</v>
      </c>
      <c r="AA1475" t="str">
        <f t="shared" si="143"/>
        <v>No</v>
      </c>
    </row>
    <row r="1476" spans="1:27" x14ac:dyDescent="0.3">
      <c r="A1476">
        <f>INDEX(SETTINGS!$A$15:$A$24,$B1476)</f>
        <v>2031</v>
      </c>
      <c r="B1476">
        <v>7</v>
      </c>
      <c r="C1476" t="str">
        <f>IF(AND(A1476&gt;=SETTINGS!$B$4,A1476&lt;=SETTINGS!$B$5),"Yes","No")</f>
        <v>No</v>
      </c>
      <c r="D1476" t="str">
        <f>IFERROR(INDEX(SETTINGS!$C$15:$C$24,MATCH(A1476,SETTINGS!$A$15:$A$24,0)),"No")</f>
        <v>No</v>
      </c>
      <c r="E1476">
        <v>6</v>
      </c>
      <c r="F1476" t="s">
        <v>39</v>
      </c>
      <c r="G1476">
        <v>142</v>
      </c>
      <c r="H1476" t="s">
        <v>105</v>
      </c>
      <c r="I1476" t="s">
        <v>22</v>
      </c>
      <c r="J1476" t="s">
        <v>25</v>
      </c>
      <c r="K1476" t="s">
        <v>3</v>
      </c>
      <c r="L1476" s="36">
        <f ca="1">IF(C1476&lt;&gt;"Yes",0,IF(A1476=2025,N('2025'!D142),IF(A1476=2026,N('2026'!D142),IF(A1476=2027,N('2027'!D142),IF(A1476=2028,N('2028'!D142),IF(A1476=2029,N('2029'!D142),IF(A1476=2030,N('2030'!D142),IF(A1476=2031,N('2031'!D142),IF(A1476=2032,N('2032'!D142),IF(A1476=2033,N('2033'!D142),IF(A1476=2034,N('2034'!D142),IFERROR(N(INDIRECT("'"&amp;A1476&amp;"'!D"&amp;G1476)),0))))))))))))</f>
        <v>0</v>
      </c>
      <c r="M1476" s="36">
        <f>IFERROR(IF(NOT(ISBLANK(KPI_TARGETS!$M$16)),KPI_TARGETS!$M$16,IF(NOT(ISBLANK(KPI_TARGETS!$F$16)),KPI_TARGETS!$F$16,"")),"")</f>
        <v>4</v>
      </c>
      <c r="N1476" s="36" t="str">
        <f>IFERROR(KPI_TARGETS!$E$16,"Higher is better")</f>
        <v>Higher is better</v>
      </c>
      <c r="O1476" s="37">
        <f t="shared" ca="1" si="138"/>
        <v>0</v>
      </c>
      <c r="P1476" t="str">
        <f t="shared" ca="1" si="139"/>
        <v>Red</v>
      </c>
      <c r="Q1476" s="36">
        <f t="shared" ca="1" si="140"/>
        <v>-4</v>
      </c>
      <c r="R1476" s="36" t="str">
        <f>""</f>
        <v/>
      </c>
      <c r="S1476" s="36" t="str">
        <f>""</f>
        <v/>
      </c>
      <c r="T1476" s="36" t="str">
        <f>""</f>
        <v/>
      </c>
      <c r="U1476" s="36" t="str">
        <f>""</f>
        <v/>
      </c>
      <c r="V1476" s="36" t="str">
        <f>""</f>
        <v/>
      </c>
      <c r="W1476" s="36">
        <f t="shared" si="141"/>
        <v>1</v>
      </c>
      <c r="X1476" t="str">
        <f t="shared" si="142"/>
        <v>Inactive</v>
      </c>
      <c r="Y1476" t="str">
        <f>IF(MAIN!$H$3="Selected Year",IF(A1476=MAIN!$B$3,"Yes","No"),IF(MAIN!$H$3="Included Years",IF(D1476="Yes","Yes","No"),IF(C1476="Yes","Yes","No")))</f>
        <v>No</v>
      </c>
      <c r="Z1476" t="str">
        <f>IF(MAIN!$F$3="Project to Date",IF(AND(A1476&gt;=SETTINGS!$B$4,A1476&lt;MAIN!$B$3),"Yes",IF(AND(A1476=MAIN!$B$3,E1476&lt;=MAIN!$L$3),"Yes","No")),IF(OR(MAIN!$F$3="Full Year",MAIN!$D$3="All"),"Yes",IF(MAIN!$F$3="Monthly",IF(E1476=MAIN!$L$3,"Yes","No"),IF(E1476&lt;=MAIN!$L$3,"Yes","No"))))</f>
        <v>Yes</v>
      </c>
      <c r="AA1476" t="str">
        <f t="shared" si="143"/>
        <v>No</v>
      </c>
    </row>
    <row r="1477" spans="1:27" x14ac:dyDescent="0.3">
      <c r="A1477">
        <f>INDEX(SETTINGS!$A$15:$A$24,$B1477)</f>
        <v>2031</v>
      </c>
      <c r="B1477">
        <v>7</v>
      </c>
      <c r="C1477" t="str">
        <f>IF(AND(A1477&gt;=SETTINGS!$B$4,A1477&lt;=SETTINGS!$B$5),"Yes","No")</f>
        <v>No</v>
      </c>
      <c r="D1477" t="str">
        <f>IFERROR(INDEX(SETTINGS!$C$15:$C$24,MATCH(A1477,SETTINGS!$A$15:$A$24,0)),"No")</f>
        <v>No</v>
      </c>
      <c r="E1477">
        <v>6</v>
      </c>
      <c r="F1477" t="s">
        <v>39</v>
      </c>
      <c r="G1477">
        <v>143</v>
      </c>
      <c r="H1477" t="s">
        <v>106</v>
      </c>
      <c r="I1477" t="s">
        <v>22</v>
      </c>
      <c r="J1477" t="s">
        <v>26</v>
      </c>
      <c r="K1477" t="s">
        <v>3</v>
      </c>
      <c r="L1477" s="36">
        <f ca="1">IF(C1477&lt;&gt;"Yes",0,IF(A1477=2025,N('2025'!D143),IF(A1477=2026,N('2026'!D143),IF(A1477=2027,N('2027'!D143),IF(A1477=2028,N('2028'!D143),IF(A1477=2029,N('2029'!D143),IF(A1477=2030,N('2030'!D143),IF(A1477=2031,N('2031'!D143),IF(A1477=2032,N('2032'!D143),IF(A1477=2033,N('2033'!D143),IF(A1477=2034,N('2034'!D143),IFERROR(N(INDIRECT("'"&amp;A1477&amp;"'!D"&amp;G1477)),0))))))))))))</f>
        <v>0</v>
      </c>
      <c r="M1477" s="36">
        <f>IFERROR(IF(NOT(ISBLANK(KPI_TARGETS!$M$17)),KPI_TARGETS!$M$17,IF(NOT(ISBLANK(KPI_TARGETS!$F$17)),KPI_TARGETS!$F$17,"")),"")</f>
        <v>12</v>
      </c>
      <c r="N1477" s="36" t="str">
        <f>IFERROR(KPI_TARGETS!$E$17,"Higher is better")</f>
        <v>Higher is better</v>
      </c>
      <c r="O1477" s="37">
        <f t="shared" ca="1" si="138"/>
        <v>0</v>
      </c>
      <c r="P1477" t="str">
        <f t="shared" ca="1" si="139"/>
        <v>Red</v>
      </c>
      <c r="Q1477" s="36">
        <f t="shared" ca="1" si="140"/>
        <v>-12</v>
      </c>
      <c r="R1477" s="36" t="str">
        <f>""</f>
        <v/>
      </c>
      <c r="S1477" s="36" t="str">
        <f>""</f>
        <v/>
      </c>
      <c r="T1477" s="36" t="str">
        <f>""</f>
        <v/>
      </c>
      <c r="U1477" s="36" t="str">
        <f>""</f>
        <v/>
      </c>
      <c r="V1477" s="36" t="str">
        <f>""</f>
        <v/>
      </c>
      <c r="W1477" s="36">
        <f t="shared" si="141"/>
        <v>1</v>
      </c>
      <c r="X1477" t="str">
        <f t="shared" si="142"/>
        <v>Inactive</v>
      </c>
      <c r="Y1477" t="str">
        <f>IF(MAIN!$H$3="Selected Year",IF(A1477=MAIN!$B$3,"Yes","No"),IF(MAIN!$H$3="Included Years",IF(D1477="Yes","Yes","No"),IF(C1477="Yes","Yes","No")))</f>
        <v>No</v>
      </c>
      <c r="Z1477" t="str">
        <f>IF(MAIN!$F$3="Project to Date",IF(AND(A1477&gt;=SETTINGS!$B$4,A1477&lt;MAIN!$B$3),"Yes",IF(AND(A1477=MAIN!$B$3,E1477&lt;=MAIN!$L$3),"Yes","No")),IF(OR(MAIN!$F$3="Full Year",MAIN!$D$3="All"),"Yes",IF(MAIN!$F$3="Monthly",IF(E1477=MAIN!$L$3,"Yes","No"),IF(E1477&lt;=MAIN!$L$3,"Yes","No"))))</f>
        <v>Yes</v>
      </c>
      <c r="AA1477" t="str">
        <f t="shared" si="143"/>
        <v>No</v>
      </c>
    </row>
    <row r="1478" spans="1:27" x14ac:dyDescent="0.3">
      <c r="A1478">
        <f>INDEX(SETTINGS!$A$15:$A$24,$B1478)</f>
        <v>2031</v>
      </c>
      <c r="B1478">
        <v>7</v>
      </c>
      <c r="C1478" t="str">
        <f>IF(AND(A1478&gt;=SETTINGS!$B$4,A1478&lt;=SETTINGS!$B$5),"Yes","No")</f>
        <v>No</v>
      </c>
      <c r="D1478" t="str">
        <f>IFERROR(INDEX(SETTINGS!$C$15:$C$24,MATCH(A1478,SETTINGS!$A$15:$A$24,0)),"No")</f>
        <v>No</v>
      </c>
      <c r="E1478">
        <v>6</v>
      </c>
      <c r="F1478" t="s">
        <v>39</v>
      </c>
      <c r="G1478">
        <v>144</v>
      </c>
      <c r="H1478" t="s">
        <v>107</v>
      </c>
      <c r="I1478" t="s">
        <v>22</v>
      </c>
      <c r="J1478" t="s">
        <v>27</v>
      </c>
      <c r="K1478" t="s">
        <v>3</v>
      </c>
      <c r="L1478" s="36">
        <f ca="1">IF(C1478&lt;&gt;"Yes",0,IF(A1478=2025,N('2025'!D144),IF(A1478=2026,N('2026'!D144),IF(A1478=2027,N('2027'!D144),IF(A1478=2028,N('2028'!D144),IF(A1478=2029,N('2029'!D144),IF(A1478=2030,N('2030'!D144),IF(A1478=2031,N('2031'!D144),IF(A1478=2032,N('2032'!D144),IF(A1478=2033,N('2033'!D144),IF(A1478=2034,N('2034'!D144),IFERROR(N(INDIRECT("'"&amp;A1478&amp;"'!D"&amp;G1478)),0))))))))))))</f>
        <v>0</v>
      </c>
      <c r="M1478" s="36">
        <f>IFERROR(IF(NOT(ISBLANK(KPI_TARGETS!$M$18)),KPI_TARGETS!$M$18,IF(NOT(ISBLANK(KPI_TARGETS!$F$18)),KPI_TARGETS!$F$18,"")),"")</f>
        <v>4</v>
      </c>
      <c r="N1478" s="36" t="str">
        <f>IFERROR(KPI_TARGETS!$E$18,"Higher is better")</f>
        <v>Higher is better</v>
      </c>
      <c r="O1478" s="37">
        <f t="shared" ca="1" si="138"/>
        <v>0</v>
      </c>
      <c r="P1478" t="str">
        <f t="shared" ca="1" si="139"/>
        <v>Red</v>
      </c>
      <c r="Q1478" s="36">
        <f t="shared" ca="1" si="140"/>
        <v>-4</v>
      </c>
      <c r="R1478" s="36" t="str">
        <f>""</f>
        <v/>
      </c>
      <c r="S1478" s="36" t="str">
        <f>""</f>
        <v/>
      </c>
      <c r="T1478" s="36" t="str">
        <f>""</f>
        <v/>
      </c>
      <c r="U1478" s="36" t="str">
        <f>""</f>
        <v/>
      </c>
      <c r="V1478" s="36" t="str">
        <f>""</f>
        <v/>
      </c>
      <c r="W1478" s="36">
        <f t="shared" si="141"/>
        <v>1</v>
      </c>
      <c r="X1478" t="str">
        <f t="shared" si="142"/>
        <v>Inactive</v>
      </c>
      <c r="Y1478" t="str">
        <f>IF(MAIN!$H$3="Selected Year",IF(A1478=MAIN!$B$3,"Yes","No"),IF(MAIN!$H$3="Included Years",IF(D1478="Yes","Yes","No"),IF(C1478="Yes","Yes","No")))</f>
        <v>No</v>
      </c>
      <c r="Z1478" t="str">
        <f>IF(MAIN!$F$3="Project to Date",IF(AND(A1478&gt;=SETTINGS!$B$4,A1478&lt;MAIN!$B$3),"Yes",IF(AND(A1478=MAIN!$B$3,E1478&lt;=MAIN!$L$3),"Yes","No")),IF(OR(MAIN!$F$3="Full Year",MAIN!$D$3="All"),"Yes",IF(MAIN!$F$3="Monthly",IF(E1478=MAIN!$L$3,"Yes","No"),IF(E1478&lt;=MAIN!$L$3,"Yes","No"))))</f>
        <v>Yes</v>
      </c>
      <c r="AA1478" t="str">
        <f t="shared" si="143"/>
        <v>No</v>
      </c>
    </row>
    <row r="1479" spans="1:27" x14ac:dyDescent="0.3">
      <c r="A1479">
        <f>INDEX(SETTINGS!$A$15:$A$24,$B1479)</f>
        <v>2031</v>
      </c>
      <c r="B1479">
        <v>7</v>
      </c>
      <c r="C1479" t="str">
        <f>IF(AND(A1479&gt;=SETTINGS!$B$4,A1479&lt;=SETTINGS!$B$5),"Yes","No")</f>
        <v>No</v>
      </c>
      <c r="D1479" t="str">
        <f>IFERROR(INDEX(SETTINGS!$C$15:$C$24,MATCH(A1479,SETTINGS!$A$15:$A$24,0)),"No")</f>
        <v>No</v>
      </c>
      <c r="E1479">
        <v>6</v>
      </c>
      <c r="F1479" t="s">
        <v>39</v>
      </c>
      <c r="G1479">
        <v>145</v>
      </c>
      <c r="H1479" t="s">
        <v>108</v>
      </c>
      <c r="I1479" t="s">
        <v>22</v>
      </c>
      <c r="J1479" t="s">
        <v>28</v>
      </c>
      <c r="K1479" t="s">
        <v>3</v>
      </c>
      <c r="L1479" s="36">
        <f ca="1">IF(C1479&lt;&gt;"Yes",0,IF(A1479=2025,N('2025'!D145),IF(A1479=2026,N('2026'!D145),IF(A1479=2027,N('2027'!D145),IF(A1479=2028,N('2028'!D145),IF(A1479=2029,N('2029'!D145),IF(A1479=2030,N('2030'!D145),IF(A1479=2031,N('2031'!D145),IF(A1479=2032,N('2032'!D145),IF(A1479=2033,N('2033'!D145),IF(A1479=2034,N('2034'!D145),IFERROR(N(INDIRECT("'"&amp;A1479&amp;"'!D"&amp;G1479)),0))))))))))))</f>
        <v>0</v>
      </c>
      <c r="M1479" s="36">
        <f>IFERROR(IF(NOT(ISBLANK(KPI_TARGETS!$M$19)),KPI_TARGETS!$M$19,IF(NOT(ISBLANK(KPI_TARGETS!$F$19)),KPI_TARGETS!$F$19,"")),"")</f>
        <v>16</v>
      </c>
      <c r="N1479" s="36" t="str">
        <f>IFERROR(KPI_TARGETS!$E$19,"Higher is better")</f>
        <v>Higher is better</v>
      </c>
      <c r="O1479" s="37">
        <f t="shared" ca="1" si="138"/>
        <v>0</v>
      </c>
      <c r="P1479" t="str">
        <f t="shared" ca="1" si="139"/>
        <v>Red</v>
      </c>
      <c r="Q1479" s="36">
        <f t="shared" ca="1" si="140"/>
        <v>-16</v>
      </c>
      <c r="R1479" s="36" t="str">
        <f>""</f>
        <v/>
      </c>
      <c r="S1479" s="36" t="str">
        <f>""</f>
        <v/>
      </c>
      <c r="T1479" s="36" t="str">
        <f>""</f>
        <v/>
      </c>
      <c r="U1479" s="36" t="str">
        <f>""</f>
        <v/>
      </c>
      <c r="V1479" s="36" t="str">
        <f>""</f>
        <v/>
      </c>
      <c r="W1479" s="36">
        <f t="shared" si="141"/>
        <v>1</v>
      </c>
      <c r="X1479" t="str">
        <f t="shared" si="142"/>
        <v>Inactive</v>
      </c>
      <c r="Y1479" t="str">
        <f>IF(MAIN!$H$3="Selected Year",IF(A1479=MAIN!$B$3,"Yes","No"),IF(MAIN!$H$3="Included Years",IF(D1479="Yes","Yes","No"),IF(C1479="Yes","Yes","No")))</f>
        <v>No</v>
      </c>
      <c r="Z1479" t="str">
        <f>IF(MAIN!$F$3="Project to Date",IF(AND(A1479&gt;=SETTINGS!$B$4,A1479&lt;MAIN!$B$3),"Yes",IF(AND(A1479=MAIN!$B$3,E1479&lt;=MAIN!$L$3),"Yes","No")),IF(OR(MAIN!$F$3="Full Year",MAIN!$D$3="All"),"Yes",IF(MAIN!$F$3="Monthly",IF(E1479=MAIN!$L$3,"Yes","No"),IF(E1479&lt;=MAIN!$L$3,"Yes","No"))))</f>
        <v>Yes</v>
      </c>
      <c r="AA1479" t="str">
        <f t="shared" si="143"/>
        <v>No</v>
      </c>
    </row>
    <row r="1480" spans="1:27" x14ac:dyDescent="0.3">
      <c r="A1480">
        <f>INDEX(SETTINGS!$A$15:$A$24,$B1480)</f>
        <v>2031</v>
      </c>
      <c r="B1480">
        <v>7</v>
      </c>
      <c r="C1480" t="str">
        <f>IF(AND(A1480&gt;=SETTINGS!$B$4,A1480&lt;=SETTINGS!$B$5),"Yes","No")</f>
        <v>No</v>
      </c>
      <c r="D1480" t="str">
        <f>IFERROR(INDEX(SETTINGS!$C$15:$C$24,MATCH(A1480,SETTINGS!$A$15:$A$24,0)),"No")</f>
        <v>No</v>
      </c>
      <c r="E1480">
        <v>6</v>
      </c>
      <c r="F1480" t="s">
        <v>39</v>
      </c>
      <c r="G1480">
        <v>146</v>
      </c>
      <c r="H1480" t="s">
        <v>109</v>
      </c>
      <c r="I1480" t="s">
        <v>22</v>
      </c>
      <c r="J1480" t="s">
        <v>29</v>
      </c>
      <c r="K1480" t="s">
        <v>3</v>
      </c>
      <c r="L1480" s="36">
        <f ca="1">IF(C1480&lt;&gt;"Yes",0,IF(A1480=2025,N('2025'!D146),IF(A1480=2026,N('2026'!D146),IF(A1480=2027,N('2027'!D146),IF(A1480=2028,N('2028'!D146),IF(A1480=2029,N('2029'!D146),IF(A1480=2030,N('2030'!D146),IF(A1480=2031,N('2031'!D146),IF(A1480=2032,N('2032'!D146),IF(A1480=2033,N('2033'!D146),IF(A1480=2034,N('2034'!D146),IFERROR(N(INDIRECT("'"&amp;A1480&amp;"'!D"&amp;G1480)),0))))))))))))</f>
        <v>0</v>
      </c>
      <c r="M1480" s="36">
        <f>IFERROR(IF(NOT(ISBLANK(KPI_TARGETS!$M$20)),KPI_TARGETS!$M$20,IF(NOT(ISBLANK(KPI_TARGETS!$F$20)),KPI_TARGETS!$F$20,"")),"")</f>
        <v>1</v>
      </c>
      <c r="N1480" s="36" t="str">
        <f>IFERROR(KPI_TARGETS!$E$20,"Higher is better")</f>
        <v>Higher is better</v>
      </c>
      <c r="O1480" s="37">
        <f t="shared" ca="1" si="138"/>
        <v>0</v>
      </c>
      <c r="P1480" t="str">
        <f t="shared" ca="1" si="139"/>
        <v>Red</v>
      </c>
      <c r="Q1480" s="36">
        <f t="shared" ca="1" si="140"/>
        <v>-1</v>
      </c>
      <c r="R1480" s="36" t="str">
        <f>""</f>
        <v/>
      </c>
      <c r="S1480" s="36" t="str">
        <f>""</f>
        <v/>
      </c>
      <c r="T1480" s="36" t="str">
        <f>""</f>
        <v/>
      </c>
      <c r="U1480" s="36" t="str">
        <f>""</f>
        <v/>
      </c>
      <c r="V1480" s="36" t="str">
        <f>""</f>
        <v/>
      </c>
      <c r="W1480" s="36">
        <f t="shared" si="141"/>
        <v>1</v>
      </c>
      <c r="X1480" t="str">
        <f t="shared" si="142"/>
        <v>Inactive</v>
      </c>
      <c r="Y1480" t="str">
        <f>IF(MAIN!$H$3="Selected Year",IF(A1480=MAIN!$B$3,"Yes","No"),IF(MAIN!$H$3="Included Years",IF(D1480="Yes","Yes","No"),IF(C1480="Yes","Yes","No")))</f>
        <v>No</v>
      </c>
      <c r="Z1480" t="str">
        <f>IF(MAIN!$F$3="Project to Date",IF(AND(A1480&gt;=SETTINGS!$B$4,A1480&lt;MAIN!$B$3),"Yes",IF(AND(A1480=MAIN!$B$3,E1480&lt;=MAIN!$L$3),"Yes","No")),IF(OR(MAIN!$F$3="Full Year",MAIN!$D$3="All"),"Yes",IF(MAIN!$F$3="Monthly",IF(E1480=MAIN!$L$3,"Yes","No"),IF(E1480&lt;=MAIN!$L$3,"Yes","No"))))</f>
        <v>Yes</v>
      </c>
      <c r="AA1480" t="str">
        <f t="shared" si="143"/>
        <v>No</v>
      </c>
    </row>
    <row r="1481" spans="1:27" x14ac:dyDescent="0.3">
      <c r="A1481">
        <f>INDEX(SETTINGS!$A$15:$A$24,$B1481)</f>
        <v>2031</v>
      </c>
      <c r="B1481">
        <v>7</v>
      </c>
      <c r="C1481" t="str">
        <f>IF(AND(A1481&gt;=SETTINGS!$B$4,A1481&lt;=SETTINGS!$B$5),"Yes","No")</f>
        <v>No</v>
      </c>
      <c r="D1481" t="str">
        <f>IFERROR(INDEX(SETTINGS!$C$15:$C$24,MATCH(A1481,SETTINGS!$A$15:$A$24,0)),"No")</f>
        <v>No</v>
      </c>
      <c r="E1481">
        <v>6</v>
      </c>
      <c r="F1481" t="s">
        <v>39</v>
      </c>
      <c r="G1481">
        <v>148</v>
      </c>
      <c r="H1481" t="s">
        <v>110</v>
      </c>
      <c r="I1481" t="s">
        <v>30</v>
      </c>
      <c r="J1481" t="s">
        <v>31</v>
      </c>
      <c r="K1481" t="s">
        <v>3</v>
      </c>
      <c r="L1481" s="36">
        <f ca="1">IF(C1481&lt;&gt;"Yes",0,IF(A1481=2025,N('2025'!D148),IF(A1481=2026,N('2026'!D148),IF(A1481=2027,N('2027'!D148),IF(A1481=2028,N('2028'!D148),IF(A1481=2029,N('2029'!D148),IF(A1481=2030,N('2030'!D148),IF(A1481=2031,N('2031'!D148),IF(A1481=2032,N('2032'!D148),IF(A1481=2033,N('2033'!D148),IF(A1481=2034,N('2034'!D148),IFERROR(N(INDIRECT("'"&amp;A1481&amp;"'!D"&amp;G1481)),0))))))))))))</f>
        <v>0</v>
      </c>
      <c r="M1481" s="36">
        <f>IFERROR(IF(NOT(ISBLANK(KPI_TARGETS!$M$21)),KPI_TARGETS!$M$21,IF(NOT(ISBLANK(KPI_TARGETS!$F$21)),KPI_TARGETS!$F$21,"")),"")</f>
        <v>0</v>
      </c>
      <c r="N1481" s="36" t="str">
        <f>IFERROR(KPI_TARGETS!$E$21,"Higher is better")</f>
        <v>Lower is better</v>
      </c>
      <c r="O1481" s="37">
        <f t="shared" ca="1" si="138"/>
        <v>1</v>
      </c>
      <c r="P1481" t="str">
        <f t="shared" ca="1" si="139"/>
        <v>Green</v>
      </c>
      <c r="Q1481" s="36">
        <f t="shared" ca="1" si="140"/>
        <v>0</v>
      </c>
      <c r="R1481" s="36" t="str">
        <f>""</f>
        <v/>
      </c>
      <c r="S1481" s="36" t="str">
        <f>""</f>
        <v/>
      </c>
      <c r="T1481" s="36" t="str">
        <f>""</f>
        <v/>
      </c>
      <c r="U1481" s="36" t="str">
        <f>""</f>
        <v/>
      </c>
      <c r="V1481" s="36" t="str">
        <f>""</f>
        <v/>
      </c>
      <c r="W1481" s="36">
        <f t="shared" si="141"/>
        <v>1</v>
      </c>
      <c r="X1481" t="str">
        <f t="shared" si="142"/>
        <v>Inactive</v>
      </c>
      <c r="Y1481" t="str">
        <f>IF(MAIN!$H$3="Selected Year",IF(A1481=MAIN!$B$3,"Yes","No"),IF(MAIN!$H$3="Included Years",IF(D1481="Yes","Yes","No"),IF(C1481="Yes","Yes","No")))</f>
        <v>No</v>
      </c>
      <c r="Z1481" t="str">
        <f>IF(MAIN!$F$3="Project to Date",IF(AND(A1481&gt;=SETTINGS!$B$4,A1481&lt;MAIN!$B$3),"Yes",IF(AND(A1481=MAIN!$B$3,E1481&lt;=MAIN!$L$3),"Yes","No")),IF(OR(MAIN!$F$3="Full Year",MAIN!$D$3="All"),"Yes",IF(MAIN!$F$3="Monthly",IF(E1481=MAIN!$L$3,"Yes","No"),IF(E1481&lt;=MAIN!$L$3,"Yes","No"))))</f>
        <v>Yes</v>
      </c>
      <c r="AA1481" t="str">
        <f t="shared" si="143"/>
        <v>No</v>
      </c>
    </row>
    <row r="1482" spans="1:27" x14ac:dyDescent="0.3">
      <c r="A1482">
        <f>INDEX(SETTINGS!$A$15:$A$24,$B1482)</f>
        <v>2031</v>
      </c>
      <c r="B1482">
        <v>7</v>
      </c>
      <c r="C1482" t="str">
        <f>IF(AND(A1482&gt;=SETTINGS!$B$4,A1482&lt;=SETTINGS!$B$5),"Yes","No")</f>
        <v>No</v>
      </c>
      <c r="D1482" t="str">
        <f>IFERROR(INDEX(SETTINGS!$C$15:$C$24,MATCH(A1482,SETTINGS!$A$15:$A$24,0)),"No")</f>
        <v>No</v>
      </c>
      <c r="E1482">
        <v>6</v>
      </c>
      <c r="F1482" t="s">
        <v>39</v>
      </c>
      <c r="G1482">
        <v>149</v>
      </c>
      <c r="H1482" t="s">
        <v>111</v>
      </c>
      <c r="I1482" t="s">
        <v>30</v>
      </c>
      <c r="J1482" t="s">
        <v>32</v>
      </c>
      <c r="K1482" t="s">
        <v>3</v>
      </c>
      <c r="L1482" s="36">
        <f ca="1">IF(C1482&lt;&gt;"Yes",0,IF(A1482=2025,N('2025'!D149),IF(A1482=2026,N('2026'!D149),IF(A1482=2027,N('2027'!D149),IF(A1482=2028,N('2028'!D149),IF(A1482=2029,N('2029'!D149),IF(A1482=2030,N('2030'!D149),IF(A1482=2031,N('2031'!D149),IF(A1482=2032,N('2032'!D149),IF(A1482=2033,N('2033'!D149),IF(A1482=2034,N('2034'!D149),IFERROR(N(INDIRECT("'"&amp;A1482&amp;"'!D"&amp;G1482)),0))))))))))))</f>
        <v>0</v>
      </c>
      <c r="M1482" s="36">
        <f>IFERROR(IF(NOT(ISBLANK(KPI_TARGETS!$M$22)),KPI_TARGETS!$M$22,IF(NOT(ISBLANK(KPI_TARGETS!$F$22)),KPI_TARGETS!$F$22,"")),"")</f>
        <v>1</v>
      </c>
      <c r="N1482" s="36" t="str">
        <f>IFERROR(KPI_TARGETS!$E$22,"Higher is better")</f>
        <v>Higher is better</v>
      </c>
      <c r="O1482" s="37">
        <f t="shared" ca="1" si="138"/>
        <v>0</v>
      </c>
      <c r="P1482" t="str">
        <f t="shared" ca="1" si="139"/>
        <v>Red</v>
      </c>
      <c r="Q1482" s="36">
        <f t="shared" ca="1" si="140"/>
        <v>-1</v>
      </c>
      <c r="R1482" s="36" t="str">
        <f>""</f>
        <v/>
      </c>
      <c r="S1482" s="36" t="str">
        <f>""</f>
        <v/>
      </c>
      <c r="T1482" s="36" t="str">
        <f>""</f>
        <v/>
      </c>
      <c r="U1482" s="36" t="str">
        <f>""</f>
        <v/>
      </c>
      <c r="V1482" s="36" t="str">
        <f>""</f>
        <v/>
      </c>
      <c r="W1482" s="36">
        <f t="shared" si="141"/>
        <v>1</v>
      </c>
      <c r="X1482" t="str">
        <f t="shared" si="142"/>
        <v>Inactive</v>
      </c>
      <c r="Y1482" t="str">
        <f>IF(MAIN!$H$3="Selected Year",IF(A1482=MAIN!$B$3,"Yes","No"),IF(MAIN!$H$3="Included Years",IF(D1482="Yes","Yes","No"),IF(C1482="Yes","Yes","No")))</f>
        <v>No</v>
      </c>
      <c r="Z1482" t="str">
        <f>IF(MAIN!$F$3="Project to Date",IF(AND(A1482&gt;=SETTINGS!$B$4,A1482&lt;MAIN!$B$3),"Yes",IF(AND(A1482=MAIN!$B$3,E1482&lt;=MAIN!$L$3),"Yes","No")),IF(OR(MAIN!$F$3="Full Year",MAIN!$D$3="All"),"Yes",IF(MAIN!$F$3="Monthly",IF(E1482=MAIN!$L$3,"Yes","No"),IF(E1482&lt;=MAIN!$L$3,"Yes","No"))))</f>
        <v>Yes</v>
      </c>
      <c r="AA1482" t="str">
        <f t="shared" si="143"/>
        <v>No</v>
      </c>
    </row>
    <row r="1483" spans="1:27" x14ac:dyDescent="0.3">
      <c r="A1483">
        <f>INDEX(SETTINGS!$A$15:$A$24,$B1483)</f>
        <v>2031</v>
      </c>
      <c r="B1483">
        <v>7</v>
      </c>
      <c r="C1483" t="str">
        <f>IF(AND(A1483&gt;=SETTINGS!$B$4,A1483&lt;=SETTINGS!$B$5),"Yes","No")</f>
        <v>No</v>
      </c>
      <c r="D1483" t="str">
        <f>IFERROR(INDEX(SETTINGS!$C$15:$C$24,MATCH(A1483,SETTINGS!$A$15:$A$24,0)),"No")</f>
        <v>No</v>
      </c>
      <c r="E1483">
        <v>6</v>
      </c>
      <c r="F1483" t="s">
        <v>39</v>
      </c>
      <c r="G1483">
        <v>150</v>
      </c>
      <c r="H1483" t="s">
        <v>112</v>
      </c>
      <c r="I1483" t="s">
        <v>30</v>
      </c>
      <c r="J1483" t="s">
        <v>33</v>
      </c>
      <c r="K1483" t="s">
        <v>34</v>
      </c>
      <c r="L1483" s="36">
        <f ca="1">IF(C1483&lt;&gt;"Yes",0,IF(A1483=2025,N('2025'!D150),IF(A1483=2026,N('2026'!D150),IF(A1483=2027,N('2027'!D150),IF(A1483=2028,N('2028'!D150),IF(A1483=2029,N('2029'!D150),IF(A1483=2030,N('2030'!D150),IF(A1483=2031,N('2031'!D150),IF(A1483=2032,N('2032'!D150),IF(A1483=2033,N('2033'!D150),IF(A1483=2034,N('2034'!D150),IFERROR(N(INDIRECT("'"&amp;A1483&amp;"'!D"&amp;G1483)),0))))))))))))</f>
        <v>0</v>
      </c>
      <c r="M1483" s="36">
        <f>IFERROR(IF(NOT(ISBLANK(KPI_TARGETS!$M$23)),KPI_TARGETS!$M$23,IF(NOT(ISBLANK(KPI_TARGETS!$F$23)),KPI_TARGETS!$F$23,"")),"")</f>
        <v>1</v>
      </c>
      <c r="N1483" s="36" t="str">
        <f>IFERROR(KPI_TARGETS!$E$23,"Higher is better")</f>
        <v>Higher is better</v>
      </c>
      <c r="O1483" s="37">
        <f t="shared" ca="1" si="138"/>
        <v>0</v>
      </c>
      <c r="P1483" t="str">
        <f t="shared" ca="1" si="139"/>
        <v>Red</v>
      </c>
      <c r="Q1483" s="36">
        <f t="shared" ca="1" si="140"/>
        <v>-1</v>
      </c>
      <c r="R1483" s="36" t="str">
        <f>""</f>
        <v/>
      </c>
      <c r="S1483" s="36" t="str">
        <f>""</f>
        <v/>
      </c>
      <c r="T1483" s="36" t="str">
        <f>""</f>
        <v/>
      </c>
      <c r="U1483" s="36" t="str">
        <f>""</f>
        <v/>
      </c>
      <c r="V1483" s="36" t="str">
        <f>""</f>
        <v/>
      </c>
      <c r="W1483" s="36">
        <f t="shared" si="141"/>
        <v>1</v>
      </c>
      <c r="X1483" t="str">
        <f t="shared" si="142"/>
        <v>Inactive</v>
      </c>
      <c r="Y1483" t="str">
        <f>IF(MAIN!$H$3="Selected Year",IF(A1483=MAIN!$B$3,"Yes","No"),IF(MAIN!$H$3="Included Years",IF(D1483="Yes","Yes","No"),IF(C1483="Yes","Yes","No")))</f>
        <v>No</v>
      </c>
      <c r="Z1483" t="str">
        <f>IF(MAIN!$F$3="Project to Date",IF(AND(A1483&gt;=SETTINGS!$B$4,A1483&lt;MAIN!$B$3),"Yes",IF(AND(A1483=MAIN!$B$3,E1483&lt;=MAIN!$L$3),"Yes","No")),IF(OR(MAIN!$F$3="Full Year",MAIN!$D$3="All"),"Yes",IF(MAIN!$F$3="Monthly",IF(E1483=MAIN!$L$3,"Yes","No"),IF(E1483&lt;=MAIN!$L$3,"Yes","No"))))</f>
        <v>Yes</v>
      </c>
      <c r="AA1483" t="str">
        <f t="shared" si="143"/>
        <v>No</v>
      </c>
    </row>
    <row r="1484" spans="1:27" x14ac:dyDescent="0.3">
      <c r="A1484">
        <f>INDEX(SETTINGS!$A$15:$A$24,$B1484)</f>
        <v>2031</v>
      </c>
      <c r="B1484">
        <v>7</v>
      </c>
      <c r="C1484" t="str">
        <f>IF(AND(A1484&gt;=SETTINGS!$B$4,A1484&lt;=SETTINGS!$B$5),"Yes","No")</f>
        <v>No</v>
      </c>
      <c r="D1484" t="str">
        <f>IFERROR(INDEX(SETTINGS!$C$15:$C$24,MATCH(A1484,SETTINGS!$A$15:$A$24,0)),"No")</f>
        <v>No</v>
      </c>
      <c r="E1484">
        <v>7</v>
      </c>
      <c r="F1484" t="s">
        <v>40</v>
      </c>
      <c r="G1484">
        <v>153</v>
      </c>
      <c r="H1484" t="s">
        <v>88</v>
      </c>
      <c r="I1484" t="s">
        <v>89</v>
      </c>
      <c r="J1484" t="s">
        <v>10</v>
      </c>
      <c r="K1484" t="s">
        <v>3</v>
      </c>
      <c r="L1484" s="36">
        <f ca="1">IF(C1484&lt;&gt;"Yes",0,IF(A1484=2025,N('2025'!D153),IF(A1484=2026,N('2026'!D153),IF(A1484=2027,N('2027'!D153),IF(A1484=2028,N('2028'!D153),IF(A1484=2029,N('2029'!D153),IF(A1484=2030,N('2030'!D153),IF(A1484=2031,N('2031'!D153),IF(A1484=2032,N('2032'!D153),IF(A1484=2033,N('2033'!D153),IF(A1484=2034,N('2034'!D153),IFERROR(N(INDIRECT("'"&amp;A1484&amp;"'!D"&amp;G1484)),0))))))))))))</f>
        <v>0</v>
      </c>
      <c r="M1484" s="36">
        <f>IFERROR(IF(NOT(ISBLANK(KPI_TARGETS!$M$5)),KPI_TARGETS!$M$5,IF(NOT(ISBLANK(KPI_TARGETS!$F$5)),KPI_TARGETS!$F$5,"")),"")</f>
        <v>104</v>
      </c>
      <c r="N1484" s="36" t="str">
        <f>IFERROR(KPI_TARGETS!$E$5,"Higher is better")</f>
        <v>Higher is better</v>
      </c>
      <c r="O1484" s="37">
        <f t="shared" ca="1" si="138"/>
        <v>0</v>
      </c>
      <c r="P1484" t="str">
        <f t="shared" ca="1" si="139"/>
        <v>Red</v>
      </c>
      <c r="Q1484" s="36">
        <f t="shared" ca="1" si="140"/>
        <v>-104</v>
      </c>
      <c r="R1484" s="36" t="str">
        <f>""</f>
        <v/>
      </c>
      <c r="S1484" s="36" t="str">
        <f>""</f>
        <v/>
      </c>
      <c r="T1484" s="36" t="str">
        <f>""</f>
        <v/>
      </c>
      <c r="U1484" s="36" t="str">
        <f>""</f>
        <v/>
      </c>
      <c r="V1484" s="36" t="str">
        <f>""</f>
        <v/>
      </c>
      <c r="W1484" s="36">
        <f t="shared" si="141"/>
        <v>1</v>
      </c>
      <c r="X1484" t="str">
        <f t="shared" si="142"/>
        <v>Inactive</v>
      </c>
      <c r="Y1484" t="str">
        <f>IF(MAIN!$H$3="Selected Year",IF(A1484=MAIN!$B$3,"Yes","No"),IF(MAIN!$H$3="Included Years",IF(D1484="Yes","Yes","No"),IF(C1484="Yes","Yes","No")))</f>
        <v>No</v>
      </c>
      <c r="Z1484" t="str">
        <f>IF(MAIN!$F$3="Project to Date",IF(AND(A1484&gt;=SETTINGS!$B$4,A1484&lt;MAIN!$B$3),"Yes",IF(AND(A1484=MAIN!$B$3,E1484&lt;=MAIN!$L$3),"Yes","No")),IF(OR(MAIN!$F$3="Full Year",MAIN!$D$3="All"),"Yes",IF(MAIN!$F$3="Monthly",IF(E1484=MAIN!$L$3,"Yes","No"),IF(E1484&lt;=MAIN!$L$3,"Yes","No"))))</f>
        <v>Yes</v>
      </c>
      <c r="AA1484" t="str">
        <f t="shared" si="143"/>
        <v>No</v>
      </c>
    </row>
    <row r="1485" spans="1:27" x14ac:dyDescent="0.3">
      <c r="A1485">
        <f>INDEX(SETTINGS!$A$15:$A$24,$B1485)</f>
        <v>2031</v>
      </c>
      <c r="B1485">
        <v>7</v>
      </c>
      <c r="C1485" t="str">
        <f>IF(AND(A1485&gt;=SETTINGS!$B$4,A1485&lt;=SETTINGS!$B$5),"Yes","No")</f>
        <v>No</v>
      </c>
      <c r="D1485" t="str">
        <f>IFERROR(INDEX(SETTINGS!$C$15:$C$24,MATCH(A1485,SETTINGS!$A$15:$A$24,0)),"No")</f>
        <v>No</v>
      </c>
      <c r="E1485">
        <v>7</v>
      </c>
      <c r="F1485" t="s">
        <v>40</v>
      </c>
      <c r="G1485">
        <v>154</v>
      </c>
      <c r="H1485" t="s">
        <v>91</v>
      </c>
      <c r="I1485" t="s">
        <v>89</v>
      </c>
      <c r="J1485" t="s">
        <v>11</v>
      </c>
      <c r="K1485" t="s">
        <v>12</v>
      </c>
      <c r="L1485" s="36">
        <f ca="1">IF(C1485&lt;&gt;"Yes",0,IF(A1485=2025,N('2025'!D154),IF(A1485=2026,N('2026'!D154),IF(A1485=2027,N('2027'!D154),IF(A1485=2028,N('2028'!D154),IF(A1485=2029,N('2029'!D154),IF(A1485=2030,N('2030'!D154),IF(A1485=2031,N('2031'!D154),IF(A1485=2032,N('2032'!D154),IF(A1485=2033,N('2033'!D154),IF(A1485=2034,N('2034'!D154),IFERROR(N(INDIRECT("'"&amp;A1485&amp;"'!D"&amp;G1485)),0))))))))))))</f>
        <v>0</v>
      </c>
      <c r="M1485" s="36">
        <f>IFERROR(IF(NOT(ISBLANK(KPI_TARGETS!$M$6)),KPI_TARGETS!$M$6,IF(NOT(ISBLANK(KPI_TARGETS!$F$6)),KPI_TARGETS!$F$6,"")),"")</f>
        <v>4000</v>
      </c>
      <c r="N1485" s="36" t="str">
        <f>IFERROR(KPI_TARGETS!$E$6,"Higher is better")</f>
        <v>Higher is better</v>
      </c>
      <c r="O1485" s="37">
        <f t="shared" ca="1" si="138"/>
        <v>0</v>
      </c>
      <c r="P1485" t="str">
        <f t="shared" ca="1" si="139"/>
        <v>Red</v>
      </c>
      <c r="Q1485" s="36">
        <f t="shared" ca="1" si="140"/>
        <v>-4000</v>
      </c>
      <c r="R1485" s="36" t="str">
        <f>""</f>
        <v/>
      </c>
      <c r="S1485" s="36" t="str">
        <f>""</f>
        <v/>
      </c>
      <c r="T1485" s="36" t="str">
        <f>""</f>
        <v/>
      </c>
      <c r="U1485" s="36" t="str">
        <f>""</f>
        <v/>
      </c>
      <c r="V1485" s="36" t="str">
        <f>""</f>
        <v/>
      </c>
      <c r="W1485" s="36">
        <f t="shared" si="141"/>
        <v>1</v>
      </c>
      <c r="X1485" t="str">
        <f t="shared" si="142"/>
        <v>Inactive</v>
      </c>
      <c r="Y1485" t="str">
        <f>IF(MAIN!$H$3="Selected Year",IF(A1485=MAIN!$B$3,"Yes","No"),IF(MAIN!$H$3="Included Years",IF(D1485="Yes","Yes","No"),IF(C1485="Yes","Yes","No")))</f>
        <v>No</v>
      </c>
      <c r="Z1485" t="str">
        <f>IF(MAIN!$F$3="Project to Date",IF(AND(A1485&gt;=SETTINGS!$B$4,A1485&lt;MAIN!$B$3),"Yes",IF(AND(A1485=MAIN!$B$3,E1485&lt;=MAIN!$L$3),"Yes","No")),IF(OR(MAIN!$F$3="Full Year",MAIN!$D$3="All"),"Yes",IF(MAIN!$F$3="Monthly",IF(E1485=MAIN!$L$3,"Yes","No"),IF(E1485&lt;=MAIN!$L$3,"Yes","No"))))</f>
        <v>Yes</v>
      </c>
      <c r="AA1485" t="str">
        <f t="shared" si="143"/>
        <v>No</v>
      </c>
    </row>
    <row r="1486" spans="1:27" x14ac:dyDescent="0.3">
      <c r="A1486">
        <f>INDEX(SETTINGS!$A$15:$A$24,$B1486)</f>
        <v>2031</v>
      </c>
      <c r="B1486">
        <v>7</v>
      </c>
      <c r="C1486" t="str">
        <f>IF(AND(A1486&gt;=SETTINGS!$B$4,A1486&lt;=SETTINGS!$B$5),"Yes","No")</f>
        <v>No</v>
      </c>
      <c r="D1486" t="str">
        <f>IFERROR(INDEX(SETTINGS!$C$15:$C$24,MATCH(A1486,SETTINGS!$A$15:$A$24,0)),"No")</f>
        <v>No</v>
      </c>
      <c r="E1486">
        <v>7</v>
      </c>
      <c r="F1486" t="s">
        <v>40</v>
      </c>
      <c r="G1486">
        <v>155</v>
      </c>
      <c r="H1486" t="s">
        <v>93</v>
      </c>
      <c r="I1486" t="s">
        <v>89</v>
      </c>
      <c r="J1486" t="s">
        <v>13</v>
      </c>
      <c r="K1486" t="s">
        <v>14</v>
      </c>
      <c r="L1486" s="36">
        <f ca="1">IF(C1486&lt;&gt;"Yes",0,IF(A1486=2025,N('2025'!D155),IF(A1486=2026,N('2026'!D155),IF(A1486=2027,N('2027'!D155),IF(A1486=2028,N('2028'!D155),IF(A1486=2029,N('2029'!D155),IF(A1486=2030,N('2030'!D155),IF(A1486=2031,N('2031'!D155),IF(A1486=2032,N('2032'!D155),IF(A1486=2033,N('2033'!D155),IF(A1486=2034,N('2034'!D155),IFERROR(N(INDIRECT("'"&amp;A1486&amp;"'!D"&amp;G1486)),0))))))))))))</f>
        <v>0</v>
      </c>
      <c r="M1486" s="36">
        <f>IFERROR(IF(NOT(ISBLANK(KPI_TARGETS!$M$7)),KPI_TARGETS!$M$7,IF(NOT(ISBLANK(KPI_TARGETS!$F$7)),KPI_TARGETS!$F$7,"")),"")</f>
        <v>8000</v>
      </c>
      <c r="N1486" s="36" t="str">
        <f>IFERROR(KPI_TARGETS!$E$7,"Higher is better")</f>
        <v>Higher is better</v>
      </c>
      <c r="O1486" s="37">
        <f t="shared" ca="1" si="138"/>
        <v>0</v>
      </c>
      <c r="P1486" t="str">
        <f t="shared" ca="1" si="139"/>
        <v>Red</v>
      </c>
      <c r="Q1486" s="36">
        <f t="shared" ca="1" si="140"/>
        <v>-8000</v>
      </c>
      <c r="R1486" s="36" t="str">
        <f>""</f>
        <v/>
      </c>
      <c r="S1486" s="36" t="str">
        <f>""</f>
        <v/>
      </c>
      <c r="T1486" s="36" t="str">
        <f>""</f>
        <v/>
      </c>
      <c r="U1486" s="36" t="str">
        <f>""</f>
        <v/>
      </c>
      <c r="V1486" s="36" t="str">
        <f>""</f>
        <v/>
      </c>
      <c r="W1486" s="36">
        <f t="shared" si="141"/>
        <v>1</v>
      </c>
      <c r="X1486" t="str">
        <f t="shared" si="142"/>
        <v>Inactive</v>
      </c>
      <c r="Y1486" t="str">
        <f>IF(MAIN!$H$3="Selected Year",IF(A1486=MAIN!$B$3,"Yes","No"),IF(MAIN!$H$3="Included Years",IF(D1486="Yes","Yes","No"),IF(C1486="Yes","Yes","No")))</f>
        <v>No</v>
      </c>
      <c r="Z1486" t="str">
        <f>IF(MAIN!$F$3="Project to Date",IF(AND(A1486&gt;=SETTINGS!$B$4,A1486&lt;MAIN!$B$3),"Yes",IF(AND(A1486=MAIN!$B$3,E1486&lt;=MAIN!$L$3),"Yes","No")),IF(OR(MAIN!$F$3="Full Year",MAIN!$D$3="All"),"Yes",IF(MAIN!$F$3="Monthly",IF(E1486=MAIN!$L$3,"Yes","No"),IF(E1486&lt;=MAIN!$L$3,"Yes","No"))))</f>
        <v>Yes</v>
      </c>
      <c r="AA1486" t="str">
        <f t="shared" si="143"/>
        <v>No</v>
      </c>
    </row>
    <row r="1487" spans="1:27" x14ac:dyDescent="0.3">
      <c r="A1487">
        <f>INDEX(SETTINGS!$A$15:$A$24,$B1487)</f>
        <v>2031</v>
      </c>
      <c r="B1487">
        <v>7</v>
      </c>
      <c r="C1487" t="str">
        <f>IF(AND(A1487&gt;=SETTINGS!$B$4,A1487&lt;=SETTINGS!$B$5),"Yes","No")</f>
        <v>No</v>
      </c>
      <c r="D1487" t="str">
        <f>IFERROR(INDEX(SETTINGS!$C$15:$C$24,MATCH(A1487,SETTINGS!$A$15:$A$24,0)),"No")</f>
        <v>No</v>
      </c>
      <c r="E1487">
        <v>7</v>
      </c>
      <c r="F1487" t="s">
        <v>40</v>
      </c>
      <c r="G1487">
        <v>157</v>
      </c>
      <c r="H1487" t="s">
        <v>95</v>
      </c>
      <c r="I1487" t="s">
        <v>15</v>
      </c>
      <c r="J1487" t="s">
        <v>16</v>
      </c>
      <c r="K1487" t="s">
        <v>3</v>
      </c>
      <c r="L1487" s="36">
        <f ca="1">IF(C1487&lt;&gt;"Yes",0,IF(A1487=2025,N('2025'!D157),IF(A1487=2026,N('2026'!D157),IF(A1487=2027,N('2027'!D157),IF(A1487=2028,N('2028'!D157),IF(A1487=2029,N('2029'!D157),IF(A1487=2030,N('2030'!D157),IF(A1487=2031,N('2031'!D157),IF(A1487=2032,N('2032'!D157),IF(A1487=2033,N('2033'!D157),IF(A1487=2034,N('2034'!D157),IFERROR(N(INDIRECT("'"&amp;A1487&amp;"'!D"&amp;G1487)),0))))))))))))</f>
        <v>0</v>
      </c>
      <c r="M1487" s="36">
        <f>IFERROR(IF(NOT(ISBLANK(KPI_TARGETS!$M$8)),KPI_TARGETS!$M$8,IF(NOT(ISBLANK(KPI_TARGETS!$F$8)),KPI_TARGETS!$F$8,"")),"")</f>
        <v>0</v>
      </c>
      <c r="N1487" s="36" t="str">
        <f>IFERROR(KPI_TARGETS!$E$8,"Higher is better")</f>
        <v>Lower is better</v>
      </c>
      <c r="O1487" s="37">
        <f t="shared" ca="1" si="138"/>
        <v>1</v>
      </c>
      <c r="P1487" t="str">
        <f t="shared" ca="1" si="139"/>
        <v>Green</v>
      </c>
      <c r="Q1487" s="36">
        <f t="shared" ca="1" si="140"/>
        <v>0</v>
      </c>
      <c r="R1487" s="36" t="str">
        <f>""</f>
        <v/>
      </c>
      <c r="S1487" s="36" t="str">
        <f>""</f>
        <v/>
      </c>
      <c r="T1487" s="36" t="str">
        <f>""</f>
        <v/>
      </c>
      <c r="U1487" s="36" t="str">
        <f>""</f>
        <v/>
      </c>
      <c r="V1487" s="36" t="str">
        <f>""</f>
        <v/>
      </c>
      <c r="W1487" s="36">
        <f t="shared" si="141"/>
        <v>1</v>
      </c>
      <c r="X1487" t="str">
        <f t="shared" si="142"/>
        <v>Inactive</v>
      </c>
      <c r="Y1487" t="str">
        <f>IF(MAIN!$H$3="Selected Year",IF(A1487=MAIN!$B$3,"Yes","No"),IF(MAIN!$H$3="Included Years",IF(D1487="Yes","Yes","No"),IF(C1487="Yes","Yes","No")))</f>
        <v>No</v>
      </c>
      <c r="Z1487" t="str">
        <f>IF(MAIN!$F$3="Project to Date",IF(AND(A1487&gt;=SETTINGS!$B$4,A1487&lt;MAIN!$B$3),"Yes",IF(AND(A1487=MAIN!$B$3,E1487&lt;=MAIN!$L$3),"Yes","No")),IF(OR(MAIN!$F$3="Full Year",MAIN!$D$3="All"),"Yes",IF(MAIN!$F$3="Monthly",IF(E1487=MAIN!$L$3,"Yes","No"),IF(E1487&lt;=MAIN!$L$3,"Yes","No"))))</f>
        <v>Yes</v>
      </c>
      <c r="AA1487" t="str">
        <f t="shared" si="143"/>
        <v>No</v>
      </c>
    </row>
    <row r="1488" spans="1:27" x14ac:dyDescent="0.3">
      <c r="A1488">
        <f>INDEX(SETTINGS!$A$15:$A$24,$B1488)</f>
        <v>2031</v>
      </c>
      <c r="B1488">
        <v>7</v>
      </c>
      <c r="C1488" t="str">
        <f>IF(AND(A1488&gt;=SETTINGS!$B$4,A1488&lt;=SETTINGS!$B$5),"Yes","No")</f>
        <v>No</v>
      </c>
      <c r="D1488" t="str">
        <f>IFERROR(INDEX(SETTINGS!$C$15:$C$24,MATCH(A1488,SETTINGS!$A$15:$A$24,0)),"No")</f>
        <v>No</v>
      </c>
      <c r="E1488">
        <v>7</v>
      </c>
      <c r="F1488" t="s">
        <v>40</v>
      </c>
      <c r="G1488">
        <v>158</v>
      </c>
      <c r="H1488" t="s">
        <v>97</v>
      </c>
      <c r="I1488" t="s">
        <v>15</v>
      </c>
      <c r="J1488" t="s">
        <v>17</v>
      </c>
      <c r="K1488" t="s">
        <v>3</v>
      </c>
      <c r="L1488" s="36">
        <f ca="1">IF(C1488&lt;&gt;"Yes",0,IF(A1488=2025,N('2025'!D158),IF(A1488=2026,N('2026'!D158),IF(A1488=2027,N('2027'!D158),IF(A1488=2028,N('2028'!D158),IF(A1488=2029,N('2029'!D158),IF(A1488=2030,N('2030'!D158),IF(A1488=2031,N('2031'!D158),IF(A1488=2032,N('2032'!D158),IF(A1488=2033,N('2033'!D158),IF(A1488=2034,N('2034'!D158),IFERROR(N(INDIRECT("'"&amp;A1488&amp;"'!D"&amp;G1488)),0))))))))))))</f>
        <v>0</v>
      </c>
      <c r="M1488" s="36">
        <f>IFERROR(IF(NOT(ISBLANK(KPI_TARGETS!$M$9)),KPI_TARGETS!$M$9,IF(NOT(ISBLANK(KPI_TARGETS!$F$9)),KPI_TARGETS!$F$9,"")),"")</f>
        <v>0</v>
      </c>
      <c r="N1488" s="36" t="str">
        <f>IFERROR(KPI_TARGETS!$E$9,"Higher is better")</f>
        <v>Higher is better</v>
      </c>
      <c r="O1488" s="37" t="str">
        <f t="shared" ca="1" si="138"/>
        <v/>
      </c>
      <c r="P1488" t="str">
        <f t="shared" ca="1" si="139"/>
        <v>Green</v>
      </c>
      <c r="Q1488" s="36">
        <f t="shared" ca="1" si="140"/>
        <v>0</v>
      </c>
      <c r="R1488" s="36" t="str">
        <f>""</f>
        <v/>
      </c>
      <c r="S1488" s="36" t="str">
        <f>""</f>
        <v/>
      </c>
      <c r="T1488" s="36" t="str">
        <f>""</f>
        <v/>
      </c>
      <c r="U1488" s="36" t="str">
        <f>""</f>
        <v/>
      </c>
      <c r="V1488" s="36" t="str">
        <f>""</f>
        <v/>
      </c>
      <c r="W1488" s="36">
        <f t="shared" si="141"/>
        <v>1</v>
      </c>
      <c r="X1488" t="str">
        <f t="shared" si="142"/>
        <v>Inactive</v>
      </c>
      <c r="Y1488" t="str">
        <f>IF(MAIN!$H$3="Selected Year",IF(A1488=MAIN!$B$3,"Yes","No"),IF(MAIN!$H$3="Included Years",IF(D1488="Yes","Yes","No"),IF(C1488="Yes","Yes","No")))</f>
        <v>No</v>
      </c>
      <c r="Z1488" t="str">
        <f>IF(MAIN!$F$3="Project to Date",IF(AND(A1488&gt;=SETTINGS!$B$4,A1488&lt;MAIN!$B$3),"Yes",IF(AND(A1488=MAIN!$B$3,E1488&lt;=MAIN!$L$3),"Yes","No")),IF(OR(MAIN!$F$3="Full Year",MAIN!$D$3="All"),"Yes",IF(MAIN!$F$3="Monthly",IF(E1488=MAIN!$L$3,"Yes","No"),IF(E1488&lt;=MAIN!$L$3,"Yes","No"))))</f>
        <v>Yes</v>
      </c>
      <c r="AA1488" t="str">
        <f t="shared" si="143"/>
        <v>No</v>
      </c>
    </row>
    <row r="1489" spans="1:27" x14ac:dyDescent="0.3">
      <c r="A1489">
        <f>INDEX(SETTINGS!$A$15:$A$24,$B1489)</f>
        <v>2031</v>
      </c>
      <c r="B1489">
        <v>7</v>
      </c>
      <c r="C1489" t="str">
        <f>IF(AND(A1489&gt;=SETTINGS!$B$4,A1489&lt;=SETTINGS!$B$5),"Yes","No")</f>
        <v>No</v>
      </c>
      <c r="D1489" t="str">
        <f>IFERROR(INDEX(SETTINGS!$C$15:$C$24,MATCH(A1489,SETTINGS!$A$15:$A$24,0)),"No")</f>
        <v>No</v>
      </c>
      <c r="E1489">
        <v>7</v>
      </c>
      <c r="F1489" t="s">
        <v>40</v>
      </c>
      <c r="G1489">
        <v>159</v>
      </c>
      <c r="H1489" t="s">
        <v>99</v>
      </c>
      <c r="I1489" t="s">
        <v>15</v>
      </c>
      <c r="J1489" t="s">
        <v>18</v>
      </c>
      <c r="K1489" t="s">
        <v>3</v>
      </c>
      <c r="L1489" s="36">
        <f ca="1">IF(C1489&lt;&gt;"Yes",0,IF(A1489=2025,N('2025'!D159),IF(A1489=2026,N('2026'!D159),IF(A1489=2027,N('2027'!D159),IF(A1489=2028,N('2028'!D159),IF(A1489=2029,N('2029'!D159),IF(A1489=2030,N('2030'!D159),IF(A1489=2031,N('2031'!D159),IF(A1489=2032,N('2032'!D159),IF(A1489=2033,N('2033'!D159),IF(A1489=2034,N('2034'!D159),IFERROR(N(INDIRECT("'"&amp;A1489&amp;"'!D"&amp;G1489)),0))))))))))))</f>
        <v>0</v>
      </c>
      <c r="M1489" s="36">
        <f>IFERROR(IF(NOT(ISBLANK(KPI_TARGETS!$M$10)),KPI_TARGETS!$M$10,IF(NOT(ISBLANK(KPI_TARGETS!$F$10)),KPI_TARGETS!$F$10,"")),"")</f>
        <v>0</v>
      </c>
      <c r="N1489" s="36" t="str">
        <f>IFERROR(KPI_TARGETS!$E$10,"Higher is better")</f>
        <v>Lower is better</v>
      </c>
      <c r="O1489" s="37">
        <f t="shared" ca="1" si="138"/>
        <v>1</v>
      </c>
      <c r="P1489" t="str">
        <f t="shared" ca="1" si="139"/>
        <v>Green</v>
      </c>
      <c r="Q1489" s="36">
        <f t="shared" ca="1" si="140"/>
        <v>0</v>
      </c>
      <c r="R1489" s="36" t="str">
        <f>""</f>
        <v/>
      </c>
      <c r="S1489" s="36" t="str">
        <f>""</f>
        <v/>
      </c>
      <c r="T1489" s="36" t="str">
        <f>""</f>
        <v/>
      </c>
      <c r="U1489" s="36" t="str">
        <f>""</f>
        <v/>
      </c>
      <c r="V1489" s="36" t="str">
        <f>""</f>
        <v/>
      </c>
      <c r="W1489" s="36">
        <f t="shared" si="141"/>
        <v>1</v>
      </c>
      <c r="X1489" t="str">
        <f t="shared" si="142"/>
        <v>Inactive</v>
      </c>
      <c r="Y1489" t="str">
        <f>IF(MAIN!$H$3="Selected Year",IF(A1489=MAIN!$B$3,"Yes","No"),IF(MAIN!$H$3="Included Years",IF(D1489="Yes","Yes","No"),IF(C1489="Yes","Yes","No")))</f>
        <v>No</v>
      </c>
      <c r="Z1489" t="str">
        <f>IF(MAIN!$F$3="Project to Date",IF(AND(A1489&gt;=SETTINGS!$B$4,A1489&lt;MAIN!$B$3),"Yes",IF(AND(A1489=MAIN!$B$3,E1489&lt;=MAIN!$L$3),"Yes","No")),IF(OR(MAIN!$F$3="Full Year",MAIN!$D$3="All"),"Yes",IF(MAIN!$F$3="Monthly",IF(E1489=MAIN!$L$3,"Yes","No"),IF(E1489&lt;=MAIN!$L$3,"Yes","No"))))</f>
        <v>Yes</v>
      </c>
      <c r="AA1489" t="str">
        <f t="shared" si="143"/>
        <v>No</v>
      </c>
    </row>
    <row r="1490" spans="1:27" x14ac:dyDescent="0.3">
      <c r="A1490">
        <f>INDEX(SETTINGS!$A$15:$A$24,$B1490)</f>
        <v>2031</v>
      </c>
      <c r="B1490">
        <v>7</v>
      </c>
      <c r="C1490" t="str">
        <f>IF(AND(A1490&gt;=SETTINGS!$B$4,A1490&lt;=SETTINGS!$B$5),"Yes","No")</f>
        <v>No</v>
      </c>
      <c r="D1490" t="str">
        <f>IFERROR(INDEX(SETTINGS!$C$15:$C$24,MATCH(A1490,SETTINGS!$A$15:$A$24,0)),"No")</f>
        <v>No</v>
      </c>
      <c r="E1490">
        <v>7</v>
      </c>
      <c r="F1490" t="s">
        <v>40</v>
      </c>
      <c r="G1490">
        <v>160</v>
      </c>
      <c r="H1490" t="s">
        <v>100</v>
      </c>
      <c r="I1490" t="s">
        <v>15</v>
      </c>
      <c r="J1490" t="s">
        <v>19</v>
      </c>
      <c r="K1490" t="s">
        <v>3</v>
      </c>
      <c r="L1490" s="36">
        <f ca="1">IF(C1490&lt;&gt;"Yes",0,IF(A1490=2025,N('2025'!D160),IF(A1490=2026,N('2026'!D160),IF(A1490=2027,N('2027'!D160),IF(A1490=2028,N('2028'!D160),IF(A1490=2029,N('2029'!D160),IF(A1490=2030,N('2030'!D160),IF(A1490=2031,N('2031'!D160),IF(A1490=2032,N('2032'!D160),IF(A1490=2033,N('2033'!D160),IF(A1490=2034,N('2034'!D160),IFERROR(N(INDIRECT("'"&amp;A1490&amp;"'!D"&amp;G1490)),0))))))))))))</f>
        <v>0</v>
      </c>
      <c r="M1490" s="36">
        <f>IFERROR(IF(NOT(ISBLANK(KPI_TARGETS!$M$11)),KPI_TARGETS!$M$11,IF(NOT(ISBLANK(KPI_TARGETS!$F$11)),KPI_TARGETS!$F$11,"")),"")</f>
        <v>0</v>
      </c>
      <c r="N1490" s="36" t="str">
        <f>IFERROR(KPI_TARGETS!$E$11,"Higher is better")</f>
        <v>Lower is better</v>
      </c>
      <c r="O1490" s="37">
        <f t="shared" ca="1" si="138"/>
        <v>1</v>
      </c>
      <c r="P1490" t="str">
        <f t="shared" ca="1" si="139"/>
        <v>Green</v>
      </c>
      <c r="Q1490" s="36">
        <f t="shared" ca="1" si="140"/>
        <v>0</v>
      </c>
      <c r="R1490" s="36" t="str">
        <f>""</f>
        <v/>
      </c>
      <c r="S1490" s="36" t="str">
        <f>""</f>
        <v/>
      </c>
      <c r="T1490" s="36" t="str">
        <f>""</f>
        <v/>
      </c>
      <c r="U1490" s="36" t="str">
        <f>""</f>
        <v/>
      </c>
      <c r="V1490" s="36" t="str">
        <f>""</f>
        <v/>
      </c>
      <c r="W1490" s="36">
        <f t="shared" si="141"/>
        <v>1</v>
      </c>
      <c r="X1490" t="str">
        <f t="shared" si="142"/>
        <v>Inactive</v>
      </c>
      <c r="Y1490" t="str">
        <f>IF(MAIN!$H$3="Selected Year",IF(A1490=MAIN!$B$3,"Yes","No"),IF(MAIN!$H$3="Included Years",IF(D1490="Yes","Yes","No"),IF(C1490="Yes","Yes","No")))</f>
        <v>No</v>
      </c>
      <c r="Z1490" t="str">
        <f>IF(MAIN!$F$3="Project to Date",IF(AND(A1490&gt;=SETTINGS!$B$4,A1490&lt;MAIN!$B$3),"Yes",IF(AND(A1490=MAIN!$B$3,E1490&lt;=MAIN!$L$3),"Yes","No")),IF(OR(MAIN!$F$3="Full Year",MAIN!$D$3="All"),"Yes",IF(MAIN!$F$3="Monthly",IF(E1490=MAIN!$L$3,"Yes","No"),IF(E1490&lt;=MAIN!$L$3,"Yes","No"))))</f>
        <v>Yes</v>
      </c>
      <c r="AA1490" t="str">
        <f t="shared" si="143"/>
        <v>No</v>
      </c>
    </row>
    <row r="1491" spans="1:27" x14ac:dyDescent="0.3">
      <c r="A1491">
        <f>INDEX(SETTINGS!$A$15:$A$24,$B1491)</f>
        <v>2031</v>
      </c>
      <c r="B1491">
        <v>7</v>
      </c>
      <c r="C1491" t="str">
        <f>IF(AND(A1491&gt;=SETTINGS!$B$4,A1491&lt;=SETTINGS!$B$5),"Yes","No")</f>
        <v>No</v>
      </c>
      <c r="D1491" t="str">
        <f>IFERROR(INDEX(SETTINGS!$C$15:$C$24,MATCH(A1491,SETTINGS!$A$15:$A$24,0)),"No")</f>
        <v>No</v>
      </c>
      <c r="E1491">
        <v>7</v>
      </c>
      <c r="F1491" t="s">
        <v>40</v>
      </c>
      <c r="G1491">
        <v>161</v>
      </c>
      <c r="H1491" t="s">
        <v>101</v>
      </c>
      <c r="I1491" t="s">
        <v>15</v>
      </c>
      <c r="J1491" t="s">
        <v>20</v>
      </c>
      <c r="K1491" t="s">
        <v>3</v>
      </c>
      <c r="L1491" s="36">
        <f ca="1">IF(C1491&lt;&gt;"Yes",0,IF(A1491=2025,N('2025'!D161),IF(A1491=2026,N('2026'!D161),IF(A1491=2027,N('2027'!D161),IF(A1491=2028,N('2028'!D161),IF(A1491=2029,N('2029'!D161),IF(A1491=2030,N('2030'!D161),IF(A1491=2031,N('2031'!D161),IF(A1491=2032,N('2032'!D161),IF(A1491=2033,N('2033'!D161),IF(A1491=2034,N('2034'!D161),IFERROR(N(INDIRECT("'"&amp;A1491&amp;"'!D"&amp;G1491)),0))))))))))))</f>
        <v>0</v>
      </c>
      <c r="M1491" s="36">
        <f>IFERROR(IF(NOT(ISBLANK(KPI_TARGETS!$M$12)),KPI_TARGETS!$M$12,IF(NOT(ISBLANK(KPI_TARGETS!$F$12)),KPI_TARGETS!$F$12,"")),"")</f>
        <v>0</v>
      </c>
      <c r="N1491" s="36" t="str">
        <f>IFERROR(KPI_TARGETS!$E$12,"Higher is better")</f>
        <v>Lower is better</v>
      </c>
      <c r="O1491" s="37">
        <f t="shared" ca="1" si="138"/>
        <v>1</v>
      </c>
      <c r="P1491" t="str">
        <f t="shared" ca="1" si="139"/>
        <v>Green</v>
      </c>
      <c r="Q1491" s="36">
        <f t="shared" ca="1" si="140"/>
        <v>0</v>
      </c>
      <c r="R1491" s="36" t="str">
        <f>""</f>
        <v/>
      </c>
      <c r="S1491" s="36" t="str">
        <f>""</f>
        <v/>
      </c>
      <c r="T1491" s="36" t="str">
        <f>""</f>
        <v/>
      </c>
      <c r="U1491" s="36" t="str">
        <f>""</f>
        <v/>
      </c>
      <c r="V1491" s="36" t="str">
        <f>""</f>
        <v/>
      </c>
      <c r="W1491" s="36">
        <f t="shared" si="141"/>
        <v>1</v>
      </c>
      <c r="X1491" t="str">
        <f t="shared" si="142"/>
        <v>Inactive</v>
      </c>
      <c r="Y1491" t="str">
        <f>IF(MAIN!$H$3="Selected Year",IF(A1491=MAIN!$B$3,"Yes","No"),IF(MAIN!$H$3="Included Years",IF(D1491="Yes","Yes","No"),IF(C1491="Yes","Yes","No")))</f>
        <v>No</v>
      </c>
      <c r="Z1491" t="str">
        <f>IF(MAIN!$F$3="Project to Date",IF(AND(A1491&gt;=SETTINGS!$B$4,A1491&lt;MAIN!$B$3),"Yes",IF(AND(A1491=MAIN!$B$3,E1491&lt;=MAIN!$L$3),"Yes","No")),IF(OR(MAIN!$F$3="Full Year",MAIN!$D$3="All"),"Yes",IF(MAIN!$F$3="Monthly",IF(E1491=MAIN!$L$3,"Yes","No"),IF(E1491&lt;=MAIN!$L$3,"Yes","No"))))</f>
        <v>Yes</v>
      </c>
      <c r="AA1491" t="str">
        <f t="shared" si="143"/>
        <v>No</v>
      </c>
    </row>
    <row r="1492" spans="1:27" x14ac:dyDescent="0.3">
      <c r="A1492">
        <f>INDEX(SETTINGS!$A$15:$A$24,$B1492)</f>
        <v>2031</v>
      </c>
      <c r="B1492">
        <v>7</v>
      </c>
      <c r="C1492" t="str">
        <f>IF(AND(A1492&gt;=SETTINGS!$B$4,A1492&lt;=SETTINGS!$B$5),"Yes","No")</f>
        <v>No</v>
      </c>
      <c r="D1492" t="str">
        <f>IFERROR(INDEX(SETTINGS!$C$15:$C$24,MATCH(A1492,SETTINGS!$A$15:$A$24,0)),"No")</f>
        <v>No</v>
      </c>
      <c r="E1492">
        <v>7</v>
      </c>
      <c r="F1492" t="s">
        <v>40</v>
      </c>
      <c r="G1492">
        <v>162</v>
      </c>
      <c r="H1492" t="s">
        <v>102</v>
      </c>
      <c r="I1492" t="s">
        <v>15</v>
      </c>
      <c r="J1492" t="s">
        <v>21</v>
      </c>
      <c r="K1492" t="s">
        <v>3</v>
      </c>
      <c r="L1492" s="36">
        <f ca="1">IF(C1492&lt;&gt;"Yes",0,IF(A1492=2025,N('2025'!D162),IF(A1492=2026,N('2026'!D162),IF(A1492=2027,N('2027'!D162),IF(A1492=2028,N('2028'!D162),IF(A1492=2029,N('2029'!D162),IF(A1492=2030,N('2030'!D162),IF(A1492=2031,N('2031'!D162),IF(A1492=2032,N('2032'!D162),IF(A1492=2033,N('2033'!D162),IF(A1492=2034,N('2034'!D162),IFERROR(N(INDIRECT("'"&amp;A1492&amp;"'!D"&amp;G1492)),0))))))))))))</f>
        <v>0</v>
      </c>
      <c r="M1492" s="36">
        <f>IFERROR(IF(NOT(ISBLANK(KPI_TARGETS!$M$13)),KPI_TARGETS!$M$13,IF(NOT(ISBLANK(KPI_TARGETS!$F$13)),KPI_TARGETS!$F$13,"")),"")</f>
        <v>0</v>
      </c>
      <c r="N1492" s="36" t="str">
        <f>IFERROR(KPI_TARGETS!$E$13,"Higher is better")</f>
        <v>Lower is better</v>
      </c>
      <c r="O1492" s="37">
        <f t="shared" ca="1" si="138"/>
        <v>1</v>
      </c>
      <c r="P1492" t="str">
        <f t="shared" ca="1" si="139"/>
        <v>Green</v>
      </c>
      <c r="Q1492" s="36">
        <f t="shared" ca="1" si="140"/>
        <v>0</v>
      </c>
      <c r="R1492" s="36" t="str">
        <f>""</f>
        <v/>
      </c>
      <c r="S1492" s="36" t="str">
        <f>""</f>
        <v/>
      </c>
      <c r="T1492" s="36" t="str">
        <f>""</f>
        <v/>
      </c>
      <c r="U1492" s="36" t="str">
        <f>""</f>
        <v/>
      </c>
      <c r="V1492" s="36" t="str">
        <f>""</f>
        <v/>
      </c>
      <c r="W1492" s="36">
        <f t="shared" si="141"/>
        <v>1</v>
      </c>
      <c r="X1492" t="str">
        <f t="shared" si="142"/>
        <v>Inactive</v>
      </c>
      <c r="Y1492" t="str">
        <f>IF(MAIN!$H$3="Selected Year",IF(A1492=MAIN!$B$3,"Yes","No"),IF(MAIN!$H$3="Included Years",IF(D1492="Yes","Yes","No"),IF(C1492="Yes","Yes","No")))</f>
        <v>No</v>
      </c>
      <c r="Z1492" t="str">
        <f>IF(MAIN!$F$3="Project to Date",IF(AND(A1492&gt;=SETTINGS!$B$4,A1492&lt;MAIN!$B$3),"Yes",IF(AND(A1492=MAIN!$B$3,E1492&lt;=MAIN!$L$3),"Yes","No")),IF(OR(MAIN!$F$3="Full Year",MAIN!$D$3="All"),"Yes",IF(MAIN!$F$3="Monthly",IF(E1492=MAIN!$L$3,"Yes","No"),IF(E1492&lt;=MAIN!$L$3,"Yes","No"))))</f>
        <v>Yes</v>
      </c>
      <c r="AA1492" t="str">
        <f t="shared" si="143"/>
        <v>No</v>
      </c>
    </row>
    <row r="1493" spans="1:27" x14ac:dyDescent="0.3">
      <c r="A1493">
        <f>INDEX(SETTINGS!$A$15:$A$24,$B1493)</f>
        <v>2031</v>
      </c>
      <c r="B1493">
        <v>7</v>
      </c>
      <c r="C1493" t="str">
        <f>IF(AND(A1493&gt;=SETTINGS!$B$4,A1493&lt;=SETTINGS!$B$5),"Yes","No")</f>
        <v>No</v>
      </c>
      <c r="D1493" t="str">
        <f>IFERROR(INDEX(SETTINGS!$C$15:$C$24,MATCH(A1493,SETTINGS!$A$15:$A$24,0)),"No")</f>
        <v>No</v>
      </c>
      <c r="E1493">
        <v>7</v>
      </c>
      <c r="F1493" t="s">
        <v>40</v>
      </c>
      <c r="G1493">
        <v>164</v>
      </c>
      <c r="H1493" t="s">
        <v>103</v>
      </c>
      <c r="I1493" t="s">
        <v>22</v>
      </c>
      <c r="J1493" t="s">
        <v>23</v>
      </c>
      <c r="K1493" t="s">
        <v>3</v>
      </c>
      <c r="L1493" s="36">
        <f ca="1">IF(C1493&lt;&gt;"Yes",0,IF(A1493=2025,N('2025'!D164),IF(A1493=2026,N('2026'!D164),IF(A1493=2027,N('2027'!D164),IF(A1493=2028,N('2028'!D164),IF(A1493=2029,N('2029'!D164),IF(A1493=2030,N('2030'!D164),IF(A1493=2031,N('2031'!D164),IF(A1493=2032,N('2032'!D164),IF(A1493=2033,N('2033'!D164),IF(A1493=2034,N('2034'!D164),IFERROR(N(INDIRECT("'"&amp;A1493&amp;"'!D"&amp;G1493)),0))))))))))))</f>
        <v>0</v>
      </c>
      <c r="M1493" s="36">
        <f>IFERROR(IF(NOT(ISBLANK(KPI_TARGETS!$M$14)),KPI_TARGETS!$M$14,IF(NOT(ISBLANK(KPI_TARGETS!$F$14)),KPI_TARGETS!$F$14,"")),"")</f>
        <v>35</v>
      </c>
      <c r="N1493" s="36" t="str">
        <f>IFERROR(KPI_TARGETS!$E$14,"Higher is better")</f>
        <v>Higher is better</v>
      </c>
      <c r="O1493" s="37">
        <f t="shared" ca="1" si="138"/>
        <v>0</v>
      </c>
      <c r="P1493" t="str">
        <f t="shared" ca="1" si="139"/>
        <v>Red</v>
      </c>
      <c r="Q1493" s="36">
        <f t="shared" ca="1" si="140"/>
        <v>-35</v>
      </c>
      <c r="R1493" s="36" t="str">
        <f>""</f>
        <v/>
      </c>
      <c r="S1493" s="36" t="str">
        <f>""</f>
        <v/>
      </c>
      <c r="T1493" s="36" t="str">
        <f>""</f>
        <v/>
      </c>
      <c r="U1493" s="36" t="str">
        <f>""</f>
        <v/>
      </c>
      <c r="V1493" s="36" t="str">
        <f>""</f>
        <v/>
      </c>
      <c r="W1493" s="36">
        <f t="shared" si="141"/>
        <v>1</v>
      </c>
      <c r="X1493" t="str">
        <f t="shared" si="142"/>
        <v>Inactive</v>
      </c>
      <c r="Y1493" t="str">
        <f>IF(MAIN!$H$3="Selected Year",IF(A1493=MAIN!$B$3,"Yes","No"),IF(MAIN!$H$3="Included Years",IF(D1493="Yes","Yes","No"),IF(C1493="Yes","Yes","No")))</f>
        <v>No</v>
      </c>
      <c r="Z1493" t="str">
        <f>IF(MAIN!$F$3="Project to Date",IF(AND(A1493&gt;=SETTINGS!$B$4,A1493&lt;MAIN!$B$3),"Yes",IF(AND(A1493=MAIN!$B$3,E1493&lt;=MAIN!$L$3),"Yes","No")),IF(OR(MAIN!$F$3="Full Year",MAIN!$D$3="All"),"Yes",IF(MAIN!$F$3="Monthly",IF(E1493=MAIN!$L$3,"Yes","No"),IF(E1493&lt;=MAIN!$L$3,"Yes","No"))))</f>
        <v>Yes</v>
      </c>
      <c r="AA1493" t="str">
        <f t="shared" si="143"/>
        <v>No</v>
      </c>
    </row>
    <row r="1494" spans="1:27" x14ac:dyDescent="0.3">
      <c r="A1494">
        <f>INDEX(SETTINGS!$A$15:$A$24,$B1494)</f>
        <v>2031</v>
      </c>
      <c r="B1494">
        <v>7</v>
      </c>
      <c r="C1494" t="str">
        <f>IF(AND(A1494&gt;=SETTINGS!$B$4,A1494&lt;=SETTINGS!$B$5),"Yes","No")</f>
        <v>No</v>
      </c>
      <c r="D1494" t="str">
        <f>IFERROR(INDEX(SETTINGS!$C$15:$C$24,MATCH(A1494,SETTINGS!$A$15:$A$24,0)),"No")</f>
        <v>No</v>
      </c>
      <c r="E1494">
        <v>7</v>
      </c>
      <c r="F1494" t="s">
        <v>40</v>
      </c>
      <c r="G1494">
        <v>165</v>
      </c>
      <c r="H1494" t="s">
        <v>104</v>
      </c>
      <c r="I1494" t="s">
        <v>22</v>
      </c>
      <c r="J1494" t="s">
        <v>24</v>
      </c>
      <c r="K1494" t="s">
        <v>3</v>
      </c>
      <c r="L1494" s="36">
        <f ca="1">IF(C1494&lt;&gt;"Yes",0,IF(A1494=2025,N('2025'!D165),IF(A1494=2026,N('2026'!D165),IF(A1494=2027,N('2027'!D165),IF(A1494=2028,N('2028'!D165),IF(A1494=2029,N('2029'!D165),IF(A1494=2030,N('2030'!D165),IF(A1494=2031,N('2031'!D165),IF(A1494=2032,N('2032'!D165),IF(A1494=2033,N('2033'!D165),IF(A1494=2034,N('2034'!D165),IFERROR(N(INDIRECT("'"&amp;A1494&amp;"'!D"&amp;G1494)),0))))))))))))</f>
        <v>0</v>
      </c>
      <c r="M1494" s="36">
        <f>IFERROR(IF(NOT(ISBLANK(KPI_TARGETS!$M$15)),KPI_TARGETS!$M$15,IF(NOT(ISBLANK(KPI_TARGETS!$F$15)),KPI_TARGETS!$F$15,"")),"")</f>
        <v>5</v>
      </c>
      <c r="N1494" s="36" t="str">
        <f>IFERROR(KPI_TARGETS!$E$15,"Higher is better")</f>
        <v>Higher is better</v>
      </c>
      <c r="O1494" s="37">
        <f t="shared" ca="1" si="138"/>
        <v>0</v>
      </c>
      <c r="P1494" t="str">
        <f t="shared" ca="1" si="139"/>
        <v>Red</v>
      </c>
      <c r="Q1494" s="36">
        <f t="shared" ca="1" si="140"/>
        <v>-5</v>
      </c>
      <c r="R1494" s="36" t="str">
        <f>""</f>
        <v/>
      </c>
      <c r="S1494" s="36" t="str">
        <f>""</f>
        <v/>
      </c>
      <c r="T1494" s="36" t="str">
        <f>""</f>
        <v/>
      </c>
      <c r="U1494" s="36" t="str">
        <f>""</f>
        <v/>
      </c>
      <c r="V1494" s="36" t="str">
        <f>""</f>
        <v/>
      </c>
      <c r="W1494" s="36">
        <f t="shared" si="141"/>
        <v>1</v>
      </c>
      <c r="X1494" t="str">
        <f t="shared" si="142"/>
        <v>Inactive</v>
      </c>
      <c r="Y1494" t="str">
        <f>IF(MAIN!$H$3="Selected Year",IF(A1494=MAIN!$B$3,"Yes","No"),IF(MAIN!$H$3="Included Years",IF(D1494="Yes","Yes","No"),IF(C1494="Yes","Yes","No")))</f>
        <v>No</v>
      </c>
      <c r="Z1494" t="str">
        <f>IF(MAIN!$F$3="Project to Date",IF(AND(A1494&gt;=SETTINGS!$B$4,A1494&lt;MAIN!$B$3),"Yes",IF(AND(A1494=MAIN!$B$3,E1494&lt;=MAIN!$L$3),"Yes","No")),IF(OR(MAIN!$F$3="Full Year",MAIN!$D$3="All"),"Yes",IF(MAIN!$F$3="Monthly",IF(E1494=MAIN!$L$3,"Yes","No"),IF(E1494&lt;=MAIN!$L$3,"Yes","No"))))</f>
        <v>Yes</v>
      </c>
      <c r="AA1494" t="str">
        <f t="shared" si="143"/>
        <v>No</v>
      </c>
    </row>
    <row r="1495" spans="1:27" x14ac:dyDescent="0.3">
      <c r="A1495">
        <f>INDEX(SETTINGS!$A$15:$A$24,$B1495)</f>
        <v>2031</v>
      </c>
      <c r="B1495">
        <v>7</v>
      </c>
      <c r="C1495" t="str">
        <f>IF(AND(A1495&gt;=SETTINGS!$B$4,A1495&lt;=SETTINGS!$B$5),"Yes","No")</f>
        <v>No</v>
      </c>
      <c r="D1495" t="str">
        <f>IFERROR(INDEX(SETTINGS!$C$15:$C$24,MATCH(A1495,SETTINGS!$A$15:$A$24,0)),"No")</f>
        <v>No</v>
      </c>
      <c r="E1495">
        <v>7</v>
      </c>
      <c r="F1495" t="s">
        <v>40</v>
      </c>
      <c r="G1495">
        <v>166</v>
      </c>
      <c r="H1495" t="s">
        <v>105</v>
      </c>
      <c r="I1495" t="s">
        <v>22</v>
      </c>
      <c r="J1495" t="s">
        <v>25</v>
      </c>
      <c r="K1495" t="s">
        <v>3</v>
      </c>
      <c r="L1495" s="36">
        <f ca="1">IF(C1495&lt;&gt;"Yes",0,IF(A1495=2025,N('2025'!D166),IF(A1495=2026,N('2026'!D166),IF(A1495=2027,N('2027'!D166),IF(A1495=2028,N('2028'!D166),IF(A1495=2029,N('2029'!D166),IF(A1495=2030,N('2030'!D166),IF(A1495=2031,N('2031'!D166),IF(A1495=2032,N('2032'!D166),IF(A1495=2033,N('2033'!D166),IF(A1495=2034,N('2034'!D166),IFERROR(N(INDIRECT("'"&amp;A1495&amp;"'!D"&amp;G1495)),0))))))))))))</f>
        <v>0</v>
      </c>
      <c r="M1495" s="36">
        <f>IFERROR(IF(NOT(ISBLANK(KPI_TARGETS!$M$16)),KPI_TARGETS!$M$16,IF(NOT(ISBLANK(KPI_TARGETS!$F$16)),KPI_TARGETS!$F$16,"")),"")</f>
        <v>4</v>
      </c>
      <c r="N1495" s="36" t="str">
        <f>IFERROR(KPI_TARGETS!$E$16,"Higher is better")</f>
        <v>Higher is better</v>
      </c>
      <c r="O1495" s="37">
        <f t="shared" ca="1" si="138"/>
        <v>0</v>
      </c>
      <c r="P1495" t="str">
        <f t="shared" ca="1" si="139"/>
        <v>Red</v>
      </c>
      <c r="Q1495" s="36">
        <f t="shared" ca="1" si="140"/>
        <v>-4</v>
      </c>
      <c r="R1495" s="36" t="str">
        <f>""</f>
        <v/>
      </c>
      <c r="S1495" s="36" t="str">
        <f>""</f>
        <v/>
      </c>
      <c r="T1495" s="36" t="str">
        <f>""</f>
        <v/>
      </c>
      <c r="U1495" s="36" t="str">
        <f>""</f>
        <v/>
      </c>
      <c r="V1495" s="36" t="str">
        <f>""</f>
        <v/>
      </c>
      <c r="W1495" s="36">
        <f t="shared" si="141"/>
        <v>1</v>
      </c>
      <c r="X1495" t="str">
        <f t="shared" si="142"/>
        <v>Inactive</v>
      </c>
      <c r="Y1495" t="str">
        <f>IF(MAIN!$H$3="Selected Year",IF(A1495=MAIN!$B$3,"Yes","No"),IF(MAIN!$H$3="Included Years",IF(D1495="Yes","Yes","No"),IF(C1495="Yes","Yes","No")))</f>
        <v>No</v>
      </c>
      <c r="Z1495" t="str">
        <f>IF(MAIN!$F$3="Project to Date",IF(AND(A1495&gt;=SETTINGS!$B$4,A1495&lt;MAIN!$B$3),"Yes",IF(AND(A1495=MAIN!$B$3,E1495&lt;=MAIN!$L$3),"Yes","No")),IF(OR(MAIN!$F$3="Full Year",MAIN!$D$3="All"),"Yes",IF(MAIN!$F$3="Monthly",IF(E1495=MAIN!$L$3,"Yes","No"),IF(E1495&lt;=MAIN!$L$3,"Yes","No"))))</f>
        <v>Yes</v>
      </c>
      <c r="AA1495" t="str">
        <f t="shared" si="143"/>
        <v>No</v>
      </c>
    </row>
    <row r="1496" spans="1:27" x14ac:dyDescent="0.3">
      <c r="A1496">
        <f>INDEX(SETTINGS!$A$15:$A$24,$B1496)</f>
        <v>2031</v>
      </c>
      <c r="B1496">
        <v>7</v>
      </c>
      <c r="C1496" t="str">
        <f>IF(AND(A1496&gt;=SETTINGS!$B$4,A1496&lt;=SETTINGS!$B$5),"Yes","No")</f>
        <v>No</v>
      </c>
      <c r="D1496" t="str">
        <f>IFERROR(INDEX(SETTINGS!$C$15:$C$24,MATCH(A1496,SETTINGS!$A$15:$A$24,0)),"No")</f>
        <v>No</v>
      </c>
      <c r="E1496">
        <v>7</v>
      </c>
      <c r="F1496" t="s">
        <v>40</v>
      </c>
      <c r="G1496">
        <v>167</v>
      </c>
      <c r="H1496" t="s">
        <v>106</v>
      </c>
      <c r="I1496" t="s">
        <v>22</v>
      </c>
      <c r="J1496" t="s">
        <v>26</v>
      </c>
      <c r="K1496" t="s">
        <v>3</v>
      </c>
      <c r="L1496" s="36">
        <f ca="1">IF(C1496&lt;&gt;"Yes",0,IF(A1496=2025,N('2025'!D167),IF(A1496=2026,N('2026'!D167),IF(A1496=2027,N('2027'!D167),IF(A1496=2028,N('2028'!D167),IF(A1496=2029,N('2029'!D167),IF(A1496=2030,N('2030'!D167),IF(A1496=2031,N('2031'!D167),IF(A1496=2032,N('2032'!D167),IF(A1496=2033,N('2033'!D167),IF(A1496=2034,N('2034'!D167),IFERROR(N(INDIRECT("'"&amp;A1496&amp;"'!D"&amp;G1496)),0))))))))))))</f>
        <v>0</v>
      </c>
      <c r="M1496" s="36">
        <f>IFERROR(IF(NOT(ISBLANK(KPI_TARGETS!$M$17)),KPI_TARGETS!$M$17,IF(NOT(ISBLANK(KPI_TARGETS!$F$17)),KPI_TARGETS!$F$17,"")),"")</f>
        <v>12</v>
      </c>
      <c r="N1496" s="36" t="str">
        <f>IFERROR(KPI_TARGETS!$E$17,"Higher is better")</f>
        <v>Higher is better</v>
      </c>
      <c r="O1496" s="37">
        <f t="shared" ca="1" si="138"/>
        <v>0</v>
      </c>
      <c r="P1496" t="str">
        <f t="shared" ca="1" si="139"/>
        <v>Red</v>
      </c>
      <c r="Q1496" s="36">
        <f t="shared" ca="1" si="140"/>
        <v>-12</v>
      </c>
      <c r="R1496" s="36" t="str">
        <f>""</f>
        <v/>
      </c>
      <c r="S1496" s="36" t="str">
        <f>""</f>
        <v/>
      </c>
      <c r="T1496" s="36" t="str">
        <f>""</f>
        <v/>
      </c>
      <c r="U1496" s="36" t="str">
        <f>""</f>
        <v/>
      </c>
      <c r="V1496" s="36" t="str">
        <f>""</f>
        <v/>
      </c>
      <c r="W1496" s="36">
        <f t="shared" si="141"/>
        <v>1</v>
      </c>
      <c r="X1496" t="str">
        <f t="shared" si="142"/>
        <v>Inactive</v>
      </c>
      <c r="Y1496" t="str">
        <f>IF(MAIN!$H$3="Selected Year",IF(A1496=MAIN!$B$3,"Yes","No"),IF(MAIN!$H$3="Included Years",IF(D1496="Yes","Yes","No"),IF(C1496="Yes","Yes","No")))</f>
        <v>No</v>
      </c>
      <c r="Z1496" t="str">
        <f>IF(MAIN!$F$3="Project to Date",IF(AND(A1496&gt;=SETTINGS!$B$4,A1496&lt;MAIN!$B$3),"Yes",IF(AND(A1496=MAIN!$B$3,E1496&lt;=MAIN!$L$3),"Yes","No")),IF(OR(MAIN!$F$3="Full Year",MAIN!$D$3="All"),"Yes",IF(MAIN!$F$3="Monthly",IF(E1496=MAIN!$L$3,"Yes","No"),IF(E1496&lt;=MAIN!$L$3,"Yes","No"))))</f>
        <v>Yes</v>
      </c>
      <c r="AA1496" t="str">
        <f t="shared" si="143"/>
        <v>No</v>
      </c>
    </row>
    <row r="1497" spans="1:27" x14ac:dyDescent="0.3">
      <c r="A1497">
        <f>INDEX(SETTINGS!$A$15:$A$24,$B1497)</f>
        <v>2031</v>
      </c>
      <c r="B1497">
        <v>7</v>
      </c>
      <c r="C1497" t="str">
        <f>IF(AND(A1497&gt;=SETTINGS!$B$4,A1497&lt;=SETTINGS!$B$5),"Yes","No")</f>
        <v>No</v>
      </c>
      <c r="D1497" t="str">
        <f>IFERROR(INDEX(SETTINGS!$C$15:$C$24,MATCH(A1497,SETTINGS!$A$15:$A$24,0)),"No")</f>
        <v>No</v>
      </c>
      <c r="E1497">
        <v>7</v>
      </c>
      <c r="F1497" t="s">
        <v>40</v>
      </c>
      <c r="G1497">
        <v>168</v>
      </c>
      <c r="H1497" t="s">
        <v>107</v>
      </c>
      <c r="I1497" t="s">
        <v>22</v>
      </c>
      <c r="J1497" t="s">
        <v>27</v>
      </c>
      <c r="K1497" t="s">
        <v>3</v>
      </c>
      <c r="L1497" s="36">
        <f ca="1">IF(C1497&lt;&gt;"Yes",0,IF(A1497=2025,N('2025'!D168),IF(A1497=2026,N('2026'!D168),IF(A1497=2027,N('2027'!D168),IF(A1497=2028,N('2028'!D168),IF(A1497=2029,N('2029'!D168),IF(A1497=2030,N('2030'!D168),IF(A1497=2031,N('2031'!D168),IF(A1497=2032,N('2032'!D168),IF(A1497=2033,N('2033'!D168),IF(A1497=2034,N('2034'!D168),IFERROR(N(INDIRECT("'"&amp;A1497&amp;"'!D"&amp;G1497)),0))))))))))))</f>
        <v>0</v>
      </c>
      <c r="M1497" s="36">
        <f>IFERROR(IF(NOT(ISBLANK(KPI_TARGETS!$M$18)),KPI_TARGETS!$M$18,IF(NOT(ISBLANK(KPI_TARGETS!$F$18)),KPI_TARGETS!$F$18,"")),"")</f>
        <v>4</v>
      </c>
      <c r="N1497" s="36" t="str">
        <f>IFERROR(KPI_TARGETS!$E$18,"Higher is better")</f>
        <v>Higher is better</v>
      </c>
      <c r="O1497" s="37">
        <f t="shared" ca="1" si="138"/>
        <v>0</v>
      </c>
      <c r="P1497" t="str">
        <f t="shared" ca="1" si="139"/>
        <v>Red</v>
      </c>
      <c r="Q1497" s="36">
        <f t="shared" ca="1" si="140"/>
        <v>-4</v>
      </c>
      <c r="R1497" s="36" t="str">
        <f>""</f>
        <v/>
      </c>
      <c r="S1497" s="36" t="str">
        <f>""</f>
        <v/>
      </c>
      <c r="T1497" s="36" t="str">
        <f>""</f>
        <v/>
      </c>
      <c r="U1497" s="36" t="str">
        <f>""</f>
        <v/>
      </c>
      <c r="V1497" s="36" t="str">
        <f>""</f>
        <v/>
      </c>
      <c r="W1497" s="36">
        <f t="shared" si="141"/>
        <v>1</v>
      </c>
      <c r="X1497" t="str">
        <f t="shared" si="142"/>
        <v>Inactive</v>
      </c>
      <c r="Y1497" t="str">
        <f>IF(MAIN!$H$3="Selected Year",IF(A1497=MAIN!$B$3,"Yes","No"),IF(MAIN!$H$3="Included Years",IF(D1497="Yes","Yes","No"),IF(C1497="Yes","Yes","No")))</f>
        <v>No</v>
      </c>
      <c r="Z1497" t="str">
        <f>IF(MAIN!$F$3="Project to Date",IF(AND(A1497&gt;=SETTINGS!$B$4,A1497&lt;MAIN!$B$3),"Yes",IF(AND(A1497=MAIN!$B$3,E1497&lt;=MAIN!$L$3),"Yes","No")),IF(OR(MAIN!$F$3="Full Year",MAIN!$D$3="All"),"Yes",IF(MAIN!$F$3="Monthly",IF(E1497=MAIN!$L$3,"Yes","No"),IF(E1497&lt;=MAIN!$L$3,"Yes","No"))))</f>
        <v>Yes</v>
      </c>
      <c r="AA1497" t="str">
        <f t="shared" si="143"/>
        <v>No</v>
      </c>
    </row>
    <row r="1498" spans="1:27" x14ac:dyDescent="0.3">
      <c r="A1498">
        <f>INDEX(SETTINGS!$A$15:$A$24,$B1498)</f>
        <v>2031</v>
      </c>
      <c r="B1498">
        <v>7</v>
      </c>
      <c r="C1498" t="str">
        <f>IF(AND(A1498&gt;=SETTINGS!$B$4,A1498&lt;=SETTINGS!$B$5),"Yes","No")</f>
        <v>No</v>
      </c>
      <c r="D1498" t="str">
        <f>IFERROR(INDEX(SETTINGS!$C$15:$C$24,MATCH(A1498,SETTINGS!$A$15:$A$24,0)),"No")</f>
        <v>No</v>
      </c>
      <c r="E1498">
        <v>7</v>
      </c>
      <c r="F1498" t="s">
        <v>40</v>
      </c>
      <c r="G1498">
        <v>169</v>
      </c>
      <c r="H1498" t="s">
        <v>108</v>
      </c>
      <c r="I1498" t="s">
        <v>22</v>
      </c>
      <c r="J1498" t="s">
        <v>28</v>
      </c>
      <c r="K1498" t="s">
        <v>3</v>
      </c>
      <c r="L1498" s="36">
        <f ca="1">IF(C1498&lt;&gt;"Yes",0,IF(A1498=2025,N('2025'!D169),IF(A1498=2026,N('2026'!D169),IF(A1498=2027,N('2027'!D169),IF(A1498=2028,N('2028'!D169),IF(A1498=2029,N('2029'!D169),IF(A1498=2030,N('2030'!D169),IF(A1498=2031,N('2031'!D169),IF(A1498=2032,N('2032'!D169),IF(A1498=2033,N('2033'!D169),IF(A1498=2034,N('2034'!D169),IFERROR(N(INDIRECT("'"&amp;A1498&amp;"'!D"&amp;G1498)),0))))))))))))</f>
        <v>0</v>
      </c>
      <c r="M1498" s="36">
        <f>IFERROR(IF(NOT(ISBLANK(KPI_TARGETS!$M$19)),KPI_TARGETS!$M$19,IF(NOT(ISBLANK(KPI_TARGETS!$F$19)),KPI_TARGETS!$F$19,"")),"")</f>
        <v>16</v>
      </c>
      <c r="N1498" s="36" t="str">
        <f>IFERROR(KPI_TARGETS!$E$19,"Higher is better")</f>
        <v>Higher is better</v>
      </c>
      <c r="O1498" s="37">
        <f t="shared" ca="1" si="138"/>
        <v>0</v>
      </c>
      <c r="P1498" t="str">
        <f t="shared" ca="1" si="139"/>
        <v>Red</v>
      </c>
      <c r="Q1498" s="36">
        <f t="shared" ca="1" si="140"/>
        <v>-16</v>
      </c>
      <c r="R1498" s="36" t="str">
        <f>""</f>
        <v/>
      </c>
      <c r="S1498" s="36" t="str">
        <f>""</f>
        <v/>
      </c>
      <c r="T1498" s="36" t="str">
        <f>""</f>
        <v/>
      </c>
      <c r="U1498" s="36" t="str">
        <f>""</f>
        <v/>
      </c>
      <c r="V1498" s="36" t="str">
        <f>""</f>
        <v/>
      </c>
      <c r="W1498" s="36">
        <f t="shared" si="141"/>
        <v>1</v>
      </c>
      <c r="X1498" t="str">
        <f t="shared" si="142"/>
        <v>Inactive</v>
      </c>
      <c r="Y1498" t="str">
        <f>IF(MAIN!$H$3="Selected Year",IF(A1498=MAIN!$B$3,"Yes","No"),IF(MAIN!$H$3="Included Years",IF(D1498="Yes","Yes","No"),IF(C1498="Yes","Yes","No")))</f>
        <v>No</v>
      </c>
      <c r="Z1498" t="str">
        <f>IF(MAIN!$F$3="Project to Date",IF(AND(A1498&gt;=SETTINGS!$B$4,A1498&lt;MAIN!$B$3),"Yes",IF(AND(A1498=MAIN!$B$3,E1498&lt;=MAIN!$L$3),"Yes","No")),IF(OR(MAIN!$F$3="Full Year",MAIN!$D$3="All"),"Yes",IF(MAIN!$F$3="Monthly",IF(E1498=MAIN!$L$3,"Yes","No"),IF(E1498&lt;=MAIN!$L$3,"Yes","No"))))</f>
        <v>Yes</v>
      </c>
      <c r="AA1498" t="str">
        <f t="shared" si="143"/>
        <v>No</v>
      </c>
    </row>
    <row r="1499" spans="1:27" x14ac:dyDescent="0.3">
      <c r="A1499">
        <f>INDEX(SETTINGS!$A$15:$A$24,$B1499)</f>
        <v>2031</v>
      </c>
      <c r="B1499">
        <v>7</v>
      </c>
      <c r="C1499" t="str">
        <f>IF(AND(A1499&gt;=SETTINGS!$B$4,A1499&lt;=SETTINGS!$B$5),"Yes","No")</f>
        <v>No</v>
      </c>
      <c r="D1499" t="str">
        <f>IFERROR(INDEX(SETTINGS!$C$15:$C$24,MATCH(A1499,SETTINGS!$A$15:$A$24,0)),"No")</f>
        <v>No</v>
      </c>
      <c r="E1499">
        <v>7</v>
      </c>
      <c r="F1499" t="s">
        <v>40</v>
      </c>
      <c r="G1499">
        <v>170</v>
      </c>
      <c r="H1499" t="s">
        <v>109</v>
      </c>
      <c r="I1499" t="s">
        <v>22</v>
      </c>
      <c r="J1499" t="s">
        <v>29</v>
      </c>
      <c r="K1499" t="s">
        <v>3</v>
      </c>
      <c r="L1499" s="36">
        <f ca="1">IF(C1499&lt;&gt;"Yes",0,IF(A1499=2025,N('2025'!D170),IF(A1499=2026,N('2026'!D170),IF(A1499=2027,N('2027'!D170),IF(A1499=2028,N('2028'!D170),IF(A1499=2029,N('2029'!D170),IF(A1499=2030,N('2030'!D170),IF(A1499=2031,N('2031'!D170),IF(A1499=2032,N('2032'!D170),IF(A1499=2033,N('2033'!D170),IF(A1499=2034,N('2034'!D170),IFERROR(N(INDIRECT("'"&amp;A1499&amp;"'!D"&amp;G1499)),0))))))))))))</f>
        <v>0</v>
      </c>
      <c r="M1499" s="36">
        <f>IFERROR(IF(NOT(ISBLANK(KPI_TARGETS!$M$20)),KPI_TARGETS!$M$20,IF(NOT(ISBLANK(KPI_TARGETS!$F$20)),KPI_TARGETS!$F$20,"")),"")</f>
        <v>1</v>
      </c>
      <c r="N1499" s="36" t="str">
        <f>IFERROR(KPI_TARGETS!$E$20,"Higher is better")</f>
        <v>Higher is better</v>
      </c>
      <c r="O1499" s="37">
        <f t="shared" ca="1" si="138"/>
        <v>0</v>
      </c>
      <c r="P1499" t="str">
        <f t="shared" ca="1" si="139"/>
        <v>Red</v>
      </c>
      <c r="Q1499" s="36">
        <f t="shared" ca="1" si="140"/>
        <v>-1</v>
      </c>
      <c r="R1499" s="36" t="str">
        <f>""</f>
        <v/>
      </c>
      <c r="S1499" s="36" t="str">
        <f>""</f>
        <v/>
      </c>
      <c r="T1499" s="36" t="str">
        <f>""</f>
        <v/>
      </c>
      <c r="U1499" s="36" t="str">
        <f>""</f>
        <v/>
      </c>
      <c r="V1499" s="36" t="str">
        <f>""</f>
        <v/>
      </c>
      <c r="W1499" s="36">
        <f t="shared" si="141"/>
        <v>1</v>
      </c>
      <c r="X1499" t="str">
        <f t="shared" si="142"/>
        <v>Inactive</v>
      </c>
      <c r="Y1499" t="str">
        <f>IF(MAIN!$H$3="Selected Year",IF(A1499=MAIN!$B$3,"Yes","No"),IF(MAIN!$H$3="Included Years",IF(D1499="Yes","Yes","No"),IF(C1499="Yes","Yes","No")))</f>
        <v>No</v>
      </c>
      <c r="Z1499" t="str">
        <f>IF(MAIN!$F$3="Project to Date",IF(AND(A1499&gt;=SETTINGS!$B$4,A1499&lt;MAIN!$B$3),"Yes",IF(AND(A1499=MAIN!$B$3,E1499&lt;=MAIN!$L$3),"Yes","No")),IF(OR(MAIN!$F$3="Full Year",MAIN!$D$3="All"),"Yes",IF(MAIN!$F$3="Monthly",IF(E1499=MAIN!$L$3,"Yes","No"),IF(E1499&lt;=MAIN!$L$3,"Yes","No"))))</f>
        <v>Yes</v>
      </c>
      <c r="AA1499" t="str">
        <f t="shared" si="143"/>
        <v>No</v>
      </c>
    </row>
    <row r="1500" spans="1:27" x14ac:dyDescent="0.3">
      <c r="A1500">
        <f>INDEX(SETTINGS!$A$15:$A$24,$B1500)</f>
        <v>2031</v>
      </c>
      <c r="B1500">
        <v>7</v>
      </c>
      <c r="C1500" t="str">
        <f>IF(AND(A1500&gt;=SETTINGS!$B$4,A1500&lt;=SETTINGS!$B$5),"Yes","No")</f>
        <v>No</v>
      </c>
      <c r="D1500" t="str">
        <f>IFERROR(INDEX(SETTINGS!$C$15:$C$24,MATCH(A1500,SETTINGS!$A$15:$A$24,0)),"No")</f>
        <v>No</v>
      </c>
      <c r="E1500">
        <v>7</v>
      </c>
      <c r="F1500" t="s">
        <v>40</v>
      </c>
      <c r="G1500">
        <v>172</v>
      </c>
      <c r="H1500" t="s">
        <v>110</v>
      </c>
      <c r="I1500" t="s">
        <v>30</v>
      </c>
      <c r="J1500" t="s">
        <v>31</v>
      </c>
      <c r="K1500" t="s">
        <v>3</v>
      </c>
      <c r="L1500" s="36">
        <f ca="1">IF(C1500&lt;&gt;"Yes",0,IF(A1500=2025,N('2025'!D172),IF(A1500=2026,N('2026'!D172),IF(A1500=2027,N('2027'!D172),IF(A1500=2028,N('2028'!D172),IF(A1500=2029,N('2029'!D172),IF(A1500=2030,N('2030'!D172),IF(A1500=2031,N('2031'!D172),IF(A1500=2032,N('2032'!D172),IF(A1500=2033,N('2033'!D172),IF(A1500=2034,N('2034'!D172),IFERROR(N(INDIRECT("'"&amp;A1500&amp;"'!D"&amp;G1500)),0))))))))))))</f>
        <v>0</v>
      </c>
      <c r="M1500" s="36">
        <f>IFERROR(IF(NOT(ISBLANK(KPI_TARGETS!$M$21)),KPI_TARGETS!$M$21,IF(NOT(ISBLANK(KPI_TARGETS!$F$21)),KPI_TARGETS!$F$21,"")),"")</f>
        <v>0</v>
      </c>
      <c r="N1500" s="36" t="str">
        <f>IFERROR(KPI_TARGETS!$E$21,"Higher is better")</f>
        <v>Lower is better</v>
      </c>
      <c r="O1500" s="37">
        <f t="shared" ca="1" si="138"/>
        <v>1</v>
      </c>
      <c r="P1500" t="str">
        <f t="shared" ca="1" si="139"/>
        <v>Green</v>
      </c>
      <c r="Q1500" s="36">
        <f t="shared" ca="1" si="140"/>
        <v>0</v>
      </c>
      <c r="R1500" s="36" t="str">
        <f>""</f>
        <v/>
      </c>
      <c r="S1500" s="36" t="str">
        <f>""</f>
        <v/>
      </c>
      <c r="T1500" s="36" t="str">
        <f>""</f>
        <v/>
      </c>
      <c r="U1500" s="36" t="str">
        <f>""</f>
        <v/>
      </c>
      <c r="V1500" s="36" t="str">
        <f>""</f>
        <v/>
      </c>
      <c r="W1500" s="36">
        <f t="shared" si="141"/>
        <v>1</v>
      </c>
      <c r="X1500" t="str">
        <f t="shared" si="142"/>
        <v>Inactive</v>
      </c>
      <c r="Y1500" t="str">
        <f>IF(MAIN!$H$3="Selected Year",IF(A1500=MAIN!$B$3,"Yes","No"),IF(MAIN!$H$3="Included Years",IF(D1500="Yes","Yes","No"),IF(C1500="Yes","Yes","No")))</f>
        <v>No</v>
      </c>
      <c r="Z1500" t="str">
        <f>IF(MAIN!$F$3="Project to Date",IF(AND(A1500&gt;=SETTINGS!$B$4,A1500&lt;MAIN!$B$3),"Yes",IF(AND(A1500=MAIN!$B$3,E1500&lt;=MAIN!$L$3),"Yes","No")),IF(OR(MAIN!$F$3="Full Year",MAIN!$D$3="All"),"Yes",IF(MAIN!$F$3="Monthly",IF(E1500=MAIN!$L$3,"Yes","No"),IF(E1500&lt;=MAIN!$L$3,"Yes","No"))))</f>
        <v>Yes</v>
      </c>
      <c r="AA1500" t="str">
        <f t="shared" si="143"/>
        <v>No</v>
      </c>
    </row>
    <row r="1501" spans="1:27" x14ac:dyDescent="0.3">
      <c r="A1501">
        <f>INDEX(SETTINGS!$A$15:$A$24,$B1501)</f>
        <v>2031</v>
      </c>
      <c r="B1501">
        <v>7</v>
      </c>
      <c r="C1501" t="str">
        <f>IF(AND(A1501&gt;=SETTINGS!$B$4,A1501&lt;=SETTINGS!$B$5),"Yes","No")</f>
        <v>No</v>
      </c>
      <c r="D1501" t="str">
        <f>IFERROR(INDEX(SETTINGS!$C$15:$C$24,MATCH(A1501,SETTINGS!$A$15:$A$24,0)),"No")</f>
        <v>No</v>
      </c>
      <c r="E1501">
        <v>7</v>
      </c>
      <c r="F1501" t="s">
        <v>40</v>
      </c>
      <c r="G1501">
        <v>173</v>
      </c>
      <c r="H1501" t="s">
        <v>111</v>
      </c>
      <c r="I1501" t="s">
        <v>30</v>
      </c>
      <c r="J1501" t="s">
        <v>32</v>
      </c>
      <c r="K1501" t="s">
        <v>3</v>
      </c>
      <c r="L1501" s="36">
        <f ca="1">IF(C1501&lt;&gt;"Yes",0,IF(A1501=2025,N('2025'!D173),IF(A1501=2026,N('2026'!D173),IF(A1501=2027,N('2027'!D173),IF(A1501=2028,N('2028'!D173),IF(A1501=2029,N('2029'!D173),IF(A1501=2030,N('2030'!D173),IF(A1501=2031,N('2031'!D173),IF(A1501=2032,N('2032'!D173),IF(A1501=2033,N('2033'!D173),IF(A1501=2034,N('2034'!D173),IFERROR(N(INDIRECT("'"&amp;A1501&amp;"'!D"&amp;G1501)),0))))))))))))</f>
        <v>0</v>
      </c>
      <c r="M1501" s="36">
        <f>IFERROR(IF(NOT(ISBLANK(KPI_TARGETS!$M$22)),KPI_TARGETS!$M$22,IF(NOT(ISBLANK(KPI_TARGETS!$F$22)),KPI_TARGETS!$F$22,"")),"")</f>
        <v>1</v>
      </c>
      <c r="N1501" s="36" t="str">
        <f>IFERROR(KPI_TARGETS!$E$22,"Higher is better")</f>
        <v>Higher is better</v>
      </c>
      <c r="O1501" s="37">
        <f t="shared" ca="1" si="138"/>
        <v>0</v>
      </c>
      <c r="P1501" t="str">
        <f t="shared" ca="1" si="139"/>
        <v>Red</v>
      </c>
      <c r="Q1501" s="36">
        <f t="shared" ca="1" si="140"/>
        <v>-1</v>
      </c>
      <c r="R1501" s="36" t="str">
        <f>""</f>
        <v/>
      </c>
      <c r="S1501" s="36" t="str">
        <f>""</f>
        <v/>
      </c>
      <c r="T1501" s="36" t="str">
        <f>""</f>
        <v/>
      </c>
      <c r="U1501" s="36" t="str">
        <f>""</f>
        <v/>
      </c>
      <c r="V1501" s="36" t="str">
        <f>""</f>
        <v/>
      </c>
      <c r="W1501" s="36">
        <f t="shared" si="141"/>
        <v>1</v>
      </c>
      <c r="X1501" t="str">
        <f t="shared" si="142"/>
        <v>Inactive</v>
      </c>
      <c r="Y1501" t="str">
        <f>IF(MAIN!$H$3="Selected Year",IF(A1501=MAIN!$B$3,"Yes","No"),IF(MAIN!$H$3="Included Years",IF(D1501="Yes","Yes","No"),IF(C1501="Yes","Yes","No")))</f>
        <v>No</v>
      </c>
      <c r="Z1501" t="str">
        <f>IF(MAIN!$F$3="Project to Date",IF(AND(A1501&gt;=SETTINGS!$B$4,A1501&lt;MAIN!$B$3),"Yes",IF(AND(A1501=MAIN!$B$3,E1501&lt;=MAIN!$L$3),"Yes","No")),IF(OR(MAIN!$F$3="Full Year",MAIN!$D$3="All"),"Yes",IF(MAIN!$F$3="Monthly",IF(E1501=MAIN!$L$3,"Yes","No"),IF(E1501&lt;=MAIN!$L$3,"Yes","No"))))</f>
        <v>Yes</v>
      </c>
      <c r="AA1501" t="str">
        <f t="shared" si="143"/>
        <v>No</v>
      </c>
    </row>
    <row r="1502" spans="1:27" x14ac:dyDescent="0.3">
      <c r="A1502">
        <f>INDEX(SETTINGS!$A$15:$A$24,$B1502)</f>
        <v>2031</v>
      </c>
      <c r="B1502">
        <v>7</v>
      </c>
      <c r="C1502" t="str">
        <f>IF(AND(A1502&gt;=SETTINGS!$B$4,A1502&lt;=SETTINGS!$B$5),"Yes","No")</f>
        <v>No</v>
      </c>
      <c r="D1502" t="str">
        <f>IFERROR(INDEX(SETTINGS!$C$15:$C$24,MATCH(A1502,SETTINGS!$A$15:$A$24,0)),"No")</f>
        <v>No</v>
      </c>
      <c r="E1502">
        <v>7</v>
      </c>
      <c r="F1502" t="s">
        <v>40</v>
      </c>
      <c r="G1502">
        <v>174</v>
      </c>
      <c r="H1502" t="s">
        <v>112</v>
      </c>
      <c r="I1502" t="s">
        <v>30</v>
      </c>
      <c r="J1502" t="s">
        <v>33</v>
      </c>
      <c r="K1502" t="s">
        <v>34</v>
      </c>
      <c r="L1502" s="36">
        <f ca="1">IF(C1502&lt;&gt;"Yes",0,IF(A1502=2025,N('2025'!D174),IF(A1502=2026,N('2026'!D174),IF(A1502=2027,N('2027'!D174),IF(A1502=2028,N('2028'!D174),IF(A1502=2029,N('2029'!D174),IF(A1502=2030,N('2030'!D174),IF(A1502=2031,N('2031'!D174),IF(A1502=2032,N('2032'!D174),IF(A1502=2033,N('2033'!D174),IF(A1502=2034,N('2034'!D174),IFERROR(N(INDIRECT("'"&amp;A1502&amp;"'!D"&amp;G1502)),0))))))))))))</f>
        <v>0</v>
      </c>
      <c r="M1502" s="36">
        <f>IFERROR(IF(NOT(ISBLANK(KPI_TARGETS!$M$23)),KPI_TARGETS!$M$23,IF(NOT(ISBLANK(KPI_TARGETS!$F$23)),KPI_TARGETS!$F$23,"")),"")</f>
        <v>1</v>
      </c>
      <c r="N1502" s="36" t="str">
        <f>IFERROR(KPI_TARGETS!$E$23,"Higher is better")</f>
        <v>Higher is better</v>
      </c>
      <c r="O1502" s="37">
        <f t="shared" ca="1" si="138"/>
        <v>0</v>
      </c>
      <c r="P1502" t="str">
        <f t="shared" ca="1" si="139"/>
        <v>Red</v>
      </c>
      <c r="Q1502" s="36">
        <f t="shared" ca="1" si="140"/>
        <v>-1</v>
      </c>
      <c r="R1502" s="36" t="str">
        <f>""</f>
        <v/>
      </c>
      <c r="S1502" s="36" t="str">
        <f>""</f>
        <v/>
      </c>
      <c r="T1502" s="36" t="str">
        <f>""</f>
        <v/>
      </c>
      <c r="U1502" s="36" t="str">
        <f>""</f>
        <v/>
      </c>
      <c r="V1502" s="36" t="str">
        <f>""</f>
        <v/>
      </c>
      <c r="W1502" s="36">
        <f t="shared" si="141"/>
        <v>1</v>
      </c>
      <c r="X1502" t="str">
        <f t="shared" si="142"/>
        <v>Inactive</v>
      </c>
      <c r="Y1502" t="str">
        <f>IF(MAIN!$H$3="Selected Year",IF(A1502=MAIN!$B$3,"Yes","No"),IF(MAIN!$H$3="Included Years",IF(D1502="Yes","Yes","No"),IF(C1502="Yes","Yes","No")))</f>
        <v>No</v>
      </c>
      <c r="Z1502" t="str">
        <f>IF(MAIN!$F$3="Project to Date",IF(AND(A1502&gt;=SETTINGS!$B$4,A1502&lt;MAIN!$B$3),"Yes",IF(AND(A1502=MAIN!$B$3,E1502&lt;=MAIN!$L$3),"Yes","No")),IF(OR(MAIN!$F$3="Full Year",MAIN!$D$3="All"),"Yes",IF(MAIN!$F$3="Monthly",IF(E1502=MAIN!$L$3,"Yes","No"),IF(E1502&lt;=MAIN!$L$3,"Yes","No"))))</f>
        <v>Yes</v>
      </c>
      <c r="AA1502" t="str">
        <f t="shared" si="143"/>
        <v>No</v>
      </c>
    </row>
    <row r="1503" spans="1:27" x14ac:dyDescent="0.3">
      <c r="A1503">
        <f>INDEX(SETTINGS!$A$15:$A$24,$B1503)</f>
        <v>2031</v>
      </c>
      <c r="B1503">
        <v>7</v>
      </c>
      <c r="C1503" t="str">
        <f>IF(AND(A1503&gt;=SETTINGS!$B$4,A1503&lt;=SETTINGS!$B$5),"Yes","No")</f>
        <v>No</v>
      </c>
      <c r="D1503" t="str">
        <f>IFERROR(INDEX(SETTINGS!$C$15:$C$24,MATCH(A1503,SETTINGS!$A$15:$A$24,0)),"No")</f>
        <v>No</v>
      </c>
      <c r="E1503">
        <v>8</v>
      </c>
      <c r="F1503" t="s">
        <v>41</v>
      </c>
      <c r="G1503">
        <v>177</v>
      </c>
      <c r="H1503" t="s">
        <v>88</v>
      </c>
      <c r="I1503" t="s">
        <v>89</v>
      </c>
      <c r="J1503" t="s">
        <v>10</v>
      </c>
      <c r="K1503" t="s">
        <v>3</v>
      </c>
      <c r="L1503" s="36">
        <f ca="1">IF(C1503&lt;&gt;"Yes",0,IF(A1503=2025,N('2025'!D177),IF(A1503=2026,N('2026'!D177),IF(A1503=2027,N('2027'!D177),IF(A1503=2028,N('2028'!D177),IF(A1503=2029,N('2029'!D177),IF(A1503=2030,N('2030'!D177),IF(A1503=2031,N('2031'!D177),IF(A1503=2032,N('2032'!D177),IF(A1503=2033,N('2033'!D177),IF(A1503=2034,N('2034'!D177),IFERROR(N(INDIRECT("'"&amp;A1503&amp;"'!D"&amp;G1503)),0))))))))))))</f>
        <v>0</v>
      </c>
      <c r="M1503" s="36">
        <f>IFERROR(IF(NOT(ISBLANK(KPI_TARGETS!$M$5)),KPI_TARGETS!$M$5,IF(NOT(ISBLANK(KPI_TARGETS!$F$5)),KPI_TARGETS!$F$5,"")),"")</f>
        <v>104</v>
      </c>
      <c r="N1503" s="36" t="str">
        <f>IFERROR(KPI_TARGETS!$E$5,"Higher is better")</f>
        <v>Higher is better</v>
      </c>
      <c r="O1503" s="37">
        <f t="shared" ca="1" si="138"/>
        <v>0</v>
      </c>
      <c r="P1503" t="str">
        <f t="shared" ca="1" si="139"/>
        <v>Red</v>
      </c>
      <c r="Q1503" s="36">
        <f t="shared" ca="1" si="140"/>
        <v>-104</v>
      </c>
      <c r="R1503" s="36" t="str">
        <f>""</f>
        <v/>
      </c>
      <c r="S1503" s="36" t="str">
        <f>""</f>
        <v/>
      </c>
      <c r="T1503" s="36" t="str">
        <f>""</f>
        <v/>
      </c>
      <c r="U1503" s="36" t="str">
        <f>""</f>
        <v/>
      </c>
      <c r="V1503" s="36" t="str">
        <f>""</f>
        <v/>
      </c>
      <c r="W1503" s="36">
        <f t="shared" si="141"/>
        <v>1</v>
      </c>
      <c r="X1503" t="str">
        <f t="shared" si="142"/>
        <v>Inactive</v>
      </c>
      <c r="Y1503" t="str">
        <f>IF(MAIN!$H$3="Selected Year",IF(A1503=MAIN!$B$3,"Yes","No"),IF(MAIN!$H$3="Included Years",IF(D1503="Yes","Yes","No"),IF(C1503="Yes","Yes","No")))</f>
        <v>No</v>
      </c>
      <c r="Z1503" t="str">
        <f>IF(MAIN!$F$3="Project to Date",IF(AND(A1503&gt;=SETTINGS!$B$4,A1503&lt;MAIN!$B$3),"Yes",IF(AND(A1503=MAIN!$B$3,E1503&lt;=MAIN!$L$3),"Yes","No")),IF(OR(MAIN!$F$3="Full Year",MAIN!$D$3="All"),"Yes",IF(MAIN!$F$3="Monthly",IF(E1503=MAIN!$L$3,"Yes","No"),IF(E1503&lt;=MAIN!$L$3,"Yes","No"))))</f>
        <v>Yes</v>
      </c>
      <c r="AA1503" t="str">
        <f t="shared" si="143"/>
        <v>No</v>
      </c>
    </row>
    <row r="1504" spans="1:27" x14ac:dyDescent="0.3">
      <c r="A1504">
        <f>INDEX(SETTINGS!$A$15:$A$24,$B1504)</f>
        <v>2031</v>
      </c>
      <c r="B1504">
        <v>7</v>
      </c>
      <c r="C1504" t="str">
        <f>IF(AND(A1504&gt;=SETTINGS!$B$4,A1504&lt;=SETTINGS!$B$5),"Yes","No")</f>
        <v>No</v>
      </c>
      <c r="D1504" t="str">
        <f>IFERROR(INDEX(SETTINGS!$C$15:$C$24,MATCH(A1504,SETTINGS!$A$15:$A$24,0)),"No")</f>
        <v>No</v>
      </c>
      <c r="E1504">
        <v>8</v>
      </c>
      <c r="F1504" t="s">
        <v>41</v>
      </c>
      <c r="G1504">
        <v>178</v>
      </c>
      <c r="H1504" t="s">
        <v>91</v>
      </c>
      <c r="I1504" t="s">
        <v>89</v>
      </c>
      <c r="J1504" t="s">
        <v>11</v>
      </c>
      <c r="K1504" t="s">
        <v>12</v>
      </c>
      <c r="L1504" s="36">
        <f ca="1">IF(C1504&lt;&gt;"Yes",0,IF(A1504=2025,N('2025'!D178),IF(A1504=2026,N('2026'!D178),IF(A1504=2027,N('2027'!D178),IF(A1504=2028,N('2028'!D178),IF(A1504=2029,N('2029'!D178),IF(A1504=2030,N('2030'!D178),IF(A1504=2031,N('2031'!D178),IF(A1504=2032,N('2032'!D178),IF(A1504=2033,N('2033'!D178),IF(A1504=2034,N('2034'!D178),IFERROR(N(INDIRECT("'"&amp;A1504&amp;"'!D"&amp;G1504)),0))))))))))))</f>
        <v>0</v>
      </c>
      <c r="M1504" s="36">
        <f>IFERROR(IF(NOT(ISBLANK(KPI_TARGETS!$M$6)),KPI_TARGETS!$M$6,IF(NOT(ISBLANK(KPI_TARGETS!$F$6)),KPI_TARGETS!$F$6,"")),"")</f>
        <v>4000</v>
      </c>
      <c r="N1504" s="36" t="str">
        <f>IFERROR(KPI_TARGETS!$E$6,"Higher is better")</f>
        <v>Higher is better</v>
      </c>
      <c r="O1504" s="37">
        <f t="shared" ca="1" si="138"/>
        <v>0</v>
      </c>
      <c r="P1504" t="str">
        <f t="shared" ca="1" si="139"/>
        <v>Red</v>
      </c>
      <c r="Q1504" s="36">
        <f t="shared" ca="1" si="140"/>
        <v>-4000</v>
      </c>
      <c r="R1504" s="36" t="str">
        <f>""</f>
        <v/>
      </c>
      <c r="S1504" s="36" t="str">
        <f>""</f>
        <v/>
      </c>
      <c r="T1504" s="36" t="str">
        <f>""</f>
        <v/>
      </c>
      <c r="U1504" s="36" t="str">
        <f>""</f>
        <v/>
      </c>
      <c r="V1504" s="36" t="str">
        <f>""</f>
        <v/>
      </c>
      <c r="W1504" s="36">
        <f t="shared" si="141"/>
        <v>1</v>
      </c>
      <c r="X1504" t="str">
        <f t="shared" si="142"/>
        <v>Inactive</v>
      </c>
      <c r="Y1504" t="str">
        <f>IF(MAIN!$H$3="Selected Year",IF(A1504=MAIN!$B$3,"Yes","No"),IF(MAIN!$H$3="Included Years",IF(D1504="Yes","Yes","No"),IF(C1504="Yes","Yes","No")))</f>
        <v>No</v>
      </c>
      <c r="Z1504" t="str">
        <f>IF(MAIN!$F$3="Project to Date",IF(AND(A1504&gt;=SETTINGS!$B$4,A1504&lt;MAIN!$B$3),"Yes",IF(AND(A1504=MAIN!$B$3,E1504&lt;=MAIN!$L$3),"Yes","No")),IF(OR(MAIN!$F$3="Full Year",MAIN!$D$3="All"),"Yes",IF(MAIN!$F$3="Monthly",IF(E1504=MAIN!$L$3,"Yes","No"),IF(E1504&lt;=MAIN!$L$3,"Yes","No"))))</f>
        <v>Yes</v>
      </c>
      <c r="AA1504" t="str">
        <f t="shared" si="143"/>
        <v>No</v>
      </c>
    </row>
    <row r="1505" spans="1:27" x14ac:dyDescent="0.3">
      <c r="A1505">
        <f>INDEX(SETTINGS!$A$15:$A$24,$B1505)</f>
        <v>2031</v>
      </c>
      <c r="B1505">
        <v>7</v>
      </c>
      <c r="C1505" t="str">
        <f>IF(AND(A1505&gt;=SETTINGS!$B$4,A1505&lt;=SETTINGS!$B$5),"Yes","No")</f>
        <v>No</v>
      </c>
      <c r="D1505" t="str">
        <f>IFERROR(INDEX(SETTINGS!$C$15:$C$24,MATCH(A1505,SETTINGS!$A$15:$A$24,0)),"No")</f>
        <v>No</v>
      </c>
      <c r="E1505">
        <v>8</v>
      </c>
      <c r="F1505" t="s">
        <v>41</v>
      </c>
      <c r="G1505">
        <v>179</v>
      </c>
      <c r="H1505" t="s">
        <v>93</v>
      </c>
      <c r="I1505" t="s">
        <v>89</v>
      </c>
      <c r="J1505" t="s">
        <v>13</v>
      </c>
      <c r="K1505" t="s">
        <v>14</v>
      </c>
      <c r="L1505" s="36">
        <f ca="1">IF(C1505&lt;&gt;"Yes",0,IF(A1505=2025,N('2025'!D179),IF(A1505=2026,N('2026'!D179),IF(A1505=2027,N('2027'!D179),IF(A1505=2028,N('2028'!D179),IF(A1505=2029,N('2029'!D179),IF(A1505=2030,N('2030'!D179),IF(A1505=2031,N('2031'!D179),IF(A1505=2032,N('2032'!D179),IF(A1505=2033,N('2033'!D179),IF(A1505=2034,N('2034'!D179),IFERROR(N(INDIRECT("'"&amp;A1505&amp;"'!D"&amp;G1505)),0))))))))))))</f>
        <v>0</v>
      </c>
      <c r="M1505" s="36">
        <f>IFERROR(IF(NOT(ISBLANK(KPI_TARGETS!$M$7)),KPI_TARGETS!$M$7,IF(NOT(ISBLANK(KPI_TARGETS!$F$7)),KPI_TARGETS!$F$7,"")),"")</f>
        <v>8000</v>
      </c>
      <c r="N1505" s="36" t="str">
        <f>IFERROR(KPI_TARGETS!$E$7,"Higher is better")</f>
        <v>Higher is better</v>
      </c>
      <c r="O1505" s="37">
        <f t="shared" ca="1" si="138"/>
        <v>0</v>
      </c>
      <c r="P1505" t="str">
        <f t="shared" ca="1" si="139"/>
        <v>Red</v>
      </c>
      <c r="Q1505" s="36">
        <f t="shared" ca="1" si="140"/>
        <v>-8000</v>
      </c>
      <c r="R1505" s="36" t="str">
        <f>""</f>
        <v/>
      </c>
      <c r="S1505" s="36" t="str">
        <f>""</f>
        <v/>
      </c>
      <c r="T1505" s="36" t="str">
        <f>""</f>
        <v/>
      </c>
      <c r="U1505" s="36" t="str">
        <f>""</f>
        <v/>
      </c>
      <c r="V1505" s="36" t="str">
        <f>""</f>
        <v/>
      </c>
      <c r="W1505" s="36">
        <f t="shared" si="141"/>
        <v>1</v>
      </c>
      <c r="X1505" t="str">
        <f t="shared" si="142"/>
        <v>Inactive</v>
      </c>
      <c r="Y1505" t="str">
        <f>IF(MAIN!$H$3="Selected Year",IF(A1505=MAIN!$B$3,"Yes","No"),IF(MAIN!$H$3="Included Years",IF(D1505="Yes","Yes","No"),IF(C1505="Yes","Yes","No")))</f>
        <v>No</v>
      </c>
      <c r="Z1505" t="str">
        <f>IF(MAIN!$F$3="Project to Date",IF(AND(A1505&gt;=SETTINGS!$B$4,A1505&lt;MAIN!$B$3),"Yes",IF(AND(A1505=MAIN!$B$3,E1505&lt;=MAIN!$L$3),"Yes","No")),IF(OR(MAIN!$F$3="Full Year",MAIN!$D$3="All"),"Yes",IF(MAIN!$F$3="Monthly",IF(E1505=MAIN!$L$3,"Yes","No"),IF(E1505&lt;=MAIN!$L$3,"Yes","No"))))</f>
        <v>Yes</v>
      </c>
      <c r="AA1505" t="str">
        <f t="shared" si="143"/>
        <v>No</v>
      </c>
    </row>
    <row r="1506" spans="1:27" x14ac:dyDescent="0.3">
      <c r="A1506">
        <f>INDEX(SETTINGS!$A$15:$A$24,$B1506)</f>
        <v>2031</v>
      </c>
      <c r="B1506">
        <v>7</v>
      </c>
      <c r="C1506" t="str">
        <f>IF(AND(A1506&gt;=SETTINGS!$B$4,A1506&lt;=SETTINGS!$B$5),"Yes","No")</f>
        <v>No</v>
      </c>
      <c r="D1506" t="str">
        <f>IFERROR(INDEX(SETTINGS!$C$15:$C$24,MATCH(A1506,SETTINGS!$A$15:$A$24,0)),"No")</f>
        <v>No</v>
      </c>
      <c r="E1506">
        <v>8</v>
      </c>
      <c r="F1506" t="s">
        <v>41</v>
      </c>
      <c r="G1506">
        <v>181</v>
      </c>
      <c r="H1506" t="s">
        <v>95</v>
      </c>
      <c r="I1506" t="s">
        <v>15</v>
      </c>
      <c r="J1506" t="s">
        <v>16</v>
      </c>
      <c r="K1506" t="s">
        <v>3</v>
      </c>
      <c r="L1506" s="36">
        <f ca="1">IF(C1506&lt;&gt;"Yes",0,IF(A1506=2025,N('2025'!D181),IF(A1506=2026,N('2026'!D181),IF(A1506=2027,N('2027'!D181),IF(A1506=2028,N('2028'!D181),IF(A1506=2029,N('2029'!D181),IF(A1506=2030,N('2030'!D181),IF(A1506=2031,N('2031'!D181),IF(A1506=2032,N('2032'!D181),IF(A1506=2033,N('2033'!D181),IF(A1506=2034,N('2034'!D181),IFERROR(N(INDIRECT("'"&amp;A1506&amp;"'!D"&amp;G1506)),0))))))))))))</f>
        <v>0</v>
      </c>
      <c r="M1506" s="36">
        <f>IFERROR(IF(NOT(ISBLANK(KPI_TARGETS!$M$8)),KPI_TARGETS!$M$8,IF(NOT(ISBLANK(KPI_TARGETS!$F$8)),KPI_TARGETS!$F$8,"")),"")</f>
        <v>0</v>
      </c>
      <c r="N1506" s="36" t="str">
        <f>IFERROR(KPI_TARGETS!$E$8,"Higher is better")</f>
        <v>Lower is better</v>
      </c>
      <c r="O1506" s="37">
        <f t="shared" ca="1" si="138"/>
        <v>1</v>
      </c>
      <c r="P1506" t="str">
        <f t="shared" ca="1" si="139"/>
        <v>Green</v>
      </c>
      <c r="Q1506" s="36">
        <f t="shared" ca="1" si="140"/>
        <v>0</v>
      </c>
      <c r="R1506" s="36" t="str">
        <f>""</f>
        <v/>
      </c>
      <c r="S1506" s="36" t="str">
        <f>""</f>
        <v/>
      </c>
      <c r="T1506" s="36" t="str">
        <f>""</f>
        <v/>
      </c>
      <c r="U1506" s="36" t="str">
        <f>""</f>
        <v/>
      </c>
      <c r="V1506" s="36" t="str">
        <f>""</f>
        <v/>
      </c>
      <c r="W1506" s="36">
        <f t="shared" si="141"/>
        <v>1</v>
      </c>
      <c r="X1506" t="str">
        <f t="shared" si="142"/>
        <v>Inactive</v>
      </c>
      <c r="Y1506" t="str">
        <f>IF(MAIN!$H$3="Selected Year",IF(A1506=MAIN!$B$3,"Yes","No"),IF(MAIN!$H$3="Included Years",IF(D1506="Yes","Yes","No"),IF(C1506="Yes","Yes","No")))</f>
        <v>No</v>
      </c>
      <c r="Z1506" t="str">
        <f>IF(MAIN!$F$3="Project to Date",IF(AND(A1506&gt;=SETTINGS!$B$4,A1506&lt;MAIN!$B$3),"Yes",IF(AND(A1506=MAIN!$B$3,E1506&lt;=MAIN!$L$3),"Yes","No")),IF(OR(MAIN!$F$3="Full Year",MAIN!$D$3="All"),"Yes",IF(MAIN!$F$3="Monthly",IF(E1506=MAIN!$L$3,"Yes","No"),IF(E1506&lt;=MAIN!$L$3,"Yes","No"))))</f>
        <v>Yes</v>
      </c>
      <c r="AA1506" t="str">
        <f t="shared" si="143"/>
        <v>No</v>
      </c>
    </row>
    <row r="1507" spans="1:27" x14ac:dyDescent="0.3">
      <c r="A1507">
        <f>INDEX(SETTINGS!$A$15:$A$24,$B1507)</f>
        <v>2031</v>
      </c>
      <c r="B1507">
        <v>7</v>
      </c>
      <c r="C1507" t="str">
        <f>IF(AND(A1507&gt;=SETTINGS!$B$4,A1507&lt;=SETTINGS!$B$5),"Yes","No")</f>
        <v>No</v>
      </c>
      <c r="D1507" t="str">
        <f>IFERROR(INDEX(SETTINGS!$C$15:$C$24,MATCH(A1507,SETTINGS!$A$15:$A$24,0)),"No")</f>
        <v>No</v>
      </c>
      <c r="E1507">
        <v>8</v>
      </c>
      <c r="F1507" t="s">
        <v>41</v>
      </c>
      <c r="G1507">
        <v>182</v>
      </c>
      <c r="H1507" t="s">
        <v>97</v>
      </c>
      <c r="I1507" t="s">
        <v>15</v>
      </c>
      <c r="J1507" t="s">
        <v>17</v>
      </c>
      <c r="K1507" t="s">
        <v>3</v>
      </c>
      <c r="L1507" s="36">
        <f ca="1">IF(C1507&lt;&gt;"Yes",0,IF(A1507=2025,N('2025'!D182),IF(A1507=2026,N('2026'!D182),IF(A1507=2027,N('2027'!D182),IF(A1507=2028,N('2028'!D182),IF(A1507=2029,N('2029'!D182),IF(A1507=2030,N('2030'!D182),IF(A1507=2031,N('2031'!D182),IF(A1507=2032,N('2032'!D182),IF(A1507=2033,N('2033'!D182),IF(A1507=2034,N('2034'!D182),IFERROR(N(INDIRECT("'"&amp;A1507&amp;"'!D"&amp;G1507)),0))))))))))))</f>
        <v>0</v>
      </c>
      <c r="M1507" s="36">
        <f>IFERROR(IF(NOT(ISBLANK(KPI_TARGETS!$M$9)),KPI_TARGETS!$M$9,IF(NOT(ISBLANK(KPI_TARGETS!$F$9)),KPI_TARGETS!$F$9,"")),"")</f>
        <v>0</v>
      </c>
      <c r="N1507" s="36" t="str">
        <f>IFERROR(KPI_TARGETS!$E$9,"Higher is better")</f>
        <v>Higher is better</v>
      </c>
      <c r="O1507" s="37" t="str">
        <f t="shared" ca="1" si="138"/>
        <v/>
      </c>
      <c r="P1507" t="str">
        <f t="shared" ca="1" si="139"/>
        <v>Green</v>
      </c>
      <c r="Q1507" s="36">
        <f t="shared" ca="1" si="140"/>
        <v>0</v>
      </c>
      <c r="R1507" s="36" t="str">
        <f>""</f>
        <v/>
      </c>
      <c r="S1507" s="36" t="str">
        <f>""</f>
        <v/>
      </c>
      <c r="T1507" s="36" t="str">
        <f>""</f>
        <v/>
      </c>
      <c r="U1507" s="36" t="str">
        <f>""</f>
        <v/>
      </c>
      <c r="V1507" s="36" t="str">
        <f>""</f>
        <v/>
      </c>
      <c r="W1507" s="36">
        <f t="shared" si="141"/>
        <v>1</v>
      </c>
      <c r="X1507" t="str">
        <f t="shared" si="142"/>
        <v>Inactive</v>
      </c>
      <c r="Y1507" t="str">
        <f>IF(MAIN!$H$3="Selected Year",IF(A1507=MAIN!$B$3,"Yes","No"),IF(MAIN!$H$3="Included Years",IF(D1507="Yes","Yes","No"),IF(C1507="Yes","Yes","No")))</f>
        <v>No</v>
      </c>
      <c r="Z1507" t="str">
        <f>IF(MAIN!$F$3="Project to Date",IF(AND(A1507&gt;=SETTINGS!$B$4,A1507&lt;MAIN!$B$3),"Yes",IF(AND(A1507=MAIN!$B$3,E1507&lt;=MAIN!$L$3),"Yes","No")),IF(OR(MAIN!$F$3="Full Year",MAIN!$D$3="All"),"Yes",IF(MAIN!$F$3="Monthly",IF(E1507=MAIN!$L$3,"Yes","No"),IF(E1507&lt;=MAIN!$L$3,"Yes","No"))))</f>
        <v>Yes</v>
      </c>
      <c r="AA1507" t="str">
        <f t="shared" si="143"/>
        <v>No</v>
      </c>
    </row>
    <row r="1508" spans="1:27" x14ac:dyDescent="0.3">
      <c r="A1508">
        <f>INDEX(SETTINGS!$A$15:$A$24,$B1508)</f>
        <v>2031</v>
      </c>
      <c r="B1508">
        <v>7</v>
      </c>
      <c r="C1508" t="str">
        <f>IF(AND(A1508&gt;=SETTINGS!$B$4,A1508&lt;=SETTINGS!$B$5),"Yes","No")</f>
        <v>No</v>
      </c>
      <c r="D1508" t="str">
        <f>IFERROR(INDEX(SETTINGS!$C$15:$C$24,MATCH(A1508,SETTINGS!$A$15:$A$24,0)),"No")</f>
        <v>No</v>
      </c>
      <c r="E1508">
        <v>8</v>
      </c>
      <c r="F1508" t="s">
        <v>41</v>
      </c>
      <c r="G1508">
        <v>183</v>
      </c>
      <c r="H1508" t="s">
        <v>99</v>
      </c>
      <c r="I1508" t="s">
        <v>15</v>
      </c>
      <c r="J1508" t="s">
        <v>18</v>
      </c>
      <c r="K1508" t="s">
        <v>3</v>
      </c>
      <c r="L1508" s="36">
        <f ca="1">IF(C1508&lt;&gt;"Yes",0,IF(A1508=2025,N('2025'!D183),IF(A1508=2026,N('2026'!D183),IF(A1508=2027,N('2027'!D183),IF(A1508=2028,N('2028'!D183),IF(A1508=2029,N('2029'!D183),IF(A1508=2030,N('2030'!D183),IF(A1508=2031,N('2031'!D183),IF(A1508=2032,N('2032'!D183),IF(A1508=2033,N('2033'!D183),IF(A1508=2034,N('2034'!D183),IFERROR(N(INDIRECT("'"&amp;A1508&amp;"'!D"&amp;G1508)),0))))))))))))</f>
        <v>0</v>
      </c>
      <c r="M1508" s="36">
        <f>IFERROR(IF(NOT(ISBLANK(KPI_TARGETS!$M$10)),KPI_TARGETS!$M$10,IF(NOT(ISBLANK(KPI_TARGETS!$F$10)),KPI_TARGETS!$F$10,"")),"")</f>
        <v>0</v>
      </c>
      <c r="N1508" s="36" t="str">
        <f>IFERROR(KPI_TARGETS!$E$10,"Higher is better")</f>
        <v>Lower is better</v>
      </c>
      <c r="O1508" s="37">
        <f t="shared" ca="1" si="138"/>
        <v>1</v>
      </c>
      <c r="P1508" t="str">
        <f t="shared" ca="1" si="139"/>
        <v>Green</v>
      </c>
      <c r="Q1508" s="36">
        <f t="shared" ca="1" si="140"/>
        <v>0</v>
      </c>
      <c r="R1508" s="36" t="str">
        <f>""</f>
        <v/>
      </c>
      <c r="S1508" s="36" t="str">
        <f>""</f>
        <v/>
      </c>
      <c r="T1508" s="36" t="str">
        <f>""</f>
        <v/>
      </c>
      <c r="U1508" s="36" t="str">
        <f>""</f>
        <v/>
      </c>
      <c r="V1508" s="36" t="str">
        <f>""</f>
        <v/>
      </c>
      <c r="W1508" s="36">
        <f t="shared" si="141"/>
        <v>1</v>
      </c>
      <c r="X1508" t="str">
        <f t="shared" si="142"/>
        <v>Inactive</v>
      </c>
      <c r="Y1508" t="str">
        <f>IF(MAIN!$H$3="Selected Year",IF(A1508=MAIN!$B$3,"Yes","No"),IF(MAIN!$H$3="Included Years",IF(D1508="Yes","Yes","No"),IF(C1508="Yes","Yes","No")))</f>
        <v>No</v>
      </c>
      <c r="Z1508" t="str">
        <f>IF(MAIN!$F$3="Project to Date",IF(AND(A1508&gt;=SETTINGS!$B$4,A1508&lt;MAIN!$B$3),"Yes",IF(AND(A1508=MAIN!$B$3,E1508&lt;=MAIN!$L$3),"Yes","No")),IF(OR(MAIN!$F$3="Full Year",MAIN!$D$3="All"),"Yes",IF(MAIN!$F$3="Monthly",IF(E1508=MAIN!$L$3,"Yes","No"),IF(E1508&lt;=MAIN!$L$3,"Yes","No"))))</f>
        <v>Yes</v>
      </c>
      <c r="AA1508" t="str">
        <f t="shared" si="143"/>
        <v>No</v>
      </c>
    </row>
    <row r="1509" spans="1:27" x14ac:dyDescent="0.3">
      <c r="A1509">
        <f>INDEX(SETTINGS!$A$15:$A$24,$B1509)</f>
        <v>2031</v>
      </c>
      <c r="B1509">
        <v>7</v>
      </c>
      <c r="C1509" t="str">
        <f>IF(AND(A1509&gt;=SETTINGS!$B$4,A1509&lt;=SETTINGS!$B$5),"Yes","No")</f>
        <v>No</v>
      </c>
      <c r="D1509" t="str">
        <f>IFERROR(INDEX(SETTINGS!$C$15:$C$24,MATCH(A1509,SETTINGS!$A$15:$A$24,0)),"No")</f>
        <v>No</v>
      </c>
      <c r="E1509">
        <v>8</v>
      </c>
      <c r="F1509" t="s">
        <v>41</v>
      </c>
      <c r="G1509">
        <v>184</v>
      </c>
      <c r="H1509" t="s">
        <v>100</v>
      </c>
      <c r="I1509" t="s">
        <v>15</v>
      </c>
      <c r="J1509" t="s">
        <v>19</v>
      </c>
      <c r="K1509" t="s">
        <v>3</v>
      </c>
      <c r="L1509" s="36">
        <f ca="1">IF(C1509&lt;&gt;"Yes",0,IF(A1509=2025,N('2025'!D184),IF(A1509=2026,N('2026'!D184),IF(A1509=2027,N('2027'!D184),IF(A1509=2028,N('2028'!D184),IF(A1509=2029,N('2029'!D184),IF(A1509=2030,N('2030'!D184),IF(A1509=2031,N('2031'!D184),IF(A1509=2032,N('2032'!D184),IF(A1509=2033,N('2033'!D184),IF(A1509=2034,N('2034'!D184),IFERROR(N(INDIRECT("'"&amp;A1509&amp;"'!D"&amp;G1509)),0))))))))))))</f>
        <v>0</v>
      </c>
      <c r="M1509" s="36">
        <f>IFERROR(IF(NOT(ISBLANK(KPI_TARGETS!$M$11)),KPI_TARGETS!$M$11,IF(NOT(ISBLANK(KPI_TARGETS!$F$11)),KPI_TARGETS!$F$11,"")),"")</f>
        <v>0</v>
      </c>
      <c r="N1509" s="36" t="str">
        <f>IFERROR(KPI_TARGETS!$E$11,"Higher is better")</f>
        <v>Lower is better</v>
      </c>
      <c r="O1509" s="37">
        <f t="shared" ca="1" si="138"/>
        <v>1</v>
      </c>
      <c r="P1509" t="str">
        <f t="shared" ca="1" si="139"/>
        <v>Green</v>
      </c>
      <c r="Q1509" s="36">
        <f t="shared" ca="1" si="140"/>
        <v>0</v>
      </c>
      <c r="R1509" s="36" t="str">
        <f>""</f>
        <v/>
      </c>
      <c r="S1509" s="36" t="str">
        <f>""</f>
        <v/>
      </c>
      <c r="T1509" s="36" t="str">
        <f>""</f>
        <v/>
      </c>
      <c r="U1509" s="36" t="str">
        <f>""</f>
        <v/>
      </c>
      <c r="V1509" s="36" t="str">
        <f>""</f>
        <v/>
      </c>
      <c r="W1509" s="36">
        <f t="shared" si="141"/>
        <v>1</v>
      </c>
      <c r="X1509" t="str">
        <f t="shared" si="142"/>
        <v>Inactive</v>
      </c>
      <c r="Y1509" t="str">
        <f>IF(MAIN!$H$3="Selected Year",IF(A1509=MAIN!$B$3,"Yes","No"),IF(MAIN!$H$3="Included Years",IF(D1509="Yes","Yes","No"),IF(C1509="Yes","Yes","No")))</f>
        <v>No</v>
      </c>
      <c r="Z1509" t="str">
        <f>IF(MAIN!$F$3="Project to Date",IF(AND(A1509&gt;=SETTINGS!$B$4,A1509&lt;MAIN!$B$3),"Yes",IF(AND(A1509=MAIN!$B$3,E1509&lt;=MAIN!$L$3),"Yes","No")),IF(OR(MAIN!$F$3="Full Year",MAIN!$D$3="All"),"Yes",IF(MAIN!$F$3="Monthly",IF(E1509=MAIN!$L$3,"Yes","No"),IF(E1509&lt;=MAIN!$L$3,"Yes","No"))))</f>
        <v>Yes</v>
      </c>
      <c r="AA1509" t="str">
        <f t="shared" si="143"/>
        <v>No</v>
      </c>
    </row>
    <row r="1510" spans="1:27" x14ac:dyDescent="0.3">
      <c r="A1510">
        <f>INDEX(SETTINGS!$A$15:$A$24,$B1510)</f>
        <v>2031</v>
      </c>
      <c r="B1510">
        <v>7</v>
      </c>
      <c r="C1510" t="str">
        <f>IF(AND(A1510&gt;=SETTINGS!$B$4,A1510&lt;=SETTINGS!$B$5),"Yes","No")</f>
        <v>No</v>
      </c>
      <c r="D1510" t="str">
        <f>IFERROR(INDEX(SETTINGS!$C$15:$C$24,MATCH(A1510,SETTINGS!$A$15:$A$24,0)),"No")</f>
        <v>No</v>
      </c>
      <c r="E1510">
        <v>8</v>
      </c>
      <c r="F1510" t="s">
        <v>41</v>
      </c>
      <c r="G1510">
        <v>185</v>
      </c>
      <c r="H1510" t="s">
        <v>101</v>
      </c>
      <c r="I1510" t="s">
        <v>15</v>
      </c>
      <c r="J1510" t="s">
        <v>20</v>
      </c>
      <c r="K1510" t="s">
        <v>3</v>
      </c>
      <c r="L1510" s="36">
        <f ca="1">IF(C1510&lt;&gt;"Yes",0,IF(A1510=2025,N('2025'!D185),IF(A1510=2026,N('2026'!D185),IF(A1510=2027,N('2027'!D185),IF(A1510=2028,N('2028'!D185),IF(A1510=2029,N('2029'!D185),IF(A1510=2030,N('2030'!D185),IF(A1510=2031,N('2031'!D185),IF(A1510=2032,N('2032'!D185),IF(A1510=2033,N('2033'!D185),IF(A1510=2034,N('2034'!D185),IFERROR(N(INDIRECT("'"&amp;A1510&amp;"'!D"&amp;G1510)),0))))))))))))</f>
        <v>0</v>
      </c>
      <c r="M1510" s="36">
        <f>IFERROR(IF(NOT(ISBLANK(KPI_TARGETS!$M$12)),KPI_TARGETS!$M$12,IF(NOT(ISBLANK(KPI_TARGETS!$F$12)),KPI_TARGETS!$F$12,"")),"")</f>
        <v>0</v>
      </c>
      <c r="N1510" s="36" t="str">
        <f>IFERROR(KPI_TARGETS!$E$12,"Higher is better")</f>
        <v>Lower is better</v>
      </c>
      <c r="O1510" s="37">
        <f t="shared" ca="1" si="138"/>
        <v>1</v>
      </c>
      <c r="P1510" t="str">
        <f t="shared" ca="1" si="139"/>
        <v>Green</v>
      </c>
      <c r="Q1510" s="36">
        <f t="shared" ca="1" si="140"/>
        <v>0</v>
      </c>
      <c r="R1510" s="36" t="str">
        <f>""</f>
        <v/>
      </c>
      <c r="S1510" s="36" t="str">
        <f>""</f>
        <v/>
      </c>
      <c r="T1510" s="36" t="str">
        <f>""</f>
        <v/>
      </c>
      <c r="U1510" s="36" t="str">
        <f>""</f>
        <v/>
      </c>
      <c r="V1510" s="36" t="str">
        <f>""</f>
        <v/>
      </c>
      <c r="W1510" s="36">
        <f t="shared" si="141"/>
        <v>1</v>
      </c>
      <c r="X1510" t="str">
        <f t="shared" si="142"/>
        <v>Inactive</v>
      </c>
      <c r="Y1510" t="str">
        <f>IF(MAIN!$H$3="Selected Year",IF(A1510=MAIN!$B$3,"Yes","No"),IF(MAIN!$H$3="Included Years",IF(D1510="Yes","Yes","No"),IF(C1510="Yes","Yes","No")))</f>
        <v>No</v>
      </c>
      <c r="Z1510" t="str">
        <f>IF(MAIN!$F$3="Project to Date",IF(AND(A1510&gt;=SETTINGS!$B$4,A1510&lt;MAIN!$B$3),"Yes",IF(AND(A1510=MAIN!$B$3,E1510&lt;=MAIN!$L$3),"Yes","No")),IF(OR(MAIN!$F$3="Full Year",MAIN!$D$3="All"),"Yes",IF(MAIN!$F$3="Monthly",IF(E1510=MAIN!$L$3,"Yes","No"),IF(E1510&lt;=MAIN!$L$3,"Yes","No"))))</f>
        <v>Yes</v>
      </c>
      <c r="AA1510" t="str">
        <f t="shared" si="143"/>
        <v>No</v>
      </c>
    </row>
    <row r="1511" spans="1:27" x14ac:dyDescent="0.3">
      <c r="A1511">
        <f>INDEX(SETTINGS!$A$15:$A$24,$B1511)</f>
        <v>2031</v>
      </c>
      <c r="B1511">
        <v>7</v>
      </c>
      <c r="C1511" t="str">
        <f>IF(AND(A1511&gt;=SETTINGS!$B$4,A1511&lt;=SETTINGS!$B$5),"Yes","No")</f>
        <v>No</v>
      </c>
      <c r="D1511" t="str">
        <f>IFERROR(INDEX(SETTINGS!$C$15:$C$24,MATCH(A1511,SETTINGS!$A$15:$A$24,0)),"No")</f>
        <v>No</v>
      </c>
      <c r="E1511">
        <v>8</v>
      </c>
      <c r="F1511" t="s">
        <v>41</v>
      </c>
      <c r="G1511">
        <v>186</v>
      </c>
      <c r="H1511" t="s">
        <v>102</v>
      </c>
      <c r="I1511" t="s">
        <v>15</v>
      </c>
      <c r="J1511" t="s">
        <v>21</v>
      </c>
      <c r="K1511" t="s">
        <v>3</v>
      </c>
      <c r="L1511" s="36">
        <f ca="1">IF(C1511&lt;&gt;"Yes",0,IF(A1511=2025,N('2025'!D186),IF(A1511=2026,N('2026'!D186),IF(A1511=2027,N('2027'!D186),IF(A1511=2028,N('2028'!D186),IF(A1511=2029,N('2029'!D186),IF(A1511=2030,N('2030'!D186),IF(A1511=2031,N('2031'!D186),IF(A1511=2032,N('2032'!D186),IF(A1511=2033,N('2033'!D186),IF(A1511=2034,N('2034'!D186),IFERROR(N(INDIRECT("'"&amp;A1511&amp;"'!D"&amp;G1511)),0))))))))))))</f>
        <v>0</v>
      </c>
      <c r="M1511" s="36">
        <f>IFERROR(IF(NOT(ISBLANK(KPI_TARGETS!$M$13)),KPI_TARGETS!$M$13,IF(NOT(ISBLANK(KPI_TARGETS!$F$13)),KPI_TARGETS!$F$13,"")),"")</f>
        <v>0</v>
      </c>
      <c r="N1511" s="36" t="str">
        <f>IFERROR(KPI_TARGETS!$E$13,"Higher is better")</f>
        <v>Lower is better</v>
      </c>
      <c r="O1511" s="37">
        <f t="shared" ca="1" si="138"/>
        <v>1</v>
      </c>
      <c r="P1511" t="str">
        <f t="shared" ca="1" si="139"/>
        <v>Green</v>
      </c>
      <c r="Q1511" s="36">
        <f t="shared" ca="1" si="140"/>
        <v>0</v>
      </c>
      <c r="R1511" s="36" t="str">
        <f>""</f>
        <v/>
      </c>
      <c r="S1511" s="36" t="str">
        <f>""</f>
        <v/>
      </c>
      <c r="T1511" s="36" t="str">
        <f>""</f>
        <v/>
      </c>
      <c r="U1511" s="36" t="str">
        <f>""</f>
        <v/>
      </c>
      <c r="V1511" s="36" t="str">
        <f>""</f>
        <v/>
      </c>
      <c r="W1511" s="36">
        <f t="shared" si="141"/>
        <v>1</v>
      </c>
      <c r="X1511" t="str">
        <f t="shared" si="142"/>
        <v>Inactive</v>
      </c>
      <c r="Y1511" t="str">
        <f>IF(MAIN!$H$3="Selected Year",IF(A1511=MAIN!$B$3,"Yes","No"),IF(MAIN!$H$3="Included Years",IF(D1511="Yes","Yes","No"),IF(C1511="Yes","Yes","No")))</f>
        <v>No</v>
      </c>
      <c r="Z1511" t="str">
        <f>IF(MAIN!$F$3="Project to Date",IF(AND(A1511&gt;=SETTINGS!$B$4,A1511&lt;MAIN!$B$3),"Yes",IF(AND(A1511=MAIN!$B$3,E1511&lt;=MAIN!$L$3),"Yes","No")),IF(OR(MAIN!$F$3="Full Year",MAIN!$D$3="All"),"Yes",IF(MAIN!$F$3="Monthly",IF(E1511=MAIN!$L$3,"Yes","No"),IF(E1511&lt;=MAIN!$L$3,"Yes","No"))))</f>
        <v>Yes</v>
      </c>
      <c r="AA1511" t="str">
        <f t="shared" si="143"/>
        <v>No</v>
      </c>
    </row>
    <row r="1512" spans="1:27" x14ac:dyDescent="0.3">
      <c r="A1512">
        <f>INDEX(SETTINGS!$A$15:$A$24,$B1512)</f>
        <v>2031</v>
      </c>
      <c r="B1512">
        <v>7</v>
      </c>
      <c r="C1512" t="str">
        <f>IF(AND(A1512&gt;=SETTINGS!$B$4,A1512&lt;=SETTINGS!$B$5),"Yes","No")</f>
        <v>No</v>
      </c>
      <c r="D1512" t="str">
        <f>IFERROR(INDEX(SETTINGS!$C$15:$C$24,MATCH(A1512,SETTINGS!$A$15:$A$24,0)),"No")</f>
        <v>No</v>
      </c>
      <c r="E1512">
        <v>8</v>
      </c>
      <c r="F1512" t="s">
        <v>41</v>
      </c>
      <c r="G1512">
        <v>188</v>
      </c>
      <c r="H1512" t="s">
        <v>103</v>
      </c>
      <c r="I1512" t="s">
        <v>22</v>
      </c>
      <c r="J1512" t="s">
        <v>23</v>
      </c>
      <c r="K1512" t="s">
        <v>3</v>
      </c>
      <c r="L1512" s="36">
        <f ca="1">IF(C1512&lt;&gt;"Yes",0,IF(A1512=2025,N('2025'!D188),IF(A1512=2026,N('2026'!D188),IF(A1512=2027,N('2027'!D188),IF(A1512=2028,N('2028'!D188),IF(A1512=2029,N('2029'!D188),IF(A1512=2030,N('2030'!D188),IF(A1512=2031,N('2031'!D188),IF(A1512=2032,N('2032'!D188),IF(A1512=2033,N('2033'!D188),IF(A1512=2034,N('2034'!D188),IFERROR(N(INDIRECT("'"&amp;A1512&amp;"'!D"&amp;G1512)),0))))))))))))</f>
        <v>0</v>
      </c>
      <c r="M1512" s="36">
        <f>IFERROR(IF(NOT(ISBLANK(KPI_TARGETS!$M$14)),KPI_TARGETS!$M$14,IF(NOT(ISBLANK(KPI_TARGETS!$F$14)),KPI_TARGETS!$F$14,"")),"")</f>
        <v>35</v>
      </c>
      <c r="N1512" s="36" t="str">
        <f>IFERROR(KPI_TARGETS!$E$14,"Higher is better")</f>
        <v>Higher is better</v>
      </c>
      <c r="O1512" s="37">
        <f t="shared" ca="1" si="138"/>
        <v>0</v>
      </c>
      <c r="P1512" t="str">
        <f t="shared" ca="1" si="139"/>
        <v>Red</v>
      </c>
      <c r="Q1512" s="36">
        <f t="shared" ca="1" si="140"/>
        <v>-35</v>
      </c>
      <c r="R1512" s="36" t="str">
        <f>""</f>
        <v/>
      </c>
      <c r="S1512" s="36" t="str">
        <f>""</f>
        <v/>
      </c>
      <c r="T1512" s="36" t="str">
        <f>""</f>
        <v/>
      </c>
      <c r="U1512" s="36" t="str">
        <f>""</f>
        <v/>
      </c>
      <c r="V1512" s="36" t="str">
        <f>""</f>
        <v/>
      </c>
      <c r="W1512" s="36">
        <f t="shared" si="141"/>
        <v>1</v>
      </c>
      <c r="X1512" t="str">
        <f t="shared" si="142"/>
        <v>Inactive</v>
      </c>
      <c r="Y1512" t="str">
        <f>IF(MAIN!$H$3="Selected Year",IF(A1512=MAIN!$B$3,"Yes","No"),IF(MAIN!$H$3="Included Years",IF(D1512="Yes","Yes","No"),IF(C1512="Yes","Yes","No")))</f>
        <v>No</v>
      </c>
      <c r="Z1512" t="str">
        <f>IF(MAIN!$F$3="Project to Date",IF(AND(A1512&gt;=SETTINGS!$B$4,A1512&lt;MAIN!$B$3),"Yes",IF(AND(A1512=MAIN!$B$3,E1512&lt;=MAIN!$L$3),"Yes","No")),IF(OR(MAIN!$F$3="Full Year",MAIN!$D$3="All"),"Yes",IF(MAIN!$F$3="Monthly",IF(E1512=MAIN!$L$3,"Yes","No"),IF(E1512&lt;=MAIN!$L$3,"Yes","No"))))</f>
        <v>Yes</v>
      </c>
      <c r="AA1512" t="str">
        <f t="shared" si="143"/>
        <v>No</v>
      </c>
    </row>
    <row r="1513" spans="1:27" x14ac:dyDescent="0.3">
      <c r="A1513">
        <f>INDEX(SETTINGS!$A$15:$A$24,$B1513)</f>
        <v>2031</v>
      </c>
      <c r="B1513">
        <v>7</v>
      </c>
      <c r="C1513" t="str">
        <f>IF(AND(A1513&gt;=SETTINGS!$B$4,A1513&lt;=SETTINGS!$B$5),"Yes","No")</f>
        <v>No</v>
      </c>
      <c r="D1513" t="str">
        <f>IFERROR(INDEX(SETTINGS!$C$15:$C$24,MATCH(A1513,SETTINGS!$A$15:$A$24,0)),"No")</f>
        <v>No</v>
      </c>
      <c r="E1513">
        <v>8</v>
      </c>
      <c r="F1513" t="s">
        <v>41</v>
      </c>
      <c r="G1513">
        <v>189</v>
      </c>
      <c r="H1513" t="s">
        <v>104</v>
      </c>
      <c r="I1513" t="s">
        <v>22</v>
      </c>
      <c r="J1513" t="s">
        <v>24</v>
      </c>
      <c r="K1513" t="s">
        <v>3</v>
      </c>
      <c r="L1513" s="36">
        <f ca="1">IF(C1513&lt;&gt;"Yes",0,IF(A1513=2025,N('2025'!D189),IF(A1513=2026,N('2026'!D189),IF(A1513=2027,N('2027'!D189),IF(A1513=2028,N('2028'!D189),IF(A1513=2029,N('2029'!D189),IF(A1513=2030,N('2030'!D189),IF(A1513=2031,N('2031'!D189),IF(A1513=2032,N('2032'!D189),IF(A1513=2033,N('2033'!D189),IF(A1513=2034,N('2034'!D189),IFERROR(N(INDIRECT("'"&amp;A1513&amp;"'!D"&amp;G1513)),0))))))))))))</f>
        <v>0</v>
      </c>
      <c r="M1513" s="36">
        <f>IFERROR(IF(NOT(ISBLANK(KPI_TARGETS!$M$15)),KPI_TARGETS!$M$15,IF(NOT(ISBLANK(KPI_TARGETS!$F$15)),KPI_TARGETS!$F$15,"")),"")</f>
        <v>5</v>
      </c>
      <c r="N1513" s="36" t="str">
        <f>IFERROR(KPI_TARGETS!$E$15,"Higher is better")</f>
        <v>Higher is better</v>
      </c>
      <c r="O1513" s="37">
        <f t="shared" ca="1" si="138"/>
        <v>0</v>
      </c>
      <c r="P1513" t="str">
        <f t="shared" ca="1" si="139"/>
        <v>Red</v>
      </c>
      <c r="Q1513" s="36">
        <f t="shared" ca="1" si="140"/>
        <v>-5</v>
      </c>
      <c r="R1513" s="36" t="str">
        <f>""</f>
        <v/>
      </c>
      <c r="S1513" s="36" t="str">
        <f>""</f>
        <v/>
      </c>
      <c r="T1513" s="36" t="str">
        <f>""</f>
        <v/>
      </c>
      <c r="U1513" s="36" t="str">
        <f>""</f>
        <v/>
      </c>
      <c r="V1513" s="36" t="str">
        <f>""</f>
        <v/>
      </c>
      <c r="W1513" s="36">
        <f t="shared" si="141"/>
        <v>1</v>
      </c>
      <c r="X1513" t="str">
        <f t="shared" si="142"/>
        <v>Inactive</v>
      </c>
      <c r="Y1513" t="str">
        <f>IF(MAIN!$H$3="Selected Year",IF(A1513=MAIN!$B$3,"Yes","No"),IF(MAIN!$H$3="Included Years",IF(D1513="Yes","Yes","No"),IF(C1513="Yes","Yes","No")))</f>
        <v>No</v>
      </c>
      <c r="Z1513" t="str">
        <f>IF(MAIN!$F$3="Project to Date",IF(AND(A1513&gt;=SETTINGS!$B$4,A1513&lt;MAIN!$B$3),"Yes",IF(AND(A1513=MAIN!$B$3,E1513&lt;=MAIN!$L$3),"Yes","No")),IF(OR(MAIN!$F$3="Full Year",MAIN!$D$3="All"),"Yes",IF(MAIN!$F$3="Monthly",IF(E1513=MAIN!$L$3,"Yes","No"),IF(E1513&lt;=MAIN!$L$3,"Yes","No"))))</f>
        <v>Yes</v>
      </c>
      <c r="AA1513" t="str">
        <f t="shared" si="143"/>
        <v>No</v>
      </c>
    </row>
    <row r="1514" spans="1:27" x14ac:dyDescent="0.3">
      <c r="A1514">
        <f>INDEX(SETTINGS!$A$15:$A$24,$B1514)</f>
        <v>2031</v>
      </c>
      <c r="B1514">
        <v>7</v>
      </c>
      <c r="C1514" t="str">
        <f>IF(AND(A1514&gt;=SETTINGS!$B$4,A1514&lt;=SETTINGS!$B$5),"Yes","No")</f>
        <v>No</v>
      </c>
      <c r="D1514" t="str">
        <f>IFERROR(INDEX(SETTINGS!$C$15:$C$24,MATCH(A1514,SETTINGS!$A$15:$A$24,0)),"No")</f>
        <v>No</v>
      </c>
      <c r="E1514">
        <v>8</v>
      </c>
      <c r="F1514" t="s">
        <v>41</v>
      </c>
      <c r="G1514">
        <v>190</v>
      </c>
      <c r="H1514" t="s">
        <v>105</v>
      </c>
      <c r="I1514" t="s">
        <v>22</v>
      </c>
      <c r="J1514" t="s">
        <v>25</v>
      </c>
      <c r="K1514" t="s">
        <v>3</v>
      </c>
      <c r="L1514" s="36">
        <f ca="1">IF(C1514&lt;&gt;"Yes",0,IF(A1514=2025,N('2025'!D190),IF(A1514=2026,N('2026'!D190),IF(A1514=2027,N('2027'!D190),IF(A1514=2028,N('2028'!D190),IF(A1514=2029,N('2029'!D190),IF(A1514=2030,N('2030'!D190),IF(A1514=2031,N('2031'!D190),IF(A1514=2032,N('2032'!D190),IF(A1514=2033,N('2033'!D190),IF(A1514=2034,N('2034'!D190),IFERROR(N(INDIRECT("'"&amp;A1514&amp;"'!D"&amp;G1514)),0))))))))))))</f>
        <v>0</v>
      </c>
      <c r="M1514" s="36">
        <f>IFERROR(IF(NOT(ISBLANK(KPI_TARGETS!$M$16)),KPI_TARGETS!$M$16,IF(NOT(ISBLANK(KPI_TARGETS!$F$16)),KPI_TARGETS!$F$16,"")),"")</f>
        <v>4</v>
      </c>
      <c r="N1514" s="36" t="str">
        <f>IFERROR(KPI_TARGETS!$E$16,"Higher is better")</f>
        <v>Higher is better</v>
      </c>
      <c r="O1514" s="37">
        <f t="shared" ca="1" si="138"/>
        <v>0</v>
      </c>
      <c r="P1514" t="str">
        <f t="shared" ca="1" si="139"/>
        <v>Red</v>
      </c>
      <c r="Q1514" s="36">
        <f t="shared" ca="1" si="140"/>
        <v>-4</v>
      </c>
      <c r="R1514" s="36" t="str">
        <f>""</f>
        <v/>
      </c>
      <c r="S1514" s="36" t="str">
        <f>""</f>
        <v/>
      </c>
      <c r="T1514" s="36" t="str">
        <f>""</f>
        <v/>
      </c>
      <c r="U1514" s="36" t="str">
        <f>""</f>
        <v/>
      </c>
      <c r="V1514" s="36" t="str">
        <f>""</f>
        <v/>
      </c>
      <c r="W1514" s="36">
        <f t="shared" si="141"/>
        <v>1</v>
      </c>
      <c r="X1514" t="str">
        <f t="shared" si="142"/>
        <v>Inactive</v>
      </c>
      <c r="Y1514" t="str">
        <f>IF(MAIN!$H$3="Selected Year",IF(A1514=MAIN!$B$3,"Yes","No"),IF(MAIN!$H$3="Included Years",IF(D1514="Yes","Yes","No"),IF(C1514="Yes","Yes","No")))</f>
        <v>No</v>
      </c>
      <c r="Z1514" t="str">
        <f>IF(MAIN!$F$3="Project to Date",IF(AND(A1514&gt;=SETTINGS!$B$4,A1514&lt;MAIN!$B$3),"Yes",IF(AND(A1514=MAIN!$B$3,E1514&lt;=MAIN!$L$3),"Yes","No")),IF(OR(MAIN!$F$3="Full Year",MAIN!$D$3="All"),"Yes",IF(MAIN!$F$3="Monthly",IF(E1514=MAIN!$L$3,"Yes","No"),IF(E1514&lt;=MAIN!$L$3,"Yes","No"))))</f>
        <v>Yes</v>
      </c>
      <c r="AA1514" t="str">
        <f t="shared" si="143"/>
        <v>No</v>
      </c>
    </row>
    <row r="1515" spans="1:27" x14ac:dyDescent="0.3">
      <c r="A1515">
        <f>INDEX(SETTINGS!$A$15:$A$24,$B1515)</f>
        <v>2031</v>
      </c>
      <c r="B1515">
        <v>7</v>
      </c>
      <c r="C1515" t="str">
        <f>IF(AND(A1515&gt;=SETTINGS!$B$4,A1515&lt;=SETTINGS!$B$5),"Yes","No")</f>
        <v>No</v>
      </c>
      <c r="D1515" t="str">
        <f>IFERROR(INDEX(SETTINGS!$C$15:$C$24,MATCH(A1515,SETTINGS!$A$15:$A$24,0)),"No")</f>
        <v>No</v>
      </c>
      <c r="E1515">
        <v>8</v>
      </c>
      <c r="F1515" t="s">
        <v>41</v>
      </c>
      <c r="G1515">
        <v>191</v>
      </c>
      <c r="H1515" t="s">
        <v>106</v>
      </c>
      <c r="I1515" t="s">
        <v>22</v>
      </c>
      <c r="J1515" t="s">
        <v>26</v>
      </c>
      <c r="K1515" t="s">
        <v>3</v>
      </c>
      <c r="L1515" s="36">
        <f ca="1">IF(C1515&lt;&gt;"Yes",0,IF(A1515=2025,N('2025'!D191),IF(A1515=2026,N('2026'!D191),IF(A1515=2027,N('2027'!D191),IF(A1515=2028,N('2028'!D191),IF(A1515=2029,N('2029'!D191),IF(A1515=2030,N('2030'!D191),IF(A1515=2031,N('2031'!D191),IF(A1515=2032,N('2032'!D191),IF(A1515=2033,N('2033'!D191),IF(A1515=2034,N('2034'!D191),IFERROR(N(INDIRECT("'"&amp;A1515&amp;"'!D"&amp;G1515)),0))))))))))))</f>
        <v>0</v>
      </c>
      <c r="M1515" s="36">
        <f>IFERROR(IF(NOT(ISBLANK(KPI_TARGETS!$M$17)),KPI_TARGETS!$M$17,IF(NOT(ISBLANK(KPI_TARGETS!$F$17)),KPI_TARGETS!$F$17,"")),"")</f>
        <v>12</v>
      </c>
      <c r="N1515" s="36" t="str">
        <f>IFERROR(KPI_TARGETS!$E$17,"Higher is better")</f>
        <v>Higher is better</v>
      </c>
      <c r="O1515" s="37">
        <f t="shared" ca="1" si="138"/>
        <v>0</v>
      </c>
      <c r="P1515" t="str">
        <f t="shared" ca="1" si="139"/>
        <v>Red</v>
      </c>
      <c r="Q1515" s="36">
        <f t="shared" ca="1" si="140"/>
        <v>-12</v>
      </c>
      <c r="R1515" s="36" t="str">
        <f>""</f>
        <v/>
      </c>
      <c r="S1515" s="36" t="str">
        <f>""</f>
        <v/>
      </c>
      <c r="T1515" s="36" t="str">
        <f>""</f>
        <v/>
      </c>
      <c r="U1515" s="36" t="str">
        <f>""</f>
        <v/>
      </c>
      <c r="V1515" s="36" t="str">
        <f>""</f>
        <v/>
      </c>
      <c r="W1515" s="36">
        <f t="shared" si="141"/>
        <v>1</v>
      </c>
      <c r="X1515" t="str">
        <f t="shared" si="142"/>
        <v>Inactive</v>
      </c>
      <c r="Y1515" t="str">
        <f>IF(MAIN!$H$3="Selected Year",IF(A1515=MAIN!$B$3,"Yes","No"),IF(MAIN!$H$3="Included Years",IF(D1515="Yes","Yes","No"),IF(C1515="Yes","Yes","No")))</f>
        <v>No</v>
      </c>
      <c r="Z1515" t="str">
        <f>IF(MAIN!$F$3="Project to Date",IF(AND(A1515&gt;=SETTINGS!$B$4,A1515&lt;MAIN!$B$3),"Yes",IF(AND(A1515=MAIN!$B$3,E1515&lt;=MAIN!$L$3),"Yes","No")),IF(OR(MAIN!$F$3="Full Year",MAIN!$D$3="All"),"Yes",IF(MAIN!$F$3="Monthly",IF(E1515=MAIN!$L$3,"Yes","No"),IF(E1515&lt;=MAIN!$L$3,"Yes","No"))))</f>
        <v>Yes</v>
      </c>
      <c r="AA1515" t="str">
        <f t="shared" si="143"/>
        <v>No</v>
      </c>
    </row>
    <row r="1516" spans="1:27" x14ac:dyDescent="0.3">
      <c r="A1516">
        <f>INDEX(SETTINGS!$A$15:$A$24,$B1516)</f>
        <v>2031</v>
      </c>
      <c r="B1516">
        <v>7</v>
      </c>
      <c r="C1516" t="str">
        <f>IF(AND(A1516&gt;=SETTINGS!$B$4,A1516&lt;=SETTINGS!$B$5),"Yes","No")</f>
        <v>No</v>
      </c>
      <c r="D1516" t="str">
        <f>IFERROR(INDEX(SETTINGS!$C$15:$C$24,MATCH(A1516,SETTINGS!$A$15:$A$24,0)),"No")</f>
        <v>No</v>
      </c>
      <c r="E1516">
        <v>8</v>
      </c>
      <c r="F1516" t="s">
        <v>41</v>
      </c>
      <c r="G1516">
        <v>192</v>
      </c>
      <c r="H1516" t="s">
        <v>107</v>
      </c>
      <c r="I1516" t="s">
        <v>22</v>
      </c>
      <c r="J1516" t="s">
        <v>27</v>
      </c>
      <c r="K1516" t="s">
        <v>3</v>
      </c>
      <c r="L1516" s="36">
        <f ca="1">IF(C1516&lt;&gt;"Yes",0,IF(A1516=2025,N('2025'!D192),IF(A1516=2026,N('2026'!D192),IF(A1516=2027,N('2027'!D192),IF(A1516=2028,N('2028'!D192),IF(A1516=2029,N('2029'!D192),IF(A1516=2030,N('2030'!D192),IF(A1516=2031,N('2031'!D192),IF(A1516=2032,N('2032'!D192),IF(A1516=2033,N('2033'!D192),IF(A1516=2034,N('2034'!D192),IFERROR(N(INDIRECT("'"&amp;A1516&amp;"'!D"&amp;G1516)),0))))))))))))</f>
        <v>0</v>
      </c>
      <c r="M1516" s="36">
        <f>IFERROR(IF(NOT(ISBLANK(KPI_TARGETS!$M$18)),KPI_TARGETS!$M$18,IF(NOT(ISBLANK(KPI_TARGETS!$F$18)),KPI_TARGETS!$F$18,"")),"")</f>
        <v>4</v>
      </c>
      <c r="N1516" s="36" t="str">
        <f>IFERROR(KPI_TARGETS!$E$18,"Higher is better")</f>
        <v>Higher is better</v>
      </c>
      <c r="O1516" s="37">
        <f t="shared" ca="1" si="138"/>
        <v>0</v>
      </c>
      <c r="P1516" t="str">
        <f t="shared" ca="1" si="139"/>
        <v>Red</v>
      </c>
      <c r="Q1516" s="36">
        <f t="shared" ca="1" si="140"/>
        <v>-4</v>
      </c>
      <c r="R1516" s="36" t="str">
        <f>""</f>
        <v/>
      </c>
      <c r="S1516" s="36" t="str">
        <f>""</f>
        <v/>
      </c>
      <c r="T1516" s="36" t="str">
        <f>""</f>
        <v/>
      </c>
      <c r="U1516" s="36" t="str">
        <f>""</f>
        <v/>
      </c>
      <c r="V1516" s="36" t="str">
        <f>""</f>
        <v/>
      </c>
      <c r="W1516" s="36">
        <f t="shared" si="141"/>
        <v>1</v>
      </c>
      <c r="X1516" t="str">
        <f t="shared" si="142"/>
        <v>Inactive</v>
      </c>
      <c r="Y1516" t="str">
        <f>IF(MAIN!$H$3="Selected Year",IF(A1516=MAIN!$B$3,"Yes","No"),IF(MAIN!$H$3="Included Years",IF(D1516="Yes","Yes","No"),IF(C1516="Yes","Yes","No")))</f>
        <v>No</v>
      </c>
      <c r="Z1516" t="str">
        <f>IF(MAIN!$F$3="Project to Date",IF(AND(A1516&gt;=SETTINGS!$B$4,A1516&lt;MAIN!$B$3),"Yes",IF(AND(A1516=MAIN!$B$3,E1516&lt;=MAIN!$L$3),"Yes","No")),IF(OR(MAIN!$F$3="Full Year",MAIN!$D$3="All"),"Yes",IF(MAIN!$F$3="Monthly",IF(E1516=MAIN!$L$3,"Yes","No"),IF(E1516&lt;=MAIN!$L$3,"Yes","No"))))</f>
        <v>Yes</v>
      </c>
      <c r="AA1516" t="str">
        <f t="shared" si="143"/>
        <v>No</v>
      </c>
    </row>
    <row r="1517" spans="1:27" x14ac:dyDescent="0.3">
      <c r="A1517">
        <f>INDEX(SETTINGS!$A$15:$A$24,$B1517)</f>
        <v>2031</v>
      </c>
      <c r="B1517">
        <v>7</v>
      </c>
      <c r="C1517" t="str">
        <f>IF(AND(A1517&gt;=SETTINGS!$B$4,A1517&lt;=SETTINGS!$B$5),"Yes","No")</f>
        <v>No</v>
      </c>
      <c r="D1517" t="str">
        <f>IFERROR(INDEX(SETTINGS!$C$15:$C$24,MATCH(A1517,SETTINGS!$A$15:$A$24,0)),"No")</f>
        <v>No</v>
      </c>
      <c r="E1517">
        <v>8</v>
      </c>
      <c r="F1517" t="s">
        <v>41</v>
      </c>
      <c r="G1517">
        <v>193</v>
      </c>
      <c r="H1517" t="s">
        <v>108</v>
      </c>
      <c r="I1517" t="s">
        <v>22</v>
      </c>
      <c r="J1517" t="s">
        <v>28</v>
      </c>
      <c r="K1517" t="s">
        <v>3</v>
      </c>
      <c r="L1517" s="36">
        <f ca="1">IF(C1517&lt;&gt;"Yes",0,IF(A1517=2025,N('2025'!D193),IF(A1517=2026,N('2026'!D193),IF(A1517=2027,N('2027'!D193),IF(A1517=2028,N('2028'!D193),IF(A1517=2029,N('2029'!D193),IF(A1517=2030,N('2030'!D193),IF(A1517=2031,N('2031'!D193),IF(A1517=2032,N('2032'!D193),IF(A1517=2033,N('2033'!D193),IF(A1517=2034,N('2034'!D193),IFERROR(N(INDIRECT("'"&amp;A1517&amp;"'!D"&amp;G1517)),0))))))))))))</f>
        <v>0</v>
      </c>
      <c r="M1517" s="36">
        <f>IFERROR(IF(NOT(ISBLANK(KPI_TARGETS!$M$19)),KPI_TARGETS!$M$19,IF(NOT(ISBLANK(KPI_TARGETS!$F$19)),KPI_TARGETS!$F$19,"")),"")</f>
        <v>16</v>
      </c>
      <c r="N1517" s="36" t="str">
        <f>IFERROR(KPI_TARGETS!$E$19,"Higher is better")</f>
        <v>Higher is better</v>
      </c>
      <c r="O1517" s="37">
        <f t="shared" ca="1" si="138"/>
        <v>0</v>
      </c>
      <c r="P1517" t="str">
        <f t="shared" ca="1" si="139"/>
        <v>Red</v>
      </c>
      <c r="Q1517" s="36">
        <f t="shared" ca="1" si="140"/>
        <v>-16</v>
      </c>
      <c r="R1517" s="36" t="str">
        <f>""</f>
        <v/>
      </c>
      <c r="S1517" s="36" t="str">
        <f>""</f>
        <v/>
      </c>
      <c r="T1517" s="36" t="str">
        <f>""</f>
        <v/>
      </c>
      <c r="U1517" s="36" t="str">
        <f>""</f>
        <v/>
      </c>
      <c r="V1517" s="36" t="str">
        <f>""</f>
        <v/>
      </c>
      <c r="W1517" s="36">
        <f t="shared" si="141"/>
        <v>1</v>
      </c>
      <c r="X1517" t="str">
        <f t="shared" si="142"/>
        <v>Inactive</v>
      </c>
      <c r="Y1517" t="str">
        <f>IF(MAIN!$H$3="Selected Year",IF(A1517=MAIN!$B$3,"Yes","No"),IF(MAIN!$H$3="Included Years",IF(D1517="Yes","Yes","No"),IF(C1517="Yes","Yes","No")))</f>
        <v>No</v>
      </c>
      <c r="Z1517" t="str">
        <f>IF(MAIN!$F$3="Project to Date",IF(AND(A1517&gt;=SETTINGS!$B$4,A1517&lt;MAIN!$B$3),"Yes",IF(AND(A1517=MAIN!$B$3,E1517&lt;=MAIN!$L$3),"Yes","No")),IF(OR(MAIN!$F$3="Full Year",MAIN!$D$3="All"),"Yes",IF(MAIN!$F$3="Monthly",IF(E1517=MAIN!$L$3,"Yes","No"),IF(E1517&lt;=MAIN!$L$3,"Yes","No"))))</f>
        <v>Yes</v>
      </c>
      <c r="AA1517" t="str">
        <f t="shared" si="143"/>
        <v>No</v>
      </c>
    </row>
    <row r="1518" spans="1:27" x14ac:dyDescent="0.3">
      <c r="A1518">
        <f>INDEX(SETTINGS!$A$15:$A$24,$B1518)</f>
        <v>2031</v>
      </c>
      <c r="B1518">
        <v>7</v>
      </c>
      <c r="C1518" t="str">
        <f>IF(AND(A1518&gt;=SETTINGS!$B$4,A1518&lt;=SETTINGS!$B$5),"Yes","No")</f>
        <v>No</v>
      </c>
      <c r="D1518" t="str">
        <f>IFERROR(INDEX(SETTINGS!$C$15:$C$24,MATCH(A1518,SETTINGS!$A$15:$A$24,0)),"No")</f>
        <v>No</v>
      </c>
      <c r="E1518">
        <v>8</v>
      </c>
      <c r="F1518" t="s">
        <v>41</v>
      </c>
      <c r="G1518">
        <v>194</v>
      </c>
      <c r="H1518" t="s">
        <v>109</v>
      </c>
      <c r="I1518" t="s">
        <v>22</v>
      </c>
      <c r="J1518" t="s">
        <v>29</v>
      </c>
      <c r="K1518" t="s">
        <v>3</v>
      </c>
      <c r="L1518" s="36">
        <f ca="1">IF(C1518&lt;&gt;"Yes",0,IF(A1518=2025,N('2025'!D194),IF(A1518=2026,N('2026'!D194),IF(A1518=2027,N('2027'!D194),IF(A1518=2028,N('2028'!D194),IF(A1518=2029,N('2029'!D194),IF(A1518=2030,N('2030'!D194),IF(A1518=2031,N('2031'!D194),IF(A1518=2032,N('2032'!D194),IF(A1518=2033,N('2033'!D194),IF(A1518=2034,N('2034'!D194),IFERROR(N(INDIRECT("'"&amp;A1518&amp;"'!D"&amp;G1518)),0))))))))))))</f>
        <v>0</v>
      </c>
      <c r="M1518" s="36">
        <f>IFERROR(IF(NOT(ISBLANK(KPI_TARGETS!$M$20)),KPI_TARGETS!$M$20,IF(NOT(ISBLANK(KPI_TARGETS!$F$20)),KPI_TARGETS!$F$20,"")),"")</f>
        <v>1</v>
      </c>
      <c r="N1518" s="36" t="str">
        <f>IFERROR(KPI_TARGETS!$E$20,"Higher is better")</f>
        <v>Higher is better</v>
      </c>
      <c r="O1518" s="37">
        <f t="shared" ca="1" si="138"/>
        <v>0</v>
      </c>
      <c r="P1518" t="str">
        <f t="shared" ca="1" si="139"/>
        <v>Red</v>
      </c>
      <c r="Q1518" s="36">
        <f t="shared" ca="1" si="140"/>
        <v>-1</v>
      </c>
      <c r="R1518" s="36" t="str">
        <f>""</f>
        <v/>
      </c>
      <c r="S1518" s="36" t="str">
        <f>""</f>
        <v/>
      </c>
      <c r="T1518" s="36" t="str">
        <f>""</f>
        <v/>
      </c>
      <c r="U1518" s="36" t="str">
        <f>""</f>
        <v/>
      </c>
      <c r="V1518" s="36" t="str">
        <f>""</f>
        <v/>
      </c>
      <c r="W1518" s="36">
        <f t="shared" si="141"/>
        <v>1</v>
      </c>
      <c r="X1518" t="str">
        <f t="shared" si="142"/>
        <v>Inactive</v>
      </c>
      <c r="Y1518" t="str">
        <f>IF(MAIN!$H$3="Selected Year",IF(A1518=MAIN!$B$3,"Yes","No"),IF(MAIN!$H$3="Included Years",IF(D1518="Yes","Yes","No"),IF(C1518="Yes","Yes","No")))</f>
        <v>No</v>
      </c>
      <c r="Z1518" t="str">
        <f>IF(MAIN!$F$3="Project to Date",IF(AND(A1518&gt;=SETTINGS!$B$4,A1518&lt;MAIN!$B$3),"Yes",IF(AND(A1518=MAIN!$B$3,E1518&lt;=MAIN!$L$3),"Yes","No")),IF(OR(MAIN!$F$3="Full Year",MAIN!$D$3="All"),"Yes",IF(MAIN!$F$3="Monthly",IF(E1518=MAIN!$L$3,"Yes","No"),IF(E1518&lt;=MAIN!$L$3,"Yes","No"))))</f>
        <v>Yes</v>
      </c>
      <c r="AA1518" t="str">
        <f t="shared" si="143"/>
        <v>No</v>
      </c>
    </row>
    <row r="1519" spans="1:27" x14ac:dyDescent="0.3">
      <c r="A1519">
        <f>INDEX(SETTINGS!$A$15:$A$24,$B1519)</f>
        <v>2031</v>
      </c>
      <c r="B1519">
        <v>7</v>
      </c>
      <c r="C1519" t="str">
        <f>IF(AND(A1519&gt;=SETTINGS!$B$4,A1519&lt;=SETTINGS!$B$5),"Yes","No")</f>
        <v>No</v>
      </c>
      <c r="D1519" t="str">
        <f>IFERROR(INDEX(SETTINGS!$C$15:$C$24,MATCH(A1519,SETTINGS!$A$15:$A$24,0)),"No")</f>
        <v>No</v>
      </c>
      <c r="E1519">
        <v>8</v>
      </c>
      <c r="F1519" t="s">
        <v>41</v>
      </c>
      <c r="G1519">
        <v>196</v>
      </c>
      <c r="H1519" t="s">
        <v>110</v>
      </c>
      <c r="I1519" t="s">
        <v>30</v>
      </c>
      <c r="J1519" t="s">
        <v>31</v>
      </c>
      <c r="K1519" t="s">
        <v>3</v>
      </c>
      <c r="L1519" s="36">
        <f ca="1">IF(C1519&lt;&gt;"Yes",0,IF(A1519=2025,N('2025'!D196),IF(A1519=2026,N('2026'!D196),IF(A1519=2027,N('2027'!D196),IF(A1519=2028,N('2028'!D196),IF(A1519=2029,N('2029'!D196),IF(A1519=2030,N('2030'!D196),IF(A1519=2031,N('2031'!D196),IF(A1519=2032,N('2032'!D196),IF(A1519=2033,N('2033'!D196),IF(A1519=2034,N('2034'!D196),IFERROR(N(INDIRECT("'"&amp;A1519&amp;"'!D"&amp;G1519)),0))))))))))))</f>
        <v>0</v>
      </c>
      <c r="M1519" s="36">
        <f>IFERROR(IF(NOT(ISBLANK(KPI_TARGETS!$M$21)),KPI_TARGETS!$M$21,IF(NOT(ISBLANK(KPI_TARGETS!$F$21)),KPI_TARGETS!$F$21,"")),"")</f>
        <v>0</v>
      </c>
      <c r="N1519" s="36" t="str">
        <f>IFERROR(KPI_TARGETS!$E$21,"Higher is better")</f>
        <v>Lower is better</v>
      </c>
      <c r="O1519" s="37">
        <f t="shared" ca="1" si="138"/>
        <v>1</v>
      </c>
      <c r="P1519" t="str">
        <f t="shared" ca="1" si="139"/>
        <v>Green</v>
      </c>
      <c r="Q1519" s="36">
        <f t="shared" ca="1" si="140"/>
        <v>0</v>
      </c>
      <c r="R1519" s="36" t="str">
        <f>""</f>
        <v/>
      </c>
      <c r="S1519" s="36" t="str">
        <f>""</f>
        <v/>
      </c>
      <c r="T1519" s="36" t="str">
        <f>""</f>
        <v/>
      </c>
      <c r="U1519" s="36" t="str">
        <f>""</f>
        <v/>
      </c>
      <c r="V1519" s="36" t="str">
        <f>""</f>
        <v/>
      </c>
      <c r="W1519" s="36">
        <f t="shared" si="141"/>
        <v>1</v>
      </c>
      <c r="X1519" t="str">
        <f t="shared" si="142"/>
        <v>Inactive</v>
      </c>
      <c r="Y1519" t="str">
        <f>IF(MAIN!$H$3="Selected Year",IF(A1519=MAIN!$B$3,"Yes","No"),IF(MAIN!$H$3="Included Years",IF(D1519="Yes","Yes","No"),IF(C1519="Yes","Yes","No")))</f>
        <v>No</v>
      </c>
      <c r="Z1519" t="str">
        <f>IF(MAIN!$F$3="Project to Date",IF(AND(A1519&gt;=SETTINGS!$B$4,A1519&lt;MAIN!$B$3),"Yes",IF(AND(A1519=MAIN!$B$3,E1519&lt;=MAIN!$L$3),"Yes","No")),IF(OR(MAIN!$F$3="Full Year",MAIN!$D$3="All"),"Yes",IF(MAIN!$F$3="Monthly",IF(E1519=MAIN!$L$3,"Yes","No"),IF(E1519&lt;=MAIN!$L$3,"Yes","No"))))</f>
        <v>Yes</v>
      </c>
      <c r="AA1519" t="str">
        <f t="shared" si="143"/>
        <v>No</v>
      </c>
    </row>
    <row r="1520" spans="1:27" x14ac:dyDescent="0.3">
      <c r="A1520">
        <f>INDEX(SETTINGS!$A$15:$A$24,$B1520)</f>
        <v>2031</v>
      </c>
      <c r="B1520">
        <v>7</v>
      </c>
      <c r="C1520" t="str">
        <f>IF(AND(A1520&gt;=SETTINGS!$B$4,A1520&lt;=SETTINGS!$B$5),"Yes","No")</f>
        <v>No</v>
      </c>
      <c r="D1520" t="str">
        <f>IFERROR(INDEX(SETTINGS!$C$15:$C$24,MATCH(A1520,SETTINGS!$A$15:$A$24,0)),"No")</f>
        <v>No</v>
      </c>
      <c r="E1520">
        <v>8</v>
      </c>
      <c r="F1520" t="s">
        <v>41</v>
      </c>
      <c r="G1520">
        <v>197</v>
      </c>
      <c r="H1520" t="s">
        <v>111</v>
      </c>
      <c r="I1520" t="s">
        <v>30</v>
      </c>
      <c r="J1520" t="s">
        <v>32</v>
      </c>
      <c r="K1520" t="s">
        <v>3</v>
      </c>
      <c r="L1520" s="36">
        <f ca="1">IF(C1520&lt;&gt;"Yes",0,IF(A1520=2025,N('2025'!D197),IF(A1520=2026,N('2026'!D197),IF(A1520=2027,N('2027'!D197),IF(A1520=2028,N('2028'!D197),IF(A1520=2029,N('2029'!D197),IF(A1520=2030,N('2030'!D197),IF(A1520=2031,N('2031'!D197),IF(A1520=2032,N('2032'!D197),IF(A1520=2033,N('2033'!D197),IF(A1520=2034,N('2034'!D197),IFERROR(N(INDIRECT("'"&amp;A1520&amp;"'!D"&amp;G1520)),0))))))))))))</f>
        <v>0</v>
      </c>
      <c r="M1520" s="36">
        <f>IFERROR(IF(NOT(ISBLANK(KPI_TARGETS!$M$22)),KPI_TARGETS!$M$22,IF(NOT(ISBLANK(KPI_TARGETS!$F$22)),KPI_TARGETS!$F$22,"")),"")</f>
        <v>1</v>
      </c>
      <c r="N1520" s="36" t="str">
        <f>IFERROR(KPI_TARGETS!$E$22,"Higher is better")</f>
        <v>Higher is better</v>
      </c>
      <c r="O1520" s="37">
        <f t="shared" ca="1" si="138"/>
        <v>0</v>
      </c>
      <c r="P1520" t="str">
        <f t="shared" ca="1" si="139"/>
        <v>Red</v>
      </c>
      <c r="Q1520" s="36">
        <f t="shared" ca="1" si="140"/>
        <v>-1</v>
      </c>
      <c r="R1520" s="36" t="str">
        <f>""</f>
        <v/>
      </c>
      <c r="S1520" s="36" t="str">
        <f>""</f>
        <v/>
      </c>
      <c r="T1520" s="36" t="str">
        <f>""</f>
        <v/>
      </c>
      <c r="U1520" s="36" t="str">
        <f>""</f>
        <v/>
      </c>
      <c r="V1520" s="36" t="str">
        <f>""</f>
        <v/>
      </c>
      <c r="W1520" s="36">
        <f t="shared" si="141"/>
        <v>1</v>
      </c>
      <c r="X1520" t="str">
        <f t="shared" si="142"/>
        <v>Inactive</v>
      </c>
      <c r="Y1520" t="str">
        <f>IF(MAIN!$H$3="Selected Year",IF(A1520=MAIN!$B$3,"Yes","No"),IF(MAIN!$H$3="Included Years",IF(D1520="Yes","Yes","No"),IF(C1520="Yes","Yes","No")))</f>
        <v>No</v>
      </c>
      <c r="Z1520" t="str">
        <f>IF(MAIN!$F$3="Project to Date",IF(AND(A1520&gt;=SETTINGS!$B$4,A1520&lt;MAIN!$B$3),"Yes",IF(AND(A1520=MAIN!$B$3,E1520&lt;=MAIN!$L$3),"Yes","No")),IF(OR(MAIN!$F$3="Full Year",MAIN!$D$3="All"),"Yes",IF(MAIN!$F$3="Monthly",IF(E1520=MAIN!$L$3,"Yes","No"),IF(E1520&lt;=MAIN!$L$3,"Yes","No"))))</f>
        <v>Yes</v>
      </c>
      <c r="AA1520" t="str">
        <f t="shared" si="143"/>
        <v>No</v>
      </c>
    </row>
    <row r="1521" spans="1:27" x14ac:dyDescent="0.3">
      <c r="A1521">
        <f>INDEX(SETTINGS!$A$15:$A$24,$B1521)</f>
        <v>2031</v>
      </c>
      <c r="B1521">
        <v>7</v>
      </c>
      <c r="C1521" t="str">
        <f>IF(AND(A1521&gt;=SETTINGS!$B$4,A1521&lt;=SETTINGS!$B$5),"Yes","No")</f>
        <v>No</v>
      </c>
      <c r="D1521" t="str">
        <f>IFERROR(INDEX(SETTINGS!$C$15:$C$24,MATCH(A1521,SETTINGS!$A$15:$A$24,0)),"No")</f>
        <v>No</v>
      </c>
      <c r="E1521">
        <v>8</v>
      </c>
      <c r="F1521" t="s">
        <v>41</v>
      </c>
      <c r="G1521">
        <v>198</v>
      </c>
      <c r="H1521" t="s">
        <v>112</v>
      </c>
      <c r="I1521" t="s">
        <v>30</v>
      </c>
      <c r="J1521" t="s">
        <v>33</v>
      </c>
      <c r="K1521" t="s">
        <v>34</v>
      </c>
      <c r="L1521" s="36">
        <f ca="1">IF(C1521&lt;&gt;"Yes",0,IF(A1521=2025,N('2025'!D198),IF(A1521=2026,N('2026'!D198),IF(A1521=2027,N('2027'!D198),IF(A1521=2028,N('2028'!D198),IF(A1521=2029,N('2029'!D198),IF(A1521=2030,N('2030'!D198),IF(A1521=2031,N('2031'!D198),IF(A1521=2032,N('2032'!D198),IF(A1521=2033,N('2033'!D198),IF(A1521=2034,N('2034'!D198),IFERROR(N(INDIRECT("'"&amp;A1521&amp;"'!D"&amp;G1521)),0))))))))))))</f>
        <v>0</v>
      </c>
      <c r="M1521" s="36">
        <f>IFERROR(IF(NOT(ISBLANK(KPI_TARGETS!$M$23)),KPI_TARGETS!$M$23,IF(NOT(ISBLANK(KPI_TARGETS!$F$23)),KPI_TARGETS!$F$23,"")),"")</f>
        <v>1</v>
      </c>
      <c r="N1521" s="36" t="str">
        <f>IFERROR(KPI_TARGETS!$E$23,"Higher is better")</f>
        <v>Higher is better</v>
      </c>
      <c r="O1521" s="37">
        <f t="shared" ca="1" si="138"/>
        <v>0</v>
      </c>
      <c r="P1521" t="str">
        <f t="shared" ca="1" si="139"/>
        <v>Red</v>
      </c>
      <c r="Q1521" s="36">
        <f t="shared" ca="1" si="140"/>
        <v>-1</v>
      </c>
      <c r="R1521" s="36" t="str">
        <f>""</f>
        <v/>
      </c>
      <c r="S1521" s="36" t="str">
        <f>""</f>
        <v/>
      </c>
      <c r="T1521" s="36" t="str">
        <f>""</f>
        <v/>
      </c>
      <c r="U1521" s="36" t="str">
        <f>""</f>
        <v/>
      </c>
      <c r="V1521" s="36" t="str">
        <f>""</f>
        <v/>
      </c>
      <c r="W1521" s="36">
        <f t="shared" si="141"/>
        <v>1</v>
      </c>
      <c r="X1521" t="str">
        <f t="shared" si="142"/>
        <v>Inactive</v>
      </c>
      <c r="Y1521" t="str">
        <f>IF(MAIN!$H$3="Selected Year",IF(A1521=MAIN!$B$3,"Yes","No"),IF(MAIN!$H$3="Included Years",IF(D1521="Yes","Yes","No"),IF(C1521="Yes","Yes","No")))</f>
        <v>No</v>
      </c>
      <c r="Z1521" t="str">
        <f>IF(MAIN!$F$3="Project to Date",IF(AND(A1521&gt;=SETTINGS!$B$4,A1521&lt;MAIN!$B$3),"Yes",IF(AND(A1521=MAIN!$B$3,E1521&lt;=MAIN!$L$3),"Yes","No")),IF(OR(MAIN!$F$3="Full Year",MAIN!$D$3="All"),"Yes",IF(MAIN!$F$3="Monthly",IF(E1521=MAIN!$L$3,"Yes","No"),IF(E1521&lt;=MAIN!$L$3,"Yes","No"))))</f>
        <v>Yes</v>
      </c>
      <c r="AA1521" t="str">
        <f t="shared" si="143"/>
        <v>No</v>
      </c>
    </row>
    <row r="1522" spans="1:27" x14ac:dyDescent="0.3">
      <c r="A1522">
        <f>INDEX(SETTINGS!$A$15:$A$24,$B1522)</f>
        <v>2031</v>
      </c>
      <c r="B1522">
        <v>7</v>
      </c>
      <c r="C1522" t="str">
        <f>IF(AND(A1522&gt;=SETTINGS!$B$4,A1522&lt;=SETTINGS!$B$5),"Yes","No")</f>
        <v>No</v>
      </c>
      <c r="D1522" t="str">
        <f>IFERROR(INDEX(SETTINGS!$C$15:$C$24,MATCH(A1522,SETTINGS!$A$15:$A$24,0)),"No")</f>
        <v>No</v>
      </c>
      <c r="E1522">
        <v>9</v>
      </c>
      <c r="F1522" t="s">
        <v>42</v>
      </c>
      <c r="G1522">
        <v>201</v>
      </c>
      <c r="H1522" t="s">
        <v>88</v>
      </c>
      <c r="I1522" t="s">
        <v>89</v>
      </c>
      <c r="J1522" t="s">
        <v>10</v>
      </c>
      <c r="K1522" t="s">
        <v>3</v>
      </c>
      <c r="L1522" s="36">
        <f ca="1">IF(C1522&lt;&gt;"Yes",0,IF(A1522=2025,N('2025'!D201),IF(A1522=2026,N('2026'!D201),IF(A1522=2027,N('2027'!D201),IF(A1522=2028,N('2028'!D201),IF(A1522=2029,N('2029'!D201),IF(A1522=2030,N('2030'!D201),IF(A1522=2031,N('2031'!D201),IF(A1522=2032,N('2032'!D201),IF(A1522=2033,N('2033'!D201),IF(A1522=2034,N('2034'!D201),IFERROR(N(INDIRECT("'"&amp;A1522&amp;"'!D"&amp;G1522)),0))))))))))))</f>
        <v>0</v>
      </c>
      <c r="M1522" s="36">
        <f>IFERROR(IF(NOT(ISBLANK(KPI_TARGETS!$M$5)),KPI_TARGETS!$M$5,IF(NOT(ISBLANK(KPI_TARGETS!$F$5)),KPI_TARGETS!$F$5,"")),"")</f>
        <v>104</v>
      </c>
      <c r="N1522" s="36" t="str">
        <f>IFERROR(KPI_TARGETS!$E$5,"Higher is better")</f>
        <v>Higher is better</v>
      </c>
      <c r="O1522" s="37">
        <f t="shared" ca="1" si="138"/>
        <v>0</v>
      </c>
      <c r="P1522" t="str">
        <f t="shared" ca="1" si="139"/>
        <v>Red</v>
      </c>
      <c r="Q1522" s="36">
        <f t="shared" ca="1" si="140"/>
        <v>-104</v>
      </c>
      <c r="R1522" s="36" t="str">
        <f>""</f>
        <v/>
      </c>
      <c r="S1522" s="36" t="str">
        <f>""</f>
        <v/>
      </c>
      <c r="T1522" s="36" t="str">
        <f>""</f>
        <v/>
      </c>
      <c r="U1522" s="36" t="str">
        <f>""</f>
        <v/>
      </c>
      <c r="V1522" s="36" t="str">
        <f>""</f>
        <v/>
      </c>
      <c r="W1522" s="36">
        <f t="shared" si="141"/>
        <v>1</v>
      </c>
      <c r="X1522" t="str">
        <f t="shared" si="142"/>
        <v>Inactive</v>
      </c>
      <c r="Y1522" t="str">
        <f>IF(MAIN!$H$3="Selected Year",IF(A1522=MAIN!$B$3,"Yes","No"),IF(MAIN!$H$3="Included Years",IF(D1522="Yes","Yes","No"),IF(C1522="Yes","Yes","No")))</f>
        <v>No</v>
      </c>
      <c r="Z1522" t="str">
        <f>IF(MAIN!$F$3="Project to Date",IF(AND(A1522&gt;=SETTINGS!$B$4,A1522&lt;MAIN!$B$3),"Yes",IF(AND(A1522=MAIN!$B$3,E1522&lt;=MAIN!$L$3),"Yes","No")),IF(OR(MAIN!$F$3="Full Year",MAIN!$D$3="All"),"Yes",IF(MAIN!$F$3="Monthly",IF(E1522=MAIN!$L$3,"Yes","No"),IF(E1522&lt;=MAIN!$L$3,"Yes","No"))))</f>
        <v>Yes</v>
      </c>
      <c r="AA1522" t="str">
        <f t="shared" si="143"/>
        <v>No</v>
      </c>
    </row>
    <row r="1523" spans="1:27" x14ac:dyDescent="0.3">
      <c r="A1523">
        <f>INDEX(SETTINGS!$A$15:$A$24,$B1523)</f>
        <v>2031</v>
      </c>
      <c r="B1523">
        <v>7</v>
      </c>
      <c r="C1523" t="str">
        <f>IF(AND(A1523&gt;=SETTINGS!$B$4,A1523&lt;=SETTINGS!$B$5),"Yes","No")</f>
        <v>No</v>
      </c>
      <c r="D1523" t="str">
        <f>IFERROR(INDEX(SETTINGS!$C$15:$C$24,MATCH(A1523,SETTINGS!$A$15:$A$24,0)),"No")</f>
        <v>No</v>
      </c>
      <c r="E1523">
        <v>9</v>
      </c>
      <c r="F1523" t="s">
        <v>42</v>
      </c>
      <c r="G1523">
        <v>202</v>
      </c>
      <c r="H1523" t="s">
        <v>91</v>
      </c>
      <c r="I1523" t="s">
        <v>89</v>
      </c>
      <c r="J1523" t="s">
        <v>11</v>
      </c>
      <c r="K1523" t="s">
        <v>12</v>
      </c>
      <c r="L1523" s="36">
        <f ca="1">IF(C1523&lt;&gt;"Yes",0,IF(A1523=2025,N('2025'!D202),IF(A1523=2026,N('2026'!D202),IF(A1523=2027,N('2027'!D202),IF(A1523=2028,N('2028'!D202),IF(A1523=2029,N('2029'!D202),IF(A1523=2030,N('2030'!D202),IF(A1523=2031,N('2031'!D202),IF(A1523=2032,N('2032'!D202),IF(A1523=2033,N('2033'!D202),IF(A1523=2034,N('2034'!D202),IFERROR(N(INDIRECT("'"&amp;A1523&amp;"'!D"&amp;G1523)),0))))))))))))</f>
        <v>0</v>
      </c>
      <c r="M1523" s="36">
        <f>IFERROR(IF(NOT(ISBLANK(KPI_TARGETS!$M$6)),KPI_TARGETS!$M$6,IF(NOT(ISBLANK(KPI_TARGETS!$F$6)),KPI_TARGETS!$F$6,"")),"")</f>
        <v>4000</v>
      </c>
      <c r="N1523" s="36" t="str">
        <f>IFERROR(KPI_TARGETS!$E$6,"Higher is better")</f>
        <v>Higher is better</v>
      </c>
      <c r="O1523" s="37">
        <f t="shared" ca="1" si="138"/>
        <v>0</v>
      </c>
      <c r="P1523" t="str">
        <f t="shared" ca="1" si="139"/>
        <v>Red</v>
      </c>
      <c r="Q1523" s="36">
        <f t="shared" ca="1" si="140"/>
        <v>-4000</v>
      </c>
      <c r="R1523" s="36" t="str">
        <f>""</f>
        <v/>
      </c>
      <c r="S1523" s="36" t="str">
        <f>""</f>
        <v/>
      </c>
      <c r="T1523" s="36" t="str">
        <f>""</f>
        <v/>
      </c>
      <c r="U1523" s="36" t="str">
        <f>""</f>
        <v/>
      </c>
      <c r="V1523" s="36" t="str">
        <f>""</f>
        <v/>
      </c>
      <c r="W1523" s="36">
        <f t="shared" si="141"/>
        <v>1</v>
      </c>
      <c r="X1523" t="str">
        <f t="shared" si="142"/>
        <v>Inactive</v>
      </c>
      <c r="Y1523" t="str">
        <f>IF(MAIN!$H$3="Selected Year",IF(A1523=MAIN!$B$3,"Yes","No"),IF(MAIN!$H$3="Included Years",IF(D1523="Yes","Yes","No"),IF(C1523="Yes","Yes","No")))</f>
        <v>No</v>
      </c>
      <c r="Z1523" t="str">
        <f>IF(MAIN!$F$3="Project to Date",IF(AND(A1523&gt;=SETTINGS!$B$4,A1523&lt;MAIN!$B$3),"Yes",IF(AND(A1523=MAIN!$B$3,E1523&lt;=MAIN!$L$3),"Yes","No")),IF(OR(MAIN!$F$3="Full Year",MAIN!$D$3="All"),"Yes",IF(MAIN!$F$3="Monthly",IF(E1523=MAIN!$L$3,"Yes","No"),IF(E1523&lt;=MAIN!$L$3,"Yes","No"))))</f>
        <v>Yes</v>
      </c>
      <c r="AA1523" t="str">
        <f t="shared" si="143"/>
        <v>No</v>
      </c>
    </row>
    <row r="1524" spans="1:27" x14ac:dyDescent="0.3">
      <c r="A1524">
        <f>INDEX(SETTINGS!$A$15:$A$24,$B1524)</f>
        <v>2031</v>
      </c>
      <c r="B1524">
        <v>7</v>
      </c>
      <c r="C1524" t="str">
        <f>IF(AND(A1524&gt;=SETTINGS!$B$4,A1524&lt;=SETTINGS!$B$5),"Yes","No")</f>
        <v>No</v>
      </c>
      <c r="D1524" t="str">
        <f>IFERROR(INDEX(SETTINGS!$C$15:$C$24,MATCH(A1524,SETTINGS!$A$15:$A$24,0)),"No")</f>
        <v>No</v>
      </c>
      <c r="E1524">
        <v>9</v>
      </c>
      <c r="F1524" t="s">
        <v>42</v>
      </c>
      <c r="G1524">
        <v>203</v>
      </c>
      <c r="H1524" t="s">
        <v>93</v>
      </c>
      <c r="I1524" t="s">
        <v>89</v>
      </c>
      <c r="J1524" t="s">
        <v>13</v>
      </c>
      <c r="K1524" t="s">
        <v>14</v>
      </c>
      <c r="L1524" s="36">
        <f ca="1">IF(C1524&lt;&gt;"Yes",0,IF(A1524=2025,N('2025'!D203),IF(A1524=2026,N('2026'!D203),IF(A1524=2027,N('2027'!D203),IF(A1524=2028,N('2028'!D203),IF(A1524=2029,N('2029'!D203),IF(A1524=2030,N('2030'!D203),IF(A1524=2031,N('2031'!D203),IF(A1524=2032,N('2032'!D203),IF(A1524=2033,N('2033'!D203),IF(A1524=2034,N('2034'!D203),IFERROR(N(INDIRECT("'"&amp;A1524&amp;"'!D"&amp;G1524)),0))))))))))))</f>
        <v>0</v>
      </c>
      <c r="M1524" s="36">
        <f>IFERROR(IF(NOT(ISBLANK(KPI_TARGETS!$M$7)),KPI_TARGETS!$M$7,IF(NOT(ISBLANK(KPI_TARGETS!$F$7)),KPI_TARGETS!$F$7,"")),"")</f>
        <v>8000</v>
      </c>
      <c r="N1524" s="36" t="str">
        <f>IFERROR(KPI_TARGETS!$E$7,"Higher is better")</f>
        <v>Higher is better</v>
      </c>
      <c r="O1524" s="37">
        <f t="shared" ca="1" si="138"/>
        <v>0</v>
      </c>
      <c r="P1524" t="str">
        <f t="shared" ca="1" si="139"/>
        <v>Red</v>
      </c>
      <c r="Q1524" s="36">
        <f t="shared" ca="1" si="140"/>
        <v>-8000</v>
      </c>
      <c r="R1524" s="36" t="str">
        <f>""</f>
        <v/>
      </c>
      <c r="S1524" s="36" t="str">
        <f>""</f>
        <v/>
      </c>
      <c r="T1524" s="36" t="str">
        <f>""</f>
        <v/>
      </c>
      <c r="U1524" s="36" t="str">
        <f>""</f>
        <v/>
      </c>
      <c r="V1524" s="36" t="str">
        <f>""</f>
        <v/>
      </c>
      <c r="W1524" s="36">
        <f t="shared" si="141"/>
        <v>1</v>
      </c>
      <c r="X1524" t="str">
        <f t="shared" si="142"/>
        <v>Inactive</v>
      </c>
      <c r="Y1524" t="str">
        <f>IF(MAIN!$H$3="Selected Year",IF(A1524=MAIN!$B$3,"Yes","No"),IF(MAIN!$H$3="Included Years",IF(D1524="Yes","Yes","No"),IF(C1524="Yes","Yes","No")))</f>
        <v>No</v>
      </c>
      <c r="Z1524" t="str">
        <f>IF(MAIN!$F$3="Project to Date",IF(AND(A1524&gt;=SETTINGS!$B$4,A1524&lt;MAIN!$B$3),"Yes",IF(AND(A1524=MAIN!$B$3,E1524&lt;=MAIN!$L$3),"Yes","No")),IF(OR(MAIN!$F$3="Full Year",MAIN!$D$3="All"),"Yes",IF(MAIN!$F$3="Monthly",IF(E1524=MAIN!$L$3,"Yes","No"),IF(E1524&lt;=MAIN!$L$3,"Yes","No"))))</f>
        <v>Yes</v>
      </c>
      <c r="AA1524" t="str">
        <f t="shared" si="143"/>
        <v>No</v>
      </c>
    </row>
    <row r="1525" spans="1:27" x14ac:dyDescent="0.3">
      <c r="A1525">
        <f>INDEX(SETTINGS!$A$15:$A$24,$B1525)</f>
        <v>2031</v>
      </c>
      <c r="B1525">
        <v>7</v>
      </c>
      <c r="C1525" t="str">
        <f>IF(AND(A1525&gt;=SETTINGS!$B$4,A1525&lt;=SETTINGS!$B$5),"Yes","No")</f>
        <v>No</v>
      </c>
      <c r="D1525" t="str">
        <f>IFERROR(INDEX(SETTINGS!$C$15:$C$24,MATCH(A1525,SETTINGS!$A$15:$A$24,0)),"No")</f>
        <v>No</v>
      </c>
      <c r="E1525">
        <v>9</v>
      </c>
      <c r="F1525" t="s">
        <v>42</v>
      </c>
      <c r="G1525">
        <v>205</v>
      </c>
      <c r="H1525" t="s">
        <v>95</v>
      </c>
      <c r="I1525" t="s">
        <v>15</v>
      </c>
      <c r="J1525" t="s">
        <v>16</v>
      </c>
      <c r="K1525" t="s">
        <v>3</v>
      </c>
      <c r="L1525" s="36">
        <f ca="1">IF(C1525&lt;&gt;"Yes",0,IF(A1525=2025,N('2025'!D205),IF(A1525=2026,N('2026'!D205),IF(A1525=2027,N('2027'!D205),IF(A1525=2028,N('2028'!D205),IF(A1525=2029,N('2029'!D205),IF(A1525=2030,N('2030'!D205),IF(A1525=2031,N('2031'!D205),IF(A1525=2032,N('2032'!D205),IF(A1525=2033,N('2033'!D205),IF(A1525=2034,N('2034'!D205),IFERROR(N(INDIRECT("'"&amp;A1525&amp;"'!D"&amp;G1525)),0))))))))))))</f>
        <v>0</v>
      </c>
      <c r="M1525" s="36">
        <f>IFERROR(IF(NOT(ISBLANK(KPI_TARGETS!$M$8)),KPI_TARGETS!$M$8,IF(NOT(ISBLANK(KPI_TARGETS!$F$8)),KPI_TARGETS!$F$8,"")),"")</f>
        <v>0</v>
      </c>
      <c r="N1525" s="36" t="str">
        <f>IFERROR(KPI_TARGETS!$E$8,"Higher is better")</f>
        <v>Lower is better</v>
      </c>
      <c r="O1525" s="37">
        <f t="shared" ca="1" si="138"/>
        <v>1</v>
      </c>
      <c r="P1525" t="str">
        <f t="shared" ca="1" si="139"/>
        <v>Green</v>
      </c>
      <c r="Q1525" s="36">
        <f t="shared" ca="1" si="140"/>
        <v>0</v>
      </c>
      <c r="R1525" s="36" t="str">
        <f>""</f>
        <v/>
      </c>
      <c r="S1525" s="36" t="str">
        <f>""</f>
        <v/>
      </c>
      <c r="T1525" s="36" t="str">
        <f>""</f>
        <v/>
      </c>
      <c r="U1525" s="36" t="str">
        <f>""</f>
        <v/>
      </c>
      <c r="V1525" s="36" t="str">
        <f>""</f>
        <v/>
      </c>
      <c r="W1525" s="36">
        <f t="shared" si="141"/>
        <v>1</v>
      </c>
      <c r="X1525" t="str">
        <f t="shared" si="142"/>
        <v>Inactive</v>
      </c>
      <c r="Y1525" t="str">
        <f>IF(MAIN!$H$3="Selected Year",IF(A1525=MAIN!$B$3,"Yes","No"),IF(MAIN!$H$3="Included Years",IF(D1525="Yes","Yes","No"),IF(C1525="Yes","Yes","No")))</f>
        <v>No</v>
      </c>
      <c r="Z1525" t="str">
        <f>IF(MAIN!$F$3="Project to Date",IF(AND(A1525&gt;=SETTINGS!$B$4,A1525&lt;MAIN!$B$3),"Yes",IF(AND(A1525=MAIN!$B$3,E1525&lt;=MAIN!$L$3),"Yes","No")),IF(OR(MAIN!$F$3="Full Year",MAIN!$D$3="All"),"Yes",IF(MAIN!$F$3="Monthly",IF(E1525=MAIN!$L$3,"Yes","No"),IF(E1525&lt;=MAIN!$L$3,"Yes","No"))))</f>
        <v>Yes</v>
      </c>
      <c r="AA1525" t="str">
        <f t="shared" si="143"/>
        <v>No</v>
      </c>
    </row>
    <row r="1526" spans="1:27" x14ac:dyDescent="0.3">
      <c r="A1526">
        <f>INDEX(SETTINGS!$A$15:$A$24,$B1526)</f>
        <v>2031</v>
      </c>
      <c r="B1526">
        <v>7</v>
      </c>
      <c r="C1526" t="str">
        <f>IF(AND(A1526&gt;=SETTINGS!$B$4,A1526&lt;=SETTINGS!$B$5),"Yes","No")</f>
        <v>No</v>
      </c>
      <c r="D1526" t="str">
        <f>IFERROR(INDEX(SETTINGS!$C$15:$C$24,MATCH(A1526,SETTINGS!$A$15:$A$24,0)),"No")</f>
        <v>No</v>
      </c>
      <c r="E1526">
        <v>9</v>
      </c>
      <c r="F1526" t="s">
        <v>42</v>
      </c>
      <c r="G1526">
        <v>206</v>
      </c>
      <c r="H1526" t="s">
        <v>97</v>
      </c>
      <c r="I1526" t="s">
        <v>15</v>
      </c>
      <c r="J1526" t="s">
        <v>17</v>
      </c>
      <c r="K1526" t="s">
        <v>3</v>
      </c>
      <c r="L1526" s="36">
        <f ca="1">IF(C1526&lt;&gt;"Yes",0,IF(A1526=2025,N('2025'!D206),IF(A1526=2026,N('2026'!D206),IF(A1526=2027,N('2027'!D206),IF(A1526=2028,N('2028'!D206),IF(A1526=2029,N('2029'!D206),IF(A1526=2030,N('2030'!D206),IF(A1526=2031,N('2031'!D206),IF(A1526=2032,N('2032'!D206),IF(A1526=2033,N('2033'!D206),IF(A1526=2034,N('2034'!D206),IFERROR(N(INDIRECT("'"&amp;A1526&amp;"'!D"&amp;G1526)),0))))))))))))</f>
        <v>0</v>
      </c>
      <c r="M1526" s="36">
        <f>IFERROR(IF(NOT(ISBLANK(KPI_TARGETS!$M$9)),KPI_TARGETS!$M$9,IF(NOT(ISBLANK(KPI_TARGETS!$F$9)),KPI_TARGETS!$F$9,"")),"")</f>
        <v>0</v>
      </c>
      <c r="N1526" s="36" t="str">
        <f>IFERROR(KPI_TARGETS!$E$9,"Higher is better")</f>
        <v>Higher is better</v>
      </c>
      <c r="O1526" s="37" t="str">
        <f t="shared" ca="1" si="138"/>
        <v/>
      </c>
      <c r="P1526" t="str">
        <f t="shared" ca="1" si="139"/>
        <v>Green</v>
      </c>
      <c r="Q1526" s="36">
        <f t="shared" ca="1" si="140"/>
        <v>0</v>
      </c>
      <c r="R1526" s="36" t="str">
        <f>""</f>
        <v/>
      </c>
      <c r="S1526" s="36" t="str">
        <f>""</f>
        <v/>
      </c>
      <c r="T1526" s="36" t="str">
        <f>""</f>
        <v/>
      </c>
      <c r="U1526" s="36" t="str">
        <f>""</f>
        <v/>
      </c>
      <c r="V1526" s="36" t="str">
        <f>""</f>
        <v/>
      </c>
      <c r="W1526" s="36">
        <f t="shared" si="141"/>
        <v>1</v>
      </c>
      <c r="X1526" t="str">
        <f t="shared" si="142"/>
        <v>Inactive</v>
      </c>
      <c r="Y1526" t="str">
        <f>IF(MAIN!$H$3="Selected Year",IF(A1526=MAIN!$B$3,"Yes","No"),IF(MAIN!$H$3="Included Years",IF(D1526="Yes","Yes","No"),IF(C1526="Yes","Yes","No")))</f>
        <v>No</v>
      </c>
      <c r="Z1526" t="str">
        <f>IF(MAIN!$F$3="Project to Date",IF(AND(A1526&gt;=SETTINGS!$B$4,A1526&lt;MAIN!$B$3),"Yes",IF(AND(A1526=MAIN!$B$3,E1526&lt;=MAIN!$L$3),"Yes","No")),IF(OR(MAIN!$F$3="Full Year",MAIN!$D$3="All"),"Yes",IF(MAIN!$F$3="Monthly",IF(E1526=MAIN!$L$3,"Yes","No"),IF(E1526&lt;=MAIN!$L$3,"Yes","No"))))</f>
        <v>Yes</v>
      </c>
      <c r="AA1526" t="str">
        <f t="shared" si="143"/>
        <v>No</v>
      </c>
    </row>
    <row r="1527" spans="1:27" x14ac:dyDescent="0.3">
      <c r="A1527">
        <f>INDEX(SETTINGS!$A$15:$A$24,$B1527)</f>
        <v>2031</v>
      </c>
      <c r="B1527">
        <v>7</v>
      </c>
      <c r="C1527" t="str">
        <f>IF(AND(A1527&gt;=SETTINGS!$B$4,A1527&lt;=SETTINGS!$B$5),"Yes","No")</f>
        <v>No</v>
      </c>
      <c r="D1527" t="str">
        <f>IFERROR(INDEX(SETTINGS!$C$15:$C$24,MATCH(A1527,SETTINGS!$A$15:$A$24,0)),"No")</f>
        <v>No</v>
      </c>
      <c r="E1527">
        <v>9</v>
      </c>
      <c r="F1527" t="s">
        <v>42</v>
      </c>
      <c r="G1527">
        <v>207</v>
      </c>
      <c r="H1527" t="s">
        <v>99</v>
      </c>
      <c r="I1527" t="s">
        <v>15</v>
      </c>
      <c r="J1527" t="s">
        <v>18</v>
      </c>
      <c r="K1527" t="s">
        <v>3</v>
      </c>
      <c r="L1527" s="36">
        <f ca="1">IF(C1527&lt;&gt;"Yes",0,IF(A1527=2025,N('2025'!D207),IF(A1527=2026,N('2026'!D207),IF(A1527=2027,N('2027'!D207),IF(A1527=2028,N('2028'!D207),IF(A1527=2029,N('2029'!D207),IF(A1527=2030,N('2030'!D207),IF(A1527=2031,N('2031'!D207),IF(A1527=2032,N('2032'!D207),IF(A1527=2033,N('2033'!D207),IF(A1527=2034,N('2034'!D207),IFERROR(N(INDIRECT("'"&amp;A1527&amp;"'!D"&amp;G1527)),0))))))))))))</f>
        <v>0</v>
      </c>
      <c r="M1527" s="36">
        <f>IFERROR(IF(NOT(ISBLANK(KPI_TARGETS!$M$10)),KPI_TARGETS!$M$10,IF(NOT(ISBLANK(KPI_TARGETS!$F$10)),KPI_TARGETS!$F$10,"")),"")</f>
        <v>0</v>
      </c>
      <c r="N1527" s="36" t="str">
        <f>IFERROR(KPI_TARGETS!$E$10,"Higher is better")</f>
        <v>Lower is better</v>
      </c>
      <c r="O1527" s="37">
        <f t="shared" ca="1" si="138"/>
        <v>1</v>
      </c>
      <c r="P1527" t="str">
        <f t="shared" ca="1" si="139"/>
        <v>Green</v>
      </c>
      <c r="Q1527" s="36">
        <f t="shared" ca="1" si="140"/>
        <v>0</v>
      </c>
      <c r="R1527" s="36" t="str">
        <f>""</f>
        <v/>
      </c>
      <c r="S1527" s="36" t="str">
        <f>""</f>
        <v/>
      </c>
      <c r="T1527" s="36" t="str">
        <f>""</f>
        <v/>
      </c>
      <c r="U1527" s="36" t="str">
        <f>""</f>
        <v/>
      </c>
      <c r="V1527" s="36" t="str">
        <f>""</f>
        <v/>
      </c>
      <c r="W1527" s="36">
        <f t="shared" si="141"/>
        <v>1</v>
      </c>
      <c r="X1527" t="str">
        <f t="shared" si="142"/>
        <v>Inactive</v>
      </c>
      <c r="Y1527" t="str">
        <f>IF(MAIN!$H$3="Selected Year",IF(A1527=MAIN!$B$3,"Yes","No"),IF(MAIN!$H$3="Included Years",IF(D1527="Yes","Yes","No"),IF(C1527="Yes","Yes","No")))</f>
        <v>No</v>
      </c>
      <c r="Z1527" t="str">
        <f>IF(MAIN!$F$3="Project to Date",IF(AND(A1527&gt;=SETTINGS!$B$4,A1527&lt;MAIN!$B$3),"Yes",IF(AND(A1527=MAIN!$B$3,E1527&lt;=MAIN!$L$3),"Yes","No")),IF(OR(MAIN!$F$3="Full Year",MAIN!$D$3="All"),"Yes",IF(MAIN!$F$3="Monthly",IF(E1527=MAIN!$L$3,"Yes","No"),IF(E1527&lt;=MAIN!$L$3,"Yes","No"))))</f>
        <v>Yes</v>
      </c>
      <c r="AA1527" t="str">
        <f t="shared" si="143"/>
        <v>No</v>
      </c>
    </row>
    <row r="1528" spans="1:27" x14ac:dyDescent="0.3">
      <c r="A1528">
        <f>INDEX(SETTINGS!$A$15:$A$24,$B1528)</f>
        <v>2031</v>
      </c>
      <c r="B1528">
        <v>7</v>
      </c>
      <c r="C1528" t="str">
        <f>IF(AND(A1528&gt;=SETTINGS!$B$4,A1528&lt;=SETTINGS!$B$5),"Yes","No")</f>
        <v>No</v>
      </c>
      <c r="D1528" t="str">
        <f>IFERROR(INDEX(SETTINGS!$C$15:$C$24,MATCH(A1528,SETTINGS!$A$15:$A$24,0)),"No")</f>
        <v>No</v>
      </c>
      <c r="E1528">
        <v>9</v>
      </c>
      <c r="F1528" t="s">
        <v>42</v>
      </c>
      <c r="G1528">
        <v>208</v>
      </c>
      <c r="H1528" t="s">
        <v>100</v>
      </c>
      <c r="I1528" t="s">
        <v>15</v>
      </c>
      <c r="J1528" t="s">
        <v>19</v>
      </c>
      <c r="K1528" t="s">
        <v>3</v>
      </c>
      <c r="L1528" s="36">
        <f ca="1">IF(C1528&lt;&gt;"Yes",0,IF(A1528=2025,N('2025'!D208),IF(A1528=2026,N('2026'!D208),IF(A1528=2027,N('2027'!D208),IF(A1528=2028,N('2028'!D208),IF(A1528=2029,N('2029'!D208),IF(A1528=2030,N('2030'!D208),IF(A1528=2031,N('2031'!D208),IF(A1528=2032,N('2032'!D208),IF(A1528=2033,N('2033'!D208),IF(A1528=2034,N('2034'!D208),IFERROR(N(INDIRECT("'"&amp;A1528&amp;"'!D"&amp;G1528)),0))))))))))))</f>
        <v>0</v>
      </c>
      <c r="M1528" s="36">
        <f>IFERROR(IF(NOT(ISBLANK(KPI_TARGETS!$M$11)),KPI_TARGETS!$M$11,IF(NOT(ISBLANK(KPI_TARGETS!$F$11)),KPI_TARGETS!$F$11,"")),"")</f>
        <v>0</v>
      </c>
      <c r="N1528" s="36" t="str">
        <f>IFERROR(KPI_TARGETS!$E$11,"Higher is better")</f>
        <v>Lower is better</v>
      </c>
      <c r="O1528" s="37">
        <f t="shared" ca="1" si="138"/>
        <v>1</v>
      </c>
      <c r="P1528" t="str">
        <f t="shared" ca="1" si="139"/>
        <v>Green</v>
      </c>
      <c r="Q1528" s="36">
        <f t="shared" ca="1" si="140"/>
        <v>0</v>
      </c>
      <c r="R1528" s="36" t="str">
        <f>""</f>
        <v/>
      </c>
      <c r="S1528" s="36" t="str">
        <f>""</f>
        <v/>
      </c>
      <c r="T1528" s="36" t="str">
        <f>""</f>
        <v/>
      </c>
      <c r="U1528" s="36" t="str">
        <f>""</f>
        <v/>
      </c>
      <c r="V1528" s="36" t="str">
        <f>""</f>
        <v/>
      </c>
      <c r="W1528" s="36">
        <f t="shared" si="141"/>
        <v>1</v>
      </c>
      <c r="X1528" t="str">
        <f t="shared" si="142"/>
        <v>Inactive</v>
      </c>
      <c r="Y1528" t="str">
        <f>IF(MAIN!$H$3="Selected Year",IF(A1528=MAIN!$B$3,"Yes","No"),IF(MAIN!$H$3="Included Years",IF(D1528="Yes","Yes","No"),IF(C1528="Yes","Yes","No")))</f>
        <v>No</v>
      </c>
      <c r="Z1528" t="str">
        <f>IF(MAIN!$F$3="Project to Date",IF(AND(A1528&gt;=SETTINGS!$B$4,A1528&lt;MAIN!$B$3),"Yes",IF(AND(A1528=MAIN!$B$3,E1528&lt;=MAIN!$L$3),"Yes","No")),IF(OR(MAIN!$F$3="Full Year",MAIN!$D$3="All"),"Yes",IF(MAIN!$F$3="Monthly",IF(E1528=MAIN!$L$3,"Yes","No"),IF(E1528&lt;=MAIN!$L$3,"Yes","No"))))</f>
        <v>Yes</v>
      </c>
      <c r="AA1528" t="str">
        <f t="shared" si="143"/>
        <v>No</v>
      </c>
    </row>
    <row r="1529" spans="1:27" x14ac:dyDescent="0.3">
      <c r="A1529">
        <f>INDEX(SETTINGS!$A$15:$A$24,$B1529)</f>
        <v>2031</v>
      </c>
      <c r="B1529">
        <v>7</v>
      </c>
      <c r="C1529" t="str">
        <f>IF(AND(A1529&gt;=SETTINGS!$B$4,A1529&lt;=SETTINGS!$B$5),"Yes","No")</f>
        <v>No</v>
      </c>
      <c r="D1529" t="str">
        <f>IFERROR(INDEX(SETTINGS!$C$15:$C$24,MATCH(A1529,SETTINGS!$A$15:$A$24,0)),"No")</f>
        <v>No</v>
      </c>
      <c r="E1529">
        <v>9</v>
      </c>
      <c r="F1529" t="s">
        <v>42</v>
      </c>
      <c r="G1529">
        <v>209</v>
      </c>
      <c r="H1529" t="s">
        <v>101</v>
      </c>
      <c r="I1529" t="s">
        <v>15</v>
      </c>
      <c r="J1529" t="s">
        <v>20</v>
      </c>
      <c r="K1529" t="s">
        <v>3</v>
      </c>
      <c r="L1529" s="36">
        <f ca="1">IF(C1529&lt;&gt;"Yes",0,IF(A1529=2025,N('2025'!D209),IF(A1529=2026,N('2026'!D209),IF(A1529=2027,N('2027'!D209),IF(A1529=2028,N('2028'!D209),IF(A1529=2029,N('2029'!D209),IF(A1529=2030,N('2030'!D209),IF(A1529=2031,N('2031'!D209),IF(A1529=2032,N('2032'!D209),IF(A1529=2033,N('2033'!D209),IF(A1529=2034,N('2034'!D209),IFERROR(N(INDIRECT("'"&amp;A1529&amp;"'!D"&amp;G1529)),0))))))))))))</f>
        <v>0</v>
      </c>
      <c r="M1529" s="36">
        <f>IFERROR(IF(NOT(ISBLANK(KPI_TARGETS!$M$12)),KPI_TARGETS!$M$12,IF(NOT(ISBLANK(KPI_TARGETS!$F$12)),KPI_TARGETS!$F$12,"")),"")</f>
        <v>0</v>
      </c>
      <c r="N1529" s="36" t="str">
        <f>IFERROR(KPI_TARGETS!$E$12,"Higher is better")</f>
        <v>Lower is better</v>
      </c>
      <c r="O1529" s="37">
        <f t="shared" ca="1" si="138"/>
        <v>1</v>
      </c>
      <c r="P1529" t="str">
        <f t="shared" ca="1" si="139"/>
        <v>Green</v>
      </c>
      <c r="Q1529" s="36">
        <f t="shared" ca="1" si="140"/>
        <v>0</v>
      </c>
      <c r="R1529" s="36" t="str">
        <f>""</f>
        <v/>
      </c>
      <c r="S1529" s="36" t="str">
        <f>""</f>
        <v/>
      </c>
      <c r="T1529" s="36" t="str">
        <f>""</f>
        <v/>
      </c>
      <c r="U1529" s="36" t="str">
        <f>""</f>
        <v/>
      </c>
      <c r="V1529" s="36" t="str">
        <f>""</f>
        <v/>
      </c>
      <c r="W1529" s="36">
        <f t="shared" si="141"/>
        <v>1</v>
      </c>
      <c r="X1529" t="str">
        <f t="shared" si="142"/>
        <v>Inactive</v>
      </c>
      <c r="Y1529" t="str">
        <f>IF(MAIN!$H$3="Selected Year",IF(A1529=MAIN!$B$3,"Yes","No"),IF(MAIN!$H$3="Included Years",IF(D1529="Yes","Yes","No"),IF(C1529="Yes","Yes","No")))</f>
        <v>No</v>
      </c>
      <c r="Z1529" t="str">
        <f>IF(MAIN!$F$3="Project to Date",IF(AND(A1529&gt;=SETTINGS!$B$4,A1529&lt;MAIN!$B$3),"Yes",IF(AND(A1529=MAIN!$B$3,E1529&lt;=MAIN!$L$3),"Yes","No")),IF(OR(MAIN!$F$3="Full Year",MAIN!$D$3="All"),"Yes",IF(MAIN!$F$3="Monthly",IF(E1529=MAIN!$L$3,"Yes","No"),IF(E1529&lt;=MAIN!$L$3,"Yes","No"))))</f>
        <v>Yes</v>
      </c>
      <c r="AA1529" t="str">
        <f t="shared" si="143"/>
        <v>No</v>
      </c>
    </row>
    <row r="1530" spans="1:27" x14ac:dyDescent="0.3">
      <c r="A1530">
        <f>INDEX(SETTINGS!$A$15:$A$24,$B1530)</f>
        <v>2031</v>
      </c>
      <c r="B1530">
        <v>7</v>
      </c>
      <c r="C1530" t="str">
        <f>IF(AND(A1530&gt;=SETTINGS!$B$4,A1530&lt;=SETTINGS!$B$5),"Yes","No")</f>
        <v>No</v>
      </c>
      <c r="D1530" t="str">
        <f>IFERROR(INDEX(SETTINGS!$C$15:$C$24,MATCH(A1530,SETTINGS!$A$15:$A$24,0)),"No")</f>
        <v>No</v>
      </c>
      <c r="E1530">
        <v>9</v>
      </c>
      <c r="F1530" t="s">
        <v>42</v>
      </c>
      <c r="G1530">
        <v>210</v>
      </c>
      <c r="H1530" t="s">
        <v>102</v>
      </c>
      <c r="I1530" t="s">
        <v>15</v>
      </c>
      <c r="J1530" t="s">
        <v>21</v>
      </c>
      <c r="K1530" t="s">
        <v>3</v>
      </c>
      <c r="L1530" s="36">
        <f ca="1">IF(C1530&lt;&gt;"Yes",0,IF(A1530=2025,N('2025'!D210),IF(A1530=2026,N('2026'!D210),IF(A1530=2027,N('2027'!D210),IF(A1530=2028,N('2028'!D210),IF(A1530=2029,N('2029'!D210),IF(A1530=2030,N('2030'!D210),IF(A1530=2031,N('2031'!D210),IF(A1530=2032,N('2032'!D210),IF(A1530=2033,N('2033'!D210),IF(A1530=2034,N('2034'!D210),IFERROR(N(INDIRECT("'"&amp;A1530&amp;"'!D"&amp;G1530)),0))))))))))))</f>
        <v>0</v>
      </c>
      <c r="M1530" s="36">
        <f>IFERROR(IF(NOT(ISBLANK(KPI_TARGETS!$M$13)),KPI_TARGETS!$M$13,IF(NOT(ISBLANK(KPI_TARGETS!$F$13)),KPI_TARGETS!$F$13,"")),"")</f>
        <v>0</v>
      </c>
      <c r="N1530" s="36" t="str">
        <f>IFERROR(KPI_TARGETS!$E$13,"Higher is better")</f>
        <v>Lower is better</v>
      </c>
      <c r="O1530" s="37">
        <f t="shared" ca="1" si="138"/>
        <v>1</v>
      </c>
      <c r="P1530" t="str">
        <f t="shared" ca="1" si="139"/>
        <v>Green</v>
      </c>
      <c r="Q1530" s="36">
        <f t="shared" ca="1" si="140"/>
        <v>0</v>
      </c>
      <c r="R1530" s="36" t="str">
        <f>""</f>
        <v/>
      </c>
      <c r="S1530" s="36" t="str">
        <f>""</f>
        <v/>
      </c>
      <c r="T1530" s="36" t="str">
        <f>""</f>
        <v/>
      </c>
      <c r="U1530" s="36" t="str">
        <f>""</f>
        <v/>
      </c>
      <c r="V1530" s="36" t="str">
        <f>""</f>
        <v/>
      </c>
      <c r="W1530" s="36">
        <f t="shared" si="141"/>
        <v>1</v>
      </c>
      <c r="X1530" t="str">
        <f t="shared" si="142"/>
        <v>Inactive</v>
      </c>
      <c r="Y1530" t="str">
        <f>IF(MAIN!$H$3="Selected Year",IF(A1530=MAIN!$B$3,"Yes","No"),IF(MAIN!$H$3="Included Years",IF(D1530="Yes","Yes","No"),IF(C1530="Yes","Yes","No")))</f>
        <v>No</v>
      </c>
      <c r="Z1530" t="str">
        <f>IF(MAIN!$F$3="Project to Date",IF(AND(A1530&gt;=SETTINGS!$B$4,A1530&lt;MAIN!$B$3),"Yes",IF(AND(A1530=MAIN!$B$3,E1530&lt;=MAIN!$L$3),"Yes","No")),IF(OR(MAIN!$F$3="Full Year",MAIN!$D$3="All"),"Yes",IF(MAIN!$F$3="Monthly",IF(E1530=MAIN!$L$3,"Yes","No"),IF(E1530&lt;=MAIN!$L$3,"Yes","No"))))</f>
        <v>Yes</v>
      </c>
      <c r="AA1530" t="str">
        <f t="shared" si="143"/>
        <v>No</v>
      </c>
    </row>
    <row r="1531" spans="1:27" x14ac:dyDescent="0.3">
      <c r="A1531">
        <f>INDEX(SETTINGS!$A$15:$A$24,$B1531)</f>
        <v>2031</v>
      </c>
      <c r="B1531">
        <v>7</v>
      </c>
      <c r="C1531" t="str">
        <f>IF(AND(A1531&gt;=SETTINGS!$B$4,A1531&lt;=SETTINGS!$B$5),"Yes","No")</f>
        <v>No</v>
      </c>
      <c r="D1531" t="str">
        <f>IFERROR(INDEX(SETTINGS!$C$15:$C$24,MATCH(A1531,SETTINGS!$A$15:$A$24,0)),"No")</f>
        <v>No</v>
      </c>
      <c r="E1531">
        <v>9</v>
      </c>
      <c r="F1531" t="s">
        <v>42</v>
      </c>
      <c r="G1531">
        <v>212</v>
      </c>
      <c r="H1531" t="s">
        <v>103</v>
      </c>
      <c r="I1531" t="s">
        <v>22</v>
      </c>
      <c r="J1531" t="s">
        <v>23</v>
      </c>
      <c r="K1531" t="s">
        <v>3</v>
      </c>
      <c r="L1531" s="36">
        <f ca="1">IF(C1531&lt;&gt;"Yes",0,IF(A1531=2025,N('2025'!D212),IF(A1531=2026,N('2026'!D212),IF(A1531=2027,N('2027'!D212),IF(A1531=2028,N('2028'!D212),IF(A1531=2029,N('2029'!D212),IF(A1531=2030,N('2030'!D212),IF(A1531=2031,N('2031'!D212),IF(A1531=2032,N('2032'!D212),IF(A1531=2033,N('2033'!D212),IF(A1531=2034,N('2034'!D212),IFERROR(N(INDIRECT("'"&amp;A1531&amp;"'!D"&amp;G1531)),0))))))))))))</f>
        <v>0</v>
      </c>
      <c r="M1531" s="36">
        <f>IFERROR(IF(NOT(ISBLANK(KPI_TARGETS!$M$14)),KPI_TARGETS!$M$14,IF(NOT(ISBLANK(KPI_TARGETS!$F$14)),KPI_TARGETS!$F$14,"")),"")</f>
        <v>35</v>
      </c>
      <c r="N1531" s="36" t="str">
        <f>IFERROR(KPI_TARGETS!$E$14,"Higher is better")</f>
        <v>Higher is better</v>
      </c>
      <c r="O1531" s="37">
        <f t="shared" ca="1" si="138"/>
        <v>0</v>
      </c>
      <c r="P1531" t="str">
        <f t="shared" ca="1" si="139"/>
        <v>Red</v>
      </c>
      <c r="Q1531" s="36">
        <f t="shared" ca="1" si="140"/>
        <v>-35</v>
      </c>
      <c r="R1531" s="36" t="str">
        <f>""</f>
        <v/>
      </c>
      <c r="S1531" s="36" t="str">
        <f>""</f>
        <v/>
      </c>
      <c r="T1531" s="36" t="str">
        <f>""</f>
        <v/>
      </c>
      <c r="U1531" s="36" t="str">
        <f>""</f>
        <v/>
      </c>
      <c r="V1531" s="36" t="str">
        <f>""</f>
        <v/>
      </c>
      <c r="W1531" s="36">
        <f t="shared" si="141"/>
        <v>1</v>
      </c>
      <c r="X1531" t="str">
        <f t="shared" si="142"/>
        <v>Inactive</v>
      </c>
      <c r="Y1531" t="str">
        <f>IF(MAIN!$H$3="Selected Year",IF(A1531=MAIN!$B$3,"Yes","No"),IF(MAIN!$H$3="Included Years",IF(D1531="Yes","Yes","No"),IF(C1531="Yes","Yes","No")))</f>
        <v>No</v>
      </c>
      <c r="Z1531" t="str">
        <f>IF(MAIN!$F$3="Project to Date",IF(AND(A1531&gt;=SETTINGS!$B$4,A1531&lt;MAIN!$B$3),"Yes",IF(AND(A1531=MAIN!$B$3,E1531&lt;=MAIN!$L$3),"Yes","No")),IF(OR(MAIN!$F$3="Full Year",MAIN!$D$3="All"),"Yes",IF(MAIN!$F$3="Monthly",IF(E1531=MAIN!$L$3,"Yes","No"),IF(E1531&lt;=MAIN!$L$3,"Yes","No"))))</f>
        <v>Yes</v>
      </c>
      <c r="AA1531" t="str">
        <f t="shared" si="143"/>
        <v>No</v>
      </c>
    </row>
    <row r="1532" spans="1:27" x14ac:dyDescent="0.3">
      <c r="A1532">
        <f>INDEX(SETTINGS!$A$15:$A$24,$B1532)</f>
        <v>2031</v>
      </c>
      <c r="B1532">
        <v>7</v>
      </c>
      <c r="C1532" t="str">
        <f>IF(AND(A1532&gt;=SETTINGS!$B$4,A1532&lt;=SETTINGS!$B$5),"Yes","No")</f>
        <v>No</v>
      </c>
      <c r="D1532" t="str">
        <f>IFERROR(INDEX(SETTINGS!$C$15:$C$24,MATCH(A1532,SETTINGS!$A$15:$A$24,0)),"No")</f>
        <v>No</v>
      </c>
      <c r="E1532">
        <v>9</v>
      </c>
      <c r="F1532" t="s">
        <v>42</v>
      </c>
      <c r="G1532">
        <v>213</v>
      </c>
      <c r="H1532" t="s">
        <v>104</v>
      </c>
      <c r="I1532" t="s">
        <v>22</v>
      </c>
      <c r="J1532" t="s">
        <v>24</v>
      </c>
      <c r="K1532" t="s">
        <v>3</v>
      </c>
      <c r="L1532" s="36">
        <f ca="1">IF(C1532&lt;&gt;"Yes",0,IF(A1532=2025,N('2025'!D213),IF(A1532=2026,N('2026'!D213),IF(A1532=2027,N('2027'!D213),IF(A1532=2028,N('2028'!D213),IF(A1532=2029,N('2029'!D213),IF(A1532=2030,N('2030'!D213),IF(A1532=2031,N('2031'!D213),IF(A1532=2032,N('2032'!D213),IF(A1532=2033,N('2033'!D213),IF(A1532=2034,N('2034'!D213),IFERROR(N(INDIRECT("'"&amp;A1532&amp;"'!D"&amp;G1532)),0))))))))))))</f>
        <v>0</v>
      </c>
      <c r="M1532" s="36">
        <f>IFERROR(IF(NOT(ISBLANK(KPI_TARGETS!$M$15)),KPI_TARGETS!$M$15,IF(NOT(ISBLANK(KPI_TARGETS!$F$15)),KPI_TARGETS!$F$15,"")),"")</f>
        <v>5</v>
      </c>
      <c r="N1532" s="36" t="str">
        <f>IFERROR(KPI_TARGETS!$E$15,"Higher is better")</f>
        <v>Higher is better</v>
      </c>
      <c r="O1532" s="37">
        <f t="shared" ca="1" si="138"/>
        <v>0</v>
      </c>
      <c r="P1532" t="str">
        <f t="shared" ca="1" si="139"/>
        <v>Red</v>
      </c>
      <c r="Q1532" s="36">
        <f t="shared" ca="1" si="140"/>
        <v>-5</v>
      </c>
      <c r="R1532" s="36" t="str">
        <f>""</f>
        <v/>
      </c>
      <c r="S1532" s="36" t="str">
        <f>""</f>
        <v/>
      </c>
      <c r="T1532" s="36" t="str">
        <f>""</f>
        <v/>
      </c>
      <c r="U1532" s="36" t="str">
        <f>""</f>
        <v/>
      </c>
      <c r="V1532" s="36" t="str">
        <f>""</f>
        <v/>
      </c>
      <c r="W1532" s="36">
        <f t="shared" si="141"/>
        <v>1</v>
      </c>
      <c r="X1532" t="str">
        <f t="shared" si="142"/>
        <v>Inactive</v>
      </c>
      <c r="Y1532" t="str">
        <f>IF(MAIN!$H$3="Selected Year",IF(A1532=MAIN!$B$3,"Yes","No"),IF(MAIN!$H$3="Included Years",IF(D1532="Yes","Yes","No"),IF(C1532="Yes","Yes","No")))</f>
        <v>No</v>
      </c>
      <c r="Z1532" t="str">
        <f>IF(MAIN!$F$3="Project to Date",IF(AND(A1532&gt;=SETTINGS!$B$4,A1532&lt;MAIN!$B$3),"Yes",IF(AND(A1532=MAIN!$B$3,E1532&lt;=MAIN!$L$3),"Yes","No")),IF(OR(MAIN!$F$3="Full Year",MAIN!$D$3="All"),"Yes",IF(MAIN!$F$3="Monthly",IF(E1532=MAIN!$L$3,"Yes","No"),IF(E1532&lt;=MAIN!$L$3,"Yes","No"))))</f>
        <v>Yes</v>
      </c>
      <c r="AA1532" t="str">
        <f t="shared" si="143"/>
        <v>No</v>
      </c>
    </row>
    <row r="1533" spans="1:27" x14ac:dyDescent="0.3">
      <c r="A1533">
        <f>INDEX(SETTINGS!$A$15:$A$24,$B1533)</f>
        <v>2031</v>
      </c>
      <c r="B1533">
        <v>7</v>
      </c>
      <c r="C1533" t="str">
        <f>IF(AND(A1533&gt;=SETTINGS!$B$4,A1533&lt;=SETTINGS!$B$5),"Yes","No")</f>
        <v>No</v>
      </c>
      <c r="D1533" t="str">
        <f>IFERROR(INDEX(SETTINGS!$C$15:$C$24,MATCH(A1533,SETTINGS!$A$15:$A$24,0)),"No")</f>
        <v>No</v>
      </c>
      <c r="E1533">
        <v>9</v>
      </c>
      <c r="F1533" t="s">
        <v>42</v>
      </c>
      <c r="G1533">
        <v>214</v>
      </c>
      <c r="H1533" t="s">
        <v>105</v>
      </c>
      <c r="I1533" t="s">
        <v>22</v>
      </c>
      <c r="J1533" t="s">
        <v>25</v>
      </c>
      <c r="K1533" t="s">
        <v>3</v>
      </c>
      <c r="L1533" s="36">
        <f ca="1">IF(C1533&lt;&gt;"Yes",0,IF(A1533=2025,N('2025'!D214),IF(A1533=2026,N('2026'!D214),IF(A1533=2027,N('2027'!D214),IF(A1533=2028,N('2028'!D214),IF(A1533=2029,N('2029'!D214),IF(A1533=2030,N('2030'!D214),IF(A1533=2031,N('2031'!D214),IF(A1533=2032,N('2032'!D214),IF(A1533=2033,N('2033'!D214),IF(A1533=2034,N('2034'!D214),IFERROR(N(INDIRECT("'"&amp;A1533&amp;"'!D"&amp;G1533)),0))))))))))))</f>
        <v>0</v>
      </c>
      <c r="M1533" s="36">
        <f>IFERROR(IF(NOT(ISBLANK(KPI_TARGETS!$M$16)),KPI_TARGETS!$M$16,IF(NOT(ISBLANK(KPI_TARGETS!$F$16)),KPI_TARGETS!$F$16,"")),"")</f>
        <v>4</v>
      </c>
      <c r="N1533" s="36" t="str">
        <f>IFERROR(KPI_TARGETS!$E$16,"Higher is better")</f>
        <v>Higher is better</v>
      </c>
      <c r="O1533" s="37">
        <f t="shared" ca="1" si="138"/>
        <v>0</v>
      </c>
      <c r="P1533" t="str">
        <f t="shared" ca="1" si="139"/>
        <v>Red</v>
      </c>
      <c r="Q1533" s="36">
        <f t="shared" ca="1" si="140"/>
        <v>-4</v>
      </c>
      <c r="R1533" s="36" t="str">
        <f>""</f>
        <v/>
      </c>
      <c r="S1533" s="36" t="str">
        <f>""</f>
        <v/>
      </c>
      <c r="T1533" s="36" t="str">
        <f>""</f>
        <v/>
      </c>
      <c r="U1533" s="36" t="str">
        <f>""</f>
        <v/>
      </c>
      <c r="V1533" s="36" t="str">
        <f>""</f>
        <v/>
      </c>
      <c r="W1533" s="36">
        <f t="shared" si="141"/>
        <v>1</v>
      </c>
      <c r="X1533" t="str">
        <f t="shared" si="142"/>
        <v>Inactive</v>
      </c>
      <c r="Y1533" t="str">
        <f>IF(MAIN!$H$3="Selected Year",IF(A1533=MAIN!$B$3,"Yes","No"),IF(MAIN!$H$3="Included Years",IF(D1533="Yes","Yes","No"),IF(C1533="Yes","Yes","No")))</f>
        <v>No</v>
      </c>
      <c r="Z1533" t="str">
        <f>IF(MAIN!$F$3="Project to Date",IF(AND(A1533&gt;=SETTINGS!$B$4,A1533&lt;MAIN!$B$3),"Yes",IF(AND(A1533=MAIN!$B$3,E1533&lt;=MAIN!$L$3),"Yes","No")),IF(OR(MAIN!$F$3="Full Year",MAIN!$D$3="All"),"Yes",IF(MAIN!$F$3="Monthly",IF(E1533=MAIN!$L$3,"Yes","No"),IF(E1533&lt;=MAIN!$L$3,"Yes","No"))))</f>
        <v>Yes</v>
      </c>
      <c r="AA1533" t="str">
        <f t="shared" si="143"/>
        <v>No</v>
      </c>
    </row>
    <row r="1534" spans="1:27" x14ac:dyDescent="0.3">
      <c r="A1534">
        <f>INDEX(SETTINGS!$A$15:$A$24,$B1534)</f>
        <v>2031</v>
      </c>
      <c r="B1534">
        <v>7</v>
      </c>
      <c r="C1534" t="str">
        <f>IF(AND(A1534&gt;=SETTINGS!$B$4,A1534&lt;=SETTINGS!$B$5),"Yes","No")</f>
        <v>No</v>
      </c>
      <c r="D1534" t="str">
        <f>IFERROR(INDEX(SETTINGS!$C$15:$C$24,MATCH(A1534,SETTINGS!$A$15:$A$24,0)),"No")</f>
        <v>No</v>
      </c>
      <c r="E1534">
        <v>9</v>
      </c>
      <c r="F1534" t="s">
        <v>42</v>
      </c>
      <c r="G1534">
        <v>215</v>
      </c>
      <c r="H1534" t="s">
        <v>106</v>
      </c>
      <c r="I1534" t="s">
        <v>22</v>
      </c>
      <c r="J1534" t="s">
        <v>26</v>
      </c>
      <c r="K1534" t="s">
        <v>3</v>
      </c>
      <c r="L1534" s="36">
        <f ca="1">IF(C1534&lt;&gt;"Yes",0,IF(A1534=2025,N('2025'!D215),IF(A1534=2026,N('2026'!D215),IF(A1534=2027,N('2027'!D215),IF(A1534=2028,N('2028'!D215),IF(A1534=2029,N('2029'!D215),IF(A1534=2030,N('2030'!D215),IF(A1534=2031,N('2031'!D215),IF(A1534=2032,N('2032'!D215),IF(A1534=2033,N('2033'!D215),IF(A1534=2034,N('2034'!D215),IFERROR(N(INDIRECT("'"&amp;A1534&amp;"'!D"&amp;G1534)),0))))))))))))</f>
        <v>0</v>
      </c>
      <c r="M1534" s="36">
        <f>IFERROR(IF(NOT(ISBLANK(KPI_TARGETS!$M$17)),KPI_TARGETS!$M$17,IF(NOT(ISBLANK(KPI_TARGETS!$F$17)),KPI_TARGETS!$F$17,"")),"")</f>
        <v>12</v>
      </c>
      <c r="N1534" s="36" t="str">
        <f>IFERROR(KPI_TARGETS!$E$17,"Higher is better")</f>
        <v>Higher is better</v>
      </c>
      <c r="O1534" s="37">
        <f t="shared" ca="1" si="138"/>
        <v>0</v>
      </c>
      <c r="P1534" t="str">
        <f t="shared" ca="1" si="139"/>
        <v>Red</v>
      </c>
      <c r="Q1534" s="36">
        <f t="shared" ca="1" si="140"/>
        <v>-12</v>
      </c>
      <c r="R1534" s="36" t="str">
        <f>""</f>
        <v/>
      </c>
      <c r="S1534" s="36" t="str">
        <f>""</f>
        <v/>
      </c>
      <c r="T1534" s="36" t="str">
        <f>""</f>
        <v/>
      </c>
      <c r="U1534" s="36" t="str">
        <f>""</f>
        <v/>
      </c>
      <c r="V1534" s="36" t="str">
        <f>""</f>
        <v/>
      </c>
      <c r="W1534" s="36">
        <f t="shared" si="141"/>
        <v>1</v>
      </c>
      <c r="X1534" t="str">
        <f t="shared" si="142"/>
        <v>Inactive</v>
      </c>
      <c r="Y1534" t="str">
        <f>IF(MAIN!$H$3="Selected Year",IF(A1534=MAIN!$B$3,"Yes","No"),IF(MAIN!$H$3="Included Years",IF(D1534="Yes","Yes","No"),IF(C1534="Yes","Yes","No")))</f>
        <v>No</v>
      </c>
      <c r="Z1534" t="str">
        <f>IF(MAIN!$F$3="Project to Date",IF(AND(A1534&gt;=SETTINGS!$B$4,A1534&lt;MAIN!$B$3),"Yes",IF(AND(A1534=MAIN!$B$3,E1534&lt;=MAIN!$L$3),"Yes","No")),IF(OR(MAIN!$F$3="Full Year",MAIN!$D$3="All"),"Yes",IF(MAIN!$F$3="Monthly",IF(E1534=MAIN!$L$3,"Yes","No"),IF(E1534&lt;=MAIN!$L$3,"Yes","No"))))</f>
        <v>Yes</v>
      </c>
      <c r="AA1534" t="str">
        <f t="shared" si="143"/>
        <v>No</v>
      </c>
    </row>
    <row r="1535" spans="1:27" x14ac:dyDescent="0.3">
      <c r="A1535">
        <f>INDEX(SETTINGS!$A$15:$A$24,$B1535)</f>
        <v>2031</v>
      </c>
      <c r="B1535">
        <v>7</v>
      </c>
      <c r="C1535" t="str">
        <f>IF(AND(A1535&gt;=SETTINGS!$B$4,A1535&lt;=SETTINGS!$B$5),"Yes","No")</f>
        <v>No</v>
      </c>
      <c r="D1535" t="str">
        <f>IFERROR(INDEX(SETTINGS!$C$15:$C$24,MATCH(A1535,SETTINGS!$A$15:$A$24,0)),"No")</f>
        <v>No</v>
      </c>
      <c r="E1535">
        <v>9</v>
      </c>
      <c r="F1535" t="s">
        <v>42</v>
      </c>
      <c r="G1535">
        <v>216</v>
      </c>
      <c r="H1535" t="s">
        <v>107</v>
      </c>
      <c r="I1535" t="s">
        <v>22</v>
      </c>
      <c r="J1535" t="s">
        <v>27</v>
      </c>
      <c r="K1535" t="s">
        <v>3</v>
      </c>
      <c r="L1535" s="36">
        <f ca="1">IF(C1535&lt;&gt;"Yes",0,IF(A1535=2025,N('2025'!D216),IF(A1535=2026,N('2026'!D216),IF(A1535=2027,N('2027'!D216),IF(A1535=2028,N('2028'!D216),IF(A1535=2029,N('2029'!D216),IF(A1535=2030,N('2030'!D216),IF(A1535=2031,N('2031'!D216),IF(A1535=2032,N('2032'!D216),IF(A1535=2033,N('2033'!D216),IF(A1535=2034,N('2034'!D216),IFERROR(N(INDIRECT("'"&amp;A1535&amp;"'!D"&amp;G1535)),0))))))))))))</f>
        <v>0</v>
      </c>
      <c r="M1535" s="36">
        <f>IFERROR(IF(NOT(ISBLANK(KPI_TARGETS!$M$18)),KPI_TARGETS!$M$18,IF(NOT(ISBLANK(KPI_TARGETS!$F$18)),KPI_TARGETS!$F$18,"")),"")</f>
        <v>4</v>
      </c>
      <c r="N1535" s="36" t="str">
        <f>IFERROR(KPI_TARGETS!$E$18,"Higher is better")</f>
        <v>Higher is better</v>
      </c>
      <c r="O1535" s="37">
        <f t="shared" ca="1" si="138"/>
        <v>0</v>
      </c>
      <c r="P1535" t="str">
        <f t="shared" ca="1" si="139"/>
        <v>Red</v>
      </c>
      <c r="Q1535" s="36">
        <f t="shared" ca="1" si="140"/>
        <v>-4</v>
      </c>
      <c r="R1535" s="36" t="str">
        <f>""</f>
        <v/>
      </c>
      <c r="S1535" s="36" t="str">
        <f>""</f>
        <v/>
      </c>
      <c r="T1535" s="36" t="str">
        <f>""</f>
        <v/>
      </c>
      <c r="U1535" s="36" t="str">
        <f>""</f>
        <v/>
      </c>
      <c r="V1535" s="36" t="str">
        <f>""</f>
        <v/>
      </c>
      <c r="W1535" s="36">
        <f t="shared" si="141"/>
        <v>1</v>
      </c>
      <c r="X1535" t="str">
        <f t="shared" si="142"/>
        <v>Inactive</v>
      </c>
      <c r="Y1535" t="str">
        <f>IF(MAIN!$H$3="Selected Year",IF(A1535=MAIN!$B$3,"Yes","No"),IF(MAIN!$H$3="Included Years",IF(D1535="Yes","Yes","No"),IF(C1535="Yes","Yes","No")))</f>
        <v>No</v>
      </c>
      <c r="Z1535" t="str">
        <f>IF(MAIN!$F$3="Project to Date",IF(AND(A1535&gt;=SETTINGS!$B$4,A1535&lt;MAIN!$B$3),"Yes",IF(AND(A1535=MAIN!$B$3,E1535&lt;=MAIN!$L$3),"Yes","No")),IF(OR(MAIN!$F$3="Full Year",MAIN!$D$3="All"),"Yes",IF(MAIN!$F$3="Monthly",IF(E1535=MAIN!$L$3,"Yes","No"),IF(E1535&lt;=MAIN!$L$3,"Yes","No"))))</f>
        <v>Yes</v>
      </c>
      <c r="AA1535" t="str">
        <f t="shared" si="143"/>
        <v>No</v>
      </c>
    </row>
    <row r="1536" spans="1:27" x14ac:dyDescent="0.3">
      <c r="A1536">
        <f>INDEX(SETTINGS!$A$15:$A$24,$B1536)</f>
        <v>2031</v>
      </c>
      <c r="B1536">
        <v>7</v>
      </c>
      <c r="C1536" t="str">
        <f>IF(AND(A1536&gt;=SETTINGS!$B$4,A1536&lt;=SETTINGS!$B$5),"Yes","No")</f>
        <v>No</v>
      </c>
      <c r="D1536" t="str">
        <f>IFERROR(INDEX(SETTINGS!$C$15:$C$24,MATCH(A1536,SETTINGS!$A$15:$A$24,0)),"No")</f>
        <v>No</v>
      </c>
      <c r="E1536">
        <v>9</v>
      </c>
      <c r="F1536" t="s">
        <v>42</v>
      </c>
      <c r="G1536">
        <v>217</v>
      </c>
      <c r="H1536" t="s">
        <v>108</v>
      </c>
      <c r="I1536" t="s">
        <v>22</v>
      </c>
      <c r="J1536" t="s">
        <v>28</v>
      </c>
      <c r="K1536" t="s">
        <v>3</v>
      </c>
      <c r="L1536" s="36">
        <f ca="1">IF(C1536&lt;&gt;"Yes",0,IF(A1536=2025,N('2025'!D217),IF(A1536=2026,N('2026'!D217),IF(A1536=2027,N('2027'!D217),IF(A1536=2028,N('2028'!D217),IF(A1536=2029,N('2029'!D217),IF(A1536=2030,N('2030'!D217),IF(A1536=2031,N('2031'!D217),IF(A1536=2032,N('2032'!D217),IF(A1536=2033,N('2033'!D217),IF(A1536=2034,N('2034'!D217),IFERROR(N(INDIRECT("'"&amp;A1536&amp;"'!D"&amp;G1536)),0))))))))))))</f>
        <v>0</v>
      </c>
      <c r="M1536" s="36">
        <f>IFERROR(IF(NOT(ISBLANK(KPI_TARGETS!$M$19)),KPI_TARGETS!$M$19,IF(NOT(ISBLANK(KPI_TARGETS!$F$19)),KPI_TARGETS!$F$19,"")),"")</f>
        <v>16</v>
      </c>
      <c r="N1536" s="36" t="str">
        <f>IFERROR(KPI_TARGETS!$E$19,"Higher is better")</f>
        <v>Higher is better</v>
      </c>
      <c r="O1536" s="37">
        <f t="shared" ca="1" si="138"/>
        <v>0</v>
      </c>
      <c r="P1536" t="str">
        <f t="shared" ca="1" si="139"/>
        <v>Red</v>
      </c>
      <c r="Q1536" s="36">
        <f t="shared" ca="1" si="140"/>
        <v>-16</v>
      </c>
      <c r="R1536" s="36" t="str">
        <f>""</f>
        <v/>
      </c>
      <c r="S1536" s="36" t="str">
        <f>""</f>
        <v/>
      </c>
      <c r="T1536" s="36" t="str">
        <f>""</f>
        <v/>
      </c>
      <c r="U1536" s="36" t="str">
        <f>""</f>
        <v/>
      </c>
      <c r="V1536" s="36" t="str">
        <f>""</f>
        <v/>
      </c>
      <c r="W1536" s="36">
        <f t="shared" si="141"/>
        <v>1</v>
      </c>
      <c r="X1536" t="str">
        <f t="shared" si="142"/>
        <v>Inactive</v>
      </c>
      <c r="Y1536" t="str">
        <f>IF(MAIN!$H$3="Selected Year",IF(A1536=MAIN!$B$3,"Yes","No"),IF(MAIN!$H$3="Included Years",IF(D1536="Yes","Yes","No"),IF(C1536="Yes","Yes","No")))</f>
        <v>No</v>
      </c>
      <c r="Z1536" t="str">
        <f>IF(MAIN!$F$3="Project to Date",IF(AND(A1536&gt;=SETTINGS!$B$4,A1536&lt;MAIN!$B$3),"Yes",IF(AND(A1536=MAIN!$B$3,E1536&lt;=MAIN!$L$3),"Yes","No")),IF(OR(MAIN!$F$3="Full Year",MAIN!$D$3="All"),"Yes",IF(MAIN!$F$3="Monthly",IF(E1536=MAIN!$L$3,"Yes","No"),IF(E1536&lt;=MAIN!$L$3,"Yes","No"))))</f>
        <v>Yes</v>
      </c>
      <c r="AA1536" t="str">
        <f t="shared" si="143"/>
        <v>No</v>
      </c>
    </row>
    <row r="1537" spans="1:27" x14ac:dyDescent="0.3">
      <c r="A1537">
        <f>INDEX(SETTINGS!$A$15:$A$24,$B1537)</f>
        <v>2031</v>
      </c>
      <c r="B1537">
        <v>7</v>
      </c>
      <c r="C1537" t="str">
        <f>IF(AND(A1537&gt;=SETTINGS!$B$4,A1537&lt;=SETTINGS!$B$5),"Yes","No")</f>
        <v>No</v>
      </c>
      <c r="D1537" t="str">
        <f>IFERROR(INDEX(SETTINGS!$C$15:$C$24,MATCH(A1537,SETTINGS!$A$15:$A$24,0)),"No")</f>
        <v>No</v>
      </c>
      <c r="E1537">
        <v>9</v>
      </c>
      <c r="F1537" t="s">
        <v>42</v>
      </c>
      <c r="G1537">
        <v>218</v>
      </c>
      <c r="H1537" t="s">
        <v>109</v>
      </c>
      <c r="I1537" t="s">
        <v>22</v>
      </c>
      <c r="J1537" t="s">
        <v>29</v>
      </c>
      <c r="K1537" t="s">
        <v>3</v>
      </c>
      <c r="L1537" s="36">
        <f ca="1">IF(C1537&lt;&gt;"Yes",0,IF(A1537=2025,N('2025'!D218),IF(A1537=2026,N('2026'!D218),IF(A1537=2027,N('2027'!D218),IF(A1537=2028,N('2028'!D218),IF(A1537=2029,N('2029'!D218),IF(A1537=2030,N('2030'!D218),IF(A1537=2031,N('2031'!D218),IF(A1537=2032,N('2032'!D218),IF(A1537=2033,N('2033'!D218),IF(A1537=2034,N('2034'!D218),IFERROR(N(INDIRECT("'"&amp;A1537&amp;"'!D"&amp;G1537)),0))))))))))))</f>
        <v>0</v>
      </c>
      <c r="M1537" s="36">
        <f>IFERROR(IF(NOT(ISBLANK(KPI_TARGETS!$M$20)),KPI_TARGETS!$M$20,IF(NOT(ISBLANK(KPI_TARGETS!$F$20)),KPI_TARGETS!$F$20,"")),"")</f>
        <v>1</v>
      </c>
      <c r="N1537" s="36" t="str">
        <f>IFERROR(KPI_TARGETS!$E$20,"Higher is better")</f>
        <v>Higher is better</v>
      </c>
      <c r="O1537" s="37">
        <f t="shared" ca="1" si="138"/>
        <v>0</v>
      </c>
      <c r="P1537" t="str">
        <f t="shared" ca="1" si="139"/>
        <v>Red</v>
      </c>
      <c r="Q1537" s="36">
        <f t="shared" ca="1" si="140"/>
        <v>-1</v>
      </c>
      <c r="R1537" s="36" t="str">
        <f>""</f>
        <v/>
      </c>
      <c r="S1537" s="36" t="str">
        <f>""</f>
        <v/>
      </c>
      <c r="T1537" s="36" t="str">
        <f>""</f>
        <v/>
      </c>
      <c r="U1537" s="36" t="str">
        <f>""</f>
        <v/>
      </c>
      <c r="V1537" s="36" t="str">
        <f>""</f>
        <v/>
      </c>
      <c r="W1537" s="36">
        <f t="shared" si="141"/>
        <v>1</v>
      </c>
      <c r="X1537" t="str">
        <f t="shared" si="142"/>
        <v>Inactive</v>
      </c>
      <c r="Y1537" t="str">
        <f>IF(MAIN!$H$3="Selected Year",IF(A1537=MAIN!$B$3,"Yes","No"),IF(MAIN!$H$3="Included Years",IF(D1537="Yes","Yes","No"),IF(C1537="Yes","Yes","No")))</f>
        <v>No</v>
      </c>
      <c r="Z1537" t="str">
        <f>IF(MAIN!$F$3="Project to Date",IF(AND(A1537&gt;=SETTINGS!$B$4,A1537&lt;MAIN!$B$3),"Yes",IF(AND(A1537=MAIN!$B$3,E1537&lt;=MAIN!$L$3),"Yes","No")),IF(OR(MAIN!$F$3="Full Year",MAIN!$D$3="All"),"Yes",IF(MAIN!$F$3="Monthly",IF(E1537=MAIN!$L$3,"Yes","No"),IF(E1537&lt;=MAIN!$L$3,"Yes","No"))))</f>
        <v>Yes</v>
      </c>
      <c r="AA1537" t="str">
        <f t="shared" si="143"/>
        <v>No</v>
      </c>
    </row>
    <row r="1538" spans="1:27" x14ac:dyDescent="0.3">
      <c r="A1538">
        <f>INDEX(SETTINGS!$A$15:$A$24,$B1538)</f>
        <v>2031</v>
      </c>
      <c r="B1538">
        <v>7</v>
      </c>
      <c r="C1538" t="str">
        <f>IF(AND(A1538&gt;=SETTINGS!$B$4,A1538&lt;=SETTINGS!$B$5),"Yes","No")</f>
        <v>No</v>
      </c>
      <c r="D1538" t="str">
        <f>IFERROR(INDEX(SETTINGS!$C$15:$C$24,MATCH(A1538,SETTINGS!$A$15:$A$24,0)),"No")</f>
        <v>No</v>
      </c>
      <c r="E1538">
        <v>9</v>
      </c>
      <c r="F1538" t="s">
        <v>42</v>
      </c>
      <c r="G1538">
        <v>220</v>
      </c>
      <c r="H1538" t="s">
        <v>110</v>
      </c>
      <c r="I1538" t="s">
        <v>30</v>
      </c>
      <c r="J1538" t="s">
        <v>31</v>
      </c>
      <c r="K1538" t="s">
        <v>3</v>
      </c>
      <c r="L1538" s="36">
        <f ca="1">IF(C1538&lt;&gt;"Yes",0,IF(A1538=2025,N('2025'!D220),IF(A1538=2026,N('2026'!D220),IF(A1538=2027,N('2027'!D220),IF(A1538=2028,N('2028'!D220),IF(A1538=2029,N('2029'!D220),IF(A1538=2030,N('2030'!D220),IF(A1538=2031,N('2031'!D220),IF(A1538=2032,N('2032'!D220),IF(A1538=2033,N('2033'!D220),IF(A1538=2034,N('2034'!D220),IFERROR(N(INDIRECT("'"&amp;A1538&amp;"'!D"&amp;G1538)),0))))))))))))</f>
        <v>0</v>
      </c>
      <c r="M1538" s="36">
        <f>IFERROR(IF(NOT(ISBLANK(KPI_TARGETS!$M$21)),KPI_TARGETS!$M$21,IF(NOT(ISBLANK(KPI_TARGETS!$F$21)),KPI_TARGETS!$F$21,"")),"")</f>
        <v>0</v>
      </c>
      <c r="N1538" s="36" t="str">
        <f>IFERROR(KPI_TARGETS!$E$21,"Higher is better")</f>
        <v>Lower is better</v>
      </c>
      <c r="O1538" s="37">
        <f t="shared" ref="O1538:O1601" ca="1" si="144">IF(M1538="","",IF(N1538="Higher is better",IFERROR(L1538/M1538,""),IF(L1538=0,1,IFERROR(M1538/L1538,""))))</f>
        <v>1</v>
      </c>
      <c r="P1538" t="str">
        <f t="shared" ref="P1538:P1601" ca="1" si="145">IF(M1538="","Target Needed",IF(N1538="Higher is better",IF(L1538&gt;=M1538,"Green",IF(L1538&gt;=0.8*M1538,"Amber","Red")),IF(M1538=0,IF(L1538=0,"Green","Red"),IF(L1538&lt;=M1538,"Green",IF(L1538&lt;=1.25*M1538,"Amber","Red")))))</f>
        <v>Green</v>
      </c>
      <c r="Q1538" s="36">
        <f t="shared" ref="Q1538:Q1601" ca="1" si="146">IF(M1538="","",IF(N1538="Higher is better",L1538-M1538,M1538-L1538))</f>
        <v>0</v>
      </c>
      <c r="R1538" s="36" t="str">
        <f>""</f>
        <v/>
      </c>
      <c r="S1538" s="36" t="str">
        <f>""</f>
        <v/>
      </c>
      <c r="T1538" s="36" t="str">
        <f>""</f>
        <v/>
      </c>
      <c r="U1538" s="36" t="str">
        <f>""</f>
        <v/>
      </c>
      <c r="V1538" s="36" t="str">
        <f>""</f>
        <v/>
      </c>
      <c r="W1538" s="36">
        <f t="shared" ref="W1538:W1601" si="147">IF(LEN(M1538&amp;"")&gt;0,1,0)</f>
        <v>1</v>
      </c>
      <c r="X1538" t="str">
        <f t="shared" ref="X1538:X1601" si="148">IF(C1538&lt;&gt;"Yes","Inactive",IF(M1538="","Missing target","OK"))</f>
        <v>Inactive</v>
      </c>
      <c r="Y1538" t="str">
        <f>IF(MAIN!$H$3="Selected Year",IF(A1538=MAIN!$B$3,"Yes","No"),IF(MAIN!$H$3="Included Years",IF(D1538="Yes","Yes","No"),IF(C1538="Yes","Yes","No")))</f>
        <v>No</v>
      </c>
      <c r="Z1538" t="str">
        <f>IF(MAIN!$F$3="Project to Date",IF(AND(A1538&gt;=SETTINGS!$B$4,A1538&lt;MAIN!$B$3),"Yes",IF(AND(A1538=MAIN!$B$3,E1538&lt;=MAIN!$L$3),"Yes","No")),IF(OR(MAIN!$F$3="Full Year",MAIN!$D$3="All"),"Yes",IF(MAIN!$F$3="Monthly",IF(E1538=MAIN!$L$3,"Yes","No"),IF(E1538&lt;=MAIN!$L$3,"Yes","No"))))</f>
        <v>Yes</v>
      </c>
      <c r="AA1538" t="str">
        <f t="shared" ref="AA1538:AA1601" si="149">IF(AND(Y1538="Yes",Z1538="Yes"),"Yes","No")</f>
        <v>No</v>
      </c>
    </row>
    <row r="1539" spans="1:27" x14ac:dyDescent="0.3">
      <c r="A1539">
        <f>INDEX(SETTINGS!$A$15:$A$24,$B1539)</f>
        <v>2031</v>
      </c>
      <c r="B1539">
        <v>7</v>
      </c>
      <c r="C1539" t="str">
        <f>IF(AND(A1539&gt;=SETTINGS!$B$4,A1539&lt;=SETTINGS!$B$5),"Yes","No")</f>
        <v>No</v>
      </c>
      <c r="D1539" t="str">
        <f>IFERROR(INDEX(SETTINGS!$C$15:$C$24,MATCH(A1539,SETTINGS!$A$15:$A$24,0)),"No")</f>
        <v>No</v>
      </c>
      <c r="E1539">
        <v>9</v>
      </c>
      <c r="F1539" t="s">
        <v>42</v>
      </c>
      <c r="G1539">
        <v>221</v>
      </c>
      <c r="H1539" t="s">
        <v>111</v>
      </c>
      <c r="I1539" t="s">
        <v>30</v>
      </c>
      <c r="J1539" t="s">
        <v>32</v>
      </c>
      <c r="K1539" t="s">
        <v>3</v>
      </c>
      <c r="L1539" s="36">
        <f ca="1">IF(C1539&lt;&gt;"Yes",0,IF(A1539=2025,N('2025'!D221),IF(A1539=2026,N('2026'!D221),IF(A1539=2027,N('2027'!D221),IF(A1539=2028,N('2028'!D221),IF(A1539=2029,N('2029'!D221),IF(A1539=2030,N('2030'!D221),IF(A1539=2031,N('2031'!D221),IF(A1539=2032,N('2032'!D221),IF(A1539=2033,N('2033'!D221),IF(A1539=2034,N('2034'!D221),IFERROR(N(INDIRECT("'"&amp;A1539&amp;"'!D"&amp;G1539)),0))))))))))))</f>
        <v>0</v>
      </c>
      <c r="M1539" s="36">
        <f>IFERROR(IF(NOT(ISBLANK(KPI_TARGETS!$M$22)),KPI_TARGETS!$M$22,IF(NOT(ISBLANK(KPI_TARGETS!$F$22)),KPI_TARGETS!$F$22,"")),"")</f>
        <v>1</v>
      </c>
      <c r="N1539" s="36" t="str">
        <f>IFERROR(KPI_TARGETS!$E$22,"Higher is better")</f>
        <v>Higher is better</v>
      </c>
      <c r="O1539" s="37">
        <f t="shared" ca="1" si="144"/>
        <v>0</v>
      </c>
      <c r="P1539" t="str">
        <f t="shared" ca="1" si="145"/>
        <v>Red</v>
      </c>
      <c r="Q1539" s="36">
        <f t="shared" ca="1" si="146"/>
        <v>-1</v>
      </c>
      <c r="R1539" s="36" t="str">
        <f>""</f>
        <v/>
      </c>
      <c r="S1539" s="36" t="str">
        <f>""</f>
        <v/>
      </c>
      <c r="T1539" s="36" t="str">
        <f>""</f>
        <v/>
      </c>
      <c r="U1539" s="36" t="str">
        <f>""</f>
        <v/>
      </c>
      <c r="V1539" s="36" t="str">
        <f>""</f>
        <v/>
      </c>
      <c r="W1539" s="36">
        <f t="shared" si="147"/>
        <v>1</v>
      </c>
      <c r="X1539" t="str">
        <f t="shared" si="148"/>
        <v>Inactive</v>
      </c>
      <c r="Y1539" t="str">
        <f>IF(MAIN!$H$3="Selected Year",IF(A1539=MAIN!$B$3,"Yes","No"),IF(MAIN!$H$3="Included Years",IF(D1539="Yes","Yes","No"),IF(C1539="Yes","Yes","No")))</f>
        <v>No</v>
      </c>
      <c r="Z1539" t="str">
        <f>IF(MAIN!$F$3="Project to Date",IF(AND(A1539&gt;=SETTINGS!$B$4,A1539&lt;MAIN!$B$3),"Yes",IF(AND(A1539=MAIN!$B$3,E1539&lt;=MAIN!$L$3),"Yes","No")),IF(OR(MAIN!$F$3="Full Year",MAIN!$D$3="All"),"Yes",IF(MAIN!$F$3="Monthly",IF(E1539=MAIN!$L$3,"Yes","No"),IF(E1539&lt;=MAIN!$L$3,"Yes","No"))))</f>
        <v>Yes</v>
      </c>
      <c r="AA1539" t="str">
        <f t="shared" si="149"/>
        <v>No</v>
      </c>
    </row>
    <row r="1540" spans="1:27" x14ac:dyDescent="0.3">
      <c r="A1540">
        <f>INDEX(SETTINGS!$A$15:$A$24,$B1540)</f>
        <v>2031</v>
      </c>
      <c r="B1540">
        <v>7</v>
      </c>
      <c r="C1540" t="str">
        <f>IF(AND(A1540&gt;=SETTINGS!$B$4,A1540&lt;=SETTINGS!$B$5),"Yes","No")</f>
        <v>No</v>
      </c>
      <c r="D1540" t="str">
        <f>IFERROR(INDEX(SETTINGS!$C$15:$C$24,MATCH(A1540,SETTINGS!$A$15:$A$24,0)),"No")</f>
        <v>No</v>
      </c>
      <c r="E1540">
        <v>9</v>
      </c>
      <c r="F1540" t="s">
        <v>42</v>
      </c>
      <c r="G1540">
        <v>222</v>
      </c>
      <c r="H1540" t="s">
        <v>112</v>
      </c>
      <c r="I1540" t="s">
        <v>30</v>
      </c>
      <c r="J1540" t="s">
        <v>33</v>
      </c>
      <c r="K1540" t="s">
        <v>34</v>
      </c>
      <c r="L1540" s="36">
        <f ca="1">IF(C1540&lt;&gt;"Yes",0,IF(A1540=2025,N('2025'!D222),IF(A1540=2026,N('2026'!D222),IF(A1540=2027,N('2027'!D222),IF(A1540=2028,N('2028'!D222),IF(A1540=2029,N('2029'!D222),IF(A1540=2030,N('2030'!D222),IF(A1540=2031,N('2031'!D222),IF(A1540=2032,N('2032'!D222),IF(A1540=2033,N('2033'!D222),IF(A1540=2034,N('2034'!D222),IFERROR(N(INDIRECT("'"&amp;A1540&amp;"'!D"&amp;G1540)),0))))))))))))</f>
        <v>0</v>
      </c>
      <c r="M1540" s="36">
        <f>IFERROR(IF(NOT(ISBLANK(KPI_TARGETS!$M$23)),KPI_TARGETS!$M$23,IF(NOT(ISBLANK(KPI_TARGETS!$F$23)),KPI_TARGETS!$F$23,"")),"")</f>
        <v>1</v>
      </c>
      <c r="N1540" s="36" t="str">
        <f>IFERROR(KPI_TARGETS!$E$23,"Higher is better")</f>
        <v>Higher is better</v>
      </c>
      <c r="O1540" s="37">
        <f t="shared" ca="1" si="144"/>
        <v>0</v>
      </c>
      <c r="P1540" t="str">
        <f t="shared" ca="1" si="145"/>
        <v>Red</v>
      </c>
      <c r="Q1540" s="36">
        <f t="shared" ca="1" si="146"/>
        <v>-1</v>
      </c>
      <c r="R1540" s="36" t="str">
        <f>""</f>
        <v/>
      </c>
      <c r="S1540" s="36" t="str">
        <f>""</f>
        <v/>
      </c>
      <c r="T1540" s="36" t="str">
        <f>""</f>
        <v/>
      </c>
      <c r="U1540" s="36" t="str">
        <f>""</f>
        <v/>
      </c>
      <c r="V1540" s="36" t="str">
        <f>""</f>
        <v/>
      </c>
      <c r="W1540" s="36">
        <f t="shared" si="147"/>
        <v>1</v>
      </c>
      <c r="X1540" t="str">
        <f t="shared" si="148"/>
        <v>Inactive</v>
      </c>
      <c r="Y1540" t="str">
        <f>IF(MAIN!$H$3="Selected Year",IF(A1540=MAIN!$B$3,"Yes","No"),IF(MAIN!$H$3="Included Years",IF(D1540="Yes","Yes","No"),IF(C1540="Yes","Yes","No")))</f>
        <v>No</v>
      </c>
      <c r="Z1540" t="str">
        <f>IF(MAIN!$F$3="Project to Date",IF(AND(A1540&gt;=SETTINGS!$B$4,A1540&lt;MAIN!$B$3),"Yes",IF(AND(A1540=MAIN!$B$3,E1540&lt;=MAIN!$L$3),"Yes","No")),IF(OR(MAIN!$F$3="Full Year",MAIN!$D$3="All"),"Yes",IF(MAIN!$F$3="Monthly",IF(E1540=MAIN!$L$3,"Yes","No"),IF(E1540&lt;=MAIN!$L$3,"Yes","No"))))</f>
        <v>Yes</v>
      </c>
      <c r="AA1540" t="str">
        <f t="shared" si="149"/>
        <v>No</v>
      </c>
    </row>
    <row r="1541" spans="1:27" x14ac:dyDescent="0.3">
      <c r="A1541">
        <f>INDEX(SETTINGS!$A$15:$A$24,$B1541)</f>
        <v>2031</v>
      </c>
      <c r="B1541">
        <v>7</v>
      </c>
      <c r="C1541" t="str">
        <f>IF(AND(A1541&gt;=SETTINGS!$B$4,A1541&lt;=SETTINGS!$B$5),"Yes","No")</f>
        <v>No</v>
      </c>
      <c r="D1541" t="str">
        <f>IFERROR(INDEX(SETTINGS!$C$15:$C$24,MATCH(A1541,SETTINGS!$A$15:$A$24,0)),"No")</f>
        <v>No</v>
      </c>
      <c r="E1541">
        <v>10</v>
      </c>
      <c r="F1541" t="s">
        <v>43</v>
      </c>
      <c r="G1541">
        <v>225</v>
      </c>
      <c r="H1541" t="s">
        <v>88</v>
      </c>
      <c r="I1541" t="s">
        <v>89</v>
      </c>
      <c r="J1541" t="s">
        <v>10</v>
      </c>
      <c r="K1541" t="s">
        <v>3</v>
      </c>
      <c r="L1541" s="36">
        <f ca="1">IF(C1541&lt;&gt;"Yes",0,IF(A1541=2025,N('2025'!D225),IF(A1541=2026,N('2026'!D225),IF(A1541=2027,N('2027'!D225),IF(A1541=2028,N('2028'!D225),IF(A1541=2029,N('2029'!D225),IF(A1541=2030,N('2030'!D225),IF(A1541=2031,N('2031'!D225),IF(A1541=2032,N('2032'!D225),IF(A1541=2033,N('2033'!D225),IF(A1541=2034,N('2034'!D225),IFERROR(N(INDIRECT("'"&amp;A1541&amp;"'!D"&amp;G1541)),0))))))))))))</f>
        <v>0</v>
      </c>
      <c r="M1541" s="36">
        <f>IFERROR(IF(NOT(ISBLANK(KPI_TARGETS!$M$5)),KPI_TARGETS!$M$5,IF(NOT(ISBLANK(KPI_TARGETS!$F$5)),KPI_TARGETS!$F$5,"")),"")</f>
        <v>104</v>
      </c>
      <c r="N1541" s="36" t="str">
        <f>IFERROR(KPI_TARGETS!$E$5,"Higher is better")</f>
        <v>Higher is better</v>
      </c>
      <c r="O1541" s="37">
        <f t="shared" ca="1" si="144"/>
        <v>0</v>
      </c>
      <c r="P1541" t="str">
        <f t="shared" ca="1" si="145"/>
        <v>Red</v>
      </c>
      <c r="Q1541" s="36">
        <f t="shared" ca="1" si="146"/>
        <v>-104</v>
      </c>
      <c r="R1541" s="36" t="str">
        <f>""</f>
        <v/>
      </c>
      <c r="S1541" s="36" t="str">
        <f>""</f>
        <v/>
      </c>
      <c r="T1541" s="36" t="str">
        <f>""</f>
        <v/>
      </c>
      <c r="U1541" s="36" t="str">
        <f>""</f>
        <v/>
      </c>
      <c r="V1541" s="36" t="str">
        <f>""</f>
        <v/>
      </c>
      <c r="W1541" s="36">
        <f t="shared" si="147"/>
        <v>1</v>
      </c>
      <c r="X1541" t="str">
        <f t="shared" si="148"/>
        <v>Inactive</v>
      </c>
      <c r="Y1541" t="str">
        <f>IF(MAIN!$H$3="Selected Year",IF(A1541=MAIN!$B$3,"Yes","No"),IF(MAIN!$H$3="Included Years",IF(D1541="Yes","Yes","No"),IF(C1541="Yes","Yes","No")))</f>
        <v>No</v>
      </c>
      <c r="Z1541" t="str">
        <f>IF(MAIN!$F$3="Project to Date",IF(AND(A1541&gt;=SETTINGS!$B$4,A1541&lt;MAIN!$B$3),"Yes",IF(AND(A1541=MAIN!$B$3,E1541&lt;=MAIN!$L$3),"Yes","No")),IF(OR(MAIN!$F$3="Full Year",MAIN!$D$3="All"),"Yes",IF(MAIN!$F$3="Monthly",IF(E1541=MAIN!$L$3,"Yes","No"),IF(E1541&lt;=MAIN!$L$3,"Yes","No"))))</f>
        <v>Yes</v>
      </c>
      <c r="AA1541" t="str">
        <f t="shared" si="149"/>
        <v>No</v>
      </c>
    </row>
    <row r="1542" spans="1:27" x14ac:dyDescent="0.3">
      <c r="A1542">
        <f>INDEX(SETTINGS!$A$15:$A$24,$B1542)</f>
        <v>2031</v>
      </c>
      <c r="B1542">
        <v>7</v>
      </c>
      <c r="C1542" t="str">
        <f>IF(AND(A1542&gt;=SETTINGS!$B$4,A1542&lt;=SETTINGS!$B$5),"Yes","No")</f>
        <v>No</v>
      </c>
      <c r="D1542" t="str">
        <f>IFERROR(INDEX(SETTINGS!$C$15:$C$24,MATCH(A1542,SETTINGS!$A$15:$A$24,0)),"No")</f>
        <v>No</v>
      </c>
      <c r="E1542">
        <v>10</v>
      </c>
      <c r="F1542" t="s">
        <v>43</v>
      </c>
      <c r="G1542">
        <v>226</v>
      </c>
      <c r="H1542" t="s">
        <v>91</v>
      </c>
      <c r="I1542" t="s">
        <v>89</v>
      </c>
      <c r="J1542" t="s">
        <v>11</v>
      </c>
      <c r="K1542" t="s">
        <v>12</v>
      </c>
      <c r="L1542" s="36">
        <f ca="1">IF(C1542&lt;&gt;"Yes",0,IF(A1542=2025,N('2025'!D226),IF(A1542=2026,N('2026'!D226),IF(A1542=2027,N('2027'!D226),IF(A1542=2028,N('2028'!D226),IF(A1542=2029,N('2029'!D226),IF(A1542=2030,N('2030'!D226),IF(A1542=2031,N('2031'!D226),IF(A1542=2032,N('2032'!D226),IF(A1542=2033,N('2033'!D226),IF(A1542=2034,N('2034'!D226),IFERROR(N(INDIRECT("'"&amp;A1542&amp;"'!D"&amp;G1542)),0))))))))))))</f>
        <v>0</v>
      </c>
      <c r="M1542" s="36">
        <f>IFERROR(IF(NOT(ISBLANK(KPI_TARGETS!$M$6)),KPI_TARGETS!$M$6,IF(NOT(ISBLANK(KPI_TARGETS!$F$6)),KPI_TARGETS!$F$6,"")),"")</f>
        <v>4000</v>
      </c>
      <c r="N1542" s="36" t="str">
        <f>IFERROR(KPI_TARGETS!$E$6,"Higher is better")</f>
        <v>Higher is better</v>
      </c>
      <c r="O1542" s="37">
        <f t="shared" ca="1" si="144"/>
        <v>0</v>
      </c>
      <c r="P1542" t="str">
        <f t="shared" ca="1" si="145"/>
        <v>Red</v>
      </c>
      <c r="Q1542" s="36">
        <f t="shared" ca="1" si="146"/>
        <v>-4000</v>
      </c>
      <c r="R1542" s="36" t="str">
        <f>""</f>
        <v/>
      </c>
      <c r="S1542" s="36" t="str">
        <f>""</f>
        <v/>
      </c>
      <c r="T1542" s="36" t="str">
        <f>""</f>
        <v/>
      </c>
      <c r="U1542" s="36" t="str">
        <f>""</f>
        <v/>
      </c>
      <c r="V1542" s="36" t="str">
        <f>""</f>
        <v/>
      </c>
      <c r="W1542" s="36">
        <f t="shared" si="147"/>
        <v>1</v>
      </c>
      <c r="X1542" t="str">
        <f t="shared" si="148"/>
        <v>Inactive</v>
      </c>
      <c r="Y1542" t="str">
        <f>IF(MAIN!$H$3="Selected Year",IF(A1542=MAIN!$B$3,"Yes","No"),IF(MAIN!$H$3="Included Years",IF(D1542="Yes","Yes","No"),IF(C1542="Yes","Yes","No")))</f>
        <v>No</v>
      </c>
      <c r="Z1542" t="str">
        <f>IF(MAIN!$F$3="Project to Date",IF(AND(A1542&gt;=SETTINGS!$B$4,A1542&lt;MAIN!$B$3),"Yes",IF(AND(A1542=MAIN!$B$3,E1542&lt;=MAIN!$L$3),"Yes","No")),IF(OR(MAIN!$F$3="Full Year",MAIN!$D$3="All"),"Yes",IF(MAIN!$F$3="Monthly",IF(E1542=MAIN!$L$3,"Yes","No"),IF(E1542&lt;=MAIN!$L$3,"Yes","No"))))</f>
        <v>Yes</v>
      </c>
      <c r="AA1542" t="str">
        <f t="shared" si="149"/>
        <v>No</v>
      </c>
    </row>
    <row r="1543" spans="1:27" x14ac:dyDescent="0.3">
      <c r="A1543">
        <f>INDEX(SETTINGS!$A$15:$A$24,$B1543)</f>
        <v>2031</v>
      </c>
      <c r="B1543">
        <v>7</v>
      </c>
      <c r="C1543" t="str">
        <f>IF(AND(A1543&gt;=SETTINGS!$B$4,A1543&lt;=SETTINGS!$B$5),"Yes","No")</f>
        <v>No</v>
      </c>
      <c r="D1543" t="str">
        <f>IFERROR(INDEX(SETTINGS!$C$15:$C$24,MATCH(A1543,SETTINGS!$A$15:$A$24,0)),"No")</f>
        <v>No</v>
      </c>
      <c r="E1543">
        <v>10</v>
      </c>
      <c r="F1543" t="s">
        <v>43</v>
      </c>
      <c r="G1543">
        <v>227</v>
      </c>
      <c r="H1543" t="s">
        <v>93</v>
      </c>
      <c r="I1543" t="s">
        <v>89</v>
      </c>
      <c r="J1543" t="s">
        <v>13</v>
      </c>
      <c r="K1543" t="s">
        <v>14</v>
      </c>
      <c r="L1543" s="36">
        <f ca="1">IF(C1543&lt;&gt;"Yes",0,IF(A1543=2025,N('2025'!D227),IF(A1543=2026,N('2026'!D227),IF(A1543=2027,N('2027'!D227),IF(A1543=2028,N('2028'!D227),IF(A1543=2029,N('2029'!D227),IF(A1543=2030,N('2030'!D227),IF(A1543=2031,N('2031'!D227),IF(A1543=2032,N('2032'!D227),IF(A1543=2033,N('2033'!D227),IF(A1543=2034,N('2034'!D227),IFERROR(N(INDIRECT("'"&amp;A1543&amp;"'!D"&amp;G1543)),0))))))))))))</f>
        <v>0</v>
      </c>
      <c r="M1543" s="36">
        <f>IFERROR(IF(NOT(ISBLANK(KPI_TARGETS!$M$7)),KPI_TARGETS!$M$7,IF(NOT(ISBLANK(KPI_TARGETS!$F$7)),KPI_TARGETS!$F$7,"")),"")</f>
        <v>8000</v>
      </c>
      <c r="N1543" s="36" t="str">
        <f>IFERROR(KPI_TARGETS!$E$7,"Higher is better")</f>
        <v>Higher is better</v>
      </c>
      <c r="O1543" s="37">
        <f t="shared" ca="1" si="144"/>
        <v>0</v>
      </c>
      <c r="P1543" t="str">
        <f t="shared" ca="1" si="145"/>
        <v>Red</v>
      </c>
      <c r="Q1543" s="36">
        <f t="shared" ca="1" si="146"/>
        <v>-8000</v>
      </c>
      <c r="R1543" s="36" t="str">
        <f>""</f>
        <v/>
      </c>
      <c r="S1543" s="36" t="str">
        <f>""</f>
        <v/>
      </c>
      <c r="T1543" s="36" t="str">
        <f>""</f>
        <v/>
      </c>
      <c r="U1543" s="36" t="str">
        <f>""</f>
        <v/>
      </c>
      <c r="V1543" s="36" t="str">
        <f>""</f>
        <v/>
      </c>
      <c r="W1543" s="36">
        <f t="shared" si="147"/>
        <v>1</v>
      </c>
      <c r="X1543" t="str">
        <f t="shared" si="148"/>
        <v>Inactive</v>
      </c>
      <c r="Y1543" t="str">
        <f>IF(MAIN!$H$3="Selected Year",IF(A1543=MAIN!$B$3,"Yes","No"),IF(MAIN!$H$3="Included Years",IF(D1543="Yes","Yes","No"),IF(C1543="Yes","Yes","No")))</f>
        <v>No</v>
      </c>
      <c r="Z1543" t="str">
        <f>IF(MAIN!$F$3="Project to Date",IF(AND(A1543&gt;=SETTINGS!$B$4,A1543&lt;MAIN!$B$3),"Yes",IF(AND(A1543=MAIN!$B$3,E1543&lt;=MAIN!$L$3),"Yes","No")),IF(OR(MAIN!$F$3="Full Year",MAIN!$D$3="All"),"Yes",IF(MAIN!$F$3="Monthly",IF(E1543=MAIN!$L$3,"Yes","No"),IF(E1543&lt;=MAIN!$L$3,"Yes","No"))))</f>
        <v>Yes</v>
      </c>
      <c r="AA1543" t="str">
        <f t="shared" si="149"/>
        <v>No</v>
      </c>
    </row>
    <row r="1544" spans="1:27" x14ac:dyDescent="0.3">
      <c r="A1544">
        <f>INDEX(SETTINGS!$A$15:$A$24,$B1544)</f>
        <v>2031</v>
      </c>
      <c r="B1544">
        <v>7</v>
      </c>
      <c r="C1544" t="str">
        <f>IF(AND(A1544&gt;=SETTINGS!$B$4,A1544&lt;=SETTINGS!$B$5),"Yes","No")</f>
        <v>No</v>
      </c>
      <c r="D1544" t="str">
        <f>IFERROR(INDEX(SETTINGS!$C$15:$C$24,MATCH(A1544,SETTINGS!$A$15:$A$24,0)),"No")</f>
        <v>No</v>
      </c>
      <c r="E1544">
        <v>10</v>
      </c>
      <c r="F1544" t="s">
        <v>43</v>
      </c>
      <c r="G1544">
        <v>229</v>
      </c>
      <c r="H1544" t="s">
        <v>95</v>
      </c>
      <c r="I1544" t="s">
        <v>15</v>
      </c>
      <c r="J1544" t="s">
        <v>16</v>
      </c>
      <c r="K1544" t="s">
        <v>3</v>
      </c>
      <c r="L1544" s="36">
        <f ca="1">IF(C1544&lt;&gt;"Yes",0,IF(A1544=2025,N('2025'!D229),IF(A1544=2026,N('2026'!D229),IF(A1544=2027,N('2027'!D229),IF(A1544=2028,N('2028'!D229),IF(A1544=2029,N('2029'!D229),IF(A1544=2030,N('2030'!D229),IF(A1544=2031,N('2031'!D229),IF(A1544=2032,N('2032'!D229),IF(A1544=2033,N('2033'!D229),IF(A1544=2034,N('2034'!D229),IFERROR(N(INDIRECT("'"&amp;A1544&amp;"'!D"&amp;G1544)),0))))))))))))</f>
        <v>0</v>
      </c>
      <c r="M1544" s="36">
        <f>IFERROR(IF(NOT(ISBLANK(KPI_TARGETS!$M$8)),KPI_TARGETS!$M$8,IF(NOT(ISBLANK(KPI_TARGETS!$F$8)),KPI_TARGETS!$F$8,"")),"")</f>
        <v>0</v>
      </c>
      <c r="N1544" s="36" t="str">
        <f>IFERROR(KPI_TARGETS!$E$8,"Higher is better")</f>
        <v>Lower is better</v>
      </c>
      <c r="O1544" s="37">
        <f t="shared" ca="1" si="144"/>
        <v>1</v>
      </c>
      <c r="P1544" t="str">
        <f t="shared" ca="1" si="145"/>
        <v>Green</v>
      </c>
      <c r="Q1544" s="36">
        <f t="shared" ca="1" si="146"/>
        <v>0</v>
      </c>
      <c r="R1544" s="36" t="str">
        <f>""</f>
        <v/>
      </c>
      <c r="S1544" s="36" t="str">
        <f>""</f>
        <v/>
      </c>
      <c r="T1544" s="36" t="str">
        <f>""</f>
        <v/>
      </c>
      <c r="U1544" s="36" t="str">
        <f>""</f>
        <v/>
      </c>
      <c r="V1544" s="36" t="str">
        <f>""</f>
        <v/>
      </c>
      <c r="W1544" s="36">
        <f t="shared" si="147"/>
        <v>1</v>
      </c>
      <c r="X1544" t="str">
        <f t="shared" si="148"/>
        <v>Inactive</v>
      </c>
      <c r="Y1544" t="str">
        <f>IF(MAIN!$H$3="Selected Year",IF(A1544=MAIN!$B$3,"Yes","No"),IF(MAIN!$H$3="Included Years",IF(D1544="Yes","Yes","No"),IF(C1544="Yes","Yes","No")))</f>
        <v>No</v>
      </c>
      <c r="Z1544" t="str">
        <f>IF(MAIN!$F$3="Project to Date",IF(AND(A1544&gt;=SETTINGS!$B$4,A1544&lt;MAIN!$B$3),"Yes",IF(AND(A1544=MAIN!$B$3,E1544&lt;=MAIN!$L$3),"Yes","No")),IF(OR(MAIN!$F$3="Full Year",MAIN!$D$3="All"),"Yes",IF(MAIN!$F$3="Monthly",IF(E1544=MAIN!$L$3,"Yes","No"),IF(E1544&lt;=MAIN!$L$3,"Yes","No"))))</f>
        <v>Yes</v>
      </c>
      <c r="AA1544" t="str">
        <f t="shared" si="149"/>
        <v>No</v>
      </c>
    </row>
    <row r="1545" spans="1:27" x14ac:dyDescent="0.3">
      <c r="A1545">
        <f>INDEX(SETTINGS!$A$15:$A$24,$B1545)</f>
        <v>2031</v>
      </c>
      <c r="B1545">
        <v>7</v>
      </c>
      <c r="C1545" t="str">
        <f>IF(AND(A1545&gt;=SETTINGS!$B$4,A1545&lt;=SETTINGS!$B$5),"Yes","No")</f>
        <v>No</v>
      </c>
      <c r="D1545" t="str">
        <f>IFERROR(INDEX(SETTINGS!$C$15:$C$24,MATCH(A1545,SETTINGS!$A$15:$A$24,0)),"No")</f>
        <v>No</v>
      </c>
      <c r="E1545">
        <v>10</v>
      </c>
      <c r="F1545" t="s">
        <v>43</v>
      </c>
      <c r="G1545">
        <v>230</v>
      </c>
      <c r="H1545" t="s">
        <v>97</v>
      </c>
      <c r="I1545" t="s">
        <v>15</v>
      </c>
      <c r="J1545" t="s">
        <v>17</v>
      </c>
      <c r="K1545" t="s">
        <v>3</v>
      </c>
      <c r="L1545" s="36">
        <f ca="1">IF(C1545&lt;&gt;"Yes",0,IF(A1545=2025,N('2025'!D230),IF(A1545=2026,N('2026'!D230),IF(A1545=2027,N('2027'!D230),IF(A1545=2028,N('2028'!D230),IF(A1545=2029,N('2029'!D230),IF(A1545=2030,N('2030'!D230),IF(A1545=2031,N('2031'!D230),IF(A1545=2032,N('2032'!D230),IF(A1545=2033,N('2033'!D230),IF(A1545=2034,N('2034'!D230),IFERROR(N(INDIRECT("'"&amp;A1545&amp;"'!D"&amp;G1545)),0))))))))))))</f>
        <v>0</v>
      </c>
      <c r="M1545" s="36">
        <f>IFERROR(IF(NOT(ISBLANK(KPI_TARGETS!$M$9)),KPI_TARGETS!$M$9,IF(NOT(ISBLANK(KPI_TARGETS!$F$9)),KPI_TARGETS!$F$9,"")),"")</f>
        <v>0</v>
      </c>
      <c r="N1545" s="36" t="str">
        <f>IFERROR(KPI_TARGETS!$E$9,"Higher is better")</f>
        <v>Higher is better</v>
      </c>
      <c r="O1545" s="37" t="str">
        <f t="shared" ca="1" si="144"/>
        <v/>
      </c>
      <c r="P1545" t="str">
        <f t="shared" ca="1" si="145"/>
        <v>Green</v>
      </c>
      <c r="Q1545" s="36">
        <f t="shared" ca="1" si="146"/>
        <v>0</v>
      </c>
      <c r="R1545" s="36" t="str">
        <f>""</f>
        <v/>
      </c>
      <c r="S1545" s="36" t="str">
        <f>""</f>
        <v/>
      </c>
      <c r="T1545" s="36" t="str">
        <f>""</f>
        <v/>
      </c>
      <c r="U1545" s="36" t="str">
        <f>""</f>
        <v/>
      </c>
      <c r="V1545" s="36" t="str">
        <f>""</f>
        <v/>
      </c>
      <c r="W1545" s="36">
        <f t="shared" si="147"/>
        <v>1</v>
      </c>
      <c r="X1545" t="str">
        <f t="shared" si="148"/>
        <v>Inactive</v>
      </c>
      <c r="Y1545" t="str">
        <f>IF(MAIN!$H$3="Selected Year",IF(A1545=MAIN!$B$3,"Yes","No"),IF(MAIN!$H$3="Included Years",IF(D1545="Yes","Yes","No"),IF(C1545="Yes","Yes","No")))</f>
        <v>No</v>
      </c>
      <c r="Z1545" t="str">
        <f>IF(MAIN!$F$3="Project to Date",IF(AND(A1545&gt;=SETTINGS!$B$4,A1545&lt;MAIN!$B$3),"Yes",IF(AND(A1545=MAIN!$B$3,E1545&lt;=MAIN!$L$3),"Yes","No")),IF(OR(MAIN!$F$3="Full Year",MAIN!$D$3="All"),"Yes",IF(MAIN!$F$3="Monthly",IF(E1545=MAIN!$L$3,"Yes","No"),IF(E1545&lt;=MAIN!$L$3,"Yes","No"))))</f>
        <v>Yes</v>
      </c>
      <c r="AA1545" t="str">
        <f t="shared" si="149"/>
        <v>No</v>
      </c>
    </row>
    <row r="1546" spans="1:27" x14ac:dyDescent="0.3">
      <c r="A1546">
        <f>INDEX(SETTINGS!$A$15:$A$24,$B1546)</f>
        <v>2031</v>
      </c>
      <c r="B1546">
        <v>7</v>
      </c>
      <c r="C1546" t="str">
        <f>IF(AND(A1546&gt;=SETTINGS!$B$4,A1546&lt;=SETTINGS!$B$5),"Yes","No")</f>
        <v>No</v>
      </c>
      <c r="D1546" t="str">
        <f>IFERROR(INDEX(SETTINGS!$C$15:$C$24,MATCH(A1546,SETTINGS!$A$15:$A$24,0)),"No")</f>
        <v>No</v>
      </c>
      <c r="E1546">
        <v>10</v>
      </c>
      <c r="F1546" t="s">
        <v>43</v>
      </c>
      <c r="G1546">
        <v>231</v>
      </c>
      <c r="H1546" t="s">
        <v>99</v>
      </c>
      <c r="I1546" t="s">
        <v>15</v>
      </c>
      <c r="J1546" t="s">
        <v>18</v>
      </c>
      <c r="K1546" t="s">
        <v>3</v>
      </c>
      <c r="L1546" s="36">
        <f ca="1">IF(C1546&lt;&gt;"Yes",0,IF(A1546=2025,N('2025'!D231),IF(A1546=2026,N('2026'!D231),IF(A1546=2027,N('2027'!D231),IF(A1546=2028,N('2028'!D231),IF(A1546=2029,N('2029'!D231),IF(A1546=2030,N('2030'!D231),IF(A1546=2031,N('2031'!D231),IF(A1546=2032,N('2032'!D231),IF(A1546=2033,N('2033'!D231),IF(A1546=2034,N('2034'!D231),IFERROR(N(INDIRECT("'"&amp;A1546&amp;"'!D"&amp;G1546)),0))))))))))))</f>
        <v>0</v>
      </c>
      <c r="M1546" s="36">
        <f>IFERROR(IF(NOT(ISBLANK(KPI_TARGETS!$M$10)),KPI_TARGETS!$M$10,IF(NOT(ISBLANK(KPI_TARGETS!$F$10)),KPI_TARGETS!$F$10,"")),"")</f>
        <v>0</v>
      </c>
      <c r="N1546" s="36" t="str">
        <f>IFERROR(KPI_TARGETS!$E$10,"Higher is better")</f>
        <v>Lower is better</v>
      </c>
      <c r="O1546" s="37">
        <f t="shared" ca="1" si="144"/>
        <v>1</v>
      </c>
      <c r="P1546" t="str">
        <f t="shared" ca="1" si="145"/>
        <v>Green</v>
      </c>
      <c r="Q1546" s="36">
        <f t="shared" ca="1" si="146"/>
        <v>0</v>
      </c>
      <c r="R1546" s="36" t="str">
        <f>""</f>
        <v/>
      </c>
      <c r="S1546" s="36" t="str">
        <f>""</f>
        <v/>
      </c>
      <c r="T1546" s="36" t="str">
        <f>""</f>
        <v/>
      </c>
      <c r="U1546" s="36" t="str">
        <f>""</f>
        <v/>
      </c>
      <c r="V1546" s="36" t="str">
        <f>""</f>
        <v/>
      </c>
      <c r="W1546" s="36">
        <f t="shared" si="147"/>
        <v>1</v>
      </c>
      <c r="X1546" t="str">
        <f t="shared" si="148"/>
        <v>Inactive</v>
      </c>
      <c r="Y1546" t="str">
        <f>IF(MAIN!$H$3="Selected Year",IF(A1546=MAIN!$B$3,"Yes","No"),IF(MAIN!$H$3="Included Years",IF(D1546="Yes","Yes","No"),IF(C1546="Yes","Yes","No")))</f>
        <v>No</v>
      </c>
      <c r="Z1546" t="str">
        <f>IF(MAIN!$F$3="Project to Date",IF(AND(A1546&gt;=SETTINGS!$B$4,A1546&lt;MAIN!$B$3),"Yes",IF(AND(A1546=MAIN!$B$3,E1546&lt;=MAIN!$L$3),"Yes","No")),IF(OR(MAIN!$F$3="Full Year",MAIN!$D$3="All"),"Yes",IF(MAIN!$F$3="Monthly",IF(E1546=MAIN!$L$3,"Yes","No"),IF(E1546&lt;=MAIN!$L$3,"Yes","No"))))</f>
        <v>Yes</v>
      </c>
      <c r="AA1546" t="str">
        <f t="shared" si="149"/>
        <v>No</v>
      </c>
    </row>
    <row r="1547" spans="1:27" x14ac:dyDescent="0.3">
      <c r="A1547">
        <f>INDEX(SETTINGS!$A$15:$A$24,$B1547)</f>
        <v>2031</v>
      </c>
      <c r="B1547">
        <v>7</v>
      </c>
      <c r="C1547" t="str">
        <f>IF(AND(A1547&gt;=SETTINGS!$B$4,A1547&lt;=SETTINGS!$B$5),"Yes","No")</f>
        <v>No</v>
      </c>
      <c r="D1547" t="str">
        <f>IFERROR(INDEX(SETTINGS!$C$15:$C$24,MATCH(A1547,SETTINGS!$A$15:$A$24,0)),"No")</f>
        <v>No</v>
      </c>
      <c r="E1547">
        <v>10</v>
      </c>
      <c r="F1547" t="s">
        <v>43</v>
      </c>
      <c r="G1547">
        <v>232</v>
      </c>
      <c r="H1547" t="s">
        <v>100</v>
      </c>
      <c r="I1547" t="s">
        <v>15</v>
      </c>
      <c r="J1547" t="s">
        <v>19</v>
      </c>
      <c r="K1547" t="s">
        <v>3</v>
      </c>
      <c r="L1547" s="36">
        <f ca="1">IF(C1547&lt;&gt;"Yes",0,IF(A1547=2025,N('2025'!D232),IF(A1547=2026,N('2026'!D232),IF(A1547=2027,N('2027'!D232),IF(A1547=2028,N('2028'!D232),IF(A1547=2029,N('2029'!D232),IF(A1547=2030,N('2030'!D232),IF(A1547=2031,N('2031'!D232),IF(A1547=2032,N('2032'!D232),IF(A1547=2033,N('2033'!D232),IF(A1547=2034,N('2034'!D232),IFERROR(N(INDIRECT("'"&amp;A1547&amp;"'!D"&amp;G1547)),0))))))))))))</f>
        <v>0</v>
      </c>
      <c r="M1547" s="36">
        <f>IFERROR(IF(NOT(ISBLANK(KPI_TARGETS!$M$11)),KPI_TARGETS!$M$11,IF(NOT(ISBLANK(KPI_TARGETS!$F$11)),KPI_TARGETS!$F$11,"")),"")</f>
        <v>0</v>
      </c>
      <c r="N1547" s="36" t="str">
        <f>IFERROR(KPI_TARGETS!$E$11,"Higher is better")</f>
        <v>Lower is better</v>
      </c>
      <c r="O1547" s="37">
        <f t="shared" ca="1" si="144"/>
        <v>1</v>
      </c>
      <c r="P1547" t="str">
        <f t="shared" ca="1" si="145"/>
        <v>Green</v>
      </c>
      <c r="Q1547" s="36">
        <f t="shared" ca="1" si="146"/>
        <v>0</v>
      </c>
      <c r="R1547" s="36" t="str">
        <f>""</f>
        <v/>
      </c>
      <c r="S1547" s="36" t="str">
        <f>""</f>
        <v/>
      </c>
      <c r="T1547" s="36" t="str">
        <f>""</f>
        <v/>
      </c>
      <c r="U1547" s="36" t="str">
        <f>""</f>
        <v/>
      </c>
      <c r="V1547" s="36" t="str">
        <f>""</f>
        <v/>
      </c>
      <c r="W1547" s="36">
        <f t="shared" si="147"/>
        <v>1</v>
      </c>
      <c r="X1547" t="str">
        <f t="shared" si="148"/>
        <v>Inactive</v>
      </c>
      <c r="Y1547" t="str">
        <f>IF(MAIN!$H$3="Selected Year",IF(A1547=MAIN!$B$3,"Yes","No"),IF(MAIN!$H$3="Included Years",IF(D1547="Yes","Yes","No"),IF(C1547="Yes","Yes","No")))</f>
        <v>No</v>
      </c>
      <c r="Z1547" t="str">
        <f>IF(MAIN!$F$3="Project to Date",IF(AND(A1547&gt;=SETTINGS!$B$4,A1547&lt;MAIN!$B$3),"Yes",IF(AND(A1547=MAIN!$B$3,E1547&lt;=MAIN!$L$3),"Yes","No")),IF(OR(MAIN!$F$3="Full Year",MAIN!$D$3="All"),"Yes",IF(MAIN!$F$3="Monthly",IF(E1547=MAIN!$L$3,"Yes","No"),IF(E1547&lt;=MAIN!$L$3,"Yes","No"))))</f>
        <v>Yes</v>
      </c>
      <c r="AA1547" t="str">
        <f t="shared" si="149"/>
        <v>No</v>
      </c>
    </row>
    <row r="1548" spans="1:27" x14ac:dyDescent="0.3">
      <c r="A1548">
        <f>INDEX(SETTINGS!$A$15:$A$24,$B1548)</f>
        <v>2031</v>
      </c>
      <c r="B1548">
        <v>7</v>
      </c>
      <c r="C1548" t="str">
        <f>IF(AND(A1548&gt;=SETTINGS!$B$4,A1548&lt;=SETTINGS!$B$5),"Yes","No")</f>
        <v>No</v>
      </c>
      <c r="D1548" t="str">
        <f>IFERROR(INDEX(SETTINGS!$C$15:$C$24,MATCH(A1548,SETTINGS!$A$15:$A$24,0)),"No")</f>
        <v>No</v>
      </c>
      <c r="E1548">
        <v>10</v>
      </c>
      <c r="F1548" t="s">
        <v>43</v>
      </c>
      <c r="G1548">
        <v>233</v>
      </c>
      <c r="H1548" t="s">
        <v>101</v>
      </c>
      <c r="I1548" t="s">
        <v>15</v>
      </c>
      <c r="J1548" t="s">
        <v>20</v>
      </c>
      <c r="K1548" t="s">
        <v>3</v>
      </c>
      <c r="L1548" s="36">
        <f ca="1">IF(C1548&lt;&gt;"Yes",0,IF(A1548=2025,N('2025'!D233),IF(A1548=2026,N('2026'!D233),IF(A1548=2027,N('2027'!D233),IF(A1548=2028,N('2028'!D233),IF(A1548=2029,N('2029'!D233),IF(A1548=2030,N('2030'!D233),IF(A1548=2031,N('2031'!D233),IF(A1548=2032,N('2032'!D233),IF(A1548=2033,N('2033'!D233),IF(A1548=2034,N('2034'!D233),IFERROR(N(INDIRECT("'"&amp;A1548&amp;"'!D"&amp;G1548)),0))))))))))))</f>
        <v>0</v>
      </c>
      <c r="M1548" s="36">
        <f>IFERROR(IF(NOT(ISBLANK(KPI_TARGETS!$M$12)),KPI_TARGETS!$M$12,IF(NOT(ISBLANK(KPI_TARGETS!$F$12)),KPI_TARGETS!$F$12,"")),"")</f>
        <v>0</v>
      </c>
      <c r="N1548" s="36" t="str">
        <f>IFERROR(KPI_TARGETS!$E$12,"Higher is better")</f>
        <v>Lower is better</v>
      </c>
      <c r="O1548" s="37">
        <f t="shared" ca="1" si="144"/>
        <v>1</v>
      </c>
      <c r="P1548" t="str">
        <f t="shared" ca="1" si="145"/>
        <v>Green</v>
      </c>
      <c r="Q1548" s="36">
        <f t="shared" ca="1" si="146"/>
        <v>0</v>
      </c>
      <c r="R1548" s="36" t="str">
        <f>""</f>
        <v/>
      </c>
      <c r="S1548" s="36" t="str">
        <f>""</f>
        <v/>
      </c>
      <c r="T1548" s="36" t="str">
        <f>""</f>
        <v/>
      </c>
      <c r="U1548" s="36" t="str">
        <f>""</f>
        <v/>
      </c>
      <c r="V1548" s="36" t="str">
        <f>""</f>
        <v/>
      </c>
      <c r="W1548" s="36">
        <f t="shared" si="147"/>
        <v>1</v>
      </c>
      <c r="X1548" t="str">
        <f t="shared" si="148"/>
        <v>Inactive</v>
      </c>
      <c r="Y1548" t="str">
        <f>IF(MAIN!$H$3="Selected Year",IF(A1548=MAIN!$B$3,"Yes","No"),IF(MAIN!$H$3="Included Years",IF(D1548="Yes","Yes","No"),IF(C1548="Yes","Yes","No")))</f>
        <v>No</v>
      </c>
      <c r="Z1548" t="str">
        <f>IF(MAIN!$F$3="Project to Date",IF(AND(A1548&gt;=SETTINGS!$B$4,A1548&lt;MAIN!$B$3),"Yes",IF(AND(A1548=MAIN!$B$3,E1548&lt;=MAIN!$L$3),"Yes","No")),IF(OR(MAIN!$F$3="Full Year",MAIN!$D$3="All"),"Yes",IF(MAIN!$F$3="Monthly",IF(E1548=MAIN!$L$3,"Yes","No"),IF(E1548&lt;=MAIN!$L$3,"Yes","No"))))</f>
        <v>Yes</v>
      </c>
      <c r="AA1548" t="str">
        <f t="shared" si="149"/>
        <v>No</v>
      </c>
    </row>
    <row r="1549" spans="1:27" x14ac:dyDescent="0.3">
      <c r="A1549">
        <f>INDEX(SETTINGS!$A$15:$A$24,$B1549)</f>
        <v>2031</v>
      </c>
      <c r="B1549">
        <v>7</v>
      </c>
      <c r="C1549" t="str">
        <f>IF(AND(A1549&gt;=SETTINGS!$B$4,A1549&lt;=SETTINGS!$B$5),"Yes","No")</f>
        <v>No</v>
      </c>
      <c r="D1549" t="str">
        <f>IFERROR(INDEX(SETTINGS!$C$15:$C$24,MATCH(A1549,SETTINGS!$A$15:$A$24,0)),"No")</f>
        <v>No</v>
      </c>
      <c r="E1549">
        <v>10</v>
      </c>
      <c r="F1549" t="s">
        <v>43</v>
      </c>
      <c r="G1549">
        <v>234</v>
      </c>
      <c r="H1549" t="s">
        <v>102</v>
      </c>
      <c r="I1549" t="s">
        <v>15</v>
      </c>
      <c r="J1549" t="s">
        <v>21</v>
      </c>
      <c r="K1549" t="s">
        <v>3</v>
      </c>
      <c r="L1549" s="36">
        <f ca="1">IF(C1549&lt;&gt;"Yes",0,IF(A1549=2025,N('2025'!D234),IF(A1549=2026,N('2026'!D234),IF(A1549=2027,N('2027'!D234),IF(A1549=2028,N('2028'!D234),IF(A1549=2029,N('2029'!D234),IF(A1549=2030,N('2030'!D234),IF(A1549=2031,N('2031'!D234),IF(A1549=2032,N('2032'!D234),IF(A1549=2033,N('2033'!D234),IF(A1549=2034,N('2034'!D234),IFERROR(N(INDIRECT("'"&amp;A1549&amp;"'!D"&amp;G1549)),0))))))))))))</f>
        <v>0</v>
      </c>
      <c r="M1549" s="36">
        <f>IFERROR(IF(NOT(ISBLANK(KPI_TARGETS!$M$13)),KPI_TARGETS!$M$13,IF(NOT(ISBLANK(KPI_TARGETS!$F$13)),KPI_TARGETS!$F$13,"")),"")</f>
        <v>0</v>
      </c>
      <c r="N1549" s="36" t="str">
        <f>IFERROR(KPI_TARGETS!$E$13,"Higher is better")</f>
        <v>Lower is better</v>
      </c>
      <c r="O1549" s="37">
        <f t="shared" ca="1" si="144"/>
        <v>1</v>
      </c>
      <c r="P1549" t="str">
        <f t="shared" ca="1" si="145"/>
        <v>Green</v>
      </c>
      <c r="Q1549" s="36">
        <f t="shared" ca="1" si="146"/>
        <v>0</v>
      </c>
      <c r="R1549" s="36" t="str">
        <f>""</f>
        <v/>
      </c>
      <c r="S1549" s="36" t="str">
        <f>""</f>
        <v/>
      </c>
      <c r="T1549" s="36" t="str">
        <f>""</f>
        <v/>
      </c>
      <c r="U1549" s="36" t="str">
        <f>""</f>
        <v/>
      </c>
      <c r="V1549" s="36" t="str">
        <f>""</f>
        <v/>
      </c>
      <c r="W1549" s="36">
        <f t="shared" si="147"/>
        <v>1</v>
      </c>
      <c r="X1549" t="str">
        <f t="shared" si="148"/>
        <v>Inactive</v>
      </c>
      <c r="Y1549" t="str">
        <f>IF(MAIN!$H$3="Selected Year",IF(A1549=MAIN!$B$3,"Yes","No"),IF(MAIN!$H$3="Included Years",IF(D1549="Yes","Yes","No"),IF(C1549="Yes","Yes","No")))</f>
        <v>No</v>
      </c>
      <c r="Z1549" t="str">
        <f>IF(MAIN!$F$3="Project to Date",IF(AND(A1549&gt;=SETTINGS!$B$4,A1549&lt;MAIN!$B$3),"Yes",IF(AND(A1549=MAIN!$B$3,E1549&lt;=MAIN!$L$3),"Yes","No")),IF(OR(MAIN!$F$3="Full Year",MAIN!$D$3="All"),"Yes",IF(MAIN!$F$3="Monthly",IF(E1549=MAIN!$L$3,"Yes","No"),IF(E1549&lt;=MAIN!$L$3,"Yes","No"))))</f>
        <v>Yes</v>
      </c>
      <c r="AA1549" t="str">
        <f t="shared" si="149"/>
        <v>No</v>
      </c>
    </row>
    <row r="1550" spans="1:27" x14ac:dyDescent="0.3">
      <c r="A1550">
        <f>INDEX(SETTINGS!$A$15:$A$24,$B1550)</f>
        <v>2031</v>
      </c>
      <c r="B1550">
        <v>7</v>
      </c>
      <c r="C1550" t="str">
        <f>IF(AND(A1550&gt;=SETTINGS!$B$4,A1550&lt;=SETTINGS!$B$5),"Yes","No")</f>
        <v>No</v>
      </c>
      <c r="D1550" t="str">
        <f>IFERROR(INDEX(SETTINGS!$C$15:$C$24,MATCH(A1550,SETTINGS!$A$15:$A$24,0)),"No")</f>
        <v>No</v>
      </c>
      <c r="E1550">
        <v>10</v>
      </c>
      <c r="F1550" t="s">
        <v>43</v>
      </c>
      <c r="G1550">
        <v>236</v>
      </c>
      <c r="H1550" t="s">
        <v>103</v>
      </c>
      <c r="I1550" t="s">
        <v>22</v>
      </c>
      <c r="J1550" t="s">
        <v>23</v>
      </c>
      <c r="K1550" t="s">
        <v>3</v>
      </c>
      <c r="L1550" s="36">
        <f ca="1">IF(C1550&lt;&gt;"Yes",0,IF(A1550=2025,N('2025'!D236),IF(A1550=2026,N('2026'!D236),IF(A1550=2027,N('2027'!D236),IF(A1550=2028,N('2028'!D236),IF(A1550=2029,N('2029'!D236),IF(A1550=2030,N('2030'!D236),IF(A1550=2031,N('2031'!D236),IF(A1550=2032,N('2032'!D236),IF(A1550=2033,N('2033'!D236),IF(A1550=2034,N('2034'!D236),IFERROR(N(INDIRECT("'"&amp;A1550&amp;"'!D"&amp;G1550)),0))))))))))))</f>
        <v>0</v>
      </c>
      <c r="M1550" s="36">
        <f>IFERROR(IF(NOT(ISBLANK(KPI_TARGETS!$M$14)),KPI_TARGETS!$M$14,IF(NOT(ISBLANK(KPI_TARGETS!$F$14)),KPI_TARGETS!$F$14,"")),"")</f>
        <v>35</v>
      </c>
      <c r="N1550" s="36" t="str">
        <f>IFERROR(KPI_TARGETS!$E$14,"Higher is better")</f>
        <v>Higher is better</v>
      </c>
      <c r="O1550" s="37">
        <f t="shared" ca="1" si="144"/>
        <v>0</v>
      </c>
      <c r="P1550" t="str">
        <f t="shared" ca="1" si="145"/>
        <v>Red</v>
      </c>
      <c r="Q1550" s="36">
        <f t="shared" ca="1" si="146"/>
        <v>-35</v>
      </c>
      <c r="R1550" s="36" t="str">
        <f>""</f>
        <v/>
      </c>
      <c r="S1550" s="36" t="str">
        <f>""</f>
        <v/>
      </c>
      <c r="T1550" s="36" t="str">
        <f>""</f>
        <v/>
      </c>
      <c r="U1550" s="36" t="str">
        <f>""</f>
        <v/>
      </c>
      <c r="V1550" s="36" t="str">
        <f>""</f>
        <v/>
      </c>
      <c r="W1550" s="36">
        <f t="shared" si="147"/>
        <v>1</v>
      </c>
      <c r="X1550" t="str">
        <f t="shared" si="148"/>
        <v>Inactive</v>
      </c>
      <c r="Y1550" t="str">
        <f>IF(MAIN!$H$3="Selected Year",IF(A1550=MAIN!$B$3,"Yes","No"),IF(MAIN!$H$3="Included Years",IF(D1550="Yes","Yes","No"),IF(C1550="Yes","Yes","No")))</f>
        <v>No</v>
      </c>
      <c r="Z1550" t="str">
        <f>IF(MAIN!$F$3="Project to Date",IF(AND(A1550&gt;=SETTINGS!$B$4,A1550&lt;MAIN!$B$3),"Yes",IF(AND(A1550=MAIN!$B$3,E1550&lt;=MAIN!$L$3),"Yes","No")),IF(OR(MAIN!$F$3="Full Year",MAIN!$D$3="All"),"Yes",IF(MAIN!$F$3="Monthly",IF(E1550=MAIN!$L$3,"Yes","No"),IF(E1550&lt;=MAIN!$L$3,"Yes","No"))))</f>
        <v>Yes</v>
      </c>
      <c r="AA1550" t="str">
        <f t="shared" si="149"/>
        <v>No</v>
      </c>
    </row>
    <row r="1551" spans="1:27" x14ac:dyDescent="0.3">
      <c r="A1551">
        <f>INDEX(SETTINGS!$A$15:$A$24,$B1551)</f>
        <v>2031</v>
      </c>
      <c r="B1551">
        <v>7</v>
      </c>
      <c r="C1551" t="str">
        <f>IF(AND(A1551&gt;=SETTINGS!$B$4,A1551&lt;=SETTINGS!$B$5),"Yes","No")</f>
        <v>No</v>
      </c>
      <c r="D1551" t="str">
        <f>IFERROR(INDEX(SETTINGS!$C$15:$C$24,MATCH(A1551,SETTINGS!$A$15:$A$24,0)),"No")</f>
        <v>No</v>
      </c>
      <c r="E1551">
        <v>10</v>
      </c>
      <c r="F1551" t="s">
        <v>43</v>
      </c>
      <c r="G1551">
        <v>237</v>
      </c>
      <c r="H1551" t="s">
        <v>104</v>
      </c>
      <c r="I1551" t="s">
        <v>22</v>
      </c>
      <c r="J1551" t="s">
        <v>24</v>
      </c>
      <c r="K1551" t="s">
        <v>3</v>
      </c>
      <c r="L1551" s="36">
        <f ca="1">IF(C1551&lt;&gt;"Yes",0,IF(A1551=2025,N('2025'!D237),IF(A1551=2026,N('2026'!D237),IF(A1551=2027,N('2027'!D237),IF(A1551=2028,N('2028'!D237),IF(A1551=2029,N('2029'!D237),IF(A1551=2030,N('2030'!D237),IF(A1551=2031,N('2031'!D237),IF(A1551=2032,N('2032'!D237),IF(A1551=2033,N('2033'!D237),IF(A1551=2034,N('2034'!D237),IFERROR(N(INDIRECT("'"&amp;A1551&amp;"'!D"&amp;G1551)),0))))))))))))</f>
        <v>0</v>
      </c>
      <c r="M1551" s="36">
        <f>IFERROR(IF(NOT(ISBLANK(KPI_TARGETS!$M$15)),KPI_TARGETS!$M$15,IF(NOT(ISBLANK(KPI_TARGETS!$F$15)),KPI_TARGETS!$F$15,"")),"")</f>
        <v>5</v>
      </c>
      <c r="N1551" s="36" t="str">
        <f>IFERROR(KPI_TARGETS!$E$15,"Higher is better")</f>
        <v>Higher is better</v>
      </c>
      <c r="O1551" s="37">
        <f t="shared" ca="1" si="144"/>
        <v>0</v>
      </c>
      <c r="P1551" t="str">
        <f t="shared" ca="1" si="145"/>
        <v>Red</v>
      </c>
      <c r="Q1551" s="36">
        <f t="shared" ca="1" si="146"/>
        <v>-5</v>
      </c>
      <c r="R1551" s="36" t="str">
        <f>""</f>
        <v/>
      </c>
      <c r="S1551" s="36" t="str">
        <f>""</f>
        <v/>
      </c>
      <c r="T1551" s="36" t="str">
        <f>""</f>
        <v/>
      </c>
      <c r="U1551" s="36" t="str">
        <f>""</f>
        <v/>
      </c>
      <c r="V1551" s="36" t="str">
        <f>""</f>
        <v/>
      </c>
      <c r="W1551" s="36">
        <f t="shared" si="147"/>
        <v>1</v>
      </c>
      <c r="X1551" t="str">
        <f t="shared" si="148"/>
        <v>Inactive</v>
      </c>
      <c r="Y1551" t="str">
        <f>IF(MAIN!$H$3="Selected Year",IF(A1551=MAIN!$B$3,"Yes","No"),IF(MAIN!$H$3="Included Years",IF(D1551="Yes","Yes","No"),IF(C1551="Yes","Yes","No")))</f>
        <v>No</v>
      </c>
      <c r="Z1551" t="str">
        <f>IF(MAIN!$F$3="Project to Date",IF(AND(A1551&gt;=SETTINGS!$B$4,A1551&lt;MAIN!$B$3),"Yes",IF(AND(A1551=MAIN!$B$3,E1551&lt;=MAIN!$L$3),"Yes","No")),IF(OR(MAIN!$F$3="Full Year",MAIN!$D$3="All"),"Yes",IF(MAIN!$F$3="Monthly",IF(E1551=MAIN!$L$3,"Yes","No"),IF(E1551&lt;=MAIN!$L$3,"Yes","No"))))</f>
        <v>Yes</v>
      </c>
      <c r="AA1551" t="str">
        <f t="shared" si="149"/>
        <v>No</v>
      </c>
    </row>
    <row r="1552" spans="1:27" x14ac:dyDescent="0.3">
      <c r="A1552">
        <f>INDEX(SETTINGS!$A$15:$A$24,$B1552)</f>
        <v>2031</v>
      </c>
      <c r="B1552">
        <v>7</v>
      </c>
      <c r="C1552" t="str">
        <f>IF(AND(A1552&gt;=SETTINGS!$B$4,A1552&lt;=SETTINGS!$B$5),"Yes","No")</f>
        <v>No</v>
      </c>
      <c r="D1552" t="str">
        <f>IFERROR(INDEX(SETTINGS!$C$15:$C$24,MATCH(A1552,SETTINGS!$A$15:$A$24,0)),"No")</f>
        <v>No</v>
      </c>
      <c r="E1552">
        <v>10</v>
      </c>
      <c r="F1552" t="s">
        <v>43</v>
      </c>
      <c r="G1552">
        <v>238</v>
      </c>
      <c r="H1552" t="s">
        <v>105</v>
      </c>
      <c r="I1552" t="s">
        <v>22</v>
      </c>
      <c r="J1552" t="s">
        <v>25</v>
      </c>
      <c r="K1552" t="s">
        <v>3</v>
      </c>
      <c r="L1552" s="36">
        <f ca="1">IF(C1552&lt;&gt;"Yes",0,IF(A1552=2025,N('2025'!D238),IF(A1552=2026,N('2026'!D238),IF(A1552=2027,N('2027'!D238),IF(A1552=2028,N('2028'!D238),IF(A1552=2029,N('2029'!D238),IF(A1552=2030,N('2030'!D238),IF(A1552=2031,N('2031'!D238),IF(A1552=2032,N('2032'!D238),IF(A1552=2033,N('2033'!D238),IF(A1552=2034,N('2034'!D238),IFERROR(N(INDIRECT("'"&amp;A1552&amp;"'!D"&amp;G1552)),0))))))))))))</f>
        <v>0</v>
      </c>
      <c r="M1552" s="36">
        <f>IFERROR(IF(NOT(ISBLANK(KPI_TARGETS!$M$16)),KPI_TARGETS!$M$16,IF(NOT(ISBLANK(KPI_TARGETS!$F$16)),KPI_TARGETS!$F$16,"")),"")</f>
        <v>4</v>
      </c>
      <c r="N1552" s="36" t="str">
        <f>IFERROR(KPI_TARGETS!$E$16,"Higher is better")</f>
        <v>Higher is better</v>
      </c>
      <c r="O1552" s="37">
        <f t="shared" ca="1" si="144"/>
        <v>0</v>
      </c>
      <c r="P1552" t="str">
        <f t="shared" ca="1" si="145"/>
        <v>Red</v>
      </c>
      <c r="Q1552" s="36">
        <f t="shared" ca="1" si="146"/>
        <v>-4</v>
      </c>
      <c r="R1552" s="36" t="str">
        <f>""</f>
        <v/>
      </c>
      <c r="S1552" s="36" t="str">
        <f>""</f>
        <v/>
      </c>
      <c r="T1552" s="36" t="str">
        <f>""</f>
        <v/>
      </c>
      <c r="U1552" s="36" t="str">
        <f>""</f>
        <v/>
      </c>
      <c r="V1552" s="36" t="str">
        <f>""</f>
        <v/>
      </c>
      <c r="W1552" s="36">
        <f t="shared" si="147"/>
        <v>1</v>
      </c>
      <c r="X1552" t="str">
        <f t="shared" si="148"/>
        <v>Inactive</v>
      </c>
      <c r="Y1552" t="str">
        <f>IF(MAIN!$H$3="Selected Year",IF(A1552=MAIN!$B$3,"Yes","No"),IF(MAIN!$H$3="Included Years",IF(D1552="Yes","Yes","No"),IF(C1552="Yes","Yes","No")))</f>
        <v>No</v>
      </c>
      <c r="Z1552" t="str">
        <f>IF(MAIN!$F$3="Project to Date",IF(AND(A1552&gt;=SETTINGS!$B$4,A1552&lt;MAIN!$B$3),"Yes",IF(AND(A1552=MAIN!$B$3,E1552&lt;=MAIN!$L$3),"Yes","No")),IF(OR(MAIN!$F$3="Full Year",MAIN!$D$3="All"),"Yes",IF(MAIN!$F$3="Monthly",IF(E1552=MAIN!$L$3,"Yes","No"),IF(E1552&lt;=MAIN!$L$3,"Yes","No"))))</f>
        <v>Yes</v>
      </c>
      <c r="AA1552" t="str">
        <f t="shared" si="149"/>
        <v>No</v>
      </c>
    </row>
    <row r="1553" spans="1:27" x14ac:dyDescent="0.3">
      <c r="A1553">
        <f>INDEX(SETTINGS!$A$15:$A$24,$B1553)</f>
        <v>2031</v>
      </c>
      <c r="B1553">
        <v>7</v>
      </c>
      <c r="C1553" t="str">
        <f>IF(AND(A1553&gt;=SETTINGS!$B$4,A1553&lt;=SETTINGS!$B$5),"Yes","No")</f>
        <v>No</v>
      </c>
      <c r="D1553" t="str">
        <f>IFERROR(INDEX(SETTINGS!$C$15:$C$24,MATCH(A1553,SETTINGS!$A$15:$A$24,0)),"No")</f>
        <v>No</v>
      </c>
      <c r="E1553">
        <v>10</v>
      </c>
      <c r="F1553" t="s">
        <v>43</v>
      </c>
      <c r="G1553">
        <v>239</v>
      </c>
      <c r="H1553" t="s">
        <v>106</v>
      </c>
      <c r="I1553" t="s">
        <v>22</v>
      </c>
      <c r="J1553" t="s">
        <v>26</v>
      </c>
      <c r="K1553" t="s">
        <v>3</v>
      </c>
      <c r="L1553" s="36">
        <f ca="1">IF(C1553&lt;&gt;"Yes",0,IF(A1553=2025,N('2025'!D239),IF(A1553=2026,N('2026'!D239),IF(A1553=2027,N('2027'!D239),IF(A1553=2028,N('2028'!D239),IF(A1553=2029,N('2029'!D239),IF(A1553=2030,N('2030'!D239),IF(A1553=2031,N('2031'!D239),IF(A1553=2032,N('2032'!D239),IF(A1553=2033,N('2033'!D239),IF(A1553=2034,N('2034'!D239),IFERROR(N(INDIRECT("'"&amp;A1553&amp;"'!D"&amp;G1553)),0))))))))))))</f>
        <v>0</v>
      </c>
      <c r="M1553" s="36">
        <f>IFERROR(IF(NOT(ISBLANK(KPI_TARGETS!$M$17)),KPI_TARGETS!$M$17,IF(NOT(ISBLANK(KPI_TARGETS!$F$17)),KPI_TARGETS!$F$17,"")),"")</f>
        <v>12</v>
      </c>
      <c r="N1553" s="36" t="str">
        <f>IFERROR(KPI_TARGETS!$E$17,"Higher is better")</f>
        <v>Higher is better</v>
      </c>
      <c r="O1553" s="37">
        <f t="shared" ca="1" si="144"/>
        <v>0</v>
      </c>
      <c r="P1553" t="str">
        <f t="shared" ca="1" si="145"/>
        <v>Red</v>
      </c>
      <c r="Q1553" s="36">
        <f t="shared" ca="1" si="146"/>
        <v>-12</v>
      </c>
      <c r="R1553" s="36" t="str">
        <f>""</f>
        <v/>
      </c>
      <c r="S1553" s="36" t="str">
        <f>""</f>
        <v/>
      </c>
      <c r="T1553" s="36" t="str">
        <f>""</f>
        <v/>
      </c>
      <c r="U1553" s="36" t="str">
        <f>""</f>
        <v/>
      </c>
      <c r="V1553" s="36" t="str">
        <f>""</f>
        <v/>
      </c>
      <c r="W1553" s="36">
        <f t="shared" si="147"/>
        <v>1</v>
      </c>
      <c r="X1553" t="str">
        <f t="shared" si="148"/>
        <v>Inactive</v>
      </c>
      <c r="Y1553" t="str">
        <f>IF(MAIN!$H$3="Selected Year",IF(A1553=MAIN!$B$3,"Yes","No"),IF(MAIN!$H$3="Included Years",IF(D1553="Yes","Yes","No"),IF(C1553="Yes","Yes","No")))</f>
        <v>No</v>
      </c>
      <c r="Z1553" t="str">
        <f>IF(MAIN!$F$3="Project to Date",IF(AND(A1553&gt;=SETTINGS!$B$4,A1553&lt;MAIN!$B$3),"Yes",IF(AND(A1553=MAIN!$B$3,E1553&lt;=MAIN!$L$3),"Yes","No")),IF(OR(MAIN!$F$3="Full Year",MAIN!$D$3="All"),"Yes",IF(MAIN!$F$3="Monthly",IF(E1553=MAIN!$L$3,"Yes","No"),IF(E1553&lt;=MAIN!$L$3,"Yes","No"))))</f>
        <v>Yes</v>
      </c>
      <c r="AA1553" t="str">
        <f t="shared" si="149"/>
        <v>No</v>
      </c>
    </row>
    <row r="1554" spans="1:27" x14ac:dyDescent="0.3">
      <c r="A1554">
        <f>INDEX(SETTINGS!$A$15:$A$24,$B1554)</f>
        <v>2031</v>
      </c>
      <c r="B1554">
        <v>7</v>
      </c>
      <c r="C1554" t="str">
        <f>IF(AND(A1554&gt;=SETTINGS!$B$4,A1554&lt;=SETTINGS!$B$5),"Yes","No")</f>
        <v>No</v>
      </c>
      <c r="D1554" t="str">
        <f>IFERROR(INDEX(SETTINGS!$C$15:$C$24,MATCH(A1554,SETTINGS!$A$15:$A$24,0)),"No")</f>
        <v>No</v>
      </c>
      <c r="E1554">
        <v>10</v>
      </c>
      <c r="F1554" t="s">
        <v>43</v>
      </c>
      <c r="G1554">
        <v>240</v>
      </c>
      <c r="H1554" t="s">
        <v>107</v>
      </c>
      <c r="I1554" t="s">
        <v>22</v>
      </c>
      <c r="J1554" t="s">
        <v>27</v>
      </c>
      <c r="K1554" t="s">
        <v>3</v>
      </c>
      <c r="L1554" s="36">
        <f ca="1">IF(C1554&lt;&gt;"Yes",0,IF(A1554=2025,N('2025'!D240),IF(A1554=2026,N('2026'!D240),IF(A1554=2027,N('2027'!D240),IF(A1554=2028,N('2028'!D240),IF(A1554=2029,N('2029'!D240),IF(A1554=2030,N('2030'!D240),IF(A1554=2031,N('2031'!D240),IF(A1554=2032,N('2032'!D240),IF(A1554=2033,N('2033'!D240),IF(A1554=2034,N('2034'!D240),IFERROR(N(INDIRECT("'"&amp;A1554&amp;"'!D"&amp;G1554)),0))))))))))))</f>
        <v>0</v>
      </c>
      <c r="M1554" s="36">
        <f>IFERROR(IF(NOT(ISBLANK(KPI_TARGETS!$M$18)),KPI_TARGETS!$M$18,IF(NOT(ISBLANK(KPI_TARGETS!$F$18)),KPI_TARGETS!$F$18,"")),"")</f>
        <v>4</v>
      </c>
      <c r="N1554" s="36" t="str">
        <f>IFERROR(KPI_TARGETS!$E$18,"Higher is better")</f>
        <v>Higher is better</v>
      </c>
      <c r="O1554" s="37">
        <f t="shared" ca="1" si="144"/>
        <v>0</v>
      </c>
      <c r="P1554" t="str">
        <f t="shared" ca="1" si="145"/>
        <v>Red</v>
      </c>
      <c r="Q1554" s="36">
        <f t="shared" ca="1" si="146"/>
        <v>-4</v>
      </c>
      <c r="R1554" s="36" t="str">
        <f>""</f>
        <v/>
      </c>
      <c r="S1554" s="36" t="str">
        <f>""</f>
        <v/>
      </c>
      <c r="T1554" s="36" t="str">
        <f>""</f>
        <v/>
      </c>
      <c r="U1554" s="36" t="str">
        <f>""</f>
        <v/>
      </c>
      <c r="V1554" s="36" t="str">
        <f>""</f>
        <v/>
      </c>
      <c r="W1554" s="36">
        <f t="shared" si="147"/>
        <v>1</v>
      </c>
      <c r="X1554" t="str">
        <f t="shared" si="148"/>
        <v>Inactive</v>
      </c>
      <c r="Y1554" t="str">
        <f>IF(MAIN!$H$3="Selected Year",IF(A1554=MAIN!$B$3,"Yes","No"),IF(MAIN!$H$3="Included Years",IF(D1554="Yes","Yes","No"),IF(C1554="Yes","Yes","No")))</f>
        <v>No</v>
      </c>
      <c r="Z1554" t="str">
        <f>IF(MAIN!$F$3="Project to Date",IF(AND(A1554&gt;=SETTINGS!$B$4,A1554&lt;MAIN!$B$3),"Yes",IF(AND(A1554=MAIN!$B$3,E1554&lt;=MAIN!$L$3),"Yes","No")),IF(OR(MAIN!$F$3="Full Year",MAIN!$D$3="All"),"Yes",IF(MAIN!$F$3="Monthly",IF(E1554=MAIN!$L$3,"Yes","No"),IF(E1554&lt;=MAIN!$L$3,"Yes","No"))))</f>
        <v>Yes</v>
      </c>
      <c r="AA1554" t="str">
        <f t="shared" si="149"/>
        <v>No</v>
      </c>
    </row>
    <row r="1555" spans="1:27" x14ac:dyDescent="0.3">
      <c r="A1555">
        <f>INDEX(SETTINGS!$A$15:$A$24,$B1555)</f>
        <v>2031</v>
      </c>
      <c r="B1555">
        <v>7</v>
      </c>
      <c r="C1555" t="str">
        <f>IF(AND(A1555&gt;=SETTINGS!$B$4,A1555&lt;=SETTINGS!$B$5),"Yes","No")</f>
        <v>No</v>
      </c>
      <c r="D1555" t="str">
        <f>IFERROR(INDEX(SETTINGS!$C$15:$C$24,MATCH(A1555,SETTINGS!$A$15:$A$24,0)),"No")</f>
        <v>No</v>
      </c>
      <c r="E1555">
        <v>10</v>
      </c>
      <c r="F1555" t="s">
        <v>43</v>
      </c>
      <c r="G1555">
        <v>241</v>
      </c>
      <c r="H1555" t="s">
        <v>108</v>
      </c>
      <c r="I1555" t="s">
        <v>22</v>
      </c>
      <c r="J1555" t="s">
        <v>28</v>
      </c>
      <c r="K1555" t="s">
        <v>3</v>
      </c>
      <c r="L1555" s="36">
        <f ca="1">IF(C1555&lt;&gt;"Yes",0,IF(A1555=2025,N('2025'!D241),IF(A1555=2026,N('2026'!D241),IF(A1555=2027,N('2027'!D241),IF(A1555=2028,N('2028'!D241),IF(A1555=2029,N('2029'!D241),IF(A1555=2030,N('2030'!D241),IF(A1555=2031,N('2031'!D241),IF(A1555=2032,N('2032'!D241),IF(A1555=2033,N('2033'!D241),IF(A1555=2034,N('2034'!D241),IFERROR(N(INDIRECT("'"&amp;A1555&amp;"'!D"&amp;G1555)),0))))))))))))</f>
        <v>0</v>
      </c>
      <c r="M1555" s="36">
        <f>IFERROR(IF(NOT(ISBLANK(KPI_TARGETS!$M$19)),KPI_TARGETS!$M$19,IF(NOT(ISBLANK(KPI_TARGETS!$F$19)),KPI_TARGETS!$F$19,"")),"")</f>
        <v>16</v>
      </c>
      <c r="N1555" s="36" t="str">
        <f>IFERROR(KPI_TARGETS!$E$19,"Higher is better")</f>
        <v>Higher is better</v>
      </c>
      <c r="O1555" s="37">
        <f t="shared" ca="1" si="144"/>
        <v>0</v>
      </c>
      <c r="P1555" t="str">
        <f t="shared" ca="1" si="145"/>
        <v>Red</v>
      </c>
      <c r="Q1555" s="36">
        <f t="shared" ca="1" si="146"/>
        <v>-16</v>
      </c>
      <c r="R1555" s="36" t="str">
        <f>""</f>
        <v/>
      </c>
      <c r="S1555" s="36" t="str">
        <f>""</f>
        <v/>
      </c>
      <c r="T1555" s="36" t="str">
        <f>""</f>
        <v/>
      </c>
      <c r="U1555" s="36" t="str">
        <f>""</f>
        <v/>
      </c>
      <c r="V1555" s="36" t="str">
        <f>""</f>
        <v/>
      </c>
      <c r="W1555" s="36">
        <f t="shared" si="147"/>
        <v>1</v>
      </c>
      <c r="X1555" t="str">
        <f t="shared" si="148"/>
        <v>Inactive</v>
      </c>
      <c r="Y1555" t="str">
        <f>IF(MAIN!$H$3="Selected Year",IF(A1555=MAIN!$B$3,"Yes","No"),IF(MAIN!$H$3="Included Years",IF(D1555="Yes","Yes","No"),IF(C1555="Yes","Yes","No")))</f>
        <v>No</v>
      </c>
      <c r="Z1555" t="str">
        <f>IF(MAIN!$F$3="Project to Date",IF(AND(A1555&gt;=SETTINGS!$B$4,A1555&lt;MAIN!$B$3),"Yes",IF(AND(A1555=MAIN!$B$3,E1555&lt;=MAIN!$L$3),"Yes","No")),IF(OR(MAIN!$F$3="Full Year",MAIN!$D$3="All"),"Yes",IF(MAIN!$F$3="Monthly",IF(E1555=MAIN!$L$3,"Yes","No"),IF(E1555&lt;=MAIN!$L$3,"Yes","No"))))</f>
        <v>Yes</v>
      </c>
      <c r="AA1555" t="str">
        <f t="shared" si="149"/>
        <v>No</v>
      </c>
    </row>
    <row r="1556" spans="1:27" x14ac:dyDescent="0.3">
      <c r="A1556">
        <f>INDEX(SETTINGS!$A$15:$A$24,$B1556)</f>
        <v>2031</v>
      </c>
      <c r="B1556">
        <v>7</v>
      </c>
      <c r="C1556" t="str">
        <f>IF(AND(A1556&gt;=SETTINGS!$B$4,A1556&lt;=SETTINGS!$B$5),"Yes","No")</f>
        <v>No</v>
      </c>
      <c r="D1556" t="str">
        <f>IFERROR(INDEX(SETTINGS!$C$15:$C$24,MATCH(A1556,SETTINGS!$A$15:$A$24,0)),"No")</f>
        <v>No</v>
      </c>
      <c r="E1556">
        <v>10</v>
      </c>
      <c r="F1556" t="s">
        <v>43</v>
      </c>
      <c r="G1556">
        <v>242</v>
      </c>
      <c r="H1556" t="s">
        <v>109</v>
      </c>
      <c r="I1556" t="s">
        <v>22</v>
      </c>
      <c r="J1556" t="s">
        <v>29</v>
      </c>
      <c r="K1556" t="s">
        <v>3</v>
      </c>
      <c r="L1556" s="36">
        <f ca="1">IF(C1556&lt;&gt;"Yes",0,IF(A1556=2025,N('2025'!D242),IF(A1556=2026,N('2026'!D242),IF(A1556=2027,N('2027'!D242),IF(A1556=2028,N('2028'!D242),IF(A1556=2029,N('2029'!D242),IF(A1556=2030,N('2030'!D242),IF(A1556=2031,N('2031'!D242),IF(A1556=2032,N('2032'!D242),IF(A1556=2033,N('2033'!D242),IF(A1556=2034,N('2034'!D242),IFERROR(N(INDIRECT("'"&amp;A1556&amp;"'!D"&amp;G1556)),0))))))))))))</f>
        <v>0</v>
      </c>
      <c r="M1556" s="36">
        <f>IFERROR(IF(NOT(ISBLANK(KPI_TARGETS!$M$20)),KPI_TARGETS!$M$20,IF(NOT(ISBLANK(KPI_TARGETS!$F$20)),KPI_TARGETS!$F$20,"")),"")</f>
        <v>1</v>
      </c>
      <c r="N1556" s="36" t="str">
        <f>IFERROR(KPI_TARGETS!$E$20,"Higher is better")</f>
        <v>Higher is better</v>
      </c>
      <c r="O1556" s="37">
        <f t="shared" ca="1" si="144"/>
        <v>0</v>
      </c>
      <c r="P1556" t="str">
        <f t="shared" ca="1" si="145"/>
        <v>Red</v>
      </c>
      <c r="Q1556" s="36">
        <f t="shared" ca="1" si="146"/>
        <v>-1</v>
      </c>
      <c r="R1556" s="36" t="str">
        <f>""</f>
        <v/>
      </c>
      <c r="S1556" s="36" t="str">
        <f>""</f>
        <v/>
      </c>
      <c r="T1556" s="36" t="str">
        <f>""</f>
        <v/>
      </c>
      <c r="U1556" s="36" t="str">
        <f>""</f>
        <v/>
      </c>
      <c r="V1556" s="36" t="str">
        <f>""</f>
        <v/>
      </c>
      <c r="W1556" s="36">
        <f t="shared" si="147"/>
        <v>1</v>
      </c>
      <c r="X1556" t="str">
        <f t="shared" si="148"/>
        <v>Inactive</v>
      </c>
      <c r="Y1556" t="str">
        <f>IF(MAIN!$H$3="Selected Year",IF(A1556=MAIN!$B$3,"Yes","No"),IF(MAIN!$H$3="Included Years",IF(D1556="Yes","Yes","No"),IF(C1556="Yes","Yes","No")))</f>
        <v>No</v>
      </c>
      <c r="Z1556" t="str">
        <f>IF(MAIN!$F$3="Project to Date",IF(AND(A1556&gt;=SETTINGS!$B$4,A1556&lt;MAIN!$B$3),"Yes",IF(AND(A1556=MAIN!$B$3,E1556&lt;=MAIN!$L$3),"Yes","No")),IF(OR(MAIN!$F$3="Full Year",MAIN!$D$3="All"),"Yes",IF(MAIN!$F$3="Monthly",IF(E1556=MAIN!$L$3,"Yes","No"),IF(E1556&lt;=MAIN!$L$3,"Yes","No"))))</f>
        <v>Yes</v>
      </c>
      <c r="AA1556" t="str">
        <f t="shared" si="149"/>
        <v>No</v>
      </c>
    </row>
    <row r="1557" spans="1:27" x14ac:dyDescent="0.3">
      <c r="A1557">
        <f>INDEX(SETTINGS!$A$15:$A$24,$B1557)</f>
        <v>2031</v>
      </c>
      <c r="B1557">
        <v>7</v>
      </c>
      <c r="C1557" t="str">
        <f>IF(AND(A1557&gt;=SETTINGS!$B$4,A1557&lt;=SETTINGS!$B$5),"Yes","No")</f>
        <v>No</v>
      </c>
      <c r="D1557" t="str">
        <f>IFERROR(INDEX(SETTINGS!$C$15:$C$24,MATCH(A1557,SETTINGS!$A$15:$A$24,0)),"No")</f>
        <v>No</v>
      </c>
      <c r="E1557">
        <v>10</v>
      </c>
      <c r="F1557" t="s">
        <v>43</v>
      </c>
      <c r="G1557">
        <v>244</v>
      </c>
      <c r="H1557" t="s">
        <v>110</v>
      </c>
      <c r="I1557" t="s">
        <v>30</v>
      </c>
      <c r="J1557" t="s">
        <v>31</v>
      </c>
      <c r="K1557" t="s">
        <v>3</v>
      </c>
      <c r="L1557" s="36">
        <f ca="1">IF(C1557&lt;&gt;"Yes",0,IF(A1557=2025,N('2025'!D244),IF(A1557=2026,N('2026'!D244),IF(A1557=2027,N('2027'!D244),IF(A1557=2028,N('2028'!D244),IF(A1557=2029,N('2029'!D244),IF(A1557=2030,N('2030'!D244),IF(A1557=2031,N('2031'!D244),IF(A1557=2032,N('2032'!D244),IF(A1557=2033,N('2033'!D244),IF(A1557=2034,N('2034'!D244),IFERROR(N(INDIRECT("'"&amp;A1557&amp;"'!D"&amp;G1557)),0))))))))))))</f>
        <v>0</v>
      </c>
      <c r="M1557" s="36">
        <f>IFERROR(IF(NOT(ISBLANK(KPI_TARGETS!$M$21)),KPI_TARGETS!$M$21,IF(NOT(ISBLANK(KPI_TARGETS!$F$21)),KPI_TARGETS!$F$21,"")),"")</f>
        <v>0</v>
      </c>
      <c r="N1557" s="36" t="str">
        <f>IFERROR(KPI_TARGETS!$E$21,"Higher is better")</f>
        <v>Lower is better</v>
      </c>
      <c r="O1557" s="37">
        <f t="shared" ca="1" si="144"/>
        <v>1</v>
      </c>
      <c r="P1557" t="str">
        <f t="shared" ca="1" si="145"/>
        <v>Green</v>
      </c>
      <c r="Q1557" s="36">
        <f t="shared" ca="1" si="146"/>
        <v>0</v>
      </c>
      <c r="R1557" s="36" t="str">
        <f>""</f>
        <v/>
      </c>
      <c r="S1557" s="36" t="str">
        <f>""</f>
        <v/>
      </c>
      <c r="T1557" s="36" t="str">
        <f>""</f>
        <v/>
      </c>
      <c r="U1557" s="36" t="str">
        <f>""</f>
        <v/>
      </c>
      <c r="V1557" s="36" t="str">
        <f>""</f>
        <v/>
      </c>
      <c r="W1557" s="36">
        <f t="shared" si="147"/>
        <v>1</v>
      </c>
      <c r="X1557" t="str">
        <f t="shared" si="148"/>
        <v>Inactive</v>
      </c>
      <c r="Y1557" t="str">
        <f>IF(MAIN!$H$3="Selected Year",IF(A1557=MAIN!$B$3,"Yes","No"),IF(MAIN!$H$3="Included Years",IF(D1557="Yes","Yes","No"),IF(C1557="Yes","Yes","No")))</f>
        <v>No</v>
      </c>
      <c r="Z1557" t="str">
        <f>IF(MAIN!$F$3="Project to Date",IF(AND(A1557&gt;=SETTINGS!$B$4,A1557&lt;MAIN!$B$3),"Yes",IF(AND(A1557=MAIN!$B$3,E1557&lt;=MAIN!$L$3),"Yes","No")),IF(OR(MAIN!$F$3="Full Year",MAIN!$D$3="All"),"Yes",IF(MAIN!$F$3="Monthly",IF(E1557=MAIN!$L$3,"Yes","No"),IF(E1557&lt;=MAIN!$L$3,"Yes","No"))))</f>
        <v>Yes</v>
      </c>
      <c r="AA1557" t="str">
        <f t="shared" si="149"/>
        <v>No</v>
      </c>
    </row>
    <row r="1558" spans="1:27" x14ac:dyDescent="0.3">
      <c r="A1558">
        <f>INDEX(SETTINGS!$A$15:$A$24,$B1558)</f>
        <v>2031</v>
      </c>
      <c r="B1558">
        <v>7</v>
      </c>
      <c r="C1558" t="str">
        <f>IF(AND(A1558&gt;=SETTINGS!$B$4,A1558&lt;=SETTINGS!$B$5),"Yes","No")</f>
        <v>No</v>
      </c>
      <c r="D1558" t="str">
        <f>IFERROR(INDEX(SETTINGS!$C$15:$C$24,MATCH(A1558,SETTINGS!$A$15:$A$24,0)),"No")</f>
        <v>No</v>
      </c>
      <c r="E1558">
        <v>10</v>
      </c>
      <c r="F1558" t="s">
        <v>43</v>
      </c>
      <c r="G1558">
        <v>245</v>
      </c>
      <c r="H1558" t="s">
        <v>111</v>
      </c>
      <c r="I1558" t="s">
        <v>30</v>
      </c>
      <c r="J1558" t="s">
        <v>32</v>
      </c>
      <c r="K1558" t="s">
        <v>3</v>
      </c>
      <c r="L1558" s="36">
        <f ca="1">IF(C1558&lt;&gt;"Yes",0,IF(A1558=2025,N('2025'!D245),IF(A1558=2026,N('2026'!D245),IF(A1558=2027,N('2027'!D245),IF(A1558=2028,N('2028'!D245),IF(A1558=2029,N('2029'!D245),IF(A1558=2030,N('2030'!D245),IF(A1558=2031,N('2031'!D245),IF(A1558=2032,N('2032'!D245),IF(A1558=2033,N('2033'!D245),IF(A1558=2034,N('2034'!D245),IFERROR(N(INDIRECT("'"&amp;A1558&amp;"'!D"&amp;G1558)),0))))))))))))</f>
        <v>0</v>
      </c>
      <c r="M1558" s="36">
        <f>IFERROR(IF(NOT(ISBLANK(KPI_TARGETS!$M$22)),KPI_TARGETS!$M$22,IF(NOT(ISBLANK(KPI_TARGETS!$F$22)),KPI_TARGETS!$F$22,"")),"")</f>
        <v>1</v>
      </c>
      <c r="N1558" s="36" t="str">
        <f>IFERROR(KPI_TARGETS!$E$22,"Higher is better")</f>
        <v>Higher is better</v>
      </c>
      <c r="O1558" s="37">
        <f t="shared" ca="1" si="144"/>
        <v>0</v>
      </c>
      <c r="P1558" t="str">
        <f t="shared" ca="1" si="145"/>
        <v>Red</v>
      </c>
      <c r="Q1558" s="36">
        <f t="shared" ca="1" si="146"/>
        <v>-1</v>
      </c>
      <c r="R1558" s="36" t="str">
        <f>""</f>
        <v/>
      </c>
      <c r="S1558" s="36" t="str">
        <f>""</f>
        <v/>
      </c>
      <c r="T1558" s="36" t="str">
        <f>""</f>
        <v/>
      </c>
      <c r="U1558" s="36" t="str">
        <f>""</f>
        <v/>
      </c>
      <c r="V1558" s="36" t="str">
        <f>""</f>
        <v/>
      </c>
      <c r="W1558" s="36">
        <f t="shared" si="147"/>
        <v>1</v>
      </c>
      <c r="X1558" t="str">
        <f t="shared" si="148"/>
        <v>Inactive</v>
      </c>
      <c r="Y1558" t="str">
        <f>IF(MAIN!$H$3="Selected Year",IF(A1558=MAIN!$B$3,"Yes","No"),IF(MAIN!$H$3="Included Years",IF(D1558="Yes","Yes","No"),IF(C1558="Yes","Yes","No")))</f>
        <v>No</v>
      </c>
      <c r="Z1558" t="str">
        <f>IF(MAIN!$F$3="Project to Date",IF(AND(A1558&gt;=SETTINGS!$B$4,A1558&lt;MAIN!$B$3),"Yes",IF(AND(A1558=MAIN!$B$3,E1558&lt;=MAIN!$L$3),"Yes","No")),IF(OR(MAIN!$F$3="Full Year",MAIN!$D$3="All"),"Yes",IF(MAIN!$F$3="Monthly",IF(E1558=MAIN!$L$3,"Yes","No"),IF(E1558&lt;=MAIN!$L$3,"Yes","No"))))</f>
        <v>Yes</v>
      </c>
      <c r="AA1558" t="str">
        <f t="shared" si="149"/>
        <v>No</v>
      </c>
    </row>
    <row r="1559" spans="1:27" x14ac:dyDescent="0.3">
      <c r="A1559">
        <f>INDEX(SETTINGS!$A$15:$A$24,$B1559)</f>
        <v>2031</v>
      </c>
      <c r="B1559">
        <v>7</v>
      </c>
      <c r="C1559" t="str">
        <f>IF(AND(A1559&gt;=SETTINGS!$B$4,A1559&lt;=SETTINGS!$B$5),"Yes","No")</f>
        <v>No</v>
      </c>
      <c r="D1559" t="str">
        <f>IFERROR(INDEX(SETTINGS!$C$15:$C$24,MATCH(A1559,SETTINGS!$A$15:$A$24,0)),"No")</f>
        <v>No</v>
      </c>
      <c r="E1559">
        <v>10</v>
      </c>
      <c r="F1559" t="s">
        <v>43</v>
      </c>
      <c r="G1559">
        <v>246</v>
      </c>
      <c r="H1559" t="s">
        <v>112</v>
      </c>
      <c r="I1559" t="s">
        <v>30</v>
      </c>
      <c r="J1559" t="s">
        <v>33</v>
      </c>
      <c r="K1559" t="s">
        <v>34</v>
      </c>
      <c r="L1559" s="36">
        <f ca="1">IF(C1559&lt;&gt;"Yes",0,IF(A1559=2025,N('2025'!D246),IF(A1559=2026,N('2026'!D246),IF(A1559=2027,N('2027'!D246),IF(A1559=2028,N('2028'!D246),IF(A1559=2029,N('2029'!D246),IF(A1559=2030,N('2030'!D246),IF(A1559=2031,N('2031'!D246),IF(A1559=2032,N('2032'!D246),IF(A1559=2033,N('2033'!D246),IF(A1559=2034,N('2034'!D246),IFERROR(N(INDIRECT("'"&amp;A1559&amp;"'!D"&amp;G1559)),0))))))))))))</f>
        <v>0</v>
      </c>
      <c r="M1559" s="36">
        <f>IFERROR(IF(NOT(ISBLANK(KPI_TARGETS!$M$23)),KPI_TARGETS!$M$23,IF(NOT(ISBLANK(KPI_TARGETS!$F$23)),KPI_TARGETS!$F$23,"")),"")</f>
        <v>1</v>
      </c>
      <c r="N1559" s="36" t="str">
        <f>IFERROR(KPI_TARGETS!$E$23,"Higher is better")</f>
        <v>Higher is better</v>
      </c>
      <c r="O1559" s="37">
        <f t="shared" ca="1" si="144"/>
        <v>0</v>
      </c>
      <c r="P1559" t="str">
        <f t="shared" ca="1" si="145"/>
        <v>Red</v>
      </c>
      <c r="Q1559" s="36">
        <f t="shared" ca="1" si="146"/>
        <v>-1</v>
      </c>
      <c r="R1559" s="36" t="str">
        <f>""</f>
        <v/>
      </c>
      <c r="S1559" s="36" t="str">
        <f>""</f>
        <v/>
      </c>
      <c r="T1559" s="36" t="str">
        <f>""</f>
        <v/>
      </c>
      <c r="U1559" s="36" t="str">
        <f>""</f>
        <v/>
      </c>
      <c r="V1559" s="36" t="str">
        <f>""</f>
        <v/>
      </c>
      <c r="W1559" s="36">
        <f t="shared" si="147"/>
        <v>1</v>
      </c>
      <c r="X1559" t="str">
        <f t="shared" si="148"/>
        <v>Inactive</v>
      </c>
      <c r="Y1559" t="str">
        <f>IF(MAIN!$H$3="Selected Year",IF(A1559=MAIN!$B$3,"Yes","No"),IF(MAIN!$H$3="Included Years",IF(D1559="Yes","Yes","No"),IF(C1559="Yes","Yes","No")))</f>
        <v>No</v>
      </c>
      <c r="Z1559" t="str">
        <f>IF(MAIN!$F$3="Project to Date",IF(AND(A1559&gt;=SETTINGS!$B$4,A1559&lt;MAIN!$B$3),"Yes",IF(AND(A1559=MAIN!$B$3,E1559&lt;=MAIN!$L$3),"Yes","No")),IF(OR(MAIN!$F$3="Full Year",MAIN!$D$3="All"),"Yes",IF(MAIN!$F$3="Monthly",IF(E1559=MAIN!$L$3,"Yes","No"),IF(E1559&lt;=MAIN!$L$3,"Yes","No"))))</f>
        <v>Yes</v>
      </c>
      <c r="AA1559" t="str">
        <f t="shared" si="149"/>
        <v>No</v>
      </c>
    </row>
    <row r="1560" spans="1:27" x14ac:dyDescent="0.3">
      <c r="A1560">
        <f>INDEX(SETTINGS!$A$15:$A$24,$B1560)</f>
        <v>2031</v>
      </c>
      <c r="B1560">
        <v>7</v>
      </c>
      <c r="C1560" t="str">
        <f>IF(AND(A1560&gt;=SETTINGS!$B$4,A1560&lt;=SETTINGS!$B$5),"Yes","No")</f>
        <v>No</v>
      </c>
      <c r="D1560" t="str">
        <f>IFERROR(INDEX(SETTINGS!$C$15:$C$24,MATCH(A1560,SETTINGS!$A$15:$A$24,0)),"No")</f>
        <v>No</v>
      </c>
      <c r="E1560">
        <v>11</v>
      </c>
      <c r="F1560" t="s">
        <v>44</v>
      </c>
      <c r="G1560">
        <v>249</v>
      </c>
      <c r="H1560" t="s">
        <v>88</v>
      </c>
      <c r="I1560" t="s">
        <v>89</v>
      </c>
      <c r="J1560" t="s">
        <v>10</v>
      </c>
      <c r="K1560" t="s">
        <v>3</v>
      </c>
      <c r="L1560" s="36">
        <f ca="1">IF(C1560&lt;&gt;"Yes",0,IF(A1560=2025,N('2025'!D249),IF(A1560=2026,N('2026'!D249),IF(A1560=2027,N('2027'!D249),IF(A1560=2028,N('2028'!D249),IF(A1560=2029,N('2029'!D249),IF(A1560=2030,N('2030'!D249),IF(A1560=2031,N('2031'!D249),IF(A1560=2032,N('2032'!D249),IF(A1560=2033,N('2033'!D249),IF(A1560=2034,N('2034'!D249),IFERROR(N(INDIRECT("'"&amp;A1560&amp;"'!D"&amp;G1560)),0))))))))))))</f>
        <v>0</v>
      </c>
      <c r="M1560" s="36">
        <f>IFERROR(IF(NOT(ISBLANK(KPI_TARGETS!$M$5)),KPI_TARGETS!$M$5,IF(NOT(ISBLANK(KPI_TARGETS!$F$5)),KPI_TARGETS!$F$5,"")),"")</f>
        <v>104</v>
      </c>
      <c r="N1560" s="36" t="str">
        <f>IFERROR(KPI_TARGETS!$E$5,"Higher is better")</f>
        <v>Higher is better</v>
      </c>
      <c r="O1560" s="37">
        <f t="shared" ca="1" si="144"/>
        <v>0</v>
      </c>
      <c r="P1560" t="str">
        <f t="shared" ca="1" si="145"/>
        <v>Red</v>
      </c>
      <c r="Q1560" s="36">
        <f t="shared" ca="1" si="146"/>
        <v>-104</v>
      </c>
      <c r="R1560" s="36" t="str">
        <f>""</f>
        <v/>
      </c>
      <c r="S1560" s="36" t="str">
        <f>""</f>
        <v/>
      </c>
      <c r="T1560" s="36" t="str">
        <f>""</f>
        <v/>
      </c>
      <c r="U1560" s="36" t="str">
        <f>""</f>
        <v/>
      </c>
      <c r="V1560" s="36" t="str">
        <f>""</f>
        <v/>
      </c>
      <c r="W1560" s="36">
        <f t="shared" si="147"/>
        <v>1</v>
      </c>
      <c r="X1560" t="str">
        <f t="shared" si="148"/>
        <v>Inactive</v>
      </c>
      <c r="Y1560" t="str">
        <f>IF(MAIN!$H$3="Selected Year",IF(A1560=MAIN!$B$3,"Yes","No"),IF(MAIN!$H$3="Included Years",IF(D1560="Yes","Yes","No"),IF(C1560="Yes","Yes","No")))</f>
        <v>No</v>
      </c>
      <c r="Z1560" t="str">
        <f>IF(MAIN!$F$3="Project to Date",IF(AND(A1560&gt;=SETTINGS!$B$4,A1560&lt;MAIN!$B$3),"Yes",IF(AND(A1560=MAIN!$B$3,E1560&lt;=MAIN!$L$3),"Yes","No")),IF(OR(MAIN!$F$3="Full Year",MAIN!$D$3="All"),"Yes",IF(MAIN!$F$3="Monthly",IF(E1560=MAIN!$L$3,"Yes","No"),IF(E1560&lt;=MAIN!$L$3,"Yes","No"))))</f>
        <v>Yes</v>
      </c>
      <c r="AA1560" t="str">
        <f t="shared" si="149"/>
        <v>No</v>
      </c>
    </row>
    <row r="1561" spans="1:27" x14ac:dyDescent="0.3">
      <c r="A1561">
        <f>INDEX(SETTINGS!$A$15:$A$24,$B1561)</f>
        <v>2031</v>
      </c>
      <c r="B1561">
        <v>7</v>
      </c>
      <c r="C1561" t="str">
        <f>IF(AND(A1561&gt;=SETTINGS!$B$4,A1561&lt;=SETTINGS!$B$5),"Yes","No")</f>
        <v>No</v>
      </c>
      <c r="D1561" t="str">
        <f>IFERROR(INDEX(SETTINGS!$C$15:$C$24,MATCH(A1561,SETTINGS!$A$15:$A$24,0)),"No")</f>
        <v>No</v>
      </c>
      <c r="E1561">
        <v>11</v>
      </c>
      <c r="F1561" t="s">
        <v>44</v>
      </c>
      <c r="G1561">
        <v>250</v>
      </c>
      <c r="H1561" t="s">
        <v>91</v>
      </c>
      <c r="I1561" t="s">
        <v>89</v>
      </c>
      <c r="J1561" t="s">
        <v>11</v>
      </c>
      <c r="K1561" t="s">
        <v>12</v>
      </c>
      <c r="L1561" s="36">
        <f ca="1">IF(C1561&lt;&gt;"Yes",0,IF(A1561=2025,N('2025'!D250),IF(A1561=2026,N('2026'!D250),IF(A1561=2027,N('2027'!D250),IF(A1561=2028,N('2028'!D250),IF(A1561=2029,N('2029'!D250),IF(A1561=2030,N('2030'!D250),IF(A1561=2031,N('2031'!D250),IF(A1561=2032,N('2032'!D250),IF(A1561=2033,N('2033'!D250),IF(A1561=2034,N('2034'!D250),IFERROR(N(INDIRECT("'"&amp;A1561&amp;"'!D"&amp;G1561)),0))))))))))))</f>
        <v>0</v>
      </c>
      <c r="M1561" s="36">
        <f>IFERROR(IF(NOT(ISBLANK(KPI_TARGETS!$M$6)),KPI_TARGETS!$M$6,IF(NOT(ISBLANK(KPI_TARGETS!$F$6)),KPI_TARGETS!$F$6,"")),"")</f>
        <v>4000</v>
      </c>
      <c r="N1561" s="36" t="str">
        <f>IFERROR(KPI_TARGETS!$E$6,"Higher is better")</f>
        <v>Higher is better</v>
      </c>
      <c r="O1561" s="37">
        <f t="shared" ca="1" si="144"/>
        <v>0</v>
      </c>
      <c r="P1561" t="str">
        <f t="shared" ca="1" si="145"/>
        <v>Red</v>
      </c>
      <c r="Q1561" s="36">
        <f t="shared" ca="1" si="146"/>
        <v>-4000</v>
      </c>
      <c r="R1561" s="36" t="str">
        <f>""</f>
        <v/>
      </c>
      <c r="S1561" s="36" t="str">
        <f>""</f>
        <v/>
      </c>
      <c r="T1561" s="36" t="str">
        <f>""</f>
        <v/>
      </c>
      <c r="U1561" s="36" t="str">
        <f>""</f>
        <v/>
      </c>
      <c r="V1561" s="36" t="str">
        <f>""</f>
        <v/>
      </c>
      <c r="W1561" s="36">
        <f t="shared" si="147"/>
        <v>1</v>
      </c>
      <c r="X1561" t="str">
        <f t="shared" si="148"/>
        <v>Inactive</v>
      </c>
      <c r="Y1561" t="str">
        <f>IF(MAIN!$H$3="Selected Year",IF(A1561=MAIN!$B$3,"Yes","No"),IF(MAIN!$H$3="Included Years",IF(D1561="Yes","Yes","No"),IF(C1561="Yes","Yes","No")))</f>
        <v>No</v>
      </c>
      <c r="Z1561" t="str">
        <f>IF(MAIN!$F$3="Project to Date",IF(AND(A1561&gt;=SETTINGS!$B$4,A1561&lt;MAIN!$B$3),"Yes",IF(AND(A1561=MAIN!$B$3,E1561&lt;=MAIN!$L$3),"Yes","No")),IF(OR(MAIN!$F$3="Full Year",MAIN!$D$3="All"),"Yes",IF(MAIN!$F$3="Monthly",IF(E1561=MAIN!$L$3,"Yes","No"),IF(E1561&lt;=MAIN!$L$3,"Yes","No"))))</f>
        <v>Yes</v>
      </c>
      <c r="AA1561" t="str">
        <f t="shared" si="149"/>
        <v>No</v>
      </c>
    </row>
    <row r="1562" spans="1:27" x14ac:dyDescent="0.3">
      <c r="A1562">
        <f>INDEX(SETTINGS!$A$15:$A$24,$B1562)</f>
        <v>2031</v>
      </c>
      <c r="B1562">
        <v>7</v>
      </c>
      <c r="C1562" t="str">
        <f>IF(AND(A1562&gt;=SETTINGS!$B$4,A1562&lt;=SETTINGS!$B$5),"Yes","No")</f>
        <v>No</v>
      </c>
      <c r="D1562" t="str">
        <f>IFERROR(INDEX(SETTINGS!$C$15:$C$24,MATCH(A1562,SETTINGS!$A$15:$A$24,0)),"No")</f>
        <v>No</v>
      </c>
      <c r="E1562">
        <v>11</v>
      </c>
      <c r="F1562" t="s">
        <v>44</v>
      </c>
      <c r="G1562">
        <v>251</v>
      </c>
      <c r="H1562" t="s">
        <v>93</v>
      </c>
      <c r="I1562" t="s">
        <v>89</v>
      </c>
      <c r="J1562" t="s">
        <v>13</v>
      </c>
      <c r="K1562" t="s">
        <v>14</v>
      </c>
      <c r="L1562" s="36">
        <f ca="1">IF(C1562&lt;&gt;"Yes",0,IF(A1562=2025,N('2025'!D251),IF(A1562=2026,N('2026'!D251),IF(A1562=2027,N('2027'!D251),IF(A1562=2028,N('2028'!D251),IF(A1562=2029,N('2029'!D251),IF(A1562=2030,N('2030'!D251),IF(A1562=2031,N('2031'!D251),IF(A1562=2032,N('2032'!D251),IF(A1562=2033,N('2033'!D251),IF(A1562=2034,N('2034'!D251),IFERROR(N(INDIRECT("'"&amp;A1562&amp;"'!D"&amp;G1562)),0))))))))))))</f>
        <v>0</v>
      </c>
      <c r="M1562" s="36">
        <f>IFERROR(IF(NOT(ISBLANK(KPI_TARGETS!$M$7)),KPI_TARGETS!$M$7,IF(NOT(ISBLANK(KPI_TARGETS!$F$7)),KPI_TARGETS!$F$7,"")),"")</f>
        <v>8000</v>
      </c>
      <c r="N1562" s="36" t="str">
        <f>IFERROR(KPI_TARGETS!$E$7,"Higher is better")</f>
        <v>Higher is better</v>
      </c>
      <c r="O1562" s="37">
        <f t="shared" ca="1" si="144"/>
        <v>0</v>
      </c>
      <c r="P1562" t="str">
        <f t="shared" ca="1" si="145"/>
        <v>Red</v>
      </c>
      <c r="Q1562" s="36">
        <f t="shared" ca="1" si="146"/>
        <v>-8000</v>
      </c>
      <c r="R1562" s="36" t="str">
        <f>""</f>
        <v/>
      </c>
      <c r="S1562" s="36" t="str">
        <f>""</f>
        <v/>
      </c>
      <c r="T1562" s="36" t="str">
        <f>""</f>
        <v/>
      </c>
      <c r="U1562" s="36" t="str">
        <f>""</f>
        <v/>
      </c>
      <c r="V1562" s="36" t="str">
        <f>""</f>
        <v/>
      </c>
      <c r="W1562" s="36">
        <f t="shared" si="147"/>
        <v>1</v>
      </c>
      <c r="X1562" t="str">
        <f t="shared" si="148"/>
        <v>Inactive</v>
      </c>
      <c r="Y1562" t="str">
        <f>IF(MAIN!$H$3="Selected Year",IF(A1562=MAIN!$B$3,"Yes","No"),IF(MAIN!$H$3="Included Years",IF(D1562="Yes","Yes","No"),IF(C1562="Yes","Yes","No")))</f>
        <v>No</v>
      </c>
      <c r="Z1562" t="str">
        <f>IF(MAIN!$F$3="Project to Date",IF(AND(A1562&gt;=SETTINGS!$B$4,A1562&lt;MAIN!$B$3),"Yes",IF(AND(A1562=MAIN!$B$3,E1562&lt;=MAIN!$L$3),"Yes","No")),IF(OR(MAIN!$F$3="Full Year",MAIN!$D$3="All"),"Yes",IF(MAIN!$F$3="Monthly",IF(E1562=MAIN!$L$3,"Yes","No"),IF(E1562&lt;=MAIN!$L$3,"Yes","No"))))</f>
        <v>Yes</v>
      </c>
      <c r="AA1562" t="str">
        <f t="shared" si="149"/>
        <v>No</v>
      </c>
    </row>
    <row r="1563" spans="1:27" x14ac:dyDescent="0.3">
      <c r="A1563">
        <f>INDEX(SETTINGS!$A$15:$A$24,$B1563)</f>
        <v>2031</v>
      </c>
      <c r="B1563">
        <v>7</v>
      </c>
      <c r="C1563" t="str">
        <f>IF(AND(A1563&gt;=SETTINGS!$B$4,A1563&lt;=SETTINGS!$B$5),"Yes","No")</f>
        <v>No</v>
      </c>
      <c r="D1563" t="str">
        <f>IFERROR(INDEX(SETTINGS!$C$15:$C$24,MATCH(A1563,SETTINGS!$A$15:$A$24,0)),"No")</f>
        <v>No</v>
      </c>
      <c r="E1563">
        <v>11</v>
      </c>
      <c r="F1563" t="s">
        <v>44</v>
      </c>
      <c r="G1563">
        <v>253</v>
      </c>
      <c r="H1563" t="s">
        <v>95</v>
      </c>
      <c r="I1563" t="s">
        <v>15</v>
      </c>
      <c r="J1563" t="s">
        <v>16</v>
      </c>
      <c r="K1563" t="s">
        <v>3</v>
      </c>
      <c r="L1563" s="36">
        <f ca="1">IF(C1563&lt;&gt;"Yes",0,IF(A1563=2025,N('2025'!D253),IF(A1563=2026,N('2026'!D253),IF(A1563=2027,N('2027'!D253),IF(A1563=2028,N('2028'!D253),IF(A1563=2029,N('2029'!D253),IF(A1563=2030,N('2030'!D253),IF(A1563=2031,N('2031'!D253),IF(A1563=2032,N('2032'!D253),IF(A1563=2033,N('2033'!D253),IF(A1563=2034,N('2034'!D253),IFERROR(N(INDIRECT("'"&amp;A1563&amp;"'!D"&amp;G1563)),0))))))))))))</f>
        <v>0</v>
      </c>
      <c r="M1563" s="36">
        <f>IFERROR(IF(NOT(ISBLANK(KPI_TARGETS!$M$8)),KPI_TARGETS!$M$8,IF(NOT(ISBLANK(KPI_TARGETS!$F$8)),KPI_TARGETS!$F$8,"")),"")</f>
        <v>0</v>
      </c>
      <c r="N1563" s="36" t="str">
        <f>IFERROR(KPI_TARGETS!$E$8,"Higher is better")</f>
        <v>Lower is better</v>
      </c>
      <c r="O1563" s="37">
        <f t="shared" ca="1" si="144"/>
        <v>1</v>
      </c>
      <c r="P1563" t="str">
        <f t="shared" ca="1" si="145"/>
        <v>Green</v>
      </c>
      <c r="Q1563" s="36">
        <f t="shared" ca="1" si="146"/>
        <v>0</v>
      </c>
      <c r="R1563" s="36" t="str">
        <f>""</f>
        <v/>
      </c>
      <c r="S1563" s="36" t="str">
        <f>""</f>
        <v/>
      </c>
      <c r="T1563" s="36" t="str">
        <f>""</f>
        <v/>
      </c>
      <c r="U1563" s="36" t="str">
        <f>""</f>
        <v/>
      </c>
      <c r="V1563" s="36" t="str">
        <f>""</f>
        <v/>
      </c>
      <c r="W1563" s="36">
        <f t="shared" si="147"/>
        <v>1</v>
      </c>
      <c r="X1563" t="str">
        <f t="shared" si="148"/>
        <v>Inactive</v>
      </c>
      <c r="Y1563" t="str">
        <f>IF(MAIN!$H$3="Selected Year",IF(A1563=MAIN!$B$3,"Yes","No"),IF(MAIN!$H$3="Included Years",IF(D1563="Yes","Yes","No"),IF(C1563="Yes","Yes","No")))</f>
        <v>No</v>
      </c>
      <c r="Z1563" t="str">
        <f>IF(MAIN!$F$3="Project to Date",IF(AND(A1563&gt;=SETTINGS!$B$4,A1563&lt;MAIN!$B$3),"Yes",IF(AND(A1563=MAIN!$B$3,E1563&lt;=MAIN!$L$3),"Yes","No")),IF(OR(MAIN!$F$3="Full Year",MAIN!$D$3="All"),"Yes",IF(MAIN!$F$3="Monthly",IF(E1563=MAIN!$L$3,"Yes","No"),IF(E1563&lt;=MAIN!$L$3,"Yes","No"))))</f>
        <v>Yes</v>
      </c>
      <c r="AA1563" t="str">
        <f t="shared" si="149"/>
        <v>No</v>
      </c>
    </row>
    <row r="1564" spans="1:27" x14ac:dyDescent="0.3">
      <c r="A1564">
        <f>INDEX(SETTINGS!$A$15:$A$24,$B1564)</f>
        <v>2031</v>
      </c>
      <c r="B1564">
        <v>7</v>
      </c>
      <c r="C1564" t="str">
        <f>IF(AND(A1564&gt;=SETTINGS!$B$4,A1564&lt;=SETTINGS!$B$5),"Yes","No")</f>
        <v>No</v>
      </c>
      <c r="D1564" t="str">
        <f>IFERROR(INDEX(SETTINGS!$C$15:$C$24,MATCH(A1564,SETTINGS!$A$15:$A$24,0)),"No")</f>
        <v>No</v>
      </c>
      <c r="E1564">
        <v>11</v>
      </c>
      <c r="F1564" t="s">
        <v>44</v>
      </c>
      <c r="G1564">
        <v>254</v>
      </c>
      <c r="H1564" t="s">
        <v>97</v>
      </c>
      <c r="I1564" t="s">
        <v>15</v>
      </c>
      <c r="J1564" t="s">
        <v>17</v>
      </c>
      <c r="K1564" t="s">
        <v>3</v>
      </c>
      <c r="L1564" s="36">
        <f ca="1">IF(C1564&lt;&gt;"Yes",0,IF(A1564=2025,N('2025'!D254),IF(A1564=2026,N('2026'!D254),IF(A1564=2027,N('2027'!D254),IF(A1564=2028,N('2028'!D254),IF(A1564=2029,N('2029'!D254),IF(A1564=2030,N('2030'!D254),IF(A1564=2031,N('2031'!D254),IF(A1564=2032,N('2032'!D254),IF(A1564=2033,N('2033'!D254),IF(A1564=2034,N('2034'!D254),IFERROR(N(INDIRECT("'"&amp;A1564&amp;"'!D"&amp;G1564)),0))))))))))))</f>
        <v>0</v>
      </c>
      <c r="M1564" s="36">
        <f>IFERROR(IF(NOT(ISBLANK(KPI_TARGETS!$M$9)),KPI_TARGETS!$M$9,IF(NOT(ISBLANK(KPI_TARGETS!$F$9)),KPI_TARGETS!$F$9,"")),"")</f>
        <v>0</v>
      </c>
      <c r="N1564" s="36" t="str">
        <f>IFERROR(KPI_TARGETS!$E$9,"Higher is better")</f>
        <v>Higher is better</v>
      </c>
      <c r="O1564" s="37" t="str">
        <f t="shared" ca="1" si="144"/>
        <v/>
      </c>
      <c r="P1564" t="str">
        <f t="shared" ca="1" si="145"/>
        <v>Green</v>
      </c>
      <c r="Q1564" s="36">
        <f t="shared" ca="1" si="146"/>
        <v>0</v>
      </c>
      <c r="R1564" s="36" t="str">
        <f>""</f>
        <v/>
      </c>
      <c r="S1564" s="36" t="str">
        <f>""</f>
        <v/>
      </c>
      <c r="T1564" s="36" t="str">
        <f>""</f>
        <v/>
      </c>
      <c r="U1564" s="36" t="str">
        <f>""</f>
        <v/>
      </c>
      <c r="V1564" s="36" t="str">
        <f>""</f>
        <v/>
      </c>
      <c r="W1564" s="36">
        <f t="shared" si="147"/>
        <v>1</v>
      </c>
      <c r="X1564" t="str">
        <f t="shared" si="148"/>
        <v>Inactive</v>
      </c>
      <c r="Y1564" t="str">
        <f>IF(MAIN!$H$3="Selected Year",IF(A1564=MAIN!$B$3,"Yes","No"),IF(MAIN!$H$3="Included Years",IF(D1564="Yes","Yes","No"),IF(C1564="Yes","Yes","No")))</f>
        <v>No</v>
      </c>
      <c r="Z1564" t="str">
        <f>IF(MAIN!$F$3="Project to Date",IF(AND(A1564&gt;=SETTINGS!$B$4,A1564&lt;MAIN!$B$3),"Yes",IF(AND(A1564=MAIN!$B$3,E1564&lt;=MAIN!$L$3),"Yes","No")),IF(OR(MAIN!$F$3="Full Year",MAIN!$D$3="All"),"Yes",IF(MAIN!$F$3="Monthly",IF(E1564=MAIN!$L$3,"Yes","No"),IF(E1564&lt;=MAIN!$L$3,"Yes","No"))))</f>
        <v>Yes</v>
      </c>
      <c r="AA1564" t="str">
        <f t="shared" si="149"/>
        <v>No</v>
      </c>
    </row>
    <row r="1565" spans="1:27" x14ac:dyDescent="0.3">
      <c r="A1565">
        <f>INDEX(SETTINGS!$A$15:$A$24,$B1565)</f>
        <v>2031</v>
      </c>
      <c r="B1565">
        <v>7</v>
      </c>
      <c r="C1565" t="str">
        <f>IF(AND(A1565&gt;=SETTINGS!$B$4,A1565&lt;=SETTINGS!$B$5),"Yes","No")</f>
        <v>No</v>
      </c>
      <c r="D1565" t="str">
        <f>IFERROR(INDEX(SETTINGS!$C$15:$C$24,MATCH(A1565,SETTINGS!$A$15:$A$24,0)),"No")</f>
        <v>No</v>
      </c>
      <c r="E1565">
        <v>11</v>
      </c>
      <c r="F1565" t="s">
        <v>44</v>
      </c>
      <c r="G1565">
        <v>255</v>
      </c>
      <c r="H1565" t="s">
        <v>99</v>
      </c>
      <c r="I1565" t="s">
        <v>15</v>
      </c>
      <c r="J1565" t="s">
        <v>18</v>
      </c>
      <c r="K1565" t="s">
        <v>3</v>
      </c>
      <c r="L1565" s="36">
        <f ca="1">IF(C1565&lt;&gt;"Yes",0,IF(A1565=2025,N('2025'!D255),IF(A1565=2026,N('2026'!D255),IF(A1565=2027,N('2027'!D255),IF(A1565=2028,N('2028'!D255),IF(A1565=2029,N('2029'!D255),IF(A1565=2030,N('2030'!D255),IF(A1565=2031,N('2031'!D255),IF(A1565=2032,N('2032'!D255),IF(A1565=2033,N('2033'!D255),IF(A1565=2034,N('2034'!D255),IFERROR(N(INDIRECT("'"&amp;A1565&amp;"'!D"&amp;G1565)),0))))))))))))</f>
        <v>0</v>
      </c>
      <c r="M1565" s="36">
        <f>IFERROR(IF(NOT(ISBLANK(KPI_TARGETS!$M$10)),KPI_TARGETS!$M$10,IF(NOT(ISBLANK(KPI_TARGETS!$F$10)),KPI_TARGETS!$F$10,"")),"")</f>
        <v>0</v>
      </c>
      <c r="N1565" s="36" t="str">
        <f>IFERROR(KPI_TARGETS!$E$10,"Higher is better")</f>
        <v>Lower is better</v>
      </c>
      <c r="O1565" s="37">
        <f t="shared" ca="1" si="144"/>
        <v>1</v>
      </c>
      <c r="P1565" t="str">
        <f t="shared" ca="1" si="145"/>
        <v>Green</v>
      </c>
      <c r="Q1565" s="36">
        <f t="shared" ca="1" si="146"/>
        <v>0</v>
      </c>
      <c r="R1565" s="36" t="str">
        <f>""</f>
        <v/>
      </c>
      <c r="S1565" s="36" t="str">
        <f>""</f>
        <v/>
      </c>
      <c r="T1565" s="36" t="str">
        <f>""</f>
        <v/>
      </c>
      <c r="U1565" s="36" t="str">
        <f>""</f>
        <v/>
      </c>
      <c r="V1565" s="36" t="str">
        <f>""</f>
        <v/>
      </c>
      <c r="W1565" s="36">
        <f t="shared" si="147"/>
        <v>1</v>
      </c>
      <c r="X1565" t="str">
        <f t="shared" si="148"/>
        <v>Inactive</v>
      </c>
      <c r="Y1565" t="str">
        <f>IF(MAIN!$H$3="Selected Year",IF(A1565=MAIN!$B$3,"Yes","No"),IF(MAIN!$H$3="Included Years",IF(D1565="Yes","Yes","No"),IF(C1565="Yes","Yes","No")))</f>
        <v>No</v>
      </c>
      <c r="Z1565" t="str">
        <f>IF(MAIN!$F$3="Project to Date",IF(AND(A1565&gt;=SETTINGS!$B$4,A1565&lt;MAIN!$B$3),"Yes",IF(AND(A1565=MAIN!$B$3,E1565&lt;=MAIN!$L$3),"Yes","No")),IF(OR(MAIN!$F$3="Full Year",MAIN!$D$3="All"),"Yes",IF(MAIN!$F$3="Monthly",IF(E1565=MAIN!$L$3,"Yes","No"),IF(E1565&lt;=MAIN!$L$3,"Yes","No"))))</f>
        <v>Yes</v>
      </c>
      <c r="AA1565" t="str">
        <f t="shared" si="149"/>
        <v>No</v>
      </c>
    </row>
    <row r="1566" spans="1:27" x14ac:dyDescent="0.3">
      <c r="A1566">
        <f>INDEX(SETTINGS!$A$15:$A$24,$B1566)</f>
        <v>2031</v>
      </c>
      <c r="B1566">
        <v>7</v>
      </c>
      <c r="C1566" t="str">
        <f>IF(AND(A1566&gt;=SETTINGS!$B$4,A1566&lt;=SETTINGS!$B$5),"Yes","No")</f>
        <v>No</v>
      </c>
      <c r="D1566" t="str">
        <f>IFERROR(INDEX(SETTINGS!$C$15:$C$24,MATCH(A1566,SETTINGS!$A$15:$A$24,0)),"No")</f>
        <v>No</v>
      </c>
      <c r="E1566">
        <v>11</v>
      </c>
      <c r="F1566" t="s">
        <v>44</v>
      </c>
      <c r="G1566">
        <v>256</v>
      </c>
      <c r="H1566" t="s">
        <v>100</v>
      </c>
      <c r="I1566" t="s">
        <v>15</v>
      </c>
      <c r="J1566" t="s">
        <v>19</v>
      </c>
      <c r="K1566" t="s">
        <v>3</v>
      </c>
      <c r="L1566" s="36">
        <f ca="1">IF(C1566&lt;&gt;"Yes",0,IF(A1566=2025,N('2025'!D256),IF(A1566=2026,N('2026'!D256),IF(A1566=2027,N('2027'!D256),IF(A1566=2028,N('2028'!D256),IF(A1566=2029,N('2029'!D256),IF(A1566=2030,N('2030'!D256),IF(A1566=2031,N('2031'!D256),IF(A1566=2032,N('2032'!D256),IF(A1566=2033,N('2033'!D256),IF(A1566=2034,N('2034'!D256),IFERROR(N(INDIRECT("'"&amp;A1566&amp;"'!D"&amp;G1566)),0))))))))))))</f>
        <v>0</v>
      </c>
      <c r="M1566" s="36">
        <f>IFERROR(IF(NOT(ISBLANK(KPI_TARGETS!$M$11)),KPI_TARGETS!$M$11,IF(NOT(ISBLANK(KPI_TARGETS!$F$11)),KPI_TARGETS!$F$11,"")),"")</f>
        <v>0</v>
      </c>
      <c r="N1566" s="36" t="str">
        <f>IFERROR(KPI_TARGETS!$E$11,"Higher is better")</f>
        <v>Lower is better</v>
      </c>
      <c r="O1566" s="37">
        <f t="shared" ca="1" si="144"/>
        <v>1</v>
      </c>
      <c r="P1566" t="str">
        <f t="shared" ca="1" si="145"/>
        <v>Green</v>
      </c>
      <c r="Q1566" s="36">
        <f t="shared" ca="1" si="146"/>
        <v>0</v>
      </c>
      <c r="R1566" s="36" t="str">
        <f>""</f>
        <v/>
      </c>
      <c r="S1566" s="36" t="str">
        <f>""</f>
        <v/>
      </c>
      <c r="T1566" s="36" t="str">
        <f>""</f>
        <v/>
      </c>
      <c r="U1566" s="36" t="str">
        <f>""</f>
        <v/>
      </c>
      <c r="V1566" s="36" t="str">
        <f>""</f>
        <v/>
      </c>
      <c r="W1566" s="36">
        <f t="shared" si="147"/>
        <v>1</v>
      </c>
      <c r="X1566" t="str">
        <f t="shared" si="148"/>
        <v>Inactive</v>
      </c>
      <c r="Y1566" t="str">
        <f>IF(MAIN!$H$3="Selected Year",IF(A1566=MAIN!$B$3,"Yes","No"),IF(MAIN!$H$3="Included Years",IF(D1566="Yes","Yes","No"),IF(C1566="Yes","Yes","No")))</f>
        <v>No</v>
      </c>
      <c r="Z1566" t="str">
        <f>IF(MAIN!$F$3="Project to Date",IF(AND(A1566&gt;=SETTINGS!$B$4,A1566&lt;MAIN!$B$3),"Yes",IF(AND(A1566=MAIN!$B$3,E1566&lt;=MAIN!$L$3),"Yes","No")),IF(OR(MAIN!$F$3="Full Year",MAIN!$D$3="All"),"Yes",IF(MAIN!$F$3="Monthly",IF(E1566=MAIN!$L$3,"Yes","No"),IF(E1566&lt;=MAIN!$L$3,"Yes","No"))))</f>
        <v>Yes</v>
      </c>
      <c r="AA1566" t="str">
        <f t="shared" si="149"/>
        <v>No</v>
      </c>
    </row>
    <row r="1567" spans="1:27" x14ac:dyDescent="0.3">
      <c r="A1567">
        <f>INDEX(SETTINGS!$A$15:$A$24,$B1567)</f>
        <v>2031</v>
      </c>
      <c r="B1567">
        <v>7</v>
      </c>
      <c r="C1567" t="str">
        <f>IF(AND(A1567&gt;=SETTINGS!$B$4,A1567&lt;=SETTINGS!$B$5),"Yes","No")</f>
        <v>No</v>
      </c>
      <c r="D1567" t="str">
        <f>IFERROR(INDEX(SETTINGS!$C$15:$C$24,MATCH(A1567,SETTINGS!$A$15:$A$24,0)),"No")</f>
        <v>No</v>
      </c>
      <c r="E1567">
        <v>11</v>
      </c>
      <c r="F1567" t="s">
        <v>44</v>
      </c>
      <c r="G1567">
        <v>257</v>
      </c>
      <c r="H1567" t="s">
        <v>101</v>
      </c>
      <c r="I1567" t="s">
        <v>15</v>
      </c>
      <c r="J1567" t="s">
        <v>20</v>
      </c>
      <c r="K1567" t="s">
        <v>3</v>
      </c>
      <c r="L1567" s="36">
        <f ca="1">IF(C1567&lt;&gt;"Yes",0,IF(A1567=2025,N('2025'!D257),IF(A1567=2026,N('2026'!D257),IF(A1567=2027,N('2027'!D257),IF(A1567=2028,N('2028'!D257),IF(A1567=2029,N('2029'!D257),IF(A1567=2030,N('2030'!D257),IF(A1567=2031,N('2031'!D257),IF(A1567=2032,N('2032'!D257),IF(A1567=2033,N('2033'!D257),IF(A1567=2034,N('2034'!D257),IFERROR(N(INDIRECT("'"&amp;A1567&amp;"'!D"&amp;G1567)),0))))))))))))</f>
        <v>0</v>
      </c>
      <c r="M1567" s="36">
        <f>IFERROR(IF(NOT(ISBLANK(KPI_TARGETS!$M$12)),KPI_TARGETS!$M$12,IF(NOT(ISBLANK(KPI_TARGETS!$F$12)),KPI_TARGETS!$F$12,"")),"")</f>
        <v>0</v>
      </c>
      <c r="N1567" s="36" t="str">
        <f>IFERROR(KPI_TARGETS!$E$12,"Higher is better")</f>
        <v>Lower is better</v>
      </c>
      <c r="O1567" s="37">
        <f t="shared" ca="1" si="144"/>
        <v>1</v>
      </c>
      <c r="P1567" t="str">
        <f t="shared" ca="1" si="145"/>
        <v>Green</v>
      </c>
      <c r="Q1567" s="36">
        <f t="shared" ca="1" si="146"/>
        <v>0</v>
      </c>
      <c r="R1567" s="36" t="str">
        <f>""</f>
        <v/>
      </c>
      <c r="S1567" s="36" t="str">
        <f>""</f>
        <v/>
      </c>
      <c r="T1567" s="36" t="str">
        <f>""</f>
        <v/>
      </c>
      <c r="U1567" s="36" t="str">
        <f>""</f>
        <v/>
      </c>
      <c r="V1567" s="36" t="str">
        <f>""</f>
        <v/>
      </c>
      <c r="W1567" s="36">
        <f t="shared" si="147"/>
        <v>1</v>
      </c>
      <c r="X1567" t="str">
        <f t="shared" si="148"/>
        <v>Inactive</v>
      </c>
      <c r="Y1567" t="str">
        <f>IF(MAIN!$H$3="Selected Year",IF(A1567=MAIN!$B$3,"Yes","No"),IF(MAIN!$H$3="Included Years",IF(D1567="Yes","Yes","No"),IF(C1567="Yes","Yes","No")))</f>
        <v>No</v>
      </c>
      <c r="Z1567" t="str">
        <f>IF(MAIN!$F$3="Project to Date",IF(AND(A1567&gt;=SETTINGS!$B$4,A1567&lt;MAIN!$B$3),"Yes",IF(AND(A1567=MAIN!$B$3,E1567&lt;=MAIN!$L$3),"Yes","No")),IF(OR(MAIN!$F$3="Full Year",MAIN!$D$3="All"),"Yes",IF(MAIN!$F$3="Monthly",IF(E1567=MAIN!$L$3,"Yes","No"),IF(E1567&lt;=MAIN!$L$3,"Yes","No"))))</f>
        <v>Yes</v>
      </c>
      <c r="AA1567" t="str">
        <f t="shared" si="149"/>
        <v>No</v>
      </c>
    </row>
    <row r="1568" spans="1:27" x14ac:dyDescent="0.3">
      <c r="A1568">
        <f>INDEX(SETTINGS!$A$15:$A$24,$B1568)</f>
        <v>2031</v>
      </c>
      <c r="B1568">
        <v>7</v>
      </c>
      <c r="C1568" t="str">
        <f>IF(AND(A1568&gt;=SETTINGS!$B$4,A1568&lt;=SETTINGS!$B$5),"Yes","No")</f>
        <v>No</v>
      </c>
      <c r="D1568" t="str">
        <f>IFERROR(INDEX(SETTINGS!$C$15:$C$24,MATCH(A1568,SETTINGS!$A$15:$A$24,0)),"No")</f>
        <v>No</v>
      </c>
      <c r="E1568">
        <v>11</v>
      </c>
      <c r="F1568" t="s">
        <v>44</v>
      </c>
      <c r="G1568">
        <v>258</v>
      </c>
      <c r="H1568" t="s">
        <v>102</v>
      </c>
      <c r="I1568" t="s">
        <v>15</v>
      </c>
      <c r="J1568" t="s">
        <v>21</v>
      </c>
      <c r="K1568" t="s">
        <v>3</v>
      </c>
      <c r="L1568" s="36">
        <f ca="1">IF(C1568&lt;&gt;"Yes",0,IF(A1568=2025,N('2025'!D258),IF(A1568=2026,N('2026'!D258),IF(A1568=2027,N('2027'!D258),IF(A1568=2028,N('2028'!D258),IF(A1568=2029,N('2029'!D258),IF(A1568=2030,N('2030'!D258),IF(A1568=2031,N('2031'!D258),IF(A1568=2032,N('2032'!D258),IF(A1568=2033,N('2033'!D258),IF(A1568=2034,N('2034'!D258),IFERROR(N(INDIRECT("'"&amp;A1568&amp;"'!D"&amp;G1568)),0))))))))))))</f>
        <v>0</v>
      </c>
      <c r="M1568" s="36">
        <f>IFERROR(IF(NOT(ISBLANK(KPI_TARGETS!$M$13)),KPI_TARGETS!$M$13,IF(NOT(ISBLANK(KPI_TARGETS!$F$13)),KPI_TARGETS!$F$13,"")),"")</f>
        <v>0</v>
      </c>
      <c r="N1568" s="36" t="str">
        <f>IFERROR(KPI_TARGETS!$E$13,"Higher is better")</f>
        <v>Lower is better</v>
      </c>
      <c r="O1568" s="37">
        <f t="shared" ca="1" si="144"/>
        <v>1</v>
      </c>
      <c r="P1568" t="str">
        <f t="shared" ca="1" si="145"/>
        <v>Green</v>
      </c>
      <c r="Q1568" s="36">
        <f t="shared" ca="1" si="146"/>
        <v>0</v>
      </c>
      <c r="R1568" s="36" t="str">
        <f>""</f>
        <v/>
      </c>
      <c r="S1568" s="36" t="str">
        <f>""</f>
        <v/>
      </c>
      <c r="T1568" s="36" t="str">
        <f>""</f>
        <v/>
      </c>
      <c r="U1568" s="36" t="str">
        <f>""</f>
        <v/>
      </c>
      <c r="V1568" s="36" t="str">
        <f>""</f>
        <v/>
      </c>
      <c r="W1568" s="36">
        <f t="shared" si="147"/>
        <v>1</v>
      </c>
      <c r="X1568" t="str">
        <f t="shared" si="148"/>
        <v>Inactive</v>
      </c>
      <c r="Y1568" t="str">
        <f>IF(MAIN!$H$3="Selected Year",IF(A1568=MAIN!$B$3,"Yes","No"),IF(MAIN!$H$3="Included Years",IF(D1568="Yes","Yes","No"),IF(C1568="Yes","Yes","No")))</f>
        <v>No</v>
      </c>
      <c r="Z1568" t="str">
        <f>IF(MAIN!$F$3="Project to Date",IF(AND(A1568&gt;=SETTINGS!$B$4,A1568&lt;MAIN!$B$3),"Yes",IF(AND(A1568=MAIN!$B$3,E1568&lt;=MAIN!$L$3),"Yes","No")),IF(OR(MAIN!$F$3="Full Year",MAIN!$D$3="All"),"Yes",IF(MAIN!$F$3="Monthly",IF(E1568=MAIN!$L$3,"Yes","No"),IF(E1568&lt;=MAIN!$L$3,"Yes","No"))))</f>
        <v>Yes</v>
      </c>
      <c r="AA1568" t="str">
        <f t="shared" si="149"/>
        <v>No</v>
      </c>
    </row>
    <row r="1569" spans="1:27" x14ac:dyDescent="0.3">
      <c r="A1569">
        <f>INDEX(SETTINGS!$A$15:$A$24,$B1569)</f>
        <v>2031</v>
      </c>
      <c r="B1569">
        <v>7</v>
      </c>
      <c r="C1569" t="str">
        <f>IF(AND(A1569&gt;=SETTINGS!$B$4,A1569&lt;=SETTINGS!$B$5),"Yes","No")</f>
        <v>No</v>
      </c>
      <c r="D1569" t="str">
        <f>IFERROR(INDEX(SETTINGS!$C$15:$C$24,MATCH(A1569,SETTINGS!$A$15:$A$24,0)),"No")</f>
        <v>No</v>
      </c>
      <c r="E1569">
        <v>11</v>
      </c>
      <c r="F1569" t="s">
        <v>44</v>
      </c>
      <c r="G1569">
        <v>260</v>
      </c>
      <c r="H1569" t="s">
        <v>103</v>
      </c>
      <c r="I1569" t="s">
        <v>22</v>
      </c>
      <c r="J1569" t="s">
        <v>23</v>
      </c>
      <c r="K1569" t="s">
        <v>3</v>
      </c>
      <c r="L1569" s="36">
        <f ca="1">IF(C1569&lt;&gt;"Yes",0,IF(A1569=2025,N('2025'!D260),IF(A1569=2026,N('2026'!D260),IF(A1569=2027,N('2027'!D260),IF(A1569=2028,N('2028'!D260),IF(A1569=2029,N('2029'!D260),IF(A1569=2030,N('2030'!D260),IF(A1569=2031,N('2031'!D260),IF(A1569=2032,N('2032'!D260),IF(A1569=2033,N('2033'!D260),IF(A1569=2034,N('2034'!D260),IFERROR(N(INDIRECT("'"&amp;A1569&amp;"'!D"&amp;G1569)),0))))))))))))</f>
        <v>0</v>
      </c>
      <c r="M1569" s="36">
        <f>IFERROR(IF(NOT(ISBLANK(KPI_TARGETS!$M$14)),KPI_TARGETS!$M$14,IF(NOT(ISBLANK(KPI_TARGETS!$F$14)),KPI_TARGETS!$F$14,"")),"")</f>
        <v>35</v>
      </c>
      <c r="N1569" s="36" t="str">
        <f>IFERROR(KPI_TARGETS!$E$14,"Higher is better")</f>
        <v>Higher is better</v>
      </c>
      <c r="O1569" s="37">
        <f t="shared" ca="1" si="144"/>
        <v>0</v>
      </c>
      <c r="P1569" t="str">
        <f t="shared" ca="1" si="145"/>
        <v>Red</v>
      </c>
      <c r="Q1569" s="36">
        <f t="shared" ca="1" si="146"/>
        <v>-35</v>
      </c>
      <c r="R1569" s="36" t="str">
        <f>""</f>
        <v/>
      </c>
      <c r="S1569" s="36" t="str">
        <f>""</f>
        <v/>
      </c>
      <c r="T1569" s="36" t="str">
        <f>""</f>
        <v/>
      </c>
      <c r="U1569" s="36" t="str">
        <f>""</f>
        <v/>
      </c>
      <c r="V1569" s="36" t="str">
        <f>""</f>
        <v/>
      </c>
      <c r="W1569" s="36">
        <f t="shared" si="147"/>
        <v>1</v>
      </c>
      <c r="X1569" t="str">
        <f t="shared" si="148"/>
        <v>Inactive</v>
      </c>
      <c r="Y1569" t="str">
        <f>IF(MAIN!$H$3="Selected Year",IF(A1569=MAIN!$B$3,"Yes","No"),IF(MAIN!$H$3="Included Years",IF(D1569="Yes","Yes","No"),IF(C1569="Yes","Yes","No")))</f>
        <v>No</v>
      </c>
      <c r="Z1569" t="str">
        <f>IF(MAIN!$F$3="Project to Date",IF(AND(A1569&gt;=SETTINGS!$B$4,A1569&lt;MAIN!$B$3),"Yes",IF(AND(A1569=MAIN!$B$3,E1569&lt;=MAIN!$L$3),"Yes","No")),IF(OR(MAIN!$F$3="Full Year",MAIN!$D$3="All"),"Yes",IF(MAIN!$F$3="Monthly",IF(E1569=MAIN!$L$3,"Yes","No"),IF(E1569&lt;=MAIN!$L$3,"Yes","No"))))</f>
        <v>Yes</v>
      </c>
      <c r="AA1569" t="str">
        <f t="shared" si="149"/>
        <v>No</v>
      </c>
    </row>
    <row r="1570" spans="1:27" x14ac:dyDescent="0.3">
      <c r="A1570">
        <f>INDEX(SETTINGS!$A$15:$A$24,$B1570)</f>
        <v>2031</v>
      </c>
      <c r="B1570">
        <v>7</v>
      </c>
      <c r="C1570" t="str">
        <f>IF(AND(A1570&gt;=SETTINGS!$B$4,A1570&lt;=SETTINGS!$B$5),"Yes","No")</f>
        <v>No</v>
      </c>
      <c r="D1570" t="str">
        <f>IFERROR(INDEX(SETTINGS!$C$15:$C$24,MATCH(A1570,SETTINGS!$A$15:$A$24,0)),"No")</f>
        <v>No</v>
      </c>
      <c r="E1570">
        <v>11</v>
      </c>
      <c r="F1570" t="s">
        <v>44</v>
      </c>
      <c r="G1570">
        <v>261</v>
      </c>
      <c r="H1570" t="s">
        <v>104</v>
      </c>
      <c r="I1570" t="s">
        <v>22</v>
      </c>
      <c r="J1570" t="s">
        <v>24</v>
      </c>
      <c r="K1570" t="s">
        <v>3</v>
      </c>
      <c r="L1570" s="36">
        <f ca="1">IF(C1570&lt;&gt;"Yes",0,IF(A1570=2025,N('2025'!D261),IF(A1570=2026,N('2026'!D261),IF(A1570=2027,N('2027'!D261),IF(A1570=2028,N('2028'!D261),IF(A1570=2029,N('2029'!D261),IF(A1570=2030,N('2030'!D261),IF(A1570=2031,N('2031'!D261),IF(A1570=2032,N('2032'!D261),IF(A1570=2033,N('2033'!D261),IF(A1570=2034,N('2034'!D261),IFERROR(N(INDIRECT("'"&amp;A1570&amp;"'!D"&amp;G1570)),0))))))))))))</f>
        <v>0</v>
      </c>
      <c r="M1570" s="36">
        <f>IFERROR(IF(NOT(ISBLANK(KPI_TARGETS!$M$15)),KPI_TARGETS!$M$15,IF(NOT(ISBLANK(KPI_TARGETS!$F$15)),KPI_TARGETS!$F$15,"")),"")</f>
        <v>5</v>
      </c>
      <c r="N1570" s="36" t="str">
        <f>IFERROR(KPI_TARGETS!$E$15,"Higher is better")</f>
        <v>Higher is better</v>
      </c>
      <c r="O1570" s="37">
        <f t="shared" ca="1" si="144"/>
        <v>0</v>
      </c>
      <c r="P1570" t="str">
        <f t="shared" ca="1" si="145"/>
        <v>Red</v>
      </c>
      <c r="Q1570" s="36">
        <f t="shared" ca="1" si="146"/>
        <v>-5</v>
      </c>
      <c r="R1570" s="36" t="str">
        <f>""</f>
        <v/>
      </c>
      <c r="S1570" s="36" t="str">
        <f>""</f>
        <v/>
      </c>
      <c r="T1570" s="36" t="str">
        <f>""</f>
        <v/>
      </c>
      <c r="U1570" s="36" t="str">
        <f>""</f>
        <v/>
      </c>
      <c r="V1570" s="36" t="str">
        <f>""</f>
        <v/>
      </c>
      <c r="W1570" s="36">
        <f t="shared" si="147"/>
        <v>1</v>
      </c>
      <c r="X1570" t="str">
        <f t="shared" si="148"/>
        <v>Inactive</v>
      </c>
      <c r="Y1570" t="str">
        <f>IF(MAIN!$H$3="Selected Year",IF(A1570=MAIN!$B$3,"Yes","No"),IF(MAIN!$H$3="Included Years",IF(D1570="Yes","Yes","No"),IF(C1570="Yes","Yes","No")))</f>
        <v>No</v>
      </c>
      <c r="Z1570" t="str">
        <f>IF(MAIN!$F$3="Project to Date",IF(AND(A1570&gt;=SETTINGS!$B$4,A1570&lt;MAIN!$B$3),"Yes",IF(AND(A1570=MAIN!$B$3,E1570&lt;=MAIN!$L$3),"Yes","No")),IF(OR(MAIN!$F$3="Full Year",MAIN!$D$3="All"),"Yes",IF(MAIN!$F$3="Monthly",IF(E1570=MAIN!$L$3,"Yes","No"),IF(E1570&lt;=MAIN!$L$3,"Yes","No"))))</f>
        <v>Yes</v>
      </c>
      <c r="AA1570" t="str">
        <f t="shared" si="149"/>
        <v>No</v>
      </c>
    </row>
    <row r="1571" spans="1:27" x14ac:dyDescent="0.3">
      <c r="A1571">
        <f>INDEX(SETTINGS!$A$15:$A$24,$B1571)</f>
        <v>2031</v>
      </c>
      <c r="B1571">
        <v>7</v>
      </c>
      <c r="C1571" t="str">
        <f>IF(AND(A1571&gt;=SETTINGS!$B$4,A1571&lt;=SETTINGS!$B$5),"Yes","No")</f>
        <v>No</v>
      </c>
      <c r="D1571" t="str">
        <f>IFERROR(INDEX(SETTINGS!$C$15:$C$24,MATCH(A1571,SETTINGS!$A$15:$A$24,0)),"No")</f>
        <v>No</v>
      </c>
      <c r="E1571">
        <v>11</v>
      </c>
      <c r="F1571" t="s">
        <v>44</v>
      </c>
      <c r="G1571">
        <v>262</v>
      </c>
      <c r="H1571" t="s">
        <v>105</v>
      </c>
      <c r="I1571" t="s">
        <v>22</v>
      </c>
      <c r="J1571" t="s">
        <v>25</v>
      </c>
      <c r="K1571" t="s">
        <v>3</v>
      </c>
      <c r="L1571" s="36">
        <f ca="1">IF(C1571&lt;&gt;"Yes",0,IF(A1571=2025,N('2025'!D262),IF(A1571=2026,N('2026'!D262),IF(A1571=2027,N('2027'!D262),IF(A1571=2028,N('2028'!D262),IF(A1571=2029,N('2029'!D262),IF(A1571=2030,N('2030'!D262),IF(A1571=2031,N('2031'!D262),IF(A1571=2032,N('2032'!D262),IF(A1571=2033,N('2033'!D262),IF(A1571=2034,N('2034'!D262),IFERROR(N(INDIRECT("'"&amp;A1571&amp;"'!D"&amp;G1571)),0))))))))))))</f>
        <v>0</v>
      </c>
      <c r="M1571" s="36">
        <f>IFERROR(IF(NOT(ISBLANK(KPI_TARGETS!$M$16)),KPI_TARGETS!$M$16,IF(NOT(ISBLANK(KPI_TARGETS!$F$16)),KPI_TARGETS!$F$16,"")),"")</f>
        <v>4</v>
      </c>
      <c r="N1571" s="36" t="str">
        <f>IFERROR(KPI_TARGETS!$E$16,"Higher is better")</f>
        <v>Higher is better</v>
      </c>
      <c r="O1571" s="37">
        <f t="shared" ca="1" si="144"/>
        <v>0</v>
      </c>
      <c r="P1571" t="str">
        <f t="shared" ca="1" si="145"/>
        <v>Red</v>
      </c>
      <c r="Q1571" s="36">
        <f t="shared" ca="1" si="146"/>
        <v>-4</v>
      </c>
      <c r="R1571" s="36" t="str">
        <f>""</f>
        <v/>
      </c>
      <c r="S1571" s="36" t="str">
        <f>""</f>
        <v/>
      </c>
      <c r="T1571" s="36" t="str">
        <f>""</f>
        <v/>
      </c>
      <c r="U1571" s="36" t="str">
        <f>""</f>
        <v/>
      </c>
      <c r="V1571" s="36" t="str">
        <f>""</f>
        <v/>
      </c>
      <c r="W1571" s="36">
        <f t="shared" si="147"/>
        <v>1</v>
      </c>
      <c r="X1571" t="str">
        <f t="shared" si="148"/>
        <v>Inactive</v>
      </c>
      <c r="Y1571" t="str">
        <f>IF(MAIN!$H$3="Selected Year",IF(A1571=MAIN!$B$3,"Yes","No"),IF(MAIN!$H$3="Included Years",IF(D1571="Yes","Yes","No"),IF(C1571="Yes","Yes","No")))</f>
        <v>No</v>
      </c>
      <c r="Z1571" t="str">
        <f>IF(MAIN!$F$3="Project to Date",IF(AND(A1571&gt;=SETTINGS!$B$4,A1571&lt;MAIN!$B$3),"Yes",IF(AND(A1571=MAIN!$B$3,E1571&lt;=MAIN!$L$3),"Yes","No")),IF(OR(MAIN!$F$3="Full Year",MAIN!$D$3="All"),"Yes",IF(MAIN!$F$3="Monthly",IF(E1571=MAIN!$L$3,"Yes","No"),IF(E1571&lt;=MAIN!$L$3,"Yes","No"))))</f>
        <v>Yes</v>
      </c>
      <c r="AA1571" t="str">
        <f t="shared" si="149"/>
        <v>No</v>
      </c>
    </row>
    <row r="1572" spans="1:27" x14ac:dyDescent="0.3">
      <c r="A1572">
        <f>INDEX(SETTINGS!$A$15:$A$24,$B1572)</f>
        <v>2031</v>
      </c>
      <c r="B1572">
        <v>7</v>
      </c>
      <c r="C1572" t="str">
        <f>IF(AND(A1572&gt;=SETTINGS!$B$4,A1572&lt;=SETTINGS!$B$5),"Yes","No")</f>
        <v>No</v>
      </c>
      <c r="D1572" t="str">
        <f>IFERROR(INDEX(SETTINGS!$C$15:$C$24,MATCH(A1572,SETTINGS!$A$15:$A$24,0)),"No")</f>
        <v>No</v>
      </c>
      <c r="E1572">
        <v>11</v>
      </c>
      <c r="F1572" t="s">
        <v>44</v>
      </c>
      <c r="G1572">
        <v>263</v>
      </c>
      <c r="H1572" t="s">
        <v>106</v>
      </c>
      <c r="I1572" t="s">
        <v>22</v>
      </c>
      <c r="J1572" t="s">
        <v>26</v>
      </c>
      <c r="K1572" t="s">
        <v>3</v>
      </c>
      <c r="L1572" s="36">
        <f ca="1">IF(C1572&lt;&gt;"Yes",0,IF(A1572=2025,N('2025'!D263),IF(A1572=2026,N('2026'!D263),IF(A1572=2027,N('2027'!D263),IF(A1572=2028,N('2028'!D263),IF(A1572=2029,N('2029'!D263),IF(A1572=2030,N('2030'!D263),IF(A1572=2031,N('2031'!D263),IF(A1572=2032,N('2032'!D263),IF(A1572=2033,N('2033'!D263),IF(A1572=2034,N('2034'!D263),IFERROR(N(INDIRECT("'"&amp;A1572&amp;"'!D"&amp;G1572)),0))))))))))))</f>
        <v>0</v>
      </c>
      <c r="M1572" s="36">
        <f>IFERROR(IF(NOT(ISBLANK(KPI_TARGETS!$M$17)),KPI_TARGETS!$M$17,IF(NOT(ISBLANK(KPI_TARGETS!$F$17)),KPI_TARGETS!$F$17,"")),"")</f>
        <v>12</v>
      </c>
      <c r="N1572" s="36" t="str">
        <f>IFERROR(KPI_TARGETS!$E$17,"Higher is better")</f>
        <v>Higher is better</v>
      </c>
      <c r="O1572" s="37">
        <f t="shared" ca="1" si="144"/>
        <v>0</v>
      </c>
      <c r="P1572" t="str">
        <f t="shared" ca="1" si="145"/>
        <v>Red</v>
      </c>
      <c r="Q1572" s="36">
        <f t="shared" ca="1" si="146"/>
        <v>-12</v>
      </c>
      <c r="R1572" s="36" t="str">
        <f>""</f>
        <v/>
      </c>
      <c r="S1572" s="36" t="str">
        <f>""</f>
        <v/>
      </c>
      <c r="T1572" s="36" t="str">
        <f>""</f>
        <v/>
      </c>
      <c r="U1572" s="36" t="str">
        <f>""</f>
        <v/>
      </c>
      <c r="V1572" s="36" t="str">
        <f>""</f>
        <v/>
      </c>
      <c r="W1572" s="36">
        <f t="shared" si="147"/>
        <v>1</v>
      </c>
      <c r="X1572" t="str">
        <f t="shared" si="148"/>
        <v>Inactive</v>
      </c>
      <c r="Y1572" t="str">
        <f>IF(MAIN!$H$3="Selected Year",IF(A1572=MAIN!$B$3,"Yes","No"),IF(MAIN!$H$3="Included Years",IF(D1572="Yes","Yes","No"),IF(C1572="Yes","Yes","No")))</f>
        <v>No</v>
      </c>
      <c r="Z1572" t="str">
        <f>IF(MAIN!$F$3="Project to Date",IF(AND(A1572&gt;=SETTINGS!$B$4,A1572&lt;MAIN!$B$3),"Yes",IF(AND(A1572=MAIN!$B$3,E1572&lt;=MAIN!$L$3),"Yes","No")),IF(OR(MAIN!$F$3="Full Year",MAIN!$D$3="All"),"Yes",IF(MAIN!$F$3="Monthly",IF(E1572=MAIN!$L$3,"Yes","No"),IF(E1572&lt;=MAIN!$L$3,"Yes","No"))))</f>
        <v>Yes</v>
      </c>
      <c r="AA1572" t="str">
        <f t="shared" si="149"/>
        <v>No</v>
      </c>
    </row>
    <row r="1573" spans="1:27" x14ac:dyDescent="0.3">
      <c r="A1573">
        <f>INDEX(SETTINGS!$A$15:$A$24,$B1573)</f>
        <v>2031</v>
      </c>
      <c r="B1573">
        <v>7</v>
      </c>
      <c r="C1573" t="str">
        <f>IF(AND(A1573&gt;=SETTINGS!$B$4,A1573&lt;=SETTINGS!$B$5),"Yes","No")</f>
        <v>No</v>
      </c>
      <c r="D1573" t="str">
        <f>IFERROR(INDEX(SETTINGS!$C$15:$C$24,MATCH(A1573,SETTINGS!$A$15:$A$24,0)),"No")</f>
        <v>No</v>
      </c>
      <c r="E1573">
        <v>11</v>
      </c>
      <c r="F1573" t="s">
        <v>44</v>
      </c>
      <c r="G1573">
        <v>264</v>
      </c>
      <c r="H1573" t="s">
        <v>107</v>
      </c>
      <c r="I1573" t="s">
        <v>22</v>
      </c>
      <c r="J1573" t="s">
        <v>27</v>
      </c>
      <c r="K1573" t="s">
        <v>3</v>
      </c>
      <c r="L1573" s="36">
        <f ca="1">IF(C1573&lt;&gt;"Yes",0,IF(A1573=2025,N('2025'!D264),IF(A1573=2026,N('2026'!D264),IF(A1573=2027,N('2027'!D264),IF(A1573=2028,N('2028'!D264),IF(A1573=2029,N('2029'!D264),IF(A1573=2030,N('2030'!D264),IF(A1573=2031,N('2031'!D264),IF(A1573=2032,N('2032'!D264),IF(A1573=2033,N('2033'!D264),IF(A1573=2034,N('2034'!D264),IFERROR(N(INDIRECT("'"&amp;A1573&amp;"'!D"&amp;G1573)),0))))))))))))</f>
        <v>0</v>
      </c>
      <c r="M1573" s="36">
        <f>IFERROR(IF(NOT(ISBLANK(KPI_TARGETS!$M$18)),KPI_TARGETS!$M$18,IF(NOT(ISBLANK(KPI_TARGETS!$F$18)),KPI_TARGETS!$F$18,"")),"")</f>
        <v>4</v>
      </c>
      <c r="N1573" s="36" t="str">
        <f>IFERROR(KPI_TARGETS!$E$18,"Higher is better")</f>
        <v>Higher is better</v>
      </c>
      <c r="O1573" s="37">
        <f t="shared" ca="1" si="144"/>
        <v>0</v>
      </c>
      <c r="P1573" t="str">
        <f t="shared" ca="1" si="145"/>
        <v>Red</v>
      </c>
      <c r="Q1573" s="36">
        <f t="shared" ca="1" si="146"/>
        <v>-4</v>
      </c>
      <c r="R1573" s="36" t="str">
        <f>""</f>
        <v/>
      </c>
      <c r="S1573" s="36" t="str">
        <f>""</f>
        <v/>
      </c>
      <c r="T1573" s="36" t="str">
        <f>""</f>
        <v/>
      </c>
      <c r="U1573" s="36" t="str">
        <f>""</f>
        <v/>
      </c>
      <c r="V1573" s="36" t="str">
        <f>""</f>
        <v/>
      </c>
      <c r="W1573" s="36">
        <f t="shared" si="147"/>
        <v>1</v>
      </c>
      <c r="X1573" t="str">
        <f t="shared" si="148"/>
        <v>Inactive</v>
      </c>
      <c r="Y1573" t="str">
        <f>IF(MAIN!$H$3="Selected Year",IF(A1573=MAIN!$B$3,"Yes","No"),IF(MAIN!$H$3="Included Years",IF(D1573="Yes","Yes","No"),IF(C1573="Yes","Yes","No")))</f>
        <v>No</v>
      </c>
      <c r="Z1573" t="str">
        <f>IF(MAIN!$F$3="Project to Date",IF(AND(A1573&gt;=SETTINGS!$B$4,A1573&lt;MAIN!$B$3),"Yes",IF(AND(A1573=MAIN!$B$3,E1573&lt;=MAIN!$L$3),"Yes","No")),IF(OR(MAIN!$F$3="Full Year",MAIN!$D$3="All"),"Yes",IF(MAIN!$F$3="Monthly",IF(E1573=MAIN!$L$3,"Yes","No"),IF(E1573&lt;=MAIN!$L$3,"Yes","No"))))</f>
        <v>Yes</v>
      </c>
      <c r="AA1573" t="str">
        <f t="shared" si="149"/>
        <v>No</v>
      </c>
    </row>
    <row r="1574" spans="1:27" x14ac:dyDescent="0.3">
      <c r="A1574">
        <f>INDEX(SETTINGS!$A$15:$A$24,$B1574)</f>
        <v>2031</v>
      </c>
      <c r="B1574">
        <v>7</v>
      </c>
      <c r="C1574" t="str">
        <f>IF(AND(A1574&gt;=SETTINGS!$B$4,A1574&lt;=SETTINGS!$B$5),"Yes","No")</f>
        <v>No</v>
      </c>
      <c r="D1574" t="str">
        <f>IFERROR(INDEX(SETTINGS!$C$15:$C$24,MATCH(A1574,SETTINGS!$A$15:$A$24,0)),"No")</f>
        <v>No</v>
      </c>
      <c r="E1574">
        <v>11</v>
      </c>
      <c r="F1574" t="s">
        <v>44</v>
      </c>
      <c r="G1574">
        <v>265</v>
      </c>
      <c r="H1574" t="s">
        <v>108</v>
      </c>
      <c r="I1574" t="s">
        <v>22</v>
      </c>
      <c r="J1574" t="s">
        <v>28</v>
      </c>
      <c r="K1574" t="s">
        <v>3</v>
      </c>
      <c r="L1574" s="36">
        <f ca="1">IF(C1574&lt;&gt;"Yes",0,IF(A1574=2025,N('2025'!D265),IF(A1574=2026,N('2026'!D265),IF(A1574=2027,N('2027'!D265),IF(A1574=2028,N('2028'!D265),IF(A1574=2029,N('2029'!D265),IF(A1574=2030,N('2030'!D265),IF(A1574=2031,N('2031'!D265),IF(A1574=2032,N('2032'!D265),IF(A1574=2033,N('2033'!D265),IF(A1574=2034,N('2034'!D265),IFERROR(N(INDIRECT("'"&amp;A1574&amp;"'!D"&amp;G1574)),0))))))))))))</f>
        <v>0</v>
      </c>
      <c r="M1574" s="36">
        <f>IFERROR(IF(NOT(ISBLANK(KPI_TARGETS!$M$19)),KPI_TARGETS!$M$19,IF(NOT(ISBLANK(KPI_TARGETS!$F$19)),KPI_TARGETS!$F$19,"")),"")</f>
        <v>16</v>
      </c>
      <c r="N1574" s="36" t="str">
        <f>IFERROR(KPI_TARGETS!$E$19,"Higher is better")</f>
        <v>Higher is better</v>
      </c>
      <c r="O1574" s="37">
        <f t="shared" ca="1" si="144"/>
        <v>0</v>
      </c>
      <c r="P1574" t="str">
        <f t="shared" ca="1" si="145"/>
        <v>Red</v>
      </c>
      <c r="Q1574" s="36">
        <f t="shared" ca="1" si="146"/>
        <v>-16</v>
      </c>
      <c r="R1574" s="36" t="str">
        <f>""</f>
        <v/>
      </c>
      <c r="S1574" s="36" t="str">
        <f>""</f>
        <v/>
      </c>
      <c r="T1574" s="36" t="str">
        <f>""</f>
        <v/>
      </c>
      <c r="U1574" s="36" t="str">
        <f>""</f>
        <v/>
      </c>
      <c r="V1574" s="36" t="str">
        <f>""</f>
        <v/>
      </c>
      <c r="W1574" s="36">
        <f t="shared" si="147"/>
        <v>1</v>
      </c>
      <c r="X1574" t="str">
        <f t="shared" si="148"/>
        <v>Inactive</v>
      </c>
      <c r="Y1574" t="str">
        <f>IF(MAIN!$H$3="Selected Year",IF(A1574=MAIN!$B$3,"Yes","No"),IF(MAIN!$H$3="Included Years",IF(D1574="Yes","Yes","No"),IF(C1574="Yes","Yes","No")))</f>
        <v>No</v>
      </c>
      <c r="Z1574" t="str">
        <f>IF(MAIN!$F$3="Project to Date",IF(AND(A1574&gt;=SETTINGS!$B$4,A1574&lt;MAIN!$B$3),"Yes",IF(AND(A1574=MAIN!$B$3,E1574&lt;=MAIN!$L$3),"Yes","No")),IF(OR(MAIN!$F$3="Full Year",MAIN!$D$3="All"),"Yes",IF(MAIN!$F$3="Monthly",IF(E1574=MAIN!$L$3,"Yes","No"),IF(E1574&lt;=MAIN!$L$3,"Yes","No"))))</f>
        <v>Yes</v>
      </c>
      <c r="AA1574" t="str">
        <f t="shared" si="149"/>
        <v>No</v>
      </c>
    </row>
    <row r="1575" spans="1:27" x14ac:dyDescent="0.3">
      <c r="A1575">
        <f>INDEX(SETTINGS!$A$15:$A$24,$B1575)</f>
        <v>2031</v>
      </c>
      <c r="B1575">
        <v>7</v>
      </c>
      <c r="C1575" t="str">
        <f>IF(AND(A1575&gt;=SETTINGS!$B$4,A1575&lt;=SETTINGS!$B$5),"Yes","No")</f>
        <v>No</v>
      </c>
      <c r="D1575" t="str">
        <f>IFERROR(INDEX(SETTINGS!$C$15:$C$24,MATCH(A1575,SETTINGS!$A$15:$A$24,0)),"No")</f>
        <v>No</v>
      </c>
      <c r="E1575">
        <v>11</v>
      </c>
      <c r="F1575" t="s">
        <v>44</v>
      </c>
      <c r="G1575">
        <v>266</v>
      </c>
      <c r="H1575" t="s">
        <v>109</v>
      </c>
      <c r="I1575" t="s">
        <v>22</v>
      </c>
      <c r="J1575" t="s">
        <v>29</v>
      </c>
      <c r="K1575" t="s">
        <v>3</v>
      </c>
      <c r="L1575" s="36">
        <f ca="1">IF(C1575&lt;&gt;"Yes",0,IF(A1575=2025,N('2025'!D266),IF(A1575=2026,N('2026'!D266),IF(A1575=2027,N('2027'!D266),IF(A1575=2028,N('2028'!D266),IF(A1575=2029,N('2029'!D266),IF(A1575=2030,N('2030'!D266),IF(A1575=2031,N('2031'!D266),IF(A1575=2032,N('2032'!D266),IF(A1575=2033,N('2033'!D266),IF(A1575=2034,N('2034'!D266),IFERROR(N(INDIRECT("'"&amp;A1575&amp;"'!D"&amp;G1575)),0))))))))))))</f>
        <v>0</v>
      </c>
      <c r="M1575" s="36">
        <f>IFERROR(IF(NOT(ISBLANK(KPI_TARGETS!$M$20)),KPI_TARGETS!$M$20,IF(NOT(ISBLANK(KPI_TARGETS!$F$20)),KPI_TARGETS!$F$20,"")),"")</f>
        <v>1</v>
      </c>
      <c r="N1575" s="36" t="str">
        <f>IFERROR(KPI_TARGETS!$E$20,"Higher is better")</f>
        <v>Higher is better</v>
      </c>
      <c r="O1575" s="37">
        <f t="shared" ca="1" si="144"/>
        <v>0</v>
      </c>
      <c r="P1575" t="str">
        <f t="shared" ca="1" si="145"/>
        <v>Red</v>
      </c>
      <c r="Q1575" s="36">
        <f t="shared" ca="1" si="146"/>
        <v>-1</v>
      </c>
      <c r="R1575" s="36" t="str">
        <f>""</f>
        <v/>
      </c>
      <c r="S1575" s="36" t="str">
        <f>""</f>
        <v/>
      </c>
      <c r="T1575" s="36" t="str">
        <f>""</f>
        <v/>
      </c>
      <c r="U1575" s="36" t="str">
        <f>""</f>
        <v/>
      </c>
      <c r="V1575" s="36" t="str">
        <f>""</f>
        <v/>
      </c>
      <c r="W1575" s="36">
        <f t="shared" si="147"/>
        <v>1</v>
      </c>
      <c r="X1575" t="str">
        <f t="shared" si="148"/>
        <v>Inactive</v>
      </c>
      <c r="Y1575" t="str">
        <f>IF(MAIN!$H$3="Selected Year",IF(A1575=MAIN!$B$3,"Yes","No"),IF(MAIN!$H$3="Included Years",IF(D1575="Yes","Yes","No"),IF(C1575="Yes","Yes","No")))</f>
        <v>No</v>
      </c>
      <c r="Z1575" t="str">
        <f>IF(MAIN!$F$3="Project to Date",IF(AND(A1575&gt;=SETTINGS!$B$4,A1575&lt;MAIN!$B$3),"Yes",IF(AND(A1575=MAIN!$B$3,E1575&lt;=MAIN!$L$3),"Yes","No")),IF(OR(MAIN!$F$3="Full Year",MAIN!$D$3="All"),"Yes",IF(MAIN!$F$3="Monthly",IF(E1575=MAIN!$L$3,"Yes","No"),IF(E1575&lt;=MAIN!$L$3,"Yes","No"))))</f>
        <v>Yes</v>
      </c>
      <c r="AA1575" t="str">
        <f t="shared" si="149"/>
        <v>No</v>
      </c>
    </row>
    <row r="1576" spans="1:27" x14ac:dyDescent="0.3">
      <c r="A1576">
        <f>INDEX(SETTINGS!$A$15:$A$24,$B1576)</f>
        <v>2031</v>
      </c>
      <c r="B1576">
        <v>7</v>
      </c>
      <c r="C1576" t="str">
        <f>IF(AND(A1576&gt;=SETTINGS!$B$4,A1576&lt;=SETTINGS!$B$5),"Yes","No")</f>
        <v>No</v>
      </c>
      <c r="D1576" t="str">
        <f>IFERROR(INDEX(SETTINGS!$C$15:$C$24,MATCH(A1576,SETTINGS!$A$15:$A$24,0)),"No")</f>
        <v>No</v>
      </c>
      <c r="E1576">
        <v>11</v>
      </c>
      <c r="F1576" t="s">
        <v>44</v>
      </c>
      <c r="G1576">
        <v>268</v>
      </c>
      <c r="H1576" t="s">
        <v>110</v>
      </c>
      <c r="I1576" t="s">
        <v>30</v>
      </c>
      <c r="J1576" t="s">
        <v>31</v>
      </c>
      <c r="K1576" t="s">
        <v>3</v>
      </c>
      <c r="L1576" s="36">
        <f ca="1">IF(C1576&lt;&gt;"Yes",0,IF(A1576=2025,N('2025'!D268),IF(A1576=2026,N('2026'!D268),IF(A1576=2027,N('2027'!D268),IF(A1576=2028,N('2028'!D268),IF(A1576=2029,N('2029'!D268),IF(A1576=2030,N('2030'!D268),IF(A1576=2031,N('2031'!D268),IF(A1576=2032,N('2032'!D268),IF(A1576=2033,N('2033'!D268),IF(A1576=2034,N('2034'!D268),IFERROR(N(INDIRECT("'"&amp;A1576&amp;"'!D"&amp;G1576)),0))))))))))))</f>
        <v>0</v>
      </c>
      <c r="M1576" s="36">
        <f>IFERROR(IF(NOT(ISBLANK(KPI_TARGETS!$M$21)),KPI_TARGETS!$M$21,IF(NOT(ISBLANK(KPI_TARGETS!$F$21)),KPI_TARGETS!$F$21,"")),"")</f>
        <v>0</v>
      </c>
      <c r="N1576" s="36" t="str">
        <f>IFERROR(KPI_TARGETS!$E$21,"Higher is better")</f>
        <v>Lower is better</v>
      </c>
      <c r="O1576" s="37">
        <f t="shared" ca="1" si="144"/>
        <v>1</v>
      </c>
      <c r="P1576" t="str">
        <f t="shared" ca="1" si="145"/>
        <v>Green</v>
      </c>
      <c r="Q1576" s="36">
        <f t="shared" ca="1" si="146"/>
        <v>0</v>
      </c>
      <c r="R1576" s="36" t="str">
        <f>""</f>
        <v/>
      </c>
      <c r="S1576" s="36" t="str">
        <f>""</f>
        <v/>
      </c>
      <c r="T1576" s="36" t="str">
        <f>""</f>
        <v/>
      </c>
      <c r="U1576" s="36" t="str">
        <f>""</f>
        <v/>
      </c>
      <c r="V1576" s="36" t="str">
        <f>""</f>
        <v/>
      </c>
      <c r="W1576" s="36">
        <f t="shared" si="147"/>
        <v>1</v>
      </c>
      <c r="X1576" t="str">
        <f t="shared" si="148"/>
        <v>Inactive</v>
      </c>
      <c r="Y1576" t="str">
        <f>IF(MAIN!$H$3="Selected Year",IF(A1576=MAIN!$B$3,"Yes","No"),IF(MAIN!$H$3="Included Years",IF(D1576="Yes","Yes","No"),IF(C1576="Yes","Yes","No")))</f>
        <v>No</v>
      </c>
      <c r="Z1576" t="str">
        <f>IF(MAIN!$F$3="Project to Date",IF(AND(A1576&gt;=SETTINGS!$B$4,A1576&lt;MAIN!$B$3),"Yes",IF(AND(A1576=MAIN!$B$3,E1576&lt;=MAIN!$L$3),"Yes","No")),IF(OR(MAIN!$F$3="Full Year",MAIN!$D$3="All"),"Yes",IF(MAIN!$F$3="Monthly",IF(E1576=MAIN!$L$3,"Yes","No"),IF(E1576&lt;=MAIN!$L$3,"Yes","No"))))</f>
        <v>Yes</v>
      </c>
      <c r="AA1576" t="str">
        <f t="shared" si="149"/>
        <v>No</v>
      </c>
    </row>
    <row r="1577" spans="1:27" x14ac:dyDescent="0.3">
      <c r="A1577">
        <f>INDEX(SETTINGS!$A$15:$A$24,$B1577)</f>
        <v>2031</v>
      </c>
      <c r="B1577">
        <v>7</v>
      </c>
      <c r="C1577" t="str">
        <f>IF(AND(A1577&gt;=SETTINGS!$B$4,A1577&lt;=SETTINGS!$B$5),"Yes","No")</f>
        <v>No</v>
      </c>
      <c r="D1577" t="str">
        <f>IFERROR(INDEX(SETTINGS!$C$15:$C$24,MATCH(A1577,SETTINGS!$A$15:$A$24,0)),"No")</f>
        <v>No</v>
      </c>
      <c r="E1577">
        <v>11</v>
      </c>
      <c r="F1577" t="s">
        <v>44</v>
      </c>
      <c r="G1577">
        <v>269</v>
      </c>
      <c r="H1577" t="s">
        <v>111</v>
      </c>
      <c r="I1577" t="s">
        <v>30</v>
      </c>
      <c r="J1577" t="s">
        <v>32</v>
      </c>
      <c r="K1577" t="s">
        <v>3</v>
      </c>
      <c r="L1577" s="36">
        <f ca="1">IF(C1577&lt;&gt;"Yes",0,IF(A1577=2025,N('2025'!D269),IF(A1577=2026,N('2026'!D269),IF(A1577=2027,N('2027'!D269),IF(A1577=2028,N('2028'!D269),IF(A1577=2029,N('2029'!D269),IF(A1577=2030,N('2030'!D269),IF(A1577=2031,N('2031'!D269),IF(A1577=2032,N('2032'!D269),IF(A1577=2033,N('2033'!D269),IF(A1577=2034,N('2034'!D269),IFERROR(N(INDIRECT("'"&amp;A1577&amp;"'!D"&amp;G1577)),0))))))))))))</f>
        <v>0</v>
      </c>
      <c r="M1577" s="36">
        <f>IFERROR(IF(NOT(ISBLANK(KPI_TARGETS!$M$22)),KPI_TARGETS!$M$22,IF(NOT(ISBLANK(KPI_TARGETS!$F$22)),KPI_TARGETS!$F$22,"")),"")</f>
        <v>1</v>
      </c>
      <c r="N1577" s="36" t="str">
        <f>IFERROR(KPI_TARGETS!$E$22,"Higher is better")</f>
        <v>Higher is better</v>
      </c>
      <c r="O1577" s="37">
        <f t="shared" ca="1" si="144"/>
        <v>0</v>
      </c>
      <c r="P1577" t="str">
        <f t="shared" ca="1" si="145"/>
        <v>Red</v>
      </c>
      <c r="Q1577" s="36">
        <f t="shared" ca="1" si="146"/>
        <v>-1</v>
      </c>
      <c r="R1577" s="36" t="str">
        <f>""</f>
        <v/>
      </c>
      <c r="S1577" s="36" t="str">
        <f>""</f>
        <v/>
      </c>
      <c r="T1577" s="36" t="str">
        <f>""</f>
        <v/>
      </c>
      <c r="U1577" s="36" t="str">
        <f>""</f>
        <v/>
      </c>
      <c r="V1577" s="36" t="str">
        <f>""</f>
        <v/>
      </c>
      <c r="W1577" s="36">
        <f t="shared" si="147"/>
        <v>1</v>
      </c>
      <c r="X1577" t="str">
        <f t="shared" si="148"/>
        <v>Inactive</v>
      </c>
      <c r="Y1577" t="str">
        <f>IF(MAIN!$H$3="Selected Year",IF(A1577=MAIN!$B$3,"Yes","No"),IF(MAIN!$H$3="Included Years",IF(D1577="Yes","Yes","No"),IF(C1577="Yes","Yes","No")))</f>
        <v>No</v>
      </c>
      <c r="Z1577" t="str">
        <f>IF(MAIN!$F$3="Project to Date",IF(AND(A1577&gt;=SETTINGS!$B$4,A1577&lt;MAIN!$B$3),"Yes",IF(AND(A1577=MAIN!$B$3,E1577&lt;=MAIN!$L$3),"Yes","No")),IF(OR(MAIN!$F$3="Full Year",MAIN!$D$3="All"),"Yes",IF(MAIN!$F$3="Monthly",IF(E1577=MAIN!$L$3,"Yes","No"),IF(E1577&lt;=MAIN!$L$3,"Yes","No"))))</f>
        <v>Yes</v>
      </c>
      <c r="AA1577" t="str">
        <f t="shared" si="149"/>
        <v>No</v>
      </c>
    </row>
    <row r="1578" spans="1:27" x14ac:dyDescent="0.3">
      <c r="A1578">
        <f>INDEX(SETTINGS!$A$15:$A$24,$B1578)</f>
        <v>2031</v>
      </c>
      <c r="B1578">
        <v>7</v>
      </c>
      <c r="C1578" t="str">
        <f>IF(AND(A1578&gt;=SETTINGS!$B$4,A1578&lt;=SETTINGS!$B$5),"Yes","No")</f>
        <v>No</v>
      </c>
      <c r="D1578" t="str">
        <f>IFERROR(INDEX(SETTINGS!$C$15:$C$24,MATCH(A1578,SETTINGS!$A$15:$A$24,0)),"No")</f>
        <v>No</v>
      </c>
      <c r="E1578">
        <v>11</v>
      </c>
      <c r="F1578" t="s">
        <v>44</v>
      </c>
      <c r="G1578">
        <v>270</v>
      </c>
      <c r="H1578" t="s">
        <v>112</v>
      </c>
      <c r="I1578" t="s">
        <v>30</v>
      </c>
      <c r="J1578" t="s">
        <v>33</v>
      </c>
      <c r="K1578" t="s">
        <v>34</v>
      </c>
      <c r="L1578" s="36">
        <f ca="1">IF(C1578&lt;&gt;"Yes",0,IF(A1578=2025,N('2025'!D270),IF(A1578=2026,N('2026'!D270),IF(A1578=2027,N('2027'!D270),IF(A1578=2028,N('2028'!D270),IF(A1578=2029,N('2029'!D270),IF(A1578=2030,N('2030'!D270),IF(A1578=2031,N('2031'!D270),IF(A1578=2032,N('2032'!D270),IF(A1578=2033,N('2033'!D270),IF(A1578=2034,N('2034'!D270),IFERROR(N(INDIRECT("'"&amp;A1578&amp;"'!D"&amp;G1578)),0))))))))))))</f>
        <v>0</v>
      </c>
      <c r="M1578" s="36">
        <f>IFERROR(IF(NOT(ISBLANK(KPI_TARGETS!$M$23)),KPI_TARGETS!$M$23,IF(NOT(ISBLANK(KPI_TARGETS!$F$23)),KPI_TARGETS!$F$23,"")),"")</f>
        <v>1</v>
      </c>
      <c r="N1578" s="36" t="str">
        <f>IFERROR(KPI_TARGETS!$E$23,"Higher is better")</f>
        <v>Higher is better</v>
      </c>
      <c r="O1578" s="37">
        <f t="shared" ca="1" si="144"/>
        <v>0</v>
      </c>
      <c r="P1578" t="str">
        <f t="shared" ca="1" si="145"/>
        <v>Red</v>
      </c>
      <c r="Q1578" s="36">
        <f t="shared" ca="1" si="146"/>
        <v>-1</v>
      </c>
      <c r="R1578" s="36" t="str">
        <f>""</f>
        <v/>
      </c>
      <c r="S1578" s="36" t="str">
        <f>""</f>
        <v/>
      </c>
      <c r="T1578" s="36" t="str">
        <f>""</f>
        <v/>
      </c>
      <c r="U1578" s="36" t="str">
        <f>""</f>
        <v/>
      </c>
      <c r="V1578" s="36" t="str">
        <f>""</f>
        <v/>
      </c>
      <c r="W1578" s="36">
        <f t="shared" si="147"/>
        <v>1</v>
      </c>
      <c r="X1578" t="str">
        <f t="shared" si="148"/>
        <v>Inactive</v>
      </c>
      <c r="Y1578" t="str">
        <f>IF(MAIN!$H$3="Selected Year",IF(A1578=MAIN!$B$3,"Yes","No"),IF(MAIN!$H$3="Included Years",IF(D1578="Yes","Yes","No"),IF(C1578="Yes","Yes","No")))</f>
        <v>No</v>
      </c>
      <c r="Z1578" t="str">
        <f>IF(MAIN!$F$3="Project to Date",IF(AND(A1578&gt;=SETTINGS!$B$4,A1578&lt;MAIN!$B$3),"Yes",IF(AND(A1578=MAIN!$B$3,E1578&lt;=MAIN!$L$3),"Yes","No")),IF(OR(MAIN!$F$3="Full Year",MAIN!$D$3="All"),"Yes",IF(MAIN!$F$3="Monthly",IF(E1578=MAIN!$L$3,"Yes","No"),IF(E1578&lt;=MAIN!$L$3,"Yes","No"))))</f>
        <v>Yes</v>
      </c>
      <c r="AA1578" t="str">
        <f t="shared" si="149"/>
        <v>No</v>
      </c>
    </row>
    <row r="1579" spans="1:27" x14ac:dyDescent="0.3">
      <c r="A1579">
        <f>INDEX(SETTINGS!$A$15:$A$24,$B1579)</f>
        <v>2031</v>
      </c>
      <c r="B1579">
        <v>7</v>
      </c>
      <c r="C1579" t="str">
        <f>IF(AND(A1579&gt;=SETTINGS!$B$4,A1579&lt;=SETTINGS!$B$5),"Yes","No")</f>
        <v>No</v>
      </c>
      <c r="D1579" t="str">
        <f>IFERROR(INDEX(SETTINGS!$C$15:$C$24,MATCH(A1579,SETTINGS!$A$15:$A$24,0)),"No")</f>
        <v>No</v>
      </c>
      <c r="E1579">
        <v>12</v>
      </c>
      <c r="F1579" t="s">
        <v>45</v>
      </c>
      <c r="G1579">
        <v>273</v>
      </c>
      <c r="H1579" t="s">
        <v>88</v>
      </c>
      <c r="I1579" t="s">
        <v>89</v>
      </c>
      <c r="J1579" t="s">
        <v>10</v>
      </c>
      <c r="K1579" t="s">
        <v>3</v>
      </c>
      <c r="L1579" s="36">
        <f ca="1">IF(C1579&lt;&gt;"Yes",0,IF(A1579=2025,N('2025'!D273),IF(A1579=2026,N('2026'!D273),IF(A1579=2027,N('2027'!D273),IF(A1579=2028,N('2028'!D273),IF(A1579=2029,N('2029'!D273),IF(A1579=2030,N('2030'!D273),IF(A1579=2031,N('2031'!D273),IF(A1579=2032,N('2032'!D273),IF(A1579=2033,N('2033'!D273),IF(A1579=2034,N('2034'!D273),IFERROR(N(INDIRECT("'"&amp;A1579&amp;"'!D"&amp;G1579)),0))))))))))))</f>
        <v>0</v>
      </c>
      <c r="M1579" s="36">
        <f>IFERROR(IF(NOT(ISBLANK(KPI_TARGETS!$M$5)),KPI_TARGETS!$M$5,IF(NOT(ISBLANK(KPI_TARGETS!$F$5)),KPI_TARGETS!$F$5,"")),"")</f>
        <v>104</v>
      </c>
      <c r="N1579" s="36" t="str">
        <f>IFERROR(KPI_TARGETS!$E$5,"Higher is better")</f>
        <v>Higher is better</v>
      </c>
      <c r="O1579" s="37">
        <f t="shared" ca="1" si="144"/>
        <v>0</v>
      </c>
      <c r="P1579" t="str">
        <f t="shared" ca="1" si="145"/>
        <v>Red</v>
      </c>
      <c r="Q1579" s="36">
        <f t="shared" ca="1" si="146"/>
        <v>-104</v>
      </c>
      <c r="R1579" s="36" t="str">
        <f>""</f>
        <v/>
      </c>
      <c r="S1579" s="36" t="str">
        <f>""</f>
        <v/>
      </c>
      <c r="T1579" s="36" t="str">
        <f>""</f>
        <v/>
      </c>
      <c r="U1579" s="36" t="str">
        <f>""</f>
        <v/>
      </c>
      <c r="V1579" s="36" t="str">
        <f>""</f>
        <v/>
      </c>
      <c r="W1579" s="36">
        <f t="shared" si="147"/>
        <v>1</v>
      </c>
      <c r="X1579" t="str">
        <f t="shared" si="148"/>
        <v>Inactive</v>
      </c>
      <c r="Y1579" t="str">
        <f>IF(MAIN!$H$3="Selected Year",IF(A1579=MAIN!$B$3,"Yes","No"),IF(MAIN!$H$3="Included Years",IF(D1579="Yes","Yes","No"),IF(C1579="Yes","Yes","No")))</f>
        <v>No</v>
      </c>
      <c r="Z1579" t="str">
        <f>IF(MAIN!$F$3="Project to Date",IF(AND(A1579&gt;=SETTINGS!$B$4,A1579&lt;MAIN!$B$3),"Yes",IF(AND(A1579=MAIN!$B$3,E1579&lt;=MAIN!$L$3),"Yes","No")),IF(OR(MAIN!$F$3="Full Year",MAIN!$D$3="All"),"Yes",IF(MAIN!$F$3="Monthly",IF(E1579=MAIN!$L$3,"Yes","No"),IF(E1579&lt;=MAIN!$L$3,"Yes","No"))))</f>
        <v>Yes</v>
      </c>
      <c r="AA1579" t="str">
        <f t="shared" si="149"/>
        <v>No</v>
      </c>
    </row>
    <row r="1580" spans="1:27" x14ac:dyDescent="0.3">
      <c r="A1580">
        <f>INDEX(SETTINGS!$A$15:$A$24,$B1580)</f>
        <v>2031</v>
      </c>
      <c r="B1580">
        <v>7</v>
      </c>
      <c r="C1580" t="str">
        <f>IF(AND(A1580&gt;=SETTINGS!$B$4,A1580&lt;=SETTINGS!$B$5),"Yes","No")</f>
        <v>No</v>
      </c>
      <c r="D1580" t="str">
        <f>IFERROR(INDEX(SETTINGS!$C$15:$C$24,MATCH(A1580,SETTINGS!$A$15:$A$24,0)),"No")</f>
        <v>No</v>
      </c>
      <c r="E1580">
        <v>12</v>
      </c>
      <c r="F1580" t="s">
        <v>45</v>
      </c>
      <c r="G1580">
        <v>274</v>
      </c>
      <c r="H1580" t="s">
        <v>91</v>
      </c>
      <c r="I1580" t="s">
        <v>89</v>
      </c>
      <c r="J1580" t="s">
        <v>11</v>
      </c>
      <c r="K1580" t="s">
        <v>12</v>
      </c>
      <c r="L1580" s="36">
        <f ca="1">IF(C1580&lt;&gt;"Yes",0,IF(A1580=2025,N('2025'!D274),IF(A1580=2026,N('2026'!D274),IF(A1580=2027,N('2027'!D274),IF(A1580=2028,N('2028'!D274),IF(A1580=2029,N('2029'!D274),IF(A1580=2030,N('2030'!D274),IF(A1580=2031,N('2031'!D274),IF(A1580=2032,N('2032'!D274),IF(A1580=2033,N('2033'!D274),IF(A1580=2034,N('2034'!D274),IFERROR(N(INDIRECT("'"&amp;A1580&amp;"'!D"&amp;G1580)),0))))))))))))</f>
        <v>0</v>
      </c>
      <c r="M1580" s="36">
        <f>IFERROR(IF(NOT(ISBLANK(KPI_TARGETS!$M$6)),KPI_TARGETS!$M$6,IF(NOT(ISBLANK(KPI_TARGETS!$F$6)),KPI_TARGETS!$F$6,"")),"")</f>
        <v>4000</v>
      </c>
      <c r="N1580" s="36" t="str">
        <f>IFERROR(KPI_TARGETS!$E$6,"Higher is better")</f>
        <v>Higher is better</v>
      </c>
      <c r="O1580" s="37">
        <f t="shared" ca="1" si="144"/>
        <v>0</v>
      </c>
      <c r="P1580" t="str">
        <f t="shared" ca="1" si="145"/>
        <v>Red</v>
      </c>
      <c r="Q1580" s="36">
        <f t="shared" ca="1" si="146"/>
        <v>-4000</v>
      </c>
      <c r="R1580" s="36" t="str">
        <f>""</f>
        <v/>
      </c>
      <c r="S1580" s="36" t="str">
        <f>""</f>
        <v/>
      </c>
      <c r="T1580" s="36" t="str">
        <f>""</f>
        <v/>
      </c>
      <c r="U1580" s="36" t="str">
        <f>""</f>
        <v/>
      </c>
      <c r="V1580" s="36" t="str">
        <f>""</f>
        <v/>
      </c>
      <c r="W1580" s="36">
        <f t="shared" si="147"/>
        <v>1</v>
      </c>
      <c r="X1580" t="str">
        <f t="shared" si="148"/>
        <v>Inactive</v>
      </c>
      <c r="Y1580" t="str">
        <f>IF(MAIN!$H$3="Selected Year",IF(A1580=MAIN!$B$3,"Yes","No"),IF(MAIN!$H$3="Included Years",IF(D1580="Yes","Yes","No"),IF(C1580="Yes","Yes","No")))</f>
        <v>No</v>
      </c>
      <c r="Z1580" t="str">
        <f>IF(MAIN!$F$3="Project to Date",IF(AND(A1580&gt;=SETTINGS!$B$4,A1580&lt;MAIN!$B$3),"Yes",IF(AND(A1580=MAIN!$B$3,E1580&lt;=MAIN!$L$3),"Yes","No")),IF(OR(MAIN!$F$3="Full Year",MAIN!$D$3="All"),"Yes",IF(MAIN!$F$3="Monthly",IF(E1580=MAIN!$L$3,"Yes","No"),IF(E1580&lt;=MAIN!$L$3,"Yes","No"))))</f>
        <v>Yes</v>
      </c>
      <c r="AA1580" t="str">
        <f t="shared" si="149"/>
        <v>No</v>
      </c>
    </row>
    <row r="1581" spans="1:27" x14ac:dyDescent="0.3">
      <c r="A1581">
        <f>INDEX(SETTINGS!$A$15:$A$24,$B1581)</f>
        <v>2031</v>
      </c>
      <c r="B1581">
        <v>7</v>
      </c>
      <c r="C1581" t="str">
        <f>IF(AND(A1581&gt;=SETTINGS!$B$4,A1581&lt;=SETTINGS!$B$5),"Yes","No")</f>
        <v>No</v>
      </c>
      <c r="D1581" t="str">
        <f>IFERROR(INDEX(SETTINGS!$C$15:$C$24,MATCH(A1581,SETTINGS!$A$15:$A$24,0)),"No")</f>
        <v>No</v>
      </c>
      <c r="E1581">
        <v>12</v>
      </c>
      <c r="F1581" t="s">
        <v>45</v>
      </c>
      <c r="G1581">
        <v>275</v>
      </c>
      <c r="H1581" t="s">
        <v>93</v>
      </c>
      <c r="I1581" t="s">
        <v>89</v>
      </c>
      <c r="J1581" t="s">
        <v>13</v>
      </c>
      <c r="K1581" t="s">
        <v>14</v>
      </c>
      <c r="L1581" s="36">
        <f ca="1">IF(C1581&lt;&gt;"Yes",0,IF(A1581=2025,N('2025'!D275),IF(A1581=2026,N('2026'!D275),IF(A1581=2027,N('2027'!D275),IF(A1581=2028,N('2028'!D275),IF(A1581=2029,N('2029'!D275),IF(A1581=2030,N('2030'!D275),IF(A1581=2031,N('2031'!D275),IF(A1581=2032,N('2032'!D275),IF(A1581=2033,N('2033'!D275),IF(A1581=2034,N('2034'!D275),IFERROR(N(INDIRECT("'"&amp;A1581&amp;"'!D"&amp;G1581)),0))))))))))))</f>
        <v>0</v>
      </c>
      <c r="M1581" s="36">
        <f>IFERROR(IF(NOT(ISBLANK(KPI_TARGETS!$M$7)),KPI_TARGETS!$M$7,IF(NOT(ISBLANK(KPI_TARGETS!$F$7)),KPI_TARGETS!$F$7,"")),"")</f>
        <v>8000</v>
      </c>
      <c r="N1581" s="36" t="str">
        <f>IFERROR(KPI_TARGETS!$E$7,"Higher is better")</f>
        <v>Higher is better</v>
      </c>
      <c r="O1581" s="37">
        <f t="shared" ca="1" si="144"/>
        <v>0</v>
      </c>
      <c r="P1581" t="str">
        <f t="shared" ca="1" si="145"/>
        <v>Red</v>
      </c>
      <c r="Q1581" s="36">
        <f t="shared" ca="1" si="146"/>
        <v>-8000</v>
      </c>
      <c r="R1581" s="36" t="str">
        <f>""</f>
        <v/>
      </c>
      <c r="S1581" s="36" t="str">
        <f>""</f>
        <v/>
      </c>
      <c r="T1581" s="36" t="str">
        <f>""</f>
        <v/>
      </c>
      <c r="U1581" s="36" t="str">
        <f>""</f>
        <v/>
      </c>
      <c r="V1581" s="36" t="str">
        <f>""</f>
        <v/>
      </c>
      <c r="W1581" s="36">
        <f t="shared" si="147"/>
        <v>1</v>
      </c>
      <c r="X1581" t="str">
        <f t="shared" si="148"/>
        <v>Inactive</v>
      </c>
      <c r="Y1581" t="str">
        <f>IF(MAIN!$H$3="Selected Year",IF(A1581=MAIN!$B$3,"Yes","No"),IF(MAIN!$H$3="Included Years",IF(D1581="Yes","Yes","No"),IF(C1581="Yes","Yes","No")))</f>
        <v>No</v>
      </c>
      <c r="Z1581" t="str">
        <f>IF(MAIN!$F$3="Project to Date",IF(AND(A1581&gt;=SETTINGS!$B$4,A1581&lt;MAIN!$B$3),"Yes",IF(AND(A1581=MAIN!$B$3,E1581&lt;=MAIN!$L$3),"Yes","No")),IF(OR(MAIN!$F$3="Full Year",MAIN!$D$3="All"),"Yes",IF(MAIN!$F$3="Monthly",IF(E1581=MAIN!$L$3,"Yes","No"),IF(E1581&lt;=MAIN!$L$3,"Yes","No"))))</f>
        <v>Yes</v>
      </c>
      <c r="AA1581" t="str">
        <f t="shared" si="149"/>
        <v>No</v>
      </c>
    </row>
    <row r="1582" spans="1:27" x14ac:dyDescent="0.3">
      <c r="A1582">
        <f>INDEX(SETTINGS!$A$15:$A$24,$B1582)</f>
        <v>2031</v>
      </c>
      <c r="B1582">
        <v>7</v>
      </c>
      <c r="C1582" t="str">
        <f>IF(AND(A1582&gt;=SETTINGS!$B$4,A1582&lt;=SETTINGS!$B$5),"Yes","No")</f>
        <v>No</v>
      </c>
      <c r="D1582" t="str">
        <f>IFERROR(INDEX(SETTINGS!$C$15:$C$24,MATCH(A1582,SETTINGS!$A$15:$A$24,0)),"No")</f>
        <v>No</v>
      </c>
      <c r="E1582">
        <v>12</v>
      </c>
      <c r="F1582" t="s">
        <v>45</v>
      </c>
      <c r="G1582">
        <v>277</v>
      </c>
      <c r="H1582" t="s">
        <v>95</v>
      </c>
      <c r="I1582" t="s">
        <v>15</v>
      </c>
      <c r="J1582" t="s">
        <v>16</v>
      </c>
      <c r="K1582" t="s">
        <v>3</v>
      </c>
      <c r="L1582" s="36">
        <f ca="1">IF(C1582&lt;&gt;"Yes",0,IF(A1582=2025,N('2025'!D277),IF(A1582=2026,N('2026'!D277),IF(A1582=2027,N('2027'!D277),IF(A1582=2028,N('2028'!D277),IF(A1582=2029,N('2029'!D277),IF(A1582=2030,N('2030'!D277),IF(A1582=2031,N('2031'!D277),IF(A1582=2032,N('2032'!D277),IF(A1582=2033,N('2033'!D277),IF(A1582=2034,N('2034'!D277),IFERROR(N(INDIRECT("'"&amp;A1582&amp;"'!D"&amp;G1582)),0))))))))))))</f>
        <v>0</v>
      </c>
      <c r="M1582" s="36">
        <f>IFERROR(IF(NOT(ISBLANK(KPI_TARGETS!$M$8)),KPI_TARGETS!$M$8,IF(NOT(ISBLANK(KPI_TARGETS!$F$8)),KPI_TARGETS!$F$8,"")),"")</f>
        <v>0</v>
      </c>
      <c r="N1582" s="36" t="str">
        <f>IFERROR(KPI_TARGETS!$E$8,"Higher is better")</f>
        <v>Lower is better</v>
      </c>
      <c r="O1582" s="37">
        <f t="shared" ca="1" si="144"/>
        <v>1</v>
      </c>
      <c r="P1582" t="str">
        <f t="shared" ca="1" si="145"/>
        <v>Green</v>
      </c>
      <c r="Q1582" s="36">
        <f t="shared" ca="1" si="146"/>
        <v>0</v>
      </c>
      <c r="R1582" s="36" t="str">
        <f>""</f>
        <v/>
      </c>
      <c r="S1582" s="36" t="str">
        <f>""</f>
        <v/>
      </c>
      <c r="T1582" s="36" t="str">
        <f>""</f>
        <v/>
      </c>
      <c r="U1582" s="36" t="str">
        <f>""</f>
        <v/>
      </c>
      <c r="V1582" s="36" t="str">
        <f>""</f>
        <v/>
      </c>
      <c r="W1582" s="36">
        <f t="shared" si="147"/>
        <v>1</v>
      </c>
      <c r="X1582" t="str">
        <f t="shared" si="148"/>
        <v>Inactive</v>
      </c>
      <c r="Y1582" t="str">
        <f>IF(MAIN!$H$3="Selected Year",IF(A1582=MAIN!$B$3,"Yes","No"),IF(MAIN!$H$3="Included Years",IF(D1582="Yes","Yes","No"),IF(C1582="Yes","Yes","No")))</f>
        <v>No</v>
      </c>
      <c r="Z1582" t="str">
        <f>IF(MAIN!$F$3="Project to Date",IF(AND(A1582&gt;=SETTINGS!$B$4,A1582&lt;MAIN!$B$3),"Yes",IF(AND(A1582=MAIN!$B$3,E1582&lt;=MAIN!$L$3),"Yes","No")),IF(OR(MAIN!$F$3="Full Year",MAIN!$D$3="All"),"Yes",IF(MAIN!$F$3="Monthly",IF(E1582=MAIN!$L$3,"Yes","No"),IF(E1582&lt;=MAIN!$L$3,"Yes","No"))))</f>
        <v>Yes</v>
      </c>
      <c r="AA1582" t="str">
        <f t="shared" si="149"/>
        <v>No</v>
      </c>
    </row>
    <row r="1583" spans="1:27" x14ac:dyDescent="0.3">
      <c r="A1583">
        <f>INDEX(SETTINGS!$A$15:$A$24,$B1583)</f>
        <v>2031</v>
      </c>
      <c r="B1583">
        <v>7</v>
      </c>
      <c r="C1583" t="str">
        <f>IF(AND(A1583&gt;=SETTINGS!$B$4,A1583&lt;=SETTINGS!$B$5),"Yes","No")</f>
        <v>No</v>
      </c>
      <c r="D1583" t="str">
        <f>IFERROR(INDEX(SETTINGS!$C$15:$C$24,MATCH(A1583,SETTINGS!$A$15:$A$24,0)),"No")</f>
        <v>No</v>
      </c>
      <c r="E1583">
        <v>12</v>
      </c>
      <c r="F1583" t="s">
        <v>45</v>
      </c>
      <c r="G1583">
        <v>278</v>
      </c>
      <c r="H1583" t="s">
        <v>97</v>
      </c>
      <c r="I1583" t="s">
        <v>15</v>
      </c>
      <c r="J1583" t="s">
        <v>17</v>
      </c>
      <c r="K1583" t="s">
        <v>3</v>
      </c>
      <c r="L1583" s="36">
        <f ca="1">IF(C1583&lt;&gt;"Yes",0,IF(A1583=2025,N('2025'!D278),IF(A1583=2026,N('2026'!D278),IF(A1583=2027,N('2027'!D278),IF(A1583=2028,N('2028'!D278),IF(A1583=2029,N('2029'!D278),IF(A1583=2030,N('2030'!D278),IF(A1583=2031,N('2031'!D278),IF(A1583=2032,N('2032'!D278),IF(A1583=2033,N('2033'!D278),IF(A1583=2034,N('2034'!D278),IFERROR(N(INDIRECT("'"&amp;A1583&amp;"'!D"&amp;G1583)),0))))))))))))</f>
        <v>0</v>
      </c>
      <c r="M1583" s="36">
        <f>IFERROR(IF(NOT(ISBLANK(KPI_TARGETS!$M$9)),KPI_TARGETS!$M$9,IF(NOT(ISBLANK(KPI_TARGETS!$F$9)),KPI_TARGETS!$F$9,"")),"")</f>
        <v>0</v>
      </c>
      <c r="N1583" s="36" t="str">
        <f>IFERROR(KPI_TARGETS!$E$9,"Higher is better")</f>
        <v>Higher is better</v>
      </c>
      <c r="O1583" s="37" t="str">
        <f t="shared" ca="1" si="144"/>
        <v/>
      </c>
      <c r="P1583" t="str">
        <f t="shared" ca="1" si="145"/>
        <v>Green</v>
      </c>
      <c r="Q1583" s="36">
        <f t="shared" ca="1" si="146"/>
        <v>0</v>
      </c>
      <c r="R1583" s="36" t="str">
        <f>""</f>
        <v/>
      </c>
      <c r="S1583" s="36" t="str">
        <f>""</f>
        <v/>
      </c>
      <c r="T1583" s="36" t="str">
        <f>""</f>
        <v/>
      </c>
      <c r="U1583" s="36" t="str">
        <f>""</f>
        <v/>
      </c>
      <c r="V1583" s="36" t="str">
        <f>""</f>
        <v/>
      </c>
      <c r="W1583" s="36">
        <f t="shared" si="147"/>
        <v>1</v>
      </c>
      <c r="X1583" t="str">
        <f t="shared" si="148"/>
        <v>Inactive</v>
      </c>
      <c r="Y1583" t="str">
        <f>IF(MAIN!$H$3="Selected Year",IF(A1583=MAIN!$B$3,"Yes","No"),IF(MAIN!$H$3="Included Years",IF(D1583="Yes","Yes","No"),IF(C1583="Yes","Yes","No")))</f>
        <v>No</v>
      </c>
      <c r="Z1583" t="str">
        <f>IF(MAIN!$F$3="Project to Date",IF(AND(A1583&gt;=SETTINGS!$B$4,A1583&lt;MAIN!$B$3),"Yes",IF(AND(A1583=MAIN!$B$3,E1583&lt;=MAIN!$L$3),"Yes","No")),IF(OR(MAIN!$F$3="Full Year",MAIN!$D$3="All"),"Yes",IF(MAIN!$F$3="Monthly",IF(E1583=MAIN!$L$3,"Yes","No"),IF(E1583&lt;=MAIN!$L$3,"Yes","No"))))</f>
        <v>Yes</v>
      </c>
      <c r="AA1583" t="str">
        <f t="shared" si="149"/>
        <v>No</v>
      </c>
    </row>
    <row r="1584" spans="1:27" x14ac:dyDescent="0.3">
      <c r="A1584">
        <f>INDEX(SETTINGS!$A$15:$A$24,$B1584)</f>
        <v>2031</v>
      </c>
      <c r="B1584">
        <v>7</v>
      </c>
      <c r="C1584" t="str">
        <f>IF(AND(A1584&gt;=SETTINGS!$B$4,A1584&lt;=SETTINGS!$B$5),"Yes","No")</f>
        <v>No</v>
      </c>
      <c r="D1584" t="str">
        <f>IFERROR(INDEX(SETTINGS!$C$15:$C$24,MATCH(A1584,SETTINGS!$A$15:$A$24,0)),"No")</f>
        <v>No</v>
      </c>
      <c r="E1584">
        <v>12</v>
      </c>
      <c r="F1584" t="s">
        <v>45</v>
      </c>
      <c r="G1584">
        <v>279</v>
      </c>
      <c r="H1584" t="s">
        <v>99</v>
      </c>
      <c r="I1584" t="s">
        <v>15</v>
      </c>
      <c r="J1584" t="s">
        <v>18</v>
      </c>
      <c r="K1584" t="s">
        <v>3</v>
      </c>
      <c r="L1584" s="36">
        <f ca="1">IF(C1584&lt;&gt;"Yes",0,IF(A1584=2025,N('2025'!D279),IF(A1584=2026,N('2026'!D279),IF(A1584=2027,N('2027'!D279),IF(A1584=2028,N('2028'!D279),IF(A1584=2029,N('2029'!D279),IF(A1584=2030,N('2030'!D279),IF(A1584=2031,N('2031'!D279),IF(A1584=2032,N('2032'!D279),IF(A1584=2033,N('2033'!D279),IF(A1584=2034,N('2034'!D279),IFERROR(N(INDIRECT("'"&amp;A1584&amp;"'!D"&amp;G1584)),0))))))))))))</f>
        <v>0</v>
      </c>
      <c r="M1584" s="36">
        <f>IFERROR(IF(NOT(ISBLANK(KPI_TARGETS!$M$10)),KPI_TARGETS!$M$10,IF(NOT(ISBLANK(KPI_TARGETS!$F$10)),KPI_TARGETS!$F$10,"")),"")</f>
        <v>0</v>
      </c>
      <c r="N1584" s="36" t="str">
        <f>IFERROR(KPI_TARGETS!$E$10,"Higher is better")</f>
        <v>Lower is better</v>
      </c>
      <c r="O1584" s="37">
        <f t="shared" ca="1" si="144"/>
        <v>1</v>
      </c>
      <c r="P1584" t="str">
        <f t="shared" ca="1" si="145"/>
        <v>Green</v>
      </c>
      <c r="Q1584" s="36">
        <f t="shared" ca="1" si="146"/>
        <v>0</v>
      </c>
      <c r="R1584" s="36" t="str">
        <f>""</f>
        <v/>
      </c>
      <c r="S1584" s="36" t="str">
        <f>""</f>
        <v/>
      </c>
      <c r="T1584" s="36" t="str">
        <f>""</f>
        <v/>
      </c>
      <c r="U1584" s="36" t="str">
        <f>""</f>
        <v/>
      </c>
      <c r="V1584" s="36" t="str">
        <f>""</f>
        <v/>
      </c>
      <c r="W1584" s="36">
        <f t="shared" si="147"/>
        <v>1</v>
      </c>
      <c r="X1584" t="str">
        <f t="shared" si="148"/>
        <v>Inactive</v>
      </c>
      <c r="Y1584" t="str">
        <f>IF(MAIN!$H$3="Selected Year",IF(A1584=MAIN!$B$3,"Yes","No"),IF(MAIN!$H$3="Included Years",IF(D1584="Yes","Yes","No"),IF(C1584="Yes","Yes","No")))</f>
        <v>No</v>
      </c>
      <c r="Z1584" t="str">
        <f>IF(MAIN!$F$3="Project to Date",IF(AND(A1584&gt;=SETTINGS!$B$4,A1584&lt;MAIN!$B$3),"Yes",IF(AND(A1584=MAIN!$B$3,E1584&lt;=MAIN!$L$3),"Yes","No")),IF(OR(MAIN!$F$3="Full Year",MAIN!$D$3="All"),"Yes",IF(MAIN!$F$3="Monthly",IF(E1584=MAIN!$L$3,"Yes","No"),IF(E1584&lt;=MAIN!$L$3,"Yes","No"))))</f>
        <v>Yes</v>
      </c>
      <c r="AA1584" t="str">
        <f t="shared" si="149"/>
        <v>No</v>
      </c>
    </row>
    <row r="1585" spans="1:27" x14ac:dyDescent="0.3">
      <c r="A1585">
        <f>INDEX(SETTINGS!$A$15:$A$24,$B1585)</f>
        <v>2031</v>
      </c>
      <c r="B1585">
        <v>7</v>
      </c>
      <c r="C1585" t="str">
        <f>IF(AND(A1585&gt;=SETTINGS!$B$4,A1585&lt;=SETTINGS!$B$5),"Yes","No")</f>
        <v>No</v>
      </c>
      <c r="D1585" t="str">
        <f>IFERROR(INDEX(SETTINGS!$C$15:$C$24,MATCH(A1585,SETTINGS!$A$15:$A$24,0)),"No")</f>
        <v>No</v>
      </c>
      <c r="E1585">
        <v>12</v>
      </c>
      <c r="F1585" t="s">
        <v>45</v>
      </c>
      <c r="G1585">
        <v>280</v>
      </c>
      <c r="H1585" t="s">
        <v>100</v>
      </c>
      <c r="I1585" t="s">
        <v>15</v>
      </c>
      <c r="J1585" t="s">
        <v>19</v>
      </c>
      <c r="K1585" t="s">
        <v>3</v>
      </c>
      <c r="L1585" s="36">
        <f ca="1">IF(C1585&lt;&gt;"Yes",0,IF(A1585=2025,N('2025'!D280),IF(A1585=2026,N('2026'!D280),IF(A1585=2027,N('2027'!D280),IF(A1585=2028,N('2028'!D280),IF(A1585=2029,N('2029'!D280),IF(A1585=2030,N('2030'!D280),IF(A1585=2031,N('2031'!D280),IF(A1585=2032,N('2032'!D280),IF(A1585=2033,N('2033'!D280),IF(A1585=2034,N('2034'!D280),IFERROR(N(INDIRECT("'"&amp;A1585&amp;"'!D"&amp;G1585)),0))))))))))))</f>
        <v>0</v>
      </c>
      <c r="M1585" s="36">
        <f>IFERROR(IF(NOT(ISBLANK(KPI_TARGETS!$M$11)),KPI_TARGETS!$M$11,IF(NOT(ISBLANK(KPI_TARGETS!$F$11)),KPI_TARGETS!$F$11,"")),"")</f>
        <v>0</v>
      </c>
      <c r="N1585" s="36" t="str">
        <f>IFERROR(KPI_TARGETS!$E$11,"Higher is better")</f>
        <v>Lower is better</v>
      </c>
      <c r="O1585" s="37">
        <f t="shared" ca="1" si="144"/>
        <v>1</v>
      </c>
      <c r="P1585" t="str">
        <f t="shared" ca="1" si="145"/>
        <v>Green</v>
      </c>
      <c r="Q1585" s="36">
        <f t="shared" ca="1" si="146"/>
        <v>0</v>
      </c>
      <c r="R1585" s="36" t="str">
        <f>""</f>
        <v/>
      </c>
      <c r="S1585" s="36" t="str">
        <f>""</f>
        <v/>
      </c>
      <c r="T1585" s="36" t="str">
        <f>""</f>
        <v/>
      </c>
      <c r="U1585" s="36" t="str">
        <f>""</f>
        <v/>
      </c>
      <c r="V1585" s="36" t="str">
        <f>""</f>
        <v/>
      </c>
      <c r="W1585" s="36">
        <f t="shared" si="147"/>
        <v>1</v>
      </c>
      <c r="X1585" t="str">
        <f t="shared" si="148"/>
        <v>Inactive</v>
      </c>
      <c r="Y1585" t="str">
        <f>IF(MAIN!$H$3="Selected Year",IF(A1585=MAIN!$B$3,"Yes","No"),IF(MAIN!$H$3="Included Years",IF(D1585="Yes","Yes","No"),IF(C1585="Yes","Yes","No")))</f>
        <v>No</v>
      </c>
      <c r="Z1585" t="str">
        <f>IF(MAIN!$F$3="Project to Date",IF(AND(A1585&gt;=SETTINGS!$B$4,A1585&lt;MAIN!$B$3),"Yes",IF(AND(A1585=MAIN!$B$3,E1585&lt;=MAIN!$L$3),"Yes","No")),IF(OR(MAIN!$F$3="Full Year",MAIN!$D$3="All"),"Yes",IF(MAIN!$F$3="Monthly",IF(E1585=MAIN!$L$3,"Yes","No"),IF(E1585&lt;=MAIN!$L$3,"Yes","No"))))</f>
        <v>Yes</v>
      </c>
      <c r="AA1585" t="str">
        <f t="shared" si="149"/>
        <v>No</v>
      </c>
    </row>
    <row r="1586" spans="1:27" x14ac:dyDescent="0.3">
      <c r="A1586">
        <f>INDEX(SETTINGS!$A$15:$A$24,$B1586)</f>
        <v>2031</v>
      </c>
      <c r="B1586">
        <v>7</v>
      </c>
      <c r="C1586" t="str">
        <f>IF(AND(A1586&gt;=SETTINGS!$B$4,A1586&lt;=SETTINGS!$B$5),"Yes","No")</f>
        <v>No</v>
      </c>
      <c r="D1586" t="str">
        <f>IFERROR(INDEX(SETTINGS!$C$15:$C$24,MATCH(A1586,SETTINGS!$A$15:$A$24,0)),"No")</f>
        <v>No</v>
      </c>
      <c r="E1586">
        <v>12</v>
      </c>
      <c r="F1586" t="s">
        <v>45</v>
      </c>
      <c r="G1586">
        <v>281</v>
      </c>
      <c r="H1586" t="s">
        <v>101</v>
      </c>
      <c r="I1586" t="s">
        <v>15</v>
      </c>
      <c r="J1586" t="s">
        <v>20</v>
      </c>
      <c r="K1586" t="s">
        <v>3</v>
      </c>
      <c r="L1586" s="36">
        <f ca="1">IF(C1586&lt;&gt;"Yes",0,IF(A1586=2025,N('2025'!D281),IF(A1586=2026,N('2026'!D281),IF(A1586=2027,N('2027'!D281),IF(A1586=2028,N('2028'!D281),IF(A1586=2029,N('2029'!D281),IF(A1586=2030,N('2030'!D281),IF(A1586=2031,N('2031'!D281),IF(A1586=2032,N('2032'!D281),IF(A1586=2033,N('2033'!D281),IF(A1586=2034,N('2034'!D281),IFERROR(N(INDIRECT("'"&amp;A1586&amp;"'!D"&amp;G1586)),0))))))))))))</f>
        <v>0</v>
      </c>
      <c r="M1586" s="36">
        <f>IFERROR(IF(NOT(ISBLANK(KPI_TARGETS!$M$12)),KPI_TARGETS!$M$12,IF(NOT(ISBLANK(KPI_TARGETS!$F$12)),KPI_TARGETS!$F$12,"")),"")</f>
        <v>0</v>
      </c>
      <c r="N1586" s="36" t="str">
        <f>IFERROR(KPI_TARGETS!$E$12,"Higher is better")</f>
        <v>Lower is better</v>
      </c>
      <c r="O1586" s="37">
        <f t="shared" ca="1" si="144"/>
        <v>1</v>
      </c>
      <c r="P1586" t="str">
        <f t="shared" ca="1" si="145"/>
        <v>Green</v>
      </c>
      <c r="Q1586" s="36">
        <f t="shared" ca="1" si="146"/>
        <v>0</v>
      </c>
      <c r="R1586" s="36" t="str">
        <f>""</f>
        <v/>
      </c>
      <c r="S1586" s="36" t="str">
        <f>""</f>
        <v/>
      </c>
      <c r="T1586" s="36" t="str">
        <f>""</f>
        <v/>
      </c>
      <c r="U1586" s="36" t="str">
        <f>""</f>
        <v/>
      </c>
      <c r="V1586" s="36" t="str">
        <f>""</f>
        <v/>
      </c>
      <c r="W1586" s="36">
        <f t="shared" si="147"/>
        <v>1</v>
      </c>
      <c r="X1586" t="str">
        <f t="shared" si="148"/>
        <v>Inactive</v>
      </c>
      <c r="Y1586" t="str">
        <f>IF(MAIN!$H$3="Selected Year",IF(A1586=MAIN!$B$3,"Yes","No"),IF(MAIN!$H$3="Included Years",IF(D1586="Yes","Yes","No"),IF(C1586="Yes","Yes","No")))</f>
        <v>No</v>
      </c>
      <c r="Z1586" t="str">
        <f>IF(MAIN!$F$3="Project to Date",IF(AND(A1586&gt;=SETTINGS!$B$4,A1586&lt;MAIN!$B$3),"Yes",IF(AND(A1586=MAIN!$B$3,E1586&lt;=MAIN!$L$3),"Yes","No")),IF(OR(MAIN!$F$3="Full Year",MAIN!$D$3="All"),"Yes",IF(MAIN!$F$3="Monthly",IF(E1586=MAIN!$L$3,"Yes","No"),IF(E1586&lt;=MAIN!$L$3,"Yes","No"))))</f>
        <v>Yes</v>
      </c>
      <c r="AA1586" t="str">
        <f t="shared" si="149"/>
        <v>No</v>
      </c>
    </row>
    <row r="1587" spans="1:27" x14ac:dyDescent="0.3">
      <c r="A1587">
        <f>INDEX(SETTINGS!$A$15:$A$24,$B1587)</f>
        <v>2031</v>
      </c>
      <c r="B1587">
        <v>7</v>
      </c>
      <c r="C1587" t="str">
        <f>IF(AND(A1587&gt;=SETTINGS!$B$4,A1587&lt;=SETTINGS!$B$5),"Yes","No")</f>
        <v>No</v>
      </c>
      <c r="D1587" t="str">
        <f>IFERROR(INDEX(SETTINGS!$C$15:$C$24,MATCH(A1587,SETTINGS!$A$15:$A$24,0)),"No")</f>
        <v>No</v>
      </c>
      <c r="E1587">
        <v>12</v>
      </c>
      <c r="F1587" t="s">
        <v>45</v>
      </c>
      <c r="G1587">
        <v>282</v>
      </c>
      <c r="H1587" t="s">
        <v>102</v>
      </c>
      <c r="I1587" t="s">
        <v>15</v>
      </c>
      <c r="J1587" t="s">
        <v>21</v>
      </c>
      <c r="K1587" t="s">
        <v>3</v>
      </c>
      <c r="L1587" s="36">
        <f ca="1">IF(C1587&lt;&gt;"Yes",0,IF(A1587=2025,N('2025'!D282),IF(A1587=2026,N('2026'!D282),IF(A1587=2027,N('2027'!D282),IF(A1587=2028,N('2028'!D282),IF(A1587=2029,N('2029'!D282),IF(A1587=2030,N('2030'!D282),IF(A1587=2031,N('2031'!D282),IF(A1587=2032,N('2032'!D282),IF(A1587=2033,N('2033'!D282),IF(A1587=2034,N('2034'!D282),IFERROR(N(INDIRECT("'"&amp;A1587&amp;"'!D"&amp;G1587)),0))))))))))))</f>
        <v>0</v>
      </c>
      <c r="M1587" s="36">
        <f>IFERROR(IF(NOT(ISBLANK(KPI_TARGETS!$M$13)),KPI_TARGETS!$M$13,IF(NOT(ISBLANK(KPI_TARGETS!$F$13)),KPI_TARGETS!$F$13,"")),"")</f>
        <v>0</v>
      </c>
      <c r="N1587" s="36" t="str">
        <f>IFERROR(KPI_TARGETS!$E$13,"Higher is better")</f>
        <v>Lower is better</v>
      </c>
      <c r="O1587" s="37">
        <f t="shared" ca="1" si="144"/>
        <v>1</v>
      </c>
      <c r="P1587" t="str">
        <f t="shared" ca="1" si="145"/>
        <v>Green</v>
      </c>
      <c r="Q1587" s="36">
        <f t="shared" ca="1" si="146"/>
        <v>0</v>
      </c>
      <c r="R1587" s="36" t="str">
        <f>""</f>
        <v/>
      </c>
      <c r="S1587" s="36" t="str">
        <f>""</f>
        <v/>
      </c>
      <c r="T1587" s="36" t="str">
        <f>""</f>
        <v/>
      </c>
      <c r="U1587" s="36" t="str">
        <f>""</f>
        <v/>
      </c>
      <c r="V1587" s="36" t="str">
        <f>""</f>
        <v/>
      </c>
      <c r="W1587" s="36">
        <f t="shared" si="147"/>
        <v>1</v>
      </c>
      <c r="X1587" t="str">
        <f t="shared" si="148"/>
        <v>Inactive</v>
      </c>
      <c r="Y1587" t="str">
        <f>IF(MAIN!$H$3="Selected Year",IF(A1587=MAIN!$B$3,"Yes","No"),IF(MAIN!$H$3="Included Years",IF(D1587="Yes","Yes","No"),IF(C1587="Yes","Yes","No")))</f>
        <v>No</v>
      </c>
      <c r="Z1587" t="str">
        <f>IF(MAIN!$F$3="Project to Date",IF(AND(A1587&gt;=SETTINGS!$B$4,A1587&lt;MAIN!$B$3),"Yes",IF(AND(A1587=MAIN!$B$3,E1587&lt;=MAIN!$L$3),"Yes","No")),IF(OR(MAIN!$F$3="Full Year",MAIN!$D$3="All"),"Yes",IF(MAIN!$F$3="Monthly",IF(E1587=MAIN!$L$3,"Yes","No"),IF(E1587&lt;=MAIN!$L$3,"Yes","No"))))</f>
        <v>Yes</v>
      </c>
      <c r="AA1587" t="str">
        <f t="shared" si="149"/>
        <v>No</v>
      </c>
    </row>
    <row r="1588" spans="1:27" x14ac:dyDescent="0.3">
      <c r="A1588">
        <f>INDEX(SETTINGS!$A$15:$A$24,$B1588)</f>
        <v>2031</v>
      </c>
      <c r="B1588">
        <v>7</v>
      </c>
      <c r="C1588" t="str">
        <f>IF(AND(A1588&gt;=SETTINGS!$B$4,A1588&lt;=SETTINGS!$B$5),"Yes","No")</f>
        <v>No</v>
      </c>
      <c r="D1588" t="str">
        <f>IFERROR(INDEX(SETTINGS!$C$15:$C$24,MATCH(A1588,SETTINGS!$A$15:$A$24,0)),"No")</f>
        <v>No</v>
      </c>
      <c r="E1588">
        <v>12</v>
      </c>
      <c r="F1588" t="s">
        <v>45</v>
      </c>
      <c r="G1588">
        <v>284</v>
      </c>
      <c r="H1588" t="s">
        <v>103</v>
      </c>
      <c r="I1588" t="s">
        <v>22</v>
      </c>
      <c r="J1588" t="s">
        <v>23</v>
      </c>
      <c r="K1588" t="s">
        <v>3</v>
      </c>
      <c r="L1588" s="36">
        <f ca="1">IF(C1588&lt;&gt;"Yes",0,IF(A1588=2025,N('2025'!D284),IF(A1588=2026,N('2026'!D284),IF(A1588=2027,N('2027'!D284),IF(A1588=2028,N('2028'!D284),IF(A1588=2029,N('2029'!D284),IF(A1588=2030,N('2030'!D284),IF(A1588=2031,N('2031'!D284),IF(A1588=2032,N('2032'!D284),IF(A1588=2033,N('2033'!D284),IF(A1588=2034,N('2034'!D284),IFERROR(N(INDIRECT("'"&amp;A1588&amp;"'!D"&amp;G1588)),0))))))))))))</f>
        <v>0</v>
      </c>
      <c r="M1588" s="36">
        <f>IFERROR(IF(NOT(ISBLANK(KPI_TARGETS!$M$14)),KPI_TARGETS!$M$14,IF(NOT(ISBLANK(KPI_TARGETS!$F$14)),KPI_TARGETS!$F$14,"")),"")</f>
        <v>35</v>
      </c>
      <c r="N1588" s="36" t="str">
        <f>IFERROR(KPI_TARGETS!$E$14,"Higher is better")</f>
        <v>Higher is better</v>
      </c>
      <c r="O1588" s="37">
        <f t="shared" ca="1" si="144"/>
        <v>0</v>
      </c>
      <c r="P1588" t="str">
        <f t="shared" ca="1" si="145"/>
        <v>Red</v>
      </c>
      <c r="Q1588" s="36">
        <f t="shared" ca="1" si="146"/>
        <v>-35</v>
      </c>
      <c r="R1588" s="36" t="str">
        <f>""</f>
        <v/>
      </c>
      <c r="S1588" s="36" t="str">
        <f>""</f>
        <v/>
      </c>
      <c r="T1588" s="36" t="str">
        <f>""</f>
        <v/>
      </c>
      <c r="U1588" s="36" t="str">
        <f>""</f>
        <v/>
      </c>
      <c r="V1588" s="36" t="str">
        <f>""</f>
        <v/>
      </c>
      <c r="W1588" s="36">
        <f t="shared" si="147"/>
        <v>1</v>
      </c>
      <c r="X1588" t="str">
        <f t="shared" si="148"/>
        <v>Inactive</v>
      </c>
      <c r="Y1588" t="str">
        <f>IF(MAIN!$H$3="Selected Year",IF(A1588=MAIN!$B$3,"Yes","No"),IF(MAIN!$H$3="Included Years",IF(D1588="Yes","Yes","No"),IF(C1588="Yes","Yes","No")))</f>
        <v>No</v>
      </c>
      <c r="Z1588" t="str">
        <f>IF(MAIN!$F$3="Project to Date",IF(AND(A1588&gt;=SETTINGS!$B$4,A1588&lt;MAIN!$B$3),"Yes",IF(AND(A1588=MAIN!$B$3,E1588&lt;=MAIN!$L$3),"Yes","No")),IF(OR(MAIN!$F$3="Full Year",MAIN!$D$3="All"),"Yes",IF(MAIN!$F$3="Monthly",IF(E1588=MAIN!$L$3,"Yes","No"),IF(E1588&lt;=MAIN!$L$3,"Yes","No"))))</f>
        <v>Yes</v>
      </c>
      <c r="AA1588" t="str">
        <f t="shared" si="149"/>
        <v>No</v>
      </c>
    </row>
    <row r="1589" spans="1:27" x14ac:dyDescent="0.3">
      <c r="A1589">
        <f>INDEX(SETTINGS!$A$15:$A$24,$B1589)</f>
        <v>2031</v>
      </c>
      <c r="B1589">
        <v>7</v>
      </c>
      <c r="C1589" t="str">
        <f>IF(AND(A1589&gt;=SETTINGS!$B$4,A1589&lt;=SETTINGS!$B$5),"Yes","No")</f>
        <v>No</v>
      </c>
      <c r="D1589" t="str">
        <f>IFERROR(INDEX(SETTINGS!$C$15:$C$24,MATCH(A1589,SETTINGS!$A$15:$A$24,0)),"No")</f>
        <v>No</v>
      </c>
      <c r="E1589">
        <v>12</v>
      </c>
      <c r="F1589" t="s">
        <v>45</v>
      </c>
      <c r="G1589">
        <v>285</v>
      </c>
      <c r="H1589" t="s">
        <v>104</v>
      </c>
      <c r="I1589" t="s">
        <v>22</v>
      </c>
      <c r="J1589" t="s">
        <v>24</v>
      </c>
      <c r="K1589" t="s">
        <v>3</v>
      </c>
      <c r="L1589" s="36">
        <f ca="1">IF(C1589&lt;&gt;"Yes",0,IF(A1589=2025,N('2025'!D285),IF(A1589=2026,N('2026'!D285),IF(A1589=2027,N('2027'!D285),IF(A1589=2028,N('2028'!D285),IF(A1589=2029,N('2029'!D285),IF(A1589=2030,N('2030'!D285),IF(A1589=2031,N('2031'!D285),IF(A1589=2032,N('2032'!D285),IF(A1589=2033,N('2033'!D285),IF(A1589=2034,N('2034'!D285),IFERROR(N(INDIRECT("'"&amp;A1589&amp;"'!D"&amp;G1589)),0))))))))))))</f>
        <v>0</v>
      </c>
      <c r="M1589" s="36">
        <f>IFERROR(IF(NOT(ISBLANK(KPI_TARGETS!$M$15)),KPI_TARGETS!$M$15,IF(NOT(ISBLANK(KPI_TARGETS!$F$15)),KPI_TARGETS!$F$15,"")),"")</f>
        <v>5</v>
      </c>
      <c r="N1589" s="36" t="str">
        <f>IFERROR(KPI_TARGETS!$E$15,"Higher is better")</f>
        <v>Higher is better</v>
      </c>
      <c r="O1589" s="37">
        <f t="shared" ca="1" si="144"/>
        <v>0</v>
      </c>
      <c r="P1589" t="str">
        <f t="shared" ca="1" si="145"/>
        <v>Red</v>
      </c>
      <c r="Q1589" s="36">
        <f t="shared" ca="1" si="146"/>
        <v>-5</v>
      </c>
      <c r="R1589" s="36" t="str">
        <f>""</f>
        <v/>
      </c>
      <c r="S1589" s="36" t="str">
        <f>""</f>
        <v/>
      </c>
      <c r="T1589" s="36" t="str">
        <f>""</f>
        <v/>
      </c>
      <c r="U1589" s="36" t="str">
        <f>""</f>
        <v/>
      </c>
      <c r="V1589" s="36" t="str">
        <f>""</f>
        <v/>
      </c>
      <c r="W1589" s="36">
        <f t="shared" si="147"/>
        <v>1</v>
      </c>
      <c r="X1589" t="str">
        <f t="shared" si="148"/>
        <v>Inactive</v>
      </c>
      <c r="Y1589" t="str">
        <f>IF(MAIN!$H$3="Selected Year",IF(A1589=MAIN!$B$3,"Yes","No"),IF(MAIN!$H$3="Included Years",IF(D1589="Yes","Yes","No"),IF(C1589="Yes","Yes","No")))</f>
        <v>No</v>
      </c>
      <c r="Z1589" t="str">
        <f>IF(MAIN!$F$3="Project to Date",IF(AND(A1589&gt;=SETTINGS!$B$4,A1589&lt;MAIN!$B$3),"Yes",IF(AND(A1589=MAIN!$B$3,E1589&lt;=MAIN!$L$3),"Yes","No")),IF(OR(MAIN!$F$3="Full Year",MAIN!$D$3="All"),"Yes",IF(MAIN!$F$3="Monthly",IF(E1589=MAIN!$L$3,"Yes","No"),IF(E1589&lt;=MAIN!$L$3,"Yes","No"))))</f>
        <v>Yes</v>
      </c>
      <c r="AA1589" t="str">
        <f t="shared" si="149"/>
        <v>No</v>
      </c>
    </row>
    <row r="1590" spans="1:27" x14ac:dyDescent="0.3">
      <c r="A1590">
        <f>INDEX(SETTINGS!$A$15:$A$24,$B1590)</f>
        <v>2031</v>
      </c>
      <c r="B1590">
        <v>7</v>
      </c>
      <c r="C1590" t="str">
        <f>IF(AND(A1590&gt;=SETTINGS!$B$4,A1590&lt;=SETTINGS!$B$5),"Yes","No")</f>
        <v>No</v>
      </c>
      <c r="D1590" t="str">
        <f>IFERROR(INDEX(SETTINGS!$C$15:$C$24,MATCH(A1590,SETTINGS!$A$15:$A$24,0)),"No")</f>
        <v>No</v>
      </c>
      <c r="E1590">
        <v>12</v>
      </c>
      <c r="F1590" t="s">
        <v>45</v>
      </c>
      <c r="G1590">
        <v>286</v>
      </c>
      <c r="H1590" t="s">
        <v>105</v>
      </c>
      <c r="I1590" t="s">
        <v>22</v>
      </c>
      <c r="J1590" t="s">
        <v>25</v>
      </c>
      <c r="K1590" t="s">
        <v>3</v>
      </c>
      <c r="L1590" s="36">
        <f ca="1">IF(C1590&lt;&gt;"Yes",0,IF(A1590=2025,N('2025'!D286),IF(A1590=2026,N('2026'!D286),IF(A1590=2027,N('2027'!D286),IF(A1590=2028,N('2028'!D286),IF(A1590=2029,N('2029'!D286),IF(A1590=2030,N('2030'!D286),IF(A1590=2031,N('2031'!D286),IF(A1590=2032,N('2032'!D286),IF(A1590=2033,N('2033'!D286),IF(A1590=2034,N('2034'!D286),IFERROR(N(INDIRECT("'"&amp;A1590&amp;"'!D"&amp;G1590)),0))))))))))))</f>
        <v>0</v>
      </c>
      <c r="M1590" s="36">
        <f>IFERROR(IF(NOT(ISBLANK(KPI_TARGETS!$M$16)),KPI_TARGETS!$M$16,IF(NOT(ISBLANK(KPI_TARGETS!$F$16)),KPI_TARGETS!$F$16,"")),"")</f>
        <v>4</v>
      </c>
      <c r="N1590" s="36" t="str">
        <f>IFERROR(KPI_TARGETS!$E$16,"Higher is better")</f>
        <v>Higher is better</v>
      </c>
      <c r="O1590" s="37">
        <f t="shared" ca="1" si="144"/>
        <v>0</v>
      </c>
      <c r="P1590" t="str">
        <f t="shared" ca="1" si="145"/>
        <v>Red</v>
      </c>
      <c r="Q1590" s="36">
        <f t="shared" ca="1" si="146"/>
        <v>-4</v>
      </c>
      <c r="R1590" s="36" t="str">
        <f>""</f>
        <v/>
      </c>
      <c r="S1590" s="36" t="str">
        <f>""</f>
        <v/>
      </c>
      <c r="T1590" s="36" t="str">
        <f>""</f>
        <v/>
      </c>
      <c r="U1590" s="36" t="str">
        <f>""</f>
        <v/>
      </c>
      <c r="V1590" s="36" t="str">
        <f>""</f>
        <v/>
      </c>
      <c r="W1590" s="36">
        <f t="shared" si="147"/>
        <v>1</v>
      </c>
      <c r="X1590" t="str">
        <f t="shared" si="148"/>
        <v>Inactive</v>
      </c>
      <c r="Y1590" t="str">
        <f>IF(MAIN!$H$3="Selected Year",IF(A1590=MAIN!$B$3,"Yes","No"),IF(MAIN!$H$3="Included Years",IF(D1590="Yes","Yes","No"),IF(C1590="Yes","Yes","No")))</f>
        <v>No</v>
      </c>
      <c r="Z1590" t="str">
        <f>IF(MAIN!$F$3="Project to Date",IF(AND(A1590&gt;=SETTINGS!$B$4,A1590&lt;MAIN!$B$3),"Yes",IF(AND(A1590=MAIN!$B$3,E1590&lt;=MAIN!$L$3),"Yes","No")),IF(OR(MAIN!$F$3="Full Year",MAIN!$D$3="All"),"Yes",IF(MAIN!$F$3="Monthly",IF(E1590=MAIN!$L$3,"Yes","No"),IF(E1590&lt;=MAIN!$L$3,"Yes","No"))))</f>
        <v>Yes</v>
      </c>
      <c r="AA1590" t="str">
        <f t="shared" si="149"/>
        <v>No</v>
      </c>
    </row>
    <row r="1591" spans="1:27" x14ac:dyDescent="0.3">
      <c r="A1591">
        <f>INDEX(SETTINGS!$A$15:$A$24,$B1591)</f>
        <v>2031</v>
      </c>
      <c r="B1591">
        <v>7</v>
      </c>
      <c r="C1591" t="str">
        <f>IF(AND(A1591&gt;=SETTINGS!$B$4,A1591&lt;=SETTINGS!$B$5),"Yes","No")</f>
        <v>No</v>
      </c>
      <c r="D1591" t="str">
        <f>IFERROR(INDEX(SETTINGS!$C$15:$C$24,MATCH(A1591,SETTINGS!$A$15:$A$24,0)),"No")</f>
        <v>No</v>
      </c>
      <c r="E1591">
        <v>12</v>
      </c>
      <c r="F1591" t="s">
        <v>45</v>
      </c>
      <c r="G1591">
        <v>287</v>
      </c>
      <c r="H1591" t="s">
        <v>106</v>
      </c>
      <c r="I1591" t="s">
        <v>22</v>
      </c>
      <c r="J1591" t="s">
        <v>26</v>
      </c>
      <c r="K1591" t="s">
        <v>3</v>
      </c>
      <c r="L1591" s="36">
        <f ca="1">IF(C1591&lt;&gt;"Yes",0,IF(A1591=2025,N('2025'!D287),IF(A1591=2026,N('2026'!D287),IF(A1591=2027,N('2027'!D287),IF(A1591=2028,N('2028'!D287),IF(A1591=2029,N('2029'!D287),IF(A1591=2030,N('2030'!D287),IF(A1591=2031,N('2031'!D287),IF(A1591=2032,N('2032'!D287),IF(A1591=2033,N('2033'!D287),IF(A1591=2034,N('2034'!D287),IFERROR(N(INDIRECT("'"&amp;A1591&amp;"'!D"&amp;G1591)),0))))))))))))</f>
        <v>0</v>
      </c>
      <c r="M1591" s="36">
        <f>IFERROR(IF(NOT(ISBLANK(KPI_TARGETS!$M$17)),KPI_TARGETS!$M$17,IF(NOT(ISBLANK(KPI_TARGETS!$F$17)),KPI_TARGETS!$F$17,"")),"")</f>
        <v>12</v>
      </c>
      <c r="N1591" s="36" t="str">
        <f>IFERROR(KPI_TARGETS!$E$17,"Higher is better")</f>
        <v>Higher is better</v>
      </c>
      <c r="O1591" s="37">
        <f t="shared" ca="1" si="144"/>
        <v>0</v>
      </c>
      <c r="P1591" t="str">
        <f t="shared" ca="1" si="145"/>
        <v>Red</v>
      </c>
      <c r="Q1591" s="36">
        <f t="shared" ca="1" si="146"/>
        <v>-12</v>
      </c>
      <c r="R1591" s="36" t="str">
        <f>""</f>
        <v/>
      </c>
      <c r="S1591" s="36" t="str">
        <f>""</f>
        <v/>
      </c>
      <c r="T1591" s="36" t="str">
        <f>""</f>
        <v/>
      </c>
      <c r="U1591" s="36" t="str">
        <f>""</f>
        <v/>
      </c>
      <c r="V1591" s="36" t="str">
        <f>""</f>
        <v/>
      </c>
      <c r="W1591" s="36">
        <f t="shared" si="147"/>
        <v>1</v>
      </c>
      <c r="X1591" t="str">
        <f t="shared" si="148"/>
        <v>Inactive</v>
      </c>
      <c r="Y1591" t="str">
        <f>IF(MAIN!$H$3="Selected Year",IF(A1591=MAIN!$B$3,"Yes","No"),IF(MAIN!$H$3="Included Years",IF(D1591="Yes","Yes","No"),IF(C1591="Yes","Yes","No")))</f>
        <v>No</v>
      </c>
      <c r="Z1591" t="str">
        <f>IF(MAIN!$F$3="Project to Date",IF(AND(A1591&gt;=SETTINGS!$B$4,A1591&lt;MAIN!$B$3),"Yes",IF(AND(A1591=MAIN!$B$3,E1591&lt;=MAIN!$L$3),"Yes","No")),IF(OR(MAIN!$F$3="Full Year",MAIN!$D$3="All"),"Yes",IF(MAIN!$F$3="Monthly",IF(E1591=MAIN!$L$3,"Yes","No"),IF(E1591&lt;=MAIN!$L$3,"Yes","No"))))</f>
        <v>Yes</v>
      </c>
      <c r="AA1591" t="str">
        <f t="shared" si="149"/>
        <v>No</v>
      </c>
    </row>
    <row r="1592" spans="1:27" x14ac:dyDescent="0.3">
      <c r="A1592">
        <f>INDEX(SETTINGS!$A$15:$A$24,$B1592)</f>
        <v>2031</v>
      </c>
      <c r="B1592">
        <v>7</v>
      </c>
      <c r="C1592" t="str">
        <f>IF(AND(A1592&gt;=SETTINGS!$B$4,A1592&lt;=SETTINGS!$B$5),"Yes","No")</f>
        <v>No</v>
      </c>
      <c r="D1592" t="str">
        <f>IFERROR(INDEX(SETTINGS!$C$15:$C$24,MATCH(A1592,SETTINGS!$A$15:$A$24,0)),"No")</f>
        <v>No</v>
      </c>
      <c r="E1592">
        <v>12</v>
      </c>
      <c r="F1592" t="s">
        <v>45</v>
      </c>
      <c r="G1592">
        <v>288</v>
      </c>
      <c r="H1592" t="s">
        <v>107</v>
      </c>
      <c r="I1592" t="s">
        <v>22</v>
      </c>
      <c r="J1592" t="s">
        <v>27</v>
      </c>
      <c r="K1592" t="s">
        <v>3</v>
      </c>
      <c r="L1592" s="36">
        <f ca="1">IF(C1592&lt;&gt;"Yes",0,IF(A1592=2025,N('2025'!D288),IF(A1592=2026,N('2026'!D288),IF(A1592=2027,N('2027'!D288),IF(A1592=2028,N('2028'!D288),IF(A1592=2029,N('2029'!D288),IF(A1592=2030,N('2030'!D288),IF(A1592=2031,N('2031'!D288),IF(A1592=2032,N('2032'!D288),IF(A1592=2033,N('2033'!D288),IF(A1592=2034,N('2034'!D288),IFERROR(N(INDIRECT("'"&amp;A1592&amp;"'!D"&amp;G1592)),0))))))))))))</f>
        <v>0</v>
      </c>
      <c r="M1592" s="36">
        <f>IFERROR(IF(NOT(ISBLANK(KPI_TARGETS!$M$18)),KPI_TARGETS!$M$18,IF(NOT(ISBLANK(KPI_TARGETS!$F$18)),KPI_TARGETS!$F$18,"")),"")</f>
        <v>4</v>
      </c>
      <c r="N1592" s="36" t="str">
        <f>IFERROR(KPI_TARGETS!$E$18,"Higher is better")</f>
        <v>Higher is better</v>
      </c>
      <c r="O1592" s="37">
        <f t="shared" ca="1" si="144"/>
        <v>0</v>
      </c>
      <c r="P1592" t="str">
        <f t="shared" ca="1" si="145"/>
        <v>Red</v>
      </c>
      <c r="Q1592" s="36">
        <f t="shared" ca="1" si="146"/>
        <v>-4</v>
      </c>
      <c r="R1592" s="36" t="str">
        <f>""</f>
        <v/>
      </c>
      <c r="S1592" s="36" t="str">
        <f>""</f>
        <v/>
      </c>
      <c r="T1592" s="36" t="str">
        <f>""</f>
        <v/>
      </c>
      <c r="U1592" s="36" t="str">
        <f>""</f>
        <v/>
      </c>
      <c r="V1592" s="36" t="str">
        <f>""</f>
        <v/>
      </c>
      <c r="W1592" s="36">
        <f t="shared" si="147"/>
        <v>1</v>
      </c>
      <c r="X1592" t="str">
        <f t="shared" si="148"/>
        <v>Inactive</v>
      </c>
      <c r="Y1592" t="str">
        <f>IF(MAIN!$H$3="Selected Year",IF(A1592=MAIN!$B$3,"Yes","No"),IF(MAIN!$H$3="Included Years",IF(D1592="Yes","Yes","No"),IF(C1592="Yes","Yes","No")))</f>
        <v>No</v>
      </c>
      <c r="Z1592" t="str">
        <f>IF(MAIN!$F$3="Project to Date",IF(AND(A1592&gt;=SETTINGS!$B$4,A1592&lt;MAIN!$B$3),"Yes",IF(AND(A1592=MAIN!$B$3,E1592&lt;=MAIN!$L$3),"Yes","No")),IF(OR(MAIN!$F$3="Full Year",MAIN!$D$3="All"),"Yes",IF(MAIN!$F$3="Monthly",IF(E1592=MAIN!$L$3,"Yes","No"),IF(E1592&lt;=MAIN!$L$3,"Yes","No"))))</f>
        <v>Yes</v>
      </c>
      <c r="AA1592" t="str">
        <f t="shared" si="149"/>
        <v>No</v>
      </c>
    </row>
    <row r="1593" spans="1:27" x14ac:dyDescent="0.3">
      <c r="A1593">
        <f>INDEX(SETTINGS!$A$15:$A$24,$B1593)</f>
        <v>2031</v>
      </c>
      <c r="B1593">
        <v>7</v>
      </c>
      <c r="C1593" t="str">
        <f>IF(AND(A1593&gt;=SETTINGS!$B$4,A1593&lt;=SETTINGS!$B$5),"Yes","No")</f>
        <v>No</v>
      </c>
      <c r="D1593" t="str">
        <f>IFERROR(INDEX(SETTINGS!$C$15:$C$24,MATCH(A1593,SETTINGS!$A$15:$A$24,0)),"No")</f>
        <v>No</v>
      </c>
      <c r="E1593">
        <v>12</v>
      </c>
      <c r="F1593" t="s">
        <v>45</v>
      </c>
      <c r="G1593">
        <v>289</v>
      </c>
      <c r="H1593" t="s">
        <v>108</v>
      </c>
      <c r="I1593" t="s">
        <v>22</v>
      </c>
      <c r="J1593" t="s">
        <v>28</v>
      </c>
      <c r="K1593" t="s">
        <v>3</v>
      </c>
      <c r="L1593" s="36">
        <f ca="1">IF(C1593&lt;&gt;"Yes",0,IF(A1593=2025,N('2025'!D289),IF(A1593=2026,N('2026'!D289),IF(A1593=2027,N('2027'!D289),IF(A1593=2028,N('2028'!D289),IF(A1593=2029,N('2029'!D289),IF(A1593=2030,N('2030'!D289),IF(A1593=2031,N('2031'!D289),IF(A1593=2032,N('2032'!D289),IF(A1593=2033,N('2033'!D289),IF(A1593=2034,N('2034'!D289),IFERROR(N(INDIRECT("'"&amp;A1593&amp;"'!D"&amp;G1593)),0))))))))))))</f>
        <v>0</v>
      </c>
      <c r="M1593" s="36">
        <f>IFERROR(IF(NOT(ISBLANK(KPI_TARGETS!$M$19)),KPI_TARGETS!$M$19,IF(NOT(ISBLANK(KPI_TARGETS!$F$19)),KPI_TARGETS!$F$19,"")),"")</f>
        <v>16</v>
      </c>
      <c r="N1593" s="36" t="str">
        <f>IFERROR(KPI_TARGETS!$E$19,"Higher is better")</f>
        <v>Higher is better</v>
      </c>
      <c r="O1593" s="37">
        <f t="shared" ca="1" si="144"/>
        <v>0</v>
      </c>
      <c r="P1593" t="str">
        <f t="shared" ca="1" si="145"/>
        <v>Red</v>
      </c>
      <c r="Q1593" s="36">
        <f t="shared" ca="1" si="146"/>
        <v>-16</v>
      </c>
      <c r="R1593" s="36" t="str">
        <f>""</f>
        <v/>
      </c>
      <c r="S1593" s="36" t="str">
        <f>""</f>
        <v/>
      </c>
      <c r="T1593" s="36" t="str">
        <f>""</f>
        <v/>
      </c>
      <c r="U1593" s="36" t="str">
        <f>""</f>
        <v/>
      </c>
      <c r="V1593" s="36" t="str">
        <f>""</f>
        <v/>
      </c>
      <c r="W1593" s="36">
        <f t="shared" si="147"/>
        <v>1</v>
      </c>
      <c r="X1593" t="str">
        <f t="shared" si="148"/>
        <v>Inactive</v>
      </c>
      <c r="Y1593" t="str">
        <f>IF(MAIN!$H$3="Selected Year",IF(A1593=MAIN!$B$3,"Yes","No"),IF(MAIN!$H$3="Included Years",IF(D1593="Yes","Yes","No"),IF(C1593="Yes","Yes","No")))</f>
        <v>No</v>
      </c>
      <c r="Z1593" t="str">
        <f>IF(MAIN!$F$3="Project to Date",IF(AND(A1593&gt;=SETTINGS!$B$4,A1593&lt;MAIN!$B$3),"Yes",IF(AND(A1593=MAIN!$B$3,E1593&lt;=MAIN!$L$3),"Yes","No")),IF(OR(MAIN!$F$3="Full Year",MAIN!$D$3="All"),"Yes",IF(MAIN!$F$3="Monthly",IF(E1593=MAIN!$L$3,"Yes","No"),IF(E1593&lt;=MAIN!$L$3,"Yes","No"))))</f>
        <v>Yes</v>
      </c>
      <c r="AA1593" t="str">
        <f t="shared" si="149"/>
        <v>No</v>
      </c>
    </row>
    <row r="1594" spans="1:27" x14ac:dyDescent="0.3">
      <c r="A1594">
        <f>INDEX(SETTINGS!$A$15:$A$24,$B1594)</f>
        <v>2031</v>
      </c>
      <c r="B1594">
        <v>7</v>
      </c>
      <c r="C1594" t="str">
        <f>IF(AND(A1594&gt;=SETTINGS!$B$4,A1594&lt;=SETTINGS!$B$5),"Yes","No")</f>
        <v>No</v>
      </c>
      <c r="D1594" t="str">
        <f>IFERROR(INDEX(SETTINGS!$C$15:$C$24,MATCH(A1594,SETTINGS!$A$15:$A$24,0)),"No")</f>
        <v>No</v>
      </c>
      <c r="E1594">
        <v>12</v>
      </c>
      <c r="F1594" t="s">
        <v>45</v>
      </c>
      <c r="G1594">
        <v>290</v>
      </c>
      <c r="H1594" t="s">
        <v>109</v>
      </c>
      <c r="I1594" t="s">
        <v>22</v>
      </c>
      <c r="J1594" t="s">
        <v>29</v>
      </c>
      <c r="K1594" t="s">
        <v>3</v>
      </c>
      <c r="L1594" s="36">
        <f ca="1">IF(C1594&lt;&gt;"Yes",0,IF(A1594=2025,N('2025'!D290),IF(A1594=2026,N('2026'!D290),IF(A1594=2027,N('2027'!D290),IF(A1594=2028,N('2028'!D290),IF(A1594=2029,N('2029'!D290),IF(A1594=2030,N('2030'!D290),IF(A1594=2031,N('2031'!D290),IF(A1594=2032,N('2032'!D290),IF(A1594=2033,N('2033'!D290),IF(A1594=2034,N('2034'!D290),IFERROR(N(INDIRECT("'"&amp;A1594&amp;"'!D"&amp;G1594)),0))))))))))))</f>
        <v>0</v>
      </c>
      <c r="M1594" s="36">
        <f>IFERROR(IF(NOT(ISBLANK(KPI_TARGETS!$M$20)),KPI_TARGETS!$M$20,IF(NOT(ISBLANK(KPI_TARGETS!$F$20)),KPI_TARGETS!$F$20,"")),"")</f>
        <v>1</v>
      </c>
      <c r="N1594" s="36" t="str">
        <f>IFERROR(KPI_TARGETS!$E$20,"Higher is better")</f>
        <v>Higher is better</v>
      </c>
      <c r="O1594" s="37">
        <f t="shared" ca="1" si="144"/>
        <v>0</v>
      </c>
      <c r="P1594" t="str">
        <f t="shared" ca="1" si="145"/>
        <v>Red</v>
      </c>
      <c r="Q1594" s="36">
        <f t="shared" ca="1" si="146"/>
        <v>-1</v>
      </c>
      <c r="R1594" s="36" t="str">
        <f>""</f>
        <v/>
      </c>
      <c r="S1594" s="36" t="str">
        <f>""</f>
        <v/>
      </c>
      <c r="T1594" s="36" t="str">
        <f>""</f>
        <v/>
      </c>
      <c r="U1594" s="36" t="str">
        <f>""</f>
        <v/>
      </c>
      <c r="V1594" s="36" t="str">
        <f>""</f>
        <v/>
      </c>
      <c r="W1594" s="36">
        <f t="shared" si="147"/>
        <v>1</v>
      </c>
      <c r="X1594" t="str">
        <f t="shared" si="148"/>
        <v>Inactive</v>
      </c>
      <c r="Y1594" t="str">
        <f>IF(MAIN!$H$3="Selected Year",IF(A1594=MAIN!$B$3,"Yes","No"),IF(MAIN!$H$3="Included Years",IF(D1594="Yes","Yes","No"),IF(C1594="Yes","Yes","No")))</f>
        <v>No</v>
      </c>
      <c r="Z1594" t="str">
        <f>IF(MAIN!$F$3="Project to Date",IF(AND(A1594&gt;=SETTINGS!$B$4,A1594&lt;MAIN!$B$3),"Yes",IF(AND(A1594=MAIN!$B$3,E1594&lt;=MAIN!$L$3),"Yes","No")),IF(OR(MAIN!$F$3="Full Year",MAIN!$D$3="All"),"Yes",IF(MAIN!$F$3="Monthly",IF(E1594=MAIN!$L$3,"Yes","No"),IF(E1594&lt;=MAIN!$L$3,"Yes","No"))))</f>
        <v>Yes</v>
      </c>
      <c r="AA1594" t="str">
        <f t="shared" si="149"/>
        <v>No</v>
      </c>
    </row>
    <row r="1595" spans="1:27" x14ac:dyDescent="0.3">
      <c r="A1595">
        <f>INDEX(SETTINGS!$A$15:$A$24,$B1595)</f>
        <v>2031</v>
      </c>
      <c r="B1595">
        <v>7</v>
      </c>
      <c r="C1595" t="str">
        <f>IF(AND(A1595&gt;=SETTINGS!$B$4,A1595&lt;=SETTINGS!$B$5),"Yes","No")</f>
        <v>No</v>
      </c>
      <c r="D1595" t="str">
        <f>IFERROR(INDEX(SETTINGS!$C$15:$C$24,MATCH(A1595,SETTINGS!$A$15:$A$24,0)),"No")</f>
        <v>No</v>
      </c>
      <c r="E1595">
        <v>12</v>
      </c>
      <c r="F1595" t="s">
        <v>45</v>
      </c>
      <c r="G1595">
        <v>292</v>
      </c>
      <c r="H1595" t="s">
        <v>110</v>
      </c>
      <c r="I1595" t="s">
        <v>30</v>
      </c>
      <c r="J1595" t="s">
        <v>31</v>
      </c>
      <c r="K1595" t="s">
        <v>3</v>
      </c>
      <c r="L1595" s="36">
        <f ca="1">IF(C1595&lt;&gt;"Yes",0,IF(A1595=2025,N('2025'!D292),IF(A1595=2026,N('2026'!D292),IF(A1595=2027,N('2027'!D292),IF(A1595=2028,N('2028'!D292),IF(A1595=2029,N('2029'!D292),IF(A1595=2030,N('2030'!D292),IF(A1595=2031,N('2031'!D292),IF(A1595=2032,N('2032'!D292),IF(A1595=2033,N('2033'!D292),IF(A1595=2034,N('2034'!D292),IFERROR(N(INDIRECT("'"&amp;A1595&amp;"'!D"&amp;G1595)),0))))))))))))</f>
        <v>0</v>
      </c>
      <c r="M1595" s="36">
        <f>IFERROR(IF(NOT(ISBLANK(KPI_TARGETS!$M$21)),KPI_TARGETS!$M$21,IF(NOT(ISBLANK(KPI_TARGETS!$F$21)),KPI_TARGETS!$F$21,"")),"")</f>
        <v>0</v>
      </c>
      <c r="N1595" s="36" t="str">
        <f>IFERROR(KPI_TARGETS!$E$21,"Higher is better")</f>
        <v>Lower is better</v>
      </c>
      <c r="O1595" s="37">
        <f t="shared" ca="1" si="144"/>
        <v>1</v>
      </c>
      <c r="P1595" t="str">
        <f t="shared" ca="1" si="145"/>
        <v>Green</v>
      </c>
      <c r="Q1595" s="36">
        <f t="shared" ca="1" si="146"/>
        <v>0</v>
      </c>
      <c r="R1595" s="36" t="str">
        <f>""</f>
        <v/>
      </c>
      <c r="S1595" s="36" t="str">
        <f>""</f>
        <v/>
      </c>
      <c r="T1595" s="36" t="str">
        <f>""</f>
        <v/>
      </c>
      <c r="U1595" s="36" t="str">
        <f>""</f>
        <v/>
      </c>
      <c r="V1595" s="36" t="str">
        <f>""</f>
        <v/>
      </c>
      <c r="W1595" s="36">
        <f t="shared" si="147"/>
        <v>1</v>
      </c>
      <c r="X1595" t="str">
        <f t="shared" si="148"/>
        <v>Inactive</v>
      </c>
      <c r="Y1595" t="str">
        <f>IF(MAIN!$H$3="Selected Year",IF(A1595=MAIN!$B$3,"Yes","No"),IF(MAIN!$H$3="Included Years",IF(D1595="Yes","Yes","No"),IF(C1595="Yes","Yes","No")))</f>
        <v>No</v>
      </c>
      <c r="Z1595" t="str">
        <f>IF(MAIN!$F$3="Project to Date",IF(AND(A1595&gt;=SETTINGS!$B$4,A1595&lt;MAIN!$B$3),"Yes",IF(AND(A1595=MAIN!$B$3,E1595&lt;=MAIN!$L$3),"Yes","No")),IF(OR(MAIN!$F$3="Full Year",MAIN!$D$3="All"),"Yes",IF(MAIN!$F$3="Monthly",IF(E1595=MAIN!$L$3,"Yes","No"),IF(E1595&lt;=MAIN!$L$3,"Yes","No"))))</f>
        <v>Yes</v>
      </c>
      <c r="AA1595" t="str">
        <f t="shared" si="149"/>
        <v>No</v>
      </c>
    </row>
    <row r="1596" spans="1:27" x14ac:dyDescent="0.3">
      <c r="A1596">
        <f>INDEX(SETTINGS!$A$15:$A$24,$B1596)</f>
        <v>2031</v>
      </c>
      <c r="B1596">
        <v>7</v>
      </c>
      <c r="C1596" t="str">
        <f>IF(AND(A1596&gt;=SETTINGS!$B$4,A1596&lt;=SETTINGS!$B$5),"Yes","No")</f>
        <v>No</v>
      </c>
      <c r="D1596" t="str">
        <f>IFERROR(INDEX(SETTINGS!$C$15:$C$24,MATCH(A1596,SETTINGS!$A$15:$A$24,0)),"No")</f>
        <v>No</v>
      </c>
      <c r="E1596">
        <v>12</v>
      </c>
      <c r="F1596" t="s">
        <v>45</v>
      </c>
      <c r="G1596">
        <v>293</v>
      </c>
      <c r="H1596" t="s">
        <v>111</v>
      </c>
      <c r="I1596" t="s">
        <v>30</v>
      </c>
      <c r="J1596" t="s">
        <v>32</v>
      </c>
      <c r="K1596" t="s">
        <v>3</v>
      </c>
      <c r="L1596" s="36">
        <f ca="1">IF(C1596&lt;&gt;"Yes",0,IF(A1596=2025,N('2025'!D293),IF(A1596=2026,N('2026'!D293),IF(A1596=2027,N('2027'!D293),IF(A1596=2028,N('2028'!D293),IF(A1596=2029,N('2029'!D293),IF(A1596=2030,N('2030'!D293),IF(A1596=2031,N('2031'!D293),IF(A1596=2032,N('2032'!D293),IF(A1596=2033,N('2033'!D293),IF(A1596=2034,N('2034'!D293),IFERROR(N(INDIRECT("'"&amp;A1596&amp;"'!D"&amp;G1596)),0))))))))))))</f>
        <v>0</v>
      </c>
      <c r="M1596" s="36">
        <f>IFERROR(IF(NOT(ISBLANK(KPI_TARGETS!$M$22)),KPI_TARGETS!$M$22,IF(NOT(ISBLANK(KPI_TARGETS!$F$22)),KPI_TARGETS!$F$22,"")),"")</f>
        <v>1</v>
      </c>
      <c r="N1596" s="36" t="str">
        <f>IFERROR(KPI_TARGETS!$E$22,"Higher is better")</f>
        <v>Higher is better</v>
      </c>
      <c r="O1596" s="37">
        <f t="shared" ca="1" si="144"/>
        <v>0</v>
      </c>
      <c r="P1596" t="str">
        <f t="shared" ca="1" si="145"/>
        <v>Red</v>
      </c>
      <c r="Q1596" s="36">
        <f t="shared" ca="1" si="146"/>
        <v>-1</v>
      </c>
      <c r="R1596" s="36" t="str">
        <f>""</f>
        <v/>
      </c>
      <c r="S1596" s="36" t="str">
        <f>""</f>
        <v/>
      </c>
      <c r="T1596" s="36" t="str">
        <f>""</f>
        <v/>
      </c>
      <c r="U1596" s="36" t="str">
        <f>""</f>
        <v/>
      </c>
      <c r="V1596" s="36" t="str">
        <f>""</f>
        <v/>
      </c>
      <c r="W1596" s="36">
        <f t="shared" si="147"/>
        <v>1</v>
      </c>
      <c r="X1596" t="str">
        <f t="shared" si="148"/>
        <v>Inactive</v>
      </c>
      <c r="Y1596" t="str">
        <f>IF(MAIN!$H$3="Selected Year",IF(A1596=MAIN!$B$3,"Yes","No"),IF(MAIN!$H$3="Included Years",IF(D1596="Yes","Yes","No"),IF(C1596="Yes","Yes","No")))</f>
        <v>No</v>
      </c>
      <c r="Z1596" t="str">
        <f>IF(MAIN!$F$3="Project to Date",IF(AND(A1596&gt;=SETTINGS!$B$4,A1596&lt;MAIN!$B$3),"Yes",IF(AND(A1596=MAIN!$B$3,E1596&lt;=MAIN!$L$3),"Yes","No")),IF(OR(MAIN!$F$3="Full Year",MAIN!$D$3="All"),"Yes",IF(MAIN!$F$3="Monthly",IF(E1596=MAIN!$L$3,"Yes","No"),IF(E1596&lt;=MAIN!$L$3,"Yes","No"))))</f>
        <v>Yes</v>
      </c>
      <c r="AA1596" t="str">
        <f t="shared" si="149"/>
        <v>No</v>
      </c>
    </row>
    <row r="1597" spans="1:27" x14ac:dyDescent="0.3">
      <c r="A1597">
        <f>INDEX(SETTINGS!$A$15:$A$24,$B1597)</f>
        <v>2031</v>
      </c>
      <c r="B1597">
        <v>7</v>
      </c>
      <c r="C1597" t="str">
        <f>IF(AND(A1597&gt;=SETTINGS!$B$4,A1597&lt;=SETTINGS!$B$5),"Yes","No")</f>
        <v>No</v>
      </c>
      <c r="D1597" t="str">
        <f>IFERROR(INDEX(SETTINGS!$C$15:$C$24,MATCH(A1597,SETTINGS!$A$15:$A$24,0)),"No")</f>
        <v>No</v>
      </c>
      <c r="E1597">
        <v>12</v>
      </c>
      <c r="F1597" t="s">
        <v>45</v>
      </c>
      <c r="G1597">
        <v>294</v>
      </c>
      <c r="H1597" t="s">
        <v>112</v>
      </c>
      <c r="I1597" t="s">
        <v>30</v>
      </c>
      <c r="J1597" t="s">
        <v>33</v>
      </c>
      <c r="K1597" t="s">
        <v>34</v>
      </c>
      <c r="L1597" s="36">
        <f ca="1">IF(C1597&lt;&gt;"Yes",0,IF(A1597=2025,N('2025'!D294),IF(A1597=2026,N('2026'!D294),IF(A1597=2027,N('2027'!D294),IF(A1597=2028,N('2028'!D294),IF(A1597=2029,N('2029'!D294),IF(A1597=2030,N('2030'!D294),IF(A1597=2031,N('2031'!D294),IF(A1597=2032,N('2032'!D294),IF(A1597=2033,N('2033'!D294),IF(A1597=2034,N('2034'!D294),IFERROR(N(INDIRECT("'"&amp;A1597&amp;"'!D"&amp;G1597)),0))))))))))))</f>
        <v>0</v>
      </c>
      <c r="M1597" s="36">
        <f>IFERROR(IF(NOT(ISBLANK(KPI_TARGETS!$M$23)),KPI_TARGETS!$M$23,IF(NOT(ISBLANK(KPI_TARGETS!$F$23)),KPI_TARGETS!$F$23,"")),"")</f>
        <v>1</v>
      </c>
      <c r="N1597" s="36" t="str">
        <f>IFERROR(KPI_TARGETS!$E$23,"Higher is better")</f>
        <v>Higher is better</v>
      </c>
      <c r="O1597" s="37">
        <f t="shared" ca="1" si="144"/>
        <v>0</v>
      </c>
      <c r="P1597" t="str">
        <f t="shared" ca="1" si="145"/>
        <v>Red</v>
      </c>
      <c r="Q1597" s="36">
        <f t="shared" ca="1" si="146"/>
        <v>-1</v>
      </c>
      <c r="R1597" s="36" t="str">
        <f>""</f>
        <v/>
      </c>
      <c r="S1597" s="36" t="str">
        <f>""</f>
        <v/>
      </c>
      <c r="T1597" s="36" t="str">
        <f>""</f>
        <v/>
      </c>
      <c r="U1597" s="36" t="str">
        <f>""</f>
        <v/>
      </c>
      <c r="V1597" s="36" t="str">
        <f>""</f>
        <v/>
      </c>
      <c r="W1597" s="36">
        <f t="shared" si="147"/>
        <v>1</v>
      </c>
      <c r="X1597" t="str">
        <f t="shared" si="148"/>
        <v>Inactive</v>
      </c>
      <c r="Y1597" t="str">
        <f>IF(MAIN!$H$3="Selected Year",IF(A1597=MAIN!$B$3,"Yes","No"),IF(MAIN!$H$3="Included Years",IF(D1597="Yes","Yes","No"),IF(C1597="Yes","Yes","No")))</f>
        <v>No</v>
      </c>
      <c r="Z1597" t="str">
        <f>IF(MAIN!$F$3="Project to Date",IF(AND(A1597&gt;=SETTINGS!$B$4,A1597&lt;MAIN!$B$3),"Yes",IF(AND(A1597=MAIN!$B$3,E1597&lt;=MAIN!$L$3),"Yes","No")),IF(OR(MAIN!$F$3="Full Year",MAIN!$D$3="All"),"Yes",IF(MAIN!$F$3="Monthly",IF(E1597=MAIN!$L$3,"Yes","No"),IF(E1597&lt;=MAIN!$L$3,"Yes","No"))))</f>
        <v>Yes</v>
      </c>
      <c r="AA1597" t="str">
        <f t="shared" si="149"/>
        <v>No</v>
      </c>
    </row>
    <row r="1598" spans="1:27" x14ac:dyDescent="0.3">
      <c r="A1598">
        <f>INDEX(SETTINGS!$A$15:$A$24,$B1598)</f>
        <v>2032</v>
      </c>
      <c r="B1598">
        <v>8</v>
      </c>
      <c r="C1598" t="str">
        <f>IF(AND(A1598&gt;=SETTINGS!$B$4,A1598&lt;=SETTINGS!$B$5),"Yes","No")</f>
        <v>No</v>
      </c>
      <c r="D1598" t="str">
        <f>IFERROR(INDEX(SETTINGS!$C$15:$C$24,MATCH(A1598,SETTINGS!$A$15:$A$24,0)),"No")</f>
        <v>No</v>
      </c>
      <c r="E1598">
        <v>1</v>
      </c>
      <c r="F1598" t="s">
        <v>2</v>
      </c>
      <c r="G1598">
        <v>9</v>
      </c>
      <c r="H1598" t="s">
        <v>88</v>
      </c>
      <c r="I1598" t="s">
        <v>89</v>
      </c>
      <c r="J1598" t="s">
        <v>10</v>
      </c>
      <c r="K1598" t="s">
        <v>3</v>
      </c>
      <c r="L1598" s="36">
        <f ca="1">IF(C1598&lt;&gt;"Yes",0,IF(A1598=2025,N('2025'!D9),IF(A1598=2026,N('2026'!D9),IF(A1598=2027,N('2027'!D9),IF(A1598=2028,N('2028'!D9),IF(A1598=2029,N('2029'!D9),IF(A1598=2030,N('2030'!D9),IF(A1598=2031,N('2031'!D9),IF(A1598=2032,N('2032'!D9),IF(A1598=2033,N('2033'!D9),IF(A1598=2034,N('2034'!D9),IFERROR(N(INDIRECT("'"&amp;A1598&amp;"'!D"&amp;G1598)),0))))))))))))</f>
        <v>0</v>
      </c>
      <c r="M1598" s="36">
        <f>IFERROR(IF(NOT(ISBLANK(KPI_TARGETS!$N$5)),KPI_TARGETS!$N$5,IF(NOT(ISBLANK(KPI_TARGETS!$F$5)),KPI_TARGETS!$F$5,"")),"")</f>
        <v>104</v>
      </c>
      <c r="N1598" s="36" t="str">
        <f>IFERROR(KPI_TARGETS!$E$5,"Higher is better")</f>
        <v>Higher is better</v>
      </c>
      <c r="O1598" s="37">
        <f t="shared" ca="1" si="144"/>
        <v>0</v>
      </c>
      <c r="P1598" t="str">
        <f t="shared" ca="1" si="145"/>
        <v>Red</v>
      </c>
      <c r="Q1598" s="36">
        <f t="shared" ca="1" si="146"/>
        <v>-104</v>
      </c>
      <c r="R1598" s="36" t="str">
        <f>""</f>
        <v/>
      </c>
      <c r="S1598" s="36" t="str">
        <f>""</f>
        <v/>
      </c>
      <c r="T1598" s="36" t="str">
        <f>""</f>
        <v/>
      </c>
      <c r="U1598" s="36" t="str">
        <f>""</f>
        <v/>
      </c>
      <c r="V1598" s="36" t="str">
        <f>""</f>
        <v/>
      </c>
      <c r="W1598" s="36">
        <f t="shared" si="147"/>
        <v>1</v>
      </c>
      <c r="X1598" t="str">
        <f t="shared" si="148"/>
        <v>Inactive</v>
      </c>
      <c r="Y1598" t="str">
        <f>IF(MAIN!$H$3="Selected Year",IF(A1598=MAIN!$B$3,"Yes","No"),IF(MAIN!$H$3="Included Years",IF(D1598="Yes","Yes","No"),IF(C1598="Yes","Yes","No")))</f>
        <v>No</v>
      </c>
      <c r="Z1598" t="str">
        <f>IF(MAIN!$F$3="Project to Date",IF(AND(A1598&gt;=SETTINGS!$B$4,A1598&lt;MAIN!$B$3),"Yes",IF(AND(A1598=MAIN!$B$3,E1598&lt;=MAIN!$L$3),"Yes","No")),IF(OR(MAIN!$F$3="Full Year",MAIN!$D$3="All"),"Yes",IF(MAIN!$F$3="Monthly",IF(E1598=MAIN!$L$3,"Yes","No"),IF(E1598&lt;=MAIN!$L$3,"Yes","No"))))</f>
        <v>Yes</v>
      </c>
      <c r="AA1598" t="str">
        <f t="shared" si="149"/>
        <v>No</v>
      </c>
    </row>
    <row r="1599" spans="1:27" x14ac:dyDescent="0.3">
      <c r="A1599">
        <f>INDEX(SETTINGS!$A$15:$A$24,$B1599)</f>
        <v>2032</v>
      </c>
      <c r="B1599">
        <v>8</v>
      </c>
      <c r="C1599" t="str">
        <f>IF(AND(A1599&gt;=SETTINGS!$B$4,A1599&lt;=SETTINGS!$B$5),"Yes","No")</f>
        <v>No</v>
      </c>
      <c r="D1599" t="str">
        <f>IFERROR(INDEX(SETTINGS!$C$15:$C$24,MATCH(A1599,SETTINGS!$A$15:$A$24,0)),"No")</f>
        <v>No</v>
      </c>
      <c r="E1599">
        <v>1</v>
      </c>
      <c r="F1599" t="s">
        <v>2</v>
      </c>
      <c r="G1599">
        <v>10</v>
      </c>
      <c r="H1599" t="s">
        <v>91</v>
      </c>
      <c r="I1599" t="s">
        <v>89</v>
      </c>
      <c r="J1599" t="s">
        <v>11</v>
      </c>
      <c r="K1599" t="s">
        <v>12</v>
      </c>
      <c r="L1599" s="36">
        <f ca="1">IF(C1599&lt;&gt;"Yes",0,IF(A1599=2025,N('2025'!D10),IF(A1599=2026,N('2026'!D10),IF(A1599=2027,N('2027'!D10),IF(A1599=2028,N('2028'!D10),IF(A1599=2029,N('2029'!D10),IF(A1599=2030,N('2030'!D10),IF(A1599=2031,N('2031'!D10),IF(A1599=2032,N('2032'!D10),IF(A1599=2033,N('2033'!D10),IF(A1599=2034,N('2034'!D10),IFERROR(N(INDIRECT("'"&amp;A1599&amp;"'!D"&amp;G1599)),0))))))))))))</f>
        <v>0</v>
      </c>
      <c r="M1599" s="36">
        <f>IFERROR(IF(NOT(ISBLANK(KPI_TARGETS!$N$6)),KPI_TARGETS!$N$6,IF(NOT(ISBLANK(KPI_TARGETS!$F$6)),KPI_TARGETS!$F$6,"")),"")</f>
        <v>4000</v>
      </c>
      <c r="N1599" s="36" t="str">
        <f>IFERROR(KPI_TARGETS!$E$6,"Higher is better")</f>
        <v>Higher is better</v>
      </c>
      <c r="O1599" s="37">
        <f t="shared" ca="1" si="144"/>
        <v>0</v>
      </c>
      <c r="P1599" t="str">
        <f t="shared" ca="1" si="145"/>
        <v>Red</v>
      </c>
      <c r="Q1599" s="36">
        <f t="shared" ca="1" si="146"/>
        <v>-4000</v>
      </c>
      <c r="R1599" s="36" t="str">
        <f>""</f>
        <v/>
      </c>
      <c r="S1599" s="36" t="str">
        <f>""</f>
        <v/>
      </c>
      <c r="T1599" s="36" t="str">
        <f>""</f>
        <v/>
      </c>
      <c r="U1599" s="36" t="str">
        <f>""</f>
        <v/>
      </c>
      <c r="V1599" s="36" t="str">
        <f>""</f>
        <v/>
      </c>
      <c r="W1599" s="36">
        <f t="shared" si="147"/>
        <v>1</v>
      </c>
      <c r="X1599" t="str">
        <f t="shared" si="148"/>
        <v>Inactive</v>
      </c>
      <c r="Y1599" t="str">
        <f>IF(MAIN!$H$3="Selected Year",IF(A1599=MAIN!$B$3,"Yes","No"),IF(MAIN!$H$3="Included Years",IF(D1599="Yes","Yes","No"),IF(C1599="Yes","Yes","No")))</f>
        <v>No</v>
      </c>
      <c r="Z1599" t="str">
        <f>IF(MAIN!$F$3="Project to Date",IF(AND(A1599&gt;=SETTINGS!$B$4,A1599&lt;MAIN!$B$3),"Yes",IF(AND(A1599=MAIN!$B$3,E1599&lt;=MAIN!$L$3),"Yes","No")),IF(OR(MAIN!$F$3="Full Year",MAIN!$D$3="All"),"Yes",IF(MAIN!$F$3="Monthly",IF(E1599=MAIN!$L$3,"Yes","No"),IF(E1599&lt;=MAIN!$L$3,"Yes","No"))))</f>
        <v>Yes</v>
      </c>
      <c r="AA1599" t="str">
        <f t="shared" si="149"/>
        <v>No</v>
      </c>
    </row>
    <row r="1600" spans="1:27" x14ac:dyDescent="0.3">
      <c r="A1600">
        <f>INDEX(SETTINGS!$A$15:$A$24,$B1600)</f>
        <v>2032</v>
      </c>
      <c r="B1600">
        <v>8</v>
      </c>
      <c r="C1600" t="str">
        <f>IF(AND(A1600&gt;=SETTINGS!$B$4,A1600&lt;=SETTINGS!$B$5),"Yes","No")</f>
        <v>No</v>
      </c>
      <c r="D1600" t="str">
        <f>IFERROR(INDEX(SETTINGS!$C$15:$C$24,MATCH(A1600,SETTINGS!$A$15:$A$24,0)),"No")</f>
        <v>No</v>
      </c>
      <c r="E1600">
        <v>1</v>
      </c>
      <c r="F1600" t="s">
        <v>2</v>
      </c>
      <c r="G1600">
        <v>11</v>
      </c>
      <c r="H1600" t="s">
        <v>93</v>
      </c>
      <c r="I1600" t="s">
        <v>89</v>
      </c>
      <c r="J1600" t="s">
        <v>13</v>
      </c>
      <c r="K1600" t="s">
        <v>14</v>
      </c>
      <c r="L1600" s="36">
        <f ca="1">IF(C1600&lt;&gt;"Yes",0,IF(A1600=2025,N('2025'!D11),IF(A1600=2026,N('2026'!D11),IF(A1600=2027,N('2027'!D11),IF(A1600=2028,N('2028'!D11),IF(A1600=2029,N('2029'!D11),IF(A1600=2030,N('2030'!D11),IF(A1600=2031,N('2031'!D11),IF(A1600=2032,N('2032'!D11),IF(A1600=2033,N('2033'!D11),IF(A1600=2034,N('2034'!D11),IFERROR(N(INDIRECT("'"&amp;A1600&amp;"'!D"&amp;G1600)),0))))))))))))</f>
        <v>0</v>
      </c>
      <c r="M1600" s="36">
        <f>IFERROR(IF(NOT(ISBLANK(KPI_TARGETS!$N$7)),KPI_TARGETS!$N$7,IF(NOT(ISBLANK(KPI_TARGETS!$F$7)),KPI_TARGETS!$F$7,"")),"")</f>
        <v>8000</v>
      </c>
      <c r="N1600" s="36" t="str">
        <f>IFERROR(KPI_TARGETS!$E$7,"Higher is better")</f>
        <v>Higher is better</v>
      </c>
      <c r="O1600" s="37">
        <f t="shared" ca="1" si="144"/>
        <v>0</v>
      </c>
      <c r="P1600" t="str">
        <f t="shared" ca="1" si="145"/>
        <v>Red</v>
      </c>
      <c r="Q1600" s="36">
        <f t="shared" ca="1" si="146"/>
        <v>-8000</v>
      </c>
      <c r="R1600" s="36" t="str">
        <f>""</f>
        <v/>
      </c>
      <c r="S1600" s="36" t="str">
        <f>""</f>
        <v/>
      </c>
      <c r="T1600" s="36" t="str">
        <f>""</f>
        <v/>
      </c>
      <c r="U1600" s="36" t="str">
        <f>""</f>
        <v/>
      </c>
      <c r="V1600" s="36" t="str">
        <f>""</f>
        <v/>
      </c>
      <c r="W1600" s="36">
        <f t="shared" si="147"/>
        <v>1</v>
      </c>
      <c r="X1600" t="str">
        <f t="shared" si="148"/>
        <v>Inactive</v>
      </c>
      <c r="Y1600" t="str">
        <f>IF(MAIN!$H$3="Selected Year",IF(A1600=MAIN!$B$3,"Yes","No"),IF(MAIN!$H$3="Included Years",IF(D1600="Yes","Yes","No"),IF(C1600="Yes","Yes","No")))</f>
        <v>No</v>
      </c>
      <c r="Z1600" t="str">
        <f>IF(MAIN!$F$3="Project to Date",IF(AND(A1600&gt;=SETTINGS!$B$4,A1600&lt;MAIN!$B$3),"Yes",IF(AND(A1600=MAIN!$B$3,E1600&lt;=MAIN!$L$3),"Yes","No")),IF(OR(MAIN!$F$3="Full Year",MAIN!$D$3="All"),"Yes",IF(MAIN!$F$3="Monthly",IF(E1600=MAIN!$L$3,"Yes","No"),IF(E1600&lt;=MAIN!$L$3,"Yes","No"))))</f>
        <v>Yes</v>
      </c>
      <c r="AA1600" t="str">
        <f t="shared" si="149"/>
        <v>No</v>
      </c>
    </row>
    <row r="1601" spans="1:27" x14ac:dyDescent="0.3">
      <c r="A1601">
        <f>INDEX(SETTINGS!$A$15:$A$24,$B1601)</f>
        <v>2032</v>
      </c>
      <c r="B1601">
        <v>8</v>
      </c>
      <c r="C1601" t="str">
        <f>IF(AND(A1601&gt;=SETTINGS!$B$4,A1601&lt;=SETTINGS!$B$5),"Yes","No")</f>
        <v>No</v>
      </c>
      <c r="D1601" t="str">
        <f>IFERROR(INDEX(SETTINGS!$C$15:$C$24,MATCH(A1601,SETTINGS!$A$15:$A$24,0)),"No")</f>
        <v>No</v>
      </c>
      <c r="E1601">
        <v>1</v>
      </c>
      <c r="F1601" t="s">
        <v>2</v>
      </c>
      <c r="G1601">
        <v>13</v>
      </c>
      <c r="H1601" t="s">
        <v>95</v>
      </c>
      <c r="I1601" t="s">
        <v>15</v>
      </c>
      <c r="J1601" t="s">
        <v>16</v>
      </c>
      <c r="K1601" t="s">
        <v>3</v>
      </c>
      <c r="L1601" s="36">
        <f ca="1">IF(C1601&lt;&gt;"Yes",0,IF(A1601=2025,N('2025'!D13),IF(A1601=2026,N('2026'!D13),IF(A1601=2027,N('2027'!D13),IF(A1601=2028,N('2028'!D13),IF(A1601=2029,N('2029'!D13),IF(A1601=2030,N('2030'!D13),IF(A1601=2031,N('2031'!D13),IF(A1601=2032,N('2032'!D13),IF(A1601=2033,N('2033'!D13),IF(A1601=2034,N('2034'!D13),IFERROR(N(INDIRECT("'"&amp;A1601&amp;"'!D"&amp;G1601)),0))))))))))))</f>
        <v>0</v>
      </c>
      <c r="M1601" s="36">
        <f>IFERROR(IF(NOT(ISBLANK(KPI_TARGETS!$N$8)),KPI_TARGETS!$N$8,IF(NOT(ISBLANK(KPI_TARGETS!$F$8)),KPI_TARGETS!$F$8,"")),"")</f>
        <v>0</v>
      </c>
      <c r="N1601" s="36" t="str">
        <f>IFERROR(KPI_TARGETS!$E$8,"Higher is better")</f>
        <v>Lower is better</v>
      </c>
      <c r="O1601" s="37">
        <f t="shared" ca="1" si="144"/>
        <v>1</v>
      </c>
      <c r="P1601" t="str">
        <f t="shared" ca="1" si="145"/>
        <v>Green</v>
      </c>
      <c r="Q1601" s="36">
        <f t="shared" ca="1" si="146"/>
        <v>0</v>
      </c>
      <c r="R1601" s="36" t="str">
        <f>""</f>
        <v/>
      </c>
      <c r="S1601" s="36" t="str">
        <f>""</f>
        <v/>
      </c>
      <c r="T1601" s="36" t="str">
        <f>""</f>
        <v/>
      </c>
      <c r="U1601" s="36" t="str">
        <f>""</f>
        <v/>
      </c>
      <c r="V1601" s="36" t="str">
        <f>""</f>
        <v/>
      </c>
      <c r="W1601" s="36">
        <f t="shared" si="147"/>
        <v>1</v>
      </c>
      <c r="X1601" t="str">
        <f t="shared" si="148"/>
        <v>Inactive</v>
      </c>
      <c r="Y1601" t="str">
        <f>IF(MAIN!$H$3="Selected Year",IF(A1601=MAIN!$B$3,"Yes","No"),IF(MAIN!$H$3="Included Years",IF(D1601="Yes","Yes","No"),IF(C1601="Yes","Yes","No")))</f>
        <v>No</v>
      </c>
      <c r="Z1601" t="str">
        <f>IF(MAIN!$F$3="Project to Date",IF(AND(A1601&gt;=SETTINGS!$B$4,A1601&lt;MAIN!$B$3),"Yes",IF(AND(A1601=MAIN!$B$3,E1601&lt;=MAIN!$L$3),"Yes","No")),IF(OR(MAIN!$F$3="Full Year",MAIN!$D$3="All"),"Yes",IF(MAIN!$F$3="Monthly",IF(E1601=MAIN!$L$3,"Yes","No"),IF(E1601&lt;=MAIN!$L$3,"Yes","No"))))</f>
        <v>Yes</v>
      </c>
      <c r="AA1601" t="str">
        <f t="shared" si="149"/>
        <v>No</v>
      </c>
    </row>
    <row r="1602" spans="1:27" x14ac:dyDescent="0.3">
      <c r="A1602">
        <f>INDEX(SETTINGS!$A$15:$A$24,$B1602)</f>
        <v>2032</v>
      </c>
      <c r="B1602">
        <v>8</v>
      </c>
      <c r="C1602" t="str">
        <f>IF(AND(A1602&gt;=SETTINGS!$B$4,A1602&lt;=SETTINGS!$B$5),"Yes","No")</f>
        <v>No</v>
      </c>
      <c r="D1602" t="str">
        <f>IFERROR(INDEX(SETTINGS!$C$15:$C$24,MATCH(A1602,SETTINGS!$A$15:$A$24,0)),"No")</f>
        <v>No</v>
      </c>
      <c r="E1602">
        <v>1</v>
      </c>
      <c r="F1602" t="s">
        <v>2</v>
      </c>
      <c r="G1602">
        <v>14</v>
      </c>
      <c r="H1602" t="s">
        <v>97</v>
      </c>
      <c r="I1602" t="s">
        <v>15</v>
      </c>
      <c r="J1602" t="s">
        <v>17</v>
      </c>
      <c r="K1602" t="s">
        <v>3</v>
      </c>
      <c r="L1602" s="36">
        <f ca="1">IF(C1602&lt;&gt;"Yes",0,IF(A1602=2025,N('2025'!D14),IF(A1602=2026,N('2026'!D14),IF(A1602=2027,N('2027'!D14),IF(A1602=2028,N('2028'!D14),IF(A1602=2029,N('2029'!D14),IF(A1602=2030,N('2030'!D14),IF(A1602=2031,N('2031'!D14),IF(A1602=2032,N('2032'!D14),IF(A1602=2033,N('2033'!D14),IF(A1602=2034,N('2034'!D14),IFERROR(N(INDIRECT("'"&amp;A1602&amp;"'!D"&amp;G1602)),0))))))))))))</f>
        <v>0</v>
      </c>
      <c r="M1602" s="36">
        <f>IFERROR(IF(NOT(ISBLANK(KPI_TARGETS!$N$9)),KPI_TARGETS!$N$9,IF(NOT(ISBLANK(KPI_TARGETS!$F$9)),KPI_TARGETS!$F$9,"")),"")</f>
        <v>0</v>
      </c>
      <c r="N1602" s="36" t="str">
        <f>IFERROR(KPI_TARGETS!$E$9,"Higher is better")</f>
        <v>Higher is better</v>
      </c>
      <c r="O1602" s="37" t="str">
        <f t="shared" ref="O1602:O1665" ca="1" si="150">IF(M1602="","",IF(N1602="Higher is better",IFERROR(L1602/M1602,""),IF(L1602=0,1,IFERROR(M1602/L1602,""))))</f>
        <v/>
      </c>
      <c r="P1602" t="str">
        <f t="shared" ref="P1602:P1665" ca="1" si="151">IF(M1602="","Target Needed",IF(N1602="Higher is better",IF(L1602&gt;=M1602,"Green",IF(L1602&gt;=0.8*M1602,"Amber","Red")),IF(M1602=0,IF(L1602=0,"Green","Red"),IF(L1602&lt;=M1602,"Green",IF(L1602&lt;=1.25*M1602,"Amber","Red")))))</f>
        <v>Green</v>
      </c>
      <c r="Q1602" s="36">
        <f t="shared" ref="Q1602:Q1665" ca="1" si="152">IF(M1602="","",IF(N1602="Higher is better",L1602-M1602,M1602-L1602))</f>
        <v>0</v>
      </c>
      <c r="R1602" s="36" t="str">
        <f>""</f>
        <v/>
      </c>
      <c r="S1602" s="36" t="str">
        <f>""</f>
        <v/>
      </c>
      <c r="T1602" s="36" t="str">
        <f>""</f>
        <v/>
      </c>
      <c r="U1602" s="36" t="str">
        <f>""</f>
        <v/>
      </c>
      <c r="V1602" s="36" t="str">
        <f>""</f>
        <v/>
      </c>
      <c r="W1602" s="36">
        <f t="shared" ref="W1602:W1665" si="153">IF(LEN(M1602&amp;"")&gt;0,1,0)</f>
        <v>1</v>
      </c>
      <c r="X1602" t="str">
        <f t="shared" ref="X1602:X1665" si="154">IF(C1602&lt;&gt;"Yes","Inactive",IF(M1602="","Missing target","OK"))</f>
        <v>Inactive</v>
      </c>
      <c r="Y1602" t="str">
        <f>IF(MAIN!$H$3="Selected Year",IF(A1602=MAIN!$B$3,"Yes","No"),IF(MAIN!$H$3="Included Years",IF(D1602="Yes","Yes","No"),IF(C1602="Yes","Yes","No")))</f>
        <v>No</v>
      </c>
      <c r="Z1602" t="str">
        <f>IF(MAIN!$F$3="Project to Date",IF(AND(A1602&gt;=SETTINGS!$B$4,A1602&lt;MAIN!$B$3),"Yes",IF(AND(A1602=MAIN!$B$3,E1602&lt;=MAIN!$L$3),"Yes","No")),IF(OR(MAIN!$F$3="Full Year",MAIN!$D$3="All"),"Yes",IF(MAIN!$F$3="Monthly",IF(E1602=MAIN!$L$3,"Yes","No"),IF(E1602&lt;=MAIN!$L$3,"Yes","No"))))</f>
        <v>Yes</v>
      </c>
      <c r="AA1602" t="str">
        <f t="shared" ref="AA1602:AA1665" si="155">IF(AND(Y1602="Yes",Z1602="Yes"),"Yes","No")</f>
        <v>No</v>
      </c>
    </row>
    <row r="1603" spans="1:27" x14ac:dyDescent="0.3">
      <c r="A1603">
        <f>INDEX(SETTINGS!$A$15:$A$24,$B1603)</f>
        <v>2032</v>
      </c>
      <c r="B1603">
        <v>8</v>
      </c>
      <c r="C1603" t="str">
        <f>IF(AND(A1603&gt;=SETTINGS!$B$4,A1603&lt;=SETTINGS!$B$5),"Yes","No")</f>
        <v>No</v>
      </c>
      <c r="D1603" t="str">
        <f>IFERROR(INDEX(SETTINGS!$C$15:$C$24,MATCH(A1603,SETTINGS!$A$15:$A$24,0)),"No")</f>
        <v>No</v>
      </c>
      <c r="E1603">
        <v>1</v>
      </c>
      <c r="F1603" t="s">
        <v>2</v>
      </c>
      <c r="G1603">
        <v>15</v>
      </c>
      <c r="H1603" t="s">
        <v>99</v>
      </c>
      <c r="I1603" t="s">
        <v>15</v>
      </c>
      <c r="J1603" t="s">
        <v>18</v>
      </c>
      <c r="K1603" t="s">
        <v>3</v>
      </c>
      <c r="L1603" s="36">
        <f ca="1">IF(C1603&lt;&gt;"Yes",0,IF(A1603=2025,N('2025'!D15),IF(A1603=2026,N('2026'!D15),IF(A1603=2027,N('2027'!D15),IF(A1603=2028,N('2028'!D15),IF(A1603=2029,N('2029'!D15),IF(A1603=2030,N('2030'!D15),IF(A1603=2031,N('2031'!D15),IF(A1603=2032,N('2032'!D15),IF(A1603=2033,N('2033'!D15),IF(A1603=2034,N('2034'!D15),IFERROR(N(INDIRECT("'"&amp;A1603&amp;"'!D"&amp;G1603)),0))))))))))))</f>
        <v>0</v>
      </c>
      <c r="M1603" s="36">
        <f>IFERROR(IF(NOT(ISBLANK(KPI_TARGETS!$N$10)),KPI_TARGETS!$N$10,IF(NOT(ISBLANK(KPI_TARGETS!$F$10)),KPI_TARGETS!$F$10,"")),"")</f>
        <v>0</v>
      </c>
      <c r="N1603" s="36" t="str">
        <f>IFERROR(KPI_TARGETS!$E$10,"Higher is better")</f>
        <v>Lower is better</v>
      </c>
      <c r="O1603" s="37">
        <f t="shared" ca="1" si="150"/>
        <v>1</v>
      </c>
      <c r="P1603" t="str">
        <f t="shared" ca="1" si="151"/>
        <v>Green</v>
      </c>
      <c r="Q1603" s="36">
        <f t="shared" ca="1" si="152"/>
        <v>0</v>
      </c>
      <c r="R1603" s="36" t="str">
        <f>""</f>
        <v/>
      </c>
      <c r="S1603" s="36" t="str">
        <f>""</f>
        <v/>
      </c>
      <c r="T1603" s="36" t="str">
        <f>""</f>
        <v/>
      </c>
      <c r="U1603" s="36" t="str">
        <f>""</f>
        <v/>
      </c>
      <c r="V1603" s="36" t="str">
        <f>""</f>
        <v/>
      </c>
      <c r="W1603" s="36">
        <f t="shared" si="153"/>
        <v>1</v>
      </c>
      <c r="X1603" t="str">
        <f t="shared" si="154"/>
        <v>Inactive</v>
      </c>
      <c r="Y1603" t="str">
        <f>IF(MAIN!$H$3="Selected Year",IF(A1603=MAIN!$B$3,"Yes","No"),IF(MAIN!$H$3="Included Years",IF(D1603="Yes","Yes","No"),IF(C1603="Yes","Yes","No")))</f>
        <v>No</v>
      </c>
      <c r="Z1603" t="str">
        <f>IF(MAIN!$F$3="Project to Date",IF(AND(A1603&gt;=SETTINGS!$B$4,A1603&lt;MAIN!$B$3),"Yes",IF(AND(A1603=MAIN!$B$3,E1603&lt;=MAIN!$L$3),"Yes","No")),IF(OR(MAIN!$F$3="Full Year",MAIN!$D$3="All"),"Yes",IF(MAIN!$F$3="Monthly",IF(E1603=MAIN!$L$3,"Yes","No"),IF(E1603&lt;=MAIN!$L$3,"Yes","No"))))</f>
        <v>Yes</v>
      </c>
      <c r="AA1603" t="str">
        <f t="shared" si="155"/>
        <v>No</v>
      </c>
    </row>
    <row r="1604" spans="1:27" x14ac:dyDescent="0.3">
      <c r="A1604">
        <f>INDEX(SETTINGS!$A$15:$A$24,$B1604)</f>
        <v>2032</v>
      </c>
      <c r="B1604">
        <v>8</v>
      </c>
      <c r="C1604" t="str">
        <f>IF(AND(A1604&gt;=SETTINGS!$B$4,A1604&lt;=SETTINGS!$B$5),"Yes","No")</f>
        <v>No</v>
      </c>
      <c r="D1604" t="str">
        <f>IFERROR(INDEX(SETTINGS!$C$15:$C$24,MATCH(A1604,SETTINGS!$A$15:$A$24,0)),"No")</f>
        <v>No</v>
      </c>
      <c r="E1604">
        <v>1</v>
      </c>
      <c r="F1604" t="s">
        <v>2</v>
      </c>
      <c r="G1604">
        <v>16</v>
      </c>
      <c r="H1604" t="s">
        <v>100</v>
      </c>
      <c r="I1604" t="s">
        <v>15</v>
      </c>
      <c r="J1604" t="s">
        <v>19</v>
      </c>
      <c r="K1604" t="s">
        <v>3</v>
      </c>
      <c r="L1604" s="36">
        <f ca="1">IF(C1604&lt;&gt;"Yes",0,IF(A1604=2025,N('2025'!D16),IF(A1604=2026,N('2026'!D16),IF(A1604=2027,N('2027'!D16),IF(A1604=2028,N('2028'!D16),IF(A1604=2029,N('2029'!D16),IF(A1604=2030,N('2030'!D16),IF(A1604=2031,N('2031'!D16),IF(A1604=2032,N('2032'!D16),IF(A1604=2033,N('2033'!D16),IF(A1604=2034,N('2034'!D16),IFERROR(N(INDIRECT("'"&amp;A1604&amp;"'!D"&amp;G1604)),0))))))))))))</f>
        <v>0</v>
      </c>
      <c r="M1604" s="36">
        <f>IFERROR(IF(NOT(ISBLANK(KPI_TARGETS!$N$11)),KPI_TARGETS!$N$11,IF(NOT(ISBLANK(KPI_TARGETS!$F$11)),KPI_TARGETS!$F$11,"")),"")</f>
        <v>0</v>
      </c>
      <c r="N1604" s="36" t="str">
        <f>IFERROR(KPI_TARGETS!$E$11,"Higher is better")</f>
        <v>Lower is better</v>
      </c>
      <c r="O1604" s="37">
        <f t="shared" ca="1" si="150"/>
        <v>1</v>
      </c>
      <c r="P1604" t="str">
        <f t="shared" ca="1" si="151"/>
        <v>Green</v>
      </c>
      <c r="Q1604" s="36">
        <f t="shared" ca="1" si="152"/>
        <v>0</v>
      </c>
      <c r="R1604" s="36" t="str">
        <f>""</f>
        <v/>
      </c>
      <c r="S1604" s="36" t="str">
        <f>""</f>
        <v/>
      </c>
      <c r="T1604" s="36" t="str">
        <f>""</f>
        <v/>
      </c>
      <c r="U1604" s="36" t="str">
        <f>""</f>
        <v/>
      </c>
      <c r="V1604" s="36" t="str">
        <f>""</f>
        <v/>
      </c>
      <c r="W1604" s="36">
        <f t="shared" si="153"/>
        <v>1</v>
      </c>
      <c r="X1604" t="str">
        <f t="shared" si="154"/>
        <v>Inactive</v>
      </c>
      <c r="Y1604" t="str">
        <f>IF(MAIN!$H$3="Selected Year",IF(A1604=MAIN!$B$3,"Yes","No"),IF(MAIN!$H$3="Included Years",IF(D1604="Yes","Yes","No"),IF(C1604="Yes","Yes","No")))</f>
        <v>No</v>
      </c>
      <c r="Z1604" t="str">
        <f>IF(MAIN!$F$3="Project to Date",IF(AND(A1604&gt;=SETTINGS!$B$4,A1604&lt;MAIN!$B$3),"Yes",IF(AND(A1604=MAIN!$B$3,E1604&lt;=MAIN!$L$3),"Yes","No")),IF(OR(MAIN!$F$3="Full Year",MAIN!$D$3="All"),"Yes",IF(MAIN!$F$3="Monthly",IF(E1604=MAIN!$L$3,"Yes","No"),IF(E1604&lt;=MAIN!$L$3,"Yes","No"))))</f>
        <v>Yes</v>
      </c>
      <c r="AA1604" t="str">
        <f t="shared" si="155"/>
        <v>No</v>
      </c>
    </row>
    <row r="1605" spans="1:27" x14ac:dyDescent="0.3">
      <c r="A1605">
        <f>INDEX(SETTINGS!$A$15:$A$24,$B1605)</f>
        <v>2032</v>
      </c>
      <c r="B1605">
        <v>8</v>
      </c>
      <c r="C1605" t="str">
        <f>IF(AND(A1605&gt;=SETTINGS!$B$4,A1605&lt;=SETTINGS!$B$5),"Yes","No")</f>
        <v>No</v>
      </c>
      <c r="D1605" t="str">
        <f>IFERROR(INDEX(SETTINGS!$C$15:$C$24,MATCH(A1605,SETTINGS!$A$15:$A$24,0)),"No")</f>
        <v>No</v>
      </c>
      <c r="E1605">
        <v>1</v>
      </c>
      <c r="F1605" t="s">
        <v>2</v>
      </c>
      <c r="G1605">
        <v>17</v>
      </c>
      <c r="H1605" t="s">
        <v>101</v>
      </c>
      <c r="I1605" t="s">
        <v>15</v>
      </c>
      <c r="J1605" t="s">
        <v>20</v>
      </c>
      <c r="K1605" t="s">
        <v>3</v>
      </c>
      <c r="L1605" s="36">
        <f ca="1">IF(C1605&lt;&gt;"Yes",0,IF(A1605=2025,N('2025'!D17),IF(A1605=2026,N('2026'!D17),IF(A1605=2027,N('2027'!D17),IF(A1605=2028,N('2028'!D17),IF(A1605=2029,N('2029'!D17),IF(A1605=2030,N('2030'!D17),IF(A1605=2031,N('2031'!D17),IF(A1605=2032,N('2032'!D17),IF(A1605=2033,N('2033'!D17),IF(A1605=2034,N('2034'!D17),IFERROR(N(INDIRECT("'"&amp;A1605&amp;"'!D"&amp;G1605)),0))))))))))))</f>
        <v>0</v>
      </c>
      <c r="M1605" s="36">
        <f>IFERROR(IF(NOT(ISBLANK(KPI_TARGETS!$N$12)),KPI_TARGETS!$N$12,IF(NOT(ISBLANK(KPI_TARGETS!$F$12)),KPI_TARGETS!$F$12,"")),"")</f>
        <v>0</v>
      </c>
      <c r="N1605" s="36" t="str">
        <f>IFERROR(KPI_TARGETS!$E$12,"Higher is better")</f>
        <v>Lower is better</v>
      </c>
      <c r="O1605" s="37">
        <f t="shared" ca="1" si="150"/>
        <v>1</v>
      </c>
      <c r="P1605" t="str">
        <f t="shared" ca="1" si="151"/>
        <v>Green</v>
      </c>
      <c r="Q1605" s="36">
        <f t="shared" ca="1" si="152"/>
        <v>0</v>
      </c>
      <c r="R1605" s="36" t="str">
        <f>""</f>
        <v/>
      </c>
      <c r="S1605" s="36" t="str">
        <f>""</f>
        <v/>
      </c>
      <c r="T1605" s="36" t="str">
        <f>""</f>
        <v/>
      </c>
      <c r="U1605" s="36" t="str">
        <f>""</f>
        <v/>
      </c>
      <c r="V1605" s="36" t="str">
        <f>""</f>
        <v/>
      </c>
      <c r="W1605" s="36">
        <f t="shared" si="153"/>
        <v>1</v>
      </c>
      <c r="X1605" t="str">
        <f t="shared" si="154"/>
        <v>Inactive</v>
      </c>
      <c r="Y1605" t="str">
        <f>IF(MAIN!$H$3="Selected Year",IF(A1605=MAIN!$B$3,"Yes","No"),IF(MAIN!$H$3="Included Years",IF(D1605="Yes","Yes","No"),IF(C1605="Yes","Yes","No")))</f>
        <v>No</v>
      </c>
      <c r="Z1605" t="str">
        <f>IF(MAIN!$F$3="Project to Date",IF(AND(A1605&gt;=SETTINGS!$B$4,A1605&lt;MAIN!$B$3),"Yes",IF(AND(A1605=MAIN!$B$3,E1605&lt;=MAIN!$L$3),"Yes","No")),IF(OR(MAIN!$F$3="Full Year",MAIN!$D$3="All"),"Yes",IF(MAIN!$F$3="Monthly",IF(E1605=MAIN!$L$3,"Yes","No"),IF(E1605&lt;=MAIN!$L$3,"Yes","No"))))</f>
        <v>Yes</v>
      </c>
      <c r="AA1605" t="str">
        <f t="shared" si="155"/>
        <v>No</v>
      </c>
    </row>
    <row r="1606" spans="1:27" x14ac:dyDescent="0.3">
      <c r="A1606">
        <f>INDEX(SETTINGS!$A$15:$A$24,$B1606)</f>
        <v>2032</v>
      </c>
      <c r="B1606">
        <v>8</v>
      </c>
      <c r="C1606" t="str">
        <f>IF(AND(A1606&gt;=SETTINGS!$B$4,A1606&lt;=SETTINGS!$B$5),"Yes","No")</f>
        <v>No</v>
      </c>
      <c r="D1606" t="str">
        <f>IFERROR(INDEX(SETTINGS!$C$15:$C$24,MATCH(A1606,SETTINGS!$A$15:$A$24,0)),"No")</f>
        <v>No</v>
      </c>
      <c r="E1606">
        <v>1</v>
      </c>
      <c r="F1606" t="s">
        <v>2</v>
      </c>
      <c r="G1606">
        <v>18</v>
      </c>
      <c r="H1606" t="s">
        <v>102</v>
      </c>
      <c r="I1606" t="s">
        <v>15</v>
      </c>
      <c r="J1606" t="s">
        <v>21</v>
      </c>
      <c r="K1606" t="s">
        <v>3</v>
      </c>
      <c r="L1606" s="36">
        <f ca="1">IF(C1606&lt;&gt;"Yes",0,IF(A1606=2025,N('2025'!D18),IF(A1606=2026,N('2026'!D18),IF(A1606=2027,N('2027'!D18),IF(A1606=2028,N('2028'!D18),IF(A1606=2029,N('2029'!D18),IF(A1606=2030,N('2030'!D18),IF(A1606=2031,N('2031'!D18),IF(A1606=2032,N('2032'!D18),IF(A1606=2033,N('2033'!D18),IF(A1606=2034,N('2034'!D18),IFERROR(N(INDIRECT("'"&amp;A1606&amp;"'!D"&amp;G1606)),0))))))))))))</f>
        <v>0</v>
      </c>
      <c r="M1606" s="36">
        <f>IFERROR(IF(NOT(ISBLANK(KPI_TARGETS!$N$13)),KPI_TARGETS!$N$13,IF(NOT(ISBLANK(KPI_TARGETS!$F$13)),KPI_TARGETS!$F$13,"")),"")</f>
        <v>0</v>
      </c>
      <c r="N1606" s="36" t="str">
        <f>IFERROR(KPI_TARGETS!$E$13,"Higher is better")</f>
        <v>Lower is better</v>
      </c>
      <c r="O1606" s="37">
        <f t="shared" ca="1" si="150"/>
        <v>1</v>
      </c>
      <c r="P1606" t="str">
        <f t="shared" ca="1" si="151"/>
        <v>Green</v>
      </c>
      <c r="Q1606" s="36">
        <f t="shared" ca="1" si="152"/>
        <v>0</v>
      </c>
      <c r="R1606" s="36" t="str">
        <f>""</f>
        <v/>
      </c>
      <c r="S1606" s="36" t="str">
        <f>""</f>
        <v/>
      </c>
      <c r="T1606" s="36" t="str">
        <f>""</f>
        <v/>
      </c>
      <c r="U1606" s="36" t="str">
        <f>""</f>
        <v/>
      </c>
      <c r="V1606" s="36" t="str">
        <f>""</f>
        <v/>
      </c>
      <c r="W1606" s="36">
        <f t="shared" si="153"/>
        <v>1</v>
      </c>
      <c r="X1606" t="str">
        <f t="shared" si="154"/>
        <v>Inactive</v>
      </c>
      <c r="Y1606" t="str">
        <f>IF(MAIN!$H$3="Selected Year",IF(A1606=MAIN!$B$3,"Yes","No"),IF(MAIN!$H$3="Included Years",IF(D1606="Yes","Yes","No"),IF(C1606="Yes","Yes","No")))</f>
        <v>No</v>
      </c>
      <c r="Z1606" t="str">
        <f>IF(MAIN!$F$3="Project to Date",IF(AND(A1606&gt;=SETTINGS!$B$4,A1606&lt;MAIN!$B$3),"Yes",IF(AND(A1606=MAIN!$B$3,E1606&lt;=MAIN!$L$3),"Yes","No")),IF(OR(MAIN!$F$3="Full Year",MAIN!$D$3="All"),"Yes",IF(MAIN!$F$3="Monthly",IF(E1606=MAIN!$L$3,"Yes","No"),IF(E1606&lt;=MAIN!$L$3,"Yes","No"))))</f>
        <v>Yes</v>
      </c>
      <c r="AA1606" t="str">
        <f t="shared" si="155"/>
        <v>No</v>
      </c>
    </row>
    <row r="1607" spans="1:27" x14ac:dyDescent="0.3">
      <c r="A1607">
        <f>INDEX(SETTINGS!$A$15:$A$24,$B1607)</f>
        <v>2032</v>
      </c>
      <c r="B1607">
        <v>8</v>
      </c>
      <c r="C1607" t="str">
        <f>IF(AND(A1607&gt;=SETTINGS!$B$4,A1607&lt;=SETTINGS!$B$5),"Yes","No")</f>
        <v>No</v>
      </c>
      <c r="D1607" t="str">
        <f>IFERROR(INDEX(SETTINGS!$C$15:$C$24,MATCH(A1607,SETTINGS!$A$15:$A$24,0)),"No")</f>
        <v>No</v>
      </c>
      <c r="E1607">
        <v>1</v>
      </c>
      <c r="F1607" t="s">
        <v>2</v>
      </c>
      <c r="G1607">
        <v>20</v>
      </c>
      <c r="H1607" t="s">
        <v>103</v>
      </c>
      <c r="I1607" t="s">
        <v>22</v>
      </c>
      <c r="J1607" t="s">
        <v>23</v>
      </c>
      <c r="K1607" t="s">
        <v>3</v>
      </c>
      <c r="L1607" s="36">
        <f ca="1">IF(C1607&lt;&gt;"Yes",0,IF(A1607=2025,N('2025'!D20),IF(A1607=2026,N('2026'!D20),IF(A1607=2027,N('2027'!D20),IF(A1607=2028,N('2028'!D20),IF(A1607=2029,N('2029'!D20),IF(A1607=2030,N('2030'!D20),IF(A1607=2031,N('2031'!D20),IF(A1607=2032,N('2032'!D20),IF(A1607=2033,N('2033'!D20),IF(A1607=2034,N('2034'!D20),IFERROR(N(INDIRECT("'"&amp;A1607&amp;"'!D"&amp;G1607)),0))))))))))))</f>
        <v>0</v>
      </c>
      <c r="M1607" s="36">
        <f>IFERROR(IF(NOT(ISBLANK(KPI_TARGETS!$N$14)),KPI_TARGETS!$N$14,IF(NOT(ISBLANK(KPI_TARGETS!$F$14)),KPI_TARGETS!$F$14,"")),"")</f>
        <v>35</v>
      </c>
      <c r="N1607" s="36" t="str">
        <f>IFERROR(KPI_TARGETS!$E$14,"Higher is better")</f>
        <v>Higher is better</v>
      </c>
      <c r="O1607" s="37">
        <f t="shared" ca="1" si="150"/>
        <v>0</v>
      </c>
      <c r="P1607" t="str">
        <f t="shared" ca="1" si="151"/>
        <v>Red</v>
      </c>
      <c r="Q1607" s="36">
        <f t="shared" ca="1" si="152"/>
        <v>-35</v>
      </c>
      <c r="R1607" s="36" t="str">
        <f>""</f>
        <v/>
      </c>
      <c r="S1607" s="36" t="str">
        <f>""</f>
        <v/>
      </c>
      <c r="T1607" s="36" t="str">
        <f>""</f>
        <v/>
      </c>
      <c r="U1607" s="36" t="str">
        <f>""</f>
        <v/>
      </c>
      <c r="V1607" s="36" t="str">
        <f>""</f>
        <v/>
      </c>
      <c r="W1607" s="36">
        <f t="shared" si="153"/>
        <v>1</v>
      </c>
      <c r="X1607" t="str">
        <f t="shared" si="154"/>
        <v>Inactive</v>
      </c>
      <c r="Y1607" t="str">
        <f>IF(MAIN!$H$3="Selected Year",IF(A1607=MAIN!$B$3,"Yes","No"),IF(MAIN!$H$3="Included Years",IF(D1607="Yes","Yes","No"),IF(C1607="Yes","Yes","No")))</f>
        <v>No</v>
      </c>
      <c r="Z1607" t="str">
        <f>IF(MAIN!$F$3="Project to Date",IF(AND(A1607&gt;=SETTINGS!$B$4,A1607&lt;MAIN!$B$3),"Yes",IF(AND(A1607=MAIN!$B$3,E1607&lt;=MAIN!$L$3),"Yes","No")),IF(OR(MAIN!$F$3="Full Year",MAIN!$D$3="All"),"Yes",IF(MAIN!$F$3="Monthly",IF(E1607=MAIN!$L$3,"Yes","No"),IF(E1607&lt;=MAIN!$L$3,"Yes","No"))))</f>
        <v>Yes</v>
      </c>
      <c r="AA1607" t="str">
        <f t="shared" si="155"/>
        <v>No</v>
      </c>
    </row>
    <row r="1608" spans="1:27" x14ac:dyDescent="0.3">
      <c r="A1608">
        <f>INDEX(SETTINGS!$A$15:$A$24,$B1608)</f>
        <v>2032</v>
      </c>
      <c r="B1608">
        <v>8</v>
      </c>
      <c r="C1608" t="str">
        <f>IF(AND(A1608&gt;=SETTINGS!$B$4,A1608&lt;=SETTINGS!$B$5),"Yes","No")</f>
        <v>No</v>
      </c>
      <c r="D1608" t="str">
        <f>IFERROR(INDEX(SETTINGS!$C$15:$C$24,MATCH(A1608,SETTINGS!$A$15:$A$24,0)),"No")</f>
        <v>No</v>
      </c>
      <c r="E1608">
        <v>1</v>
      </c>
      <c r="F1608" t="s">
        <v>2</v>
      </c>
      <c r="G1608">
        <v>21</v>
      </c>
      <c r="H1608" t="s">
        <v>104</v>
      </c>
      <c r="I1608" t="s">
        <v>22</v>
      </c>
      <c r="J1608" t="s">
        <v>24</v>
      </c>
      <c r="K1608" t="s">
        <v>3</v>
      </c>
      <c r="L1608" s="36">
        <f ca="1">IF(C1608&lt;&gt;"Yes",0,IF(A1608=2025,N('2025'!D21),IF(A1608=2026,N('2026'!D21),IF(A1608=2027,N('2027'!D21),IF(A1608=2028,N('2028'!D21),IF(A1608=2029,N('2029'!D21),IF(A1608=2030,N('2030'!D21),IF(A1608=2031,N('2031'!D21),IF(A1608=2032,N('2032'!D21),IF(A1608=2033,N('2033'!D21),IF(A1608=2034,N('2034'!D21),IFERROR(N(INDIRECT("'"&amp;A1608&amp;"'!D"&amp;G1608)),0))))))))))))</f>
        <v>0</v>
      </c>
      <c r="M1608" s="36">
        <f>IFERROR(IF(NOT(ISBLANK(KPI_TARGETS!$N$15)),KPI_TARGETS!$N$15,IF(NOT(ISBLANK(KPI_TARGETS!$F$15)),KPI_TARGETS!$F$15,"")),"")</f>
        <v>5</v>
      </c>
      <c r="N1608" s="36" t="str">
        <f>IFERROR(KPI_TARGETS!$E$15,"Higher is better")</f>
        <v>Higher is better</v>
      </c>
      <c r="O1608" s="37">
        <f t="shared" ca="1" si="150"/>
        <v>0</v>
      </c>
      <c r="P1608" t="str">
        <f t="shared" ca="1" si="151"/>
        <v>Red</v>
      </c>
      <c r="Q1608" s="36">
        <f t="shared" ca="1" si="152"/>
        <v>-5</v>
      </c>
      <c r="R1608" s="36" t="str">
        <f>""</f>
        <v/>
      </c>
      <c r="S1608" s="36" t="str">
        <f>""</f>
        <v/>
      </c>
      <c r="T1608" s="36" t="str">
        <f>""</f>
        <v/>
      </c>
      <c r="U1608" s="36" t="str">
        <f>""</f>
        <v/>
      </c>
      <c r="V1608" s="36" t="str">
        <f>""</f>
        <v/>
      </c>
      <c r="W1608" s="36">
        <f t="shared" si="153"/>
        <v>1</v>
      </c>
      <c r="X1608" t="str">
        <f t="shared" si="154"/>
        <v>Inactive</v>
      </c>
      <c r="Y1608" t="str">
        <f>IF(MAIN!$H$3="Selected Year",IF(A1608=MAIN!$B$3,"Yes","No"),IF(MAIN!$H$3="Included Years",IF(D1608="Yes","Yes","No"),IF(C1608="Yes","Yes","No")))</f>
        <v>No</v>
      </c>
      <c r="Z1608" t="str">
        <f>IF(MAIN!$F$3="Project to Date",IF(AND(A1608&gt;=SETTINGS!$B$4,A1608&lt;MAIN!$B$3),"Yes",IF(AND(A1608=MAIN!$B$3,E1608&lt;=MAIN!$L$3),"Yes","No")),IF(OR(MAIN!$F$3="Full Year",MAIN!$D$3="All"),"Yes",IF(MAIN!$F$3="Monthly",IF(E1608=MAIN!$L$3,"Yes","No"),IF(E1608&lt;=MAIN!$L$3,"Yes","No"))))</f>
        <v>Yes</v>
      </c>
      <c r="AA1608" t="str">
        <f t="shared" si="155"/>
        <v>No</v>
      </c>
    </row>
    <row r="1609" spans="1:27" x14ac:dyDescent="0.3">
      <c r="A1609">
        <f>INDEX(SETTINGS!$A$15:$A$24,$B1609)</f>
        <v>2032</v>
      </c>
      <c r="B1609">
        <v>8</v>
      </c>
      <c r="C1609" t="str">
        <f>IF(AND(A1609&gt;=SETTINGS!$B$4,A1609&lt;=SETTINGS!$B$5),"Yes","No")</f>
        <v>No</v>
      </c>
      <c r="D1609" t="str">
        <f>IFERROR(INDEX(SETTINGS!$C$15:$C$24,MATCH(A1609,SETTINGS!$A$15:$A$24,0)),"No")</f>
        <v>No</v>
      </c>
      <c r="E1609">
        <v>1</v>
      </c>
      <c r="F1609" t="s">
        <v>2</v>
      </c>
      <c r="G1609">
        <v>22</v>
      </c>
      <c r="H1609" t="s">
        <v>105</v>
      </c>
      <c r="I1609" t="s">
        <v>22</v>
      </c>
      <c r="J1609" t="s">
        <v>25</v>
      </c>
      <c r="K1609" t="s">
        <v>3</v>
      </c>
      <c r="L1609" s="36">
        <f ca="1">IF(C1609&lt;&gt;"Yes",0,IF(A1609=2025,N('2025'!D22),IF(A1609=2026,N('2026'!D22),IF(A1609=2027,N('2027'!D22),IF(A1609=2028,N('2028'!D22),IF(A1609=2029,N('2029'!D22),IF(A1609=2030,N('2030'!D22),IF(A1609=2031,N('2031'!D22),IF(A1609=2032,N('2032'!D22),IF(A1609=2033,N('2033'!D22),IF(A1609=2034,N('2034'!D22),IFERROR(N(INDIRECT("'"&amp;A1609&amp;"'!D"&amp;G1609)),0))))))))))))</f>
        <v>0</v>
      </c>
      <c r="M1609" s="36">
        <f>IFERROR(IF(NOT(ISBLANK(KPI_TARGETS!$N$16)),KPI_TARGETS!$N$16,IF(NOT(ISBLANK(KPI_TARGETS!$F$16)),KPI_TARGETS!$F$16,"")),"")</f>
        <v>4</v>
      </c>
      <c r="N1609" s="36" t="str">
        <f>IFERROR(KPI_TARGETS!$E$16,"Higher is better")</f>
        <v>Higher is better</v>
      </c>
      <c r="O1609" s="37">
        <f t="shared" ca="1" si="150"/>
        <v>0</v>
      </c>
      <c r="P1609" t="str">
        <f t="shared" ca="1" si="151"/>
        <v>Red</v>
      </c>
      <c r="Q1609" s="36">
        <f t="shared" ca="1" si="152"/>
        <v>-4</v>
      </c>
      <c r="R1609" s="36" t="str">
        <f>""</f>
        <v/>
      </c>
      <c r="S1609" s="36" t="str">
        <f>""</f>
        <v/>
      </c>
      <c r="T1609" s="36" t="str">
        <f>""</f>
        <v/>
      </c>
      <c r="U1609" s="36" t="str">
        <f>""</f>
        <v/>
      </c>
      <c r="V1609" s="36" t="str">
        <f>""</f>
        <v/>
      </c>
      <c r="W1609" s="36">
        <f t="shared" si="153"/>
        <v>1</v>
      </c>
      <c r="X1609" t="str">
        <f t="shared" si="154"/>
        <v>Inactive</v>
      </c>
      <c r="Y1609" t="str">
        <f>IF(MAIN!$H$3="Selected Year",IF(A1609=MAIN!$B$3,"Yes","No"),IF(MAIN!$H$3="Included Years",IF(D1609="Yes","Yes","No"),IF(C1609="Yes","Yes","No")))</f>
        <v>No</v>
      </c>
      <c r="Z1609" t="str">
        <f>IF(MAIN!$F$3="Project to Date",IF(AND(A1609&gt;=SETTINGS!$B$4,A1609&lt;MAIN!$B$3),"Yes",IF(AND(A1609=MAIN!$B$3,E1609&lt;=MAIN!$L$3),"Yes","No")),IF(OR(MAIN!$F$3="Full Year",MAIN!$D$3="All"),"Yes",IF(MAIN!$F$3="Monthly",IF(E1609=MAIN!$L$3,"Yes","No"),IF(E1609&lt;=MAIN!$L$3,"Yes","No"))))</f>
        <v>Yes</v>
      </c>
      <c r="AA1609" t="str">
        <f t="shared" si="155"/>
        <v>No</v>
      </c>
    </row>
    <row r="1610" spans="1:27" x14ac:dyDescent="0.3">
      <c r="A1610">
        <f>INDEX(SETTINGS!$A$15:$A$24,$B1610)</f>
        <v>2032</v>
      </c>
      <c r="B1610">
        <v>8</v>
      </c>
      <c r="C1610" t="str">
        <f>IF(AND(A1610&gt;=SETTINGS!$B$4,A1610&lt;=SETTINGS!$B$5),"Yes","No")</f>
        <v>No</v>
      </c>
      <c r="D1610" t="str">
        <f>IFERROR(INDEX(SETTINGS!$C$15:$C$24,MATCH(A1610,SETTINGS!$A$15:$A$24,0)),"No")</f>
        <v>No</v>
      </c>
      <c r="E1610">
        <v>1</v>
      </c>
      <c r="F1610" t="s">
        <v>2</v>
      </c>
      <c r="G1610">
        <v>23</v>
      </c>
      <c r="H1610" t="s">
        <v>106</v>
      </c>
      <c r="I1610" t="s">
        <v>22</v>
      </c>
      <c r="J1610" t="s">
        <v>26</v>
      </c>
      <c r="K1610" t="s">
        <v>3</v>
      </c>
      <c r="L1610" s="36">
        <f ca="1">IF(C1610&lt;&gt;"Yes",0,IF(A1610=2025,N('2025'!D23),IF(A1610=2026,N('2026'!D23),IF(A1610=2027,N('2027'!D23),IF(A1610=2028,N('2028'!D23),IF(A1610=2029,N('2029'!D23),IF(A1610=2030,N('2030'!D23),IF(A1610=2031,N('2031'!D23),IF(A1610=2032,N('2032'!D23),IF(A1610=2033,N('2033'!D23),IF(A1610=2034,N('2034'!D23),IFERROR(N(INDIRECT("'"&amp;A1610&amp;"'!D"&amp;G1610)),0))))))))))))</f>
        <v>0</v>
      </c>
      <c r="M1610" s="36">
        <f>IFERROR(IF(NOT(ISBLANK(KPI_TARGETS!$N$17)),KPI_TARGETS!$N$17,IF(NOT(ISBLANK(KPI_TARGETS!$F$17)),KPI_TARGETS!$F$17,"")),"")</f>
        <v>12</v>
      </c>
      <c r="N1610" s="36" t="str">
        <f>IFERROR(KPI_TARGETS!$E$17,"Higher is better")</f>
        <v>Higher is better</v>
      </c>
      <c r="O1610" s="37">
        <f t="shared" ca="1" si="150"/>
        <v>0</v>
      </c>
      <c r="P1610" t="str">
        <f t="shared" ca="1" si="151"/>
        <v>Red</v>
      </c>
      <c r="Q1610" s="36">
        <f t="shared" ca="1" si="152"/>
        <v>-12</v>
      </c>
      <c r="R1610" s="36" t="str">
        <f>""</f>
        <v/>
      </c>
      <c r="S1610" s="36" t="str">
        <f>""</f>
        <v/>
      </c>
      <c r="T1610" s="36" t="str">
        <f>""</f>
        <v/>
      </c>
      <c r="U1610" s="36" t="str">
        <f>""</f>
        <v/>
      </c>
      <c r="V1610" s="36" t="str">
        <f>""</f>
        <v/>
      </c>
      <c r="W1610" s="36">
        <f t="shared" si="153"/>
        <v>1</v>
      </c>
      <c r="X1610" t="str">
        <f t="shared" si="154"/>
        <v>Inactive</v>
      </c>
      <c r="Y1610" t="str">
        <f>IF(MAIN!$H$3="Selected Year",IF(A1610=MAIN!$B$3,"Yes","No"),IF(MAIN!$H$3="Included Years",IF(D1610="Yes","Yes","No"),IF(C1610="Yes","Yes","No")))</f>
        <v>No</v>
      </c>
      <c r="Z1610" t="str">
        <f>IF(MAIN!$F$3="Project to Date",IF(AND(A1610&gt;=SETTINGS!$B$4,A1610&lt;MAIN!$B$3),"Yes",IF(AND(A1610=MAIN!$B$3,E1610&lt;=MAIN!$L$3),"Yes","No")),IF(OR(MAIN!$F$3="Full Year",MAIN!$D$3="All"),"Yes",IF(MAIN!$F$3="Monthly",IF(E1610=MAIN!$L$3,"Yes","No"),IF(E1610&lt;=MAIN!$L$3,"Yes","No"))))</f>
        <v>Yes</v>
      </c>
      <c r="AA1610" t="str">
        <f t="shared" si="155"/>
        <v>No</v>
      </c>
    </row>
    <row r="1611" spans="1:27" x14ac:dyDescent="0.3">
      <c r="A1611">
        <f>INDEX(SETTINGS!$A$15:$A$24,$B1611)</f>
        <v>2032</v>
      </c>
      <c r="B1611">
        <v>8</v>
      </c>
      <c r="C1611" t="str">
        <f>IF(AND(A1611&gt;=SETTINGS!$B$4,A1611&lt;=SETTINGS!$B$5),"Yes","No")</f>
        <v>No</v>
      </c>
      <c r="D1611" t="str">
        <f>IFERROR(INDEX(SETTINGS!$C$15:$C$24,MATCH(A1611,SETTINGS!$A$15:$A$24,0)),"No")</f>
        <v>No</v>
      </c>
      <c r="E1611">
        <v>1</v>
      </c>
      <c r="F1611" t="s">
        <v>2</v>
      </c>
      <c r="G1611">
        <v>24</v>
      </c>
      <c r="H1611" t="s">
        <v>107</v>
      </c>
      <c r="I1611" t="s">
        <v>22</v>
      </c>
      <c r="J1611" t="s">
        <v>27</v>
      </c>
      <c r="K1611" t="s">
        <v>3</v>
      </c>
      <c r="L1611" s="36">
        <f ca="1">IF(C1611&lt;&gt;"Yes",0,IF(A1611=2025,N('2025'!D24),IF(A1611=2026,N('2026'!D24),IF(A1611=2027,N('2027'!D24),IF(A1611=2028,N('2028'!D24),IF(A1611=2029,N('2029'!D24),IF(A1611=2030,N('2030'!D24),IF(A1611=2031,N('2031'!D24),IF(A1611=2032,N('2032'!D24),IF(A1611=2033,N('2033'!D24),IF(A1611=2034,N('2034'!D24),IFERROR(N(INDIRECT("'"&amp;A1611&amp;"'!D"&amp;G1611)),0))))))))))))</f>
        <v>0</v>
      </c>
      <c r="M1611" s="36">
        <f>IFERROR(IF(NOT(ISBLANK(KPI_TARGETS!$N$18)),KPI_TARGETS!$N$18,IF(NOT(ISBLANK(KPI_TARGETS!$F$18)),KPI_TARGETS!$F$18,"")),"")</f>
        <v>4</v>
      </c>
      <c r="N1611" s="36" t="str">
        <f>IFERROR(KPI_TARGETS!$E$18,"Higher is better")</f>
        <v>Higher is better</v>
      </c>
      <c r="O1611" s="37">
        <f t="shared" ca="1" si="150"/>
        <v>0</v>
      </c>
      <c r="P1611" t="str">
        <f t="shared" ca="1" si="151"/>
        <v>Red</v>
      </c>
      <c r="Q1611" s="36">
        <f t="shared" ca="1" si="152"/>
        <v>-4</v>
      </c>
      <c r="R1611" s="36" t="str">
        <f>""</f>
        <v/>
      </c>
      <c r="S1611" s="36" t="str">
        <f>""</f>
        <v/>
      </c>
      <c r="T1611" s="36" t="str">
        <f>""</f>
        <v/>
      </c>
      <c r="U1611" s="36" t="str">
        <f>""</f>
        <v/>
      </c>
      <c r="V1611" s="36" t="str">
        <f>""</f>
        <v/>
      </c>
      <c r="W1611" s="36">
        <f t="shared" si="153"/>
        <v>1</v>
      </c>
      <c r="X1611" t="str">
        <f t="shared" si="154"/>
        <v>Inactive</v>
      </c>
      <c r="Y1611" t="str">
        <f>IF(MAIN!$H$3="Selected Year",IF(A1611=MAIN!$B$3,"Yes","No"),IF(MAIN!$H$3="Included Years",IF(D1611="Yes","Yes","No"),IF(C1611="Yes","Yes","No")))</f>
        <v>No</v>
      </c>
      <c r="Z1611" t="str">
        <f>IF(MAIN!$F$3="Project to Date",IF(AND(A1611&gt;=SETTINGS!$B$4,A1611&lt;MAIN!$B$3),"Yes",IF(AND(A1611=MAIN!$B$3,E1611&lt;=MAIN!$L$3),"Yes","No")),IF(OR(MAIN!$F$3="Full Year",MAIN!$D$3="All"),"Yes",IF(MAIN!$F$3="Monthly",IF(E1611=MAIN!$L$3,"Yes","No"),IF(E1611&lt;=MAIN!$L$3,"Yes","No"))))</f>
        <v>Yes</v>
      </c>
      <c r="AA1611" t="str">
        <f t="shared" si="155"/>
        <v>No</v>
      </c>
    </row>
    <row r="1612" spans="1:27" x14ac:dyDescent="0.3">
      <c r="A1612">
        <f>INDEX(SETTINGS!$A$15:$A$24,$B1612)</f>
        <v>2032</v>
      </c>
      <c r="B1612">
        <v>8</v>
      </c>
      <c r="C1612" t="str">
        <f>IF(AND(A1612&gt;=SETTINGS!$B$4,A1612&lt;=SETTINGS!$B$5),"Yes","No")</f>
        <v>No</v>
      </c>
      <c r="D1612" t="str">
        <f>IFERROR(INDEX(SETTINGS!$C$15:$C$24,MATCH(A1612,SETTINGS!$A$15:$A$24,0)),"No")</f>
        <v>No</v>
      </c>
      <c r="E1612">
        <v>1</v>
      </c>
      <c r="F1612" t="s">
        <v>2</v>
      </c>
      <c r="G1612">
        <v>25</v>
      </c>
      <c r="H1612" t="s">
        <v>108</v>
      </c>
      <c r="I1612" t="s">
        <v>22</v>
      </c>
      <c r="J1612" t="s">
        <v>28</v>
      </c>
      <c r="K1612" t="s">
        <v>3</v>
      </c>
      <c r="L1612" s="36">
        <f ca="1">IF(C1612&lt;&gt;"Yes",0,IF(A1612=2025,N('2025'!D25),IF(A1612=2026,N('2026'!D25),IF(A1612=2027,N('2027'!D25),IF(A1612=2028,N('2028'!D25),IF(A1612=2029,N('2029'!D25),IF(A1612=2030,N('2030'!D25),IF(A1612=2031,N('2031'!D25),IF(A1612=2032,N('2032'!D25),IF(A1612=2033,N('2033'!D25),IF(A1612=2034,N('2034'!D25),IFERROR(N(INDIRECT("'"&amp;A1612&amp;"'!D"&amp;G1612)),0))))))))))))</f>
        <v>0</v>
      </c>
      <c r="M1612" s="36">
        <f>IFERROR(IF(NOT(ISBLANK(KPI_TARGETS!$N$19)),KPI_TARGETS!$N$19,IF(NOT(ISBLANK(KPI_TARGETS!$F$19)),KPI_TARGETS!$F$19,"")),"")</f>
        <v>16</v>
      </c>
      <c r="N1612" s="36" t="str">
        <f>IFERROR(KPI_TARGETS!$E$19,"Higher is better")</f>
        <v>Higher is better</v>
      </c>
      <c r="O1612" s="37">
        <f t="shared" ca="1" si="150"/>
        <v>0</v>
      </c>
      <c r="P1612" t="str">
        <f t="shared" ca="1" si="151"/>
        <v>Red</v>
      </c>
      <c r="Q1612" s="36">
        <f t="shared" ca="1" si="152"/>
        <v>-16</v>
      </c>
      <c r="R1612" s="36" t="str">
        <f>""</f>
        <v/>
      </c>
      <c r="S1612" s="36" t="str">
        <f>""</f>
        <v/>
      </c>
      <c r="T1612" s="36" t="str">
        <f>""</f>
        <v/>
      </c>
      <c r="U1612" s="36" t="str">
        <f>""</f>
        <v/>
      </c>
      <c r="V1612" s="36" t="str">
        <f>""</f>
        <v/>
      </c>
      <c r="W1612" s="36">
        <f t="shared" si="153"/>
        <v>1</v>
      </c>
      <c r="X1612" t="str">
        <f t="shared" si="154"/>
        <v>Inactive</v>
      </c>
      <c r="Y1612" t="str">
        <f>IF(MAIN!$H$3="Selected Year",IF(A1612=MAIN!$B$3,"Yes","No"),IF(MAIN!$H$3="Included Years",IF(D1612="Yes","Yes","No"),IF(C1612="Yes","Yes","No")))</f>
        <v>No</v>
      </c>
      <c r="Z1612" t="str">
        <f>IF(MAIN!$F$3="Project to Date",IF(AND(A1612&gt;=SETTINGS!$B$4,A1612&lt;MAIN!$B$3),"Yes",IF(AND(A1612=MAIN!$B$3,E1612&lt;=MAIN!$L$3),"Yes","No")),IF(OR(MAIN!$F$3="Full Year",MAIN!$D$3="All"),"Yes",IF(MAIN!$F$3="Monthly",IF(E1612=MAIN!$L$3,"Yes","No"),IF(E1612&lt;=MAIN!$L$3,"Yes","No"))))</f>
        <v>Yes</v>
      </c>
      <c r="AA1612" t="str">
        <f t="shared" si="155"/>
        <v>No</v>
      </c>
    </row>
    <row r="1613" spans="1:27" x14ac:dyDescent="0.3">
      <c r="A1613">
        <f>INDEX(SETTINGS!$A$15:$A$24,$B1613)</f>
        <v>2032</v>
      </c>
      <c r="B1613">
        <v>8</v>
      </c>
      <c r="C1613" t="str">
        <f>IF(AND(A1613&gt;=SETTINGS!$B$4,A1613&lt;=SETTINGS!$B$5),"Yes","No")</f>
        <v>No</v>
      </c>
      <c r="D1613" t="str">
        <f>IFERROR(INDEX(SETTINGS!$C$15:$C$24,MATCH(A1613,SETTINGS!$A$15:$A$24,0)),"No")</f>
        <v>No</v>
      </c>
      <c r="E1613">
        <v>1</v>
      </c>
      <c r="F1613" t="s">
        <v>2</v>
      </c>
      <c r="G1613">
        <v>26</v>
      </c>
      <c r="H1613" t="s">
        <v>109</v>
      </c>
      <c r="I1613" t="s">
        <v>22</v>
      </c>
      <c r="J1613" t="s">
        <v>29</v>
      </c>
      <c r="K1613" t="s">
        <v>3</v>
      </c>
      <c r="L1613" s="36">
        <f ca="1">IF(C1613&lt;&gt;"Yes",0,IF(A1613=2025,N('2025'!D26),IF(A1613=2026,N('2026'!D26),IF(A1613=2027,N('2027'!D26),IF(A1613=2028,N('2028'!D26),IF(A1613=2029,N('2029'!D26),IF(A1613=2030,N('2030'!D26),IF(A1613=2031,N('2031'!D26),IF(A1613=2032,N('2032'!D26),IF(A1613=2033,N('2033'!D26),IF(A1613=2034,N('2034'!D26),IFERROR(N(INDIRECT("'"&amp;A1613&amp;"'!D"&amp;G1613)),0))))))))))))</f>
        <v>0</v>
      </c>
      <c r="M1613" s="36">
        <f>IFERROR(IF(NOT(ISBLANK(KPI_TARGETS!$N$20)),KPI_TARGETS!$N$20,IF(NOT(ISBLANK(KPI_TARGETS!$F$20)),KPI_TARGETS!$F$20,"")),"")</f>
        <v>1</v>
      </c>
      <c r="N1613" s="36" t="str">
        <f>IFERROR(KPI_TARGETS!$E$20,"Higher is better")</f>
        <v>Higher is better</v>
      </c>
      <c r="O1613" s="37">
        <f t="shared" ca="1" si="150"/>
        <v>0</v>
      </c>
      <c r="P1613" t="str">
        <f t="shared" ca="1" si="151"/>
        <v>Red</v>
      </c>
      <c r="Q1613" s="36">
        <f t="shared" ca="1" si="152"/>
        <v>-1</v>
      </c>
      <c r="R1613" s="36" t="str">
        <f>""</f>
        <v/>
      </c>
      <c r="S1613" s="36" t="str">
        <f>""</f>
        <v/>
      </c>
      <c r="T1613" s="36" t="str">
        <f>""</f>
        <v/>
      </c>
      <c r="U1613" s="36" t="str">
        <f>""</f>
        <v/>
      </c>
      <c r="V1613" s="36" t="str">
        <f>""</f>
        <v/>
      </c>
      <c r="W1613" s="36">
        <f t="shared" si="153"/>
        <v>1</v>
      </c>
      <c r="X1613" t="str">
        <f t="shared" si="154"/>
        <v>Inactive</v>
      </c>
      <c r="Y1613" t="str">
        <f>IF(MAIN!$H$3="Selected Year",IF(A1613=MAIN!$B$3,"Yes","No"),IF(MAIN!$H$3="Included Years",IF(D1613="Yes","Yes","No"),IF(C1613="Yes","Yes","No")))</f>
        <v>No</v>
      </c>
      <c r="Z1613" t="str">
        <f>IF(MAIN!$F$3="Project to Date",IF(AND(A1613&gt;=SETTINGS!$B$4,A1613&lt;MAIN!$B$3),"Yes",IF(AND(A1613=MAIN!$B$3,E1613&lt;=MAIN!$L$3),"Yes","No")),IF(OR(MAIN!$F$3="Full Year",MAIN!$D$3="All"),"Yes",IF(MAIN!$F$3="Monthly",IF(E1613=MAIN!$L$3,"Yes","No"),IF(E1613&lt;=MAIN!$L$3,"Yes","No"))))</f>
        <v>Yes</v>
      </c>
      <c r="AA1613" t="str">
        <f t="shared" si="155"/>
        <v>No</v>
      </c>
    </row>
    <row r="1614" spans="1:27" x14ac:dyDescent="0.3">
      <c r="A1614">
        <f>INDEX(SETTINGS!$A$15:$A$24,$B1614)</f>
        <v>2032</v>
      </c>
      <c r="B1614">
        <v>8</v>
      </c>
      <c r="C1614" t="str">
        <f>IF(AND(A1614&gt;=SETTINGS!$B$4,A1614&lt;=SETTINGS!$B$5),"Yes","No")</f>
        <v>No</v>
      </c>
      <c r="D1614" t="str">
        <f>IFERROR(INDEX(SETTINGS!$C$15:$C$24,MATCH(A1614,SETTINGS!$A$15:$A$24,0)),"No")</f>
        <v>No</v>
      </c>
      <c r="E1614">
        <v>1</v>
      </c>
      <c r="F1614" t="s">
        <v>2</v>
      </c>
      <c r="G1614">
        <v>28</v>
      </c>
      <c r="H1614" t="s">
        <v>110</v>
      </c>
      <c r="I1614" t="s">
        <v>30</v>
      </c>
      <c r="J1614" t="s">
        <v>31</v>
      </c>
      <c r="K1614" t="s">
        <v>3</v>
      </c>
      <c r="L1614" s="36">
        <f ca="1">IF(C1614&lt;&gt;"Yes",0,IF(A1614=2025,N('2025'!D28),IF(A1614=2026,N('2026'!D28),IF(A1614=2027,N('2027'!D28),IF(A1614=2028,N('2028'!D28),IF(A1614=2029,N('2029'!D28),IF(A1614=2030,N('2030'!D28),IF(A1614=2031,N('2031'!D28),IF(A1614=2032,N('2032'!D28),IF(A1614=2033,N('2033'!D28),IF(A1614=2034,N('2034'!D28),IFERROR(N(INDIRECT("'"&amp;A1614&amp;"'!D"&amp;G1614)),0))))))))))))</f>
        <v>0</v>
      </c>
      <c r="M1614" s="36">
        <f>IFERROR(IF(NOT(ISBLANK(KPI_TARGETS!$N$21)),KPI_TARGETS!$N$21,IF(NOT(ISBLANK(KPI_TARGETS!$F$21)),KPI_TARGETS!$F$21,"")),"")</f>
        <v>0</v>
      </c>
      <c r="N1614" s="36" t="str">
        <f>IFERROR(KPI_TARGETS!$E$21,"Higher is better")</f>
        <v>Lower is better</v>
      </c>
      <c r="O1614" s="37">
        <f t="shared" ca="1" si="150"/>
        <v>1</v>
      </c>
      <c r="P1614" t="str">
        <f t="shared" ca="1" si="151"/>
        <v>Green</v>
      </c>
      <c r="Q1614" s="36">
        <f t="shared" ca="1" si="152"/>
        <v>0</v>
      </c>
      <c r="R1614" s="36" t="str">
        <f>""</f>
        <v/>
      </c>
      <c r="S1614" s="36" t="str">
        <f>""</f>
        <v/>
      </c>
      <c r="T1614" s="36" t="str">
        <f>""</f>
        <v/>
      </c>
      <c r="U1614" s="36" t="str">
        <f>""</f>
        <v/>
      </c>
      <c r="V1614" s="36" t="str">
        <f>""</f>
        <v/>
      </c>
      <c r="W1614" s="36">
        <f t="shared" si="153"/>
        <v>1</v>
      </c>
      <c r="X1614" t="str">
        <f t="shared" si="154"/>
        <v>Inactive</v>
      </c>
      <c r="Y1614" t="str">
        <f>IF(MAIN!$H$3="Selected Year",IF(A1614=MAIN!$B$3,"Yes","No"),IF(MAIN!$H$3="Included Years",IF(D1614="Yes","Yes","No"),IF(C1614="Yes","Yes","No")))</f>
        <v>No</v>
      </c>
      <c r="Z1614" t="str">
        <f>IF(MAIN!$F$3="Project to Date",IF(AND(A1614&gt;=SETTINGS!$B$4,A1614&lt;MAIN!$B$3),"Yes",IF(AND(A1614=MAIN!$B$3,E1614&lt;=MAIN!$L$3),"Yes","No")),IF(OR(MAIN!$F$3="Full Year",MAIN!$D$3="All"),"Yes",IF(MAIN!$F$3="Monthly",IF(E1614=MAIN!$L$3,"Yes","No"),IF(E1614&lt;=MAIN!$L$3,"Yes","No"))))</f>
        <v>Yes</v>
      </c>
      <c r="AA1614" t="str">
        <f t="shared" si="155"/>
        <v>No</v>
      </c>
    </row>
    <row r="1615" spans="1:27" x14ac:dyDescent="0.3">
      <c r="A1615">
        <f>INDEX(SETTINGS!$A$15:$A$24,$B1615)</f>
        <v>2032</v>
      </c>
      <c r="B1615">
        <v>8</v>
      </c>
      <c r="C1615" t="str">
        <f>IF(AND(A1615&gt;=SETTINGS!$B$4,A1615&lt;=SETTINGS!$B$5),"Yes","No")</f>
        <v>No</v>
      </c>
      <c r="D1615" t="str">
        <f>IFERROR(INDEX(SETTINGS!$C$15:$C$24,MATCH(A1615,SETTINGS!$A$15:$A$24,0)),"No")</f>
        <v>No</v>
      </c>
      <c r="E1615">
        <v>1</v>
      </c>
      <c r="F1615" t="s">
        <v>2</v>
      </c>
      <c r="G1615">
        <v>29</v>
      </c>
      <c r="H1615" t="s">
        <v>111</v>
      </c>
      <c r="I1615" t="s">
        <v>30</v>
      </c>
      <c r="J1615" t="s">
        <v>32</v>
      </c>
      <c r="K1615" t="s">
        <v>3</v>
      </c>
      <c r="L1615" s="36">
        <f ca="1">IF(C1615&lt;&gt;"Yes",0,IF(A1615=2025,N('2025'!D29),IF(A1615=2026,N('2026'!D29),IF(A1615=2027,N('2027'!D29),IF(A1615=2028,N('2028'!D29),IF(A1615=2029,N('2029'!D29),IF(A1615=2030,N('2030'!D29),IF(A1615=2031,N('2031'!D29),IF(A1615=2032,N('2032'!D29),IF(A1615=2033,N('2033'!D29),IF(A1615=2034,N('2034'!D29),IFERROR(N(INDIRECT("'"&amp;A1615&amp;"'!D"&amp;G1615)),0))))))))))))</f>
        <v>0</v>
      </c>
      <c r="M1615" s="36">
        <f>IFERROR(IF(NOT(ISBLANK(KPI_TARGETS!$N$22)),KPI_TARGETS!$N$22,IF(NOT(ISBLANK(KPI_TARGETS!$F$22)),KPI_TARGETS!$F$22,"")),"")</f>
        <v>1</v>
      </c>
      <c r="N1615" s="36" t="str">
        <f>IFERROR(KPI_TARGETS!$E$22,"Higher is better")</f>
        <v>Higher is better</v>
      </c>
      <c r="O1615" s="37">
        <f t="shared" ca="1" si="150"/>
        <v>0</v>
      </c>
      <c r="P1615" t="str">
        <f t="shared" ca="1" si="151"/>
        <v>Red</v>
      </c>
      <c r="Q1615" s="36">
        <f t="shared" ca="1" si="152"/>
        <v>-1</v>
      </c>
      <c r="R1615" s="36" t="str">
        <f>""</f>
        <v/>
      </c>
      <c r="S1615" s="36" t="str">
        <f>""</f>
        <v/>
      </c>
      <c r="T1615" s="36" t="str">
        <f>""</f>
        <v/>
      </c>
      <c r="U1615" s="36" t="str">
        <f>""</f>
        <v/>
      </c>
      <c r="V1615" s="36" t="str">
        <f>""</f>
        <v/>
      </c>
      <c r="W1615" s="36">
        <f t="shared" si="153"/>
        <v>1</v>
      </c>
      <c r="X1615" t="str">
        <f t="shared" si="154"/>
        <v>Inactive</v>
      </c>
      <c r="Y1615" t="str">
        <f>IF(MAIN!$H$3="Selected Year",IF(A1615=MAIN!$B$3,"Yes","No"),IF(MAIN!$H$3="Included Years",IF(D1615="Yes","Yes","No"),IF(C1615="Yes","Yes","No")))</f>
        <v>No</v>
      </c>
      <c r="Z1615" t="str">
        <f>IF(MAIN!$F$3="Project to Date",IF(AND(A1615&gt;=SETTINGS!$B$4,A1615&lt;MAIN!$B$3),"Yes",IF(AND(A1615=MAIN!$B$3,E1615&lt;=MAIN!$L$3),"Yes","No")),IF(OR(MAIN!$F$3="Full Year",MAIN!$D$3="All"),"Yes",IF(MAIN!$F$3="Monthly",IF(E1615=MAIN!$L$3,"Yes","No"),IF(E1615&lt;=MAIN!$L$3,"Yes","No"))))</f>
        <v>Yes</v>
      </c>
      <c r="AA1615" t="str">
        <f t="shared" si="155"/>
        <v>No</v>
      </c>
    </row>
    <row r="1616" spans="1:27" x14ac:dyDescent="0.3">
      <c r="A1616">
        <f>INDEX(SETTINGS!$A$15:$A$24,$B1616)</f>
        <v>2032</v>
      </c>
      <c r="B1616">
        <v>8</v>
      </c>
      <c r="C1616" t="str">
        <f>IF(AND(A1616&gt;=SETTINGS!$B$4,A1616&lt;=SETTINGS!$B$5),"Yes","No")</f>
        <v>No</v>
      </c>
      <c r="D1616" t="str">
        <f>IFERROR(INDEX(SETTINGS!$C$15:$C$24,MATCH(A1616,SETTINGS!$A$15:$A$24,0)),"No")</f>
        <v>No</v>
      </c>
      <c r="E1616">
        <v>1</v>
      </c>
      <c r="F1616" t="s">
        <v>2</v>
      </c>
      <c r="G1616">
        <v>30</v>
      </c>
      <c r="H1616" t="s">
        <v>112</v>
      </c>
      <c r="I1616" t="s">
        <v>30</v>
      </c>
      <c r="J1616" t="s">
        <v>33</v>
      </c>
      <c r="K1616" t="s">
        <v>34</v>
      </c>
      <c r="L1616" s="36">
        <f ca="1">IF(C1616&lt;&gt;"Yes",0,IF(A1616=2025,N('2025'!D30),IF(A1616=2026,N('2026'!D30),IF(A1616=2027,N('2027'!D30),IF(A1616=2028,N('2028'!D30),IF(A1616=2029,N('2029'!D30),IF(A1616=2030,N('2030'!D30),IF(A1616=2031,N('2031'!D30),IF(A1616=2032,N('2032'!D30),IF(A1616=2033,N('2033'!D30),IF(A1616=2034,N('2034'!D30),IFERROR(N(INDIRECT("'"&amp;A1616&amp;"'!D"&amp;G1616)),0))))))))))))</f>
        <v>0</v>
      </c>
      <c r="M1616" s="36">
        <f>IFERROR(IF(NOT(ISBLANK(KPI_TARGETS!$N$23)),KPI_TARGETS!$N$23,IF(NOT(ISBLANK(KPI_TARGETS!$F$23)),KPI_TARGETS!$F$23,"")),"")</f>
        <v>1</v>
      </c>
      <c r="N1616" s="36" t="str">
        <f>IFERROR(KPI_TARGETS!$E$23,"Higher is better")</f>
        <v>Higher is better</v>
      </c>
      <c r="O1616" s="37">
        <f t="shared" ca="1" si="150"/>
        <v>0</v>
      </c>
      <c r="P1616" t="str">
        <f t="shared" ca="1" si="151"/>
        <v>Red</v>
      </c>
      <c r="Q1616" s="36">
        <f t="shared" ca="1" si="152"/>
        <v>-1</v>
      </c>
      <c r="R1616" s="36" t="str">
        <f>""</f>
        <v/>
      </c>
      <c r="S1616" s="36" t="str">
        <f>""</f>
        <v/>
      </c>
      <c r="T1616" s="36" t="str">
        <f>""</f>
        <v/>
      </c>
      <c r="U1616" s="36" t="str">
        <f>""</f>
        <v/>
      </c>
      <c r="V1616" s="36" t="str">
        <f>""</f>
        <v/>
      </c>
      <c r="W1616" s="36">
        <f t="shared" si="153"/>
        <v>1</v>
      </c>
      <c r="X1616" t="str">
        <f t="shared" si="154"/>
        <v>Inactive</v>
      </c>
      <c r="Y1616" t="str">
        <f>IF(MAIN!$H$3="Selected Year",IF(A1616=MAIN!$B$3,"Yes","No"),IF(MAIN!$H$3="Included Years",IF(D1616="Yes","Yes","No"),IF(C1616="Yes","Yes","No")))</f>
        <v>No</v>
      </c>
      <c r="Z1616" t="str">
        <f>IF(MAIN!$F$3="Project to Date",IF(AND(A1616&gt;=SETTINGS!$B$4,A1616&lt;MAIN!$B$3),"Yes",IF(AND(A1616=MAIN!$B$3,E1616&lt;=MAIN!$L$3),"Yes","No")),IF(OR(MAIN!$F$3="Full Year",MAIN!$D$3="All"),"Yes",IF(MAIN!$F$3="Monthly",IF(E1616=MAIN!$L$3,"Yes","No"),IF(E1616&lt;=MAIN!$L$3,"Yes","No"))))</f>
        <v>Yes</v>
      </c>
      <c r="AA1616" t="str">
        <f t="shared" si="155"/>
        <v>No</v>
      </c>
    </row>
    <row r="1617" spans="1:27" x14ac:dyDescent="0.3">
      <c r="A1617">
        <f>INDEX(SETTINGS!$A$15:$A$24,$B1617)</f>
        <v>2032</v>
      </c>
      <c r="B1617">
        <v>8</v>
      </c>
      <c r="C1617" t="str">
        <f>IF(AND(A1617&gt;=SETTINGS!$B$4,A1617&lt;=SETTINGS!$B$5),"Yes","No")</f>
        <v>No</v>
      </c>
      <c r="D1617" t="str">
        <f>IFERROR(INDEX(SETTINGS!$C$15:$C$24,MATCH(A1617,SETTINGS!$A$15:$A$24,0)),"No")</f>
        <v>No</v>
      </c>
      <c r="E1617">
        <v>2</v>
      </c>
      <c r="F1617" t="s">
        <v>35</v>
      </c>
      <c r="G1617">
        <v>33</v>
      </c>
      <c r="H1617" t="s">
        <v>88</v>
      </c>
      <c r="I1617" t="s">
        <v>89</v>
      </c>
      <c r="J1617" t="s">
        <v>10</v>
      </c>
      <c r="K1617" t="s">
        <v>3</v>
      </c>
      <c r="L1617" s="36">
        <f ca="1">IF(C1617&lt;&gt;"Yes",0,IF(A1617=2025,N('2025'!D33),IF(A1617=2026,N('2026'!D33),IF(A1617=2027,N('2027'!D33),IF(A1617=2028,N('2028'!D33),IF(A1617=2029,N('2029'!D33),IF(A1617=2030,N('2030'!D33),IF(A1617=2031,N('2031'!D33),IF(A1617=2032,N('2032'!D33),IF(A1617=2033,N('2033'!D33),IF(A1617=2034,N('2034'!D33),IFERROR(N(INDIRECT("'"&amp;A1617&amp;"'!D"&amp;G1617)),0))))))))))))</f>
        <v>0</v>
      </c>
      <c r="M1617" s="36">
        <f>IFERROR(IF(NOT(ISBLANK(KPI_TARGETS!$N$5)),KPI_TARGETS!$N$5,IF(NOT(ISBLANK(KPI_TARGETS!$F$5)),KPI_TARGETS!$F$5,"")),"")</f>
        <v>104</v>
      </c>
      <c r="N1617" s="36" t="str">
        <f>IFERROR(KPI_TARGETS!$E$5,"Higher is better")</f>
        <v>Higher is better</v>
      </c>
      <c r="O1617" s="37">
        <f t="shared" ca="1" si="150"/>
        <v>0</v>
      </c>
      <c r="P1617" t="str">
        <f t="shared" ca="1" si="151"/>
        <v>Red</v>
      </c>
      <c r="Q1617" s="36">
        <f t="shared" ca="1" si="152"/>
        <v>-104</v>
      </c>
      <c r="R1617" s="36" t="str">
        <f>""</f>
        <v/>
      </c>
      <c r="S1617" s="36" t="str">
        <f>""</f>
        <v/>
      </c>
      <c r="T1617" s="36" t="str">
        <f>""</f>
        <v/>
      </c>
      <c r="U1617" s="36" t="str">
        <f>""</f>
        <v/>
      </c>
      <c r="V1617" s="36" t="str">
        <f>""</f>
        <v/>
      </c>
      <c r="W1617" s="36">
        <f t="shared" si="153"/>
        <v>1</v>
      </c>
      <c r="X1617" t="str">
        <f t="shared" si="154"/>
        <v>Inactive</v>
      </c>
      <c r="Y1617" t="str">
        <f>IF(MAIN!$H$3="Selected Year",IF(A1617=MAIN!$B$3,"Yes","No"),IF(MAIN!$H$3="Included Years",IF(D1617="Yes","Yes","No"),IF(C1617="Yes","Yes","No")))</f>
        <v>No</v>
      </c>
      <c r="Z1617" t="str">
        <f>IF(MAIN!$F$3="Project to Date",IF(AND(A1617&gt;=SETTINGS!$B$4,A1617&lt;MAIN!$B$3),"Yes",IF(AND(A1617=MAIN!$B$3,E1617&lt;=MAIN!$L$3),"Yes","No")),IF(OR(MAIN!$F$3="Full Year",MAIN!$D$3="All"),"Yes",IF(MAIN!$F$3="Monthly",IF(E1617=MAIN!$L$3,"Yes","No"),IF(E1617&lt;=MAIN!$L$3,"Yes","No"))))</f>
        <v>Yes</v>
      </c>
      <c r="AA1617" t="str">
        <f t="shared" si="155"/>
        <v>No</v>
      </c>
    </row>
    <row r="1618" spans="1:27" x14ac:dyDescent="0.3">
      <c r="A1618">
        <f>INDEX(SETTINGS!$A$15:$A$24,$B1618)</f>
        <v>2032</v>
      </c>
      <c r="B1618">
        <v>8</v>
      </c>
      <c r="C1618" t="str">
        <f>IF(AND(A1618&gt;=SETTINGS!$B$4,A1618&lt;=SETTINGS!$B$5),"Yes","No")</f>
        <v>No</v>
      </c>
      <c r="D1618" t="str">
        <f>IFERROR(INDEX(SETTINGS!$C$15:$C$24,MATCH(A1618,SETTINGS!$A$15:$A$24,0)),"No")</f>
        <v>No</v>
      </c>
      <c r="E1618">
        <v>2</v>
      </c>
      <c r="F1618" t="s">
        <v>35</v>
      </c>
      <c r="G1618">
        <v>34</v>
      </c>
      <c r="H1618" t="s">
        <v>91</v>
      </c>
      <c r="I1618" t="s">
        <v>89</v>
      </c>
      <c r="J1618" t="s">
        <v>11</v>
      </c>
      <c r="K1618" t="s">
        <v>12</v>
      </c>
      <c r="L1618" s="36">
        <f ca="1">IF(C1618&lt;&gt;"Yes",0,IF(A1618=2025,N('2025'!D34),IF(A1618=2026,N('2026'!D34),IF(A1618=2027,N('2027'!D34),IF(A1618=2028,N('2028'!D34),IF(A1618=2029,N('2029'!D34),IF(A1618=2030,N('2030'!D34),IF(A1618=2031,N('2031'!D34),IF(A1618=2032,N('2032'!D34),IF(A1618=2033,N('2033'!D34),IF(A1618=2034,N('2034'!D34),IFERROR(N(INDIRECT("'"&amp;A1618&amp;"'!D"&amp;G1618)),0))))))))))))</f>
        <v>0</v>
      </c>
      <c r="M1618" s="36">
        <f>IFERROR(IF(NOT(ISBLANK(KPI_TARGETS!$N$6)),KPI_TARGETS!$N$6,IF(NOT(ISBLANK(KPI_TARGETS!$F$6)),KPI_TARGETS!$F$6,"")),"")</f>
        <v>4000</v>
      </c>
      <c r="N1618" s="36" t="str">
        <f>IFERROR(KPI_TARGETS!$E$6,"Higher is better")</f>
        <v>Higher is better</v>
      </c>
      <c r="O1618" s="37">
        <f t="shared" ca="1" si="150"/>
        <v>0</v>
      </c>
      <c r="P1618" t="str">
        <f t="shared" ca="1" si="151"/>
        <v>Red</v>
      </c>
      <c r="Q1618" s="36">
        <f t="shared" ca="1" si="152"/>
        <v>-4000</v>
      </c>
      <c r="R1618" s="36" t="str">
        <f>""</f>
        <v/>
      </c>
      <c r="S1618" s="36" t="str">
        <f>""</f>
        <v/>
      </c>
      <c r="T1618" s="36" t="str">
        <f>""</f>
        <v/>
      </c>
      <c r="U1618" s="36" t="str">
        <f>""</f>
        <v/>
      </c>
      <c r="V1618" s="36" t="str">
        <f>""</f>
        <v/>
      </c>
      <c r="W1618" s="36">
        <f t="shared" si="153"/>
        <v>1</v>
      </c>
      <c r="X1618" t="str">
        <f t="shared" si="154"/>
        <v>Inactive</v>
      </c>
      <c r="Y1618" t="str">
        <f>IF(MAIN!$H$3="Selected Year",IF(A1618=MAIN!$B$3,"Yes","No"),IF(MAIN!$H$3="Included Years",IF(D1618="Yes","Yes","No"),IF(C1618="Yes","Yes","No")))</f>
        <v>No</v>
      </c>
      <c r="Z1618" t="str">
        <f>IF(MAIN!$F$3="Project to Date",IF(AND(A1618&gt;=SETTINGS!$B$4,A1618&lt;MAIN!$B$3),"Yes",IF(AND(A1618=MAIN!$B$3,E1618&lt;=MAIN!$L$3),"Yes","No")),IF(OR(MAIN!$F$3="Full Year",MAIN!$D$3="All"),"Yes",IF(MAIN!$F$3="Monthly",IF(E1618=MAIN!$L$3,"Yes","No"),IF(E1618&lt;=MAIN!$L$3,"Yes","No"))))</f>
        <v>Yes</v>
      </c>
      <c r="AA1618" t="str">
        <f t="shared" si="155"/>
        <v>No</v>
      </c>
    </row>
    <row r="1619" spans="1:27" x14ac:dyDescent="0.3">
      <c r="A1619">
        <f>INDEX(SETTINGS!$A$15:$A$24,$B1619)</f>
        <v>2032</v>
      </c>
      <c r="B1619">
        <v>8</v>
      </c>
      <c r="C1619" t="str">
        <f>IF(AND(A1619&gt;=SETTINGS!$B$4,A1619&lt;=SETTINGS!$B$5),"Yes","No")</f>
        <v>No</v>
      </c>
      <c r="D1619" t="str">
        <f>IFERROR(INDEX(SETTINGS!$C$15:$C$24,MATCH(A1619,SETTINGS!$A$15:$A$24,0)),"No")</f>
        <v>No</v>
      </c>
      <c r="E1619">
        <v>2</v>
      </c>
      <c r="F1619" t="s">
        <v>35</v>
      </c>
      <c r="G1619">
        <v>35</v>
      </c>
      <c r="H1619" t="s">
        <v>93</v>
      </c>
      <c r="I1619" t="s">
        <v>89</v>
      </c>
      <c r="J1619" t="s">
        <v>13</v>
      </c>
      <c r="K1619" t="s">
        <v>14</v>
      </c>
      <c r="L1619" s="36">
        <f ca="1">IF(C1619&lt;&gt;"Yes",0,IF(A1619=2025,N('2025'!D35),IF(A1619=2026,N('2026'!D35),IF(A1619=2027,N('2027'!D35),IF(A1619=2028,N('2028'!D35),IF(A1619=2029,N('2029'!D35),IF(A1619=2030,N('2030'!D35),IF(A1619=2031,N('2031'!D35),IF(A1619=2032,N('2032'!D35),IF(A1619=2033,N('2033'!D35),IF(A1619=2034,N('2034'!D35),IFERROR(N(INDIRECT("'"&amp;A1619&amp;"'!D"&amp;G1619)),0))))))))))))</f>
        <v>0</v>
      </c>
      <c r="M1619" s="36">
        <f>IFERROR(IF(NOT(ISBLANK(KPI_TARGETS!$N$7)),KPI_TARGETS!$N$7,IF(NOT(ISBLANK(KPI_TARGETS!$F$7)),KPI_TARGETS!$F$7,"")),"")</f>
        <v>8000</v>
      </c>
      <c r="N1619" s="36" t="str">
        <f>IFERROR(KPI_TARGETS!$E$7,"Higher is better")</f>
        <v>Higher is better</v>
      </c>
      <c r="O1619" s="37">
        <f t="shared" ca="1" si="150"/>
        <v>0</v>
      </c>
      <c r="P1619" t="str">
        <f t="shared" ca="1" si="151"/>
        <v>Red</v>
      </c>
      <c r="Q1619" s="36">
        <f t="shared" ca="1" si="152"/>
        <v>-8000</v>
      </c>
      <c r="R1619" s="36" t="str">
        <f>""</f>
        <v/>
      </c>
      <c r="S1619" s="36" t="str">
        <f>""</f>
        <v/>
      </c>
      <c r="T1619" s="36" t="str">
        <f>""</f>
        <v/>
      </c>
      <c r="U1619" s="36" t="str">
        <f>""</f>
        <v/>
      </c>
      <c r="V1619" s="36" t="str">
        <f>""</f>
        <v/>
      </c>
      <c r="W1619" s="36">
        <f t="shared" si="153"/>
        <v>1</v>
      </c>
      <c r="X1619" t="str">
        <f t="shared" si="154"/>
        <v>Inactive</v>
      </c>
      <c r="Y1619" t="str">
        <f>IF(MAIN!$H$3="Selected Year",IF(A1619=MAIN!$B$3,"Yes","No"),IF(MAIN!$H$3="Included Years",IF(D1619="Yes","Yes","No"),IF(C1619="Yes","Yes","No")))</f>
        <v>No</v>
      </c>
      <c r="Z1619" t="str">
        <f>IF(MAIN!$F$3="Project to Date",IF(AND(A1619&gt;=SETTINGS!$B$4,A1619&lt;MAIN!$B$3),"Yes",IF(AND(A1619=MAIN!$B$3,E1619&lt;=MAIN!$L$3),"Yes","No")),IF(OR(MAIN!$F$3="Full Year",MAIN!$D$3="All"),"Yes",IF(MAIN!$F$3="Monthly",IF(E1619=MAIN!$L$3,"Yes","No"),IF(E1619&lt;=MAIN!$L$3,"Yes","No"))))</f>
        <v>Yes</v>
      </c>
      <c r="AA1619" t="str">
        <f t="shared" si="155"/>
        <v>No</v>
      </c>
    </row>
    <row r="1620" spans="1:27" x14ac:dyDescent="0.3">
      <c r="A1620">
        <f>INDEX(SETTINGS!$A$15:$A$24,$B1620)</f>
        <v>2032</v>
      </c>
      <c r="B1620">
        <v>8</v>
      </c>
      <c r="C1620" t="str">
        <f>IF(AND(A1620&gt;=SETTINGS!$B$4,A1620&lt;=SETTINGS!$B$5),"Yes","No")</f>
        <v>No</v>
      </c>
      <c r="D1620" t="str">
        <f>IFERROR(INDEX(SETTINGS!$C$15:$C$24,MATCH(A1620,SETTINGS!$A$15:$A$24,0)),"No")</f>
        <v>No</v>
      </c>
      <c r="E1620">
        <v>2</v>
      </c>
      <c r="F1620" t="s">
        <v>35</v>
      </c>
      <c r="G1620">
        <v>37</v>
      </c>
      <c r="H1620" t="s">
        <v>95</v>
      </c>
      <c r="I1620" t="s">
        <v>15</v>
      </c>
      <c r="J1620" t="s">
        <v>16</v>
      </c>
      <c r="K1620" t="s">
        <v>3</v>
      </c>
      <c r="L1620" s="36">
        <f ca="1">IF(C1620&lt;&gt;"Yes",0,IF(A1620=2025,N('2025'!D37),IF(A1620=2026,N('2026'!D37),IF(A1620=2027,N('2027'!D37),IF(A1620=2028,N('2028'!D37),IF(A1620=2029,N('2029'!D37),IF(A1620=2030,N('2030'!D37),IF(A1620=2031,N('2031'!D37),IF(A1620=2032,N('2032'!D37),IF(A1620=2033,N('2033'!D37),IF(A1620=2034,N('2034'!D37),IFERROR(N(INDIRECT("'"&amp;A1620&amp;"'!D"&amp;G1620)),0))))))))))))</f>
        <v>0</v>
      </c>
      <c r="M1620" s="36">
        <f>IFERROR(IF(NOT(ISBLANK(KPI_TARGETS!$N$8)),KPI_TARGETS!$N$8,IF(NOT(ISBLANK(KPI_TARGETS!$F$8)),KPI_TARGETS!$F$8,"")),"")</f>
        <v>0</v>
      </c>
      <c r="N1620" s="36" t="str">
        <f>IFERROR(KPI_TARGETS!$E$8,"Higher is better")</f>
        <v>Lower is better</v>
      </c>
      <c r="O1620" s="37">
        <f t="shared" ca="1" si="150"/>
        <v>1</v>
      </c>
      <c r="P1620" t="str">
        <f t="shared" ca="1" si="151"/>
        <v>Green</v>
      </c>
      <c r="Q1620" s="36">
        <f t="shared" ca="1" si="152"/>
        <v>0</v>
      </c>
      <c r="R1620" s="36" t="str">
        <f>""</f>
        <v/>
      </c>
      <c r="S1620" s="36" t="str">
        <f>""</f>
        <v/>
      </c>
      <c r="T1620" s="36" t="str">
        <f>""</f>
        <v/>
      </c>
      <c r="U1620" s="36" t="str">
        <f>""</f>
        <v/>
      </c>
      <c r="V1620" s="36" t="str">
        <f>""</f>
        <v/>
      </c>
      <c r="W1620" s="36">
        <f t="shared" si="153"/>
        <v>1</v>
      </c>
      <c r="X1620" t="str">
        <f t="shared" si="154"/>
        <v>Inactive</v>
      </c>
      <c r="Y1620" t="str">
        <f>IF(MAIN!$H$3="Selected Year",IF(A1620=MAIN!$B$3,"Yes","No"),IF(MAIN!$H$3="Included Years",IF(D1620="Yes","Yes","No"),IF(C1620="Yes","Yes","No")))</f>
        <v>No</v>
      </c>
      <c r="Z1620" t="str">
        <f>IF(MAIN!$F$3="Project to Date",IF(AND(A1620&gt;=SETTINGS!$B$4,A1620&lt;MAIN!$B$3),"Yes",IF(AND(A1620=MAIN!$B$3,E1620&lt;=MAIN!$L$3),"Yes","No")),IF(OR(MAIN!$F$3="Full Year",MAIN!$D$3="All"),"Yes",IF(MAIN!$F$3="Monthly",IF(E1620=MAIN!$L$3,"Yes","No"),IF(E1620&lt;=MAIN!$L$3,"Yes","No"))))</f>
        <v>Yes</v>
      </c>
      <c r="AA1620" t="str">
        <f t="shared" si="155"/>
        <v>No</v>
      </c>
    </row>
    <row r="1621" spans="1:27" x14ac:dyDescent="0.3">
      <c r="A1621">
        <f>INDEX(SETTINGS!$A$15:$A$24,$B1621)</f>
        <v>2032</v>
      </c>
      <c r="B1621">
        <v>8</v>
      </c>
      <c r="C1621" t="str">
        <f>IF(AND(A1621&gt;=SETTINGS!$B$4,A1621&lt;=SETTINGS!$B$5),"Yes","No")</f>
        <v>No</v>
      </c>
      <c r="D1621" t="str">
        <f>IFERROR(INDEX(SETTINGS!$C$15:$C$24,MATCH(A1621,SETTINGS!$A$15:$A$24,0)),"No")</f>
        <v>No</v>
      </c>
      <c r="E1621">
        <v>2</v>
      </c>
      <c r="F1621" t="s">
        <v>35</v>
      </c>
      <c r="G1621">
        <v>38</v>
      </c>
      <c r="H1621" t="s">
        <v>97</v>
      </c>
      <c r="I1621" t="s">
        <v>15</v>
      </c>
      <c r="J1621" t="s">
        <v>17</v>
      </c>
      <c r="K1621" t="s">
        <v>3</v>
      </c>
      <c r="L1621" s="36">
        <f ca="1">IF(C1621&lt;&gt;"Yes",0,IF(A1621=2025,N('2025'!D38),IF(A1621=2026,N('2026'!D38),IF(A1621=2027,N('2027'!D38),IF(A1621=2028,N('2028'!D38),IF(A1621=2029,N('2029'!D38),IF(A1621=2030,N('2030'!D38),IF(A1621=2031,N('2031'!D38),IF(A1621=2032,N('2032'!D38),IF(A1621=2033,N('2033'!D38),IF(A1621=2034,N('2034'!D38),IFERROR(N(INDIRECT("'"&amp;A1621&amp;"'!D"&amp;G1621)),0))))))))))))</f>
        <v>0</v>
      </c>
      <c r="M1621" s="36">
        <f>IFERROR(IF(NOT(ISBLANK(KPI_TARGETS!$N$9)),KPI_TARGETS!$N$9,IF(NOT(ISBLANK(KPI_TARGETS!$F$9)),KPI_TARGETS!$F$9,"")),"")</f>
        <v>0</v>
      </c>
      <c r="N1621" s="36" t="str">
        <f>IFERROR(KPI_TARGETS!$E$9,"Higher is better")</f>
        <v>Higher is better</v>
      </c>
      <c r="O1621" s="37" t="str">
        <f t="shared" ca="1" si="150"/>
        <v/>
      </c>
      <c r="P1621" t="str">
        <f t="shared" ca="1" si="151"/>
        <v>Green</v>
      </c>
      <c r="Q1621" s="36">
        <f t="shared" ca="1" si="152"/>
        <v>0</v>
      </c>
      <c r="R1621" s="36" t="str">
        <f>""</f>
        <v/>
      </c>
      <c r="S1621" s="36" t="str">
        <f>""</f>
        <v/>
      </c>
      <c r="T1621" s="36" t="str">
        <f>""</f>
        <v/>
      </c>
      <c r="U1621" s="36" t="str">
        <f>""</f>
        <v/>
      </c>
      <c r="V1621" s="36" t="str">
        <f>""</f>
        <v/>
      </c>
      <c r="W1621" s="36">
        <f t="shared" si="153"/>
        <v>1</v>
      </c>
      <c r="X1621" t="str">
        <f t="shared" si="154"/>
        <v>Inactive</v>
      </c>
      <c r="Y1621" t="str">
        <f>IF(MAIN!$H$3="Selected Year",IF(A1621=MAIN!$B$3,"Yes","No"),IF(MAIN!$H$3="Included Years",IF(D1621="Yes","Yes","No"),IF(C1621="Yes","Yes","No")))</f>
        <v>No</v>
      </c>
      <c r="Z1621" t="str">
        <f>IF(MAIN!$F$3="Project to Date",IF(AND(A1621&gt;=SETTINGS!$B$4,A1621&lt;MAIN!$B$3),"Yes",IF(AND(A1621=MAIN!$B$3,E1621&lt;=MAIN!$L$3),"Yes","No")),IF(OR(MAIN!$F$3="Full Year",MAIN!$D$3="All"),"Yes",IF(MAIN!$F$3="Monthly",IF(E1621=MAIN!$L$3,"Yes","No"),IF(E1621&lt;=MAIN!$L$3,"Yes","No"))))</f>
        <v>Yes</v>
      </c>
      <c r="AA1621" t="str">
        <f t="shared" si="155"/>
        <v>No</v>
      </c>
    </row>
    <row r="1622" spans="1:27" x14ac:dyDescent="0.3">
      <c r="A1622">
        <f>INDEX(SETTINGS!$A$15:$A$24,$B1622)</f>
        <v>2032</v>
      </c>
      <c r="B1622">
        <v>8</v>
      </c>
      <c r="C1622" t="str">
        <f>IF(AND(A1622&gt;=SETTINGS!$B$4,A1622&lt;=SETTINGS!$B$5),"Yes","No")</f>
        <v>No</v>
      </c>
      <c r="D1622" t="str">
        <f>IFERROR(INDEX(SETTINGS!$C$15:$C$24,MATCH(A1622,SETTINGS!$A$15:$A$24,0)),"No")</f>
        <v>No</v>
      </c>
      <c r="E1622">
        <v>2</v>
      </c>
      <c r="F1622" t="s">
        <v>35</v>
      </c>
      <c r="G1622">
        <v>39</v>
      </c>
      <c r="H1622" t="s">
        <v>99</v>
      </c>
      <c r="I1622" t="s">
        <v>15</v>
      </c>
      <c r="J1622" t="s">
        <v>18</v>
      </c>
      <c r="K1622" t="s">
        <v>3</v>
      </c>
      <c r="L1622" s="36">
        <f ca="1">IF(C1622&lt;&gt;"Yes",0,IF(A1622=2025,N('2025'!D39),IF(A1622=2026,N('2026'!D39),IF(A1622=2027,N('2027'!D39),IF(A1622=2028,N('2028'!D39),IF(A1622=2029,N('2029'!D39),IF(A1622=2030,N('2030'!D39),IF(A1622=2031,N('2031'!D39),IF(A1622=2032,N('2032'!D39),IF(A1622=2033,N('2033'!D39),IF(A1622=2034,N('2034'!D39),IFERROR(N(INDIRECT("'"&amp;A1622&amp;"'!D"&amp;G1622)),0))))))))))))</f>
        <v>0</v>
      </c>
      <c r="M1622" s="36">
        <f>IFERROR(IF(NOT(ISBLANK(KPI_TARGETS!$N$10)),KPI_TARGETS!$N$10,IF(NOT(ISBLANK(KPI_TARGETS!$F$10)),KPI_TARGETS!$F$10,"")),"")</f>
        <v>0</v>
      </c>
      <c r="N1622" s="36" t="str">
        <f>IFERROR(KPI_TARGETS!$E$10,"Higher is better")</f>
        <v>Lower is better</v>
      </c>
      <c r="O1622" s="37">
        <f t="shared" ca="1" si="150"/>
        <v>1</v>
      </c>
      <c r="P1622" t="str">
        <f t="shared" ca="1" si="151"/>
        <v>Green</v>
      </c>
      <c r="Q1622" s="36">
        <f t="shared" ca="1" si="152"/>
        <v>0</v>
      </c>
      <c r="R1622" s="36" t="str">
        <f>""</f>
        <v/>
      </c>
      <c r="S1622" s="36" t="str">
        <f>""</f>
        <v/>
      </c>
      <c r="T1622" s="36" t="str">
        <f>""</f>
        <v/>
      </c>
      <c r="U1622" s="36" t="str">
        <f>""</f>
        <v/>
      </c>
      <c r="V1622" s="36" t="str">
        <f>""</f>
        <v/>
      </c>
      <c r="W1622" s="36">
        <f t="shared" si="153"/>
        <v>1</v>
      </c>
      <c r="X1622" t="str">
        <f t="shared" si="154"/>
        <v>Inactive</v>
      </c>
      <c r="Y1622" t="str">
        <f>IF(MAIN!$H$3="Selected Year",IF(A1622=MAIN!$B$3,"Yes","No"),IF(MAIN!$H$3="Included Years",IF(D1622="Yes","Yes","No"),IF(C1622="Yes","Yes","No")))</f>
        <v>No</v>
      </c>
      <c r="Z1622" t="str">
        <f>IF(MAIN!$F$3="Project to Date",IF(AND(A1622&gt;=SETTINGS!$B$4,A1622&lt;MAIN!$B$3),"Yes",IF(AND(A1622=MAIN!$B$3,E1622&lt;=MAIN!$L$3),"Yes","No")),IF(OR(MAIN!$F$3="Full Year",MAIN!$D$3="All"),"Yes",IF(MAIN!$F$3="Monthly",IF(E1622=MAIN!$L$3,"Yes","No"),IF(E1622&lt;=MAIN!$L$3,"Yes","No"))))</f>
        <v>Yes</v>
      </c>
      <c r="AA1622" t="str">
        <f t="shared" si="155"/>
        <v>No</v>
      </c>
    </row>
    <row r="1623" spans="1:27" x14ac:dyDescent="0.3">
      <c r="A1623">
        <f>INDEX(SETTINGS!$A$15:$A$24,$B1623)</f>
        <v>2032</v>
      </c>
      <c r="B1623">
        <v>8</v>
      </c>
      <c r="C1623" t="str">
        <f>IF(AND(A1623&gt;=SETTINGS!$B$4,A1623&lt;=SETTINGS!$B$5),"Yes","No")</f>
        <v>No</v>
      </c>
      <c r="D1623" t="str">
        <f>IFERROR(INDEX(SETTINGS!$C$15:$C$24,MATCH(A1623,SETTINGS!$A$15:$A$24,0)),"No")</f>
        <v>No</v>
      </c>
      <c r="E1623">
        <v>2</v>
      </c>
      <c r="F1623" t="s">
        <v>35</v>
      </c>
      <c r="G1623">
        <v>40</v>
      </c>
      <c r="H1623" t="s">
        <v>100</v>
      </c>
      <c r="I1623" t="s">
        <v>15</v>
      </c>
      <c r="J1623" t="s">
        <v>19</v>
      </c>
      <c r="K1623" t="s">
        <v>3</v>
      </c>
      <c r="L1623" s="36">
        <f ca="1">IF(C1623&lt;&gt;"Yes",0,IF(A1623=2025,N('2025'!D40),IF(A1623=2026,N('2026'!D40),IF(A1623=2027,N('2027'!D40),IF(A1623=2028,N('2028'!D40),IF(A1623=2029,N('2029'!D40),IF(A1623=2030,N('2030'!D40),IF(A1623=2031,N('2031'!D40),IF(A1623=2032,N('2032'!D40),IF(A1623=2033,N('2033'!D40),IF(A1623=2034,N('2034'!D40),IFERROR(N(INDIRECT("'"&amp;A1623&amp;"'!D"&amp;G1623)),0))))))))))))</f>
        <v>0</v>
      </c>
      <c r="M1623" s="36">
        <f>IFERROR(IF(NOT(ISBLANK(KPI_TARGETS!$N$11)),KPI_TARGETS!$N$11,IF(NOT(ISBLANK(KPI_TARGETS!$F$11)),KPI_TARGETS!$F$11,"")),"")</f>
        <v>0</v>
      </c>
      <c r="N1623" s="36" t="str">
        <f>IFERROR(KPI_TARGETS!$E$11,"Higher is better")</f>
        <v>Lower is better</v>
      </c>
      <c r="O1623" s="37">
        <f t="shared" ca="1" si="150"/>
        <v>1</v>
      </c>
      <c r="P1623" t="str">
        <f t="shared" ca="1" si="151"/>
        <v>Green</v>
      </c>
      <c r="Q1623" s="36">
        <f t="shared" ca="1" si="152"/>
        <v>0</v>
      </c>
      <c r="R1623" s="36" t="str">
        <f>""</f>
        <v/>
      </c>
      <c r="S1623" s="36" t="str">
        <f>""</f>
        <v/>
      </c>
      <c r="T1623" s="36" t="str">
        <f>""</f>
        <v/>
      </c>
      <c r="U1623" s="36" t="str">
        <f>""</f>
        <v/>
      </c>
      <c r="V1623" s="36" t="str">
        <f>""</f>
        <v/>
      </c>
      <c r="W1623" s="36">
        <f t="shared" si="153"/>
        <v>1</v>
      </c>
      <c r="X1623" t="str">
        <f t="shared" si="154"/>
        <v>Inactive</v>
      </c>
      <c r="Y1623" t="str">
        <f>IF(MAIN!$H$3="Selected Year",IF(A1623=MAIN!$B$3,"Yes","No"),IF(MAIN!$H$3="Included Years",IF(D1623="Yes","Yes","No"),IF(C1623="Yes","Yes","No")))</f>
        <v>No</v>
      </c>
      <c r="Z1623" t="str">
        <f>IF(MAIN!$F$3="Project to Date",IF(AND(A1623&gt;=SETTINGS!$B$4,A1623&lt;MAIN!$B$3),"Yes",IF(AND(A1623=MAIN!$B$3,E1623&lt;=MAIN!$L$3),"Yes","No")),IF(OR(MAIN!$F$3="Full Year",MAIN!$D$3="All"),"Yes",IF(MAIN!$F$3="Monthly",IF(E1623=MAIN!$L$3,"Yes","No"),IF(E1623&lt;=MAIN!$L$3,"Yes","No"))))</f>
        <v>Yes</v>
      </c>
      <c r="AA1623" t="str">
        <f t="shared" si="155"/>
        <v>No</v>
      </c>
    </row>
    <row r="1624" spans="1:27" x14ac:dyDescent="0.3">
      <c r="A1624">
        <f>INDEX(SETTINGS!$A$15:$A$24,$B1624)</f>
        <v>2032</v>
      </c>
      <c r="B1624">
        <v>8</v>
      </c>
      <c r="C1624" t="str">
        <f>IF(AND(A1624&gt;=SETTINGS!$B$4,A1624&lt;=SETTINGS!$B$5),"Yes","No")</f>
        <v>No</v>
      </c>
      <c r="D1624" t="str">
        <f>IFERROR(INDEX(SETTINGS!$C$15:$C$24,MATCH(A1624,SETTINGS!$A$15:$A$24,0)),"No")</f>
        <v>No</v>
      </c>
      <c r="E1624">
        <v>2</v>
      </c>
      <c r="F1624" t="s">
        <v>35</v>
      </c>
      <c r="G1624">
        <v>41</v>
      </c>
      <c r="H1624" t="s">
        <v>101</v>
      </c>
      <c r="I1624" t="s">
        <v>15</v>
      </c>
      <c r="J1624" t="s">
        <v>20</v>
      </c>
      <c r="K1624" t="s">
        <v>3</v>
      </c>
      <c r="L1624" s="36">
        <f ca="1">IF(C1624&lt;&gt;"Yes",0,IF(A1624=2025,N('2025'!D41),IF(A1624=2026,N('2026'!D41),IF(A1624=2027,N('2027'!D41),IF(A1624=2028,N('2028'!D41),IF(A1624=2029,N('2029'!D41),IF(A1624=2030,N('2030'!D41),IF(A1624=2031,N('2031'!D41),IF(A1624=2032,N('2032'!D41),IF(A1624=2033,N('2033'!D41),IF(A1624=2034,N('2034'!D41),IFERROR(N(INDIRECT("'"&amp;A1624&amp;"'!D"&amp;G1624)),0))))))))))))</f>
        <v>0</v>
      </c>
      <c r="M1624" s="36">
        <f>IFERROR(IF(NOT(ISBLANK(KPI_TARGETS!$N$12)),KPI_TARGETS!$N$12,IF(NOT(ISBLANK(KPI_TARGETS!$F$12)),KPI_TARGETS!$F$12,"")),"")</f>
        <v>0</v>
      </c>
      <c r="N1624" s="36" t="str">
        <f>IFERROR(KPI_TARGETS!$E$12,"Higher is better")</f>
        <v>Lower is better</v>
      </c>
      <c r="O1624" s="37">
        <f t="shared" ca="1" si="150"/>
        <v>1</v>
      </c>
      <c r="P1624" t="str">
        <f t="shared" ca="1" si="151"/>
        <v>Green</v>
      </c>
      <c r="Q1624" s="36">
        <f t="shared" ca="1" si="152"/>
        <v>0</v>
      </c>
      <c r="R1624" s="36" t="str">
        <f>""</f>
        <v/>
      </c>
      <c r="S1624" s="36" t="str">
        <f>""</f>
        <v/>
      </c>
      <c r="T1624" s="36" t="str">
        <f>""</f>
        <v/>
      </c>
      <c r="U1624" s="36" t="str">
        <f>""</f>
        <v/>
      </c>
      <c r="V1624" s="36" t="str">
        <f>""</f>
        <v/>
      </c>
      <c r="W1624" s="36">
        <f t="shared" si="153"/>
        <v>1</v>
      </c>
      <c r="X1624" t="str">
        <f t="shared" si="154"/>
        <v>Inactive</v>
      </c>
      <c r="Y1624" t="str">
        <f>IF(MAIN!$H$3="Selected Year",IF(A1624=MAIN!$B$3,"Yes","No"),IF(MAIN!$H$3="Included Years",IF(D1624="Yes","Yes","No"),IF(C1624="Yes","Yes","No")))</f>
        <v>No</v>
      </c>
      <c r="Z1624" t="str">
        <f>IF(MAIN!$F$3="Project to Date",IF(AND(A1624&gt;=SETTINGS!$B$4,A1624&lt;MAIN!$B$3),"Yes",IF(AND(A1624=MAIN!$B$3,E1624&lt;=MAIN!$L$3),"Yes","No")),IF(OR(MAIN!$F$3="Full Year",MAIN!$D$3="All"),"Yes",IF(MAIN!$F$3="Monthly",IF(E1624=MAIN!$L$3,"Yes","No"),IF(E1624&lt;=MAIN!$L$3,"Yes","No"))))</f>
        <v>Yes</v>
      </c>
      <c r="AA1624" t="str">
        <f t="shared" si="155"/>
        <v>No</v>
      </c>
    </row>
    <row r="1625" spans="1:27" x14ac:dyDescent="0.3">
      <c r="A1625">
        <f>INDEX(SETTINGS!$A$15:$A$24,$B1625)</f>
        <v>2032</v>
      </c>
      <c r="B1625">
        <v>8</v>
      </c>
      <c r="C1625" t="str">
        <f>IF(AND(A1625&gt;=SETTINGS!$B$4,A1625&lt;=SETTINGS!$B$5),"Yes","No")</f>
        <v>No</v>
      </c>
      <c r="D1625" t="str">
        <f>IFERROR(INDEX(SETTINGS!$C$15:$C$24,MATCH(A1625,SETTINGS!$A$15:$A$24,0)),"No")</f>
        <v>No</v>
      </c>
      <c r="E1625">
        <v>2</v>
      </c>
      <c r="F1625" t="s">
        <v>35</v>
      </c>
      <c r="G1625">
        <v>42</v>
      </c>
      <c r="H1625" t="s">
        <v>102</v>
      </c>
      <c r="I1625" t="s">
        <v>15</v>
      </c>
      <c r="J1625" t="s">
        <v>21</v>
      </c>
      <c r="K1625" t="s">
        <v>3</v>
      </c>
      <c r="L1625" s="36">
        <f ca="1">IF(C1625&lt;&gt;"Yes",0,IF(A1625=2025,N('2025'!D42),IF(A1625=2026,N('2026'!D42),IF(A1625=2027,N('2027'!D42),IF(A1625=2028,N('2028'!D42),IF(A1625=2029,N('2029'!D42),IF(A1625=2030,N('2030'!D42),IF(A1625=2031,N('2031'!D42),IF(A1625=2032,N('2032'!D42),IF(A1625=2033,N('2033'!D42),IF(A1625=2034,N('2034'!D42),IFERROR(N(INDIRECT("'"&amp;A1625&amp;"'!D"&amp;G1625)),0))))))))))))</f>
        <v>0</v>
      </c>
      <c r="M1625" s="36">
        <f>IFERROR(IF(NOT(ISBLANK(KPI_TARGETS!$N$13)),KPI_TARGETS!$N$13,IF(NOT(ISBLANK(KPI_TARGETS!$F$13)),KPI_TARGETS!$F$13,"")),"")</f>
        <v>0</v>
      </c>
      <c r="N1625" s="36" t="str">
        <f>IFERROR(KPI_TARGETS!$E$13,"Higher is better")</f>
        <v>Lower is better</v>
      </c>
      <c r="O1625" s="37">
        <f t="shared" ca="1" si="150"/>
        <v>1</v>
      </c>
      <c r="P1625" t="str">
        <f t="shared" ca="1" si="151"/>
        <v>Green</v>
      </c>
      <c r="Q1625" s="36">
        <f t="shared" ca="1" si="152"/>
        <v>0</v>
      </c>
      <c r="R1625" s="36" t="str">
        <f>""</f>
        <v/>
      </c>
      <c r="S1625" s="36" t="str">
        <f>""</f>
        <v/>
      </c>
      <c r="T1625" s="36" t="str">
        <f>""</f>
        <v/>
      </c>
      <c r="U1625" s="36" t="str">
        <f>""</f>
        <v/>
      </c>
      <c r="V1625" s="36" t="str">
        <f>""</f>
        <v/>
      </c>
      <c r="W1625" s="36">
        <f t="shared" si="153"/>
        <v>1</v>
      </c>
      <c r="X1625" t="str">
        <f t="shared" si="154"/>
        <v>Inactive</v>
      </c>
      <c r="Y1625" t="str">
        <f>IF(MAIN!$H$3="Selected Year",IF(A1625=MAIN!$B$3,"Yes","No"),IF(MAIN!$H$3="Included Years",IF(D1625="Yes","Yes","No"),IF(C1625="Yes","Yes","No")))</f>
        <v>No</v>
      </c>
      <c r="Z1625" t="str">
        <f>IF(MAIN!$F$3="Project to Date",IF(AND(A1625&gt;=SETTINGS!$B$4,A1625&lt;MAIN!$B$3),"Yes",IF(AND(A1625=MAIN!$B$3,E1625&lt;=MAIN!$L$3),"Yes","No")),IF(OR(MAIN!$F$3="Full Year",MAIN!$D$3="All"),"Yes",IF(MAIN!$F$3="Monthly",IF(E1625=MAIN!$L$3,"Yes","No"),IF(E1625&lt;=MAIN!$L$3,"Yes","No"))))</f>
        <v>Yes</v>
      </c>
      <c r="AA1625" t="str">
        <f t="shared" si="155"/>
        <v>No</v>
      </c>
    </row>
    <row r="1626" spans="1:27" x14ac:dyDescent="0.3">
      <c r="A1626">
        <f>INDEX(SETTINGS!$A$15:$A$24,$B1626)</f>
        <v>2032</v>
      </c>
      <c r="B1626">
        <v>8</v>
      </c>
      <c r="C1626" t="str">
        <f>IF(AND(A1626&gt;=SETTINGS!$B$4,A1626&lt;=SETTINGS!$B$5),"Yes","No")</f>
        <v>No</v>
      </c>
      <c r="D1626" t="str">
        <f>IFERROR(INDEX(SETTINGS!$C$15:$C$24,MATCH(A1626,SETTINGS!$A$15:$A$24,0)),"No")</f>
        <v>No</v>
      </c>
      <c r="E1626">
        <v>2</v>
      </c>
      <c r="F1626" t="s">
        <v>35</v>
      </c>
      <c r="G1626">
        <v>44</v>
      </c>
      <c r="H1626" t="s">
        <v>103</v>
      </c>
      <c r="I1626" t="s">
        <v>22</v>
      </c>
      <c r="J1626" t="s">
        <v>23</v>
      </c>
      <c r="K1626" t="s">
        <v>3</v>
      </c>
      <c r="L1626" s="36">
        <f ca="1">IF(C1626&lt;&gt;"Yes",0,IF(A1626=2025,N('2025'!D44),IF(A1626=2026,N('2026'!D44),IF(A1626=2027,N('2027'!D44),IF(A1626=2028,N('2028'!D44),IF(A1626=2029,N('2029'!D44),IF(A1626=2030,N('2030'!D44),IF(A1626=2031,N('2031'!D44),IF(A1626=2032,N('2032'!D44),IF(A1626=2033,N('2033'!D44),IF(A1626=2034,N('2034'!D44),IFERROR(N(INDIRECT("'"&amp;A1626&amp;"'!D"&amp;G1626)),0))))))))))))</f>
        <v>0</v>
      </c>
      <c r="M1626" s="36">
        <f>IFERROR(IF(NOT(ISBLANK(KPI_TARGETS!$N$14)),KPI_TARGETS!$N$14,IF(NOT(ISBLANK(KPI_TARGETS!$F$14)),KPI_TARGETS!$F$14,"")),"")</f>
        <v>35</v>
      </c>
      <c r="N1626" s="36" t="str">
        <f>IFERROR(KPI_TARGETS!$E$14,"Higher is better")</f>
        <v>Higher is better</v>
      </c>
      <c r="O1626" s="37">
        <f t="shared" ca="1" si="150"/>
        <v>0</v>
      </c>
      <c r="P1626" t="str">
        <f t="shared" ca="1" si="151"/>
        <v>Red</v>
      </c>
      <c r="Q1626" s="36">
        <f t="shared" ca="1" si="152"/>
        <v>-35</v>
      </c>
      <c r="R1626" s="36" t="str">
        <f>""</f>
        <v/>
      </c>
      <c r="S1626" s="36" t="str">
        <f>""</f>
        <v/>
      </c>
      <c r="T1626" s="36" t="str">
        <f>""</f>
        <v/>
      </c>
      <c r="U1626" s="36" t="str">
        <f>""</f>
        <v/>
      </c>
      <c r="V1626" s="36" t="str">
        <f>""</f>
        <v/>
      </c>
      <c r="W1626" s="36">
        <f t="shared" si="153"/>
        <v>1</v>
      </c>
      <c r="X1626" t="str">
        <f t="shared" si="154"/>
        <v>Inactive</v>
      </c>
      <c r="Y1626" t="str">
        <f>IF(MAIN!$H$3="Selected Year",IF(A1626=MAIN!$B$3,"Yes","No"),IF(MAIN!$H$3="Included Years",IF(D1626="Yes","Yes","No"),IF(C1626="Yes","Yes","No")))</f>
        <v>No</v>
      </c>
      <c r="Z1626" t="str">
        <f>IF(MAIN!$F$3="Project to Date",IF(AND(A1626&gt;=SETTINGS!$B$4,A1626&lt;MAIN!$B$3),"Yes",IF(AND(A1626=MAIN!$B$3,E1626&lt;=MAIN!$L$3),"Yes","No")),IF(OR(MAIN!$F$3="Full Year",MAIN!$D$3="All"),"Yes",IF(MAIN!$F$3="Monthly",IF(E1626=MAIN!$L$3,"Yes","No"),IF(E1626&lt;=MAIN!$L$3,"Yes","No"))))</f>
        <v>Yes</v>
      </c>
      <c r="AA1626" t="str">
        <f t="shared" si="155"/>
        <v>No</v>
      </c>
    </row>
    <row r="1627" spans="1:27" x14ac:dyDescent="0.3">
      <c r="A1627">
        <f>INDEX(SETTINGS!$A$15:$A$24,$B1627)</f>
        <v>2032</v>
      </c>
      <c r="B1627">
        <v>8</v>
      </c>
      <c r="C1627" t="str">
        <f>IF(AND(A1627&gt;=SETTINGS!$B$4,A1627&lt;=SETTINGS!$B$5),"Yes","No")</f>
        <v>No</v>
      </c>
      <c r="D1627" t="str">
        <f>IFERROR(INDEX(SETTINGS!$C$15:$C$24,MATCH(A1627,SETTINGS!$A$15:$A$24,0)),"No")</f>
        <v>No</v>
      </c>
      <c r="E1627">
        <v>2</v>
      </c>
      <c r="F1627" t="s">
        <v>35</v>
      </c>
      <c r="G1627">
        <v>45</v>
      </c>
      <c r="H1627" t="s">
        <v>104</v>
      </c>
      <c r="I1627" t="s">
        <v>22</v>
      </c>
      <c r="J1627" t="s">
        <v>24</v>
      </c>
      <c r="K1627" t="s">
        <v>3</v>
      </c>
      <c r="L1627" s="36">
        <f ca="1">IF(C1627&lt;&gt;"Yes",0,IF(A1627=2025,N('2025'!D45),IF(A1627=2026,N('2026'!D45),IF(A1627=2027,N('2027'!D45),IF(A1627=2028,N('2028'!D45),IF(A1627=2029,N('2029'!D45),IF(A1627=2030,N('2030'!D45),IF(A1627=2031,N('2031'!D45),IF(A1627=2032,N('2032'!D45),IF(A1627=2033,N('2033'!D45),IF(A1627=2034,N('2034'!D45),IFERROR(N(INDIRECT("'"&amp;A1627&amp;"'!D"&amp;G1627)),0))))))))))))</f>
        <v>0</v>
      </c>
      <c r="M1627" s="36">
        <f>IFERROR(IF(NOT(ISBLANK(KPI_TARGETS!$N$15)),KPI_TARGETS!$N$15,IF(NOT(ISBLANK(KPI_TARGETS!$F$15)),KPI_TARGETS!$F$15,"")),"")</f>
        <v>5</v>
      </c>
      <c r="N1627" s="36" t="str">
        <f>IFERROR(KPI_TARGETS!$E$15,"Higher is better")</f>
        <v>Higher is better</v>
      </c>
      <c r="O1627" s="37">
        <f t="shared" ca="1" si="150"/>
        <v>0</v>
      </c>
      <c r="P1627" t="str">
        <f t="shared" ca="1" si="151"/>
        <v>Red</v>
      </c>
      <c r="Q1627" s="36">
        <f t="shared" ca="1" si="152"/>
        <v>-5</v>
      </c>
      <c r="R1627" s="36" t="str">
        <f>""</f>
        <v/>
      </c>
      <c r="S1627" s="36" t="str">
        <f>""</f>
        <v/>
      </c>
      <c r="T1627" s="36" t="str">
        <f>""</f>
        <v/>
      </c>
      <c r="U1627" s="36" t="str">
        <f>""</f>
        <v/>
      </c>
      <c r="V1627" s="36" t="str">
        <f>""</f>
        <v/>
      </c>
      <c r="W1627" s="36">
        <f t="shared" si="153"/>
        <v>1</v>
      </c>
      <c r="X1627" t="str">
        <f t="shared" si="154"/>
        <v>Inactive</v>
      </c>
      <c r="Y1627" t="str">
        <f>IF(MAIN!$H$3="Selected Year",IF(A1627=MAIN!$B$3,"Yes","No"),IF(MAIN!$H$3="Included Years",IF(D1627="Yes","Yes","No"),IF(C1627="Yes","Yes","No")))</f>
        <v>No</v>
      </c>
      <c r="Z1627" t="str">
        <f>IF(MAIN!$F$3="Project to Date",IF(AND(A1627&gt;=SETTINGS!$B$4,A1627&lt;MAIN!$B$3),"Yes",IF(AND(A1627=MAIN!$B$3,E1627&lt;=MAIN!$L$3),"Yes","No")),IF(OR(MAIN!$F$3="Full Year",MAIN!$D$3="All"),"Yes",IF(MAIN!$F$3="Monthly",IF(E1627=MAIN!$L$3,"Yes","No"),IF(E1627&lt;=MAIN!$L$3,"Yes","No"))))</f>
        <v>Yes</v>
      </c>
      <c r="AA1627" t="str">
        <f t="shared" si="155"/>
        <v>No</v>
      </c>
    </row>
    <row r="1628" spans="1:27" x14ac:dyDescent="0.3">
      <c r="A1628">
        <f>INDEX(SETTINGS!$A$15:$A$24,$B1628)</f>
        <v>2032</v>
      </c>
      <c r="B1628">
        <v>8</v>
      </c>
      <c r="C1628" t="str">
        <f>IF(AND(A1628&gt;=SETTINGS!$B$4,A1628&lt;=SETTINGS!$B$5),"Yes","No")</f>
        <v>No</v>
      </c>
      <c r="D1628" t="str">
        <f>IFERROR(INDEX(SETTINGS!$C$15:$C$24,MATCH(A1628,SETTINGS!$A$15:$A$24,0)),"No")</f>
        <v>No</v>
      </c>
      <c r="E1628">
        <v>2</v>
      </c>
      <c r="F1628" t="s">
        <v>35</v>
      </c>
      <c r="G1628">
        <v>46</v>
      </c>
      <c r="H1628" t="s">
        <v>105</v>
      </c>
      <c r="I1628" t="s">
        <v>22</v>
      </c>
      <c r="J1628" t="s">
        <v>25</v>
      </c>
      <c r="K1628" t="s">
        <v>3</v>
      </c>
      <c r="L1628" s="36">
        <f ca="1">IF(C1628&lt;&gt;"Yes",0,IF(A1628=2025,N('2025'!D46),IF(A1628=2026,N('2026'!D46),IF(A1628=2027,N('2027'!D46),IF(A1628=2028,N('2028'!D46),IF(A1628=2029,N('2029'!D46),IF(A1628=2030,N('2030'!D46),IF(A1628=2031,N('2031'!D46),IF(A1628=2032,N('2032'!D46),IF(A1628=2033,N('2033'!D46),IF(A1628=2034,N('2034'!D46),IFERROR(N(INDIRECT("'"&amp;A1628&amp;"'!D"&amp;G1628)),0))))))))))))</f>
        <v>0</v>
      </c>
      <c r="M1628" s="36">
        <f>IFERROR(IF(NOT(ISBLANK(KPI_TARGETS!$N$16)),KPI_TARGETS!$N$16,IF(NOT(ISBLANK(KPI_TARGETS!$F$16)),KPI_TARGETS!$F$16,"")),"")</f>
        <v>4</v>
      </c>
      <c r="N1628" s="36" t="str">
        <f>IFERROR(KPI_TARGETS!$E$16,"Higher is better")</f>
        <v>Higher is better</v>
      </c>
      <c r="O1628" s="37">
        <f t="shared" ca="1" si="150"/>
        <v>0</v>
      </c>
      <c r="P1628" t="str">
        <f t="shared" ca="1" si="151"/>
        <v>Red</v>
      </c>
      <c r="Q1628" s="36">
        <f t="shared" ca="1" si="152"/>
        <v>-4</v>
      </c>
      <c r="R1628" s="36" t="str">
        <f>""</f>
        <v/>
      </c>
      <c r="S1628" s="36" t="str">
        <f>""</f>
        <v/>
      </c>
      <c r="T1628" s="36" t="str">
        <f>""</f>
        <v/>
      </c>
      <c r="U1628" s="36" t="str">
        <f>""</f>
        <v/>
      </c>
      <c r="V1628" s="36" t="str">
        <f>""</f>
        <v/>
      </c>
      <c r="W1628" s="36">
        <f t="shared" si="153"/>
        <v>1</v>
      </c>
      <c r="X1628" t="str">
        <f t="shared" si="154"/>
        <v>Inactive</v>
      </c>
      <c r="Y1628" t="str">
        <f>IF(MAIN!$H$3="Selected Year",IF(A1628=MAIN!$B$3,"Yes","No"),IF(MAIN!$H$3="Included Years",IF(D1628="Yes","Yes","No"),IF(C1628="Yes","Yes","No")))</f>
        <v>No</v>
      </c>
      <c r="Z1628" t="str">
        <f>IF(MAIN!$F$3="Project to Date",IF(AND(A1628&gt;=SETTINGS!$B$4,A1628&lt;MAIN!$B$3),"Yes",IF(AND(A1628=MAIN!$B$3,E1628&lt;=MAIN!$L$3),"Yes","No")),IF(OR(MAIN!$F$3="Full Year",MAIN!$D$3="All"),"Yes",IF(MAIN!$F$3="Monthly",IF(E1628=MAIN!$L$3,"Yes","No"),IF(E1628&lt;=MAIN!$L$3,"Yes","No"))))</f>
        <v>Yes</v>
      </c>
      <c r="AA1628" t="str">
        <f t="shared" si="155"/>
        <v>No</v>
      </c>
    </row>
    <row r="1629" spans="1:27" x14ac:dyDescent="0.3">
      <c r="A1629">
        <f>INDEX(SETTINGS!$A$15:$A$24,$B1629)</f>
        <v>2032</v>
      </c>
      <c r="B1629">
        <v>8</v>
      </c>
      <c r="C1629" t="str">
        <f>IF(AND(A1629&gt;=SETTINGS!$B$4,A1629&lt;=SETTINGS!$B$5),"Yes","No")</f>
        <v>No</v>
      </c>
      <c r="D1629" t="str">
        <f>IFERROR(INDEX(SETTINGS!$C$15:$C$24,MATCH(A1629,SETTINGS!$A$15:$A$24,0)),"No")</f>
        <v>No</v>
      </c>
      <c r="E1629">
        <v>2</v>
      </c>
      <c r="F1629" t="s">
        <v>35</v>
      </c>
      <c r="G1629">
        <v>47</v>
      </c>
      <c r="H1629" t="s">
        <v>106</v>
      </c>
      <c r="I1629" t="s">
        <v>22</v>
      </c>
      <c r="J1629" t="s">
        <v>26</v>
      </c>
      <c r="K1629" t="s">
        <v>3</v>
      </c>
      <c r="L1629" s="36">
        <f ca="1">IF(C1629&lt;&gt;"Yes",0,IF(A1629=2025,N('2025'!D47),IF(A1629=2026,N('2026'!D47),IF(A1629=2027,N('2027'!D47),IF(A1629=2028,N('2028'!D47),IF(A1629=2029,N('2029'!D47),IF(A1629=2030,N('2030'!D47),IF(A1629=2031,N('2031'!D47),IF(A1629=2032,N('2032'!D47),IF(A1629=2033,N('2033'!D47),IF(A1629=2034,N('2034'!D47),IFERROR(N(INDIRECT("'"&amp;A1629&amp;"'!D"&amp;G1629)),0))))))))))))</f>
        <v>0</v>
      </c>
      <c r="M1629" s="36">
        <f>IFERROR(IF(NOT(ISBLANK(KPI_TARGETS!$N$17)),KPI_TARGETS!$N$17,IF(NOT(ISBLANK(KPI_TARGETS!$F$17)),KPI_TARGETS!$F$17,"")),"")</f>
        <v>12</v>
      </c>
      <c r="N1629" s="36" t="str">
        <f>IFERROR(KPI_TARGETS!$E$17,"Higher is better")</f>
        <v>Higher is better</v>
      </c>
      <c r="O1629" s="37">
        <f t="shared" ca="1" si="150"/>
        <v>0</v>
      </c>
      <c r="P1629" t="str">
        <f t="shared" ca="1" si="151"/>
        <v>Red</v>
      </c>
      <c r="Q1629" s="36">
        <f t="shared" ca="1" si="152"/>
        <v>-12</v>
      </c>
      <c r="R1629" s="36" t="str">
        <f>""</f>
        <v/>
      </c>
      <c r="S1629" s="36" t="str">
        <f>""</f>
        <v/>
      </c>
      <c r="T1629" s="36" t="str">
        <f>""</f>
        <v/>
      </c>
      <c r="U1629" s="36" t="str">
        <f>""</f>
        <v/>
      </c>
      <c r="V1629" s="36" t="str">
        <f>""</f>
        <v/>
      </c>
      <c r="W1629" s="36">
        <f t="shared" si="153"/>
        <v>1</v>
      </c>
      <c r="X1629" t="str">
        <f t="shared" si="154"/>
        <v>Inactive</v>
      </c>
      <c r="Y1629" t="str">
        <f>IF(MAIN!$H$3="Selected Year",IF(A1629=MAIN!$B$3,"Yes","No"),IF(MAIN!$H$3="Included Years",IF(D1629="Yes","Yes","No"),IF(C1629="Yes","Yes","No")))</f>
        <v>No</v>
      </c>
      <c r="Z1629" t="str">
        <f>IF(MAIN!$F$3="Project to Date",IF(AND(A1629&gt;=SETTINGS!$B$4,A1629&lt;MAIN!$B$3),"Yes",IF(AND(A1629=MAIN!$B$3,E1629&lt;=MAIN!$L$3),"Yes","No")),IF(OR(MAIN!$F$3="Full Year",MAIN!$D$3="All"),"Yes",IF(MAIN!$F$3="Monthly",IF(E1629=MAIN!$L$3,"Yes","No"),IF(E1629&lt;=MAIN!$L$3,"Yes","No"))))</f>
        <v>Yes</v>
      </c>
      <c r="AA1629" t="str">
        <f t="shared" si="155"/>
        <v>No</v>
      </c>
    </row>
    <row r="1630" spans="1:27" x14ac:dyDescent="0.3">
      <c r="A1630">
        <f>INDEX(SETTINGS!$A$15:$A$24,$B1630)</f>
        <v>2032</v>
      </c>
      <c r="B1630">
        <v>8</v>
      </c>
      <c r="C1630" t="str">
        <f>IF(AND(A1630&gt;=SETTINGS!$B$4,A1630&lt;=SETTINGS!$B$5),"Yes","No")</f>
        <v>No</v>
      </c>
      <c r="D1630" t="str">
        <f>IFERROR(INDEX(SETTINGS!$C$15:$C$24,MATCH(A1630,SETTINGS!$A$15:$A$24,0)),"No")</f>
        <v>No</v>
      </c>
      <c r="E1630">
        <v>2</v>
      </c>
      <c r="F1630" t="s">
        <v>35</v>
      </c>
      <c r="G1630">
        <v>48</v>
      </c>
      <c r="H1630" t="s">
        <v>107</v>
      </c>
      <c r="I1630" t="s">
        <v>22</v>
      </c>
      <c r="J1630" t="s">
        <v>27</v>
      </c>
      <c r="K1630" t="s">
        <v>3</v>
      </c>
      <c r="L1630" s="36">
        <f ca="1">IF(C1630&lt;&gt;"Yes",0,IF(A1630=2025,N('2025'!D48),IF(A1630=2026,N('2026'!D48),IF(A1630=2027,N('2027'!D48),IF(A1630=2028,N('2028'!D48),IF(A1630=2029,N('2029'!D48),IF(A1630=2030,N('2030'!D48),IF(A1630=2031,N('2031'!D48),IF(A1630=2032,N('2032'!D48),IF(A1630=2033,N('2033'!D48),IF(A1630=2034,N('2034'!D48),IFERROR(N(INDIRECT("'"&amp;A1630&amp;"'!D"&amp;G1630)),0))))))))))))</f>
        <v>0</v>
      </c>
      <c r="M1630" s="36">
        <f>IFERROR(IF(NOT(ISBLANK(KPI_TARGETS!$N$18)),KPI_TARGETS!$N$18,IF(NOT(ISBLANK(KPI_TARGETS!$F$18)),KPI_TARGETS!$F$18,"")),"")</f>
        <v>4</v>
      </c>
      <c r="N1630" s="36" t="str">
        <f>IFERROR(KPI_TARGETS!$E$18,"Higher is better")</f>
        <v>Higher is better</v>
      </c>
      <c r="O1630" s="37">
        <f t="shared" ca="1" si="150"/>
        <v>0</v>
      </c>
      <c r="P1630" t="str">
        <f t="shared" ca="1" si="151"/>
        <v>Red</v>
      </c>
      <c r="Q1630" s="36">
        <f t="shared" ca="1" si="152"/>
        <v>-4</v>
      </c>
      <c r="R1630" s="36" t="str">
        <f>""</f>
        <v/>
      </c>
      <c r="S1630" s="36" t="str">
        <f>""</f>
        <v/>
      </c>
      <c r="T1630" s="36" t="str">
        <f>""</f>
        <v/>
      </c>
      <c r="U1630" s="36" t="str">
        <f>""</f>
        <v/>
      </c>
      <c r="V1630" s="36" t="str">
        <f>""</f>
        <v/>
      </c>
      <c r="W1630" s="36">
        <f t="shared" si="153"/>
        <v>1</v>
      </c>
      <c r="X1630" t="str">
        <f t="shared" si="154"/>
        <v>Inactive</v>
      </c>
      <c r="Y1630" t="str">
        <f>IF(MAIN!$H$3="Selected Year",IF(A1630=MAIN!$B$3,"Yes","No"),IF(MAIN!$H$3="Included Years",IF(D1630="Yes","Yes","No"),IF(C1630="Yes","Yes","No")))</f>
        <v>No</v>
      </c>
      <c r="Z1630" t="str">
        <f>IF(MAIN!$F$3="Project to Date",IF(AND(A1630&gt;=SETTINGS!$B$4,A1630&lt;MAIN!$B$3),"Yes",IF(AND(A1630=MAIN!$B$3,E1630&lt;=MAIN!$L$3),"Yes","No")),IF(OR(MAIN!$F$3="Full Year",MAIN!$D$3="All"),"Yes",IF(MAIN!$F$3="Monthly",IF(E1630=MAIN!$L$3,"Yes","No"),IF(E1630&lt;=MAIN!$L$3,"Yes","No"))))</f>
        <v>Yes</v>
      </c>
      <c r="AA1630" t="str">
        <f t="shared" si="155"/>
        <v>No</v>
      </c>
    </row>
    <row r="1631" spans="1:27" x14ac:dyDescent="0.3">
      <c r="A1631">
        <f>INDEX(SETTINGS!$A$15:$A$24,$B1631)</f>
        <v>2032</v>
      </c>
      <c r="B1631">
        <v>8</v>
      </c>
      <c r="C1631" t="str">
        <f>IF(AND(A1631&gt;=SETTINGS!$B$4,A1631&lt;=SETTINGS!$B$5),"Yes","No")</f>
        <v>No</v>
      </c>
      <c r="D1631" t="str">
        <f>IFERROR(INDEX(SETTINGS!$C$15:$C$24,MATCH(A1631,SETTINGS!$A$15:$A$24,0)),"No")</f>
        <v>No</v>
      </c>
      <c r="E1631">
        <v>2</v>
      </c>
      <c r="F1631" t="s">
        <v>35</v>
      </c>
      <c r="G1631">
        <v>49</v>
      </c>
      <c r="H1631" t="s">
        <v>108</v>
      </c>
      <c r="I1631" t="s">
        <v>22</v>
      </c>
      <c r="J1631" t="s">
        <v>28</v>
      </c>
      <c r="K1631" t="s">
        <v>3</v>
      </c>
      <c r="L1631" s="36">
        <f ca="1">IF(C1631&lt;&gt;"Yes",0,IF(A1631=2025,N('2025'!D49),IF(A1631=2026,N('2026'!D49),IF(A1631=2027,N('2027'!D49),IF(A1631=2028,N('2028'!D49),IF(A1631=2029,N('2029'!D49),IF(A1631=2030,N('2030'!D49),IF(A1631=2031,N('2031'!D49),IF(A1631=2032,N('2032'!D49),IF(A1631=2033,N('2033'!D49),IF(A1631=2034,N('2034'!D49),IFERROR(N(INDIRECT("'"&amp;A1631&amp;"'!D"&amp;G1631)),0))))))))))))</f>
        <v>0</v>
      </c>
      <c r="M1631" s="36">
        <f>IFERROR(IF(NOT(ISBLANK(KPI_TARGETS!$N$19)),KPI_TARGETS!$N$19,IF(NOT(ISBLANK(KPI_TARGETS!$F$19)),KPI_TARGETS!$F$19,"")),"")</f>
        <v>16</v>
      </c>
      <c r="N1631" s="36" t="str">
        <f>IFERROR(KPI_TARGETS!$E$19,"Higher is better")</f>
        <v>Higher is better</v>
      </c>
      <c r="O1631" s="37">
        <f t="shared" ca="1" si="150"/>
        <v>0</v>
      </c>
      <c r="P1631" t="str">
        <f t="shared" ca="1" si="151"/>
        <v>Red</v>
      </c>
      <c r="Q1631" s="36">
        <f t="shared" ca="1" si="152"/>
        <v>-16</v>
      </c>
      <c r="R1631" s="36" t="str">
        <f>""</f>
        <v/>
      </c>
      <c r="S1631" s="36" t="str">
        <f>""</f>
        <v/>
      </c>
      <c r="T1631" s="36" t="str">
        <f>""</f>
        <v/>
      </c>
      <c r="U1631" s="36" t="str">
        <f>""</f>
        <v/>
      </c>
      <c r="V1631" s="36" t="str">
        <f>""</f>
        <v/>
      </c>
      <c r="W1631" s="36">
        <f t="shared" si="153"/>
        <v>1</v>
      </c>
      <c r="X1631" t="str">
        <f t="shared" si="154"/>
        <v>Inactive</v>
      </c>
      <c r="Y1631" t="str">
        <f>IF(MAIN!$H$3="Selected Year",IF(A1631=MAIN!$B$3,"Yes","No"),IF(MAIN!$H$3="Included Years",IF(D1631="Yes","Yes","No"),IF(C1631="Yes","Yes","No")))</f>
        <v>No</v>
      </c>
      <c r="Z1631" t="str">
        <f>IF(MAIN!$F$3="Project to Date",IF(AND(A1631&gt;=SETTINGS!$B$4,A1631&lt;MAIN!$B$3),"Yes",IF(AND(A1631=MAIN!$B$3,E1631&lt;=MAIN!$L$3),"Yes","No")),IF(OR(MAIN!$F$3="Full Year",MAIN!$D$3="All"),"Yes",IF(MAIN!$F$3="Monthly",IF(E1631=MAIN!$L$3,"Yes","No"),IF(E1631&lt;=MAIN!$L$3,"Yes","No"))))</f>
        <v>Yes</v>
      </c>
      <c r="AA1631" t="str">
        <f t="shared" si="155"/>
        <v>No</v>
      </c>
    </row>
    <row r="1632" spans="1:27" x14ac:dyDescent="0.3">
      <c r="A1632">
        <f>INDEX(SETTINGS!$A$15:$A$24,$B1632)</f>
        <v>2032</v>
      </c>
      <c r="B1632">
        <v>8</v>
      </c>
      <c r="C1632" t="str">
        <f>IF(AND(A1632&gt;=SETTINGS!$B$4,A1632&lt;=SETTINGS!$B$5),"Yes","No")</f>
        <v>No</v>
      </c>
      <c r="D1632" t="str">
        <f>IFERROR(INDEX(SETTINGS!$C$15:$C$24,MATCH(A1632,SETTINGS!$A$15:$A$24,0)),"No")</f>
        <v>No</v>
      </c>
      <c r="E1632">
        <v>2</v>
      </c>
      <c r="F1632" t="s">
        <v>35</v>
      </c>
      <c r="G1632">
        <v>50</v>
      </c>
      <c r="H1632" t="s">
        <v>109</v>
      </c>
      <c r="I1632" t="s">
        <v>22</v>
      </c>
      <c r="J1632" t="s">
        <v>29</v>
      </c>
      <c r="K1632" t="s">
        <v>3</v>
      </c>
      <c r="L1632" s="36">
        <f ca="1">IF(C1632&lt;&gt;"Yes",0,IF(A1632=2025,N('2025'!D50),IF(A1632=2026,N('2026'!D50),IF(A1632=2027,N('2027'!D50),IF(A1632=2028,N('2028'!D50),IF(A1632=2029,N('2029'!D50),IF(A1632=2030,N('2030'!D50),IF(A1632=2031,N('2031'!D50),IF(A1632=2032,N('2032'!D50),IF(A1632=2033,N('2033'!D50),IF(A1632=2034,N('2034'!D50),IFERROR(N(INDIRECT("'"&amp;A1632&amp;"'!D"&amp;G1632)),0))))))))))))</f>
        <v>0</v>
      </c>
      <c r="M1632" s="36">
        <f>IFERROR(IF(NOT(ISBLANK(KPI_TARGETS!$N$20)),KPI_TARGETS!$N$20,IF(NOT(ISBLANK(KPI_TARGETS!$F$20)),KPI_TARGETS!$F$20,"")),"")</f>
        <v>1</v>
      </c>
      <c r="N1632" s="36" t="str">
        <f>IFERROR(KPI_TARGETS!$E$20,"Higher is better")</f>
        <v>Higher is better</v>
      </c>
      <c r="O1632" s="37">
        <f t="shared" ca="1" si="150"/>
        <v>0</v>
      </c>
      <c r="P1632" t="str">
        <f t="shared" ca="1" si="151"/>
        <v>Red</v>
      </c>
      <c r="Q1632" s="36">
        <f t="shared" ca="1" si="152"/>
        <v>-1</v>
      </c>
      <c r="R1632" s="36" t="str">
        <f>""</f>
        <v/>
      </c>
      <c r="S1632" s="36" t="str">
        <f>""</f>
        <v/>
      </c>
      <c r="T1632" s="36" t="str">
        <f>""</f>
        <v/>
      </c>
      <c r="U1632" s="36" t="str">
        <f>""</f>
        <v/>
      </c>
      <c r="V1632" s="36" t="str">
        <f>""</f>
        <v/>
      </c>
      <c r="W1632" s="36">
        <f t="shared" si="153"/>
        <v>1</v>
      </c>
      <c r="X1632" t="str">
        <f t="shared" si="154"/>
        <v>Inactive</v>
      </c>
      <c r="Y1632" t="str">
        <f>IF(MAIN!$H$3="Selected Year",IF(A1632=MAIN!$B$3,"Yes","No"),IF(MAIN!$H$3="Included Years",IF(D1632="Yes","Yes","No"),IF(C1632="Yes","Yes","No")))</f>
        <v>No</v>
      </c>
      <c r="Z1632" t="str">
        <f>IF(MAIN!$F$3="Project to Date",IF(AND(A1632&gt;=SETTINGS!$B$4,A1632&lt;MAIN!$B$3),"Yes",IF(AND(A1632=MAIN!$B$3,E1632&lt;=MAIN!$L$3),"Yes","No")),IF(OR(MAIN!$F$3="Full Year",MAIN!$D$3="All"),"Yes",IF(MAIN!$F$3="Monthly",IF(E1632=MAIN!$L$3,"Yes","No"),IF(E1632&lt;=MAIN!$L$3,"Yes","No"))))</f>
        <v>Yes</v>
      </c>
      <c r="AA1632" t="str">
        <f t="shared" si="155"/>
        <v>No</v>
      </c>
    </row>
    <row r="1633" spans="1:27" x14ac:dyDescent="0.3">
      <c r="A1633">
        <f>INDEX(SETTINGS!$A$15:$A$24,$B1633)</f>
        <v>2032</v>
      </c>
      <c r="B1633">
        <v>8</v>
      </c>
      <c r="C1633" t="str">
        <f>IF(AND(A1633&gt;=SETTINGS!$B$4,A1633&lt;=SETTINGS!$B$5),"Yes","No")</f>
        <v>No</v>
      </c>
      <c r="D1633" t="str">
        <f>IFERROR(INDEX(SETTINGS!$C$15:$C$24,MATCH(A1633,SETTINGS!$A$15:$A$24,0)),"No")</f>
        <v>No</v>
      </c>
      <c r="E1633">
        <v>2</v>
      </c>
      <c r="F1633" t="s">
        <v>35</v>
      </c>
      <c r="G1633">
        <v>52</v>
      </c>
      <c r="H1633" t="s">
        <v>110</v>
      </c>
      <c r="I1633" t="s">
        <v>30</v>
      </c>
      <c r="J1633" t="s">
        <v>31</v>
      </c>
      <c r="K1633" t="s">
        <v>3</v>
      </c>
      <c r="L1633" s="36">
        <f ca="1">IF(C1633&lt;&gt;"Yes",0,IF(A1633=2025,N('2025'!D52),IF(A1633=2026,N('2026'!D52),IF(A1633=2027,N('2027'!D52),IF(A1633=2028,N('2028'!D52),IF(A1633=2029,N('2029'!D52),IF(A1633=2030,N('2030'!D52),IF(A1633=2031,N('2031'!D52),IF(A1633=2032,N('2032'!D52),IF(A1633=2033,N('2033'!D52),IF(A1633=2034,N('2034'!D52),IFERROR(N(INDIRECT("'"&amp;A1633&amp;"'!D"&amp;G1633)),0))))))))))))</f>
        <v>0</v>
      </c>
      <c r="M1633" s="36">
        <f>IFERROR(IF(NOT(ISBLANK(KPI_TARGETS!$N$21)),KPI_TARGETS!$N$21,IF(NOT(ISBLANK(KPI_TARGETS!$F$21)),KPI_TARGETS!$F$21,"")),"")</f>
        <v>0</v>
      </c>
      <c r="N1633" s="36" t="str">
        <f>IFERROR(KPI_TARGETS!$E$21,"Higher is better")</f>
        <v>Lower is better</v>
      </c>
      <c r="O1633" s="37">
        <f t="shared" ca="1" si="150"/>
        <v>1</v>
      </c>
      <c r="P1633" t="str">
        <f t="shared" ca="1" si="151"/>
        <v>Green</v>
      </c>
      <c r="Q1633" s="36">
        <f t="shared" ca="1" si="152"/>
        <v>0</v>
      </c>
      <c r="R1633" s="36" t="str">
        <f>""</f>
        <v/>
      </c>
      <c r="S1633" s="36" t="str">
        <f>""</f>
        <v/>
      </c>
      <c r="T1633" s="36" t="str">
        <f>""</f>
        <v/>
      </c>
      <c r="U1633" s="36" t="str">
        <f>""</f>
        <v/>
      </c>
      <c r="V1633" s="36" t="str">
        <f>""</f>
        <v/>
      </c>
      <c r="W1633" s="36">
        <f t="shared" si="153"/>
        <v>1</v>
      </c>
      <c r="X1633" t="str">
        <f t="shared" si="154"/>
        <v>Inactive</v>
      </c>
      <c r="Y1633" t="str">
        <f>IF(MAIN!$H$3="Selected Year",IF(A1633=MAIN!$B$3,"Yes","No"),IF(MAIN!$H$3="Included Years",IF(D1633="Yes","Yes","No"),IF(C1633="Yes","Yes","No")))</f>
        <v>No</v>
      </c>
      <c r="Z1633" t="str">
        <f>IF(MAIN!$F$3="Project to Date",IF(AND(A1633&gt;=SETTINGS!$B$4,A1633&lt;MAIN!$B$3),"Yes",IF(AND(A1633=MAIN!$B$3,E1633&lt;=MAIN!$L$3),"Yes","No")),IF(OR(MAIN!$F$3="Full Year",MAIN!$D$3="All"),"Yes",IF(MAIN!$F$3="Monthly",IF(E1633=MAIN!$L$3,"Yes","No"),IF(E1633&lt;=MAIN!$L$3,"Yes","No"))))</f>
        <v>Yes</v>
      </c>
      <c r="AA1633" t="str">
        <f t="shared" si="155"/>
        <v>No</v>
      </c>
    </row>
    <row r="1634" spans="1:27" x14ac:dyDescent="0.3">
      <c r="A1634">
        <f>INDEX(SETTINGS!$A$15:$A$24,$B1634)</f>
        <v>2032</v>
      </c>
      <c r="B1634">
        <v>8</v>
      </c>
      <c r="C1634" t="str">
        <f>IF(AND(A1634&gt;=SETTINGS!$B$4,A1634&lt;=SETTINGS!$B$5),"Yes","No")</f>
        <v>No</v>
      </c>
      <c r="D1634" t="str">
        <f>IFERROR(INDEX(SETTINGS!$C$15:$C$24,MATCH(A1634,SETTINGS!$A$15:$A$24,0)),"No")</f>
        <v>No</v>
      </c>
      <c r="E1634">
        <v>2</v>
      </c>
      <c r="F1634" t="s">
        <v>35</v>
      </c>
      <c r="G1634">
        <v>53</v>
      </c>
      <c r="H1634" t="s">
        <v>111</v>
      </c>
      <c r="I1634" t="s">
        <v>30</v>
      </c>
      <c r="J1634" t="s">
        <v>32</v>
      </c>
      <c r="K1634" t="s">
        <v>3</v>
      </c>
      <c r="L1634" s="36">
        <f ca="1">IF(C1634&lt;&gt;"Yes",0,IF(A1634=2025,N('2025'!D53),IF(A1634=2026,N('2026'!D53),IF(A1634=2027,N('2027'!D53),IF(A1634=2028,N('2028'!D53),IF(A1634=2029,N('2029'!D53),IF(A1634=2030,N('2030'!D53),IF(A1634=2031,N('2031'!D53),IF(A1634=2032,N('2032'!D53),IF(A1634=2033,N('2033'!D53),IF(A1634=2034,N('2034'!D53),IFERROR(N(INDIRECT("'"&amp;A1634&amp;"'!D"&amp;G1634)),0))))))))))))</f>
        <v>0</v>
      </c>
      <c r="M1634" s="36">
        <f>IFERROR(IF(NOT(ISBLANK(KPI_TARGETS!$N$22)),KPI_TARGETS!$N$22,IF(NOT(ISBLANK(KPI_TARGETS!$F$22)),KPI_TARGETS!$F$22,"")),"")</f>
        <v>1</v>
      </c>
      <c r="N1634" s="36" t="str">
        <f>IFERROR(KPI_TARGETS!$E$22,"Higher is better")</f>
        <v>Higher is better</v>
      </c>
      <c r="O1634" s="37">
        <f t="shared" ca="1" si="150"/>
        <v>0</v>
      </c>
      <c r="P1634" t="str">
        <f t="shared" ca="1" si="151"/>
        <v>Red</v>
      </c>
      <c r="Q1634" s="36">
        <f t="shared" ca="1" si="152"/>
        <v>-1</v>
      </c>
      <c r="R1634" s="36" t="str">
        <f>""</f>
        <v/>
      </c>
      <c r="S1634" s="36" t="str">
        <f>""</f>
        <v/>
      </c>
      <c r="T1634" s="36" t="str">
        <f>""</f>
        <v/>
      </c>
      <c r="U1634" s="36" t="str">
        <f>""</f>
        <v/>
      </c>
      <c r="V1634" s="36" t="str">
        <f>""</f>
        <v/>
      </c>
      <c r="W1634" s="36">
        <f t="shared" si="153"/>
        <v>1</v>
      </c>
      <c r="X1634" t="str">
        <f t="shared" si="154"/>
        <v>Inactive</v>
      </c>
      <c r="Y1634" t="str">
        <f>IF(MAIN!$H$3="Selected Year",IF(A1634=MAIN!$B$3,"Yes","No"),IF(MAIN!$H$3="Included Years",IF(D1634="Yes","Yes","No"),IF(C1634="Yes","Yes","No")))</f>
        <v>No</v>
      </c>
      <c r="Z1634" t="str">
        <f>IF(MAIN!$F$3="Project to Date",IF(AND(A1634&gt;=SETTINGS!$B$4,A1634&lt;MAIN!$B$3),"Yes",IF(AND(A1634=MAIN!$B$3,E1634&lt;=MAIN!$L$3),"Yes","No")),IF(OR(MAIN!$F$3="Full Year",MAIN!$D$3="All"),"Yes",IF(MAIN!$F$3="Monthly",IF(E1634=MAIN!$L$3,"Yes","No"),IF(E1634&lt;=MAIN!$L$3,"Yes","No"))))</f>
        <v>Yes</v>
      </c>
      <c r="AA1634" t="str">
        <f t="shared" si="155"/>
        <v>No</v>
      </c>
    </row>
    <row r="1635" spans="1:27" x14ac:dyDescent="0.3">
      <c r="A1635">
        <f>INDEX(SETTINGS!$A$15:$A$24,$B1635)</f>
        <v>2032</v>
      </c>
      <c r="B1635">
        <v>8</v>
      </c>
      <c r="C1635" t="str">
        <f>IF(AND(A1635&gt;=SETTINGS!$B$4,A1635&lt;=SETTINGS!$B$5),"Yes","No")</f>
        <v>No</v>
      </c>
      <c r="D1635" t="str">
        <f>IFERROR(INDEX(SETTINGS!$C$15:$C$24,MATCH(A1635,SETTINGS!$A$15:$A$24,0)),"No")</f>
        <v>No</v>
      </c>
      <c r="E1635">
        <v>2</v>
      </c>
      <c r="F1635" t="s">
        <v>35</v>
      </c>
      <c r="G1635">
        <v>54</v>
      </c>
      <c r="H1635" t="s">
        <v>112</v>
      </c>
      <c r="I1635" t="s">
        <v>30</v>
      </c>
      <c r="J1635" t="s">
        <v>33</v>
      </c>
      <c r="K1635" t="s">
        <v>34</v>
      </c>
      <c r="L1635" s="36">
        <f ca="1">IF(C1635&lt;&gt;"Yes",0,IF(A1635=2025,N('2025'!D54),IF(A1635=2026,N('2026'!D54),IF(A1635=2027,N('2027'!D54),IF(A1635=2028,N('2028'!D54),IF(A1635=2029,N('2029'!D54),IF(A1635=2030,N('2030'!D54),IF(A1635=2031,N('2031'!D54),IF(A1635=2032,N('2032'!D54),IF(A1635=2033,N('2033'!D54),IF(A1635=2034,N('2034'!D54),IFERROR(N(INDIRECT("'"&amp;A1635&amp;"'!D"&amp;G1635)),0))))))))))))</f>
        <v>0</v>
      </c>
      <c r="M1635" s="36">
        <f>IFERROR(IF(NOT(ISBLANK(KPI_TARGETS!$N$23)),KPI_TARGETS!$N$23,IF(NOT(ISBLANK(KPI_TARGETS!$F$23)),KPI_TARGETS!$F$23,"")),"")</f>
        <v>1</v>
      </c>
      <c r="N1635" s="36" t="str">
        <f>IFERROR(KPI_TARGETS!$E$23,"Higher is better")</f>
        <v>Higher is better</v>
      </c>
      <c r="O1635" s="37">
        <f t="shared" ca="1" si="150"/>
        <v>0</v>
      </c>
      <c r="P1635" t="str">
        <f t="shared" ca="1" si="151"/>
        <v>Red</v>
      </c>
      <c r="Q1635" s="36">
        <f t="shared" ca="1" si="152"/>
        <v>-1</v>
      </c>
      <c r="R1635" s="36" t="str">
        <f>""</f>
        <v/>
      </c>
      <c r="S1635" s="36" t="str">
        <f>""</f>
        <v/>
      </c>
      <c r="T1635" s="36" t="str">
        <f>""</f>
        <v/>
      </c>
      <c r="U1635" s="36" t="str">
        <f>""</f>
        <v/>
      </c>
      <c r="V1635" s="36" t="str">
        <f>""</f>
        <v/>
      </c>
      <c r="W1635" s="36">
        <f t="shared" si="153"/>
        <v>1</v>
      </c>
      <c r="X1635" t="str">
        <f t="shared" si="154"/>
        <v>Inactive</v>
      </c>
      <c r="Y1635" t="str">
        <f>IF(MAIN!$H$3="Selected Year",IF(A1635=MAIN!$B$3,"Yes","No"),IF(MAIN!$H$3="Included Years",IF(D1635="Yes","Yes","No"),IF(C1635="Yes","Yes","No")))</f>
        <v>No</v>
      </c>
      <c r="Z1635" t="str">
        <f>IF(MAIN!$F$3="Project to Date",IF(AND(A1635&gt;=SETTINGS!$B$4,A1635&lt;MAIN!$B$3),"Yes",IF(AND(A1635=MAIN!$B$3,E1635&lt;=MAIN!$L$3),"Yes","No")),IF(OR(MAIN!$F$3="Full Year",MAIN!$D$3="All"),"Yes",IF(MAIN!$F$3="Monthly",IF(E1635=MAIN!$L$3,"Yes","No"),IF(E1635&lt;=MAIN!$L$3,"Yes","No"))))</f>
        <v>Yes</v>
      </c>
      <c r="AA1635" t="str">
        <f t="shared" si="155"/>
        <v>No</v>
      </c>
    </row>
    <row r="1636" spans="1:27" x14ac:dyDescent="0.3">
      <c r="A1636">
        <f>INDEX(SETTINGS!$A$15:$A$24,$B1636)</f>
        <v>2032</v>
      </c>
      <c r="B1636">
        <v>8</v>
      </c>
      <c r="C1636" t="str">
        <f>IF(AND(A1636&gt;=SETTINGS!$B$4,A1636&lt;=SETTINGS!$B$5),"Yes","No")</f>
        <v>No</v>
      </c>
      <c r="D1636" t="str">
        <f>IFERROR(INDEX(SETTINGS!$C$15:$C$24,MATCH(A1636,SETTINGS!$A$15:$A$24,0)),"No")</f>
        <v>No</v>
      </c>
      <c r="E1636">
        <v>3</v>
      </c>
      <c r="F1636" t="s">
        <v>36</v>
      </c>
      <c r="G1636">
        <v>57</v>
      </c>
      <c r="H1636" t="s">
        <v>88</v>
      </c>
      <c r="I1636" t="s">
        <v>89</v>
      </c>
      <c r="J1636" t="s">
        <v>10</v>
      </c>
      <c r="K1636" t="s">
        <v>3</v>
      </c>
      <c r="L1636" s="36">
        <f ca="1">IF(C1636&lt;&gt;"Yes",0,IF(A1636=2025,N('2025'!D57),IF(A1636=2026,N('2026'!D57),IF(A1636=2027,N('2027'!D57),IF(A1636=2028,N('2028'!D57),IF(A1636=2029,N('2029'!D57),IF(A1636=2030,N('2030'!D57),IF(A1636=2031,N('2031'!D57),IF(A1636=2032,N('2032'!D57),IF(A1636=2033,N('2033'!D57),IF(A1636=2034,N('2034'!D57),IFERROR(N(INDIRECT("'"&amp;A1636&amp;"'!D"&amp;G1636)),0))))))))))))</f>
        <v>0</v>
      </c>
      <c r="M1636" s="36">
        <f>IFERROR(IF(NOT(ISBLANK(KPI_TARGETS!$N$5)),KPI_TARGETS!$N$5,IF(NOT(ISBLANK(KPI_TARGETS!$F$5)),KPI_TARGETS!$F$5,"")),"")</f>
        <v>104</v>
      </c>
      <c r="N1636" s="36" t="str">
        <f>IFERROR(KPI_TARGETS!$E$5,"Higher is better")</f>
        <v>Higher is better</v>
      </c>
      <c r="O1636" s="37">
        <f t="shared" ca="1" si="150"/>
        <v>0</v>
      </c>
      <c r="P1636" t="str">
        <f t="shared" ca="1" si="151"/>
        <v>Red</v>
      </c>
      <c r="Q1636" s="36">
        <f t="shared" ca="1" si="152"/>
        <v>-104</v>
      </c>
      <c r="R1636" s="36" t="str">
        <f>""</f>
        <v/>
      </c>
      <c r="S1636" s="36" t="str">
        <f>""</f>
        <v/>
      </c>
      <c r="T1636" s="36" t="str">
        <f>""</f>
        <v/>
      </c>
      <c r="U1636" s="36" t="str">
        <f>""</f>
        <v/>
      </c>
      <c r="V1636" s="36" t="str">
        <f>""</f>
        <v/>
      </c>
      <c r="W1636" s="36">
        <f t="shared" si="153"/>
        <v>1</v>
      </c>
      <c r="X1636" t="str">
        <f t="shared" si="154"/>
        <v>Inactive</v>
      </c>
      <c r="Y1636" t="str">
        <f>IF(MAIN!$H$3="Selected Year",IF(A1636=MAIN!$B$3,"Yes","No"),IF(MAIN!$H$3="Included Years",IF(D1636="Yes","Yes","No"),IF(C1636="Yes","Yes","No")))</f>
        <v>No</v>
      </c>
      <c r="Z1636" t="str">
        <f>IF(MAIN!$F$3="Project to Date",IF(AND(A1636&gt;=SETTINGS!$B$4,A1636&lt;MAIN!$B$3),"Yes",IF(AND(A1636=MAIN!$B$3,E1636&lt;=MAIN!$L$3),"Yes","No")),IF(OR(MAIN!$F$3="Full Year",MAIN!$D$3="All"),"Yes",IF(MAIN!$F$3="Monthly",IF(E1636=MAIN!$L$3,"Yes","No"),IF(E1636&lt;=MAIN!$L$3,"Yes","No"))))</f>
        <v>Yes</v>
      </c>
      <c r="AA1636" t="str">
        <f t="shared" si="155"/>
        <v>No</v>
      </c>
    </row>
    <row r="1637" spans="1:27" x14ac:dyDescent="0.3">
      <c r="A1637">
        <f>INDEX(SETTINGS!$A$15:$A$24,$B1637)</f>
        <v>2032</v>
      </c>
      <c r="B1637">
        <v>8</v>
      </c>
      <c r="C1637" t="str">
        <f>IF(AND(A1637&gt;=SETTINGS!$B$4,A1637&lt;=SETTINGS!$B$5),"Yes","No")</f>
        <v>No</v>
      </c>
      <c r="D1637" t="str">
        <f>IFERROR(INDEX(SETTINGS!$C$15:$C$24,MATCH(A1637,SETTINGS!$A$15:$A$24,0)),"No")</f>
        <v>No</v>
      </c>
      <c r="E1637">
        <v>3</v>
      </c>
      <c r="F1637" t="s">
        <v>36</v>
      </c>
      <c r="G1637">
        <v>58</v>
      </c>
      <c r="H1637" t="s">
        <v>91</v>
      </c>
      <c r="I1637" t="s">
        <v>89</v>
      </c>
      <c r="J1637" t="s">
        <v>11</v>
      </c>
      <c r="K1637" t="s">
        <v>12</v>
      </c>
      <c r="L1637" s="36">
        <f ca="1">IF(C1637&lt;&gt;"Yes",0,IF(A1637=2025,N('2025'!D58),IF(A1637=2026,N('2026'!D58),IF(A1637=2027,N('2027'!D58),IF(A1637=2028,N('2028'!D58),IF(A1637=2029,N('2029'!D58),IF(A1637=2030,N('2030'!D58),IF(A1637=2031,N('2031'!D58),IF(A1637=2032,N('2032'!D58),IF(A1637=2033,N('2033'!D58),IF(A1637=2034,N('2034'!D58),IFERROR(N(INDIRECT("'"&amp;A1637&amp;"'!D"&amp;G1637)),0))))))))))))</f>
        <v>0</v>
      </c>
      <c r="M1637" s="36">
        <f>IFERROR(IF(NOT(ISBLANK(KPI_TARGETS!$N$6)),KPI_TARGETS!$N$6,IF(NOT(ISBLANK(KPI_TARGETS!$F$6)),KPI_TARGETS!$F$6,"")),"")</f>
        <v>4000</v>
      </c>
      <c r="N1637" s="36" t="str">
        <f>IFERROR(KPI_TARGETS!$E$6,"Higher is better")</f>
        <v>Higher is better</v>
      </c>
      <c r="O1637" s="37">
        <f t="shared" ca="1" si="150"/>
        <v>0</v>
      </c>
      <c r="P1637" t="str">
        <f t="shared" ca="1" si="151"/>
        <v>Red</v>
      </c>
      <c r="Q1637" s="36">
        <f t="shared" ca="1" si="152"/>
        <v>-4000</v>
      </c>
      <c r="R1637" s="36" t="str">
        <f>""</f>
        <v/>
      </c>
      <c r="S1637" s="36" t="str">
        <f>""</f>
        <v/>
      </c>
      <c r="T1637" s="36" t="str">
        <f>""</f>
        <v/>
      </c>
      <c r="U1637" s="36" t="str">
        <f>""</f>
        <v/>
      </c>
      <c r="V1637" s="36" t="str">
        <f>""</f>
        <v/>
      </c>
      <c r="W1637" s="36">
        <f t="shared" si="153"/>
        <v>1</v>
      </c>
      <c r="X1637" t="str">
        <f t="shared" si="154"/>
        <v>Inactive</v>
      </c>
      <c r="Y1637" t="str">
        <f>IF(MAIN!$H$3="Selected Year",IF(A1637=MAIN!$B$3,"Yes","No"),IF(MAIN!$H$3="Included Years",IF(D1637="Yes","Yes","No"),IF(C1637="Yes","Yes","No")))</f>
        <v>No</v>
      </c>
      <c r="Z1637" t="str">
        <f>IF(MAIN!$F$3="Project to Date",IF(AND(A1637&gt;=SETTINGS!$B$4,A1637&lt;MAIN!$B$3),"Yes",IF(AND(A1637=MAIN!$B$3,E1637&lt;=MAIN!$L$3),"Yes","No")),IF(OR(MAIN!$F$3="Full Year",MAIN!$D$3="All"),"Yes",IF(MAIN!$F$3="Monthly",IF(E1637=MAIN!$L$3,"Yes","No"),IF(E1637&lt;=MAIN!$L$3,"Yes","No"))))</f>
        <v>Yes</v>
      </c>
      <c r="AA1637" t="str">
        <f t="shared" si="155"/>
        <v>No</v>
      </c>
    </row>
    <row r="1638" spans="1:27" x14ac:dyDescent="0.3">
      <c r="A1638">
        <f>INDEX(SETTINGS!$A$15:$A$24,$B1638)</f>
        <v>2032</v>
      </c>
      <c r="B1638">
        <v>8</v>
      </c>
      <c r="C1638" t="str">
        <f>IF(AND(A1638&gt;=SETTINGS!$B$4,A1638&lt;=SETTINGS!$B$5),"Yes","No")</f>
        <v>No</v>
      </c>
      <c r="D1638" t="str">
        <f>IFERROR(INDEX(SETTINGS!$C$15:$C$24,MATCH(A1638,SETTINGS!$A$15:$A$24,0)),"No")</f>
        <v>No</v>
      </c>
      <c r="E1638">
        <v>3</v>
      </c>
      <c r="F1638" t="s">
        <v>36</v>
      </c>
      <c r="G1638">
        <v>59</v>
      </c>
      <c r="H1638" t="s">
        <v>93</v>
      </c>
      <c r="I1638" t="s">
        <v>89</v>
      </c>
      <c r="J1638" t="s">
        <v>13</v>
      </c>
      <c r="K1638" t="s">
        <v>14</v>
      </c>
      <c r="L1638" s="36">
        <f ca="1">IF(C1638&lt;&gt;"Yes",0,IF(A1638=2025,N('2025'!D59),IF(A1638=2026,N('2026'!D59),IF(A1638=2027,N('2027'!D59),IF(A1638=2028,N('2028'!D59),IF(A1638=2029,N('2029'!D59),IF(A1638=2030,N('2030'!D59),IF(A1638=2031,N('2031'!D59),IF(A1638=2032,N('2032'!D59),IF(A1638=2033,N('2033'!D59),IF(A1638=2034,N('2034'!D59),IFERROR(N(INDIRECT("'"&amp;A1638&amp;"'!D"&amp;G1638)),0))))))))))))</f>
        <v>0</v>
      </c>
      <c r="M1638" s="36">
        <f>IFERROR(IF(NOT(ISBLANK(KPI_TARGETS!$N$7)),KPI_TARGETS!$N$7,IF(NOT(ISBLANK(KPI_TARGETS!$F$7)),KPI_TARGETS!$F$7,"")),"")</f>
        <v>8000</v>
      </c>
      <c r="N1638" s="36" t="str">
        <f>IFERROR(KPI_TARGETS!$E$7,"Higher is better")</f>
        <v>Higher is better</v>
      </c>
      <c r="O1638" s="37">
        <f t="shared" ca="1" si="150"/>
        <v>0</v>
      </c>
      <c r="P1638" t="str">
        <f t="shared" ca="1" si="151"/>
        <v>Red</v>
      </c>
      <c r="Q1638" s="36">
        <f t="shared" ca="1" si="152"/>
        <v>-8000</v>
      </c>
      <c r="R1638" s="36" t="str">
        <f>""</f>
        <v/>
      </c>
      <c r="S1638" s="36" t="str">
        <f>""</f>
        <v/>
      </c>
      <c r="T1638" s="36" t="str">
        <f>""</f>
        <v/>
      </c>
      <c r="U1638" s="36" t="str">
        <f>""</f>
        <v/>
      </c>
      <c r="V1638" s="36" t="str">
        <f>""</f>
        <v/>
      </c>
      <c r="W1638" s="36">
        <f t="shared" si="153"/>
        <v>1</v>
      </c>
      <c r="X1638" t="str">
        <f t="shared" si="154"/>
        <v>Inactive</v>
      </c>
      <c r="Y1638" t="str">
        <f>IF(MAIN!$H$3="Selected Year",IF(A1638=MAIN!$B$3,"Yes","No"),IF(MAIN!$H$3="Included Years",IF(D1638="Yes","Yes","No"),IF(C1638="Yes","Yes","No")))</f>
        <v>No</v>
      </c>
      <c r="Z1638" t="str">
        <f>IF(MAIN!$F$3="Project to Date",IF(AND(A1638&gt;=SETTINGS!$B$4,A1638&lt;MAIN!$B$3),"Yes",IF(AND(A1638=MAIN!$B$3,E1638&lt;=MAIN!$L$3),"Yes","No")),IF(OR(MAIN!$F$3="Full Year",MAIN!$D$3="All"),"Yes",IF(MAIN!$F$3="Monthly",IF(E1638=MAIN!$L$3,"Yes","No"),IF(E1638&lt;=MAIN!$L$3,"Yes","No"))))</f>
        <v>Yes</v>
      </c>
      <c r="AA1638" t="str">
        <f t="shared" si="155"/>
        <v>No</v>
      </c>
    </row>
    <row r="1639" spans="1:27" x14ac:dyDescent="0.3">
      <c r="A1639">
        <f>INDEX(SETTINGS!$A$15:$A$24,$B1639)</f>
        <v>2032</v>
      </c>
      <c r="B1639">
        <v>8</v>
      </c>
      <c r="C1639" t="str">
        <f>IF(AND(A1639&gt;=SETTINGS!$B$4,A1639&lt;=SETTINGS!$B$5),"Yes","No")</f>
        <v>No</v>
      </c>
      <c r="D1639" t="str">
        <f>IFERROR(INDEX(SETTINGS!$C$15:$C$24,MATCH(A1639,SETTINGS!$A$15:$A$24,0)),"No")</f>
        <v>No</v>
      </c>
      <c r="E1639">
        <v>3</v>
      </c>
      <c r="F1639" t="s">
        <v>36</v>
      </c>
      <c r="G1639">
        <v>61</v>
      </c>
      <c r="H1639" t="s">
        <v>95</v>
      </c>
      <c r="I1639" t="s">
        <v>15</v>
      </c>
      <c r="J1639" t="s">
        <v>16</v>
      </c>
      <c r="K1639" t="s">
        <v>3</v>
      </c>
      <c r="L1639" s="36">
        <f ca="1">IF(C1639&lt;&gt;"Yes",0,IF(A1639=2025,N('2025'!D61),IF(A1639=2026,N('2026'!D61),IF(A1639=2027,N('2027'!D61),IF(A1639=2028,N('2028'!D61),IF(A1639=2029,N('2029'!D61),IF(A1639=2030,N('2030'!D61),IF(A1639=2031,N('2031'!D61),IF(A1639=2032,N('2032'!D61),IF(A1639=2033,N('2033'!D61),IF(A1639=2034,N('2034'!D61),IFERROR(N(INDIRECT("'"&amp;A1639&amp;"'!D"&amp;G1639)),0))))))))))))</f>
        <v>0</v>
      </c>
      <c r="M1639" s="36">
        <f>IFERROR(IF(NOT(ISBLANK(KPI_TARGETS!$N$8)),KPI_TARGETS!$N$8,IF(NOT(ISBLANK(KPI_TARGETS!$F$8)),KPI_TARGETS!$F$8,"")),"")</f>
        <v>0</v>
      </c>
      <c r="N1639" s="36" t="str">
        <f>IFERROR(KPI_TARGETS!$E$8,"Higher is better")</f>
        <v>Lower is better</v>
      </c>
      <c r="O1639" s="37">
        <f t="shared" ca="1" si="150"/>
        <v>1</v>
      </c>
      <c r="P1639" t="str">
        <f t="shared" ca="1" si="151"/>
        <v>Green</v>
      </c>
      <c r="Q1639" s="36">
        <f t="shared" ca="1" si="152"/>
        <v>0</v>
      </c>
      <c r="R1639" s="36" t="str">
        <f>""</f>
        <v/>
      </c>
      <c r="S1639" s="36" t="str">
        <f>""</f>
        <v/>
      </c>
      <c r="T1639" s="36" t="str">
        <f>""</f>
        <v/>
      </c>
      <c r="U1639" s="36" t="str">
        <f>""</f>
        <v/>
      </c>
      <c r="V1639" s="36" t="str">
        <f>""</f>
        <v/>
      </c>
      <c r="W1639" s="36">
        <f t="shared" si="153"/>
        <v>1</v>
      </c>
      <c r="X1639" t="str">
        <f t="shared" si="154"/>
        <v>Inactive</v>
      </c>
      <c r="Y1639" t="str">
        <f>IF(MAIN!$H$3="Selected Year",IF(A1639=MAIN!$B$3,"Yes","No"),IF(MAIN!$H$3="Included Years",IF(D1639="Yes","Yes","No"),IF(C1639="Yes","Yes","No")))</f>
        <v>No</v>
      </c>
      <c r="Z1639" t="str">
        <f>IF(MAIN!$F$3="Project to Date",IF(AND(A1639&gt;=SETTINGS!$B$4,A1639&lt;MAIN!$B$3),"Yes",IF(AND(A1639=MAIN!$B$3,E1639&lt;=MAIN!$L$3),"Yes","No")),IF(OR(MAIN!$F$3="Full Year",MAIN!$D$3="All"),"Yes",IF(MAIN!$F$3="Monthly",IF(E1639=MAIN!$L$3,"Yes","No"),IF(E1639&lt;=MAIN!$L$3,"Yes","No"))))</f>
        <v>Yes</v>
      </c>
      <c r="AA1639" t="str">
        <f t="shared" si="155"/>
        <v>No</v>
      </c>
    </row>
    <row r="1640" spans="1:27" x14ac:dyDescent="0.3">
      <c r="A1640">
        <f>INDEX(SETTINGS!$A$15:$A$24,$B1640)</f>
        <v>2032</v>
      </c>
      <c r="B1640">
        <v>8</v>
      </c>
      <c r="C1640" t="str">
        <f>IF(AND(A1640&gt;=SETTINGS!$B$4,A1640&lt;=SETTINGS!$B$5),"Yes","No")</f>
        <v>No</v>
      </c>
      <c r="D1640" t="str">
        <f>IFERROR(INDEX(SETTINGS!$C$15:$C$24,MATCH(A1640,SETTINGS!$A$15:$A$24,0)),"No")</f>
        <v>No</v>
      </c>
      <c r="E1640">
        <v>3</v>
      </c>
      <c r="F1640" t="s">
        <v>36</v>
      </c>
      <c r="G1640">
        <v>62</v>
      </c>
      <c r="H1640" t="s">
        <v>97</v>
      </c>
      <c r="I1640" t="s">
        <v>15</v>
      </c>
      <c r="J1640" t="s">
        <v>17</v>
      </c>
      <c r="K1640" t="s">
        <v>3</v>
      </c>
      <c r="L1640" s="36">
        <f ca="1">IF(C1640&lt;&gt;"Yes",0,IF(A1640=2025,N('2025'!D62),IF(A1640=2026,N('2026'!D62),IF(A1640=2027,N('2027'!D62),IF(A1640=2028,N('2028'!D62),IF(A1640=2029,N('2029'!D62),IF(A1640=2030,N('2030'!D62),IF(A1640=2031,N('2031'!D62),IF(A1640=2032,N('2032'!D62),IF(A1640=2033,N('2033'!D62),IF(A1640=2034,N('2034'!D62),IFERROR(N(INDIRECT("'"&amp;A1640&amp;"'!D"&amp;G1640)),0))))))))))))</f>
        <v>0</v>
      </c>
      <c r="M1640" s="36">
        <f>IFERROR(IF(NOT(ISBLANK(KPI_TARGETS!$N$9)),KPI_TARGETS!$N$9,IF(NOT(ISBLANK(KPI_TARGETS!$F$9)),KPI_TARGETS!$F$9,"")),"")</f>
        <v>0</v>
      </c>
      <c r="N1640" s="36" t="str">
        <f>IFERROR(KPI_TARGETS!$E$9,"Higher is better")</f>
        <v>Higher is better</v>
      </c>
      <c r="O1640" s="37" t="str">
        <f t="shared" ca="1" si="150"/>
        <v/>
      </c>
      <c r="P1640" t="str">
        <f t="shared" ca="1" si="151"/>
        <v>Green</v>
      </c>
      <c r="Q1640" s="36">
        <f t="shared" ca="1" si="152"/>
        <v>0</v>
      </c>
      <c r="R1640" s="36" t="str">
        <f>""</f>
        <v/>
      </c>
      <c r="S1640" s="36" t="str">
        <f>""</f>
        <v/>
      </c>
      <c r="T1640" s="36" t="str">
        <f>""</f>
        <v/>
      </c>
      <c r="U1640" s="36" t="str">
        <f>""</f>
        <v/>
      </c>
      <c r="V1640" s="36" t="str">
        <f>""</f>
        <v/>
      </c>
      <c r="W1640" s="36">
        <f t="shared" si="153"/>
        <v>1</v>
      </c>
      <c r="X1640" t="str">
        <f t="shared" si="154"/>
        <v>Inactive</v>
      </c>
      <c r="Y1640" t="str">
        <f>IF(MAIN!$H$3="Selected Year",IF(A1640=MAIN!$B$3,"Yes","No"),IF(MAIN!$H$3="Included Years",IF(D1640="Yes","Yes","No"),IF(C1640="Yes","Yes","No")))</f>
        <v>No</v>
      </c>
      <c r="Z1640" t="str">
        <f>IF(MAIN!$F$3="Project to Date",IF(AND(A1640&gt;=SETTINGS!$B$4,A1640&lt;MAIN!$B$3),"Yes",IF(AND(A1640=MAIN!$B$3,E1640&lt;=MAIN!$L$3),"Yes","No")),IF(OR(MAIN!$F$3="Full Year",MAIN!$D$3="All"),"Yes",IF(MAIN!$F$3="Monthly",IF(E1640=MAIN!$L$3,"Yes","No"),IF(E1640&lt;=MAIN!$L$3,"Yes","No"))))</f>
        <v>Yes</v>
      </c>
      <c r="AA1640" t="str">
        <f t="shared" si="155"/>
        <v>No</v>
      </c>
    </row>
    <row r="1641" spans="1:27" x14ac:dyDescent="0.3">
      <c r="A1641">
        <f>INDEX(SETTINGS!$A$15:$A$24,$B1641)</f>
        <v>2032</v>
      </c>
      <c r="B1641">
        <v>8</v>
      </c>
      <c r="C1641" t="str">
        <f>IF(AND(A1641&gt;=SETTINGS!$B$4,A1641&lt;=SETTINGS!$B$5),"Yes","No")</f>
        <v>No</v>
      </c>
      <c r="D1641" t="str">
        <f>IFERROR(INDEX(SETTINGS!$C$15:$C$24,MATCH(A1641,SETTINGS!$A$15:$A$24,0)),"No")</f>
        <v>No</v>
      </c>
      <c r="E1641">
        <v>3</v>
      </c>
      <c r="F1641" t="s">
        <v>36</v>
      </c>
      <c r="G1641">
        <v>63</v>
      </c>
      <c r="H1641" t="s">
        <v>99</v>
      </c>
      <c r="I1641" t="s">
        <v>15</v>
      </c>
      <c r="J1641" t="s">
        <v>18</v>
      </c>
      <c r="K1641" t="s">
        <v>3</v>
      </c>
      <c r="L1641" s="36">
        <f ca="1">IF(C1641&lt;&gt;"Yes",0,IF(A1641=2025,N('2025'!D63),IF(A1641=2026,N('2026'!D63),IF(A1641=2027,N('2027'!D63),IF(A1641=2028,N('2028'!D63),IF(A1641=2029,N('2029'!D63),IF(A1641=2030,N('2030'!D63),IF(A1641=2031,N('2031'!D63),IF(A1641=2032,N('2032'!D63),IF(A1641=2033,N('2033'!D63),IF(A1641=2034,N('2034'!D63),IFERROR(N(INDIRECT("'"&amp;A1641&amp;"'!D"&amp;G1641)),0))))))))))))</f>
        <v>0</v>
      </c>
      <c r="M1641" s="36">
        <f>IFERROR(IF(NOT(ISBLANK(KPI_TARGETS!$N$10)),KPI_TARGETS!$N$10,IF(NOT(ISBLANK(KPI_TARGETS!$F$10)),KPI_TARGETS!$F$10,"")),"")</f>
        <v>0</v>
      </c>
      <c r="N1641" s="36" t="str">
        <f>IFERROR(KPI_TARGETS!$E$10,"Higher is better")</f>
        <v>Lower is better</v>
      </c>
      <c r="O1641" s="37">
        <f t="shared" ca="1" si="150"/>
        <v>1</v>
      </c>
      <c r="P1641" t="str">
        <f t="shared" ca="1" si="151"/>
        <v>Green</v>
      </c>
      <c r="Q1641" s="36">
        <f t="shared" ca="1" si="152"/>
        <v>0</v>
      </c>
      <c r="R1641" s="36" t="str">
        <f>""</f>
        <v/>
      </c>
      <c r="S1641" s="36" t="str">
        <f>""</f>
        <v/>
      </c>
      <c r="T1641" s="36" t="str">
        <f>""</f>
        <v/>
      </c>
      <c r="U1641" s="36" t="str">
        <f>""</f>
        <v/>
      </c>
      <c r="V1641" s="36" t="str">
        <f>""</f>
        <v/>
      </c>
      <c r="W1641" s="36">
        <f t="shared" si="153"/>
        <v>1</v>
      </c>
      <c r="X1641" t="str">
        <f t="shared" si="154"/>
        <v>Inactive</v>
      </c>
      <c r="Y1641" t="str">
        <f>IF(MAIN!$H$3="Selected Year",IF(A1641=MAIN!$B$3,"Yes","No"),IF(MAIN!$H$3="Included Years",IF(D1641="Yes","Yes","No"),IF(C1641="Yes","Yes","No")))</f>
        <v>No</v>
      </c>
      <c r="Z1641" t="str">
        <f>IF(MAIN!$F$3="Project to Date",IF(AND(A1641&gt;=SETTINGS!$B$4,A1641&lt;MAIN!$B$3),"Yes",IF(AND(A1641=MAIN!$B$3,E1641&lt;=MAIN!$L$3),"Yes","No")),IF(OR(MAIN!$F$3="Full Year",MAIN!$D$3="All"),"Yes",IF(MAIN!$F$3="Monthly",IF(E1641=MAIN!$L$3,"Yes","No"),IF(E1641&lt;=MAIN!$L$3,"Yes","No"))))</f>
        <v>Yes</v>
      </c>
      <c r="AA1641" t="str">
        <f t="shared" si="155"/>
        <v>No</v>
      </c>
    </row>
    <row r="1642" spans="1:27" x14ac:dyDescent="0.3">
      <c r="A1642">
        <f>INDEX(SETTINGS!$A$15:$A$24,$B1642)</f>
        <v>2032</v>
      </c>
      <c r="B1642">
        <v>8</v>
      </c>
      <c r="C1642" t="str">
        <f>IF(AND(A1642&gt;=SETTINGS!$B$4,A1642&lt;=SETTINGS!$B$5),"Yes","No")</f>
        <v>No</v>
      </c>
      <c r="D1642" t="str">
        <f>IFERROR(INDEX(SETTINGS!$C$15:$C$24,MATCH(A1642,SETTINGS!$A$15:$A$24,0)),"No")</f>
        <v>No</v>
      </c>
      <c r="E1642">
        <v>3</v>
      </c>
      <c r="F1642" t="s">
        <v>36</v>
      </c>
      <c r="G1642">
        <v>64</v>
      </c>
      <c r="H1642" t="s">
        <v>100</v>
      </c>
      <c r="I1642" t="s">
        <v>15</v>
      </c>
      <c r="J1642" t="s">
        <v>19</v>
      </c>
      <c r="K1642" t="s">
        <v>3</v>
      </c>
      <c r="L1642" s="36">
        <f ca="1">IF(C1642&lt;&gt;"Yes",0,IF(A1642=2025,N('2025'!D64),IF(A1642=2026,N('2026'!D64),IF(A1642=2027,N('2027'!D64),IF(A1642=2028,N('2028'!D64),IF(A1642=2029,N('2029'!D64),IF(A1642=2030,N('2030'!D64),IF(A1642=2031,N('2031'!D64),IF(A1642=2032,N('2032'!D64),IF(A1642=2033,N('2033'!D64),IF(A1642=2034,N('2034'!D64),IFERROR(N(INDIRECT("'"&amp;A1642&amp;"'!D"&amp;G1642)),0))))))))))))</f>
        <v>0</v>
      </c>
      <c r="M1642" s="36">
        <f>IFERROR(IF(NOT(ISBLANK(KPI_TARGETS!$N$11)),KPI_TARGETS!$N$11,IF(NOT(ISBLANK(KPI_TARGETS!$F$11)),KPI_TARGETS!$F$11,"")),"")</f>
        <v>0</v>
      </c>
      <c r="N1642" s="36" t="str">
        <f>IFERROR(KPI_TARGETS!$E$11,"Higher is better")</f>
        <v>Lower is better</v>
      </c>
      <c r="O1642" s="37">
        <f t="shared" ca="1" si="150"/>
        <v>1</v>
      </c>
      <c r="P1642" t="str">
        <f t="shared" ca="1" si="151"/>
        <v>Green</v>
      </c>
      <c r="Q1642" s="36">
        <f t="shared" ca="1" si="152"/>
        <v>0</v>
      </c>
      <c r="R1642" s="36" t="str">
        <f>""</f>
        <v/>
      </c>
      <c r="S1642" s="36" t="str">
        <f>""</f>
        <v/>
      </c>
      <c r="T1642" s="36" t="str">
        <f>""</f>
        <v/>
      </c>
      <c r="U1642" s="36" t="str">
        <f>""</f>
        <v/>
      </c>
      <c r="V1642" s="36" t="str">
        <f>""</f>
        <v/>
      </c>
      <c r="W1642" s="36">
        <f t="shared" si="153"/>
        <v>1</v>
      </c>
      <c r="X1642" t="str">
        <f t="shared" si="154"/>
        <v>Inactive</v>
      </c>
      <c r="Y1642" t="str">
        <f>IF(MAIN!$H$3="Selected Year",IF(A1642=MAIN!$B$3,"Yes","No"),IF(MAIN!$H$3="Included Years",IF(D1642="Yes","Yes","No"),IF(C1642="Yes","Yes","No")))</f>
        <v>No</v>
      </c>
      <c r="Z1642" t="str">
        <f>IF(MAIN!$F$3="Project to Date",IF(AND(A1642&gt;=SETTINGS!$B$4,A1642&lt;MAIN!$B$3),"Yes",IF(AND(A1642=MAIN!$B$3,E1642&lt;=MAIN!$L$3),"Yes","No")),IF(OR(MAIN!$F$3="Full Year",MAIN!$D$3="All"),"Yes",IF(MAIN!$F$3="Monthly",IF(E1642=MAIN!$L$3,"Yes","No"),IF(E1642&lt;=MAIN!$L$3,"Yes","No"))))</f>
        <v>Yes</v>
      </c>
      <c r="AA1642" t="str">
        <f t="shared" si="155"/>
        <v>No</v>
      </c>
    </row>
    <row r="1643" spans="1:27" x14ac:dyDescent="0.3">
      <c r="A1643">
        <f>INDEX(SETTINGS!$A$15:$A$24,$B1643)</f>
        <v>2032</v>
      </c>
      <c r="B1643">
        <v>8</v>
      </c>
      <c r="C1643" t="str">
        <f>IF(AND(A1643&gt;=SETTINGS!$B$4,A1643&lt;=SETTINGS!$B$5),"Yes","No")</f>
        <v>No</v>
      </c>
      <c r="D1643" t="str">
        <f>IFERROR(INDEX(SETTINGS!$C$15:$C$24,MATCH(A1643,SETTINGS!$A$15:$A$24,0)),"No")</f>
        <v>No</v>
      </c>
      <c r="E1643">
        <v>3</v>
      </c>
      <c r="F1643" t="s">
        <v>36</v>
      </c>
      <c r="G1643">
        <v>65</v>
      </c>
      <c r="H1643" t="s">
        <v>101</v>
      </c>
      <c r="I1643" t="s">
        <v>15</v>
      </c>
      <c r="J1643" t="s">
        <v>20</v>
      </c>
      <c r="K1643" t="s">
        <v>3</v>
      </c>
      <c r="L1643" s="36">
        <f ca="1">IF(C1643&lt;&gt;"Yes",0,IF(A1643=2025,N('2025'!D65),IF(A1643=2026,N('2026'!D65),IF(A1643=2027,N('2027'!D65),IF(A1643=2028,N('2028'!D65),IF(A1643=2029,N('2029'!D65),IF(A1643=2030,N('2030'!D65),IF(A1643=2031,N('2031'!D65),IF(A1643=2032,N('2032'!D65),IF(A1643=2033,N('2033'!D65),IF(A1643=2034,N('2034'!D65),IFERROR(N(INDIRECT("'"&amp;A1643&amp;"'!D"&amp;G1643)),0))))))))))))</f>
        <v>0</v>
      </c>
      <c r="M1643" s="36">
        <f>IFERROR(IF(NOT(ISBLANK(KPI_TARGETS!$N$12)),KPI_TARGETS!$N$12,IF(NOT(ISBLANK(KPI_TARGETS!$F$12)),KPI_TARGETS!$F$12,"")),"")</f>
        <v>0</v>
      </c>
      <c r="N1643" s="36" t="str">
        <f>IFERROR(KPI_TARGETS!$E$12,"Higher is better")</f>
        <v>Lower is better</v>
      </c>
      <c r="O1643" s="37">
        <f t="shared" ca="1" si="150"/>
        <v>1</v>
      </c>
      <c r="P1643" t="str">
        <f t="shared" ca="1" si="151"/>
        <v>Green</v>
      </c>
      <c r="Q1643" s="36">
        <f t="shared" ca="1" si="152"/>
        <v>0</v>
      </c>
      <c r="R1643" s="36" t="str">
        <f>""</f>
        <v/>
      </c>
      <c r="S1643" s="36" t="str">
        <f>""</f>
        <v/>
      </c>
      <c r="T1643" s="36" t="str">
        <f>""</f>
        <v/>
      </c>
      <c r="U1643" s="36" t="str">
        <f>""</f>
        <v/>
      </c>
      <c r="V1643" s="36" t="str">
        <f>""</f>
        <v/>
      </c>
      <c r="W1643" s="36">
        <f t="shared" si="153"/>
        <v>1</v>
      </c>
      <c r="X1643" t="str">
        <f t="shared" si="154"/>
        <v>Inactive</v>
      </c>
      <c r="Y1643" t="str">
        <f>IF(MAIN!$H$3="Selected Year",IF(A1643=MAIN!$B$3,"Yes","No"),IF(MAIN!$H$3="Included Years",IF(D1643="Yes","Yes","No"),IF(C1643="Yes","Yes","No")))</f>
        <v>No</v>
      </c>
      <c r="Z1643" t="str">
        <f>IF(MAIN!$F$3="Project to Date",IF(AND(A1643&gt;=SETTINGS!$B$4,A1643&lt;MAIN!$B$3),"Yes",IF(AND(A1643=MAIN!$B$3,E1643&lt;=MAIN!$L$3),"Yes","No")),IF(OR(MAIN!$F$3="Full Year",MAIN!$D$3="All"),"Yes",IF(MAIN!$F$3="Monthly",IF(E1643=MAIN!$L$3,"Yes","No"),IF(E1643&lt;=MAIN!$L$3,"Yes","No"))))</f>
        <v>Yes</v>
      </c>
      <c r="AA1643" t="str">
        <f t="shared" si="155"/>
        <v>No</v>
      </c>
    </row>
    <row r="1644" spans="1:27" x14ac:dyDescent="0.3">
      <c r="A1644">
        <f>INDEX(SETTINGS!$A$15:$A$24,$B1644)</f>
        <v>2032</v>
      </c>
      <c r="B1644">
        <v>8</v>
      </c>
      <c r="C1644" t="str">
        <f>IF(AND(A1644&gt;=SETTINGS!$B$4,A1644&lt;=SETTINGS!$B$5),"Yes","No")</f>
        <v>No</v>
      </c>
      <c r="D1644" t="str">
        <f>IFERROR(INDEX(SETTINGS!$C$15:$C$24,MATCH(A1644,SETTINGS!$A$15:$A$24,0)),"No")</f>
        <v>No</v>
      </c>
      <c r="E1644">
        <v>3</v>
      </c>
      <c r="F1644" t="s">
        <v>36</v>
      </c>
      <c r="G1644">
        <v>66</v>
      </c>
      <c r="H1644" t="s">
        <v>102</v>
      </c>
      <c r="I1644" t="s">
        <v>15</v>
      </c>
      <c r="J1644" t="s">
        <v>21</v>
      </c>
      <c r="K1644" t="s">
        <v>3</v>
      </c>
      <c r="L1644" s="36">
        <f ca="1">IF(C1644&lt;&gt;"Yes",0,IF(A1644=2025,N('2025'!D66),IF(A1644=2026,N('2026'!D66),IF(A1644=2027,N('2027'!D66),IF(A1644=2028,N('2028'!D66),IF(A1644=2029,N('2029'!D66),IF(A1644=2030,N('2030'!D66),IF(A1644=2031,N('2031'!D66),IF(A1644=2032,N('2032'!D66),IF(A1644=2033,N('2033'!D66),IF(A1644=2034,N('2034'!D66),IFERROR(N(INDIRECT("'"&amp;A1644&amp;"'!D"&amp;G1644)),0))))))))))))</f>
        <v>0</v>
      </c>
      <c r="M1644" s="36">
        <f>IFERROR(IF(NOT(ISBLANK(KPI_TARGETS!$N$13)),KPI_TARGETS!$N$13,IF(NOT(ISBLANK(KPI_TARGETS!$F$13)),KPI_TARGETS!$F$13,"")),"")</f>
        <v>0</v>
      </c>
      <c r="N1644" s="36" t="str">
        <f>IFERROR(KPI_TARGETS!$E$13,"Higher is better")</f>
        <v>Lower is better</v>
      </c>
      <c r="O1644" s="37">
        <f t="shared" ca="1" si="150"/>
        <v>1</v>
      </c>
      <c r="P1644" t="str">
        <f t="shared" ca="1" si="151"/>
        <v>Green</v>
      </c>
      <c r="Q1644" s="36">
        <f t="shared" ca="1" si="152"/>
        <v>0</v>
      </c>
      <c r="R1644" s="36" t="str">
        <f>""</f>
        <v/>
      </c>
      <c r="S1644" s="36" t="str">
        <f>""</f>
        <v/>
      </c>
      <c r="T1644" s="36" t="str">
        <f>""</f>
        <v/>
      </c>
      <c r="U1644" s="36" t="str">
        <f>""</f>
        <v/>
      </c>
      <c r="V1644" s="36" t="str">
        <f>""</f>
        <v/>
      </c>
      <c r="W1644" s="36">
        <f t="shared" si="153"/>
        <v>1</v>
      </c>
      <c r="X1644" t="str">
        <f t="shared" si="154"/>
        <v>Inactive</v>
      </c>
      <c r="Y1644" t="str">
        <f>IF(MAIN!$H$3="Selected Year",IF(A1644=MAIN!$B$3,"Yes","No"),IF(MAIN!$H$3="Included Years",IF(D1644="Yes","Yes","No"),IF(C1644="Yes","Yes","No")))</f>
        <v>No</v>
      </c>
      <c r="Z1644" t="str">
        <f>IF(MAIN!$F$3="Project to Date",IF(AND(A1644&gt;=SETTINGS!$B$4,A1644&lt;MAIN!$B$3),"Yes",IF(AND(A1644=MAIN!$B$3,E1644&lt;=MAIN!$L$3),"Yes","No")),IF(OR(MAIN!$F$3="Full Year",MAIN!$D$3="All"),"Yes",IF(MAIN!$F$3="Monthly",IF(E1644=MAIN!$L$3,"Yes","No"),IF(E1644&lt;=MAIN!$L$3,"Yes","No"))))</f>
        <v>Yes</v>
      </c>
      <c r="AA1644" t="str">
        <f t="shared" si="155"/>
        <v>No</v>
      </c>
    </row>
    <row r="1645" spans="1:27" x14ac:dyDescent="0.3">
      <c r="A1645">
        <f>INDEX(SETTINGS!$A$15:$A$24,$B1645)</f>
        <v>2032</v>
      </c>
      <c r="B1645">
        <v>8</v>
      </c>
      <c r="C1645" t="str">
        <f>IF(AND(A1645&gt;=SETTINGS!$B$4,A1645&lt;=SETTINGS!$B$5),"Yes","No")</f>
        <v>No</v>
      </c>
      <c r="D1645" t="str">
        <f>IFERROR(INDEX(SETTINGS!$C$15:$C$24,MATCH(A1645,SETTINGS!$A$15:$A$24,0)),"No")</f>
        <v>No</v>
      </c>
      <c r="E1645">
        <v>3</v>
      </c>
      <c r="F1645" t="s">
        <v>36</v>
      </c>
      <c r="G1645">
        <v>68</v>
      </c>
      <c r="H1645" t="s">
        <v>103</v>
      </c>
      <c r="I1645" t="s">
        <v>22</v>
      </c>
      <c r="J1645" t="s">
        <v>23</v>
      </c>
      <c r="K1645" t="s">
        <v>3</v>
      </c>
      <c r="L1645" s="36">
        <f ca="1">IF(C1645&lt;&gt;"Yes",0,IF(A1645=2025,N('2025'!D68),IF(A1645=2026,N('2026'!D68),IF(A1645=2027,N('2027'!D68),IF(A1645=2028,N('2028'!D68),IF(A1645=2029,N('2029'!D68),IF(A1645=2030,N('2030'!D68),IF(A1645=2031,N('2031'!D68),IF(A1645=2032,N('2032'!D68),IF(A1645=2033,N('2033'!D68),IF(A1645=2034,N('2034'!D68),IFERROR(N(INDIRECT("'"&amp;A1645&amp;"'!D"&amp;G1645)),0))))))))))))</f>
        <v>0</v>
      </c>
      <c r="M1645" s="36">
        <f>IFERROR(IF(NOT(ISBLANK(KPI_TARGETS!$N$14)),KPI_TARGETS!$N$14,IF(NOT(ISBLANK(KPI_TARGETS!$F$14)),KPI_TARGETS!$F$14,"")),"")</f>
        <v>35</v>
      </c>
      <c r="N1645" s="36" t="str">
        <f>IFERROR(KPI_TARGETS!$E$14,"Higher is better")</f>
        <v>Higher is better</v>
      </c>
      <c r="O1645" s="37">
        <f t="shared" ca="1" si="150"/>
        <v>0</v>
      </c>
      <c r="P1645" t="str">
        <f t="shared" ca="1" si="151"/>
        <v>Red</v>
      </c>
      <c r="Q1645" s="36">
        <f t="shared" ca="1" si="152"/>
        <v>-35</v>
      </c>
      <c r="R1645" s="36" t="str">
        <f>""</f>
        <v/>
      </c>
      <c r="S1645" s="36" t="str">
        <f>""</f>
        <v/>
      </c>
      <c r="T1645" s="36" t="str">
        <f>""</f>
        <v/>
      </c>
      <c r="U1645" s="36" t="str">
        <f>""</f>
        <v/>
      </c>
      <c r="V1645" s="36" t="str">
        <f>""</f>
        <v/>
      </c>
      <c r="W1645" s="36">
        <f t="shared" si="153"/>
        <v>1</v>
      </c>
      <c r="X1645" t="str">
        <f t="shared" si="154"/>
        <v>Inactive</v>
      </c>
      <c r="Y1645" t="str">
        <f>IF(MAIN!$H$3="Selected Year",IF(A1645=MAIN!$B$3,"Yes","No"),IF(MAIN!$H$3="Included Years",IF(D1645="Yes","Yes","No"),IF(C1645="Yes","Yes","No")))</f>
        <v>No</v>
      </c>
      <c r="Z1645" t="str">
        <f>IF(MAIN!$F$3="Project to Date",IF(AND(A1645&gt;=SETTINGS!$B$4,A1645&lt;MAIN!$B$3),"Yes",IF(AND(A1645=MAIN!$B$3,E1645&lt;=MAIN!$L$3),"Yes","No")),IF(OR(MAIN!$F$3="Full Year",MAIN!$D$3="All"),"Yes",IF(MAIN!$F$3="Monthly",IF(E1645=MAIN!$L$3,"Yes","No"),IF(E1645&lt;=MAIN!$L$3,"Yes","No"))))</f>
        <v>Yes</v>
      </c>
      <c r="AA1645" t="str">
        <f t="shared" si="155"/>
        <v>No</v>
      </c>
    </row>
    <row r="1646" spans="1:27" x14ac:dyDescent="0.3">
      <c r="A1646">
        <f>INDEX(SETTINGS!$A$15:$A$24,$B1646)</f>
        <v>2032</v>
      </c>
      <c r="B1646">
        <v>8</v>
      </c>
      <c r="C1646" t="str">
        <f>IF(AND(A1646&gt;=SETTINGS!$B$4,A1646&lt;=SETTINGS!$B$5),"Yes","No")</f>
        <v>No</v>
      </c>
      <c r="D1646" t="str">
        <f>IFERROR(INDEX(SETTINGS!$C$15:$C$24,MATCH(A1646,SETTINGS!$A$15:$A$24,0)),"No")</f>
        <v>No</v>
      </c>
      <c r="E1646">
        <v>3</v>
      </c>
      <c r="F1646" t="s">
        <v>36</v>
      </c>
      <c r="G1646">
        <v>69</v>
      </c>
      <c r="H1646" t="s">
        <v>104</v>
      </c>
      <c r="I1646" t="s">
        <v>22</v>
      </c>
      <c r="J1646" t="s">
        <v>24</v>
      </c>
      <c r="K1646" t="s">
        <v>3</v>
      </c>
      <c r="L1646" s="36">
        <f ca="1">IF(C1646&lt;&gt;"Yes",0,IF(A1646=2025,N('2025'!D69),IF(A1646=2026,N('2026'!D69),IF(A1646=2027,N('2027'!D69),IF(A1646=2028,N('2028'!D69),IF(A1646=2029,N('2029'!D69),IF(A1646=2030,N('2030'!D69),IF(A1646=2031,N('2031'!D69),IF(A1646=2032,N('2032'!D69),IF(A1646=2033,N('2033'!D69),IF(A1646=2034,N('2034'!D69),IFERROR(N(INDIRECT("'"&amp;A1646&amp;"'!D"&amp;G1646)),0))))))))))))</f>
        <v>0</v>
      </c>
      <c r="M1646" s="36">
        <f>IFERROR(IF(NOT(ISBLANK(KPI_TARGETS!$N$15)),KPI_TARGETS!$N$15,IF(NOT(ISBLANK(KPI_TARGETS!$F$15)),KPI_TARGETS!$F$15,"")),"")</f>
        <v>5</v>
      </c>
      <c r="N1646" s="36" t="str">
        <f>IFERROR(KPI_TARGETS!$E$15,"Higher is better")</f>
        <v>Higher is better</v>
      </c>
      <c r="O1646" s="37">
        <f t="shared" ca="1" si="150"/>
        <v>0</v>
      </c>
      <c r="P1646" t="str">
        <f t="shared" ca="1" si="151"/>
        <v>Red</v>
      </c>
      <c r="Q1646" s="36">
        <f t="shared" ca="1" si="152"/>
        <v>-5</v>
      </c>
      <c r="R1646" s="36" t="str">
        <f>""</f>
        <v/>
      </c>
      <c r="S1646" s="36" t="str">
        <f>""</f>
        <v/>
      </c>
      <c r="T1646" s="36" t="str">
        <f>""</f>
        <v/>
      </c>
      <c r="U1646" s="36" t="str">
        <f>""</f>
        <v/>
      </c>
      <c r="V1646" s="36" t="str">
        <f>""</f>
        <v/>
      </c>
      <c r="W1646" s="36">
        <f t="shared" si="153"/>
        <v>1</v>
      </c>
      <c r="X1646" t="str">
        <f t="shared" si="154"/>
        <v>Inactive</v>
      </c>
      <c r="Y1646" t="str">
        <f>IF(MAIN!$H$3="Selected Year",IF(A1646=MAIN!$B$3,"Yes","No"),IF(MAIN!$H$3="Included Years",IF(D1646="Yes","Yes","No"),IF(C1646="Yes","Yes","No")))</f>
        <v>No</v>
      </c>
      <c r="Z1646" t="str">
        <f>IF(MAIN!$F$3="Project to Date",IF(AND(A1646&gt;=SETTINGS!$B$4,A1646&lt;MAIN!$B$3),"Yes",IF(AND(A1646=MAIN!$B$3,E1646&lt;=MAIN!$L$3),"Yes","No")),IF(OR(MAIN!$F$3="Full Year",MAIN!$D$3="All"),"Yes",IF(MAIN!$F$3="Monthly",IF(E1646=MAIN!$L$3,"Yes","No"),IF(E1646&lt;=MAIN!$L$3,"Yes","No"))))</f>
        <v>Yes</v>
      </c>
      <c r="AA1646" t="str">
        <f t="shared" si="155"/>
        <v>No</v>
      </c>
    </row>
    <row r="1647" spans="1:27" x14ac:dyDescent="0.3">
      <c r="A1647">
        <f>INDEX(SETTINGS!$A$15:$A$24,$B1647)</f>
        <v>2032</v>
      </c>
      <c r="B1647">
        <v>8</v>
      </c>
      <c r="C1647" t="str">
        <f>IF(AND(A1647&gt;=SETTINGS!$B$4,A1647&lt;=SETTINGS!$B$5),"Yes","No")</f>
        <v>No</v>
      </c>
      <c r="D1647" t="str">
        <f>IFERROR(INDEX(SETTINGS!$C$15:$C$24,MATCH(A1647,SETTINGS!$A$15:$A$24,0)),"No")</f>
        <v>No</v>
      </c>
      <c r="E1647">
        <v>3</v>
      </c>
      <c r="F1647" t="s">
        <v>36</v>
      </c>
      <c r="G1647">
        <v>70</v>
      </c>
      <c r="H1647" t="s">
        <v>105</v>
      </c>
      <c r="I1647" t="s">
        <v>22</v>
      </c>
      <c r="J1647" t="s">
        <v>25</v>
      </c>
      <c r="K1647" t="s">
        <v>3</v>
      </c>
      <c r="L1647" s="36">
        <f ca="1">IF(C1647&lt;&gt;"Yes",0,IF(A1647=2025,N('2025'!D70),IF(A1647=2026,N('2026'!D70),IF(A1647=2027,N('2027'!D70),IF(A1647=2028,N('2028'!D70),IF(A1647=2029,N('2029'!D70),IF(A1647=2030,N('2030'!D70),IF(A1647=2031,N('2031'!D70),IF(A1647=2032,N('2032'!D70),IF(A1647=2033,N('2033'!D70),IF(A1647=2034,N('2034'!D70),IFERROR(N(INDIRECT("'"&amp;A1647&amp;"'!D"&amp;G1647)),0))))))))))))</f>
        <v>0</v>
      </c>
      <c r="M1647" s="36">
        <f>IFERROR(IF(NOT(ISBLANK(KPI_TARGETS!$N$16)),KPI_TARGETS!$N$16,IF(NOT(ISBLANK(KPI_TARGETS!$F$16)),KPI_TARGETS!$F$16,"")),"")</f>
        <v>4</v>
      </c>
      <c r="N1647" s="36" t="str">
        <f>IFERROR(KPI_TARGETS!$E$16,"Higher is better")</f>
        <v>Higher is better</v>
      </c>
      <c r="O1647" s="37">
        <f t="shared" ca="1" si="150"/>
        <v>0</v>
      </c>
      <c r="P1647" t="str">
        <f t="shared" ca="1" si="151"/>
        <v>Red</v>
      </c>
      <c r="Q1647" s="36">
        <f t="shared" ca="1" si="152"/>
        <v>-4</v>
      </c>
      <c r="R1647" s="36" t="str">
        <f>""</f>
        <v/>
      </c>
      <c r="S1647" s="36" t="str">
        <f>""</f>
        <v/>
      </c>
      <c r="T1647" s="36" t="str">
        <f>""</f>
        <v/>
      </c>
      <c r="U1647" s="36" t="str">
        <f>""</f>
        <v/>
      </c>
      <c r="V1647" s="36" t="str">
        <f>""</f>
        <v/>
      </c>
      <c r="W1647" s="36">
        <f t="shared" si="153"/>
        <v>1</v>
      </c>
      <c r="X1647" t="str">
        <f t="shared" si="154"/>
        <v>Inactive</v>
      </c>
      <c r="Y1647" t="str">
        <f>IF(MAIN!$H$3="Selected Year",IF(A1647=MAIN!$B$3,"Yes","No"),IF(MAIN!$H$3="Included Years",IF(D1647="Yes","Yes","No"),IF(C1647="Yes","Yes","No")))</f>
        <v>No</v>
      </c>
      <c r="Z1647" t="str">
        <f>IF(MAIN!$F$3="Project to Date",IF(AND(A1647&gt;=SETTINGS!$B$4,A1647&lt;MAIN!$B$3),"Yes",IF(AND(A1647=MAIN!$B$3,E1647&lt;=MAIN!$L$3),"Yes","No")),IF(OR(MAIN!$F$3="Full Year",MAIN!$D$3="All"),"Yes",IF(MAIN!$F$3="Monthly",IF(E1647=MAIN!$L$3,"Yes","No"),IF(E1647&lt;=MAIN!$L$3,"Yes","No"))))</f>
        <v>Yes</v>
      </c>
      <c r="AA1647" t="str">
        <f t="shared" si="155"/>
        <v>No</v>
      </c>
    </row>
    <row r="1648" spans="1:27" x14ac:dyDescent="0.3">
      <c r="A1648">
        <f>INDEX(SETTINGS!$A$15:$A$24,$B1648)</f>
        <v>2032</v>
      </c>
      <c r="B1648">
        <v>8</v>
      </c>
      <c r="C1648" t="str">
        <f>IF(AND(A1648&gt;=SETTINGS!$B$4,A1648&lt;=SETTINGS!$B$5),"Yes","No")</f>
        <v>No</v>
      </c>
      <c r="D1648" t="str">
        <f>IFERROR(INDEX(SETTINGS!$C$15:$C$24,MATCH(A1648,SETTINGS!$A$15:$A$24,0)),"No")</f>
        <v>No</v>
      </c>
      <c r="E1648">
        <v>3</v>
      </c>
      <c r="F1648" t="s">
        <v>36</v>
      </c>
      <c r="G1648">
        <v>71</v>
      </c>
      <c r="H1648" t="s">
        <v>106</v>
      </c>
      <c r="I1648" t="s">
        <v>22</v>
      </c>
      <c r="J1648" t="s">
        <v>26</v>
      </c>
      <c r="K1648" t="s">
        <v>3</v>
      </c>
      <c r="L1648" s="36">
        <f ca="1">IF(C1648&lt;&gt;"Yes",0,IF(A1648=2025,N('2025'!D71),IF(A1648=2026,N('2026'!D71),IF(A1648=2027,N('2027'!D71),IF(A1648=2028,N('2028'!D71),IF(A1648=2029,N('2029'!D71),IF(A1648=2030,N('2030'!D71),IF(A1648=2031,N('2031'!D71),IF(A1648=2032,N('2032'!D71),IF(A1648=2033,N('2033'!D71),IF(A1648=2034,N('2034'!D71),IFERROR(N(INDIRECT("'"&amp;A1648&amp;"'!D"&amp;G1648)),0))))))))))))</f>
        <v>0</v>
      </c>
      <c r="M1648" s="36">
        <f>IFERROR(IF(NOT(ISBLANK(KPI_TARGETS!$N$17)),KPI_TARGETS!$N$17,IF(NOT(ISBLANK(KPI_TARGETS!$F$17)),KPI_TARGETS!$F$17,"")),"")</f>
        <v>12</v>
      </c>
      <c r="N1648" s="36" t="str">
        <f>IFERROR(KPI_TARGETS!$E$17,"Higher is better")</f>
        <v>Higher is better</v>
      </c>
      <c r="O1648" s="37">
        <f t="shared" ca="1" si="150"/>
        <v>0</v>
      </c>
      <c r="P1648" t="str">
        <f t="shared" ca="1" si="151"/>
        <v>Red</v>
      </c>
      <c r="Q1648" s="36">
        <f t="shared" ca="1" si="152"/>
        <v>-12</v>
      </c>
      <c r="R1648" s="36" t="str">
        <f>""</f>
        <v/>
      </c>
      <c r="S1648" s="36" t="str">
        <f>""</f>
        <v/>
      </c>
      <c r="T1648" s="36" t="str">
        <f>""</f>
        <v/>
      </c>
      <c r="U1648" s="36" t="str">
        <f>""</f>
        <v/>
      </c>
      <c r="V1648" s="36" t="str">
        <f>""</f>
        <v/>
      </c>
      <c r="W1648" s="36">
        <f t="shared" si="153"/>
        <v>1</v>
      </c>
      <c r="X1648" t="str">
        <f t="shared" si="154"/>
        <v>Inactive</v>
      </c>
      <c r="Y1648" t="str">
        <f>IF(MAIN!$H$3="Selected Year",IF(A1648=MAIN!$B$3,"Yes","No"),IF(MAIN!$H$3="Included Years",IF(D1648="Yes","Yes","No"),IF(C1648="Yes","Yes","No")))</f>
        <v>No</v>
      </c>
      <c r="Z1648" t="str">
        <f>IF(MAIN!$F$3="Project to Date",IF(AND(A1648&gt;=SETTINGS!$B$4,A1648&lt;MAIN!$B$3),"Yes",IF(AND(A1648=MAIN!$B$3,E1648&lt;=MAIN!$L$3),"Yes","No")),IF(OR(MAIN!$F$3="Full Year",MAIN!$D$3="All"),"Yes",IF(MAIN!$F$3="Monthly",IF(E1648=MAIN!$L$3,"Yes","No"),IF(E1648&lt;=MAIN!$L$3,"Yes","No"))))</f>
        <v>Yes</v>
      </c>
      <c r="AA1648" t="str">
        <f t="shared" si="155"/>
        <v>No</v>
      </c>
    </row>
    <row r="1649" spans="1:27" x14ac:dyDescent="0.3">
      <c r="A1649">
        <f>INDEX(SETTINGS!$A$15:$A$24,$B1649)</f>
        <v>2032</v>
      </c>
      <c r="B1649">
        <v>8</v>
      </c>
      <c r="C1649" t="str">
        <f>IF(AND(A1649&gt;=SETTINGS!$B$4,A1649&lt;=SETTINGS!$B$5),"Yes","No")</f>
        <v>No</v>
      </c>
      <c r="D1649" t="str">
        <f>IFERROR(INDEX(SETTINGS!$C$15:$C$24,MATCH(A1649,SETTINGS!$A$15:$A$24,0)),"No")</f>
        <v>No</v>
      </c>
      <c r="E1649">
        <v>3</v>
      </c>
      <c r="F1649" t="s">
        <v>36</v>
      </c>
      <c r="G1649">
        <v>72</v>
      </c>
      <c r="H1649" t="s">
        <v>107</v>
      </c>
      <c r="I1649" t="s">
        <v>22</v>
      </c>
      <c r="J1649" t="s">
        <v>27</v>
      </c>
      <c r="K1649" t="s">
        <v>3</v>
      </c>
      <c r="L1649" s="36">
        <f ca="1">IF(C1649&lt;&gt;"Yes",0,IF(A1649=2025,N('2025'!D72),IF(A1649=2026,N('2026'!D72),IF(A1649=2027,N('2027'!D72),IF(A1649=2028,N('2028'!D72),IF(A1649=2029,N('2029'!D72),IF(A1649=2030,N('2030'!D72),IF(A1649=2031,N('2031'!D72),IF(A1649=2032,N('2032'!D72),IF(A1649=2033,N('2033'!D72),IF(A1649=2034,N('2034'!D72),IFERROR(N(INDIRECT("'"&amp;A1649&amp;"'!D"&amp;G1649)),0))))))))))))</f>
        <v>0</v>
      </c>
      <c r="M1649" s="36">
        <f>IFERROR(IF(NOT(ISBLANK(KPI_TARGETS!$N$18)),KPI_TARGETS!$N$18,IF(NOT(ISBLANK(KPI_TARGETS!$F$18)),KPI_TARGETS!$F$18,"")),"")</f>
        <v>4</v>
      </c>
      <c r="N1649" s="36" t="str">
        <f>IFERROR(KPI_TARGETS!$E$18,"Higher is better")</f>
        <v>Higher is better</v>
      </c>
      <c r="O1649" s="37">
        <f t="shared" ca="1" si="150"/>
        <v>0</v>
      </c>
      <c r="P1649" t="str">
        <f t="shared" ca="1" si="151"/>
        <v>Red</v>
      </c>
      <c r="Q1649" s="36">
        <f t="shared" ca="1" si="152"/>
        <v>-4</v>
      </c>
      <c r="R1649" s="36" t="str">
        <f>""</f>
        <v/>
      </c>
      <c r="S1649" s="36" t="str">
        <f>""</f>
        <v/>
      </c>
      <c r="T1649" s="36" t="str">
        <f>""</f>
        <v/>
      </c>
      <c r="U1649" s="36" t="str">
        <f>""</f>
        <v/>
      </c>
      <c r="V1649" s="36" t="str">
        <f>""</f>
        <v/>
      </c>
      <c r="W1649" s="36">
        <f t="shared" si="153"/>
        <v>1</v>
      </c>
      <c r="X1649" t="str">
        <f t="shared" si="154"/>
        <v>Inactive</v>
      </c>
      <c r="Y1649" t="str">
        <f>IF(MAIN!$H$3="Selected Year",IF(A1649=MAIN!$B$3,"Yes","No"),IF(MAIN!$H$3="Included Years",IF(D1649="Yes","Yes","No"),IF(C1649="Yes","Yes","No")))</f>
        <v>No</v>
      </c>
      <c r="Z1649" t="str">
        <f>IF(MAIN!$F$3="Project to Date",IF(AND(A1649&gt;=SETTINGS!$B$4,A1649&lt;MAIN!$B$3),"Yes",IF(AND(A1649=MAIN!$B$3,E1649&lt;=MAIN!$L$3),"Yes","No")),IF(OR(MAIN!$F$3="Full Year",MAIN!$D$3="All"),"Yes",IF(MAIN!$F$3="Monthly",IF(E1649=MAIN!$L$3,"Yes","No"),IF(E1649&lt;=MAIN!$L$3,"Yes","No"))))</f>
        <v>Yes</v>
      </c>
      <c r="AA1649" t="str">
        <f t="shared" si="155"/>
        <v>No</v>
      </c>
    </row>
    <row r="1650" spans="1:27" x14ac:dyDescent="0.3">
      <c r="A1650">
        <f>INDEX(SETTINGS!$A$15:$A$24,$B1650)</f>
        <v>2032</v>
      </c>
      <c r="B1650">
        <v>8</v>
      </c>
      <c r="C1650" t="str">
        <f>IF(AND(A1650&gt;=SETTINGS!$B$4,A1650&lt;=SETTINGS!$B$5),"Yes","No")</f>
        <v>No</v>
      </c>
      <c r="D1650" t="str">
        <f>IFERROR(INDEX(SETTINGS!$C$15:$C$24,MATCH(A1650,SETTINGS!$A$15:$A$24,0)),"No")</f>
        <v>No</v>
      </c>
      <c r="E1650">
        <v>3</v>
      </c>
      <c r="F1650" t="s">
        <v>36</v>
      </c>
      <c r="G1650">
        <v>73</v>
      </c>
      <c r="H1650" t="s">
        <v>108</v>
      </c>
      <c r="I1650" t="s">
        <v>22</v>
      </c>
      <c r="J1650" t="s">
        <v>28</v>
      </c>
      <c r="K1650" t="s">
        <v>3</v>
      </c>
      <c r="L1650" s="36">
        <f ca="1">IF(C1650&lt;&gt;"Yes",0,IF(A1650=2025,N('2025'!D73),IF(A1650=2026,N('2026'!D73),IF(A1650=2027,N('2027'!D73),IF(A1650=2028,N('2028'!D73),IF(A1650=2029,N('2029'!D73),IF(A1650=2030,N('2030'!D73),IF(A1650=2031,N('2031'!D73),IF(A1650=2032,N('2032'!D73),IF(A1650=2033,N('2033'!D73),IF(A1650=2034,N('2034'!D73),IFERROR(N(INDIRECT("'"&amp;A1650&amp;"'!D"&amp;G1650)),0))))))))))))</f>
        <v>0</v>
      </c>
      <c r="M1650" s="36">
        <f>IFERROR(IF(NOT(ISBLANK(KPI_TARGETS!$N$19)),KPI_TARGETS!$N$19,IF(NOT(ISBLANK(KPI_TARGETS!$F$19)),KPI_TARGETS!$F$19,"")),"")</f>
        <v>16</v>
      </c>
      <c r="N1650" s="36" t="str">
        <f>IFERROR(KPI_TARGETS!$E$19,"Higher is better")</f>
        <v>Higher is better</v>
      </c>
      <c r="O1650" s="37">
        <f t="shared" ca="1" si="150"/>
        <v>0</v>
      </c>
      <c r="P1650" t="str">
        <f t="shared" ca="1" si="151"/>
        <v>Red</v>
      </c>
      <c r="Q1650" s="36">
        <f t="shared" ca="1" si="152"/>
        <v>-16</v>
      </c>
      <c r="R1650" s="36" t="str">
        <f>""</f>
        <v/>
      </c>
      <c r="S1650" s="36" t="str">
        <f>""</f>
        <v/>
      </c>
      <c r="T1650" s="36" t="str">
        <f>""</f>
        <v/>
      </c>
      <c r="U1650" s="36" t="str">
        <f>""</f>
        <v/>
      </c>
      <c r="V1650" s="36" t="str">
        <f>""</f>
        <v/>
      </c>
      <c r="W1650" s="36">
        <f t="shared" si="153"/>
        <v>1</v>
      </c>
      <c r="X1650" t="str">
        <f t="shared" si="154"/>
        <v>Inactive</v>
      </c>
      <c r="Y1650" t="str">
        <f>IF(MAIN!$H$3="Selected Year",IF(A1650=MAIN!$B$3,"Yes","No"),IF(MAIN!$H$3="Included Years",IF(D1650="Yes","Yes","No"),IF(C1650="Yes","Yes","No")))</f>
        <v>No</v>
      </c>
      <c r="Z1650" t="str">
        <f>IF(MAIN!$F$3="Project to Date",IF(AND(A1650&gt;=SETTINGS!$B$4,A1650&lt;MAIN!$B$3),"Yes",IF(AND(A1650=MAIN!$B$3,E1650&lt;=MAIN!$L$3),"Yes","No")),IF(OR(MAIN!$F$3="Full Year",MAIN!$D$3="All"),"Yes",IF(MAIN!$F$3="Monthly",IF(E1650=MAIN!$L$3,"Yes","No"),IF(E1650&lt;=MAIN!$L$3,"Yes","No"))))</f>
        <v>Yes</v>
      </c>
      <c r="AA1650" t="str">
        <f t="shared" si="155"/>
        <v>No</v>
      </c>
    </row>
    <row r="1651" spans="1:27" x14ac:dyDescent="0.3">
      <c r="A1651">
        <f>INDEX(SETTINGS!$A$15:$A$24,$B1651)</f>
        <v>2032</v>
      </c>
      <c r="B1651">
        <v>8</v>
      </c>
      <c r="C1651" t="str">
        <f>IF(AND(A1651&gt;=SETTINGS!$B$4,A1651&lt;=SETTINGS!$B$5),"Yes","No")</f>
        <v>No</v>
      </c>
      <c r="D1651" t="str">
        <f>IFERROR(INDEX(SETTINGS!$C$15:$C$24,MATCH(A1651,SETTINGS!$A$15:$A$24,0)),"No")</f>
        <v>No</v>
      </c>
      <c r="E1651">
        <v>3</v>
      </c>
      <c r="F1651" t="s">
        <v>36</v>
      </c>
      <c r="G1651">
        <v>74</v>
      </c>
      <c r="H1651" t="s">
        <v>109</v>
      </c>
      <c r="I1651" t="s">
        <v>22</v>
      </c>
      <c r="J1651" t="s">
        <v>29</v>
      </c>
      <c r="K1651" t="s">
        <v>3</v>
      </c>
      <c r="L1651" s="36">
        <f ca="1">IF(C1651&lt;&gt;"Yes",0,IF(A1651=2025,N('2025'!D74),IF(A1651=2026,N('2026'!D74),IF(A1651=2027,N('2027'!D74),IF(A1651=2028,N('2028'!D74),IF(A1651=2029,N('2029'!D74),IF(A1651=2030,N('2030'!D74),IF(A1651=2031,N('2031'!D74),IF(A1651=2032,N('2032'!D74),IF(A1651=2033,N('2033'!D74),IF(A1651=2034,N('2034'!D74),IFERROR(N(INDIRECT("'"&amp;A1651&amp;"'!D"&amp;G1651)),0))))))))))))</f>
        <v>0</v>
      </c>
      <c r="M1651" s="36">
        <f>IFERROR(IF(NOT(ISBLANK(KPI_TARGETS!$N$20)),KPI_TARGETS!$N$20,IF(NOT(ISBLANK(KPI_TARGETS!$F$20)),KPI_TARGETS!$F$20,"")),"")</f>
        <v>1</v>
      </c>
      <c r="N1651" s="36" t="str">
        <f>IFERROR(KPI_TARGETS!$E$20,"Higher is better")</f>
        <v>Higher is better</v>
      </c>
      <c r="O1651" s="37">
        <f t="shared" ca="1" si="150"/>
        <v>0</v>
      </c>
      <c r="P1651" t="str">
        <f t="shared" ca="1" si="151"/>
        <v>Red</v>
      </c>
      <c r="Q1651" s="36">
        <f t="shared" ca="1" si="152"/>
        <v>-1</v>
      </c>
      <c r="R1651" s="36" t="str">
        <f>""</f>
        <v/>
      </c>
      <c r="S1651" s="36" t="str">
        <f>""</f>
        <v/>
      </c>
      <c r="T1651" s="36" t="str">
        <f>""</f>
        <v/>
      </c>
      <c r="U1651" s="36" t="str">
        <f>""</f>
        <v/>
      </c>
      <c r="V1651" s="36" t="str">
        <f>""</f>
        <v/>
      </c>
      <c r="W1651" s="36">
        <f t="shared" si="153"/>
        <v>1</v>
      </c>
      <c r="X1651" t="str">
        <f t="shared" si="154"/>
        <v>Inactive</v>
      </c>
      <c r="Y1651" t="str">
        <f>IF(MAIN!$H$3="Selected Year",IF(A1651=MAIN!$B$3,"Yes","No"),IF(MAIN!$H$3="Included Years",IF(D1651="Yes","Yes","No"),IF(C1651="Yes","Yes","No")))</f>
        <v>No</v>
      </c>
      <c r="Z1651" t="str">
        <f>IF(MAIN!$F$3="Project to Date",IF(AND(A1651&gt;=SETTINGS!$B$4,A1651&lt;MAIN!$B$3),"Yes",IF(AND(A1651=MAIN!$B$3,E1651&lt;=MAIN!$L$3),"Yes","No")),IF(OR(MAIN!$F$3="Full Year",MAIN!$D$3="All"),"Yes",IF(MAIN!$F$3="Monthly",IF(E1651=MAIN!$L$3,"Yes","No"),IF(E1651&lt;=MAIN!$L$3,"Yes","No"))))</f>
        <v>Yes</v>
      </c>
      <c r="AA1651" t="str">
        <f t="shared" si="155"/>
        <v>No</v>
      </c>
    </row>
    <row r="1652" spans="1:27" x14ac:dyDescent="0.3">
      <c r="A1652">
        <f>INDEX(SETTINGS!$A$15:$A$24,$B1652)</f>
        <v>2032</v>
      </c>
      <c r="B1652">
        <v>8</v>
      </c>
      <c r="C1652" t="str">
        <f>IF(AND(A1652&gt;=SETTINGS!$B$4,A1652&lt;=SETTINGS!$B$5),"Yes","No")</f>
        <v>No</v>
      </c>
      <c r="D1652" t="str">
        <f>IFERROR(INDEX(SETTINGS!$C$15:$C$24,MATCH(A1652,SETTINGS!$A$15:$A$24,0)),"No")</f>
        <v>No</v>
      </c>
      <c r="E1652">
        <v>3</v>
      </c>
      <c r="F1652" t="s">
        <v>36</v>
      </c>
      <c r="G1652">
        <v>76</v>
      </c>
      <c r="H1652" t="s">
        <v>110</v>
      </c>
      <c r="I1652" t="s">
        <v>30</v>
      </c>
      <c r="J1652" t="s">
        <v>31</v>
      </c>
      <c r="K1652" t="s">
        <v>3</v>
      </c>
      <c r="L1652" s="36">
        <f ca="1">IF(C1652&lt;&gt;"Yes",0,IF(A1652=2025,N('2025'!D76),IF(A1652=2026,N('2026'!D76),IF(A1652=2027,N('2027'!D76),IF(A1652=2028,N('2028'!D76),IF(A1652=2029,N('2029'!D76),IF(A1652=2030,N('2030'!D76),IF(A1652=2031,N('2031'!D76),IF(A1652=2032,N('2032'!D76),IF(A1652=2033,N('2033'!D76),IF(A1652=2034,N('2034'!D76),IFERROR(N(INDIRECT("'"&amp;A1652&amp;"'!D"&amp;G1652)),0))))))))))))</f>
        <v>0</v>
      </c>
      <c r="M1652" s="36">
        <f>IFERROR(IF(NOT(ISBLANK(KPI_TARGETS!$N$21)),KPI_TARGETS!$N$21,IF(NOT(ISBLANK(KPI_TARGETS!$F$21)),KPI_TARGETS!$F$21,"")),"")</f>
        <v>0</v>
      </c>
      <c r="N1652" s="36" t="str">
        <f>IFERROR(KPI_TARGETS!$E$21,"Higher is better")</f>
        <v>Lower is better</v>
      </c>
      <c r="O1652" s="37">
        <f t="shared" ca="1" si="150"/>
        <v>1</v>
      </c>
      <c r="P1652" t="str">
        <f t="shared" ca="1" si="151"/>
        <v>Green</v>
      </c>
      <c r="Q1652" s="36">
        <f t="shared" ca="1" si="152"/>
        <v>0</v>
      </c>
      <c r="R1652" s="36" t="str">
        <f>""</f>
        <v/>
      </c>
      <c r="S1652" s="36" t="str">
        <f>""</f>
        <v/>
      </c>
      <c r="T1652" s="36" t="str">
        <f>""</f>
        <v/>
      </c>
      <c r="U1652" s="36" t="str">
        <f>""</f>
        <v/>
      </c>
      <c r="V1652" s="36" t="str">
        <f>""</f>
        <v/>
      </c>
      <c r="W1652" s="36">
        <f t="shared" si="153"/>
        <v>1</v>
      </c>
      <c r="X1652" t="str">
        <f t="shared" si="154"/>
        <v>Inactive</v>
      </c>
      <c r="Y1652" t="str">
        <f>IF(MAIN!$H$3="Selected Year",IF(A1652=MAIN!$B$3,"Yes","No"),IF(MAIN!$H$3="Included Years",IF(D1652="Yes","Yes","No"),IF(C1652="Yes","Yes","No")))</f>
        <v>No</v>
      </c>
      <c r="Z1652" t="str">
        <f>IF(MAIN!$F$3="Project to Date",IF(AND(A1652&gt;=SETTINGS!$B$4,A1652&lt;MAIN!$B$3),"Yes",IF(AND(A1652=MAIN!$B$3,E1652&lt;=MAIN!$L$3),"Yes","No")),IF(OR(MAIN!$F$3="Full Year",MAIN!$D$3="All"),"Yes",IF(MAIN!$F$3="Monthly",IF(E1652=MAIN!$L$3,"Yes","No"),IF(E1652&lt;=MAIN!$L$3,"Yes","No"))))</f>
        <v>Yes</v>
      </c>
      <c r="AA1652" t="str">
        <f t="shared" si="155"/>
        <v>No</v>
      </c>
    </row>
    <row r="1653" spans="1:27" x14ac:dyDescent="0.3">
      <c r="A1653">
        <f>INDEX(SETTINGS!$A$15:$A$24,$B1653)</f>
        <v>2032</v>
      </c>
      <c r="B1653">
        <v>8</v>
      </c>
      <c r="C1653" t="str">
        <f>IF(AND(A1653&gt;=SETTINGS!$B$4,A1653&lt;=SETTINGS!$B$5),"Yes","No")</f>
        <v>No</v>
      </c>
      <c r="D1653" t="str">
        <f>IFERROR(INDEX(SETTINGS!$C$15:$C$24,MATCH(A1653,SETTINGS!$A$15:$A$24,0)),"No")</f>
        <v>No</v>
      </c>
      <c r="E1653">
        <v>3</v>
      </c>
      <c r="F1653" t="s">
        <v>36</v>
      </c>
      <c r="G1653">
        <v>77</v>
      </c>
      <c r="H1653" t="s">
        <v>111</v>
      </c>
      <c r="I1653" t="s">
        <v>30</v>
      </c>
      <c r="J1653" t="s">
        <v>32</v>
      </c>
      <c r="K1653" t="s">
        <v>3</v>
      </c>
      <c r="L1653" s="36">
        <f ca="1">IF(C1653&lt;&gt;"Yes",0,IF(A1653=2025,N('2025'!D77),IF(A1653=2026,N('2026'!D77),IF(A1653=2027,N('2027'!D77),IF(A1653=2028,N('2028'!D77),IF(A1653=2029,N('2029'!D77),IF(A1653=2030,N('2030'!D77),IF(A1653=2031,N('2031'!D77),IF(A1653=2032,N('2032'!D77),IF(A1653=2033,N('2033'!D77),IF(A1653=2034,N('2034'!D77),IFERROR(N(INDIRECT("'"&amp;A1653&amp;"'!D"&amp;G1653)),0))))))))))))</f>
        <v>0</v>
      </c>
      <c r="M1653" s="36">
        <f>IFERROR(IF(NOT(ISBLANK(KPI_TARGETS!$N$22)),KPI_TARGETS!$N$22,IF(NOT(ISBLANK(KPI_TARGETS!$F$22)),KPI_TARGETS!$F$22,"")),"")</f>
        <v>1</v>
      </c>
      <c r="N1653" s="36" t="str">
        <f>IFERROR(KPI_TARGETS!$E$22,"Higher is better")</f>
        <v>Higher is better</v>
      </c>
      <c r="O1653" s="37">
        <f t="shared" ca="1" si="150"/>
        <v>0</v>
      </c>
      <c r="P1653" t="str">
        <f t="shared" ca="1" si="151"/>
        <v>Red</v>
      </c>
      <c r="Q1653" s="36">
        <f t="shared" ca="1" si="152"/>
        <v>-1</v>
      </c>
      <c r="R1653" s="36" t="str">
        <f>""</f>
        <v/>
      </c>
      <c r="S1653" s="36" t="str">
        <f>""</f>
        <v/>
      </c>
      <c r="T1653" s="36" t="str">
        <f>""</f>
        <v/>
      </c>
      <c r="U1653" s="36" t="str">
        <f>""</f>
        <v/>
      </c>
      <c r="V1653" s="36" t="str">
        <f>""</f>
        <v/>
      </c>
      <c r="W1653" s="36">
        <f t="shared" si="153"/>
        <v>1</v>
      </c>
      <c r="X1653" t="str">
        <f t="shared" si="154"/>
        <v>Inactive</v>
      </c>
      <c r="Y1653" t="str">
        <f>IF(MAIN!$H$3="Selected Year",IF(A1653=MAIN!$B$3,"Yes","No"),IF(MAIN!$H$3="Included Years",IF(D1653="Yes","Yes","No"),IF(C1653="Yes","Yes","No")))</f>
        <v>No</v>
      </c>
      <c r="Z1653" t="str">
        <f>IF(MAIN!$F$3="Project to Date",IF(AND(A1653&gt;=SETTINGS!$B$4,A1653&lt;MAIN!$B$3),"Yes",IF(AND(A1653=MAIN!$B$3,E1653&lt;=MAIN!$L$3),"Yes","No")),IF(OR(MAIN!$F$3="Full Year",MAIN!$D$3="All"),"Yes",IF(MAIN!$F$3="Monthly",IF(E1653=MAIN!$L$3,"Yes","No"),IF(E1653&lt;=MAIN!$L$3,"Yes","No"))))</f>
        <v>Yes</v>
      </c>
      <c r="AA1653" t="str">
        <f t="shared" si="155"/>
        <v>No</v>
      </c>
    </row>
    <row r="1654" spans="1:27" x14ac:dyDescent="0.3">
      <c r="A1654">
        <f>INDEX(SETTINGS!$A$15:$A$24,$B1654)</f>
        <v>2032</v>
      </c>
      <c r="B1654">
        <v>8</v>
      </c>
      <c r="C1654" t="str">
        <f>IF(AND(A1654&gt;=SETTINGS!$B$4,A1654&lt;=SETTINGS!$B$5),"Yes","No")</f>
        <v>No</v>
      </c>
      <c r="D1654" t="str">
        <f>IFERROR(INDEX(SETTINGS!$C$15:$C$24,MATCH(A1654,SETTINGS!$A$15:$A$24,0)),"No")</f>
        <v>No</v>
      </c>
      <c r="E1654">
        <v>3</v>
      </c>
      <c r="F1654" t="s">
        <v>36</v>
      </c>
      <c r="G1654">
        <v>78</v>
      </c>
      <c r="H1654" t="s">
        <v>112</v>
      </c>
      <c r="I1654" t="s">
        <v>30</v>
      </c>
      <c r="J1654" t="s">
        <v>33</v>
      </c>
      <c r="K1654" t="s">
        <v>34</v>
      </c>
      <c r="L1654" s="36">
        <f ca="1">IF(C1654&lt;&gt;"Yes",0,IF(A1654=2025,N('2025'!D78),IF(A1654=2026,N('2026'!D78),IF(A1654=2027,N('2027'!D78),IF(A1654=2028,N('2028'!D78),IF(A1654=2029,N('2029'!D78),IF(A1654=2030,N('2030'!D78),IF(A1654=2031,N('2031'!D78),IF(A1654=2032,N('2032'!D78),IF(A1654=2033,N('2033'!D78),IF(A1654=2034,N('2034'!D78),IFERROR(N(INDIRECT("'"&amp;A1654&amp;"'!D"&amp;G1654)),0))))))))))))</f>
        <v>0</v>
      </c>
      <c r="M1654" s="36">
        <f>IFERROR(IF(NOT(ISBLANK(KPI_TARGETS!$N$23)),KPI_TARGETS!$N$23,IF(NOT(ISBLANK(KPI_TARGETS!$F$23)),KPI_TARGETS!$F$23,"")),"")</f>
        <v>1</v>
      </c>
      <c r="N1654" s="36" t="str">
        <f>IFERROR(KPI_TARGETS!$E$23,"Higher is better")</f>
        <v>Higher is better</v>
      </c>
      <c r="O1654" s="37">
        <f t="shared" ca="1" si="150"/>
        <v>0</v>
      </c>
      <c r="P1654" t="str">
        <f t="shared" ca="1" si="151"/>
        <v>Red</v>
      </c>
      <c r="Q1654" s="36">
        <f t="shared" ca="1" si="152"/>
        <v>-1</v>
      </c>
      <c r="R1654" s="36" t="str">
        <f>""</f>
        <v/>
      </c>
      <c r="S1654" s="36" t="str">
        <f>""</f>
        <v/>
      </c>
      <c r="T1654" s="36" t="str">
        <f>""</f>
        <v/>
      </c>
      <c r="U1654" s="36" t="str">
        <f>""</f>
        <v/>
      </c>
      <c r="V1654" s="36" t="str">
        <f>""</f>
        <v/>
      </c>
      <c r="W1654" s="36">
        <f t="shared" si="153"/>
        <v>1</v>
      </c>
      <c r="X1654" t="str">
        <f t="shared" si="154"/>
        <v>Inactive</v>
      </c>
      <c r="Y1654" t="str">
        <f>IF(MAIN!$H$3="Selected Year",IF(A1654=MAIN!$B$3,"Yes","No"),IF(MAIN!$H$3="Included Years",IF(D1654="Yes","Yes","No"),IF(C1654="Yes","Yes","No")))</f>
        <v>No</v>
      </c>
      <c r="Z1654" t="str">
        <f>IF(MAIN!$F$3="Project to Date",IF(AND(A1654&gt;=SETTINGS!$B$4,A1654&lt;MAIN!$B$3),"Yes",IF(AND(A1654=MAIN!$B$3,E1654&lt;=MAIN!$L$3),"Yes","No")),IF(OR(MAIN!$F$3="Full Year",MAIN!$D$3="All"),"Yes",IF(MAIN!$F$3="Monthly",IF(E1654=MAIN!$L$3,"Yes","No"),IF(E1654&lt;=MAIN!$L$3,"Yes","No"))))</f>
        <v>Yes</v>
      </c>
      <c r="AA1654" t="str">
        <f t="shared" si="155"/>
        <v>No</v>
      </c>
    </row>
    <row r="1655" spans="1:27" x14ac:dyDescent="0.3">
      <c r="A1655">
        <f>INDEX(SETTINGS!$A$15:$A$24,$B1655)</f>
        <v>2032</v>
      </c>
      <c r="B1655">
        <v>8</v>
      </c>
      <c r="C1655" t="str">
        <f>IF(AND(A1655&gt;=SETTINGS!$B$4,A1655&lt;=SETTINGS!$B$5),"Yes","No")</f>
        <v>No</v>
      </c>
      <c r="D1655" t="str">
        <f>IFERROR(INDEX(SETTINGS!$C$15:$C$24,MATCH(A1655,SETTINGS!$A$15:$A$24,0)),"No")</f>
        <v>No</v>
      </c>
      <c r="E1655">
        <v>4</v>
      </c>
      <c r="F1655" t="s">
        <v>37</v>
      </c>
      <c r="G1655">
        <v>81</v>
      </c>
      <c r="H1655" t="s">
        <v>88</v>
      </c>
      <c r="I1655" t="s">
        <v>89</v>
      </c>
      <c r="J1655" t="s">
        <v>10</v>
      </c>
      <c r="K1655" t="s">
        <v>3</v>
      </c>
      <c r="L1655" s="36">
        <f ca="1">IF(C1655&lt;&gt;"Yes",0,IF(A1655=2025,N('2025'!D81),IF(A1655=2026,N('2026'!D81),IF(A1655=2027,N('2027'!D81),IF(A1655=2028,N('2028'!D81),IF(A1655=2029,N('2029'!D81),IF(A1655=2030,N('2030'!D81),IF(A1655=2031,N('2031'!D81),IF(A1655=2032,N('2032'!D81),IF(A1655=2033,N('2033'!D81),IF(A1655=2034,N('2034'!D81),IFERROR(N(INDIRECT("'"&amp;A1655&amp;"'!D"&amp;G1655)),0))))))))))))</f>
        <v>0</v>
      </c>
      <c r="M1655" s="36">
        <f>IFERROR(IF(NOT(ISBLANK(KPI_TARGETS!$N$5)),KPI_TARGETS!$N$5,IF(NOT(ISBLANK(KPI_TARGETS!$F$5)),KPI_TARGETS!$F$5,"")),"")</f>
        <v>104</v>
      </c>
      <c r="N1655" s="36" t="str">
        <f>IFERROR(KPI_TARGETS!$E$5,"Higher is better")</f>
        <v>Higher is better</v>
      </c>
      <c r="O1655" s="37">
        <f t="shared" ca="1" si="150"/>
        <v>0</v>
      </c>
      <c r="P1655" t="str">
        <f t="shared" ca="1" si="151"/>
        <v>Red</v>
      </c>
      <c r="Q1655" s="36">
        <f t="shared" ca="1" si="152"/>
        <v>-104</v>
      </c>
      <c r="R1655" s="36" t="str">
        <f>""</f>
        <v/>
      </c>
      <c r="S1655" s="36" t="str">
        <f>""</f>
        <v/>
      </c>
      <c r="T1655" s="36" t="str">
        <f>""</f>
        <v/>
      </c>
      <c r="U1655" s="36" t="str">
        <f>""</f>
        <v/>
      </c>
      <c r="V1655" s="36" t="str">
        <f>""</f>
        <v/>
      </c>
      <c r="W1655" s="36">
        <f t="shared" si="153"/>
        <v>1</v>
      </c>
      <c r="X1655" t="str">
        <f t="shared" si="154"/>
        <v>Inactive</v>
      </c>
      <c r="Y1655" t="str">
        <f>IF(MAIN!$H$3="Selected Year",IF(A1655=MAIN!$B$3,"Yes","No"),IF(MAIN!$H$3="Included Years",IF(D1655="Yes","Yes","No"),IF(C1655="Yes","Yes","No")))</f>
        <v>No</v>
      </c>
      <c r="Z1655" t="str">
        <f>IF(MAIN!$F$3="Project to Date",IF(AND(A1655&gt;=SETTINGS!$B$4,A1655&lt;MAIN!$B$3),"Yes",IF(AND(A1655=MAIN!$B$3,E1655&lt;=MAIN!$L$3),"Yes","No")),IF(OR(MAIN!$F$3="Full Year",MAIN!$D$3="All"),"Yes",IF(MAIN!$F$3="Monthly",IF(E1655=MAIN!$L$3,"Yes","No"),IF(E1655&lt;=MAIN!$L$3,"Yes","No"))))</f>
        <v>Yes</v>
      </c>
      <c r="AA1655" t="str">
        <f t="shared" si="155"/>
        <v>No</v>
      </c>
    </row>
    <row r="1656" spans="1:27" x14ac:dyDescent="0.3">
      <c r="A1656">
        <f>INDEX(SETTINGS!$A$15:$A$24,$B1656)</f>
        <v>2032</v>
      </c>
      <c r="B1656">
        <v>8</v>
      </c>
      <c r="C1656" t="str">
        <f>IF(AND(A1656&gt;=SETTINGS!$B$4,A1656&lt;=SETTINGS!$B$5),"Yes","No")</f>
        <v>No</v>
      </c>
      <c r="D1656" t="str">
        <f>IFERROR(INDEX(SETTINGS!$C$15:$C$24,MATCH(A1656,SETTINGS!$A$15:$A$24,0)),"No")</f>
        <v>No</v>
      </c>
      <c r="E1656">
        <v>4</v>
      </c>
      <c r="F1656" t="s">
        <v>37</v>
      </c>
      <c r="G1656">
        <v>82</v>
      </c>
      <c r="H1656" t="s">
        <v>91</v>
      </c>
      <c r="I1656" t="s">
        <v>89</v>
      </c>
      <c r="J1656" t="s">
        <v>11</v>
      </c>
      <c r="K1656" t="s">
        <v>12</v>
      </c>
      <c r="L1656" s="36">
        <f ca="1">IF(C1656&lt;&gt;"Yes",0,IF(A1656=2025,N('2025'!D82),IF(A1656=2026,N('2026'!D82),IF(A1656=2027,N('2027'!D82),IF(A1656=2028,N('2028'!D82),IF(A1656=2029,N('2029'!D82),IF(A1656=2030,N('2030'!D82),IF(A1656=2031,N('2031'!D82),IF(A1656=2032,N('2032'!D82),IF(A1656=2033,N('2033'!D82),IF(A1656=2034,N('2034'!D82),IFERROR(N(INDIRECT("'"&amp;A1656&amp;"'!D"&amp;G1656)),0))))))))))))</f>
        <v>0</v>
      </c>
      <c r="M1656" s="36">
        <f>IFERROR(IF(NOT(ISBLANK(KPI_TARGETS!$N$6)),KPI_TARGETS!$N$6,IF(NOT(ISBLANK(KPI_TARGETS!$F$6)),KPI_TARGETS!$F$6,"")),"")</f>
        <v>4000</v>
      </c>
      <c r="N1656" s="36" t="str">
        <f>IFERROR(KPI_TARGETS!$E$6,"Higher is better")</f>
        <v>Higher is better</v>
      </c>
      <c r="O1656" s="37">
        <f t="shared" ca="1" si="150"/>
        <v>0</v>
      </c>
      <c r="P1656" t="str">
        <f t="shared" ca="1" si="151"/>
        <v>Red</v>
      </c>
      <c r="Q1656" s="36">
        <f t="shared" ca="1" si="152"/>
        <v>-4000</v>
      </c>
      <c r="R1656" s="36" t="str">
        <f>""</f>
        <v/>
      </c>
      <c r="S1656" s="36" t="str">
        <f>""</f>
        <v/>
      </c>
      <c r="T1656" s="36" t="str">
        <f>""</f>
        <v/>
      </c>
      <c r="U1656" s="36" t="str">
        <f>""</f>
        <v/>
      </c>
      <c r="V1656" s="36" t="str">
        <f>""</f>
        <v/>
      </c>
      <c r="W1656" s="36">
        <f t="shared" si="153"/>
        <v>1</v>
      </c>
      <c r="X1656" t="str">
        <f t="shared" si="154"/>
        <v>Inactive</v>
      </c>
      <c r="Y1656" t="str">
        <f>IF(MAIN!$H$3="Selected Year",IF(A1656=MAIN!$B$3,"Yes","No"),IF(MAIN!$H$3="Included Years",IF(D1656="Yes","Yes","No"),IF(C1656="Yes","Yes","No")))</f>
        <v>No</v>
      </c>
      <c r="Z1656" t="str">
        <f>IF(MAIN!$F$3="Project to Date",IF(AND(A1656&gt;=SETTINGS!$B$4,A1656&lt;MAIN!$B$3),"Yes",IF(AND(A1656=MAIN!$B$3,E1656&lt;=MAIN!$L$3),"Yes","No")),IF(OR(MAIN!$F$3="Full Year",MAIN!$D$3="All"),"Yes",IF(MAIN!$F$3="Monthly",IF(E1656=MAIN!$L$3,"Yes","No"),IF(E1656&lt;=MAIN!$L$3,"Yes","No"))))</f>
        <v>Yes</v>
      </c>
      <c r="AA1656" t="str">
        <f t="shared" si="155"/>
        <v>No</v>
      </c>
    </row>
    <row r="1657" spans="1:27" x14ac:dyDescent="0.3">
      <c r="A1657">
        <f>INDEX(SETTINGS!$A$15:$A$24,$B1657)</f>
        <v>2032</v>
      </c>
      <c r="B1657">
        <v>8</v>
      </c>
      <c r="C1657" t="str">
        <f>IF(AND(A1657&gt;=SETTINGS!$B$4,A1657&lt;=SETTINGS!$B$5),"Yes","No")</f>
        <v>No</v>
      </c>
      <c r="D1657" t="str">
        <f>IFERROR(INDEX(SETTINGS!$C$15:$C$24,MATCH(A1657,SETTINGS!$A$15:$A$24,0)),"No")</f>
        <v>No</v>
      </c>
      <c r="E1657">
        <v>4</v>
      </c>
      <c r="F1657" t="s">
        <v>37</v>
      </c>
      <c r="G1657">
        <v>83</v>
      </c>
      <c r="H1657" t="s">
        <v>93</v>
      </c>
      <c r="I1657" t="s">
        <v>89</v>
      </c>
      <c r="J1657" t="s">
        <v>13</v>
      </c>
      <c r="K1657" t="s">
        <v>14</v>
      </c>
      <c r="L1657" s="36">
        <f ca="1">IF(C1657&lt;&gt;"Yes",0,IF(A1657=2025,N('2025'!D83),IF(A1657=2026,N('2026'!D83),IF(A1657=2027,N('2027'!D83),IF(A1657=2028,N('2028'!D83),IF(A1657=2029,N('2029'!D83),IF(A1657=2030,N('2030'!D83),IF(A1657=2031,N('2031'!D83),IF(A1657=2032,N('2032'!D83),IF(A1657=2033,N('2033'!D83),IF(A1657=2034,N('2034'!D83),IFERROR(N(INDIRECT("'"&amp;A1657&amp;"'!D"&amp;G1657)),0))))))))))))</f>
        <v>0</v>
      </c>
      <c r="M1657" s="36">
        <f>IFERROR(IF(NOT(ISBLANK(KPI_TARGETS!$N$7)),KPI_TARGETS!$N$7,IF(NOT(ISBLANK(KPI_TARGETS!$F$7)),KPI_TARGETS!$F$7,"")),"")</f>
        <v>8000</v>
      </c>
      <c r="N1657" s="36" t="str">
        <f>IFERROR(KPI_TARGETS!$E$7,"Higher is better")</f>
        <v>Higher is better</v>
      </c>
      <c r="O1657" s="37">
        <f t="shared" ca="1" si="150"/>
        <v>0</v>
      </c>
      <c r="P1657" t="str">
        <f t="shared" ca="1" si="151"/>
        <v>Red</v>
      </c>
      <c r="Q1657" s="36">
        <f t="shared" ca="1" si="152"/>
        <v>-8000</v>
      </c>
      <c r="R1657" s="36" t="str">
        <f>""</f>
        <v/>
      </c>
      <c r="S1657" s="36" t="str">
        <f>""</f>
        <v/>
      </c>
      <c r="T1657" s="36" t="str">
        <f>""</f>
        <v/>
      </c>
      <c r="U1657" s="36" t="str">
        <f>""</f>
        <v/>
      </c>
      <c r="V1657" s="36" t="str">
        <f>""</f>
        <v/>
      </c>
      <c r="W1657" s="36">
        <f t="shared" si="153"/>
        <v>1</v>
      </c>
      <c r="X1657" t="str">
        <f t="shared" si="154"/>
        <v>Inactive</v>
      </c>
      <c r="Y1657" t="str">
        <f>IF(MAIN!$H$3="Selected Year",IF(A1657=MAIN!$B$3,"Yes","No"),IF(MAIN!$H$3="Included Years",IF(D1657="Yes","Yes","No"),IF(C1657="Yes","Yes","No")))</f>
        <v>No</v>
      </c>
      <c r="Z1657" t="str">
        <f>IF(MAIN!$F$3="Project to Date",IF(AND(A1657&gt;=SETTINGS!$B$4,A1657&lt;MAIN!$B$3),"Yes",IF(AND(A1657=MAIN!$B$3,E1657&lt;=MAIN!$L$3),"Yes","No")),IF(OR(MAIN!$F$3="Full Year",MAIN!$D$3="All"),"Yes",IF(MAIN!$F$3="Monthly",IF(E1657=MAIN!$L$3,"Yes","No"),IF(E1657&lt;=MAIN!$L$3,"Yes","No"))))</f>
        <v>Yes</v>
      </c>
      <c r="AA1657" t="str">
        <f t="shared" si="155"/>
        <v>No</v>
      </c>
    </row>
    <row r="1658" spans="1:27" x14ac:dyDescent="0.3">
      <c r="A1658">
        <f>INDEX(SETTINGS!$A$15:$A$24,$B1658)</f>
        <v>2032</v>
      </c>
      <c r="B1658">
        <v>8</v>
      </c>
      <c r="C1658" t="str">
        <f>IF(AND(A1658&gt;=SETTINGS!$B$4,A1658&lt;=SETTINGS!$B$5),"Yes","No")</f>
        <v>No</v>
      </c>
      <c r="D1658" t="str">
        <f>IFERROR(INDEX(SETTINGS!$C$15:$C$24,MATCH(A1658,SETTINGS!$A$15:$A$24,0)),"No")</f>
        <v>No</v>
      </c>
      <c r="E1658">
        <v>4</v>
      </c>
      <c r="F1658" t="s">
        <v>37</v>
      </c>
      <c r="G1658">
        <v>85</v>
      </c>
      <c r="H1658" t="s">
        <v>95</v>
      </c>
      <c r="I1658" t="s">
        <v>15</v>
      </c>
      <c r="J1658" t="s">
        <v>16</v>
      </c>
      <c r="K1658" t="s">
        <v>3</v>
      </c>
      <c r="L1658" s="36">
        <f ca="1">IF(C1658&lt;&gt;"Yes",0,IF(A1658=2025,N('2025'!D85),IF(A1658=2026,N('2026'!D85),IF(A1658=2027,N('2027'!D85),IF(A1658=2028,N('2028'!D85),IF(A1658=2029,N('2029'!D85),IF(A1658=2030,N('2030'!D85),IF(A1658=2031,N('2031'!D85),IF(A1658=2032,N('2032'!D85),IF(A1658=2033,N('2033'!D85),IF(A1658=2034,N('2034'!D85),IFERROR(N(INDIRECT("'"&amp;A1658&amp;"'!D"&amp;G1658)),0))))))))))))</f>
        <v>0</v>
      </c>
      <c r="M1658" s="36">
        <f>IFERROR(IF(NOT(ISBLANK(KPI_TARGETS!$N$8)),KPI_TARGETS!$N$8,IF(NOT(ISBLANK(KPI_TARGETS!$F$8)),KPI_TARGETS!$F$8,"")),"")</f>
        <v>0</v>
      </c>
      <c r="N1658" s="36" t="str">
        <f>IFERROR(KPI_TARGETS!$E$8,"Higher is better")</f>
        <v>Lower is better</v>
      </c>
      <c r="O1658" s="37">
        <f t="shared" ca="1" si="150"/>
        <v>1</v>
      </c>
      <c r="P1658" t="str">
        <f t="shared" ca="1" si="151"/>
        <v>Green</v>
      </c>
      <c r="Q1658" s="36">
        <f t="shared" ca="1" si="152"/>
        <v>0</v>
      </c>
      <c r="R1658" s="36" t="str">
        <f>""</f>
        <v/>
      </c>
      <c r="S1658" s="36" t="str">
        <f>""</f>
        <v/>
      </c>
      <c r="T1658" s="36" t="str">
        <f>""</f>
        <v/>
      </c>
      <c r="U1658" s="36" t="str">
        <f>""</f>
        <v/>
      </c>
      <c r="V1658" s="36" t="str">
        <f>""</f>
        <v/>
      </c>
      <c r="W1658" s="36">
        <f t="shared" si="153"/>
        <v>1</v>
      </c>
      <c r="X1658" t="str">
        <f t="shared" si="154"/>
        <v>Inactive</v>
      </c>
      <c r="Y1658" t="str">
        <f>IF(MAIN!$H$3="Selected Year",IF(A1658=MAIN!$B$3,"Yes","No"),IF(MAIN!$H$3="Included Years",IF(D1658="Yes","Yes","No"),IF(C1658="Yes","Yes","No")))</f>
        <v>No</v>
      </c>
      <c r="Z1658" t="str">
        <f>IF(MAIN!$F$3="Project to Date",IF(AND(A1658&gt;=SETTINGS!$B$4,A1658&lt;MAIN!$B$3),"Yes",IF(AND(A1658=MAIN!$B$3,E1658&lt;=MAIN!$L$3),"Yes","No")),IF(OR(MAIN!$F$3="Full Year",MAIN!$D$3="All"),"Yes",IF(MAIN!$F$3="Monthly",IF(E1658=MAIN!$L$3,"Yes","No"),IF(E1658&lt;=MAIN!$L$3,"Yes","No"))))</f>
        <v>Yes</v>
      </c>
      <c r="AA1658" t="str">
        <f t="shared" si="155"/>
        <v>No</v>
      </c>
    </row>
    <row r="1659" spans="1:27" x14ac:dyDescent="0.3">
      <c r="A1659">
        <f>INDEX(SETTINGS!$A$15:$A$24,$B1659)</f>
        <v>2032</v>
      </c>
      <c r="B1659">
        <v>8</v>
      </c>
      <c r="C1659" t="str">
        <f>IF(AND(A1659&gt;=SETTINGS!$B$4,A1659&lt;=SETTINGS!$B$5),"Yes","No")</f>
        <v>No</v>
      </c>
      <c r="D1659" t="str">
        <f>IFERROR(INDEX(SETTINGS!$C$15:$C$24,MATCH(A1659,SETTINGS!$A$15:$A$24,0)),"No")</f>
        <v>No</v>
      </c>
      <c r="E1659">
        <v>4</v>
      </c>
      <c r="F1659" t="s">
        <v>37</v>
      </c>
      <c r="G1659">
        <v>86</v>
      </c>
      <c r="H1659" t="s">
        <v>97</v>
      </c>
      <c r="I1659" t="s">
        <v>15</v>
      </c>
      <c r="J1659" t="s">
        <v>17</v>
      </c>
      <c r="K1659" t="s">
        <v>3</v>
      </c>
      <c r="L1659" s="36">
        <f ca="1">IF(C1659&lt;&gt;"Yes",0,IF(A1659=2025,N('2025'!D86),IF(A1659=2026,N('2026'!D86),IF(A1659=2027,N('2027'!D86),IF(A1659=2028,N('2028'!D86),IF(A1659=2029,N('2029'!D86),IF(A1659=2030,N('2030'!D86),IF(A1659=2031,N('2031'!D86),IF(A1659=2032,N('2032'!D86),IF(A1659=2033,N('2033'!D86),IF(A1659=2034,N('2034'!D86),IFERROR(N(INDIRECT("'"&amp;A1659&amp;"'!D"&amp;G1659)),0))))))))))))</f>
        <v>0</v>
      </c>
      <c r="M1659" s="36">
        <f>IFERROR(IF(NOT(ISBLANK(KPI_TARGETS!$N$9)),KPI_TARGETS!$N$9,IF(NOT(ISBLANK(KPI_TARGETS!$F$9)),KPI_TARGETS!$F$9,"")),"")</f>
        <v>0</v>
      </c>
      <c r="N1659" s="36" t="str">
        <f>IFERROR(KPI_TARGETS!$E$9,"Higher is better")</f>
        <v>Higher is better</v>
      </c>
      <c r="O1659" s="37" t="str">
        <f t="shared" ca="1" si="150"/>
        <v/>
      </c>
      <c r="P1659" t="str">
        <f t="shared" ca="1" si="151"/>
        <v>Green</v>
      </c>
      <c r="Q1659" s="36">
        <f t="shared" ca="1" si="152"/>
        <v>0</v>
      </c>
      <c r="R1659" s="36" t="str">
        <f>""</f>
        <v/>
      </c>
      <c r="S1659" s="36" t="str">
        <f>""</f>
        <v/>
      </c>
      <c r="T1659" s="36" t="str">
        <f>""</f>
        <v/>
      </c>
      <c r="U1659" s="36" t="str">
        <f>""</f>
        <v/>
      </c>
      <c r="V1659" s="36" t="str">
        <f>""</f>
        <v/>
      </c>
      <c r="W1659" s="36">
        <f t="shared" si="153"/>
        <v>1</v>
      </c>
      <c r="X1659" t="str">
        <f t="shared" si="154"/>
        <v>Inactive</v>
      </c>
      <c r="Y1659" t="str">
        <f>IF(MAIN!$H$3="Selected Year",IF(A1659=MAIN!$B$3,"Yes","No"),IF(MAIN!$H$3="Included Years",IF(D1659="Yes","Yes","No"),IF(C1659="Yes","Yes","No")))</f>
        <v>No</v>
      </c>
      <c r="Z1659" t="str">
        <f>IF(MAIN!$F$3="Project to Date",IF(AND(A1659&gt;=SETTINGS!$B$4,A1659&lt;MAIN!$B$3),"Yes",IF(AND(A1659=MAIN!$B$3,E1659&lt;=MAIN!$L$3),"Yes","No")),IF(OR(MAIN!$F$3="Full Year",MAIN!$D$3="All"),"Yes",IF(MAIN!$F$3="Monthly",IF(E1659=MAIN!$L$3,"Yes","No"),IF(E1659&lt;=MAIN!$L$3,"Yes","No"))))</f>
        <v>Yes</v>
      </c>
      <c r="AA1659" t="str">
        <f t="shared" si="155"/>
        <v>No</v>
      </c>
    </row>
    <row r="1660" spans="1:27" x14ac:dyDescent="0.3">
      <c r="A1660">
        <f>INDEX(SETTINGS!$A$15:$A$24,$B1660)</f>
        <v>2032</v>
      </c>
      <c r="B1660">
        <v>8</v>
      </c>
      <c r="C1660" t="str">
        <f>IF(AND(A1660&gt;=SETTINGS!$B$4,A1660&lt;=SETTINGS!$B$5),"Yes","No")</f>
        <v>No</v>
      </c>
      <c r="D1660" t="str">
        <f>IFERROR(INDEX(SETTINGS!$C$15:$C$24,MATCH(A1660,SETTINGS!$A$15:$A$24,0)),"No")</f>
        <v>No</v>
      </c>
      <c r="E1660">
        <v>4</v>
      </c>
      <c r="F1660" t="s">
        <v>37</v>
      </c>
      <c r="G1660">
        <v>87</v>
      </c>
      <c r="H1660" t="s">
        <v>99</v>
      </c>
      <c r="I1660" t="s">
        <v>15</v>
      </c>
      <c r="J1660" t="s">
        <v>18</v>
      </c>
      <c r="K1660" t="s">
        <v>3</v>
      </c>
      <c r="L1660" s="36">
        <f ca="1">IF(C1660&lt;&gt;"Yes",0,IF(A1660=2025,N('2025'!D87),IF(A1660=2026,N('2026'!D87),IF(A1660=2027,N('2027'!D87),IF(A1660=2028,N('2028'!D87),IF(A1660=2029,N('2029'!D87),IF(A1660=2030,N('2030'!D87),IF(A1660=2031,N('2031'!D87),IF(A1660=2032,N('2032'!D87),IF(A1660=2033,N('2033'!D87),IF(A1660=2034,N('2034'!D87),IFERROR(N(INDIRECT("'"&amp;A1660&amp;"'!D"&amp;G1660)),0))))))))))))</f>
        <v>0</v>
      </c>
      <c r="M1660" s="36">
        <f>IFERROR(IF(NOT(ISBLANK(KPI_TARGETS!$N$10)),KPI_TARGETS!$N$10,IF(NOT(ISBLANK(KPI_TARGETS!$F$10)),KPI_TARGETS!$F$10,"")),"")</f>
        <v>0</v>
      </c>
      <c r="N1660" s="36" t="str">
        <f>IFERROR(KPI_TARGETS!$E$10,"Higher is better")</f>
        <v>Lower is better</v>
      </c>
      <c r="O1660" s="37">
        <f t="shared" ca="1" si="150"/>
        <v>1</v>
      </c>
      <c r="P1660" t="str">
        <f t="shared" ca="1" si="151"/>
        <v>Green</v>
      </c>
      <c r="Q1660" s="36">
        <f t="shared" ca="1" si="152"/>
        <v>0</v>
      </c>
      <c r="R1660" s="36" t="str">
        <f>""</f>
        <v/>
      </c>
      <c r="S1660" s="36" t="str">
        <f>""</f>
        <v/>
      </c>
      <c r="T1660" s="36" t="str">
        <f>""</f>
        <v/>
      </c>
      <c r="U1660" s="36" t="str">
        <f>""</f>
        <v/>
      </c>
      <c r="V1660" s="36" t="str">
        <f>""</f>
        <v/>
      </c>
      <c r="W1660" s="36">
        <f t="shared" si="153"/>
        <v>1</v>
      </c>
      <c r="X1660" t="str">
        <f t="shared" si="154"/>
        <v>Inactive</v>
      </c>
      <c r="Y1660" t="str">
        <f>IF(MAIN!$H$3="Selected Year",IF(A1660=MAIN!$B$3,"Yes","No"),IF(MAIN!$H$3="Included Years",IF(D1660="Yes","Yes","No"),IF(C1660="Yes","Yes","No")))</f>
        <v>No</v>
      </c>
      <c r="Z1660" t="str">
        <f>IF(MAIN!$F$3="Project to Date",IF(AND(A1660&gt;=SETTINGS!$B$4,A1660&lt;MAIN!$B$3),"Yes",IF(AND(A1660=MAIN!$B$3,E1660&lt;=MAIN!$L$3),"Yes","No")),IF(OR(MAIN!$F$3="Full Year",MAIN!$D$3="All"),"Yes",IF(MAIN!$F$3="Monthly",IF(E1660=MAIN!$L$3,"Yes","No"),IF(E1660&lt;=MAIN!$L$3,"Yes","No"))))</f>
        <v>Yes</v>
      </c>
      <c r="AA1660" t="str">
        <f t="shared" si="155"/>
        <v>No</v>
      </c>
    </row>
    <row r="1661" spans="1:27" x14ac:dyDescent="0.3">
      <c r="A1661">
        <f>INDEX(SETTINGS!$A$15:$A$24,$B1661)</f>
        <v>2032</v>
      </c>
      <c r="B1661">
        <v>8</v>
      </c>
      <c r="C1661" t="str">
        <f>IF(AND(A1661&gt;=SETTINGS!$B$4,A1661&lt;=SETTINGS!$B$5),"Yes","No")</f>
        <v>No</v>
      </c>
      <c r="D1661" t="str">
        <f>IFERROR(INDEX(SETTINGS!$C$15:$C$24,MATCH(A1661,SETTINGS!$A$15:$A$24,0)),"No")</f>
        <v>No</v>
      </c>
      <c r="E1661">
        <v>4</v>
      </c>
      <c r="F1661" t="s">
        <v>37</v>
      </c>
      <c r="G1661">
        <v>88</v>
      </c>
      <c r="H1661" t="s">
        <v>100</v>
      </c>
      <c r="I1661" t="s">
        <v>15</v>
      </c>
      <c r="J1661" t="s">
        <v>19</v>
      </c>
      <c r="K1661" t="s">
        <v>3</v>
      </c>
      <c r="L1661" s="36">
        <f ca="1">IF(C1661&lt;&gt;"Yes",0,IF(A1661=2025,N('2025'!D88),IF(A1661=2026,N('2026'!D88),IF(A1661=2027,N('2027'!D88),IF(A1661=2028,N('2028'!D88),IF(A1661=2029,N('2029'!D88),IF(A1661=2030,N('2030'!D88),IF(A1661=2031,N('2031'!D88),IF(A1661=2032,N('2032'!D88),IF(A1661=2033,N('2033'!D88),IF(A1661=2034,N('2034'!D88),IFERROR(N(INDIRECT("'"&amp;A1661&amp;"'!D"&amp;G1661)),0))))))))))))</f>
        <v>0</v>
      </c>
      <c r="M1661" s="36">
        <f>IFERROR(IF(NOT(ISBLANK(KPI_TARGETS!$N$11)),KPI_TARGETS!$N$11,IF(NOT(ISBLANK(KPI_TARGETS!$F$11)),KPI_TARGETS!$F$11,"")),"")</f>
        <v>0</v>
      </c>
      <c r="N1661" s="36" t="str">
        <f>IFERROR(KPI_TARGETS!$E$11,"Higher is better")</f>
        <v>Lower is better</v>
      </c>
      <c r="O1661" s="37">
        <f t="shared" ca="1" si="150"/>
        <v>1</v>
      </c>
      <c r="P1661" t="str">
        <f t="shared" ca="1" si="151"/>
        <v>Green</v>
      </c>
      <c r="Q1661" s="36">
        <f t="shared" ca="1" si="152"/>
        <v>0</v>
      </c>
      <c r="R1661" s="36" t="str">
        <f>""</f>
        <v/>
      </c>
      <c r="S1661" s="36" t="str">
        <f>""</f>
        <v/>
      </c>
      <c r="T1661" s="36" t="str">
        <f>""</f>
        <v/>
      </c>
      <c r="U1661" s="36" t="str">
        <f>""</f>
        <v/>
      </c>
      <c r="V1661" s="36" t="str">
        <f>""</f>
        <v/>
      </c>
      <c r="W1661" s="36">
        <f t="shared" si="153"/>
        <v>1</v>
      </c>
      <c r="X1661" t="str">
        <f t="shared" si="154"/>
        <v>Inactive</v>
      </c>
      <c r="Y1661" t="str">
        <f>IF(MAIN!$H$3="Selected Year",IF(A1661=MAIN!$B$3,"Yes","No"),IF(MAIN!$H$3="Included Years",IF(D1661="Yes","Yes","No"),IF(C1661="Yes","Yes","No")))</f>
        <v>No</v>
      </c>
      <c r="Z1661" t="str">
        <f>IF(MAIN!$F$3="Project to Date",IF(AND(A1661&gt;=SETTINGS!$B$4,A1661&lt;MAIN!$B$3),"Yes",IF(AND(A1661=MAIN!$B$3,E1661&lt;=MAIN!$L$3),"Yes","No")),IF(OR(MAIN!$F$3="Full Year",MAIN!$D$3="All"),"Yes",IF(MAIN!$F$3="Monthly",IF(E1661=MAIN!$L$3,"Yes","No"),IF(E1661&lt;=MAIN!$L$3,"Yes","No"))))</f>
        <v>Yes</v>
      </c>
      <c r="AA1661" t="str">
        <f t="shared" si="155"/>
        <v>No</v>
      </c>
    </row>
    <row r="1662" spans="1:27" x14ac:dyDescent="0.3">
      <c r="A1662">
        <f>INDEX(SETTINGS!$A$15:$A$24,$B1662)</f>
        <v>2032</v>
      </c>
      <c r="B1662">
        <v>8</v>
      </c>
      <c r="C1662" t="str">
        <f>IF(AND(A1662&gt;=SETTINGS!$B$4,A1662&lt;=SETTINGS!$B$5),"Yes","No")</f>
        <v>No</v>
      </c>
      <c r="D1662" t="str">
        <f>IFERROR(INDEX(SETTINGS!$C$15:$C$24,MATCH(A1662,SETTINGS!$A$15:$A$24,0)),"No")</f>
        <v>No</v>
      </c>
      <c r="E1662">
        <v>4</v>
      </c>
      <c r="F1662" t="s">
        <v>37</v>
      </c>
      <c r="G1662">
        <v>89</v>
      </c>
      <c r="H1662" t="s">
        <v>101</v>
      </c>
      <c r="I1662" t="s">
        <v>15</v>
      </c>
      <c r="J1662" t="s">
        <v>20</v>
      </c>
      <c r="K1662" t="s">
        <v>3</v>
      </c>
      <c r="L1662" s="36">
        <f ca="1">IF(C1662&lt;&gt;"Yes",0,IF(A1662=2025,N('2025'!D89),IF(A1662=2026,N('2026'!D89),IF(A1662=2027,N('2027'!D89),IF(A1662=2028,N('2028'!D89),IF(A1662=2029,N('2029'!D89),IF(A1662=2030,N('2030'!D89),IF(A1662=2031,N('2031'!D89),IF(A1662=2032,N('2032'!D89),IF(A1662=2033,N('2033'!D89),IF(A1662=2034,N('2034'!D89),IFERROR(N(INDIRECT("'"&amp;A1662&amp;"'!D"&amp;G1662)),0))))))))))))</f>
        <v>0</v>
      </c>
      <c r="M1662" s="36">
        <f>IFERROR(IF(NOT(ISBLANK(KPI_TARGETS!$N$12)),KPI_TARGETS!$N$12,IF(NOT(ISBLANK(KPI_TARGETS!$F$12)),KPI_TARGETS!$F$12,"")),"")</f>
        <v>0</v>
      </c>
      <c r="N1662" s="36" t="str">
        <f>IFERROR(KPI_TARGETS!$E$12,"Higher is better")</f>
        <v>Lower is better</v>
      </c>
      <c r="O1662" s="37">
        <f t="shared" ca="1" si="150"/>
        <v>1</v>
      </c>
      <c r="P1662" t="str">
        <f t="shared" ca="1" si="151"/>
        <v>Green</v>
      </c>
      <c r="Q1662" s="36">
        <f t="shared" ca="1" si="152"/>
        <v>0</v>
      </c>
      <c r="R1662" s="36" t="str">
        <f>""</f>
        <v/>
      </c>
      <c r="S1662" s="36" t="str">
        <f>""</f>
        <v/>
      </c>
      <c r="T1662" s="36" t="str">
        <f>""</f>
        <v/>
      </c>
      <c r="U1662" s="36" t="str">
        <f>""</f>
        <v/>
      </c>
      <c r="V1662" s="36" t="str">
        <f>""</f>
        <v/>
      </c>
      <c r="W1662" s="36">
        <f t="shared" si="153"/>
        <v>1</v>
      </c>
      <c r="X1662" t="str">
        <f t="shared" si="154"/>
        <v>Inactive</v>
      </c>
      <c r="Y1662" t="str">
        <f>IF(MAIN!$H$3="Selected Year",IF(A1662=MAIN!$B$3,"Yes","No"),IF(MAIN!$H$3="Included Years",IF(D1662="Yes","Yes","No"),IF(C1662="Yes","Yes","No")))</f>
        <v>No</v>
      </c>
      <c r="Z1662" t="str">
        <f>IF(MAIN!$F$3="Project to Date",IF(AND(A1662&gt;=SETTINGS!$B$4,A1662&lt;MAIN!$B$3),"Yes",IF(AND(A1662=MAIN!$B$3,E1662&lt;=MAIN!$L$3),"Yes","No")),IF(OR(MAIN!$F$3="Full Year",MAIN!$D$3="All"),"Yes",IF(MAIN!$F$3="Monthly",IF(E1662=MAIN!$L$3,"Yes","No"),IF(E1662&lt;=MAIN!$L$3,"Yes","No"))))</f>
        <v>Yes</v>
      </c>
      <c r="AA1662" t="str">
        <f t="shared" si="155"/>
        <v>No</v>
      </c>
    </row>
    <row r="1663" spans="1:27" x14ac:dyDescent="0.3">
      <c r="A1663">
        <f>INDEX(SETTINGS!$A$15:$A$24,$B1663)</f>
        <v>2032</v>
      </c>
      <c r="B1663">
        <v>8</v>
      </c>
      <c r="C1663" t="str">
        <f>IF(AND(A1663&gt;=SETTINGS!$B$4,A1663&lt;=SETTINGS!$B$5),"Yes","No")</f>
        <v>No</v>
      </c>
      <c r="D1663" t="str">
        <f>IFERROR(INDEX(SETTINGS!$C$15:$C$24,MATCH(A1663,SETTINGS!$A$15:$A$24,0)),"No")</f>
        <v>No</v>
      </c>
      <c r="E1663">
        <v>4</v>
      </c>
      <c r="F1663" t="s">
        <v>37</v>
      </c>
      <c r="G1663">
        <v>90</v>
      </c>
      <c r="H1663" t="s">
        <v>102</v>
      </c>
      <c r="I1663" t="s">
        <v>15</v>
      </c>
      <c r="J1663" t="s">
        <v>21</v>
      </c>
      <c r="K1663" t="s">
        <v>3</v>
      </c>
      <c r="L1663" s="36">
        <f ca="1">IF(C1663&lt;&gt;"Yes",0,IF(A1663=2025,N('2025'!D90),IF(A1663=2026,N('2026'!D90),IF(A1663=2027,N('2027'!D90),IF(A1663=2028,N('2028'!D90),IF(A1663=2029,N('2029'!D90),IF(A1663=2030,N('2030'!D90),IF(A1663=2031,N('2031'!D90),IF(A1663=2032,N('2032'!D90),IF(A1663=2033,N('2033'!D90),IF(A1663=2034,N('2034'!D90),IFERROR(N(INDIRECT("'"&amp;A1663&amp;"'!D"&amp;G1663)),0))))))))))))</f>
        <v>0</v>
      </c>
      <c r="M1663" s="36">
        <f>IFERROR(IF(NOT(ISBLANK(KPI_TARGETS!$N$13)),KPI_TARGETS!$N$13,IF(NOT(ISBLANK(KPI_TARGETS!$F$13)),KPI_TARGETS!$F$13,"")),"")</f>
        <v>0</v>
      </c>
      <c r="N1663" s="36" t="str">
        <f>IFERROR(KPI_TARGETS!$E$13,"Higher is better")</f>
        <v>Lower is better</v>
      </c>
      <c r="O1663" s="37">
        <f t="shared" ca="1" si="150"/>
        <v>1</v>
      </c>
      <c r="P1663" t="str">
        <f t="shared" ca="1" si="151"/>
        <v>Green</v>
      </c>
      <c r="Q1663" s="36">
        <f t="shared" ca="1" si="152"/>
        <v>0</v>
      </c>
      <c r="R1663" s="36" t="str">
        <f>""</f>
        <v/>
      </c>
      <c r="S1663" s="36" t="str">
        <f>""</f>
        <v/>
      </c>
      <c r="T1663" s="36" t="str">
        <f>""</f>
        <v/>
      </c>
      <c r="U1663" s="36" t="str">
        <f>""</f>
        <v/>
      </c>
      <c r="V1663" s="36" t="str">
        <f>""</f>
        <v/>
      </c>
      <c r="W1663" s="36">
        <f t="shared" si="153"/>
        <v>1</v>
      </c>
      <c r="X1663" t="str">
        <f t="shared" si="154"/>
        <v>Inactive</v>
      </c>
      <c r="Y1663" t="str">
        <f>IF(MAIN!$H$3="Selected Year",IF(A1663=MAIN!$B$3,"Yes","No"),IF(MAIN!$H$3="Included Years",IF(D1663="Yes","Yes","No"),IF(C1663="Yes","Yes","No")))</f>
        <v>No</v>
      </c>
      <c r="Z1663" t="str">
        <f>IF(MAIN!$F$3="Project to Date",IF(AND(A1663&gt;=SETTINGS!$B$4,A1663&lt;MAIN!$B$3),"Yes",IF(AND(A1663=MAIN!$B$3,E1663&lt;=MAIN!$L$3),"Yes","No")),IF(OR(MAIN!$F$3="Full Year",MAIN!$D$3="All"),"Yes",IF(MAIN!$F$3="Monthly",IF(E1663=MAIN!$L$3,"Yes","No"),IF(E1663&lt;=MAIN!$L$3,"Yes","No"))))</f>
        <v>Yes</v>
      </c>
      <c r="AA1663" t="str">
        <f t="shared" si="155"/>
        <v>No</v>
      </c>
    </row>
    <row r="1664" spans="1:27" x14ac:dyDescent="0.3">
      <c r="A1664">
        <f>INDEX(SETTINGS!$A$15:$A$24,$B1664)</f>
        <v>2032</v>
      </c>
      <c r="B1664">
        <v>8</v>
      </c>
      <c r="C1664" t="str">
        <f>IF(AND(A1664&gt;=SETTINGS!$B$4,A1664&lt;=SETTINGS!$B$5),"Yes","No")</f>
        <v>No</v>
      </c>
      <c r="D1664" t="str">
        <f>IFERROR(INDEX(SETTINGS!$C$15:$C$24,MATCH(A1664,SETTINGS!$A$15:$A$24,0)),"No")</f>
        <v>No</v>
      </c>
      <c r="E1664">
        <v>4</v>
      </c>
      <c r="F1664" t="s">
        <v>37</v>
      </c>
      <c r="G1664">
        <v>92</v>
      </c>
      <c r="H1664" t="s">
        <v>103</v>
      </c>
      <c r="I1664" t="s">
        <v>22</v>
      </c>
      <c r="J1664" t="s">
        <v>23</v>
      </c>
      <c r="K1664" t="s">
        <v>3</v>
      </c>
      <c r="L1664" s="36">
        <f ca="1">IF(C1664&lt;&gt;"Yes",0,IF(A1664=2025,N('2025'!D92),IF(A1664=2026,N('2026'!D92),IF(A1664=2027,N('2027'!D92),IF(A1664=2028,N('2028'!D92),IF(A1664=2029,N('2029'!D92),IF(A1664=2030,N('2030'!D92),IF(A1664=2031,N('2031'!D92),IF(A1664=2032,N('2032'!D92),IF(A1664=2033,N('2033'!D92),IF(A1664=2034,N('2034'!D92),IFERROR(N(INDIRECT("'"&amp;A1664&amp;"'!D"&amp;G1664)),0))))))))))))</f>
        <v>0</v>
      </c>
      <c r="M1664" s="36">
        <f>IFERROR(IF(NOT(ISBLANK(KPI_TARGETS!$N$14)),KPI_TARGETS!$N$14,IF(NOT(ISBLANK(KPI_TARGETS!$F$14)),KPI_TARGETS!$F$14,"")),"")</f>
        <v>35</v>
      </c>
      <c r="N1664" s="36" t="str">
        <f>IFERROR(KPI_TARGETS!$E$14,"Higher is better")</f>
        <v>Higher is better</v>
      </c>
      <c r="O1664" s="37">
        <f t="shared" ca="1" si="150"/>
        <v>0</v>
      </c>
      <c r="P1664" t="str">
        <f t="shared" ca="1" si="151"/>
        <v>Red</v>
      </c>
      <c r="Q1664" s="36">
        <f t="shared" ca="1" si="152"/>
        <v>-35</v>
      </c>
      <c r="R1664" s="36" t="str">
        <f>""</f>
        <v/>
      </c>
      <c r="S1664" s="36" t="str">
        <f>""</f>
        <v/>
      </c>
      <c r="T1664" s="36" t="str">
        <f>""</f>
        <v/>
      </c>
      <c r="U1664" s="36" t="str">
        <f>""</f>
        <v/>
      </c>
      <c r="V1664" s="36" t="str">
        <f>""</f>
        <v/>
      </c>
      <c r="W1664" s="36">
        <f t="shared" si="153"/>
        <v>1</v>
      </c>
      <c r="X1664" t="str">
        <f t="shared" si="154"/>
        <v>Inactive</v>
      </c>
      <c r="Y1664" t="str">
        <f>IF(MAIN!$H$3="Selected Year",IF(A1664=MAIN!$B$3,"Yes","No"),IF(MAIN!$H$3="Included Years",IF(D1664="Yes","Yes","No"),IF(C1664="Yes","Yes","No")))</f>
        <v>No</v>
      </c>
      <c r="Z1664" t="str">
        <f>IF(MAIN!$F$3="Project to Date",IF(AND(A1664&gt;=SETTINGS!$B$4,A1664&lt;MAIN!$B$3),"Yes",IF(AND(A1664=MAIN!$B$3,E1664&lt;=MAIN!$L$3),"Yes","No")),IF(OR(MAIN!$F$3="Full Year",MAIN!$D$3="All"),"Yes",IF(MAIN!$F$3="Monthly",IF(E1664=MAIN!$L$3,"Yes","No"),IF(E1664&lt;=MAIN!$L$3,"Yes","No"))))</f>
        <v>Yes</v>
      </c>
      <c r="AA1664" t="str">
        <f t="shared" si="155"/>
        <v>No</v>
      </c>
    </row>
    <row r="1665" spans="1:27" x14ac:dyDescent="0.3">
      <c r="A1665">
        <f>INDEX(SETTINGS!$A$15:$A$24,$B1665)</f>
        <v>2032</v>
      </c>
      <c r="B1665">
        <v>8</v>
      </c>
      <c r="C1665" t="str">
        <f>IF(AND(A1665&gt;=SETTINGS!$B$4,A1665&lt;=SETTINGS!$B$5),"Yes","No")</f>
        <v>No</v>
      </c>
      <c r="D1665" t="str">
        <f>IFERROR(INDEX(SETTINGS!$C$15:$C$24,MATCH(A1665,SETTINGS!$A$15:$A$24,0)),"No")</f>
        <v>No</v>
      </c>
      <c r="E1665">
        <v>4</v>
      </c>
      <c r="F1665" t="s">
        <v>37</v>
      </c>
      <c r="G1665">
        <v>93</v>
      </c>
      <c r="H1665" t="s">
        <v>104</v>
      </c>
      <c r="I1665" t="s">
        <v>22</v>
      </c>
      <c r="J1665" t="s">
        <v>24</v>
      </c>
      <c r="K1665" t="s">
        <v>3</v>
      </c>
      <c r="L1665" s="36">
        <f ca="1">IF(C1665&lt;&gt;"Yes",0,IF(A1665=2025,N('2025'!D93),IF(A1665=2026,N('2026'!D93),IF(A1665=2027,N('2027'!D93),IF(A1665=2028,N('2028'!D93),IF(A1665=2029,N('2029'!D93),IF(A1665=2030,N('2030'!D93),IF(A1665=2031,N('2031'!D93),IF(A1665=2032,N('2032'!D93),IF(A1665=2033,N('2033'!D93),IF(A1665=2034,N('2034'!D93),IFERROR(N(INDIRECT("'"&amp;A1665&amp;"'!D"&amp;G1665)),0))))))))))))</f>
        <v>0</v>
      </c>
      <c r="M1665" s="36">
        <f>IFERROR(IF(NOT(ISBLANK(KPI_TARGETS!$N$15)),KPI_TARGETS!$N$15,IF(NOT(ISBLANK(KPI_TARGETS!$F$15)),KPI_TARGETS!$F$15,"")),"")</f>
        <v>5</v>
      </c>
      <c r="N1665" s="36" t="str">
        <f>IFERROR(KPI_TARGETS!$E$15,"Higher is better")</f>
        <v>Higher is better</v>
      </c>
      <c r="O1665" s="37">
        <f t="shared" ca="1" si="150"/>
        <v>0</v>
      </c>
      <c r="P1665" t="str">
        <f t="shared" ca="1" si="151"/>
        <v>Red</v>
      </c>
      <c r="Q1665" s="36">
        <f t="shared" ca="1" si="152"/>
        <v>-5</v>
      </c>
      <c r="R1665" s="36" t="str">
        <f>""</f>
        <v/>
      </c>
      <c r="S1665" s="36" t="str">
        <f>""</f>
        <v/>
      </c>
      <c r="T1665" s="36" t="str">
        <f>""</f>
        <v/>
      </c>
      <c r="U1665" s="36" t="str">
        <f>""</f>
        <v/>
      </c>
      <c r="V1665" s="36" t="str">
        <f>""</f>
        <v/>
      </c>
      <c r="W1665" s="36">
        <f t="shared" si="153"/>
        <v>1</v>
      </c>
      <c r="X1665" t="str">
        <f t="shared" si="154"/>
        <v>Inactive</v>
      </c>
      <c r="Y1665" t="str">
        <f>IF(MAIN!$H$3="Selected Year",IF(A1665=MAIN!$B$3,"Yes","No"),IF(MAIN!$H$3="Included Years",IF(D1665="Yes","Yes","No"),IF(C1665="Yes","Yes","No")))</f>
        <v>No</v>
      </c>
      <c r="Z1665" t="str">
        <f>IF(MAIN!$F$3="Project to Date",IF(AND(A1665&gt;=SETTINGS!$B$4,A1665&lt;MAIN!$B$3),"Yes",IF(AND(A1665=MAIN!$B$3,E1665&lt;=MAIN!$L$3),"Yes","No")),IF(OR(MAIN!$F$3="Full Year",MAIN!$D$3="All"),"Yes",IF(MAIN!$F$3="Monthly",IF(E1665=MAIN!$L$3,"Yes","No"),IF(E1665&lt;=MAIN!$L$3,"Yes","No"))))</f>
        <v>Yes</v>
      </c>
      <c r="AA1665" t="str">
        <f t="shared" si="155"/>
        <v>No</v>
      </c>
    </row>
    <row r="1666" spans="1:27" x14ac:dyDescent="0.3">
      <c r="A1666">
        <f>INDEX(SETTINGS!$A$15:$A$24,$B1666)</f>
        <v>2032</v>
      </c>
      <c r="B1666">
        <v>8</v>
      </c>
      <c r="C1666" t="str">
        <f>IF(AND(A1666&gt;=SETTINGS!$B$4,A1666&lt;=SETTINGS!$B$5),"Yes","No")</f>
        <v>No</v>
      </c>
      <c r="D1666" t="str">
        <f>IFERROR(INDEX(SETTINGS!$C$15:$C$24,MATCH(A1666,SETTINGS!$A$15:$A$24,0)),"No")</f>
        <v>No</v>
      </c>
      <c r="E1666">
        <v>4</v>
      </c>
      <c r="F1666" t="s">
        <v>37</v>
      </c>
      <c r="G1666">
        <v>94</v>
      </c>
      <c r="H1666" t="s">
        <v>105</v>
      </c>
      <c r="I1666" t="s">
        <v>22</v>
      </c>
      <c r="J1666" t="s">
        <v>25</v>
      </c>
      <c r="K1666" t="s">
        <v>3</v>
      </c>
      <c r="L1666" s="36">
        <f ca="1">IF(C1666&lt;&gt;"Yes",0,IF(A1666=2025,N('2025'!D94),IF(A1666=2026,N('2026'!D94),IF(A1666=2027,N('2027'!D94),IF(A1666=2028,N('2028'!D94),IF(A1666=2029,N('2029'!D94),IF(A1666=2030,N('2030'!D94),IF(A1666=2031,N('2031'!D94),IF(A1666=2032,N('2032'!D94),IF(A1666=2033,N('2033'!D94),IF(A1666=2034,N('2034'!D94),IFERROR(N(INDIRECT("'"&amp;A1666&amp;"'!D"&amp;G1666)),0))))))))))))</f>
        <v>0</v>
      </c>
      <c r="M1666" s="36">
        <f>IFERROR(IF(NOT(ISBLANK(KPI_TARGETS!$N$16)),KPI_TARGETS!$N$16,IF(NOT(ISBLANK(KPI_TARGETS!$F$16)),KPI_TARGETS!$F$16,"")),"")</f>
        <v>4</v>
      </c>
      <c r="N1666" s="36" t="str">
        <f>IFERROR(KPI_TARGETS!$E$16,"Higher is better")</f>
        <v>Higher is better</v>
      </c>
      <c r="O1666" s="37">
        <f t="shared" ref="O1666:O1729" ca="1" si="156">IF(M1666="","",IF(N1666="Higher is better",IFERROR(L1666/M1666,""),IF(L1666=0,1,IFERROR(M1666/L1666,""))))</f>
        <v>0</v>
      </c>
      <c r="P1666" t="str">
        <f t="shared" ref="P1666:P1729" ca="1" si="157">IF(M1666="","Target Needed",IF(N1666="Higher is better",IF(L1666&gt;=M1666,"Green",IF(L1666&gt;=0.8*M1666,"Amber","Red")),IF(M1666=0,IF(L1666=0,"Green","Red"),IF(L1666&lt;=M1666,"Green",IF(L1666&lt;=1.25*M1666,"Amber","Red")))))</f>
        <v>Red</v>
      </c>
      <c r="Q1666" s="36">
        <f t="shared" ref="Q1666:Q1729" ca="1" si="158">IF(M1666="","",IF(N1666="Higher is better",L1666-M1666,M1666-L1666))</f>
        <v>-4</v>
      </c>
      <c r="R1666" s="36" t="str">
        <f>""</f>
        <v/>
      </c>
      <c r="S1666" s="36" t="str">
        <f>""</f>
        <v/>
      </c>
      <c r="T1666" s="36" t="str">
        <f>""</f>
        <v/>
      </c>
      <c r="U1666" s="36" t="str">
        <f>""</f>
        <v/>
      </c>
      <c r="V1666" s="36" t="str">
        <f>""</f>
        <v/>
      </c>
      <c r="W1666" s="36">
        <f t="shared" ref="W1666:W1729" si="159">IF(LEN(M1666&amp;"")&gt;0,1,0)</f>
        <v>1</v>
      </c>
      <c r="X1666" t="str">
        <f t="shared" ref="X1666:X1729" si="160">IF(C1666&lt;&gt;"Yes","Inactive",IF(M1666="","Missing target","OK"))</f>
        <v>Inactive</v>
      </c>
      <c r="Y1666" t="str">
        <f>IF(MAIN!$H$3="Selected Year",IF(A1666=MAIN!$B$3,"Yes","No"),IF(MAIN!$H$3="Included Years",IF(D1666="Yes","Yes","No"),IF(C1666="Yes","Yes","No")))</f>
        <v>No</v>
      </c>
      <c r="Z1666" t="str">
        <f>IF(MAIN!$F$3="Project to Date",IF(AND(A1666&gt;=SETTINGS!$B$4,A1666&lt;MAIN!$B$3),"Yes",IF(AND(A1666=MAIN!$B$3,E1666&lt;=MAIN!$L$3),"Yes","No")),IF(OR(MAIN!$F$3="Full Year",MAIN!$D$3="All"),"Yes",IF(MAIN!$F$3="Monthly",IF(E1666=MAIN!$L$3,"Yes","No"),IF(E1666&lt;=MAIN!$L$3,"Yes","No"))))</f>
        <v>Yes</v>
      </c>
      <c r="AA1666" t="str">
        <f t="shared" ref="AA1666:AA1729" si="161">IF(AND(Y1666="Yes",Z1666="Yes"),"Yes","No")</f>
        <v>No</v>
      </c>
    </row>
    <row r="1667" spans="1:27" x14ac:dyDescent="0.3">
      <c r="A1667">
        <f>INDEX(SETTINGS!$A$15:$A$24,$B1667)</f>
        <v>2032</v>
      </c>
      <c r="B1667">
        <v>8</v>
      </c>
      <c r="C1667" t="str">
        <f>IF(AND(A1667&gt;=SETTINGS!$B$4,A1667&lt;=SETTINGS!$B$5),"Yes","No")</f>
        <v>No</v>
      </c>
      <c r="D1667" t="str">
        <f>IFERROR(INDEX(SETTINGS!$C$15:$C$24,MATCH(A1667,SETTINGS!$A$15:$A$24,0)),"No")</f>
        <v>No</v>
      </c>
      <c r="E1667">
        <v>4</v>
      </c>
      <c r="F1667" t="s">
        <v>37</v>
      </c>
      <c r="G1667">
        <v>95</v>
      </c>
      <c r="H1667" t="s">
        <v>106</v>
      </c>
      <c r="I1667" t="s">
        <v>22</v>
      </c>
      <c r="J1667" t="s">
        <v>26</v>
      </c>
      <c r="K1667" t="s">
        <v>3</v>
      </c>
      <c r="L1667" s="36">
        <f ca="1">IF(C1667&lt;&gt;"Yes",0,IF(A1667=2025,N('2025'!D95),IF(A1667=2026,N('2026'!D95),IF(A1667=2027,N('2027'!D95),IF(A1667=2028,N('2028'!D95),IF(A1667=2029,N('2029'!D95),IF(A1667=2030,N('2030'!D95),IF(A1667=2031,N('2031'!D95),IF(A1667=2032,N('2032'!D95),IF(A1667=2033,N('2033'!D95),IF(A1667=2034,N('2034'!D95),IFERROR(N(INDIRECT("'"&amp;A1667&amp;"'!D"&amp;G1667)),0))))))))))))</f>
        <v>0</v>
      </c>
      <c r="M1667" s="36">
        <f>IFERROR(IF(NOT(ISBLANK(KPI_TARGETS!$N$17)),KPI_TARGETS!$N$17,IF(NOT(ISBLANK(KPI_TARGETS!$F$17)),KPI_TARGETS!$F$17,"")),"")</f>
        <v>12</v>
      </c>
      <c r="N1667" s="36" t="str">
        <f>IFERROR(KPI_TARGETS!$E$17,"Higher is better")</f>
        <v>Higher is better</v>
      </c>
      <c r="O1667" s="37">
        <f t="shared" ca="1" si="156"/>
        <v>0</v>
      </c>
      <c r="P1667" t="str">
        <f t="shared" ca="1" si="157"/>
        <v>Red</v>
      </c>
      <c r="Q1667" s="36">
        <f t="shared" ca="1" si="158"/>
        <v>-12</v>
      </c>
      <c r="R1667" s="36" t="str">
        <f>""</f>
        <v/>
      </c>
      <c r="S1667" s="36" t="str">
        <f>""</f>
        <v/>
      </c>
      <c r="T1667" s="36" t="str">
        <f>""</f>
        <v/>
      </c>
      <c r="U1667" s="36" t="str">
        <f>""</f>
        <v/>
      </c>
      <c r="V1667" s="36" t="str">
        <f>""</f>
        <v/>
      </c>
      <c r="W1667" s="36">
        <f t="shared" si="159"/>
        <v>1</v>
      </c>
      <c r="X1667" t="str">
        <f t="shared" si="160"/>
        <v>Inactive</v>
      </c>
      <c r="Y1667" t="str">
        <f>IF(MAIN!$H$3="Selected Year",IF(A1667=MAIN!$B$3,"Yes","No"),IF(MAIN!$H$3="Included Years",IF(D1667="Yes","Yes","No"),IF(C1667="Yes","Yes","No")))</f>
        <v>No</v>
      </c>
      <c r="Z1667" t="str">
        <f>IF(MAIN!$F$3="Project to Date",IF(AND(A1667&gt;=SETTINGS!$B$4,A1667&lt;MAIN!$B$3),"Yes",IF(AND(A1667=MAIN!$B$3,E1667&lt;=MAIN!$L$3),"Yes","No")),IF(OR(MAIN!$F$3="Full Year",MAIN!$D$3="All"),"Yes",IF(MAIN!$F$3="Monthly",IF(E1667=MAIN!$L$3,"Yes","No"),IF(E1667&lt;=MAIN!$L$3,"Yes","No"))))</f>
        <v>Yes</v>
      </c>
      <c r="AA1667" t="str">
        <f t="shared" si="161"/>
        <v>No</v>
      </c>
    </row>
    <row r="1668" spans="1:27" x14ac:dyDescent="0.3">
      <c r="A1668">
        <f>INDEX(SETTINGS!$A$15:$A$24,$B1668)</f>
        <v>2032</v>
      </c>
      <c r="B1668">
        <v>8</v>
      </c>
      <c r="C1668" t="str">
        <f>IF(AND(A1668&gt;=SETTINGS!$B$4,A1668&lt;=SETTINGS!$B$5),"Yes","No")</f>
        <v>No</v>
      </c>
      <c r="D1668" t="str">
        <f>IFERROR(INDEX(SETTINGS!$C$15:$C$24,MATCH(A1668,SETTINGS!$A$15:$A$24,0)),"No")</f>
        <v>No</v>
      </c>
      <c r="E1668">
        <v>4</v>
      </c>
      <c r="F1668" t="s">
        <v>37</v>
      </c>
      <c r="G1668">
        <v>96</v>
      </c>
      <c r="H1668" t="s">
        <v>107</v>
      </c>
      <c r="I1668" t="s">
        <v>22</v>
      </c>
      <c r="J1668" t="s">
        <v>27</v>
      </c>
      <c r="K1668" t="s">
        <v>3</v>
      </c>
      <c r="L1668" s="36">
        <f ca="1">IF(C1668&lt;&gt;"Yes",0,IF(A1668=2025,N('2025'!D96),IF(A1668=2026,N('2026'!D96),IF(A1668=2027,N('2027'!D96),IF(A1668=2028,N('2028'!D96),IF(A1668=2029,N('2029'!D96),IF(A1668=2030,N('2030'!D96),IF(A1668=2031,N('2031'!D96),IF(A1668=2032,N('2032'!D96),IF(A1668=2033,N('2033'!D96),IF(A1668=2034,N('2034'!D96),IFERROR(N(INDIRECT("'"&amp;A1668&amp;"'!D"&amp;G1668)),0))))))))))))</f>
        <v>0</v>
      </c>
      <c r="M1668" s="36">
        <f>IFERROR(IF(NOT(ISBLANK(KPI_TARGETS!$N$18)),KPI_TARGETS!$N$18,IF(NOT(ISBLANK(KPI_TARGETS!$F$18)),KPI_TARGETS!$F$18,"")),"")</f>
        <v>4</v>
      </c>
      <c r="N1668" s="36" t="str">
        <f>IFERROR(KPI_TARGETS!$E$18,"Higher is better")</f>
        <v>Higher is better</v>
      </c>
      <c r="O1668" s="37">
        <f t="shared" ca="1" si="156"/>
        <v>0</v>
      </c>
      <c r="P1668" t="str">
        <f t="shared" ca="1" si="157"/>
        <v>Red</v>
      </c>
      <c r="Q1668" s="36">
        <f t="shared" ca="1" si="158"/>
        <v>-4</v>
      </c>
      <c r="R1668" s="36" t="str">
        <f>""</f>
        <v/>
      </c>
      <c r="S1668" s="36" t="str">
        <f>""</f>
        <v/>
      </c>
      <c r="T1668" s="36" t="str">
        <f>""</f>
        <v/>
      </c>
      <c r="U1668" s="36" t="str">
        <f>""</f>
        <v/>
      </c>
      <c r="V1668" s="36" t="str">
        <f>""</f>
        <v/>
      </c>
      <c r="W1668" s="36">
        <f t="shared" si="159"/>
        <v>1</v>
      </c>
      <c r="X1668" t="str">
        <f t="shared" si="160"/>
        <v>Inactive</v>
      </c>
      <c r="Y1668" t="str">
        <f>IF(MAIN!$H$3="Selected Year",IF(A1668=MAIN!$B$3,"Yes","No"),IF(MAIN!$H$3="Included Years",IF(D1668="Yes","Yes","No"),IF(C1668="Yes","Yes","No")))</f>
        <v>No</v>
      </c>
      <c r="Z1668" t="str">
        <f>IF(MAIN!$F$3="Project to Date",IF(AND(A1668&gt;=SETTINGS!$B$4,A1668&lt;MAIN!$B$3),"Yes",IF(AND(A1668=MAIN!$B$3,E1668&lt;=MAIN!$L$3),"Yes","No")),IF(OR(MAIN!$F$3="Full Year",MAIN!$D$3="All"),"Yes",IF(MAIN!$F$3="Monthly",IF(E1668=MAIN!$L$3,"Yes","No"),IF(E1668&lt;=MAIN!$L$3,"Yes","No"))))</f>
        <v>Yes</v>
      </c>
      <c r="AA1668" t="str">
        <f t="shared" si="161"/>
        <v>No</v>
      </c>
    </row>
    <row r="1669" spans="1:27" x14ac:dyDescent="0.3">
      <c r="A1669">
        <f>INDEX(SETTINGS!$A$15:$A$24,$B1669)</f>
        <v>2032</v>
      </c>
      <c r="B1669">
        <v>8</v>
      </c>
      <c r="C1669" t="str">
        <f>IF(AND(A1669&gt;=SETTINGS!$B$4,A1669&lt;=SETTINGS!$B$5),"Yes","No")</f>
        <v>No</v>
      </c>
      <c r="D1669" t="str">
        <f>IFERROR(INDEX(SETTINGS!$C$15:$C$24,MATCH(A1669,SETTINGS!$A$15:$A$24,0)),"No")</f>
        <v>No</v>
      </c>
      <c r="E1669">
        <v>4</v>
      </c>
      <c r="F1669" t="s">
        <v>37</v>
      </c>
      <c r="G1669">
        <v>97</v>
      </c>
      <c r="H1669" t="s">
        <v>108</v>
      </c>
      <c r="I1669" t="s">
        <v>22</v>
      </c>
      <c r="J1669" t="s">
        <v>28</v>
      </c>
      <c r="K1669" t="s">
        <v>3</v>
      </c>
      <c r="L1669" s="36">
        <f ca="1">IF(C1669&lt;&gt;"Yes",0,IF(A1669=2025,N('2025'!D97),IF(A1669=2026,N('2026'!D97),IF(A1669=2027,N('2027'!D97),IF(A1669=2028,N('2028'!D97),IF(A1669=2029,N('2029'!D97),IF(A1669=2030,N('2030'!D97),IF(A1669=2031,N('2031'!D97),IF(A1669=2032,N('2032'!D97),IF(A1669=2033,N('2033'!D97),IF(A1669=2034,N('2034'!D97),IFERROR(N(INDIRECT("'"&amp;A1669&amp;"'!D"&amp;G1669)),0))))))))))))</f>
        <v>0</v>
      </c>
      <c r="M1669" s="36">
        <f>IFERROR(IF(NOT(ISBLANK(KPI_TARGETS!$N$19)),KPI_TARGETS!$N$19,IF(NOT(ISBLANK(KPI_TARGETS!$F$19)),KPI_TARGETS!$F$19,"")),"")</f>
        <v>16</v>
      </c>
      <c r="N1669" s="36" t="str">
        <f>IFERROR(KPI_TARGETS!$E$19,"Higher is better")</f>
        <v>Higher is better</v>
      </c>
      <c r="O1669" s="37">
        <f t="shared" ca="1" si="156"/>
        <v>0</v>
      </c>
      <c r="P1669" t="str">
        <f t="shared" ca="1" si="157"/>
        <v>Red</v>
      </c>
      <c r="Q1669" s="36">
        <f t="shared" ca="1" si="158"/>
        <v>-16</v>
      </c>
      <c r="R1669" s="36" t="str">
        <f>""</f>
        <v/>
      </c>
      <c r="S1669" s="36" t="str">
        <f>""</f>
        <v/>
      </c>
      <c r="T1669" s="36" t="str">
        <f>""</f>
        <v/>
      </c>
      <c r="U1669" s="36" t="str">
        <f>""</f>
        <v/>
      </c>
      <c r="V1669" s="36" t="str">
        <f>""</f>
        <v/>
      </c>
      <c r="W1669" s="36">
        <f t="shared" si="159"/>
        <v>1</v>
      </c>
      <c r="X1669" t="str">
        <f t="shared" si="160"/>
        <v>Inactive</v>
      </c>
      <c r="Y1669" t="str">
        <f>IF(MAIN!$H$3="Selected Year",IF(A1669=MAIN!$B$3,"Yes","No"),IF(MAIN!$H$3="Included Years",IF(D1669="Yes","Yes","No"),IF(C1669="Yes","Yes","No")))</f>
        <v>No</v>
      </c>
      <c r="Z1669" t="str">
        <f>IF(MAIN!$F$3="Project to Date",IF(AND(A1669&gt;=SETTINGS!$B$4,A1669&lt;MAIN!$B$3),"Yes",IF(AND(A1669=MAIN!$B$3,E1669&lt;=MAIN!$L$3),"Yes","No")),IF(OR(MAIN!$F$3="Full Year",MAIN!$D$3="All"),"Yes",IF(MAIN!$F$3="Monthly",IF(E1669=MAIN!$L$3,"Yes","No"),IF(E1669&lt;=MAIN!$L$3,"Yes","No"))))</f>
        <v>Yes</v>
      </c>
      <c r="AA1669" t="str">
        <f t="shared" si="161"/>
        <v>No</v>
      </c>
    </row>
    <row r="1670" spans="1:27" x14ac:dyDescent="0.3">
      <c r="A1670">
        <f>INDEX(SETTINGS!$A$15:$A$24,$B1670)</f>
        <v>2032</v>
      </c>
      <c r="B1670">
        <v>8</v>
      </c>
      <c r="C1670" t="str">
        <f>IF(AND(A1670&gt;=SETTINGS!$B$4,A1670&lt;=SETTINGS!$B$5),"Yes","No")</f>
        <v>No</v>
      </c>
      <c r="D1670" t="str">
        <f>IFERROR(INDEX(SETTINGS!$C$15:$C$24,MATCH(A1670,SETTINGS!$A$15:$A$24,0)),"No")</f>
        <v>No</v>
      </c>
      <c r="E1670">
        <v>4</v>
      </c>
      <c r="F1670" t="s">
        <v>37</v>
      </c>
      <c r="G1670">
        <v>98</v>
      </c>
      <c r="H1670" t="s">
        <v>109</v>
      </c>
      <c r="I1670" t="s">
        <v>22</v>
      </c>
      <c r="J1670" t="s">
        <v>29</v>
      </c>
      <c r="K1670" t="s">
        <v>3</v>
      </c>
      <c r="L1670" s="36">
        <f ca="1">IF(C1670&lt;&gt;"Yes",0,IF(A1670=2025,N('2025'!D98),IF(A1670=2026,N('2026'!D98),IF(A1670=2027,N('2027'!D98),IF(A1670=2028,N('2028'!D98),IF(A1670=2029,N('2029'!D98),IF(A1670=2030,N('2030'!D98),IF(A1670=2031,N('2031'!D98),IF(A1670=2032,N('2032'!D98),IF(A1670=2033,N('2033'!D98),IF(A1670=2034,N('2034'!D98),IFERROR(N(INDIRECT("'"&amp;A1670&amp;"'!D"&amp;G1670)),0))))))))))))</f>
        <v>0</v>
      </c>
      <c r="M1670" s="36">
        <f>IFERROR(IF(NOT(ISBLANK(KPI_TARGETS!$N$20)),KPI_TARGETS!$N$20,IF(NOT(ISBLANK(KPI_TARGETS!$F$20)),KPI_TARGETS!$F$20,"")),"")</f>
        <v>1</v>
      </c>
      <c r="N1670" s="36" t="str">
        <f>IFERROR(KPI_TARGETS!$E$20,"Higher is better")</f>
        <v>Higher is better</v>
      </c>
      <c r="O1670" s="37">
        <f t="shared" ca="1" si="156"/>
        <v>0</v>
      </c>
      <c r="P1670" t="str">
        <f t="shared" ca="1" si="157"/>
        <v>Red</v>
      </c>
      <c r="Q1670" s="36">
        <f t="shared" ca="1" si="158"/>
        <v>-1</v>
      </c>
      <c r="R1670" s="36" t="str">
        <f>""</f>
        <v/>
      </c>
      <c r="S1670" s="36" t="str">
        <f>""</f>
        <v/>
      </c>
      <c r="T1670" s="36" t="str">
        <f>""</f>
        <v/>
      </c>
      <c r="U1670" s="36" t="str">
        <f>""</f>
        <v/>
      </c>
      <c r="V1670" s="36" t="str">
        <f>""</f>
        <v/>
      </c>
      <c r="W1670" s="36">
        <f t="shared" si="159"/>
        <v>1</v>
      </c>
      <c r="X1670" t="str">
        <f t="shared" si="160"/>
        <v>Inactive</v>
      </c>
      <c r="Y1670" t="str">
        <f>IF(MAIN!$H$3="Selected Year",IF(A1670=MAIN!$B$3,"Yes","No"),IF(MAIN!$H$3="Included Years",IF(D1670="Yes","Yes","No"),IF(C1670="Yes","Yes","No")))</f>
        <v>No</v>
      </c>
      <c r="Z1670" t="str">
        <f>IF(MAIN!$F$3="Project to Date",IF(AND(A1670&gt;=SETTINGS!$B$4,A1670&lt;MAIN!$B$3),"Yes",IF(AND(A1670=MAIN!$B$3,E1670&lt;=MAIN!$L$3),"Yes","No")),IF(OR(MAIN!$F$3="Full Year",MAIN!$D$3="All"),"Yes",IF(MAIN!$F$3="Monthly",IF(E1670=MAIN!$L$3,"Yes","No"),IF(E1670&lt;=MAIN!$L$3,"Yes","No"))))</f>
        <v>Yes</v>
      </c>
      <c r="AA1670" t="str">
        <f t="shared" si="161"/>
        <v>No</v>
      </c>
    </row>
    <row r="1671" spans="1:27" x14ac:dyDescent="0.3">
      <c r="A1671">
        <f>INDEX(SETTINGS!$A$15:$A$24,$B1671)</f>
        <v>2032</v>
      </c>
      <c r="B1671">
        <v>8</v>
      </c>
      <c r="C1671" t="str">
        <f>IF(AND(A1671&gt;=SETTINGS!$B$4,A1671&lt;=SETTINGS!$B$5),"Yes","No")</f>
        <v>No</v>
      </c>
      <c r="D1671" t="str">
        <f>IFERROR(INDEX(SETTINGS!$C$15:$C$24,MATCH(A1671,SETTINGS!$A$15:$A$24,0)),"No")</f>
        <v>No</v>
      </c>
      <c r="E1671">
        <v>4</v>
      </c>
      <c r="F1671" t="s">
        <v>37</v>
      </c>
      <c r="G1671">
        <v>100</v>
      </c>
      <c r="H1671" t="s">
        <v>110</v>
      </c>
      <c r="I1671" t="s">
        <v>30</v>
      </c>
      <c r="J1671" t="s">
        <v>31</v>
      </c>
      <c r="K1671" t="s">
        <v>3</v>
      </c>
      <c r="L1671" s="36">
        <f ca="1">IF(C1671&lt;&gt;"Yes",0,IF(A1671=2025,N('2025'!D100),IF(A1671=2026,N('2026'!D100),IF(A1671=2027,N('2027'!D100),IF(A1671=2028,N('2028'!D100),IF(A1671=2029,N('2029'!D100),IF(A1671=2030,N('2030'!D100),IF(A1671=2031,N('2031'!D100),IF(A1671=2032,N('2032'!D100),IF(A1671=2033,N('2033'!D100),IF(A1671=2034,N('2034'!D100),IFERROR(N(INDIRECT("'"&amp;A1671&amp;"'!D"&amp;G1671)),0))))))))))))</f>
        <v>0</v>
      </c>
      <c r="M1671" s="36">
        <f>IFERROR(IF(NOT(ISBLANK(KPI_TARGETS!$N$21)),KPI_TARGETS!$N$21,IF(NOT(ISBLANK(KPI_TARGETS!$F$21)),KPI_TARGETS!$F$21,"")),"")</f>
        <v>0</v>
      </c>
      <c r="N1671" s="36" t="str">
        <f>IFERROR(KPI_TARGETS!$E$21,"Higher is better")</f>
        <v>Lower is better</v>
      </c>
      <c r="O1671" s="37">
        <f t="shared" ca="1" si="156"/>
        <v>1</v>
      </c>
      <c r="P1671" t="str">
        <f t="shared" ca="1" si="157"/>
        <v>Green</v>
      </c>
      <c r="Q1671" s="36">
        <f t="shared" ca="1" si="158"/>
        <v>0</v>
      </c>
      <c r="R1671" s="36" t="str">
        <f>""</f>
        <v/>
      </c>
      <c r="S1671" s="36" t="str">
        <f>""</f>
        <v/>
      </c>
      <c r="T1671" s="36" t="str">
        <f>""</f>
        <v/>
      </c>
      <c r="U1671" s="36" t="str">
        <f>""</f>
        <v/>
      </c>
      <c r="V1671" s="36" t="str">
        <f>""</f>
        <v/>
      </c>
      <c r="W1671" s="36">
        <f t="shared" si="159"/>
        <v>1</v>
      </c>
      <c r="X1671" t="str">
        <f t="shared" si="160"/>
        <v>Inactive</v>
      </c>
      <c r="Y1671" t="str">
        <f>IF(MAIN!$H$3="Selected Year",IF(A1671=MAIN!$B$3,"Yes","No"),IF(MAIN!$H$3="Included Years",IF(D1671="Yes","Yes","No"),IF(C1671="Yes","Yes","No")))</f>
        <v>No</v>
      </c>
      <c r="Z1671" t="str">
        <f>IF(MAIN!$F$3="Project to Date",IF(AND(A1671&gt;=SETTINGS!$B$4,A1671&lt;MAIN!$B$3),"Yes",IF(AND(A1671=MAIN!$B$3,E1671&lt;=MAIN!$L$3),"Yes","No")),IF(OR(MAIN!$F$3="Full Year",MAIN!$D$3="All"),"Yes",IF(MAIN!$F$3="Monthly",IF(E1671=MAIN!$L$3,"Yes","No"),IF(E1671&lt;=MAIN!$L$3,"Yes","No"))))</f>
        <v>Yes</v>
      </c>
      <c r="AA1671" t="str">
        <f t="shared" si="161"/>
        <v>No</v>
      </c>
    </row>
    <row r="1672" spans="1:27" x14ac:dyDescent="0.3">
      <c r="A1672">
        <f>INDEX(SETTINGS!$A$15:$A$24,$B1672)</f>
        <v>2032</v>
      </c>
      <c r="B1672">
        <v>8</v>
      </c>
      <c r="C1672" t="str">
        <f>IF(AND(A1672&gt;=SETTINGS!$B$4,A1672&lt;=SETTINGS!$B$5),"Yes","No")</f>
        <v>No</v>
      </c>
      <c r="D1672" t="str">
        <f>IFERROR(INDEX(SETTINGS!$C$15:$C$24,MATCH(A1672,SETTINGS!$A$15:$A$24,0)),"No")</f>
        <v>No</v>
      </c>
      <c r="E1672">
        <v>4</v>
      </c>
      <c r="F1672" t="s">
        <v>37</v>
      </c>
      <c r="G1672">
        <v>101</v>
      </c>
      <c r="H1672" t="s">
        <v>111</v>
      </c>
      <c r="I1672" t="s">
        <v>30</v>
      </c>
      <c r="J1672" t="s">
        <v>32</v>
      </c>
      <c r="K1672" t="s">
        <v>3</v>
      </c>
      <c r="L1672" s="36">
        <f ca="1">IF(C1672&lt;&gt;"Yes",0,IF(A1672=2025,N('2025'!D101),IF(A1672=2026,N('2026'!D101),IF(A1672=2027,N('2027'!D101),IF(A1672=2028,N('2028'!D101),IF(A1672=2029,N('2029'!D101),IF(A1672=2030,N('2030'!D101),IF(A1672=2031,N('2031'!D101),IF(A1672=2032,N('2032'!D101),IF(A1672=2033,N('2033'!D101),IF(A1672=2034,N('2034'!D101),IFERROR(N(INDIRECT("'"&amp;A1672&amp;"'!D"&amp;G1672)),0))))))))))))</f>
        <v>0</v>
      </c>
      <c r="M1672" s="36">
        <f>IFERROR(IF(NOT(ISBLANK(KPI_TARGETS!$N$22)),KPI_TARGETS!$N$22,IF(NOT(ISBLANK(KPI_TARGETS!$F$22)),KPI_TARGETS!$F$22,"")),"")</f>
        <v>1</v>
      </c>
      <c r="N1672" s="36" t="str">
        <f>IFERROR(KPI_TARGETS!$E$22,"Higher is better")</f>
        <v>Higher is better</v>
      </c>
      <c r="O1672" s="37">
        <f t="shared" ca="1" si="156"/>
        <v>0</v>
      </c>
      <c r="P1672" t="str">
        <f t="shared" ca="1" si="157"/>
        <v>Red</v>
      </c>
      <c r="Q1672" s="36">
        <f t="shared" ca="1" si="158"/>
        <v>-1</v>
      </c>
      <c r="R1672" s="36" t="str">
        <f>""</f>
        <v/>
      </c>
      <c r="S1672" s="36" t="str">
        <f>""</f>
        <v/>
      </c>
      <c r="T1672" s="36" t="str">
        <f>""</f>
        <v/>
      </c>
      <c r="U1672" s="36" t="str">
        <f>""</f>
        <v/>
      </c>
      <c r="V1672" s="36" t="str">
        <f>""</f>
        <v/>
      </c>
      <c r="W1672" s="36">
        <f t="shared" si="159"/>
        <v>1</v>
      </c>
      <c r="X1672" t="str">
        <f t="shared" si="160"/>
        <v>Inactive</v>
      </c>
      <c r="Y1672" t="str">
        <f>IF(MAIN!$H$3="Selected Year",IF(A1672=MAIN!$B$3,"Yes","No"),IF(MAIN!$H$3="Included Years",IF(D1672="Yes","Yes","No"),IF(C1672="Yes","Yes","No")))</f>
        <v>No</v>
      </c>
      <c r="Z1672" t="str">
        <f>IF(MAIN!$F$3="Project to Date",IF(AND(A1672&gt;=SETTINGS!$B$4,A1672&lt;MAIN!$B$3),"Yes",IF(AND(A1672=MAIN!$B$3,E1672&lt;=MAIN!$L$3),"Yes","No")),IF(OR(MAIN!$F$3="Full Year",MAIN!$D$3="All"),"Yes",IF(MAIN!$F$3="Monthly",IF(E1672=MAIN!$L$3,"Yes","No"),IF(E1672&lt;=MAIN!$L$3,"Yes","No"))))</f>
        <v>Yes</v>
      </c>
      <c r="AA1672" t="str">
        <f t="shared" si="161"/>
        <v>No</v>
      </c>
    </row>
    <row r="1673" spans="1:27" x14ac:dyDescent="0.3">
      <c r="A1673">
        <f>INDEX(SETTINGS!$A$15:$A$24,$B1673)</f>
        <v>2032</v>
      </c>
      <c r="B1673">
        <v>8</v>
      </c>
      <c r="C1673" t="str">
        <f>IF(AND(A1673&gt;=SETTINGS!$B$4,A1673&lt;=SETTINGS!$B$5),"Yes","No")</f>
        <v>No</v>
      </c>
      <c r="D1673" t="str">
        <f>IFERROR(INDEX(SETTINGS!$C$15:$C$24,MATCH(A1673,SETTINGS!$A$15:$A$24,0)),"No")</f>
        <v>No</v>
      </c>
      <c r="E1673">
        <v>4</v>
      </c>
      <c r="F1673" t="s">
        <v>37</v>
      </c>
      <c r="G1673">
        <v>102</v>
      </c>
      <c r="H1673" t="s">
        <v>112</v>
      </c>
      <c r="I1673" t="s">
        <v>30</v>
      </c>
      <c r="J1673" t="s">
        <v>33</v>
      </c>
      <c r="K1673" t="s">
        <v>34</v>
      </c>
      <c r="L1673" s="36">
        <f ca="1">IF(C1673&lt;&gt;"Yes",0,IF(A1673=2025,N('2025'!D102),IF(A1673=2026,N('2026'!D102),IF(A1673=2027,N('2027'!D102),IF(A1673=2028,N('2028'!D102),IF(A1673=2029,N('2029'!D102),IF(A1673=2030,N('2030'!D102),IF(A1673=2031,N('2031'!D102),IF(A1673=2032,N('2032'!D102),IF(A1673=2033,N('2033'!D102),IF(A1673=2034,N('2034'!D102),IFERROR(N(INDIRECT("'"&amp;A1673&amp;"'!D"&amp;G1673)),0))))))))))))</f>
        <v>0</v>
      </c>
      <c r="M1673" s="36">
        <f>IFERROR(IF(NOT(ISBLANK(KPI_TARGETS!$N$23)),KPI_TARGETS!$N$23,IF(NOT(ISBLANK(KPI_TARGETS!$F$23)),KPI_TARGETS!$F$23,"")),"")</f>
        <v>1</v>
      </c>
      <c r="N1673" s="36" t="str">
        <f>IFERROR(KPI_TARGETS!$E$23,"Higher is better")</f>
        <v>Higher is better</v>
      </c>
      <c r="O1673" s="37">
        <f t="shared" ca="1" si="156"/>
        <v>0</v>
      </c>
      <c r="P1673" t="str">
        <f t="shared" ca="1" si="157"/>
        <v>Red</v>
      </c>
      <c r="Q1673" s="36">
        <f t="shared" ca="1" si="158"/>
        <v>-1</v>
      </c>
      <c r="R1673" s="36" t="str">
        <f>""</f>
        <v/>
      </c>
      <c r="S1673" s="36" t="str">
        <f>""</f>
        <v/>
      </c>
      <c r="T1673" s="36" t="str">
        <f>""</f>
        <v/>
      </c>
      <c r="U1673" s="36" t="str">
        <f>""</f>
        <v/>
      </c>
      <c r="V1673" s="36" t="str">
        <f>""</f>
        <v/>
      </c>
      <c r="W1673" s="36">
        <f t="shared" si="159"/>
        <v>1</v>
      </c>
      <c r="X1673" t="str">
        <f t="shared" si="160"/>
        <v>Inactive</v>
      </c>
      <c r="Y1673" t="str">
        <f>IF(MAIN!$H$3="Selected Year",IF(A1673=MAIN!$B$3,"Yes","No"),IF(MAIN!$H$3="Included Years",IF(D1673="Yes","Yes","No"),IF(C1673="Yes","Yes","No")))</f>
        <v>No</v>
      </c>
      <c r="Z1673" t="str">
        <f>IF(MAIN!$F$3="Project to Date",IF(AND(A1673&gt;=SETTINGS!$B$4,A1673&lt;MAIN!$B$3),"Yes",IF(AND(A1673=MAIN!$B$3,E1673&lt;=MAIN!$L$3),"Yes","No")),IF(OR(MAIN!$F$3="Full Year",MAIN!$D$3="All"),"Yes",IF(MAIN!$F$3="Monthly",IF(E1673=MAIN!$L$3,"Yes","No"),IF(E1673&lt;=MAIN!$L$3,"Yes","No"))))</f>
        <v>Yes</v>
      </c>
      <c r="AA1673" t="str">
        <f t="shared" si="161"/>
        <v>No</v>
      </c>
    </row>
    <row r="1674" spans="1:27" x14ac:dyDescent="0.3">
      <c r="A1674">
        <f>INDEX(SETTINGS!$A$15:$A$24,$B1674)</f>
        <v>2032</v>
      </c>
      <c r="B1674">
        <v>8</v>
      </c>
      <c r="C1674" t="str">
        <f>IF(AND(A1674&gt;=SETTINGS!$B$4,A1674&lt;=SETTINGS!$B$5),"Yes","No")</f>
        <v>No</v>
      </c>
      <c r="D1674" t="str">
        <f>IFERROR(INDEX(SETTINGS!$C$15:$C$24,MATCH(A1674,SETTINGS!$A$15:$A$24,0)),"No")</f>
        <v>No</v>
      </c>
      <c r="E1674">
        <v>5</v>
      </c>
      <c r="F1674" t="s">
        <v>38</v>
      </c>
      <c r="G1674">
        <v>105</v>
      </c>
      <c r="H1674" t="s">
        <v>88</v>
      </c>
      <c r="I1674" t="s">
        <v>89</v>
      </c>
      <c r="J1674" t="s">
        <v>10</v>
      </c>
      <c r="K1674" t="s">
        <v>3</v>
      </c>
      <c r="L1674" s="36">
        <f ca="1">IF(C1674&lt;&gt;"Yes",0,IF(A1674=2025,N('2025'!D105),IF(A1674=2026,N('2026'!D105),IF(A1674=2027,N('2027'!D105),IF(A1674=2028,N('2028'!D105),IF(A1674=2029,N('2029'!D105),IF(A1674=2030,N('2030'!D105),IF(A1674=2031,N('2031'!D105),IF(A1674=2032,N('2032'!D105),IF(A1674=2033,N('2033'!D105),IF(A1674=2034,N('2034'!D105),IFERROR(N(INDIRECT("'"&amp;A1674&amp;"'!D"&amp;G1674)),0))))))))))))</f>
        <v>0</v>
      </c>
      <c r="M1674" s="36">
        <f>IFERROR(IF(NOT(ISBLANK(KPI_TARGETS!$N$5)),KPI_TARGETS!$N$5,IF(NOT(ISBLANK(KPI_TARGETS!$F$5)),KPI_TARGETS!$F$5,"")),"")</f>
        <v>104</v>
      </c>
      <c r="N1674" s="36" t="str">
        <f>IFERROR(KPI_TARGETS!$E$5,"Higher is better")</f>
        <v>Higher is better</v>
      </c>
      <c r="O1674" s="37">
        <f t="shared" ca="1" si="156"/>
        <v>0</v>
      </c>
      <c r="P1674" t="str">
        <f t="shared" ca="1" si="157"/>
        <v>Red</v>
      </c>
      <c r="Q1674" s="36">
        <f t="shared" ca="1" si="158"/>
        <v>-104</v>
      </c>
      <c r="R1674" s="36" t="str">
        <f>""</f>
        <v/>
      </c>
      <c r="S1674" s="36" t="str">
        <f>""</f>
        <v/>
      </c>
      <c r="T1674" s="36" t="str">
        <f>""</f>
        <v/>
      </c>
      <c r="U1674" s="36" t="str">
        <f>""</f>
        <v/>
      </c>
      <c r="V1674" s="36" t="str">
        <f>""</f>
        <v/>
      </c>
      <c r="W1674" s="36">
        <f t="shared" si="159"/>
        <v>1</v>
      </c>
      <c r="X1674" t="str">
        <f t="shared" si="160"/>
        <v>Inactive</v>
      </c>
      <c r="Y1674" t="str">
        <f>IF(MAIN!$H$3="Selected Year",IF(A1674=MAIN!$B$3,"Yes","No"),IF(MAIN!$H$3="Included Years",IF(D1674="Yes","Yes","No"),IF(C1674="Yes","Yes","No")))</f>
        <v>No</v>
      </c>
      <c r="Z1674" t="str">
        <f>IF(MAIN!$F$3="Project to Date",IF(AND(A1674&gt;=SETTINGS!$B$4,A1674&lt;MAIN!$B$3),"Yes",IF(AND(A1674=MAIN!$B$3,E1674&lt;=MAIN!$L$3),"Yes","No")),IF(OR(MAIN!$F$3="Full Year",MAIN!$D$3="All"),"Yes",IF(MAIN!$F$3="Monthly",IF(E1674=MAIN!$L$3,"Yes","No"),IF(E1674&lt;=MAIN!$L$3,"Yes","No"))))</f>
        <v>Yes</v>
      </c>
      <c r="AA1674" t="str">
        <f t="shared" si="161"/>
        <v>No</v>
      </c>
    </row>
    <row r="1675" spans="1:27" x14ac:dyDescent="0.3">
      <c r="A1675">
        <f>INDEX(SETTINGS!$A$15:$A$24,$B1675)</f>
        <v>2032</v>
      </c>
      <c r="B1675">
        <v>8</v>
      </c>
      <c r="C1675" t="str">
        <f>IF(AND(A1675&gt;=SETTINGS!$B$4,A1675&lt;=SETTINGS!$B$5),"Yes","No")</f>
        <v>No</v>
      </c>
      <c r="D1675" t="str">
        <f>IFERROR(INDEX(SETTINGS!$C$15:$C$24,MATCH(A1675,SETTINGS!$A$15:$A$24,0)),"No")</f>
        <v>No</v>
      </c>
      <c r="E1675">
        <v>5</v>
      </c>
      <c r="F1675" t="s">
        <v>38</v>
      </c>
      <c r="G1675">
        <v>106</v>
      </c>
      <c r="H1675" t="s">
        <v>91</v>
      </c>
      <c r="I1675" t="s">
        <v>89</v>
      </c>
      <c r="J1675" t="s">
        <v>11</v>
      </c>
      <c r="K1675" t="s">
        <v>12</v>
      </c>
      <c r="L1675" s="36">
        <f ca="1">IF(C1675&lt;&gt;"Yes",0,IF(A1675=2025,N('2025'!D106),IF(A1675=2026,N('2026'!D106),IF(A1675=2027,N('2027'!D106),IF(A1675=2028,N('2028'!D106),IF(A1675=2029,N('2029'!D106),IF(A1675=2030,N('2030'!D106),IF(A1675=2031,N('2031'!D106),IF(A1675=2032,N('2032'!D106),IF(A1675=2033,N('2033'!D106),IF(A1675=2034,N('2034'!D106),IFERROR(N(INDIRECT("'"&amp;A1675&amp;"'!D"&amp;G1675)),0))))))))))))</f>
        <v>0</v>
      </c>
      <c r="M1675" s="36">
        <f>IFERROR(IF(NOT(ISBLANK(KPI_TARGETS!$N$6)),KPI_TARGETS!$N$6,IF(NOT(ISBLANK(KPI_TARGETS!$F$6)),KPI_TARGETS!$F$6,"")),"")</f>
        <v>4000</v>
      </c>
      <c r="N1675" s="36" t="str">
        <f>IFERROR(KPI_TARGETS!$E$6,"Higher is better")</f>
        <v>Higher is better</v>
      </c>
      <c r="O1675" s="37">
        <f t="shared" ca="1" si="156"/>
        <v>0</v>
      </c>
      <c r="P1675" t="str">
        <f t="shared" ca="1" si="157"/>
        <v>Red</v>
      </c>
      <c r="Q1675" s="36">
        <f t="shared" ca="1" si="158"/>
        <v>-4000</v>
      </c>
      <c r="R1675" s="36" t="str">
        <f>""</f>
        <v/>
      </c>
      <c r="S1675" s="36" t="str">
        <f>""</f>
        <v/>
      </c>
      <c r="T1675" s="36" t="str">
        <f>""</f>
        <v/>
      </c>
      <c r="U1675" s="36" t="str">
        <f>""</f>
        <v/>
      </c>
      <c r="V1675" s="36" t="str">
        <f>""</f>
        <v/>
      </c>
      <c r="W1675" s="36">
        <f t="shared" si="159"/>
        <v>1</v>
      </c>
      <c r="X1675" t="str">
        <f t="shared" si="160"/>
        <v>Inactive</v>
      </c>
      <c r="Y1675" t="str">
        <f>IF(MAIN!$H$3="Selected Year",IF(A1675=MAIN!$B$3,"Yes","No"),IF(MAIN!$H$3="Included Years",IF(D1675="Yes","Yes","No"),IF(C1675="Yes","Yes","No")))</f>
        <v>No</v>
      </c>
      <c r="Z1675" t="str">
        <f>IF(MAIN!$F$3="Project to Date",IF(AND(A1675&gt;=SETTINGS!$B$4,A1675&lt;MAIN!$B$3),"Yes",IF(AND(A1675=MAIN!$B$3,E1675&lt;=MAIN!$L$3),"Yes","No")),IF(OR(MAIN!$F$3="Full Year",MAIN!$D$3="All"),"Yes",IF(MAIN!$F$3="Monthly",IF(E1675=MAIN!$L$3,"Yes","No"),IF(E1675&lt;=MAIN!$L$3,"Yes","No"))))</f>
        <v>Yes</v>
      </c>
      <c r="AA1675" t="str">
        <f t="shared" si="161"/>
        <v>No</v>
      </c>
    </row>
    <row r="1676" spans="1:27" x14ac:dyDescent="0.3">
      <c r="A1676">
        <f>INDEX(SETTINGS!$A$15:$A$24,$B1676)</f>
        <v>2032</v>
      </c>
      <c r="B1676">
        <v>8</v>
      </c>
      <c r="C1676" t="str">
        <f>IF(AND(A1676&gt;=SETTINGS!$B$4,A1676&lt;=SETTINGS!$B$5),"Yes","No")</f>
        <v>No</v>
      </c>
      <c r="D1676" t="str">
        <f>IFERROR(INDEX(SETTINGS!$C$15:$C$24,MATCH(A1676,SETTINGS!$A$15:$A$24,0)),"No")</f>
        <v>No</v>
      </c>
      <c r="E1676">
        <v>5</v>
      </c>
      <c r="F1676" t="s">
        <v>38</v>
      </c>
      <c r="G1676">
        <v>107</v>
      </c>
      <c r="H1676" t="s">
        <v>93</v>
      </c>
      <c r="I1676" t="s">
        <v>89</v>
      </c>
      <c r="J1676" t="s">
        <v>13</v>
      </c>
      <c r="K1676" t="s">
        <v>14</v>
      </c>
      <c r="L1676" s="36">
        <f ca="1">IF(C1676&lt;&gt;"Yes",0,IF(A1676=2025,N('2025'!D107),IF(A1676=2026,N('2026'!D107),IF(A1676=2027,N('2027'!D107),IF(A1676=2028,N('2028'!D107),IF(A1676=2029,N('2029'!D107),IF(A1676=2030,N('2030'!D107),IF(A1676=2031,N('2031'!D107),IF(A1676=2032,N('2032'!D107),IF(A1676=2033,N('2033'!D107),IF(A1676=2034,N('2034'!D107),IFERROR(N(INDIRECT("'"&amp;A1676&amp;"'!D"&amp;G1676)),0))))))))))))</f>
        <v>0</v>
      </c>
      <c r="M1676" s="36">
        <f>IFERROR(IF(NOT(ISBLANK(KPI_TARGETS!$N$7)),KPI_TARGETS!$N$7,IF(NOT(ISBLANK(KPI_TARGETS!$F$7)),KPI_TARGETS!$F$7,"")),"")</f>
        <v>8000</v>
      </c>
      <c r="N1676" s="36" t="str">
        <f>IFERROR(KPI_TARGETS!$E$7,"Higher is better")</f>
        <v>Higher is better</v>
      </c>
      <c r="O1676" s="37">
        <f t="shared" ca="1" si="156"/>
        <v>0</v>
      </c>
      <c r="P1676" t="str">
        <f t="shared" ca="1" si="157"/>
        <v>Red</v>
      </c>
      <c r="Q1676" s="36">
        <f t="shared" ca="1" si="158"/>
        <v>-8000</v>
      </c>
      <c r="R1676" s="36" t="str">
        <f>""</f>
        <v/>
      </c>
      <c r="S1676" s="36" t="str">
        <f>""</f>
        <v/>
      </c>
      <c r="T1676" s="36" t="str">
        <f>""</f>
        <v/>
      </c>
      <c r="U1676" s="36" t="str">
        <f>""</f>
        <v/>
      </c>
      <c r="V1676" s="36" t="str">
        <f>""</f>
        <v/>
      </c>
      <c r="W1676" s="36">
        <f t="shared" si="159"/>
        <v>1</v>
      </c>
      <c r="X1676" t="str">
        <f t="shared" si="160"/>
        <v>Inactive</v>
      </c>
      <c r="Y1676" t="str">
        <f>IF(MAIN!$H$3="Selected Year",IF(A1676=MAIN!$B$3,"Yes","No"),IF(MAIN!$H$3="Included Years",IF(D1676="Yes","Yes","No"),IF(C1676="Yes","Yes","No")))</f>
        <v>No</v>
      </c>
      <c r="Z1676" t="str">
        <f>IF(MAIN!$F$3="Project to Date",IF(AND(A1676&gt;=SETTINGS!$B$4,A1676&lt;MAIN!$B$3),"Yes",IF(AND(A1676=MAIN!$B$3,E1676&lt;=MAIN!$L$3),"Yes","No")),IF(OR(MAIN!$F$3="Full Year",MAIN!$D$3="All"),"Yes",IF(MAIN!$F$3="Monthly",IF(E1676=MAIN!$L$3,"Yes","No"),IF(E1676&lt;=MAIN!$L$3,"Yes","No"))))</f>
        <v>Yes</v>
      </c>
      <c r="AA1676" t="str">
        <f t="shared" si="161"/>
        <v>No</v>
      </c>
    </row>
    <row r="1677" spans="1:27" x14ac:dyDescent="0.3">
      <c r="A1677">
        <f>INDEX(SETTINGS!$A$15:$A$24,$B1677)</f>
        <v>2032</v>
      </c>
      <c r="B1677">
        <v>8</v>
      </c>
      <c r="C1677" t="str">
        <f>IF(AND(A1677&gt;=SETTINGS!$B$4,A1677&lt;=SETTINGS!$B$5),"Yes","No")</f>
        <v>No</v>
      </c>
      <c r="D1677" t="str">
        <f>IFERROR(INDEX(SETTINGS!$C$15:$C$24,MATCH(A1677,SETTINGS!$A$15:$A$24,0)),"No")</f>
        <v>No</v>
      </c>
      <c r="E1677">
        <v>5</v>
      </c>
      <c r="F1677" t="s">
        <v>38</v>
      </c>
      <c r="G1677">
        <v>109</v>
      </c>
      <c r="H1677" t="s">
        <v>95</v>
      </c>
      <c r="I1677" t="s">
        <v>15</v>
      </c>
      <c r="J1677" t="s">
        <v>16</v>
      </c>
      <c r="K1677" t="s">
        <v>3</v>
      </c>
      <c r="L1677" s="36">
        <f ca="1">IF(C1677&lt;&gt;"Yes",0,IF(A1677=2025,N('2025'!D109),IF(A1677=2026,N('2026'!D109),IF(A1677=2027,N('2027'!D109),IF(A1677=2028,N('2028'!D109),IF(A1677=2029,N('2029'!D109),IF(A1677=2030,N('2030'!D109),IF(A1677=2031,N('2031'!D109),IF(A1677=2032,N('2032'!D109),IF(A1677=2033,N('2033'!D109),IF(A1677=2034,N('2034'!D109),IFERROR(N(INDIRECT("'"&amp;A1677&amp;"'!D"&amp;G1677)),0))))))))))))</f>
        <v>0</v>
      </c>
      <c r="M1677" s="36">
        <f>IFERROR(IF(NOT(ISBLANK(KPI_TARGETS!$N$8)),KPI_TARGETS!$N$8,IF(NOT(ISBLANK(KPI_TARGETS!$F$8)),KPI_TARGETS!$F$8,"")),"")</f>
        <v>0</v>
      </c>
      <c r="N1677" s="36" t="str">
        <f>IFERROR(KPI_TARGETS!$E$8,"Higher is better")</f>
        <v>Lower is better</v>
      </c>
      <c r="O1677" s="37">
        <f t="shared" ca="1" si="156"/>
        <v>1</v>
      </c>
      <c r="P1677" t="str">
        <f t="shared" ca="1" si="157"/>
        <v>Green</v>
      </c>
      <c r="Q1677" s="36">
        <f t="shared" ca="1" si="158"/>
        <v>0</v>
      </c>
      <c r="R1677" s="36" t="str">
        <f>""</f>
        <v/>
      </c>
      <c r="S1677" s="36" t="str">
        <f>""</f>
        <v/>
      </c>
      <c r="T1677" s="36" t="str">
        <f>""</f>
        <v/>
      </c>
      <c r="U1677" s="36" t="str">
        <f>""</f>
        <v/>
      </c>
      <c r="V1677" s="36" t="str">
        <f>""</f>
        <v/>
      </c>
      <c r="W1677" s="36">
        <f t="shared" si="159"/>
        <v>1</v>
      </c>
      <c r="X1677" t="str">
        <f t="shared" si="160"/>
        <v>Inactive</v>
      </c>
      <c r="Y1677" t="str">
        <f>IF(MAIN!$H$3="Selected Year",IF(A1677=MAIN!$B$3,"Yes","No"),IF(MAIN!$H$3="Included Years",IF(D1677="Yes","Yes","No"),IF(C1677="Yes","Yes","No")))</f>
        <v>No</v>
      </c>
      <c r="Z1677" t="str">
        <f>IF(MAIN!$F$3="Project to Date",IF(AND(A1677&gt;=SETTINGS!$B$4,A1677&lt;MAIN!$B$3),"Yes",IF(AND(A1677=MAIN!$B$3,E1677&lt;=MAIN!$L$3),"Yes","No")),IF(OR(MAIN!$F$3="Full Year",MAIN!$D$3="All"),"Yes",IF(MAIN!$F$3="Monthly",IF(E1677=MAIN!$L$3,"Yes","No"),IF(E1677&lt;=MAIN!$L$3,"Yes","No"))))</f>
        <v>Yes</v>
      </c>
      <c r="AA1677" t="str">
        <f t="shared" si="161"/>
        <v>No</v>
      </c>
    </row>
    <row r="1678" spans="1:27" x14ac:dyDescent="0.3">
      <c r="A1678">
        <f>INDEX(SETTINGS!$A$15:$A$24,$B1678)</f>
        <v>2032</v>
      </c>
      <c r="B1678">
        <v>8</v>
      </c>
      <c r="C1678" t="str">
        <f>IF(AND(A1678&gt;=SETTINGS!$B$4,A1678&lt;=SETTINGS!$B$5),"Yes","No")</f>
        <v>No</v>
      </c>
      <c r="D1678" t="str">
        <f>IFERROR(INDEX(SETTINGS!$C$15:$C$24,MATCH(A1678,SETTINGS!$A$15:$A$24,0)),"No")</f>
        <v>No</v>
      </c>
      <c r="E1678">
        <v>5</v>
      </c>
      <c r="F1678" t="s">
        <v>38</v>
      </c>
      <c r="G1678">
        <v>110</v>
      </c>
      <c r="H1678" t="s">
        <v>97</v>
      </c>
      <c r="I1678" t="s">
        <v>15</v>
      </c>
      <c r="J1678" t="s">
        <v>17</v>
      </c>
      <c r="K1678" t="s">
        <v>3</v>
      </c>
      <c r="L1678" s="36">
        <f ca="1">IF(C1678&lt;&gt;"Yes",0,IF(A1678=2025,N('2025'!D110),IF(A1678=2026,N('2026'!D110),IF(A1678=2027,N('2027'!D110),IF(A1678=2028,N('2028'!D110),IF(A1678=2029,N('2029'!D110),IF(A1678=2030,N('2030'!D110),IF(A1678=2031,N('2031'!D110),IF(A1678=2032,N('2032'!D110),IF(A1678=2033,N('2033'!D110),IF(A1678=2034,N('2034'!D110),IFERROR(N(INDIRECT("'"&amp;A1678&amp;"'!D"&amp;G1678)),0))))))))))))</f>
        <v>0</v>
      </c>
      <c r="M1678" s="36">
        <f>IFERROR(IF(NOT(ISBLANK(KPI_TARGETS!$N$9)),KPI_TARGETS!$N$9,IF(NOT(ISBLANK(KPI_TARGETS!$F$9)),KPI_TARGETS!$F$9,"")),"")</f>
        <v>0</v>
      </c>
      <c r="N1678" s="36" t="str">
        <f>IFERROR(KPI_TARGETS!$E$9,"Higher is better")</f>
        <v>Higher is better</v>
      </c>
      <c r="O1678" s="37" t="str">
        <f t="shared" ca="1" si="156"/>
        <v/>
      </c>
      <c r="P1678" t="str">
        <f t="shared" ca="1" si="157"/>
        <v>Green</v>
      </c>
      <c r="Q1678" s="36">
        <f t="shared" ca="1" si="158"/>
        <v>0</v>
      </c>
      <c r="R1678" s="36" t="str">
        <f>""</f>
        <v/>
      </c>
      <c r="S1678" s="36" t="str">
        <f>""</f>
        <v/>
      </c>
      <c r="T1678" s="36" t="str">
        <f>""</f>
        <v/>
      </c>
      <c r="U1678" s="36" t="str">
        <f>""</f>
        <v/>
      </c>
      <c r="V1678" s="36" t="str">
        <f>""</f>
        <v/>
      </c>
      <c r="W1678" s="36">
        <f t="shared" si="159"/>
        <v>1</v>
      </c>
      <c r="X1678" t="str">
        <f t="shared" si="160"/>
        <v>Inactive</v>
      </c>
      <c r="Y1678" t="str">
        <f>IF(MAIN!$H$3="Selected Year",IF(A1678=MAIN!$B$3,"Yes","No"),IF(MAIN!$H$3="Included Years",IF(D1678="Yes","Yes","No"),IF(C1678="Yes","Yes","No")))</f>
        <v>No</v>
      </c>
      <c r="Z1678" t="str">
        <f>IF(MAIN!$F$3="Project to Date",IF(AND(A1678&gt;=SETTINGS!$B$4,A1678&lt;MAIN!$B$3),"Yes",IF(AND(A1678=MAIN!$B$3,E1678&lt;=MAIN!$L$3),"Yes","No")),IF(OR(MAIN!$F$3="Full Year",MAIN!$D$3="All"),"Yes",IF(MAIN!$F$3="Monthly",IF(E1678=MAIN!$L$3,"Yes","No"),IF(E1678&lt;=MAIN!$L$3,"Yes","No"))))</f>
        <v>Yes</v>
      </c>
      <c r="AA1678" t="str">
        <f t="shared" si="161"/>
        <v>No</v>
      </c>
    </row>
    <row r="1679" spans="1:27" x14ac:dyDescent="0.3">
      <c r="A1679">
        <f>INDEX(SETTINGS!$A$15:$A$24,$B1679)</f>
        <v>2032</v>
      </c>
      <c r="B1679">
        <v>8</v>
      </c>
      <c r="C1679" t="str">
        <f>IF(AND(A1679&gt;=SETTINGS!$B$4,A1679&lt;=SETTINGS!$B$5),"Yes","No")</f>
        <v>No</v>
      </c>
      <c r="D1679" t="str">
        <f>IFERROR(INDEX(SETTINGS!$C$15:$C$24,MATCH(A1679,SETTINGS!$A$15:$A$24,0)),"No")</f>
        <v>No</v>
      </c>
      <c r="E1679">
        <v>5</v>
      </c>
      <c r="F1679" t="s">
        <v>38</v>
      </c>
      <c r="G1679">
        <v>111</v>
      </c>
      <c r="H1679" t="s">
        <v>99</v>
      </c>
      <c r="I1679" t="s">
        <v>15</v>
      </c>
      <c r="J1679" t="s">
        <v>18</v>
      </c>
      <c r="K1679" t="s">
        <v>3</v>
      </c>
      <c r="L1679" s="36">
        <f ca="1">IF(C1679&lt;&gt;"Yes",0,IF(A1679=2025,N('2025'!D111),IF(A1679=2026,N('2026'!D111),IF(A1679=2027,N('2027'!D111),IF(A1679=2028,N('2028'!D111),IF(A1679=2029,N('2029'!D111),IF(A1679=2030,N('2030'!D111),IF(A1679=2031,N('2031'!D111),IF(A1679=2032,N('2032'!D111),IF(A1679=2033,N('2033'!D111),IF(A1679=2034,N('2034'!D111),IFERROR(N(INDIRECT("'"&amp;A1679&amp;"'!D"&amp;G1679)),0))))))))))))</f>
        <v>0</v>
      </c>
      <c r="M1679" s="36">
        <f>IFERROR(IF(NOT(ISBLANK(KPI_TARGETS!$N$10)),KPI_TARGETS!$N$10,IF(NOT(ISBLANK(KPI_TARGETS!$F$10)),KPI_TARGETS!$F$10,"")),"")</f>
        <v>0</v>
      </c>
      <c r="N1679" s="36" t="str">
        <f>IFERROR(KPI_TARGETS!$E$10,"Higher is better")</f>
        <v>Lower is better</v>
      </c>
      <c r="O1679" s="37">
        <f t="shared" ca="1" si="156"/>
        <v>1</v>
      </c>
      <c r="P1679" t="str">
        <f t="shared" ca="1" si="157"/>
        <v>Green</v>
      </c>
      <c r="Q1679" s="36">
        <f t="shared" ca="1" si="158"/>
        <v>0</v>
      </c>
      <c r="R1679" s="36" t="str">
        <f>""</f>
        <v/>
      </c>
      <c r="S1679" s="36" t="str">
        <f>""</f>
        <v/>
      </c>
      <c r="T1679" s="36" t="str">
        <f>""</f>
        <v/>
      </c>
      <c r="U1679" s="36" t="str">
        <f>""</f>
        <v/>
      </c>
      <c r="V1679" s="36" t="str">
        <f>""</f>
        <v/>
      </c>
      <c r="W1679" s="36">
        <f t="shared" si="159"/>
        <v>1</v>
      </c>
      <c r="X1679" t="str">
        <f t="shared" si="160"/>
        <v>Inactive</v>
      </c>
      <c r="Y1679" t="str">
        <f>IF(MAIN!$H$3="Selected Year",IF(A1679=MAIN!$B$3,"Yes","No"),IF(MAIN!$H$3="Included Years",IF(D1679="Yes","Yes","No"),IF(C1679="Yes","Yes","No")))</f>
        <v>No</v>
      </c>
      <c r="Z1679" t="str">
        <f>IF(MAIN!$F$3="Project to Date",IF(AND(A1679&gt;=SETTINGS!$B$4,A1679&lt;MAIN!$B$3),"Yes",IF(AND(A1679=MAIN!$B$3,E1679&lt;=MAIN!$L$3),"Yes","No")),IF(OR(MAIN!$F$3="Full Year",MAIN!$D$3="All"),"Yes",IF(MAIN!$F$3="Monthly",IF(E1679=MAIN!$L$3,"Yes","No"),IF(E1679&lt;=MAIN!$L$3,"Yes","No"))))</f>
        <v>Yes</v>
      </c>
      <c r="AA1679" t="str">
        <f t="shared" si="161"/>
        <v>No</v>
      </c>
    </row>
    <row r="1680" spans="1:27" x14ac:dyDescent="0.3">
      <c r="A1680">
        <f>INDEX(SETTINGS!$A$15:$A$24,$B1680)</f>
        <v>2032</v>
      </c>
      <c r="B1680">
        <v>8</v>
      </c>
      <c r="C1680" t="str">
        <f>IF(AND(A1680&gt;=SETTINGS!$B$4,A1680&lt;=SETTINGS!$B$5),"Yes","No")</f>
        <v>No</v>
      </c>
      <c r="D1680" t="str">
        <f>IFERROR(INDEX(SETTINGS!$C$15:$C$24,MATCH(A1680,SETTINGS!$A$15:$A$24,0)),"No")</f>
        <v>No</v>
      </c>
      <c r="E1680">
        <v>5</v>
      </c>
      <c r="F1680" t="s">
        <v>38</v>
      </c>
      <c r="G1680">
        <v>112</v>
      </c>
      <c r="H1680" t="s">
        <v>100</v>
      </c>
      <c r="I1680" t="s">
        <v>15</v>
      </c>
      <c r="J1680" t="s">
        <v>19</v>
      </c>
      <c r="K1680" t="s">
        <v>3</v>
      </c>
      <c r="L1680" s="36">
        <f ca="1">IF(C1680&lt;&gt;"Yes",0,IF(A1680=2025,N('2025'!D112),IF(A1680=2026,N('2026'!D112),IF(A1680=2027,N('2027'!D112),IF(A1680=2028,N('2028'!D112),IF(A1680=2029,N('2029'!D112),IF(A1680=2030,N('2030'!D112),IF(A1680=2031,N('2031'!D112),IF(A1680=2032,N('2032'!D112),IF(A1680=2033,N('2033'!D112),IF(A1680=2034,N('2034'!D112),IFERROR(N(INDIRECT("'"&amp;A1680&amp;"'!D"&amp;G1680)),0))))))))))))</f>
        <v>0</v>
      </c>
      <c r="M1680" s="36">
        <f>IFERROR(IF(NOT(ISBLANK(KPI_TARGETS!$N$11)),KPI_TARGETS!$N$11,IF(NOT(ISBLANK(KPI_TARGETS!$F$11)),KPI_TARGETS!$F$11,"")),"")</f>
        <v>0</v>
      </c>
      <c r="N1680" s="36" t="str">
        <f>IFERROR(KPI_TARGETS!$E$11,"Higher is better")</f>
        <v>Lower is better</v>
      </c>
      <c r="O1680" s="37">
        <f t="shared" ca="1" si="156"/>
        <v>1</v>
      </c>
      <c r="P1680" t="str">
        <f t="shared" ca="1" si="157"/>
        <v>Green</v>
      </c>
      <c r="Q1680" s="36">
        <f t="shared" ca="1" si="158"/>
        <v>0</v>
      </c>
      <c r="R1680" s="36" t="str">
        <f>""</f>
        <v/>
      </c>
      <c r="S1680" s="36" t="str">
        <f>""</f>
        <v/>
      </c>
      <c r="T1680" s="36" t="str">
        <f>""</f>
        <v/>
      </c>
      <c r="U1680" s="36" t="str">
        <f>""</f>
        <v/>
      </c>
      <c r="V1680" s="36" t="str">
        <f>""</f>
        <v/>
      </c>
      <c r="W1680" s="36">
        <f t="shared" si="159"/>
        <v>1</v>
      </c>
      <c r="X1680" t="str">
        <f t="shared" si="160"/>
        <v>Inactive</v>
      </c>
      <c r="Y1680" t="str">
        <f>IF(MAIN!$H$3="Selected Year",IF(A1680=MAIN!$B$3,"Yes","No"),IF(MAIN!$H$3="Included Years",IF(D1680="Yes","Yes","No"),IF(C1680="Yes","Yes","No")))</f>
        <v>No</v>
      </c>
      <c r="Z1680" t="str">
        <f>IF(MAIN!$F$3="Project to Date",IF(AND(A1680&gt;=SETTINGS!$B$4,A1680&lt;MAIN!$B$3),"Yes",IF(AND(A1680=MAIN!$B$3,E1680&lt;=MAIN!$L$3),"Yes","No")),IF(OR(MAIN!$F$3="Full Year",MAIN!$D$3="All"),"Yes",IF(MAIN!$F$3="Monthly",IF(E1680=MAIN!$L$3,"Yes","No"),IF(E1680&lt;=MAIN!$L$3,"Yes","No"))))</f>
        <v>Yes</v>
      </c>
      <c r="AA1680" t="str">
        <f t="shared" si="161"/>
        <v>No</v>
      </c>
    </row>
    <row r="1681" spans="1:27" x14ac:dyDescent="0.3">
      <c r="A1681">
        <f>INDEX(SETTINGS!$A$15:$A$24,$B1681)</f>
        <v>2032</v>
      </c>
      <c r="B1681">
        <v>8</v>
      </c>
      <c r="C1681" t="str">
        <f>IF(AND(A1681&gt;=SETTINGS!$B$4,A1681&lt;=SETTINGS!$B$5),"Yes","No")</f>
        <v>No</v>
      </c>
      <c r="D1681" t="str">
        <f>IFERROR(INDEX(SETTINGS!$C$15:$C$24,MATCH(A1681,SETTINGS!$A$15:$A$24,0)),"No")</f>
        <v>No</v>
      </c>
      <c r="E1681">
        <v>5</v>
      </c>
      <c r="F1681" t="s">
        <v>38</v>
      </c>
      <c r="G1681">
        <v>113</v>
      </c>
      <c r="H1681" t="s">
        <v>101</v>
      </c>
      <c r="I1681" t="s">
        <v>15</v>
      </c>
      <c r="J1681" t="s">
        <v>20</v>
      </c>
      <c r="K1681" t="s">
        <v>3</v>
      </c>
      <c r="L1681" s="36">
        <f ca="1">IF(C1681&lt;&gt;"Yes",0,IF(A1681=2025,N('2025'!D113),IF(A1681=2026,N('2026'!D113),IF(A1681=2027,N('2027'!D113),IF(A1681=2028,N('2028'!D113),IF(A1681=2029,N('2029'!D113),IF(A1681=2030,N('2030'!D113),IF(A1681=2031,N('2031'!D113),IF(A1681=2032,N('2032'!D113),IF(A1681=2033,N('2033'!D113),IF(A1681=2034,N('2034'!D113),IFERROR(N(INDIRECT("'"&amp;A1681&amp;"'!D"&amp;G1681)),0))))))))))))</f>
        <v>0</v>
      </c>
      <c r="M1681" s="36">
        <f>IFERROR(IF(NOT(ISBLANK(KPI_TARGETS!$N$12)),KPI_TARGETS!$N$12,IF(NOT(ISBLANK(KPI_TARGETS!$F$12)),KPI_TARGETS!$F$12,"")),"")</f>
        <v>0</v>
      </c>
      <c r="N1681" s="36" t="str">
        <f>IFERROR(KPI_TARGETS!$E$12,"Higher is better")</f>
        <v>Lower is better</v>
      </c>
      <c r="O1681" s="37">
        <f t="shared" ca="1" si="156"/>
        <v>1</v>
      </c>
      <c r="P1681" t="str">
        <f t="shared" ca="1" si="157"/>
        <v>Green</v>
      </c>
      <c r="Q1681" s="36">
        <f t="shared" ca="1" si="158"/>
        <v>0</v>
      </c>
      <c r="R1681" s="36" t="str">
        <f>""</f>
        <v/>
      </c>
      <c r="S1681" s="36" t="str">
        <f>""</f>
        <v/>
      </c>
      <c r="T1681" s="36" t="str">
        <f>""</f>
        <v/>
      </c>
      <c r="U1681" s="36" t="str">
        <f>""</f>
        <v/>
      </c>
      <c r="V1681" s="36" t="str">
        <f>""</f>
        <v/>
      </c>
      <c r="W1681" s="36">
        <f t="shared" si="159"/>
        <v>1</v>
      </c>
      <c r="X1681" t="str">
        <f t="shared" si="160"/>
        <v>Inactive</v>
      </c>
      <c r="Y1681" t="str">
        <f>IF(MAIN!$H$3="Selected Year",IF(A1681=MAIN!$B$3,"Yes","No"),IF(MAIN!$H$3="Included Years",IF(D1681="Yes","Yes","No"),IF(C1681="Yes","Yes","No")))</f>
        <v>No</v>
      </c>
      <c r="Z1681" t="str">
        <f>IF(MAIN!$F$3="Project to Date",IF(AND(A1681&gt;=SETTINGS!$B$4,A1681&lt;MAIN!$B$3),"Yes",IF(AND(A1681=MAIN!$B$3,E1681&lt;=MAIN!$L$3),"Yes","No")),IF(OR(MAIN!$F$3="Full Year",MAIN!$D$3="All"),"Yes",IF(MAIN!$F$3="Monthly",IF(E1681=MAIN!$L$3,"Yes","No"),IF(E1681&lt;=MAIN!$L$3,"Yes","No"))))</f>
        <v>Yes</v>
      </c>
      <c r="AA1681" t="str">
        <f t="shared" si="161"/>
        <v>No</v>
      </c>
    </row>
    <row r="1682" spans="1:27" x14ac:dyDescent="0.3">
      <c r="A1682">
        <f>INDEX(SETTINGS!$A$15:$A$24,$B1682)</f>
        <v>2032</v>
      </c>
      <c r="B1682">
        <v>8</v>
      </c>
      <c r="C1682" t="str">
        <f>IF(AND(A1682&gt;=SETTINGS!$B$4,A1682&lt;=SETTINGS!$B$5),"Yes","No")</f>
        <v>No</v>
      </c>
      <c r="D1682" t="str">
        <f>IFERROR(INDEX(SETTINGS!$C$15:$C$24,MATCH(A1682,SETTINGS!$A$15:$A$24,0)),"No")</f>
        <v>No</v>
      </c>
      <c r="E1682">
        <v>5</v>
      </c>
      <c r="F1682" t="s">
        <v>38</v>
      </c>
      <c r="G1682">
        <v>114</v>
      </c>
      <c r="H1682" t="s">
        <v>102</v>
      </c>
      <c r="I1682" t="s">
        <v>15</v>
      </c>
      <c r="J1682" t="s">
        <v>21</v>
      </c>
      <c r="K1682" t="s">
        <v>3</v>
      </c>
      <c r="L1682" s="36">
        <f ca="1">IF(C1682&lt;&gt;"Yes",0,IF(A1682=2025,N('2025'!D114),IF(A1682=2026,N('2026'!D114),IF(A1682=2027,N('2027'!D114),IF(A1682=2028,N('2028'!D114),IF(A1682=2029,N('2029'!D114),IF(A1682=2030,N('2030'!D114),IF(A1682=2031,N('2031'!D114),IF(A1682=2032,N('2032'!D114),IF(A1682=2033,N('2033'!D114),IF(A1682=2034,N('2034'!D114),IFERROR(N(INDIRECT("'"&amp;A1682&amp;"'!D"&amp;G1682)),0))))))))))))</f>
        <v>0</v>
      </c>
      <c r="M1682" s="36">
        <f>IFERROR(IF(NOT(ISBLANK(KPI_TARGETS!$N$13)),KPI_TARGETS!$N$13,IF(NOT(ISBLANK(KPI_TARGETS!$F$13)),KPI_TARGETS!$F$13,"")),"")</f>
        <v>0</v>
      </c>
      <c r="N1682" s="36" t="str">
        <f>IFERROR(KPI_TARGETS!$E$13,"Higher is better")</f>
        <v>Lower is better</v>
      </c>
      <c r="O1682" s="37">
        <f t="shared" ca="1" si="156"/>
        <v>1</v>
      </c>
      <c r="P1682" t="str">
        <f t="shared" ca="1" si="157"/>
        <v>Green</v>
      </c>
      <c r="Q1682" s="36">
        <f t="shared" ca="1" si="158"/>
        <v>0</v>
      </c>
      <c r="R1682" s="36" t="str">
        <f>""</f>
        <v/>
      </c>
      <c r="S1682" s="36" t="str">
        <f>""</f>
        <v/>
      </c>
      <c r="T1682" s="36" t="str">
        <f>""</f>
        <v/>
      </c>
      <c r="U1682" s="36" t="str">
        <f>""</f>
        <v/>
      </c>
      <c r="V1682" s="36" t="str">
        <f>""</f>
        <v/>
      </c>
      <c r="W1682" s="36">
        <f t="shared" si="159"/>
        <v>1</v>
      </c>
      <c r="X1682" t="str">
        <f t="shared" si="160"/>
        <v>Inactive</v>
      </c>
      <c r="Y1682" t="str">
        <f>IF(MAIN!$H$3="Selected Year",IF(A1682=MAIN!$B$3,"Yes","No"),IF(MAIN!$H$3="Included Years",IF(D1682="Yes","Yes","No"),IF(C1682="Yes","Yes","No")))</f>
        <v>No</v>
      </c>
      <c r="Z1682" t="str">
        <f>IF(MAIN!$F$3="Project to Date",IF(AND(A1682&gt;=SETTINGS!$B$4,A1682&lt;MAIN!$B$3),"Yes",IF(AND(A1682=MAIN!$B$3,E1682&lt;=MAIN!$L$3),"Yes","No")),IF(OR(MAIN!$F$3="Full Year",MAIN!$D$3="All"),"Yes",IF(MAIN!$F$3="Monthly",IF(E1682=MAIN!$L$3,"Yes","No"),IF(E1682&lt;=MAIN!$L$3,"Yes","No"))))</f>
        <v>Yes</v>
      </c>
      <c r="AA1682" t="str">
        <f t="shared" si="161"/>
        <v>No</v>
      </c>
    </row>
    <row r="1683" spans="1:27" x14ac:dyDescent="0.3">
      <c r="A1683">
        <f>INDEX(SETTINGS!$A$15:$A$24,$B1683)</f>
        <v>2032</v>
      </c>
      <c r="B1683">
        <v>8</v>
      </c>
      <c r="C1683" t="str">
        <f>IF(AND(A1683&gt;=SETTINGS!$B$4,A1683&lt;=SETTINGS!$B$5),"Yes","No")</f>
        <v>No</v>
      </c>
      <c r="D1683" t="str">
        <f>IFERROR(INDEX(SETTINGS!$C$15:$C$24,MATCH(A1683,SETTINGS!$A$15:$A$24,0)),"No")</f>
        <v>No</v>
      </c>
      <c r="E1683">
        <v>5</v>
      </c>
      <c r="F1683" t="s">
        <v>38</v>
      </c>
      <c r="G1683">
        <v>116</v>
      </c>
      <c r="H1683" t="s">
        <v>103</v>
      </c>
      <c r="I1683" t="s">
        <v>22</v>
      </c>
      <c r="J1683" t="s">
        <v>23</v>
      </c>
      <c r="K1683" t="s">
        <v>3</v>
      </c>
      <c r="L1683" s="36">
        <f ca="1">IF(C1683&lt;&gt;"Yes",0,IF(A1683=2025,N('2025'!D116),IF(A1683=2026,N('2026'!D116),IF(A1683=2027,N('2027'!D116),IF(A1683=2028,N('2028'!D116),IF(A1683=2029,N('2029'!D116),IF(A1683=2030,N('2030'!D116),IF(A1683=2031,N('2031'!D116),IF(A1683=2032,N('2032'!D116),IF(A1683=2033,N('2033'!D116),IF(A1683=2034,N('2034'!D116),IFERROR(N(INDIRECT("'"&amp;A1683&amp;"'!D"&amp;G1683)),0))))))))))))</f>
        <v>0</v>
      </c>
      <c r="M1683" s="36">
        <f>IFERROR(IF(NOT(ISBLANK(KPI_TARGETS!$N$14)),KPI_TARGETS!$N$14,IF(NOT(ISBLANK(KPI_TARGETS!$F$14)),KPI_TARGETS!$F$14,"")),"")</f>
        <v>35</v>
      </c>
      <c r="N1683" s="36" t="str">
        <f>IFERROR(KPI_TARGETS!$E$14,"Higher is better")</f>
        <v>Higher is better</v>
      </c>
      <c r="O1683" s="37">
        <f t="shared" ca="1" si="156"/>
        <v>0</v>
      </c>
      <c r="P1683" t="str">
        <f t="shared" ca="1" si="157"/>
        <v>Red</v>
      </c>
      <c r="Q1683" s="36">
        <f t="shared" ca="1" si="158"/>
        <v>-35</v>
      </c>
      <c r="R1683" s="36" t="str">
        <f>""</f>
        <v/>
      </c>
      <c r="S1683" s="36" t="str">
        <f>""</f>
        <v/>
      </c>
      <c r="T1683" s="36" t="str">
        <f>""</f>
        <v/>
      </c>
      <c r="U1683" s="36" t="str">
        <f>""</f>
        <v/>
      </c>
      <c r="V1683" s="36" t="str">
        <f>""</f>
        <v/>
      </c>
      <c r="W1683" s="36">
        <f t="shared" si="159"/>
        <v>1</v>
      </c>
      <c r="X1683" t="str">
        <f t="shared" si="160"/>
        <v>Inactive</v>
      </c>
      <c r="Y1683" t="str">
        <f>IF(MAIN!$H$3="Selected Year",IF(A1683=MAIN!$B$3,"Yes","No"),IF(MAIN!$H$3="Included Years",IF(D1683="Yes","Yes","No"),IF(C1683="Yes","Yes","No")))</f>
        <v>No</v>
      </c>
      <c r="Z1683" t="str">
        <f>IF(MAIN!$F$3="Project to Date",IF(AND(A1683&gt;=SETTINGS!$B$4,A1683&lt;MAIN!$B$3),"Yes",IF(AND(A1683=MAIN!$B$3,E1683&lt;=MAIN!$L$3),"Yes","No")),IF(OR(MAIN!$F$3="Full Year",MAIN!$D$3="All"),"Yes",IF(MAIN!$F$3="Monthly",IF(E1683=MAIN!$L$3,"Yes","No"),IF(E1683&lt;=MAIN!$L$3,"Yes","No"))))</f>
        <v>Yes</v>
      </c>
      <c r="AA1683" t="str">
        <f t="shared" si="161"/>
        <v>No</v>
      </c>
    </row>
    <row r="1684" spans="1:27" x14ac:dyDescent="0.3">
      <c r="A1684">
        <f>INDEX(SETTINGS!$A$15:$A$24,$B1684)</f>
        <v>2032</v>
      </c>
      <c r="B1684">
        <v>8</v>
      </c>
      <c r="C1684" t="str">
        <f>IF(AND(A1684&gt;=SETTINGS!$B$4,A1684&lt;=SETTINGS!$B$5),"Yes","No")</f>
        <v>No</v>
      </c>
      <c r="D1684" t="str">
        <f>IFERROR(INDEX(SETTINGS!$C$15:$C$24,MATCH(A1684,SETTINGS!$A$15:$A$24,0)),"No")</f>
        <v>No</v>
      </c>
      <c r="E1684">
        <v>5</v>
      </c>
      <c r="F1684" t="s">
        <v>38</v>
      </c>
      <c r="G1684">
        <v>117</v>
      </c>
      <c r="H1684" t="s">
        <v>104</v>
      </c>
      <c r="I1684" t="s">
        <v>22</v>
      </c>
      <c r="J1684" t="s">
        <v>24</v>
      </c>
      <c r="K1684" t="s">
        <v>3</v>
      </c>
      <c r="L1684" s="36">
        <f ca="1">IF(C1684&lt;&gt;"Yes",0,IF(A1684=2025,N('2025'!D117),IF(A1684=2026,N('2026'!D117),IF(A1684=2027,N('2027'!D117),IF(A1684=2028,N('2028'!D117),IF(A1684=2029,N('2029'!D117),IF(A1684=2030,N('2030'!D117),IF(A1684=2031,N('2031'!D117),IF(A1684=2032,N('2032'!D117),IF(A1684=2033,N('2033'!D117),IF(A1684=2034,N('2034'!D117),IFERROR(N(INDIRECT("'"&amp;A1684&amp;"'!D"&amp;G1684)),0))))))))))))</f>
        <v>0</v>
      </c>
      <c r="M1684" s="36">
        <f>IFERROR(IF(NOT(ISBLANK(KPI_TARGETS!$N$15)),KPI_TARGETS!$N$15,IF(NOT(ISBLANK(KPI_TARGETS!$F$15)),KPI_TARGETS!$F$15,"")),"")</f>
        <v>5</v>
      </c>
      <c r="N1684" s="36" t="str">
        <f>IFERROR(KPI_TARGETS!$E$15,"Higher is better")</f>
        <v>Higher is better</v>
      </c>
      <c r="O1684" s="37">
        <f t="shared" ca="1" si="156"/>
        <v>0</v>
      </c>
      <c r="P1684" t="str">
        <f t="shared" ca="1" si="157"/>
        <v>Red</v>
      </c>
      <c r="Q1684" s="36">
        <f t="shared" ca="1" si="158"/>
        <v>-5</v>
      </c>
      <c r="R1684" s="36" t="str">
        <f>""</f>
        <v/>
      </c>
      <c r="S1684" s="36" t="str">
        <f>""</f>
        <v/>
      </c>
      <c r="T1684" s="36" t="str">
        <f>""</f>
        <v/>
      </c>
      <c r="U1684" s="36" t="str">
        <f>""</f>
        <v/>
      </c>
      <c r="V1684" s="36" t="str">
        <f>""</f>
        <v/>
      </c>
      <c r="W1684" s="36">
        <f t="shared" si="159"/>
        <v>1</v>
      </c>
      <c r="X1684" t="str">
        <f t="shared" si="160"/>
        <v>Inactive</v>
      </c>
      <c r="Y1684" t="str">
        <f>IF(MAIN!$H$3="Selected Year",IF(A1684=MAIN!$B$3,"Yes","No"),IF(MAIN!$H$3="Included Years",IF(D1684="Yes","Yes","No"),IF(C1684="Yes","Yes","No")))</f>
        <v>No</v>
      </c>
      <c r="Z1684" t="str">
        <f>IF(MAIN!$F$3="Project to Date",IF(AND(A1684&gt;=SETTINGS!$B$4,A1684&lt;MAIN!$B$3),"Yes",IF(AND(A1684=MAIN!$B$3,E1684&lt;=MAIN!$L$3),"Yes","No")),IF(OR(MAIN!$F$3="Full Year",MAIN!$D$3="All"),"Yes",IF(MAIN!$F$3="Monthly",IF(E1684=MAIN!$L$3,"Yes","No"),IF(E1684&lt;=MAIN!$L$3,"Yes","No"))))</f>
        <v>Yes</v>
      </c>
      <c r="AA1684" t="str">
        <f t="shared" si="161"/>
        <v>No</v>
      </c>
    </row>
    <row r="1685" spans="1:27" x14ac:dyDescent="0.3">
      <c r="A1685">
        <f>INDEX(SETTINGS!$A$15:$A$24,$B1685)</f>
        <v>2032</v>
      </c>
      <c r="B1685">
        <v>8</v>
      </c>
      <c r="C1685" t="str">
        <f>IF(AND(A1685&gt;=SETTINGS!$B$4,A1685&lt;=SETTINGS!$B$5),"Yes","No")</f>
        <v>No</v>
      </c>
      <c r="D1685" t="str">
        <f>IFERROR(INDEX(SETTINGS!$C$15:$C$24,MATCH(A1685,SETTINGS!$A$15:$A$24,0)),"No")</f>
        <v>No</v>
      </c>
      <c r="E1685">
        <v>5</v>
      </c>
      <c r="F1685" t="s">
        <v>38</v>
      </c>
      <c r="G1685">
        <v>118</v>
      </c>
      <c r="H1685" t="s">
        <v>105</v>
      </c>
      <c r="I1685" t="s">
        <v>22</v>
      </c>
      <c r="J1685" t="s">
        <v>25</v>
      </c>
      <c r="K1685" t="s">
        <v>3</v>
      </c>
      <c r="L1685" s="36">
        <f ca="1">IF(C1685&lt;&gt;"Yes",0,IF(A1685=2025,N('2025'!D118),IF(A1685=2026,N('2026'!D118),IF(A1685=2027,N('2027'!D118),IF(A1685=2028,N('2028'!D118),IF(A1685=2029,N('2029'!D118),IF(A1685=2030,N('2030'!D118),IF(A1685=2031,N('2031'!D118),IF(A1685=2032,N('2032'!D118),IF(A1685=2033,N('2033'!D118),IF(A1685=2034,N('2034'!D118),IFERROR(N(INDIRECT("'"&amp;A1685&amp;"'!D"&amp;G1685)),0))))))))))))</f>
        <v>0</v>
      </c>
      <c r="M1685" s="36">
        <f>IFERROR(IF(NOT(ISBLANK(KPI_TARGETS!$N$16)),KPI_TARGETS!$N$16,IF(NOT(ISBLANK(KPI_TARGETS!$F$16)),KPI_TARGETS!$F$16,"")),"")</f>
        <v>4</v>
      </c>
      <c r="N1685" s="36" t="str">
        <f>IFERROR(KPI_TARGETS!$E$16,"Higher is better")</f>
        <v>Higher is better</v>
      </c>
      <c r="O1685" s="37">
        <f t="shared" ca="1" si="156"/>
        <v>0</v>
      </c>
      <c r="P1685" t="str">
        <f t="shared" ca="1" si="157"/>
        <v>Red</v>
      </c>
      <c r="Q1685" s="36">
        <f t="shared" ca="1" si="158"/>
        <v>-4</v>
      </c>
      <c r="R1685" s="36" t="str">
        <f>""</f>
        <v/>
      </c>
      <c r="S1685" s="36" t="str">
        <f>""</f>
        <v/>
      </c>
      <c r="T1685" s="36" t="str">
        <f>""</f>
        <v/>
      </c>
      <c r="U1685" s="36" t="str">
        <f>""</f>
        <v/>
      </c>
      <c r="V1685" s="36" t="str">
        <f>""</f>
        <v/>
      </c>
      <c r="W1685" s="36">
        <f t="shared" si="159"/>
        <v>1</v>
      </c>
      <c r="X1685" t="str">
        <f t="shared" si="160"/>
        <v>Inactive</v>
      </c>
      <c r="Y1685" t="str">
        <f>IF(MAIN!$H$3="Selected Year",IF(A1685=MAIN!$B$3,"Yes","No"),IF(MAIN!$H$3="Included Years",IF(D1685="Yes","Yes","No"),IF(C1685="Yes","Yes","No")))</f>
        <v>No</v>
      </c>
      <c r="Z1685" t="str">
        <f>IF(MAIN!$F$3="Project to Date",IF(AND(A1685&gt;=SETTINGS!$B$4,A1685&lt;MAIN!$B$3),"Yes",IF(AND(A1685=MAIN!$B$3,E1685&lt;=MAIN!$L$3),"Yes","No")),IF(OR(MAIN!$F$3="Full Year",MAIN!$D$3="All"),"Yes",IF(MAIN!$F$3="Monthly",IF(E1685=MAIN!$L$3,"Yes","No"),IF(E1685&lt;=MAIN!$L$3,"Yes","No"))))</f>
        <v>Yes</v>
      </c>
      <c r="AA1685" t="str">
        <f t="shared" si="161"/>
        <v>No</v>
      </c>
    </row>
    <row r="1686" spans="1:27" x14ac:dyDescent="0.3">
      <c r="A1686">
        <f>INDEX(SETTINGS!$A$15:$A$24,$B1686)</f>
        <v>2032</v>
      </c>
      <c r="B1686">
        <v>8</v>
      </c>
      <c r="C1686" t="str">
        <f>IF(AND(A1686&gt;=SETTINGS!$B$4,A1686&lt;=SETTINGS!$B$5),"Yes","No")</f>
        <v>No</v>
      </c>
      <c r="D1686" t="str">
        <f>IFERROR(INDEX(SETTINGS!$C$15:$C$24,MATCH(A1686,SETTINGS!$A$15:$A$24,0)),"No")</f>
        <v>No</v>
      </c>
      <c r="E1686">
        <v>5</v>
      </c>
      <c r="F1686" t="s">
        <v>38</v>
      </c>
      <c r="G1686">
        <v>119</v>
      </c>
      <c r="H1686" t="s">
        <v>106</v>
      </c>
      <c r="I1686" t="s">
        <v>22</v>
      </c>
      <c r="J1686" t="s">
        <v>26</v>
      </c>
      <c r="K1686" t="s">
        <v>3</v>
      </c>
      <c r="L1686" s="36">
        <f ca="1">IF(C1686&lt;&gt;"Yes",0,IF(A1686=2025,N('2025'!D119),IF(A1686=2026,N('2026'!D119),IF(A1686=2027,N('2027'!D119),IF(A1686=2028,N('2028'!D119),IF(A1686=2029,N('2029'!D119),IF(A1686=2030,N('2030'!D119),IF(A1686=2031,N('2031'!D119),IF(A1686=2032,N('2032'!D119),IF(A1686=2033,N('2033'!D119),IF(A1686=2034,N('2034'!D119),IFERROR(N(INDIRECT("'"&amp;A1686&amp;"'!D"&amp;G1686)),0))))))))))))</f>
        <v>0</v>
      </c>
      <c r="M1686" s="36">
        <f>IFERROR(IF(NOT(ISBLANK(KPI_TARGETS!$N$17)),KPI_TARGETS!$N$17,IF(NOT(ISBLANK(KPI_TARGETS!$F$17)),KPI_TARGETS!$F$17,"")),"")</f>
        <v>12</v>
      </c>
      <c r="N1686" s="36" t="str">
        <f>IFERROR(KPI_TARGETS!$E$17,"Higher is better")</f>
        <v>Higher is better</v>
      </c>
      <c r="O1686" s="37">
        <f t="shared" ca="1" si="156"/>
        <v>0</v>
      </c>
      <c r="P1686" t="str">
        <f t="shared" ca="1" si="157"/>
        <v>Red</v>
      </c>
      <c r="Q1686" s="36">
        <f t="shared" ca="1" si="158"/>
        <v>-12</v>
      </c>
      <c r="R1686" s="36" t="str">
        <f>""</f>
        <v/>
      </c>
      <c r="S1686" s="36" t="str">
        <f>""</f>
        <v/>
      </c>
      <c r="T1686" s="36" t="str">
        <f>""</f>
        <v/>
      </c>
      <c r="U1686" s="36" t="str">
        <f>""</f>
        <v/>
      </c>
      <c r="V1686" s="36" t="str">
        <f>""</f>
        <v/>
      </c>
      <c r="W1686" s="36">
        <f t="shared" si="159"/>
        <v>1</v>
      </c>
      <c r="X1686" t="str">
        <f t="shared" si="160"/>
        <v>Inactive</v>
      </c>
      <c r="Y1686" t="str">
        <f>IF(MAIN!$H$3="Selected Year",IF(A1686=MAIN!$B$3,"Yes","No"),IF(MAIN!$H$3="Included Years",IF(D1686="Yes","Yes","No"),IF(C1686="Yes","Yes","No")))</f>
        <v>No</v>
      </c>
      <c r="Z1686" t="str">
        <f>IF(MAIN!$F$3="Project to Date",IF(AND(A1686&gt;=SETTINGS!$B$4,A1686&lt;MAIN!$B$3),"Yes",IF(AND(A1686=MAIN!$B$3,E1686&lt;=MAIN!$L$3),"Yes","No")),IF(OR(MAIN!$F$3="Full Year",MAIN!$D$3="All"),"Yes",IF(MAIN!$F$3="Monthly",IF(E1686=MAIN!$L$3,"Yes","No"),IF(E1686&lt;=MAIN!$L$3,"Yes","No"))))</f>
        <v>Yes</v>
      </c>
      <c r="AA1686" t="str">
        <f t="shared" si="161"/>
        <v>No</v>
      </c>
    </row>
    <row r="1687" spans="1:27" x14ac:dyDescent="0.3">
      <c r="A1687">
        <f>INDEX(SETTINGS!$A$15:$A$24,$B1687)</f>
        <v>2032</v>
      </c>
      <c r="B1687">
        <v>8</v>
      </c>
      <c r="C1687" t="str">
        <f>IF(AND(A1687&gt;=SETTINGS!$B$4,A1687&lt;=SETTINGS!$B$5),"Yes","No")</f>
        <v>No</v>
      </c>
      <c r="D1687" t="str">
        <f>IFERROR(INDEX(SETTINGS!$C$15:$C$24,MATCH(A1687,SETTINGS!$A$15:$A$24,0)),"No")</f>
        <v>No</v>
      </c>
      <c r="E1687">
        <v>5</v>
      </c>
      <c r="F1687" t="s">
        <v>38</v>
      </c>
      <c r="G1687">
        <v>120</v>
      </c>
      <c r="H1687" t="s">
        <v>107</v>
      </c>
      <c r="I1687" t="s">
        <v>22</v>
      </c>
      <c r="J1687" t="s">
        <v>27</v>
      </c>
      <c r="K1687" t="s">
        <v>3</v>
      </c>
      <c r="L1687" s="36">
        <f ca="1">IF(C1687&lt;&gt;"Yes",0,IF(A1687=2025,N('2025'!D120),IF(A1687=2026,N('2026'!D120),IF(A1687=2027,N('2027'!D120),IF(A1687=2028,N('2028'!D120),IF(A1687=2029,N('2029'!D120),IF(A1687=2030,N('2030'!D120),IF(A1687=2031,N('2031'!D120),IF(A1687=2032,N('2032'!D120),IF(A1687=2033,N('2033'!D120),IF(A1687=2034,N('2034'!D120),IFERROR(N(INDIRECT("'"&amp;A1687&amp;"'!D"&amp;G1687)),0))))))))))))</f>
        <v>0</v>
      </c>
      <c r="M1687" s="36">
        <f>IFERROR(IF(NOT(ISBLANK(KPI_TARGETS!$N$18)),KPI_TARGETS!$N$18,IF(NOT(ISBLANK(KPI_TARGETS!$F$18)),KPI_TARGETS!$F$18,"")),"")</f>
        <v>4</v>
      </c>
      <c r="N1687" s="36" t="str">
        <f>IFERROR(KPI_TARGETS!$E$18,"Higher is better")</f>
        <v>Higher is better</v>
      </c>
      <c r="O1687" s="37">
        <f t="shared" ca="1" si="156"/>
        <v>0</v>
      </c>
      <c r="P1687" t="str">
        <f t="shared" ca="1" si="157"/>
        <v>Red</v>
      </c>
      <c r="Q1687" s="36">
        <f t="shared" ca="1" si="158"/>
        <v>-4</v>
      </c>
      <c r="R1687" s="36" t="str">
        <f>""</f>
        <v/>
      </c>
      <c r="S1687" s="36" t="str">
        <f>""</f>
        <v/>
      </c>
      <c r="T1687" s="36" t="str">
        <f>""</f>
        <v/>
      </c>
      <c r="U1687" s="36" t="str">
        <f>""</f>
        <v/>
      </c>
      <c r="V1687" s="36" t="str">
        <f>""</f>
        <v/>
      </c>
      <c r="W1687" s="36">
        <f t="shared" si="159"/>
        <v>1</v>
      </c>
      <c r="X1687" t="str">
        <f t="shared" si="160"/>
        <v>Inactive</v>
      </c>
      <c r="Y1687" t="str">
        <f>IF(MAIN!$H$3="Selected Year",IF(A1687=MAIN!$B$3,"Yes","No"),IF(MAIN!$H$3="Included Years",IF(D1687="Yes","Yes","No"),IF(C1687="Yes","Yes","No")))</f>
        <v>No</v>
      </c>
      <c r="Z1687" t="str">
        <f>IF(MAIN!$F$3="Project to Date",IF(AND(A1687&gt;=SETTINGS!$B$4,A1687&lt;MAIN!$B$3),"Yes",IF(AND(A1687=MAIN!$B$3,E1687&lt;=MAIN!$L$3),"Yes","No")),IF(OR(MAIN!$F$3="Full Year",MAIN!$D$3="All"),"Yes",IF(MAIN!$F$3="Monthly",IF(E1687=MAIN!$L$3,"Yes","No"),IF(E1687&lt;=MAIN!$L$3,"Yes","No"))))</f>
        <v>Yes</v>
      </c>
      <c r="AA1687" t="str">
        <f t="shared" si="161"/>
        <v>No</v>
      </c>
    </row>
    <row r="1688" spans="1:27" x14ac:dyDescent="0.3">
      <c r="A1688">
        <f>INDEX(SETTINGS!$A$15:$A$24,$B1688)</f>
        <v>2032</v>
      </c>
      <c r="B1688">
        <v>8</v>
      </c>
      <c r="C1688" t="str">
        <f>IF(AND(A1688&gt;=SETTINGS!$B$4,A1688&lt;=SETTINGS!$B$5),"Yes","No")</f>
        <v>No</v>
      </c>
      <c r="D1688" t="str">
        <f>IFERROR(INDEX(SETTINGS!$C$15:$C$24,MATCH(A1688,SETTINGS!$A$15:$A$24,0)),"No")</f>
        <v>No</v>
      </c>
      <c r="E1688">
        <v>5</v>
      </c>
      <c r="F1688" t="s">
        <v>38</v>
      </c>
      <c r="G1688">
        <v>121</v>
      </c>
      <c r="H1688" t="s">
        <v>108</v>
      </c>
      <c r="I1688" t="s">
        <v>22</v>
      </c>
      <c r="J1688" t="s">
        <v>28</v>
      </c>
      <c r="K1688" t="s">
        <v>3</v>
      </c>
      <c r="L1688" s="36">
        <f ca="1">IF(C1688&lt;&gt;"Yes",0,IF(A1688=2025,N('2025'!D121),IF(A1688=2026,N('2026'!D121),IF(A1688=2027,N('2027'!D121),IF(A1688=2028,N('2028'!D121),IF(A1688=2029,N('2029'!D121),IF(A1688=2030,N('2030'!D121),IF(A1688=2031,N('2031'!D121),IF(A1688=2032,N('2032'!D121),IF(A1688=2033,N('2033'!D121),IF(A1688=2034,N('2034'!D121),IFERROR(N(INDIRECT("'"&amp;A1688&amp;"'!D"&amp;G1688)),0))))))))))))</f>
        <v>0</v>
      </c>
      <c r="M1688" s="36">
        <f>IFERROR(IF(NOT(ISBLANK(KPI_TARGETS!$N$19)),KPI_TARGETS!$N$19,IF(NOT(ISBLANK(KPI_TARGETS!$F$19)),KPI_TARGETS!$F$19,"")),"")</f>
        <v>16</v>
      </c>
      <c r="N1688" s="36" t="str">
        <f>IFERROR(KPI_TARGETS!$E$19,"Higher is better")</f>
        <v>Higher is better</v>
      </c>
      <c r="O1688" s="37">
        <f t="shared" ca="1" si="156"/>
        <v>0</v>
      </c>
      <c r="P1688" t="str">
        <f t="shared" ca="1" si="157"/>
        <v>Red</v>
      </c>
      <c r="Q1688" s="36">
        <f t="shared" ca="1" si="158"/>
        <v>-16</v>
      </c>
      <c r="R1688" s="36" t="str">
        <f>""</f>
        <v/>
      </c>
      <c r="S1688" s="36" t="str">
        <f>""</f>
        <v/>
      </c>
      <c r="T1688" s="36" t="str">
        <f>""</f>
        <v/>
      </c>
      <c r="U1688" s="36" t="str">
        <f>""</f>
        <v/>
      </c>
      <c r="V1688" s="36" t="str">
        <f>""</f>
        <v/>
      </c>
      <c r="W1688" s="36">
        <f t="shared" si="159"/>
        <v>1</v>
      </c>
      <c r="X1688" t="str">
        <f t="shared" si="160"/>
        <v>Inactive</v>
      </c>
      <c r="Y1688" t="str">
        <f>IF(MAIN!$H$3="Selected Year",IF(A1688=MAIN!$B$3,"Yes","No"),IF(MAIN!$H$3="Included Years",IF(D1688="Yes","Yes","No"),IF(C1688="Yes","Yes","No")))</f>
        <v>No</v>
      </c>
      <c r="Z1688" t="str">
        <f>IF(MAIN!$F$3="Project to Date",IF(AND(A1688&gt;=SETTINGS!$B$4,A1688&lt;MAIN!$B$3),"Yes",IF(AND(A1688=MAIN!$B$3,E1688&lt;=MAIN!$L$3),"Yes","No")),IF(OR(MAIN!$F$3="Full Year",MAIN!$D$3="All"),"Yes",IF(MAIN!$F$3="Monthly",IF(E1688=MAIN!$L$3,"Yes","No"),IF(E1688&lt;=MAIN!$L$3,"Yes","No"))))</f>
        <v>Yes</v>
      </c>
      <c r="AA1688" t="str">
        <f t="shared" si="161"/>
        <v>No</v>
      </c>
    </row>
    <row r="1689" spans="1:27" x14ac:dyDescent="0.3">
      <c r="A1689">
        <f>INDEX(SETTINGS!$A$15:$A$24,$B1689)</f>
        <v>2032</v>
      </c>
      <c r="B1689">
        <v>8</v>
      </c>
      <c r="C1689" t="str">
        <f>IF(AND(A1689&gt;=SETTINGS!$B$4,A1689&lt;=SETTINGS!$B$5),"Yes","No")</f>
        <v>No</v>
      </c>
      <c r="D1689" t="str">
        <f>IFERROR(INDEX(SETTINGS!$C$15:$C$24,MATCH(A1689,SETTINGS!$A$15:$A$24,0)),"No")</f>
        <v>No</v>
      </c>
      <c r="E1689">
        <v>5</v>
      </c>
      <c r="F1689" t="s">
        <v>38</v>
      </c>
      <c r="G1689">
        <v>122</v>
      </c>
      <c r="H1689" t="s">
        <v>109</v>
      </c>
      <c r="I1689" t="s">
        <v>22</v>
      </c>
      <c r="J1689" t="s">
        <v>29</v>
      </c>
      <c r="K1689" t="s">
        <v>3</v>
      </c>
      <c r="L1689" s="36">
        <f ca="1">IF(C1689&lt;&gt;"Yes",0,IF(A1689=2025,N('2025'!D122),IF(A1689=2026,N('2026'!D122),IF(A1689=2027,N('2027'!D122),IF(A1689=2028,N('2028'!D122),IF(A1689=2029,N('2029'!D122),IF(A1689=2030,N('2030'!D122),IF(A1689=2031,N('2031'!D122),IF(A1689=2032,N('2032'!D122),IF(A1689=2033,N('2033'!D122),IF(A1689=2034,N('2034'!D122),IFERROR(N(INDIRECT("'"&amp;A1689&amp;"'!D"&amp;G1689)),0))))))))))))</f>
        <v>0</v>
      </c>
      <c r="M1689" s="36">
        <f>IFERROR(IF(NOT(ISBLANK(KPI_TARGETS!$N$20)),KPI_TARGETS!$N$20,IF(NOT(ISBLANK(KPI_TARGETS!$F$20)),KPI_TARGETS!$F$20,"")),"")</f>
        <v>1</v>
      </c>
      <c r="N1689" s="36" t="str">
        <f>IFERROR(KPI_TARGETS!$E$20,"Higher is better")</f>
        <v>Higher is better</v>
      </c>
      <c r="O1689" s="37">
        <f t="shared" ca="1" si="156"/>
        <v>0</v>
      </c>
      <c r="P1689" t="str">
        <f t="shared" ca="1" si="157"/>
        <v>Red</v>
      </c>
      <c r="Q1689" s="36">
        <f t="shared" ca="1" si="158"/>
        <v>-1</v>
      </c>
      <c r="R1689" s="36" t="str">
        <f>""</f>
        <v/>
      </c>
      <c r="S1689" s="36" t="str">
        <f>""</f>
        <v/>
      </c>
      <c r="T1689" s="36" t="str">
        <f>""</f>
        <v/>
      </c>
      <c r="U1689" s="36" t="str">
        <f>""</f>
        <v/>
      </c>
      <c r="V1689" s="36" t="str">
        <f>""</f>
        <v/>
      </c>
      <c r="W1689" s="36">
        <f t="shared" si="159"/>
        <v>1</v>
      </c>
      <c r="X1689" t="str">
        <f t="shared" si="160"/>
        <v>Inactive</v>
      </c>
      <c r="Y1689" t="str">
        <f>IF(MAIN!$H$3="Selected Year",IF(A1689=MAIN!$B$3,"Yes","No"),IF(MAIN!$H$3="Included Years",IF(D1689="Yes","Yes","No"),IF(C1689="Yes","Yes","No")))</f>
        <v>No</v>
      </c>
      <c r="Z1689" t="str">
        <f>IF(MAIN!$F$3="Project to Date",IF(AND(A1689&gt;=SETTINGS!$B$4,A1689&lt;MAIN!$B$3),"Yes",IF(AND(A1689=MAIN!$B$3,E1689&lt;=MAIN!$L$3),"Yes","No")),IF(OR(MAIN!$F$3="Full Year",MAIN!$D$3="All"),"Yes",IF(MAIN!$F$3="Monthly",IF(E1689=MAIN!$L$3,"Yes","No"),IF(E1689&lt;=MAIN!$L$3,"Yes","No"))))</f>
        <v>Yes</v>
      </c>
      <c r="AA1689" t="str">
        <f t="shared" si="161"/>
        <v>No</v>
      </c>
    </row>
    <row r="1690" spans="1:27" x14ac:dyDescent="0.3">
      <c r="A1690">
        <f>INDEX(SETTINGS!$A$15:$A$24,$B1690)</f>
        <v>2032</v>
      </c>
      <c r="B1690">
        <v>8</v>
      </c>
      <c r="C1690" t="str">
        <f>IF(AND(A1690&gt;=SETTINGS!$B$4,A1690&lt;=SETTINGS!$B$5),"Yes","No")</f>
        <v>No</v>
      </c>
      <c r="D1690" t="str">
        <f>IFERROR(INDEX(SETTINGS!$C$15:$C$24,MATCH(A1690,SETTINGS!$A$15:$A$24,0)),"No")</f>
        <v>No</v>
      </c>
      <c r="E1690">
        <v>5</v>
      </c>
      <c r="F1690" t="s">
        <v>38</v>
      </c>
      <c r="G1690">
        <v>124</v>
      </c>
      <c r="H1690" t="s">
        <v>110</v>
      </c>
      <c r="I1690" t="s">
        <v>30</v>
      </c>
      <c r="J1690" t="s">
        <v>31</v>
      </c>
      <c r="K1690" t="s">
        <v>3</v>
      </c>
      <c r="L1690" s="36">
        <f ca="1">IF(C1690&lt;&gt;"Yes",0,IF(A1690=2025,N('2025'!D124),IF(A1690=2026,N('2026'!D124),IF(A1690=2027,N('2027'!D124),IF(A1690=2028,N('2028'!D124),IF(A1690=2029,N('2029'!D124),IF(A1690=2030,N('2030'!D124),IF(A1690=2031,N('2031'!D124),IF(A1690=2032,N('2032'!D124),IF(A1690=2033,N('2033'!D124),IF(A1690=2034,N('2034'!D124),IFERROR(N(INDIRECT("'"&amp;A1690&amp;"'!D"&amp;G1690)),0))))))))))))</f>
        <v>0</v>
      </c>
      <c r="M1690" s="36">
        <f>IFERROR(IF(NOT(ISBLANK(KPI_TARGETS!$N$21)),KPI_TARGETS!$N$21,IF(NOT(ISBLANK(KPI_TARGETS!$F$21)),KPI_TARGETS!$F$21,"")),"")</f>
        <v>0</v>
      </c>
      <c r="N1690" s="36" t="str">
        <f>IFERROR(KPI_TARGETS!$E$21,"Higher is better")</f>
        <v>Lower is better</v>
      </c>
      <c r="O1690" s="37">
        <f t="shared" ca="1" si="156"/>
        <v>1</v>
      </c>
      <c r="P1690" t="str">
        <f t="shared" ca="1" si="157"/>
        <v>Green</v>
      </c>
      <c r="Q1690" s="36">
        <f t="shared" ca="1" si="158"/>
        <v>0</v>
      </c>
      <c r="R1690" s="36" t="str">
        <f>""</f>
        <v/>
      </c>
      <c r="S1690" s="36" t="str">
        <f>""</f>
        <v/>
      </c>
      <c r="T1690" s="36" t="str">
        <f>""</f>
        <v/>
      </c>
      <c r="U1690" s="36" t="str">
        <f>""</f>
        <v/>
      </c>
      <c r="V1690" s="36" t="str">
        <f>""</f>
        <v/>
      </c>
      <c r="W1690" s="36">
        <f t="shared" si="159"/>
        <v>1</v>
      </c>
      <c r="X1690" t="str">
        <f t="shared" si="160"/>
        <v>Inactive</v>
      </c>
      <c r="Y1690" t="str">
        <f>IF(MAIN!$H$3="Selected Year",IF(A1690=MAIN!$B$3,"Yes","No"),IF(MAIN!$H$3="Included Years",IF(D1690="Yes","Yes","No"),IF(C1690="Yes","Yes","No")))</f>
        <v>No</v>
      </c>
      <c r="Z1690" t="str">
        <f>IF(MAIN!$F$3="Project to Date",IF(AND(A1690&gt;=SETTINGS!$B$4,A1690&lt;MAIN!$B$3),"Yes",IF(AND(A1690=MAIN!$B$3,E1690&lt;=MAIN!$L$3),"Yes","No")),IF(OR(MAIN!$F$3="Full Year",MAIN!$D$3="All"),"Yes",IF(MAIN!$F$3="Monthly",IF(E1690=MAIN!$L$3,"Yes","No"),IF(E1690&lt;=MAIN!$L$3,"Yes","No"))))</f>
        <v>Yes</v>
      </c>
      <c r="AA1690" t="str">
        <f t="shared" si="161"/>
        <v>No</v>
      </c>
    </row>
    <row r="1691" spans="1:27" x14ac:dyDescent="0.3">
      <c r="A1691">
        <f>INDEX(SETTINGS!$A$15:$A$24,$B1691)</f>
        <v>2032</v>
      </c>
      <c r="B1691">
        <v>8</v>
      </c>
      <c r="C1691" t="str">
        <f>IF(AND(A1691&gt;=SETTINGS!$B$4,A1691&lt;=SETTINGS!$B$5),"Yes","No")</f>
        <v>No</v>
      </c>
      <c r="D1691" t="str">
        <f>IFERROR(INDEX(SETTINGS!$C$15:$C$24,MATCH(A1691,SETTINGS!$A$15:$A$24,0)),"No")</f>
        <v>No</v>
      </c>
      <c r="E1691">
        <v>5</v>
      </c>
      <c r="F1691" t="s">
        <v>38</v>
      </c>
      <c r="G1691">
        <v>125</v>
      </c>
      <c r="H1691" t="s">
        <v>111</v>
      </c>
      <c r="I1691" t="s">
        <v>30</v>
      </c>
      <c r="J1691" t="s">
        <v>32</v>
      </c>
      <c r="K1691" t="s">
        <v>3</v>
      </c>
      <c r="L1691" s="36">
        <f ca="1">IF(C1691&lt;&gt;"Yes",0,IF(A1691=2025,N('2025'!D125),IF(A1691=2026,N('2026'!D125),IF(A1691=2027,N('2027'!D125),IF(A1691=2028,N('2028'!D125),IF(A1691=2029,N('2029'!D125),IF(A1691=2030,N('2030'!D125),IF(A1691=2031,N('2031'!D125),IF(A1691=2032,N('2032'!D125),IF(A1691=2033,N('2033'!D125),IF(A1691=2034,N('2034'!D125),IFERROR(N(INDIRECT("'"&amp;A1691&amp;"'!D"&amp;G1691)),0))))))))))))</f>
        <v>0</v>
      </c>
      <c r="M1691" s="36">
        <f>IFERROR(IF(NOT(ISBLANK(KPI_TARGETS!$N$22)),KPI_TARGETS!$N$22,IF(NOT(ISBLANK(KPI_TARGETS!$F$22)),KPI_TARGETS!$F$22,"")),"")</f>
        <v>1</v>
      </c>
      <c r="N1691" s="36" t="str">
        <f>IFERROR(KPI_TARGETS!$E$22,"Higher is better")</f>
        <v>Higher is better</v>
      </c>
      <c r="O1691" s="37">
        <f t="shared" ca="1" si="156"/>
        <v>0</v>
      </c>
      <c r="P1691" t="str">
        <f t="shared" ca="1" si="157"/>
        <v>Red</v>
      </c>
      <c r="Q1691" s="36">
        <f t="shared" ca="1" si="158"/>
        <v>-1</v>
      </c>
      <c r="R1691" s="36" t="str">
        <f>""</f>
        <v/>
      </c>
      <c r="S1691" s="36" t="str">
        <f>""</f>
        <v/>
      </c>
      <c r="T1691" s="36" t="str">
        <f>""</f>
        <v/>
      </c>
      <c r="U1691" s="36" t="str">
        <f>""</f>
        <v/>
      </c>
      <c r="V1691" s="36" t="str">
        <f>""</f>
        <v/>
      </c>
      <c r="W1691" s="36">
        <f t="shared" si="159"/>
        <v>1</v>
      </c>
      <c r="X1691" t="str">
        <f t="shared" si="160"/>
        <v>Inactive</v>
      </c>
      <c r="Y1691" t="str">
        <f>IF(MAIN!$H$3="Selected Year",IF(A1691=MAIN!$B$3,"Yes","No"),IF(MAIN!$H$3="Included Years",IF(D1691="Yes","Yes","No"),IF(C1691="Yes","Yes","No")))</f>
        <v>No</v>
      </c>
      <c r="Z1691" t="str">
        <f>IF(MAIN!$F$3="Project to Date",IF(AND(A1691&gt;=SETTINGS!$B$4,A1691&lt;MAIN!$B$3),"Yes",IF(AND(A1691=MAIN!$B$3,E1691&lt;=MAIN!$L$3),"Yes","No")),IF(OR(MAIN!$F$3="Full Year",MAIN!$D$3="All"),"Yes",IF(MAIN!$F$3="Monthly",IF(E1691=MAIN!$L$3,"Yes","No"),IF(E1691&lt;=MAIN!$L$3,"Yes","No"))))</f>
        <v>Yes</v>
      </c>
      <c r="AA1691" t="str">
        <f t="shared" si="161"/>
        <v>No</v>
      </c>
    </row>
    <row r="1692" spans="1:27" x14ac:dyDescent="0.3">
      <c r="A1692">
        <f>INDEX(SETTINGS!$A$15:$A$24,$B1692)</f>
        <v>2032</v>
      </c>
      <c r="B1692">
        <v>8</v>
      </c>
      <c r="C1692" t="str">
        <f>IF(AND(A1692&gt;=SETTINGS!$B$4,A1692&lt;=SETTINGS!$B$5),"Yes","No")</f>
        <v>No</v>
      </c>
      <c r="D1692" t="str">
        <f>IFERROR(INDEX(SETTINGS!$C$15:$C$24,MATCH(A1692,SETTINGS!$A$15:$A$24,0)),"No")</f>
        <v>No</v>
      </c>
      <c r="E1692">
        <v>5</v>
      </c>
      <c r="F1692" t="s">
        <v>38</v>
      </c>
      <c r="G1692">
        <v>126</v>
      </c>
      <c r="H1692" t="s">
        <v>112</v>
      </c>
      <c r="I1692" t="s">
        <v>30</v>
      </c>
      <c r="J1692" t="s">
        <v>33</v>
      </c>
      <c r="K1692" t="s">
        <v>34</v>
      </c>
      <c r="L1692" s="36">
        <f ca="1">IF(C1692&lt;&gt;"Yes",0,IF(A1692=2025,N('2025'!D126),IF(A1692=2026,N('2026'!D126),IF(A1692=2027,N('2027'!D126),IF(A1692=2028,N('2028'!D126),IF(A1692=2029,N('2029'!D126),IF(A1692=2030,N('2030'!D126),IF(A1692=2031,N('2031'!D126),IF(A1692=2032,N('2032'!D126),IF(A1692=2033,N('2033'!D126),IF(A1692=2034,N('2034'!D126),IFERROR(N(INDIRECT("'"&amp;A1692&amp;"'!D"&amp;G1692)),0))))))))))))</f>
        <v>0</v>
      </c>
      <c r="M1692" s="36">
        <f>IFERROR(IF(NOT(ISBLANK(KPI_TARGETS!$N$23)),KPI_TARGETS!$N$23,IF(NOT(ISBLANK(KPI_TARGETS!$F$23)),KPI_TARGETS!$F$23,"")),"")</f>
        <v>1</v>
      </c>
      <c r="N1692" s="36" t="str">
        <f>IFERROR(KPI_TARGETS!$E$23,"Higher is better")</f>
        <v>Higher is better</v>
      </c>
      <c r="O1692" s="37">
        <f t="shared" ca="1" si="156"/>
        <v>0</v>
      </c>
      <c r="P1692" t="str">
        <f t="shared" ca="1" si="157"/>
        <v>Red</v>
      </c>
      <c r="Q1692" s="36">
        <f t="shared" ca="1" si="158"/>
        <v>-1</v>
      </c>
      <c r="R1692" s="36" t="str">
        <f>""</f>
        <v/>
      </c>
      <c r="S1692" s="36" t="str">
        <f>""</f>
        <v/>
      </c>
      <c r="T1692" s="36" t="str">
        <f>""</f>
        <v/>
      </c>
      <c r="U1692" s="36" t="str">
        <f>""</f>
        <v/>
      </c>
      <c r="V1692" s="36" t="str">
        <f>""</f>
        <v/>
      </c>
      <c r="W1692" s="36">
        <f t="shared" si="159"/>
        <v>1</v>
      </c>
      <c r="X1692" t="str">
        <f t="shared" si="160"/>
        <v>Inactive</v>
      </c>
      <c r="Y1692" t="str">
        <f>IF(MAIN!$H$3="Selected Year",IF(A1692=MAIN!$B$3,"Yes","No"),IF(MAIN!$H$3="Included Years",IF(D1692="Yes","Yes","No"),IF(C1692="Yes","Yes","No")))</f>
        <v>No</v>
      </c>
      <c r="Z1692" t="str">
        <f>IF(MAIN!$F$3="Project to Date",IF(AND(A1692&gt;=SETTINGS!$B$4,A1692&lt;MAIN!$B$3),"Yes",IF(AND(A1692=MAIN!$B$3,E1692&lt;=MAIN!$L$3),"Yes","No")),IF(OR(MAIN!$F$3="Full Year",MAIN!$D$3="All"),"Yes",IF(MAIN!$F$3="Monthly",IF(E1692=MAIN!$L$3,"Yes","No"),IF(E1692&lt;=MAIN!$L$3,"Yes","No"))))</f>
        <v>Yes</v>
      </c>
      <c r="AA1692" t="str">
        <f t="shared" si="161"/>
        <v>No</v>
      </c>
    </row>
    <row r="1693" spans="1:27" x14ac:dyDescent="0.3">
      <c r="A1693">
        <f>INDEX(SETTINGS!$A$15:$A$24,$B1693)</f>
        <v>2032</v>
      </c>
      <c r="B1693">
        <v>8</v>
      </c>
      <c r="C1693" t="str">
        <f>IF(AND(A1693&gt;=SETTINGS!$B$4,A1693&lt;=SETTINGS!$B$5),"Yes","No")</f>
        <v>No</v>
      </c>
      <c r="D1693" t="str">
        <f>IFERROR(INDEX(SETTINGS!$C$15:$C$24,MATCH(A1693,SETTINGS!$A$15:$A$24,0)),"No")</f>
        <v>No</v>
      </c>
      <c r="E1693">
        <v>6</v>
      </c>
      <c r="F1693" t="s">
        <v>39</v>
      </c>
      <c r="G1693">
        <v>129</v>
      </c>
      <c r="H1693" t="s">
        <v>88</v>
      </c>
      <c r="I1693" t="s">
        <v>89</v>
      </c>
      <c r="J1693" t="s">
        <v>10</v>
      </c>
      <c r="K1693" t="s">
        <v>3</v>
      </c>
      <c r="L1693" s="36">
        <f ca="1">IF(C1693&lt;&gt;"Yes",0,IF(A1693=2025,N('2025'!D129),IF(A1693=2026,N('2026'!D129),IF(A1693=2027,N('2027'!D129),IF(A1693=2028,N('2028'!D129),IF(A1693=2029,N('2029'!D129),IF(A1693=2030,N('2030'!D129),IF(A1693=2031,N('2031'!D129),IF(A1693=2032,N('2032'!D129),IF(A1693=2033,N('2033'!D129),IF(A1693=2034,N('2034'!D129),IFERROR(N(INDIRECT("'"&amp;A1693&amp;"'!D"&amp;G1693)),0))))))))))))</f>
        <v>0</v>
      </c>
      <c r="M1693" s="36">
        <f>IFERROR(IF(NOT(ISBLANK(KPI_TARGETS!$N$5)),KPI_TARGETS!$N$5,IF(NOT(ISBLANK(KPI_TARGETS!$F$5)),KPI_TARGETS!$F$5,"")),"")</f>
        <v>104</v>
      </c>
      <c r="N1693" s="36" t="str">
        <f>IFERROR(KPI_TARGETS!$E$5,"Higher is better")</f>
        <v>Higher is better</v>
      </c>
      <c r="O1693" s="37">
        <f t="shared" ca="1" si="156"/>
        <v>0</v>
      </c>
      <c r="P1693" t="str">
        <f t="shared" ca="1" si="157"/>
        <v>Red</v>
      </c>
      <c r="Q1693" s="36">
        <f t="shared" ca="1" si="158"/>
        <v>-104</v>
      </c>
      <c r="R1693" s="36" t="str">
        <f>""</f>
        <v/>
      </c>
      <c r="S1693" s="36" t="str">
        <f>""</f>
        <v/>
      </c>
      <c r="T1693" s="36" t="str">
        <f>""</f>
        <v/>
      </c>
      <c r="U1693" s="36" t="str">
        <f>""</f>
        <v/>
      </c>
      <c r="V1693" s="36" t="str">
        <f>""</f>
        <v/>
      </c>
      <c r="W1693" s="36">
        <f t="shared" si="159"/>
        <v>1</v>
      </c>
      <c r="X1693" t="str">
        <f t="shared" si="160"/>
        <v>Inactive</v>
      </c>
      <c r="Y1693" t="str">
        <f>IF(MAIN!$H$3="Selected Year",IF(A1693=MAIN!$B$3,"Yes","No"),IF(MAIN!$H$3="Included Years",IF(D1693="Yes","Yes","No"),IF(C1693="Yes","Yes","No")))</f>
        <v>No</v>
      </c>
      <c r="Z1693" t="str">
        <f>IF(MAIN!$F$3="Project to Date",IF(AND(A1693&gt;=SETTINGS!$B$4,A1693&lt;MAIN!$B$3),"Yes",IF(AND(A1693=MAIN!$B$3,E1693&lt;=MAIN!$L$3),"Yes","No")),IF(OR(MAIN!$F$3="Full Year",MAIN!$D$3="All"),"Yes",IF(MAIN!$F$3="Monthly",IF(E1693=MAIN!$L$3,"Yes","No"),IF(E1693&lt;=MAIN!$L$3,"Yes","No"))))</f>
        <v>Yes</v>
      </c>
      <c r="AA1693" t="str">
        <f t="shared" si="161"/>
        <v>No</v>
      </c>
    </row>
    <row r="1694" spans="1:27" x14ac:dyDescent="0.3">
      <c r="A1694">
        <f>INDEX(SETTINGS!$A$15:$A$24,$B1694)</f>
        <v>2032</v>
      </c>
      <c r="B1694">
        <v>8</v>
      </c>
      <c r="C1694" t="str">
        <f>IF(AND(A1694&gt;=SETTINGS!$B$4,A1694&lt;=SETTINGS!$B$5),"Yes","No")</f>
        <v>No</v>
      </c>
      <c r="D1694" t="str">
        <f>IFERROR(INDEX(SETTINGS!$C$15:$C$24,MATCH(A1694,SETTINGS!$A$15:$A$24,0)),"No")</f>
        <v>No</v>
      </c>
      <c r="E1694">
        <v>6</v>
      </c>
      <c r="F1694" t="s">
        <v>39</v>
      </c>
      <c r="G1694">
        <v>130</v>
      </c>
      <c r="H1694" t="s">
        <v>91</v>
      </c>
      <c r="I1694" t="s">
        <v>89</v>
      </c>
      <c r="J1694" t="s">
        <v>11</v>
      </c>
      <c r="K1694" t="s">
        <v>12</v>
      </c>
      <c r="L1694" s="36">
        <f ca="1">IF(C1694&lt;&gt;"Yes",0,IF(A1694=2025,N('2025'!D130),IF(A1694=2026,N('2026'!D130),IF(A1694=2027,N('2027'!D130),IF(A1694=2028,N('2028'!D130),IF(A1694=2029,N('2029'!D130),IF(A1694=2030,N('2030'!D130),IF(A1694=2031,N('2031'!D130),IF(A1694=2032,N('2032'!D130),IF(A1694=2033,N('2033'!D130),IF(A1694=2034,N('2034'!D130),IFERROR(N(INDIRECT("'"&amp;A1694&amp;"'!D"&amp;G1694)),0))))))))))))</f>
        <v>0</v>
      </c>
      <c r="M1694" s="36">
        <f>IFERROR(IF(NOT(ISBLANK(KPI_TARGETS!$N$6)),KPI_TARGETS!$N$6,IF(NOT(ISBLANK(KPI_TARGETS!$F$6)),KPI_TARGETS!$F$6,"")),"")</f>
        <v>4000</v>
      </c>
      <c r="N1694" s="36" t="str">
        <f>IFERROR(KPI_TARGETS!$E$6,"Higher is better")</f>
        <v>Higher is better</v>
      </c>
      <c r="O1694" s="37">
        <f t="shared" ca="1" si="156"/>
        <v>0</v>
      </c>
      <c r="P1694" t="str">
        <f t="shared" ca="1" si="157"/>
        <v>Red</v>
      </c>
      <c r="Q1694" s="36">
        <f t="shared" ca="1" si="158"/>
        <v>-4000</v>
      </c>
      <c r="R1694" s="36" t="str">
        <f>""</f>
        <v/>
      </c>
      <c r="S1694" s="36" t="str">
        <f>""</f>
        <v/>
      </c>
      <c r="T1694" s="36" t="str">
        <f>""</f>
        <v/>
      </c>
      <c r="U1694" s="36" t="str">
        <f>""</f>
        <v/>
      </c>
      <c r="V1694" s="36" t="str">
        <f>""</f>
        <v/>
      </c>
      <c r="W1694" s="36">
        <f t="shared" si="159"/>
        <v>1</v>
      </c>
      <c r="X1694" t="str">
        <f t="shared" si="160"/>
        <v>Inactive</v>
      </c>
      <c r="Y1694" t="str">
        <f>IF(MAIN!$H$3="Selected Year",IF(A1694=MAIN!$B$3,"Yes","No"),IF(MAIN!$H$3="Included Years",IF(D1694="Yes","Yes","No"),IF(C1694="Yes","Yes","No")))</f>
        <v>No</v>
      </c>
      <c r="Z1694" t="str">
        <f>IF(MAIN!$F$3="Project to Date",IF(AND(A1694&gt;=SETTINGS!$B$4,A1694&lt;MAIN!$B$3),"Yes",IF(AND(A1694=MAIN!$B$3,E1694&lt;=MAIN!$L$3),"Yes","No")),IF(OR(MAIN!$F$3="Full Year",MAIN!$D$3="All"),"Yes",IF(MAIN!$F$3="Monthly",IF(E1694=MAIN!$L$3,"Yes","No"),IF(E1694&lt;=MAIN!$L$3,"Yes","No"))))</f>
        <v>Yes</v>
      </c>
      <c r="AA1694" t="str">
        <f t="shared" si="161"/>
        <v>No</v>
      </c>
    </row>
    <row r="1695" spans="1:27" x14ac:dyDescent="0.3">
      <c r="A1695">
        <f>INDEX(SETTINGS!$A$15:$A$24,$B1695)</f>
        <v>2032</v>
      </c>
      <c r="B1695">
        <v>8</v>
      </c>
      <c r="C1695" t="str">
        <f>IF(AND(A1695&gt;=SETTINGS!$B$4,A1695&lt;=SETTINGS!$B$5),"Yes","No")</f>
        <v>No</v>
      </c>
      <c r="D1695" t="str">
        <f>IFERROR(INDEX(SETTINGS!$C$15:$C$24,MATCH(A1695,SETTINGS!$A$15:$A$24,0)),"No")</f>
        <v>No</v>
      </c>
      <c r="E1695">
        <v>6</v>
      </c>
      <c r="F1695" t="s">
        <v>39</v>
      </c>
      <c r="G1695">
        <v>131</v>
      </c>
      <c r="H1695" t="s">
        <v>93</v>
      </c>
      <c r="I1695" t="s">
        <v>89</v>
      </c>
      <c r="J1695" t="s">
        <v>13</v>
      </c>
      <c r="K1695" t="s">
        <v>14</v>
      </c>
      <c r="L1695" s="36">
        <f ca="1">IF(C1695&lt;&gt;"Yes",0,IF(A1695=2025,N('2025'!D131),IF(A1695=2026,N('2026'!D131),IF(A1695=2027,N('2027'!D131),IF(A1695=2028,N('2028'!D131),IF(A1695=2029,N('2029'!D131),IF(A1695=2030,N('2030'!D131),IF(A1695=2031,N('2031'!D131),IF(A1695=2032,N('2032'!D131),IF(A1695=2033,N('2033'!D131),IF(A1695=2034,N('2034'!D131),IFERROR(N(INDIRECT("'"&amp;A1695&amp;"'!D"&amp;G1695)),0))))))))))))</f>
        <v>0</v>
      </c>
      <c r="M1695" s="36">
        <f>IFERROR(IF(NOT(ISBLANK(KPI_TARGETS!$N$7)),KPI_TARGETS!$N$7,IF(NOT(ISBLANK(KPI_TARGETS!$F$7)),KPI_TARGETS!$F$7,"")),"")</f>
        <v>8000</v>
      </c>
      <c r="N1695" s="36" t="str">
        <f>IFERROR(KPI_TARGETS!$E$7,"Higher is better")</f>
        <v>Higher is better</v>
      </c>
      <c r="O1695" s="37">
        <f t="shared" ca="1" si="156"/>
        <v>0</v>
      </c>
      <c r="P1695" t="str">
        <f t="shared" ca="1" si="157"/>
        <v>Red</v>
      </c>
      <c r="Q1695" s="36">
        <f t="shared" ca="1" si="158"/>
        <v>-8000</v>
      </c>
      <c r="R1695" s="36" t="str">
        <f>""</f>
        <v/>
      </c>
      <c r="S1695" s="36" t="str">
        <f>""</f>
        <v/>
      </c>
      <c r="T1695" s="36" t="str">
        <f>""</f>
        <v/>
      </c>
      <c r="U1695" s="36" t="str">
        <f>""</f>
        <v/>
      </c>
      <c r="V1695" s="36" t="str">
        <f>""</f>
        <v/>
      </c>
      <c r="W1695" s="36">
        <f t="shared" si="159"/>
        <v>1</v>
      </c>
      <c r="X1695" t="str">
        <f t="shared" si="160"/>
        <v>Inactive</v>
      </c>
      <c r="Y1695" t="str">
        <f>IF(MAIN!$H$3="Selected Year",IF(A1695=MAIN!$B$3,"Yes","No"),IF(MAIN!$H$3="Included Years",IF(D1695="Yes","Yes","No"),IF(C1695="Yes","Yes","No")))</f>
        <v>No</v>
      </c>
      <c r="Z1695" t="str">
        <f>IF(MAIN!$F$3="Project to Date",IF(AND(A1695&gt;=SETTINGS!$B$4,A1695&lt;MAIN!$B$3),"Yes",IF(AND(A1695=MAIN!$B$3,E1695&lt;=MAIN!$L$3),"Yes","No")),IF(OR(MAIN!$F$3="Full Year",MAIN!$D$3="All"),"Yes",IF(MAIN!$F$3="Monthly",IF(E1695=MAIN!$L$3,"Yes","No"),IF(E1695&lt;=MAIN!$L$3,"Yes","No"))))</f>
        <v>Yes</v>
      </c>
      <c r="AA1695" t="str">
        <f t="shared" si="161"/>
        <v>No</v>
      </c>
    </row>
    <row r="1696" spans="1:27" x14ac:dyDescent="0.3">
      <c r="A1696">
        <f>INDEX(SETTINGS!$A$15:$A$24,$B1696)</f>
        <v>2032</v>
      </c>
      <c r="B1696">
        <v>8</v>
      </c>
      <c r="C1696" t="str">
        <f>IF(AND(A1696&gt;=SETTINGS!$B$4,A1696&lt;=SETTINGS!$B$5),"Yes","No")</f>
        <v>No</v>
      </c>
      <c r="D1696" t="str">
        <f>IFERROR(INDEX(SETTINGS!$C$15:$C$24,MATCH(A1696,SETTINGS!$A$15:$A$24,0)),"No")</f>
        <v>No</v>
      </c>
      <c r="E1696">
        <v>6</v>
      </c>
      <c r="F1696" t="s">
        <v>39</v>
      </c>
      <c r="G1696">
        <v>133</v>
      </c>
      <c r="H1696" t="s">
        <v>95</v>
      </c>
      <c r="I1696" t="s">
        <v>15</v>
      </c>
      <c r="J1696" t="s">
        <v>16</v>
      </c>
      <c r="K1696" t="s">
        <v>3</v>
      </c>
      <c r="L1696" s="36">
        <f ca="1">IF(C1696&lt;&gt;"Yes",0,IF(A1696=2025,N('2025'!D133),IF(A1696=2026,N('2026'!D133),IF(A1696=2027,N('2027'!D133),IF(A1696=2028,N('2028'!D133),IF(A1696=2029,N('2029'!D133),IF(A1696=2030,N('2030'!D133),IF(A1696=2031,N('2031'!D133),IF(A1696=2032,N('2032'!D133),IF(A1696=2033,N('2033'!D133),IF(A1696=2034,N('2034'!D133),IFERROR(N(INDIRECT("'"&amp;A1696&amp;"'!D"&amp;G1696)),0))))))))))))</f>
        <v>0</v>
      </c>
      <c r="M1696" s="36">
        <f>IFERROR(IF(NOT(ISBLANK(KPI_TARGETS!$N$8)),KPI_TARGETS!$N$8,IF(NOT(ISBLANK(KPI_TARGETS!$F$8)),KPI_TARGETS!$F$8,"")),"")</f>
        <v>0</v>
      </c>
      <c r="N1696" s="36" t="str">
        <f>IFERROR(KPI_TARGETS!$E$8,"Higher is better")</f>
        <v>Lower is better</v>
      </c>
      <c r="O1696" s="37">
        <f t="shared" ca="1" si="156"/>
        <v>1</v>
      </c>
      <c r="P1696" t="str">
        <f t="shared" ca="1" si="157"/>
        <v>Green</v>
      </c>
      <c r="Q1696" s="36">
        <f t="shared" ca="1" si="158"/>
        <v>0</v>
      </c>
      <c r="R1696" s="36" t="str">
        <f>""</f>
        <v/>
      </c>
      <c r="S1696" s="36" t="str">
        <f>""</f>
        <v/>
      </c>
      <c r="T1696" s="36" t="str">
        <f>""</f>
        <v/>
      </c>
      <c r="U1696" s="36" t="str">
        <f>""</f>
        <v/>
      </c>
      <c r="V1696" s="36" t="str">
        <f>""</f>
        <v/>
      </c>
      <c r="W1696" s="36">
        <f t="shared" si="159"/>
        <v>1</v>
      </c>
      <c r="X1696" t="str">
        <f t="shared" si="160"/>
        <v>Inactive</v>
      </c>
      <c r="Y1696" t="str">
        <f>IF(MAIN!$H$3="Selected Year",IF(A1696=MAIN!$B$3,"Yes","No"),IF(MAIN!$H$3="Included Years",IF(D1696="Yes","Yes","No"),IF(C1696="Yes","Yes","No")))</f>
        <v>No</v>
      </c>
      <c r="Z1696" t="str">
        <f>IF(MAIN!$F$3="Project to Date",IF(AND(A1696&gt;=SETTINGS!$B$4,A1696&lt;MAIN!$B$3),"Yes",IF(AND(A1696=MAIN!$B$3,E1696&lt;=MAIN!$L$3),"Yes","No")),IF(OR(MAIN!$F$3="Full Year",MAIN!$D$3="All"),"Yes",IF(MAIN!$F$3="Monthly",IF(E1696=MAIN!$L$3,"Yes","No"),IF(E1696&lt;=MAIN!$L$3,"Yes","No"))))</f>
        <v>Yes</v>
      </c>
      <c r="AA1696" t="str">
        <f t="shared" si="161"/>
        <v>No</v>
      </c>
    </row>
    <row r="1697" spans="1:27" x14ac:dyDescent="0.3">
      <c r="A1697">
        <f>INDEX(SETTINGS!$A$15:$A$24,$B1697)</f>
        <v>2032</v>
      </c>
      <c r="B1697">
        <v>8</v>
      </c>
      <c r="C1697" t="str">
        <f>IF(AND(A1697&gt;=SETTINGS!$B$4,A1697&lt;=SETTINGS!$B$5),"Yes","No")</f>
        <v>No</v>
      </c>
      <c r="D1697" t="str">
        <f>IFERROR(INDEX(SETTINGS!$C$15:$C$24,MATCH(A1697,SETTINGS!$A$15:$A$24,0)),"No")</f>
        <v>No</v>
      </c>
      <c r="E1697">
        <v>6</v>
      </c>
      <c r="F1697" t="s">
        <v>39</v>
      </c>
      <c r="G1697">
        <v>134</v>
      </c>
      <c r="H1697" t="s">
        <v>97</v>
      </c>
      <c r="I1697" t="s">
        <v>15</v>
      </c>
      <c r="J1697" t="s">
        <v>17</v>
      </c>
      <c r="K1697" t="s">
        <v>3</v>
      </c>
      <c r="L1697" s="36">
        <f ca="1">IF(C1697&lt;&gt;"Yes",0,IF(A1697=2025,N('2025'!D134),IF(A1697=2026,N('2026'!D134),IF(A1697=2027,N('2027'!D134),IF(A1697=2028,N('2028'!D134),IF(A1697=2029,N('2029'!D134),IF(A1697=2030,N('2030'!D134),IF(A1697=2031,N('2031'!D134),IF(A1697=2032,N('2032'!D134),IF(A1697=2033,N('2033'!D134),IF(A1697=2034,N('2034'!D134),IFERROR(N(INDIRECT("'"&amp;A1697&amp;"'!D"&amp;G1697)),0))))))))))))</f>
        <v>0</v>
      </c>
      <c r="M1697" s="36">
        <f>IFERROR(IF(NOT(ISBLANK(KPI_TARGETS!$N$9)),KPI_TARGETS!$N$9,IF(NOT(ISBLANK(KPI_TARGETS!$F$9)),KPI_TARGETS!$F$9,"")),"")</f>
        <v>0</v>
      </c>
      <c r="N1697" s="36" t="str">
        <f>IFERROR(KPI_TARGETS!$E$9,"Higher is better")</f>
        <v>Higher is better</v>
      </c>
      <c r="O1697" s="37" t="str">
        <f t="shared" ca="1" si="156"/>
        <v/>
      </c>
      <c r="P1697" t="str">
        <f t="shared" ca="1" si="157"/>
        <v>Green</v>
      </c>
      <c r="Q1697" s="36">
        <f t="shared" ca="1" si="158"/>
        <v>0</v>
      </c>
      <c r="R1697" s="36" t="str">
        <f>""</f>
        <v/>
      </c>
      <c r="S1697" s="36" t="str">
        <f>""</f>
        <v/>
      </c>
      <c r="T1697" s="36" t="str">
        <f>""</f>
        <v/>
      </c>
      <c r="U1697" s="36" t="str">
        <f>""</f>
        <v/>
      </c>
      <c r="V1697" s="36" t="str">
        <f>""</f>
        <v/>
      </c>
      <c r="W1697" s="36">
        <f t="shared" si="159"/>
        <v>1</v>
      </c>
      <c r="X1697" t="str">
        <f t="shared" si="160"/>
        <v>Inactive</v>
      </c>
      <c r="Y1697" t="str">
        <f>IF(MAIN!$H$3="Selected Year",IF(A1697=MAIN!$B$3,"Yes","No"),IF(MAIN!$H$3="Included Years",IF(D1697="Yes","Yes","No"),IF(C1697="Yes","Yes","No")))</f>
        <v>No</v>
      </c>
      <c r="Z1697" t="str">
        <f>IF(MAIN!$F$3="Project to Date",IF(AND(A1697&gt;=SETTINGS!$B$4,A1697&lt;MAIN!$B$3),"Yes",IF(AND(A1697=MAIN!$B$3,E1697&lt;=MAIN!$L$3),"Yes","No")),IF(OR(MAIN!$F$3="Full Year",MAIN!$D$3="All"),"Yes",IF(MAIN!$F$3="Monthly",IF(E1697=MAIN!$L$3,"Yes","No"),IF(E1697&lt;=MAIN!$L$3,"Yes","No"))))</f>
        <v>Yes</v>
      </c>
      <c r="AA1697" t="str">
        <f t="shared" si="161"/>
        <v>No</v>
      </c>
    </row>
    <row r="1698" spans="1:27" x14ac:dyDescent="0.3">
      <c r="A1698">
        <f>INDEX(SETTINGS!$A$15:$A$24,$B1698)</f>
        <v>2032</v>
      </c>
      <c r="B1698">
        <v>8</v>
      </c>
      <c r="C1698" t="str">
        <f>IF(AND(A1698&gt;=SETTINGS!$B$4,A1698&lt;=SETTINGS!$B$5),"Yes","No")</f>
        <v>No</v>
      </c>
      <c r="D1698" t="str">
        <f>IFERROR(INDEX(SETTINGS!$C$15:$C$24,MATCH(A1698,SETTINGS!$A$15:$A$24,0)),"No")</f>
        <v>No</v>
      </c>
      <c r="E1698">
        <v>6</v>
      </c>
      <c r="F1698" t="s">
        <v>39</v>
      </c>
      <c r="G1698">
        <v>135</v>
      </c>
      <c r="H1698" t="s">
        <v>99</v>
      </c>
      <c r="I1698" t="s">
        <v>15</v>
      </c>
      <c r="J1698" t="s">
        <v>18</v>
      </c>
      <c r="K1698" t="s">
        <v>3</v>
      </c>
      <c r="L1698" s="36">
        <f ca="1">IF(C1698&lt;&gt;"Yes",0,IF(A1698=2025,N('2025'!D135),IF(A1698=2026,N('2026'!D135),IF(A1698=2027,N('2027'!D135),IF(A1698=2028,N('2028'!D135),IF(A1698=2029,N('2029'!D135),IF(A1698=2030,N('2030'!D135),IF(A1698=2031,N('2031'!D135),IF(A1698=2032,N('2032'!D135),IF(A1698=2033,N('2033'!D135),IF(A1698=2034,N('2034'!D135),IFERROR(N(INDIRECT("'"&amp;A1698&amp;"'!D"&amp;G1698)),0))))))))))))</f>
        <v>0</v>
      </c>
      <c r="M1698" s="36">
        <f>IFERROR(IF(NOT(ISBLANK(KPI_TARGETS!$N$10)),KPI_TARGETS!$N$10,IF(NOT(ISBLANK(KPI_TARGETS!$F$10)),KPI_TARGETS!$F$10,"")),"")</f>
        <v>0</v>
      </c>
      <c r="N1698" s="36" t="str">
        <f>IFERROR(KPI_TARGETS!$E$10,"Higher is better")</f>
        <v>Lower is better</v>
      </c>
      <c r="O1698" s="37">
        <f t="shared" ca="1" si="156"/>
        <v>1</v>
      </c>
      <c r="P1698" t="str">
        <f t="shared" ca="1" si="157"/>
        <v>Green</v>
      </c>
      <c r="Q1698" s="36">
        <f t="shared" ca="1" si="158"/>
        <v>0</v>
      </c>
      <c r="R1698" s="36" t="str">
        <f>""</f>
        <v/>
      </c>
      <c r="S1698" s="36" t="str">
        <f>""</f>
        <v/>
      </c>
      <c r="T1698" s="36" t="str">
        <f>""</f>
        <v/>
      </c>
      <c r="U1698" s="36" t="str">
        <f>""</f>
        <v/>
      </c>
      <c r="V1698" s="36" t="str">
        <f>""</f>
        <v/>
      </c>
      <c r="W1698" s="36">
        <f t="shared" si="159"/>
        <v>1</v>
      </c>
      <c r="X1698" t="str">
        <f t="shared" si="160"/>
        <v>Inactive</v>
      </c>
      <c r="Y1698" t="str">
        <f>IF(MAIN!$H$3="Selected Year",IF(A1698=MAIN!$B$3,"Yes","No"),IF(MAIN!$H$3="Included Years",IF(D1698="Yes","Yes","No"),IF(C1698="Yes","Yes","No")))</f>
        <v>No</v>
      </c>
      <c r="Z1698" t="str">
        <f>IF(MAIN!$F$3="Project to Date",IF(AND(A1698&gt;=SETTINGS!$B$4,A1698&lt;MAIN!$B$3),"Yes",IF(AND(A1698=MAIN!$B$3,E1698&lt;=MAIN!$L$3),"Yes","No")),IF(OR(MAIN!$F$3="Full Year",MAIN!$D$3="All"),"Yes",IF(MAIN!$F$3="Monthly",IF(E1698=MAIN!$L$3,"Yes","No"),IF(E1698&lt;=MAIN!$L$3,"Yes","No"))))</f>
        <v>Yes</v>
      </c>
      <c r="AA1698" t="str">
        <f t="shared" si="161"/>
        <v>No</v>
      </c>
    </row>
    <row r="1699" spans="1:27" x14ac:dyDescent="0.3">
      <c r="A1699">
        <f>INDEX(SETTINGS!$A$15:$A$24,$B1699)</f>
        <v>2032</v>
      </c>
      <c r="B1699">
        <v>8</v>
      </c>
      <c r="C1699" t="str">
        <f>IF(AND(A1699&gt;=SETTINGS!$B$4,A1699&lt;=SETTINGS!$B$5),"Yes","No")</f>
        <v>No</v>
      </c>
      <c r="D1699" t="str">
        <f>IFERROR(INDEX(SETTINGS!$C$15:$C$24,MATCH(A1699,SETTINGS!$A$15:$A$24,0)),"No")</f>
        <v>No</v>
      </c>
      <c r="E1699">
        <v>6</v>
      </c>
      <c r="F1699" t="s">
        <v>39</v>
      </c>
      <c r="G1699">
        <v>136</v>
      </c>
      <c r="H1699" t="s">
        <v>100</v>
      </c>
      <c r="I1699" t="s">
        <v>15</v>
      </c>
      <c r="J1699" t="s">
        <v>19</v>
      </c>
      <c r="K1699" t="s">
        <v>3</v>
      </c>
      <c r="L1699" s="36">
        <f ca="1">IF(C1699&lt;&gt;"Yes",0,IF(A1699=2025,N('2025'!D136),IF(A1699=2026,N('2026'!D136),IF(A1699=2027,N('2027'!D136),IF(A1699=2028,N('2028'!D136),IF(A1699=2029,N('2029'!D136),IF(A1699=2030,N('2030'!D136),IF(A1699=2031,N('2031'!D136),IF(A1699=2032,N('2032'!D136),IF(A1699=2033,N('2033'!D136),IF(A1699=2034,N('2034'!D136),IFERROR(N(INDIRECT("'"&amp;A1699&amp;"'!D"&amp;G1699)),0))))))))))))</f>
        <v>0</v>
      </c>
      <c r="M1699" s="36">
        <f>IFERROR(IF(NOT(ISBLANK(KPI_TARGETS!$N$11)),KPI_TARGETS!$N$11,IF(NOT(ISBLANK(KPI_TARGETS!$F$11)),KPI_TARGETS!$F$11,"")),"")</f>
        <v>0</v>
      </c>
      <c r="N1699" s="36" t="str">
        <f>IFERROR(KPI_TARGETS!$E$11,"Higher is better")</f>
        <v>Lower is better</v>
      </c>
      <c r="O1699" s="37">
        <f t="shared" ca="1" si="156"/>
        <v>1</v>
      </c>
      <c r="P1699" t="str">
        <f t="shared" ca="1" si="157"/>
        <v>Green</v>
      </c>
      <c r="Q1699" s="36">
        <f t="shared" ca="1" si="158"/>
        <v>0</v>
      </c>
      <c r="R1699" s="36" t="str">
        <f>""</f>
        <v/>
      </c>
      <c r="S1699" s="36" t="str">
        <f>""</f>
        <v/>
      </c>
      <c r="T1699" s="36" t="str">
        <f>""</f>
        <v/>
      </c>
      <c r="U1699" s="36" t="str">
        <f>""</f>
        <v/>
      </c>
      <c r="V1699" s="36" t="str">
        <f>""</f>
        <v/>
      </c>
      <c r="W1699" s="36">
        <f t="shared" si="159"/>
        <v>1</v>
      </c>
      <c r="X1699" t="str">
        <f t="shared" si="160"/>
        <v>Inactive</v>
      </c>
      <c r="Y1699" t="str">
        <f>IF(MAIN!$H$3="Selected Year",IF(A1699=MAIN!$B$3,"Yes","No"),IF(MAIN!$H$3="Included Years",IF(D1699="Yes","Yes","No"),IF(C1699="Yes","Yes","No")))</f>
        <v>No</v>
      </c>
      <c r="Z1699" t="str">
        <f>IF(MAIN!$F$3="Project to Date",IF(AND(A1699&gt;=SETTINGS!$B$4,A1699&lt;MAIN!$B$3),"Yes",IF(AND(A1699=MAIN!$B$3,E1699&lt;=MAIN!$L$3),"Yes","No")),IF(OR(MAIN!$F$3="Full Year",MAIN!$D$3="All"),"Yes",IF(MAIN!$F$3="Monthly",IF(E1699=MAIN!$L$3,"Yes","No"),IF(E1699&lt;=MAIN!$L$3,"Yes","No"))))</f>
        <v>Yes</v>
      </c>
      <c r="AA1699" t="str">
        <f t="shared" si="161"/>
        <v>No</v>
      </c>
    </row>
    <row r="1700" spans="1:27" x14ac:dyDescent="0.3">
      <c r="A1700">
        <f>INDEX(SETTINGS!$A$15:$A$24,$B1700)</f>
        <v>2032</v>
      </c>
      <c r="B1700">
        <v>8</v>
      </c>
      <c r="C1700" t="str">
        <f>IF(AND(A1700&gt;=SETTINGS!$B$4,A1700&lt;=SETTINGS!$B$5),"Yes","No")</f>
        <v>No</v>
      </c>
      <c r="D1700" t="str">
        <f>IFERROR(INDEX(SETTINGS!$C$15:$C$24,MATCH(A1700,SETTINGS!$A$15:$A$24,0)),"No")</f>
        <v>No</v>
      </c>
      <c r="E1700">
        <v>6</v>
      </c>
      <c r="F1700" t="s">
        <v>39</v>
      </c>
      <c r="G1700">
        <v>137</v>
      </c>
      <c r="H1700" t="s">
        <v>101</v>
      </c>
      <c r="I1700" t="s">
        <v>15</v>
      </c>
      <c r="J1700" t="s">
        <v>20</v>
      </c>
      <c r="K1700" t="s">
        <v>3</v>
      </c>
      <c r="L1700" s="36">
        <f ca="1">IF(C1700&lt;&gt;"Yes",0,IF(A1700=2025,N('2025'!D137),IF(A1700=2026,N('2026'!D137),IF(A1700=2027,N('2027'!D137),IF(A1700=2028,N('2028'!D137),IF(A1700=2029,N('2029'!D137),IF(A1700=2030,N('2030'!D137),IF(A1700=2031,N('2031'!D137),IF(A1700=2032,N('2032'!D137),IF(A1700=2033,N('2033'!D137),IF(A1700=2034,N('2034'!D137),IFERROR(N(INDIRECT("'"&amp;A1700&amp;"'!D"&amp;G1700)),0))))))))))))</f>
        <v>0</v>
      </c>
      <c r="M1700" s="36">
        <f>IFERROR(IF(NOT(ISBLANK(KPI_TARGETS!$N$12)),KPI_TARGETS!$N$12,IF(NOT(ISBLANK(KPI_TARGETS!$F$12)),KPI_TARGETS!$F$12,"")),"")</f>
        <v>0</v>
      </c>
      <c r="N1700" s="36" t="str">
        <f>IFERROR(KPI_TARGETS!$E$12,"Higher is better")</f>
        <v>Lower is better</v>
      </c>
      <c r="O1700" s="37">
        <f t="shared" ca="1" si="156"/>
        <v>1</v>
      </c>
      <c r="P1700" t="str">
        <f t="shared" ca="1" si="157"/>
        <v>Green</v>
      </c>
      <c r="Q1700" s="36">
        <f t="shared" ca="1" si="158"/>
        <v>0</v>
      </c>
      <c r="R1700" s="36" t="str">
        <f>""</f>
        <v/>
      </c>
      <c r="S1700" s="36" t="str">
        <f>""</f>
        <v/>
      </c>
      <c r="T1700" s="36" t="str">
        <f>""</f>
        <v/>
      </c>
      <c r="U1700" s="36" t="str">
        <f>""</f>
        <v/>
      </c>
      <c r="V1700" s="36" t="str">
        <f>""</f>
        <v/>
      </c>
      <c r="W1700" s="36">
        <f t="shared" si="159"/>
        <v>1</v>
      </c>
      <c r="X1700" t="str">
        <f t="shared" si="160"/>
        <v>Inactive</v>
      </c>
      <c r="Y1700" t="str">
        <f>IF(MAIN!$H$3="Selected Year",IF(A1700=MAIN!$B$3,"Yes","No"),IF(MAIN!$H$3="Included Years",IF(D1700="Yes","Yes","No"),IF(C1700="Yes","Yes","No")))</f>
        <v>No</v>
      </c>
      <c r="Z1700" t="str">
        <f>IF(MAIN!$F$3="Project to Date",IF(AND(A1700&gt;=SETTINGS!$B$4,A1700&lt;MAIN!$B$3),"Yes",IF(AND(A1700=MAIN!$B$3,E1700&lt;=MAIN!$L$3),"Yes","No")),IF(OR(MAIN!$F$3="Full Year",MAIN!$D$3="All"),"Yes",IF(MAIN!$F$3="Monthly",IF(E1700=MAIN!$L$3,"Yes","No"),IF(E1700&lt;=MAIN!$L$3,"Yes","No"))))</f>
        <v>Yes</v>
      </c>
      <c r="AA1700" t="str">
        <f t="shared" si="161"/>
        <v>No</v>
      </c>
    </row>
    <row r="1701" spans="1:27" x14ac:dyDescent="0.3">
      <c r="A1701">
        <f>INDEX(SETTINGS!$A$15:$A$24,$B1701)</f>
        <v>2032</v>
      </c>
      <c r="B1701">
        <v>8</v>
      </c>
      <c r="C1701" t="str">
        <f>IF(AND(A1701&gt;=SETTINGS!$B$4,A1701&lt;=SETTINGS!$B$5),"Yes","No")</f>
        <v>No</v>
      </c>
      <c r="D1701" t="str">
        <f>IFERROR(INDEX(SETTINGS!$C$15:$C$24,MATCH(A1701,SETTINGS!$A$15:$A$24,0)),"No")</f>
        <v>No</v>
      </c>
      <c r="E1701">
        <v>6</v>
      </c>
      <c r="F1701" t="s">
        <v>39</v>
      </c>
      <c r="G1701">
        <v>138</v>
      </c>
      <c r="H1701" t="s">
        <v>102</v>
      </c>
      <c r="I1701" t="s">
        <v>15</v>
      </c>
      <c r="J1701" t="s">
        <v>21</v>
      </c>
      <c r="K1701" t="s">
        <v>3</v>
      </c>
      <c r="L1701" s="36">
        <f ca="1">IF(C1701&lt;&gt;"Yes",0,IF(A1701=2025,N('2025'!D138),IF(A1701=2026,N('2026'!D138),IF(A1701=2027,N('2027'!D138),IF(A1701=2028,N('2028'!D138),IF(A1701=2029,N('2029'!D138),IF(A1701=2030,N('2030'!D138),IF(A1701=2031,N('2031'!D138),IF(A1701=2032,N('2032'!D138),IF(A1701=2033,N('2033'!D138),IF(A1701=2034,N('2034'!D138),IFERROR(N(INDIRECT("'"&amp;A1701&amp;"'!D"&amp;G1701)),0))))))))))))</f>
        <v>0</v>
      </c>
      <c r="M1701" s="36">
        <f>IFERROR(IF(NOT(ISBLANK(KPI_TARGETS!$N$13)),KPI_TARGETS!$N$13,IF(NOT(ISBLANK(KPI_TARGETS!$F$13)),KPI_TARGETS!$F$13,"")),"")</f>
        <v>0</v>
      </c>
      <c r="N1701" s="36" t="str">
        <f>IFERROR(KPI_TARGETS!$E$13,"Higher is better")</f>
        <v>Lower is better</v>
      </c>
      <c r="O1701" s="37">
        <f t="shared" ca="1" si="156"/>
        <v>1</v>
      </c>
      <c r="P1701" t="str">
        <f t="shared" ca="1" si="157"/>
        <v>Green</v>
      </c>
      <c r="Q1701" s="36">
        <f t="shared" ca="1" si="158"/>
        <v>0</v>
      </c>
      <c r="R1701" s="36" t="str">
        <f>""</f>
        <v/>
      </c>
      <c r="S1701" s="36" t="str">
        <f>""</f>
        <v/>
      </c>
      <c r="T1701" s="36" t="str">
        <f>""</f>
        <v/>
      </c>
      <c r="U1701" s="36" t="str">
        <f>""</f>
        <v/>
      </c>
      <c r="V1701" s="36" t="str">
        <f>""</f>
        <v/>
      </c>
      <c r="W1701" s="36">
        <f t="shared" si="159"/>
        <v>1</v>
      </c>
      <c r="X1701" t="str">
        <f t="shared" si="160"/>
        <v>Inactive</v>
      </c>
      <c r="Y1701" t="str">
        <f>IF(MAIN!$H$3="Selected Year",IF(A1701=MAIN!$B$3,"Yes","No"),IF(MAIN!$H$3="Included Years",IF(D1701="Yes","Yes","No"),IF(C1701="Yes","Yes","No")))</f>
        <v>No</v>
      </c>
      <c r="Z1701" t="str">
        <f>IF(MAIN!$F$3="Project to Date",IF(AND(A1701&gt;=SETTINGS!$B$4,A1701&lt;MAIN!$B$3),"Yes",IF(AND(A1701=MAIN!$B$3,E1701&lt;=MAIN!$L$3),"Yes","No")),IF(OR(MAIN!$F$3="Full Year",MAIN!$D$3="All"),"Yes",IF(MAIN!$F$3="Monthly",IF(E1701=MAIN!$L$3,"Yes","No"),IF(E1701&lt;=MAIN!$L$3,"Yes","No"))))</f>
        <v>Yes</v>
      </c>
      <c r="AA1701" t="str">
        <f t="shared" si="161"/>
        <v>No</v>
      </c>
    </row>
    <row r="1702" spans="1:27" x14ac:dyDescent="0.3">
      <c r="A1702">
        <f>INDEX(SETTINGS!$A$15:$A$24,$B1702)</f>
        <v>2032</v>
      </c>
      <c r="B1702">
        <v>8</v>
      </c>
      <c r="C1702" t="str">
        <f>IF(AND(A1702&gt;=SETTINGS!$B$4,A1702&lt;=SETTINGS!$B$5),"Yes","No")</f>
        <v>No</v>
      </c>
      <c r="D1702" t="str">
        <f>IFERROR(INDEX(SETTINGS!$C$15:$C$24,MATCH(A1702,SETTINGS!$A$15:$A$24,0)),"No")</f>
        <v>No</v>
      </c>
      <c r="E1702">
        <v>6</v>
      </c>
      <c r="F1702" t="s">
        <v>39</v>
      </c>
      <c r="G1702">
        <v>140</v>
      </c>
      <c r="H1702" t="s">
        <v>103</v>
      </c>
      <c r="I1702" t="s">
        <v>22</v>
      </c>
      <c r="J1702" t="s">
        <v>23</v>
      </c>
      <c r="K1702" t="s">
        <v>3</v>
      </c>
      <c r="L1702" s="36">
        <f ca="1">IF(C1702&lt;&gt;"Yes",0,IF(A1702=2025,N('2025'!D140),IF(A1702=2026,N('2026'!D140),IF(A1702=2027,N('2027'!D140),IF(A1702=2028,N('2028'!D140),IF(A1702=2029,N('2029'!D140),IF(A1702=2030,N('2030'!D140),IF(A1702=2031,N('2031'!D140),IF(A1702=2032,N('2032'!D140),IF(A1702=2033,N('2033'!D140),IF(A1702=2034,N('2034'!D140),IFERROR(N(INDIRECT("'"&amp;A1702&amp;"'!D"&amp;G1702)),0))))))))))))</f>
        <v>0</v>
      </c>
      <c r="M1702" s="36">
        <f>IFERROR(IF(NOT(ISBLANK(KPI_TARGETS!$N$14)),KPI_TARGETS!$N$14,IF(NOT(ISBLANK(KPI_TARGETS!$F$14)),KPI_TARGETS!$F$14,"")),"")</f>
        <v>35</v>
      </c>
      <c r="N1702" s="36" t="str">
        <f>IFERROR(KPI_TARGETS!$E$14,"Higher is better")</f>
        <v>Higher is better</v>
      </c>
      <c r="O1702" s="37">
        <f t="shared" ca="1" si="156"/>
        <v>0</v>
      </c>
      <c r="P1702" t="str">
        <f t="shared" ca="1" si="157"/>
        <v>Red</v>
      </c>
      <c r="Q1702" s="36">
        <f t="shared" ca="1" si="158"/>
        <v>-35</v>
      </c>
      <c r="R1702" s="36" t="str">
        <f>""</f>
        <v/>
      </c>
      <c r="S1702" s="36" t="str">
        <f>""</f>
        <v/>
      </c>
      <c r="T1702" s="36" t="str">
        <f>""</f>
        <v/>
      </c>
      <c r="U1702" s="36" t="str">
        <f>""</f>
        <v/>
      </c>
      <c r="V1702" s="36" t="str">
        <f>""</f>
        <v/>
      </c>
      <c r="W1702" s="36">
        <f t="shared" si="159"/>
        <v>1</v>
      </c>
      <c r="X1702" t="str">
        <f t="shared" si="160"/>
        <v>Inactive</v>
      </c>
      <c r="Y1702" t="str">
        <f>IF(MAIN!$H$3="Selected Year",IF(A1702=MAIN!$B$3,"Yes","No"),IF(MAIN!$H$3="Included Years",IF(D1702="Yes","Yes","No"),IF(C1702="Yes","Yes","No")))</f>
        <v>No</v>
      </c>
      <c r="Z1702" t="str">
        <f>IF(MAIN!$F$3="Project to Date",IF(AND(A1702&gt;=SETTINGS!$B$4,A1702&lt;MAIN!$B$3),"Yes",IF(AND(A1702=MAIN!$B$3,E1702&lt;=MAIN!$L$3),"Yes","No")),IF(OR(MAIN!$F$3="Full Year",MAIN!$D$3="All"),"Yes",IF(MAIN!$F$3="Monthly",IF(E1702=MAIN!$L$3,"Yes","No"),IF(E1702&lt;=MAIN!$L$3,"Yes","No"))))</f>
        <v>Yes</v>
      </c>
      <c r="AA1702" t="str">
        <f t="shared" si="161"/>
        <v>No</v>
      </c>
    </row>
    <row r="1703" spans="1:27" x14ac:dyDescent="0.3">
      <c r="A1703">
        <f>INDEX(SETTINGS!$A$15:$A$24,$B1703)</f>
        <v>2032</v>
      </c>
      <c r="B1703">
        <v>8</v>
      </c>
      <c r="C1703" t="str">
        <f>IF(AND(A1703&gt;=SETTINGS!$B$4,A1703&lt;=SETTINGS!$B$5),"Yes","No")</f>
        <v>No</v>
      </c>
      <c r="D1703" t="str">
        <f>IFERROR(INDEX(SETTINGS!$C$15:$C$24,MATCH(A1703,SETTINGS!$A$15:$A$24,0)),"No")</f>
        <v>No</v>
      </c>
      <c r="E1703">
        <v>6</v>
      </c>
      <c r="F1703" t="s">
        <v>39</v>
      </c>
      <c r="G1703">
        <v>141</v>
      </c>
      <c r="H1703" t="s">
        <v>104</v>
      </c>
      <c r="I1703" t="s">
        <v>22</v>
      </c>
      <c r="J1703" t="s">
        <v>24</v>
      </c>
      <c r="K1703" t="s">
        <v>3</v>
      </c>
      <c r="L1703" s="36">
        <f ca="1">IF(C1703&lt;&gt;"Yes",0,IF(A1703=2025,N('2025'!D141),IF(A1703=2026,N('2026'!D141),IF(A1703=2027,N('2027'!D141),IF(A1703=2028,N('2028'!D141),IF(A1703=2029,N('2029'!D141),IF(A1703=2030,N('2030'!D141),IF(A1703=2031,N('2031'!D141),IF(A1703=2032,N('2032'!D141),IF(A1703=2033,N('2033'!D141),IF(A1703=2034,N('2034'!D141),IFERROR(N(INDIRECT("'"&amp;A1703&amp;"'!D"&amp;G1703)),0))))))))))))</f>
        <v>0</v>
      </c>
      <c r="M1703" s="36">
        <f>IFERROR(IF(NOT(ISBLANK(KPI_TARGETS!$N$15)),KPI_TARGETS!$N$15,IF(NOT(ISBLANK(KPI_TARGETS!$F$15)),KPI_TARGETS!$F$15,"")),"")</f>
        <v>5</v>
      </c>
      <c r="N1703" s="36" t="str">
        <f>IFERROR(KPI_TARGETS!$E$15,"Higher is better")</f>
        <v>Higher is better</v>
      </c>
      <c r="O1703" s="37">
        <f t="shared" ca="1" si="156"/>
        <v>0</v>
      </c>
      <c r="P1703" t="str">
        <f t="shared" ca="1" si="157"/>
        <v>Red</v>
      </c>
      <c r="Q1703" s="36">
        <f t="shared" ca="1" si="158"/>
        <v>-5</v>
      </c>
      <c r="R1703" s="36" t="str">
        <f>""</f>
        <v/>
      </c>
      <c r="S1703" s="36" t="str">
        <f>""</f>
        <v/>
      </c>
      <c r="T1703" s="36" t="str">
        <f>""</f>
        <v/>
      </c>
      <c r="U1703" s="36" t="str">
        <f>""</f>
        <v/>
      </c>
      <c r="V1703" s="36" t="str">
        <f>""</f>
        <v/>
      </c>
      <c r="W1703" s="36">
        <f t="shared" si="159"/>
        <v>1</v>
      </c>
      <c r="X1703" t="str">
        <f t="shared" si="160"/>
        <v>Inactive</v>
      </c>
      <c r="Y1703" t="str">
        <f>IF(MAIN!$H$3="Selected Year",IF(A1703=MAIN!$B$3,"Yes","No"),IF(MAIN!$H$3="Included Years",IF(D1703="Yes","Yes","No"),IF(C1703="Yes","Yes","No")))</f>
        <v>No</v>
      </c>
      <c r="Z1703" t="str">
        <f>IF(MAIN!$F$3="Project to Date",IF(AND(A1703&gt;=SETTINGS!$B$4,A1703&lt;MAIN!$B$3),"Yes",IF(AND(A1703=MAIN!$B$3,E1703&lt;=MAIN!$L$3),"Yes","No")),IF(OR(MAIN!$F$3="Full Year",MAIN!$D$3="All"),"Yes",IF(MAIN!$F$3="Monthly",IF(E1703=MAIN!$L$3,"Yes","No"),IF(E1703&lt;=MAIN!$L$3,"Yes","No"))))</f>
        <v>Yes</v>
      </c>
      <c r="AA1703" t="str">
        <f t="shared" si="161"/>
        <v>No</v>
      </c>
    </row>
    <row r="1704" spans="1:27" x14ac:dyDescent="0.3">
      <c r="A1704">
        <f>INDEX(SETTINGS!$A$15:$A$24,$B1704)</f>
        <v>2032</v>
      </c>
      <c r="B1704">
        <v>8</v>
      </c>
      <c r="C1704" t="str">
        <f>IF(AND(A1704&gt;=SETTINGS!$B$4,A1704&lt;=SETTINGS!$B$5),"Yes","No")</f>
        <v>No</v>
      </c>
      <c r="D1704" t="str">
        <f>IFERROR(INDEX(SETTINGS!$C$15:$C$24,MATCH(A1704,SETTINGS!$A$15:$A$24,0)),"No")</f>
        <v>No</v>
      </c>
      <c r="E1704">
        <v>6</v>
      </c>
      <c r="F1704" t="s">
        <v>39</v>
      </c>
      <c r="G1704">
        <v>142</v>
      </c>
      <c r="H1704" t="s">
        <v>105</v>
      </c>
      <c r="I1704" t="s">
        <v>22</v>
      </c>
      <c r="J1704" t="s">
        <v>25</v>
      </c>
      <c r="K1704" t="s">
        <v>3</v>
      </c>
      <c r="L1704" s="36">
        <f ca="1">IF(C1704&lt;&gt;"Yes",0,IF(A1704=2025,N('2025'!D142),IF(A1704=2026,N('2026'!D142),IF(A1704=2027,N('2027'!D142),IF(A1704=2028,N('2028'!D142),IF(A1704=2029,N('2029'!D142),IF(A1704=2030,N('2030'!D142),IF(A1704=2031,N('2031'!D142),IF(A1704=2032,N('2032'!D142),IF(A1704=2033,N('2033'!D142),IF(A1704=2034,N('2034'!D142),IFERROR(N(INDIRECT("'"&amp;A1704&amp;"'!D"&amp;G1704)),0))))))))))))</f>
        <v>0</v>
      </c>
      <c r="M1704" s="36">
        <f>IFERROR(IF(NOT(ISBLANK(KPI_TARGETS!$N$16)),KPI_TARGETS!$N$16,IF(NOT(ISBLANK(KPI_TARGETS!$F$16)),KPI_TARGETS!$F$16,"")),"")</f>
        <v>4</v>
      </c>
      <c r="N1704" s="36" t="str">
        <f>IFERROR(KPI_TARGETS!$E$16,"Higher is better")</f>
        <v>Higher is better</v>
      </c>
      <c r="O1704" s="37">
        <f t="shared" ca="1" si="156"/>
        <v>0</v>
      </c>
      <c r="P1704" t="str">
        <f t="shared" ca="1" si="157"/>
        <v>Red</v>
      </c>
      <c r="Q1704" s="36">
        <f t="shared" ca="1" si="158"/>
        <v>-4</v>
      </c>
      <c r="R1704" s="36" t="str">
        <f>""</f>
        <v/>
      </c>
      <c r="S1704" s="36" t="str">
        <f>""</f>
        <v/>
      </c>
      <c r="T1704" s="36" t="str">
        <f>""</f>
        <v/>
      </c>
      <c r="U1704" s="36" t="str">
        <f>""</f>
        <v/>
      </c>
      <c r="V1704" s="36" t="str">
        <f>""</f>
        <v/>
      </c>
      <c r="W1704" s="36">
        <f t="shared" si="159"/>
        <v>1</v>
      </c>
      <c r="X1704" t="str">
        <f t="shared" si="160"/>
        <v>Inactive</v>
      </c>
      <c r="Y1704" t="str">
        <f>IF(MAIN!$H$3="Selected Year",IF(A1704=MAIN!$B$3,"Yes","No"),IF(MAIN!$H$3="Included Years",IF(D1704="Yes","Yes","No"),IF(C1704="Yes","Yes","No")))</f>
        <v>No</v>
      </c>
      <c r="Z1704" t="str">
        <f>IF(MAIN!$F$3="Project to Date",IF(AND(A1704&gt;=SETTINGS!$B$4,A1704&lt;MAIN!$B$3),"Yes",IF(AND(A1704=MAIN!$B$3,E1704&lt;=MAIN!$L$3),"Yes","No")),IF(OR(MAIN!$F$3="Full Year",MAIN!$D$3="All"),"Yes",IF(MAIN!$F$3="Monthly",IF(E1704=MAIN!$L$3,"Yes","No"),IF(E1704&lt;=MAIN!$L$3,"Yes","No"))))</f>
        <v>Yes</v>
      </c>
      <c r="AA1704" t="str">
        <f t="shared" si="161"/>
        <v>No</v>
      </c>
    </row>
    <row r="1705" spans="1:27" x14ac:dyDescent="0.3">
      <c r="A1705">
        <f>INDEX(SETTINGS!$A$15:$A$24,$B1705)</f>
        <v>2032</v>
      </c>
      <c r="B1705">
        <v>8</v>
      </c>
      <c r="C1705" t="str">
        <f>IF(AND(A1705&gt;=SETTINGS!$B$4,A1705&lt;=SETTINGS!$B$5),"Yes","No")</f>
        <v>No</v>
      </c>
      <c r="D1705" t="str">
        <f>IFERROR(INDEX(SETTINGS!$C$15:$C$24,MATCH(A1705,SETTINGS!$A$15:$A$24,0)),"No")</f>
        <v>No</v>
      </c>
      <c r="E1705">
        <v>6</v>
      </c>
      <c r="F1705" t="s">
        <v>39</v>
      </c>
      <c r="G1705">
        <v>143</v>
      </c>
      <c r="H1705" t="s">
        <v>106</v>
      </c>
      <c r="I1705" t="s">
        <v>22</v>
      </c>
      <c r="J1705" t="s">
        <v>26</v>
      </c>
      <c r="K1705" t="s">
        <v>3</v>
      </c>
      <c r="L1705" s="36">
        <f ca="1">IF(C1705&lt;&gt;"Yes",0,IF(A1705=2025,N('2025'!D143),IF(A1705=2026,N('2026'!D143),IF(A1705=2027,N('2027'!D143),IF(A1705=2028,N('2028'!D143),IF(A1705=2029,N('2029'!D143),IF(A1705=2030,N('2030'!D143),IF(A1705=2031,N('2031'!D143),IF(A1705=2032,N('2032'!D143),IF(A1705=2033,N('2033'!D143),IF(A1705=2034,N('2034'!D143),IFERROR(N(INDIRECT("'"&amp;A1705&amp;"'!D"&amp;G1705)),0))))))))))))</f>
        <v>0</v>
      </c>
      <c r="M1705" s="36">
        <f>IFERROR(IF(NOT(ISBLANK(KPI_TARGETS!$N$17)),KPI_TARGETS!$N$17,IF(NOT(ISBLANK(KPI_TARGETS!$F$17)),KPI_TARGETS!$F$17,"")),"")</f>
        <v>12</v>
      </c>
      <c r="N1705" s="36" t="str">
        <f>IFERROR(KPI_TARGETS!$E$17,"Higher is better")</f>
        <v>Higher is better</v>
      </c>
      <c r="O1705" s="37">
        <f t="shared" ca="1" si="156"/>
        <v>0</v>
      </c>
      <c r="P1705" t="str">
        <f t="shared" ca="1" si="157"/>
        <v>Red</v>
      </c>
      <c r="Q1705" s="36">
        <f t="shared" ca="1" si="158"/>
        <v>-12</v>
      </c>
      <c r="R1705" s="36" t="str">
        <f>""</f>
        <v/>
      </c>
      <c r="S1705" s="36" t="str">
        <f>""</f>
        <v/>
      </c>
      <c r="T1705" s="36" t="str">
        <f>""</f>
        <v/>
      </c>
      <c r="U1705" s="36" t="str">
        <f>""</f>
        <v/>
      </c>
      <c r="V1705" s="36" t="str">
        <f>""</f>
        <v/>
      </c>
      <c r="W1705" s="36">
        <f t="shared" si="159"/>
        <v>1</v>
      </c>
      <c r="X1705" t="str">
        <f t="shared" si="160"/>
        <v>Inactive</v>
      </c>
      <c r="Y1705" t="str">
        <f>IF(MAIN!$H$3="Selected Year",IF(A1705=MAIN!$B$3,"Yes","No"),IF(MAIN!$H$3="Included Years",IF(D1705="Yes","Yes","No"),IF(C1705="Yes","Yes","No")))</f>
        <v>No</v>
      </c>
      <c r="Z1705" t="str">
        <f>IF(MAIN!$F$3="Project to Date",IF(AND(A1705&gt;=SETTINGS!$B$4,A1705&lt;MAIN!$B$3),"Yes",IF(AND(A1705=MAIN!$B$3,E1705&lt;=MAIN!$L$3),"Yes","No")),IF(OR(MAIN!$F$3="Full Year",MAIN!$D$3="All"),"Yes",IF(MAIN!$F$3="Monthly",IF(E1705=MAIN!$L$3,"Yes","No"),IF(E1705&lt;=MAIN!$L$3,"Yes","No"))))</f>
        <v>Yes</v>
      </c>
      <c r="AA1705" t="str">
        <f t="shared" si="161"/>
        <v>No</v>
      </c>
    </row>
    <row r="1706" spans="1:27" x14ac:dyDescent="0.3">
      <c r="A1706">
        <f>INDEX(SETTINGS!$A$15:$A$24,$B1706)</f>
        <v>2032</v>
      </c>
      <c r="B1706">
        <v>8</v>
      </c>
      <c r="C1706" t="str">
        <f>IF(AND(A1706&gt;=SETTINGS!$B$4,A1706&lt;=SETTINGS!$B$5),"Yes","No")</f>
        <v>No</v>
      </c>
      <c r="D1706" t="str">
        <f>IFERROR(INDEX(SETTINGS!$C$15:$C$24,MATCH(A1706,SETTINGS!$A$15:$A$24,0)),"No")</f>
        <v>No</v>
      </c>
      <c r="E1706">
        <v>6</v>
      </c>
      <c r="F1706" t="s">
        <v>39</v>
      </c>
      <c r="G1706">
        <v>144</v>
      </c>
      <c r="H1706" t="s">
        <v>107</v>
      </c>
      <c r="I1706" t="s">
        <v>22</v>
      </c>
      <c r="J1706" t="s">
        <v>27</v>
      </c>
      <c r="K1706" t="s">
        <v>3</v>
      </c>
      <c r="L1706" s="36">
        <f ca="1">IF(C1706&lt;&gt;"Yes",0,IF(A1706=2025,N('2025'!D144),IF(A1706=2026,N('2026'!D144),IF(A1706=2027,N('2027'!D144),IF(A1706=2028,N('2028'!D144),IF(A1706=2029,N('2029'!D144),IF(A1706=2030,N('2030'!D144),IF(A1706=2031,N('2031'!D144),IF(A1706=2032,N('2032'!D144),IF(A1706=2033,N('2033'!D144),IF(A1706=2034,N('2034'!D144),IFERROR(N(INDIRECT("'"&amp;A1706&amp;"'!D"&amp;G1706)),0))))))))))))</f>
        <v>0</v>
      </c>
      <c r="M1706" s="36">
        <f>IFERROR(IF(NOT(ISBLANK(KPI_TARGETS!$N$18)),KPI_TARGETS!$N$18,IF(NOT(ISBLANK(KPI_TARGETS!$F$18)),KPI_TARGETS!$F$18,"")),"")</f>
        <v>4</v>
      </c>
      <c r="N1706" s="36" t="str">
        <f>IFERROR(KPI_TARGETS!$E$18,"Higher is better")</f>
        <v>Higher is better</v>
      </c>
      <c r="O1706" s="37">
        <f t="shared" ca="1" si="156"/>
        <v>0</v>
      </c>
      <c r="P1706" t="str">
        <f t="shared" ca="1" si="157"/>
        <v>Red</v>
      </c>
      <c r="Q1706" s="36">
        <f t="shared" ca="1" si="158"/>
        <v>-4</v>
      </c>
      <c r="R1706" s="36" t="str">
        <f>""</f>
        <v/>
      </c>
      <c r="S1706" s="36" t="str">
        <f>""</f>
        <v/>
      </c>
      <c r="T1706" s="36" t="str">
        <f>""</f>
        <v/>
      </c>
      <c r="U1706" s="36" t="str">
        <f>""</f>
        <v/>
      </c>
      <c r="V1706" s="36" t="str">
        <f>""</f>
        <v/>
      </c>
      <c r="W1706" s="36">
        <f t="shared" si="159"/>
        <v>1</v>
      </c>
      <c r="X1706" t="str">
        <f t="shared" si="160"/>
        <v>Inactive</v>
      </c>
      <c r="Y1706" t="str">
        <f>IF(MAIN!$H$3="Selected Year",IF(A1706=MAIN!$B$3,"Yes","No"),IF(MAIN!$H$3="Included Years",IF(D1706="Yes","Yes","No"),IF(C1706="Yes","Yes","No")))</f>
        <v>No</v>
      </c>
      <c r="Z1706" t="str">
        <f>IF(MAIN!$F$3="Project to Date",IF(AND(A1706&gt;=SETTINGS!$B$4,A1706&lt;MAIN!$B$3),"Yes",IF(AND(A1706=MAIN!$B$3,E1706&lt;=MAIN!$L$3),"Yes","No")),IF(OR(MAIN!$F$3="Full Year",MAIN!$D$3="All"),"Yes",IF(MAIN!$F$3="Monthly",IF(E1706=MAIN!$L$3,"Yes","No"),IF(E1706&lt;=MAIN!$L$3,"Yes","No"))))</f>
        <v>Yes</v>
      </c>
      <c r="AA1706" t="str">
        <f t="shared" si="161"/>
        <v>No</v>
      </c>
    </row>
    <row r="1707" spans="1:27" x14ac:dyDescent="0.3">
      <c r="A1707">
        <f>INDEX(SETTINGS!$A$15:$A$24,$B1707)</f>
        <v>2032</v>
      </c>
      <c r="B1707">
        <v>8</v>
      </c>
      <c r="C1707" t="str">
        <f>IF(AND(A1707&gt;=SETTINGS!$B$4,A1707&lt;=SETTINGS!$B$5),"Yes","No")</f>
        <v>No</v>
      </c>
      <c r="D1707" t="str">
        <f>IFERROR(INDEX(SETTINGS!$C$15:$C$24,MATCH(A1707,SETTINGS!$A$15:$A$24,0)),"No")</f>
        <v>No</v>
      </c>
      <c r="E1707">
        <v>6</v>
      </c>
      <c r="F1707" t="s">
        <v>39</v>
      </c>
      <c r="G1707">
        <v>145</v>
      </c>
      <c r="H1707" t="s">
        <v>108</v>
      </c>
      <c r="I1707" t="s">
        <v>22</v>
      </c>
      <c r="J1707" t="s">
        <v>28</v>
      </c>
      <c r="K1707" t="s">
        <v>3</v>
      </c>
      <c r="L1707" s="36">
        <f ca="1">IF(C1707&lt;&gt;"Yes",0,IF(A1707=2025,N('2025'!D145),IF(A1707=2026,N('2026'!D145),IF(A1707=2027,N('2027'!D145),IF(A1707=2028,N('2028'!D145),IF(A1707=2029,N('2029'!D145),IF(A1707=2030,N('2030'!D145),IF(A1707=2031,N('2031'!D145),IF(A1707=2032,N('2032'!D145),IF(A1707=2033,N('2033'!D145),IF(A1707=2034,N('2034'!D145),IFERROR(N(INDIRECT("'"&amp;A1707&amp;"'!D"&amp;G1707)),0))))))))))))</f>
        <v>0</v>
      </c>
      <c r="M1707" s="36">
        <f>IFERROR(IF(NOT(ISBLANK(KPI_TARGETS!$N$19)),KPI_TARGETS!$N$19,IF(NOT(ISBLANK(KPI_TARGETS!$F$19)),KPI_TARGETS!$F$19,"")),"")</f>
        <v>16</v>
      </c>
      <c r="N1707" s="36" t="str">
        <f>IFERROR(KPI_TARGETS!$E$19,"Higher is better")</f>
        <v>Higher is better</v>
      </c>
      <c r="O1707" s="37">
        <f t="shared" ca="1" si="156"/>
        <v>0</v>
      </c>
      <c r="P1707" t="str">
        <f t="shared" ca="1" si="157"/>
        <v>Red</v>
      </c>
      <c r="Q1707" s="36">
        <f t="shared" ca="1" si="158"/>
        <v>-16</v>
      </c>
      <c r="R1707" s="36" t="str">
        <f>""</f>
        <v/>
      </c>
      <c r="S1707" s="36" t="str">
        <f>""</f>
        <v/>
      </c>
      <c r="T1707" s="36" t="str">
        <f>""</f>
        <v/>
      </c>
      <c r="U1707" s="36" t="str">
        <f>""</f>
        <v/>
      </c>
      <c r="V1707" s="36" t="str">
        <f>""</f>
        <v/>
      </c>
      <c r="W1707" s="36">
        <f t="shared" si="159"/>
        <v>1</v>
      </c>
      <c r="X1707" t="str">
        <f t="shared" si="160"/>
        <v>Inactive</v>
      </c>
      <c r="Y1707" t="str">
        <f>IF(MAIN!$H$3="Selected Year",IF(A1707=MAIN!$B$3,"Yes","No"),IF(MAIN!$H$3="Included Years",IF(D1707="Yes","Yes","No"),IF(C1707="Yes","Yes","No")))</f>
        <v>No</v>
      </c>
      <c r="Z1707" t="str">
        <f>IF(MAIN!$F$3="Project to Date",IF(AND(A1707&gt;=SETTINGS!$B$4,A1707&lt;MAIN!$B$3),"Yes",IF(AND(A1707=MAIN!$B$3,E1707&lt;=MAIN!$L$3),"Yes","No")),IF(OR(MAIN!$F$3="Full Year",MAIN!$D$3="All"),"Yes",IF(MAIN!$F$3="Monthly",IF(E1707=MAIN!$L$3,"Yes","No"),IF(E1707&lt;=MAIN!$L$3,"Yes","No"))))</f>
        <v>Yes</v>
      </c>
      <c r="AA1707" t="str">
        <f t="shared" si="161"/>
        <v>No</v>
      </c>
    </row>
    <row r="1708" spans="1:27" x14ac:dyDescent="0.3">
      <c r="A1708">
        <f>INDEX(SETTINGS!$A$15:$A$24,$B1708)</f>
        <v>2032</v>
      </c>
      <c r="B1708">
        <v>8</v>
      </c>
      <c r="C1708" t="str">
        <f>IF(AND(A1708&gt;=SETTINGS!$B$4,A1708&lt;=SETTINGS!$B$5),"Yes","No")</f>
        <v>No</v>
      </c>
      <c r="D1708" t="str">
        <f>IFERROR(INDEX(SETTINGS!$C$15:$C$24,MATCH(A1708,SETTINGS!$A$15:$A$24,0)),"No")</f>
        <v>No</v>
      </c>
      <c r="E1708">
        <v>6</v>
      </c>
      <c r="F1708" t="s">
        <v>39</v>
      </c>
      <c r="G1708">
        <v>146</v>
      </c>
      <c r="H1708" t="s">
        <v>109</v>
      </c>
      <c r="I1708" t="s">
        <v>22</v>
      </c>
      <c r="J1708" t="s">
        <v>29</v>
      </c>
      <c r="K1708" t="s">
        <v>3</v>
      </c>
      <c r="L1708" s="36">
        <f ca="1">IF(C1708&lt;&gt;"Yes",0,IF(A1708=2025,N('2025'!D146),IF(A1708=2026,N('2026'!D146),IF(A1708=2027,N('2027'!D146),IF(A1708=2028,N('2028'!D146),IF(A1708=2029,N('2029'!D146),IF(A1708=2030,N('2030'!D146),IF(A1708=2031,N('2031'!D146),IF(A1708=2032,N('2032'!D146),IF(A1708=2033,N('2033'!D146),IF(A1708=2034,N('2034'!D146),IFERROR(N(INDIRECT("'"&amp;A1708&amp;"'!D"&amp;G1708)),0))))))))))))</f>
        <v>0</v>
      </c>
      <c r="M1708" s="36">
        <f>IFERROR(IF(NOT(ISBLANK(KPI_TARGETS!$N$20)),KPI_TARGETS!$N$20,IF(NOT(ISBLANK(KPI_TARGETS!$F$20)),KPI_TARGETS!$F$20,"")),"")</f>
        <v>1</v>
      </c>
      <c r="N1708" s="36" t="str">
        <f>IFERROR(KPI_TARGETS!$E$20,"Higher is better")</f>
        <v>Higher is better</v>
      </c>
      <c r="O1708" s="37">
        <f t="shared" ca="1" si="156"/>
        <v>0</v>
      </c>
      <c r="P1708" t="str">
        <f t="shared" ca="1" si="157"/>
        <v>Red</v>
      </c>
      <c r="Q1708" s="36">
        <f t="shared" ca="1" si="158"/>
        <v>-1</v>
      </c>
      <c r="R1708" s="36" t="str">
        <f>""</f>
        <v/>
      </c>
      <c r="S1708" s="36" t="str">
        <f>""</f>
        <v/>
      </c>
      <c r="T1708" s="36" t="str">
        <f>""</f>
        <v/>
      </c>
      <c r="U1708" s="36" t="str">
        <f>""</f>
        <v/>
      </c>
      <c r="V1708" s="36" t="str">
        <f>""</f>
        <v/>
      </c>
      <c r="W1708" s="36">
        <f t="shared" si="159"/>
        <v>1</v>
      </c>
      <c r="X1708" t="str">
        <f t="shared" si="160"/>
        <v>Inactive</v>
      </c>
      <c r="Y1708" t="str">
        <f>IF(MAIN!$H$3="Selected Year",IF(A1708=MAIN!$B$3,"Yes","No"),IF(MAIN!$H$3="Included Years",IF(D1708="Yes","Yes","No"),IF(C1708="Yes","Yes","No")))</f>
        <v>No</v>
      </c>
      <c r="Z1708" t="str">
        <f>IF(MAIN!$F$3="Project to Date",IF(AND(A1708&gt;=SETTINGS!$B$4,A1708&lt;MAIN!$B$3),"Yes",IF(AND(A1708=MAIN!$B$3,E1708&lt;=MAIN!$L$3),"Yes","No")),IF(OR(MAIN!$F$3="Full Year",MAIN!$D$3="All"),"Yes",IF(MAIN!$F$3="Monthly",IF(E1708=MAIN!$L$3,"Yes","No"),IF(E1708&lt;=MAIN!$L$3,"Yes","No"))))</f>
        <v>Yes</v>
      </c>
      <c r="AA1708" t="str">
        <f t="shared" si="161"/>
        <v>No</v>
      </c>
    </row>
    <row r="1709" spans="1:27" x14ac:dyDescent="0.3">
      <c r="A1709">
        <f>INDEX(SETTINGS!$A$15:$A$24,$B1709)</f>
        <v>2032</v>
      </c>
      <c r="B1709">
        <v>8</v>
      </c>
      <c r="C1709" t="str">
        <f>IF(AND(A1709&gt;=SETTINGS!$B$4,A1709&lt;=SETTINGS!$B$5),"Yes","No")</f>
        <v>No</v>
      </c>
      <c r="D1709" t="str">
        <f>IFERROR(INDEX(SETTINGS!$C$15:$C$24,MATCH(A1709,SETTINGS!$A$15:$A$24,0)),"No")</f>
        <v>No</v>
      </c>
      <c r="E1709">
        <v>6</v>
      </c>
      <c r="F1709" t="s">
        <v>39</v>
      </c>
      <c r="G1709">
        <v>148</v>
      </c>
      <c r="H1709" t="s">
        <v>110</v>
      </c>
      <c r="I1709" t="s">
        <v>30</v>
      </c>
      <c r="J1709" t="s">
        <v>31</v>
      </c>
      <c r="K1709" t="s">
        <v>3</v>
      </c>
      <c r="L1709" s="36">
        <f ca="1">IF(C1709&lt;&gt;"Yes",0,IF(A1709=2025,N('2025'!D148),IF(A1709=2026,N('2026'!D148),IF(A1709=2027,N('2027'!D148),IF(A1709=2028,N('2028'!D148),IF(A1709=2029,N('2029'!D148),IF(A1709=2030,N('2030'!D148),IF(A1709=2031,N('2031'!D148),IF(A1709=2032,N('2032'!D148),IF(A1709=2033,N('2033'!D148),IF(A1709=2034,N('2034'!D148),IFERROR(N(INDIRECT("'"&amp;A1709&amp;"'!D"&amp;G1709)),0))))))))))))</f>
        <v>0</v>
      </c>
      <c r="M1709" s="36">
        <f>IFERROR(IF(NOT(ISBLANK(KPI_TARGETS!$N$21)),KPI_TARGETS!$N$21,IF(NOT(ISBLANK(KPI_TARGETS!$F$21)),KPI_TARGETS!$F$21,"")),"")</f>
        <v>0</v>
      </c>
      <c r="N1709" s="36" t="str">
        <f>IFERROR(KPI_TARGETS!$E$21,"Higher is better")</f>
        <v>Lower is better</v>
      </c>
      <c r="O1709" s="37">
        <f t="shared" ca="1" si="156"/>
        <v>1</v>
      </c>
      <c r="P1709" t="str">
        <f t="shared" ca="1" si="157"/>
        <v>Green</v>
      </c>
      <c r="Q1709" s="36">
        <f t="shared" ca="1" si="158"/>
        <v>0</v>
      </c>
      <c r="R1709" s="36" t="str">
        <f>""</f>
        <v/>
      </c>
      <c r="S1709" s="36" t="str">
        <f>""</f>
        <v/>
      </c>
      <c r="T1709" s="36" t="str">
        <f>""</f>
        <v/>
      </c>
      <c r="U1709" s="36" t="str">
        <f>""</f>
        <v/>
      </c>
      <c r="V1709" s="36" t="str">
        <f>""</f>
        <v/>
      </c>
      <c r="W1709" s="36">
        <f t="shared" si="159"/>
        <v>1</v>
      </c>
      <c r="X1709" t="str">
        <f t="shared" si="160"/>
        <v>Inactive</v>
      </c>
      <c r="Y1709" t="str">
        <f>IF(MAIN!$H$3="Selected Year",IF(A1709=MAIN!$B$3,"Yes","No"),IF(MAIN!$H$3="Included Years",IF(D1709="Yes","Yes","No"),IF(C1709="Yes","Yes","No")))</f>
        <v>No</v>
      </c>
      <c r="Z1709" t="str">
        <f>IF(MAIN!$F$3="Project to Date",IF(AND(A1709&gt;=SETTINGS!$B$4,A1709&lt;MAIN!$B$3),"Yes",IF(AND(A1709=MAIN!$B$3,E1709&lt;=MAIN!$L$3),"Yes","No")),IF(OR(MAIN!$F$3="Full Year",MAIN!$D$3="All"),"Yes",IF(MAIN!$F$3="Monthly",IF(E1709=MAIN!$L$3,"Yes","No"),IF(E1709&lt;=MAIN!$L$3,"Yes","No"))))</f>
        <v>Yes</v>
      </c>
      <c r="AA1709" t="str">
        <f t="shared" si="161"/>
        <v>No</v>
      </c>
    </row>
    <row r="1710" spans="1:27" x14ac:dyDescent="0.3">
      <c r="A1710">
        <f>INDEX(SETTINGS!$A$15:$A$24,$B1710)</f>
        <v>2032</v>
      </c>
      <c r="B1710">
        <v>8</v>
      </c>
      <c r="C1710" t="str">
        <f>IF(AND(A1710&gt;=SETTINGS!$B$4,A1710&lt;=SETTINGS!$B$5),"Yes","No")</f>
        <v>No</v>
      </c>
      <c r="D1710" t="str">
        <f>IFERROR(INDEX(SETTINGS!$C$15:$C$24,MATCH(A1710,SETTINGS!$A$15:$A$24,0)),"No")</f>
        <v>No</v>
      </c>
      <c r="E1710">
        <v>6</v>
      </c>
      <c r="F1710" t="s">
        <v>39</v>
      </c>
      <c r="G1710">
        <v>149</v>
      </c>
      <c r="H1710" t="s">
        <v>111</v>
      </c>
      <c r="I1710" t="s">
        <v>30</v>
      </c>
      <c r="J1710" t="s">
        <v>32</v>
      </c>
      <c r="K1710" t="s">
        <v>3</v>
      </c>
      <c r="L1710" s="36">
        <f ca="1">IF(C1710&lt;&gt;"Yes",0,IF(A1710=2025,N('2025'!D149),IF(A1710=2026,N('2026'!D149),IF(A1710=2027,N('2027'!D149),IF(A1710=2028,N('2028'!D149),IF(A1710=2029,N('2029'!D149),IF(A1710=2030,N('2030'!D149),IF(A1710=2031,N('2031'!D149),IF(A1710=2032,N('2032'!D149),IF(A1710=2033,N('2033'!D149),IF(A1710=2034,N('2034'!D149),IFERROR(N(INDIRECT("'"&amp;A1710&amp;"'!D"&amp;G1710)),0))))))))))))</f>
        <v>0</v>
      </c>
      <c r="M1710" s="36">
        <f>IFERROR(IF(NOT(ISBLANK(KPI_TARGETS!$N$22)),KPI_TARGETS!$N$22,IF(NOT(ISBLANK(KPI_TARGETS!$F$22)),KPI_TARGETS!$F$22,"")),"")</f>
        <v>1</v>
      </c>
      <c r="N1710" s="36" t="str">
        <f>IFERROR(KPI_TARGETS!$E$22,"Higher is better")</f>
        <v>Higher is better</v>
      </c>
      <c r="O1710" s="37">
        <f t="shared" ca="1" si="156"/>
        <v>0</v>
      </c>
      <c r="P1710" t="str">
        <f t="shared" ca="1" si="157"/>
        <v>Red</v>
      </c>
      <c r="Q1710" s="36">
        <f t="shared" ca="1" si="158"/>
        <v>-1</v>
      </c>
      <c r="R1710" s="36" t="str">
        <f>""</f>
        <v/>
      </c>
      <c r="S1710" s="36" t="str">
        <f>""</f>
        <v/>
      </c>
      <c r="T1710" s="36" t="str">
        <f>""</f>
        <v/>
      </c>
      <c r="U1710" s="36" t="str">
        <f>""</f>
        <v/>
      </c>
      <c r="V1710" s="36" t="str">
        <f>""</f>
        <v/>
      </c>
      <c r="W1710" s="36">
        <f t="shared" si="159"/>
        <v>1</v>
      </c>
      <c r="X1710" t="str">
        <f t="shared" si="160"/>
        <v>Inactive</v>
      </c>
      <c r="Y1710" t="str">
        <f>IF(MAIN!$H$3="Selected Year",IF(A1710=MAIN!$B$3,"Yes","No"),IF(MAIN!$H$3="Included Years",IF(D1710="Yes","Yes","No"),IF(C1710="Yes","Yes","No")))</f>
        <v>No</v>
      </c>
      <c r="Z1710" t="str">
        <f>IF(MAIN!$F$3="Project to Date",IF(AND(A1710&gt;=SETTINGS!$B$4,A1710&lt;MAIN!$B$3),"Yes",IF(AND(A1710=MAIN!$B$3,E1710&lt;=MAIN!$L$3),"Yes","No")),IF(OR(MAIN!$F$3="Full Year",MAIN!$D$3="All"),"Yes",IF(MAIN!$F$3="Monthly",IF(E1710=MAIN!$L$3,"Yes","No"),IF(E1710&lt;=MAIN!$L$3,"Yes","No"))))</f>
        <v>Yes</v>
      </c>
      <c r="AA1710" t="str">
        <f t="shared" si="161"/>
        <v>No</v>
      </c>
    </row>
    <row r="1711" spans="1:27" x14ac:dyDescent="0.3">
      <c r="A1711">
        <f>INDEX(SETTINGS!$A$15:$A$24,$B1711)</f>
        <v>2032</v>
      </c>
      <c r="B1711">
        <v>8</v>
      </c>
      <c r="C1711" t="str">
        <f>IF(AND(A1711&gt;=SETTINGS!$B$4,A1711&lt;=SETTINGS!$B$5),"Yes","No")</f>
        <v>No</v>
      </c>
      <c r="D1711" t="str">
        <f>IFERROR(INDEX(SETTINGS!$C$15:$C$24,MATCH(A1711,SETTINGS!$A$15:$A$24,0)),"No")</f>
        <v>No</v>
      </c>
      <c r="E1711">
        <v>6</v>
      </c>
      <c r="F1711" t="s">
        <v>39</v>
      </c>
      <c r="G1711">
        <v>150</v>
      </c>
      <c r="H1711" t="s">
        <v>112</v>
      </c>
      <c r="I1711" t="s">
        <v>30</v>
      </c>
      <c r="J1711" t="s">
        <v>33</v>
      </c>
      <c r="K1711" t="s">
        <v>34</v>
      </c>
      <c r="L1711" s="36">
        <f ca="1">IF(C1711&lt;&gt;"Yes",0,IF(A1711=2025,N('2025'!D150),IF(A1711=2026,N('2026'!D150),IF(A1711=2027,N('2027'!D150),IF(A1711=2028,N('2028'!D150),IF(A1711=2029,N('2029'!D150),IF(A1711=2030,N('2030'!D150),IF(A1711=2031,N('2031'!D150),IF(A1711=2032,N('2032'!D150),IF(A1711=2033,N('2033'!D150),IF(A1711=2034,N('2034'!D150),IFERROR(N(INDIRECT("'"&amp;A1711&amp;"'!D"&amp;G1711)),0))))))))))))</f>
        <v>0</v>
      </c>
      <c r="M1711" s="36">
        <f>IFERROR(IF(NOT(ISBLANK(KPI_TARGETS!$N$23)),KPI_TARGETS!$N$23,IF(NOT(ISBLANK(KPI_TARGETS!$F$23)),KPI_TARGETS!$F$23,"")),"")</f>
        <v>1</v>
      </c>
      <c r="N1711" s="36" t="str">
        <f>IFERROR(KPI_TARGETS!$E$23,"Higher is better")</f>
        <v>Higher is better</v>
      </c>
      <c r="O1711" s="37">
        <f t="shared" ca="1" si="156"/>
        <v>0</v>
      </c>
      <c r="P1711" t="str">
        <f t="shared" ca="1" si="157"/>
        <v>Red</v>
      </c>
      <c r="Q1711" s="36">
        <f t="shared" ca="1" si="158"/>
        <v>-1</v>
      </c>
      <c r="R1711" s="36" t="str">
        <f>""</f>
        <v/>
      </c>
      <c r="S1711" s="36" t="str">
        <f>""</f>
        <v/>
      </c>
      <c r="T1711" s="36" t="str">
        <f>""</f>
        <v/>
      </c>
      <c r="U1711" s="36" t="str">
        <f>""</f>
        <v/>
      </c>
      <c r="V1711" s="36" t="str">
        <f>""</f>
        <v/>
      </c>
      <c r="W1711" s="36">
        <f t="shared" si="159"/>
        <v>1</v>
      </c>
      <c r="X1711" t="str">
        <f t="shared" si="160"/>
        <v>Inactive</v>
      </c>
      <c r="Y1711" t="str">
        <f>IF(MAIN!$H$3="Selected Year",IF(A1711=MAIN!$B$3,"Yes","No"),IF(MAIN!$H$3="Included Years",IF(D1711="Yes","Yes","No"),IF(C1711="Yes","Yes","No")))</f>
        <v>No</v>
      </c>
      <c r="Z1711" t="str">
        <f>IF(MAIN!$F$3="Project to Date",IF(AND(A1711&gt;=SETTINGS!$B$4,A1711&lt;MAIN!$B$3),"Yes",IF(AND(A1711=MAIN!$B$3,E1711&lt;=MAIN!$L$3),"Yes","No")),IF(OR(MAIN!$F$3="Full Year",MAIN!$D$3="All"),"Yes",IF(MAIN!$F$3="Monthly",IF(E1711=MAIN!$L$3,"Yes","No"),IF(E1711&lt;=MAIN!$L$3,"Yes","No"))))</f>
        <v>Yes</v>
      </c>
      <c r="AA1711" t="str">
        <f t="shared" si="161"/>
        <v>No</v>
      </c>
    </row>
    <row r="1712" spans="1:27" x14ac:dyDescent="0.3">
      <c r="A1712">
        <f>INDEX(SETTINGS!$A$15:$A$24,$B1712)</f>
        <v>2032</v>
      </c>
      <c r="B1712">
        <v>8</v>
      </c>
      <c r="C1712" t="str">
        <f>IF(AND(A1712&gt;=SETTINGS!$B$4,A1712&lt;=SETTINGS!$B$5),"Yes","No")</f>
        <v>No</v>
      </c>
      <c r="D1712" t="str">
        <f>IFERROR(INDEX(SETTINGS!$C$15:$C$24,MATCH(A1712,SETTINGS!$A$15:$A$24,0)),"No")</f>
        <v>No</v>
      </c>
      <c r="E1712">
        <v>7</v>
      </c>
      <c r="F1712" t="s">
        <v>40</v>
      </c>
      <c r="G1712">
        <v>153</v>
      </c>
      <c r="H1712" t="s">
        <v>88</v>
      </c>
      <c r="I1712" t="s">
        <v>89</v>
      </c>
      <c r="J1712" t="s">
        <v>10</v>
      </c>
      <c r="K1712" t="s">
        <v>3</v>
      </c>
      <c r="L1712" s="36">
        <f ca="1">IF(C1712&lt;&gt;"Yes",0,IF(A1712=2025,N('2025'!D153),IF(A1712=2026,N('2026'!D153),IF(A1712=2027,N('2027'!D153),IF(A1712=2028,N('2028'!D153),IF(A1712=2029,N('2029'!D153),IF(A1712=2030,N('2030'!D153),IF(A1712=2031,N('2031'!D153),IF(A1712=2032,N('2032'!D153),IF(A1712=2033,N('2033'!D153),IF(A1712=2034,N('2034'!D153),IFERROR(N(INDIRECT("'"&amp;A1712&amp;"'!D"&amp;G1712)),0))))))))))))</f>
        <v>0</v>
      </c>
      <c r="M1712" s="36">
        <f>IFERROR(IF(NOT(ISBLANK(KPI_TARGETS!$N$5)),KPI_TARGETS!$N$5,IF(NOT(ISBLANK(KPI_TARGETS!$F$5)),KPI_TARGETS!$F$5,"")),"")</f>
        <v>104</v>
      </c>
      <c r="N1712" s="36" t="str">
        <f>IFERROR(KPI_TARGETS!$E$5,"Higher is better")</f>
        <v>Higher is better</v>
      </c>
      <c r="O1712" s="37">
        <f t="shared" ca="1" si="156"/>
        <v>0</v>
      </c>
      <c r="P1712" t="str">
        <f t="shared" ca="1" si="157"/>
        <v>Red</v>
      </c>
      <c r="Q1712" s="36">
        <f t="shared" ca="1" si="158"/>
        <v>-104</v>
      </c>
      <c r="R1712" s="36" t="str">
        <f>""</f>
        <v/>
      </c>
      <c r="S1712" s="36" t="str">
        <f>""</f>
        <v/>
      </c>
      <c r="T1712" s="36" t="str">
        <f>""</f>
        <v/>
      </c>
      <c r="U1712" s="36" t="str">
        <f>""</f>
        <v/>
      </c>
      <c r="V1712" s="36" t="str">
        <f>""</f>
        <v/>
      </c>
      <c r="W1712" s="36">
        <f t="shared" si="159"/>
        <v>1</v>
      </c>
      <c r="X1712" t="str">
        <f t="shared" si="160"/>
        <v>Inactive</v>
      </c>
      <c r="Y1712" t="str">
        <f>IF(MAIN!$H$3="Selected Year",IF(A1712=MAIN!$B$3,"Yes","No"),IF(MAIN!$H$3="Included Years",IF(D1712="Yes","Yes","No"),IF(C1712="Yes","Yes","No")))</f>
        <v>No</v>
      </c>
      <c r="Z1712" t="str">
        <f>IF(MAIN!$F$3="Project to Date",IF(AND(A1712&gt;=SETTINGS!$B$4,A1712&lt;MAIN!$B$3),"Yes",IF(AND(A1712=MAIN!$B$3,E1712&lt;=MAIN!$L$3),"Yes","No")),IF(OR(MAIN!$F$3="Full Year",MAIN!$D$3="All"),"Yes",IF(MAIN!$F$3="Monthly",IF(E1712=MAIN!$L$3,"Yes","No"),IF(E1712&lt;=MAIN!$L$3,"Yes","No"))))</f>
        <v>Yes</v>
      </c>
      <c r="AA1712" t="str">
        <f t="shared" si="161"/>
        <v>No</v>
      </c>
    </row>
    <row r="1713" spans="1:27" x14ac:dyDescent="0.3">
      <c r="A1713">
        <f>INDEX(SETTINGS!$A$15:$A$24,$B1713)</f>
        <v>2032</v>
      </c>
      <c r="B1713">
        <v>8</v>
      </c>
      <c r="C1713" t="str">
        <f>IF(AND(A1713&gt;=SETTINGS!$B$4,A1713&lt;=SETTINGS!$B$5),"Yes","No")</f>
        <v>No</v>
      </c>
      <c r="D1713" t="str">
        <f>IFERROR(INDEX(SETTINGS!$C$15:$C$24,MATCH(A1713,SETTINGS!$A$15:$A$24,0)),"No")</f>
        <v>No</v>
      </c>
      <c r="E1713">
        <v>7</v>
      </c>
      <c r="F1713" t="s">
        <v>40</v>
      </c>
      <c r="G1713">
        <v>154</v>
      </c>
      <c r="H1713" t="s">
        <v>91</v>
      </c>
      <c r="I1713" t="s">
        <v>89</v>
      </c>
      <c r="J1713" t="s">
        <v>11</v>
      </c>
      <c r="K1713" t="s">
        <v>12</v>
      </c>
      <c r="L1713" s="36">
        <f ca="1">IF(C1713&lt;&gt;"Yes",0,IF(A1713=2025,N('2025'!D154),IF(A1713=2026,N('2026'!D154),IF(A1713=2027,N('2027'!D154),IF(A1713=2028,N('2028'!D154),IF(A1713=2029,N('2029'!D154),IF(A1713=2030,N('2030'!D154),IF(A1713=2031,N('2031'!D154),IF(A1713=2032,N('2032'!D154),IF(A1713=2033,N('2033'!D154),IF(A1713=2034,N('2034'!D154),IFERROR(N(INDIRECT("'"&amp;A1713&amp;"'!D"&amp;G1713)),0))))))))))))</f>
        <v>0</v>
      </c>
      <c r="M1713" s="36">
        <f>IFERROR(IF(NOT(ISBLANK(KPI_TARGETS!$N$6)),KPI_TARGETS!$N$6,IF(NOT(ISBLANK(KPI_TARGETS!$F$6)),KPI_TARGETS!$F$6,"")),"")</f>
        <v>4000</v>
      </c>
      <c r="N1713" s="36" t="str">
        <f>IFERROR(KPI_TARGETS!$E$6,"Higher is better")</f>
        <v>Higher is better</v>
      </c>
      <c r="O1713" s="37">
        <f t="shared" ca="1" si="156"/>
        <v>0</v>
      </c>
      <c r="P1713" t="str">
        <f t="shared" ca="1" si="157"/>
        <v>Red</v>
      </c>
      <c r="Q1713" s="36">
        <f t="shared" ca="1" si="158"/>
        <v>-4000</v>
      </c>
      <c r="R1713" s="36" t="str">
        <f>""</f>
        <v/>
      </c>
      <c r="S1713" s="36" t="str">
        <f>""</f>
        <v/>
      </c>
      <c r="T1713" s="36" t="str">
        <f>""</f>
        <v/>
      </c>
      <c r="U1713" s="36" t="str">
        <f>""</f>
        <v/>
      </c>
      <c r="V1713" s="36" t="str">
        <f>""</f>
        <v/>
      </c>
      <c r="W1713" s="36">
        <f t="shared" si="159"/>
        <v>1</v>
      </c>
      <c r="X1713" t="str">
        <f t="shared" si="160"/>
        <v>Inactive</v>
      </c>
      <c r="Y1713" t="str">
        <f>IF(MAIN!$H$3="Selected Year",IF(A1713=MAIN!$B$3,"Yes","No"),IF(MAIN!$H$3="Included Years",IF(D1713="Yes","Yes","No"),IF(C1713="Yes","Yes","No")))</f>
        <v>No</v>
      </c>
      <c r="Z1713" t="str">
        <f>IF(MAIN!$F$3="Project to Date",IF(AND(A1713&gt;=SETTINGS!$B$4,A1713&lt;MAIN!$B$3),"Yes",IF(AND(A1713=MAIN!$B$3,E1713&lt;=MAIN!$L$3),"Yes","No")),IF(OR(MAIN!$F$3="Full Year",MAIN!$D$3="All"),"Yes",IF(MAIN!$F$3="Monthly",IF(E1713=MAIN!$L$3,"Yes","No"),IF(E1713&lt;=MAIN!$L$3,"Yes","No"))))</f>
        <v>Yes</v>
      </c>
      <c r="AA1713" t="str">
        <f t="shared" si="161"/>
        <v>No</v>
      </c>
    </row>
    <row r="1714" spans="1:27" x14ac:dyDescent="0.3">
      <c r="A1714">
        <f>INDEX(SETTINGS!$A$15:$A$24,$B1714)</f>
        <v>2032</v>
      </c>
      <c r="B1714">
        <v>8</v>
      </c>
      <c r="C1714" t="str">
        <f>IF(AND(A1714&gt;=SETTINGS!$B$4,A1714&lt;=SETTINGS!$B$5),"Yes","No")</f>
        <v>No</v>
      </c>
      <c r="D1714" t="str">
        <f>IFERROR(INDEX(SETTINGS!$C$15:$C$24,MATCH(A1714,SETTINGS!$A$15:$A$24,0)),"No")</f>
        <v>No</v>
      </c>
      <c r="E1714">
        <v>7</v>
      </c>
      <c r="F1714" t="s">
        <v>40</v>
      </c>
      <c r="G1714">
        <v>155</v>
      </c>
      <c r="H1714" t="s">
        <v>93</v>
      </c>
      <c r="I1714" t="s">
        <v>89</v>
      </c>
      <c r="J1714" t="s">
        <v>13</v>
      </c>
      <c r="K1714" t="s">
        <v>14</v>
      </c>
      <c r="L1714" s="36">
        <f ca="1">IF(C1714&lt;&gt;"Yes",0,IF(A1714=2025,N('2025'!D155),IF(A1714=2026,N('2026'!D155),IF(A1714=2027,N('2027'!D155),IF(A1714=2028,N('2028'!D155),IF(A1714=2029,N('2029'!D155),IF(A1714=2030,N('2030'!D155),IF(A1714=2031,N('2031'!D155),IF(A1714=2032,N('2032'!D155),IF(A1714=2033,N('2033'!D155),IF(A1714=2034,N('2034'!D155),IFERROR(N(INDIRECT("'"&amp;A1714&amp;"'!D"&amp;G1714)),0))))))))))))</f>
        <v>0</v>
      </c>
      <c r="M1714" s="36">
        <f>IFERROR(IF(NOT(ISBLANK(KPI_TARGETS!$N$7)),KPI_TARGETS!$N$7,IF(NOT(ISBLANK(KPI_TARGETS!$F$7)),KPI_TARGETS!$F$7,"")),"")</f>
        <v>8000</v>
      </c>
      <c r="N1714" s="36" t="str">
        <f>IFERROR(KPI_TARGETS!$E$7,"Higher is better")</f>
        <v>Higher is better</v>
      </c>
      <c r="O1714" s="37">
        <f t="shared" ca="1" si="156"/>
        <v>0</v>
      </c>
      <c r="P1714" t="str">
        <f t="shared" ca="1" si="157"/>
        <v>Red</v>
      </c>
      <c r="Q1714" s="36">
        <f t="shared" ca="1" si="158"/>
        <v>-8000</v>
      </c>
      <c r="R1714" s="36" t="str">
        <f>""</f>
        <v/>
      </c>
      <c r="S1714" s="36" t="str">
        <f>""</f>
        <v/>
      </c>
      <c r="T1714" s="36" t="str">
        <f>""</f>
        <v/>
      </c>
      <c r="U1714" s="36" t="str">
        <f>""</f>
        <v/>
      </c>
      <c r="V1714" s="36" t="str">
        <f>""</f>
        <v/>
      </c>
      <c r="W1714" s="36">
        <f t="shared" si="159"/>
        <v>1</v>
      </c>
      <c r="X1714" t="str">
        <f t="shared" si="160"/>
        <v>Inactive</v>
      </c>
      <c r="Y1714" t="str">
        <f>IF(MAIN!$H$3="Selected Year",IF(A1714=MAIN!$B$3,"Yes","No"),IF(MAIN!$H$3="Included Years",IF(D1714="Yes","Yes","No"),IF(C1714="Yes","Yes","No")))</f>
        <v>No</v>
      </c>
      <c r="Z1714" t="str">
        <f>IF(MAIN!$F$3="Project to Date",IF(AND(A1714&gt;=SETTINGS!$B$4,A1714&lt;MAIN!$B$3),"Yes",IF(AND(A1714=MAIN!$B$3,E1714&lt;=MAIN!$L$3),"Yes","No")),IF(OR(MAIN!$F$3="Full Year",MAIN!$D$3="All"),"Yes",IF(MAIN!$F$3="Monthly",IF(E1714=MAIN!$L$3,"Yes","No"),IF(E1714&lt;=MAIN!$L$3,"Yes","No"))))</f>
        <v>Yes</v>
      </c>
      <c r="AA1714" t="str">
        <f t="shared" si="161"/>
        <v>No</v>
      </c>
    </row>
    <row r="1715" spans="1:27" x14ac:dyDescent="0.3">
      <c r="A1715">
        <f>INDEX(SETTINGS!$A$15:$A$24,$B1715)</f>
        <v>2032</v>
      </c>
      <c r="B1715">
        <v>8</v>
      </c>
      <c r="C1715" t="str">
        <f>IF(AND(A1715&gt;=SETTINGS!$B$4,A1715&lt;=SETTINGS!$B$5),"Yes","No")</f>
        <v>No</v>
      </c>
      <c r="D1715" t="str">
        <f>IFERROR(INDEX(SETTINGS!$C$15:$C$24,MATCH(A1715,SETTINGS!$A$15:$A$24,0)),"No")</f>
        <v>No</v>
      </c>
      <c r="E1715">
        <v>7</v>
      </c>
      <c r="F1715" t="s">
        <v>40</v>
      </c>
      <c r="G1715">
        <v>157</v>
      </c>
      <c r="H1715" t="s">
        <v>95</v>
      </c>
      <c r="I1715" t="s">
        <v>15</v>
      </c>
      <c r="J1715" t="s">
        <v>16</v>
      </c>
      <c r="K1715" t="s">
        <v>3</v>
      </c>
      <c r="L1715" s="36">
        <f ca="1">IF(C1715&lt;&gt;"Yes",0,IF(A1715=2025,N('2025'!D157),IF(A1715=2026,N('2026'!D157),IF(A1715=2027,N('2027'!D157),IF(A1715=2028,N('2028'!D157),IF(A1715=2029,N('2029'!D157),IF(A1715=2030,N('2030'!D157),IF(A1715=2031,N('2031'!D157),IF(A1715=2032,N('2032'!D157),IF(A1715=2033,N('2033'!D157),IF(A1715=2034,N('2034'!D157),IFERROR(N(INDIRECT("'"&amp;A1715&amp;"'!D"&amp;G1715)),0))))))))))))</f>
        <v>0</v>
      </c>
      <c r="M1715" s="36">
        <f>IFERROR(IF(NOT(ISBLANK(KPI_TARGETS!$N$8)),KPI_TARGETS!$N$8,IF(NOT(ISBLANK(KPI_TARGETS!$F$8)),KPI_TARGETS!$F$8,"")),"")</f>
        <v>0</v>
      </c>
      <c r="N1715" s="36" t="str">
        <f>IFERROR(KPI_TARGETS!$E$8,"Higher is better")</f>
        <v>Lower is better</v>
      </c>
      <c r="O1715" s="37">
        <f t="shared" ca="1" si="156"/>
        <v>1</v>
      </c>
      <c r="P1715" t="str">
        <f t="shared" ca="1" si="157"/>
        <v>Green</v>
      </c>
      <c r="Q1715" s="36">
        <f t="shared" ca="1" si="158"/>
        <v>0</v>
      </c>
      <c r="R1715" s="36" t="str">
        <f>""</f>
        <v/>
      </c>
      <c r="S1715" s="36" t="str">
        <f>""</f>
        <v/>
      </c>
      <c r="T1715" s="36" t="str">
        <f>""</f>
        <v/>
      </c>
      <c r="U1715" s="36" t="str">
        <f>""</f>
        <v/>
      </c>
      <c r="V1715" s="36" t="str">
        <f>""</f>
        <v/>
      </c>
      <c r="W1715" s="36">
        <f t="shared" si="159"/>
        <v>1</v>
      </c>
      <c r="X1715" t="str">
        <f t="shared" si="160"/>
        <v>Inactive</v>
      </c>
      <c r="Y1715" t="str">
        <f>IF(MAIN!$H$3="Selected Year",IF(A1715=MAIN!$B$3,"Yes","No"),IF(MAIN!$H$3="Included Years",IF(D1715="Yes","Yes","No"),IF(C1715="Yes","Yes","No")))</f>
        <v>No</v>
      </c>
      <c r="Z1715" t="str">
        <f>IF(MAIN!$F$3="Project to Date",IF(AND(A1715&gt;=SETTINGS!$B$4,A1715&lt;MAIN!$B$3),"Yes",IF(AND(A1715=MAIN!$B$3,E1715&lt;=MAIN!$L$3),"Yes","No")),IF(OR(MAIN!$F$3="Full Year",MAIN!$D$3="All"),"Yes",IF(MAIN!$F$3="Monthly",IF(E1715=MAIN!$L$3,"Yes","No"),IF(E1715&lt;=MAIN!$L$3,"Yes","No"))))</f>
        <v>Yes</v>
      </c>
      <c r="AA1715" t="str">
        <f t="shared" si="161"/>
        <v>No</v>
      </c>
    </row>
    <row r="1716" spans="1:27" x14ac:dyDescent="0.3">
      <c r="A1716">
        <f>INDEX(SETTINGS!$A$15:$A$24,$B1716)</f>
        <v>2032</v>
      </c>
      <c r="B1716">
        <v>8</v>
      </c>
      <c r="C1716" t="str">
        <f>IF(AND(A1716&gt;=SETTINGS!$B$4,A1716&lt;=SETTINGS!$B$5),"Yes","No")</f>
        <v>No</v>
      </c>
      <c r="D1716" t="str">
        <f>IFERROR(INDEX(SETTINGS!$C$15:$C$24,MATCH(A1716,SETTINGS!$A$15:$A$24,0)),"No")</f>
        <v>No</v>
      </c>
      <c r="E1716">
        <v>7</v>
      </c>
      <c r="F1716" t="s">
        <v>40</v>
      </c>
      <c r="G1716">
        <v>158</v>
      </c>
      <c r="H1716" t="s">
        <v>97</v>
      </c>
      <c r="I1716" t="s">
        <v>15</v>
      </c>
      <c r="J1716" t="s">
        <v>17</v>
      </c>
      <c r="K1716" t="s">
        <v>3</v>
      </c>
      <c r="L1716" s="36">
        <f ca="1">IF(C1716&lt;&gt;"Yes",0,IF(A1716=2025,N('2025'!D158),IF(A1716=2026,N('2026'!D158),IF(A1716=2027,N('2027'!D158),IF(A1716=2028,N('2028'!D158),IF(A1716=2029,N('2029'!D158),IF(A1716=2030,N('2030'!D158),IF(A1716=2031,N('2031'!D158),IF(A1716=2032,N('2032'!D158),IF(A1716=2033,N('2033'!D158),IF(A1716=2034,N('2034'!D158),IFERROR(N(INDIRECT("'"&amp;A1716&amp;"'!D"&amp;G1716)),0))))))))))))</f>
        <v>0</v>
      </c>
      <c r="M1716" s="36">
        <f>IFERROR(IF(NOT(ISBLANK(KPI_TARGETS!$N$9)),KPI_TARGETS!$N$9,IF(NOT(ISBLANK(KPI_TARGETS!$F$9)),KPI_TARGETS!$F$9,"")),"")</f>
        <v>0</v>
      </c>
      <c r="N1716" s="36" t="str">
        <f>IFERROR(KPI_TARGETS!$E$9,"Higher is better")</f>
        <v>Higher is better</v>
      </c>
      <c r="O1716" s="37" t="str">
        <f t="shared" ca="1" si="156"/>
        <v/>
      </c>
      <c r="P1716" t="str">
        <f t="shared" ca="1" si="157"/>
        <v>Green</v>
      </c>
      <c r="Q1716" s="36">
        <f t="shared" ca="1" si="158"/>
        <v>0</v>
      </c>
      <c r="R1716" s="36" t="str">
        <f>""</f>
        <v/>
      </c>
      <c r="S1716" s="36" t="str">
        <f>""</f>
        <v/>
      </c>
      <c r="T1716" s="36" t="str">
        <f>""</f>
        <v/>
      </c>
      <c r="U1716" s="36" t="str">
        <f>""</f>
        <v/>
      </c>
      <c r="V1716" s="36" t="str">
        <f>""</f>
        <v/>
      </c>
      <c r="W1716" s="36">
        <f t="shared" si="159"/>
        <v>1</v>
      </c>
      <c r="X1716" t="str">
        <f t="shared" si="160"/>
        <v>Inactive</v>
      </c>
      <c r="Y1716" t="str">
        <f>IF(MAIN!$H$3="Selected Year",IF(A1716=MAIN!$B$3,"Yes","No"),IF(MAIN!$H$3="Included Years",IF(D1716="Yes","Yes","No"),IF(C1716="Yes","Yes","No")))</f>
        <v>No</v>
      </c>
      <c r="Z1716" t="str">
        <f>IF(MAIN!$F$3="Project to Date",IF(AND(A1716&gt;=SETTINGS!$B$4,A1716&lt;MAIN!$B$3),"Yes",IF(AND(A1716=MAIN!$B$3,E1716&lt;=MAIN!$L$3),"Yes","No")),IF(OR(MAIN!$F$3="Full Year",MAIN!$D$3="All"),"Yes",IF(MAIN!$F$3="Monthly",IF(E1716=MAIN!$L$3,"Yes","No"),IF(E1716&lt;=MAIN!$L$3,"Yes","No"))))</f>
        <v>Yes</v>
      </c>
      <c r="AA1716" t="str">
        <f t="shared" si="161"/>
        <v>No</v>
      </c>
    </row>
    <row r="1717" spans="1:27" x14ac:dyDescent="0.3">
      <c r="A1717">
        <f>INDEX(SETTINGS!$A$15:$A$24,$B1717)</f>
        <v>2032</v>
      </c>
      <c r="B1717">
        <v>8</v>
      </c>
      <c r="C1717" t="str">
        <f>IF(AND(A1717&gt;=SETTINGS!$B$4,A1717&lt;=SETTINGS!$B$5),"Yes","No")</f>
        <v>No</v>
      </c>
      <c r="D1717" t="str">
        <f>IFERROR(INDEX(SETTINGS!$C$15:$C$24,MATCH(A1717,SETTINGS!$A$15:$A$24,0)),"No")</f>
        <v>No</v>
      </c>
      <c r="E1717">
        <v>7</v>
      </c>
      <c r="F1717" t="s">
        <v>40</v>
      </c>
      <c r="G1717">
        <v>159</v>
      </c>
      <c r="H1717" t="s">
        <v>99</v>
      </c>
      <c r="I1717" t="s">
        <v>15</v>
      </c>
      <c r="J1717" t="s">
        <v>18</v>
      </c>
      <c r="K1717" t="s">
        <v>3</v>
      </c>
      <c r="L1717" s="36">
        <f ca="1">IF(C1717&lt;&gt;"Yes",0,IF(A1717=2025,N('2025'!D159),IF(A1717=2026,N('2026'!D159),IF(A1717=2027,N('2027'!D159),IF(A1717=2028,N('2028'!D159),IF(A1717=2029,N('2029'!D159),IF(A1717=2030,N('2030'!D159),IF(A1717=2031,N('2031'!D159),IF(A1717=2032,N('2032'!D159),IF(A1717=2033,N('2033'!D159),IF(A1717=2034,N('2034'!D159),IFERROR(N(INDIRECT("'"&amp;A1717&amp;"'!D"&amp;G1717)),0))))))))))))</f>
        <v>0</v>
      </c>
      <c r="M1717" s="36">
        <f>IFERROR(IF(NOT(ISBLANK(KPI_TARGETS!$N$10)),KPI_TARGETS!$N$10,IF(NOT(ISBLANK(KPI_TARGETS!$F$10)),KPI_TARGETS!$F$10,"")),"")</f>
        <v>0</v>
      </c>
      <c r="N1717" s="36" t="str">
        <f>IFERROR(KPI_TARGETS!$E$10,"Higher is better")</f>
        <v>Lower is better</v>
      </c>
      <c r="O1717" s="37">
        <f t="shared" ca="1" si="156"/>
        <v>1</v>
      </c>
      <c r="P1717" t="str">
        <f t="shared" ca="1" si="157"/>
        <v>Green</v>
      </c>
      <c r="Q1717" s="36">
        <f t="shared" ca="1" si="158"/>
        <v>0</v>
      </c>
      <c r="R1717" s="36" t="str">
        <f>""</f>
        <v/>
      </c>
      <c r="S1717" s="36" t="str">
        <f>""</f>
        <v/>
      </c>
      <c r="T1717" s="36" t="str">
        <f>""</f>
        <v/>
      </c>
      <c r="U1717" s="36" t="str">
        <f>""</f>
        <v/>
      </c>
      <c r="V1717" s="36" t="str">
        <f>""</f>
        <v/>
      </c>
      <c r="W1717" s="36">
        <f t="shared" si="159"/>
        <v>1</v>
      </c>
      <c r="X1717" t="str">
        <f t="shared" si="160"/>
        <v>Inactive</v>
      </c>
      <c r="Y1717" t="str">
        <f>IF(MAIN!$H$3="Selected Year",IF(A1717=MAIN!$B$3,"Yes","No"),IF(MAIN!$H$3="Included Years",IF(D1717="Yes","Yes","No"),IF(C1717="Yes","Yes","No")))</f>
        <v>No</v>
      </c>
      <c r="Z1717" t="str">
        <f>IF(MAIN!$F$3="Project to Date",IF(AND(A1717&gt;=SETTINGS!$B$4,A1717&lt;MAIN!$B$3),"Yes",IF(AND(A1717=MAIN!$B$3,E1717&lt;=MAIN!$L$3),"Yes","No")),IF(OR(MAIN!$F$3="Full Year",MAIN!$D$3="All"),"Yes",IF(MAIN!$F$3="Monthly",IF(E1717=MAIN!$L$3,"Yes","No"),IF(E1717&lt;=MAIN!$L$3,"Yes","No"))))</f>
        <v>Yes</v>
      </c>
      <c r="AA1717" t="str">
        <f t="shared" si="161"/>
        <v>No</v>
      </c>
    </row>
    <row r="1718" spans="1:27" x14ac:dyDescent="0.3">
      <c r="A1718">
        <f>INDEX(SETTINGS!$A$15:$A$24,$B1718)</f>
        <v>2032</v>
      </c>
      <c r="B1718">
        <v>8</v>
      </c>
      <c r="C1718" t="str">
        <f>IF(AND(A1718&gt;=SETTINGS!$B$4,A1718&lt;=SETTINGS!$B$5),"Yes","No")</f>
        <v>No</v>
      </c>
      <c r="D1718" t="str">
        <f>IFERROR(INDEX(SETTINGS!$C$15:$C$24,MATCH(A1718,SETTINGS!$A$15:$A$24,0)),"No")</f>
        <v>No</v>
      </c>
      <c r="E1718">
        <v>7</v>
      </c>
      <c r="F1718" t="s">
        <v>40</v>
      </c>
      <c r="G1718">
        <v>160</v>
      </c>
      <c r="H1718" t="s">
        <v>100</v>
      </c>
      <c r="I1718" t="s">
        <v>15</v>
      </c>
      <c r="J1718" t="s">
        <v>19</v>
      </c>
      <c r="K1718" t="s">
        <v>3</v>
      </c>
      <c r="L1718" s="36">
        <f ca="1">IF(C1718&lt;&gt;"Yes",0,IF(A1718=2025,N('2025'!D160),IF(A1718=2026,N('2026'!D160),IF(A1718=2027,N('2027'!D160),IF(A1718=2028,N('2028'!D160),IF(A1718=2029,N('2029'!D160),IF(A1718=2030,N('2030'!D160),IF(A1718=2031,N('2031'!D160),IF(A1718=2032,N('2032'!D160),IF(A1718=2033,N('2033'!D160),IF(A1718=2034,N('2034'!D160),IFERROR(N(INDIRECT("'"&amp;A1718&amp;"'!D"&amp;G1718)),0))))))))))))</f>
        <v>0</v>
      </c>
      <c r="M1718" s="36">
        <f>IFERROR(IF(NOT(ISBLANK(KPI_TARGETS!$N$11)),KPI_TARGETS!$N$11,IF(NOT(ISBLANK(KPI_TARGETS!$F$11)),KPI_TARGETS!$F$11,"")),"")</f>
        <v>0</v>
      </c>
      <c r="N1718" s="36" t="str">
        <f>IFERROR(KPI_TARGETS!$E$11,"Higher is better")</f>
        <v>Lower is better</v>
      </c>
      <c r="O1718" s="37">
        <f t="shared" ca="1" si="156"/>
        <v>1</v>
      </c>
      <c r="P1718" t="str">
        <f t="shared" ca="1" si="157"/>
        <v>Green</v>
      </c>
      <c r="Q1718" s="36">
        <f t="shared" ca="1" si="158"/>
        <v>0</v>
      </c>
      <c r="R1718" s="36" t="str">
        <f>""</f>
        <v/>
      </c>
      <c r="S1718" s="36" t="str">
        <f>""</f>
        <v/>
      </c>
      <c r="T1718" s="36" t="str">
        <f>""</f>
        <v/>
      </c>
      <c r="U1718" s="36" t="str">
        <f>""</f>
        <v/>
      </c>
      <c r="V1718" s="36" t="str">
        <f>""</f>
        <v/>
      </c>
      <c r="W1718" s="36">
        <f t="shared" si="159"/>
        <v>1</v>
      </c>
      <c r="X1718" t="str">
        <f t="shared" si="160"/>
        <v>Inactive</v>
      </c>
      <c r="Y1718" t="str">
        <f>IF(MAIN!$H$3="Selected Year",IF(A1718=MAIN!$B$3,"Yes","No"),IF(MAIN!$H$3="Included Years",IF(D1718="Yes","Yes","No"),IF(C1718="Yes","Yes","No")))</f>
        <v>No</v>
      </c>
      <c r="Z1718" t="str">
        <f>IF(MAIN!$F$3="Project to Date",IF(AND(A1718&gt;=SETTINGS!$B$4,A1718&lt;MAIN!$B$3),"Yes",IF(AND(A1718=MAIN!$B$3,E1718&lt;=MAIN!$L$3),"Yes","No")),IF(OR(MAIN!$F$3="Full Year",MAIN!$D$3="All"),"Yes",IF(MAIN!$F$3="Monthly",IF(E1718=MAIN!$L$3,"Yes","No"),IF(E1718&lt;=MAIN!$L$3,"Yes","No"))))</f>
        <v>Yes</v>
      </c>
      <c r="AA1718" t="str">
        <f t="shared" si="161"/>
        <v>No</v>
      </c>
    </row>
    <row r="1719" spans="1:27" x14ac:dyDescent="0.3">
      <c r="A1719">
        <f>INDEX(SETTINGS!$A$15:$A$24,$B1719)</f>
        <v>2032</v>
      </c>
      <c r="B1719">
        <v>8</v>
      </c>
      <c r="C1719" t="str">
        <f>IF(AND(A1719&gt;=SETTINGS!$B$4,A1719&lt;=SETTINGS!$B$5),"Yes","No")</f>
        <v>No</v>
      </c>
      <c r="D1719" t="str">
        <f>IFERROR(INDEX(SETTINGS!$C$15:$C$24,MATCH(A1719,SETTINGS!$A$15:$A$24,0)),"No")</f>
        <v>No</v>
      </c>
      <c r="E1719">
        <v>7</v>
      </c>
      <c r="F1719" t="s">
        <v>40</v>
      </c>
      <c r="G1719">
        <v>161</v>
      </c>
      <c r="H1719" t="s">
        <v>101</v>
      </c>
      <c r="I1719" t="s">
        <v>15</v>
      </c>
      <c r="J1719" t="s">
        <v>20</v>
      </c>
      <c r="K1719" t="s">
        <v>3</v>
      </c>
      <c r="L1719" s="36">
        <f ca="1">IF(C1719&lt;&gt;"Yes",0,IF(A1719=2025,N('2025'!D161),IF(A1719=2026,N('2026'!D161),IF(A1719=2027,N('2027'!D161),IF(A1719=2028,N('2028'!D161),IF(A1719=2029,N('2029'!D161),IF(A1719=2030,N('2030'!D161),IF(A1719=2031,N('2031'!D161),IF(A1719=2032,N('2032'!D161),IF(A1719=2033,N('2033'!D161),IF(A1719=2034,N('2034'!D161),IFERROR(N(INDIRECT("'"&amp;A1719&amp;"'!D"&amp;G1719)),0))))))))))))</f>
        <v>0</v>
      </c>
      <c r="M1719" s="36">
        <f>IFERROR(IF(NOT(ISBLANK(KPI_TARGETS!$N$12)),KPI_TARGETS!$N$12,IF(NOT(ISBLANK(KPI_TARGETS!$F$12)),KPI_TARGETS!$F$12,"")),"")</f>
        <v>0</v>
      </c>
      <c r="N1719" s="36" t="str">
        <f>IFERROR(KPI_TARGETS!$E$12,"Higher is better")</f>
        <v>Lower is better</v>
      </c>
      <c r="O1719" s="37">
        <f t="shared" ca="1" si="156"/>
        <v>1</v>
      </c>
      <c r="P1719" t="str">
        <f t="shared" ca="1" si="157"/>
        <v>Green</v>
      </c>
      <c r="Q1719" s="36">
        <f t="shared" ca="1" si="158"/>
        <v>0</v>
      </c>
      <c r="R1719" s="36" t="str">
        <f>""</f>
        <v/>
      </c>
      <c r="S1719" s="36" t="str">
        <f>""</f>
        <v/>
      </c>
      <c r="T1719" s="36" t="str">
        <f>""</f>
        <v/>
      </c>
      <c r="U1719" s="36" t="str">
        <f>""</f>
        <v/>
      </c>
      <c r="V1719" s="36" t="str">
        <f>""</f>
        <v/>
      </c>
      <c r="W1719" s="36">
        <f t="shared" si="159"/>
        <v>1</v>
      </c>
      <c r="X1719" t="str">
        <f t="shared" si="160"/>
        <v>Inactive</v>
      </c>
      <c r="Y1719" t="str">
        <f>IF(MAIN!$H$3="Selected Year",IF(A1719=MAIN!$B$3,"Yes","No"),IF(MAIN!$H$3="Included Years",IF(D1719="Yes","Yes","No"),IF(C1719="Yes","Yes","No")))</f>
        <v>No</v>
      </c>
      <c r="Z1719" t="str">
        <f>IF(MAIN!$F$3="Project to Date",IF(AND(A1719&gt;=SETTINGS!$B$4,A1719&lt;MAIN!$B$3),"Yes",IF(AND(A1719=MAIN!$B$3,E1719&lt;=MAIN!$L$3),"Yes","No")),IF(OR(MAIN!$F$3="Full Year",MAIN!$D$3="All"),"Yes",IF(MAIN!$F$3="Monthly",IF(E1719=MAIN!$L$3,"Yes","No"),IF(E1719&lt;=MAIN!$L$3,"Yes","No"))))</f>
        <v>Yes</v>
      </c>
      <c r="AA1719" t="str">
        <f t="shared" si="161"/>
        <v>No</v>
      </c>
    </row>
    <row r="1720" spans="1:27" x14ac:dyDescent="0.3">
      <c r="A1720">
        <f>INDEX(SETTINGS!$A$15:$A$24,$B1720)</f>
        <v>2032</v>
      </c>
      <c r="B1720">
        <v>8</v>
      </c>
      <c r="C1720" t="str">
        <f>IF(AND(A1720&gt;=SETTINGS!$B$4,A1720&lt;=SETTINGS!$B$5),"Yes","No")</f>
        <v>No</v>
      </c>
      <c r="D1720" t="str">
        <f>IFERROR(INDEX(SETTINGS!$C$15:$C$24,MATCH(A1720,SETTINGS!$A$15:$A$24,0)),"No")</f>
        <v>No</v>
      </c>
      <c r="E1720">
        <v>7</v>
      </c>
      <c r="F1720" t="s">
        <v>40</v>
      </c>
      <c r="G1720">
        <v>162</v>
      </c>
      <c r="H1720" t="s">
        <v>102</v>
      </c>
      <c r="I1720" t="s">
        <v>15</v>
      </c>
      <c r="J1720" t="s">
        <v>21</v>
      </c>
      <c r="K1720" t="s">
        <v>3</v>
      </c>
      <c r="L1720" s="36">
        <f ca="1">IF(C1720&lt;&gt;"Yes",0,IF(A1720=2025,N('2025'!D162),IF(A1720=2026,N('2026'!D162),IF(A1720=2027,N('2027'!D162),IF(A1720=2028,N('2028'!D162),IF(A1720=2029,N('2029'!D162),IF(A1720=2030,N('2030'!D162),IF(A1720=2031,N('2031'!D162),IF(A1720=2032,N('2032'!D162),IF(A1720=2033,N('2033'!D162),IF(A1720=2034,N('2034'!D162),IFERROR(N(INDIRECT("'"&amp;A1720&amp;"'!D"&amp;G1720)),0))))))))))))</f>
        <v>0</v>
      </c>
      <c r="M1720" s="36">
        <f>IFERROR(IF(NOT(ISBLANK(KPI_TARGETS!$N$13)),KPI_TARGETS!$N$13,IF(NOT(ISBLANK(KPI_TARGETS!$F$13)),KPI_TARGETS!$F$13,"")),"")</f>
        <v>0</v>
      </c>
      <c r="N1720" s="36" t="str">
        <f>IFERROR(KPI_TARGETS!$E$13,"Higher is better")</f>
        <v>Lower is better</v>
      </c>
      <c r="O1720" s="37">
        <f t="shared" ca="1" si="156"/>
        <v>1</v>
      </c>
      <c r="P1720" t="str">
        <f t="shared" ca="1" si="157"/>
        <v>Green</v>
      </c>
      <c r="Q1720" s="36">
        <f t="shared" ca="1" si="158"/>
        <v>0</v>
      </c>
      <c r="R1720" s="36" t="str">
        <f>""</f>
        <v/>
      </c>
      <c r="S1720" s="36" t="str">
        <f>""</f>
        <v/>
      </c>
      <c r="T1720" s="36" t="str">
        <f>""</f>
        <v/>
      </c>
      <c r="U1720" s="36" t="str">
        <f>""</f>
        <v/>
      </c>
      <c r="V1720" s="36" t="str">
        <f>""</f>
        <v/>
      </c>
      <c r="W1720" s="36">
        <f t="shared" si="159"/>
        <v>1</v>
      </c>
      <c r="X1720" t="str">
        <f t="shared" si="160"/>
        <v>Inactive</v>
      </c>
      <c r="Y1720" t="str">
        <f>IF(MAIN!$H$3="Selected Year",IF(A1720=MAIN!$B$3,"Yes","No"),IF(MAIN!$H$3="Included Years",IF(D1720="Yes","Yes","No"),IF(C1720="Yes","Yes","No")))</f>
        <v>No</v>
      </c>
      <c r="Z1720" t="str">
        <f>IF(MAIN!$F$3="Project to Date",IF(AND(A1720&gt;=SETTINGS!$B$4,A1720&lt;MAIN!$B$3),"Yes",IF(AND(A1720=MAIN!$B$3,E1720&lt;=MAIN!$L$3),"Yes","No")),IF(OR(MAIN!$F$3="Full Year",MAIN!$D$3="All"),"Yes",IF(MAIN!$F$3="Monthly",IF(E1720=MAIN!$L$3,"Yes","No"),IF(E1720&lt;=MAIN!$L$3,"Yes","No"))))</f>
        <v>Yes</v>
      </c>
      <c r="AA1720" t="str">
        <f t="shared" si="161"/>
        <v>No</v>
      </c>
    </row>
    <row r="1721" spans="1:27" x14ac:dyDescent="0.3">
      <c r="A1721">
        <f>INDEX(SETTINGS!$A$15:$A$24,$B1721)</f>
        <v>2032</v>
      </c>
      <c r="B1721">
        <v>8</v>
      </c>
      <c r="C1721" t="str">
        <f>IF(AND(A1721&gt;=SETTINGS!$B$4,A1721&lt;=SETTINGS!$B$5),"Yes","No")</f>
        <v>No</v>
      </c>
      <c r="D1721" t="str">
        <f>IFERROR(INDEX(SETTINGS!$C$15:$C$24,MATCH(A1721,SETTINGS!$A$15:$A$24,0)),"No")</f>
        <v>No</v>
      </c>
      <c r="E1721">
        <v>7</v>
      </c>
      <c r="F1721" t="s">
        <v>40</v>
      </c>
      <c r="G1721">
        <v>164</v>
      </c>
      <c r="H1721" t="s">
        <v>103</v>
      </c>
      <c r="I1721" t="s">
        <v>22</v>
      </c>
      <c r="J1721" t="s">
        <v>23</v>
      </c>
      <c r="K1721" t="s">
        <v>3</v>
      </c>
      <c r="L1721" s="36">
        <f ca="1">IF(C1721&lt;&gt;"Yes",0,IF(A1721=2025,N('2025'!D164),IF(A1721=2026,N('2026'!D164),IF(A1721=2027,N('2027'!D164),IF(A1721=2028,N('2028'!D164),IF(A1721=2029,N('2029'!D164),IF(A1721=2030,N('2030'!D164),IF(A1721=2031,N('2031'!D164),IF(A1721=2032,N('2032'!D164),IF(A1721=2033,N('2033'!D164),IF(A1721=2034,N('2034'!D164),IFERROR(N(INDIRECT("'"&amp;A1721&amp;"'!D"&amp;G1721)),0))))))))))))</f>
        <v>0</v>
      </c>
      <c r="M1721" s="36">
        <f>IFERROR(IF(NOT(ISBLANK(KPI_TARGETS!$N$14)),KPI_TARGETS!$N$14,IF(NOT(ISBLANK(KPI_TARGETS!$F$14)),KPI_TARGETS!$F$14,"")),"")</f>
        <v>35</v>
      </c>
      <c r="N1721" s="36" t="str">
        <f>IFERROR(KPI_TARGETS!$E$14,"Higher is better")</f>
        <v>Higher is better</v>
      </c>
      <c r="O1721" s="37">
        <f t="shared" ca="1" si="156"/>
        <v>0</v>
      </c>
      <c r="P1721" t="str">
        <f t="shared" ca="1" si="157"/>
        <v>Red</v>
      </c>
      <c r="Q1721" s="36">
        <f t="shared" ca="1" si="158"/>
        <v>-35</v>
      </c>
      <c r="R1721" s="36" t="str">
        <f>""</f>
        <v/>
      </c>
      <c r="S1721" s="36" t="str">
        <f>""</f>
        <v/>
      </c>
      <c r="T1721" s="36" t="str">
        <f>""</f>
        <v/>
      </c>
      <c r="U1721" s="36" t="str">
        <f>""</f>
        <v/>
      </c>
      <c r="V1721" s="36" t="str">
        <f>""</f>
        <v/>
      </c>
      <c r="W1721" s="36">
        <f t="shared" si="159"/>
        <v>1</v>
      </c>
      <c r="X1721" t="str">
        <f t="shared" si="160"/>
        <v>Inactive</v>
      </c>
      <c r="Y1721" t="str">
        <f>IF(MAIN!$H$3="Selected Year",IF(A1721=MAIN!$B$3,"Yes","No"),IF(MAIN!$H$3="Included Years",IF(D1721="Yes","Yes","No"),IF(C1721="Yes","Yes","No")))</f>
        <v>No</v>
      </c>
      <c r="Z1721" t="str">
        <f>IF(MAIN!$F$3="Project to Date",IF(AND(A1721&gt;=SETTINGS!$B$4,A1721&lt;MAIN!$B$3),"Yes",IF(AND(A1721=MAIN!$B$3,E1721&lt;=MAIN!$L$3),"Yes","No")),IF(OR(MAIN!$F$3="Full Year",MAIN!$D$3="All"),"Yes",IF(MAIN!$F$3="Monthly",IF(E1721=MAIN!$L$3,"Yes","No"),IF(E1721&lt;=MAIN!$L$3,"Yes","No"))))</f>
        <v>Yes</v>
      </c>
      <c r="AA1721" t="str">
        <f t="shared" si="161"/>
        <v>No</v>
      </c>
    </row>
    <row r="1722" spans="1:27" x14ac:dyDescent="0.3">
      <c r="A1722">
        <f>INDEX(SETTINGS!$A$15:$A$24,$B1722)</f>
        <v>2032</v>
      </c>
      <c r="B1722">
        <v>8</v>
      </c>
      <c r="C1722" t="str">
        <f>IF(AND(A1722&gt;=SETTINGS!$B$4,A1722&lt;=SETTINGS!$B$5),"Yes","No")</f>
        <v>No</v>
      </c>
      <c r="D1722" t="str">
        <f>IFERROR(INDEX(SETTINGS!$C$15:$C$24,MATCH(A1722,SETTINGS!$A$15:$A$24,0)),"No")</f>
        <v>No</v>
      </c>
      <c r="E1722">
        <v>7</v>
      </c>
      <c r="F1722" t="s">
        <v>40</v>
      </c>
      <c r="G1722">
        <v>165</v>
      </c>
      <c r="H1722" t="s">
        <v>104</v>
      </c>
      <c r="I1722" t="s">
        <v>22</v>
      </c>
      <c r="J1722" t="s">
        <v>24</v>
      </c>
      <c r="K1722" t="s">
        <v>3</v>
      </c>
      <c r="L1722" s="36">
        <f ca="1">IF(C1722&lt;&gt;"Yes",0,IF(A1722=2025,N('2025'!D165),IF(A1722=2026,N('2026'!D165),IF(A1722=2027,N('2027'!D165),IF(A1722=2028,N('2028'!D165),IF(A1722=2029,N('2029'!D165),IF(A1722=2030,N('2030'!D165),IF(A1722=2031,N('2031'!D165),IF(A1722=2032,N('2032'!D165),IF(A1722=2033,N('2033'!D165),IF(A1722=2034,N('2034'!D165),IFERROR(N(INDIRECT("'"&amp;A1722&amp;"'!D"&amp;G1722)),0))))))))))))</f>
        <v>0</v>
      </c>
      <c r="M1722" s="36">
        <f>IFERROR(IF(NOT(ISBLANK(KPI_TARGETS!$N$15)),KPI_TARGETS!$N$15,IF(NOT(ISBLANK(KPI_TARGETS!$F$15)),KPI_TARGETS!$F$15,"")),"")</f>
        <v>5</v>
      </c>
      <c r="N1722" s="36" t="str">
        <f>IFERROR(KPI_TARGETS!$E$15,"Higher is better")</f>
        <v>Higher is better</v>
      </c>
      <c r="O1722" s="37">
        <f t="shared" ca="1" si="156"/>
        <v>0</v>
      </c>
      <c r="P1722" t="str">
        <f t="shared" ca="1" si="157"/>
        <v>Red</v>
      </c>
      <c r="Q1722" s="36">
        <f t="shared" ca="1" si="158"/>
        <v>-5</v>
      </c>
      <c r="R1722" s="36" t="str">
        <f>""</f>
        <v/>
      </c>
      <c r="S1722" s="36" t="str">
        <f>""</f>
        <v/>
      </c>
      <c r="T1722" s="36" t="str">
        <f>""</f>
        <v/>
      </c>
      <c r="U1722" s="36" t="str">
        <f>""</f>
        <v/>
      </c>
      <c r="V1722" s="36" t="str">
        <f>""</f>
        <v/>
      </c>
      <c r="W1722" s="36">
        <f t="shared" si="159"/>
        <v>1</v>
      </c>
      <c r="X1722" t="str">
        <f t="shared" si="160"/>
        <v>Inactive</v>
      </c>
      <c r="Y1722" t="str">
        <f>IF(MAIN!$H$3="Selected Year",IF(A1722=MAIN!$B$3,"Yes","No"),IF(MAIN!$H$3="Included Years",IF(D1722="Yes","Yes","No"),IF(C1722="Yes","Yes","No")))</f>
        <v>No</v>
      </c>
      <c r="Z1722" t="str">
        <f>IF(MAIN!$F$3="Project to Date",IF(AND(A1722&gt;=SETTINGS!$B$4,A1722&lt;MAIN!$B$3),"Yes",IF(AND(A1722=MAIN!$B$3,E1722&lt;=MAIN!$L$3),"Yes","No")),IF(OR(MAIN!$F$3="Full Year",MAIN!$D$3="All"),"Yes",IF(MAIN!$F$3="Monthly",IF(E1722=MAIN!$L$3,"Yes","No"),IF(E1722&lt;=MAIN!$L$3,"Yes","No"))))</f>
        <v>Yes</v>
      </c>
      <c r="AA1722" t="str">
        <f t="shared" si="161"/>
        <v>No</v>
      </c>
    </row>
    <row r="1723" spans="1:27" x14ac:dyDescent="0.3">
      <c r="A1723">
        <f>INDEX(SETTINGS!$A$15:$A$24,$B1723)</f>
        <v>2032</v>
      </c>
      <c r="B1723">
        <v>8</v>
      </c>
      <c r="C1723" t="str">
        <f>IF(AND(A1723&gt;=SETTINGS!$B$4,A1723&lt;=SETTINGS!$B$5),"Yes","No")</f>
        <v>No</v>
      </c>
      <c r="D1723" t="str">
        <f>IFERROR(INDEX(SETTINGS!$C$15:$C$24,MATCH(A1723,SETTINGS!$A$15:$A$24,0)),"No")</f>
        <v>No</v>
      </c>
      <c r="E1723">
        <v>7</v>
      </c>
      <c r="F1723" t="s">
        <v>40</v>
      </c>
      <c r="G1723">
        <v>166</v>
      </c>
      <c r="H1723" t="s">
        <v>105</v>
      </c>
      <c r="I1723" t="s">
        <v>22</v>
      </c>
      <c r="J1723" t="s">
        <v>25</v>
      </c>
      <c r="K1723" t="s">
        <v>3</v>
      </c>
      <c r="L1723" s="36">
        <f ca="1">IF(C1723&lt;&gt;"Yes",0,IF(A1723=2025,N('2025'!D166),IF(A1723=2026,N('2026'!D166),IF(A1723=2027,N('2027'!D166),IF(A1723=2028,N('2028'!D166),IF(A1723=2029,N('2029'!D166),IF(A1723=2030,N('2030'!D166),IF(A1723=2031,N('2031'!D166),IF(A1723=2032,N('2032'!D166),IF(A1723=2033,N('2033'!D166),IF(A1723=2034,N('2034'!D166),IFERROR(N(INDIRECT("'"&amp;A1723&amp;"'!D"&amp;G1723)),0))))))))))))</f>
        <v>0</v>
      </c>
      <c r="M1723" s="36">
        <f>IFERROR(IF(NOT(ISBLANK(KPI_TARGETS!$N$16)),KPI_TARGETS!$N$16,IF(NOT(ISBLANK(KPI_TARGETS!$F$16)),KPI_TARGETS!$F$16,"")),"")</f>
        <v>4</v>
      </c>
      <c r="N1723" s="36" t="str">
        <f>IFERROR(KPI_TARGETS!$E$16,"Higher is better")</f>
        <v>Higher is better</v>
      </c>
      <c r="O1723" s="37">
        <f t="shared" ca="1" si="156"/>
        <v>0</v>
      </c>
      <c r="P1723" t="str">
        <f t="shared" ca="1" si="157"/>
        <v>Red</v>
      </c>
      <c r="Q1723" s="36">
        <f t="shared" ca="1" si="158"/>
        <v>-4</v>
      </c>
      <c r="R1723" s="36" t="str">
        <f>""</f>
        <v/>
      </c>
      <c r="S1723" s="36" t="str">
        <f>""</f>
        <v/>
      </c>
      <c r="T1723" s="36" t="str">
        <f>""</f>
        <v/>
      </c>
      <c r="U1723" s="36" t="str">
        <f>""</f>
        <v/>
      </c>
      <c r="V1723" s="36" t="str">
        <f>""</f>
        <v/>
      </c>
      <c r="W1723" s="36">
        <f t="shared" si="159"/>
        <v>1</v>
      </c>
      <c r="X1723" t="str">
        <f t="shared" si="160"/>
        <v>Inactive</v>
      </c>
      <c r="Y1723" t="str">
        <f>IF(MAIN!$H$3="Selected Year",IF(A1723=MAIN!$B$3,"Yes","No"),IF(MAIN!$H$3="Included Years",IF(D1723="Yes","Yes","No"),IF(C1723="Yes","Yes","No")))</f>
        <v>No</v>
      </c>
      <c r="Z1723" t="str">
        <f>IF(MAIN!$F$3="Project to Date",IF(AND(A1723&gt;=SETTINGS!$B$4,A1723&lt;MAIN!$B$3),"Yes",IF(AND(A1723=MAIN!$B$3,E1723&lt;=MAIN!$L$3),"Yes","No")),IF(OR(MAIN!$F$3="Full Year",MAIN!$D$3="All"),"Yes",IF(MAIN!$F$3="Monthly",IF(E1723=MAIN!$L$3,"Yes","No"),IF(E1723&lt;=MAIN!$L$3,"Yes","No"))))</f>
        <v>Yes</v>
      </c>
      <c r="AA1723" t="str">
        <f t="shared" si="161"/>
        <v>No</v>
      </c>
    </row>
    <row r="1724" spans="1:27" x14ac:dyDescent="0.3">
      <c r="A1724">
        <f>INDEX(SETTINGS!$A$15:$A$24,$B1724)</f>
        <v>2032</v>
      </c>
      <c r="B1724">
        <v>8</v>
      </c>
      <c r="C1724" t="str">
        <f>IF(AND(A1724&gt;=SETTINGS!$B$4,A1724&lt;=SETTINGS!$B$5),"Yes","No")</f>
        <v>No</v>
      </c>
      <c r="D1724" t="str">
        <f>IFERROR(INDEX(SETTINGS!$C$15:$C$24,MATCH(A1724,SETTINGS!$A$15:$A$24,0)),"No")</f>
        <v>No</v>
      </c>
      <c r="E1724">
        <v>7</v>
      </c>
      <c r="F1724" t="s">
        <v>40</v>
      </c>
      <c r="G1724">
        <v>167</v>
      </c>
      <c r="H1724" t="s">
        <v>106</v>
      </c>
      <c r="I1724" t="s">
        <v>22</v>
      </c>
      <c r="J1724" t="s">
        <v>26</v>
      </c>
      <c r="K1724" t="s">
        <v>3</v>
      </c>
      <c r="L1724" s="36">
        <f ca="1">IF(C1724&lt;&gt;"Yes",0,IF(A1724=2025,N('2025'!D167),IF(A1724=2026,N('2026'!D167),IF(A1724=2027,N('2027'!D167),IF(A1724=2028,N('2028'!D167),IF(A1724=2029,N('2029'!D167),IF(A1724=2030,N('2030'!D167),IF(A1724=2031,N('2031'!D167),IF(A1724=2032,N('2032'!D167),IF(A1724=2033,N('2033'!D167),IF(A1724=2034,N('2034'!D167),IFERROR(N(INDIRECT("'"&amp;A1724&amp;"'!D"&amp;G1724)),0))))))))))))</f>
        <v>0</v>
      </c>
      <c r="M1724" s="36">
        <f>IFERROR(IF(NOT(ISBLANK(KPI_TARGETS!$N$17)),KPI_TARGETS!$N$17,IF(NOT(ISBLANK(KPI_TARGETS!$F$17)),KPI_TARGETS!$F$17,"")),"")</f>
        <v>12</v>
      </c>
      <c r="N1724" s="36" t="str">
        <f>IFERROR(KPI_TARGETS!$E$17,"Higher is better")</f>
        <v>Higher is better</v>
      </c>
      <c r="O1724" s="37">
        <f t="shared" ca="1" si="156"/>
        <v>0</v>
      </c>
      <c r="P1724" t="str">
        <f t="shared" ca="1" si="157"/>
        <v>Red</v>
      </c>
      <c r="Q1724" s="36">
        <f t="shared" ca="1" si="158"/>
        <v>-12</v>
      </c>
      <c r="R1724" s="36" t="str">
        <f>""</f>
        <v/>
      </c>
      <c r="S1724" s="36" t="str">
        <f>""</f>
        <v/>
      </c>
      <c r="T1724" s="36" t="str">
        <f>""</f>
        <v/>
      </c>
      <c r="U1724" s="36" t="str">
        <f>""</f>
        <v/>
      </c>
      <c r="V1724" s="36" t="str">
        <f>""</f>
        <v/>
      </c>
      <c r="W1724" s="36">
        <f t="shared" si="159"/>
        <v>1</v>
      </c>
      <c r="X1724" t="str">
        <f t="shared" si="160"/>
        <v>Inactive</v>
      </c>
      <c r="Y1724" t="str">
        <f>IF(MAIN!$H$3="Selected Year",IF(A1724=MAIN!$B$3,"Yes","No"),IF(MAIN!$H$3="Included Years",IF(D1724="Yes","Yes","No"),IF(C1724="Yes","Yes","No")))</f>
        <v>No</v>
      </c>
      <c r="Z1724" t="str">
        <f>IF(MAIN!$F$3="Project to Date",IF(AND(A1724&gt;=SETTINGS!$B$4,A1724&lt;MAIN!$B$3),"Yes",IF(AND(A1724=MAIN!$B$3,E1724&lt;=MAIN!$L$3),"Yes","No")),IF(OR(MAIN!$F$3="Full Year",MAIN!$D$3="All"),"Yes",IF(MAIN!$F$3="Monthly",IF(E1724=MAIN!$L$3,"Yes","No"),IF(E1724&lt;=MAIN!$L$3,"Yes","No"))))</f>
        <v>Yes</v>
      </c>
      <c r="AA1724" t="str">
        <f t="shared" si="161"/>
        <v>No</v>
      </c>
    </row>
    <row r="1725" spans="1:27" x14ac:dyDescent="0.3">
      <c r="A1725">
        <f>INDEX(SETTINGS!$A$15:$A$24,$B1725)</f>
        <v>2032</v>
      </c>
      <c r="B1725">
        <v>8</v>
      </c>
      <c r="C1725" t="str">
        <f>IF(AND(A1725&gt;=SETTINGS!$B$4,A1725&lt;=SETTINGS!$B$5),"Yes","No")</f>
        <v>No</v>
      </c>
      <c r="D1725" t="str">
        <f>IFERROR(INDEX(SETTINGS!$C$15:$C$24,MATCH(A1725,SETTINGS!$A$15:$A$24,0)),"No")</f>
        <v>No</v>
      </c>
      <c r="E1725">
        <v>7</v>
      </c>
      <c r="F1725" t="s">
        <v>40</v>
      </c>
      <c r="G1725">
        <v>168</v>
      </c>
      <c r="H1725" t="s">
        <v>107</v>
      </c>
      <c r="I1725" t="s">
        <v>22</v>
      </c>
      <c r="J1725" t="s">
        <v>27</v>
      </c>
      <c r="K1725" t="s">
        <v>3</v>
      </c>
      <c r="L1725" s="36">
        <f ca="1">IF(C1725&lt;&gt;"Yes",0,IF(A1725=2025,N('2025'!D168),IF(A1725=2026,N('2026'!D168),IF(A1725=2027,N('2027'!D168),IF(A1725=2028,N('2028'!D168),IF(A1725=2029,N('2029'!D168),IF(A1725=2030,N('2030'!D168),IF(A1725=2031,N('2031'!D168),IF(A1725=2032,N('2032'!D168),IF(A1725=2033,N('2033'!D168),IF(A1725=2034,N('2034'!D168),IFERROR(N(INDIRECT("'"&amp;A1725&amp;"'!D"&amp;G1725)),0))))))))))))</f>
        <v>0</v>
      </c>
      <c r="M1725" s="36">
        <f>IFERROR(IF(NOT(ISBLANK(KPI_TARGETS!$N$18)),KPI_TARGETS!$N$18,IF(NOT(ISBLANK(KPI_TARGETS!$F$18)),KPI_TARGETS!$F$18,"")),"")</f>
        <v>4</v>
      </c>
      <c r="N1725" s="36" t="str">
        <f>IFERROR(KPI_TARGETS!$E$18,"Higher is better")</f>
        <v>Higher is better</v>
      </c>
      <c r="O1725" s="37">
        <f t="shared" ca="1" si="156"/>
        <v>0</v>
      </c>
      <c r="P1725" t="str">
        <f t="shared" ca="1" si="157"/>
        <v>Red</v>
      </c>
      <c r="Q1725" s="36">
        <f t="shared" ca="1" si="158"/>
        <v>-4</v>
      </c>
      <c r="R1725" s="36" t="str">
        <f>""</f>
        <v/>
      </c>
      <c r="S1725" s="36" t="str">
        <f>""</f>
        <v/>
      </c>
      <c r="T1725" s="36" t="str">
        <f>""</f>
        <v/>
      </c>
      <c r="U1725" s="36" t="str">
        <f>""</f>
        <v/>
      </c>
      <c r="V1725" s="36" t="str">
        <f>""</f>
        <v/>
      </c>
      <c r="W1725" s="36">
        <f t="shared" si="159"/>
        <v>1</v>
      </c>
      <c r="X1725" t="str">
        <f t="shared" si="160"/>
        <v>Inactive</v>
      </c>
      <c r="Y1725" t="str">
        <f>IF(MAIN!$H$3="Selected Year",IF(A1725=MAIN!$B$3,"Yes","No"),IF(MAIN!$H$3="Included Years",IF(D1725="Yes","Yes","No"),IF(C1725="Yes","Yes","No")))</f>
        <v>No</v>
      </c>
      <c r="Z1725" t="str">
        <f>IF(MAIN!$F$3="Project to Date",IF(AND(A1725&gt;=SETTINGS!$B$4,A1725&lt;MAIN!$B$3),"Yes",IF(AND(A1725=MAIN!$B$3,E1725&lt;=MAIN!$L$3),"Yes","No")),IF(OR(MAIN!$F$3="Full Year",MAIN!$D$3="All"),"Yes",IF(MAIN!$F$3="Monthly",IF(E1725=MAIN!$L$3,"Yes","No"),IF(E1725&lt;=MAIN!$L$3,"Yes","No"))))</f>
        <v>Yes</v>
      </c>
      <c r="AA1725" t="str">
        <f t="shared" si="161"/>
        <v>No</v>
      </c>
    </row>
    <row r="1726" spans="1:27" x14ac:dyDescent="0.3">
      <c r="A1726">
        <f>INDEX(SETTINGS!$A$15:$A$24,$B1726)</f>
        <v>2032</v>
      </c>
      <c r="B1726">
        <v>8</v>
      </c>
      <c r="C1726" t="str">
        <f>IF(AND(A1726&gt;=SETTINGS!$B$4,A1726&lt;=SETTINGS!$B$5),"Yes","No")</f>
        <v>No</v>
      </c>
      <c r="D1726" t="str">
        <f>IFERROR(INDEX(SETTINGS!$C$15:$C$24,MATCH(A1726,SETTINGS!$A$15:$A$24,0)),"No")</f>
        <v>No</v>
      </c>
      <c r="E1726">
        <v>7</v>
      </c>
      <c r="F1726" t="s">
        <v>40</v>
      </c>
      <c r="G1726">
        <v>169</v>
      </c>
      <c r="H1726" t="s">
        <v>108</v>
      </c>
      <c r="I1726" t="s">
        <v>22</v>
      </c>
      <c r="J1726" t="s">
        <v>28</v>
      </c>
      <c r="K1726" t="s">
        <v>3</v>
      </c>
      <c r="L1726" s="36">
        <f ca="1">IF(C1726&lt;&gt;"Yes",0,IF(A1726=2025,N('2025'!D169),IF(A1726=2026,N('2026'!D169),IF(A1726=2027,N('2027'!D169),IF(A1726=2028,N('2028'!D169),IF(A1726=2029,N('2029'!D169),IF(A1726=2030,N('2030'!D169),IF(A1726=2031,N('2031'!D169),IF(A1726=2032,N('2032'!D169),IF(A1726=2033,N('2033'!D169),IF(A1726=2034,N('2034'!D169),IFERROR(N(INDIRECT("'"&amp;A1726&amp;"'!D"&amp;G1726)),0))))))))))))</f>
        <v>0</v>
      </c>
      <c r="M1726" s="36">
        <f>IFERROR(IF(NOT(ISBLANK(KPI_TARGETS!$N$19)),KPI_TARGETS!$N$19,IF(NOT(ISBLANK(KPI_TARGETS!$F$19)),KPI_TARGETS!$F$19,"")),"")</f>
        <v>16</v>
      </c>
      <c r="N1726" s="36" t="str">
        <f>IFERROR(KPI_TARGETS!$E$19,"Higher is better")</f>
        <v>Higher is better</v>
      </c>
      <c r="O1726" s="37">
        <f t="shared" ca="1" si="156"/>
        <v>0</v>
      </c>
      <c r="P1726" t="str">
        <f t="shared" ca="1" si="157"/>
        <v>Red</v>
      </c>
      <c r="Q1726" s="36">
        <f t="shared" ca="1" si="158"/>
        <v>-16</v>
      </c>
      <c r="R1726" s="36" t="str">
        <f>""</f>
        <v/>
      </c>
      <c r="S1726" s="36" t="str">
        <f>""</f>
        <v/>
      </c>
      <c r="T1726" s="36" t="str">
        <f>""</f>
        <v/>
      </c>
      <c r="U1726" s="36" t="str">
        <f>""</f>
        <v/>
      </c>
      <c r="V1726" s="36" t="str">
        <f>""</f>
        <v/>
      </c>
      <c r="W1726" s="36">
        <f t="shared" si="159"/>
        <v>1</v>
      </c>
      <c r="X1726" t="str">
        <f t="shared" si="160"/>
        <v>Inactive</v>
      </c>
      <c r="Y1726" t="str">
        <f>IF(MAIN!$H$3="Selected Year",IF(A1726=MAIN!$B$3,"Yes","No"),IF(MAIN!$H$3="Included Years",IF(D1726="Yes","Yes","No"),IF(C1726="Yes","Yes","No")))</f>
        <v>No</v>
      </c>
      <c r="Z1726" t="str">
        <f>IF(MAIN!$F$3="Project to Date",IF(AND(A1726&gt;=SETTINGS!$B$4,A1726&lt;MAIN!$B$3),"Yes",IF(AND(A1726=MAIN!$B$3,E1726&lt;=MAIN!$L$3),"Yes","No")),IF(OR(MAIN!$F$3="Full Year",MAIN!$D$3="All"),"Yes",IF(MAIN!$F$3="Monthly",IF(E1726=MAIN!$L$3,"Yes","No"),IF(E1726&lt;=MAIN!$L$3,"Yes","No"))))</f>
        <v>Yes</v>
      </c>
      <c r="AA1726" t="str">
        <f t="shared" si="161"/>
        <v>No</v>
      </c>
    </row>
    <row r="1727" spans="1:27" x14ac:dyDescent="0.3">
      <c r="A1727">
        <f>INDEX(SETTINGS!$A$15:$A$24,$B1727)</f>
        <v>2032</v>
      </c>
      <c r="B1727">
        <v>8</v>
      </c>
      <c r="C1727" t="str">
        <f>IF(AND(A1727&gt;=SETTINGS!$B$4,A1727&lt;=SETTINGS!$B$5),"Yes","No")</f>
        <v>No</v>
      </c>
      <c r="D1727" t="str">
        <f>IFERROR(INDEX(SETTINGS!$C$15:$C$24,MATCH(A1727,SETTINGS!$A$15:$A$24,0)),"No")</f>
        <v>No</v>
      </c>
      <c r="E1727">
        <v>7</v>
      </c>
      <c r="F1727" t="s">
        <v>40</v>
      </c>
      <c r="G1727">
        <v>170</v>
      </c>
      <c r="H1727" t="s">
        <v>109</v>
      </c>
      <c r="I1727" t="s">
        <v>22</v>
      </c>
      <c r="J1727" t="s">
        <v>29</v>
      </c>
      <c r="K1727" t="s">
        <v>3</v>
      </c>
      <c r="L1727" s="36">
        <f ca="1">IF(C1727&lt;&gt;"Yes",0,IF(A1727=2025,N('2025'!D170),IF(A1727=2026,N('2026'!D170),IF(A1727=2027,N('2027'!D170),IF(A1727=2028,N('2028'!D170),IF(A1727=2029,N('2029'!D170),IF(A1727=2030,N('2030'!D170),IF(A1727=2031,N('2031'!D170),IF(A1727=2032,N('2032'!D170),IF(A1727=2033,N('2033'!D170),IF(A1727=2034,N('2034'!D170),IFERROR(N(INDIRECT("'"&amp;A1727&amp;"'!D"&amp;G1727)),0))))))))))))</f>
        <v>0</v>
      </c>
      <c r="M1727" s="36">
        <f>IFERROR(IF(NOT(ISBLANK(KPI_TARGETS!$N$20)),KPI_TARGETS!$N$20,IF(NOT(ISBLANK(KPI_TARGETS!$F$20)),KPI_TARGETS!$F$20,"")),"")</f>
        <v>1</v>
      </c>
      <c r="N1727" s="36" t="str">
        <f>IFERROR(KPI_TARGETS!$E$20,"Higher is better")</f>
        <v>Higher is better</v>
      </c>
      <c r="O1727" s="37">
        <f t="shared" ca="1" si="156"/>
        <v>0</v>
      </c>
      <c r="P1727" t="str">
        <f t="shared" ca="1" si="157"/>
        <v>Red</v>
      </c>
      <c r="Q1727" s="36">
        <f t="shared" ca="1" si="158"/>
        <v>-1</v>
      </c>
      <c r="R1727" s="36" t="str">
        <f>""</f>
        <v/>
      </c>
      <c r="S1727" s="36" t="str">
        <f>""</f>
        <v/>
      </c>
      <c r="T1727" s="36" t="str">
        <f>""</f>
        <v/>
      </c>
      <c r="U1727" s="36" t="str">
        <f>""</f>
        <v/>
      </c>
      <c r="V1727" s="36" t="str">
        <f>""</f>
        <v/>
      </c>
      <c r="W1727" s="36">
        <f t="shared" si="159"/>
        <v>1</v>
      </c>
      <c r="X1727" t="str">
        <f t="shared" si="160"/>
        <v>Inactive</v>
      </c>
      <c r="Y1727" t="str">
        <f>IF(MAIN!$H$3="Selected Year",IF(A1727=MAIN!$B$3,"Yes","No"),IF(MAIN!$H$3="Included Years",IF(D1727="Yes","Yes","No"),IF(C1727="Yes","Yes","No")))</f>
        <v>No</v>
      </c>
      <c r="Z1727" t="str">
        <f>IF(MAIN!$F$3="Project to Date",IF(AND(A1727&gt;=SETTINGS!$B$4,A1727&lt;MAIN!$B$3),"Yes",IF(AND(A1727=MAIN!$B$3,E1727&lt;=MAIN!$L$3),"Yes","No")),IF(OR(MAIN!$F$3="Full Year",MAIN!$D$3="All"),"Yes",IF(MAIN!$F$3="Monthly",IF(E1727=MAIN!$L$3,"Yes","No"),IF(E1727&lt;=MAIN!$L$3,"Yes","No"))))</f>
        <v>Yes</v>
      </c>
      <c r="AA1727" t="str">
        <f t="shared" si="161"/>
        <v>No</v>
      </c>
    </row>
    <row r="1728" spans="1:27" x14ac:dyDescent="0.3">
      <c r="A1728">
        <f>INDEX(SETTINGS!$A$15:$A$24,$B1728)</f>
        <v>2032</v>
      </c>
      <c r="B1728">
        <v>8</v>
      </c>
      <c r="C1728" t="str">
        <f>IF(AND(A1728&gt;=SETTINGS!$B$4,A1728&lt;=SETTINGS!$B$5),"Yes","No")</f>
        <v>No</v>
      </c>
      <c r="D1728" t="str">
        <f>IFERROR(INDEX(SETTINGS!$C$15:$C$24,MATCH(A1728,SETTINGS!$A$15:$A$24,0)),"No")</f>
        <v>No</v>
      </c>
      <c r="E1728">
        <v>7</v>
      </c>
      <c r="F1728" t="s">
        <v>40</v>
      </c>
      <c r="G1728">
        <v>172</v>
      </c>
      <c r="H1728" t="s">
        <v>110</v>
      </c>
      <c r="I1728" t="s">
        <v>30</v>
      </c>
      <c r="J1728" t="s">
        <v>31</v>
      </c>
      <c r="K1728" t="s">
        <v>3</v>
      </c>
      <c r="L1728" s="36">
        <f ca="1">IF(C1728&lt;&gt;"Yes",0,IF(A1728=2025,N('2025'!D172),IF(A1728=2026,N('2026'!D172),IF(A1728=2027,N('2027'!D172),IF(A1728=2028,N('2028'!D172),IF(A1728=2029,N('2029'!D172),IF(A1728=2030,N('2030'!D172),IF(A1728=2031,N('2031'!D172),IF(A1728=2032,N('2032'!D172),IF(A1728=2033,N('2033'!D172),IF(A1728=2034,N('2034'!D172),IFERROR(N(INDIRECT("'"&amp;A1728&amp;"'!D"&amp;G1728)),0))))))))))))</f>
        <v>0</v>
      </c>
      <c r="M1728" s="36">
        <f>IFERROR(IF(NOT(ISBLANK(KPI_TARGETS!$N$21)),KPI_TARGETS!$N$21,IF(NOT(ISBLANK(KPI_TARGETS!$F$21)),KPI_TARGETS!$F$21,"")),"")</f>
        <v>0</v>
      </c>
      <c r="N1728" s="36" t="str">
        <f>IFERROR(KPI_TARGETS!$E$21,"Higher is better")</f>
        <v>Lower is better</v>
      </c>
      <c r="O1728" s="37">
        <f t="shared" ca="1" si="156"/>
        <v>1</v>
      </c>
      <c r="P1728" t="str">
        <f t="shared" ca="1" si="157"/>
        <v>Green</v>
      </c>
      <c r="Q1728" s="36">
        <f t="shared" ca="1" si="158"/>
        <v>0</v>
      </c>
      <c r="R1728" s="36" t="str">
        <f>""</f>
        <v/>
      </c>
      <c r="S1728" s="36" t="str">
        <f>""</f>
        <v/>
      </c>
      <c r="T1728" s="36" t="str">
        <f>""</f>
        <v/>
      </c>
      <c r="U1728" s="36" t="str">
        <f>""</f>
        <v/>
      </c>
      <c r="V1728" s="36" t="str">
        <f>""</f>
        <v/>
      </c>
      <c r="W1728" s="36">
        <f t="shared" si="159"/>
        <v>1</v>
      </c>
      <c r="X1728" t="str">
        <f t="shared" si="160"/>
        <v>Inactive</v>
      </c>
      <c r="Y1728" t="str">
        <f>IF(MAIN!$H$3="Selected Year",IF(A1728=MAIN!$B$3,"Yes","No"),IF(MAIN!$H$3="Included Years",IF(D1728="Yes","Yes","No"),IF(C1728="Yes","Yes","No")))</f>
        <v>No</v>
      </c>
      <c r="Z1728" t="str">
        <f>IF(MAIN!$F$3="Project to Date",IF(AND(A1728&gt;=SETTINGS!$B$4,A1728&lt;MAIN!$B$3),"Yes",IF(AND(A1728=MAIN!$B$3,E1728&lt;=MAIN!$L$3),"Yes","No")),IF(OR(MAIN!$F$3="Full Year",MAIN!$D$3="All"),"Yes",IF(MAIN!$F$3="Monthly",IF(E1728=MAIN!$L$3,"Yes","No"),IF(E1728&lt;=MAIN!$L$3,"Yes","No"))))</f>
        <v>Yes</v>
      </c>
      <c r="AA1728" t="str">
        <f t="shared" si="161"/>
        <v>No</v>
      </c>
    </row>
    <row r="1729" spans="1:27" x14ac:dyDescent="0.3">
      <c r="A1729">
        <f>INDEX(SETTINGS!$A$15:$A$24,$B1729)</f>
        <v>2032</v>
      </c>
      <c r="B1729">
        <v>8</v>
      </c>
      <c r="C1729" t="str">
        <f>IF(AND(A1729&gt;=SETTINGS!$B$4,A1729&lt;=SETTINGS!$B$5),"Yes","No")</f>
        <v>No</v>
      </c>
      <c r="D1729" t="str">
        <f>IFERROR(INDEX(SETTINGS!$C$15:$C$24,MATCH(A1729,SETTINGS!$A$15:$A$24,0)),"No")</f>
        <v>No</v>
      </c>
      <c r="E1729">
        <v>7</v>
      </c>
      <c r="F1729" t="s">
        <v>40</v>
      </c>
      <c r="G1729">
        <v>173</v>
      </c>
      <c r="H1729" t="s">
        <v>111</v>
      </c>
      <c r="I1729" t="s">
        <v>30</v>
      </c>
      <c r="J1729" t="s">
        <v>32</v>
      </c>
      <c r="K1729" t="s">
        <v>3</v>
      </c>
      <c r="L1729" s="36">
        <f ca="1">IF(C1729&lt;&gt;"Yes",0,IF(A1729=2025,N('2025'!D173),IF(A1729=2026,N('2026'!D173),IF(A1729=2027,N('2027'!D173),IF(A1729=2028,N('2028'!D173),IF(A1729=2029,N('2029'!D173),IF(A1729=2030,N('2030'!D173),IF(A1729=2031,N('2031'!D173),IF(A1729=2032,N('2032'!D173),IF(A1729=2033,N('2033'!D173),IF(A1729=2034,N('2034'!D173),IFERROR(N(INDIRECT("'"&amp;A1729&amp;"'!D"&amp;G1729)),0))))))))))))</f>
        <v>0</v>
      </c>
      <c r="M1729" s="36">
        <f>IFERROR(IF(NOT(ISBLANK(KPI_TARGETS!$N$22)),KPI_TARGETS!$N$22,IF(NOT(ISBLANK(KPI_TARGETS!$F$22)),KPI_TARGETS!$F$22,"")),"")</f>
        <v>1</v>
      </c>
      <c r="N1729" s="36" t="str">
        <f>IFERROR(KPI_TARGETS!$E$22,"Higher is better")</f>
        <v>Higher is better</v>
      </c>
      <c r="O1729" s="37">
        <f t="shared" ca="1" si="156"/>
        <v>0</v>
      </c>
      <c r="P1729" t="str">
        <f t="shared" ca="1" si="157"/>
        <v>Red</v>
      </c>
      <c r="Q1729" s="36">
        <f t="shared" ca="1" si="158"/>
        <v>-1</v>
      </c>
      <c r="R1729" s="36" t="str">
        <f>""</f>
        <v/>
      </c>
      <c r="S1729" s="36" t="str">
        <f>""</f>
        <v/>
      </c>
      <c r="T1729" s="36" t="str">
        <f>""</f>
        <v/>
      </c>
      <c r="U1729" s="36" t="str">
        <f>""</f>
        <v/>
      </c>
      <c r="V1729" s="36" t="str">
        <f>""</f>
        <v/>
      </c>
      <c r="W1729" s="36">
        <f t="shared" si="159"/>
        <v>1</v>
      </c>
      <c r="X1729" t="str">
        <f t="shared" si="160"/>
        <v>Inactive</v>
      </c>
      <c r="Y1729" t="str">
        <f>IF(MAIN!$H$3="Selected Year",IF(A1729=MAIN!$B$3,"Yes","No"),IF(MAIN!$H$3="Included Years",IF(D1729="Yes","Yes","No"),IF(C1729="Yes","Yes","No")))</f>
        <v>No</v>
      </c>
      <c r="Z1729" t="str">
        <f>IF(MAIN!$F$3="Project to Date",IF(AND(A1729&gt;=SETTINGS!$B$4,A1729&lt;MAIN!$B$3),"Yes",IF(AND(A1729=MAIN!$B$3,E1729&lt;=MAIN!$L$3),"Yes","No")),IF(OR(MAIN!$F$3="Full Year",MAIN!$D$3="All"),"Yes",IF(MAIN!$F$3="Monthly",IF(E1729=MAIN!$L$3,"Yes","No"),IF(E1729&lt;=MAIN!$L$3,"Yes","No"))))</f>
        <v>Yes</v>
      </c>
      <c r="AA1729" t="str">
        <f t="shared" si="161"/>
        <v>No</v>
      </c>
    </row>
    <row r="1730" spans="1:27" x14ac:dyDescent="0.3">
      <c r="A1730">
        <f>INDEX(SETTINGS!$A$15:$A$24,$B1730)</f>
        <v>2032</v>
      </c>
      <c r="B1730">
        <v>8</v>
      </c>
      <c r="C1730" t="str">
        <f>IF(AND(A1730&gt;=SETTINGS!$B$4,A1730&lt;=SETTINGS!$B$5),"Yes","No")</f>
        <v>No</v>
      </c>
      <c r="D1730" t="str">
        <f>IFERROR(INDEX(SETTINGS!$C$15:$C$24,MATCH(A1730,SETTINGS!$A$15:$A$24,0)),"No")</f>
        <v>No</v>
      </c>
      <c r="E1730">
        <v>7</v>
      </c>
      <c r="F1730" t="s">
        <v>40</v>
      </c>
      <c r="G1730">
        <v>174</v>
      </c>
      <c r="H1730" t="s">
        <v>112</v>
      </c>
      <c r="I1730" t="s">
        <v>30</v>
      </c>
      <c r="J1730" t="s">
        <v>33</v>
      </c>
      <c r="K1730" t="s">
        <v>34</v>
      </c>
      <c r="L1730" s="36">
        <f ca="1">IF(C1730&lt;&gt;"Yes",0,IF(A1730=2025,N('2025'!D174),IF(A1730=2026,N('2026'!D174),IF(A1730=2027,N('2027'!D174),IF(A1730=2028,N('2028'!D174),IF(A1730=2029,N('2029'!D174),IF(A1730=2030,N('2030'!D174),IF(A1730=2031,N('2031'!D174),IF(A1730=2032,N('2032'!D174),IF(A1730=2033,N('2033'!D174),IF(A1730=2034,N('2034'!D174),IFERROR(N(INDIRECT("'"&amp;A1730&amp;"'!D"&amp;G1730)),0))))))))))))</f>
        <v>0</v>
      </c>
      <c r="M1730" s="36">
        <f>IFERROR(IF(NOT(ISBLANK(KPI_TARGETS!$N$23)),KPI_TARGETS!$N$23,IF(NOT(ISBLANK(KPI_TARGETS!$F$23)),KPI_TARGETS!$F$23,"")),"")</f>
        <v>1</v>
      </c>
      <c r="N1730" s="36" t="str">
        <f>IFERROR(KPI_TARGETS!$E$23,"Higher is better")</f>
        <v>Higher is better</v>
      </c>
      <c r="O1730" s="37">
        <f t="shared" ref="O1730:O1793" ca="1" si="162">IF(M1730="","",IF(N1730="Higher is better",IFERROR(L1730/M1730,""),IF(L1730=0,1,IFERROR(M1730/L1730,""))))</f>
        <v>0</v>
      </c>
      <c r="P1730" t="str">
        <f t="shared" ref="P1730:P1793" ca="1" si="163">IF(M1730="","Target Needed",IF(N1730="Higher is better",IF(L1730&gt;=M1730,"Green",IF(L1730&gt;=0.8*M1730,"Amber","Red")),IF(M1730=0,IF(L1730=0,"Green","Red"),IF(L1730&lt;=M1730,"Green",IF(L1730&lt;=1.25*M1730,"Amber","Red")))))</f>
        <v>Red</v>
      </c>
      <c r="Q1730" s="36">
        <f t="shared" ref="Q1730:Q1793" ca="1" si="164">IF(M1730="","",IF(N1730="Higher is better",L1730-M1730,M1730-L1730))</f>
        <v>-1</v>
      </c>
      <c r="R1730" s="36" t="str">
        <f>""</f>
        <v/>
      </c>
      <c r="S1730" s="36" t="str">
        <f>""</f>
        <v/>
      </c>
      <c r="T1730" s="36" t="str">
        <f>""</f>
        <v/>
      </c>
      <c r="U1730" s="36" t="str">
        <f>""</f>
        <v/>
      </c>
      <c r="V1730" s="36" t="str">
        <f>""</f>
        <v/>
      </c>
      <c r="W1730" s="36">
        <f t="shared" ref="W1730:W1793" si="165">IF(LEN(M1730&amp;"")&gt;0,1,0)</f>
        <v>1</v>
      </c>
      <c r="X1730" t="str">
        <f t="shared" ref="X1730:X1793" si="166">IF(C1730&lt;&gt;"Yes","Inactive",IF(M1730="","Missing target","OK"))</f>
        <v>Inactive</v>
      </c>
      <c r="Y1730" t="str">
        <f>IF(MAIN!$H$3="Selected Year",IF(A1730=MAIN!$B$3,"Yes","No"),IF(MAIN!$H$3="Included Years",IF(D1730="Yes","Yes","No"),IF(C1730="Yes","Yes","No")))</f>
        <v>No</v>
      </c>
      <c r="Z1730" t="str">
        <f>IF(MAIN!$F$3="Project to Date",IF(AND(A1730&gt;=SETTINGS!$B$4,A1730&lt;MAIN!$B$3),"Yes",IF(AND(A1730=MAIN!$B$3,E1730&lt;=MAIN!$L$3),"Yes","No")),IF(OR(MAIN!$F$3="Full Year",MAIN!$D$3="All"),"Yes",IF(MAIN!$F$3="Monthly",IF(E1730=MAIN!$L$3,"Yes","No"),IF(E1730&lt;=MAIN!$L$3,"Yes","No"))))</f>
        <v>Yes</v>
      </c>
      <c r="AA1730" t="str">
        <f t="shared" ref="AA1730:AA1793" si="167">IF(AND(Y1730="Yes",Z1730="Yes"),"Yes","No")</f>
        <v>No</v>
      </c>
    </row>
    <row r="1731" spans="1:27" x14ac:dyDescent="0.3">
      <c r="A1731">
        <f>INDEX(SETTINGS!$A$15:$A$24,$B1731)</f>
        <v>2032</v>
      </c>
      <c r="B1731">
        <v>8</v>
      </c>
      <c r="C1731" t="str">
        <f>IF(AND(A1731&gt;=SETTINGS!$B$4,A1731&lt;=SETTINGS!$B$5),"Yes","No")</f>
        <v>No</v>
      </c>
      <c r="D1731" t="str">
        <f>IFERROR(INDEX(SETTINGS!$C$15:$C$24,MATCH(A1731,SETTINGS!$A$15:$A$24,0)),"No")</f>
        <v>No</v>
      </c>
      <c r="E1731">
        <v>8</v>
      </c>
      <c r="F1731" t="s">
        <v>41</v>
      </c>
      <c r="G1731">
        <v>177</v>
      </c>
      <c r="H1731" t="s">
        <v>88</v>
      </c>
      <c r="I1731" t="s">
        <v>89</v>
      </c>
      <c r="J1731" t="s">
        <v>10</v>
      </c>
      <c r="K1731" t="s">
        <v>3</v>
      </c>
      <c r="L1731" s="36">
        <f ca="1">IF(C1731&lt;&gt;"Yes",0,IF(A1731=2025,N('2025'!D177),IF(A1731=2026,N('2026'!D177),IF(A1731=2027,N('2027'!D177),IF(A1731=2028,N('2028'!D177),IF(A1731=2029,N('2029'!D177),IF(A1731=2030,N('2030'!D177),IF(A1731=2031,N('2031'!D177),IF(A1731=2032,N('2032'!D177),IF(A1731=2033,N('2033'!D177),IF(A1731=2034,N('2034'!D177),IFERROR(N(INDIRECT("'"&amp;A1731&amp;"'!D"&amp;G1731)),0))))))))))))</f>
        <v>0</v>
      </c>
      <c r="M1731" s="36">
        <f>IFERROR(IF(NOT(ISBLANK(KPI_TARGETS!$N$5)),KPI_TARGETS!$N$5,IF(NOT(ISBLANK(KPI_TARGETS!$F$5)),KPI_TARGETS!$F$5,"")),"")</f>
        <v>104</v>
      </c>
      <c r="N1731" s="36" t="str">
        <f>IFERROR(KPI_TARGETS!$E$5,"Higher is better")</f>
        <v>Higher is better</v>
      </c>
      <c r="O1731" s="37">
        <f t="shared" ca="1" si="162"/>
        <v>0</v>
      </c>
      <c r="P1731" t="str">
        <f t="shared" ca="1" si="163"/>
        <v>Red</v>
      </c>
      <c r="Q1731" s="36">
        <f t="shared" ca="1" si="164"/>
        <v>-104</v>
      </c>
      <c r="R1731" s="36" t="str">
        <f>""</f>
        <v/>
      </c>
      <c r="S1731" s="36" t="str">
        <f>""</f>
        <v/>
      </c>
      <c r="T1731" s="36" t="str">
        <f>""</f>
        <v/>
      </c>
      <c r="U1731" s="36" t="str">
        <f>""</f>
        <v/>
      </c>
      <c r="V1731" s="36" t="str">
        <f>""</f>
        <v/>
      </c>
      <c r="W1731" s="36">
        <f t="shared" si="165"/>
        <v>1</v>
      </c>
      <c r="X1731" t="str">
        <f t="shared" si="166"/>
        <v>Inactive</v>
      </c>
      <c r="Y1731" t="str">
        <f>IF(MAIN!$H$3="Selected Year",IF(A1731=MAIN!$B$3,"Yes","No"),IF(MAIN!$H$3="Included Years",IF(D1731="Yes","Yes","No"),IF(C1731="Yes","Yes","No")))</f>
        <v>No</v>
      </c>
      <c r="Z1731" t="str">
        <f>IF(MAIN!$F$3="Project to Date",IF(AND(A1731&gt;=SETTINGS!$B$4,A1731&lt;MAIN!$B$3),"Yes",IF(AND(A1731=MAIN!$B$3,E1731&lt;=MAIN!$L$3),"Yes","No")),IF(OR(MAIN!$F$3="Full Year",MAIN!$D$3="All"),"Yes",IF(MAIN!$F$3="Monthly",IF(E1731=MAIN!$L$3,"Yes","No"),IF(E1731&lt;=MAIN!$L$3,"Yes","No"))))</f>
        <v>Yes</v>
      </c>
      <c r="AA1731" t="str">
        <f t="shared" si="167"/>
        <v>No</v>
      </c>
    </row>
    <row r="1732" spans="1:27" x14ac:dyDescent="0.3">
      <c r="A1732">
        <f>INDEX(SETTINGS!$A$15:$A$24,$B1732)</f>
        <v>2032</v>
      </c>
      <c r="B1732">
        <v>8</v>
      </c>
      <c r="C1732" t="str">
        <f>IF(AND(A1732&gt;=SETTINGS!$B$4,A1732&lt;=SETTINGS!$B$5),"Yes","No")</f>
        <v>No</v>
      </c>
      <c r="D1732" t="str">
        <f>IFERROR(INDEX(SETTINGS!$C$15:$C$24,MATCH(A1732,SETTINGS!$A$15:$A$24,0)),"No")</f>
        <v>No</v>
      </c>
      <c r="E1732">
        <v>8</v>
      </c>
      <c r="F1732" t="s">
        <v>41</v>
      </c>
      <c r="G1732">
        <v>178</v>
      </c>
      <c r="H1732" t="s">
        <v>91</v>
      </c>
      <c r="I1732" t="s">
        <v>89</v>
      </c>
      <c r="J1732" t="s">
        <v>11</v>
      </c>
      <c r="K1732" t="s">
        <v>12</v>
      </c>
      <c r="L1732" s="36">
        <f ca="1">IF(C1732&lt;&gt;"Yes",0,IF(A1732=2025,N('2025'!D178),IF(A1732=2026,N('2026'!D178),IF(A1732=2027,N('2027'!D178),IF(A1732=2028,N('2028'!D178),IF(A1732=2029,N('2029'!D178),IF(A1732=2030,N('2030'!D178),IF(A1732=2031,N('2031'!D178),IF(A1732=2032,N('2032'!D178),IF(A1732=2033,N('2033'!D178),IF(A1732=2034,N('2034'!D178),IFERROR(N(INDIRECT("'"&amp;A1732&amp;"'!D"&amp;G1732)),0))))))))))))</f>
        <v>0</v>
      </c>
      <c r="M1732" s="36">
        <f>IFERROR(IF(NOT(ISBLANK(KPI_TARGETS!$N$6)),KPI_TARGETS!$N$6,IF(NOT(ISBLANK(KPI_TARGETS!$F$6)),KPI_TARGETS!$F$6,"")),"")</f>
        <v>4000</v>
      </c>
      <c r="N1732" s="36" t="str">
        <f>IFERROR(KPI_TARGETS!$E$6,"Higher is better")</f>
        <v>Higher is better</v>
      </c>
      <c r="O1732" s="37">
        <f t="shared" ca="1" si="162"/>
        <v>0</v>
      </c>
      <c r="P1732" t="str">
        <f t="shared" ca="1" si="163"/>
        <v>Red</v>
      </c>
      <c r="Q1732" s="36">
        <f t="shared" ca="1" si="164"/>
        <v>-4000</v>
      </c>
      <c r="R1732" s="36" t="str">
        <f>""</f>
        <v/>
      </c>
      <c r="S1732" s="36" t="str">
        <f>""</f>
        <v/>
      </c>
      <c r="T1732" s="36" t="str">
        <f>""</f>
        <v/>
      </c>
      <c r="U1732" s="36" t="str">
        <f>""</f>
        <v/>
      </c>
      <c r="V1732" s="36" t="str">
        <f>""</f>
        <v/>
      </c>
      <c r="W1732" s="36">
        <f t="shared" si="165"/>
        <v>1</v>
      </c>
      <c r="X1732" t="str">
        <f t="shared" si="166"/>
        <v>Inactive</v>
      </c>
      <c r="Y1732" t="str">
        <f>IF(MAIN!$H$3="Selected Year",IF(A1732=MAIN!$B$3,"Yes","No"),IF(MAIN!$H$3="Included Years",IF(D1732="Yes","Yes","No"),IF(C1732="Yes","Yes","No")))</f>
        <v>No</v>
      </c>
      <c r="Z1732" t="str">
        <f>IF(MAIN!$F$3="Project to Date",IF(AND(A1732&gt;=SETTINGS!$B$4,A1732&lt;MAIN!$B$3),"Yes",IF(AND(A1732=MAIN!$B$3,E1732&lt;=MAIN!$L$3),"Yes","No")),IF(OR(MAIN!$F$3="Full Year",MAIN!$D$3="All"),"Yes",IF(MAIN!$F$3="Monthly",IF(E1732=MAIN!$L$3,"Yes","No"),IF(E1732&lt;=MAIN!$L$3,"Yes","No"))))</f>
        <v>Yes</v>
      </c>
      <c r="AA1732" t="str">
        <f t="shared" si="167"/>
        <v>No</v>
      </c>
    </row>
    <row r="1733" spans="1:27" x14ac:dyDescent="0.3">
      <c r="A1733">
        <f>INDEX(SETTINGS!$A$15:$A$24,$B1733)</f>
        <v>2032</v>
      </c>
      <c r="B1733">
        <v>8</v>
      </c>
      <c r="C1733" t="str">
        <f>IF(AND(A1733&gt;=SETTINGS!$B$4,A1733&lt;=SETTINGS!$B$5),"Yes","No")</f>
        <v>No</v>
      </c>
      <c r="D1733" t="str">
        <f>IFERROR(INDEX(SETTINGS!$C$15:$C$24,MATCH(A1733,SETTINGS!$A$15:$A$24,0)),"No")</f>
        <v>No</v>
      </c>
      <c r="E1733">
        <v>8</v>
      </c>
      <c r="F1733" t="s">
        <v>41</v>
      </c>
      <c r="G1733">
        <v>179</v>
      </c>
      <c r="H1733" t="s">
        <v>93</v>
      </c>
      <c r="I1733" t="s">
        <v>89</v>
      </c>
      <c r="J1733" t="s">
        <v>13</v>
      </c>
      <c r="K1733" t="s">
        <v>14</v>
      </c>
      <c r="L1733" s="36">
        <f ca="1">IF(C1733&lt;&gt;"Yes",0,IF(A1733=2025,N('2025'!D179),IF(A1733=2026,N('2026'!D179),IF(A1733=2027,N('2027'!D179),IF(A1733=2028,N('2028'!D179),IF(A1733=2029,N('2029'!D179),IF(A1733=2030,N('2030'!D179),IF(A1733=2031,N('2031'!D179),IF(A1733=2032,N('2032'!D179),IF(A1733=2033,N('2033'!D179),IF(A1733=2034,N('2034'!D179),IFERROR(N(INDIRECT("'"&amp;A1733&amp;"'!D"&amp;G1733)),0))))))))))))</f>
        <v>0</v>
      </c>
      <c r="M1733" s="36">
        <f>IFERROR(IF(NOT(ISBLANK(KPI_TARGETS!$N$7)),KPI_TARGETS!$N$7,IF(NOT(ISBLANK(KPI_TARGETS!$F$7)),KPI_TARGETS!$F$7,"")),"")</f>
        <v>8000</v>
      </c>
      <c r="N1733" s="36" t="str">
        <f>IFERROR(KPI_TARGETS!$E$7,"Higher is better")</f>
        <v>Higher is better</v>
      </c>
      <c r="O1733" s="37">
        <f t="shared" ca="1" si="162"/>
        <v>0</v>
      </c>
      <c r="P1733" t="str">
        <f t="shared" ca="1" si="163"/>
        <v>Red</v>
      </c>
      <c r="Q1733" s="36">
        <f t="shared" ca="1" si="164"/>
        <v>-8000</v>
      </c>
      <c r="R1733" s="36" t="str">
        <f>""</f>
        <v/>
      </c>
      <c r="S1733" s="36" t="str">
        <f>""</f>
        <v/>
      </c>
      <c r="T1733" s="36" t="str">
        <f>""</f>
        <v/>
      </c>
      <c r="U1733" s="36" t="str">
        <f>""</f>
        <v/>
      </c>
      <c r="V1733" s="36" t="str">
        <f>""</f>
        <v/>
      </c>
      <c r="W1733" s="36">
        <f t="shared" si="165"/>
        <v>1</v>
      </c>
      <c r="X1733" t="str">
        <f t="shared" si="166"/>
        <v>Inactive</v>
      </c>
      <c r="Y1733" t="str">
        <f>IF(MAIN!$H$3="Selected Year",IF(A1733=MAIN!$B$3,"Yes","No"),IF(MAIN!$H$3="Included Years",IF(D1733="Yes","Yes","No"),IF(C1733="Yes","Yes","No")))</f>
        <v>No</v>
      </c>
      <c r="Z1733" t="str">
        <f>IF(MAIN!$F$3="Project to Date",IF(AND(A1733&gt;=SETTINGS!$B$4,A1733&lt;MAIN!$B$3),"Yes",IF(AND(A1733=MAIN!$B$3,E1733&lt;=MAIN!$L$3),"Yes","No")),IF(OR(MAIN!$F$3="Full Year",MAIN!$D$3="All"),"Yes",IF(MAIN!$F$3="Monthly",IF(E1733=MAIN!$L$3,"Yes","No"),IF(E1733&lt;=MAIN!$L$3,"Yes","No"))))</f>
        <v>Yes</v>
      </c>
      <c r="AA1733" t="str">
        <f t="shared" si="167"/>
        <v>No</v>
      </c>
    </row>
    <row r="1734" spans="1:27" x14ac:dyDescent="0.3">
      <c r="A1734">
        <f>INDEX(SETTINGS!$A$15:$A$24,$B1734)</f>
        <v>2032</v>
      </c>
      <c r="B1734">
        <v>8</v>
      </c>
      <c r="C1734" t="str">
        <f>IF(AND(A1734&gt;=SETTINGS!$B$4,A1734&lt;=SETTINGS!$B$5),"Yes","No")</f>
        <v>No</v>
      </c>
      <c r="D1734" t="str">
        <f>IFERROR(INDEX(SETTINGS!$C$15:$C$24,MATCH(A1734,SETTINGS!$A$15:$A$24,0)),"No")</f>
        <v>No</v>
      </c>
      <c r="E1734">
        <v>8</v>
      </c>
      <c r="F1734" t="s">
        <v>41</v>
      </c>
      <c r="G1734">
        <v>181</v>
      </c>
      <c r="H1734" t="s">
        <v>95</v>
      </c>
      <c r="I1734" t="s">
        <v>15</v>
      </c>
      <c r="J1734" t="s">
        <v>16</v>
      </c>
      <c r="K1734" t="s">
        <v>3</v>
      </c>
      <c r="L1734" s="36">
        <f ca="1">IF(C1734&lt;&gt;"Yes",0,IF(A1734=2025,N('2025'!D181),IF(A1734=2026,N('2026'!D181),IF(A1734=2027,N('2027'!D181),IF(A1734=2028,N('2028'!D181),IF(A1734=2029,N('2029'!D181),IF(A1734=2030,N('2030'!D181),IF(A1734=2031,N('2031'!D181),IF(A1734=2032,N('2032'!D181),IF(A1734=2033,N('2033'!D181),IF(A1734=2034,N('2034'!D181),IFERROR(N(INDIRECT("'"&amp;A1734&amp;"'!D"&amp;G1734)),0))))))))))))</f>
        <v>0</v>
      </c>
      <c r="M1734" s="36">
        <f>IFERROR(IF(NOT(ISBLANK(KPI_TARGETS!$N$8)),KPI_TARGETS!$N$8,IF(NOT(ISBLANK(KPI_TARGETS!$F$8)),KPI_TARGETS!$F$8,"")),"")</f>
        <v>0</v>
      </c>
      <c r="N1734" s="36" t="str">
        <f>IFERROR(KPI_TARGETS!$E$8,"Higher is better")</f>
        <v>Lower is better</v>
      </c>
      <c r="O1734" s="37">
        <f t="shared" ca="1" si="162"/>
        <v>1</v>
      </c>
      <c r="P1734" t="str">
        <f t="shared" ca="1" si="163"/>
        <v>Green</v>
      </c>
      <c r="Q1734" s="36">
        <f t="shared" ca="1" si="164"/>
        <v>0</v>
      </c>
      <c r="R1734" s="36" t="str">
        <f>""</f>
        <v/>
      </c>
      <c r="S1734" s="36" t="str">
        <f>""</f>
        <v/>
      </c>
      <c r="T1734" s="36" t="str">
        <f>""</f>
        <v/>
      </c>
      <c r="U1734" s="36" t="str">
        <f>""</f>
        <v/>
      </c>
      <c r="V1734" s="36" t="str">
        <f>""</f>
        <v/>
      </c>
      <c r="W1734" s="36">
        <f t="shared" si="165"/>
        <v>1</v>
      </c>
      <c r="X1734" t="str">
        <f t="shared" si="166"/>
        <v>Inactive</v>
      </c>
      <c r="Y1734" t="str">
        <f>IF(MAIN!$H$3="Selected Year",IF(A1734=MAIN!$B$3,"Yes","No"),IF(MAIN!$H$3="Included Years",IF(D1734="Yes","Yes","No"),IF(C1734="Yes","Yes","No")))</f>
        <v>No</v>
      </c>
      <c r="Z1734" t="str">
        <f>IF(MAIN!$F$3="Project to Date",IF(AND(A1734&gt;=SETTINGS!$B$4,A1734&lt;MAIN!$B$3),"Yes",IF(AND(A1734=MAIN!$B$3,E1734&lt;=MAIN!$L$3),"Yes","No")),IF(OR(MAIN!$F$3="Full Year",MAIN!$D$3="All"),"Yes",IF(MAIN!$F$3="Monthly",IF(E1734=MAIN!$L$3,"Yes","No"),IF(E1734&lt;=MAIN!$L$3,"Yes","No"))))</f>
        <v>Yes</v>
      </c>
      <c r="AA1734" t="str">
        <f t="shared" si="167"/>
        <v>No</v>
      </c>
    </row>
    <row r="1735" spans="1:27" x14ac:dyDescent="0.3">
      <c r="A1735">
        <f>INDEX(SETTINGS!$A$15:$A$24,$B1735)</f>
        <v>2032</v>
      </c>
      <c r="B1735">
        <v>8</v>
      </c>
      <c r="C1735" t="str">
        <f>IF(AND(A1735&gt;=SETTINGS!$B$4,A1735&lt;=SETTINGS!$B$5),"Yes","No")</f>
        <v>No</v>
      </c>
      <c r="D1735" t="str">
        <f>IFERROR(INDEX(SETTINGS!$C$15:$C$24,MATCH(A1735,SETTINGS!$A$15:$A$24,0)),"No")</f>
        <v>No</v>
      </c>
      <c r="E1735">
        <v>8</v>
      </c>
      <c r="F1735" t="s">
        <v>41</v>
      </c>
      <c r="G1735">
        <v>182</v>
      </c>
      <c r="H1735" t="s">
        <v>97</v>
      </c>
      <c r="I1735" t="s">
        <v>15</v>
      </c>
      <c r="J1735" t="s">
        <v>17</v>
      </c>
      <c r="K1735" t="s">
        <v>3</v>
      </c>
      <c r="L1735" s="36">
        <f ca="1">IF(C1735&lt;&gt;"Yes",0,IF(A1735=2025,N('2025'!D182),IF(A1735=2026,N('2026'!D182),IF(A1735=2027,N('2027'!D182),IF(A1735=2028,N('2028'!D182),IF(A1735=2029,N('2029'!D182),IF(A1735=2030,N('2030'!D182),IF(A1735=2031,N('2031'!D182),IF(A1735=2032,N('2032'!D182),IF(A1735=2033,N('2033'!D182),IF(A1735=2034,N('2034'!D182),IFERROR(N(INDIRECT("'"&amp;A1735&amp;"'!D"&amp;G1735)),0))))))))))))</f>
        <v>0</v>
      </c>
      <c r="M1735" s="36">
        <f>IFERROR(IF(NOT(ISBLANK(KPI_TARGETS!$N$9)),KPI_TARGETS!$N$9,IF(NOT(ISBLANK(KPI_TARGETS!$F$9)),KPI_TARGETS!$F$9,"")),"")</f>
        <v>0</v>
      </c>
      <c r="N1735" s="36" t="str">
        <f>IFERROR(KPI_TARGETS!$E$9,"Higher is better")</f>
        <v>Higher is better</v>
      </c>
      <c r="O1735" s="37" t="str">
        <f t="shared" ca="1" si="162"/>
        <v/>
      </c>
      <c r="P1735" t="str">
        <f t="shared" ca="1" si="163"/>
        <v>Green</v>
      </c>
      <c r="Q1735" s="36">
        <f t="shared" ca="1" si="164"/>
        <v>0</v>
      </c>
      <c r="R1735" s="36" t="str">
        <f>""</f>
        <v/>
      </c>
      <c r="S1735" s="36" t="str">
        <f>""</f>
        <v/>
      </c>
      <c r="T1735" s="36" t="str">
        <f>""</f>
        <v/>
      </c>
      <c r="U1735" s="36" t="str">
        <f>""</f>
        <v/>
      </c>
      <c r="V1735" s="36" t="str">
        <f>""</f>
        <v/>
      </c>
      <c r="W1735" s="36">
        <f t="shared" si="165"/>
        <v>1</v>
      </c>
      <c r="X1735" t="str">
        <f t="shared" si="166"/>
        <v>Inactive</v>
      </c>
      <c r="Y1735" t="str">
        <f>IF(MAIN!$H$3="Selected Year",IF(A1735=MAIN!$B$3,"Yes","No"),IF(MAIN!$H$3="Included Years",IF(D1735="Yes","Yes","No"),IF(C1735="Yes","Yes","No")))</f>
        <v>No</v>
      </c>
      <c r="Z1735" t="str">
        <f>IF(MAIN!$F$3="Project to Date",IF(AND(A1735&gt;=SETTINGS!$B$4,A1735&lt;MAIN!$B$3),"Yes",IF(AND(A1735=MAIN!$B$3,E1735&lt;=MAIN!$L$3),"Yes","No")),IF(OR(MAIN!$F$3="Full Year",MAIN!$D$3="All"),"Yes",IF(MAIN!$F$3="Monthly",IF(E1735=MAIN!$L$3,"Yes","No"),IF(E1735&lt;=MAIN!$L$3,"Yes","No"))))</f>
        <v>Yes</v>
      </c>
      <c r="AA1735" t="str">
        <f t="shared" si="167"/>
        <v>No</v>
      </c>
    </row>
    <row r="1736" spans="1:27" x14ac:dyDescent="0.3">
      <c r="A1736">
        <f>INDEX(SETTINGS!$A$15:$A$24,$B1736)</f>
        <v>2032</v>
      </c>
      <c r="B1736">
        <v>8</v>
      </c>
      <c r="C1736" t="str">
        <f>IF(AND(A1736&gt;=SETTINGS!$B$4,A1736&lt;=SETTINGS!$B$5),"Yes","No")</f>
        <v>No</v>
      </c>
      <c r="D1736" t="str">
        <f>IFERROR(INDEX(SETTINGS!$C$15:$C$24,MATCH(A1736,SETTINGS!$A$15:$A$24,0)),"No")</f>
        <v>No</v>
      </c>
      <c r="E1736">
        <v>8</v>
      </c>
      <c r="F1736" t="s">
        <v>41</v>
      </c>
      <c r="G1736">
        <v>183</v>
      </c>
      <c r="H1736" t="s">
        <v>99</v>
      </c>
      <c r="I1736" t="s">
        <v>15</v>
      </c>
      <c r="J1736" t="s">
        <v>18</v>
      </c>
      <c r="K1736" t="s">
        <v>3</v>
      </c>
      <c r="L1736" s="36">
        <f ca="1">IF(C1736&lt;&gt;"Yes",0,IF(A1736=2025,N('2025'!D183),IF(A1736=2026,N('2026'!D183),IF(A1736=2027,N('2027'!D183),IF(A1736=2028,N('2028'!D183),IF(A1736=2029,N('2029'!D183),IF(A1736=2030,N('2030'!D183),IF(A1736=2031,N('2031'!D183),IF(A1736=2032,N('2032'!D183),IF(A1736=2033,N('2033'!D183),IF(A1736=2034,N('2034'!D183),IFERROR(N(INDIRECT("'"&amp;A1736&amp;"'!D"&amp;G1736)),0))))))))))))</f>
        <v>0</v>
      </c>
      <c r="M1736" s="36">
        <f>IFERROR(IF(NOT(ISBLANK(KPI_TARGETS!$N$10)),KPI_TARGETS!$N$10,IF(NOT(ISBLANK(KPI_TARGETS!$F$10)),KPI_TARGETS!$F$10,"")),"")</f>
        <v>0</v>
      </c>
      <c r="N1736" s="36" t="str">
        <f>IFERROR(KPI_TARGETS!$E$10,"Higher is better")</f>
        <v>Lower is better</v>
      </c>
      <c r="O1736" s="37">
        <f t="shared" ca="1" si="162"/>
        <v>1</v>
      </c>
      <c r="P1736" t="str">
        <f t="shared" ca="1" si="163"/>
        <v>Green</v>
      </c>
      <c r="Q1736" s="36">
        <f t="shared" ca="1" si="164"/>
        <v>0</v>
      </c>
      <c r="R1736" s="36" t="str">
        <f>""</f>
        <v/>
      </c>
      <c r="S1736" s="36" t="str">
        <f>""</f>
        <v/>
      </c>
      <c r="T1736" s="36" t="str">
        <f>""</f>
        <v/>
      </c>
      <c r="U1736" s="36" t="str">
        <f>""</f>
        <v/>
      </c>
      <c r="V1736" s="36" t="str">
        <f>""</f>
        <v/>
      </c>
      <c r="W1736" s="36">
        <f t="shared" si="165"/>
        <v>1</v>
      </c>
      <c r="X1736" t="str">
        <f t="shared" si="166"/>
        <v>Inactive</v>
      </c>
      <c r="Y1736" t="str">
        <f>IF(MAIN!$H$3="Selected Year",IF(A1736=MAIN!$B$3,"Yes","No"),IF(MAIN!$H$3="Included Years",IF(D1736="Yes","Yes","No"),IF(C1736="Yes","Yes","No")))</f>
        <v>No</v>
      </c>
      <c r="Z1736" t="str">
        <f>IF(MAIN!$F$3="Project to Date",IF(AND(A1736&gt;=SETTINGS!$B$4,A1736&lt;MAIN!$B$3),"Yes",IF(AND(A1736=MAIN!$B$3,E1736&lt;=MAIN!$L$3),"Yes","No")),IF(OR(MAIN!$F$3="Full Year",MAIN!$D$3="All"),"Yes",IF(MAIN!$F$3="Monthly",IF(E1736=MAIN!$L$3,"Yes","No"),IF(E1736&lt;=MAIN!$L$3,"Yes","No"))))</f>
        <v>Yes</v>
      </c>
      <c r="AA1736" t="str">
        <f t="shared" si="167"/>
        <v>No</v>
      </c>
    </row>
    <row r="1737" spans="1:27" x14ac:dyDescent="0.3">
      <c r="A1737">
        <f>INDEX(SETTINGS!$A$15:$A$24,$B1737)</f>
        <v>2032</v>
      </c>
      <c r="B1737">
        <v>8</v>
      </c>
      <c r="C1737" t="str">
        <f>IF(AND(A1737&gt;=SETTINGS!$B$4,A1737&lt;=SETTINGS!$B$5),"Yes","No")</f>
        <v>No</v>
      </c>
      <c r="D1737" t="str">
        <f>IFERROR(INDEX(SETTINGS!$C$15:$C$24,MATCH(A1737,SETTINGS!$A$15:$A$24,0)),"No")</f>
        <v>No</v>
      </c>
      <c r="E1737">
        <v>8</v>
      </c>
      <c r="F1737" t="s">
        <v>41</v>
      </c>
      <c r="G1737">
        <v>184</v>
      </c>
      <c r="H1737" t="s">
        <v>100</v>
      </c>
      <c r="I1737" t="s">
        <v>15</v>
      </c>
      <c r="J1737" t="s">
        <v>19</v>
      </c>
      <c r="K1737" t="s">
        <v>3</v>
      </c>
      <c r="L1737" s="36">
        <f ca="1">IF(C1737&lt;&gt;"Yes",0,IF(A1737=2025,N('2025'!D184),IF(A1737=2026,N('2026'!D184),IF(A1737=2027,N('2027'!D184),IF(A1737=2028,N('2028'!D184),IF(A1737=2029,N('2029'!D184),IF(A1737=2030,N('2030'!D184),IF(A1737=2031,N('2031'!D184),IF(A1737=2032,N('2032'!D184),IF(A1737=2033,N('2033'!D184),IF(A1737=2034,N('2034'!D184),IFERROR(N(INDIRECT("'"&amp;A1737&amp;"'!D"&amp;G1737)),0))))))))))))</f>
        <v>0</v>
      </c>
      <c r="M1737" s="36">
        <f>IFERROR(IF(NOT(ISBLANK(KPI_TARGETS!$N$11)),KPI_TARGETS!$N$11,IF(NOT(ISBLANK(KPI_TARGETS!$F$11)),KPI_TARGETS!$F$11,"")),"")</f>
        <v>0</v>
      </c>
      <c r="N1737" s="36" t="str">
        <f>IFERROR(KPI_TARGETS!$E$11,"Higher is better")</f>
        <v>Lower is better</v>
      </c>
      <c r="O1737" s="37">
        <f t="shared" ca="1" si="162"/>
        <v>1</v>
      </c>
      <c r="P1737" t="str">
        <f t="shared" ca="1" si="163"/>
        <v>Green</v>
      </c>
      <c r="Q1737" s="36">
        <f t="shared" ca="1" si="164"/>
        <v>0</v>
      </c>
      <c r="R1737" s="36" t="str">
        <f>""</f>
        <v/>
      </c>
      <c r="S1737" s="36" t="str">
        <f>""</f>
        <v/>
      </c>
      <c r="T1737" s="36" t="str">
        <f>""</f>
        <v/>
      </c>
      <c r="U1737" s="36" t="str">
        <f>""</f>
        <v/>
      </c>
      <c r="V1737" s="36" t="str">
        <f>""</f>
        <v/>
      </c>
      <c r="W1737" s="36">
        <f t="shared" si="165"/>
        <v>1</v>
      </c>
      <c r="X1737" t="str">
        <f t="shared" si="166"/>
        <v>Inactive</v>
      </c>
      <c r="Y1737" t="str">
        <f>IF(MAIN!$H$3="Selected Year",IF(A1737=MAIN!$B$3,"Yes","No"),IF(MAIN!$H$3="Included Years",IF(D1737="Yes","Yes","No"),IF(C1737="Yes","Yes","No")))</f>
        <v>No</v>
      </c>
      <c r="Z1737" t="str">
        <f>IF(MAIN!$F$3="Project to Date",IF(AND(A1737&gt;=SETTINGS!$B$4,A1737&lt;MAIN!$B$3),"Yes",IF(AND(A1737=MAIN!$B$3,E1737&lt;=MAIN!$L$3),"Yes","No")),IF(OR(MAIN!$F$3="Full Year",MAIN!$D$3="All"),"Yes",IF(MAIN!$F$3="Monthly",IF(E1737=MAIN!$L$3,"Yes","No"),IF(E1737&lt;=MAIN!$L$3,"Yes","No"))))</f>
        <v>Yes</v>
      </c>
      <c r="AA1737" t="str">
        <f t="shared" si="167"/>
        <v>No</v>
      </c>
    </row>
    <row r="1738" spans="1:27" x14ac:dyDescent="0.3">
      <c r="A1738">
        <f>INDEX(SETTINGS!$A$15:$A$24,$B1738)</f>
        <v>2032</v>
      </c>
      <c r="B1738">
        <v>8</v>
      </c>
      <c r="C1738" t="str">
        <f>IF(AND(A1738&gt;=SETTINGS!$B$4,A1738&lt;=SETTINGS!$B$5),"Yes","No")</f>
        <v>No</v>
      </c>
      <c r="D1738" t="str">
        <f>IFERROR(INDEX(SETTINGS!$C$15:$C$24,MATCH(A1738,SETTINGS!$A$15:$A$24,0)),"No")</f>
        <v>No</v>
      </c>
      <c r="E1738">
        <v>8</v>
      </c>
      <c r="F1738" t="s">
        <v>41</v>
      </c>
      <c r="G1738">
        <v>185</v>
      </c>
      <c r="H1738" t="s">
        <v>101</v>
      </c>
      <c r="I1738" t="s">
        <v>15</v>
      </c>
      <c r="J1738" t="s">
        <v>20</v>
      </c>
      <c r="K1738" t="s">
        <v>3</v>
      </c>
      <c r="L1738" s="36">
        <f ca="1">IF(C1738&lt;&gt;"Yes",0,IF(A1738=2025,N('2025'!D185),IF(A1738=2026,N('2026'!D185),IF(A1738=2027,N('2027'!D185),IF(A1738=2028,N('2028'!D185),IF(A1738=2029,N('2029'!D185),IF(A1738=2030,N('2030'!D185),IF(A1738=2031,N('2031'!D185),IF(A1738=2032,N('2032'!D185),IF(A1738=2033,N('2033'!D185),IF(A1738=2034,N('2034'!D185),IFERROR(N(INDIRECT("'"&amp;A1738&amp;"'!D"&amp;G1738)),0))))))))))))</f>
        <v>0</v>
      </c>
      <c r="M1738" s="36">
        <f>IFERROR(IF(NOT(ISBLANK(KPI_TARGETS!$N$12)),KPI_TARGETS!$N$12,IF(NOT(ISBLANK(KPI_TARGETS!$F$12)),KPI_TARGETS!$F$12,"")),"")</f>
        <v>0</v>
      </c>
      <c r="N1738" s="36" t="str">
        <f>IFERROR(KPI_TARGETS!$E$12,"Higher is better")</f>
        <v>Lower is better</v>
      </c>
      <c r="O1738" s="37">
        <f t="shared" ca="1" si="162"/>
        <v>1</v>
      </c>
      <c r="P1738" t="str">
        <f t="shared" ca="1" si="163"/>
        <v>Green</v>
      </c>
      <c r="Q1738" s="36">
        <f t="shared" ca="1" si="164"/>
        <v>0</v>
      </c>
      <c r="R1738" s="36" t="str">
        <f>""</f>
        <v/>
      </c>
      <c r="S1738" s="36" t="str">
        <f>""</f>
        <v/>
      </c>
      <c r="T1738" s="36" t="str">
        <f>""</f>
        <v/>
      </c>
      <c r="U1738" s="36" t="str">
        <f>""</f>
        <v/>
      </c>
      <c r="V1738" s="36" t="str">
        <f>""</f>
        <v/>
      </c>
      <c r="W1738" s="36">
        <f t="shared" si="165"/>
        <v>1</v>
      </c>
      <c r="X1738" t="str">
        <f t="shared" si="166"/>
        <v>Inactive</v>
      </c>
      <c r="Y1738" t="str">
        <f>IF(MAIN!$H$3="Selected Year",IF(A1738=MAIN!$B$3,"Yes","No"),IF(MAIN!$H$3="Included Years",IF(D1738="Yes","Yes","No"),IF(C1738="Yes","Yes","No")))</f>
        <v>No</v>
      </c>
      <c r="Z1738" t="str">
        <f>IF(MAIN!$F$3="Project to Date",IF(AND(A1738&gt;=SETTINGS!$B$4,A1738&lt;MAIN!$B$3),"Yes",IF(AND(A1738=MAIN!$B$3,E1738&lt;=MAIN!$L$3),"Yes","No")),IF(OR(MAIN!$F$3="Full Year",MAIN!$D$3="All"),"Yes",IF(MAIN!$F$3="Monthly",IF(E1738=MAIN!$L$3,"Yes","No"),IF(E1738&lt;=MAIN!$L$3,"Yes","No"))))</f>
        <v>Yes</v>
      </c>
      <c r="AA1738" t="str">
        <f t="shared" si="167"/>
        <v>No</v>
      </c>
    </row>
    <row r="1739" spans="1:27" x14ac:dyDescent="0.3">
      <c r="A1739">
        <f>INDEX(SETTINGS!$A$15:$A$24,$B1739)</f>
        <v>2032</v>
      </c>
      <c r="B1739">
        <v>8</v>
      </c>
      <c r="C1739" t="str">
        <f>IF(AND(A1739&gt;=SETTINGS!$B$4,A1739&lt;=SETTINGS!$B$5),"Yes","No")</f>
        <v>No</v>
      </c>
      <c r="D1739" t="str">
        <f>IFERROR(INDEX(SETTINGS!$C$15:$C$24,MATCH(A1739,SETTINGS!$A$15:$A$24,0)),"No")</f>
        <v>No</v>
      </c>
      <c r="E1739">
        <v>8</v>
      </c>
      <c r="F1739" t="s">
        <v>41</v>
      </c>
      <c r="G1739">
        <v>186</v>
      </c>
      <c r="H1739" t="s">
        <v>102</v>
      </c>
      <c r="I1739" t="s">
        <v>15</v>
      </c>
      <c r="J1739" t="s">
        <v>21</v>
      </c>
      <c r="K1739" t="s">
        <v>3</v>
      </c>
      <c r="L1739" s="36">
        <f ca="1">IF(C1739&lt;&gt;"Yes",0,IF(A1739=2025,N('2025'!D186),IF(A1739=2026,N('2026'!D186),IF(A1739=2027,N('2027'!D186),IF(A1739=2028,N('2028'!D186),IF(A1739=2029,N('2029'!D186),IF(A1739=2030,N('2030'!D186),IF(A1739=2031,N('2031'!D186),IF(A1739=2032,N('2032'!D186),IF(A1739=2033,N('2033'!D186),IF(A1739=2034,N('2034'!D186),IFERROR(N(INDIRECT("'"&amp;A1739&amp;"'!D"&amp;G1739)),0))))))))))))</f>
        <v>0</v>
      </c>
      <c r="M1739" s="36">
        <f>IFERROR(IF(NOT(ISBLANK(KPI_TARGETS!$N$13)),KPI_TARGETS!$N$13,IF(NOT(ISBLANK(KPI_TARGETS!$F$13)),KPI_TARGETS!$F$13,"")),"")</f>
        <v>0</v>
      </c>
      <c r="N1739" s="36" t="str">
        <f>IFERROR(KPI_TARGETS!$E$13,"Higher is better")</f>
        <v>Lower is better</v>
      </c>
      <c r="O1739" s="37">
        <f t="shared" ca="1" si="162"/>
        <v>1</v>
      </c>
      <c r="P1739" t="str">
        <f t="shared" ca="1" si="163"/>
        <v>Green</v>
      </c>
      <c r="Q1739" s="36">
        <f t="shared" ca="1" si="164"/>
        <v>0</v>
      </c>
      <c r="R1739" s="36" t="str">
        <f>""</f>
        <v/>
      </c>
      <c r="S1739" s="36" t="str">
        <f>""</f>
        <v/>
      </c>
      <c r="T1739" s="36" t="str">
        <f>""</f>
        <v/>
      </c>
      <c r="U1739" s="36" t="str">
        <f>""</f>
        <v/>
      </c>
      <c r="V1739" s="36" t="str">
        <f>""</f>
        <v/>
      </c>
      <c r="W1739" s="36">
        <f t="shared" si="165"/>
        <v>1</v>
      </c>
      <c r="X1739" t="str">
        <f t="shared" si="166"/>
        <v>Inactive</v>
      </c>
      <c r="Y1739" t="str">
        <f>IF(MAIN!$H$3="Selected Year",IF(A1739=MAIN!$B$3,"Yes","No"),IF(MAIN!$H$3="Included Years",IF(D1739="Yes","Yes","No"),IF(C1739="Yes","Yes","No")))</f>
        <v>No</v>
      </c>
      <c r="Z1739" t="str">
        <f>IF(MAIN!$F$3="Project to Date",IF(AND(A1739&gt;=SETTINGS!$B$4,A1739&lt;MAIN!$B$3),"Yes",IF(AND(A1739=MAIN!$B$3,E1739&lt;=MAIN!$L$3),"Yes","No")),IF(OR(MAIN!$F$3="Full Year",MAIN!$D$3="All"),"Yes",IF(MAIN!$F$3="Monthly",IF(E1739=MAIN!$L$3,"Yes","No"),IF(E1739&lt;=MAIN!$L$3,"Yes","No"))))</f>
        <v>Yes</v>
      </c>
      <c r="AA1739" t="str">
        <f t="shared" si="167"/>
        <v>No</v>
      </c>
    </row>
    <row r="1740" spans="1:27" x14ac:dyDescent="0.3">
      <c r="A1740">
        <f>INDEX(SETTINGS!$A$15:$A$24,$B1740)</f>
        <v>2032</v>
      </c>
      <c r="B1740">
        <v>8</v>
      </c>
      <c r="C1740" t="str">
        <f>IF(AND(A1740&gt;=SETTINGS!$B$4,A1740&lt;=SETTINGS!$B$5),"Yes","No")</f>
        <v>No</v>
      </c>
      <c r="D1740" t="str">
        <f>IFERROR(INDEX(SETTINGS!$C$15:$C$24,MATCH(A1740,SETTINGS!$A$15:$A$24,0)),"No")</f>
        <v>No</v>
      </c>
      <c r="E1740">
        <v>8</v>
      </c>
      <c r="F1740" t="s">
        <v>41</v>
      </c>
      <c r="G1740">
        <v>188</v>
      </c>
      <c r="H1740" t="s">
        <v>103</v>
      </c>
      <c r="I1740" t="s">
        <v>22</v>
      </c>
      <c r="J1740" t="s">
        <v>23</v>
      </c>
      <c r="K1740" t="s">
        <v>3</v>
      </c>
      <c r="L1740" s="36">
        <f ca="1">IF(C1740&lt;&gt;"Yes",0,IF(A1740=2025,N('2025'!D188),IF(A1740=2026,N('2026'!D188),IF(A1740=2027,N('2027'!D188),IF(A1740=2028,N('2028'!D188),IF(A1740=2029,N('2029'!D188),IF(A1740=2030,N('2030'!D188),IF(A1740=2031,N('2031'!D188),IF(A1740=2032,N('2032'!D188),IF(A1740=2033,N('2033'!D188),IF(A1740=2034,N('2034'!D188),IFERROR(N(INDIRECT("'"&amp;A1740&amp;"'!D"&amp;G1740)),0))))))))))))</f>
        <v>0</v>
      </c>
      <c r="M1740" s="36">
        <f>IFERROR(IF(NOT(ISBLANK(KPI_TARGETS!$N$14)),KPI_TARGETS!$N$14,IF(NOT(ISBLANK(KPI_TARGETS!$F$14)),KPI_TARGETS!$F$14,"")),"")</f>
        <v>35</v>
      </c>
      <c r="N1740" s="36" t="str">
        <f>IFERROR(KPI_TARGETS!$E$14,"Higher is better")</f>
        <v>Higher is better</v>
      </c>
      <c r="O1740" s="37">
        <f t="shared" ca="1" si="162"/>
        <v>0</v>
      </c>
      <c r="P1740" t="str">
        <f t="shared" ca="1" si="163"/>
        <v>Red</v>
      </c>
      <c r="Q1740" s="36">
        <f t="shared" ca="1" si="164"/>
        <v>-35</v>
      </c>
      <c r="R1740" s="36" t="str">
        <f>""</f>
        <v/>
      </c>
      <c r="S1740" s="36" t="str">
        <f>""</f>
        <v/>
      </c>
      <c r="T1740" s="36" t="str">
        <f>""</f>
        <v/>
      </c>
      <c r="U1740" s="36" t="str">
        <f>""</f>
        <v/>
      </c>
      <c r="V1740" s="36" t="str">
        <f>""</f>
        <v/>
      </c>
      <c r="W1740" s="36">
        <f t="shared" si="165"/>
        <v>1</v>
      </c>
      <c r="X1740" t="str">
        <f t="shared" si="166"/>
        <v>Inactive</v>
      </c>
      <c r="Y1740" t="str">
        <f>IF(MAIN!$H$3="Selected Year",IF(A1740=MAIN!$B$3,"Yes","No"),IF(MAIN!$H$3="Included Years",IF(D1740="Yes","Yes","No"),IF(C1740="Yes","Yes","No")))</f>
        <v>No</v>
      </c>
      <c r="Z1740" t="str">
        <f>IF(MAIN!$F$3="Project to Date",IF(AND(A1740&gt;=SETTINGS!$B$4,A1740&lt;MAIN!$B$3),"Yes",IF(AND(A1740=MAIN!$B$3,E1740&lt;=MAIN!$L$3),"Yes","No")),IF(OR(MAIN!$F$3="Full Year",MAIN!$D$3="All"),"Yes",IF(MAIN!$F$3="Monthly",IF(E1740=MAIN!$L$3,"Yes","No"),IF(E1740&lt;=MAIN!$L$3,"Yes","No"))))</f>
        <v>Yes</v>
      </c>
      <c r="AA1740" t="str">
        <f t="shared" si="167"/>
        <v>No</v>
      </c>
    </row>
    <row r="1741" spans="1:27" x14ac:dyDescent="0.3">
      <c r="A1741">
        <f>INDEX(SETTINGS!$A$15:$A$24,$B1741)</f>
        <v>2032</v>
      </c>
      <c r="B1741">
        <v>8</v>
      </c>
      <c r="C1741" t="str">
        <f>IF(AND(A1741&gt;=SETTINGS!$B$4,A1741&lt;=SETTINGS!$B$5),"Yes","No")</f>
        <v>No</v>
      </c>
      <c r="D1741" t="str">
        <f>IFERROR(INDEX(SETTINGS!$C$15:$C$24,MATCH(A1741,SETTINGS!$A$15:$A$24,0)),"No")</f>
        <v>No</v>
      </c>
      <c r="E1741">
        <v>8</v>
      </c>
      <c r="F1741" t="s">
        <v>41</v>
      </c>
      <c r="G1741">
        <v>189</v>
      </c>
      <c r="H1741" t="s">
        <v>104</v>
      </c>
      <c r="I1741" t="s">
        <v>22</v>
      </c>
      <c r="J1741" t="s">
        <v>24</v>
      </c>
      <c r="K1741" t="s">
        <v>3</v>
      </c>
      <c r="L1741" s="36">
        <f ca="1">IF(C1741&lt;&gt;"Yes",0,IF(A1741=2025,N('2025'!D189),IF(A1741=2026,N('2026'!D189),IF(A1741=2027,N('2027'!D189),IF(A1741=2028,N('2028'!D189),IF(A1741=2029,N('2029'!D189),IF(A1741=2030,N('2030'!D189),IF(A1741=2031,N('2031'!D189),IF(A1741=2032,N('2032'!D189),IF(A1741=2033,N('2033'!D189),IF(A1741=2034,N('2034'!D189),IFERROR(N(INDIRECT("'"&amp;A1741&amp;"'!D"&amp;G1741)),0))))))))))))</f>
        <v>0</v>
      </c>
      <c r="M1741" s="36">
        <f>IFERROR(IF(NOT(ISBLANK(KPI_TARGETS!$N$15)),KPI_TARGETS!$N$15,IF(NOT(ISBLANK(KPI_TARGETS!$F$15)),KPI_TARGETS!$F$15,"")),"")</f>
        <v>5</v>
      </c>
      <c r="N1741" s="36" t="str">
        <f>IFERROR(KPI_TARGETS!$E$15,"Higher is better")</f>
        <v>Higher is better</v>
      </c>
      <c r="O1741" s="37">
        <f t="shared" ca="1" si="162"/>
        <v>0</v>
      </c>
      <c r="P1741" t="str">
        <f t="shared" ca="1" si="163"/>
        <v>Red</v>
      </c>
      <c r="Q1741" s="36">
        <f t="shared" ca="1" si="164"/>
        <v>-5</v>
      </c>
      <c r="R1741" s="36" t="str">
        <f>""</f>
        <v/>
      </c>
      <c r="S1741" s="36" t="str">
        <f>""</f>
        <v/>
      </c>
      <c r="T1741" s="36" t="str">
        <f>""</f>
        <v/>
      </c>
      <c r="U1741" s="36" t="str">
        <f>""</f>
        <v/>
      </c>
      <c r="V1741" s="36" t="str">
        <f>""</f>
        <v/>
      </c>
      <c r="W1741" s="36">
        <f t="shared" si="165"/>
        <v>1</v>
      </c>
      <c r="X1741" t="str">
        <f t="shared" si="166"/>
        <v>Inactive</v>
      </c>
      <c r="Y1741" t="str">
        <f>IF(MAIN!$H$3="Selected Year",IF(A1741=MAIN!$B$3,"Yes","No"),IF(MAIN!$H$3="Included Years",IF(D1741="Yes","Yes","No"),IF(C1741="Yes","Yes","No")))</f>
        <v>No</v>
      </c>
      <c r="Z1741" t="str">
        <f>IF(MAIN!$F$3="Project to Date",IF(AND(A1741&gt;=SETTINGS!$B$4,A1741&lt;MAIN!$B$3),"Yes",IF(AND(A1741=MAIN!$B$3,E1741&lt;=MAIN!$L$3),"Yes","No")),IF(OR(MAIN!$F$3="Full Year",MAIN!$D$3="All"),"Yes",IF(MAIN!$F$3="Monthly",IF(E1741=MAIN!$L$3,"Yes","No"),IF(E1741&lt;=MAIN!$L$3,"Yes","No"))))</f>
        <v>Yes</v>
      </c>
      <c r="AA1741" t="str">
        <f t="shared" si="167"/>
        <v>No</v>
      </c>
    </row>
    <row r="1742" spans="1:27" x14ac:dyDescent="0.3">
      <c r="A1742">
        <f>INDEX(SETTINGS!$A$15:$A$24,$B1742)</f>
        <v>2032</v>
      </c>
      <c r="B1742">
        <v>8</v>
      </c>
      <c r="C1742" t="str">
        <f>IF(AND(A1742&gt;=SETTINGS!$B$4,A1742&lt;=SETTINGS!$B$5),"Yes","No")</f>
        <v>No</v>
      </c>
      <c r="D1742" t="str">
        <f>IFERROR(INDEX(SETTINGS!$C$15:$C$24,MATCH(A1742,SETTINGS!$A$15:$A$24,0)),"No")</f>
        <v>No</v>
      </c>
      <c r="E1742">
        <v>8</v>
      </c>
      <c r="F1742" t="s">
        <v>41</v>
      </c>
      <c r="G1742">
        <v>190</v>
      </c>
      <c r="H1742" t="s">
        <v>105</v>
      </c>
      <c r="I1742" t="s">
        <v>22</v>
      </c>
      <c r="J1742" t="s">
        <v>25</v>
      </c>
      <c r="K1742" t="s">
        <v>3</v>
      </c>
      <c r="L1742" s="36">
        <f ca="1">IF(C1742&lt;&gt;"Yes",0,IF(A1742=2025,N('2025'!D190),IF(A1742=2026,N('2026'!D190),IF(A1742=2027,N('2027'!D190),IF(A1742=2028,N('2028'!D190),IF(A1742=2029,N('2029'!D190),IF(A1742=2030,N('2030'!D190),IF(A1742=2031,N('2031'!D190),IF(A1742=2032,N('2032'!D190),IF(A1742=2033,N('2033'!D190),IF(A1742=2034,N('2034'!D190),IFERROR(N(INDIRECT("'"&amp;A1742&amp;"'!D"&amp;G1742)),0))))))))))))</f>
        <v>0</v>
      </c>
      <c r="M1742" s="36">
        <f>IFERROR(IF(NOT(ISBLANK(KPI_TARGETS!$N$16)),KPI_TARGETS!$N$16,IF(NOT(ISBLANK(KPI_TARGETS!$F$16)),KPI_TARGETS!$F$16,"")),"")</f>
        <v>4</v>
      </c>
      <c r="N1742" s="36" t="str">
        <f>IFERROR(KPI_TARGETS!$E$16,"Higher is better")</f>
        <v>Higher is better</v>
      </c>
      <c r="O1742" s="37">
        <f t="shared" ca="1" si="162"/>
        <v>0</v>
      </c>
      <c r="P1742" t="str">
        <f t="shared" ca="1" si="163"/>
        <v>Red</v>
      </c>
      <c r="Q1742" s="36">
        <f t="shared" ca="1" si="164"/>
        <v>-4</v>
      </c>
      <c r="R1742" s="36" t="str">
        <f>""</f>
        <v/>
      </c>
      <c r="S1742" s="36" t="str">
        <f>""</f>
        <v/>
      </c>
      <c r="T1742" s="36" t="str">
        <f>""</f>
        <v/>
      </c>
      <c r="U1742" s="36" t="str">
        <f>""</f>
        <v/>
      </c>
      <c r="V1742" s="36" t="str">
        <f>""</f>
        <v/>
      </c>
      <c r="W1742" s="36">
        <f t="shared" si="165"/>
        <v>1</v>
      </c>
      <c r="X1742" t="str">
        <f t="shared" si="166"/>
        <v>Inactive</v>
      </c>
      <c r="Y1742" t="str">
        <f>IF(MAIN!$H$3="Selected Year",IF(A1742=MAIN!$B$3,"Yes","No"),IF(MAIN!$H$3="Included Years",IF(D1742="Yes","Yes","No"),IF(C1742="Yes","Yes","No")))</f>
        <v>No</v>
      </c>
      <c r="Z1742" t="str">
        <f>IF(MAIN!$F$3="Project to Date",IF(AND(A1742&gt;=SETTINGS!$B$4,A1742&lt;MAIN!$B$3),"Yes",IF(AND(A1742=MAIN!$B$3,E1742&lt;=MAIN!$L$3),"Yes","No")),IF(OR(MAIN!$F$3="Full Year",MAIN!$D$3="All"),"Yes",IF(MAIN!$F$3="Monthly",IF(E1742=MAIN!$L$3,"Yes","No"),IF(E1742&lt;=MAIN!$L$3,"Yes","No"))))</f>
        <v>Yes</v>
      </c>
      <c r="AA1742" t="str">
        <f t="shared" si="167"/>
        <v>No</v>
      </c>
    </row>
    <row r="1743" spans="1:27" x14ac:dyDescent="0.3">
      <c r="A1743">
        <f>INDEX(SETTINGS!$A$15:$A$24,$B1743)</f>
        <v>2032</v>
      </c>
      <c r="B1743">
        <v>8</v>
      </c>
      <c r="C1743" t="str">
        <f>IF(AND(A1743&gt;=SETTINGS!$B$4,A1743&lt;=SETTINGS!$B$5),"Yes","No")</f>
        <v>No</v>
      </c>
      <c r="D1743" t="str">
        <f>IFERROR(INDEX(SETTINGS!$C$15:$C$24,MATCH(A1743,SETTINGS!$A$15:$A$24,0)),"No")</f>
        <v>No</v>
      </c>
      <c r="E1743">
        <v>8</v>
      </c>
      <c r="F1743" t="s">
        <v>41</v>
      </c>
      <c r="G1743">
        <v>191</v>
      </c>
      <c r="H1743" t="s">
        <v>106</v>
      </c>
      <c r="I1743" t="s">
        <v>22</v>
      </c>
      <c r="J1743" t="s">
        <v>26</v>
      </c>
      <c r="K1743" t="s">
        <v>3</v>
      </c>
      <c r="L1743" s="36">
        <f ca="1">IF(C1743&lt;&gt;"Yes",0,IF(A1743=2025,N('2025'!D191),IF(A1743=2026,N('2026'!D191),IF(A1743=2027,N('2027'!D191),IF(A1743=2028,N('2028'!D191),IF(A1743=2029,N('2029'!D191),IF(A1743=2030,N('2030'!D191),IF(A1743=2031,N('2031'!D191),IF(A1743=2032,N('2032'!D191),IF(A1743=2033,N('2033'!D191),IF(A1743=2034,N('2034'!D191),IFERROR(N(INDIRECT("'"&amp;A1743&amp;"'!D"&amp;G1743)),0))))))))))))</f>
        <v>0</v>
      </c>
      <c r="M1743" s="36">
        <f>IFERROR(IF(NOT(ISBLANK(KPI_TARGETS!$N$17)),KPI_TARGETS!$N$17,IF(NOT(ISBLANK(KPI_TARGETS!$F$17)),KPI_TARGETS!$F$17,"")),"")</f>
        <v>12</v>
      </c>
      <c r="N1743" s="36" t="str">
        <f>IFERROR(KPI_TARGETS!$E$17,"Higher is better")</f>
        <v>Higher is better</v>
      </c>
      <c r="O1743" s="37">
        <f t="shared" ca="1" si="162"/>
        <v>0</v>
      </c>
      <c r="P1743" t="str">
        <f t="shared" ca="1" si="163"/>
        <v>Red</v>
      </c>
      <c r="Q1743" s="36">
        <f t="shared" ca="1" si="164"/>
        <v>-12</v>
      </c>
      <c r="R1743" s="36" t="str">
        <f>""</f>
        <v/>
      </c>
      <c r="S1743" s="36" t="str">
        <f>""</f>
        <v/>
      </c>
      <c r="T1743" s="36" t="str">
        <f>""</f>
        <v/>
      </c>
      <c r="U1743" s="36" t="str">
        <f>""</f>
        <v/>
      </c>
      <c r="V1743" s="36" t="str">
        <f>""</f>
        <v/>
      </c>
      <c r="W1743" s="36">
        <f t="shared" si="165"/>
        <v>1</v>
      </c>
      <c r="X1743" t="str">
        <f t="shared" si="166"/>
        <v>Inactive</v>
      </c>
      <c r="Y1743" t="str">
        <f>IF(MAIN!$H$3="Selected Year",IF(A1743=MAIN!$B$3,"Yes","No"),IF(MAIN!$H$3="Included Years",IF(D1743="Yes","Yes","No"),IF(C1743="Yes","Yes","No")))</f>
        <v>No</v>
      </c>
      <c r="Z1743" t="str">
        <f>IF(MAIN!$F$3="Project to Date",IF(AND(A1743&gt;=SETTINGS!$B$4,A1743&lt;MAIN!$B$3),"Yes",IF(AND(A1743=MAIN!$B$3,E1743&lt;=MAIN!$L$3),"Yes","No")),IF(OR(MAIN!$F$3="Full Year",MAIN!$D$3="All"),"Yes",IF(MAIN!$F$3="Monthly",IF(E1743=MAIN!$L$3,"Yes","No"),IF(E1743&lt;=MAIN!$L$3,"Yes","No"))))</f>
        <v>Yes</v>
      </c>
      <c r="AA1743" t="str">
        <f t="shared" si="167"/>
        <v>No</v>
      </c>
    </row>
    <row r="1744" spans="1:27" x14ac:dyDescent="0.3">
      <c r="A1744">
        <f>INDEX(SETTINGS!$A$15:$A$24,$B1744)</f>
        <v>2032</v>
      </c>
      <c r="B1744">
        <v>8</v>
      </c>
      <c r="C1744" t="str">
        <f>IF(AND(A1744&gt;=SETTINGS!$B$4,A1744&lt;=SETTINGS!$B$5),"Yes","No")</f>
        <v>No</v>
      </c>
      <c r="D1744" t="str">
        <f>IFERROR(INDEX(SETTINGS!$C$15:$C$24,MATCH(A1744,SETTINGS!$A$15:$A$24,0)),"No")</f>
        <v>No</v>
      </c>
      <c r="E1744">
        <v>8</v>
      </c>
      <c r="F1744" t="s">
        <v>41</v>
      </c>
      <c r="G1744">
        <v>192</v>
      </c>
      <c r="H1744" t="s">
        <v>107</v>
      </c>
      <c r="I1744" t="s">
        <v>22</v>
      </c>
      <c r="J1744" t="s">
        <v>27</v>
      </c>
      <c r="K1744" t="s">
        <v>3</v>
      </c>
      <c r="L1744" s="36">
        <f ca="1">IF(C1744&lt;&gt;"Yes",0,IF(A1744=2025,N('2025'!D192),IF(A1744=2026,N('2026'!D192),IF(A1744=2027,N('2027'!D192),IF(A1744=2028,N('2028'!D192),IF(A1744=2029,N('2029'!D192),IF(A1744=2030,N('2030'!D192),IF(A1744=2031,N('2031'!D192),IF(A1744=2032,N('2032'!D192),IF(A1744=2033,N('2033'!D192),IF(A1744=2034,N('2034'!D192),IFERROR(N(INDIRECT("'"&amp;A1744&amp;"'!D"&amp;G1744)),0))))))))))))</f>
        <v>0</v>
      </c>
      <c r="M1744" s="36">
        <f>IFERROR(IF(NOT(ISBLANK(KPI_TARGETS!$N$18)),KPI_TARGETS!$N$18,IF(NOT(ISBLANK(KPI_TARGETS!$F$18)),KPI_TARGETS!$F$18,"")),"")</f>
        <v>4</v>
      </c>
      <c r="N1744" s="36" t="str">
        <f>IFERROR(KPI_TARGETS!$E$18,"Higher is better")</f>
        <v>Higher is better</v>
      </c>
      <c r="O1744" s="37">
        <f t="shared" ca="1" si="162"/>
        <v>0</v>
      </c>
      <c r="P1744" t="str">
        <f t="shared" ca="1" si="163"/>
        <v>Red</v>
      </c>
      <c r="Q1744" s="36">
        <f t="shared" ca="1" si="164"/>
        <v>-4</v>
      </c>
      <c r="R1744" s="36" t="str">
        <f>""</f>
        <v/>
      </c>
      <c r="S1744" s="36" t="str">
        <f>""</f>
        <v/>
      </c>
      <c r="T1744" s="36" t="str">
        <f>""</f>
        <v/>
      </c>
      <c r="U1744" s="36" t="str">
        <f>""</f>
        <v/>
      </c>
      <c r="V1744" s="36" t="str">
        <f>""</f>
        <v/>
      </c>
      <c r="W1744" s="36">
        <f t="shared" si="165"/>
        <v>1</v>
      </c>
      <c r="X1744" t="str">
        <f t="shared" si="166"/>
        <v>Inactive</v>
      </c>
      <c r="Y1744" t="str">
        <f>IF(MAIN!$H$3="Selected Year",IF(A1744=MAIN!$B$3,"Yes","No"),IF(MAIN!$H$3="Included Years",IF(D1744="Yes","Yes","No"),IF(C1744="Yes","Yes","No")))</f>
        <v>No</v>
      </c>
      <c r="Z1744" t="str">
        <f>IF(MAIN!$F$3="Project to Date",IF(AND(A1744&gt;=SETTINGS!$B$4,A1744&lt;MAIN!$B$3),"Yes",IF(AND(A1744=MAIN!$B$3,E1744&lt;=MAIN!$L$3),"Yes","No")),IF(OR(MAIN!$F$3="Full Year",MAIN!$D$3="All"),"Yes",IF(MAIN!$F$3="Monthly",IF(E1744=MAIN!$L$3,"Yes","No"),IF(E1744&lt;=MAIN!$L$3,"Yes","No"))))</f>
        <v>Yes</v>
      </c>
      <c r="AA1744" t="str">
        <f t="shared" si="167"/>
        <v>No</v>
      </c>
    </row>
    <row r="1745" spans="1:27" x14ac:dyDescent="0.3">
      <c r="A1745">
        <f>INDEX(SETTINGS!$A$15:$A$24,$B1745)</f>
        <v>2032</v>
      </c>
      <c r="B1745">
        <v>8</v>
      </c>
      <c r="C1745" t="str">
        <f>IF(AND(A1745&gt;=SETTINGS!$B$4,A1745&lt;=SETTINGS!$B$5),"Yes","No")</f>
        <v>No</v>
      </c>
      <c r="D1745" t="str">
        <f>IFERROR(INDEX(SETTINGS!$C$15:$C$24,MATCH(A1745,SETTINGS!$A$15:$A$24,0)),"No")</f>
        <v>No</v>
      </c>
      <c r="E1745">
        <v>8</v>
      </c>
      <c r="F1745" t="s">
        <v>41</v>
      </c>
      <c r="G1745">
        <v>193</v>
      </c>
      <c r="H1745" t="s">
        <v>108</v>
      </c>
      <c r="I1745" t="s">
        <v>22</v>
      </c>
      <c r="J1745" t="s">
        <v>28</v>
      </c>
      <c r="K1745" t="s">
        <v>3</v>
      </c>
      <c r="L1745" s="36">
        <f ca="1">IF(C1745&lt;&gt;"Yes",0,IF(A1745=2025,N('2025'!D193),IF(A1745=2026,N('2026'!D193),IF(A1745=2027,N('2027'!D193),IF(A1745=2028,N('2028'!D193),IF(A1745=2029,N('2029'!D193),IF(A1745=2030,N('2030'!D193),IF(A1745=2031,N('2031'!D193),IF(A1745=2032,N('2032'!D193),IF(A1745=2033,N('2033'!D193),IF(A1745=2034,N('2034'!D193),IFERROR(N(INDIRECT("'"&amp;A1745&amp;"'!D"&amp;G1745)),0))))))))))))</f>
        <v>0</v>
      </c>
      <c r="M1745" s="36">
        <f>IFERROR(IF(NOT(ISBLANK(KPI_TARGETS!$N$19)),KPI_TARGETS!$N$19,IF(NOT(ISBLANK(KPI_TARGETS!$F$19)),KPI_TARGETS!$F$19,"")),"")</f>
        <v>16</v>
      </c>
      <c r="N1745" s="36" t="str">
        <f>IFERROR(KPI_TARGETS!$E$19,"Higher is better")</f>
        <v>Higher is better</v>
      </c>
      <c r="O1745" s="37">
        <f t="shared" ca="1" si="162"/>
        <v>0</v>
      </c>
      <c r="P1745" t="str">
        <f t="shared" ca="1" si="163"/>
        <v>Red</v>
      </c>
      <c r="Q1745" s="36">
        <f t="shared" ca="1" si="164"/>
        <v>-16</v>
      </c>
      <c r="R1745" s="36" t="str">
        <f>""</f>
        <v/>
      </c>
      <c r="S1745" s="36" t="str">
        <f>""</f>
        <v/>
      </c>
      <c r="T1745" s="36" t="str">
        <f>""</f>
        <v/>
      </c>
      <c r="U1745" s="36" t="str">
        <f>""</f>
        <v/>
      </c>
      <c r="V1745" s="36" t="str">
        <f>""</f>
        <v/>
      </c>
      <c r="W1745" s="36">
        <f t="shared" si="165"/>
        <v>1</v>
      </c>
      <c r="X1745" t="str">
        <f t="shared" si="166"/>
        <v>Inactive</v>
      </c>
      <c r="Y1745" t="str">
        <f>IF(MAIN!$H$3="Selected Year",IF(A1745=MAIN!$B$3,"Yes","No"),IF(MAIN!$H$3="Included Years",IF(D1745="Yes","Yes","No"),IF(C1745="Yes","Yes","No")))</f>
        <v>No</v>
      </c>
      <c r="Z1745" t="str">
        <f>IF(MAIN!$F$3="Project to Date",IF(AND(A1745&gt;=SETTINGS!$B$4,A1745&lt;MAIN!$B$3),"Yes",IF(AND(A1745=MAIN!$B$3,E1745&lt;=MAIN!$L$3),"Yes","No")),IF(OR(MAIN!$F$3="Full Year",MAIN!$D$3="All"),"Yes",IF(MAIN!$F$3="Monthly",IF(E1745=MAIN!$L$3,"Yes","No"),IF(E1745&lt;=MAIN!$L$3,"Yes","No"))))</f>
        <v>Yes</v>
      </c>
      <c r="AA1745" t="str">
        <f t="shared" si="167"/>
        <v>No</v>
      </c>
    </row>
    <row r="1746" spans="1:27" x14ac:dyDescent="0.3">
      <c r="A1746">
        <f>INDEX(SETTINGS!$A$15:$A$24,$B1746)</f>
        <v>2032</v>
      </c>
      <c r="B1746">
        <v>8</v>
      </c>
      <c r="C1746" t="str">
        <f>IF(AND(A1746&gt;=SETTINGS!$B$4,A1746&lt;=SETTINGS!$B$5),"Yes","No")</f>
        <v>No</v>
      </c>
      <c r="D1746" t="str">
        <f>IFERROR(INDEX(SETTINGS!$C$15:$C$24,MATCH(A1746,SETTINGS!$A$15:$A$24,0)),"No")</f>
        <v>No</v>
      </c>
      <c r="E1746">
        <v>8</v>
      </c>
      <c r="F1746" t="s">
        <v>41</v>
      </c>
      <c r="G1746">
        <v>194</v>
      </c>
      <c r="H1746" t="s">
        <v>109</v>
      </c>
      <c r="I1746" t="s">
        <v>22</v>
      </c>
      <c r="J1746" t="s">
        <v>29</v>
      </c>
      <c r="K1746" t="s">
        <v>3</v>
      </c>
      <c r="L1746" s="36">
        <f ca="1">IF(C1746&lt;&gt;"Yes",0,IF(A1746=2025,N('2025'!D194),IF(A1746=2026,N('2026'!D194),IF(A1746=2027,N('2027'!D194),IF(A1746=2028,N('2028'!D194),IF(A1746=2029,N('2029'!D194),IF(A1746=2030,N('2030'!D194),IF(A1746=2031,N('2031'!D194),IF(A1746=2032,N('2032'!D194),IF(A1746=2033,N('2033'!D194),IF(A1746=2034,N('2034'!D194),IFERROR(N(INDIRECT("'"&amp;A1746&amp;"'!D"&amp;G1746)),0))))))))))))</f>
        <v>0</v>
      </c>
      <c r="M1746" s="36">
        <f>IFERROR(IF(NOT(ISBLANK(KPI_TARGETS!$N$20)),KPI_TARGETS!$N$20,IF(NOT(ISBLANK(KPI_TARGETS!$F$20)),KPI_TARGETS!$F$20,"")),"")</f>
        <v>1</v>
      </c>
      <c r="N1746" s="36" t="str">
        <f>IFERROR(KPI_TARGETS!$E$20,"Higher is better")</f>
        <v>Higher is better</v>
      </c>
      <c r="O1746" s="37">
        <f t="shared" ca="1" si="162"/>
        <v>0</v>
      </c>
      <c r="P1746" t="str">
        <f t="shared" ca="1" si="163"/>
        <v>Red</v>
      </c>
      <c r="Q1746" s="36">
        <f t="shared" ca="1" si="164"/>
        <v>-1</v>
      </c>
      <c r="R1746" s="36" t="str">
        <f>""</f>
        <v/>
      </c>
      <c r="S1746" s="36" t="str">
        <f>""</f>
        <v/>
      </c>
      <c r="T1746" s="36" t="str">
        <f>""</f>
        <v/>
      </c>
      <c r="U1746" s="36" t="str">
        <f>""</f>
        <v/>
      </c>
      <c r="V1746" s="36" t="str">
        <f>""</f>
        <v/>
      </c>
      <c r="W1746" s="36">
        <f t="shared" si="165"/>
        <v>1</v>
      </c>
      <c r="X1746" t="str">
        <f t="shared" si="166"/>
        <v>Inactive</v>
      </c>
      <c r="Y1746" t="str">
        <f>IF(MAIN!$H$3="Selected Year",IF(A1746=MAIN!$B$3,"Yes","No"),IF(MAIN!$H$3="Included Years",IF(D1746="Yes","Yes","No"),IF(C1746="Yes","Yes","No")))</f>
        <v>No</v>
      </c>
      <c r="Z1746" t="str">
        <f>IF(MAIN!$F$3="Project to Date",IF(AND(A1746&gt;=SETTINGS!$B$4,A1746&lt;MAIN!$B$3),"Yes",IF(AND(A1746=MAIN!$B$3,E1746&lt;=MAIN!$L$3),"Yes","No")),IF(OR(MAIN!$F$3="Full Year",MAIN!$D$3="All"),"Yes",IF(MAIN!$F$3="Monthly",IF(E1746=MAIN!$L$3,"Yes","No"),IF(E1746&lt;=MAIN!$L$3,"Yes","No"))))</f>
        <v>Yes</v>
      </c>
      <c r="AA1746" t="str">
        <f t="shared" si="167"/>
        <v>No</v>
      </c>
    </row>
    <row r="1747" spans="1:27" x14ac:dyDescent="0.3">
      <c r="A1747">
        <f>INDEX(SETTINGS!$A$15:$A$24,$B1747)</f>
        <v>2032</v>
      </c>
      <c r="B1747">
        <v>8</v>
      </c>
      <c r="C1747" t="str">
        <f>IF(AND(A1747&gt;=SETTINGS!$B$4,A1747&lt;=SETTINGS!$B$5),"Yes","No")</f>
        <v>No</v>
      </c>
      <c r="D1747" t="str">
        <f>IFERROR(INDEX(SETTINGS!$C$15:$C$24,MATCH(A1747,SETTINGS!$A$15:$A$24,0)),"No")</f>
        <v>No</v>
      </c>
      <c r="E1747">
        <v>8</v>
      </c>
      <c r="F1747" t="s">
        <v>41</v>
      </c>
      <c r="G1747">
        <v>196</v>
      </c>
      <c r="H1747" t="s">
        <v>110</v>
      </c>
      <c r="I1747" t="s">
        <v>30</v>
      </c>
      <c r="J1747" t="s">
        <v>31</v>
      </c>
      <c r="K1747" t="s">
        <v>3</v>
      </c>
      <c r="L1747" s="36">
        <f ca="1">IF(C1747&lt;&gt;"Yes",0,IF(A1747=2025,N('2025'!D196),IF(A1747=2026,N('2026'!D196),IF(A1747=2027,N('2027'!D196),IF(A1747=2028,N('2028'!D196),IF(A1747=2029,N('2029'!D196),IF(A1747=2030,N('2030'!D196),IF(A1747=2031,N('2031'!D196),IF(A1747=2032,N('2032'!D196),IF(A1747=2033,N('2033'!D196),IF(A1747=2034,N('2034'!D196),IFERROR(N(INDIRECT("'"&amp;A1747&amp;"'!D"&amp;G1747)),0))))))))))))</f>
        <v>0</v>
      </c>
      <c r="M1747" s="36">
        <f>IFERROR(IF(NOT(ISBLANK(KPI_TARGETS!$N$21)),KPI_TARGETS!$N$21,IF(NOT(ISBLANK(KPI_TARGETS!$F$21)),KPI_TARGETS!$F$21,"")),"")</f>
        <v>0</v>
      </c>
      <c r="N1747" s="36" t="str">
        <f>IFERROR(KPI_TARGETS!$E$21,"Higher is better")</f>
        <v>Lower is better</v>
      </c>
      <c r="O1747" s="37">
        <f t="shared" ca="1" si="162"/>
        <v>1</v>
      </c>
      <c r="P1747" t="str">
        <f t="shared" ca="1" si="163"/>
        <v>Green</v>
      </c>
      <c r="Q1747" s="36">
        <f t="shared" ca="1" si="164"/>
        <v>0</v>
      </c>
      <c r="R1747" s="36" t="str">
        <f>""</f>
        <v/>
      </c>
      <c r="S1747" s="36" t="str">
        <f>""</f>
        <v/>
      </c>
      <c r="T1747" s="36" t="str">
        <f>""</f>
        <v/>
      </c>
      <c r="U1747" s="36" t="str">
        <f>""</f>
        <v/>
      </c>
      <c r="V1747" s="36" t="str">
        <f>""</f>
        <v/>
      </c>
      <c r="W1747" s="36">
        <f t="shared" si="165"/>
        <v>1</v>
      </c>
      <c r="X1747" t="str">
        <f t="shared" si="166"/>
        <v>Inactive</v>
      </c>
      <c r="Y1747" t="str">
        <f>IF(MAIN!$H$3="Selected Year",IF(A1747=MAIN!$B$3,"Yes","No"),IF(MAIN!$H$3="Included Years",IF(D1747="Yes","Yes","No"),IF(C1747="Yes","Yes","No")))</f>
        <v>No</v>
      </c>
      <c r="Z1747" t="str">
        <f>IF(MAIN!$F$3="Project to Date",IF(AND(A1747&gt;=SETTINGS!$B$4,A1747&lt;MAIN!$B$3),"Yes",IF(AND(A1747=MAIN!$B$3,E1747&lt;=MAIN!$L$3),"Yes","No")),IF(OR(MAIN!$F$3="Full Year",MAIN!$D$3="All"),"Yes",IF(MAIN!$F$3="Monthly",IF(E1747=MAIN!$L$3,"Yes","No"),IF(E1747&lt;=MAIN!$L$3,"Yes","No"))))</f>
        <v>Yes</v>
      </c>
      <c r="AA1747" t="str">
        <f t="shared" si="167"/>
        <v>No</v>
      </c>
    </row>
    <row r="1748" spans="1:27" x14ac:dyDescent="0.3">
      <c r="A1748">
        <f>INDEX(SETTINGS!$A$15:$A$24,$B1748)</f>
        <v>2032</v>
      </c>
      <c r="B1748">
        <v>8</v>
      </c>
      <c r="C1748" t="str">
        <f>IF(AND(A1748&gt;=SETTINGS!$B$4,A1748&lt;=SETTINGS!$B$5),"Yes","No")</f>
        <v>No</v>
      </c>
      <c r="D1748" t="str">
        <f>IFERROR(INDEX(SETTINGS!$C$15:$C$24,MATCH(A1748,SETTINGS!$A$15:$A$24,0)),"No")</f>
        <v>No</v>
      </c>
      <c r="E1748">
        <v>8</v>
      </c>
      <c r="F1748" t="s">
        <v>41</v>
      </c>
      <c r="G1748">
        <v>197</v>
      </c>
      <c r="H1748" t="s">
        <v>111</v>
      </c>
      <c r="I1748" t="s">
        <v>30</v>
      </c>
      <c r="J1748" t="s">
        <v>32</v>
      </c>
      <c r="K1748" t="s">
        <v>3</v>
      </c>
      <c r="L1748" s="36">
        <f ca="1">IF(C1748&lt;&gt;"Yes",0,IF(A1748=2025,N('2025'!D197),IF(A1748=2026,N('2026'!D197),IF(A1748=2027,N('2027'!D197),IF(A1748=2028,N('2028'!D197),IF(A1748=2029,N('2029'!D197),IF(A1748=2030,N('2030'!D197),IF(A1748=2031,N('2031'!D197),IF(A1748=2032,N('2032'!D197),IF(A1748=2033,N('2033'!D197),IF(A1748=2034,N('2034'!D197),IFERROR(N(INDIRECT("'"&amp;A1748&amp;"'!D"&amp;G1748)),0))))))))))))</f>
        <v>0</v>
      </c>
      <c r="M1748" s="36">
        <f>IFERROR(IF(NOT(ISBLANK(KPI_TARGETS!$N$22)),KPI_TARGETS!$N$22,IF(NOT(ISBLANK(KPI_TARGETS!$F$22)),KPI_TARGETS!$F$22,"")),"")</f>
        <v>1</v>
      </c>
      <c r="N1748" s="36" t="str">
        <f>IFERROR(KPI_TARGETS!$E$22,"Higher is better")</f>
        <v>Higher is better</v>
      </c>
      <c r="O1748" s="37">
        <f t="shared" ca="1" si="162"/>
        <v>0</v>
      </c>
      <c r="P1748" t="str">
        <f t="shared" ca="1" si="163"/>
        <v>Red</v>
      </c>
      <c r="Q1748" s="36">
        <f t="shared" ca="1" si="164"/>
        <v>-1</v>
      </c>
      <c r="R1748" s="36" t="str">
        <f>""</f>
        <v/>
      </c>
      <c r="S1748" s="36" t="str">
        <f>""</f>
        <v/>
      </c>
      <c r="T1748" s="36" t="str">
        <f>""</f>
        <v/>
      </c>
      <c r="U1748" s="36" t="str">
        <f>""</f>
        <v/>
      </c>
      <c r="V1748" s="36" t="str">
        <f>""</f>
        <v/>
      </c>
      <c r="W1748" s="36">
        <f t="shared" si="165"/>
        <v>1</v>
      </c>
      <c r="X1748" t="str">
        <f t="shared" si="166"/>
        <v>Inactive</v>
      </c>
      <c r="Y1748" t="str">
        <f>IF(MAIN!$H$3="Selected Year",IF(A1748=MAIN!$B$3,"Yes","No"),IF(MAIN!$H$3="Included Years",IF(D1748="Yes","Yes","No"),IF(C1748="Yes","Yes","No")))</f>
        <v>No</v>
      </c>
      <c r="Z1748" t="str">
        <f>IF(MAIN!$F$3="Project to Date",IF(AND(A1748&gt;=SETTINGS!$B$4,A1748&lt;MAIN!$B$3),"Yes",IF(AND(A1748=MAIN!$B$3,E1748&lt;=MAIN!$L$3),"Yes","No")),IF(OR(MAIN!$F$3="Full Year",MAIN!$D$3="All"),"Yes",IF(MAIN!$F$3="Monthly",IF(E1748=MAIN!$L$3,"Yes","No"),IF(E1748&lt;=MAIN!$L$3,"Yes","No"))))</f>
        <v>Yes</v>
      </c>
      <c r="AA1748" t="str">
        <f t="shared" si="167"/>
        <v>No</v>
      </c>
    </row>
    <row r="1749" spans="1:27" x14ac:dyDescent="0.3">
      <c r="A1749">
        <f>INDEX(SETTINGS!$A$15:$A$24,$B1749)</f>
        <v>2032</v>
      </c>
      <c r="B1749">
        <v>8</v>
      </c>
      <c r="C1749" t="str">
        <f>IF(AND(A1749&gt;=SETTINGS!$B$4,A1749&lt;=SETTINGS!$B$5),"Yes","No")</f>
        <v>No</v>
      </c>
      <c r="D1749" t="str">
        <f>IFERROR(INDEX(SETTINGS!$C$15:$C$24,MATCH(A1749,SETTINGS!$A$15:$A$24,0)),"No")</f>
        <v>No</v>
      </c>
      <c r="E1749">
        <v>8</v>
      </c>
      <c r="F1749" t="s">
        <v>41</v>
      </c>
      <c r="G1749">
        <v>198</v>
      </c>
      <c r="H1749" t="s">
        <v>112</v>
      </c>
      <c r="I1749" t="s">
        <v>30</v>
      </c>
      <c r="J1749" t="s">
        <v>33</v>
      </c>
      <c r="K1749" t="s">
        <v>34</v>
      </c>
      <c r="L1749" s="36">
        <f ca="1">IF(C1749&lt;&gt;"Yes",0,IF(A1749=2025,N('2025'!D198),IF(A1749=2026,N('2026'!D198),IF(A1749=2027,N('2027'!D198),IF(A1749=2028,N('2028'!D198),IF(A1749=2029,N('2029'!D198),IF(A1749=2030,N('2030'!D198),IF(A1749=2031,N('2031'!D198),IF(A1749=2032,N('2032'!D198),IF(A1749=2033,N('2033'!D198),IF(A1749=2034,N('2034'!D198),IFERROR(N(INDIRECT("'"&amp;A1749&amp;"'!D"&amp;G1749)),0))))))))))))</f>
        <v>0</v>
      </c>
      <c r="M1749" s="36">
        <f>IFERROR(IF(NOT(ISBLANK(KPI_TARGETS!$N$23)),KPI_TARGETS!$N$23,IF(NOT(ISBLANK(KPI_TARGETS!$F$23)),KPI_TARGETS!$F$23,"")),"")</f>
        <v>1</v>
      </c>
      <c r="N1749" s="36" t="str">
        <f>IFERROR(KPI_TARGETS!$E$23,"Higher is better")</f>
        <v>Higher is better</v>
      </c>
      <c r="O1749" s="37">
        <f t="shared" ca="1" si="162"/>
        <v>0</v>
      </c>
      <c r="P1749" t="str">
        <f t="shared" ca="1" si="163"/>
        <v>Red</v>
      </c>
      <c r="Q1749" s="36">
        <f t="shared" ca="1" si="164"/>
        <v>-1</v>
      </c>
      <c r="R1749" s="36" t="str">
        <f>""</f>
        <v/>
      </c>
      <c r="S1749" s="36" t="str">
        <f>""</f>
        <v/>
      </c>
      <c r="T1749" s="36" t="str">
        <f>""</f>
        <v/>
      </c>
      <c r="U1749" s="36" t="str">
        <f>""</f>
        <v/>
      </c>
      <c r="V1749" s="36" t="str">
        <f>""</f>
        <v/>
      </c>
      <c r="W1749" s="36">
        <f t="shared" si="165"/>
        <v>1</v>
      </c>
      <c r="X1749" t="str">
        <f t="shared" si="166"/>
        <v>Inactive</v>
      </c>
      <c r="Y1749" t="str">
        <f>IF(MAIN!$H$3="Selected Year",IF(A1749=MAIN!$B$3,"Yes","No"),IF(MAIN!$H$3="Included Years",IF(D1749="Yes","Yes","No"),IF(C1749="Yes","Yes","No")))</f>
        <v>No</v>
      </c>
      <c r="Z1749" t="str">
        <f>IF(MAIN!$F$3="Project to Date",IF(AND(A1749&gt;=SETTINGS!$B$4,A1749&lt;MAIN!$B$3),"Yes",IF(AND(A1749=MAIN!$B$3,E1749&lt;=MAIN!$L$3),"Yes","No")),IF(OR(MAIN!$F$3="Full Year",MAIN!$D$3="All"),"Yes",IF(MAIN!$F$3="Monthly",IF(E1749=MAIN!$L$3,"Yes","No"),IF(E1749&lt;=MAIN!$L$3,"Yes","No"))))</f>
        <v>Yes</v>
      </c>
      <c r="AA1749" t="str">
        <f t="shared" si="167"/>
        <v>No</v>
      </c>
    </row>
    <row r="1750" spans="1:27" x14ac:dyDescent="0.3">
      <c r="A1750">
        <f>INDEX(SETTINGS!$A$15:$A$24,$B1750)</f>
        <v>2032</v>
      </c>
      <c r="B1750">
        <v>8</v>
      </c>
      <c r="C1750" t="str">
        <f>IF(AND(A1750&gt;=SETTINGS!$B$4,A1750&lt;=SETTINGS!$B$5),"Yes","No")</f>
        <v>No</v>
      </c>
      <c r="D1750" t="str">
        <f>IFERROR(INDEX(SETTINGS!$C$15:$C$24,MATCH(A1750,SETTINGS!$A$15:$A$24,0)),"No")</f>
        <v>No</v>
      </c>
      <c r="E1750">
        <v>9</v>
      </c>
      <c r="F1750" t="s">
        <v>42</v>
      </c>
      <c r="G1750">
        <v>201</v>
      </c>
      <c r="H1750" t="s">
        <v>88</v>
      </c>
      <c r="I1750" t="s">
        <v>89</v>
      </c>
      <c r="J1750" t="s">
        <v>10</v>
      </c>
      <c r="K1750" t="s">
        <v>3</v>
      </c>
      <c r="L1750" s="36">
        <f ca="1">IF(C1750&lt;&gt;"Yes",0,IF(A1750=2025,N('2025'!D201),IF(A1750=2026,N('2026'!D201),IF(A1750=2027,N('2027'!D201),IF(A1750=2028,N('2028'!D201),IF(A1750=2029,N('2029'!D201),IF(A1750=2030,N('2030'!D201),IF(A1750=2031,N('2031'!D201),IF(A1750=2032,N('2032'!D201),IF(A1750=2033,N('2033'!D201),IF(A1750=2034,N('2034'!D201),IFERROR(N(INDIRECT("'"&amp;A1750&amp;"'!D"&amp;G1750)),0))))))))))))</f>
        <v>0</v>
      </c>
      <c r="M1750" s="36">
        <f>IFERROR(IF(NOT(ISBLANK(KPI_TARGETS!$N$5)),KPI_TARGETS!$N$5,IF(NOT(ISBLANK(KPI_TARGETS!$F$5)),KPI_TARGETS!$F$5,"")),"")</f>
        <v>104</v>
      </c>
      <c r="N1750" s="36" t="str">
        <f>IFERROR(KPI_TARGETS!$E$5,"Higher is better")</f>
        <v>Higher is better</v>
      </c>
      <c r="O1750" s="37">
        <f t="shared" ca="1" si="162"/>
        <v>0</v>
      </c>
      <c r="P1750" t="str">
        <f t="shared" ca="1" si="163"/>
        <v>Red</v>
      </c>
      <c r="Q1750" s="36">
        <f t="shared" ca="1" si="164"/>
        <v>-104</v>
      </c>
      <c r="R1750" s="36" t="str">
        <f>""</f>
        <v/>
      </c>
      <c r="S1750" s="36" t="str">
        <f>""</f>
        <v/>
      </c>
      <c r="T1750" s="36" t="str">
        <f>""</f>
        <v/>
      </c>
      <c r="U1750" s="36" t="str">
        <f>""</f>
        <v/>
      </c>
      <c r="V1750" s="36" t="str">
        <f>""</f>
        <v/>
      </c>
      <c r="W1750" s="36">
        <f t="shared" si="165"/>
        <v>1</v>
      </c>
      <c r="X1750" t="str">
        <f t="shared" si="166"/>
        <v>Inactive</v>
      </c>
      <c r="Y1750" t="str">
        <f>IF(MAIN!$H$3="Selected Year",IF(A1750=MAIN!$B$3,"Yes","No"),IF(MAIN!$H$3="Included Years",IF(D1750="Yes","Yes","No"),IF(C1750="Yes","Yes","No")))</f>
        <v>No</v>
      </c>
      <c r="Z1750" t="str">
        <f>IF(MAIN!$F$3="Project to Date",IF(AND(A1750&gt;=SETTINGS!$B$4,A1750&lt;MAIN!$B$3),"Yes",IF(AND(A1750=MAIN!$B$3,E1750&lt;=MAIN!$L$3),"Yes","No")),IF(OR(MAIN!$F$3="Full Year",MAIN!$D$3="All"),"Yes",IF(MAIN!$F$3="Monthly",IF(E1750=MAIN!$L$3,"Yes","No"),IF(E1750&lt;=MAIN!$L$3,"Yes","No"))))</f>
        <v>Yes</v>
      </c>
      <c r="AA1750" t="str">
        <f t="shared" si="167"/>
        <v>No</v>
      </c>
    </row>
    <row r="1751" spans="1:27" x14ac:dyDescent="0.3">
      <c r="A1751">
        <f>INDEX(SETTINGS!$A$15:$A$24,$B1751)</f>
        <v>2032</v>
      </c>
      <c r="B1751">
        <v>8</v>
      </c>
      <c r="C1751" t="str">
        <f>IF(AND(A1751&gt;=SETTINGS!$B$4,A1751&lt;=SETTINGS!$B$5),"Yes","No")</f>
        <v>No</v>
      </c>
      <c r="D1751" t="str">
        <f>IFERROR(INDEX(SETTINGS!$C$15:$C$24,MATCH(A1751,SETTINGS!$A$15:$A$24,0)),"No")</f>
        <v>No</v>
      </c>
      <c r="E1751">
        <v>9</v>
      </c>
      <c r="F1751" t="s">
        <v>42</v>
      </c>
      <c r="G1751">
        <v>202</v>
      </c>
      <c r="H1751" t="s">
        <v>91</v>
      </c>
      <c r="I1751" t="s">
        <v>89</v>
      </c>
      <c r="J1751" t="s">
        <v>11</v>
      </c>
      <c r="K1751" t="s">
        <v>12</v>
      </c>
      <c r="L1751" s="36">
        <f ca="1">IF(C1751&lt;&gt;"Yes",0,IF(A1751=2025,N('2025'!D202),IF(A1751=2026,N('2026'!D202),IF(A1751=2027,N('2027'!D202),IF(A1751=2028,N('2028'!D202),IF(A1751=2029,N('2029'!D202),IF(A1751=2030,N('2030'!D202),IF(A1751=2031,N('2031'!D202),IF(A1751=2032,N('2032'!D202),IF(A1751=2033,N('2033'!D202),IF(A1751=2034,N('2034'!D202),IFERROR(N(INDIRECT("'"&amp;A1751&amp;"'!D"&amp;G1751)),0))))))))))))</f>
        <v>0</v>
      </c>
      <c r="M1751" s="36">
        <f>IFERROR(IF(NOT(ISBLANK(KPI_TARGETS!$N$6)),KPI_TARGETS!$N$6,IF(NOT(ISBLANK(KPI_TARGETS!$F$6)),KPI_TARGETS!$F$6,"")),"")</f>
        <v>4000</v>
      </c>
      <c r="N1751" s="36" t="str">
        <f>IFERROR(KPI_TARGETS!$E$6,"Higher is better")</f>
        <v>Higher is better</v>
      </c>
      <c r="O1751" s="37">
        <f t="shared" ca="1" si="162"/>
        <v>0</v>
      </c>
      <c r="P1751" t="str">
        <f t="shared" ca="1" si="163"/>
        <v>Red</v>
      </c>
      <c r="Q1751" s="36">
        <f t="shared" ca="1" si="164"/>
        <v>-4000</v>
      </c>
      <c r="R1751" s="36" t="str">
        <f>""</f>
        <v/>
      </c>
      <c r="S1751" s="36" t="str">
        <f>""</f>
        <v/>
      </c>
      <c r="T1751" s="36" t="str">
        <f>""</f>
        <v/>
      </c>
      <c r="U1751" s="36" t="str">
        <f>""</f>
        <v/>
      </c>
      <c r="V1751" s="36" t="str">
        <f>""</f>
        <v/>
      </c>
      <c r="W1751" s="36">
        <f t="shared" si="165"/>
        <v>1</v>
      </c>
      <c r="X1751" t="str">
        <f t="shared" si="166"/>
        <v>Inactive</v>
      </c>
      <c r="Y1751" t="str">
        <f>IF(MAIN!$H$3="Selected Year",IF(A1751=MAIN!$B$3,"Yes","No"),IF(MAIN!$H$3="Included Years",IF(D1751="Yes","Yes","No"),IF(C1751="Yes","Yes","No")))</f>
        <v>No</v>
      </c>
      <c r="Z1751" t="str">
        <f>IF(MAIN!$F$3="Project to Date",IF(AND(A1751&gt;=SETTINGS!$B$4,A1751&lt;MAIN!$B$3),"Yes",IF(AND(A1751=MAIN!$B$3,E1751&lt;=MAIN!$L$3),"Yes","No")),IF(OR(MAIN!$F$3="Full Year",MAIN!$D$3="All"),"Yes",IF(MAIN!$F$3="Monthly",IF(E1751=MAIN!$L$3,"Yes","No"),IF(E1751&lt;=MAIN!$L$3,"Yes","No"))))</f>
        <v>Yes</v>
      </c>
      <c r="AA1751" t="str">
        <f t="shared" si="167"/>
        <v>No</v>
      </c>
    </row>
    <row r="1752" spans="1:27" x14ac:dyDescent="0.3">
      <c r="A1752">
        <f>INDEX(SETTINGS!$A$15:$A$24,$B1752)</f>
        <v>2032</v>
      </c>
      <c r="B1752">
        <v>8</v>
      </c>
      <c r="C1752" t="str">
        <f>IF(AND(A1752&gt;=SETTINGS!$B$4,A1752&lt;=SETTINGS!$B$5),"Yes","No")</f>
        <v>No</v>
      </c>
      <c r="D1752" t="str">
        <f>IFERROR(INDEX(SETTINGS!$C$15:$C$24,MATCH(A1752,SETTINGS!$A$15:$A$24,0)),"No")</f>
        <v>No</v>
      </c>
      <c r="E1752">
        <v>9</v>
      </c>
      <c r="F1752" t="s">
        <v>42</v>
      </c>
      <c r="G1752">
        <v>203</v>
      </c>
      <c r="H1752" t="s">
        <v>93</v>
      </c>
      <c r="I1752" t="s">
        <v>89</v>
      </c>
      <c r="J1752" t="s">
        <v>13</v>
      </c>
      <c r="K1752" t="s">
        <v>14</v>
      </c>
      <c r="L1752" s="36">
        <f ca="1">IF(C1752&lt;&gt;"Yes",0,IF(A1752=2025,N('2025'!D203),IF(A1752=2026,N('2026'!D203),IF(A1752=2027,N('2027'!D203),IF(A1752=2028,N('2028'!D203),IF(A1752=2029,N('2029'!D203),IF(A1752=2030,N('2030'!D203),IF(A1752=2031,N('2031'!D203),IF(A1752=2032,N('2032'!D203),IF(A1752=2033,N('2033'!D203),IF(A1752=2034,N('2034'!D203),IFERROR(N(INDIRECT("'"&amp;A1752&amp;"'!D"&amp;G1752)),0))))))))))))</f>
        <v>0</v>
      </c>
      <c r="M1752" s="36">
        <f>IFERROR(IF(NOT(ISBLANK(KPI_TARGETS!$N$7)),KPI_TARGETS!$N$7,IF(NOT(ISBLANK(KPI_TARGETS!$F$7)),KPI_TARGETS!$F$7,"")),"")</f>
        <v>8000</v>
      </c>
      <c r="N1752" s="36" t="str">
        <f>IFERROR(KPI_TARGETS!$E$7,"Higher is better")</f>
        <v>Higher is better</v>
      </c>
      <c r="O1752" s="37">
        <f t="shared" ca="1" si="162"/>
        <v>0</v>
      </c>
      <c r="P1752" t="str">
        <f t="shared" ca="1" si="163"/>
        <v>Red</v>
      </c>
      <c r="Q1752" s="36">
        <f t="shared" ca="1" si="164"/>
        <v>-8000</v>
      </c>
      <c r="R1752" s="36" t="str">
        <f>""</f>
        <v/>
      </c>
      <c r="S1752" s="36" t="str">
        <f>""</f>
        <v/>
      </c>
      <c r="T1752" s="36" t="str">
        <f>""</f>
        <v/>
      </c>
      <c r="U1752" s="36" t="str">
        <f>""</f>
        <v/>
      </c>
      <c r="V1752" s="36" t="str">
        <f>""</f>
        <v/>
      </c>
      <c r="W1752" s="36">
        <f t="shared" si="165"/>
        <v>1</v>
      </c>
      <c r="X1752" t="str">
        <f t="shared" si="166"/>
        <v>Inactive</v>
      </c>
      <c r="Y1752" t="str">
        <f>IF(MAIN!$H$3="Selected Year",IF(A1752=MAIN!$B$3,"Yes","No"),IF(MAIN!$H$3="Included Years",IF(D1752="Yes","Yes","No"),IF(C1752="Yes","Yes","No")))</f>
        <v>No</v>
      </c>
      <c r="Z1752" t="str">
        <f>IF(MAIN!$F$3="Project to Date",IF(AND(A1752&gt;=SETTINGS!$B$4,A1752&lt;MAIN!$B$3),"Yes",IF(AND(A1752=MAIN!$B$3,E1752&lt;=MAIN!$L$3),"Yes","No")),IF(OR(MAIN!$F$3="Full Year",MAIN!$D$3="All"),"Yes",IF(MAIN!$F$3="Monthly",IF(E1752=MAIN!$L$3,"Yes","No"),IF(E1752&lt;=MAIN!$L$3,"Yes","No"))))</f>
        <v>Yes</v>
      </c>
      <c r="AA1752" t="str">
        <f t="shared" si="167"/>
        <v>No</v>
      </c>
    </row>
    <row r="1753" spans="1:27" x14ac:dyDescent="0.3">
      <c r="A1753">
        <f>INDEX(SETTINGS!$A$15:$A$24,$B1753)</f>
        <v>2032</v>
      </c>
      <c r="B1753">
        <v>8</v>
      </c>
      <c r="C1753" t="str">
        <f>IF(AND(A1753&gt;=SETTINGS!$B$4,A1753&lt;=SETTINGS!$B$5),"Yes","No")</f>
        <v>No</v>
      </c>
      <c r="D1753" t="str">
        <f>IFERROR(INDEX(SETTINGS!$C$15:$C$24,MATCH(A1753,SETTINGS!$A$15:$A$24,0)),"No")</f>
        <v>No</v>
      </c>
      <c r="E1753">
        <v>9</v>
      </c>
      <c r="F1753" t="s">
        <v>42</v>
      </c>
      <c r="G1753">
        <v>205</v>
      </c>
      <c r="H1753" t="s">
        <v>95</v>
      </c>
      <c r="I1753" t="s">
        <v>15</v>
      </c>
      <c r="J1753" t="s">
        <v>16</v>
      </c>
      <c r="K1753" t="s">
        <v>3</v>
      </c>
      <c r="L1753" s="36">
        <f ca="1">IF(C1753&lt;&gt;"Yes",0,IF(A1753=2025,N('2025'!D205),IF(A1753=2026,N('2026'!D205),IF(A1753=2027,N('2027'!D205),IF(A1753=2028,N('2028'!D205),IF(A1753=2029,N('2029'!D205),IF(A1753=2030,N('2030'!D205),IF(A1753=2031,N('2031'!D205),IF(A1753=2032,N('2032'!D205),IF(A1753=2033,N('2033'!D205),IF(A1753=2034,N('2034'!D205),IFERROR(N(INDIRECT("'"&amp;A1753&amp;"'!D"&amp;G1753)),0))))))))))))</f>
        <v>0</v>
      </c>
      <c r="M1753" s="36">
        <f>IFERROR(IF(NOT(ISBLANK(KPI_TARGETS!$N$8)),KPI_TARGETS!$N$8,IF(NOT(ISBLANK(KPI_TARGETS!$F$8)),KPI_TARGETS!$F$8,"")),"")</f>
        <v>0</v>
      </c>
      <c r="N1753" s="36" t="str">
        <f>IFERROR(KPI_TARGETS!$E$8,"Higher is better")</f>
        <v>Lower is better</v>
      </c>
      <c r="O1753" s="37">
        <f t="shared" ca="1" si="162"/>
        <v>1</v>
      </c>
      <c r="P1753" t="str">
        <f t="shared" ca="1" si="163"/>
        <v>Green</v>
      </c>
      <c r="Q1753" s="36">
        <f t="shared" ca="1" si="164"/>
        <v>0</v>
      </c>
      <c r="R1753" s="36" t="str">
        <f>""</f>
        <v/>
      </c>
      <c r="S1753" s="36" t="str">
        <f>""</f>
        <v/>
      </c>
      <c r="T1753" s="36" t="str">
        <f>""</f>
        <v/>
      </c>
      <c r="U1753" s="36" t="str">
        <f>""</f>
        <v/>
      </c>
      <c r="V1753" s="36" t="str">
        <f>""</f>
        <v/>
      </c>
      <c r="W1753" s="36">
        <f t="shared" si="165"/>
        <v>1</v>
      </c>
      <c r="X1753" t="str">
        <f t="shared" si="166"/>
        <v>Inactive</v>
      </c>
      <c r="Y1753" t="str">
        <f>IF(MAIN!$H$3="Selected Year",IF(A1753=MAIN!$B$3,"Yes","No"),IF(MAIN!$H$3="Included Years",IF(D1753="Yes","Yes","No"),IF(C1753="Yes","Yes","No")))</f>
        <v>No</v>
      </c>
      <c r="Z1753" t="str">
        <f>IF(MAIN!$F$3="Project to Date",IF(AND(A1753&gt;=SETTINGS!$B$4,A1753&lt;MAIN!$B$3),"Yes",IF(AND(A1753=MAIN!$B$3,E1753&lt;=MAIN!$L$3),"Yes","No")),IF(OR(MAIN!$F$3="Full Year",MAIN!$D$3="All"),"Yes",IF(MAIN!$F$3="Monthly",IF(E1753=MAIN!$L$3,"Yes","No"),IF(E1753&lt;=MAIN!$L$3,"Yes","No"))))</f>
        <v>Yes</v>
      </c>
      <c r="AA1753" t="str">
        <f t="shared" si="167"/>
        <v>No</v>
      </c>
    </row>
    <row r="1754" spans="1:27" x14ac:dyDescent="0.3">
      <c r="A1754">
        <f>INDEX(SETTINGS!$A$15:$A$24,$B1754)</f>
        <v>2032</v>
      </c>
      <c r="B1754">
        <v>8</v>
      </c>
      <c r="C1754" t="str">
        <f>IF(AND(A1754&gt;=SETTINGS!$B$4,A1754&lt;=SETTINGS!$B$5),"Yes","No")</f>
        <v>No</v>
      </c>
      <c r="D1754" t="str">
        <f>IFERROR(INDEX(SETTINGS!$C$15:$C$24,MATCH(A1754,SETTINGS!$A$15:$A$24,0)),"No")</f>
        <v>No</v>
      </c>
      <c r="E1754">
        <v>9</v>
      </c>
      <c r="F1754" t="s">
        <v>42</v>
      </c>
      <c r="G1754">
        <v>206</v>
      </c>
      <c r="H1754" t="s">
        <v>97</v>
      </c>
      <c r="I1754" t="s">
        <v>15</v>
      </c>
      <c r="J1754" t="s">
        <v>17</v>
      </c>
      <c r="K1754" t="s">
        <v>3</v>
      </c>
      <c r="L1754" s="36">
        <f ca="1">IF(C1754&lt;&gt;"Yes",0,IF(A1754=2025,N('2025'!D206),IF(A1754=2026,N('2026'!D206),IF(A1754=2027,N('2027'!D206),IF(A1754=2028,N('2028'!D206),IF(A1754=2029,N('2029'!D206),IF(A1754=2030,N('2030'!D206),IF(A1754=2031,N('2031'!D206),IF(A1754=2032,N('2032'!D206),IF(A1754=2033,N('2033'!D206),IF(A1754=2034,N('2034'!D206),IFERROR(N(INDIRECT("'"&amp;A1754&amp;"'!D"&amp;G1754)),0))))))))))))</f>
        <v>0</v>
      </c>
      <c r="M1754" s="36">
        <f>IFERROR(IF(NOT(ISBLANK(KPI_TARGETS!$N$9)),KPI_TARGETS!$N$9,IF(NOT(ISBLANK(KPI_TARGETS!$F$9)),KPI_TARGETS!$F$9,"")),"")</f>
        <v>0</v>
      </c>
      <c r="N1754" s="36" t="str">
        <f>IFERROR(KPI_TARGETS!$E$9,"Higher is better")</f>
        <v>Higher is better</v>
      </c>
      <c r="O1754" s="37" t="str">
        <f t="shared" ca="1" si="162"/>
        <v/>
      </c>
      <c r="P1754" t="str">
        <f t="shared" ca="1" si="163"/>
        <v>Green</v>
      </c>
      <c r="Q1754" s="36">
        <f t="shared" ca="1" si="164"/>
        <v>0</v>
      </c>
      <c r="R1754" s="36" t="str">
        <f>""</f>
        <v/>
      </c>
      <c r="S1754" s="36" t="str">
        <f>""</f>
        <v/>
      </c>
      <c r="T1754" s="36" t="str">
        <f>""</f>
        <v/>
      </c>
      <c r="U1754" s="36" t="str">
        <f>""</f>
        <v/>
      </c>
      <c r="V1754" s="36" t="str">
        <f>""</f>
        <v/>
      </c>
      <c r="W1754" s="36">
        <f t="shared" si="165"/>
        <v>1</v>
      </c>
      <c r="X1754" t="str">
        <f t="shared" si="166"/>
        <v>Inactive</v>
      </c>
      <c r="Y1754" t="str">
        <f>IF(MAIN!$H$3="Selected Year",IF(A1754=MAIN!$B$3,"Yes","No"),IF(MAIN!$H$3="Included Years",IF(D1754="Yes","Yes","No"),IF(C1754="Yes","Yes","No")))</f>
        <v>No</v>
      </c>
      <c r="Z1754" t="str">
        <f>IF(MAIN!$F$3="Project to Date",IF(AND(A1754&gt;=SETTINGS!$B$4,A1754&lt;MAIN!$B$3),"Yes",IF(AND(A1754=MAIN!$B$3,E1754&lt;=MAIN!$L$3),"Yes","No")),IF(OR(MAIN!$F$3="Full Year",MAIN!$D$3="All"),"Yes",IF(MAIN!$F$3="Monthly",IF(E1754=MAIN!$L$3,"Yes","No"),IF(E1754&lt;=MAIN!$L$3,"Yes","No"))))</f>
        <v>Yes</v>
      </c>
      <c r="AA1754" t="str">
        <f t="shared" si="167"/>
        <v>No</v>
      </c>
    </row>
    <row r="1755" spans="1:27" x14ac:dyDescent="0.3">
      <c r="A1755">
        <f>INDEX(SETTINGS!$A$15:$A$24,$B1755)</f>
        <v>2032</v>
      </c>
      <c r="B1755">
        <v>8</v>
      </c>
      <c r="C1755" t="str">
        <f>IF(AND(A1755&gt;=SETTINGS!$B$4,A1755&lt;=SETTINGS!$B$5),"Yes","No")</f>
        <v>No</v>
      </c>
      <c r="D1755" t="str">
        <f>IFERROR(INDEX(SETTINGS!$C$15:$C$24,MATCH(A1755,SETTINGS!$A$15:$A$24,0)),"No")</f>
        <v>No</v>
      </c>
      <c r="E1755">
        <v>9</v>
      </c>
      <c r="F1755" t="s">
        <v>42</v>
      </c>
      <c r="G1755">
        <v>207</v>
      </c>
      <c r="H1755" t="s">
        <v>99</v>
      </c>
      <c r="I1755" t="s">
        <v>15</v>
      </c>
      <c r="J1755" t="s">
        <v>18</v>
      </c>
      <c r="K1755" t="s">
        <v>3</v>
      </c>
      <c r="L1755" s="36">
        <f ca="1">IF(C1755&lt;&gt;"Yes",0,IF(A1755=2025,N('2025'!D207),IF(A1755=2026,N('2026'!D207),IF(A1755=2027,N('2027'!D207),IF(A1755=2028,N('2028'!D207),IF(A1755=2029,N('2029'!D207),IF(A1755=2030,N('2030'!D207),IF(A1755=2031,N('2031'!D207),IF(A1755=2032,N('2032'!D207),IF(A1755=2033,N('2033'!D207),IF(A1755=2034,N('2034'!D207),IFERROR(N(INDIRECT("'"&amp;A1755&amp;"'!D"&amp;G1755)),0))))))))))))</f>
        <v>0</v>
      </c>
      <c r="M1755" s="36">
        <f>IFERROR(IF(NOT(ISBLANK(KPI_TARGETS!$N$10)),KPI_TARGETS!$N$10,IF(NOT(ISBLANK(KPI_TARGETS!$F$10)),KPI_TARGETS!$F$10,"")),"")</f>
        <v>0</v>
      </c>
      <c r="N1755" s="36" t="str">
        <f>IFERROR(KPI_TARGETS!$E$10,"Higher is better")</f>
        <v>Lower is better</v>
      </c>
      <c r="O1755" s="37">
        <f t="shared" ca="1" si="162"/>
        <v>1</v>
      </c>
      <c r="P1755" t="str">
        <f t="shared" ca="1" si="163"/>
        <v>Green</v>
      </c>
      <c r="Q1755" s="36">
        <f t="shared" ca="1" si="164"/>
        <v>0</v>
      </c>
      <c r="R1755" s="36" t="str">
        <f>""</f>
        <v/>
      </c>
      <c r="S1755" s="36" t="str">
        <f>""</f>
        <v/>
      </c>
      <c r="T1755" s="36" t="str">
        <f>""</f>
        <v/>
      </c>
      <c r="U1755" s="36" t="str">
        <f>""</f>
        <v/>
      </c>
      <c r="V1755" s="36" t="str">
        <f>""</f>
        <v/>
      </c>
      <c r="W1755" s="36">
        <f t="shared" si="165"/>
        <v>1</v>
      </c>
      <c r="X1755" t="str">
        <f t="shared" si="166"/>
        <v>Inactive</v>
      </c>
      <c r="Y1755" t="str">
        <f>IF(MAIN!$H$3="Selected Year",IF(A1755=MAIN!$B$3,"Yes","No"),IF(MAIN!$H$3="Included Years",IF(D1755="Yes","Yes","No"),IF(C1755="Yes","Yes","No")))</f>
        <v>No</v>
      </c>
      <c r="Z1755" t="str">
        <f>IF(MAIN!$F$3="Project to Date",IF(AND(A1755&gt;=SETTINGS!$B$4,A1755&lt;MAIN!$B$3),"Yes",IF(AND(A1755=MAIN!$B$3,E1755&lt;=MAIN!$L$3),"Yes","No")),IF(OR(MAIN!$F$3="Full Year",MAIN!$D$3="All"),"Yes",IF(MAIN!$F$3="Monthly",IF(E1755=MAIN!$L$3,"Yes","No"),IF(E1755&lt;=MAIN!$L$3,"Yes","No"))))</f>
        <v>Yes</v>
      </c>
      <c r="AA1755" t="str">
        <f t="shared" si="167"/>
        <v>No</v>
      </c>
    </row>
    <row r="1756" spans="1:27" x14ac:dyDescent="0.3">
      <c r="A1756">
        <f>INDEX(SETTINGS!$A$15:$A$24,$B1756)</f>
        <v>2032</v>
      </c>
      <c r="B1756">
        <v>8</v>
      </c>
      <c r="C1756" t="str">
        <f>IF(AND(A1756&gt;=SETTINGS!$B$4,A1756&lt;=SETTINGS!$B$5),"Yes","No")</f>
        <v>No</v>
      </c>
      <c r="D1756" t="str">
        <f>IFERROR(INDEX(SETTINGS!$C$15:$C$24,MATCH(A1756,SETTINGS!$A$15:$A$24,0)),"No")</f>
        <v>No</v>
      </c>
      <c r="E1756">
        <v>9</v>
      </c>
      <c r="F1756" t="s">
        <v>42</v>
      </c>
      <c r="G1756">
        <v>208</v>
      </c>
      <c r="H1756" t="s">
        <v>100</v>
      </c>
      <c r="I1756" t="s">
        <v>15</v>
      </c>
      <c r="J1756" t="s">
        <v>19</v>
      </c>
      <c r="K1756" t="s">
        <v>3</v>
      </c>
      <c r="L1756" s="36">
        <f ca="1">IF(C1756&lt;&gt;"Yes",0,IF(A1756=2025,N('2025'!D208),IF(A1756=2026,N('2026'!D208),IF(A1756=2027,N('2027'!D208),IF(A1756=2028,N('2028'!D208),IF(A1756=2029,N('2029'!D208),IF(A1756=2030,N('2030'!D208),IF(A1756=2031,N('2031'!D208),IF(A1756=2032,N('2032'!D208),IF(A1756=2033,N('2033'!D208),IF(A1756=2034,N('2034'!D208),IFERROR(N(INDIRECT("'"&amp;A1756&amp;"'!D"&amp;G1756)),0))))))))))))</f>
        <v>0</v>
      </c>
      <c r="M1756" s="36">
        <f>IFERROR(IF(NOT(ISBLANK(KPI_TARGETS!$N$11)),KPI_TARGETS!$N$11,IF(NOT(ISBLANK(KPI_TARGETS!$F$11)),KPI_TARGETS!$F$11,"")),"")</f>
        <v>0</v>
      </c>
      <c r="N1756" s="36" t="str">
        <f>IFERROR(KPI_TARGETS!$E$11,"Higher is better")</f>
        <v>Lower is better</v>
      </c>
      <c r="O1756" s="37">
        <f t="shared" ca="1" si="162"/>
        <v>1</v>
      </c>
      <c r="P1756" t="str">
        <f t="shared" ca="1" si="163"/>
        <v>Green</v>
      </c>
      <c r="Q1756" s="36">
        <f t="shared" ca="1" si="164"/>
        <v>0</v>
      </c>
      <c r="R1756" s="36" t="str">
        <f>""</f>
        <v/>
      </c>
      <c r="S1756" s="36" t="str">
        <f>""</f>
        <v/>
      </c>
      <c r="T1756" s="36" t="str">
        <f>""</f>
        <v/>
      </c>
      <c r="U1756" s="36" t="str">
        <f>""</f>
        <v/>
      </c>
      <c r="V1756" s="36" t="str">
        <f>""</f>
        <v/>
      </c>
      <c r="W1756" s="36">
        <f t="shared" si="165"/>
        <v>1</v>
      </c>
      <c r="X1756" t="str">
        <f t="shared" si="166"/>
        <v>Inactive</v>
      </c>
      <c r="Y1756" t="str">
        <f>IF(MAIN!$H$3="Selected Year",IF(A1756=MAIN!$B$3,"Yes","No"),IF(MAIN!$H$3="Included Years",IF(D1756="Yes","Yes","No"),IF(C1756="Yes","Yes","No")))</f>
        <v>No</v>
      </c>
      <c r="Z1756" t="str">
        <f>IF(MAIN!$F$3="Project to Date",IF(AND(A1756&gt;=SETTINGS!$B$4,A1756&lt;MAIN!$B$3),"Yes",IF(AND(A1756=MAIN!$B$3,E1756&lt;=MAIN!$L$3),"Yes","No")),IF(OR(MAIN!$F$3="Full Year",MAIN!$D$3="All"),"Yes",IF(MAIN!$F$3="Monthly",IF(E1756=MAIN!$L$3,"Yes","No"),IF(E1756&lt;=MAIN!$L$3,"Yes","No"))))</f>
        <v>Yes</v>
      </c>
      <c r="AA1756" t="str">
        <f t="shared" si="167"/>
        <v>No</v>
      </c>
    </row>
    <row r="1757" spans="1:27" x14ac:dyDescent="0.3">
      <c r="A1757">
        <f>INDEX(SETTINGS!$A$15:$A$24,$B1757)</f>
        <v>2032</v>
      </c>
      <c r="B1757">
        <v>8</v>
      </c>
      <c r="C1757" t="str">
        <f>IF(AND(A1757&gt;=SETTINGS!$B$4,A1757&lt;=SETTINGS!$B$5),"Yes","No")</f>
        <v>No</v>
      </c>
      <c r="D1757" t="str">
        <f>IFERROR(INDEX(SETTINGS!$C$15:$C$24,MATCH(A1757,SETTINGS!$A$15:$A$24,0)),"No")</f>
        <v>No</v>
      </c>
      <c r="E1757">
        <v>9</v>
      </c>
      <c r="F1757" t="s">
        <v>42</v>
      </c>
      <c r="G1757">
        <v>209</v>
      </c>
      <c r="H1757" t="s">
        <v>101</v>
      </c>
      <c r="I1757" t="s">
        <v>15</v>
      </c>
      <c r="J1757" t="s">
        <v>20</v>
      </c>
      <c r="K1757" t="s">
        <v>3</v>
      </c>
      <c r="L1757" s="36">
        <f ca="1">IF(C1757&lt;&gt;"Yes",0,IF(A1757=2025,N('2025'!D209),IF(A1757=2026,N('2026'!D209),IF(A1757=2027,N('2027'!D209),IF(A1757=2028,N('2028'!D209),IF(A1757=2029,N('2029'!D209),IF(A1757=2030,N('2030'!D209),IF(A1757=2031,N('2031'!D209),IF(A1757=2032,N('2032'!D209),IF(A1757=2033,N('2033'!D209),IF(A1757=2034,N('2034'!D209),IFERROR(N(INDIRECT("'"&amp;A1757&amp;"'!D"&amp;G1757)),0))))))))))))</f>
        <v>0</v>
      </c>
      <c r="M1757" s="36">
        <f>IFERROR(IF(NOT(ISBLANK(KPI_TARGETS!$N$12)),KPI_TARGETS!$N$12,IF(NOT(ISBLANK(KPI_TARGETS!$F$12)),KPI_TARGETS!$F$12,"")),"")</f>
        <v>0</v>
      </c>
      <c r="N1757" s="36" t="str">
        <f>IFERROR(KPI_TARGETS!$E$12,"Higher is better")</f>
        <v>Lower is better</v>
      </c>
      <c r="O1757" s="37">
        <f t="shared" ca="1" si="162"/>
        <v>1</v>
      </c>
      <c r="P1757" t="str">
        <f t="shared" ca="1" si="163"/>
        <v>Green</v>
      </c>
      <c r="Q1757" s="36">
        <f t="shared" ca="1" si="164"/>
        <v>0</v>
      </c>
      <c r="R1757" s="36" t="str">
        <f>""</f>
        <v/>
      </c>
      <c r="S1757" s="36" t="str">
        <f>""</f>
        <v/>
      </c>
      <c r="T1757" s="36" t="str">
        <f>""</f>
        <v/>
      </c>
      <c r="U1757" s="36" t="str">
        <f>""</f>
        <v/>
      </c>
      <c r="V1757" s="36" t="str">
        <f>""</f>
        <v/>
      </c>
      <c r="W1757" s="36">
        <f t="shared" si="165"/>
        <v>1</v>
      </c>
      <c r="X1757" t="str">
        <f t="shared" si="166"/>
        <v>Inactive</v>
      </c>
      <c r="Y1757" t="str">
        <f>IF(MAIN!$H$3="Selected Year",IF(A1757=MAIN!$B$3,"Yes","No"),IF(MAIN!$H$3="Included Years",IF(D1757="Yes","Yes","No"),IF(C1757="Yes","Yes","No")))</f>
        <v>No</v>
      </c>
      <c r="Z1757" t="str">
        <f>IF(MAIN!$F$3="Project to Date",IF(AND(A1757&gt;=SETTINGS!$B$4,A1757&lt;MAIN!$B$3),"Yes",IF(AND(A1757=MAIN!$B$3,E1757&lt;=MAIN!$L$3),"Yes","No")),IF(OR(MAIN!$F$3="Full Year",MAIN!$D$3="All"),"Yes",IF(MAIN!$F$3="Monthly",IF(E1757=MAIN!$L$3,"Yes","No"),IF(E1757&lt;=MAIN!$L$3,"Yes","No"))))</f>
        <v>Yes</v>
      </c>
      <c r="AA1757" t="str">
        <f t="shared" si="167"/>
        <v>No</v>
      </c>
    </row>
    <row r="1758" spans="1:27" x14ac:dyDescent="0.3">
      <c r="A1758">
        <f>INDEX(SETTINGS!$A$15:$A$24,$B1758)</f>
        <v>2032</v>
      </c>
      <c r="B1758">
        <v>8</v>
      </c>
      <c r="C1758" t="str">
        <f>IF(AND(A1758&gt;=SETTINGS!$B$4,A1758&lt;=SETTINGS!$B$5),"Yes","No")</f>
        <v>No</v>
      </c>
      <c r="D1758" t="str">
        <f>IFERROR(INDEX(SETTINGS!$C$15:$C$24,MATCH(A1758,SETTINGS!$A$15:$A$24,0)),"No")</f>
        <v>No</v>
      </c>
      <c r="E1758">
        <v>9</v>
      </c>
      <c r="F1758" t="s">
        <v>42</v>
      </c>
      <c r="G1758">
        <v>210</v>
      </c>
      <c r="H1758" t="s">
        <v>102</v>
      </c>
      <c r="I1758" t="s">
        <v>15</v>
      </c>
      <c r="J1758" t="s">
        <v>21</v>
      </c>
      <c r="K1758" t="s">
        <v>3</v>
      </c>
      <c r="L1758" s="36">
        <f ca="1">IF(C1758&lt;&gt;"Yes",0,IF(A1758=2025,N('2025'!D210),IF(A1758=2026,N('2026'!D210),IF(A1758=2027,N('2027'!D210),IF(A1758=2028,N('2028'!D210),IF(A1758=2029,N('2029'!D210),IF(A1758=2030,N('2030'!D210),IF(A1758=2031,N('2031'!D210),IF(A1758=2032,N('2032'!D210),IF(A1758=2033,N('2033'!D210),IF(A1758=2034,N('2034'!D210),IFERROR(N(INDIRECT("'"&amp;A1758&amp;"'!D"&amp;G1758)),0))))))))))))</f>
        <v>0</v>
      </c>
      <c r="M1758" s="36">
        <f>IFERROR(IF(NOT(ISBLANK(KPI_TARGETS!$N$13)),KPI_TARGETS!$N$13,IF(NOT(ISBLANK(KPI_TARGETS!$F$13)),KPI_TARGETS!$F$13,"")),"")</f>
        <v>0</v>
      </c>
      <c r="N1758" s="36" t="str">
        <f>IFERROR(KPI_TARGETS!$E$13,"Higher is better")</f>
        <v>Lower is better</v>
      </c>
      <c r="O1758" s="37">
        <f t="shared" ca="1" si="162"/>
        <v>1</v>
      </c>
      <c r="P1758" t="str">
        <f t="shared" ca="1" si="163"/>
        <v>Green</v>
      </c>
      <c r="Q1758" s="36">
        <f t="shared" ca="1" si="164"/>
        <v>0</v>
      </c>
      <c r="R1758" s="36" t="str">
        <f>""</f>
        <v/>
      </c>
      <c r="S1758" s="36" t="str">
        <f>""</f>
        <v/>
      </c>
      <c r="T1758" s="36" t="str">
        <f>""</f>
        <v/>
      </c>
      <c r="U1758" s="36" t="str">
        <f>""</f>
        <v/>
      </c>
      <c r="V1758" s="36" t="str">
        <f>""</f>
        <v/>
      </c>
      <c r="W1758" s="36">
        <f t="shared" si="165"/>
        <v>1</v>
      </c>
      <c r="X1758" t="str">
        <f t="shared" si="166"/>
        <v>Inactive</v>
      </c>
      <c r="Y1758" t="str">
        <f>IF(MAIN!$H$3="Selected Year",IF(A1758=MAIN!$B$3,"Yes","No"),IF(MAIN!$H$3="Included Years",IF(D1758="Yes","Yes","No"),IF(C1758="Yes","Yes","No")))</f>
        <v>No</v>
      </c>
      <c r="Z1758" t="str">
        <f>IF(MAIN!$F$3="Project to Date",IF(AND(A1758&gt;=SETTINGS!$B$4,A1758&lt;MAIN!$B$3),"Yes",IF(AND(A1758=MAIN!$B$3,E1758&lt;=MAIN!$L$3),"Yes","No")),IF(OR(MAIN!$F$3="Full Year",MAIN!$D$3="All"),"Yes",IF(MAIN!$F$3="Monthly",IF(E1758=MAIN!$L$3,"Yes","No"),IF(E1758&lt;=MAIN!$L$3,"Yes","No"))))</f>
        <v>Yes</v>
      </c>
      <c r="AA1758" t="str">
        <f t="shared" si="167"/>
        <v>No</v>
      </c>
    </row>
    <row r="1759" spans="1:27" x14ac:dyDescent="0.3">
      <c r="A1759">
        <f>INDEX(SETTINGS!$A$15:$A$24,$B1759)</f>
        <v>2032</v>
      </c>
      <c r="B1759">
        <v>8</v>
      </c>
      <c r="C1759" t="str">
        <f>IF(AND(A1759&gt;=SETTINGS!$B$4,A1759&lt;=SETTINGS!$B$5),"Yes","No")</f>
        <v>No</v>
      </c>
      <c r="D1759" t="str">
        <f>IFERROR(INDEX(SETTINGS!$C$15:$C$24,MATCH(A1759,SETTINGS!$A$15:$A$24,0)),"No")</f>
        <v>No</v>
      </c>
      <c r="E1759">
        <v>9</v>
      </c>
      <c r="F1759" t="s">
        <v>42</v>
      </c>
      <c r="G1759">
        <v>212</v>
      </c>
      <c r="H1759" t="s">
        <v>103</v>
      </c>
      <c r="I1759" t="s">
        <v>22</v>
      </c>
      <c r="J1759" t="s">
        <v>23</v>
      </c>
      <c r="K1759" t="s">
        <v>3</v>
      </c>
      <c r="L1759" s="36">
        <f ca="1">IF(C1759&lt;&gt;"Yes",0,IF(A1759=2025,N('2025'!D212),IF(A1759=2026,N('2026'!D212),IF(A1759=2027,N('2027'!D212),IF(A1759=2028,N('2028'!D212),IF(A1759=2029,N('2029'!D212),IF(A1759=2030,N('2030'!D212),IF(A1759=2031,N('2031'!D212),IF(A1759=2032,N('2032'!D212),IF(A1759=2033,N('2033'!D212),IF(A1759=2034,N('2034'!D212),IFERROR(N(INDIRECT("'"&amp;A1759&amp;"'!D"&amp;G1759)),0))))))))))))</f>
        <v>0</v>
      </c>
      <c r="M1759" s="36">
        <f>IFERROR(IF(NOT(ISBLANK(KPI_TARGETS!$N$14)),KPI_TARGETS!$N$14,IF(NOT(ISBLANK(KPI_TARGETS!$F$14)),KPI_TARGETS!$F$14,"")),"")</f>
        <v>35</v>
      </c>
      <c r="N1759" s="36" t="str">
        <f>IFERROR(KPI_TARGETS!$E$14,"Higher is better")</f>
        <v>Higher is better</v>
      </c>
      <c r="O1759" s="37">
        <f t="shared" ca="1" si="162"/>
        <v>0</v>
      </c>
      <c r="P1759" t="str">
        <f t="shared" ca="1" si="163"/>
        <v>Red</v>
      </c>
      <c r="Q1759" s="36">
        <f t="shared" ca="1" si="164"/>
        <v>-35</v>
      </c>
      <c r="R1759" s="36" t="str">
        <f>""</f>
        <v/>
      </c>
      <c r="S1759" s="36" t="str">
        <f>""</f>
        <v/>
      </c>
      <c r="T1759" s="36" t="str">
        <f>""</f>
        <v/>
      </c>
      <c r="U1759" s="36" t="str">
        <f>""</f>
        <v/>
      </c>
      <c r="V1759" s="36" t="str">
        <f>""</f>
        <v/>
      </c>
      <c r="W1759" s="36">
        <f t="shared" si="165"/>
        <v>1</v>
      </c>
      <c r="X1759" t="str">
        <f t="shared" si="166"/>
        <v>Inactive</v>
      </c>
      <c r="Y1759" t="str">
        <f>IF(MAIN!$H$3="Selected Year",IF(A1759=MAIN!$B$3,"Yes","No"),IF(MAIN!$H$3="Included Years",IF(D1759="Yes","Yes","No"),IF(C1759="Yes","Yes","No")))</f>
        <v>No</v>
      </c>
      <c r="Z1759" t="str">
        <f>IF(MAIN!$F$3="Project to Date",IF(AND(A1759&gt;=SETTINGS!$B$4,A1759&lt;MAIN!$B$3),"Yes",IF(AND(A1759=MAIN!$B$3,E1759&lt;=MAIN!$L$3),"Yes","No")),IF(OR(MAIN!$F$3="Full Year",MAIN!$D$3="All"),"Yes",IF(MAIN!$F$3="Monthly",IF(E1759=MAIN!$L$3,"Yes","No"),IF(E1759&lt;=MAIN!$L$3,"Yes","No"))))</f>
        <v>Yes</v>
      </c>
      <c r="AA1759" t="str">
        <f t="shared" si="167"/>
        <v>No</v>
      </c>
    </row>
    <row r="1760" spans="1:27" x14ac:dyDescent="0.3">
      <c r="A1760">
        <f>INDEX(SETTINGS!$A$15:$A$24,$B1760)</f>
        <v>2032</v>
      </c>
      <c r="B1760">
        <v>8</v>
      </c>
      <c r="C1760" t="str">
        <f>IF(AND(A1760&gt;=SETTINGS!$B$4,A1760&lt;=SETTINGS!$B$5),"Yes","No")</f>
        <v>No</v>
      </c>
      <c r="D1760" t="str">
        <f>IFERROR(INDEX(SETTINGS!$C$15:$C$24,MATCH(A1760,SETTINGS!$A$15:$A$24,0)),"No")</f>
        <v>No</v>
      </c>
      <c r="E1760">
        <v>9</v>
      </c>
      <c r="F1760" t="s">
        <v>42</v>
      </c>
      <c r="G1760">
        <v>213</v>
      </c>
      <c r="H1760" t="s">
        <v>104</v>
      </c>
      <c r="I1760" t="s">
        <v>22</v>
      </c>
      <c r="J1760" t="s">
        <v>24</v>
      </c>
      <c r="K1760" t="s">
        <v>3</v>
      </c>
      <c r="L1760" s="36">
        <f ca="1">IF(C1760&lt;&gt;"Yes",0,IF(A1760=2025,N('2025'!D213),IF(A1760=2026,N('2026'!D213),IF(A1760=2027,N('2027'!D213),IF(A1760=2028,N('2028'!D213),IF(A1760=2029,N('2029'!D213),IF(A1760=2030,N('2030'!D213),IF(A1760=2031,N('2031'!D213),IF(A1760=2032,N('2032'!D213),IF(A1760=2033,N('2033'!D213),IF(A1760=2034,N('2034'!D213),IFERROR(N(INDIRECT("'"&amp;A1760&amp;"'!D"&amp;G1760)),0))))))))))))</f>
        <v>0</v>
      </c>
      <c r="M1760" s="36">
        <f>IFERROR(IF(NOT(ISBLANK(KPI_TARGETS!$N$15)),KPI_TARGETS!$N$15,IF(NOT(ISBLANK(KPI_TARGETS!$F$15)),KPI_TARGETS!$F$15,"")),"")</f>
        <v>5</v>
      </c>
      <c r="N1760" s="36" t="str">
        <f>IFERROR(KPI_TARGETS!$E$15,"Higher is better")</f>
        <v>Higher is better</v>
      </c>
      <c r="O1760" s="37">
        <f t="shared" ca="1" si="162"/>
        <v>0</v>
      </c>
      <c r="P1760" t="str">
        <f t="shared" ca="1" si="163"/>
        <v>Red</v>
      </c>
      <c r="Q1760" s="36">
        <f t="shared" ca="1" si="164"/>
        <v>-5</v>
      </c>
      <c r="R1760" s="36" t="str">
        <f>""</f>
        <v/>
      </c>
      <c r="S1760" s="36" t="str">
        <f>""</f>
        <v/>
      </c>
      <c r="T1760" s="36" t="str">
        <f>""</f>
        <v/>
      </c>
      <c r="U1760" s="36" t="str">
        <f>""</f>
        <v/>
      </c>
      <c r="V1760" s="36" t="str">
        <f>""</f>
        <v/>
      </c>
      <c r="W1760" s="36">
        <f t="shared" si="165"/>
        <v>1</v>
      </c>
      <c r="X1760" t="str">
        <f t="shared" si="166"/>
        <v>Inactive</v>
      </c>
      <c r="Y1760" t="str">
        <f>IF(MAIN!$H$3="Selected Year",IF(A1760=MAIN!$B$3,"Yes","No"),IF(MAIN!$H$3="Included Years",IF(D1760="Yes","Yes","No"),IF(C1760="Yes","Yes","No")))</f>
        <v>No</v>
      </c>
      <c r="Z1760" t="str">
        <f>IF(MAIN!$F$3="Project to Date",IF(AND(A1760&gt;=SETTINGS!$B$4,A1760&lt;MAIN!$B$3),"Yes",IF(AND(A1760=MAIN!$B$3,E1760&lt;=MAIN!$L$3),"Yes","No")),IF(OR(MAIN!$F$3="Full Year",MAIN!$D$3="All"),"Yes",IF(MAIN!$F$3="Monthly",IF(E1760=MAIN!$L$3,"Yes","No"),IF(E1760&lt;=MAIN!$L$3,"Yes","No"))))</f>
        <v>Yes</v>
      </c>
      <c r="AA1760" t="str">
        <f t="shared" si="167"/>
        <v>No</v>
      </c>
    </row>
    <row r="1761" spans="1:27" x14ac:dyDescent="0.3">
      <c r="A1761">
        <f>INDEX(SETTINGS!$A$15:$A$24,$B1761)</f>
        <v>2032</v>
      </c>
      <c r="B1761">
        <v>8</v>
      </c>
      <c r="C1761" t="str">
        <f>IF(AND(A1761&gt;=SETTINGS!$B$4,A1761&lt;=SETTINGS!$B$5),"Yes","No")</f>
        <v>No</v>
      </c>
      <c r="D1761" t="str">
        <f>IFERROR(INDEX(SETTINGS!$C$15:$C$24,MATCH(A1761,SETTINGS!$A$15:$A$24,0)),"No")</f>
        <v>No</v>
      </c>
      <c r="E1761">
        <v>9</v>
      </c>
      <c r="F1761" t="s">
        <v>42</v>
      </c>
      <c r="G1761">
        <v>214</v>
      </c>
      <c r="H1761" t="s">
        <v>105</v>
      </c>
      <c r="I1761" t="s">
        <v>22</v>
      </c>
      <c r="J1761" t="s">
        <v>25</v>
      </c>
      <c r="K1761" t="s">
        <v>3</v>
      </c>
      <c r="L1761" s="36">
        <f ca="1">IF(C1761&lt;&gt;"Yes",0,IF(A1761=2025,N('2025'!D214),IF(A1761=2026,N('2026'!D214),IF(A1761=2027,N('2027'!D214),IF(A1761=2028,N('2028'!D214),IF(A1761=2029,N('2029'!D214),IF(A1761=2030,N('2030'!D214),IF(A1761=2031,N('2031'!D214),IF(A1761=2032,N('2032'!D214),IF(A1761=2033,N('2033'!D214),IF(A1761=2034,N('2034'!D214),IFERROR(N(INDIRECT("'"&amp;A1761&amp;"'!D"&amp;G1761)),0))))))))))))</f>
        <v>0</v>
      </c>
      <c r="M1761" s="36">
        <f>IFERROR(IF(NOT(ISBLANK(KPI_TARGETS!$N$16)),KPI_TARGETS!$N$16,IF(NOT(ISBLANK(KPI_TARGETS!$F$16)),KPI_TARGETS!$F$16,"")),"")</f>
        <v>4</v>
      </c>
      <c r="N1761" s="36" t="str">
        <f>IFERROR(KPI_TARGETS!$E$16,"Higher is better")</f>
        <v>Higher is better</v>
      </c>
      <c r="O1761" s="37">
        <f t="shared" ca="1" si="162"/>
        <v>0</v>
      </c>
      <c r="P1761" t="str">
        <f t="shared" ca="1" si="163"/>
        <v>Red</v>
      </c>
      <c r="Q1761" s="36">
        <f t="shared" ca="1" si="164"/>
        <v>-4</v>
      </c>
      <c r="R1761" s="36" t="str">
        <f>""</f>
        <v/>
      </c>
      <c r="S1761" s="36" t="str">
        <f>""</f>
        <v/>
      </c>
      <c r="T1761" s="36" t="str">
        <f>""</f>
        <v/>
      </c>
      <c r="U1761" s="36" t="str">
        <f>""</f>
        <v/>
      </c>
      <c r="V1761" s="36" t="str">
        <f>""</f>
        <v/>
      </c>
      <c r="W1761" s="36">
        <f t="shared" si="165"/>
        <v>1</v>
      </c>
      <c r="X1761" t="str">
        <f t="shared" si="166"/>
        <v>Inactive</v>
      </c>
      <c r="Y1761" t="str">
        <f>IF(MAIN!$H$3="Selected Year",IF(A1761=MAIN!$B$3,"Yes","No"),IF(MAIN!$H$3="Included Years",IF(D1761="Yes","Yes","No"),IF(C1761="Yes","Yes","No")))</f>
        <v>No</v>
      </c>
      <c r="Z1761" t="str">
        <f>IF(MAIN!$F$3="Project to Date",IF(AND(A1761&gt;=SETTINGS!$B$4,A1761&lt;MAIN!$B$3),"Yes",IF(AND(A1761=MAIN!$B$3,E1761&lt;=MAIN!$L$3),"Yes","No")),IF(OR(MAIN!$F$3="Full Year",MAIN!$D$3="All"),"Yes",IF(MAIN!$F$3="Monthly",IF(E1761=MAIN!$L$3,"Yes","No"),IF(E1761&lt;=MAIN!$L$3,"Yes","No"))))</f>
        <v>Yes</v>
      </c>
      <c r="AA1761" t="str">
        <f t="shared" si="167"/>
        <v>No</v>
      </c>
    </row>
    <row r="1762" spans="1:27" x14ac:dyDescent="0.3">
      <c r="A1762">
        <f>INDEX(SETTINGS!$A$15:$A$24,$B1762)</f>
        <v>2032</v>
      </c>
      <c r="B1762">
        <v>8</v>
      </c>
      <c r="C1762" t="str">
        <f>IF(AND(A1762&gt;=SETTINGS!$B$4,A1762&lt;=SETTINGS!$B$5),"Yes","No")</f>
        <v>No</v>
      </c>
      <c r="D1762" t="str">
        <f>IFERROR(INDEX(SETTINGS!$C$15:$C$24,MATCH(A1762,SETTINGS!$A$15:$A$24,0)),"No")</f>
        <v>No</v>
      </c>
      <c r="E1762">
        <v>9</v>
      </c>
      <c r="F1762" t="s">
        <v>42</v>
      </c>
      <c r="G1762">
        <v>215</v>
      </c>
      <c r="H1762" t="s">
        <v>106</v>
      </c>
      <c r="I1762" t="s">
        <v>22</v>
      </c>
      <c r="J1762" t="s">
        <v>26</v>
      </c>
      <c r="K1762" t="s">
        <v>3</v>
      </c>
      <c r="L1762" s="36">
        <f ca="1">IF(C1762&lt;&gt;"Yes",0,IF(A1762=2025,N('2025'!D215),IF(A1762=2026,N('2026'!D215),IF(A1762=2027,N('2027'!D215),IF(A1762=2028,N('2028'!D215),IF(A1762=2029,N('2029'!D215),IF(A1762=2030,N('2030'!D215),IF(A1762=2031,N('2031'!D215),IF(A1762=2032,N('2032'!D215),IF(A1762=2033,N('2033'!D215),IF(A1762=2034,N('2034'!D215),IFERROR(N(INDIRECT("'"&amp;A1762&amp;"'!D"&amp;G1762)),0))))))))))))</f>
        <v>0</v>
      </c>
      <c r="M1762" s="36">
        <f>IFERROR(IF(NOT(ISBLANK(KPI_TARGETS!$N$17)),KPI_TARGETS!$N$17,IF(NOT(ISBLANK(KPI_TARGETS!$F$17)),KPI_TARGETS!$F$17,"")),"")</f>
        <v>12</v>
      </c>
      <c r="N1762" s="36" t="str">
        <f>IFERROR(KPI_TARGETS!$E$17,"Higher is better")</f>
        <v>Higher is better</v>
      </c>
      <c r="O1762" s="37">
        <f t="shared" ca="1" si="162"/>
        <v>0</v>
      </c>
      <c r="P1762" t="str">
        <f t="shared" ca="1" si="163"/>
        <v>Red</v>
      </c>
      <c r="Q1762" s="36">
        <f t="shared" ca="1" si="164"/>
        <v>-12</v>
      </c>
      <c r="R1762" s="36" t="str">
        <f>""</f>
        <v/>
      </c>
      <c r="S1762" s="36" t="str">
        <f>""</f>
        <v/>
      </c>
      <c r="T1762" s="36" t="str">
        <f>""</f>
        <v/>
      </c>
      <c r="U1762" s="36" t="str">
        <f>""</f>
        <v/>
      </c>
      <c r="V1762" s="36" t="str">
        <f>""</f>
        <v/>
      </c>
      <c r="W1762" s="36">
        <f t="shared" si="165"/>
        <v>1</v>
      </c>
      <c r="X1762" t="str">
        <f t="shared" si="166"/>
        <v>Inactive</v>
      </c>
      <c r="Y1762" t="str">
        <f>IF(MAIN!$H$3="Selected Year",IF(A1762=MAIN!$B$3,"Yes","No"),IF(MAIN!$H$3="Included Years",IF(D1762="Yes","Yes","No"),IF(C1762="Yes","Yes","No")))</f>
        <v>No</v>
      </c>
      <c r="Z1762" t="str">
        <f>IF(MAIN!$F$3="Project to Date",IF(AND(A1762&gt;=SETTINGS!$B$4,A1762&lt;MAIN!$B$3),"Yes",IF(AND(A1762=MAIN!$B$3,E1762&lt;=MAIN!$L$3),"Yes","No")),IF(OR(MAIN!$F$3="Full Year",MAIN!$D$3="All"),"Yes",IF(MAIN!$F$3="Monthly",IF(E1762=MAIN!$L$3,"Yes","No"),IF(E1762&lt;=MAIN!$L$3,"Yes","No"))))</f>
        <v>Yes</v>
      </c>
      <c r="AA1762" t="str">
        <f t="shared" si="167"/>
        <v>No</v>
      </c>
    </row>
    <row r="1763" spans="1:27" x14ac:dyDescent="0.3">
      <c r="A1763">
        <f>INDEX(SETTINGS!$A$15:$A$24,$B1763)</f>
        <v>2032</v>
      </c>
      <c r="B1763">
        <v>8</v>
      </c>
      <c r="C1763" t="str">
        <f>IF(AND(A1763&gt;=SETTINGS!$B$4,A1763&lt;=SETTINGS!$B$5),"Yes","No")</f>
        <v>No</v>
      </c>
      <c r="D1763" t="str">
        <f>IFERROR(INDEX(SETTINGS!$C$15:$C$24,MATCH(A1763,SETTINGS!$A$15:$A$24,0)),"No")</f>
        <v>No</v>
      </c>
      <c r="E1763">
        <v>9</v>
      </c>
      <c r="F1763" t="s">
        <v>42</v>
      </c>
      <c r="G1763">
        <v>216</v>
      </c>
      <c r="H1763" t="s">
        <v>107</v>
      </c>
      <c r="I1763" t="s">
        <v>22</v>
      </c>
      <c r="J1763" t="s">
        <v>27</v>
      </c>
      <c r="K1763" t="s">
        <v>3</v>
      </c>
      <c r="L1763" s="36">
        <f ca="1">IF(C1763&lt;&gt;"Yes",0,IF(A1763=2025,N('2025'!D216),IF(A1763=2026,N('2026'!D216),IF(A1763=2027,N('2027'!D216),IF(A1763=2028,N('2028'!D216),IF(A1763=2029,N('2029'!D216),IF(A1763=2030,N('2030'!D216),IF(A1763=2031,N('2031'!D216),IF(A1763=2032,N('2032'!D216),IF(A1763=2033,N('2033'!D216),IF(A1763=2034,N('2034'!D216),IFERROR(N(INDIRECT("'"&amp;A1763&amp;"'!D"&amp;G1763)),0))))))))))))</f>
        <v>0</v>
      </c>
      <c r="M1763" s="36">
        <f>IFERROR(IF(NOT(ISBLANK(KPI_TARGETS!$N$18)),KPI_TARGETS!$N$18,IF(NOT(ISBLANK(KPI_TARGETS!$F$18)),KPI_TARGETS!$F$18,"")),"")</f>
        <v>4</v>
      </c>
      <c r="N1763" s="36" t="str">
        <f>IFERROR(KPI_TARGETS!$E$18,"Higher is better")</f>
        <v>Higher is better</v>
      </c>
      <c r="O1763" s="37">
        <f t="shared" ca="1" si="162"/>
        <v>0</v>
      </c>
      <c r="P1763" t="str">
        <f t="shared" ca="1" si="163"/>
        <v>Red</v>
      </c>
      <c r="Q1763" s="36">
        <f t="shared" ca="1" si="164"/>
        <v>-4</v>
      </c>
      <c r="R1763" s="36" t="str">
        <f>""</f>
        <v/>
      </c>
      <c r="S1763" s="36" t="str">
        <f>""</f>
        <v/>
      </c>
      <c r="T1763" s="36" t="str">
        <f>""</f>
        <v/>
      </c>
      <c r="U1763" s="36" t="str">
        <f>""</f>
        <v/>
      </c>
      <c r="V1763" s="36" t="str">
        <f>""</f>
        <v/>
      </c>
      <c r="W1763" s="36">
        <f t="shared" si="165"/>
        <v>1</v>
      </c>
      <c r="X1763" t="str">
        <f t="shared" si="166"/>
        <v>Inactive</v>
      </c>
      <c r="Y1763" t="str">
        <f>IF(MAIN!$H$3="Selected Year",IF(A1763=MAIN!$B$3,"Yes","No"),IF(MAIN!$H$3="Included Years",IF(D1763="Yes","Yes","No"),IF(C1763="Yes","Yes","No")))</f>
        <v>No</v>
      </c>
      <c r="Z1763" t="str">
        <f>IF(MAIN!$F$3="Project to Date",IF(AND(A1763&gt;=SETTINGS!$B$4,A1763&lt;MAIN!$B$3),"Yes",IF(AND(A1763=MAIN!$B$3,E1763&lt;=MAIN!$L$3),"Yes","No")),IF(OR(MAIN!$F$3="Full Year",MAIN!$D$3="All"),"Yes",IF(MAIN!$F$3="Monthly",IF(E1763=MAIN!$L$3,"Yes","No"),IF(E1763&lt;=MAIN!$L$3,"Yes","No"))))</f>
        <v>Yes</v>
      </c>
      <c r="AA1763" t="str">
        <f t="shared" si="167"/>
        <v>No</v>
      </c>
    </row>
    <row r="1764" spans="1:27" x14ac:dyDescent="0.3">
      <c r="A1764">
        <f>INDEX(SETTINGS!$A$15:$A$24,$B1764)</f>
        <v>2032</v>
      </c>
      <c r="B1764">
        <v>8</v>
      </c>
      <c r="C1764" t="str">
        <f>IF(AND(A1764&gt;=SETTINGS!$B$4,A1764&lt;=SETTINGS!$B$5),"Yes","No")</f>
        <v>No</v>
      </c>
      <c r="D1764" t="str">
        <f>IFERROR(INDEX(SETTINGS!$C$15:$C$24,MATCH(A1764,SETTINGS!$A$15:$A$24,0)),"No")</f>
        <v>No</v>
      </c>
      <c r="E1764">
        <v>9</v>
      </c>
      <c r="F1764" t="s">
        <v>42</v>
      </c>
      <c r="G1764">
        <v>217</v>
      </c>
      <c r="H1764" t="s">
        <v>108</v>
      </c>
      <c r="I1764" t="s">
        <v>22</v>
      </c>
      <c r="J1764" t="s">
        <v>28</v>
      </c>
      <c r="K1764" t="s">
        <v>3</v>
      </c>
      <c r="L1764" s="36">
        <f ca="1">IF(C1764&lt;&gt;"Yes",0,IF(A1764=2025,N('2025'!D217),IF(A1764=2026,N('2026'!D217),IF(A1764=2027,N('2027'!D217),IF(A1764=2028,N('2028'!D217),IF(A1764=2029,N('2029'!D217),IF(A1764=2030,N('2030'!D217),IF(A1764=2031,N('2031'!D217),IF(A1764=2032,N('2032'!D217),IF(A1764=2033,N('2033'!D217),IF(A1764=2034,N('2034'!D217),IFERROR(N(INDIRECT("'"&amp;A1764&amp;"'!D"&amp;G1764)),0))))))))))))</f>
        <v>0</v>
      </c>
      <c r="M1764" s="36">
        <f>IFERROR(IF(NOT(ISBLANK(KPI_TARGETS!$N$19)),KPI_TARGETS!$N$19,IF(NOT(ISBLANK(KPI_TARGETS!$F$19)),KPI_TARGETS!$F$19,"")),"")</f>
        <v>16</v>
      </c>
      <c r="N1764" s="36" t="str">
        <f>IFERROR(KPI_TARGETS!$E$19,"Higher is better")</f>
        <v>Higher is better</v>
      </c>
      <c r="O1764" s="37">
        <f t="shared" ca="1" si="162"/>
        <v>0</v>
      </c>
      <c r="P1764" t="str">
        <f t="shared" ca="1" si="163"/>
        <v>Red</v>
      </c>
      <c r="Q1764" s="36">
        <f t="shared" ca="1" si="164"/>
        <v>-16</v>
      </c>
      <c r="R1764" s="36" t="str">
        <f>""</f>
        <v/>
      </c>
      <c r="S1764" s="36" t="str">
        <f>""</f>
        <v/>
      </c>
      <c r="T1764" s="36" t="str">
        <f>""</f>
        <v/>
      </c>
      <c r="U1764" s="36" t="str">
        <f>""</f>
        <v/>
      </c>
      <c r="V1764" s="36" t="str">
        <f>""</f>
        <v/>
      </c>
      <c r="W1764" s="36">
        <f t="shared" si="165"/>
        <v>1</v>
      </c>
      <c r="X1764" t="str">
        <f t="shared" si="166"/>
        <v>Inactive</v>
      </c>
      <c r="Y1764" t="str">
        <f>IF(MAIN!$H$3="Selected Year",IF(A1764=MAIN!$B$3,"Yes","No"),IF(MAIN!$H$3="Included Years",IF(D1764="Yes","Yes","No"),IF(C1764="Yes","Yes","No")))</f>
        <v>No</v>
      </c>
      <c r="Z1764" t="str">
        <f>IF(MAIN!$F$3="Project to Date",IF(AND(A1764&gt;=SETTINGS!$B$4,A1764&lt;MAIN!$B$3),"Yes",IF(AND(A1764=MAIN!$B$3,E1764&lt;=MAIN!$L$3),"Yes","No")),IF(OR(MAIN!$F$3="Full Year",MAIN!$D$3="All"),"Yes",IF(MAIN!$F$3="Monthly",IF(E1764=MAIN!$L$3,"Yes","No"),IF(E1764&lt;=MAIN!$L$3,"Yes","No"))))</f>
        <v>Yes</v>
      </c>
      <c r="AA1764" t="str">
        <f t="shared" si="167"/>
        <v>No</v>
      </c>
    </row>
    <row r="1765" spans="1:27" x14ac:dyDescent="0.3">
      <c r="A1765">
        <f>INDEX(SETTINGS!$A$15:$A$24,$B1765)</f>
        <v>2032</v>
      </c>
      <c r="B1765">
        <v>8</v>
      </c>
      <c r="C1765" t="str">
        <f>IF(AND(A1765&gt;=SETTINGS!$B$4,A1765&lt;=SETTINGS!$B$5),"Yes","No")</f>
        <v>No</v>
      </c>
      <c r="D1765" t="str">
        <f>IFERROR(INDEX(SETTINGS!$C$15:$C$24,MATCH(A1765,SETTINGS!$A$15:$A$24,0)),"No")</f>
        <v>No</v>
      </c>
      <c r="E1765">
        <v>9</v>
      </c>
      <c r="F1765" t="s">
        <v>42</v>
      </c>
      <c r="G1765">
        <v>218</v>
      </c>
      <c r="H1765" t="s">
        <v>109</v>
      </c>
      <c r="I1765" t="s">
        <v>22</v>
      </c>
      <c r="J1765" t="s">
        <v>29</v>
      </c>
      <c r="K1765" t="s">
        <v>3</v>
      </c>
      <c r="L1765" s="36">
        <f ca="1">IF(C1765&lt;&gt;"Yes",0,IF(A1765=2025,N('2025'!D218),IF(A1765=2026,N('2026'!D218),IF(A1765=2027,N('2027'!D218),IF(A1765=2028,N('2028'!D218),IF(A1765=2029,N('2029'!D218),IF(A1765=2030,N('2030'!D218),IF(A1765=2031,N('2031'!D218),IF(A1765=2032,N('2032'!D218),IF(A1765=2033,N('2033'!D218),IF(A1765=2034,N('2034'!D218),IFERROR(N(INDIRECT("'"&amp;A1765&amp;"'!D"&amp;G1765)),0))))))))))))</f>
        <v>0</v>
      </c>
      <c r="M1765" s="36">
        <f>IFERROR(IF(NOT(ISBLANK(KPI_TARGETS!$N$20)),KPI_TARGETS!$N$20,IF(NOT(ISBLANK(KPI_TARGETS!$F$20)),KPI_TARGETS!$F$20,"")),"")</f>
        <v>1</v>
      </c>
      <c r="N1765" s="36" t="str">
        <f>IFERROR(KPI_TARGETS!$E$20,"Higher is better")</f>
        <v>Higher is better</v>
      </c>
      <c r="O1765" s="37">
        <f t="shared" ca="1" si="162"/>
        <v>0</v>
      </c>
      <c r="P1765" t="str">
        <f t="shared" ca="1" si="163"/>
        <v>Red</v>
      </c>
      <c r="Q1765" s="36">
        <f t="shared" ca="1" si="164"/>
        <v>-1</v>
      </c>
      <c r="R1765" s="36" t="str">
        <f>""</f>
        <v/>
      </c>
      <c r="S1765" s="36" t="str">
        <f>""</f>
        <v/>
      </c>
      <c r="T1765" s="36" t="str">
        <f>""</f>
        <v/>
      </c>
      <c r="U1765" s="36" t="str">
        <f>""</f>
        <v/>
      </c>
      <c r="V1765" s="36" t="str">
        <f>""</f>
        <v/>
      </c>
      <c r="W1765" s="36">
        <f t="shared" si="165"/>
        <v>1</v>
      </c>
      <c r="X1765" t="str">
        <f t="shared" si="166"/>
        <v>Inactive</v>
      </c>
      <c r="Y1765" t="str">
        <f>IF(MAIN!$H$3="Selected Year",IF(A1765=MAIN!$B$3,"Yes","No"),IF(MAIN!$H$3="Included Years",IF(D1765="Yes","Yes","No"),IF(C1765="Yes","Yes","No")))</f>
        <v>No</v>
      </c>
      <c r="Z1765" t="str">
        <f>IF(MAIN!$F$3="Project to Date",IF(AND(A1765&gt;=SETTINGS!$B$4,A1765&lt;MAIN!$B$3),"Yes",IF(AND(A1765=MAIN!$B$3,E1765&lt;=MAIN!$L$3),"Yes","No")),IF(OR(MAIN!$F$3="Full Year",MAIN!$D$3="All"),"Yes",IF(MAIN!$F$3="Monthly",IF(E1765=MAIN!$L$3,"Yes","No"),IF(E1765&lt;=MAIN!$L$3,"Yes","No"))))</f>
        <v>Yes</v>
      </c>
      <c r="AA1765" t="str">
        <f t="shared" si="167"/>
        <v>No</v>
      </c>
    </row>
    <row r="1766" spans="1:27" x14ac:dyDescent="0.3">
      <c r="A1766">
        <f>INDEX(SETTINGS!$A$15:$A$24,$B1766)</f>
        <v>2032</v>
      </c>
      <c r="B1766">
        <v>8</v>
      </c>
      <c r="C1766" t="str">
        <f>IF(AND(A1766&gt;=SETTINGS!$B$4,A1766&lt;=SETTINGS!$B$5),"Yes","No")</f>
        <v>No</v>
      </c>
      <c r="D1766" t="str">
        <f>IFERROR(INDEX(SETTINGS!$C$15:$C$24,MATCH(A1766,SETTINGS!$A$15:$A$24,0)),"No")</f>
        <v>No</v>
      </c>
      <c r="E1766">
        <v>9</v>
      </c>
      <c r="F1766" t="s">
        <v>42</v>
      </c>
      <c r="G1766">
        <v>220</v>
      </c>
      <c r="H1766" t="s">
        <v>110</v>
      </c>
      <c r="I1766" t="s">
        <v>30</v>
      </c>
      <c r="J1766" t="s">
        <v>31</v>
      </c>
      <c r="K1766" t="s">
        <v>3</v>
      </c>
      <c r="L1766" s="36">
        <f ca="1">IF(C1766&lt;&gt;"Yes",0,IF(A1766=2025,N('2025'!D220),IF(A1766=2026,N('2026'!D220),IF(A1766=2027,N('2027'!D220),IF(A1766=2028,N('2028'!D220),IF(A1766=2029,N('2029'!D220),IF(A1766=2030,N('2030'!D220),IF(A1766=2031,N('2031'!D220),IF(A1766=2032,N('2032'!D220),IF(A1766=2033,N('2033'!D220),IF(A1766=2034,N('2034'!D220),IFERROR(N(INDIRECT("'"&amp;A1766&amp;"'!D"&amp;G1766)),0))))))))))))</f>
        <v>0</v>
      </c>
      <c r="M1766" s="36">
        <f>IFERROR(IF(NOT(ISBLANK(KPI_TARGETS!$N$21)),KPI_TARGETS!$N$21,IF(NOT(ISBLANK(KPI_TARGETS!$F$21)),KPI_TARGETS!$F$21,"")),"")</f>
        <v>0</v>
      </c>
      <c r="N1766" s="36" t="str">
        <f>IFERROR(KPI_TARGETS!$E$21,"Higher is better")</f>
        <v>Lower is better</v>
      </c>
      <c r="O1766" s="37">
        <f t="shared" ca="1" si="162"/>
        <v>1</v>
      </c>
      <c r="P1766" t="str">
        <f t="shared" ca="1" si="163"/>
        <v>Green</v>
      </c>
      <c r="Q1766" s="36">
        <f t="shared" ca="1" si="164"/>
        <v>0</v>
      </c>
      <c r="R1766" s="36" t="str">
        <f>""</f>
        <v/>
      </c>
      <c r="S1766" s="36" t="str">
        <f>""</f>
        <v/>
      </c>
      <c r="T1766" s="36" t="str">
        <f>""</f>
        <v/>
      </c>
      <c r="U1766" s="36" t="str">
        <f>""</f>
        <v/>
      </c>
      <c r="V1766" s="36" t="str">
        <f>""</f>
        <v/>
      </c>
      <c r="W1766" s="36">
        <f t="shared" si="165"/>
        <v>1</v>
      </c>
      <c r="X1766" t="str">
        <f t="shared" si="166"/>
        <v>Inactive</v>
      </c>
      <c r="Y1766" t="str">
        <f>IF(MAIN!$H$3="Selected Year",IF(A1766=MAIN!$B$3,"Yes","No"),IF(MAIN!$H$3="Included Years",IF(D1766="Yes","Yes","No"),IF(C1766="Yes","Yes","No")))</f>
        <v>No</v>
      </c>
      <c r="Z1766" t="str">
        <f>IF(MAIN!$F$3="Project to Date",IF(AND(A1766&gt;=SETTINGS!$B$4,A1766&lt;MAIN!$B$3),"Yes",IF(AND(A1766=MAIN!$B$3,E1766&lt;=MAIN!$L$3),"Yes","No")),IF(OR(MAIN!$F$3="Full Year",MAIN!$D$3="All"),"Yes",IF(MAIN!$F$3="Monthly",IF(E1766=MAIN!$L$3,"Yes","No"),IF(E1766&lt;=MAIN!$L$3,"Yes","No"))))</f>
        <v>Yes</v>
      </c>
      <c r="AA1766" t="str">
        <f t="shared" si="167"/>
        <v>No</v>
      </c>
    </row>
    <row r="1767" spans="1:27" x14ac:dyDescent="0.3">
      <c r="A1767">
        <f>INDEX(SETTINGS!$A$15:$A$24,$B1767)</f>
        <v>2032</v>
      </c>
      <c r="B1767">
        <v>8</v>
      </c>
      <c r="C1767" t="str">
        <f>IF(AND(A1767&gt;=SETTINGS!$B$4,A1767&lt;=SETTINGS!$B$5),"Yes","No")</f>
        <v>No</v>
      </c>
      <c r="D1767" t="str">
        <f>IFERROR(INDEX(SETTINGS!$C$15:$C$24,MATCH(A1767,SETTINGS!$A$15:$A$24,0)),"No")</f>
        <v>No</v>
      </c>
      <c r="E1767">
        <v>9</v>
      </c>
      <c r="F1767" t="s">
        <v>42</v>
      </c>
      <c r="G1767">
        <v>221</v>
      </c>
      <c r="H1767" t="s">
        <v>111</v>
      </c>
      <c r="I1767" t="s">
        <v>30</v>
      </c>
      <c r="J1767" t="s">
        <v>32</v>
      </c>
      <c r="K1767" t="s">
        <v>3</v>
      </c>
      <c r="L1767" s="36">
        <f ca="1">IF(C1767&lt;&gt;"Yes",0,IF(A1767=2025,N('2025'!D221),IF(A1767=2026,N('2026'!D221),IF(A1767=2027,N('2027'!D221),IF(A1767=2028,N('2028'!D221),IF(A1767=2029,N('2029'!D221),IF(A1767=2030,N('2030'!D221),IF(A1767=2031,N('2031'!D221),IF(A1767=2032,N('2032'!D221),IF(A1767=2033,N('2033'!D221),IF(A1767=2034,N('2034'!D221),IFERROR(N(INDIRECT("'"&amp;A1767&amp;"'!D"&amp;G1767)),0))))))))))))</f>
        <v>0</v>
      </c>
      <c r="M1767" s="36">
        <f>IFERROR(IF(NOT(ISBLANK(KPI_TARGETS!$N$22)),KPI_TARGETS!$N$22,IF(NOT(ISBLANK(KPI_TARGETS!$F$22)),KPI_TARGETS!$F$22,"")),"")</f>
        <v>1</v>
      </c>
      <c r="N1767" s="36" t="str">
        <f>IFERROR(KPI_TARGETS!$E$22,"Higher is better")</f>
        <v>Higher is better</v>
      </c>
      <c r="O1767" s="37">
        <f t="shared" ca="1" si="162"/>
        <v>0</v>
      </c>
      <c r="P1767" t="str">
        <f t="shared" ca="1" si="163"/>
        <v>Red</v>
      </c>
      <c r="Q1767" s="36">
        <f t="shared" ca="1" si="164"/>
        <v>-1</v>
      </c>
      <c r="R1767" s="36" t="str">
        <f>""</f>
        <v/>
      </c>
      <c r="S1767" s="36" t="str">
        <f>""</f>
        <v/>
      </c>
      <c r="T1767" s="36" t="str">
        <f>""</f>
        <v/>
      </c>
      <c r="U1767" s="36" t="str">
        <f>""</f>
        <v/>
      </c>
      <c r="V1767" s="36" t="str">
        <f>""</f>
        <v/>
      </c>
      <c r="W1767" s="36">
        <f t="shared" si="165"/>
        <v>1</v>
      </c>
      <c r="X1767" t="str">
        <f t="shared" si="166"/>
        <v>Inactive</v>
      </c>
      <c r="Y1767" t="str">
        <f>IF(MAIN!$H$3="Selected Year",IF(A1767=MAIN!$B$3,"Yes","No"),IF(MAIN!$H$3="Included Years",IF(D1767="Yes","Yes","No"),IF(C1767="Yes","Yes","No")))</f>
        <v>No</v>
      </c>
      <c r="Z1767" t="str">
        <f>IF(MAIN!$F$3="Project to Date",IF(AND(A1767&gt;=SETTINGS!$B$4,A1767&lt;MAIN!$B$3),"Yes",IF(AND(A1767=MAIN!$B$3,E1767&lt;=MAIN!$L$3),"Yes","No")),IF(OR(MAIN!$F$3="Full Year",MAIN!$D$3="All"),"Yes",IF(MAIN!$F$3="Monthly",IF(E1767=MAIN!$L$3,"Yes","No"),IF(E1767&lt;=MAIN!$L$3,"Yes","No"))))</f>
        <v>Yes</v>
      </c>
      <c r="AA1767" t="str">
        <f t="shared" si="167"/>
        <v>No</v>
      </c>
    </row>
    <row r="1768" spans="1:27" x14ac:dyDescent="0.3">
      <c r="A1768">
        <f>INDEX(SETTINGS!$A$15:$A$24,$B1768)</f>
        <v>2032</v>
      </c>
      <c r="B1768">
        <v>8</v>
      </c>
      <c r="C1768" t="str">
        <f>IF(AND(A1768&gt;=SETTINGS!$B$4,A1768&lt;=SETTINGS!$B$5),"Yes","No")</f>
        <v>No</v>
      </c>
      <c r="D1768" t="str">
        <f>IFERROR(INDEX(SETTINGS!$C$15:$C$24,MATCH(A1768,SETTINGS!$A$15:$A$24,0)),"No")</f>
        <v>No</v>
      </c>
      <c r="E1768">
        <v>9</v>
      </c>
      <c r="F1768" t="s">
        <v>42</v>
      </c>
      <c r="G1768">
        <v>222</v>
      </c>
      <c r="H1768" t="s">
        <v>112</v>
      </c>
      <c r="I1768" t="s">
        <v>30</v>
      </c>
      <c r="J1768" t="s">
        <v>33</v>
      </c>
      <c r="K1768" t="s">
        <v>34</v>
      </c>
      <c r="L1768" s="36">
        <f ca="1">IF(C1768&lt;&gt;"Yes",0,IF(A1768=2025,N('2025'!D222),IF(A1768=2026,N('2026'!D222),IF(A1768=2027,N('2027'!D222),IF(A1768=2028,N('2028'!D222),IF(A1768=2029,N('2029'!D222),IF(A1768=2030,N('2030'!D222),IF(A1768=2031,N('2031'!D222),IF(A1768=2032,N('2032'!D222),IF(A1768=2033,N('2033'!D222),IF(A1768=2034,N('2034'!D222),IFERROR(N(INDIRECT("'"&amp;A1768&amp;"'!D"&amp;G1768)),0))))))))))))</f>
        <v>0</v>
      </c>
      <c r="M1768" s="36">
        <f>IFERROR(IF(NOT(ISBLANK(KPI_TARGETS!$N$23)),KPI_TARGETS!$N$23,IF(NOT(ISBLANK(KPI_TARGETS!$F$23)),KPI_TARGETS!$F$23,"")),"")</f>
        <v>1</v>
      </c>
      <c r="N1768" s="36" t="str">
        <f>IFERROR(KPI_TARGETS!$E$23,"Higher is better")</f>
        <v>Higher is better</v>
      </c>
      <c r="O1768" s="37">
        <f t="shared" ca="1" si="162"/>
        <v>0</v>
      </c>
      <c r="P1768" t="str">
        <f t="shared" ca="1" si="163"/>
        <v>Red</v>
      </c>
      <c r="Q1768" s="36">
        <f t="shared" ca="1" si="164"/>
        <v>-1</v>
      </c>
      <c r="R1768" s="36" t="str">
        <f>""</f>
        <v/>
      </c>
      <c r="S1768" s="36" t="str">
        <f>""</f>
        <v/>
      </c>
      <c r="T1768" s="36" t="str">
        <f>""</f>
        <v/>
      </c>
      <c r="U1768" s="36" t="str">
        <f>""</f>
        <v/>
      </c>
      <c r="V1768" s="36" t="str">
        <f>""</f>
        <v/>
      </c>
      <c r="W1768" s="36">
        <f t="shared" si="165"/>
        <v>1</v>
      </c>
      <c r="X1768" t="str">
        <f t="shared" si="166"/>
        <v>Inactive</v>
      </c>
      <c r="Y1768" t="str">
        <f>IF(MAIN!$H$3="Selected Year",IF(A1768=MAIN!$B$3,"Yes","No"),IF(MAIN!$H$3="Included Years",IF(D1768="Yes","Yes","No"),IF(C1768="Yes","Yes","No")))</f>
        <v>No</v>
      </c>
      <c r="Z1768" t="str">
        <f>IF(MAIN!$F$3="Project to Date",IF(AND(A1768&gt;=SETTINGS!$B$4,A1768&lt;MAIN!$B$3),"Yes",IF(AND(A1768=MAIN!$B$3,E1768&lt;=MAIN!$L$3),"Yes","No")),IF(OR(MAIN!$F$3="Full Year",MAIN!$D$3="All"),"Yes",IF(MAIN!$F$3="Monthly",IF(E1768=MAIN!$L$3,"Yes","No"),IF(E1768&lt;=MAIN!$L$3,"Yes","No"))))</f>
        <v>Yes</v>
      </c>
      <c r="AA1768" t="str">
        <f t="shared" si="167"/>
        <v>No</v>
      </c>
    </row>
    <row r="1769" spans="1:27" x14ac:dyDescent="0.3">
      <c r="A1769">
        <f>INDEX(SETTINGS!$A$15:$A$24,$B1769)</f>
        <v>2032</v>
      </c>
      <c r="B1769">
        <v>8</v>
      </c>
      <c r="C1769" t="str">
        <f>IF(AND(A1769&gt;=SETTINGS!$B$4,A1769&lt;=SETTINGS!$B$5),"Yes","No")</f>
        <v>No</v>
      </c>
      <c r="D1769" t="str">
        <f>IFERROR(INDEX(SETTINGS!$C$15:$C$24,MATCH(A1769,SETTINGS!$A$15:$A$24,0)),"No")</f>
        <v>No</v>
      </c>
      <c r="E1769">
        <v>10</v>
      </c>
      <c r="F1769" t="s">
        <v>43</v>
      </c>
      <c r="G1769">
        <v>225</v>
      </c>
      <c r="H1769" t="s">
        <v>88</v>
      </c>
      <c r="I1769" t="s">
        <v>89</v>
      </c>
      <c r="J1769" t="s">
        <v>10</v>
      </c>
      <c r="K1769" t="s">
        <v>3</v>
      </c>
      <c r="L1769" s="36">
        <f ca="1">IF(C1769&lt;&gt;"Yes",0,IF(A1769=2025,N('2025'!D225),IF(A1769=2026,N('2026'!D225),IF(A1769=2027,N('2027'!D225),IF(A1769=2028,N('2028'!D225),IF(A1769=2029,N('2029'!D225),IF(A1769=2030,N('2030'!D225),IF(A1769=2031,N('2031'!D225),IF(A1769=2032,N('2032'!D225),IF(A1769=2033,N('2033'!D225),IF(A1769=2034,N('2034'!D225),IFERROR(N(INDIRECT("'"&amp;A1769&amp;"'!D"&amp;G1769)),0))))))))))))</f>
        <v>0</v>
      </c>
      <c r="M1769" s="36">
        <f>IFERROR(IF(NOT(ISBLANK(KPI_TARGETS!$N$5)),KPI_TARGETS!$N$5,IF(NOT(ISBLANK(KPI_TARGETS!$F$5)),KPI_TARGETS!$F$5,"")),"")</f>
        <v>104</v>
      </c>
      <c r="N1769" s="36" t="str">
        <f>IFERROR(KPI_TARGETS!$E$5,"Higher is better")</f>
        <v>Higher is better</v>
      </c>
      <c r="O1769" s="37">
        <f t="shared" ca="1" si="162"/>
        <v>0</v>
      </c>
      <c r="P1769" t="str">
        <f t="shared" ca="1" si="163"/>
        <v>Red</v>
      </c>
      <c r="Q1769" s="36">
        <f t="shared" ca="1" si="164"/>
        <v>-104</v>
      </c>
      <c r="R1769" s="36" t="str">
        <f>""</f>
        <v/>
      </c>
      <c r="S1769" s="36" t="str">
        <f>""</f>
        <v/>
      </c>
      <c r="T1769" s="36" t="str">
        <f>""</f>
        <v/>
      </c>
      <c r="U1769" s="36" t="str">
        <f>""</f>
        <v/>
      </c>
      <c r="V1769" s="36" t="str">
        <f>""</f>
        <v/>
      </c>
      <c r="W1769" s="36">
        <f t="shared" si="165"/>
        <v>1</v>
      </c>
      <c r="X1769" t="str">
        <f t="shared" si="166"/>
        <v>Inactive</v>
      </c>
      <c r="Y1769" t="str">
        <f>IF(MAIN!$H$3="Selected Year",IF(A1769=MAIN!$B$3,"Yes","No"),IF(MAIN!$H$3="Included Years",IF(D1769="Yes","Yes","No"),IF(C1769="Yes","Yes","No")))</f>
        <v>No</v>
      </c>
      <c r="Z1769" t="str">
        <f>IF(MAIN!$F$3="Project to Date",IF(AND(A1769&gt;=SETTINGS!$B$4,A1769&lt;MAIN!$B$3),"Yes",IF(AND(A1769=MAIN!$B$3,E1769&lt;=MAIN!$L$3),"Yes","No")),IF(OR(MAIN!$F$3="Full Year",MAIN!$D$3="All"),"Yes",IF(MAIN!$F$3="Monthly",IF(E1769=MAIN!$L$3,"Yes","No"),IF(E1769&lt;=MAIN!$L$3,"Yes","No"))))</f>
        <v>Yes</v>
      </c>
      <c r="AA1769" t="str">
        <f t="shared" si="167"/>
        <v>No</v>
      </c>
    </row>
    <row r="1770" spans="1:27" x14ac:dyDescent="0.3">
      <c r="A1770">
        <f>INDEX(SETTINGS!$A$15:$A$24,$B1770)</f>
        <v>2032</v>
      </c>
      <c r="B1770">
        <v>8</v>
      </c>
      <c r="C1770" t="str">
        <f>IF(AND(A1770&gt;=SETTINGS!$B$4,A1770&lt;=SETTINGS!$B$5),"Yes","No")</f>
        <v>No</v>
      </c>
      <c r="D1770" t="str">
        <f>IFERROR(INDEX(SETTINGS!$C$15:$C$24,MATCH(A1770,SETTINGS!$A$15:$A$24,0)),"No")</f>
        <v>No</v>
      </c>
      <c r="E1770">
        <v>10</v>
      </c>
      <c r="F1770" t="s">
        <v>43</v>
      </c>
      <c r="G1770">
        <v>226</v>
      </c>
      <c r="H1770" t="s">
        <v>91</v>
      </c>
      <c r="I1770" t="s">
        <v>89</v>
      </c>
      <c r="J1770" t="s">
        <v>11</v>
      </c>
      <c r="K1770" t="s">
        <v>12</v>
      </c>
      <c r="L1770" s="36">
        <f ca="1">IF(C1770&lt;&gt;"Yes",0,IF(A1770=2025,N('2025'!D226),IF(A1770=2026,N('2026'!D226),IF(A1770=2027,N('2027'!D226),IF(A1770=2028,N('2028'!D226),IF(A1770=2029,N('2029'!D226),IF(A1770=2030,N('2030'!D226),IF(A1770=2031,N('2031'!D226),IF(A1770=2032,N('2032'!D226),IF(A1770=2033,N('2033'!D226),IF(A1770=2034,N('2034'!D226),IFERROR(N(INDIRECT("'"&amp;A1770&amp;"'!D"&amp;G1770)),0))))))))))))</f>
        <v>0</v>
      </c>
      <c r="M1770" s="36">
        <f>IFERROR(IF(NOT(ISBLANK(KPI_TARGETS!$N$6)),KPI_TARGETS!$N$6,IF(NOT(ISBLANK(KPI_TARGETS!$F$6)),KPI_TARGETS!$F$6,"")),"")</f>
        <v>4000</v>
      </c>
      <c r="N1770" s="36" t="str">
        <f>IFERROR(KPI_TARGETS!$E$6,"Higher is better")</f>
        <v>Higher is better</v>
      </c>
      <c r="O1770" s="37">
        <f t="shared" ca="1" si="162"/>
        <v>0</v>
      </c>
      <c r="P1770" t="str">
        <f t="shared" ca="1" si="163"/>
        <v>Red</v>
      </c>
      <c r="Q1770" s="36">
        <f t="shared" ca="1" si="164"/>
        <v>-4000</v>
      </c>
      <c r="R1770" s="36" t="str">
        <f>""</f>
        <v/>
      </c>
      <c r="S1770" s="36" t="str">
        <f>""</f>
        <v/>
      </c>
      <c r="T1770" s="36" t="str">
        <f>""</f>
        <v/>
      </c>
      <c r="U1770" s="36" t="str">
        <f>""</f>
        <v/>
      </c>
      <c r="V1770" s="36" t="str">
        <f>""</f>
        <v/>
      </c>
      <c r="W1770" s="36">
        <f t="shared" si="165"/>
        <v>1</v>
      </c>
      <c r="X1770" t="str">
        <f t="shared" si="166"/>
        <v>Inactive</v>
      </c>
      <c r="Y1770" t="str">
        <f>IF(MAIN!$H$3="Selected Year",IF(A1770=MAIN!$B$3,"Yes","No"),IF(MAIN!$H$3="Included Years",IF(D1770="Yes","Yes","No"),IF(C1770="Yes","Yes","No")))</f>
        <v>No</v>
      </c>
      <c r="Z1770" t="str">
        <f>IF(MAIN!$F$3="Project to Date",IF(AND(A1770&gt;=SETTINGS!$B$4,A1770&lt;MAIN!$B$3),"Yes",IF(AND(A1770=MAIN!$B$3,E1770&lt;=MAIN!$L$3),"Yes","No")),IF(OR(MAIN!$F$3="Full Year",MAIN!$D$3="All"),"Yes",IF(MAIN!$F$3="Monthly",IF(E1770=MAIN!$L$3,"Yes","No"),IF(E1770&lt;=MAIN!$L$3,"Yes","No"))))</f>
        <v>Yes</v>
      </c>
      <c r="AA1770" t="str">
        <f t="shared" si="167"/>
        <v>No</v>
      </c>
    </row>
    <row r="1771" spans="1:27" x14ac:dyDescent="0.3">
      <c r="A1771">
        <f>INDEX(SETTINGS!$A$15:$A$24,$B1771)</f>
        <v>2032</v>
      </c>
      <c r="B1771">
        <v>8</v>
      </c>
      <c r="C1771" t="str">
        <f>IF(AND(A1771&gt;=SETTINGS!$B$4,A1771&lt;=SETTINGS!$B$5),"Yes","No")</f>
        <v>No</v>
      </c>
      <c r="D1771" t="str">
        <f>IFERROR(INDEX(SETTINGS!$C$15:$C$24,MATCH(A1771,SETTINGS!$A$15:$A$24,0)),"No")</f>
        <v>No</v>
      </c>
      <c r="E1771">
        <v>10</v>
      </c>
      <c r="F1771" t="s">
        <v>43</v>
      </c>
      <c r="G1771">
        <v>227</v>
      </c>
      <c r="H1771" t="s">
        <v>93</v>
      </c>
      <c r="I1771" t="s">
        <v>89</v>
      </c>
      <c r="J1771" t="s">
        <v>13</v>
      </c>
      <c r="K1771" t="s">
        <v>14</v>
      </c>
      <c r="L1771" s="36">
        <f ca="1">IF(C1771&lt;&gt;"Yes",0,IF(A1771=2025,N('2025'!D227),IF(A1771=2026,N('2026'!D227),IF(A1771=2027,N('2027'!D227),IF(A1771=2028,N('2028'!D227),IF(A1771=2029,N('2029'!D227),IF(A1771=2030,N('2030'!D227),IF(A1771=2031,N('2031'!D227),IF(A1771=2032,N('2032'!D227),IF(A1771=2033,N('2033'!D227),IF(A1771=2034,N('2034'!D227),IFERROR(N(INDIRECT("'"&amp;A1771&amp;"'!D"&amp;G1771)),0))))))))))))</f>
        <v>0</v>
      </c>
      <c r="M1771" s="36">
        <f>IFERROR(IF(NOT(ISBLANK(KPI_TARGETS!$N$7)),KPI_TARGETS!$N$7,IF(NOT(ISBLANK(KPI_TARGETS!$F$7)),KPI_TARGETS!$F$7,"")),"")</f>
        <v>8000</v>
      </c>
      <c r="N1771" s="36" t="str">
        <f>IFERROR(KPI_TARGETS!$E$7,"Higher is better")</f>
        <v>Higher is better</v>
      </c>
      <c r="O1771" s="37">
        <f t="shared" ca="1" si="162"/>
        <v>0</v>
      </c>
      <c r="P1771" t="str">
        <f t="shared" ca="1" si="163"/>
        <v>Red</v>
      </c>
      <c r="Q1771" s="36">
        <f t="shared" ca="1" si="164"/>
        <v>-8000</v>
      </c>
      <c r="R1771" s="36" t="str">
        <f>""</f>
        <v/>
      </c>
      <c r="S1771" s="36" t="str">
        <f>""</f>
        <v/>
      </c>
      <c r="T1771" s="36" t="str">
        <f>""</f>
        <v/>
      </c>
      <c r="U1771" s="36" t="str">
        <f>""</f>
        <v/>
      </c>
      <c r="V1771" s="36" t="str">
        <f>""</f>
        <v/>
      </c>
      <c r="W1771" s="36">
        <f t="shared" si="165"/>
        <v>1</v>
      </c>
      <c r="X1771" t="str">
        <f t="shared" si="166"/>
        <v>Inactive</v>
      </c>
      <c r="Y1771" t="str">
        <f>IF(MAIN!$H$3="Selected Year",IF(A1771=MAIN!$B$3,"Yes","No"),IF(MAIN!$H$3="Included Years",IF(D1771="Yes","Yes","No"),IF(C1771="Yes","Yes","No")))</f>
        <v>No</v>
      </c>
      <c r="Z1771" t="str">
        <f>IF(MAIN!$F$3="Project to Date",IF(AND(A1771&gt;=SETTINGS!$B$4,A1771&lt;MAIN!$B$3),"Yes",IF(AND(A1771=MAIN!$B$3,E1771&lt;=MAIN!$L$3),"Yes","No")),IF(OR(MAIN!$F$3="Full Year",MAIN!$D$3="All"),"Yes",IF(MAIN!$F$3="Monthly",IF(E1771=MAIN!$L$3,"Yes","No"),IF(E1771&lt;=MAIN!$L$3,"Yes","No"))))</f>
        <v>Yes</v>
      </c>
      <c r="AA1771" t="str">
        <f t="shared" si="167"/>
        <v>No</v>
      </c>
    </row>
    <row r="1772" spans="1:27" x14ac:dyDescent="0.3">
      <c r="A1772">
        <f>INDEX(SETTINGS!$A$15:$A$24,$B1772)</f>
        <v>2032</v>
      </c>
      <c r="B1772">
        <v>8</v>
      </c>
      <c r="C1772" t="str">
        <f>IF(AND(A1772&gt;=SETTINGS!$B$4,A1772&lt;=SETTINGS!$B$5),"Yes","No")</f>
        <v>No</v>
      </c>
      <c r="D1772" t="str">
        <f>IFERROR(INDEX(SETTINGS!$C$15:$C$24,MATCH(A1772,SETTINGS!$A$15:$A$24,0)),"No")</f>
        <v>No</v>
      </c>
      <c r="E1772">
        <v>10</v>
      </c>
      <c r="F1772" t="s">
        <v>43</v>
      </c>
      <c r="G1772">
        <v>229</v>
      </c>
      <c r="H1772" t="s">
        <v>95</v>
      </c>
      <c r="I1772" t="s">
        <v>15</v>
      </c>
      <c r="J1772" t="s">
        <v>16</v>
      </c>
      <c r="K1772" t="s">
        <v>3</v>
      </c>
      <c r="L1772" s="36">
        <f ca="1">IF(C1772&lt;&gt;"Yes",0,IF(A1772=2025,N('2025'!D229),IF(A1772=2026,N('2026'!D229),IF(A1772=2027,N('2027'!D229),IF(A1772=2028,N('2028'!D229),IF(A1772=2029,N('2029'!D229),IF(A1772=2030,N('2030'!D229),IF(A1772=2031,N('2031'!D229),IF(A1772=2032,N('2032'!D229),IF(A1772=2033,N('2033'!D229),IF(A1772=2034,N('2034'!D229),IFERROR(N(INDIRECT("'"&amp;A1772&amp;"'!D"&amp;G1772)),0))))))))))))</f>
        <v>0</v>
      </c>
      <c r="M1772" s="36">
        <f>IFERROR(IF(NOT(ISBLANK(KPI_TARGETS!$N$8)),KPI_TARGETS!$N$8,IF(NOT(ISBLANK(KPI_TARGETS!$F$8)),KPI_TARGETS!$F$8,"")),"")</f>
        <v>0</v>
      </c>
      <c r="N1772" s="36" t="str">
        <f>IFERROR(KPI_TARGETS!$E$8,"Higher is better")</f>
        <v>Lower is better</v>
      </c>
      <c r="O1772" s="37">
        <f t="shared" ca="1" si="162"/>
        <v>1</v>
      </c>
      <c r="P1772" t="str">
        <f t="shared" ca="1" si="163"/>
        <v>Green</v>
      </c>
      <c r="Q1772" s="36">
        <f t="shared" ca="1" si="164"/>
        <v>0</v>
      </c>
      <c r="R1772" s="36" t="str">
        <f>""</f>
        <v/>
      </c>
      <c r="S1772" s="36" t="str">
        <f>""</f>
        <v/>
      </c>
      <c r="T1772" s="36" t="str">
        <f>""</f>
        <v/>
      </c>
      <c r="U1772" s="36" t="str">
        <f>""</f>
        <v/>
      </c>
      <c r="V1772" s="36" t="str">
        <f>""</f>
        <v/>
      </c>
      <c r="W1772" s="36">
        <f t="shared" si="165"/>
        <v>1</v>
      </c>
      <c r="X1772" t="str">
        <f t="shared" si="166"/>
        <v>Inactive</v>
      </c>
      <c r="Y1772" t="str">
        <f>IF(MAIN!$H$3="Selected Year",IF(A1772=MAIN!$B$3,"Yes","No"),IF(MAIN!$H$3="Included Years",IF(D1772="Yes","Yes","No"),IF(C1772="Yes","Yes","No")))</f>
        <v>No</v>
      </c>
      <c r="Z1772" t="str">
        <f>IF(MAIN!$F$3="Project to Date",IF(AND(A1772&gt;=SETTINGS!$B$4,A1772&lt;MAIN!$B$3),"Yes",IF(AND(A1772=MAIN!$B$3,E1772&lt;=MAIN!$L$3),"Yes","No")),IF(OR(MAIN!$F$3="Full Year",MAIN!$D$3="All"),"Yes",IF(MAIN!$F$3="Monthly",IF(E1772=MAIN!$L$3,"Yes","No"),IF(E1772&lt;=MAIN!$L$3,"Yes","No"))))</f>
        <v>Yes</v>
      </c>
      <c r="AA1772" t="str">
        <f t="shared" si="167"/>
        <v>No</v>
      </c>
    </row>
    <row r="1773" spans="1:27" x14ac:dyDescent="0.3">
      <c r="A1773">
        <f>INDEX(SETTINGS!$A$15:$A$24,$B1773)</f>
        <v>2032</v>
      </c>
      <c r="B1773">
        <v>8</v>
      </c>
      <c r="C1773" t="str">
        <f>IF(AND(A1773&gt;=SETTINGS!$B$4,A1773&lt;=SETTINGS!$B$5),"Yes","No")</f>
        <v>No</v>
      </c>
      <c r="D1773" t="str">
        <f>IFERROR(INDEX(SETTINGS!$C$15:$C$24,MATCH(A1773,SETTINGS!$A$15:$A$24,0)),"No")</f>
        <v>No</v>
      </c>
      <c r="E1773">
        <v>10</v>
      </c>
      <c r="F1773" t="s">
        <v>43</v>
      </c>
      <c r="G1773">
        <v>230</v>
      </c>
      <c r="H1773" t="s">
        <v>97</v>
      </c>
      <c r="I1773" t="s">
        <v>15</v>
      </c>
      <c r="J1773" t="s">
        <v>17</v>
      </c>
      <c r="K1773" t="s">
        <v>3</v>
      </c>
      <c r="L1773" s="36">
        <f ca="1">IF(C1773&lt;&gt;"Yes",0,IF(A1773=2025,N('2025'!D230),IF(A1773=2026,N('2026'!D230),IF(A1773=2027,N('2027'!D230),IF(A1773=2028,N('2028'!D230),IF(A1773=2029,N('2029'!D230),IF(A1773=2030,N('2030'!D230),IF(A1773=2031,N('2031'!D230),IF(A1773=2032,N('2032'!D230),IF(A1773=2033,N('2033'!D230),IF(A1773=2034,N('2034'!D230),IFERROR(N(INDIRECT("'"&amp;A1773&amp;"'!D"&amp;G1773)),0))))))))))))</f>
        <v>0</v>
      </c>
      <c r="M1773" s="36">
        <f>IFERROR(IF(NOT(ISBLANK(KPI_TARGETS!$N$9)),KPI_TARGETS!$N$9,IF(NOT(ISBLANK(KPI_TARGETS!$F$9)),KPI_TARGETS!$F$9,"")),"")</f>
        <v>0</v>
      </c>
      <c r="N1773" s="36" t="str">
        <f>IFERROR(KPI_TARGETS!$E$9,"Higher is better")</f>
        <v>Higher is better</v>
      </c>
      <c r="O1773" s="37" t="str">
        <f t="shared" ca="1" si="162"/>
        <v/>
      </c>
      <c r="P1773" t="str">
        <f t="shared" ca="1" si="163"/>
        <v>Green</v>
      </c>
      <c r="Q1773" s="36">
        <f t="shared" ca="1" si="164"/>
        <v>0</v>
      </c>
      <c r="R1773" s="36" t="str">
        <f>""</f>
        <v/>
      </c>
      <c r="S1773" s="36" t="str">
        <f>""</f>
        <v/>
      </c>
      <c r="T1773" s="36" t="str">
        <f>""</f>
        <v/>
      </c>
      <c r="U1773" s="36" t="str">
        <f>""</f>
        <v/>
      </c>
      <c r="V1773" s="36" t="str">
        <f>""</f>
        <v/>
      </c>
      <c r="W1773" s="36">
        <f t="shared" si="165"/>
        <v>1</v>
      </c>
      <c r="X1773" t="str">
        <f t="shared" si="166"/>
        <v>Inactive</v>
      </c>
      <c r="Y1773" t="str">
        <f>IF(MAIN!$H$3="Selected Year",IF(A1773=MAIN!$B$3,"Yes","No"),IF(MAIN!$H$3="Included Years",IF(D1773="Yes","Yes","No"),IF(C1773="Yes","Yes","No")))</f>
        <v>No</v>
      </c>
      <c r="Z1773" t="str">
        <f>IF(MAIN!$F$3="Project to Date",IF(AND(A1773&gt;=SETTINGS!$B$4,A1773&lt;MAIN!$B$3),"Yes",IF(AND(A1773=MAIN!$B$3,E1773&lt;=MAIN!$L$3),"Yes","No")),IF(OR(MAIN!$F$3="Full Year",MAIN!$D$3="All"),"Yes",IF(MAIN!$F$3="Monthly",IF(E1773=MAIN!$L$3,"Yes","No"),IF(E1773&lt;=MAIN!$L$3,"Yes","No"))))</f>
        <v>Yes</v>
      </c>
      <c r="AA1773" t="str">
        <f t="shared" si="167"/>
        <v>No</v>
      </c>
    </row>
    <row r="1774" spans="1:27" x14ac:dyDescent="0.3">
      <c r="A1774">
        <f>INDEX(SETTINGS!$A$15:$A$24,$B1774)</f>
        <v>2032</v>
      </c>
      <c r="B1774">
        <v>8</v>
      </c>
      <c r="C1774" t="str">
        <f>IF(AND(A1774&gt;=SETTINGS!$B$4,A1774&lt;=SETTINGS!$B$5),"Yes","No")</f>
        <v>No</v>
      </c>
      <c r="D1774" t="str">
        <f>IFERROR(INDEX(SETTINGS!$C$15:$C$24,MATCH(A1774,SETTINGS!$A$15:$A$24,0)),"No")</f>
        <v>No</v>
      </c>
      <c r="E1774">
        <v>10</v>
      </c>
      <c r="F1774" t="s">
        <v>43</v>
      </c>
      <c r="G1774">
        <v>231</v>
      </c>
      <c r="H1774" t="s">
        <v>99</v>
      </c>
      <c r="I1774" t="s">
        <v>15</v>
      </c>
      <c r="J1774" t="s">
        <v>18</v>
      </c>
      <c r="K1774" t="s">
        <v>3</v>
      </c>
      <c r="L1774" s="36">
        <f ca="1">IF(C1774&lt;&gt;"Yes",0,IF(A1774=2025,N('2025'!D231),IF(A1774=2026,N('2026'!D231),IF(A1774=2027,N('2027'!D231),IF(A1774=2028,N('2028'!D231),IF(A1774=2029,N('2029'!D231),IF(A1774=2030,N('2030'!D231),IF(A1774=2031,N('2031'!D231),IF(A1774=2032,N('2032'!D231),IF(A1774=2033,N('2033'!D231),IF(A1774=2034,N('2034'!D231),IFERROR(N(INDIRECT("'"&amp;A1774&amp;"'!D"&amp;G1774)),0))))))))))))</f>
        <v>0</v>
      </c>
      <c r="M1774" s="36">
        <f>IFERROR(IF(NOT(ISBLANK(KPI_TARGETS!$N$10)),KPI_TARGETS!$N$10,IF(NOT(ISBLANK(KPI_TARGETS!$F$10)),KPI_TARGETS!$F$10,"")),"")</f>
        <v>0</v>
      </c>
      <c r="N1774" s="36" t="str">
        <f>IFERROR(KPI_TARGETS!$E$10,"Higher is better")</f>
        <v>Lower is better</v>
      </c>
      <c r="O1774" s="37">
        <f t="shared" ca="1" si="162"/>
        <v>1</v>
      </c>
      <c r="P1774" t="str">
        <f t="shared" ca="1" si="163"/>
        <v>Green</v>
      </c>
      <c r="Q1774" s="36">
        <f t="shared" ca="1" si="164"/>
        <v>0</v>
      </c>
      <c r="R1774" s="36" t="str">
        <f>""</f>
        <v/>
      </c>
      <c r="S1774" s="36" t="str">
        <f>""</f>
        <v/>
      </c>
      <c r="T1774" s="36" t="str">
        <f>""</f>
        <v/>
      </c>
      <c r="U1774" s="36" t="str">
        <f>""</f>
        <v/>
      </c>
      <c r="V1774" s="36" t="str">
        <f>""</f>
        <v/>
      </c>
      <c r="W1774" s="36">
        <f t="shared" si="165"/>
        <v>1</v>
      </c>
      <c r="X1774" t="str">
        <f t="shared" si="166"/>
        <v>Inactive</v>
      </c>
      <c r="Y1774" t="str">
        <f>IF(MAIN!$H$3="Selected Year",IF(A1774=MAIN!$B$3,"Yes","No"),IF(MAIN!$H$3="Included Years",IF(D1774="Yes","Yes","No"),IF(C1774="Yes","Yes","No")))</f>
        <v>No</v>
      </c>
      <c r="Z1774" t="str">
        <f>IF(MAIN!$F$3="Project to Date",IF(AND(A1774&gt;=SETTINGS!$B$4,A1774&lt;MAIN!$B$3),"Yes",IF(AND(A1774=MAIN!$B$3,E1774&lt;=MAIN!$L$3),"Yes","No")),IF(OR(MAIN!$F$3="Full Year",MAIN!$D$3="All"),"Yes",IF(MAIN!$F$3="Monthly",IF(E1774=MAIN!$L$3,"Yes","No"),IF(E1774&lt;=MAIN!$L$3,"Yes","No"))))</f>
        <v>Yes</v>
      </c>
      <c r="AA1774" t="str">
        <f t="shared" si="167"/>
        <v>No</v>
      </c>
    </row>
    <row r="1775" spans="1:27" x14ac:dyDescent="0.3">
      <c r="A1775">
        <f>INDEX(SETTINGS!$A$15:$A$24,$B1775)</f>
        <v>2032</v>
      </c>
      <c r="B1775">
        <v>8</v>
      </c>
      <c r="C1775" t="str">
        <f>IF(AND(A1775&gt;=SETTINGS!$B$4,A1775&lt;=SETTINGS!$B$5),"Yes","No")</f>
        <v>No</v>
      </c>
      <c r="D1775" t="str">
        <f>IFERROR(INDEX(SETTINGS!$C$15:$C$24,MATCH(A1775,SETTINGS!$A$15:$A$24,0)),"No")</f>
        <v>No</v>
      </c>
      <c r="E1775">
        <v>10</v>
      </c>
      <c r="F1775" t="s">
        <v>43</v>
      </c>
      <c r="G1775">
        <v>232</v>
      </c>
      <c r="H1775" t="s">
        <v>100</v>
      </c>
      <c r="I1775" t="s">
        <v>15</v>
      </c>
      <c r="J1775" t="s">
        <v>19</v>
      </c>
      <c r="K1775" t="s">
        <v>3</v>
      </c>
      <c r="L1775" s="36">
        <f ca="1">IF(C1775&lt;&gt;"Yes",0,IF(A1775=2025,N('2025'!D232),IF(A1775=2026,N('2026'!D232),IF(A1775=2027,N('2027'!D232),IF(A1775=2028,N('2028'!D232),IF(A1775=2029,N('2029'!D232),IF(A1775=2030,N('2030'!D232),IF(A1775=2031,N('2031'!D232),IF(A1775=2032,N('2032'!D232),IF(A1775=2033,N('2033'!D232),IF(A1775=2034,N('2034'!D232),IFERROR(N(INDIRECT("'"&amp;A1775&amp;"'!D"&amp;G1775)),0))))))))))))</f>
        <v>0</v>
      </c>
      <c r="M1775" s="36">
        <f>IFERROR(IF(NOT(ISBLANK(KPI_TARGETS!$N$11)),KPI_TARGETS!$N$11,IF(NOT(ISBLANK(KPI_TARGETS!$F$11)),KPI_TARGETS!$F$11,"")),"")</f>
        <v>0</v>
      </c>
      <c r="N1775" s="36" t="str">
        <f>IFERROR(KPI_TARGETS!$E$11,"Higher is better")</f>
        <v>Lower is better</v>
      </c>
      <c r="O1775" s="37">
        <f t="shared" ca="1" si="162"/>
        <v>1</v>
      </c>
      <c r="P1775" t="str">
        <f t="shared" ca="1" si="163"/>
        <v>Green</v>
      </c>
      <c r="Q1775" s="36">
        <f t="shared" ca="1" si="164"/>
        <v>0</v>
      </c>
      <c r="R1775" s="36" t="str">
        <f>""</f>
        <v/>
      </c>
      <c r="S1775" s="36" t="str">
        <f>""</f>
        <v/>
      </c>
      <c r="T1775" s="36" t="str">
        <f>""</f>
        <v/>
      </c>
      <c r="U1775" s="36" t="str">
        <f>""</f>
        <v/>
      </c>
      <c r="V1775" s="36" t="str">
        <f>""</f>
        <v/>
      </c>
      <c r="W1775" s="36">
        <f t="shared" si="165"/>
        <v>1</v>
      </c>
      <c r="X1775" t="str">
        <f t="shared" si="166"/>
        <v>Inactive</v>
      </c>
      <c r="Y1775" t="str">
        <f>IF(MAIN!$H$3="Selected Year",IF(A1775=MAIN!$B$3,"Yes","No"),IF(MAIN!$H$3="Included Years",IF(D1775="Yes","Yes","No"),IF(C1775="Yes","Yes","No")))</f>
        <v>No</v>
      </c>
      <c r="Z1775" t="str">
        <f>IF(MAIN!$F$3="Project to Date",IF(AND(A1775&gt;=SETTINGS!$B$4,A1775&lt;MAIN!$B$3),"Yes",IF(AND(A1775=MAIN!$B$3,E1775&lt;=MAIN!$L$3),"Yes","No")),IF(OR(MAIN!$F$3="Full Year",MAIN!$D$3="All"),"Yes",IF(MAIN!$F$3="Monthly",IF(E1775=MAIN!$L$3,"Yes","No"),IF(E1775&lt;=MAIN!$L$3,"Yes","No"))))</f>
        <v>Yes</v>
      </c>
      <c r="AA1775" t="str">
        <f t="shared" si="167"/>
        <v>No</v>
      </c>
    </row>
    <row r="1776" spans="1:27" x14ac:dyDescent="0.3">
      <c r="A1776">
        <f>INDEX(SETTINGS!$A$15:$A$24,$B1776)</f>
        <v>2032</v>
      </c>
      <c r="B1776">
        <v>8</v>
      </c>
      <c r="C1776" t="str">
        <f>IF(AND(A1776&gt;=SETTINGS!$B$4,A1776&lt;=SETTINGS!$B$5),"Yes","No")</f>
        <v>No</v>
      </c>
      <c r="D1776" t="str">
        <f>IFERROR(INDEX(SETTINGS!$C$15:$C$24,MATCH(A1776,SETTINGS!$A$15:$A$24,0)),"No")</f>
        <v>No</v>
      </c>
      <c r="E1776">
        <v>10</v>
      </c>
      <c r="F1776" t="s">
        <v>43</v>
      </c>
      <c r="G1776">
        <v>233</v>
      </c>
      <c r="H1776" t="s">
        <v>101</v>
      </c>
      <c r="I1776" t="s">
        <v>15</v>
      </c>
      <c r="J1776" t="s">
        <v>20</v>
      </c>
      <c r="K1776" t="s">
        <v>3</v>
      </c>
      <c r="L1776" s="36">
        <f ca="1">IF(C1776&lt;&gt;"Yes",0,IF(A1776=2025,N('2025'!D233),IF(A1776=2026,N('2026'!D233),IF(A1776=2027,N('2027'!D233),IF(A1776=2028,N('2028'!D233),IF(A1776=2029,N('2029'!D233),IF(A1776=2030,N('2030'!D233),IF(A1776=2031,N('2031'!D233),IF(A1776=2032,N('2032'!D233),IF(A1776=2033,N('2033'!D233),IF(A1776=2034,N('2034'!D233),IFERROR(N(INDIRECT("'"&amp;A1776&amp;"'!D"&amp;G1776)),0))))))))))))</f>
        <v>0</v>
      </c>
      <c r="M1776" s="36">
        <f>IFERROR(IF(NOT(ISBLANK(KPI_TARGETS!$N$12)),KPI_TARGETS!$N$12,IF(NOT(ISBLANK(KPI_TARGETS!$F$12)),KPI_TARGETS!$F$12,"")),"")</f>
        <v>0</v>
      </c>
      <c r="N1776" s="36" t="str">
        <f>IFERROR(KPI_TARGETS!$E$12,"Higher is better")</f>
        <v>Lower is better</v>
      </c>
      <c r="O1776" s="37">
        <f t="shared" ca="1" si="162"/>
        <v>1</v>
      </c>
      <c r="P1776" t="str">
        <f t="shared" ca="1" si="163"/>
        <v>Green</v>
      </c>
      <c r="Q1776" s="36">
        <f t="shared" ca="1" si="164"/>
        <v>0</v>
      </c>
      <c r="R1776" s="36" t="str">
        <f>""</f>
        <v/>
      </c>
      <c r="S1776" s="36" t="str">
        <f>""</f>
        <v/>
      </c>
      <c r="T1776" s="36" t="str">
        <f>""</f>
        <v/>
      </c>
      <c r="U1776" s="36" t="str">
        <f>""</f>
        <v/>
      </c>
      <c r="V1776" s="36" t="str">
        <f>""</f>
        <v/>
      </c>
      <c r="W1776" s="36">
        <f t="shared" si="165"/>
        <v>1</v>
      </c>
      <c r="X1776" t="str">
        <f t="shared" si="166"/>
        <v>Inactive</v>
      </c>
      <c r="Y1776" t="str">
        <f>IF(MAIN!$H$3="Selected Year",IF(A1776=MAIN!$B$3,"Yes","No"),IF(MAIN!$H$3="Included Years",IF(D1776="Yes","Yes","No"),IF(C1776="Yes","Yes","No")))</f>
        <v>No</v>
      </c>
      <c r="Z1776" t="str">
        <f>IF(MAIN!$F$3="Project to Date",IF(AND(A1776&gt;=SETTINGS!$B$4,A1776&lt;MAIN!$B$3),"Yes",IF(AND(A1776=MAIN!$B$3,E1776&lt;=MAIN!$L$3),"Yes","No")),IF(OR(MAIN!$F$3="Full Year",MAIN!$D$3="All"),"Yes",IF(MAIN!$F$3="Monthly",IF(E1776=MAIN!$L$3,"Yes","No"),IF(E1776&lt;=MAIN!$L$3,"Yes","No"))))</f>
        <v>Yes</v>
      </c>
      <c r="AA1776" t="str">
        <f t="shared" si="167"/>
        <v>No</v>
      </c>
    </row>
    <row r="1777" spans="1:27" x14ac:dyDescent="0.3">
      <c r="A1777">
        <f>INDEX(SETTINGS!$A$15:$A$24,$B1777)</f>
        <v>2032</v>
      </c>
      <c r="B1777">
        <v>8</v>
      </c>
      <c r="C1777" t="str">
        <f>IF(AND(A1777&gt;=SETTINGS!$B$4,A1777&lt;=SETTINGS!$B$5),"Yes","No")</f>
        <v>No</v>
      </c>
      <c r="D1777" t="str">
        <f>IFERROR(INDEX(SETTINGS!$C$15:$C$24,MATCH(A1777,SETTINGS!$A$15:$A$24,0)),"No")</f>
        <v>No</v>
      </c>
      <c r="E1777">
        <v>10</v>
      </c>
      <c r="F1777" t="s">
        <v>43</v>
      </c>
      <c r="G1777">
        <v>234</v>
      </c>
      <c r="H1777" t="s">
        <v>102</v>
      </c>
      <c r="I1777" t="s">
        <v>15</v>
      </c>
      <c r="J1777" t="s">
        <v>21</v>
      </c>
      <c r="K1777" t="s">
        <v>3</v>
      </c>
      <c r="L1777" s="36">
        <f ca="1">IF(C1777&lt;&gt;"Yes",0,IF(A1777=2025,N('2025'!D234),IF(A1777=2026,N('2026'!D234),IF(A1777=2027,N('2027'!D234),IF(A1777=2028,N('2028'!D234),IF(A1777=2029,N('2029'!D234),IF(A1777=2030,N('2030'!D234),IF(A1777=2031,N('2031'!D234),IF(A1777=2032,N('2032'!D234),IF(A1777=2033,N('2033'!D234),IF(A1777=2034,N('2034'!D234),IFERROR(N(INDIRECT("'"&amp;A1777&amp;"'!D"&amp;G1777)),0))))))))))))</f>
        <v>0</v>
      </c>
      <c r="M1777" s="36">
        <f>IFERROR(IF(NOT(ISBLANK(KPI_TARGETS!$N$13)),KPI_TARGETS!$N$13,IF(NOT(ISBLANK(KPI_TARGETS!$F$13)),KPI_TARGETS!$F$13,"")),"")</f>
        <v>0</v>
      </c>
      <c r="N1777" s="36" t="str">
        <f>IFERROR(KPI_TARGETS!$E$13,"Higher is better")</f>
        <v>Lower is better</v>
      </c>
      <c r="O1777" s="37">
        <f t="shared" ca="1" si="162"/>
        <v>1</v>
      </c>
      <c r="P1777" t="str">
        <f t="shared" ca="1" si="163"/>
        <v>Green</v>
      </c>
      <c r="Q1777" s="36">
        <f t="shared" ca="1" si="164"/>
        <v>0</v>
      </c>
      <c r="R1777" s="36" t="str">
        <f>""</f>
        <v/>
      </c>
      <c r="S1777" s="36" t="str">
        <f>""</f>
        <v/>
      </c>
      <c r="T1777" s="36" t="str">
        <f>""</f>
        <v/>
      </c>
      <c r="U1777" s="36" t="str">
        <f>""</f>
        <v/>
      </c>
      <c r="V1777" s="36" t="str">
        <f>""</f>
        <v/>
      </c>
      <c r="W1777" s="36">
        <f t="shared" si="165"/>
        <v>1</v>
      </c>
      <c r="X1777" t="str">
        <f t="shared" si="166"/>
        <v>Inactive</v>
      </c>
      <c r="Y1777" t="str">
        <f>IF(MAIN!$H$3="Selected Year",IF(A1777=MAIN!$B$3,"Yes","No"),IF(MAIN!$H$3="Included Years",IF(D1777="Yes","Yes","No"),IF(C1777="Yes","Yes","No")))</f>
        <v>No</v>
      </c>
      <c r="Z1777" t="str">
        <f>IF(MAIN!$F$3="Project to Date",IF(AND(A1777&gt;=SETTINGS!$B$4,A1777&lt;MAIN!$B$3),"Yes",IF(AND(A1777=MAIN!$B$3,E1777&lt;=MAIN!$L$3),"Yes","No")),IF(OR(MAIN!$F$3="Full Year",MAIN!$D$3="All"),"Yes",IF(MAIN!$F$3="Monthly",IF(E1777=MAIN!$L$3,"Yes","No"),IF(E1777&lt;=MAIN!$L$3,"Yes","No"))))</f>
        <v>Yes</v>
      </c>
      <c r="AA1777" t="str">
        <f t="shared" si="167"/>
        <v>No</v>
      </c>
    </row>
    <row r="1778" spans="1:27" x14ac:dyDescent="0.3">
      <c r="A1778">
        <f>INDEX(SETTINGS!$A$15:$A$24,$B1778)</f>
        <v>2032</v>
      </c>
      <c r="B1778">
        <v>8</v>
      </c>
      <c r="C1778" t="str">
        <f>IF(AND(A1778&gt;=SETTINGS!$B$4,A1778&lt;=SETTINGS!$B$5),"Yes","No")</f>
        <v>No</v>
      </c>
      <c r="D1778" t="str">
        <f>IFERROR(INDEX(SETTINGS!$C$15:$C$24,MATCH(A1778,SETTINGS!$A$15:$A$24,0)),"No")</f>
        <v>No</v>
      </c>
      <c r="E1778">
        <v>10</v>
      </c>
      <c r="F1778" t="s">
        <v>43</v>
      </c>
      <c r="G1778">
        <v>236</v>
      </c>
      <c r="H1778" t="s">
        <v>103</v>
      </c>
      <c r="I1778" t="s">
        <v>22</v>
      </c>
      <c r="J1778" t="s">
        <v>23</v>
      </c>
      <c r="K1778" t="s">
        <v>3</v>
      </c>
      <c r="L1778" s="36">
        <f ca="1">IF(C1778&lt;&gt;"Yes",0,IF(A1778=2025,N('2025'!D236),IF(A1778=2026,N('2026'!D236),IF(A1778=2027,N('2027'!D236),IF(A1778=2028,N('2028'!D236),IF(A1778=2029,N('2029'!D236),IF(A1778=2030,N('2030'!D236),IF(A1778=2031,N('2031'!D236),IF(A1778=2032,N('2032'!D236),IF(A1778=2033,N('2033'!D236),IF(A1778=2034,N('2034'!D236),IFERROR(N(INDIRECT("'"&amp;A1778&amp;"'!D"&amp;G1778)),0))))))))))))</f>
        <v>0</v>
      </c>
      <c r="M1778" s="36">
        <f>IFERROR(IF(NOT(ISBLANK(KPI_TARGETS!$N$14)),KPI_TARGETS!$N$14,IF(NOT(ISBLANK(KPI_TARGETS!$F$14)),KPI_TARGETS!$F$14,"")),"")</f>
        <v>35</v>
      </c>
      <c r="N1778" s="36" t="str">
        <f>IFERROR(KPI_TARGETS!$E$14,"Higher is better")</f>
        <v>Higher is better</v>
      </c>
      <c r="O1778" s="37">
        <f t="shared" ca="1" si="162"/>
        <v>0</v>
      </c>
      <c r="P1778" t="str">
        <f t="shared" ca="1" si="163"/>
        <v>Red</v>
      </c>
      <c r="Q1778" s="36">
        <f t="shared" ca="1" si="164"/>
        <v>-35</v>
      </c>
      <c r="R1778" s="36" t="str">
        <f>""</f>
        <v/>
      </c>
      <c r="S1778" s="36" t="str">
        <f>""</f>
        <v/>
      </c>
      <c r="T1778" s="36" t="str">
        <f>""</f>
        <v/>
      </c>
      <c r="U1778" s="36" t="str">
        <f>""</f>
        <v/>
      </c>
      <c r="V1778" s="36" t="str">
        <f>""</f>
        <v/>
      </c>
      <c r="W1778" s="36">
        <f t="shared" si="165"/>
        <v>1</v>
      </c>
      <c r="X1778" t="str">
        <f t="shared" si="166"/>
        <v>Inactive</v>
      </c>
      <c r="Y1778" t="str">
        <f>IF(MAIN!$H$3="Selected Year",IF(A1778=MAIN!$B$3,"Yes","No"),IF(MAIN!$H$3="Included Years",IF(D1778="Yes","Yes","No"),IF(C1778="Yes","Yes","No")))</f>
        <v>No</v>
      </c>
      <c r="Z1778" t="str">
        <f>IF(MAIN!$F$3="Project to Date",IF(AND(A1778&gt;=SETTINGS!$B$4,A1778&lt;MAIN!$B$3),"Yes",IF(AND(A1778=MAIN!$B$3,E1778&lt;=MAIN!$L$3),"Yes","No")),IF(OR(MAIN!$F$3="Full Year",MAIN!$D$3="All"),"Yes",IF(MAIN!$F$3="Monthly",IF(E1778=MAIN!$L$3,"Yes","No"),IF(E1778&lt;=MAIN!$L$3,"Yes","No"))))</f>
        <v>Yes</v>
      </c>
      <c r="AA1778" t="str">
        <f t="shared" si="167"/>
        <v>No</v>
      </c>
    </row>
    <row r="1779" spans="1:27" x14ac:dyDescent="0.3">
      <c r="A1779">
        <f>INDEX(SETTINGS!$A$15:$A$24,$B1779)</f>
        <v>2032</v>
      </c>
      <c r="B1779">
        <v>8</v>
      </c>
      <c r="C1779" t="str">
        <f>IF(AND(A1779&gt;=SETTINGS!$B$4,A1779&lt;=SETTINGS!$B$5),"Yes","No")</f>
        <v>No</v>
      </c>
      <c r="D1779" t="str">
        <f>IFERROR(INDEX(SETTINGS!$C$15:$C$24,MATCH(A1779,SETTINGS!$A$15:$A$24,0)),"No")</f>
        <v>No</v>
      </c>
      <c r="E1779">
        <v>10</v>
      </c>
      <c r="F1779" t="s">
        <v>43</v>
      </c>
      <c r="G1779">
        <v>237</v>
      </c>
      <c r="H1779" t="s">
        <v>104</v>
      </c>
      <c r="I1779" t="s">
        <v>22</v>
      </c>
      <c r="J1779" t="s">
        <v>24</v>
      </c>
      <c r="K1779" t="s">
        <v>3</v>
      </c>
      <c r="L1779" s="36">
        <f ca="1">IF(C1779&lt;&gt;"Yes",0,IF(A1779=2025,N('2025'!D237),IF(A1779=2026,N('2026'!D237),IF(A1779=2027,N('2027'!D237),IF(A1779=2028,N('2028'!D237),IF(A1779=2029,N('2029'!D237),IF(A1779=2030,N('2030'!D237),IF(A1779=2031,N('2031'!D237),IF(A1779=2032,N('2032'!D237),IF(A1779=2033,N('2033'!D237),IF(A1779=2034,N('2034'!D237),IFERROR(N(INDIRECT("'"&amp;A1779&amp;"'!D"&amp;G1779)),0))))))))))))</f>
        <v>0</v>
      </c>
      <c r="M1779" s="36">
        <f>IFERROR(IF(NOT(ISBLANK(KPI_TARGETS!$N$15)),KPI_TARGETS!$N$15,IF(NOT(ISBLANK(KPI_TARGETS!$F$15)),KPI_TARGETS!$F$15,"")),"")</f>
        <v>5</v>
      </c>
      <c r="N1779" s="36" t="str">
        <f>IFERROR(KPI_TARGETS!$E$15,"Higher is better")</f>
        <v>Higher is better</v>
      </c>
      <c r="O1779" s="37">
        <f t="shared" ca="1" si="162"/>
        <v>0</v>
      </c>
      <c r="P1779" t="str">
        <f t="shared" ca="1" si="163"/>
        <v>Red</v>
      </c>
      <c r="Q1779" s="36">
        <f t="shared" ca="1" si="164"/>
        <v>-5</v>
      </c>
      <c r="R1779" s="36" t="str">
        <f>""</f>
        <v/>
      </c>
      <c r="S1779" s="36" t="str">
        <f>""</f>
        <v/>
      </c>
      <c r="T1779" s="36" t="str">
        <f>""</f>
        <v/>
      </c>
      <c r="U1779" s="36" t="str">
        <f>""</f>
        <v/>
      </c>
      <c r="V1779" s="36" t="str">
        <f>""</f>
        <v/>
      </c>
      <c r="W1779" s="36">
        <f t="shared" si="165"/>
        <v>1</v>
      </c>
      <c r="X1779" t="str">
        <f t="shared" si="166"/>
        <v>Inactive</v>
      </c>
      <c r="Y1779" t="str">
        <f>IF(MAIN!$H$3="Selected Year",IF(A1779=MAIN!$B$3,"Yes","No"),IF(MAIN!$H$3="Included Years",IF(D1779="Yes","Yes","No"),IF(C1779="Yes","Yes","No")))</f>
        <v>No</v>
      </c>
      <c r="Z1779" t="str">
        <f>IF(MAIN!$F$3="Project to Date",IF(AND(A1779&gt;=SETTINGS!$B$4,A1779&lt;MAIN!$B$3),"Yes",IF(AND(A1779=MAIN!$B$3,E1779&lt;=MAIN!$L$3),"Yes","No")),IF(OR(MAIN!$F$3="Full Year",MAIN!$D$3="All"),"Yes",IF(MAIN!$F$3="Monthly",IF(E1779=MAIN!$L$3,"Yes","No"),IF(E1779&lt;=MAIN!$L$3,"Yes","No"))))</f>
        <v>Yes</v>
      </c>
      <c r="AA1779" t="str">
        <f t="shared" si="167"/>
        <v>No</v>
      </c>
    </row>
    <row r="1780" spans="1:27" x14ac:dyDescent="0.3">
      <c r="A1780">
        <f>INDEX(SETTINGS!$A$15:$A$24,$B1780)</f>
        <v>2032</v>
      </c>
      <c r="B1780">
        <v>8</v>
      </c>
      <c r="C1780" t="str">
        <f>IF(AND(A1780&gt;=SETTINGS!$B$4,A1780&lt;=SETTINGS!$B$5),"Yes","No")</f>
        <v>No</v>
      </c>
      <c r="D1780" t="str">
        <f>IFERROR(INDEX(SETTINGS!$C$15:$C$24,MATCH(A1780,SETTINGS!$A$15:$A$24,0)),"No")</f>
        <v>No</v>
      </c>
      <c r="E1780">
        <v>10</v>
      </c>
      <c r="F1780" t="s">
        <v>43</v>
      </c>
      <c r="G1780">
        <v>238</v>
      </c>
      <c r="H1780" t="s">
        <v>105</v>
      </c>
      <c r="I1780" t="s">
        <v>22</v>
      </c>
      <c r="J1780" t="s">
        <v>25</v>
      </c>
      <c r="K1780" t="s">
        <v>3</v>
      </c>
      <c r="L1780" s="36">
        <f ca="1">IF(C1780&lt;&gt;"Yes",0,IF(A1780=2025,N('2025'!D238),IF(A1780=2026,N('2026'!D238),IF(A1780=2027,N('2027'!D238),IF(A1780=2028,N('2028'!D238),IF(A1780=2029,N('2029'!D238),IF(A1780=2030,N('2030'!D238),IF(A1780=2031,N('2031'!D238),IF(A1780=2032,N('2032'!D238),IF(A1780=2033,N('2033'!D238),IF(A1780=2034,N('2034'!D238),IFERROR(N(INDIRECT("'"&amp;A1780&amp;"'!D"&amp;G1780)),0))))))))))))</f>
        <v>0</v>
      </c>
      <c r="M1780" s="36">
        <f>IFERROR(IF(NOT(ISBLANK(KPI_TARGETS!$N$16)),KPI_TARGETS!$N$16,IF(NOT(ISBLANK(KPI_TARGETS!$F$16)),KPI_TARGETS!$F$16,"")),"")</f>
        <v>4</v>
      </c>
      <c r="N1780" s="36" t="str">
        <f>IFERROR(KPI_TARGETS!$E$16,"Higher is better")</f>
        <v>Higher is better</v>
      </c>
      <c r="O1780" s="37">
        <f t="shared" ca="1" si="162"/>
        <v>0</v>
      </c>
      <c r="P1780" t="str">
        <f t="shared" ca="1" si="163"/>
        <v>Red</v>
      </c>
      <c r="Q1780" s="36">
        <f t="shared" ca="1" si="164"/>
        <v>-4</v>
      </c>
      <c r="R1780" s="36" t="str">
        <f>""</f>
        <v/>
      </c>
      <c r="S1780" s="36" t="str">
        <f>""</f>
        <v/>
      </c>
      <c r="T1780" s="36" t="str">
        <f>""</f>
        <v/>
      </c>
      <c r="U1780" s="36" t="str">
        <f>""</f>
        <v/>
      </c>
      <c r="V1780" s="36" t="str">
        <f>""</f>
        <v/>
      </c>
      <c r="W1780" s="36">
        <f t="shared" si="165"/>
        <v>1</v>
      </c>
      <c r="X1780" t="str">
        <f t="shared" si="166"/>
        <v>Inactive</v>
      </c>
      <c r="Y1780" t="str">
        <f>IF(MAIN!$H$3="Selected Year",IF(A1780=MAIN!$B$3,"Yes","No"),IF(MAIN!$H$3="Included Years",IF(D1780="Yes","Yes","No"),IF(C1780="Yes","Yes","No")))</f>
        <v>No</v>
      </c>
      <c r="Z1780" t="str">
        <f>IF(MAIN!$F$3="Project to Date",IF(AND(A1780&gt;=SETTINGS!$B$4,A1780&lt;MAIN!$B$3),"Yes",IF(AND(A1780=MAIN!$B$3,E1780&lt;=MAIN!$L$3),"Yes","No")),IF(OR(MAIN!$F$3="Full Year",MAIN!$D$3="All"),"Yes",IF(MAIN!$F$3="Monthly",IF(E1780=MAIN!$L$3,"Yes","No"),IF(E1780&lt;=MAIN!$L$3,"Yes","No"))))</f>
        <v>Yes</v>
      </c>
      <c r="AA1780" t="str">
        <f t="shared" si="167"/>
        <v>No</v>
      </c>
    </row>
    <row r="1781" spans="1:27" x14ac:dyDescent="0.3">
      <c r="A1781">
        <f>INDEX(SETTINGS!$A$15:$A$24,$B1781)</f>
        <v>2032</v>
      </c>
      <c r="B1781">
        <v>8</v>
      </c>
      <c r="C1781" t="str">
        <f>IF(AND(A1781&gt;=SETTINGS!$B$4,A1781&lt;=SETTINGS!$B$5),"Yes","No")</f>
        <v>No</v>
      </c>
      <c r="D1781" t="str">
        <f>IFERROR(INDEX(SETTINGS!$C$15:$C$24,MATCH(A1781,SETTINGS!$A$15:$A$24,0)),"No")</f>
        <v>No</v>
      </c>
      <c r="E1781">
        <v>10</v>
      </c>
      <c r="F1781" t="s">
        <v>43</v>
      </c>
      <c r="G1781">
        <v>239</v>
      </c>
      <c r="H1781" t="s">
        <v>106</v>
      </c>
      <c r="I1781" t="s">
        <v>22</v>
      </c>
      <c r="J1781" t="s">
        <v>26</v>
      </c>
      <c r="K1781" t="s">
        <v>3</v>
      </c>
      <c r="L1781" s="36">
        <f ca="1">IF(C1781&lt;&gt;"Yes",0,IF(A1781=2025,N('2025'!D239),IF(A1781=2026,N('2026'!D239),IF(A1781=2027,N('2027'!D239),IF(A1781=2028,N('2028'!D239),IF(A1781=2029,N('2029'!D239),IF(A1781=2030,N('2030'!D239),IF(A1781=2031,N('2031'!D239),IF(A1781=2032,N('2032'!D239),IF(A1781=2033,N('2033'!D239),IF(A1781=2034,N('2034'!D239),IFERROR(N(INDIRECT("'"&amp;A1781&amp;"'!D"&amp;G1781)),0))))))))))))</f>
        <v>0</v>
      </c>
      <c r="M1781" s="36">
        <f>IFERROR(IF(NOT(ISBLANK(KPI_TARGETS!$N$17)),KPI_TARGETS!$N$17,IF(NOT(ISBLANK(KPI_TARGETS!$F$17)),KPI_TARGETS!$F$17,"")),"")</f>
        <v>12</v>
      </c>
      <c r="N1781" s="36" t="str">
        <f>IFERROR(KPI_TARGETS!$E$17,"Higher is better")</f>
        <v>Higher is better</v>
      </c>
      <c r="O1781" s="37">
        <f t="shared" ca="1" si="162"/>
        <v>0</v>
      </c>
      <c r="P1781" t="str">
        <f t="shared" ca="1" si="163"/>
        <v>Red</v>
      </c>
      <c r="Q1781" s="36">
        <f t="shared" ca="1" si="164"/>
        <v>-12</v>
      </c>
      <c r="R1781" s="36" t="str">
        <f>""</f>
        <v/>
      </c>
      <c r="S1781" s="36" t="str">
        <f>""</f>
        <v/>
      </c>
      <c r="T1781" s="36" t="str">
        <f>""</f>
        <v/>
      </c>
      <c r="U1781" s="36" t="str">
        <f>""</f>
        <v/>
      </c>
      <c r="V1781" s="36" t="str">
        <f>""</f>
        <v/>
      </c>
      <c r="W1781" s="36">
        <f t="shared" si="165"/>
        <v>1</v>
      </c>
      <c r="X1781" t="str">
        <f t="shared" si="166"/>
        <v>Inactive</v>
      </c>
      <c r="Y1781" t="str">
        <f>IF(MAIN!$H$3="Selected Year",IF(A1781=MAIN!$B$3,"Yes","No"),IF(MAIN!$H$3="Included Years",IF(D1781="Yes","Yes","No"),IF(C1781="Yes","Yes","No")))</f>
        <v>No</v>
      </c>
      <c r="Z1781" t="str">
        <f>IF(MAIN!$F$3="Project to Date",IF(AND(A1781&gt;=SETTINGS!$B$4,A1781&lt;MAIN!$B$3),"Yes",IF(AND(A1781=MAIN!$B$3,E1781&lt;=MAIN!$L$3),"Yes","No")),IF(OR(MAIN!$F$3="Full Year",MAIN!$D$3="All"),"Yes",IF(MAIN!$F$3="Monthly",IF(E1781=MAIN!$L$3,"Yes","No"),IF(E1781&lt;=MAIN!$L$3,"Yes","No"))))</f>
        <v>Yes</v>
      </c>
      <c r="AA1781" t="str">
        <f t="shared" si="167"/>
        <v>No</v>
      </c>
    </row>
    <row r="1782" spans="1:27" x14ac:dyDescent="0.3">
      <c r="A1782">
        <f>INDEX(SETTINGS!$A$15:$A$24,$B1782)</f>
        <v>2032</v>
      </c>
      <c r="B1782">
        <v>8</v>
      </c>
      <c r="C1782" t="str">
        <f>IF(AND(A1782&gt;=SETTINGS!$B$4,A1782&lt;=SETTINGS!$B$5),"Yes","No")</f>
        <v>No</v>
      </c>
      <c r="D1782" t="str">
        <f>IFERROR(INDEX(SETTINGS!$C$15:$C$24,MATCH(A1782,SETTINGS!$A$15:$A$24,0)),"No")</f>
        <v>No</v>
      </c>
      <c r="E1782">
        <v>10</v>
      </c>
      <c r="F1782" t="s">
        <v>43</v>
      </c>
      <c r="G1782">
        <v>240</v>
      </c>
      <c r="H1782" t="s">
        <v>107</v>
      </c>
      <c r="I1782" t="s">
        <v>22</v>
      </c>
      <c r="J1782" t="s">
        <v>27</v>
      </c>
      <c r="K1782" t="s">
        <v>3</v>
      </c>
      <c r="L1782" s="36">
        <f ca="1">IF(C1782&lt;&gt;"Yes",0,IF(A1782=2025,N('2025'!D240),IF(A1782=2026,N('2026'!D240),IF(A1782=2027,N('2027'!D240),IF(A1782=2028,N('2028'!D240),IF(A1782=2029,N('2029'!D240),IF(A1782=2030,N('2030'!D240),IF(A1782=2031,N('2031'!D240),IF(A1782=2032,N('2032'!D240),IF(A1782=2033,N('2033'!D240),IF(A1782=2034,N('2034'!D240),IFERROR(N(INDIRECT("'"&amp;A1782&amp;"'!D"&amp;G1782)),0))))))))))))</f>
        <v>0</v>
      </c>
      <c r="M1782" s="36">
        <f>IFERROR(IF(NOT(ISBLANK(KPI_TARGETS!$N$18)),KPI_TARGETS!$N$18,IF(NOT(ISBLANK(KPI_TARGETS!$F$18)),KPI_TARGETS!$F$18,"")),"")</f>
        <v>4</v>
      </c>
      <c r="N1782" s="36" t="str">
        <f>IFERROR(KPI_TARGETS!$E$18,"Higher is better")</f>
        <v>Higher is better</v>
      </c>
      <c r="O1782" s="37">
        <f t="shared" ca="1" si="162"/>
        <v>0</v>
      </c>
      <c r="P1782" t="str">
        <f t="shared" ca="1" si="163"/>
        <v>Red</v>
      </c>
      <c r="Q1782" s="36">
        <f t="shared" ca="1" si="164"/>
        <v>-4</v>
      </c>
      <c r="R1782" s="36" t="str">
        <f>""</f>
        <v/>
      </c>
      <c r="S1782" s="36" t="str">
        <f>""</f>
        <v/>
      </c>
      <c r="T1782" s="36" t="str">
        <f>""</f>
        <v/>
      </c>
      <c r="U1782" s="36" t="str">
        <f>""</f>
        <v/>
      </c>
      <c r="V1782" s="36" t="str">
        <f>""</f>
        <v/>
      </c>
      <c r="W1782" s="36">
        <f t="shared" si="165"/>
        <v>1</v>
      </c>
      <c r="X1782" t="str">
        <f t="shared" si="166"/>
        <v>Inactive</v>
      </c>
      <c r="Y1782" t="str">
        <f>IF(MAIN!$H$3="Selected Year",IF(A1782=MAIN!$B$3,"Yes","No"),IF(MAIN!$H$3="Included Years",IF(D1782="Yes","Yes","No"),IF(C1782="Yes","Yes","No")))</f>
        <v>No</v>
      </c>
      <c r="Z1782" t="str">
        <f>IF(MAIN!$F$3="Project to Date",IF(AND(A1782&gt;=SETTINGS!$B$4,A1782&lt;MAIN!$B$3),"Yes",IF(AND(A1782=MAIN!$B$3,E1782&lt;=MAIN!$L$3),"Yes","No")),IF(OR(MAIN!$F$3="Full Year",MAIN!$D$3="All"),"Yes",IF(MAIN!$F$3="Monthly",IF(E1782=MAIN!$L$3,"Yes","No"),IF(E1782&lt;=MAIN!$L$3,"Yes","No"))))</f>
        <v>Yes</v>
      </c>
      <c r="AA1782" t="str">
        <f t="shared" si="167"/>
        <v>No</v>
      </c>
    </row>
    <row r="1783" spans="1:27" x14ac:dyDescent="0.3">
      <c r="A1783">
        <f>INDEX(SETTINGS!$A$15:$A$24,$B1783)</f>
        <v>2032</v>
      </c>
      <c r="B1783">
        <v>8</v>
      </c>
      <c r="C1783" t="str">
        <f>IF(AND(A1783&gt;=SETTINGS!$B$4,A1783&lt;=SETTINGS!$B$5),"Yes","No")</f>
        <v>No</v>
      </c>
      <c r="D1783" t="str">
        <f>IFERROR(INDEX(SETTINGS!$C$15:$C$24,MATCH(A1783,SETTINGS!$A$15:$A$24,0)),"No")</f>
        <v>No</v>
      </c>
      <c r="E1783">
        <v>10</v>
      </c>
      <c r="F1783" t="s">
        <v>43</v>
      </c>
      <c r="G1783">
        <v>241</v>
      </c>
      <c r="H1783" t="s">
        <v>108</v>
      </c>
      <c r="I1783" t="s">
        <v>22</v>
      </c>
      <c r="J1783" t="s">
        <v>28</v>
      </c>
      <c r="K1783" t="s">
        <v>3</v>
      </c>
      <c r="L1783" s="36">
        <f ca="1">IF(C1783&lt;&gt;"Yes",0,IF(A1783=2025,N('2025'!D241),IF(A1783=2026,N('2026'!D241),IF(A1783=2027,N('2027'!D241),IF(A1783=2028,N('2028'!D241),IF(A1783=2029,N('2029'!D241),IF(A1783=2030,N('2030'!D241),IF(A1783=2031,N('2031'!D241),IF(A1783=2032,N('2032'!D241),IF(A1783=2033,N('2033'!D241),IF(A1783=2034,N('2034'!D241),IFERROR(N(INDIRECT("'"&amp;A1783&amp;"'!D"&amp;G1783)),0))))))))))))</f>
        <v>0</v>
      </c>
      <c r="M1783" s="36">
        <f>IFERROR(IF(NOT(ISBLANK(KPI_TARGETS!$N$19)),KPI_TARGETS!$N$19,IF(NOT(ISBLANK(KPI_TARGETS!$F$19)),KPI_TARGETS!$F$19,"")),"")</f>
        <v>16</v>
      </c>
      <c r="N1783" s="36" t="str">
        <f>IFERROR(KPI_TARGETS!$E$19,"Higher is better")</f>
        <v>Higher is better</v>
      </c>
      <c r="O1783" s="37">
        <f t="shared" ca="1" si="162"/>
        <v>0</v>
      </c>
      <c r="P1783" t="str">
        <f t="shared" ca="1" si="163"/>
        <v>Red</v>
      </c>
      <c r="Q1783" s="36">
        <f t="shared" ca="1" si="164"/>
        <v>-16</v>
      </c>
      <c r="R1783" s="36" t="str">
        <f>""</f>
        <v/>
      </c>
      <c r="S1783" s="36" t="str">
        <f>""</f>
        <v/>
      </c>
      <c r="T1783" s="36" t="str">
        <f>""</f>
        <v/>
      </c>
      <c r="U1783" s="36" t="str">
        <f>""</f>
        <v/>
      </c>
      <c r="V1783" s="36" t="str">
        <f>""</f>
        <v/>
      </c>
      <c r="W1783" s="36">
        <f t="shared" si="165"/>
        <v>1</v>
      </c>
      <c r="X1783" t="str">
        <f t="shared" si="166"/>
        <v>Inactive</v>
      </c>
      <c r="Y1783" t="str">
        <f>IF(MAIN!$H$3="Selected Year",IF(A1783=MAIN!$B$3,"Yes","No"),IF(MAIN!$H$3="Included Years",IF(D1783="Yes","Yes","No"),IF(C1783="Yes","Yes","No")))</f>
        <v>No</v>
      </c>
      <c r="Z1783" t="str">
        <f>IF(MAIN!$F$3="Project to Date",IF(AND(A1783&gt;=SETTINGS!$B$4,A1783&lt;MAIN!$B$3),"Yes",IF(AND(A1783=MAIN!$B$3,E1783&lt;=MAIN!$L$3),"Yes","No")),IF(OR(MAIN!$F$3="Full Year",MAIN!$D$3="All"),"Yes",IF(MAIN!$F$3="Monthly",IF(E1783=MAIN!$L$3,"Yes","No"),IF(E1783&lt;=MAIN!$L$3,"Yes","No"))))</f>
        <v>Yes</v>
      </c>
      <c r="AA1783" t="str">
        <f t="shared" si="167"/>
        <v>No</v>
      </c>
    </row>
    <row r="1784" spans="1:27" x14ac:dyDescent="0.3">
      <c r="A1784">
        <f>INDEX(SETTINGS!$A$15:$A$24,$B1784)</f>
        <v>2032</v>
      </c>
      <c r="B1784">
        <v>8</v>
      </c>
      <c r="C1784" t="str">
        <f>IF(AND(A1784&gt;=SETTINGS!$B$4,A1784&lt;=SETTINGS!$B$5),"Yes","No")</f>
        <v>No</v>
      </c>
      <c r="D1784" t="str">
        <f>IFERROR(INDEX(SETTINGS!$C$15:$C$24,MATCH(A1784,SETTINGS!$A$15:$A$24,0)),"No")</f>
        <v>No</v>
      </c>
      <c r="E1784">
        <v>10</v>
      </c>
      <c r="F1784" t="s">
        <v>43</v>
      </c>
      <c r="G1784">
        <v>242</v>
      </c>
      <c r="H1784" t="s">
        <v>109</v>
      </c>
      <c r="I1784" t="s">
        <v>22</v>
      </c>
      <c r="J1784" t="s">
        <v>29</v>
      </c>
      <c r="K1784" t="s">
        <v>3</v>
      </c>
      <c r="L1784" s="36">
        <f ca="1">IF(C1784&lt;&gt;"Yes",0,IF(A1784=2025,N('2025'!D242),IF(A1784=2026,N('2026'!D242),IF(A1784=2027,N('2027'!D242),IF(A1784=2028,N('2028'!D242),IF(A1784=2029,N('2029'!D242),IF(A1784=2030,N('2030'!D242),IF(A1784=2031,N('2031'!D242),IF(A1784=2032,N('2032'!D242),IF(A1784=2033,N('2033'!D242),IF(A1784=2034,N('2034'!D242),IFERROR(N(INDIRECT("'"&amp;A1784&amp;"'!D"&amp;G1784)),0))))))))))))</f>
        <v>0</v>
      </c>
      <c r="M1784" s="36">
        <f>IFERROR(IF(NOT(ISBLANK(KPI_TARGETS!$N$20)),KPI_TARGETS!$N$20,IF(NOT(ISBLANK(KPI_TARGETS!$F$20)),KPI_TARGETS!$F$20,"")),"")</f>
        <v>1</v>
      </c>
      <c r="N1784" s="36" t="str">
        <f>IFERROR(KPI_TARGETS!$E$20,"Higher is better")</f>
        <v>Higher is better</v>
      </c>
      <c r="O1784" s="37">
        <f t="shared" ca="1" si="162"/>
        <v>0</v>
      </c>
      <c r="P1784" t="str">
        <f t="shared" ca="1" si="163"/>
        <v>Red</v>
      </c>
      <c r="Q1784" s="36">
        <f t="shared" ca="1" si="164"/>
        <v>-1</v>
      </c>
      <c r="R1784" s="36" t="str">
        <f>""</f>
        <v/>
      </c>
      <c r="S1784" s="36" t="str">
        <f>""</f>
        <v/>
      </c>
      <c r="T1784" s="36" t="str">
        <f>""</f>
        <v/>
      </c>
      <c r="U1784" s="36" t="str">
        <f>""</f>
        <v/>
      </c>
      <c r="V1784" s="36" t="str">
        <f>""</f>
        <v/>
      </c>
      <c r="W1784" s="36">
        <f t="shared" si="165"/>
        <v>1</v>
      </c>
      <c r="X1784" t="str">
        <f t="shared" si="166"/>
        <v>Inactive</v>
      </c>
      <c r="Y1784" t="str">
        <f>IF(MAIN!$H$3="Selected Year",IF(A1784=MAIN!$B$3,"Yes","No"),IF(MAIN!$H$3="Included Years",IF(D1784="Yes","Yes","No"),IF(C1784="Yes","Yes","No")))</f>
        <v>No</v>
      </c>
      <c r="Z1784" t="str">
        <f>IF(MAIN!$F$3="Project to Date",IF(AND(A1784&gt;=SETTINGS!$B$4,A1784&lt;MAIN!$B$3),"Yes",IF(AND(A1784=MAIN!$B$3,E1784&lt;=MAIN!$L$3),"Yes","No")),IF(OR(MAIN!$F$3="Full Year",MAIN!$D$3="All"),"Yes",IF(MAIN!$F$3="Monthly",IF(E1784=MAIN!$L$3,"Yes","No"),IF(E1784&lt;=MAIN!$L$3,"Yes","No"))))</f>
        <v>Yes</v>
      </c>
      <c r="AA1784" t="str">
        <f t="shared" si="167"/>
        <v>No</v>
      </c>
    </row>
    <row r="1785" spans="1:27" x14ac:dyDescent="0.3">
      <c r="A1785">
        <f>INDEX(SETTINGS!$A$15:$A$24,$B1785)</f>
        <v>2032</v>
      </c>
      <c r="B1785">
        <v>8</v>
      </c>
      <c r="C1785" t="str">
        <f>IF(AND(A1785&gt;=SETTINGS!$B$4,A1785&lt;=SETTINGS!$B$5),"Yes","No")</f>
        <v>No</v>
      </c>
      <c r="D1785" t="str">
        <f>IFERROR(INDEX(SETTINGS!$C$15:$C$24,MATCH(A1785,SETTINGS!$A$15:$A$24,0)),"No")</f>
        <v>No</v>
      </c>
      <c r="E1785">
        <v>10</v>
      </c>
      <c r="F1785" t="s">
        <v>43</v>
      </c>
      <c r="G1785">
        <v>244</v>
      </c>
      <c r="H1785" t="s">
        <v>110</v>
      </c>
      <c r="I1785" t="s">
        <v>30</v>
      </c>
      <c r="J1785" t="s">
        <v>31</v>
      </c>
      <c r="K1785" t="s">
        <v>3</v>
      </c>
      <c r="L1785" s="36">
        <f ca="1">IF(C1785&lt;&gt;"Yes",0,IF(A1785=2025,N('2025'!D244),IF(A1785=2026,N('2026'!D244),IF(A1785=2027,N('2027'!D244),IF(A1785=2028,N('2028'!D244),IF(A1785=2029,N('2029'!D244),IF(A1785=2030,N('2030'!D244),IF(A1785=2031,N('2031'!D244),IF(A1785=2032,N('2032'!D244),IF(A1785=2033,N('2033'!D244),IF(A1785=2034,N('2034'!D244),IFERROR(N(INDIRECT("'"&amp;A1785&amp;"'!D"&amp;G1785)),0))))))))))))</f>
        <v>0</v>
      </c>
      <c r="M1785" s="36">
        <f>IFERROR(IF(NOT(ISBLANK(KPI_TARGETS!$N$21)),KPI_TARGETS!$N$21,IF(NOT(ISBLANK(KPI_TARGETS!$F$21)),KPI_TARGETS!$F$21,"")),"")</f>
        <v>0</v>
      </c>
      <c r="N1785" s="36" t="str">
        <f>IFERROR(KPI_TARGETS!$E$21,"Higher is better")</f>
        <v>Lower is better</v>
      </c>
      <c r="O1785" s="37">
        <f t="shared" ca="1" si="162"/>
        <v>1</v>
      </c>
      <c r="P1785" t="str">
        <f t="shared" ca="1" si="163"/>
        <v>Green</v>
      </c>
      <c r="Q1785" s="36">
        <f t="shared" ca="1" si="164"/>
        <v>0</v>
      </c>
      <c r="R1785" s="36" t="str">
        <f>""</f>
        <v/>
      </c>
      <c r="S1785" s="36" t="str">
        <f>""</f>
        <v/>
      </c>
      <c r="T1785" s="36" t="str">
        <f>""</f>
        <v/>
      </c>
      <c r="U1785" s="36" t="str">
        <f>""</f>
        <v/>
      </c>
      <c r="V1785" s="36" t="str">
        <f>""</f>
        <v/>
      </c>
      <c r="W1785" s="36">
        <f t="shared" si="165"/>
        <v>1</v>
      </c>
      <c r="X1785" t="str">
        <f t="shared" si="166"/>
        <v>Inactive</v>
      </c>
      <c r="Y1785" t="str">
        <f>IF(MAIN!$H$3="Selected Year",IF(A1785=MAIN!$B$3,"Yes","No"),IF(MAIN!$H$3="Included Years",IF(D1785="Yes","Yes","No"),IF(C1785="Yes","Yes","No")))</f>
        <v>No</v>
      </c>
      <c r="Z1785" t="str">
        <f>IF(MAIN!$F$3="Project to Date",IF(AND(A1785&gt;=SETTINGS!$B$4,A1785&lt;MAIN!$B$3),"Yes",IF(AND(A1785=MAIN!$B$3,E1785&lt;=MAIN!$L$3),"Yes","No")),IF(OR(MAIN!$F$3="Full Year",MAIN!$D$3="All"),"Yes",IF(MAIN!$F$3="Monthly",IF(E1785=MAIN!$L$3,"Yes","No"),IF(E1785&lt;=MAIN!$L$3,"Yes","No"))))</f>
        <v>Yes</v>
      </c>
      <c r="AA1785" t="str">
        <f t="shared" si="167"/>
        <v>No</v>
      </c>
    </row>
    <row r="1786" spans="1:27" x14ac:dyDescent="0.3">
      <c r="A1786">
        <f>INDEX(SETTINGS!$A$15:$A$24,$B1786)</f>
        <v>2032</v>
      </c>
      <c r="B1786">
        <v>8</v>
      </c>
      <c r="C1786" t="str">
        <f>IF(AND(A1786&gt;=SETTINGS!$B$4,A1786&lt;=SETTINGS!$B$5),"Yes","No")</f>
        <v>No</v>
      </c>
      <c r="D1786" t="str">
        <f>IFERROR(INDEX(SETTINGS!$C$15:$C$24,MATCH(A1786,SETTINGS!$A$15:$A$24,0)),"No")</f>
        <v>No</v>
      </c>
      <c r="E1786">
        <v>10</v>
      </c>
      <c r="F1786" t="s">
        <v>43</v>
      </c>
      <c r="G1786">
        <v>245</v>
      </c>
      <c r="H1786" t="s">
        <v>111</v>
      </c>
      <c r="I1786" t="s">
        <v>30</v>
      </c>
      <c r="J1786" t="s">
        <v>32</v>
      </c>
      <c r="K1786" t="s">
        <v>3</v>
      </c>
      <c r="L1786" s="36">
        <f ca="1">IF(C1786&lt;&gt;"Yes",0,IF(A1786=2025,N('2025'!D245),IF(A1786=2026,N('2026'!D245),IF(A1786=2027,N('2027'!D245),IF(A1786=2028,N('2028'!D245),IF(A1786=2029,N('2029'!D245),IF(A1786=2030,N('2030'!D245),IF(A1786=2031,N('2031'!D245),IF(A1786=2032,N('2032'!D245),IF(A1786=2033,N('2033'!D245),IF(A1786=2034,N('2034'!D245),IFERROR(N(INDIRECT("'"&amp;A1786&amp;"'!D"&amp;G1786)),0))))))))))))</f>
        <v>0</v>
      </c>
      <c r="M1786" s="36">
        <f>IFERROR(IF(NOT(ISBLANK(KPI_TARGETS!$N$22)),KPI_TARGETS!$N$22,IF(NOT(ISBLANK(KPI_TARGETS!$F$22)),KPI_TARGETS!$F$22,"")),"")</f>
        <v>1</v>
      </c>
      <c r="N1786" s="36" t="str">
        <f>IFERROR(KPI_TARGETS!$E$22,"Higher is better")</f>
        <v>Higher is better</v>
      </c>
      <c r="O1786" s="37">
        <f t="shared" ca="1" si="162"/>
        <v>0</v>
      </c>
      <c r="P1786" t="str">
        <f t="shared" ca="1" si="163"/>
        <v>Red</v>
      </c>
      <c r="Q1786" s="36">
        <f t="shared" ca="1" si="164"/>
        <v>-1</v>
      </c>
      <c r="R1786" s="36" t="str">
        <f>""</f>
        <v/>
      </c>
      <c r="S1786" s="36" t="str">
        <f>""</f>
        <v/>
      </c>
      <c r="T1786" s="36" t="str">
        <f>""</f>
        <v/>
      </c>
      <c r="U1786" s="36" t="str">
        <f>""</f>
        <v/>
      </c>
      <c r="V1786" s="36" t="str">
        <f>""</f>
        <v/>
      </c>
      <c r="W1786" s="36">
        <f t="shared" si="165"/>
        <v>1</v>
      </c>
      <c r="X1786" t="str">
        <f t="shared" si="166"/>
        <v>Inactive</v>
      </c>
      <c r="Y1786" t="str">
        <f>IF(MAIN!$H$3="Selected Year",IF(A1786=MAIN!$B$3,"Yes","No"),IF(MAIN!$H$3="Included Years",IF(D1786="Yes","Yes","No"),IF(C1786="Yes","Yes","No")))</f>
        <v>No</v>
      </c>
      <c r="Z1786" t="str">
        <f>IF(MAIN!$F$3="Project to Date",IF(AND(A1786&gt;=SETTINGS!$B$4,A1786&lt;MAIN!$B$3),"Yes",IF(AND(A1786=MAIN!$B$3,E1786&lt;=MAIN!$L$3),"Yes","No")),IF(OR(MAIN!$F$3="Full Year",MAIN!$D$3="All"),"Yes",IF(MAIN!$F$3="Monthly",IF(E1786=MAIN!$L$3,"Yes","No"),IF(E1786&lt;=MAIN!$L$3,"Yes","No"))))</f>
        <v>Yes</v>
      </c>
      <c r="AA1786" t="str">
        <f t="shared" si="167"/>
        <v>No</v>
      </c>
    </row>
    <row r="1787" spans="1:27" x14ac:dyDescent="0.3">
      <c r="A1787">
        <f>INDEX(SETTINGS!$A$15:$A$24,$B1787)</f>
        <v>2032</v>
      </c>
      <c r="B1787">
        <v>8</v>
      </c>
      <c r="C1787" t="str">
        <f>IF(AND(A1787&gt;=SETTINGS!$B$4,A1787&lt;=SETTINGS!$B$5),"Yes","No")</f>
        <v>No</v>
      </c>
      <c r="D1787" t="str">
        <f>IFERROR(INDEX(SETTINGS!$C$15:$C$24,MATCH(A1787,SETTINGS!$A$15:$A$24,0)),"No")</f>
        <v>No</v>
      </c>
      <c r="E1787">
        <v>10</v>
      </c>
      <c r="F1787" t="s">
        <v>43</v>
      </c>
      <c r="G1787">
        <v>246</v>
      </c>
      <c r="H1787" t="s">
        <v>112</v>
      </c>
      <c r="I1787" t="s">
        <v>30</v>
      </c>
      <c r="J1787" t="s">
        <v>33</v>
      </c>
      <c r="K1787" t="s">
        <v>34</v>
      </c>
      <c r="L1787" s="36">
        <f ca="1">IF(C1787&lt;&gt;"Yes",0,IF(A1787=2025,N('2025'!D246),IF(A1787=2026,N('2026'!D246),IF(A1787=2027,N('2027'!D246),IF(A1787=2028,N('2028'!D246),IF(A1787=2029,N('2029'!D246),IF(A1787=2030,N('2030'!D246),IF(A1787=2031,N('2031'!D246),IF(A1787=2032,N('2032'!D246),IF(A1787=2033,N('2033'!D246),IF(A1787=2034,N('2034'!D246),IFERROR(N(INDIRECT("'"&amp;A1787&amp;"'!D"&amp;G1787)),0))))))))))))</f>
        <v>0</v>
      </c>
      <c r="M1787" s="36">
        <f>IFERROR(IF(NOT(ISBLANK(KPI_TARGETS!$N$23)),KPI_TARGETS!$N$23,IF(NOT(ISBLANK(KPI_TARGETS!$F$23)),KPI_TARGETS!$F$23,"")),"")</f>
        <v>1</v>
      </c>
      <c r="N1787" s="36" t="str">
        <f>IFERROR(KPI_TARGETS!$E$23,"Higher is better")</f>
        <v>Higher is better</v>
      </c>
      <c r="O1787" s="37">
        <f t="shared" ca="1" si="162"/>
        <v>0</v>
      </c>
      <c r="P1787" t="str">
        <f t="shared" ca="1" si="163"/>
        <v>Red</v>
      </c>
      <c r="Q1787" s="36">
        <f t="shared" ca="1" si="164"/>
        <v>-1</v>
      </c>
      <c r="R1787" s="36" t="str">
        <f>""</f>
        <v/>
      </c>
      <c r="S1787" s="36" t="str">
        <f>""</f>
        <v/>
      </c>
      <c r="T1787" s="36" t="str">
        <f>""</f>
        <v/>
      </c>
      <c r="U1787" s="36" t="str">
        <f>""</f>
        <v/>
      </c>
      <c r="V1787" s="36" t="str">
        <f>""</f>
        <v/>
      </c>
      <c r="W1787" s="36">
        <f t="shared" si="165"/>
        <v>1</v>
      </c>
      <c r="X1787" t="str">
        <f t="shared" si="166"/>
        <v>Inactive</v>
      </c>
      <c r="Y1787" t="str">
        <f>IF(MAIN!$H$3="Selected Year",IF(A1787=MAIN!$B$3,"Yes","No"),IF(MAIN!$H$3="Included Years",IF(D1787="Yes","Yes","No"),IF(C1787="Yes","Yes","No")))</f>
        <v>No</v>
      </c>
      <c r="Z1787" t="str">
        <f>IF(MAIN!$F$3="Project to Date",IF(AND(A1787&gt;=SETTINGS!$B$4,A1787&lt;MAIN!$B$3),"Yes",IF(AND(A1787=MAIN!$B$3,E1787&lt;=MAIN!$L$3),"Yes","No")),IF(OR(MAIN!$F$3="Full Year",MAIN!$D$3="All"),"Yes",IF(MAIN!$F$3="Monthly",IF(E1787=MAIN!$L$3,"Yes","No"),IF(E1787&lt;=MAIN!$L$3,"Yes","No"))))</f>
        <v>Yes</v>
      </c>
      <c r="AA1787" t="str">
        <f t="shared" si="167"/>
        <v>No</v>
      </c>
    </row>
    <row r="1788" spans="1:27" x14ac:dyDescent="0.3">
      <c r="A1788">
        <f>INDEX(SETTINGS!$A$15:$A$24,$B1788)</f>
        <v>2032</v>
      </c>
      <c r="B1788">
        <v>8</v>
      </c>
      <c r="C1788" t="str">
        <f>IF(AND(A1788&gt;=SETTINGS!$B$4,A1788&lt;=SETTINGS!$B$5),"Yes","No")</f>
        <v>No</v>
      </c>
      <c r="D1788" t="str">
        <f>IFERROR(INDEX(SETTINGS!$C$15:$C$24,MATCH(A1788,SETTINGS!$A$15:$A$24,0)),"No")</f>
        <v>No</v>
      </c>
      <c r="E1788">
        <v>11</v>
      </c>
      <c r="F1788" t="s">
        <v>44</v>
      </c>
      <c r="G1788">
        <v>249</v>
      </c>
      <c r="H1788" t="s">
        <v>88</v>
      </c>
      <c r="I1788" t="s">
        <v>89</v>
      </c>
      <c r="J1788" t="s">
        <v>10</v>
      </c>
      <c r="K1788" t="s">
        <v>3</v>
      </c>
      <c r="L1788" s="36">
        <f ca="1">IF(C1788&lt;&gt;"Yes",0,IF(A1788=2025,N('2025'!D249),IF(A1788=2026,N('2026'!D249),IF(A1788=2027,N('2027'!D249),IF(A1788=2028,N('2028'!D249),IF(A1788=2029,N('2029'!D249),IF(A1788=2030,N('2030'!D249),IF(A1788=2031,N('2031'!D249),IF(A1788=2032,N('2032'!D249),IF(A1788=2033,N('2033'!D249),IF(A1788=2034,N('2034'!D249),IFERROR(N(INDIRECT("'"&amp;A1788&amp;"'!D"&amp;G1788)),0))))))))))))</f>
        <v>0</v>
      </c>
      <c r="M1788" s="36">
        <f>IFERROR(IF(NOT(ISBLANK(KPI_TARGETS!$N$5)),KPI_TARGETS!$N$5,IF(NOT(ISBLANK(KPI_TARGETS!$F$5)),KPI_TARGETS!$F$5,"")),"")</f>
        <v>104</v>
      </c>
      <c r="N1788" s="36" t="str">
        <f>IFERROR(KPI_TARGETS!$E$5,"Higher is better")</f>
        <v>Higher is better</v>
      </c>
      <c r="O1788" s="37">
        <f t="shared" ca="1" si="162"/>
        <v>0</v>
      </c>
      <c r="P1788" t="str">
        <f t="shared" ca="1" si="163"/>
        <v>Red</v>
      </c>
      <c r="Q1788" s="36">
        <f t="shared" ca="1" si="164"/>
        <v>-104</v>
      </c>
      <c r="R1788" s="36" t="str">
        <f>""</f>
        <v/>
      </c>
      <c r="S1788" s="36" t="str">
        <f>""</f>
        <v/>
      </c>
      <c r="T1788" s="36" t="str">
        <f>""</f>
        <v/>
      </c>
      <c r="U1788" s="36" t="str">
        <f>""</f>
        <v/>
      </c>
      <c r="V1788" s="36" t="str">
        <f>""</f>
        <v/>
      </c>
      <c r="W1788" s="36">
        <f t="shared" si="165"/>
        <v>1</v>
      </c>
      <c r="X1788" t="str">
        <f t="shared" si="166"/>
        <v>Inactive</v>
      </c>
      <c r="Y1788" t="str">
        <f>IF(MAIN!$H$3="Selected Year",IF(A1788=MAIN!$B$3,"Yes","No"),IF(MAIN!$H$3="Included Years",IF(D1788="Yes","Yes","No"),IF(C1788="Yes","Yes","No")))</f>
        <v>No</v>
      </c>
      <c r="Z1788" t="str">
        <f>IF(MAIN!$F$3="Project to Date",IF(AND(A1788&gt;=SETTINGS!$B$4,A1788&lt;MAIN!$B$3),"Yes",IF(AND(A1788=MAIN!$B$3,E1788&lt;=MAIN!$L$3),"Yes","No")),IF(OR(MAIN!$F$3="Full Year",MAIN!$D$3="All"),"Yes",IF(MAIN!$F$3="Monthly",IF(E1788=MAIN!$L$3,"Yes","No"),IF(E1788&lt;=MAIN!$L$3,"Yes","No"))))</f>
        <v>Yes</v>
      </c>
      <c r="AA1788" t="str">
        <f t="shared" si="167"/>
        <v>No</v>
      </c>
    </row>
    <row r="1789" spans="1:27" x14ac:dyDescent="0.3">
      <c r="A1789">
        <f>INDEX(SETTINGS!$A$15:$A$24,$B1789)</f>
        <v>2032</v>
      </c>
      <c r="B1789">
        <v>8</v>
      </c>
      <c r="C1789" t="str">
        <f>IF(AND(A1789&gt;=SETTINGS!$B$4,A1789&lt;=SETTINGS!$B$5),"Yes","No")</f>
        <v>No</v>
      </c>
      <c r="D1789" t="str">
        <f>IFERROR(INDEX(SETTINGS!$C$15:$C$24,MATCH(A1789,SETTINGS!$A$15:$A$24,0)),"No")</f>
        <v>No</v>
      </c>
      <c r="E1789">
        <v>11</v>
      </c>
      <c r="F1789" t="s">
        <v>44</v>
      </c>
      <c r="G1789">
        <v>250</v>
      </c>
      <c r="H1789" t="s">
        <v>91</v>
      </c>
      <c r="I1789" t="s">
        <v>89</v>
      </c>
      <c r="J1789" t="s">
        <v>11</v>
      </c>
      <c r="K1789" t="s">
        <v>12</v>
      </c>
      <c r="L1789" s="36">
        <f ca="1">IF(C1789&lt;&gt;"Yes",0,IF(A1789=2025,N('2025'!D250),IF(A1789=2026,N('2026'!D250),IF(A1789=2027,N('2027'!D250),IF(A1789=2028,N('2028'!D250),IF(A1789=2029,N('2029'!D250),IF(A1789=2030,N('2030'!D250),IF(A1789=2031,N('2031'!D250),IF(A1789=2032,N('2032'!D250),IF(A1789=2033,N('2033'!D250),IF(A1789=2034,N('2034'!D250),IFERROR(N(INDIRECT("'"&amp;A1789&amp;"'!D"&amp;G1789)),0))))))))))))</f>
        <v>0</v>
      </c>
      <c r="M1789" s="36">
        <f>IFERROR(IF(NOT(ISBLANK(KPI_TARGETS!$N$6)),KPI_TARGETS!$N$6,IF(NOT(ISBLANK(KPI_TARGETS!$F$6)),KPI_TARGETS!$F$6,"")),"")</f>
        <v>4000</v>
      </c>
      <c r="N1789" s="36" t="str">
        <f>IFERROR(KPI_TARGETS!$E$6,"Higher is better")</f>
        <v>Higher is better</v>
      </c>
      <c r="O1789" s="37">
        <f t="shared" ca="1" si="162"/>
        <v>0</v>
      </c>
      <c r="P1789" t="str">
        <f t="shared" ca="1" si="163"/>
        <v>Red</v>
      </c>
      <c r="Q1789" s="36">
        <f t="shared" ca="1" si="164"/>
        <v>-4000</v>
      </c>
      <c r="R1789" s="36" t="str">
        <f>""</f>
        <v/>
      </c>
      <c r="S1789" s="36" t="str">
        <f>""</f>
        <v/>
      </c>
      <c r="T1789" s="36" t="str">
        <f>""</f>
        <v/>
      </c>
      <c r="U1789" s="36" t="str">
        <f>""</f>
        <v/>
      </c>
      <c r="V1789" s="36" t="str">
        <f>""</f>
        <v/>
      </c>
      <c r="W1789" s="36">
        <f t="shared" si="165"/>
        <v>1</v>
      </c>
      <c r="X1789" t="str">
        <f t="shared" si="166"/>
        <v>Inactive</v>
      </c>
      <c r="Y1789" t="str">
        <f>IF(MAIN!$H$3="Selected Year",IF(A1789=MAIN!$B$3,"Yes","No"),IF(MAIN!$H$3="Included Years",IF(D1789="Yes","Yes","No"),IF(C1789="Yes","Yes","No")))</f>
        <v>No</v>
      </c>
      <c r="Z1789" t="str">
        <f>IF(MAIN!$F$3="Project to Date",IF(AND(A1789&gt;=SETTINGS!$B$4,A1789&lt;MAIN!$B$3),"Yes",IF(AND(A1789=MAIN!$B$3,E1789&lt;=MAIN!$L$3),"Yes","No")),IF(OR(MAIN!$F$3="Full Year",MAIN!$D$3="All"),"Yes",IF(MAIN!$F$3="Monthly",IF(E1789=MAIN!$L$3,"Yes","No"),IF(E1789&lt;=MAIN!$L$3,"Yes","No"))))</f>
        <v>Yes</v>
      </c>
      <c r="AA1789" t="str">
        <f t="shared" si="167"/>
        <v>No</v>
      </c>
    </row>
    <row r="1790" spans="1:27" x14ac:dyDescent="0.3">
      <c r="A1790">
        <f>INDEX(SETTINGS!$A$15:$A$24,$B1790)</f>
        <v>2032</v>
      </c>
      <c r="B1790">
        <v>8</v>
      </c>
      <c r="C1790" t="str">
        <f>IF(AND(A1790&gt;=SETTINGS!$B$4,A1790&lt;=SETTINGS!$B$5),"Yes","No")</f>
        <v>No</v>
      </c>
      <c r="D1790" t="str">
        <f>IFERROR(INDEX(SETTINGS!$C$15:$C$24,MATCH(A1790,SETTINGS!$A$15:$A$24,0)),"No")</f>
        <v>No</v>
      </c>
      <c r="E1790">
        <v>11</v>
      </c>
      <c r="F1790" t="s">
        <v>44</v>
      </c>
      <c r="G1790">
        <v>251</v>
      </c>
      <c r="H1790" t="s">
        <v>93</v>
      </c>
      <c r="I1790" t="s">
        <v>89</v>
      </c>
      <c r="J1790" t="s">
        <v>13</v>
      </c>
      <c r="K1790" t="s">
        <v>14</v>
      </c>
      <c r="L1790" s="36">
        <f ca="1">IF(C1790&lt;&gt;"Yes",0,IF(A1790=2025,N('2025'!D251),IF(A1790=2026,N('2026'!D251),IF(A1790=2027,N('2027'!D251),IF(A1790=2028,N('2028'!D251),IF(A1790=2029,N('2029'!D251),IF(A1790=2030,N('2030'!D251),IF(A1790=2031,N('2031'!D251),IF(A1790=2032,N('2032'!D251),IF(A1790=2033,N('2033'!D251),IF(A1790=2034,N('2034'!D251),IFERROR(N(INDIRECT("'"&amp;A1790&amp;"'!D"&amp;G1790)),0))))))))))))</f>
        <v>0</v>
      </c>
      <c r="M1790" s="36">
        <f>IFERROR(IF(NOT(ISBLANK(KPI_TARGETS!$N$7)),KPI_TARGETS!$N$7,IF(NOT(ISBLANK(KPI_TARGETS!$F$7)),KPI_TARGETS!$F$7,"")),"")</f>
        <v>8000</v>
      </c>
      <c r="N1790" s="36" t="str">
        <f>IFERROR(KPI_TARGETS!$E$7,"Higher is better")</f>
        <v>Higher is better</v>
      </c>
      <c r="O1790" s="37">
        <f t="shared" ca="1" si="162"/>
        <v>0</v>
      </c>
      <c r="P1790" t="str">
        <f t="shared" ca="1" si="163"/>
        <v>Red</v>
      </c>
      <c r="Q1790" s="36">
        <f t="shared" ca="1" si="164"/>
        <v>-8000</v>
      </c>
      <c r="R1790" s="36" t="str">
        <f>""</f>
        <v/>
      </c>
      <c r="S1790" s="36" t="str">
        <f>""</f>
        <v/>
      </c>
      <c r="T1790" s="36" t="str">
        <f>""</f>
        <v/>
      </c>
      <c r="U1790" s="36" t="str">
        <f>""</f>
        <v/>
      </c>
      <c r="V1790" s="36" t="str">
        <f>""</f>
        <v/>
      </c>
      <c r="W1790" s="36">
        <f t="shared" si="165"/>
        <v>1</v>
      </c>
      <c r="X1790" t="str">
        <f t="shared" si="166"/>
        <v>Inactive</v>
      </c>
      <c r="Y1790" t="str">
        <f>IF(MAIN!$H$3="Selected Year",IF(A1790=MAIN!$B$3,"Yes","No"),IF(MAIN!$H$3="Included Years",IF(D1790="Yes","Yes","No"),IF(C1790="Yes","Yes","No")))</f>
        <v>No</v>
      </c>
      <c r="Z1790" t="str">
        <f>IF(MAIN!$F$3="Project to Date",IF(AND(A1790&gt;=SETTINGS!$B$4,A1790&lt;MAIN!$B$3),"Yes",IF(AND(A1790=MAIN!$B$3,E1790&lt;=MAIN!$L$3),"Yes","No")),IF(OR(MAIN!$F$3="Full Year",MAIN!$D$3="All"),"Yes",IF(MAIN!$F$3="Monthly",IF(E1790=MAIN!$L$3,"Yes","No"),IF(E1790&lt;=MAIN!$L$3,"Yes","No"))))</f>
        <v>Yes</v>
      </c>
      <c r="AA1790" t="str">
        <f t="shared" si="167"/>
        <v>No</v>
      </c>
    </row>
    <row r="1791" spans="1:27" x14ac:dyDescent="0.3">
      <c r="A1791">
        <f>INDEX(SETTINGS!$A$15:$A$24,$B1791)</f>
        <v>2032</v>
      </c>
      <c r="B1791">
        <v>8</v>
      </c>
      <c r="C1791" t="str">
        <f>IF(AND(A1791&gt;=SETTINGS!$B$4,A1791&lt;=SETTINGS!$B$5),"Yes","No")</f>
        <v>No</v>
      </c>
      <c r="D1791" t="str">
        <f>IFERROR(INDEX(SETTINGS!$C$15:$C$24,MATCH(A1791,SETTINGS!$A$15:$A$24,0)),"No")</f>
        <v>No</v>
      </c>
      <c r="E1791">
        <v>11</v>
      </c>
      <c r="F1791" t="s">
        <v>44</v>
      </c>
      <c r="G1791">
        <v>253</v>
      </c>
      <c r="H1791" t="s">
        <v>95</v>
      </c>
      <c r="I1791" t="s">
        <v>15</v>
      </c>
      <c r="J1791" t="s">
        <v>16</v>
      </c>
      <c r="K1791" t="s">
        <v>3</v>
      </c>
      <c r="L1791" s="36">
        <f ca="1">IF(C1791&lt;&gt;"Yes",0,IF(A1791=2025,N('2025'!D253),IF(A1791=2026,N('2026'!D253),IF(A1791=2027,N('2027'!D253),IF(A1791=2028,N('2028'!D253),IF(A1791=2029,N('2029'!D253),IF(A1791=2030,N('2030'!D253),IF(A1791=2031,N('2031'!D253),IF(A1791=2032,N('2032'!D253),IF(A1791=2033,N('2033'!D253),IF(A1791=2034,N('2034'!D253),IFERROR(N(INDIRECT("'"&amp;A1791&amp;"'!D"&amp;G1791)),0))))))))))))</f>
        <v>0</v>
      </c>
      <c r="M1791" s="36">
        <f>IFERROR(IF(NOT(ISBLANK(KPI_TARGETS!$N$8)),KPI_TARGETS!$N$8,IF(NOT(ISBLANK(KPI_TARGETS!$F$8)),KPI_TARGETS!$F$8,"")),"")</f>
        <v>0</v>
      </c>
      <c r="N1791" s="36" t="str">
        <f>IFERROR(KPI_TARGETS!$E$8,"Higher is better")</f>
        <v>Lower is better</v>
      </c>
      <c r="O1791" s="37">
        <f t="shared" ca="1" si="162"/>
        <v>1</v>
      </c>
      <c r="P1791" t="str">
        <f t="shared" ca="1" si="163"/>
        <v>Green</v>
      </c>
      <c r="Q1791" s="36">
        <f t="shared" ca="1" si="164"/>
        <v>0</v>
      </c>
      <c r="R1791" s="36" t="str">
        <f>""</f>
        <v/>
      </c>
      <c r="S1791" s="36" t="str">
        <f>""</f>
        <v/>
      </c>
      <c r="T1791" s="36" t="str">
        <f>""</f>
        <v/>
      </c>
      <c r="U1791" s="36" t="str">
        <f>""</f>
        <v/>
      </c>
      <c r="V1791" s="36" t="str">
        <f>""</f>
        <v/>
      </c>
      <c r="W1791" s="36">
        <f t="shared" si="165"/>
        <v>1</v>
      </c>
      <c r="X1791" t="str">
        <f t="shared" si="166"/>
        <v>Inactive</v>
      </c>
      <c r="Y1791" t="str">
        <f>IF(MAIN!$H$3="Selected Year",IF(A1791=MAIN!$B$3,"Yes","No"),IF(MAIN!$H$3="Included Years",IF(D1791="Yes","Yes","No"),IF(C1791="Yes","Yes","No")))</f>
        <v>No</v>
      </c>
      <c r="Z1791" t="str">
        <f>IF(MAIN!$F$3="Project to Date",IF(AND(A1791&gt;=SETTINGS!$B$4,A1791&lt;MAIN!$B$3),"Yes",IF(AND(A1791=MAIN!$B$3,E1791&lt;=MAIN!$L$3),"Yes","No")),IF(OR(MAIN!$F$3="Full Year",MAIN!$D$3="All"),"Yes",IF(MAIN!$F$3="Monthly",IF(E1791=MAIN!$L$3,"Yes","No"),IF(E1791&lt;=MAIN!$L$3,"Yes","No"))))</f>
        <v>Yes</v>
      </c>
      <c r="AA1791" t="str">
        <f t="shared" si="167"/>
        <v>No</v>
      </c>
    </row>
    <row r="1792" spans="1:27" x14ac:dyDescent="0.3">
      <c r="A1792">
        <f>INDEX(SETTINGS!$A$15:$A$24,$B1792)</f>
        <v>2032</v>
      </c>
      <c r="B1792">
        <v>8</v>
      </c>
      <c r="C1792" t="str">
        <f>IF(AND(A1792&gt;=SETTINGS!$B$4,A1792&lt;=SETTINGS!$B$5),"Yes","No")</f>
        <v>No</v>
      </c>
      <c r="D1792" t="str">
        <f>IFERROR(INDEX(SETTINGS!$C$15:$C$24,MATCH(A1792,SETTINGS!$A$15:$A$24,0)),"No")</f>
        <v>No</v>
      </c>
      <c r="E1792">
        <v>11</v>
      </c>
      <c r="F1792" t="s">
        <v>44</v>
      </c>
      <c r="G1792">
        <v>254</v>
      </c>
      <c r="H1792" t="s">
        <v>97</v>
      </c>
      <c r="I1792" t="s">
        <v>15</v>
      </c>
      <c r="J1792" t="s">
        <v>17</v>
      </c>
      <c r="K1792" t="s">
        <v>3</v>
      </c>
      <c r="L1792" s="36">
        <f ca="1">IF(C1792&lt;&gt;"Yes",0,IF(A1792=2025,N('2025'!D254),IF(A1792=2026,N('2026'!D254),IF(A1792=2027,N('2027'!D254),IF(A1792=2028,N('2028'!D254),IF(A1792=2029,N('2029'!D254),IF(A1792=2030,N('2030'!D254),IF(A1792=2031,N('2031'!D254),IF(A1792=2032,N('2032'!D254),IF(A1792=2033,N('2033'!D254),IF(A1792=2034,N('2034'!D254),IFERROR(N(INDIRECT("'"&amp;A1792&amp;"'!D"&amp;G1792)),0))))))))))))</f>
        <v>0</v>
      </c>
      <c r="M1792" s="36">
        <f>IFERROR(IF(NOT(ISBLANK(KPI_TARGETS!$N$9)),KPI_TARGETS!$N$9,IF(NOT(ISBLANK(KPI_TARGETS!$F$9)),KPI_TARGETS!$F$9,"")),"")</f>
        <v>0</v>
      </c>
      <c r="N1792" s="36" t="str">
        <f>IFERROR(KPI_TARGETS!$E$9,"Higher is better")</f>
        <v>Higher is better</v>
      </c>
      <c r="O1792" s="37" t="str">
        <f t="shared" ca="1" si="162"/>
        <v/>
      </c>
      <c r="P1792" t="str">
        <f t="shared" ca="1" si="163"/>
        <v>Green</v>
      </c>
      <c r="Q1792" s="36">
        <f t="shared" ca="1" si="164"/>
        <v>0</v>
      </c>
      <c r="R1792" s="36" t="str">
        <f>""</f>
        <v/>
      </c>
      <c r="S1792" s="36" t="str">
        <f>""</f>
        <v/>
      </c>
      <c r="T1792" s="36" t="str">
        <f>""</f>
        <v/>
      </c>
      <c r="U1792" s="36" t="str">
        <f>""</f>
        <v/>
      </c>
      <c r="V1792" s="36" t="str">
        <f>""</f>
        <v/>
      </c>
      <c r="W1792" s="36">
        <f t="shared" si="165"/>
        <v>1</v>
      </c>
      <c r="X1792" t="str">
        <f t="shared" si="166"/>
        <v>Inactive</v>
      </c>
      <c r="Y1792" t="str">
        <f>IF(MAIN!$H$3="Selected Year",IF(A1792=MAIN!$B$3,"Yes","No"),IF(MAIN!$H$3="Included Years",IF(D1792="Yes","Yes","No"),IF(C1792="Yes","Yes","No")))</f>
        <v>No</v>
      </c>
      <c r="Z1792" t="str">
        <f>IF(MAIN!$F$3="Project to Date",IF(AND(A1792&gt;=SETTINGS!$B$4,A1792&lt;MAIN!$B$3),"Yes",IF(AND(A1792=MAIN!$B$3,E1792&lt;=MAIN!$L$3),"Yes","No")),IF(OR(MAIN!$F$3="Full Year",MAIN!$D$3="All"),"Yes",IF(MAIN!$F$3="Monthly",IF(E1792=MAIN!$L$3,"Yes","No"),IF(E1792&lt;=MAIN!$L$3,"Yes","No"))))</f>
        <v>Yes</v>
      </c>
      <c r="AA1792" t="str">
        <f t="shared" si="167"/>
        <v>No</v>
      </c>
    </row>
    <row r="1793" spans="1:27" x14ac:dyDescent="0.3">
      <c r="A1793">
        <f>INDEX(SETTINGS!$A$15:$A$24,$B1793)</f>
        <v>2032</v>
      </c>
      <c r="B1793">
        <v>8</v>
      </c>
      <c r="C1793" t="str">
        <f>IF(AND(A1793&gt;=SETTINGS!$B$4,A1793&lt;=SETTINGS!$B$5),"Yes","No")</f>
        <v>No</v>
      </c>
      <c r="D1793" t="str">
        <f>IFERROR(INDEX(SETTINGS!$C$15:$C$24,MATCH(A1793,SETTINGS!$A$15:$A$24,0)),"No")</f>
        <v>No</v>
      </c>
      <c r="E1793">
        <v>11</v>
      </c>
      <c r="F1793" t="s">
        <v>44</v>
      </c>
      <c r="G1793">
        <v>255</v>
      </c>
      <c r="H1793" t="s">
        <v>99</v>
      </c>
      <c r="I1793" t="s">
        <v>15</v>
      </c>
      <c r="J1793" t="s">
        <v>18</v>
      </c>
      <c r="K1793" t="s">
        <v>3</v>
      </c>
      <c r="L1793" s="36">
        <f ca="1">IF(C1793&lt;&gt;"Yes",0,IF(A1793=2025,N('2025'!D255),IF(A1793=2026,N('2026'!D255),IF(A1793=2027,N('2027'!D255),IF(A1793=2028,N('2028'!D255),IF(A1793=2029,N('2029'!D255),IF(A1793=2030,N('2030'!D255),IF(A1793=2031,N('2031'!D255),IF(A1793=2032,N('2032'!D255),IF(A1793=2033,N('2033'!D255),IF(A1793=2034,N('2034'!D255),IFERROR(N(INDIRECT("'"&amp;A1793&amp;"'!D"&amp;G1793)),0))))))))))))</f>
        <v>0</v>
      </c>
      <c r="M1793" s="36">
        <f>IFERROR(IF(NOT(ISBLANK(KPI_TARGETS!$N$10)),KPI_TARGETS!$N$10,IF(NOT(ISBLANK(KPI_TARGETS!$F$10)),KPI_TARGETS!$F$10,"")),"")</f>
        <v>0</v>
      </c>
      <c r="N1793" s="36" t="str">
        <f>IFERROR(KPI_TARGETS!$E$10,"Higher is better")</f>
        <v>Lower is better</v>
      </c>
      <c r="O1793" s="37">
        <f t="shared" ca="1" si="162"/>
        <v>1</v>
      </c>
      <c r="P1793" t="str">
        <f t="shared" ca="1" si="163"/>
        <v>Green</v>
      </c>
      <c r="Q1793" s="36">
        <f t="shared" ca="1" si="164"/>
        <v>0</v>
      </c>
      <c r="R1793" s="36" t="str">
        <f>""</f>
        <v/>
      </c>
      <c r="S1793" s="36" t="str">
        <f>""</f>
        <v/>
      </c>
      <c r="T1793" s="36" t="str">
        <f>""</f>
        <v/>
      </c>
      <c r="U1793" s="36" t="str">
        <f>""</f>
        <v/>
      </c>
      <c r="V1793" s="36" t="str">
        <f>""</f>
        <v/>
      </c>
      <c r="W1793" s="36">
        <f t="shared" si="165"/>
        <v>1</v>
      </c>
      <c r="X1793" t="str">
        <f t="shared" si="166"/>
        <v>Inactive</v>
      </c>
      <c r="Y1793" t="str">
        <f>IF(MAIN!$H$3="Selected Year",IF(A1793=MAIN!$B$3,"Yes","No"),IF(MAIN!$H$3="Included Years",IF(D1793="Yes","Yes","No"),IF(C1793="Yes","Yes","No")))</f>
        <v>No</v>
      </c>
      <c r="Z1793" t="str">
        <f>IF(MAIN!$F$3="Project to Date",IF(AND(A1793&gt;=SETTINGS!$B$4,A1793&lt;MAIN!$B$3),"Yes",IF(AND(A1793=MAIN!$B$3,E1793&lt;=MAIN!$L$3),"Yes","No")),IF(OR(MAIN!$F$3="Full Year",MAIN!$D$3="All"),"Yes",IF(MAIN!$F$3="Monthly",IF(E1793=MAIN!$L$3,"Yes","No"),IF(E1793&lt;=MAIN!$L$3,"Yes","No"))))</f>
        <v>Yes</v>
      </c>
      <c r="AA1793" t="str">
        <f t="shared" si="167"/>
        <v>No</v>
      </c>
    </row>
    <row r="1794" spans="1:27" x14ac:dyDescent="0.3">
      <c r="A1794">
        <f>INDEX(SETTINGS!$A$15:$A$24,$B1794)</f>
        <v>2032</v>
      </c>
      <c r="B1794">
        <v>8</v>
      </c>
      <c r="C1794" t="str">
        <f>IF(AND(A1794&gt;=SETTINGS!$B$4,A1794&lt;=SETTINGS!$B$5),"Yes","No")</f>
        <v>No</v>
      </c>
      <c r="D1794" t="str">
        <f>IFERROR(INDEX(SETTINGS!$C$15:$C$24,MATCH(A1794,SETTINGS!$A$15:$A$24,0)),"No")</f>
        <v>No</v>
      </c>
      <c r="E1794">
        <v>11</v>
      </c>
      <c r="F1794" t="s">
        <v>44</v>
      </c>
      <c r="G1794">
        <v>256</v>
      </c>
      <c r="H1794" t="s">
        <v>100</v>
      </c>
      <c r="I1794" t="s">
        <v>15</v>
      </c>
      <c r="J1794" t="s">
        <v>19</v>
      </c>
      <c r="K1794" t="s">
        <v>3</v>
      </c>
      <c r="L1794" s="36">
        <f ca="1">IF(C1794&lt;&gt;"Yes",0,IF(A1794=2025,N('2025'!D256),IF(A1794=2026,N('2026'!D256),IF(A1794=2027,N('2027'!D256),IF(A1794=2028,N('2028'!D256),IF(A1794=2029,N('2029'!D256),IF(A1794=2030,N('2030'!D256),IF(A1794=2031,N('2031'!D256),IF(A1794=2032,N('2032'!D256),IF(A1794=2033,N('2033'!D256),IF(A1794=2034,N('2034'!D256),IFERROR(N(INDIRECT("'"&amp;A1794&amp;"'!D"&amp;G1794)),0))))))))))))</f>
        <v>0</v>
      </c>
      <c r="M1794" s="36">
        <f>IFERROR(IF(NOT(ISBLANK(KPI_TARGETS!$N$11)),KPI_TARGETS!$N$11,IF(NOT(ISBLANK(KPI_TARGETS!$F$11)),KPI_TARGETS!$F$11,"")),"")</f>
        <v>0</v>
      </c>
      <c r="N1794" s="36" t="str">
        <f>IFERROR(KPI_TARGETS!$E$11,"Higher is better")</f>
        <v>Lower is better</v>
      </c>
      <c r="O1794" s="37">
        <f t="shared" ref="O1794:O1857" ca="1" si="168">IF(M1794="","",IF(N1794="Higher is better",IFERROR(L1794/M1794,""),IF(L1794=0,1,IFERROR(M1794/L1794,""))))</f>
        <v>1</v>
      </c>
      <c r="P1794" t="str">
        <f t="shared" ref="P1794:P1857" ca="1" si="169">IF(M1794="","Target Needed",IF(N1794="Higher is better",IF(L1794&gt;=M1794,"Green",IF(L1794&gt;=0.8*M1794,"Amber","Red")),IF(M1794=0,IF(L1794=0,"Green","Red"),IF(L1794&lt;=M1794,"Green",IF(L1794&lt;=1.25*M1794,"Amber","Red")))))</f>
        <v>Green</v>
      </c>
      <c r="Q1794" s="36">
        <f t="shared" ref="Q1794:Q1857" ca="1" si="170">IF(M1794="","",IF(N1794="Higher is better",L1794-M1794,M1794-L1794))</f>
        <v>0</v>
      </c>
      <c r="R1794" s="36" t="str">
        <f>""</f>
        <v/>
      </c>
      <c r="S1794" s="36" t="str">
        <f>""</f>
        <v/>
      </c>
      <c r="T1794" s="36" t="str">
        <f>""</f>
        <v/>
      </c>
      <c r="U1794" s="36" t="str">
        <f>""</f>
        <v/>
      </c>
      <c r="V1794" s="36" t="str">
        <f>""</f>
        <v/>
      </c>
      <c r="W1794" s="36">
        <f t="shared" ref="W1794:W1857" si="171">IF(LEN(M1794&amp;"")&gt;0,1,0)</f>
        <v>1</v>
      </c>
      <c r="X1794" t="str">
        <f t="shared" ref="X1794:X1857" si="172">IF(C1794&lt;&gt;"Yes","Inactive",IF(M1794="","Missing target","OK"))</f>
        <v>Inactive</v>
      </c>
      <c r="Y1794" t="str">
        <f>IF(MAIN!$H$3="Selected Year",IF(A1794=MAIN!$B$3,"Yes","No"),IF(MAIN!$H$3="Included Years",IF(D1794="Yes","Yes","No"),IF(C1794="Yes","Yes","No")))</f>
        <v>No</v>
      </c>
      <c r="Z1794" t="str">
        <f>IF(MAIN!$F$3="Project to Date",IF(AND(A1794&gt;=SETTINGS!$B$4,A1794&lt;MAIN!$B$3),"Yes",IF(AND(A1794=MAIN!$B$3,E1794&lt;=MAIN!$L$3),"Yes","No")),IF(OR(MAIN!$F$3="Full Year",MAIN!$D$3="All"),"Yes",IF(MAIN!$F$3="Monthly",IF(E1794=MAIN!$L$3,"Yes","No"),IF(E1794&lt;=MAIN!$L$3,"Yes","No"))))</f>
        <v>Yes</v>
      </c>
      <c r="AA1794" t="str">
        <f t="shared" ref="AA1794:AA1857" si="173">IF(AND(Y1794="Yes",Z1794="Yes"),"Yes","No")</f>
        <v>No</v>
      </c>
    </row>
    <row r="1795" spans="1:27" x14ac:dyDescent="0.3">
      <c r="A1795">
        <f>INDEX(SETTINGS!$A$15:$A$24,$B1795)</f>
        <v>2032</v>
      </c>
      <c r="B1795">
        <v>8</v>
      </c>
      <c r="C1795" t="str">
        <f>IF(AND(A1795&gt;=SETTINGS!$B$4,A1795&lt;=SETTINGS!$B$5),"Yes","No")</f>
        <v>No</v>
      </c>
      <c r="D1795" t="str">
        <f>IFERROR(INDEX(SETTINGS!$C$15:$C$24,MATCH(A1795,SETTINGS!$A$15:$A$24,0)),"No")</f>
        <v>No</v>
      </c>
      <c r="E1795">
        <v>11</v>
      </c>
      <c r="F1795" t="s">
        <v>44</v>
      </c>
      <c r="G1795">
        <v>257</v>
      </c>
      <c r="H1795" t="s">
        <v>101</v>
      </c>
      <c r="I1795" t="s">
        <v>15</v>
      </c>
      <c r="J1795" t="s">
        <v>20</v>
      </c>
      <c r="K1795" t="s">
        <v>3</v>
      </c>
      <c r="L1795" s="36">
        <f ca="1">IF(C1795&lt;&gt;"Yes",0,IF(A1795=2025,N('2025'!D257),IF(A1795=2026,N('2026'!D257),IF(A1795=2027,N('2027'!D257),IF(A1795=2028,N('2028'!D257),IF(A1795=2029,N('2029'!D257),IF(A1795=2030,N('2030'!D257),IF(A1795=2031,N('2031'!D257),IF(A1795=2032,N('2032'!D257),IF(A1795=2033,N('2033'!D257),IF(A1795=2034,N('2034'!D257),IFERROR(N(INDIRECT("'"&amp;A1795&amp;"'!D"&amp;G1795)),0))))))))))))</f>
        <v>0</v>
      </c>
      <c r="M1795" s="36">
        <f>IFERROR(IF(NOT(ISBLANK(KPI_TARGETS!$N$12)),KPI_TARGETS!$N$12,IF(NOT(ISBLANK(KPI_TARGETS!$F$12)),KPI_TARGETS!$F$12,"")),"")</f>
        <v>0</v>
      </c>
      <c r="N1795" s="36" t="str">
        <f>IFERROR(KPI_TARGETS!$E$12,"Higher is better")</f>
        <v>Lower is better</v>
      </c>
      <c r="O1795" s="37">
        <f t="shared" ca="1" si="168"/>
        <v>1</v>
      </c>
      <c r="P1795" t="str">
        <f t="shared" ca="1" si="169"/>
        <v>Green</v>
      </c>
      <c r="Q1795" s="36">
        <f t="shared" ca="1" si="170"/>
        <v>0</v>
      </c>
      <c r="R1795" s="36" t="str">
        <f>""</f>
        <v/>
      </c>
      <c r="S1795" s="36" t="str">
        <f>""</f>
        <v/>
      </c>
      <c r="T1795" s="36" t="str">
        <f>""</f>
        <v/>
      </c>
      <c r="U1795" s="36" t="str">
        <f>""</f>
        <v/>
      </c>
      <c r="V1795" s="36" t="str">
        <f>""</f>
        <v/>
      </c>
      <c r="W1795" s="36">
        <f t="shared" si="171"/>
        <v>1</v>
      </c>
      <c r="X1795" t="str">
        <f t="shared" si="172"/>
        <v>Inactive</v>
      </c>
      <c r="Y1795" t="str">
        <f>IF(MAIN!$H$3="Selected Year",IF(A1795=MAIN!$B$3,"Yes","No"),IF(MAIN!$H$3="Included Years",IF(D1795="Yes","Yes","No"),IF(C1795="Yes","Yes","No")))</f>
        <v>No</v>
      </c>
      <c r="Z1795" t="str">
        <f>IF(MAIN!$F$3="Project to Date",IF(AND(A1795&gt;=SETTINGS!$B$4,A1795&lt;MAIN!$B$3),"Yes",IF(AND(A1795=MAIN!$B$3,E1795&lt;=MAIN!$L$3),"Yes","No")),IF(OR(MAIN!$F$3="Full Year",MAIN!$D$3="All"),"Yes",IF(MAIN!$F$3="Monthly",IF(E1795=MAIN!$L$3,"Yes","No"),IF(E1795&lt;=MAIN!$L$3,"Yes","No"))))</f>
        <v>Yes</v>
      </c>
      <c r="AA1795" t="str">
        <f t="shared" si="173"/>
        <v>No</v>
      </c>
    </row>
    <row r="1796" spans="1:27" x14ac:dyDescent="0.3">
      <c r="A1796">
        <f>INDEX(SETTINGS!$A$15:$A$24,$B1796)</f>
        <v>2032</v>
      </c>
      <c r="B1796">
        <v>8</v>
      </c>
      <c r="C1796" t="str">
        <f>IF(AND(A1796&gt;=SETTINGS!$B$4,A1796&lt;=SETTINGS!$B$5),"Yes","No")</f>
        <v>No</v>
      </c>
      <c r="D1796" t="str">
        <f>IFERROR(INDEX(SETTINGS!$C$15:$C$24,MATCH(A1796,SETTINGS!$A$15:$A$24,0)),"No")</f>
        <v>No</v>
      </c>
      <c r="E1796">
        <v>11</v>
      </c>
      <c r="F1796" t="s">
        <v>44</v>
      </c>
      <c r="G1796">
        <v>258</v>
      </c>
      <c r="H1796" t="s">
        <v>102</v>
      </c>
      <c r="I1796" t="s">
        <v>15</v>
      </c>
      <c r="J1796" t="s">
        <v>21</v>
      </c>
      <c r="K1796" t="s">
        <v>3</v>
      </c>
      <c r="L1796" s="36">
        <f ca="1">IF(C1796&lt;&gt;"Yes",0,IF(A1796=2025,N('2025'!D258),IF(A1796=2026,N('2026'!D258),IF(A1796=2027,N('2027'!D258),IF(A1796=2028,N('2028'!D258),IF(A1796=2029,N('2029'!D258),IF(A1796=2030,N('2030'!D258),IF(A1796=2031,N('2031'!D258),IF(A1796=2032,N('2032'!D258),IF(A1796=2033,N('2033'!D258),IF(A1796=2034,N('2034'!D258),IFERROR(N(INDIRECT("'"&amp;A1796&amp;"'!D"&amp;G1796)),0))))))))))))</f>
        <v>0</v>
      </c>
      <c r="M1796" s="36">
        <f>IFERROR(IF(NOT(ISBLANK(KPI_TARGETS!$N$13)),KPI_TARGETS!$N$13,IF(NOT(ISBLANK(KPI_TARGETS!$F$13)),KPI_TARGETS!$F$13,"")),"")</f>
        <v>0</v>
      </c>
      <c r="N1796" s="36" t="str">
        <f>IFERROR(KPI_TARGETS!$E$13,"Higher is better")</f>
        <v>Lower is better</v>
      </c>
      <c r="O1796" s="37">
        <f t="shared" ca="1" si="168"/>
        <v>1</v>
      </c>
      <c r="P1796" t="str">
        <f t="shared" ca="1" si="169"/>
        <v>Green</v>
      </c>
      <c r="Q1796" s="36">
        <f t="shared" ca="1" si="170"/>
        <v>0</v>
      </c>
      <c r="R1796" s="36" t="str">
        <f>""</f>
        <v/>
      </c>
      <c r="S1796" s="36" t="str">
        <f>""</f>
        <v/>
      </c>
      <c r="T1796" s="36" t="str">
        <f>""</f>
        <v/>
      </c>
      <c r="U1796" s="36" t="str">
        <f>""</f>
        <v/>
      </c>
      <c r="V1796" s="36" t="str">
        <f>""</f>
        <v/>
      </c>
      <c r="W1796" s="36">
        <f t="shared" si="171"/>
        <v>1</v>
      </c>
      <c r="X1796" t="str">
        <f t="shared" si="172"/>
        <v>Inactive</v>
      </c>
      <c r="Y1796" t="str">
        <f>IF(MAIN!$H$3="Selected Year",IF(A1796=MAIN!$B$3,"Yes","No"),IF(MAIN!$H$3="Included Years",IF(D1796="Yes","Yes","No"),IF(C1796="Yes","Yes","No")))</f>
        <v>No</v>
      </c>
      <c r="Z1796" t="str">
        <f>IF(MAIN!$F$3="Project to Date",IF(AND(A1796&gt;=SETTINGS!$B$4,A1796&lt;MAIN!$B$3),"Yes",IF(AND(A1796=MAIN!$B$3,E1796&lt;=MAIN!$L$3),"Yes","No")),IF(OR(MAIN!$F$3="Full Year",MAIN!$D$3="All"),"Yes",IF(MAIN!$F$3="Monthly",IF(E1796=MAIN!$L$3,"Yes","No"),IF(E1796&lt;=MAIN!$L$3,"Yes","No"))))</f>
        <v>Yes</v>
      </c>
      <c r="AA1796" t="str">
        <f t="shared" si="173"/>
        <v>No</v>
      </c>
    </row>
    <row r="1797" spans="1:27" x14ac:dyDescent="0.3">
      <c r="A1797">
        <f>INDEX(SETTINGS!$A$15:$A$24,$B1797)</f>
        <v>2032</v>
      </c>
      <c r="B1797">
        <v>8</v>
      </c>
      <c r="C1797" t="str">
        <f>IF(AND(A1797&gt;=SETTINGS!$B$4,A1797&lt;=SETTINGS!$B$5),"Yes","No")</f>
        <v>No</v>
      </c>
      <c r="D1797" t="str">
        <f>IFERROR(INDEX(SETTINGS!$C$15:$C$24,MATCH(A1797,SETTINGS!$A$15:$A$24,0)),"No")</f>
        <v>No</v>
      </c>
      <c r="E1797">
        <v>11</v>
      </c>
      <c r="F1797" t="s">
        <v>44</v>
      </c>
      <c r="G1797">
        <v>260</v>
      </c>
      <c r="H1797" t="s">
        <v>103</v>
      </c>
      <c r="I1797" t="s">
        <v>22</v>
      </c>
      <c r="J1797" t="s">
        <v>23</v>
      </c>
      <c r="K1797" t="s">
        <v>3</v>
      </c>
      <c r="L1797" s="36">
        <f ca="1">IF(C1797&lt;&gt;"Yes",0,IF(A1797=2025,N('2025'!D260),IF(A1797=2026,N('2026'!D260),IF(A1797=2027,N('2027'!D260),IF(A1797=2028,N('2028'!D260),IF(A1797=2029,N('2029'!D260),IF(A1797=2030,N('2030'!D260),IF(A1797=2031,N('2031'!D260),IF(A1797=2032,N('2032'!D260),IF(A1797=2033,N('2033'!D260),IF(A1797=2034,N('2034'!D260),IFERROR(N(INDIRECT("'"&amp;A1797&amp;"'!D"&amp;G1797)),0))))))))))))</f>
        <v>0</v>
      </c>
      <c r="M1797" s="36">
        <f>IFERROR(IF(NOT(ISBLANK(KPI_TARGETS!$N$14)),KPI_TARGETS!$N$14,IF(NOT(ISBLANK(KPI_TARGETS!$F$14)),KPI_TARGETS!$F$14,"")),"")</f>
        <v>35</v>
      </c>
      <c r="N1797" s="36" t="str">
        <f>IFERROR(KPI_TARGETS!$E$14,"Higher is better")</f>
        <v>Higher is better</v>
      </c>
      <c r="O1797" s="37">
        <f t="shared" ca="1" si="168"/>
        <v>0</v>
      </c>
      <c r="P1797" t="str">
        <f t="shared" ca="1" si="169"/>
        <v>Red</v>
      </c>
      <c r="Q1797" s="36">
        <f t="shared" ca="1" si="170"/>
        <v>-35</v>
      </c>
      <c r="R1797" s="36" t="str">
        <f>""</f>
        <v/>
      </c>
      <c r="S1797" s="36" t="str">
        <f>""</f>
        <v/>
      </c>
      <c r="T1797" s="36" t="str">
        <f>""</f>
        <v/>
      </c>
      <c r="U1797" s="36" t="str">
        <f>""</f>
        <v/>
      </c>
      <c r="V1797" s="36" t="str">
        <f>""</f>
        <v/>
      </c>
      <c r="W1797" s="36">
        <f t="shared" si="171"/>
        <v>1</v>
      </c>
      <c r="X1797" t="str">
        <f t="shared" si="172"/>
        <v>Inactive</v>
      </c>
      <c r="Y1797" t="str">
        <f>IF(MAIN!$H$3="Selected Year",IF(A1797=MAIN!$B$3,"Yes","No"),IF(MAIN!$H$3="Included Years",IF(D1797="Yes","Yes","No"),IF(C1797="Yes","Yes","No")))</f>
        <v>No</v>
      </c>
      <c r="Z1797" t="str">
        <f>IF(MAIN!$F$3="Project to Date",IF(AND(A1797&gt;=SETTINGS!$B$4,A1797&lt;MAIN!$B$3),"Yes",IF(AND(A1797=MAIN!$B$3,E1797&lt;=MAIN!$L$3),"Yes","No")),IF(OR(MAIN!$F$3="Full Year",MAIN!$D$3="All"),"Yes",IF(MAIN!$F$3="Monthly",IF(E1797=MAIN!$L$3,"Yes","No"),IF(E1797&lt;=MAIN!$L$3,"Yes","No"))))</f>
        <v>Yes</v>
      </c>
      <c r="AA1797" t="str">
        <f t="shared" si="173"/>
        <v>No</v>
      </c>
    </row>
    <row r="1798" spans="1:27" x14ac:dyDescent="0.3">
      <c r="A1798">
        <f>INDEX(SETTINGS!$A$15:$A$24,$B1798)</f>
        <v>2032</v>
      </c>
      <c r="B1798">
        <v>8</v>
      </c>
      <c r="C1798" t="str">
        <f>IF(AND(A1798&gt;=SETTINGS!$B$4,A1798&lt;=SETTINGS!$B$5),"Yes","No")</f>
        <v>No</v>
      </c>
      <c r="D1798" t="str">
        <f>IFERROR(INDEX(SETTINGS!$C$15:$C$24,MATCH(A1798,SETTINGS!$A$15:$A$24,0)),"No")</f>
        <v>No</v>
      </c>
      <c r="E1798">
        <v>11</v>
      </c>
      <c r="F1798" t="s">
        <v>44</v>
      </c>
      <c r="G1798">
        <v>261</v>
      </c>
      <c r="H1798" t="s">
        <v>104</v>
      </c>
      <c r="I1798" t="s">
        <v>22</v>
      </c>
      <c r="J1798" t="s">
        <v>24</v>
      </c>
      <c r="K1798" t="s">
        <v>3</v>
      </c>
      <c r="L1798" s="36">
        <f ca="1">IF(C1798&lt;&gt;"Yes",0,IF(A1798=2025,N('2025'!D261),IF(A1798=2026,N('2026'!D261),IF(A1798=2027,N('2027'!D261),IF(A1798=2028,N('2028'!D261),IF(A1798=2029,N('2029'!D261),IF(A1798=2030,N('2030'!D261),IF(A1798=2031,N('2031'!D261),IF(A1798=2032,N('2032'!D261),IF(A1798=2033,N('2033'!D261),IF(A1798=2034,N('2034'!D261),IFERROR(N(INDIRECT("'"&amp;A1798&amp;"'!D"&amp;G1798)),0))))))))))))</f>
        <v>0</v>
      </c>
      <c r="M1798" s="36">
        <f>IFERROR(IF(NOT(ISBLANK(KPI_TARGETS!$N$15)),KPI_TARGETS!$N$15,IF(NOT(ISBLANK(KPI_TARGETS!$F$15)),KPI_TARGETS!$F$15,"")),"")</f>
        <v>5</v>
      </c>
      <c r="N1798" s="36" t="str">
        <f>IFERROR(KPI_TARGETS!$E$15,"Higher is better")</f>
        <v>Higher is better</v>
      </c>
      <c r="O1798" s="37">
        <f t="shared" ca="1" si="168"/>
        <v>0</v>
      </c>
      <c r="P1798" t="str">
        <f t="shared" ca="1" si="169"/>
        <v>Red</v>
      </c>
      <c r="Q1798" s="36">
        <f t="shared" ca="1" si="170"/>
        <v>-5</v>
      </c>
      <c r="R1798" s="36" t="str">
        <f>""</f>
        <v/>
      </c>
      <c r="S1798" s="36" t="str">
        <f>""</f>
        <v/>
      </c>
      <c r="T1798" s="36" t="str">
        <f>""</f>
        <v/>
      </c>
      <c r="U1798" s="36" t="str">
        <f>""</f>
        <v/>
      </c>
      <c r="V1798" s="36" t="str">
        <f>""</f>
        <v/>
      </c>
      <c r="W1798" s="36">
        <f t="shared" si="171"/>
        <v>1</v>
      </c>
      <c r="X1798" t="str">
        <f t="shared" si="172"/>
        <v>Inactive</v>
      </c>
      <c r="Y1798" t="str">
        <f>IF(MAIN!$H$3="Selected Year",IF(A1798=MAIN!$B$3,"Yes","No"),IF(MAIN!$H$3="Included Years",IF(D1798="Yes","Yes","No"),IF(C1798="Yes","Yes","No")))</f>
        <v>No</v>
      </c>
      <c r="Z1798" t="str">
        <f>IF(MAIN!$F$3="Project to Date",IF(AND(A1798&gt;=SETTINGS!$B$4,A1798&lt;MAIN!$B$3),"Yes",IF(AND(A1798=MAIN!$B$3,E1798&lt;=MAIN!$L$3),"Yes","No")),IF(OR(MAIN!$F$3="Full Year",MAIN!$D$3="All"),"Yes",IF(MAIN!$F$3="Monthly",IF(E1798=MAIN!$L$3,"Yes","No"),IF(E1798&lt;=MAIN!$L$3,"Yes","No"))))</f>
        <v>Yes</v>
      </c>
      <c r="AA1798" t="str">
        <f t="shared" si="173"/>
        <v>No</v>
      </c>
    </row>
    <row r="1799" spans="1:27" x14ac:dyDescent="0.3">
      <c r="A1799">
        <f>INDEX(SETTINGS!$A$15:$A$24,$B1799)</f>
        <v>2032</v>
      </c>
      <c r="B1799">
        <v>8</v>
      </c>
      <c r="C1799" t="str">
        <f>IF(AND(A1799&gt;=SETTINGS!$B$4,A1799&lt;=SETTINGS!$B$5),"Yes","No")</f>
        <v>No</v>
      </c>
      <c r="D1799" t="str">
        <f>IFERROR(INDEX(SETTINGS!$C$15:$C$24,MATCH(A1799,SETTINGS!$A$15:$A$24,0)),"No")</f>
        <v>No</v>
      </c>
      <c r="E1799">
        <v>11</v>
      </c>
      <c r="F1799" t="s">
        <v>44</v>
      </c>
      <c r="G1799">
        <v>262</v>
      </c>
      <c r="H1799" t="s">
        <v>105</v>
      </c>
      <c r="I1799" t="s">
        <v>22</v>
      </c>
      <c r="J1799" t="s">
        <v>25</v>
      </c>
      <c r="K1799" t="s">
        <v>3</v>
      </c>
      <c r="L1799" s="36">
        <f ca="1">IF(C1799&lt;&gt;"Yes",0,IF(A1799=2025,N('2025'!D262),IF(A1799=2026,N('2026'!D262),IF(A1799=2027,N('2027'!D262),IF(A1799=2028,N('2028'!D262),IF(A1799=2029,N('2029'!D262),IF(A1799=2030,N('2030'!D262),IF(A1799=2031,N('2031'!D262),IF(A1799=2032,N('2032'!D262),IF(A1799=2033,N('2033'!D262),IF(A1799=2034,N('2034'!D262),IFERROR(N(INDIRECT("'"&amp;A1799&amp;"'!D"&amp;G1799)),0))))))))))))</f>
        <v>0</v>
      </c>
      <c r="M1799" s="36">
        <f>IFERROR(IF(NOT(ISBLANK(KPI_TARGETS!$N$16)),KPI_TARGETS!$N$16,IF(NOT(ISBLANK(KPI_TARGETS!$F$16)),KPI_TARGETS!$F$16,"")),"")</f>
        <v>4</v>
      </c>
      <c r="N1799" s="36" t="str">
        <f>IFERROR(KPI_TARGETS!$E$16,"Higher is better")</f>
        <v>Higher is better</v>
      </c>
      <c r="O1799" s="37">
        <f t="shared" ca="1" si="168"/>
        <v>0</v>
      </c>
      <c r="P1799" t="str">
        <f t="shared" ca="1" si="169"/>
        <v>Red</v>
      </c>
      <c r="Q1799" s="36">
        <f t="shared" ca="1" si="170"/>
        <v>-4</v>
      </c>
      <c r="R1799" s="36" t="str">
        <f>""</f>
        <v/>
      </c>
      <c r="S1799" s="36" t="str">
        <f>""</f>
        <v/>
      </c>
      <c r="T1799" s="36" t="str">
        <f>""</f>
        <v/>
      </c>
      <c r="U1799" s="36" t="str">
        <f>""</f>
        <v/>
      </c>
      <c r="V1799" s="36" t="str">
        <f>""</f>
        <v/>
      </c>
      <c r="W1799" s="36">
        <f t="shared" si="171"/>
        <v>1</v>
      </c>
      <c r="X1799" t="str">
        <f t="shared" si="172"/>
        <v>Inactive</v>
      </c>
      <c r="Y1799" t="str">
        <f>IF(MAIN!$H$3="Selected Year",IF(A1799=MAIN!$B$3,"Yes","No"),IF(MAIN!$H$3="Included Years",IF(D1799="Yes","Yes","No"),IF(C1799="Yes","Yes","No")))</f>
        <v>No</v>
      </c>
      <c r="Z1799" t="str">
        <f>IF(MAIN!$F$3="Project to Date",IF(AND(A1799&gt;=SETTINGS!$B$4,A1799&lt;MAIN!$B$3),"Yes",IF(AND(A1799=MAIN!$B$3,E1799&lt;=MAIN!$L$3),"Yes","No")),IF(OR(MAIN!$F$3="Full Year",MAIN!$D$3="All"),"Yes",IF(MAIN!$F$3="Monthly",IF(E1799=MAIN!$L$3,"Yes","No"),IF(E1799&lt;=MAIN!$L$3,"Yes","No"))))</f>
        <v>Yes</v>
      </c>
      <c r="AA1799" t="str">
        <f t="shared" si="173"/>
        <v>No</v>
      </c>
    </row>
    <row r="1800" spans="1:27" x14ac:dyDescent="0.3">
      <c r="A1800">
        <f>INDEX(SETTINGS!$A$15:$A$24,$B1800)</f>
        <v>2032</v>
      </c>
      <c r="B1800">
        <v>8</v>
      </c>
      <c r="C1800" t="str">
        <f>IF(AND(A1800&gt;=SETTINGS!$B$4,A1800&lt;=SETTINGS!$B$5),"Yes","No")</f>
        <v>No</v>
      </c>
      <c r="D1800" t="str">
        <f>IFERROR(INDEX(SETTINGS!$C$15:$C$24,MATCH(A1800,SETTINGS!$A$15:$A$24,0)),"No")</f>
        <v>No</v>
      </c>
      <c r="E1800">
        <v>11</v>
      </c>
      <c r="F1800" t="s">
        <v>44</v>
      </c>
      <c r="G1800">
        <v>263</v>
      </c>
      <c r="H1800" t="s">
        <v>106</v>
      </c>
      <c r="I1800" t="s">
        <v>22</v>
      </c>
      <c r="J1800" t="s">
        <v>26</v>
      </c>
      <c r="K1800" t="s">
        <v>3</v>
      </c>
      <c r="L1800" s="36">
        <f ca="1">IF(C1800&lt;&gt;"Yes",0,IF(A1800=2025,N('2025'!D263),IF(A1800=2026,N('2026'!D263),IF(A1800=2027,N('2027'!D263),IF(A1800=2028,N('2028'!D263),IF(A1800=2029,N('2029'!D263),IF(A1800=2030,N('2030'!D263),IF(A1800=2031,N('2031'!D263),IF(A1800=2032,N('2032'!D263),IF(A1800=2033,N('2033'!D263),IF(A1800=2034,N('2034'!D263),IFERROR(N(INDIRECT("'"&amp;A1800&amp;"'!D"&amp;G1800)),0))))))))))))</f>
        <v>0</v>
      </c>
      <c r="M1800" s="36">
        <f>IFERROR(IF(NOT(ISBLANK(KPI_TARGETS!$N$17)),KPI_TARGETS!$N$17,IF(NOT(ISBLANK(KPI_TARGETS!$F$17)),KPI_TARGETS!$F$17,"")),"")</f>
        <v>12</v>
      </c>
      <c r="N1800" s="36" t="str">
        <f>IFERROR(KPI_TARGETS!$E$17,"Higher is better")</f>
        <v>Higher is better</v>
      </c>
      <c r="O1800" s="37">
        <f t="shared" ca="1" si="168"/>
        <v>0</v>
      </c>
      <c r="P1800" t="str">
        <f t="shared" ca="1" si="169"/>
        <v>Red</v>
      </c>
      <c r="Q1800" s="36">
        <f t="shared" ca="1" si="170"/>
        <v>-12</v>
      </c>
      <c r="R1800" s="36" t="str">
        <f>""</f>
        <v/>
      </c>
      <c r="S1800" s="36" t="str">
        <f>""</f>
        <v/>
      </c>
      <c r="T1800" s="36" t="str">
        <f>""</f>
        <v/>
      </c>
      <c r="U1800" s="36" t="str">
        <f>""</f>
        <v/>
      </c>
      <c r="V1800" s="36" t="str">
        <f>""</f>
        <v/>
      </c>
      <c r="W1800" s="36">
        <f t="shared" si="171"/>
        <v>1</v>
      </c>
      <c r="X1800" t="str">
        <f t="shared" si="172"/>
        <v>Inactive</v>
      </c>
      <c r="Y1800" t="str">
        <f>IF(MAIN!$H$3="Selected Year",IF(A1800=MAIN!$B$3,"Yes","No"),IF(MAIN!$H$3="Included Years",IF(D1800="Yes","Yes","No"),IF(C1800="Yes","Yes","No")))</f>
        <v>No</v>
      </c>
      <c r="Z1800" t="str">
        <f>IF(MAIN!$F$3="Project to Date",IF(AND(A1800&gt;=SETTINGS!$B$4,A1800&lt;MAIN!$B$3),"Yes",IF(AND(A1800=MAIN!$B$3,E1800&lt;=MAIN!$L$3),"Yes","No")),IF(OR(MAIN!$F$3="Full Year",MAIN!$D$3="All"),"Yes",IF(MAIN!$F$3="Monthly",IF(E1800=MAIN!$L$3,"Yes","No"),IF(E1800&lt;=MAIN!$L$3,"Yes","No"))))</f>
        <v>Yes</v>
      </c>
      <c r="AA1800" t="str">
        <f t="shared" si="173"/>
        <v>No</v>
      </c>
    </row>
    <row r="1801" spans="1:27" x14ac:dyDescent="0.3">
      <c r="A1801">
        <f>INDEX(SETTINGS!$A$15:$A$24,$B1801)</f>
        <v>2032</v>
      </c>
      <c r="B1801">
        <v>8</v>
      </c>
      <c r="C1801" t="str">
        <f>IF(AND(A1801&gt;=SETTINGS!$B$4,A1801&lt;=SETTINGS!$B$5),"Yes","No")</f>
        <v>No</v>
      </c>
      <c r="D1801" t="str">
        <f>IFERROR(INDEX(SETTINGS!$C$15:$C$24,MATCH(A1801,SETTINGS!$A$15:$A$24,0)),"No")</f>
        <v>No</v>
      </c>
      <c r="E1801">
        <v>11</v>
      </c>
      <c r="F1801" t="s">
        <v>44</v>
      </c>
      <c r="G1801">
        <v>264</v>
      </c>
      <c r="H1801" t="s">
        <v>107</v>
      </c>
      <c r="I1801" t="s">
        <v>22</v>
      </c>
      <c r="J1801" t="s">
        <v>27</v>
      </c>
      <c r="K1801" t="s">
        <v>3</v>
      </c>
      <c r="L1801" s="36">
        <f ca="1">IF(C1801&lt;&gt;"Yes",0,IF(A1801=2025,N('2025'!D264),IF(A1801=2026,N('2026'!D264),IF(A1801=2027,N('2027'!D264),IF(A1801=2028,N('2028'!D264),IF(A1801=2029,N('2029'!D264),IF(A1801=2030,N('2030'!D264),IF(A1801=2031,N('2031'!D264),IF(A1801=2032,N('2032'!D264),IF(A1801=2033,N('2033'!D264),IF(A1801=2034,N('2034'!D264),IFERROR(N(INDIRECT("'"&amp;A1801&amp;"'!D"&amp;G1801)),0))))))))))))</f>
        <v>0</v>
      </c>
      <c r="M1801" s="36">
        <f>IFERROR(IF(NOT(ISBLANK(KPI_TARGETS!$N$18)),KPI_TARGETS!$N$18,IF(NOT(ISBLANK(KPI_TARGETS!$F$18)),KPI_TARGETS!$F$18,"")),"")</f>
        <v>4</v>
      </c>
      <c r="N1801" s="36" t="str">
        <f>IFERROR(KPI_TARGETS!$E$18,"Higher is better")</f>
        <v>Higher is better</v>
      </c>
      <c r="O1801" s="37">
        <f t="shared" ca="1" si="168"/>
        <v>0</v>
      </c>
      <c r="P1801" t="str">
        <f t="shared" ca="1" si="169"/>
        <v>Red</v>
      </c>
      <c r="Q1801" s="36">
        <f t="shared" ca="1" si="170"/>
        <v>-4</v>
      </c>
      <c r="R1801" s="36" t="str">
        <f>""</f>
        <v/>
      </c>
      <c r="S1801" s="36" t="str">
        <f>""</f>
        <v/>
      </c>
      <c r="T1801" s="36" t="str">
        <f>""</f>
        <v/>
      </c>
      <c r="U1801" s="36" t="str">
        <f>""</f>
        <v/>
      </c>
      <c r="V1801" s="36" t="str">
        <f>""</f>
        <v/>
      </c>
      <c r="W1801" s="36">
        <f t="shared" si="171"/>
        <v>1</v>
      </c>
      <c r="X1801" t="str">
        <f t="shared" si="172"/>
        <v>Inactive</v>
      </c>
      <c r="Y1801" t="str">
        <f>IF(MAIN!$H$3="Selected Year",IF(A1801=MAIN!$B$3,"Yes","No"),IF(MAIN!$H$3="Included Years",IF(D1801="Yes","Yes","No"),IF(C1801="Yes","Yes","No")))</f>
        <v>No</v>
      </c>
      <c r="Z1801" t="str">
        <f>IF(MAIN!$F$3="Project to Date",IF(AND(A1801&gt;=SETTINGS!$B$4,A1801&lt;MAIN!$B$3),"Yes",IF(AND(A1801=MAIN!$B$3,E1801&lt;=MAIN!$L$3),"Yes","No")),IF(OR(MAIN!$F$3="Full Year",MAIN!$D$3="All"),"Yes",IF(MAIN!$F$3="Monthly",IF(E1801=MAIN!$L$3,"Yes","No"),IF(E1801&lt;=MAIN!$L$3,"Yes","No"))))</f>
        <v>Yes</v>
      </c>
      <c r="AA1801" t="str">
        <f t="shared" si="173"/>
        <v>No</v>
      </c>
    </row>
    <row r="1802" spans="1:27" x14ac:dyDescent="0.3">
      <c r="A1802">
        <f>INDEX(SETTINGS!$A$15:$A$24,$B1802)</f>
        <v>2032</v>
      </c>
      <c r="B1802">
        <v>8</v>
      </c>
      <c r="C1802" t="str">
        <f>IF(AND(A1802&gt;=SETTINGS!$B$4,A1802&lt;=SETTINGS!$B$5),"Yes","No")</f>
        <v>No</v>
      </c>
      <c r="D1802" t="str">
        <f>IFERROR(INDEX(SETTINGS!$C$15:$C$24,MATCH(A1802,SETTINGS!$A$15:$A$24,0)),"No")</f>
        <v>No</v>
      </c>
      <c r="E1802">
        <v>11</v>
      </c>
      <c r="F1802" t="s">
        <v>44</v>
      </c>
      <c r="G1802">
        <v>265</v>
      </c>
      <c r="H1802" t="s">
        <v>108</v>
      </c>
      <c r="I1802" t="s">
        <v>22</v>
      </c>
      <c r="J1802" t="s">
        <v>28</v>
      </c>
      <c r="K1802" t="s">
        <v>3</v>
      </c>
      <c r="L1802" s="36">
        <f ca="1">IF(C1802&lt;&gt;"Yes",0,IF(A1802=2025,N('2025'!D265),IF(A1802=2026,N('2026'!D265),IF(A1802=2027,N('2027'!D265),IF(A1802=2028,N('2028'!D265),IF(A1802=2029,N('2029'!D265),IF(A1802=2030,N('2030'!D265),IF(A1802=2031,N('2031'!D265),IF(A1802=2032,N('2032'!D265),IF(A1802=2033,N('2033'!D265),IF(A1802=2034,N('2034'!D265),IFERROR(N(INDIRECT("'"&amp;A1802&amp;"'!D"&amp;G1802)),0))))))))))))</f>
        <v>0</v>
      </c>
      <c r="M1802" s="36">
        <f>IFERROR(IF(NOT(ISBLANK(KPI_TARGETS!$N$19)),KPI_TARGETS!$N$19,IF(NOT(ISBLANK(KPI_TARGETS!$F$19)),KPI_TARGETS!$F$19,"")),"")</f>
        <v>16</v>
      </c>
      <c r="N1802" s="36" t="str">
        <f>IFERROR(KPI_TARGETS!$E$19,"Higher is better")</f>
        <v>Higher is better</v>
      </c>
      <c r="O1802" s="37">
        <f t="shared" ca="1" si="168"/>
        <v>0</v>
      </c>
      <c r="P1802" t="str">
        <f t="shared" ca="1" si="169"/>
        <v>Red</v>
      </c>
      <c r="Q1802" s="36">
        <f t="shared" ca="1" si="170"/>
        <v>-16</v>
      </c>
      <c r="R1802" s="36" t="str">
        <f>""</f>
        <v/>
      </c>
      <c r="S1802" s="36" t="str">
        <f>""</f>
        <v/>
      </c>
      <c r="T1802" s="36" t="str">
        <f>""</f>
        <v/>
      </c>
      <c r="U1802" s="36" t="str">
        <f>""</f>
        <v/>
      </c>
      <c r="V1802" s="36" t="str">
        <f>""</f>
        <v/>
      </c>
      <c r="W1802" s="36">
        <f t="shared" si="171"/>
        <v>1</v>
      </c>
      <c r="X1802" t="str">
        <f t="shared" si="172"/>
        <v>Inactive</v>
      </c>
      <c r="Y1802" t="str">
        <f>IF(MAIN!$H$3="Selected Year",IF(A1802=MAIN!$B$3,"Yes","No"),IF(MAIN!$H$3="Included Years",IF(D1802="Yes","Yes","No"),IF(C1802="Yes","Yes","No")))</f>
        <v>No</v>
      </c>
      <c r="Z1802" t="str">
        <f>IF(MAIN!$F$3="Project to Date",IF(AND(A1802&gt;=SETTINGS!$B$4,A1802&lt;MAIN!$B$3),"Yes",IF(AND(A1802=MAIN!$B$3,E1802&lt;=MAIN!$L$3),"Yes","No")),IF(OR(MAIN!$F$3="Full Year",MAIN!$D$3="All"),"Yes",IF(MAIN!$F$3="Monthly",IF(E1802=MAIN!$L$3,"Yes","No"),IF(E1802&lt;=MAIN!$L$3,"Yes","No"))))</f>
        <v>Yes</v>
      </c>
      <c r="AA1802" t="str">
        <f t="shared" si="173"/>
        <v>No</v>
      </c>
    </row>
    <row r="1803" spans="1:27" x14ac:dyDescent="0.3">
      <c r="A1803">
        <f>INDEX(SETTINGS!$A$15:$A$24,$B1803)</f>
        <v>2032</v>
      </c>
      <c r="B1803">
        <v>8</v>
      </c>
      <c r="C1803" t="str">
        <f>IF(AND(A1803&gt;=SETTINGS!$B$4,A1803&lt;=SETTINGS!$B$5),"Yes","No")</f>
        <v>No</v>
      </c>
      <c r="D1803" t="str">
        <f>IFERROR(INDEX(SETTINGS!$C$15:$C$24,MATCH(A1803,SETTINGS!$A$15:$A$24,0)),"No")</f>
        <v>No</v>
      </c>
      <c r="E1803">
        <v>11</v>
      </c>
      <c r="F1803" t="s">
        <v>44</v>
      </c>
      <c r="G1803">
        <v>266</v>
      </c>
      <c r="H1803" t="s">
        <v>109</v>
      </c>
      <c r="I1803" t="s">
        <v>22</v>
      </c>
      <c r="J1803" t="s">
        <v>29</v>
      </c>
      <c r="K1803" t="s">
        <v>3</v>
      </c>
      <c r="L1803" s="36">
        <f ca="1">IF(C1803&lt;&gt;"Yes",0,IF(A1803=2025,N('2025'!D266),IF(A1803=2026,N('2026'!D266),IF(A1803=2027,N('2027'!D266),IF(A1803=2028,N('2028'!D266),IF(A1803=2029,N('2029'!D266),IF(A1803=2030,N('2030'!D266),IF(A1803=2031,N('2031'!D266),IF(A1803=2032,N('2032'!D266),IF(A1803=2033,N('2033'!D266),IF(A1803=2034,N('2034'!D266),IFERROR(N(INDIRECT("'"&amp;A1803&amp;"'!D"&amp;G1803)),0))))))))))))</f>
        <v>0</v>
      </c>
      <c r="M1803" s="36">
        <f>IFERROR(IF(NOT(ISBLANK(KPI_TARGETS!$N$20)),KPI_TARGETS!$N$20,IF(NOT(ISBLANK(KPI_TARGETS!$F$20)),KPI_TARGETS!$F$20,"")),"")</f>
        <v>1</v>
      </c>
      <c r="N1803" s="36" t="str">
        <f>IFERROR(KPI_TARGETS!$E$20,"Higher is better")</f>
        <v>Higher is better</v>
      </c>
      <c r="O1803" s="37">
        <f t="shared" ca="1" si="168"/>
        <v>0</v>
      </c>
      <c r="P1803" t="str">
        <f t="shared" ca="1" si="169"/>
        <v>Red</v>
      </c>
      <c r="Q1803" s="36">
        <f t="shared" ca="1" si="170"/>
        <v>-1</v>
      </c>
      <c r="R1803" s="36" t="str">
        <f>""</f>
        <v/>
      </c>
      <c r="S1803" s="36" t="str">
        <f>""</f>
        <v/>
      </c>
      <c r="T1803" s="36" t="str">
        <f>""</f>
        <v/>
      </c>
      <c r="U1803" s="36" t="str">
        <f>""</f>
        <v/>
      </c>
      <c r="V1803" s="36" t="str">
        <f>""</f>
        <v/>
      </c>
      <c r="W1803" s="36">
        <f t="shared" si="171"/>
        <v>1</v>
      </c>
      <c r="X1803" t="str">
        <f t="shared" si="172"/>
        <v>Inactive</v>
      </c>
      <c r="Y1803" t="str">
        <f>IF(MAIN!$H$3="Selected Year",IF(A1803=MAIN!$B$3,"Yes","No"),IF(MAIN!$H$3="Included Years",IF(D1803="Yes","Yes","No"),IF(C1803="Yes","Yes","No")))</f>
        <v>No</v>
      </c>
      <c r="Z1803" t="str">
        <f>IF(MAIN!$F$3="Project to Date",IF(AND(A1803&gt;=SETTINGS!$B$4,A1803&lt;MAIN!$B$3),"Yes",IF(AND(A1803=MAIN!$B$3,E1803&lt;=MAIN!$L$3),"Yes","No")),IF(OR(MAIN!$F$3="Full Year",MAIN!$D$3="All"),"Yes",IF(MAIN!$F$3="Monthly",IF(E1803=MAIN!$L$3,"Yes","No"),IF(E1803&lt;=MAIN!$L$3,"Yes","No"))))</f>
        <v>Yes</v>
      </c>
      <c r="AA1803" t="str">
        <f t="shared" si="173"/>
        <v>No</v>
      </c>
    </row>
    <row r="1804" spans="1:27" x14ac:dyDescent="0.3">
      <c r="A1804">
        <f>INDEX(SETTINGS!$A$15:$A$24,$B1804)</f>
        <v>2032</v>
      </c>
      <c r="B1804">
        <v>8</v>
      </c>
      <c r="C1804" t="str">
        <f>IF(AND(A1804&gt;=SETTINGS!$B$4,A1804&lt;=SETTINGS!$B$5),"Yes","No")</f>
        <v>No</v>
      </c>
      <c r="D1804" t="str">
        <f>IFERROR(INDEX(SETTINGS!$C$15:$C$24,MATCH(A1804,SETTINGS!$A$15:$A$24,0)),"No")</f>
        <v>No</v>
      </c>
      <c r="E1804">
        <v>11</v>
      </c>
      <c r="F1804" t="s">
        <v>44</v>
      </c>
      <c r="G1804">
        <v>268</v>
      </c>
      <c r="H1804" t="s">
        <v>110</v>
      </c>
      <c r="I1804" t="s">
        <v>30</v>
      </c>
      <c r="J1804" t="s">
        <v>31</v>
      </c>
      <c r="K1804" t="s">
        <v>3</v>
      </c>
      <c r="L1804" s="36">
        <f ca="1">IF(C1804&lt;&gt;"Yes",0,IF(A1804=2025,N('2025'!D268),IF(A1804=2026,N('2026'!D268),IF(A1804=2027,N('2027'!D268),IF(A1804=2028,N('2028'!D268),IF(A1804=2029,N('2029'!D268),IF(A1804=2030,N('2030'!D268),IF(A1804=2031,N('2031'!D268),IF(A1804=2032,N('2032'!D268),IF(A1804=2033,N('2033'!D268),IF(A1804=2034,N('2034'!D268),IFERROR(N(INDIRECT("'"&amp;A1804&amp;"'!D"&amp;G1804)),0))))))))))))</f>
        <v>0</v>
      </c>
      <c r="M1804" s="36">
        <f>IFERROR(IF(NOT(ISBLANK(KPI_TARGETS!$N$21)),KPI_TARGETS!$N$21,IF(NOT(ISBLANK(KPI_TARGETS!$F$21)),KPI_TARGETS!$F$21,"")),"")</f>
        <v>0</v>
      </c>
      <c r="N1804" s="36" t="str">
        <f>IFERROR(KPI_TARGETS!$E$21,"Higher is better")</f>
        <v>Lower is better</v>
      </c>
      <c r="O1804" s="37">
        <f t="shared" ca="1" si="168"/>
        <v>1</v>
      </c>
      <c r="P1804" t="str">
        <f t="shared" ca="1" si="169"/>
        <v>Green</v>
      </c>
      <c r="Q1804" s="36">
        <f t="shared" ca="1" si="170"/>
        <v>0</v>
      </c>
      <c r="R1804" s="36" t="str">
        <f>""</f>
        <v/>
      </c>
      <c r="S1804" s="36" t="str">
        <f>""</f>
        <v/>
      </c>
      <c r="T1804" s="36" t="str">
        <f>""</f>
        <v/>
      </c>
      <c r="U1804" s="36" t="str">
        <f>""</f>
        <v/>
      </c>
      <c r="V1804" s="36" t="str">
        <f>""</f>
        <v/>
      </c>
      <c r="W1804" s="36">
        <f t="shared" si="171"/>
        <v>1</v>
      </c>
      <c r="X1804" t="str">
        <f t="shared" si="172"/>
        <v>Inactive</v>
      </c>
      <c r="Y1804" t="str">
        <f>IF(MAIN!$H$3="Selected Year",IF(A1804=MAIN!$B$3,"Yes","No"),IF(MAIN!$H$3="Included Years",IF(D1804="Yes","Yes","No"),IF(C1804="Yes","Yes","No")))</f>
        <v>No</v>
      </c>
      <c r="Z1804" t="str">
        <f>IF(MAIN!$F$3="Project to Date",IF(AND(A1804&gt;=SETTINGS!$B$4,A1804&lt;MAIN!$B$3),"Yes",IF(AND(A1804=MAIN!$B$3,E1804&lt;=MAIN!$L$3),"Yes","No")),IF(OR(MAIN!$F$3="Full Year",MAIN!$D$3="All"),"Yes",IF(MAIN!$F$3="Monthly",IF(E1804=MAIN!$L$3,"Yes","No"),IF(E1804&lt;=MAIN!$L$3,"Yes","No"))))</f>
        <v>Yes</v>
      </c>
      <c r="AA1804" t="str">
        <f t="shared" si="173"/>
        <v>No</v>
      </c>
    </row>
    <row r="1805" spans="1:27" x14ac:dyDescent="0.3">
      <c r="A1805">
        <f>INDEX(SETTINGS!$A$15:$A$24,$B1805)</f>
        <v>2032</v>
      </c>
      <c r="B1805">
        <v>8</v>
      </c>
      <c r="C1805" t="str">
        <f>IF(AND(A1805&gt;=SETTINGS!$B$4,A1805&lt;=SETTINGS!$B$5),"Yes","No")</f>
        <v>No</v>
      </c>
      <c r="D1805" t="str">
        <f>IFERROR(INDEX(SETTINGS!$C$15:$C$24,MATCH(A1805,SETTINGS!$A$15:$A$24,0)),"No")</f>
        <v>No</v>
      </c>
      <c r="E1805">
        <v>11</v>
      </c>
      <c r="F1805" t="s">
        <v>44</v>
      </c>
      <c r="G1805">
        <v>269</v>
      </c>
      <c r="H1805" t="s">
        <v>111</v>
      </c>
      <c r="I1805" t="s">
        <v>30</v>
      </c>
      <c r="J1805" t="s">
        <v>32</v>
      </c>
      <c r="K1805" t="s">
        <v>3</v>
      </c>
      <c r="L1805" s="36">
        <f ca="1">IF(C1805&lt;&gt;"Yes",0,IF(A1805=2025,N('2025'!D269),IF(A1805=2026,N('2026'!D269),IF(A1805=2027,N('2027'!D269),IF(A1805=2028,N('2028'!D269),IF(A1805=2029,N('2029'!D269),IF(A1805=2030,N('2030'!D269),IF(A1805=2031,N('2031'!D269),IF(A1805=2032,N('2032'!D269),IF(A1805=2033,N('2033'!D269),IF(A1805=2034,N('2034'!D269),IFERROR(N(INDIRECT("'"&amp;A1805&amp;"'!D"&amp;G1805)),0))))))))))))</f>
        <v>0</v>
      </c>
      <c r="M1805" s="36">
        <f>IFERROR(IF(NOT(ISBLANK(KPI_TARGETS!$N$22)),KPI_TARGETS!$N$22,IF(NOT(ISBLANK(KPI_TARGETS!$F$22)),KPI_TARGETS!$F$22,"")),"")</f>
        <v>1</v>
      </c>
      <c r="N1805" s="36" t="str">
        <f>IFERROR(KPI_TARGETS!$E$22,"Higher is better")</f>
        <v>Higher is better</v>
      </c>
      <c r="O1805" s="37">
        <f t="shared" ca="1" si="168"/>
        <v>0</v>
      </c>
      <c r="P1805" t="str">
        <f t="shared" ca="1" si="169"/>
        <v>Red</v>
      </c>
      <c r="Q1805" s="36">
        <f t="shared" ca="1" si="170"/>
        <v>-1</v>
      </c>
      <c r="R1805" s="36" t="str">
        <f>""</f>
        <v/>
      </c>
      <c r="S1805" s="36" t="str">
        <f>""</f>
        <v/>
      </c>
      <c r="T1805" s="36" t="str">
        <f>""</f>
        <v/>
      </c>
      <c r="U1805" s="36" t="str">
        <f>""</f>
        <v/>
      </c>
      <c r="V1805" s="36" t="str">
        <f>""</f>
        <v/>
      </c>
      <c r="W1805" s="36">
        <f t="shared" si="171"/>
        <v>1</v>
      </c>
      <c r="X1805" t="str">
        <f t="shared" si="172"/>
        <v>Inactive</v>
      </c>
      <c r="Y1805" t="str">
        <f>IF(MAIN!$H$3="Selected Year",IF(A1805=MAIN!$B$3,"Yes","No"),IF(MAIN!$H$3="Included Years",IF(D1805="Yes","Yes","No"),IF(C1805="Yes","Yes","No")))</f>
        <v>No</v>
      </c>
      <c r="Z1805" t="str">
        <f>IF(MAIN!$F$3="Project to Date",IF(AND(A1805&gt;=SETTINGS!$B$4,A1805&lt;MAIN!$B$3),"Yes",IF(AND(A1805=MAIN!$B$3,E1805&lt;=MAIN!$L$3),"Yes","No")),IF(OR(MAIN!$F$3="Full Year",MAIN!$D$3="All"),"Yes",IF(MAIN!$F$3="Monthly",IF(E1805=MAIN!$L$3,"Yes","No"),IF(E1805&lt;=MAIN!$L$3,"Yes","No"))))</f>
        <v>Yes</v>
      </c>
      <c r="AA1805" t="str">
        <f t="shared" si="173"/>
        <v>No</v>
      </c>
    </row>
    <row r="1806" spans="1:27" x14ac:dyDescent="0.3">
      <c r="A1806">
        <f>INDEX(SETTINGS!$A$15:$A$24,$B1806)</f>
        <v>2032</v>
      </c>
      <c r="B1806">
        <v>8</v>
      </c>
      <c r="C1806" t="str">
        <f>IF(AND(A1806&gt;=SETTINGS!$B$4,A1806&lt;=SETTINGS!$B$5),"Yes","No")</f>
        <v>No</v>
      </c>
      <c r="D1806" t="str">
        <f>IFERROR(INDEX(SETTINGS!$C$15:$C$24,MATCH(A1806,SETTINGS!$A$15:$A$24,0)),"No")</f>
        <v>No</v>
      </c>
      <c r="E1806">
        <v>11</v>
      </c>
      <c r="F1806" t="s">
        <v>44</v>
      </c>
      <c r="G1806">
        <v>270</v>
      </c>
      <c r="H1806" t="s">
        <v>112</v>
      </c>
      <c r="I1806" t="s">
        <v>30</v>
      </c>
      <c r="J1806" t="s">
        <v>33</v>
      </c>
      <c r="K1806" t="s">
        <v>34</v>
      </c>
      <c r="L1806" s="36">
        <f ca="1">IF(C1806&lt;&gt;"Yes",0,IF(A1806=2025,N('2025'!D270),IF(A1806=2026,N('2026'!D270),IF(A1806=2027,N('2027'!D270),IF(A1806=2028,N('2028'!D270),IF(A1806=2029,N('2029'!D270),IF(A1806=2030,N('2030'!D270),IF(A1806=2031,N('2031'!D270),IF(A1806=2032,N('2032'!D270),IF(A1806=2033,N('2033'!D270),IF(A1806=2034,N('2034'!D270),IFERROR(N(INDIRECT("'"&amp;A1806&amp;"'!D"&amp;G1806)),0))))))))))))</f>
        <v>0</v>
      </c>
      <c r="M1806" s="36">
        <f>IFERROR(IF(NOT(ISBLANK(KPI_TARGETS!$N$23)),KPI_TARGETS!$N$23,IF(NOT(ISBLANK(KPI_TARGETS!$F$23)),KPI_TARGETS!$F$23,"")),"")</f>
        <v>1</v>
      </c>
      <c r="N1806" s="36" t="str">
        <f>IFERROR(KPI_TARGETS!$E$23,"Higher is better")</f>
        <v>Higher is better</v>
      </c>
      <c r="O1806" s="37">
        <f t="shared" ca="1" si="168"/>
        <v>0</v>
      </c>
      <c r="P1806" t="str">
        <f t="shared" ca="1" si="169"/>
        <v>Red</v>
      </c>
      <c r="Q1806" s="36">
        <f t="shared" ca="1" si="170"/>
        <v>-1</v>
      </c>
      <c r="R1806" s="36" t="str">
        <f>""</f>
        <v/>
      </c>
      <c r="S1806" s="36" t="str">
        <f>""</f>
        <v/>
      </c>
      <c r="T1806" s="36" t="str">
        <f>""</f>
        <v/>
      </c>
      <c r="U1806" s="36" t="str">
        <f>""</f>
        <v/>
      </c>
      <c r="V1806" s="36" t="str">
        <f>""</f>
        <v/>
      </c>
      <c r="W1806" s="36">
        <f t="shared" si="171"/>
        <v>1</v>
      </c>
      <c r="X1806" t="str">
        <f t="shared" si="172"/>
        <v>Inactive</v>
      </c>
      <c r="Y1806" t="str">
        <f>IF(MAIN!$H$3="Selected Year",IF(A1806=MAIN!$B$3,"Yes","No"),IF(MAIN!$H$3="Included Years",IF(D1806="Yes","Yes","No"),IF(C1806="Yes","Yes","No")))</f>
        <v>No</v>
      </c>
      <c r="Z1806" t="str">
        <f>IF(MAIN!$F$3="Project to Date",IF(AND(A1806&gt;=SETTINGS!$B$4,A1806&lt;MAIN!$B$3),"Yes",IF(AND(A1806=MAIN!$B$3,E1806&lt;=MAIN!$L$3),"Yes","No")),IF(OR(MAIN!$F$3="Full Year",MAIN!$D$3="All"),"Yes",IF(MAIN!$F$3="Monthly",IF(E1806=MAIN!$L$3,"Yes","No"),IF(E1806&lt;=MAIN!$L$3,"Yes","No"))))</f>
        <v>Yes</v>
      </c>
      <c r="AA1806" t="str">
        <f t="shared" si="173"/>
        <v>No</v>
      </c>
    </row>
    <row r="1807" spans="1:27" x14ac:dyDescent="0.3">
      <c r="A1807">
        <f>INDEX(SETTINGS!$A$15:$A$24,$B1807)</f>
        <v>2032</v>
      </c>
      <c r="B1807">
        <v>8</v>
      </c>
      <c r="C1807" t="str">
        <f>IF(AND(A1807&gt;=SETTINGS!$B$4,A1807&lt;=SETTINGS!$B$5),"Yes","No")</f>
        <v>No</v>
      </c>
      <c r="D1807" t="str">
        <f>IFERROR(INDEX(SETTINGS!$C$15:$C$24,MATCH(A1807,SETTINGS!$A$15:$A$24,0)),"No")</f>
        <v>No</v>
      </c>
      <c r="E1807">
        <v>12</v>
      </c>
      <c r="F1807" t="s">
        <v>45</v>
      </c>
      <c r="G1807">
        <v>273</v>
      </c>
      <c r="H1807" t="s">
        <v>88</v>
      </c>
      <c r="I1807" t="s">
        <v>89</v>
      </c>
      <c r="J1807" t="s">
        <v>10</v>
      </c>
      <c r="K1807" t="s">
        <v>3</v>
      </c>
      <c r="L1807" s="36">
        <f ca="1">IF(C1807&lt;&gt;"Yes",0,IF(A1807=2025,N('2025'!D273),IF(A1807=2026,N('2026'!D273),IF(A1807=2027,N('2027'!D273),IF(A1807=2028,N('2028'!D273),IF(A1807=2029,N('2029'!D273),IF(A1807=2030,N('2030'!D273),IF(A1807=2031,N('2031'!D273),IF(A1807=2032,N('2032'!D273),IF(A1807=2033,N('2033'!D273),IF(A1807=2034,N('2034'!D273),IFERROR(N(INDIRECT("'"&amp;A1807&amp;"'!D"&amp;G1807)),0))))))))))))</f>
        <v>0</v>
      </c>
      <c r="M1807" s="36">
        <f>IFERROR(IF(NOT(ISBLANK(KPI_TARGETS!$N$5)),KPI_TARGETS!$N$5,IF(NOT(ISBLANK(KPI_TARGETS!$F$5)),KPI_TARGETS!$F$5,"")),"")</f>
        <v>104</v>
      </c>
      <c r="N1807" s="36" t="str">
        <f>IFERROR(KPI_TARGETS!$E$5,"Higher is better")</f>
        <v>Higher is better</v>
      </c>
      <c r="O1807" s="37">
        <f t="shared" ca="1" si="168"/>
        <v>0</v>
      </c>
      <c r="P1807" t="str">
        <f t="shared" ca="1" si="169"/>
        <v>Red</v>
      </c>
      <c r="Q1807" s="36">
        <f t="shared" ca="1" si="170"/>
        <v>-104</v>
      </c>
      <c r="R1807" s="36" t="str">
        <f>""</f>
        <v/>
      </c>
      <c r="S1807" s="36" t="str">
        <f>""</f>
        <v/>
      </c>
      <c r="T1807" s="36" t="str">
        <f>""</f>
        <v/>
      </c>
      <c r="U1807" s="36" t="str">
        <f>""</f>
        <v/>
      </c>
      <c r="V1807" s="36" t="str">
        <f>""</f>
        <v/>
      </c>
      <c r="W1807" s="36">
        <f t="shared" si="171"/>
        <v>1</v>
      </c>
      <c r="X1807" t="str">
        <f t="shared" si="172"/>
        <v>Inactive</v>
      </c>
      <c r="Y1807" t="str">
        <f>IF(MAIN!$H$3="Selected Year",IF(A1807=MAIN!$B$3,"Yes","No"),IF(MAIN!$H$3="Included Years",IF(D1807="Yes","Yes","No"),IF(C1807="Yes","Yes","No")))</f>
        <v>No</v>
      </c>
      <c r="Z1807" t="str">
        <f>IF(MAIN!$F$3="Project to Date",IF(AND(A1807&gt;=SETTINGS!$B$4,A1807&lt;MAIN!$B$3),"Yes",IF(AND(A1807=MAIN!$B$3,E1807&lt;=MAIN!$L$3),"Yes","No")),IF(OR(MAIN!$F$3="Full Year",MAIN!$D$3="All"),"Yes",IF(MAIN!$F$3="Monthly",IF(E1807=MAIN!$L$3,"Yes","No"),IF(E1807&lt;=MAIN!$L$3,"Yes","No"))))</f>
        <v>Yes</v>
      </c>
      <c r="AA1807" t="str">
        <f t="shared" si="173"/>
        <v>No</v>
      </c>
    </row>
    <row r="1808" spans="1:27" x14ac:dyDescent="0.3">
      <c r="A1808">
        <f>INDEX(SETTINGS!$A$15:$A$24,$B1808)</f>
        <v>2032</v>
      </c>
      <c r="B1808">
        <v>8</v>
      </c>
      <c r="C1808" t="str">
        <f>IF(AND(A1808&gt;=SETTINGS!$B$4,A1808&lt;=SETTINGS!$B$5),"Yes","No")</f>
        <v>No</v>
      </c>
      <c r="D1808" t="str">
        <f>IFERROR(INDEX(SETTINGS!$C$15:$C$24,MATCH(A1808,SETTINGS!$A$15:$A$24,0)),"No")</f>
        <v>No</v>
      </c>
      <c r="E1808">
        <v>12</v>
      </c>
      <c r="F1808" t="s">
        <v>45</v>
      </c>
      <c r="G1808">
        <v>274</v>
      </c>
      <c r="H1808" t="s">
        <v>91</v>
      </c>
      <c r="I1808" t="s">
        <v>89</v>
      </c>
      <c r="J1808" t="s">
        <v>11</v>
      </c>
      <c r="K1808" t="s">
        <v>12</v>
      </c>
      <c r="L1808" s="36">
        <f ca="1">IF(C1808&lt;&gt;"Yes",0,IF(A1808=2025,N('2025'!D274),IF(A1808=2026,N('2026'!D274),IF(A1808=2027,N('2027'!D274),IF(A1808=2028,N('2028'!D274),IF(A1808=2029,N('2029'!D274),IF(A1808=2030,N('2030'!D274),IF(A1808=2031,N('2031'!D274),IF(A1808=2032,N('2032'!D274),IF(A1808=2033,N('2033'!D274),IF(A1808=2034,N('2034'!D274),IFERROR(N(INDIRECT("'"&amp;A1808&amp;"'!D"&amp;G1808)),0))))))))))))</f>
        <v>0</v>
      </c>
      <c r="M1808" s="36">
        <f>IFERROR(IF(NOT(ISBLANK(KPI_TARGETS!$N$6)),KPI_TARGETS!$N$6,IF(NOT(ISBLANK(KPI_TARGETS!$F$6)),KPI_TARGETS!$F$6,"")),"")</f>
        <v>4000</v>
      </c>
      <c r="N1808" s="36" t="str">
        <f>IFERROR(KPI_TARGETS!$E$6,"Higher is better")</f>
        <v>Higher is better</v>
      </c>
      <c r="O1808" s="37">
        <f t="shared" ca="1" si="168"/>
        <v>0</v>
      </c>
      <c r="P1808" t="str">
        <f t="shared" ca="1" si="169"/>
        <v>Red</v>
      </c>
      <c r="Q1808" s="36">
        <f t="shared" ca="1" si="170"/>
        <v>-4000</v>
      </c>
      <c r="R1808" s="36" t="str">
        <f>""</f>
        <v/>
      </c>
      <c r="S1808" s="36" t="str">
        <f>""</f>
        <v/>
      </c>
      <c r="T1808" s="36" t="str">
        <f>""</f>
        <v/>
      </c>
      <c r="U1808" s="36" t="str">
        <f>""</f>
        <v/>
      </c>
      <c r="V1808" s="36" t="str">
        <f>""</f>
        <v/>
      </c>
      <c r="W1808" s="36">
        <f t="shared" si="171"/>
        <v>1</v>
      </c>
      <c r="X1808" t="str">
        <f t="shared" si="172"/>
        <v>Inactive</v>
      </c>
      <c r="Y1808" t="str">
        <f>IF(MAIN!$H$3="Selected Year",IF(A1808=MAIN!$B$3,"Yes","No"),IF(MAIN!$H$3="Included Years",IF(D1808="Yes","Yes","No"),IF(C1808="Yes","Yes","No")))</f>
        <v>No</v>
      </c>
      <c r="Z1808" t="str">
        <f>IF(MAIN!$F$3="Project to Date",IF(AND(A1808&gt;=SETTINGS!$B$4,A1808&lt;MAIN!$B$3),"Yes",IF(AND(A1808=MAIN!$B$3,E1808&lt;=MAIN!$L$3),"Yes","No")),IF(OR(MAIN!$F$3="Full Year",MAIN!$D$3="All"),"Yes",IF(MAIN!$F$3="Monthly",IF(E1808=MAIN!$L$3,"Yes","No"),IF(E1808&lt;=MAIN!$L$3,"Yes","No"))))</f>
        <v>Yes</v>
      </c>
      <c r="AA1808" t="str">
        <f t="shared" si="173"/>
        <v>No</v>
      </c>
    </row>
    <row r="1809" spans="1:27" x14ac:dyDescent="0.3">
      <c r="A1809">
        <f>INDEX(SETTINGS!$A$15:$A$24,$B1809)</f>
        <v>2032</v>
      </c>
      <c r="B1809">
        <v>8</v>
      </c>
      <c r="C1809" t="str">
        <f>IF(AND(A1809&gt;=SETTINGS!$B$4,A1809&lt;=SETTINGS!$B$5),"Yes","No")</f>
        <v>No</v>
      </c>
      <c r="D1809" t="str">
        <f>IFERROR(INDEX(SETTINGS!$C$15:$C$24,MATCH(A1809,SETTINGS!$A$15:$A$24,0)),"No")</f>
        <v>No</v>
      </c>
      <c r="E1809">
        <v>12</v>
      </c>
      <c r="F1809" t="s">
        <v>45</v>
      </c>
      <c r="G1809">
        <v>275</v>
      </c>
      <c r="H1809" t="s">
        <v>93</v>
      </c>
      <c r="I1809" t="s">
        <v>89</v>
      </c>
      <c r="J1809" t="s">
        <v>13</v>
      </c>
      <c r="K1809" t="s">
        <v>14</v>
      </c>
      <c r="L1809" s="36">
        <f ca="1">IF(C1809&lt;&gt;"Yes",0,IF(A1809=2025,N('2025'!D275),IF(A1809=2026,N('2026'!D275),IF(A1809=2027,N('2027'!D275),IF(A1809=2028,N('2028'!D275),IF(A1809=2029,N('2029'!D275),IF(A1809=2030,N('2030'!D275),IF(A1809=2031,N('2031'!D275),IF(A1809=2032,N('2032'!D275),IF(A1809=2033,N('2033'!D275),IF(A1809=2034,N('2034'!D275),IFERROR(N(INDIRECT("'"&amp;A1809&amp;"'!D"&amp;G1809)),0))))))))))))</f>
        <v>0</v>
      </c>
      <c r="M1809" s="36">
        <f>IFERROR(IF(NOT(ISBLANK(KPI_TARGETS!$N$7)),KPI_TARGETS!$N$7,IF(NOT(ISBLANK(KPI_TARGETS!$F$7)),KPI_TARGETS!$F$7,"")),"")</f>
        <v>8000</v>
      </c>
      <c r="N1809" s="36" t="str">
        <f>IFERROR(KPI_TARGETS!$E$7,"Higher is better")</f>
        <v>Higher is better</v>
      </c>
      <c r="O1809" s="37">
        <f t="shared" ca="1" si="168"/>
        <v>0</v>
      </c>
      <c r="P1809" t="str">
        <f t="shared" ca="1" si="169"/>
        <v>Red</v>
      </c>
      <c r="Q1809" s="36">
        <f t="shared" ca="1" si="170"/>
        <v>-8000</v>
      </c>
      <c r="R1809" s="36" t="str">
        <f>""</f>
        <v/>
      </c>
      <c r="S1809" s="36" t="str">
        <f>""</f>
        <v/>
      </c>
      <c r="T1809" s="36" t="str">
        <f>""</f>
        <v/>
      </c>
      <c r="U1809" s="36" t="str">
        <f>""</f>
        <v/>
      </c>
      <c r="V1809" s="36" t="str">
        <f>""</f>
        <v/>
      </c>
      <c r="W1809" s="36">
        <f t="shared" si="171"/>
        <v>1</v>
      </c>
      <c r="X1809" t="str">
        <f t="shared" si="172"/>
        <v>Inactive</v>
      </c>
      <c r="Y1809" t="str">
        <f>IF(MAIN!$H$3="Selected Year",IF(A1809=MAIN!$B$3,"Yes","No"),IF(MAIN!$H$3="Included Years",IF(D1809="Yes","Yes","No"),IF(C1809="Yes","Yes","No")))</f>
        <v>No</v>
      </c>
      <c r="Z1809" t="str">
        <f>IF(MAIN!$F$3="Project to Date",IF(AND(A1809&gt;=SETTINGS!$B$4,A1809&lt;MAIN!$B$3),"Yes",IF(AND(A1809=MAIN!$B$3,E1809&lt;=MAIN!$L$3),"Yes","No")),IF(OR(MAIN!$F$3="Full Year",MAIN!$D$3="All"),"Yes",IF(MAIN!$F$3="Monthly",IF(E1809=MAIN!$L$3,"Yes","No"),IF(E1809&lt;=MAIN!$L$3,"Yes","No"))))</f>
        <v>Yes</v>
      </c>
      <c r="AA1809" t="str">
        <f t="shared" si="173"/>
        <v>No</v>
      </c>
    </row>
    <row r="1810" spans="1:27" x14ac:dyDescent="0.3">
      <c r="A1810">
        <f>INDEX(SETTINGS!$A$15:$A$24,$B1810)</f>
        <v>2032</v>
      </c>
      <c r="B1810">
        <v>8</v>
      </c>
      <c r="C1810" t="str">
        <f>IF(AND(A1810&gt;=SETTINGS!$B$4,A1810&lt;=SETTINGS!$B$5),"Yes","No")</f>
        <v>No</v>
      </c>
      <c r="D1810" t="str">
        <f>IFERROR(INDEX(SETTINGS!$C$15:$C$24,MATCH(A1810,SETTINGS!$A$15:$A$24,0)),"No")</f>
        <v>No</v>
      </c>
      <c r="E1810">
        <v>12</v>
      </c>
      <c r="F1810" t="s">
        <v>45</v>
      </c>
      <c r="G1810">
        <v>277</v>
      </c>
      <c r="H1810" t="s">
        <v>95</v>
      </c>
      <c r="I1810" t="s">
        <v>15</v>
      </c>
      <c r="J1810" t="s">
        <v>16</v>
      </c>
      <c r="K1810" t="s">
        <v>3</v>
      </c>
      <c r="L1810" s="36">
        <f ca="1">IF(C1810&lt;&gt;"Yes",0,IF(A1810=2025,N('2025'!D277),IF(A1810=2026,N('2026'!D277),IF(A1810=2027,N('2027'!D277),IF(A1810=2028,N('2028'!D277),IF(A1810=2029,N('2029'!D277),IF(A1810=2030,N('2030'!D277),IF(A1810=2031,N('2031'!D277),IF(A1810=2032,N('2032'!D277),IF(A1810=2033,N('2033'!D277),IF(A1810=2034,N('2034'!D277),IFERROR(N(INDIRECT("'"&amp;A1810&amp;"'!D"&amp;G1810)),0))))))))))))</f>
        <v>0</v>
      </c>
      <c r="M1810" s="36">
        <f>IFERROR(IF(NOT(ISBLANK(KPI_TARGETS!$N$8)),KPI_TARGETS!$N$8,IF(NOT(ISBLANK(KPI_TARGETS!$F$8)),KPI_TARGETS!$F$8,"")),"")</f>
        <v>0</v>
      </c>
      <c r="N1810" s="36" t="str">
        <f>IFERROR(KPI_TARGETS!$E$8,"Higher is better")</f>
        <v>Lower is better</v>
      </c>
      <c r="O1810" s="37">
        <f t="shared" ca="1" si="168"/>
        <v>1</v>
      </c>
      <c r="P1810" t="str">
        <f t="shared" ca="1" si="169"/>
        <v>Green</v>
      </c>
      <c r="Q1810" s="36">
        <f t="shared" ca="1" si="170"/>
        <v>0</v>
      </c>
      <c r="R1810" s="36" t="str">
        <f>""</f>
        <v/>
      </c>
      <c r="S1810" s="36" t="str">
        <f>""</f>
        <v/>
      </c>
      <c r="T1810" s="36" t="str">
        <f>""</f>
        <v/>
      </c>
      <c r="U1810" s="36" t="str">
        <f>""</f>
        <v/>
      </c>
      <c r="V1810" s="36" t="str">
        <f>""</f>
        <v/>
      </c>
      <c r="W1810" s="36">
        <f t="shared" si="171"/>
        <v>1</v>
      </c>
      <c r="X1810" t="str">
        <f t="shared" si="172"/>
        <v>Inactive</v>
      </c>
      <c r="Y1810" t="str">
        <f>IF(MAIN!$H$3="Selected Year",IF(A1810=MAIN!$B$3,"Yes","No"),IF(MAIN!$H$3="Included Years",IF(D1810="Yes","Yes","No"),IF(C1810="Yes","Yes","No")))</f>
        <v>No</v>
      </c>
      <c r="Z1810" t="str">
        <f>IF(MAIN!$F$3="Project to Date",IF(AND(A1810&gt;=SETTINGS!$B$4,A1810&lt;MAIN!$B$3),"Yes",IF(AND(A1810=MAIN!$B$3,E1810&lt;=MAIN!$L$3),"Yes","No")),IF(OR(MAIN!$F$3="Full Year",MAIN!$D$3="All"),"Yes",IF(MAIN!$F$3="Monthly",IF(E1810=MAIN!$L$3,"Yes","No"),IF(E1810&lt;=MAIN!$L$3,"Yes","No"))))</f>
        <v>Yes</v>
      </c>
      <c r="AA1810" t="str">
        <f t="shared" si="173"/>
        <v>No</v>
      </c>
    </row>
    <row r="1811" spans="1:27" x14ac:dyDescent="0.3">
      <c r="A1811">
        <f>INDEX(SETTINGS!$A$15:$A$24,$B1811)</f>
        <v>2032</v>
      </c>
      <c r="B1811">
        <v>8</v>
      </c>
      <c r="C1811" t="str">
        <f>IF(AND(A1811&gt;=SETTINGS!$B$4,A1811&lt;=SETTINGS!$B$5),"Yes","No")</f>
        <v>No</v>
      </c>
      <c r="D1811" t="str">
        <f>IFERROR(INDEX(SETTINGS!$C$15:$C$24,MATCH(A1811,SETTINGS!$A$15:$A$24,0)),"No")</f>
        <v>No</v>
      </c>
      <c r="E1811">
        <v>12</v>
      </c>
      <c r="F1811" t="s">
        <v>45</v>
      </c>
      <c r="G1811">
        <v>278</v>
      </c>
      <c r="H1811" t="s">
        <v>97</v>
      </c>
      <c r="I1811" t="s">
        <v>15</v>
      </c>
      <c r="J1811" t="s">
        <v>17</v>
      </c>
      <c r="K1811" t="s">
        <v>3</v>
      </c>
      <c r="L1811" s="36">
        <f ca="1">IF(C1811&lt;&gt;"Yes",0,IF(A1811=2025,N('2025'!D278),IF(A1811=2026,N('2026'!D278),IF(A1811=2027,N('2027'!D278),IF(A1811=2028,N('2028'!D278),IF(A1811=2029,N('2029'!D278),IF(A1811=2030,N('2030'!D278),IF(A1811=2031,N('2031'!D278),IF(A1811=2032,N('2032'!D278),IF(A1811=2033,N('2033'!D278),IF(A1811=2034,N('2034'!D278),IFERROR(N(INDIRECT("'"&amp;A1811&amp;"'!D"&amp;G1811)),0))))))))))))</f>
        <v>0</v>
      </c>
      <c r="M1811" s="36">
        <f>IFERROR(IF(NOT(ISBLANK(KPI_TARGETS!$N$9)),KPI_TARGETS!$N$9,IF(NOT(ISBLANK(KPI_TARGETS!$F$9)),KPI_TARGETS!$F$9,"")),"")</f>
        <v>0</v>
      </c>
      <c r="N1811" s="36" t="str">
        <f>IFERROR(KPI_TARGETS!$E$9,"Higher is better")</f>
        <v>Higher is better</v>
      </c>
      <c r="O1811" s="37" t="str">
        <f t="shared" ca="1" si="168"/>
        <v/>
      </c>
      <c r="P1811" t="str">
        <f t="shared" ca="1" si="169"/>
        <v>Green</v>
      </c>
      <c r="Q1811" s="36">
        <f t="shared" ca="1" si="170"/>
        <v>0</v>
      </c>
      <c r="R1811" s="36" t="str">
        <f>""</f>
        <v/>
      </c>
      <c r="S1811" s="36" t="str">
        <f>""</f>
        <v/>
      </c>
      <c r="T1811" s="36" t="str">
        <f>""</f>
        <v/>
      </c>
      <c r="U1811" s="36" t="str">
        <f>""</f>
        <v/>
      </c>
      <c r="V1811" s="36" t="str">
        <f>""</f>
        <v/>
      </c>
      <c r="W1811" s="36">
        <f t="shared" si="171"/>
        <v>1</v>
      </c>
      <c r="X1811" t="str">
        <f t="shared" si="172"/>
        <v>Inactive</v>
      </c>
      <c r="Y1811" t="str">
        <f>IF(MAIN!$H$3="Selected Year",IF(A1811=MAIN!$B$3,"Yes","No"),IF(MAIN!$H$3="Included Years",IF(D1811="Yes","Yes","No"),IF(C1811="Yes","Yes","No")))</f>
        <v>No</v>
      </c>
      <c r="Z1811" t="str">
        <f>IF(MAIN!$F$3="Project to Date",IF(AND(A1811&gt;=SETTINGS!$B$4,A1811&lt;MAIN!$B$3),"Yes",IF(AND(A1811=MAIN!$B$3,E1811&lt;=MAIN!$L$3),"Yes","No")),IF(OR(MAIN!$F$3="Full Year",MAIN!$D$3="All"),"Yes",IF(MAIN!$F$3="Monthly",IF(E1811=MAIN!$L$3,"Yes","No"),IF(E1811&lt;=MAIN!$L$3,"Yes","No"))))</f>
        <v>Yes</v>
      </c>
      <c r="AA1811" t="str">
        <f t="shared" si="173"/>
        <v>No</v>
      </c>
    </row>
    <row r="1812" spans="1:27" x14ac:dyDescent="0.3">
      <c r="A1812">
        <f>INDEX(SETTINGS!$A$15:$A$24,$B1812)</f>
        <v>2032</v>
      </c>
      <c r="B1812">
        <v>8</v>
      </c>
      <c r="C1812" t="str">
        <f>IF(AND(A1812&gt;=SETTINGS!$B$4,A1812&lt;=SETTINGS!$B$5),"Yes","No")</f>
        <v>No</v>
      </c>
      <c r="D1812" t="str">
        <f>IFERROR(INDEX(SETTINGS!$C$15:$C$24,MATCH(A1812,SETTINGS!$A$15:$A$24,0)),"No")</f>
        <v>No</v>
      </c>
      <c r="E1812">
        <v>12</v>
      </c>
      <c r="F1812" t="s">
        <v>45</v>
      </c>
      <c r="G1812">
        <v>279</v>
      </c>
      <c r="H1812" t="s">
        <v>99</v>
      </c>
      <c r="I1812" t="s">
        <v>15</v>
      </c>
      <c r="J1812" t="s">
        <v>18</v>
      </c>
      <c r="K1812" t="s">
        <v>3</v>
      </c>
      <c r="L1812" s="36">
        <f ca="1">IF(C1812&lt;&gt;"Yes",0,IF(A1812=2025,N('2025'!D279),IF(A1812=2026,N('2026'!D279),IF(A1812=2027,N('2027'!D279),IF(A1812=2028,N('2028'!D279),IF(A1812=2029,N('2029'!D279),IF(A1812=2030,N('2030'!D279),IF(A1812=2031,N('2031'!D279),IF(A1812=2032,N('2032'!D279),IF(A1812=2033,N('2033'!D279),IF(A1812=2034,N('2034'!D279),IFERROR(N(INDIRECT("'"&amp;A1812&amp;"'!D"&amp;G1812)),0))))))))))))</f>
        <v>0</v>
      </c>
      <c r="M1812" s="36">
        <f>IFERROR(IF(NOT(ISBLANK(KPI_TARGETS!$N$10)),KPI_TARGETS!$N$10,IF(NOT(ISBLANK(KPI_TARGETS!$F$10)),KPI_TARGETS!$F$10,"")),"")</f>
        <v>0</v>
      </c>
      <c r="N1812" s="36" t="str">
        <f>IFERROR(KPI_TARGETS!$E$10,"Higher is better")</f>
        <v>Lower is better</v>
      </c>
      <c r="O1812" s="37">
        <f t="shared" ca="1" si="168"/>
        <v>1</v>
      </c>
      <c r="P1812" t="str">
        <f t="shared" ca="1" si="169"/>
        <v>Green</v>
      </c>
      <c r="Q1812" s="36">
        <f t="shared" ca="1" si="170"/>
        <v>0</v>
      </c>
      <c r="R1812" s="36" t="str">
        <f>""</f>
        <v/>
      </c>
      <c r="S1812" s="36" t="str">
        <f>""</f>
        <v/>
      </c>
      <c r="T1812" s="36" t="str">
        <f>""</f>
        <v/>
      </c>
      <c r="U1812" s="36" t="str">
        <f>""</f>
        <v/>
      </c>
      <c r="V1812" s="36" t="str">
        <f>""</f>
        <v/>
      </c>
      <c r="W1812" s="36">
        <f t="shared" si="171"/>
        <v>1</v>
      </c>
      <c r="X1812" t="str">
        <f t="shared" si="172"/>
        <v>Inactive</v>
      </c>
      <c r="Y1812" t="str">
        <f>IF(MAIN!$H$3="Selected Year",IF(A1812=MAIN!$B$3,"Yes","No"),IF(MAIN!$H$3="Included Years",IF(D1812="Yes","Yes","No"),IF(C1812="Yes","Yes","No")))</f>
        <v>No</v>
      </c>
      <c r="Z1812" t="str">
        <f>IF(MAIN!$F$3="Project to Date",IF(AND(A1812&gt;=SETTINGS!$B$4,A1812&lt;MAIN!$B$3),"Yes",IF(AND(A1812=MAIN!$B$3,E1812&lt;=MAIN!$L$3),"Yes","No")),IF(OR(MAIN!$F$3="Full Year",MAIN!$D$3="All"),"Yes",IF(MAIN!$F$3="Monthly",IF(E1812=MAIN!$L$3,"Yes","No"),IF(E1812&lt;=MAIN!$L$3,"Yes","No"))))</f>
        <v>Yes</v>
      </c>
      <c r="AA1812" t="str">
        <f t="shared" si="173"/>
        <v>No</v>
      </c>
    </row>
    <row r="1813" spans="1:27" x14ac:dyDescent="0.3">
      <c r="A1813">
        <f>INDEX(SETTINGS!$A$15:$A$24,$B1813)</f>
        <v>2032</v>
      </c>
      <c r="B1813">
        <v>8</v>
      </c>
      <c r="C1813" t="str">
        <f>IF(AND(A1813&gt;=SETTINGS!$B$4,A1813&lt;=SETTINGS!$B$5),"Yes","No")</f>
        <v>No</v>
      </c>
      <c r="D1813" t="str">
        <f>IFERROR(INDEX(SETTINGS!$C$15:$C$24,MATCH(A1813,SETTINGS!$A$15:$A$24,0)),"No")</f>
        <v>No</v>
      </c>
      <c r="E1813">
        <v>12</v>
      </c>
      <c r="F1813" t="s">
        <v>45</v>
      </c>
      <c r="G1813">
        <v>280</v>
      </c>
      <c r="H1813" t="s">
        <v>100</v>
      </c>
      <c r="I1813" t="s">
        <v>15</v>
      </c>
      <c r="J1813" t="s">
        <v>19</v>
      </c>
      <c r="K1813" t="s">
        <v>3</v>
      </c>
      <c r="L1813" s="36">
        <f ca="1">IF(C1813&lt;&gt;"Yes",0,IF(A1813=2025,N('2025'!D280),IF(A1813=2026,N('2026'!D280),IF(A1813=2027,N('2027'!D280),IF(A1813=2028,N('2028'!D280),IF(A1813=2029,N('2029'!D280),IF(A1813=2030,N('2030'!D280),IF(A1813=2031,N('2031'!D280),IF(A1813=2032,N('2032'!D280),IF(A1813=2033,N('2033'!D280),IF(A1813=2034,N('2034'!D280),IFERROR(N(INDIRECT("'"&amp;A1813&amp;"'!D"&amp;G1813)),0))))))))))))</f>
        <v>0</v>
      </c>
      <c r="M1813" s="36">
        <f>IFERROR(IF(NOT(ISBLANK(KPI_TARGETS!$N$11)),KPI_TARGETS!$N$11,IF(NOT(ISBLANK(KPI_TARGETS!$F$11)),KPI_TARGETS!$F$11,"")),"")</f>
        <v>0</v>
      </c>
      <c r="N1813" s="36" t="str">
        <f>IFERROR(KPI_TARGETS!$E$11,"Higher is better")</f>
        <v>Lower is better</v>
      </c>
      <c r="O1813" s="37">
        <f t="shared" ca="1" si="168"/>
        <v>1</v>
      </c>
      <c r="P1813" t="str">
        <f t="shared" ca="1" si="169"/>
        <v>Green</v>
      </c>
      <c r="Q1813" s="36">
        <f t="shared" ca="1" si="170"/>
        <v>0</v>
      </c>
      <c r="R1813" s="36" t="str">
        <f>""</f>
        <v/>
      </c>
      <c r="S1813" s="36" t="str">
        <f>""</f>
        <v/>
      </c>
      <c r="T1813" s="36" t="str">
        <f>""</f>
        <v/>
      </c>
      <c r="U1813" s="36" t="str">
        <f>""</f>
        <v/>
      </c>
      <c r="V1813" s="36" t="str">
        <f>""</f>
        <v/>
      </c>
      <c r="W1813" s="36">
        <f t="shared" si="171"/>
        <v>1</v>
      </c>
      <c r="X1813" t="str">
        <f t="shared" si="172"/>
        <v>Inactive</v>
      </c>
      <c r="Y1813" t="str">
        <f>IF(MAIN!$H$3="Selected Year",IF(A1813=MAIN!$B$3,"Yes","No"),IF(MAIN!$H$3="Included Years",IF(D1813="Yes","Yes","No"),IF(C1813="Yes","Yes","No")))</f>
        <v>No</v>
      </c>
      <c r="Z1813" t="str">
        <f>IF(MAIN!$F$3="Project to Date",IF(AND(A1813&gt;=SETTINGS!$B$4,A1813&lt;MAIN!$B$3),"Yes",IF(AND(A1813=MAIN!$B$3,E1813&lt;=MAIN!$L$3),"Yes","No")),IF(OR(MAIN!$F$3="Full Year",MAIN!$D$3="All"),"Yes",IF(MAIN!$F$3="Monthly",IF(E1813=MAIN!$L$3,"Yes","No"),IF(E1813&lt;=MAIN!$L$3,"Yes","No"))))</f>
        <v>Yes</v>
      </c>
      <c r="AA1813" t="str">
        <f t="shared" si="173"/>
        <v>No</v>
      </c>
    </row>
    <row r="1814" spans="1:27" x14ac:dyDescent="0.3">
      <c r="A1814">
        <f>INDEX(SETTINGS!$A$15:$A$24,$B1814)</f>
        <v>2032</v>
      </c>
      <c r="B1814">
        <v>8</v>
      </c>
      <c r="C1814" t="str">
        <f>IF(AND(A1814&gt;=SETTINGS!$B$4,A1814&lt;=SETTINGS!$B$5),"Yes","No")</f>
        <v>No</v>
      </c>
      <c r="D1814" t="str">
        <f>IFERROR(INDEX(SETTINGS!$C$15:$C$24,MATCH(A1814,SETTINGS!$A$15:$A$24,0)),"No")</f>
        <v>No</v>
      </c>
      <c r="E1814">
        <v>12</v>
      </c>
      <c r="F1814" t="s">
        <v>45</v>
      </c>
      <c r="G1814">
        <v>281</v>
      </c>
      <c r="H1814" t="s">
        <v>101</v>
      </c>
      <c r="I1814" t="s">
        <v>15</v>
      </c>
      <c r="J1814" t="s">
        <v>20</v>
      </c>
      <c r="K1814" t="s">
        <v>3</v>
      </c>
      <c r="L1814" s="36">
        <f ca="1">IF(C1814&lt;&gt;"Yes",0,IF(A1814=2025,N('2025'!D281),IF(A1814=2026,N('2026'!D281),IF(A1814=2027,N('2027'!D281),IF(A1814=2028,N('2028'!D281),IF(A1814=2029,N('2029'!D281),IF(A1814=2030,N('2030'!D281),IF(A1814=2031,N('2031'!D281),IF(A1814=2032,N('2032'!D281),IF(A1814=2033,N('2033'!D281),IF(A1814=2034,N('2034'!D281),IFERROR(N(INDIRECT("'"&amp;A1814&amp;"'!D"&amp;G1814)),0))))))))))))</f>
        <v>0</v>
      </c>
      <c r="M1814" s="36">
        <f>IFERROR(IF(NOT(ISBLANK(KPI_TARGETS!$N$12)),KPI_TARGETS!$N$12,IF(NOT(ISBLANK(KPI_TARGETS!$F$12)),KPI_TARGETS!$F$12,"")),"")</f>
        <v>0</v>
      </c>
      <c r="N1814" s="36" t="str">
        <f>IFERROR(KPI_TARGETS!$E$12,"Higher is better")</f>
        <v>Lower is better</v>
      </c>
      <c r="O1814" s="37">
        <f t="shared" ca="1" si="168"/>
        <v>1</v>
      </c>
      <c r="P1814" t="str">
        <f t="shared" ca="1" si="169"/>
        <v>Green</v>
      </c>
      <c r="Q1814" s="36">
        <f t="shared" ca="1" si="170"/>
        <v>0</v>
      </c>
      <c r="R1814" s="36" t="str">
        <f>""</f>
        <v/>
      </c>
      <c r="S1814" s="36" t="str">
        <f>""</f>
        <v/>
      </c>
      <c r="T1814" s="36" t="str">
        <f>""</f>
        <v/>
      </c>
      <c r="U1814" s="36" t="str">
        <f>""</f>
        <v/>
      </c>
      <c r="V1814" s="36" t="str">
        <f>""</f>
        <v/>
      </c>
      <c r="W1814" s="36">
        <f t="shared" si="171"/>
        <v>1</v>
      </c>
      <c r="X1814" t="str">
        <f t="shared" si="172"/>
        <v>Inactive</v>
      </c>
      <c r="Y1814" t="str">
        <f>IF(MAIN!$H$3="Selected Year",IF(A1814=MAIN!$B$3,"Yes","No"),IF(MAIN!$H$3="Included Years",IF(D1814="Yes","Yes","No"),IF(C1814="Yes","Yes","No")))</f>
        <v>No</v>
      </c>
      <c r="Z1814" t="str">
        <f>IF(MAIN!$F$3="Project to Date",IF(AND(A1814&gt;=SETTINGS!$B$4,A1814&lt;MAIN!$B$3),"Yes",IF(AND(A1814=MAIN!$B$3,E1814&lt;=MAIN!$L$3),"Yes","No")),IF(OR(MAIN!$F$3="Full Year",MAIN!$D$3="All"),"Yes",IF(MAIN!$F$3="Monthly",IF(E1814=MAIN!$L$3,"Yes","No"),IF(E1814&lt;=MAIN!$L$3,"Yes","No"))))</f>
        <v>Yes</v>
      </c>
      <c r="AA1814" t="str">
        <f t="shared" si="173"/>
        <v>No</v>
      </c>
    </row>
    <row r="1815" spans="1:27" x14ac:dyDescent="0.3">
      <c r="A1815">
        <f>INDEX(SETTINGS!$A$15:$A$24,$B1815)</f>
        <v>2032</v>
      </c>
      <c r="B1815">
        <v>8</v>
      </c>
      <c r="C1815" t="str">
        <f>IF(AND(A1815&gt;=SETTINGS!$B$4,A1815&lt;=SETTINGS!$B$5),"Yes","No")</f>
        <v>No</v>
      </c>
      <c r="D1815" t="str">
        <f>IFERROR(INDEX(SETTINGS!$C$15:$C$24,MATCH(A1815,SETTINGS!$A$15:$A$24,0)),"No")</f>
        <v>No</v>
      </c>
      <c r="E1815">
        <v>12</v>
      </c>
      <c r="F1815" t="s">
        <v>45</v>
      </c>
      <c r="G1815">
        <v>282</v>
      </c>
      <c r="H1815" t="s">
        <v>102</v>
      </c>
      <c r="I1815" t="s">
        <v>15</v>
      </c>
      <c r="J1815" t="s">
        <v>21</v>
      </c>
      <c r="K1815" t="s">
        <v>3</v>
      </c>
      <c r="L1815" s="36">
        <f ca="1">IF(C1815&lt;&gt;"Yes",0,IF(A1815=2025,N('2025'!D282),IF(A1815=2026,N('2026'!D282),IF(A1815=2027,N('2027'!D282),IF(A1815=2028,N('2028'!D282),IF(A1815=2029,N('2029'!D282),IF(A1815=2030,N('2030'!D282),IF(A1815=2031,N('2031'!D282),IF(A1815=2032,N('2032'!D282),IF(A1815=2033,N('2033'!D282),IF(A1815=2034,N('2034'!D282),IFERROR(N(INDIRECT("'"&amp;A1815&amp;"'!D"&amp;G1815)),0))))))))))))</f>
        <v>0</v>
      </c>
      <c r="M1815" s="36">
        <f>IFERROR(IF(NOT(ISBLANK(KPI_TARGETS!$N$13)),KPI_TARGETS!$N$13,IF(NOT(ISBLANK(KPI_TARGETS!$F$13)),KPI_TARGETS!$F$13,"")),"")</f>
        <v>0</v>
      </c>
      <c r="N1815" s="36" t="str">
        <f>IFERROR(KPI_TARGETS!$E$13,"Higher is better")</f>
        <v>Lower is better</v>
      </c>
      <c r="O1815" s="37">
        <f t="shared" ca="1" si="168"/>
        <v>1</v>
      </c>
      <c r="P1815" t="str">
        <f t="shared" ca="1" si="169"/>
        <v>Green</v>
      </c>
      <c r="Q1815" s="36">
        <f t="shared" ca="1" si="170"/>
        <v>0</v>
      </c>
      <c r="R1815" s="36" t="str">
        <f>""</f>
        <v/>
      </c>
      <c r="S1815" s="36" t="str">
        <f>""</f>
        <v/>
      </c>
      <c r="T1815" s="36" t="str">
        <f>""</f>
        <v/>
      </c>
      <c r="U1815" s="36" t="str">
        <f>""</f>
        <v/>
      </c>
      <c r="V1815" s="36" t="str">
        <f>""</f>
        <v/>
      </c>
      <c r="W1815" s="36">
        <f t="shared" si="171"/>
        <v>1</v>
      </c>
      <c r="X1815" t="str">
        <f t="shared" si="172"/>
        <v>Inactive</v>
      </c>
      <c r="Y1815" t="str">
        <f>IF(MAIN!$H$3="Selected Year",IF(A1815=MAIN!$B$3,"Yes","No"),IF(MAIN!$H$3="Included Years",IF(D1815="Yes","Yes","No"),IF(C1815="Yes","Yes","No")))</f>
        <v>No</v>
      </c>
      <c r="Z1815" t="str">
        <f>IF(MAIN!$F$3="Project to Date",IF(AND(A1815&gt;=SETTINGS!$B$4,A1815&lt;MAIN!$B$3),"Yes",IF(AND(A1815=MAIN!$B$3,E1815&lt;=MAIN!$L$3),"Yes","No")),IF(OR(MAIN!$F$3="Full Year",MAIN!$D$3="All"),"Yes",IF(MAIN!$F$3="Monthly",IF(E1815=MAIN!$L$3,"Yes","No"),IF(E1815&lt;=MAIN!$L$3,"Yes","No"))))</f>
        <v>Yes</v>
      </c>
      <c r="AA1815" t="str">
        <f t="shared" si="173"/>
        <v>No</v>
      </c>
    </row>
    <row r="1816" spans="1:27" x14ac:dyDescent="0.3">
      <c r="A1816">
        <f>INDEX(SETTINGS!$A$15:$A$24,$B1816)</f>
        <v>2032</v>
      </c>
      <c r="B1816">
        <v>8</v>
      </c>
      <c r="C1816" t="str">
        <f>IF(AND(A1816&gt;=SETTINGS!$B$4,A1816&lt;=SETTINGS!$B$5),"Yes","No")</f>
        <v>No</v>
      </c>
      <c r="D1816" t="str">
        <f>IFERROR(INDEX(SETTINGS!$C$15:$C$24,MATCH(A1816,SETTINGS!$A$15:$A$24,0)),"No")</f>
        <v>No</v>
      </c>
      <c r="E1816">
        <v>12</v>
      </c>
      <c r="F1816" t="s">
        <v>45</v>
      </c>
      <c r="G1816">
        <v>284</v>
      </c>
      <c r="H1816" t="s">
        <v>103</v>
      </c>
      <c r="I1816" t="s">
        <v>22</v>
      </c>
      <c r="J1816" t="s">
        <v>23</v>
      </c>
      <c r="K1816" t="s">
        <v>3</v>
      </c>
      <c r="L1816" s="36">
        <f ca="1">IF(C1816&lt;&gt;"Yes",0,IF(A1816=2025,N('2025'!D284),IF(A1816=2026,N('2026'!D284),IF(A1816=2027,N('2027'!D284),IF(A1816=2028,N('2028'!D284),IF(A1816=2029,N('2029'!D284),IF(A1816=2030,N('2030'!D284),IF(A1816=2031,N('2031'!D284),IF(A1816=2032,N('2032'!D284),IF(A1816=2033,N('2033'!D284),IF(A1816=2034,N('2034'!D284),IFERROR(N(INDIRECT("'"&amp;A1816&amp;"'!D"&amp;G1816)),0))))))))))))</f>
        <v>0</v>
      </c>
      <c r="M1816" s="36">
        <f>IFERROR(IF(NOT(ISBLANK(KPI_TARGETS!$N$14)),KPI_TARGETS!$N$14,IF(NOT(ISBLANK(KPI_TARGETS!$F$14)),KPI_TARGETS!$F$14,"")),"")</f>
        <v>35</v>
      </c>
      <c r="N1816" s="36" t="str">
        <f>IFERROR(KPI_TARGETS!$E$14,"Higher is better")</f>
        <v>Higher is better</v>
      </c>
      <c r="O1816" s="37">
        <f t="shared" ca="1" si="168"/>
        <v>0</v>
      </c>
      <c r="P1816" t="str">
        <f t="shared" ca="1" si="169"/>
        <v>Red</v>
      </c>
      <c r="Q1816" s="36">
        <f t="shared" ca="1" si="170"/>
        <v>-35</v>
      </c>
      <c r="R1816" s="36" t="str">
        <f>""</f>
        <v/>
      </c>
      <c r="S1816" s="36" t="str">
        <f>""</f>
        <v/>
      </c>
      <c r="T1816" s="36" t="str">
        <f>""</f>
        <v/>
      </c>
      <c r="U1816" s="36" t="str">
        <f>""</f>
        <v/>
      </c>
      <c r="V1816" s="36" t="str">
        <f>""</f>
        <v/>
      </c>
      <c r="W1816" s="36">
        <f t="shared" si="171"/>
        <v>1</v>
      </c>
      <c r="X1816" t="str">
        <f t="shared" si="172"/>
        <v>Inactive</v>
      </c>
      <c r="Y1816" t="str">
        <f>IF(MAIN!$H$3="Selected Year",IF(A1816=MAIN!$B$3,"Yes","No"),IF(MAIN!$H$3="Included Years",IF(D1816="Yes","Yes","No"),IF(C1816="Yes","Yes","No")))</f>
        <v>No</v>
      </c>
      <c r="Z1816" t="str">
        <f>IF(MAIN!$F$3="Project to Date",IF(AND(A1816&gt;=SETTINGS!$B$4,A1816&lt;MAIN!$B$3),"Yes",IF(AND(A1816=MAIN!$B$3,E1816&lt;=MAIN!$L$3),"Yes","No")),IF(OR(MAIN!$F$3="Full Year",MAIN!$D$3="All"),"Yes",IF(MAIN!$F$3="Monthly",IF(E1816=MAIN!$L$3,"Yes","No"),IF(E1816&lt;=MAIN!$L$3,"Yes","No"))))</f>
        <v>Yes</v>
      </c>
      <c r="AA1816" t="str">
        <f t="shared" si="173"/>
        <v>No</v>
      </c>
    </row>
    <row r="1817" spans="1:27" x14ac:dyDescent="0.3">
      <c r="A1817">
        <f>INDEX(SETTINGS!$A$15:$A$24,$B1817)</f>
        <v>2032</v>
      </c>
      <c r="B1817">
        <v>8</v>
      </c>
      <c r="C1817" t="str">
        <f>IF(AND(A1817&gt;=SETTINGS!$B$4,A1817&lt;=SETTINGS!$B$5),"Yes","No")</f>
        <v>No</v>
      </c>
      <c r="D1817" t="str">
        <f>IFERROR(INDEX(SETTINGS!$C$15:$C$24,MATCH(A1817,SETTINGS!$A$15:$A$24,0)),"No")</f>
        <v>No</v>
      </c>
      <c r="E1817">
        <v>12</v>
      </c>
      <c r="F1817" t="s">
        <v>45</v>
      </c>
      <c r="G1817">
        <v>285</v>
      </c>
      <c r="H1817" t="s">
        <v>104</v>
      </c>
      <c r="I1817" t="s">
        <v>22</v>
      </c>
      <c r="J1817" t="s">
        <v>24</v>
      </c>
      <c r="K1817" t="s">
        <v>3</v>
      </c>
      <c r="L1817" s="36">
        <f ca="1">IF(C1817&lt;&gt;"Yes",0,IF(A1817=2025,N('2025'!D285),IF(A1817=2026,N('2026'!D285),IF(A1817=2027,N('2027'!D285),IF(A1817=2028,N('2028'!D285),IF(A1817=2029,N('2029'!D285),IF(A1817=2030,N('2030'!D285),IF(A1817=2031,N('2031'!D285),IF(A1817=2032,N('2032'!D285),IF(A1817=2033,N('2033'!D285),IF(A1817=2034,N('2034'!D285),IFERROR(N(INDIRECT("'"&amp;A1817&amp;"'!D"&amp;G1817)),0))))))))))))</f>
        <v>0</v>
      </c>
      <c r="M1817" s="36">
        <f>IFERROR(IF(NOT(ISBLANK(KPI_TARGETS!$N$15)),KPI_TARGETS!$N$15,IF(NOT(ISBLANK(KPI_TARGETS!$F$15)),KPI_TARGETS!$F$15,"")),"")</f>
        <v>5</v>
      </c>
      <c r="N1817" s="36" t="str">
        <f>IFERROR(KPI_TARGETS!$E$15,"Higher is better")</f>
        <v>Higher is better</v>
      </c>
      <c r="O1817" s="37">
        <f t="shared" ca="1" si="168"/>
        <v>0</v>
      </c>
      <c r="P1817" t="str">
        <f t="shared" ca="1" si="169"/>
        <v>Red</v>
      </c>
      <c r="Q1817" s="36">
        <f t="shared" ca="1" si="170"/>
        <v>-5</v>
      </c>
      <c r="R1817" s="36" t="str">
        <f>""</f>
        <v/>
      </c>
      <c r="S1817" s="36" t="str">
        <f>""</f>
        <v/>
      </c>
      <c r="T1817" s="36" t="str">
        <f>""</f>
        <v/>
      </c>
      <c r="U1817" s="36" t="str">
        <f>""</f>
        <v/>
      </c>
      <c r="V1817" s="36" t="str">
        <f>""</f>
        <v/>
      </c>
      <c r="W1817" s="36">
        <f t="shared" si="171"/>
        <v>1</v>
      </c>
      <c r="X1817" t="str">
        <f t="shared" si="172"/>
        <v>Inactive</v>
      </c>
      <c r="Y1817" t="str">
        <f>IF(MAIN!$H$3="Selected Year",IF(A1817=MAIN!$B$3,"Yes","No"),IF(MAIN!$H$3="Included Years",IF(D1817="Yes","Yes","No"),IF(C1817="Yes","Yes","No")))</f>
        <v>No</v>
      </c>
      <c r="Z1817" t="str">
        <f>IF(MAIN!$F$3="Project to Date",IF(AND(A1817&gt;=SETTINGS!$B$4,A1817&lt;MAIN!$B$3),"Yes",IF(AND(A1817=MAIN!$B$3,E1817&lt;=MAIN!$L$3),"Yes","No")),IF(OR(MAIN!$F$3="Full Year",MAIN!$D$3="All"),"Yes",IF(MAIN!$F$3="Monthly",IF(E1817=MAIN!$L$3,"Yes","No"),IF(E1817&lt;=MAIN!$L$3,"Yes","No"))))</f>
        <v>Yes</v>
      </c>
      <c r="AA1817" t="str">
        <f t="shared" si="173"/>
        <v>No</v>
      </c>
    </row>
    <row r="1818" spans="1:27" x14ac:dyDescent="0.3">
      <c r="A1818">
        <f>INDEX(SETTINGS!$A$15:$A$24,$B1818)</f>
        <v>2032</v>
      </c>
      <c r="B1818">
        <v>8</v>
      </c>
      <c r="C1818" t="str">
        <f>IF(AND(A1818&gt;=SETTINGS!$B$4,A1818&lt;=SETTINGS!$B$5),"Yes","No")</f>
        <v>No</v>
      </c>
      <c r="D1818" t="str">
        <f>IFERROR(INDEX(SETTINGS!$C$15:$C$24,MATCH(A1818,SETTINGS!$A$15:$A$24,0)),"No")</f>
        <v>No</v>
      </c>
      <c r="E1818">
        <v>12</v>
      </c>
      <c r="F1818" t="s">
        <v>45</v>
      </c>
      <c r="G1818">
        <v>286</v>
      </c>
      <c r="H1818" t="s">
        <v>105</v>
      </c>
      <c r="I1818" t="s">
        <v>22</v>
      </c>
      <c r="J1818" t="s">
        <v>25</v>
      </c>
      <c r="K1818" t="s">
        <v>3</v>
      </c>
      <c r="L1818" s="36">
        <f ca="1">IF(C1818&lt;&gt;"Yes",0,IF(A1818=2025,N('2025'!D286),IF(A1818=2026,N('2026'!D286),IF(A1818=2027,N('2027'!D286),IF(A1818=2028,N('2028'!D286),IF(A1818=2029,N('2029'!D286),IF(A1818=2030,N('2030'!D286),IF(A1818=2031,N('2031'!D286),IF(A1818=2032,N('2032'!D286),IF(A1818=2033,N('2033'!D286),IF(A1818=2034,N('2034'!D286),IFERROR(N(INDIRECT("'"&amp;A1818&amp;"'!D"&amp;G1818)),0))))))))))))</f>
        <v>0</v>
      </c>
      <c r="M1818" s="36">
        <f>IFERROR(IF(NOT(ISBLANK(KPI_TARGETS!$N$16)),KPI_TARGETS!$N$16,IF(NOT(ISBLANK(KPI_TARGETS!$F$16)),KPI_TARGETS!$F$16,"")),"")</f>
        <v>4</v>
      </c>
      <c r="N1818" s="36" t="str">
        <f>IFERROR(KPI_TARGETS!$E$16,"Higher is better")</f>
        <v>Higher is better</v>
      </c>
      <c r="O1818" s="37">
        <f t="shared" ca="1" si="168"/>
        <v>0</v>
      </c>
      <c r="P1818" t="str">
        <f t="shared" ca="1" si="169"/>
        <v>Red</v>
      </c>
      <c r="Q1818" s="36">
        <f t="shared" ca="1" si="170"/>
        <v>-4</v>
      </c>
      <c r="R1818" s="36" t="str">
        <f>""</f>
        <v/>
      </c>
      <c r="S1818" s="36" t="str">
        <f>""</f>
        <v/>
      </c>
      <c r="T1818" s="36" t="str">
        <f>""</f>
        <v/>
      </c>
      <c r="U1818" s="36" t="str">
        <f>""</f>
        <v/>
      </c>
      <c r="V1818" s="36" t="str">
        <f>""</f>
        <v/>
      </c>
      <c r="W1818" s="36">
        <f t="shared" si="171"/>
        <v>1</v>
      </c>
      <c r="X1818" t="str">
        <f t="shared" si="172"/>
        <v>Inactive</v>
      </c>
      <c r="Y1818" t="str">
        <f>IF(MAIN!$H$3="Selected Year",IF(A1818=MAIN!$B$3,"Yes","No"),IF(MAIN!$H$3="Included Years",IF(D1818="Yes","Yes","No"),IF(C1818="Yes","Yes","No")))</f>
        <v>No</v>
      </c>
      <c r="Z1818" t="str">
        <f>IF(MAIN!$F$3="Project to Date",IF(AND(A1818&gt;=SETTINGS!$B$4,A1818&lt;MAIN!$B$3),"Yes",IF(AND(A1818=MAIN!$B$3,E1818&lt;=MAIN!$L$3),"Yes","No")),IF(OR(MAIN!$F$3="Full Year",MAIN!$D$3="All"),"Yes",IF(MAIN!$F$3="Monthly",IF(E1818=MAIN!$L$3,"Yes","No"),IF(E1818&lt;=MAIN!$L$3,"Yes","No"))))</f>
        <v>Yes</v>
      </c>
      <c r="AA1818" t="str">
        <f t="shared" si="173"/>
        <v>No</v>
      </c>
    </row>
    <row r="1819" spans="1:27" x14ac:dyDescent="0.3">
      <c r="A1819">
        <f>INDEX(SETTINGS!$A$15:$A$24,$B1819)</f>
        <v>2032</v>
      </c>
      <c r="B1819">
        <v>8</v>
      </c>
      <c r="C1819" t="str">
        <f>IF(AND(A1819&gt;=SETTINGS!$B$4,A1819&lt;=SETTINGS!$B$5),"Yes","No")</f>
        <v>No</v>
      </c>
      <c r="D1819" t="str">
        <f>IFERROR(INDEX(SETTINGS!$C$15:$C$24,MATCH(A1819,SETTINGS!$A$15:$A$24,0)),"No")</f>
        <v>No</v>
      </c>
      <c r="E1819">
        <v>12</v>
      </c>
      <c r="F1819" t="s">
        <v>45</v>
      </c>
      <c r="G1819">
        <v>287</v>
      </c>
      <c r="H1819" t="s">
        <v>106</v>
      </c>
      <c r="I1819" t="s">
        <v>22</v>
      </c>
      <c r="J1819" t="s">
        <v>26</v>
      </c>
      <c r="K1819" t="s">
        <v>3</v>
      </c>
      <c r="L1819" s="36">
        <f ca="1">IF(C1819&lt;&gt;"Yes",0,IF(A1819=2025,N('2025'!D287),IF(A1819=2026,N('2026'!D287),IF(A1819=2027,N('2027'!D287),IF(A1819=2028,N('2028'!D287),IF(A1819=2029,N('2029'!D287),IF(A1819=2030,N('2030'!D287),IF(A1819=2031,N('2031'!D287),IF(A1819=2032,N('2032'!D287),IF(A1819=2033,N('2033'!D287),IF(A1819=2034,N('2034'!D287),IFERROR(N(INDIRECT("'"&amp;A1819&amp;"'!D"&amp;G1819)),0))))))))))))</f>
        <v>0</v>
      </c>
      <c r="M1819" s="36">
        <f>IFERROR(IF(NOT(ISBLANK(KPI_TARGETS!$N$17)),KPI_TARGETS!$N$17,IF(NOT(ISBLANK(KPI_TARGETS!$F$17)),KPI_TARGETS!$F$17,"")),"")</f>
        <v>12</v>
      </c>
      <c r="N1819" s="36" t="str">
        <f>IFERROR(KPI_TARGETS!$E$17,"Higher is better")</f>
        <v>Higher is better</v>
      </c>
      <c r="O1819" s="37">
        <f t="shared" ca="1" si="168"/>
        <v>0</v>
      </c>
      <c r="P1819" t="str">
        <f t="shared" ca="1" si="169"/>
        <v>Red</v>
      </c>
      <c r="Q1819" s="36">
        <f t="shared" ca="1" si="170"/>
        <v>-12</v>
      </c>
      <c r="R1819" s="36" t="str">
        <f>""</f>
        <v/>
      </c>
      <c r="S1819" s="36" t="str">
        <f>""</f>
        <v/>
      </c>
      <c r="T1819" s="36" t="str">
        <f>""</f>
        <v/>
      </c>
      <c r="U1819" s="36" t="str">
        <f>""</f>
        <v/>
      </c>
      <c r="V1819" s="36" t="str">
        <f>""</f>
        <v/>
      </c>
      <c r="W1819" s="36">
        <f t="shared" si="171"/>
        <v>1</v>
      </c>
      <c r="X1819" t="str">
        <f t="shared" si="172"/>
        <v>Inactive</v>
      </c>
      <c r="Y1819" t="str">
        <f>IF(MAIN!$H$3="Selected Year",IF(A1819=MAIN!$B$3,"Yes","No"),IF(MAIN!$H$3="Included Years",IF(D1819="Yes","Yes","No"),IF(C1819="Yes","Yes","No")))</f>
        <v>No</v>
      </c>
      <c r="Z1819" t="str">
        <f>IF(MAIN!$F$3="Project to Date",IF(AND(A1819&gt;=SETTINGS!$B$4,A1819&lt;MAIN!$B$3),"Yes",IF(AND(A1819=MAIN!$B$3,E1819&lt;=MAIN!$L$3),"Yes","No")),IF(OR(MAIN!$F$3="Full Year",MAIN!$D$3="All"),"Yes",IF(MAIN!$F$3="Monthly",IF(E1819=MAIN!$L$3,"Yes","No"),IF(E1819&lt;=MAIN!$L$3,"Yes","No"))))</f>
        <v>Yes</v>
      </c>
      <c r="AA1819" t="str">
        <f t="shared" si="173"/>
        <v>No</v>
      </c>
    </row>
    <row r="1820" spans="1:27" x14ac:dyDescent="0.3">
      <c r="A1820">
        <f>INDEX(SETTINGS!$A$15:$A$24,$B1820)</f>
        <v>2032</v>
      </c>
      <c r="B1820">
        <v>8</v>
      </c>
      <c r="C1820" t="str">
        <f>IF(AND(A1820&gt;=SETTINGS!$B$4,A1820&lt;=SETTINGS!$B$5),"Yes","No")</f>
        <v>No</v>
      </c>
      <c r="D1820" t="str">
        <f>IFERROR(INDEX(SETTINGS!$C$15:$C$24,MATCH(A1820,SETTINGS!$A$15:$A$24,0)),"No")</f>
        <v>No</v>
      </c>
      <c r="E1820">
        <v>12</v>
      </c>
      <c r="F1820" t="s">
        <v>45</v>
      </c>
      <c r="G1820">
        <v>288</v>
      </c>
      <c r="H1820" t="s">
        <v>107</v>
      </c>
      <c r="I1820" t="s">
        <v>22</v>
      </c>
      <c r="J1820" t="s">
        <v>27</v>
      </c>
      <c r="K1820" t="s">
        <v>3</v>
      </c>
      <c r="L1820" s="36">
        <f ca="1">IF(C1820&lt;&gt;"Yes",0,IF(A1820=2025,N('2025'!D288),IF(A1820=2026,N('2026'!D288),IF(A1820=2027,N('2027'!D288),IF(A1820=2028,N('2028'!D288),IF(A1820=2029,N('2029'!D288),IF(A1820=2030,N('2030'!D288),IF(A1820=2031,N('2031'!D288),IF(A1820=2032,N('2032'!D288),IF(A1820=2033,N('2033'!D288),IF(A1820=2034,N('2034'!D288),IFERROR(N(INDIRECT("'"&amp;A1820&amp;"'!D"&amp;G1820)),0))))))))))))</f>
        <v>0</v>
      </c>
      <c r="M1820" s="36">
        <f>IFERROR(IF(NOT(ISBLANK(KPI_TARGETS!$N$18)),KPI_TARGETS!$N$18,IF(NOT(ISBLANK(KPI_TARGETS!$F$18)),KPI_TARGETS!$F$18,"")),"")</f>
        <v>4</v>
      </c>
      <c r="N1820" s="36" t="str">
        <f>IFERROR(KPI_TARGETS!$E$18,"Higher is better")</f>
        <v>Higher is better</v>
      </c>
      <c r="O1820" s="37">
        <f t="shared" ca="1" si="168"/>
        <v>0</v>
      </c>
      <c r="P1820" t="str">
        <f t="shared" ca="1" si="169"/>
        <v>Red</v>
      </c>
      <c r="Q1820" s="36">
        <f t="shared" ca="1" si="170"/>
        <v>-4</v>
      </c>
      <c r="R1820" s="36" t="str">
        <f>""</f>
        <v/>
      </c>
      <c r="S1820" s="36" t="str">
        <f>""</f>
        <v/>
      </c>
      <c r="T1820" s="36" t="str">
        <f>""</f>
        <v/>
      </c>
      <c r="U1820" s="36" t="str">
        <f>""</f>
        <v/>
      </c>
      <c r="V1820" s="36" t="str">
        <f>""</f>
        <v/>
      </c>
      <c r="W1820" s="36">
        <f t="shared" si="171"/>
        <v>1</v>
      </c>
      <c r="X1820" t="str">
        <f t="shared" si="172"/>
        <v>Inactive</v>
      </c>
      <c r="Y1820" t="str">
        <f>IF(MAIN!$H$3="Selected Year",IF(A1820=MAIN!$B$3,"Yes","No"),IF(MAIN!$H$3="Included Years",IF(D1820="Yes","Yes","No"),IF(C1820="Yes","Yes","No")))</f>
        <v>No</v>
      </c>
      <c r="Z1820" t="str">
        <f>IF(MAIN!$F$3="Project to Date",IF(AND(A1820&gt;=SETTINGS!$B$4,A1820&lt;MAIN!$B$3),"Yes",IF(AND(A1820=MAIN!$B$3,E1820&lt;=MAIN!$L$3),"Yes","No")),IF(OR(MAIN!$F$3="Full Year",MAIN!$D$3="All"),"Yes",IF(MAIN!$F$3="Monthly",IF(E1820=MAIN!$L$3,"Yes","No"),IF(E1820&lt;=MAIN!$L$3,"Yes","No"))))</f>
        <v>Yes</v>
      </c>
      <c r="AA1820" t="str">
        <f t="shared" si="173"/>
        <v>No</v>
      </c>
    </row>
    <row r="1821" spans="1:27" x14ac:dyDescent="0.3">
      <c r="A1821">
        <f>INDEX(SETTINGS!$A$15:$A$24,$B1821)</f>
        <v>2032</v>
      </c>
      <c r="B1821">
        <v>8</v>
      </c>
      <c r="C1821" t="str">
        <f>IF(AND(A1821&gt;=SETTINGS!$B$4,A1821&lt;=SETTINGS!$B$5),"Yes","No")</f>
        <v>No</v>
      </c>
      <c r="D1821" t="str">
        <f>IFERROR(INDEX(SETTINGS!$C$15:$C$24,MATCH(A1821,SETTINGS!$A$15:$A$24,0)),"No")</f>
        <v>No</v>
      </c>
      <c r="E1821">
        <v>12</v>
      </c>
      <c r="F1821" t="s">
        <v>45</v>
      </c>
      <c r="G1821">
        <v>289</v>
      </c>
      <c r="H1821" t="s">
        <v>108</v>
      </c>
      <c r="I1821" t="s">
        <v>22</v>
      </c>
      <c r="J1821" t="s">
        <v>28</v>
      </c>
      <c r="K1821" t="s">
        <v>3</v>
      </c>
      <c r="L1821" s="36">
        <f ca="1">IF(C1821&lt;&gt;"Yes",0,IF(A1821=2025,N('2025'!D289),IF(A1821=2026,N('2026'!D289),IF(A1821=2027,N('2027'!D289),IF(A1821=2028,N('2028'!D289),IF(A1821=2029,N('2029'!D289),IF(A1821=2030,N('2030'!D289),IF(A1821=2031,N('2031'!D289),IF(A1821=2032,N('2032'!D289),IF(A1821=2033,N('2033'!D289),IF(A1821=2034,N('2034'!D289),IFERROR(N(INDIRECT("'"&amp;A1821&amp;"'!D"&amp;G1821)),0))))))))))))</f>
        <v>0</v>
      </c>
      <c r="M1821" s="36">
        <f>IFERROR(IF(NOT(ISBLANK(KPI_TARGETS!$N$19)),KPI_TARGETS!$N$19,IF(NOT(ISBLANK(KPI_TARGETS!$F$19)),KPI_TARGETS!$F$19,"")),"")</f>
        <v>16</v>
      </c>
      <c r="N1821" s="36" t="str">
        <f>IFERROR(KPI_TARGETS!$E$19,"Higher is better")</f>
        <v>Higher is better</v>
      </c>
      <c r="O1821" s="37">
        <f t="shared" ca="1" si="168"/>
        <v>0</v>
      </c>
      <c r="P1821" t="str">
        <f t="shared" ca="1" si="169"/>
        <v>Red</v>
      </c>
      <c r="Q1821" s="36">
        <f t="shared" ca="1" si="170"/>
        <v>-16</v>
      </c>
      <c r="R1821" s="36" t="str">
        <f>""</f>
        <v/>
      </c>
      <c r="S1821" s="36" t="str">
        <f>""</f>
        <v/>
      </c>
      <c r="T1821" s="36" t="str">
        <f>""</f>
        <v/>
      </c>
      <c r="U1821" s="36" t="str">
        <f>""</f>
        <v/>
      </c>
      <c r="V1821" s="36" t="str">
        <f>""</f>
        <v/>
      </c>
      <c r="W1821" s="36">
        <f t="shared" si="171"/>
        <v>1</v>
      </c>
      <c r="X1821" t="str">
        <f t="shared" si="172"/>
        <v>Inactive</v>
      </c>
      <c r="Y1821" t="str">
        <f>IF(MAIN!$H$3="Selected Year",IF(A1821=MAIN!$B$3,"Yes","No"),IF(MAIN!$H$3="Included Years",IF(D1821="Yes","Yes","No"),IF(C1821="Yes","Yes","No")))</f>
        <v>No</v>
      </c>
      <c r="Z1821" t="str">
        <f>IF(MAIN!$F$3="Project to Date",IF(AND(A1821&gt;=SETTINGS!$B$4,A1821&lt;MAIN!$B$3),"Yes",IF(AND(A1821=MAIN!$B$3,E1821&lt;=MAIN!$L$3),"Yes","No")),IF(OR(MAIN!$F$3="Full Year",MAIN!$D$3="All"),"Yes",IF(MAIN!$F$3="Monthly",IF(E1821=MAIN!$L$3,"Yes","No"),IF(E1821&lt;=MAIN!$L$3,"Yes","No"))))</f>
        <v>Yes</v>
      </c>
      <c r="AA1821" t="str">
        <f t="shared" si="173"/>
        <v>No</v>
      </c>
    </row>
    <row r="1822" spans="1:27" x14ac:dyDescent="0.3">
      <c r="A1822">
        <f>INDEX(SETTINGS!$A$15:$A$24,$B1822)</f>
        <v>2032</v>
      </c>
      <c r="B1822">
        <v>8</v>
      </c>
      <c r="C1822" t="str">
        <f>IF(AND(A1822&gt;=SETTINGS!$B$4,A1822&lt;=SETTINGS!$B$5),"Yes","No")</f>
        <v>No</v>
      </c>
      <c r="D1822" t="str">
        <f>IFERROR(INDEX(SETTINGS!$C$15:$C$24,MATCH(A1822,SETTINGS!$A$15:$A$24,0)),"No")</f>
        <v>No</v>
      </c>
      <c r="E1822">
        <v>12</v>
      </c>
      <c r="F1822" t="s">
        <v>45</v>
      </c>
      <c r="G1822">
        <v>290</v>
      </c>
      <c r="H1822" t="s">
        <v>109</v>
      </c>
      <c r="I1822" t="s">
        <v>22</v>
      </c>
      <c r="J1822" t="s">
        <v>29</v>
      </c>
      <c r="K1822" t="s">
        <v>3</v>
      </c>
      <c r="L1822" s="36">
        <f ca="1">IF(C1822&lt;&gt;"Yes",0,IF(A1822=2025,N('2025'!D290),IF(A1822=2026,N('2026'!D290),IF(A1822=2027,N('2027'!D290),IF(A1822=2028,N('2028'!D290),IF(A1822=2029,N('2029'!D290),IF(A1822=2030,N('2030'!D290),IF(A1822=2031,N('2031'!D290),IF(A1822=2032,N('2032'!D290),IF(A1822=2033,N('2033'!D290),IF(A1822=2034,N('2034'!D290),IFERROR(N(INDIRECT("'"&amp;A1822&amp;"'!D"&amp;G1822)),0))))))))))))</f>
        <v>0</v>
      </c>
      <c r="M1822" s="36">
        <f>IFERROR(IF(NOT(ISBLANK(KPI_TARGETS!$N$20)),KPI_TARGETS!$N$20,IF(NOT(ISBLANK(KPI_TARGETS!$F$20)),KPI_TARGETS!$F$20,"")),"")</f>
        <v>1</v>
      </c>
      <c r="N1822" s="36" t="str">
        <f>IFERROR(KPI_TARGETS!$E$20,"Higher is better")</f>
        <v>Higher is better</v>
      </c>
      <c r="O1822" s="37">
        <f t="shared" ca="1" si="168"/>
        <v>0</v>
      </c>
      <c r="P1822" t="str">
        <f t="shared" ca="1" si="169"/>
        <v>Red</v>
      </c>
      <c r="Q1822" s="36">
        <f t="shared" ca="1" si="170"/>
        <v>-1</v>
      </c>
      <c r="R1822" s="36" t="str">
        <f>""</f>
        <v/>
      </c>
      <c r="S1822" s="36" t="str">
        <f>""</f>
        <v/>
      </c>
      <c r="T1822" s="36" t="str">
        <f>""</f>
        <v/>
      </c>
      <c r="U1822" s="36" t="str">
        <f>""</f>
        <v/>
      </c>
      <c r="V1822" s="36" t="str">
        <f>""</f>
        <v/>
      </c>
      <c r="W1822" s="36">
        <f t="shared" si="171"/>
        <v>1</v>
      </c>
      <c r="X1822" t="str">
        <f t="shared" si="172"/>
        <v>Inactive</v>
      </c>
      <c r="Y1822" t="str">
        <f>IF(MAIN!$H$3="Selected Year",IF(A1822=MAIN!$B$3,"Yes","No"),IF(MAIN!$H$3="Included Years",IF(D1822="Yes","Yes","No"),IF(C1822="Yes","Yes","No")))</f>
        <v>No</v>
      </c>
      <c r="Z1822" t="str">
        <f>IF(MAIN!$F$3="Project to Date",IF(AND(A1822&gt;=SETTINGS!$B$4,A1822&lt;MAIN!$B$3),"Yes",IF(AND(A1822=MAIN!$B$3,E1822&lt;=MAIN!$L$3),"Yes","No")),IF(OR(MAIN!$F$3="Full Year",MAIN!$D$3="All"),"Yes",IF(MAIN!$F$3="Monthly",IF(E1822=MAIN!$L$3,"Yes","No"),IF(E1822&lt;=MAIN!$L$3,"Yes","No"))))</f>
        <v>Yes</v>
      </c>
      <c r="AA1822" t="str">
        <f t="shared" si="173"/>
        <v>No</v>
      </c>
    </row>
    <row r="1823" spans="1:27" x14ac:dyDescent="0.3">
      <c r="A1823">
        <f>INDEX(SETTINGS!$A$15:$A$24,$B1823)</f>
        <v>2032</v>
      </c>
      <c r="B1823">
        <v>8</v>
      </c>
      <c r="C1823" t="str">
        <f>IF(AND(A1823&gt;=SETTINGS!$B$4,A1823&lt;=SETTINGS!$B$5),"Yes","No")</f>
        <v>No</v>
      </c>
      <c r="D1823" t="str">
        <f>IFERROR(INDEX(SETTINGS!$C$15:$C$24,MATCH(A1823,SETTINGS!$A$15:$A$24,0)),"No")</f>
        <v>No</v>
      </c>
      <c r="E1823">
        <v>12</v>
      </c>
      <c r="F1823" t="s">
        <v>45</v>
      </c>
      <c r="G1823">
        <v>292</v>
      </c>
      <c r="H1823" t="s">
        <v>110</v>
      </c>
      <c r="I1823" t="s">
        <v>30</v>
      </c>
      <c r="J1823" t="s">
        <v>31</v>
      </c>
      <c r="K1823" t="s">
        <v>3</v>
      </c>
      <c r="L1823" s="36">
        <f ca="1">IF(C1823&lt;&gt;"Yes",0,IF(A1823=2025,N('2025'!D292),IF(A1823=2026,N('2026'!D292),IF(A1823=2027,N('2027'!D292),IF(A1823=2028,N('2028'!D292),IF(A1823=2029,N('2029'!D292),IF(A1823=2030,N('2030'!D292),IF(A1823=2031,N('2031'!D292),IF(A1823=2032,N('2032'!D292),IF(A1823=2033,N('2033'!D292),IF(A1823=2034,N('2034'!D292),IFERROR(N(INDIRECT("'"&amp;A1823&amp;"'!D"&amp;G1823)),0))))))))))))</f>
        <v>0</v>
      </c>
      <c r="M1823" s="36">
        <f>IFERROR(IF(NOT(ISBLANK(KPI_TARGETS!$N$21)),KPI_TARGETS!$N$21,IF(NOT(ISBLANK(KPI_TARGETS!$F$21)),KPI_TARGETS!$F$21,"")),"")</f>
        <v>0</v>
      </c>
      <c r="N1823" s="36" t="str">
        <f>IFERROR(KPI_TARGETS!$E$21,"Higher is better")</f>
        <v>Lower is better</v>
      </c>
      <c r="O1823" s="37">
        <f t="shared" ca="1" si="168"/>
        <v>1</v>
      </c>
      <c r="P1823" t="str">
        <f t="shared" ca="1" si="169"/>
        <v>Green</v>
      </c>
      <c r="Q1823" s="36">
        <f t="shared" ca="1" si="170"/>
        <v>0</v>
      </c>
      <c r="R1823" s="36" t="str">
        <f>""</f>
        <v/>
      </c>
      <c r="S1823" s="36" t="str">
        <f>""</f>
        <v/>
      </c>
      <c r="T1823" s="36" t="str">
        <f>""</f>
        <v/>
      </c>
      <c r="U1823" s="36" t="str">
        <f>""</f>
        <v/>
      </c>
      <c r="V1823" s="36" t="str">
        <f>""</f>
        <v/>
      </c>
      <c r="W1823" s="36">
        <f t="shared" si="171"/>
        <v>1</v>
      </c>
      <c r="X1823" t="str">
        <f t="shared" si="172"/>
        <v>Inactive</v>
      </c>
      <c r="Y1823" t="str">
        <f>IF(MAIN!$H$3="Selected Year",IF(A1823=MAIN!$B$3,"Yes","No"),IF(MAIN!$H$3="Included Years",IF(D1823="Yes","Yes","No"),IF(C1823="Yes","Yes","No")))</f>
        <v>No</v>
      </c>
      <c r="Z1823" t="str">
        <f>IF(MAIN!$F$3="Project to Date",IF(AND(A1823&gt;=SETTINGS!$B$4,A1823&lt;MAIN!$B$3),"Yes",IF(AND(A1823=MAIN!$B$3,E1823&lt;=MAIN!$L$3),"Yes","No")),IF(OR(MAIN!$F$3="Full Year",MAIN!$D$3="All"),"Yes",IF(MAIN!$F$3="Monthly",IF(E1823=MAIN!$L$3,"Yes","No"),IF(E1823&lt;=MAIN!$L$3,"Yes","No"))))</f>
        <v>Yes</v>
      </c>
      <c r="AA1823" t="str">
        <f t="shared" si="173"/>
        <v>No</v>
      </c>
    </row>
    <row r="1824" spans="1:27" x14ac:dyDescent="0.3">
      <c r="A1824">
        <f>INDEX(SETTINGS!$A$15:$A$24,$B1824)</f>
        <v>2032</v>
      </c>
      <c r="B1824">
        <v>8</v>
      </c>
      <c r="C1824" t="str">
        <f>IF(AND(A1824&gt;=SETTINGS!$B$4,A1824&lt;=SETTINGS!$B$5),"Yes","No")</f>
        <v>No</v>
      </c>
      <c r="D1824" t="str">
        <f>IFERROR(INDEX(SETTINGS!$C$15:$C$24,MATCH(A1824,SETTINGS!$A$15:$A$24,0)),"No")</f>
        <v>No</v>
      </c>
      <c r="E1824">
        <v>12</v>
      </c>
      <c r="F1824" t="s">
        <v>45</v>
      </c>
      <c r="G1824">
        <v>293</v>
      </c>
      <c r="H1824" t="s">
        <v>111</v>
      </c>
      <c r="I1824" t="s">
        <v>30</v>
      </c>
      <c r="J1824" t="s">
        <v>32</v>
      </c>
      <c r="K1824" t="s">
        <v>3</v>
      </c>
      <c r="L1824" s="36">
        <f ca="1">IF(C1824&lt;&gt;"Yes",0,IF(A1824=2025,N('2025'!D293),IF(A1824=2026,N('2026'!D293),IF(A1824=2027,N('2027'!D293),IF(A1824=2028,N('2028'!D293),IF(A1824=2029,N('2029'!D293),IF(A1824=2030,N('2030'!D293),IF(A1824=2031,N('2031'!D293),IF(A1824=2032,N('2032'!D293),IF(A1824=2033,N('2033'!D293),IF(A1824=2034,N('2034'!D293),IFERROR(N(INDIRECT("'"&amp;A1824&amp;"'!D"&amp;G1824)),0))))))))))))</f>
        <v>0</v>
      </c>
      <c r="M1824" s="36">
        <f>IFERROR(IF(NOT(ISBLANK(KPI_TARGETS!$N$22)),KPI_TARGETS!$N$22,IF(NOT(ISBLANK(KPI_TARGETS!$F$22)),KPI_TARGETS!$F$22,"")),"")</f>
        <v>1</v>
      </c>
      <c r="N1824" s="36" t="str">
        <f>IFERROR(KPI_TARGETS!$E$22,"Higher is better")</f>
        <v>Higher is better</v>
      </c>
      <c r="O1824" s="37">
        <f t="shared" ca="1" si="168"/>
        <v>0</v>
      </c>
      <c r="P1824" t="str">
        <f t="shared" ca="1" si="169"/>
        <v>Red</v>
      </c>
      <c r="Q1824" s="36">
        <f t="shared" ca="1" si="170"/>
        <v>-1</v>
      </c>
      <c r="R1824" s="36" t="str">
        <f>""</f>
        <v/>
      </c>
      <c r="S1824" s="36" t="str">
        <f>""</f>
        <v/>
      </c>
      <c r="T1824" s="36" t="str">
        <f>""</f>
        <v/>
      </c>
      <c r="U1824" s="36" t="str">
        <f>""</f>
        <v/>
      </c>
      <c r="V1824" s="36" t="str">
        <f>""</f>
        <v/>
      </c>
      <c r="W1824" s="36">
        <f t="shared" si="171"/>
        <v>1</v>
      </c>
      <c r="X1824" t="str">
        <f t="shared" si="172"/>
        <v>Inactive</v>
      </c>
      <c r="Y1824" t="str">
        <f>IF(MAIN!$H$3="Selected Year",IF(A1824=MAIN!$B$3,"Yes","No"),IF(MAIN!$H$3="Included Years",IF(D1824="Yes","Yes","No"),IF(C1824="Yes","Yes","No")))</f>
        <v>No</v>
      </c>
      <c r="Z1824" t="str">
        <f>IF(MAIN!$F$3="Project to Date",IF(AND(A1824&gt;=SETTINGS!$B$4,A1824&lt;MAIN!$B$3),"Yes",IF(AND(A1824=MAIN!$B$3,E1824&lt;=MAIN!$L$3),"Yes","No")),IF(OR(MAIN!$F$3="Full Year",MAIN!$D$3="All"),"Yes",IF(MAIN!$F$3="Monthly",IF(E1824=MAIN!$L$3,"Yes","No"),IF(E1824&lt;=MAIN!$L$3,"Yes","No"))))</f>
        <v>Yes</v>
      </c>
      <c r="AA1824" t="str">
        <f t="shared" si="173"/>
        <v>No</v>
      </c>
    </row>
    <row r="1825" spans="1:27" x14ac:dyDescent="0.3">
      <c r="A1825">
        <f>INDEX(SETTINGS!$A$15:$A$24,$B1825)</f>
        <v>2032</v>
      </c>
      <c r="B1825">
        <v>8</v>
      </c>
      <c r="C1825" t="str">
        <f>IF(AND(A1825&gt;=SETTINGS!$B$4,A1825&lt;=SETTINGS!$B$5),"Yes","No")</f>
        <v>No</v>
      </c>
      <c r="D1825" t="str">
        <f>IFERROR(INDEX(SETTINGS!$C$15:$C$24,MATCH(A1825,SETTINGS!$A$15:$A$24,0)),"No")</f>
        <v>No</v>
      </c>
      <c r="E1825">
        <v>12</v>
      </c>
      <c r="F1825" t="s">
        <v>45</v>
      </c>
      <c r="G1825">
        <v>294</v>
      </c>
      <c r="H1825" t="s">
        <v>112</v>
      </c>
      <c r="I1825" t="s">
        <v>30</v>
      </c>
      <c r="J1825" t="s">
        <v>33</v>
      </c>
      <c r="K1825" t="s">
        <v>34</v>
      </c>
      <c r="L1825" s="36">
        <f ca="1">IF(C1825&lt;&gt;"Yes",0,IF(A1825=2025,N('2025'!D294),IF(A1825=2026,N('2026'!D294),IF(A1825=2027,N('2027'!D294),IF(A1825=2028,N('2028'!D294),IF(A1825=2029,N('2029'!D294),IF(A1825=2030,N('2030'!D294),IF(A1825=2031,N('2031'!D294),IF(A1825=2032,N('2032'!D294),IF(A1825=2033,N('2033'!D294),IF(A1825=2034,N('2034'!D294),IFERROR(N(INDIRECT("'"&amp;A1825&amp;"'!D"&amp;G1825)),0))))))))))))</f>
        <v>0</v>
      </c>
      <c r="M1825" s="36">
        <f>IFERROR(IF(NOT(ISBLANK(KPI_TARGETS!$N$23)),KPI_TARGETS!$N$23,IF(NOT(ISBLANK(KPI_TARGETS!$F$23)),KPI_TARGETS!$F$23,"")),"")</f>
        <v>1</v>
      </c>
      <c r="N1825" s="36" t="str">
        <f>IFERROR(KPI_TARGETS!$E$23,"Higher is better")</f>
        <v>Higher is better</v>
      </c>
      <c r="O1825" s="37">
        <f t="shared" ca="1" si="168"/>
        <v>0</v>
      </c>
      <c r="P1825" t="str">
        <f t="shared" ca="1" si="169"/>
        <v>Red</v>
      </c>
      <c r="Q1825" s="36">
        <f t="shared" ca="1" si="170"/>
        <v>-1</v>
      </c>
      <c r="R1825" s="36" t="str">
        <f>""</f>
        <v/>
      </c>
      <c r="S1825" s="36" t="str">
        <f>""</f>
        <v/>
      </c>
      <c r="T1825" s="36" t="str">
        <f>""</f>
        <v/>
      </c>
      <c r="U1825" s="36" t="str">
        <f>""</f>
        <v/>
      </c>
      <c r="V1825" s="36" t="str">
        <f>""</f>
        <v/>
      </c>
      <c r="W1825" s="36">
        <f t="shared" si="171"/>
        <v>1</v>
      </c>
      <c r="X1825" t="str">
        <f t="shared" si="172"/>
        <v>Inactive</v>
      </c>
      <c r="Y1825" t="str">
        <f>IF(MAIN!$H$3="Selected Year",IF(A1825=MAIN!$B$3,"Yes","No"),IF(MAIN!$H$3="Included Years",IF(D1825="Yes","Yes","No"),IF(C1825="Yes","Yes","No")))</f>
        <v>No</v>
      </c>
      <c r="Z1825" t="str">
        <f>IF(MAIN!$F$3="Project to Date",IF(AND(A1825&gt;=SETTINGS!$B$4,A1825&lt;MAIN!$B$3),"Yes",IF(AND(A1825=MAIN!$B$3,E1825&lt;=MAIN!$L$3),"Yes","No")),IF(OR(MAIN!$F$3="Full Year",MAIN!$D$3="All"),"Yes",IF(MAIN!$F$3="Monthly",IF(E1825=MAIN!$L$3,"Yes","No"),IF(E1825&lt;=MAIN!$L$3,"Yes","No"))))</f>
        <v>Yes</v>
      </c>
      <c r="AA1825" t="str">
        <f t="shared" si="173"/>
        <v>No</v>
      </c>
    </row>
    <row r="1826" spans="1:27" x14ac:dyDescent="0.3">
      <c r="A1826">
        <f>INDEX(SETTINGS!$A$15:$A$24,$B1826)</f>
        <v>2033</v>
      </c>
      <c r="B1826">
        <v>9</v>
      </c>
      <c r="C1826" t="str">
        <f>IF(AND(A1826&gt;=SETTINGS!$B$4,A1826&lt;=SETTINGS!$B$5),"Yes","No")</f>
        <v>No</v>
      </c>
      <c r="D1826" t="str">
        <f>IFERROR(INDEX(SETTINGS!$C$15:$C$24,MATCH(A1826,SETTINGS!$A$15:$A$24,0)),"No")</f>
        <v>No</v>
      </c>
      <c r="E1826">
        <v>1</v>
      </c>
      <c r="F1826" t="s">
        <v>2</v>
      </c>
      <c r="G1826">
        <v>9</v>
      </c>
      <c r="H1826" t="s">
        <v>88</v>
      </c>
      <c r="I1826" t="s">
        <v>89</v>
      </c>
      <c r="J1826" t="s">
        <v>10</v>
      </c>
      <c r="K1826" t="s">
        <v>3</v>
      </c>
      <c r="L1826" s="36">
        <f ca="1">IF(C1826&lt;&gt;"Yes",0,IF(A1826=2025,N('2025'!D9),IF(A1826=2026,N('2026'!D9),IF(A1826=2027,N('2027'!D9),IF(A1826=2028,N('2028'!D9),IF(A1826=2029,N('2029'!D9),IF(A1826=2030,N('2030'!D9),IF(A1826=2031,N('2031'!D9),IF(A1826=2032,N('2032'!D9),IF(A1826=2033,N('2033'!D9),IF(A1826=2034,N('2034'!D9),IFERROR(N(INDIRECT("'"&amp;A1826&amp;"'!D"&amp;G1826)),0))))))))))))</f>
        <v>0</v>
      </c>
      <c r="M1826" s="36">
        <f>IFERROR(IF(NOT(ISBLANK(KPI_TARGETS!$O$5)),KPI_TARGETS!$O$5,IF(NOT(ISBLANK(KPI_TARGETS!$F$5)),KPI_TARGETS!$F$5,"")),"")</f>
        <v>104</v>
      </c>
      <c r="N1826" s="36" t="str">
        <f>IFERROR(KPI_TARGETS!$E$5,"Higher is better")</f>
        <v>Higher is better</v>
      </c>
      <c r="O1826" s="37">
        <f t="shared" ca="1" si="168"/>
        <v>0</v>
      </c>
      <c r="P1826" t="str">
        <f t="shared" ca="1" si="169"/>
        <v>Red</v>
      </c>
      <c r="Q1826" s="36">
        <f t="shared" ca="1" si="170"/>
        <v>-104</v>
      </c>
      <c r="R1826" s="36" t="str">
        <f>""</f>
        <v/>
      </c>
      <c r="S1826" s="36" t="str">
        <f>""</f>
        <v/>
      </c>
      <c r="T1826" s="36" t="str">
        <f>""</f>
        <v/>
      </c>
      <c r="U1826" s="36" t="str">
        <f>""</f>
        <v/>
      </c>
      <c r="V1826" s="36" t="str">
        <f>""</f>
        <v/>
      </c>
      <c r="W1826" s="36">
        <f t="shared" si="171"/>
        <v>1</v>
      </c>
      <c r="X1826" t="str">
        <f t="shared" si="172"/>
        <v>Inactive</v>
      </c>
      <c r="Y1826" t="str">
        <f>IF(MAIN!$H$3="Selected Year",IF(A1826=MAIN!$B$3,"Yes","No"),IF(MAIN!$H$3="Included Years",IF(D1826="Yes","Yes","No"),IF(C1826="Yes","Yes","No")))</f>
        <v>No</v>
      </c>
      <c r="Z1826" t="str">
        <f>IF(MAIN!$F$3="Project to Date",IF(AND(A1826&gt;=SETTINGS!$B$4,A1826&lt;MAIN!$B$3),"Yes",IF(AND(A1826=MAIN!$B$3,E1826&lt;=MAIN!$L$3),"Yes","No")),IF(OR(MAIN!$F$3="Full Year",MAIN!$D$3="All"),"Yes",IF(MAIN!$F$3="Monthly",IF(E1826=MAIN!$L$3,"Yes","No"),IF(E1826&lt;=MAIN!$L$3,"Yes","No"))))</f>
        <v>Yes</v>
      </c>
      <c r="AA1826" t="str">
        <f t="shared" si="173"/>
        <v>No</v>
      </c>
    </row>
    <row r="1827" spans="1:27" x14ac:dyDescent="0.3">
      <c r="A1827">
        <f>INDEX(SETTINGS!$A$15:$A$24,$B1827)</f>
        <v>2033</v>
      </c>
      <c r="B1827">
        <v>9</v>
      </c>
      <c r="C1827" t="str">
        <f>IF(AND(A1827&gt;=SETTINGS!$B$4,A1827&lt;=SETTINGS!$B$5),"Yes","No")</f>
        <v>No</v>
      </c>
      <c r="D1827" t="str">
        <f>IFERROR(INDEX(SETTINGS!$C$15:$C$24,MATCH(A1827,SETTINGS!$A$15:$A$24,0)),"No")</f>
        <v>No</v>
      </c>
      <c r="E1827">
        <v>1</v>
      </c>
      <c r="F1827" t="s">
        <v>2</v>
      </c>
      <c r="G1827">
        <v>10</v>
      </c>
      <c r="H1827" t="s">
        <v>91</v>
      </c>
      <c r="I1827" t="s">
        <v>89</v>
      </c>
      <c r="J1827" t="s">
        <v>11</v>
      </c>
      <c r="K1827" t="s">
        <v>12</v>
      </c>
      <c r="L1827" s="36">
        <f ca="1">IF(C1827&lt;&gt;"Yes",0,IF(A1827=2025,N('2025'!D10),IF(A1827=2026,N('2026'!D10),IF(A1827=2027,N('2027'!D10),IF(A1827=2028,N('2028'!D10),IF(A1827=2029,N('2029'!D10),IF(A1827=2030,N('2030'!D10),IF(A1827=2031,N('2031'!D10),IF(A1827=2032,N('2032'!D10),IF(A1827=2033,N('2033'!D10),IF(A1827=2034,N('2034'!D10),IFERROR(N(INDIRECT("'"&amp;A1827&amp;"'!D"&amp;G1827)),0))))))))))))</f>
        <v>0</v>
      </c>
      <c r="M1827" s="36">
        <f>IFERROR(IF(NOT(ISBLANK(KPI_TARGETS!$O$6)),KPI_TARGETS!$O$6,IF(NOT(ISBLANK(KPI_TARGETS!$F$6)),KPI_TARGETS!$F$6,"")),"")</f>
        <v>4000</v>
      </c>
      <c r="N1827" s="36" t="str">
        <f>IFERROR(KPI_TARGETS!$E$6,"Higher is better")</f>
        <v>Higher is better</v>
      </c>
      <c r="O1827" s="37">
        <f t="shared" ca="1" si="168"/>
        <v>0</v>
      </c>
      <c r="P1827" t="str">
        <f t="shared" ca="1" si="169"/>
        <v>Red</v>
      </c>
      <c r="Q1827" s="36">
        <f t="shared" ca="1" si="170"/>
        <v>-4000</v>
      </c>
      <c r="R1827" s="36" t="str">
        <f>""</f>
        <v/>
      </c>
      <c r="S1827" s="36" t="str">
        <f>""</f>
        <v/>
      </c>
      <c r="T1827" s="36" t="str">
        <f>""</f>
        <v/>
      </c>
      <c r="U1827" s="36" t="str">
        <f>""</f>
        <v/>
      </c>
      <c r="V1827" s="36" t="str">
        <f>""</f>
        <v/>
      </c>
      <c r="W1827" s="36">
        <f t="shared" si="171"/>
        <v>1</v>
      </c>
      <c r="X1827" t="str">
        <f t="shared" si="172"/>
        <v>Inactive</v>
      </c>
      <c r="Y1827" t="str">
        <f>IF(MAIN!$H$3="Selected Year",IF(A1827=MAIN!$B$3,"Yes","No"),IF(MAIN!$H$3="Included Years",IF(D1827="Yes","Yes","No"),IF(C1827="Yes","Yes","No")))</f>
        <v>No</v>
      </c>
      <c r="Z1827" t="str">
        <f>IF(MAIN!$F$3="Project to Date",IF(AND(A1827&gt;=SETTINGS!$B$4,A1827&lt;MAIN!$B$3),"Yes",IF(AND(A1827=MAIN!$B$3,E1827&lt;=MAIN!$L$3),"Yes","No")),IF(OR(MAIN!$F$3="Full Year",MAIN!$D$3="All"),"Yes",IF(MAIN!$F$3="Monthly",IF(E1827=MAIN!$L$3,"Yes","No"),IF(E1827&lt;=MAIN!$L$3,"Yes","No"))))</f>
        <v>Yes</v>
      </c>
      <c r="AA1827" t="str">
        <f t="shared" si="173"/>
        <v>No</v>
      </c>
    </row>
    <row r="1828" spans="1:27" x14ac:dyDescent="0.3">
      <c r="A1828">
        <f>INDEX(SETTINGS!$A$15:$A$24,$B1828)</f>
        <v>2033</v>
      </c>
      <c r="B1828">
        <v>9</v>
      </c>
      <c r="C1828" t="str">
        <f>IF(AND(A1828&gt;=SETTINGS!$B$4,A1828&lt;=SETTINGS!$B$5),"Yes","No")</f>
        <v>No</v>
      </c>
      <c r="D1828" t="str">
        <f>IFERROR(INDEX(SETTINGS!$C$15:$C$24,MATCH(A1828,SETTINGS!$A$15:$A$24,0)),"No")</f>
        <v>No</v>
      </c>
      <c r="E1828">
        <v>1</v>
      </c>
      <c r="F1828" t="s">
        <v>2</v>
      </c>
      <c r="G1828">
        <v>11</v>
      </c>
      <c r="H1828" t="s">
        <v>93</v>
      </c>
      <c r="I1828" t="s">
        <v>89</v>
      </c>
      <c r="J1828" t="s">
        <v>13</v>
      </c>
      <c r="K1828" t="s">
        <v>14</v>
      </c>
      <c r="L1828" s="36">
        <f ca="1">IF(C1828&lt;&gt;"Yes",0,IF(A1828=2025,N('2025'!D11),IF(A1828=2026,N('2026'!D11),IF(A1828=2027,N('2027'!D11),IF(A1828=2028,N('2028'!D11),IF(A1828=2029,N('2029'!D11),IF(A1828=2030,N('2030'!D11),IF(A1828=2031,N('2031'!D11),IF(A1828=2032,N('2032'!D11),IF(A1828=2033,N('2033'!D11),IF(A1828=2034,N('2034'!D11),IFERROR(N(INDIRECT("'"&amp;A1828&amp;"'!D"&amp;G1828)),0))))))))))))</f>
        <v>0</v>
      </c>
      <c r="M1828" s="36">
        <f>IFERROR(IF(NOT(ISBLANK(KPI_TARGETS!$O$7)),KPI_TARGETS!$O$7,IF(NOT(ISBLANK(KPI_TARGETS!$F$7)),KPI_TARGETS!$F$7,"")),"")</f>
        <v>8000</v>
      </c>
      <c r="N1828" s="36" t="str">
        <f>IFERROR(KPI_TARGETS!$E$7,"Higher is better")</f>
        <v>Higher is better</v>
      </c>
      <c r="O1828" s="37">
        <f t="shared" ca="1" si="168"/>
        <v>0</v>
      </c>
      <c r="P1828" t="str">
        <f t="shared" ca="1" si="169"/>
        <v>Red</v>
      </c>
      <c r="Q1828" s="36">
        <f t="shared" ca="1" si="170"/>
        <v>-8000</v>
      </c>
      <c r="R1828" s="36" t="str">
        <f>""</f>
        <v/>
      </c>
      <c r="S1828" s="36" t="str">
        <f>""</f>
        <v/>
      </c>
      <c r="T1828" s="36" t="str">
        <f>""</f>
        <v/>
      </c>
      <c r="U1828" s="36" t="str">
        <f>""</f>
        <v/>
      </c>
      <c r="V1828" s="36" t="str">
        <f>""</f>
        <v/>
      </c>
      <c r="W1828" s="36">
        <f t="shared" si="171"/>
        <v>1</v>
      </c>
      <c r="X1828" t="str">
        <f t="shared" si="172"/>
        <v>Inactive</v>
      </c>
      <c r="Y1828" t="str">
        <f>IF(MAIN!$H$3="Selected Year",IF(A1828=MAIN!$B$3,"Yes","No"),IF(MAIN!$H$3="Included Years",IF(D1828="Yes","Yes","No"),IF(C1828="Yes","Yes","No")))</f>
        <v>No</v>
      </c>
      <c r="Z1828" t="str">
        <f>IF(MAIN!$F$3="Project to Date",IF(AND(A1828&gt;=SETTINGS!$B$4,A1828&lt;MAIN!$B$3),"Yes",IF(AND(A1828=MAIN!$B$3,E1828&lt;=MAIN!$L$3),"Yes","No")),IF(OR(MAIN!$F$3="Full Year",MAIN!$D$3="All"),"Yes",IF(MAIN!$F$3="Monthly",IF(E1828=MAIN!$L$3,"Yes","No"),IF(E1828&lt;=MAIN!$L$3,"Yes","No"))))</f>
        <v>Yes</v>
      </c>
      <c r="AA1828" t="str">
        <f t="shared" si="173"/>
        <v>No</v>
      </c>
    </row>
    <row r="1829" spans="1:27" x14ac:dyDescent="0.3">
      <c r="A1829">
        <f>INDEX(SETTINGS!$A$15:$A$24,$B1829)</f>
        <v>2033</v>
      </c>
      <c r="B1829">
        <v>9</v>
      </c>
      <c r="C1829" t="str">
        <f>IF(AND(A1829&gt;=SETTINGS!$B$4,A1829&lt;=SETTINGS!$B$5),"Yes","No")</f>
        <v>No</v>
      </c>
      <c r="D1829" t="str">
        <f>IFERROR(INDEX(SETTINGS!$C$15:$C$24,MATCH(A1829,SETTINGS!$A$15:$A$24,0)),"No")</f>
        <v>No</v>
      </c>
      <c r="E1829">
        <v>1</v>
      </c>
      <c r="F1829" t="s">
        <v>2</v>
      </c>
      <c r="G1829">
        <v>13</v>
      </c>
      <c r="H1829" t="s">
        <v>95</v>
      </c>
      <c r="I1829" t="s">
        <v>15</v>
      </c>
      <c r="J1829" t="s">
        <v>16</v>
      </c>
      <c r="K1829" t="s">
        <v>3</v>
      </c>
      <c r="L1829" s="36">
        <f ca="1">IF(C1829&lt;&gt;"Yes",0,IF(A1829=2025,N('2025'!D13),IF(A1829=2026,N('2026'!D13),IF(A1829=2027,N('2027'!D13),IF(A1829=2028,N('2028'!D13),IF(A1829=2029,N('2029'!D13),IF(A1829=2030,N('2030'!D13),IF(A1829=2031,N('2031'!D13),IF(A1829=2032,N('2032'!D13),IF(A1829=2033,N('2033'!D13),IF(A1829=2034,N('2034'!D13),IFERROR(N(INDIRECT("'"&amp;A1829&amp;"'!D"&amp;G1829)),0))))))))))))</f>
        <v>0</v>
      </c>
      <c r="M1829" s="36">
        <f>IFERROR(IF(NOT(ISBLANK(KPI_TARGETS!$O$8)),KPI_TARGETS!$O$8,IF(NOT(ISBLANK(KPI_TARGETS!$F$8)),KPI_TARGETS!$F$8,"")),"")</f>
        <v>0</v>
      </c>
      <c r="N1829" s="36" t="str">
        <f>IFERROR(KPI_TARGETS!$E$8,"Higher is better")</f>
        <v>Lower is better</v>
      </c>
      <c r="O1829" s="37">
        <f t="shared" ca="1" si="168"/>
        <v>1</v>
      </c>
      <c r="P1829" t="str">
        <f t="shared" ca="1" si="169"/>
        <v>Green</v>
      </c>
      <c r="Q1829" s="36">
        <f t="shared" ca="1" si="170"/>
        <v>0</v>
      </c>
      <c r="R1829" s="36" t="str">
        <f>""</f>
        <v/>
      </c>
      <c r="S1829" s="36" t="str">
        <f>""</f>
        <v/>
      </c>
      <c r="T1829" s="36" t="str">
        <f>""</f>
        <v/>
      </c>
      <c r="U1829" s="36" t="str">
        <f>""</f>
        <v/>
      </c>
      <c r="V1829" s="36" t="str">
        <f>""</f>
        <v/>
      </c>
      <c r="W1829" s="36">
        <f t="shared" si="171"/>
        <v>1</v>
      </c>
      <c r="X1829" t="str">
        <f t="shared" si="172"/>
        <v>Inactive</v>
      </c>
      <c r="Y1829" t="str">
        <f>IF(MAIN!$H$3="Selected Year",IF(A1829=MAIN!$B$3,"Yes","No"),IF(MAIN!$H$3="Included Years",IF(D1829="Yes","Yes","No"),IF(C1829="Yes","Yes","No")))</f>
        <v>No</v>
      </c>
      <c r="Z1829" t="str">
        <f>IF(MAIN!$F$3="Project to Date",IF(AND(A1829&gt;=SETTINGS!$B$4,A1829&lt;MAIN!$B$3),"Yes",IF(AND(A1829=MAIN!$B$3,E1829&lt;=MAIN!$L$3),"Yes","No")),IF(OR(MAIN!$F$3="Full Year",MAIN!$D$3="All"),"Yes",IF(MAIN!$F$3="Monthly",IF(E1829=MAIN!$L$3,"Yes","No"),IF(E1829&lt;=MAIN!$L$3,"Yes","No"))))</f>
        <v>Yes</v>
      </c>
      <c r="AA1829" t="str">
        <f t="shared" si="173"/>
        <v>No</v>
      </c>
    </row>
    <row r="1830" spans="1:27" x14ac:dyDescent="0.3">
      <c r="A1830">
        <f>INDEX(SETTINGS!$A$15:$A$24,$B1830)</f>
        <v>2033</v>
      </c>
      <c r="B1830">
        <v>9</v>
      </c>
      <c r="C1830" t="str">
        <f>IF(AND(A1830&gt;=SETTINGS!$B$4,A1830&lt;=SETTINGS!$B$5),"Yes","No")</f>
        <v>No</v>
      </c>
      <c r="D1830" t="str">
        <f>IFERROR(INDEX(SETTINGS!$C$15:$C$24,MATCH(A1830,SETTINGS!$A$15:$A$24,0)),"No")</f>
        <v>No</v>
      </c>
      <c r="E1830">
        <v>1</v>
      </c>
      <c r="F1830" t="s">
        <v>2</v>
      </c>
      <c r="G1830">
        <v>14</v>
      </c>
      <c r="H1830" t="s">
        <v>97</v>
      </c>
      <c r="I1830" t="s">
        <v>15</v>
      </c>
      <c r="J1830" t="s">
        <v>17</v>
      </c>
      <c r="K1830" t="s">
        <v>3</v>
      </c>
      <c r="L1830" s="36">
        <f ca="1">IF(C1830&lt;&gt;"Yes",0,IF(A1830=2025,N('2025'!D14),IF(A1830=2026,N('2026'!D14),IF(A1830=2027,N('2027'!D14),IF(A1830=2028,N('2028'!D14),IF(A1830=2029,N('2029'!D14),IF(A1830=2030,N('2030'!D14),IF(A1830=2031,N('2031'!D14),IF(A1830=2032,N('2032'!D14),IF(A1830=2033,N('2033'!D14),IF(A1830=2034,N('2034'!D14),IFERROR(N(INDIRECT("'"&amp;A1830&amp;"'!D"&amp;G1830)),0))))))))))))</f>
        <v>0</v>
      </c>
      <c r="M1830" s="36">
        <f>IFERROR(IF(NOT(ISBLANK(KPI_TARGETS!$O$9)),KPI_TARGETS!$O$9,IF(NOT(ISBLANK(KPI_TARGETS!$F$9)),KPI_TARGETS!$F$9,"")),"")</f>
        <v>0</v>
      </c>
      <c r="N1830" s="36" t="str">
        <f>IFERROR(KPI_TARGETS!$E$9,"Higher is better")</f>
        <v>Higher is better</v>
      </c>
      <c r="O1830" s="37" t="str">
        <f t="shared" ca="1" si="168"/>
        <v/>
      </c>
      <c r="P1830" t="str">
        <f t="shared" ca="1" si="169"/>
        <v>Green</v>
      </c>
      <c r="Q1830" s="36">
        <f t="shared" ca="1" si="170"/>
        <v>0</v>
      </c>
      <c r="R1830" s="36" t="str">
        <f>""</f>
        <v/>
      </c>
      <c r="S1830" s="36" t="str">
        <f>""</f>
        <v/>
      </c>
      <c r="T1830" s="36" t="str">
        <f>""</f>
        <v/>
      </c>
      <c r="U1830" s="36" t="str">
        <f>""</f>
        <v/>
      </c>
      <c r="V1830" s="36" t="str">
        <f>""</f>
        <v/>
      </c>
      <c r="W1830" s="36">
        <f t="shared" si="171"/>
        <v>1</v>
      </c>
      <c r="X1830" t="str">
        <f t="shared" si="172"/>
        <v>Inactive</v>
      </c>
      <c r="Y1830" t="str">
        <f>IF(MAIN!$H$3="Selected Year",IF(A1830=MAIN!$B$3,"Yes","No"),IF(MAIN!$H$3="Included Years",IF(D1830="Yes","Yes","No"),IF(C1830="Yes","Yes","No")))</f>
        <v>No</v>
      </c>
      <c r="Z1830" t="str">
        <f>IF(MAIN!$F$3="Project to Date",IF(AND(A1830&gt;=SETTINGS!$B$4,A1830&lt;MAIN!$B$3),"Yes",IF(AND(A1830=MAIN!$B$3,E1830&lt;=MAIN!$L$3),"Yes","No")),IF(OR(MAIN!$F$3="Full Year",MAIN!$D$3="All"),"Yes",IF(MAIN!$F$3="Monthly",IF(E1830=MAIN!$L$3,"Yes","No"),IF(E1830&lt;=MAIN!$L$3,"Yes","No"))))</f>
        <v>Yes</v>
      </c>
      <c r="AA1830" t="str">
        <f t="shared" si="173"/>
        <v>No</v>
      </c>
    </row>
    <row r="1831" spans="1:27" x14ac:dyDescent="0.3">
      <c r="A1831">
        <f>INDEX(SETTINGS!$A$15:$A$24,$B1831)</f>
        <v>2033</v>
      </c>
      <c r="B1831">
        <v>9</v>
      </c>
      <c r="C1831" t="str">
        <f>IF(AND(A1831&gt;=SETTINGS!$B$4,A1831&lt;=SETTINGS!$B$5),"Yes","No")</f>
        <v>No</v>
      </c>
      <c r="D1831" t="str">
        <f>IFERROR(INDEX(SETTINGS!$C$15:$C$24,MATCH(A1831,SETTINGS!$A$15:$A$24,0)),"No")</f>
        <v>No</v>
      </c>
      <c r="E1831">
        <v>1</v>
      </c>
      <c r="F1831" t="s">
        <v>2</v>
      </c>
      <c r="G1831">
        <v>15</v>
      </c>
      <c r="H1831" t="s">
        <v>99</v>
      </c>
      <c r="I1831" t="s">
        <v>15</v>
      </c>
      <c r="J1831" t="s">
        <v>18</v>
      </c>
      <c r="K1831" t="s">
        <v>3</v>
      </c>
      <c r="L1831" s="36">
        <f ca="1">IF(C1831&lt;&gt;"Yes",0,IF(A1831=2025,N('2025'!D15),IF(A1831=2026,N('2026'!D15),IF(A1831=2027,N('2027'!D15),IF(A1831=2028,N('2028'!D15),IF(A1831=2029,N('2029'!D15),IF(A1831=2030,N('2030'!D15),IF(A1831=2031,N('2031'!D15),IF(A1831=2032,N('2032'!D15),IF(A1831=2033,N('2033'!D15),IF(A1831=2034,N('2034'!D15),IFERROR(N(INDIRECT("'"&amp;A1831&amp;"'!D"&amp;G1831)),0))))))))))))</f>
        <v>0</v>
      </c>
      <c r="M1831" s="36">
        <f>IFERROR(IF(NOT(ISBLANK(KPI_TARGETS!$O$10)),KPI_TARGETS!$O$10,IF(NOT(ISBLANK(KPI_TARGETS!$F$10)),KPI_TARGETS!$F$10,"")),"")</f>
        <v>0</v>
      </c>
      <c r="N1831" s="36" t="str">
        <f>IFERROR(KPI_TARGETS!$E$10,"Higher is better")</f>
        <v>Lower is better</v>
      </c>
      <c r="O1831" s="37">
        <f t="shared" ca="1" si="168"/>
        <v>1</v>
      </c>
      <c r="P1831" t="str">
        <f t="shared" ca="1" si="169"/>
        <v>Green</v>
      </c>
      <c r="Q1831" s="36">
        <f t="shared" ca="1" si="170"/>
        <v>0</v>
      </c>
      <c r="R1831" s="36" t="str">
        <f>""</f>
        <v/>
      </c>
      <c r="S1831" s="36" t="str">
        <f>""</f>
        <v/>
      </c>
      <c r="T1831" s="36" t="str">
        <f>""</f>
        <v/>
      </c>
      <c r="U1831" s="36" t="str">
        <f>""</f>
        <v/>
      </c>
      <c r="V1831" s="36" t="str">
        <f>""</f>
        <v/>
      </c>
      <c r="W1831" s="36">
        <f t="shared" si="171"/>
        <v>1</v>
      </c>
      <c r="X1831" t="str">
        <f t="shared" si="172"/>
        <v>Inactive</v>
      </c>
      <c r="Y1831" t="str">
        <f>IF(MAIN!$H$3="Selected Year",IF(A1831=MAIN!$B$3,"Yes","No"),IF(MAIN!$H$3="Included Years",IF(D1831="Yes","Yes","No"),IF(C1831="Yes","Yes","No")))</f>
        <v>No</v>
      </c>
      <c r="Z1831" t="str">
        <f>IF(MAIN!$F$3="Project to Date",IF(AND(A1831&gt;=SETTINGS!$B$4,A1831&lt;MAIN!$B$3),"Yes",IF(AND(A1831=MAIN!$B$3,E1831&lt;=MAIN!$L$3),"Yes","No")),IF(OR(MAIN!$F$3="Full Year",MAIN!$D$3="All"),"Yes",IF(MAIN!$F$3="Monthly",IF(E1831=MAIN!$L$3,"Yes","No"),IF(E1831&lt;=MAIN!$L$3,"Yes","No"))))</f>
        <v>Yes</v>
      </c>
      <c r="AA1831" t="str">
        <f t="shared" si="173"/>
        <v>No</v>
      </c>
    </row>
    <row r="1832" spans="1:27" x14ac:dyDescent="0.3">
      <c r="A1832">
        <f>INDEX(SETTINGS!$A$15:$A$24,$B1832)</f>
        <v>2033</v>
      </c>
      <c r="B1832">
        <v>9</v>
      </c>
      <c r="C1832" t="str">
        <f>IF(AND(A1832&gt;=SETTINGS!$B$4,A1832&lt;=SETTINGS!$B$5),"Yes","No")</f>
        <v>No</v>
      </c>
      <c r="D1832" t="str">
        <f>IFERROR(INDEX(SETTINGS!$C$15:$C$24,MATCH(A1832,SETTINGS!$A$15:$A$24,0)),"No")</f>
        <v>No</v>
      </c>
      <c r="E1832">
        <v>1</v>
      </c>
      <c r="F1832" t="s">
        <v>2</v>
      </c>
      <c r="G1832">
        <v>16</v>
      </c>
      <c r="H1832" t="s">
        <v>100</v>
      </c>
      <c r="I1832" t="s">
        <v>15</v>
      </c>
      <c r="J1832" t="s">
        <v>19</v>
      </c>
      <c r="K1832" t="s">
        <v>3</v>
      </c>
      <c r="L1832" s="36">
        <f ca="1">IF(C1832&lt;&gt;"Yes",0,IF(A1832=2025,N('2025'!D16),IF(A1832=2026,N('2026'!D16),IF(A1832=2027,N('2027'!D16),IF(A1832=2028,N('2028'!D16),IF(A1832=2029,N('2029'!D16),IF(A1832=2030,N('2030'!D16),IF(A1832=2031,N('2031'!D16),IF(A1832=2032,N('2032'!D16),IF(A1832=2033,N('2033'!D16),IF(A1832=2034,N('2034'!D16),IFERROR(N(INDIRECT("'"&amp;A1832&amp;"'!D"&amp;G1832)),0))))))))))))</f>
        <v>0</v>
      </c>
      <c r="M1832" s="36">
        <f>IFERROR(IF(NOT(ISBLANK(KPI_TARGETS!$O$11)),KPI_TARGETS!$O$11,IF(NOT(ISBLANK(KPI_TARGETS!$F$11)),KPI_TARGETS!$F$11,"")),"")</f>
        <v>0</v>
      </c>
      <c r="N1832" s="36" t="str">
        <f>IFERROR(KPI_TARGETS!$E$11,"Higher is better")</f>
        <v>Lower is better</v>
      </c>
      <c r="O1832" s="37">
        <f t="shared" ca="1" si="168"/>
        <v>1</v>
      </c>
      <c r="P1832" t="str">
        <f t="shared" ca="1" si="169"/>
        <v>Green</v>
      </c>
      <c r="Q1832" s="36">
        <f t="shared" ca="1" si="170"/>
        <v>0</v>
      </c>
      <c r="R1832" s="36" t="str">
        <f>""</f>
        <v/>
      </c>
      <c r="S1832" s="36" t="str">
        <f>""</f>
        <v/>
      </c>
      <c r="T1832" s="36" t="str">
        <f>""</f>
        <v/>
      </c>
      <c r="U1832" s="36" t="str">
        <f>""</f>
        <v/>
      </c>
      <c r="V1832" s="36" t="str">
        <f>""</f>
        <v/>
      </c>
      <c r="W1832" s="36">
        <f t="shared" si="171"/>
        <v>1</v>
      </c>
      <c r="X1832" t="str">
        <f t="shared" si="172"/>
        <v>Inactive</v>
      </c>
      <c r="Y1832" t="str">
        <f>IF(MAIN!$H$3="Selected Year",IF(A1832=MAIN!$B$3,"Yes","No"),IF(MAIN!$H$3="Included Years",IF(D1832="Yes","Yes","No"),IF(C1832="Yes","Yes","No")))</f>
        <v>No</v>
      </c>
      <c r="Z1832" t="str">
        <f>IF(MAIN!$F$3="Project to Date",IF(AND(A1832&gt;=SETTINGS!$B$4,A1832&lt;MAIN!$B$3),"Yes",IF(AND(A1832=MAIN!$B$3,E1832&lt;=MAIN!$L$3),"Yes","No")),IF(OR(MAIN!$F$3="Full Year",MAIN!$D$3="All"),"Yes",IF(MAIN!$F$3="Monthly",IF(E1832=MAIN!$L$3,"Yes","No"),IF(E1832&lt;=MAIN!$L$3,"Yes","No"))))</f>
        <v>Yes</v>
      </c>
      <c r="AA1832" t="str">
        <f t="shared" si="173"/>
        <v>No</v>
      </c>
    </row>
    <row r="1833" spans="1:27" x14ac:dyDescent="0.3">
      <c r="A1833">
        <f>INDEX(SETTINGS!$A$15:$A$24,$B1833)</f>
        <v>2033</v>
      </c>
      <c r="B1833">
        <v>9</v>
      </c>
      <c r="C1833" t="str">
        <f>IF(AND(A1833&gt;=SETTINGS!$B$4,A1833&lt;=SETTINGS!$B$5),"Yes","No")</f>
        <v>No</v>
      </c>
      <c r="D1833" t="str">
        <f>IFERROR(INDEX(SETTINGS!$C$15:$C$24,MATCH(A1833,SETTINGS!$A$15:$A$24,0)),"No")</f>
        <v>No</v>
      </c>
      <c r="E1833">
        <v>1</v>
      </c>
      <c r="F1833" t="s">
        <v>2</v>
      </c>
      <c r="G1833">
        <v>17</v>
      </c>
      <c r="H1833" t="s">
        <v>101</v>
      </c>
      <c r="I1833" t="s">
        <v>15</v>
      </c>
      <c r="J1833" t="s">
        <v>20</v>
      </c>
      <c r="K1833" t="s">
        <v>3</v>
      </c>
      <c r="L1833" s="36">
        <f ca="1">IF(C1833&lt;&gt;"Yes",0,IF(A1833=2025,N('2025'!D17),IF(A1833=2026,N('2026'!D17),IF(A1833=2027,N('2027'!D17),IF(A1833=2028,N('2028'!D17),IF(A1833=2029,N('2029'!D17),IF(A1833=2030,N('2030'!D17),IF(A1833=2031,N('2031'!D17),IF(A1833=2032,N('2032'!D17),IF(A1833=2033,N('2033'!D17),IF(A1833=2034,N('2034'!D17),IFERROR(N(INDIRECT("'"&amp;A1833&amp;"'!D"&amp;G1833)),0))))))))))))</f>
        <v>0</v>
      </c>
      <c r="M1833" s="36">
        <f>IFERROR(IF(NOT(ISBLANK(KPI_TARGETS!$O$12)),KPI_TARGETS!$O$12,IF(NOT(ISBLANK(KPI_TARGETS!$F$12)),KPI_TARGETS!$F$12,"")),"")</f>
        <v>0</v>
      </c>
      <c r="N1833" s="36" t="str">
        <f>IFERROR(KPI_TARGETS!$E$12,"Higher is better")</f>
        <v>Lower is better</v>
      </c>
      <c r="O1833" s="37">
        <f t="shared" ca="1" si="168"/>
        <v>1</v>
      </c>
      <c r="P1833" t="str">
        <f t="shared" ca="1" si="169"/>
        <v>Green</v>
      </c>
      <c r="Q1833" s="36">
        <f t="shared" ca="1" si="170"/>
        <v>0</v>
      </c>
      <c r="R1833" s="36" t="str">
        <f>""</f>
        <v/>
      </c>
      <c r="S1833" s="36" t="str">
        <f>""</f>
        <v/>
      </c>
      <c r="T1833" s="36" t="str">
        <f>""</f>
        <v/>
      </c>
      <c r="U1833" s="36" t="str">
        <f>""</f>
        <v/>
      </c>
      <c r="V1833" s="36" t="str">
        <f>""</f>
        <v/>
      </c>
      <c r="W1833" s="36">
        <f t="shared" si="171"/>
        <v>1</v>
      </c>
      <c r="X1833" t="str">
        <f t="shared" si="172"/>
        <v>Inactive</v>
      </c>
      <c r="Y1833" t="str">
        <f>IF(MAIN!$H$3="Selected Year",IF(A1833=MAIN!$B$3,"Yes","No"),IF(MAIN!$H$3="Included Years",IF(D1833="Yes","Yes","No"),IF(C1833="Yes","Yes","No")))</f>
        <v>No</v>
      </c>
      <c r="Z1833" t="str">
        <f>IF(MAIN!$F$3="Project to Date",IF(AND(A1833&gt;=SETTINGS!$B$4,A1833&lt;MAIN!$B$3),"Yes",IF(AND(A1833=MAIN!$B$3,E1833&lt;=MAIN!$L$3),"Yes","No")),IF(OR(MAIN!$F$3="Full Year",MAIN!$D$3="All"),"Yes",IF(MAIN!$F$3="Monthly",IF(E1833=MAIN!$L$3,"Yes","No"),IF(E1833&lt;=MAIN!$L$3,"Yes","No"))))</f>
        <v>Yes</v>
      </c>
      <c r="AA1833" t="str">
        <f t="shared" si="173"/>
        <v>No</v>
      </c>
    </row>
    <row r="1834" spans="1:27" x14ac:dyDescent="0.3">
      <c r="A1834">
        <f>INDEX(SETTINGS!$A$15:$A$24,$B1834)</f>
        <v>2033</v>
      </c>
      <c r="B1834">
        <v>9</v>
      </c>
      <c r="C1834" t="str">
        <f>IF(AND(A1834&gt;=SETTINGS!$B$4,A1834&lt;=SETTINGS!$B$5),"Yes","No")</f>
        <v>No</v>
      </c>
      <c r="D1834" t="str">
        <f>IFERROR(INDEX(SETTINGS!$C$15:$C$24,MATCH(A1834,SETTINGS!$A$15:$A$24,0)),"No")</f>
        <v>No</v>
      </c>
      <c r="E1834">
        <v>1</v>
      </c>
      <c r="F1834" t="s">
        <v>2</v>
      </c>
      <c r="G1834">
        <v>18</v>
      </c>
      <c r="H1834" t="s">
        <v>102</v>
      </c>
      <c r="I1834" t="s">
        <v>15</v>
      </c>
      <c r="J1834" t="s">
        <v>21</v>
      </c>
      <c r="K1834" t="s">
        <v>3</v>
      </c>
      <c r="L1834" s="36">
        <f ca="1">IF(C1834&lt;&gt;"Yes",0,IF(A1834=2025,N('2025'!D18),IF(A1834=2026,N('2026'!D18),IF(A1834=2027,N('2027'!D18),IF(A1834=2028,N('2028'!D18),IF(A1834=2029,N('2029'!D18),IF(A1834=2030,N('2030'!D18),IF(A1834=2031,N('2031'!D18),IF(A1834=2032,N('2032'!D18),IF(A1834=2033,N('2033'!D18),IF(A1834=2034,N('2034'!D18),IFERROR(N(INDIRECT("'"&amp;A1834&amp;"'!D"&amp;G1834)),0))))))))))))</f>
        <v>0</v>
      </c>
      <c r="M1834" s="36">
        <f>IFERROR(IF(NOT(ISBLANK(KPI_TARGETS!$O$13)),KPI_TARGETS!$O$13,IF(NOT(ISBLANK(KPI_TARGETS!$F$13)),KPI_TARGETS!$F$13,"")),"")</f>
        <v>0</v>
      </c>
      <c r="N1834" s="36" t="str">
        <f>IFERROR(KPI_TARGETS!$E$13,"Higher is better")</f>
        <v>Lower is better</v>
      </c>
      <c r="O1834" s="37">
        <f t="shared" ca="1" si="168"/>
        <v>1</v>
      </c>
      <c r="P1834" t="str">
        <f t="shared" ca="1" si="169"/>
        <v>Green</v>
      </c>
      <c r="Q1834" s="36">
        <f t="shared" ca="1" si="170"/>
        <v>0</v>
      </c>
      <c r="R1834" s="36" t="str">
        <f>""</f>
        <v/>
      </c>
      <c r="S1834" s="36" t="str">
        <f>""</f>
        <v/>
      </c>
      <c r="T1834" s="36" t="str">
        <f>""</f>
        <v/>
      </c>
      <c r="U1834" s="36" t="str">
        <f>""</f>
        <v/>
      </c>
      <c r="V1834" s="36" t="str">
        <f>""</f>
        <v/>
      </c>
      <c r="W1834" s="36">
        <f t="shared" si="171"/>
        <v>1</v>
      </c>
      <c r="X1834" t="str">
        <f t="shared" si="172"/>
        <v>Inactive</v>
      </c>
      <c r="Y1834" t="str">
        <f>IF(MAIN!$H$3="Selected Year",IF(A1834=MAIN!$B$3,"Yes","No"),IF(MAIN!$H$3="Included Years",IF(D1834="Yes","Yes","No"),IF(C1834="Yes","Yes","No")))</f>
        <v>No</v>
      </c>
      <c r="Z1834" t="str">
        <f>IF(MAIN!$F$3="Project to Date",IF(AND(A1834&gt;=SETTINGS!$B$4,A1834&lt;MAIN!$B$3),"Yes",IF(AND(A1834=MAIN!$B$3,E1834&lt;=MAIN!$L$3),"Yes","No")),IF(OR(MAIN!$F$3="Full Year",MAIN!$D$3="All"),"Yes",IF(MAIN!$F$3="Monthly",IF(E1834=MAIN!$L$3,"Yes","No"),IF(E1834&lt;=MAIN!$L$3,"Yes","No"))))</f>
        <v>Yes</v>
      </c>
      <c r="AA1834" t="str">
        <f t="shared" si="173"/>
        <v>No</v>
      </c>
    </row>
    <row r="1835" spans="1:27" x14ac:dyDescent="0.3">
      <c r="A1835">
        <f>INDEX(SETTINGS!$A$15:$A$24,$B1835)</f>
        <v>2033</v>
      </c>
      <c r="B1835">
        <v>9</v>
      </c>
      <c r="C1835" t="str">
        <f>IF(AND(A1835&gt;=SETTINGS!$B$4,A1835&lt;=SETTINGS!$B$5),"Yes","No")</f>
        <v>No</v>
      </c>
      <c r="D1835" t="str">
        <f>IFERROR(INDEX(SETTINGS!$C$15:$C$24,MATCH(A1835,SETTINGS!$A$15:$A$24,0)),"No")</f>
        <v>No</v>
      </c>
      <c r="E1835">
        <v>1</v>
      </c>
      <c r="F1835" t="s">
        <v>2</v>
      </c>
      <c r="G1835">
        <v>20</v>
      </c>
      <c r="H1835" t="s">
        <v>103</v>
      </c>
      <c r="I1835" t="s">
        <v>22</v>
      </c>
      <c r="J1835" t="s">
        <v>23</v>
      </c>
      <c r="K1835" t="s">
        <v>3</v>
      </c>
      <c r="L1835" s="36">
        <f ca="1">IF(C1835&lt;&gt;"Yes",0,IF(A1835=2025,N('2025'!D20),IF(A1835=2026,N('2026'!D20),IF(A1835=2027,N('2027'!D20),IF(A1835=2028,N('2028'!D20),IF(A1835=2029,N('2029'!D20),IF(A1835=2030,N('2030'!D20),IF(A1835=2031,N('2031'!D20),IF(A1835=2032,N('2032'!D20),IF(A1835=2033,N('2033'!D20),IF(A1835=2034,N('2034'!D20),IFERROR(N(INDIRECT("'"&amp;A1835&amp;"'!D"&amp;G1835)),0))))))))))))</f>
        <v>0</v>
      </c>
      <c r="M1835" s="36">
        <f>IFERROR(IF(NOT(ISBLANK(KPI_TARGETS!$O$14)),KPI_TARGETS!$O$14,IF(NOT(ISBLANK(KPI_TARGETS!$F$14)),KPI_TARGETS!$F$14,"")),"")</f>
        <v>35</v>
      </c>
      <c r="N1835" s="36" t="str">
        <f>IFERROR(KPI_TARGETS!$E$14,"Higher is better")</f>
        <v>Higher is better</v>
      </c>
      <c r="O1835" s="37">
        <f t="shared" ca="1" si="168"/>
        <v>0</v>
      </c>
      <c r="P1835" t="str">
        <f t="shared" ca="1" si="169"/>
        <v>Red</v>
      </c>
      <c r="Q1835" s="36">
        <f t="shared" ca="1" si="170"/>
        <v>-35</v>
      </c>
      <c r="R1835" s="36" t="str">
        <f>""</f>
        <v/>
      </c>
      <c r="S1835" s="36" t="str">
        <f>""</f>
        <v/>
      </c>
      <c r="T1835" s="36" t="str">
        <f>""</f>
        <v/>
      </c>
      <c r="U1835" s="36" t="str">
        <f>""</f>
        <v/>
      </c>
      <c r="V1835" s="36" t="str">
        <f>""</f>
        <v/>
      </c>
      <c r="W1835" s="36">
        <f t="shared" si="171"/>
        <v>1</v>
      </c>
      <c r="X1835" t="str">
        <f t="shared" si="172"/>
        <v>Inactive</v>
      </c>
      <c r="Y1835" t="str">
        <f>IF(MAIN!$H$3="Selected Year",IF(A1835=MAIN!$B$3,"Yes","No"),IF(MAIN!$H$3="Included Years",IF(D1835="Yes","Yes","No"),IF(C1835="Yes","Yes","No")))</f>
        <v>No</v>
      </c>
      <c r="Z1835" t="str">
        <f>IF(MAIN!$F$3="Project to Date",IF(AND(A1835&gt;=SETTINGS!$B$4,A1835&lt;MAIN!$B$3),"Yes",IF(AND(A1835=MAIN!$B$3,E1835&lt;=MAIN!$L$3),"Yes","No")),IF(OR(MAIN!$F$3="Full Year",MAIN!$D$3="All"),"Yes",IF(MAIN!$F$3="Monthly",IF(E1835=MAIN!$L$3,"Yes","No"),IF(E1835&lt;=MAIN!$L$3,"Yes","No"))))</f>
        <v>Yes</v>
      </c>
      <c r="AA1835" t="str">
        <f t="shared" si="173"/>
        <v>No</v>
      </c>
    </row>
    <row r="1836" spans="1:27" x14ac:dyDescent="0.3">
      <c r="A1836">
        <f>INDEX(SETTINGS!$A$15:$A$24,$B1836)</f>
        <v>2033</v>
      </c>
      <c r="B1836">
        <v>9</v>
      </c>
      <c r="C1836" t="str">
        <f>IF(AND(A1836&gt;=SETTINGS!$B$4,A1836&lt;=SETTINGS!$B$5),"Yes","No")</f>
        <v>No</v>
      </c>
      <c r="D1836" t="str">
        <f>IFERROR(INDEX(SETTINGS!$C$15:$C$24,MATCH(A1836,SETTINGS!$A$15:$A$24,0)),"No")</f>
        <v>No</v>
      </c>
      <c r="E1836">
        <v>1</v>
      </c>
      <c r="F1836" t="s">
        <v>2</v>
      </c>
      <c r="G1836">
        <v>21</v>
      </c>
      <c r="H1836" t="s">
        <v>104</v>
      </c>
      <c r="I1836" t="s">
        <v>22</v>
      </c>
      <c r="J1836" t="s">
        <v>24</v>
      </c>
      <c r="K1836" t="s">
        <v>3</v>
      </c>
      <c r="L1836" s="36">
        <f ca="1">IF(C1836&lt;&gt;"Yes",0,IF(A1836=2025,N('2025'!D21),IF(A1836=2026,N('2026'!D21),IF(A1836=2027,N('2027'!D21),IF(A1836=2028,N('2028'!D21),IF(A1836=2029,N('2029'!D21),IF(A1836=2030,N('2030'!D21),IF(A1836=2031,N('2031'!D21),IF(A1836=2032,N('2032'!D21),IF(A1836=2033,N('2033'!D21),IF(A1836=2034,N('2034'!D21),IFERROR(N(INDIRECT("'"&amp;A1836&amp;"'!D"&amp;G1836)),0))))))))))))</f>
        <v>0</v>
      </c>
      <c r="M1836" s="36">
        <f>IFERROR(IF(NOT(ISBLANK(KPI_TARGETS!$O$15)),KPI_TARGETS!$O$15,IF(NOT(ISBLANK(KPI_TARGETS!$F$15)),KPI_TARGETS!$F$15,"")),"")</f>
        <v>5</v>
      </c>
      <c r="N1836" s="36" t="str">
        <f>IFERROR(KPI_TARGETS!$E$15,"Higher is better")</f>
        <v>Higher is better</v>
      </c>
      <c r="O1836" s="37">
        <f t="shared" ca="1" si="168"/>
        <v>0</v>
      </c>
      <c r="P1836" t="str">
        <f t="shared" ca="1" si="169"/>
        <v>Red</v>
      </c>
      <c r="Q1836" s="36">
        <f t="shared" ca="1" si="170"/>
        <v>-5</v>
      </c>
      <c r="R1836" s="36" t="str">
        <f>""</f>
        <v/>
      </c>
      <c r="S1836" s="36" t="str">
        <f>""</f>
        <v/>
      </c>
      <c r="T1836" s="36" t="str">
        <f>""</f>
        <v/>
      </c>
      <c r="U1836" s="36" t="str">
        <f>""</f>
        <v/>
      </c>
      <c r="V1836" s="36" t="str">
        <f>""</f>
        <v/>
      </c>
      <c r="W1836" s="36">
        <f t="shared" si="171"/>
        <v>1</v>
      </c>
      <c r="X1836" t="str">
        <f t="shared" si="172"/>
        <v>Inactive</v>
      </c>
      <c r="Y1836" t="str">
        <f>IF(MAIN!$H$3="Selected Year",IF(A1836=MAIN!$B$3,"Yes","No"),IF(MAIN!$H$3="Included Years",IF(D1836="Yes","Yes","No"),IF(C1836="Yes","Yes","No")))</f>
        <v>No</v>
      </c>
      <c r="Z1836" t="str">
        <f>IF(MAIN!$F$3="Project to Date",IF(AND(A1836&gt;=SETTINGS!$B$4,A1836&lt;MAIN!$B$3),"Yes",IF(AND(A1836=MAIN!$B$3,E1836&lt;=MAIN!$L$3),"Yes","No")),IF(OR(MAIN!$F$3="Full Year",MAIN!$D$3="All"),"Yes",IF(MAIN!$F$3="Monthly",IF(E1836=MAIN!$L$3,"Yes","No"),IF(E1836&lt;=MAIN!$L$3,"Yes","No"))))</f>
        <v>Yes</v>
      </c>
      <c r="AA1836" t="str">
        <f t="shared" si="173"/>
        <v>No</v>
      </c>
    </row>
    <row r="1837" spans="1:27" x14ac:dyDescent="0.3">
      <c r="A1837">
        <f>INDEX(SETTINGS!$A$15:$A$24,$B1837)</f>
        <v>2033</v>
      </c>
      <c r="B1837">
        <v>9</v>
      </c>
      <c r="C1837" t="str">
        <f>IF(AND(A1837&gt;=SETTINGS!$B$4,A1837&lt;=SETTINGS!$B$5),"Yes","No")</f>
        <v>No</v>
      </c>
      <c r="D1837" t="str">
        <f>IFERROR(INDEX(SETTINGS!$C$15:$C$24,MATCH(A1837,SETTINGS!$A$15:$A$24,0)),"No")</f>
        <v>No</v>
      </c>
      <c r="E1837">
        <v>1</v>
      </c>
      <c r="F1837" t="s">
        <v>2</v>
      </c>
      <c r="G1837">
        <v>22</v>
      </c>
      <c r="H1837" t="s">
        <v>105</v>
      </c>
      <c r="I1837" t="s">
        <v>22</v>
      </c>
      <c r="J1837" t="s">
        <v>25</v>
      </c>
      <c r="K1837" t="s">
        <v>3</v>
      </c>
      <c r="L1837" s="36">
        <f ca="1">IF(C1837&lt;&gt;"Yes",0,IF(A1837=2025,N('2025'!D22),IF(A1837=2026,N('2026'!D22),IF(A1837=2027,N('2027'!D22),IF(A1837=2028,N('2028'!D22),IF(A1837=2029,N('2029'!D22),IF(A1837=2030,N('2030'!D22),IF(A1837=2031,N('2031'!D22),IF(A1837=2032,N('2032'!D22),IF(A1837=2033,N('2033'!D22),IF(A1837=2034,N('2034'!D22),IFERROR(N(INDIRECT("'"&amp;A1837&amp;"'!D"&amp;G1837)),0))))))))))))</f>
        <v>0</v>
      </c>
      <c r="M1837" s="36">
        <f>IFERROR(IF(NOT(ISBLANK(KPI_TARGETS!$O$16)),KPI_TARGETS!$O$16,IF(NOT(ISBLANK(KPI_TARGETS!$F$16)),KPI_TARGETS!$F$16,"")),"")</f>
        <v>4</v>
      </c>
      <c r="N1837" s="36" t="str">
        <f>IFERROR(KPI_TARGETS!$E$16,"Higher is better")</f>
        <v>Higher is better</v>
      </c>
      <c r="O1837" s="37">
        <f t="shared" ca="1" si="168"/>
        <v>0</v>
      </c>
      <c r="P1837" t="str">
        <f t="shared" ca="1" si="169"/>
        <v>Red</v>
      </c>
      <c r="Q1837" s="36">
        <f t="shared" ca="1" si="170"/>
        <v>-4</v>
      </c>
      <c r="R1837" s="36" t="str">
        <f>""</f>
        <v/>
      </c>
      <c r="S1837" s="36" t="str">
        <f>""</f>
        <v/>
      </c>
      <c r="T1837" s="36" t="str">
        <f>""</f>
        <v/>
      </c>
      <c r="U1837" s="36" t="str">
        <f>""</f>
        <v/>
      </c>
      <c r="V1837" s="36" t="str">
        <f>""</f>
        <v/>
      </c>
      <c r="W1837" s="36">
        <f t="shared" si="171"/>
        <v>1</v>
      </c>
      <c r="X1837" t="str">
        <f t="shared" si="172"/>
        <v>Inactive</v>
      </c>
      <c r="Y1837" t="str">
        <f>IF(MAIN!$H$3="Selected Year",IF(A1837=MAIN!$B$3,"Yes","No"),IF(MAIN!$H$3="Included Years",IF(D1837="Yes","Yes","No"),IF(C1837="Yes","Yes","No")))</f>
        <v>No</v>
      </c>
      <c r="Z1837" t="str">
        <f>IF(MAIN!$F$3="Project to Date",IF(AND(A1837&gt;=SETTINGS!$B$4,A1837&lt;MAIN!$B$3),"Yes",IF(AND(A1837=MAIN!$B$3,E1837&lt;=MAIN!$L$3),"Yes","No")),IF(OR(MAIN!$F$3="Full Year",MAIN!$D$3="All"),"Yes",IF(MAIN!$F$3="Monthly",IF(E1837=MAIN!$L$3,"Yes","No"),IF(E1837&lt;=MAIN!$L$3,"Yes","No"))))</f>
        <v>Yes</v>
      </c>
      <c r="AA1837" t="str">
        <f t="shared" si="173"/>
        <v>No</v>
      </c>
    </row>
    <row r="1838" spans="1:27" x14ac:dyDescent="0.3">
      <c r="A1838">
        <f>INDEX(SETTINGS!$A$15:$A$24,$B1838)</f>
        <v>2033</v>
      </c>
      <c r="B1838">
        <v>9</v>
      </c>
      <c r="C1838" t="str">
        <f>IF(AND(A1838&gt;=SETTINGS!$B$4,A1838&lt;=SETTINGS!$B$5),"Yes","No")</f>
        <v>No</v>
      </c>
      <c r="D1838" t="str">
        <f>IFERROR(INDEX(SETTINGS!$C$15:$C$24,MATCH(A1838,SETTINGS!$A$15:$A$24,0)),"No")</f>
        <v>No</v>
      </c>
      <c r="E1838">
        <v>1</v>
      </c>
      <c r="F1838" t="s">
        <v>2</v>
      </c>
      <c r="G1838">
        <v>23</v>
      </c>
      <c r="H1838" t="s">
        <v>106</v>
      </c>
      <c r="I1838" t="s">
        <v>22</v>
      </c>
      <c r="J1838" t="s">
        <v>26</v>
      </c>
      <c r="K1838" t="s">
        <v>3</v>
      </c>
      <c r="L1838" s="36">
        <f ca="1">IF(C1838&lt;&gt;"Yes",0,IF(A1838=2025,N('2025'!D23),IF(A1838=2026,N('2026'!D23),IF(A1838=2027,N('2027'!D23),IF(A1838=2028,N('2028'!D23),IF(A1838=2029,N('2029'!D23),IF(A1838=2030,N('2030'!D23),IF(A1838=2031,N('2031'!D23),IF(A1838=2032,N('2032'!D23),IF(A1838=2033,N('2033'!D23),IF(A1838=2034,N('2034'!D23),IFERROR(N(INDIRECT("'"&amp;A1838&amp;"'!D"&amp;G1838)),0))))))))))))</f>
        <v>0</v>
      </c>
      <c r="M1838" s="36">
        <f>IFERROR(IF(NOT(ISBLANK(KPI_TARGETS!$O$17)),KPI_TARGETS!$O$17,IF(NOT(ISBLANK(KPI_TARGETS!$F$17)),KPI_TARGETS!$F$17,"")),"")</f>
        <v>12</v>
      </c>
      <c r="N1838" s="36" t="str">
        <f>IFERROR(KPI_TARGETS!$E$17,"Higher is better")</f>
        <v>Higher is better</v>
      </c>
      <c r="O1838" s="37">
        <f t="shared" ca="1" si="168"/>
        <v>0</v>
      </c>
      <c r="P1838" t="str">
        <f t="shared" ca="1" si="169"/>
        <v>Red</v>
      </c>
      <c r="Q1838" s="36">
        <f t="shared" ca="1" si="170"/>
        <v>-12</v>
      </c>
      <c r="R1838" s="36" t="str">
        <f>""</f>
        <v/>
      </c>
      <c r="S1838" s="36" t="str">
        <f>""</f>
        <v/>
      </c>
      <c r="T1838" s="36" t="str">
        <f>""</f>
        <v/>
      </c>
      <c r="U1838" s="36" t="str">
        <f>""</f>
        <v/>
      </c>
      <c r="V1838" s="36" t="str">
        <f>""</f>
        <v/>
      </c>
      <c r="W1838" s="36">
        <f t="shared" si="171"/>
        <v>1</v>
      </c>
      <c r="X1838" t="str">
        <f t="shared" si="172"/>
        <v>Inactive</v>
      </c>
      <c r="Y1838" t="str">
        <f>IF(MAIN!$H$3="Selected Year",IF(A1838=MAIN!$B$3,"Yes","No"),IF(MAIN!$H$3="Included Years",IF(D1838="Yes","Yes","No"),IF(C1838="Yes","Yes","No")))</f>
        <v>No</v>
      </c>
      <c r="Z1838" t="str">
        <f>IF(MAIN!$F$3="Project to Date",IF(AND(A1838&gt;=SETTINGS!$B$4,A1838&lt;MAIN!$B$3),"Yes",IF(AND(A1838=MAIN!$B$3,E1838&lt;=MAIN!$L$3),"Yes","No")),IF(OR(MAIN!$F$3="Full Year",MAIN!$D$3="All"),"Yes",IF(MAIN!$F$3="Monthly",IF(E1838=MAIN!$L$3,"Yes","No"),IF(E1838&lt;=MAIN!$L$3,"Yes","No"))))</f>
        <v>Yes</v>
      </c>
      <c r="AA1838" t="str">
        <f t="shared" si="173"/>
        <v>No</v>
      </c>
    </row>
    <row r="1839" spans="1:27" x14ac:dyDescent="0.3">
      <c r="A1839">
        <f>INDEX(SETTINGS!$A$15:$A$24,$B1839)</f>
        <v>2033</v>
      </c>
      <c r="B1839">
        <v>9</v>
      </c>
      <c r="C1839" t="str">
        <f>IF(AND(A1839&gt;=SETTINGS!$B$4,A1839&lt;=SETTINGS!$B$5),"Yes","No")</f>
        <v>No</v>
      </c>
      <c r="D1839" t="str">
        <f>IFERROR(INDEX(SETTINGS!$C$15:$C$24,MATCH(A1839,SETTINGS!$A$15:$A$24,0)),"No")</f>
        <v>No</v>
      </c>
      <c r="E1839">
        <v>1</v>
      </c>
      <c r="F1839" t="s">
        <v>2</v>
      </c>
      <c r="G1839">
        <v>24</v>
      </c>
      <c r="H1839" t="s">
        <v>107</v>
      </c>
      <c r="I1839" t="s">
        <v>22</v>
      </c>
      <c r="J1839" t="s">
        <v>27</v>
      </c>
      <c r="K1839" t="s">
        <v>3</v>
      </c>
      <c r="L1839" s="36">
        <f ca="1">IF(C1839&lt;&gt;"Yes",0,IF(A1839=2025,N('2025'!D24),IF(A1839=2026,N('2026'!D24),IF(A1839=2027,N('2027'!D24),IF(A1839=2028,N('2028'!D24),IF(A1839=2029,N('2029'!D24),IF(A1839=2030,N('2030'!D24),IF(A1839=2031,N('2031'!D24),IF(A1839=2032,N('2032'!D24),IF(A1839=2033,N('2033'!D24),IF(A1839=2034,N('2034'!D24),IFERROR(N(INDIRECT("'"&amp;A1839&amp;"'!D"&amp;G1839)),0))))))))))))</f>
        <v>0</v>
      </c>
      <c r="M1839" s="36">
        <f>IFERROR(IF(NOT(ISBLANK(KPI_TARGETS!$O$18)),KPI_TARGETS!$O$18,IF(NOT(ISBLANK(KPI_TARGETS!$F$18)),KPI_TARGETS!$F$18,"")),"")</f>
        <v>4</v>
      </c>
      <c r="N1839" s="36" t="str">
        <f>IFERROR(KPI_TARGETS!$E$18,"Higher is better")</f>
        <v>Higher is better</v>
      </c>
      <c r="O1839" s="37">
        <f t="shared" ca="1" si="168"/>
        <v>0</v>
      </c>
      <c r="P1839" t="str">
        <f t="shared" ca="1" si="169"/>
        <v>Red</v>
      </c>
      <c r="Q1839" s="36">
        <f t="shared" ca="1" si="170"/>
        <v>-4</v>
      </c>
      <c r="R1839" s="36" t="str">
        <f>""</f>
        <v/>
      </c>
      <c r="S1839" s="36" t="str">
        <f>""</f>
        <v/>
      </c>
      <c r="T1839" s="36" t="str">
        <f>""</f>
        <v/>
      </c>
      <c r="U1839" s="36" t="str">
        <f>""</f>
        <v/>
      </c>
      <c r="V1839" s="36" t="str">
        <f>""</f>
        <v/>
      </c>
      <c r="W1839" s="36">
        <f t="shared" si="171"/>
        <v>1</v>
      </c>
      <c r="X1839" t="str">
        <f t="shared" si="172"/>
        <v>Inactive</v>
      </c>
      <c r="Y1839" t="str">
        <f>IF(MAIN!$H$3="Selected Year",IF(A1839=MAIN!$B$3,"Yes","No"),IF(MAIN!$H$3="Included Years",IF(D1839="Yes","Yes","No"),IF(C1839="Yes","Yes","No")))</f>
        <v>No</v>
      </c>
      <c r="Z1839" t="str">
        <f>IF(MAIN!$F$3="Project to Date",IF(AND(A1839&gt;=SETTINGS!$B$4,A1839&lt;MAIN!$B$3),"Yes",IF(AND(A1839=MAIN!$B$3,E1839&lt;=MAIN!$L$3),"Yes","No")),IF(OR(MAIN!$F$3="Full Year",MAIN!$D$3="All"),"Yes",IF(MAIN!$F$3="Monthly",IF(E1839=MAIN!$L$3,"Yes","No"),IF(E1839&lt;=MAIN!$L$3,"Yes","No"))))</f>
        <v>Yes</v>
      </c>
      <c r="AA1839" t="str">
        <f t="shared" si="173"/>
        <v>No</v>
      </c>
    </row>
    <row r="1840" spans="1:27" x14ac:dyDescent="0.3">
      <c r="A1840">
        <f>INDEX(SETTINGS!$A$15:$A$24,$B1840)</f>
        <v>2033</v>
      </c>
      <c r="B1840">
        <v>9</v>
      </c>
      <c r="C1840" t="str">
        <f>IF(AND(A1840&gt;=SETTINGS!$B$4,A1840&lt;=SETTINGS!$B$5),"Yes","No")</f>
        <v>No</v>
      </c>
      <c r="D1840" t="str">
        <f>IFERROR(INDEX(SETTINGS!$C$15:$C$24,MATCH(A1840,SETTINGS!$A$15:$A$24,0)),"No")</f>
        <v>No</v>
      </c>
      <c r="E1840">
        <v>1</v>
      </c>
      <c r="F1840" t="s">
        <v>2</v>
      </c>
      <c r="G1840">
        <v>25</v>
      </c>
      <c r="H1840" t="s">
        <v>108</v>
      </c>
      <c r="I1840" t="s">
        <v>22</v>
      </c>
      <c r="J1840" t="s">
        <v>28</v>
      </c>
      <c r="K1840" t="s">
        <v>3</v>
      </c>
      <c r="L1840" s="36">
        <f ca="1">IF(C1840&lt;&gt;"Yes",0,IF(A1840=2025,N('2025'!D25),IF(A1840=2026,N('2026'!D25),IF(A1840=2027,N('2027'!D25),IF(A1840=2028,N('2028'!D25),IF(A1840=2029,N('2029'!D25),IF(A1840=2030,N('2030'!D25),IF(A1840=2031,N('2031'!D25),IF(A1840=2032,N('2032'!D25),IF(A1840=2033,N('2033'!D25),IF(A1840=2034,N('2034'!D25),IFERROR(N(INDIRECT("'"&amp;A1840&amp;"'!D"&amp;G1840)),0))))))))))))</f>
        <v>0</v>
      </c>
      <c r="M1840" s="36">
        <f>IFERROR(IF(NOT(ISBLANK(KPI_TARGETS!$O$19)),KPI_TARGETS!$O$19,IF(NOT(ISBLANK(KPI_TARGETS!$F$19)),KPI_TARGETS!$F$19,"")),"")</f>
        <v>16</v>
      </c>
      <c r="N1840" s="36" t="str">
        <f>IFERROR(KPI_TARGETS!$E$19,"Higher is better")</f>
        <v>Higher is better</v>
      </c>
      <c r="O1840" s="37">
        <f t="shared" ca="1" si="168"/>
        <v>0</v>
      </c>
      <c r="P1840" t="str">
        <f t="shared" ca="1" si="169"/>
        <v>Red</v>
      </c>
      <c r="Q1840" s="36">
        <f t="shared" ca="1" si="170"/>
        <v>-16</v>
      </c>
      <c r="R1840" s="36" t="str">
        <f>""</f>
        <v/>
      </c>
      <c r="S1840" s="36" t="str">
        <f>""</f>
        <v/>
      </c>
      <c r="T1840" s="36" t="str">
        <f>""</f>
        <v/>
      </c>
      <c r="U1840" s="36" t="str">
        <f>""</f>
        <v/>
      </c>
      <c r="V1840" s="36" t="str">
        <f>""</f>
        <v/>
      </c>
      <c r="W1840" s="36">
        <f t="shared" si="171"/>
        <v>1</v>
      </c>
      <c r="X1840" t="str">
        <f t="shared" si="172"/>
        <v>Inactive</v>
      </c>
      <c r="Y1840" t="str">
        <f>IF(MAIN!$H$3="Selected Year",IF(A1840=MAIN!$B$3,"Yes","No"),IF(MAIN!$H$3="Included Years",IF(D1840="Yes","Yes","No"),IF(C1840="Yes","Yes","No")))</f>
        <v>No</v>
      </c>
      <c r="Z1840" t="str">
        <f>IF(MAIN!$F$3="Project to Date",IF(AND(A1840&gt;=SETTINGS!$B$4,A1840&lt;MAIN!$B$3),"Yes",IF(AND(A1840=MAIN!$B$3,E1840&lt;=MAIN!$L$3),"Yes","No")),IF(OR(MAIN!$F$3="Full Year",MAIN!$D$3="All"),"Yes",IF(MAIN!$F$3="Monthly",IF(E1840=MAIN!$L$3,"Yes","No"),IF(E1840&lt;=MAIN!$L$3,"Yes","No"))))</f>
        <v>Yes</v>
      </c>
      <c r="AA1840" t="str">
        <f t="shared" si="173"/>
        <v>No</v>
      </c>
    </row>
    <row r="1841" spans="1:27" x14ac:dyDescent="0.3">
      <c r="A1841">
        <f>INDEX(SETTINGS!$A$15:$A$24,$B1841)</f>
        <v>2033</v>
      </c>
      <c r="B1841">
        <v>9</v>
      </c>
      <c r="C1841" t="str">
        <f>IF(AND(A1841&gt;=SETTINGS!$B$4,A1841&lt;=SETTINGS!$B$5),"Yes","No")</f>
        <v>No</v>
      </c>
      <c r="D1841" t="str">
        <f>IFERROR(INDEX(SETTINGS!$C$15:$C$24,MATCH(A1841,SETTINGS!$A$15:$A$24,0)),"No")</f>
        <v>No</v>
      </c>
      <c r="E1841">
        <v>1</v>
      </c>
      <c r="F1841" t="s">
        <v>2</v>
      </c>
      <c r="G1841">
        <v>26</v>
      </c>
      <c r="H1841" t="s">
        <v>109</v>
      </c>
      <c r="I1841" t="s">
        <v>22</v>
      </c>
      <c r="J1841" t="s">
        <v>29</v>
      </c>
      <c r="K1841" t="s">
        <v>3</v>
      </c>
      <c r="L1841" s="36">
        <f ca="1">IF(C1841&lt;&gt;"Yes",0,IF(A1841=2025,N('2025'!D26),IF(A1841=2026,N('2026'!D26),IF(A1841=2027,N('2027'!D26),IF(A1841=2028,N('2028'!D26),IF(A1841=2029,N('2029'!D26),IF(A1841=2030,N('2030'!D26),IF(A1841=2031,N('2031'!D26),IF(A1841=2032,N('2032'!D26),IF(A1841=2033,N('2033'!D26),IF(A1841=2034,N('2034'!D26),IFERROR(N(INDIRECT("'"&amp;A1841&amp;"'!D"&amp;G1841)),0))))))))))))</f>
        <v>0</v>
      </c>
      <c r="M1841" s="36">
        <f>IFERROR(IF(NOT(ISBLANK(KPI_TARGETS!$O$20)),KPI_TARGETS!$O$20,IF(NOT(ISBLANK(KPI_TARGETS!$F$20)),KPI_TARGETS!$F$20,"")),"")</f>
        <v>1</v>
      </c>
      <c r="N1841" s="36" t="str">
        <f>IFERROR(KPI_TARGETS!$E$20,"Higher is better")</f>
        <v>Higher is better</v>
      </c>
      <c r="O1841" s="37">
        <f t="shared" ca="1" si="168"/>
        <v>0</v>
      </c>
      <c r="P1841" t="str">
        <f t="shared" ca="1" si="169"/>
        <v>Red</v>
      </c>
      <c r="Q1841" s="36">
        <f t="shared" ca="1" si="170"/>
        <v>-1</v>
      </c>
      <c r="R1841" s="36" t="str">
        <f>""</f>
        <v/>
      </c>
      <c r="S1841" s="36" t="str">
        <f>""</f>
        <v/>
      </c>
      <c r="T1841" s="36" t="str">
        <f>""</f>
        <v/>
      </c>
      <c r="U1841" s="36" t="str">
        <f>""</f>
        <v/>
      </c>
      <c r="V1841" s="36" t="str">
        <f>""</f>
        <v/>
      </c>
      <c r="W1841" s="36">
        <f t="shared" si="171"/>
        <v>1</v>
      </c>
      <c r="X1841" t="str">
        <f t="shared" si="172"/>
        <v>Inactive</v>
      </c>
      <c r="Y1841" t="str">
        <f>IF(MAIN!$H$3="Selected Year",IF(A1841=MAIN!$B$3,"Yes","No"),IF(MAIN!$H$3="Included Years",IF(D1841="Yes","Yes","No"),IF(C1841="Yes","Yes","No")))</f>
        <v>No</v>
      </c>
      <c r="Z1841" t="str">
        <f>IF(MAIN!$F$3="Project to Date",IF(AND(A1841&gt;=SETTINGS!$B$4,A1841&lt;MAIN!$B$3),"Yes",IF(AND(A1841=MAIN!$B$3,E1841&lt;=MAIN!$L$3),"Yes","No")),IF(OR(MAIN!$F$3="Full Year",MAIN!$D$3="All"),"Yes",IF(MAIN!$F$3="Monthly",IF(E1841=MAIN!$L$3,"Yes","No"),IF(E1841&lt;=MAIN!$L$3,"Yes","No"))))</f>
        <v>Yes</v>
      </c>
      <c r="AA1841" t="str">
        <f t="shared" si="173"/>
        <v>No</v>
      </c>
    </row>
    <row r="1842" spans="1:27" x14ac:dyDescent="0.3">
      <c r="A1842">
        <f>INDEX(SETTINGS!$A$15:$A$24,$B1842)</f>
        <v>2033</v>
      </c>
      <c r="B1842">
        <v>9</v>
      </c>
      <c r="C1842" t="str">
        <f>IF(AND(A1842&gt;=SETTINGS!$B$4,A1842&lt;=SETTINGS!$B$5),"Yes","No")</f>
        <v>No</v>
      </c>
      <c r="D1842" t="str">
        <f>IFERROR(INDEX(SETTINGS!$C$15:$C$24,MATCH(A1842,SETTINGS!$A$15:$A$24,0)),"No")</f>
        <v>No</v>
      </c>
      <c r="E1842">
        <v>1</v>
      </c>
      <c r="F1842" t="s">
        <v>2</v>
      </c>
      <c r="G1842">
        <v>28</v>
      </c>
      <c r="H1842" t="s">
        <v>110</v>
      </c>
      <c r="I1842" t="s">
        <v>30</v>
      </c>
      <c r="J1842" t="s">
        <v>31</v>
      </c>
      <c r="K1842" t="s">
        <v>3</v>
      </c>
      <c r="L1842" s="36">
        <f ca="1">IF(C1842&lt;&gt;"Yes",0,IF(A1842=2025,N('2025'!D28),IF(A1842=2026,N('2026'!D28),IF(A1842=2027,N('2027'!D28),IF(A1842=2028,N('2028'!D28),IF(A1842=2029,N('2029'!D28),IF(A1842=2030,N('2030'!D28),IF(A1842=2031,N('2031'!D28),IF(A1842=2032,N('2032'!D28),IF(A1842=2033,N('2033'!D28),IF(A1842=2034,N('2034'!D28),IFERROR(N(INDIRECT("'"&amp;A1842&amp;"'!D"&amp;G1842)),0))))))))))))</f>
        <v>0</v>
      </c>
      <c r="M1842" s="36">
        <f>IFERROR(IF(NOT(ISBLANK(KPI_TARGETS!$O$21)),KPI_TARGETS!$O$21,IF(NOT(ISBLANK(KPI_TARGETS!$F$21)),KPI_TARGETS!$F$21,"")),"")</f>
        <v>0</v>
      </c>
      <c r="N1842" s="36" t="str">
        <f>IFERROR(KPI_TARGETS!$E$21,"Higher is better")</f>
        <v>Lower is better</v>
      </c>
      <c r="O1842" s="37">
        <f t="shared" ca="1" si="168"/>
        <v>1</v>
      </c>
      <c r="P1842" t="str">
        <f t="shared" ca="1" si="169"/>
        <v>Green</v>
      </c>
      <c r="Q1842" s="36">
        <f t="shared" ca="1" si="170"/>
        <v>0</v>
      </c>
      <c r="R1842" s="36" t="str">
        <f>""</f>
        <v/>
      </c>
      <c r="S1842" s="36" t="str">
        <f>""</f>
        <v/>
      </c>
      <c r="T1842" s="36" t="str">
        <f>""</f>
        <v/>
      </c>
      <c r="U1842" s="36" t="str">
        <f>""</f>
        <v/>
      </c>
      <c r="V1842" s="36" t="str">
        <f>""</f>
        <v/>
      </c>
      <c r="W1842" s="36">
        <f t="shared" si="171"/>
        <v>1</v>
      </c>
      <c r="X1842" t="str">
        <f t="shared" si="172"/>
        <v>Inactive</v>
      </c>
      <c r="Y1842" t="str">
        <f>IF(MAIN!$H$3="Selected Year",IF(A1842=MAIN!$B$3,"Yes","No"),IF(MAIN!$H$3="Included Years",IF(D1842="Yes","Yes","No"),IF(C1842="Yes","Yes","No")))</f>
        <v>No</v>
      </c>
      <c r="Z1842" t="str">
        <f>IF(MAIN!$F$3="Project to Date",IF(AND(A1842&gt;=SETTINGS!$B$4,A1842&lt;MAIN!$B$3),"Yes",IF(AND(A1842=MAIN!$B$3,E1842&lt;=MAIN!$L$3),"Yes","No")),IF(OR(MAIN!$F$3="Full Year",MAIN!$D$3="All"),"Yes",IF(MAIN!$F$3="Monthly",IF(E1842=MAIN!$L$3,"Yes","No"),IF(E1842&lt;=MAIN!$L$3,"Yes","No"))))</f>
        <v>Yes</v>
      </c>
      <c r="AA1842" t="str">
        <f t="shared" si="173"/>
        <v>No</v>
      </c>
    </row>
    <row r="1843" spans="1:27" x14ac:dyDescent="0.3">
      <c r="A1843">
        <f>INDEX(SETTINGS!$A$15:$A$24,$B1843)</f>
        <v>2033</v>
      </c>
      <c r="B1843">
        <v>9</v>
      </c>
      <c r="C1843" t="str">
        <f>IF(AND(A1843&gt;=SETTINGS!$B$4,A1843&lt;=SETTINGS!$B$5),"Yes","No")</f>
        <v>No</v>
      </c>
      <c r="D1843" t="str">
        <f>IFERROR(INDEX(SETTINGS!$C$15:$C$24,MATCH(A1843,SETTINGS!$A$15:$A$24,0)),"No")</f>
        <v>No</v>
      </c>
      <c r="E1843">
        <v>1</v>
      </c>
      <c r="F1843" t="s">
        <v>2</v>
      </c>
      <c r="G1843">
        <v>29</v>
      </c>
      <c r="H1843" t="s">
        <v>111</v>
      </c>
      <c r="I1843" t="s">
        <v>30</v>
      </c>
      <c r="J1843" t="s">
        <v>32</v>
      </c>
      <c r="K1843" t="s">
        <v>3</v>
      </c>
      <c r="L1843" s="36">
        <f ca="1">IF(C1843&lt;&gt;"Yes",0,IF(A1843=2025,N('2025'!D29),IF(A1843=2026,N('2026'!D29),IF(A1843=2027,N('2027'!D29),IF(A1843=2028,N('2028'!D29),IF(A1843=2029,N('2029'!D29),IF(A1843=2030,N('2030'!D29),IF(A1843=2031,N('2031'!D29),IF(A1843=2032,N('2032'!D29),IF(A1843=2033,N('2033'!D29),IF(A1843=2034,N('2034'!D29),IFERROR(N(INDIRECT("'"&amp;A1843&amp;"'!D"&amp;G1843)),0))))))))))))</f>
        <v>0</v>
      </c>
      <c r="M1843" s="36">
        <f>IFERROR(IF(NOT(ISBLANK(KPI_TARGETS!$O$22)),KPI_TARGETS!$O$22,IF(NOT(ISBLANK(KPI_TARGETS!$F$22)),KPI_TARGETS!$F$22,"")),"")</f>
        <v>1</v>
      </c>
      <c r="N1843" s="36" t="str">
        <f>IFERROR(KPI_TARGETS!$E$22,"Higher is better")</f>
        <v>Higher is better</v>
      </c>
      <c r="O1843" s="37">
        <f t="shared" ca="1" si="168"/>
        <v>0</v>
      </c>
      <c r="P1843" t="str">
        <f t="shared" ca="1" si="169"/>
        <v>Red</v>
      </c>
      <c r="Q1843" s="36">
        <f t="shared" ca="1" si="170"/>
        <v>-1</v>
      </c>
      <c r="R1843" s="36" t="str">
        <f>""</f>
        <v/>
      </c>
      <c r="S1843" s="36" t="str">
        <f>""</f>
        <v/>
      </c>
      <c r="T1843" s="36" t="str">
        <f>""</f>
        <v/>
      </c>
      <c r="U1843" s="36" t="str">
        <f>""</f>
        <v/>
      </c>
      <c r="V1843" s="36" t="str">
        <f>""</f>
        <v/>
      </c>
      <c r="W1843" s="36">
        <f t="shared" si="171"/>
        <v>1</v>
      </c>
      <c r="X1843" t="str">
        <f t="shared" si="172"/>
        <v>Inactive</v>
      </c>
      <c r="Y1843" t="str">
        <f>IF(MAIN!$H$3="Selected Year",IF(A1843=MAIN!$B$3,"Yes","No"),IF(MAIN!$H$3="Included Years",IF(D1843="Yes","Yes","No"),IF(C1843="Yes","Yes","No")))</f>
        <v>No</v>
      </c>
      <c r="Z1843" t="str">
        <f>IF(MAIN!$F$3="Project to Date",IF(AND(A1843&gt;=SETTINGS!$B$4,A1843&lt;MAIN!$B$3),"Yes",IF(AND(A1843=MAIN!$B$3,E1843&lt;=MAIN!$L$3),"Yes","No")),IF(OR(MAIN!$F$3="Full Year",MAIN!$D$3="All"),"Yes",IF(MAIN!$F$3="Monthly",IF(E1843=MAIN!$L$3,"Yes","No"),IF(E1843&lt;=MAIN!$L$3,"Yes","No"))))</f>
        <v>Yes</v>
      </c>
      <c r="AA1843" t="str">
        <f t="shared" si="173"/>
        <v>No</v>
      </c>
    </row>
    <row r="1844" spans="1:27" x14ac:dyDescent="0.3">
      <c r="A1844">
        <f>INDEX(SETTINGS!$A$15:$A$24,$B1844)</f>
        <v>2033</v>
      </c>
      <c r="B1844">
        <v>9</v>
      </c>
      <c r="C1844" t="str">
        <f>IF(AND(A1844&gt;=SETTINGS!$B$4,A1844&lt;=SETTINGS!$B$5),"Yes","No")</f>
        <v>No</v>
      </c>
      <c r="D1844" t="str">
        <f>IFERROR(INDEX(SETTINGS!$C$15:$C$24,MATCH(A1844,SETTINGS!$A$15:$A$24,0)),"No")</f>
        <v>No</v>
      </c>
      <c r="E1844">
        <v>1</v>
      </c>
      <c r="F1844" t="s">
        <v>2</v>
      </c>
      <c r="G1844">
        <v>30</v>
      </c>
      <c r="H1844" t="s">
        <v>112</v>
      </c>
      <c r="I1844" t="s">
        <v>30</v>
      </c>
      <c r="J1844" t="s">
        <v>33</v>
      </c>
      <c r="K1844" t="s">
        <v>34</v>
      </c>
      <c r="L1844" s="36">
        <f ca="1">IF(C1844&lt;&gt;"Yes",0,IF(A1844=2025,N('2025'!D30),IF(A1844=2026,N('2026'!D30),IF(A1844=2027,N('2027'!D30),IF(A1844=2028,N('2028'!D30),IF(A1844=2029,N('2029'!D30),IF(A1844=2030,N('2030'!D30),IF(A1844=2031,N('2031'!D30),IF(A1844=2032,N('2032'!D30),IF(A1844=2033,N('2033'!D30),IF(A1844=2034,N('2034'!D30),IFERROR(N(INDIRECT("'"&amp;A1844&amp;"'!D"&amp;G1844)),0))))))))))))</f>
        <v>0</v>
      </c>
      <c r="M1844" s="36">
        <f>IFERROR(IF(NOT(ISBLANK(KPI_TARGETS!$O$23)),KPI_TARGETS!$O$23,IF(NOT(ISBLANK(KPI_TARGETS!$F$23)),KPI_TARGETS!$F$23,"")),"")</f>
        <v>1</v>
      </c>
      <c r="N1844" s="36" t="str">
        <f>IFERROR(KPI_TARGETS!$E$23,"Higher is better")</f>
        <v>Higher is better</v>
      </c>
      <c r="O1844" s="37">
        <f t="shared" ca="1" si="168"/>
        <v>0</v>
      </c>
      <c r="P1844" t="str">
        <f t="shared" ca="1" si="169"/>
        <v>Red</v>
      </c>
      <c r="Q1844" s="36">
        <f t="shared" ca="1" si="170"/>
        <v>-1</v>
      </c>
      <c r="R1844" s="36" t="str">
        <f>""</f>
        <v/>
      </c>
      <c r="S1844" s="36" t="str">
        <f>""</f>
        <v/>
      </c>
      <c r="T1844" s="36" t="str">
        <f>""</f>
        <v/>
      </c>
      <c r="U1844" s="36" t="str">
        <f>""</f>
        <v/>
      </c>
      <c r="V1844" s="36" t="str">
        <f>""</f>
        <v/>
      </c>
      <c r="W1844" s="36">
        <f t="shared" si="171"/>
        <v>1</v>
      </c>
      <c r="X1844" t="str">
        <f t="shared" si="172"/>
        <v>Inactive</v>
      </c>
      <c r="Y1844" t="str">
        <f>IF(MAIN!$H$3="Selected Year",IF(A1844=MAIN!$B$3,"Yes","No"),IF(MAIN!$H$3="Included Years",IF(D1844="Yes","Yes","No"),IF(C1844="Yes","Yes","No")))</f>
        <v>No</v>
      </c>
      <c r="Z1844" t="str">
        <f>IF(MAIN!$F$3="Project to Date",IF(AND(A1844&gt;=SETTINGS!$B$4,A1844&lt;MAIN!$B$3),"Yes",IF(AND(A1844=MAIN!$B$3,E1844&lt;=MAIN!$L$3),"Yes","No")),IF(OR(MAIN!$F$3="Full Year",MAIN!$D$3="All"),"Yes",IF(MAIN!$F$3="Monthly",IF(E1844=MAIN!$L$3,"Yes","No"),IF(E1844&lt;=MAIN!$L$3,"Yes","No"))))</f>
        <v>Yes</v>
      </c>
      <c r="AA1844" t="str">
        <f t="shared" si="173"/>
        <v>No</v>
      </c>
    </row>
    <row r="1845" spans="1:27" x14ac:dyDescent="0.3">
      <c r="A1845">
        <f>INDEX(SETTINGS!$A$15:$A$24,$B1845)</f>
        <v>2033</v>
      </c>
      <c r="B1845">
        <v>9</v>
      </c>
      <c r="C1845" t="str">
        <f>IF(AND(A1845&gt;=SETTINGS!$B$4,A1845&lt;=SETTINGS!$B$5),"Yes","No")</f>
        <v>No</v>
      </c>
      <c r="D1845" t="str">
        <f>IFERROR(INDEX(SETTINGS!$C$15:$C$24,MATCH(A1845,SETTINGS!$A$15:$A$24,0)),"No")</f>
        <v>No</v>
      </c>
      <c r="E1845">
        <v>2</v>
      </c>
      <c r="F1845" t="s">
        <v>35</v>
      </c>
      <c r="G1845">
        <v>33</v>
      </c>
      <c r="H1845" t="s">
        <v>88</v>
      </c>
      <c r="I1845" t="s">
        <v>89</v>
      </c>
      <c r="J1845" t="s">
        <v>10</v>
      </c>
      <c r="K1845" t="s">
        <v>3</v>
      </c>
      <c r="L1845" s="36">
        <f ca="1">IF(C1845&lt;&gt;"Yes",0,IF(A1845=2025,N('2025'!D33),IF(A1845=2026,N('2026'!D33),IF(A1845=2027,N('2027'!D33),IF(A1845=2028,N('2028'!D33),IF(A1845=2029,N('2029'!D33),IF(A1845=2030,N('2030'!D33),IF(A1845=2031,N('2031'!D33),IF(A1845=2032,N('2032'!D33),IF(A1845=2033,N('2033'!D33),IF(A1845=2034,N('2034'!D33),IFERROR(N(INDIRECT("'"&amp;A1845&amp;"'!D"&amp;G1845)),0))))))))))))</f>
        <v>0</v>
      </c>
      <c r="M1845" s="36">
        <f>IFERROR(IF(NOT(ISBLANK(KPI_TARGETS!$O$5)),KPI_TARGETS!$O$5,IF(NOT(ISBLANK(KPI_TARGETS!$F$5)),KPI_TARGETS!$F$5,"")),"")</f>
        <v>104</v>
      </c>
      <c r="N1845" s="36" t="str">
        <f>IFERROR(KPI_TARGETS!$E$5,"Higher is better")</f>
        <v>Higher is better</v>
      </c>
      <c r="O1845" s="37">
        <f t="shared" ca="1" si="168"/>
        <v>0</v>
      </c>
      <c r="P1845" t="str">
        <f t="shared" ca="1" si="169"/>
        <v>Red</v>
      </c>
      <c r="Q1845" s="36">
        <f t="shared" ca="1" si="170"/>
        <v>-104</v>
      </c>
      <c r="R1845" s="36" t="str">
        <f>""</f>
        <v/>
      </c>
      <c r="S1845" s="36" t="str">
        <f>""</f>
        <v/>
      </c>
      <c r="T1845" s="36" t="str">
        <f>""</f>
        <v/>
      </c>
      <c r="U1845" s="36" t="str">
        <f>""</f>
        <v/>
      </c>
      <c r="V1845" s="36" t="str">
        <f>""</f>
        <v/>
      </c>
      <c r="W1845" s="36">
        <f t="shared" si="171"/>
        <v>1</v>
      </c>
      <c r="X1845" t="str">
        <f t="shared" si="172"/>
        <v>Inactive</v>
      </c>
      <c r="Y1845" t="str">
        <f>IF(MAIN!$H$3="Selected Year",IF(A1845=MAIN!$B$3,"Yes","No"),IF(MAIN!$H$3="Included Years",IF(D1845="Yes","Yes","No"),IF(C1845="Yes","Yes","No")))</f>
        <v>No</v>
      </c>
      <c r="Z1845" t="str">
        <f>IF(MAIN!$F$3="Project to Date",IF(AND(A1845&gt;=SETTINGS!$B$4,A1845&lt;MAIN!$B$3),"Yes",IF(AND(A1845=MAIN!$B$3,E1845&lt;=MAIN!$L$3),"Yes","No")),IF(OR(MAIN!$F$3="Full Year",MAIN!$D$3="All"),"Yes",IF(MAIN!$F$3="Monthly",IF(E1845=MAIN!$L$3,"Yes","No"),IF(E1845&lt;=MAIN!$L$3,"Yes","No"))))</f>
        <v>Yes</v>
      </c>
      <c r="AA1845" t="str">
        <f t="shared" si="173"/>
        <v>No</v>
      </c>
    </row>
    <row r="1846" spans="1:27" x14ac:dyDescent="0.3">
      <c r="A1846">
        <f>INDEX(SETTINGS!$A$15:$A$24,$B1846)</f>
        <v>2033</v>
      </c>
      <c r="B1846">
        <v>9</v>
      </c>
      <c r="C1846" t="str">
        <f>IF(AND(A1846&gt;=SETTINGS!$B$4,A1846&lt;=SETTINGS!$B$5),"Yes","No")</f>
        <v>No</v>
      </c>
      <c r="D1846" t="str">
        <f>IFERROR(INDEX(SETTINGS!$C$15:$C$24,MATCH(A1846,SETTINGS!$A$15:$A$24,0)),"No")</f>
        <v>No</v>
      </c>
      <c r="E1846">
        <v>2</v>
      </c>
      <c r="F1846" t="s">
        <v>35</v>
      </c>
      <c r="G1846">
        <v>34</v>
      </c>
      <c r="H1846" t="s">
        <v>91</v>
      </c>
      <c r="I1846" t="s">
        <v>89</v>
      </c>
      <c r="J1846" t="s">
        <v>11</v>
      </c>
      <c r="K1846" t="s">
        <v>12</v>
      </c>
      <c r="L1846" s="36">
        <f ca="1">IF(C1846&lt;&gt;"Yes",0,IF(A1846=2025,N('2025'!D34),IF(A1846=2026,N('2026'!D34),IF(A1846=2027,N('2027'!D34),IF(A1846=2028,N('2028'!D34),IF(A1846=2029,N('2029'!D34),IF(A1846=2030,N('2030'!D34),IF(A1846=2031,N('2031'!D34),IF(A1846=2032,N('2032'!D34),IF(A1846=2033,N('2033'!D34),IF(A1846=2034,N('2034'!D34),IFERROR(N(INDIRECT("'"&amp;A1846&amp;"'!D"&amp;G1846)),0))))))))))))</f>
        <v>0</v>
      </c>
      <c r="M1846" s="36">
        <f>IFERROR(IF(NOT(ISBLANK(KPI_TARGETS!$O$6)),KPI_TARGETS!$O$6,IF(NOT(ISBLANK(KPI_TARGETS!$F$6)),KPI_TARGETS!$F$6,"")),"")</f>
        <v>4000</v>
      </c>
      <c r="N1846" s="36" t="str">
        <f>IFERROR(KPI_TARGETS!$E$6,"Higher is better")</f>
        <v>Higher is better</v>
      </c>
      <c r="O1846" s="37">
        <f t="shared" ca="1" si="168"/>
        <v>0</v>
      </c>
      <c r="P1846" t="str">
        <f t="shared" ca="1" si="169"/>
        <v>Red</v>
      </c>
      <c r="Q1846" s="36">
        <f t="shared" ca="1" si="170"/>
        <v>-4000</v>
      </c>
      <c r="R1846" s="36" t="str">
        <f>""</f>
        <v/>
      </c>
      <c r="S1846" s="36" t="str">
        <f>""</f>
        <v/>
      </c>
      <c r="T1846" s="36" t="str">
        <f>""</f>
        <v/>
      </c>
      <c r="U1846" s="36" t="str">
        <f>""</f>
        <v/>
      </c>
      <c r="V1846" s="36" t="str">
        <f>""</f>
        <v/>
      </c>
      <c r="W1846" s="36">
        <f t="shared" si="171"/>
        <v>1</v>
      </c>
      <c r="X1846" t="str">
        <f t="shared" si="172"/>
        <v>Inactive</v>
      </c>
      <c r="Y1846" t="str">
        <f>IF(MAIN!$H$3="Selected Year",IF(A1846=MAIN!$B$3,"Yes","No"),IF(MAIN!$H$3="Included Years",IF(D1846="Yes","Yes","No"),IF(C1846="Yes","Yes","No")))</f>
        <v>No</v>
      </c>
      <c r="Z1846" t="str">
        <f>IF(MAIN!$F$3="Project to Date",IF(AND(A1846&gt;=SETTINGS!$B$4,A1846&lt;MAIN!$B$3),"Yes",IF(AND(A1846=MAIN!$B$3,E1846&lt;=MAIN!$L$3),"Yes","No")),IF(OR(MAIN!$F$3="Full Year",MAIN!$D$3="All"),"Yes",IF(MAIN!$F$3="Monthly",IF(E1846=MAIN!$L$3,"Yes","No"),IF(E1846&lt;=MAIN!$L$3,"Yes","No"))))</f>
        <v>Yes</v>
      </c>
      <c r="AA1846" t="str">
        <f t="shared" si="173"/>
        <v>No</v>
      </c>
    </row>
    <row r="1847" spans="1:27" x14ac:dyDescent="0.3">
      <c r="A1847">
        <f>INDEX(SETTINGS!$A$15:$A$24,$B1847)</f>
        <v>2033</v>
      </c>
      <c r="B1847">
        <v>9</v>
      </c>
      <c r="C1847" t="str">
        <f>IF(AND(A1847&gt;=SETTINGS!$B$4,A1847&lt;=SETTINGS!$B$5),"Yes","No")</f>
        <v>No</v>
      </c>
      <c r="D1847" t="str">
        <f>IFERROR(INDEX(SETTINGS!$C$15:$C$24,MATCH(A1847,SETTINGS!$A$15:$A$24,0)),"No")</f>
        <v>No</v>
      </c>
      <c r="E1847">
        <v>2</v>
      </c>
      <c r="F1847" t="s">
        <v>35</v>
      </c>
      <c r="G1847">
        <v>35</v>
      </c>
      <c r="H1847" t="s">
        <v>93</v>
      </c>
      <c r="I1847" t="s">
        <v>89</v>
      </c>
      <c r="J1847" t="s">
        <v>13</v>
      </c>
      <c r="K1847" t="s">
        <v>14</v>
      </c>
      <c r="L1847" s="36">
        <f ca="1">IF(C1847&lt;&gt;"Yes",0,IF(A1847=2025,N('2025'!D35),IF(A1847=2026,N('2026'!D35),IF(A1847=2027,N('2027'!D35),IF(A1847=2028,N('2028'!D35),IF(A1847=2029,N('2029'!D35),IF(A1847=2030,N('2030'!D35),IF(A1847=2031,N('2031'!D35),IF(A1847=2032,N('2032'!D35),IF(A1847=2033,N('2033'!D35),IF(A1847=2034,N('2034'!D35),IFERROR(N(INDIRECT("'"&amp;A1847&amp;"'!D"&amp;G1847)),0))))))))))))</f>
        <v>0</v>
      </c>
      <c r="M1847" s="36">
        <f>IFERROR(IF(NOT(ISBLANK(KPI_TARGETS!$O$7)),KPI_TARGETS!$O$7,IF(NOT(ISBLANK(KPI_TARGETS!$F$7)),KPI_TARGETS!$F$7,"")),"")</f>
        <v>8000</v>
      </c>
      <c r="N1847" s="36" t="str">
        <f>IFERROR(KPI_TARGETS!$E$7,"Higher is better")</f>
        <v>Higher is better</v>
      </c>
      <c r="O1847" s="37">
        <f t="shared" ca="1" si="168"/>
        <v>0</v>
      </c>
      <c r="P1847" t="str">
        <f t="shared" ca="1" si="169"/>
        <v>Red</v>
      </c>
      <c r="Q1847" s="36">
        <f t="shared" ca="1" si="170"/>
        <v>-8000</v>
      </c>
      <c r="R1847" s="36" t="str">
        <f>""</f>
        <v/>
      </c>
      <c r="S1847" s="36" t="str">
        <f>""</f>
        <v/>
      </c>
      <c r="T1847" s="36" t="str">
        <f>""</f>
        <v/>
      </c>
      <c r="U1847" s="36" t="str">
        <f>""</f>
        <v/>
      </c>
      <c r="V1847" s="36" t="str">
        <f>""</f>
        <v/>
      </c>
      <c r="W1847" s="36">
        <f t="shared" si="171"/>
        <v>1</v>
      </c>
      <c r="X1847" t="str">
        <f t="shared" si="172"/>
        <v>Inactive</v>
      </c>
      <c r="Y1847" t="str">
        <f>IF(MAIN!$H$3="Selected Year",IF(A1847=MAIN!$B$3,"Yes","No"),IF(MAIN!$H$3="Included Years",IF(D1847="Yes","Yes","No"),IF(C1847="Yes","Yes","No")))</f>
        <v>No</v>
      </c>
      <c r="Z1847" t="str">
        <f>IF(MAIN!$F$3="Project to Date",IF(AND(A1847&gt;=SETTINGS!$B$4,A1847&lt;MAIN!$B$3),"Yes",IF(AND(A1847=MAIN!$B$3,E1847&lt;=MAIN!$L$3),"Yes","No")),IF(OR(MAIN!$F$3="Full Year",MAIN!$D$3="All"),"Yes",IF(MAIN!$F$3="Monthly",IF(E1847=MAIN!$L$3,"Yes","No"),IF(E1847&lt;=MAIN!$L$3,"Yes","No"))))</f>
        <v>Yes</v>
      </c>
      <c r="AA1847" t="str">
        <f t="shared" si="173"/>
        <v>No</v>
      </c>
    </row>
    <row r="1848" spans="1:27" x14ac:dyDescent="0.3">
      <c r="A1848">
        <f>INDEX(SETTINGS!$A$15:$A$24,$B1848)</f>
        <v>2033</v>
      </c>
      <c r="B1848">
        <v>9</v>
      </c>
      <c r="C1848" t="str">
        <f>IF(AND(A1848&gt;=SETTINGS!$B$4,A1848&lt;=SETTINGS!$B$5),"Yes","No")</f>
        <v>No</v>
      </c>
      <c r="D1848" t="str">
        <f>IFERROR(INDEX(SETTINGS!$C$15:$C$24,MATCH(A1848,SETTINGS!$A$15:$A$24,0)),"No")</f>
        <v>No</v>
      </c>
      <c r="E1848">
        <v>2</v>
      </c>
      <c r="F1848" t="s">
        <v>35</v>
      </c>
      <c r="G1848">
        <v>37</v>
      </c>
      <c r="H1848" t="s">
        <v>95</v>
      </c>
      <c r="I1848" t="s">
        <v>15</v>
      </c>
      <c r="J1848" t="s">
        <v>16</v>
      </c>
      <c r="K1848" t="s">
        <v>3</v>
      </c>
      <c r="L1848" s="36">
        <f ca="1">IF(C1848&lt;&gt;"Yes",0,IF(A1848=2025,N('2025'!D37),IF(A1848=2026,N('2026'!D37),IF(A1848=2027,N('2027'!D37),IF(A1848=2028,N('2028'!D37),IF(A1848=2029,N('2029'!D37),IF(A1848=2030,N('2030'!D37),IF(A1848=2031,N('2031'!D37),IF(A1848=2032,N('2032'!D37),IF(A1848=2033,N('2033'!D37),IF(A1848=2034,N('2034'!D37),IFERROR(N(INDIRECT("'"&amp;A1848&amp;"'!D"&amp;G1848)),0))))))))))))</f>
        <v>0</v>
      </c>
      <c r="M1848" s="36">
        <f>IFERROR(IF(NOT(ISBLANK(KPI_TARGETS!$O$8)),KPI_TARGETS!$O$8,IF(NOT(ISBLANK(KPI_TARGETS!$F$8)),KPI_TARGETS!$F$8,"")),"")</f>
        <v>0</v>
      </c>
      <c r="N1848" s="36" t="str">
        <f>IFERROR(KPI_TARGETS!$E$8,"Higher is better")</f>
        <v>Lower is better</v>
      </c>
      <c r="O1848" s="37">
        <f t="shared" ca="1" si="168"/>
        <v>1</v>
      </c>
      <c r="P1848" t="str">
        <f t="shared" ca="1" si="169"/>
        <v>Green</v>
      </c>
      <c r="Q1848" s="36">
        <f t="shared" ca="1" si="170"/>
        <v>0</v>
      </c>
      <c r="R1848" s="36" t="str">
        <f>""</f>
        <v/>
      </c>
      <c r="S1848" s="36" t="str">
        <f>""</f>
        <v/>
      </c>
      <c r="T1848" s="36" t="str">
        <f>""</f>
        <v/>
      </c>
      <c r="U1848" s="36" t="str">
        <f>""</f>
        <v/>
      </c>
      <c r="V1848" s="36" t="str">
        <f>""</f>
        <v/>
      </c>
      <c r="W1848" s="36">
        <f t="shared" si="171"/>
        <v>1</v>
      </c>
      <c r="X1848" t="str">
        <f t="shared" si="172"/>
        <v>Inactive</v>
      </c>
      <c r="Y1848" t="str">
        <f>IF(MAIN!$H$3="Selected Year",IF(A1848=MAIN!$B$3,"Yes","No"),IF(MAIN!$H$3="Included Years",IF(D1848="Yes","Yes","No"),IF(C1848="Yes","Yes","No")))</f>
        <v>No</v>
      </c>
      <c r="Z1848" t="str">
        <f>IF(MAIN!$F$3="Project to Date",IF(AND(A1848&gt;=SETTINGS!$B$4,A1848&lt;MAIN!$B$3),"Yes",IF(AND(A1848=MAIN!$B$3,E1848&lt;=MAIN!$L$3),"Yes","No")),IF(OR(MAIN!$F$3="Full Year",MAIN!$D$3="All"),"Yes",IF(MAIN!$F$3="Monthly",IF(E1848=MAIN!$L$3,"Yes","No"),IF(E1848&lt;=MAIN!$L$3,"Yes","No"))))</f>
        <v>Yes</v>
      </c>
      <c r="AA1848" t="str">
        <f t="shared" si="173"/>
        <v>No</v>
      </c>
    </row>
    <row r="1849" spans="1:27" x14ac:dyDescent="0.3">
      <c r="A1849">
        <f>INDEX(SETTINGS!$A$15:$A$24,$B1849)</f>
        <v>2033</v>
      </c>
      <c r="B1849">
        <v>9</v>
      </c>
      <c r="C1849" t="str">
        <f>IF(AND(A1849&gt;=SETTINGS!$B$4,A1849&lt;=SETTINGS!$B$5),"Yes","No")</f>
        <v>No</v>
      </c>
      <c r="D1849" t="str">
        <f>IFERROR(INDEX(SETTINGS!$C$15:$C$24,MATCH(A1849,SETTINGS!$A$15:$A$24,0)),"No")</f>
        <v>No</v>
      </c>
      <c r="E1849">
        <v>2</v>
      </c>
      <c r="F1849" t="s">
        <v>35</v>
      </c>
      <c r="G1849">
        <v>38</v>
      </c>
      <c r="H1849" t="s">
        <v>97</v>
      </c>
      <c r="I1849" t="s">
        <v>15</v>
      </c>
      <c r="J1849" t="s">
        <v>17</v>
      </c>
      <c r="K1849" t="s">
        <v>3</v>
      </c>
      <c r="L1849" s="36">
        <f ca="1">IF(C1849&lt;&gt;"Yes",0,IF(A1849=2025,N('2025'!D38),IF(A1849=2026,N('2026'!D38),IF(A1849=2027,N('2027'!D38),IF(A1849=2028,N('2028'!D38),IF(A1849=2029,N('2029'!D38),IF(A1849=2030,N('2030'!D38),IF(A1849=2031,N('2031'!D38),IF(A1849=2032,N('2032'!D38),IF(A1849=2033,N('2033'!D38),IF(A1849=2034,N('2034'!D38),IFERROR(N(INDIRECT("'"&amp;A1849&amp;"'!D"&amp;G1849)),0))))))))))))</f>
        <v>0</v>
      </c>
      <c r="M1849" s="36">
        <f>IFERROR(IF(NOT(ISBLANK(KPI_TARGETS!$O$9)),KPI_TARGETS!$O$9,IF(NOT(ISBLANK(KPI_TARGETS!$F$9)),KPI_TARGETS!$F$9,"")),"")</f>
        <v>0</v>
      </c>
      <c r="N1849" s="36" t="str">
        <f>IFERROR(KPI_TARGETS!$E$9,"Higher is better")</f>
        <v>Higher is better</v>
      </c>
      <c r="O1849" s="37" t="str">
        <f t="shared" ca="1" si="168"/>
        <v/>
      </c>
      <c r="P1849" t="str">
        <f t="shared" ca="1" si="169"/>
        <v>Green</v>
      </c>
      <c r="Q1849" s="36">
        <f t="shared" ca="1" si="170"/>
        <v>0</v>
      </c>
      <c r="R1849" s="36" t="str">
        <f>""</f>
        <v/>
      </c>
      <c r="S1849" s="36" t="str">
        <f>""</f>
        <v/>
      </c>
      <c r="T1849" s="36" t="str">
        <f>""</f>
        <v/>
      </c>
      <c r="U1849" s="36" t="str">
        <f>""</f>
        <v/>
      </c>
      <c r="V1849" s="36" t="str">
        <f>""</f>
        <v/>
      </c>
      <c r="W1849" s="36">
        <f t="shared" si="171"/>
        <v>1</v>
      </c>
      <c r="X1849" t="str">
        <f t="shared" si="172"/>
        <v>Inactive</v>
      </c>
      <c r="Y1849" t="str">
        <f>IF(MAIN!$H$3="Selected Year",IF(A1849=MAIN!$B$3,"Yes","No"),IF(MAIN!$H$3="Included Years",IF(D1849="Yes","Yes","No"),IF(C1849="Yes","Yes","No")))</f>
        <v>No</v>
      </c>
      <c r="Z1849" t="str">
        <f>IF(MAIN!$F$3="Project to Date",IF(AND(A1849&gt;=SETTINGS!$B$4,A1849&lt;MAIN!$B$3),"Yes",IF(AND(A1849=MAIN!$B$3,E1849&lt;=MAIN!$L$3),"Yes","No")),IF(OR(MAIN!$F$3="Full Year",MAIN!$D$3="All"),"Yes",IF(MAIN!$F$3="Monthly",IF(E1849=MAIN!$L$3,"Yes","No"),IF(E1849&lt;=MAIN!$L$3,"Yes","No"))))</f>
        <v>Yes</v>
      </c>
      <c r="AA1849" t="str">
        <f t="shared" si="173"/>
        <v>No</v>
      </c>
    </row>
    <row r="1850" spans="1:27" x14ac:dyDescent="0.3">
      <c r="A1850">
        <f>INDEX(SETTINGS!$A$15:$A$24,$B1850)</f>
        <v>2033</v>
      </c>
      <c r="B1850">
        <v>9</v>
      </c>
      <c r="C1850" t="str">
        <f>IF(AND(A1850&gt;=SETTINGS!$B$4,A1850&lt;=SETTINGS!$B$5),"Yes","No")</f>
        <v>No</v>
      </c>
      <c r="D1850" t="str">
        <f>IFERROR(INDEX(SETTINGS!$C$15:$C$24,MATCH(A1850,SETTINGS!$A$15:$A$24,0)),"No")</f>
        <v>No</v>
      </c>
      <c r="E1850">
        <v>2</v>
      </c>
      <c r="F1850" t="s">
        <v>35</v>
      </c>
      <c r="G1850">
        <v>39</v>
      </c>
      <c r="H1850" t="s">
        <v>99</v>
      </c>
      <c r="I1850" t="s">
        <v>15</v>
      </c>
      <c r="J1850" t="s">
        <v>18</v>
      </c>
      <c r="K1850" t="s">
        <v>3</v>
      </c>
      <c r="L1850" s="36">
        <f ca="1">IF(C1850&lt;&gt;"Yes",0,IF(A1850=2025,N('2025'!D39),IF(A1850=2026,N('2026'!D39),IF(A1850=2027,N('2027'!D39),IF(A1850=2028,N('2028'!D39),IF(A1850=2029,N('2029'!D39),IF(A1850=2030,N('2030'!D39),IF(A1850=2031,N('2031'!D39),IF(A1850=2032,N('2032'!D39),IF(A1850=2033,N('2033'!D39),IF(A1850=2034,N('2034'!D39),IFERROR(N(INDIRECT("'"&amp;A1850&amp;"'!D"&amp;G1850)),0))))))))))))</f>
        <v>0</v>
      </c>
      <c r="M1850" s="36">
        <f>IFERROR(IF(NOT(ISBLANK(KPI_TARGETS!$O$10)),KPI_TARGETS!$O$10,IF(NOT(ISBLANK(KPI_TARGETS!$F$10)),KPI_TARGETS!$F$10,"")),"")</f>
        <v>0</v>
      </c>
      <c r="N1850" s="36" t="str">
        <f>IFERROR(KPI_TARGETS!$E$10,"Higher is better")</f>
        <v>Lower is better</v>
      </c>
      <c r="O1850" s="37">
        <f t="shared" ca="1" si="168"/>
        <v>1</v>
      </c>
      <c r="P1850" t="str">
        <f t="shared" ca="1" si="169"/>
        <v>Green</v>
      </c>
      <c r="Q1850" s="36">
        <f t="shared" ca="1" si="170"/>
        <v>0</v>
      </c>
      <c r="R1850" s="36" t="str">
        <f>""</f>
        <v/>
      </c>
      <c r="S1850" s="36" t="str">
        <f>""</f>
        <v/>
      </c>
      <c r="T1850" s="36" t="str">
        <f>""</f>
        <v/>
      </c>
      <c r="U1850" s="36" t="str">
        <f>""</f>
        <v/>
      </c>
      <c r="V1850" s="36" t="str">
        <f>""</f>
        <v/>
      </c>
      <c r="W1850" s="36">
        <f t="shared" si="171"/>
        <v>1</v>
      </c>
      <c r="X1850" t="str">
        <f t="shared" si="172"/>
        <v>Inactive</v>
      </c>
      <c r="Y1850" t="str">
        <f>IF(MAIN!$H$3="Selected Year",IF(A1850=MAIN!$B$3,"Yes","No"),IF(MAIN!$H$3="Included Years",IF(D1850="Yes","Yes","No"),IF(C1850="Yes","Yes","No")))</f>
        <v>No</v>
      </c>
      <c r="Z1850" t="str">
        <f>IF(MAIN!$F$3="Project to Date",IF(AND(A1850&gt;=SETTINGS!$B$4,A1850&lt;MAIN!$B$3),"Yes",IF(AND(A1850=MAIN!$B$3,E1850&lt;=MAIN!$L$3),"Yes","No")),IF(OR(MAIN!$F$3="Full Year",MAIN!$D$3="All"),"Yes",IF(MAIN!$F$3="Monthly",IF(E1850=MAIN!$L$3,"Yes","No"),IF(E1850&lt;=MAIN!$L$3,"Yes","No"))))</f>
        <v>Yes</v>
      </c>
      <c r="AA1850" t="str">
        <f t="shared" si="173"/>
        <v>No</v>
      </c>
    </row>
    <row r="1851" spans="1:27" x14ac:dyDescent="0.3">
      <c r="A1851">
        <f>INDEX(SETTINGS!$A$15:$A$24,$B1851)</f>
        <v>2033</v>
      </c>
      <c r="B1851">
        <v>9</v>
      </c>
      <c r="C1851" t="str">
        <f>IF(AND(A1851&gt;=SETTINGS!$B$4,A1851&lt;=SETTINGS!$B$5),"Yes","No")</f>
        <v>No</v>
      </c>
      <c r="D1851" t="str">
        <f>IFERROR(INDEX(SETTINGS!$C$15:$C$24,MATCH(A1851,SETTINGS!$A$15:$A$24,0)),"No")</f>
        <v>No</v>
      </c>
      <c r="E1851">
        <v>2</v>
      </c>
      <c r="F1851" t="s">
        <v>35</v>
      </c>
      <c r="G1851">
        <v>40</v>
      </c>
      <c r="H1851" t="s">
        <v>100</v>
      </c>
      <c r="I1851" t="s">
        <v>15</v>
      </c>
      <c r="J1851" t="s">
        <v>19</v>
      </c>
      <c r="K1851" t="s">
        <v>3</v>
      </c>
      <c r="L1851" s="36">
        <f ca="1">IF(C1851&lt;&gt;"Yes",0,IF(A1851=2025,N('2025'!D40),IF(A1851=2026,N('2026'!D40),IF(A1851=2027,N('2027'!D40),IF(A1851=2028,N('2028'!D40),IF(A1851=2029,N('2029'!D40),IF(A1851=2030,N('2030'!D40),IF(A1851=2031,N('2031'!D40),IF(A1851=2032,N('2032'!D40),IF(A1851=2033,N('2033'!D40),IF(A1851=2034,N('2034'!D40),IFERROR(N(INDIRECT("'"&amp;A1851&amp;"'!D"&amp;G1851)),0))))))))))))</f>
        <v>0</v>
      </c>
      <c r="M1851" s="36">
        <f>IFERROR(IF(NOT(ISBLANK(KPI_TARGETS!$O$11)),KPI_TARGETS!$O$11,IF(NOT(ISBLANK(KPI_TARGETS!$F$11)),KPI_TARGETS!$F$11,"")),"")</f>
        <v>0</v>
      </c>
      <c r="N1851" s="36" t="str">
        <f>IFERROR(KPI_TARGETS!$E$11,"Higher is better")</f>
        <v>Lower is better</v>
      </c>
      <c r="O1851" s="37">
        <f t="shared" ca="1" si="168"/>
        <v>1</v>
      </c>
      <c r="P1851" t="str">
        <f t="shared" ca="1" si="169"/>
        <v>Green</v>
      </c>
      <c r="Q1851" s="36">
        <f t="shared" ca="1" si="170"/>
        <v>0</v>
      </c>
      <c r="R1851" s="36" t="str">
        <f>""</f>
        <v/>
      </c>
      <c r="S1851" s="36" t="str">
        <f>""</f>
        <v/>
      </c>
      <c r="T1851" s="36" t="str">
        <f>""</f>
        <v/>
      </c>
      <c r="U1851" s="36" t="str">
        <f>""</f>
        <v/>
      </c>
      <c r="V1851" s="36" t="str">
        <f>""</f>
        <v/>
      </c>
      <c r="W1851" s="36">
        <f t="shared" si="171"/>
        <v>1</v>
      </c>
      <c r="X1851" t="str">
        <f t="shared" si="172"/>
        <v>Inactive</v>
      </c>
      <c r="Y1851" t="str">
        <f>IF(MAIN!$H$3="Selected Year",IF(A1851=MAIN!$B$3,"Yes","No"),IF(MAIN!$H$3="Included Years",IF(D1851="Yes","Yes","No"),IF(C1851="Yes","Yes","No")))</f>
        <v>No</v>
      </c>
      <c r="Z1851" t="str">
        <f>IF(MAIN!$F$3="Project to Date",IF(AND(A1851&gt;=SETTINGS!$B$4,A1851&lt;MAIN!$B$3),"Yes",IF(AND(A1851=MAIN!$B$3,E1851&lt;=MAIN!$L$3),"Yes","No")),IF(OR(MAIN!$F$3="Full Year",MAIN!$D$3="All"),"Yes",IF(MAIN!$F$3="Monthly",IF(E1851=MAIN!$L$3,"Yes","No"),IF(E1851&lt;=MAIN!$L$3,"Yes","No"))))</f>
        <v>Yes</v>
      </c>
      <c r="AA1851" t="str">
        <f t="shared" si="173"/>
        <v>No</v>
      </c>
    </row>
    <row r="1852" spans="1:27" x14ac:dyDescent="0.3">
      <c r="A1852">
        <f>INDEX(SETTINGS!$A$15:$A$24,$B1852)</f>
        <v>2033</v>
      </c>
      <c r="B1852">
        <v>9</v>
      </c>
      <c r="C1852" t="str">
        <f>IF(AND(A1852&gt;=SETTINGS!$B$4,A1852&lt;=SETTINGS!$B$5),"Yes","No")</f>
        <v>No</v>
      </c>
      <c r="D1852" t="str">
        <f>IFERROR(INDEX(SETTINGS!$C$15:$C$24,MATCH(A1852,SETTINGS!$A$15:$A$24,0)),"No")</f>
        <v>No</v>
      </c>
      <c r="E1852">
        <v>2</v>
      </c>
      <c r="F1852" t="s">
        <v>35</v>
      </c>
      <c r="G1852">
        <v>41</v>
      </c>
      <c r="H1852" t="s">
        <v>101</v>
      </c>
      <c r="I1852" t="s">
        <v>15</v>
      </c>
      <c r="J1852" t="s">
        <v>20</v>
      </c>
      <c r="K1852" t="s">
        <v>3</v>
      </c>
      <c r="L1852" s="36">
        <f ca="1">IF(C1852&lt;&gt;"Yes",0,IF(A1852=2025,N('2025'!D41),IF(A1852=2026,N('2026'!D41),IF(A1852=2027,N('2027'!D41),IF(A1852=2028,N('2028'!D41),IF(A1852=2029,N('2029'!D41),IF(A1852=2030,N('2030'!D41),IF(A1852=2031,N('2031'!D41),IF(A1852=2032,N('2032'!D41),IF(A1852=2033,N('2033'!D41),IF(A1852=2034,N('2034'!D41),IFERROR(N(INDIRECT("'"&amp;A1852&amp;"'!D"&amp;G1852)),0))))))))))))</f>
        <v>0</v>
      </c>
      <c r="M1852" s="36">
        <f>IFERROR(IF(NOT(ISBLANK(KPI_TARGETS!$O$12)),KPI_TARGETS!$O$12,IF(NOT(ISBLANK(KPI_TARGETS!$F$12)),KPI_TARGETS!$F$12,"")),"")</f>
        <v>0</v>
      </c>
      <c r="N1852" s="36" t="str">
        <f>IFERROR(KPI_TARGETS!$E$12,"Higher is better")</f>
        <v>Lower is better</v>
      </c>
      <c r="O1852" s="37">
        <f t="shared" ca="1" si="168"/>
        <v>1</v>
      </c>
      <c r="P1852" t="str">
        <f t="shared" ca="1" si="169"/>
        <v>Green</v>
      </c>
      <c r="Q1852" s="36">
        <f t="shared" ca="1" si="170"/>
        <v>0</v>
      </c>
      <c r="R1852" s="36" t="str">
        <f>""</f>
        <v/>
      </c>
      <c r="S1852" s="36" t="str">
        <f>""</f>
        <v/>
      </c>
      <c r="T1852" s="36" t="str">
        <f>""</f>
        <v/>
      </c>
      <c r="U1852" s="36" t="str">
        <f>""</f>
        <v/>
      </c>
      <c r="V1852" s="36" t="str">
        <f>""</f>
        <v/>
      </c>
      <c r="W1852" s="36">
        <f t="shared" si="171"/>
        <v>1</v>
      </c>
      <c r="X1852" t="str">
        <f t="shared" si="172"/>
        <v>Inactive</v>
      </c>
      <c r="Y1852" t="str">
        <f>IF(MAIN!$H$3="Selected Year",IF(A1852=MAIN!$B$3,"Yes","No"),IF(MAIN!$H$3="Included Years",IF(D1852="Yes","Yes","No"),IF(C1852="Yes","Yes","No")))</f>
        <v>No</v>
      </c>
      <c r="Z1852" t="str">
        <f>IF(MAIN!$F$3="Project to Date",IF(AND(A1852&gt;=SETTINGS!$B$4,A1852&lt;MAIN!$B$3),"Yes",IF(AND(A1852=MAIN!$B$3,E1852&lt;=MAIN!$L$3),"Yes","No")),IF(OR(MAIN!$F$3="Full Year",MAIN!$D$3="All"),"Yes",IF(MAIN!$F$3="Monthly",IF(E1852=MAIN!$L$3,"Yes","No"),IF(E1852&lt;=MAIN!$L$3,"Yes","No"))))</f>
        <v>Yes</v>
      </c>
      <c r="AA1852" t="str">
        <f t="shared" si="173"/>
        <v>No</v>
      </c>
    </row>
    <row r="1853" spans="1:27" x14ac:dyDescent="0.3">
      <c r="A1853">
        <f>INDEX(SETTINGS!$A$15:$A$24,$B1853)</f>
        <v>2033</v>
      </c>
      <c r="B1853">
        <v>9</v>
      </c>
      <c r="C1853" t="str">
        <f>IF(AND(A1853&gt;=SETTINGS!$B$4,A1853&lt;=SETTINGS!$B$5),"Yes","No")</f>
        <v>No</v>
      </c>
      <c r="D1853" t="str">
        <f>IFERROR(INDEX(SETTINGS!$C$15:$C$24,MATCH(A1853,SETTINGS!$A$15:$A$24,0)),"No")</f>
        <v>No</v>
      </c>
      <c r="E1853">
        <v>2</v>
      </c>
      <c r="F1853" t="s">
        <v>35</v>
      </c>
      <c r="G1853">
        <v>42</v>
      </c>
      <c r="H1853" t="s">
        <v>102</v>
      </c>
      <c r="I1853" t="s">
        <v>15</v>
      </c>
      <c r="J1853" t="s">
        <v>21</v>
      </c>
      <c r="K1853" t="s">
        <v>3</v>
      </c>
      <c r="L1853" s="36">
        <f ca="1">IF(C1853&lt;&gt;"Yes",0,IF(A1853=2025,N('2025'!D42),IF(A1853=2026,N('2026'!D42),IF(A1853=2027,N('2027'!D42),IF(A1853=2028,N('2028'!D42),IF(A1853=2029,N('2029'!D42),IF(A1853=2030,N('2030'!D42),IF(A1853=2031,N('2031'!D42),IF(A1853=2032,N('2032'!D42),IF(A1853=2033,N('2033'!D42),IF(A1853=2034,N('2034'!D42),IFERROR(N(INDIRECT("'"&amp;A1853&amp;"'!D"&amp;G1853)),0))))))))))))</f>
        <v>0</v>
      </c>
      <c r="M1853" s="36">
        <f>IFERROR(IF(NOT(ISBLANK(KPI_TARGETS!$O$13)),KPI_TARGETS!$O$13,IF(NOT(ISBLANK(KPI_TARGETS!$F$13)),KPI_TARGETS!$F$13,"")),"")</f>
        <v>0</v>
      </c>
      <c r="N1853" s="36" t="str">
        <f>IFERROR(KPI_TARGETS!$E$13,"Higher is better")</f>
        <v>Lower is better</v>
      </c>
      <c r="O1853" s="37">
        <f t="shared" ca="1" si="168"/>
        <v>1</v>
      </c>
      <c r="P1853" t="str">
        <f t="shared" ca="1" si="169"/>
        <v>Green</v>
      </c>
      <c r="Q1853" s="36">
        <f t="shared" ca="1" si="170"/>
        <v>0</v>
      </c>
      <c r="R1853" s="36" t="str">
        <f>""</f>
        <v/>
      </c>
      <c r="S1853" s="36" t="str">
        <f>""</f>
        <v/>
      </c>
      <c r="T1853" s="36" t="str">
        <f>""</f>
        <v/>
      </c>
      <c r="U1853" s="36" t="str">
        <f>""</f>
        <v/>
      </c>
      <c r="V1853" s="36" t="str">
        <f>""</f>
        <v/>
      </c>
      <c r="W1853" s="36">
        <f t="shared" si="171"/>
        <v>1</v>
      </c>
      <c r="X1853" t="str">
        <f t="shared" si="172"/>
        <v>Inactive</v>
      </c>
      <c r="Y1853" t="str">
        <f>IF(MAIN!$H$3="Selected Year",IF(A1853=MAIN!$B$3,"Yes","No"),IF(MAIN!$H$3="Included Years",IF(D1853="Yes","Yes","No"),IF(C1853="Yes","Yes","No")))</f>
        <v>No</v>
      </c>
      <c r="Z1853" t="str">
        <f>IF(MAIN!$F$3="Project to Date",IF(AND(A1853&gt;=SETTINGS!$B$4,A1853&lt;MAIN!$B$3),"Yes",IF(AND(A1853=MAIN!$B$3,E1853&lt;=MAIN!$L$3),"Yes","No")),IF(OR(MAIN!$F$3="Full Year",MAIN!$D$3="All"),"Yes",IF(MAIN!$F$3="Monthly",IF(E1853=MAIN!$L$3,"Yes","No"),IF(E1853&lt;=MAIN!$L$3,"Yes","No"))))</f>
        <v>Yes</v>
      </c>
      <c r="AA1853" t="str">
        <f t="shared" si="173"/>
        <v>No</v>
      </c>
    </row>
    <row r="1854" spans="1:27" x14ac:dyDescent="0.3">
      <c r="A1854">
        <f>INDEX(SETTINGS!$A$15:$A$24,$B1854)</f>
        <v>2033</v>
      </c>
      <c r="B1854">
        <v>9</v>
      </c>
      <c r="C1854" t="str">
        <f>IF(AND(A1854&gt;=SETTINGS!$B$4,A1854&lt;=SETTINGS!$B$5),"Yes","No")</f>
        <v>No</v>
      </c>
      <c r="D1854" t="str">
        <f>IFERROR(INDEX(SETTINGS!$C$15:$C$24,MATCH(A1854,SETTINGS!$A$15:$A$24,0)),"No")</f>
        <v>No</v>
      </c>
      <c r="E1854">
        <v>2</v>
      </c>
      <c r="F1854" t="s">
        <v>35</v>
      </c>
      <c r="G1854">
        <v>44</v>
      </c>
      <c r="H1854" t="s">
        <v>103</v>
      </c>
      <c r="I1854" t="s">
        <v>22</v>
      </c>
      <c r="J1854" t="s">
        <v>23</v>
      </c>
      <c r="K1854" t="s">
        <v>3</v>
      </c>
      <c r="L1854" s="36">
        <f ca="1">IF(C1854&lt;&gt;"Yes",0,IF(A1854=2025,N('2025'!D44),IF(A1854=2026,N('2026'!D44),IF(A1854=2027,N('2027'!D44),IF(A1854=2028,N('2028'!D44),IF(A1854=2029,N('2029'!D44),IF(A1854=2030,N('2030'!D44),IF(A1854=2031,N('2031'!D44),IF(A1854=2032,N('2032'!D44),IF(A1854=2033,N('2033'!D44),IF(A1854=2034,N('2034'!D44),IFERROR(N(INDIRECT("'"&amp;A1854&amp;"'!D"&amp;G1854)),0))))))))))))</f>
        <v>0</v>
      </c>
      <c r="M1854" s="36">
        <f>IFERROR(IF(NOT(ISBLANK(KPI_TARGETS!$O$14)),KPI_TARGETS!$O$14,IF(NOT(ISBLANK(KPI_TARGETS!$F$14)),KPI_TARGETS!$F$14,"")),"")</f>
        <v>35</v>
      </c>
      <c r="N1854" s="36" t="str">
        <f>IFERROR(KPI_TARGETS!$E$14,"Higher is better")</f>
        <v>Higher is better</v>
      </c>
      <c r="O1854" s="37">
        <f t="shared" ca="1" si="168"/>
        <v>0</v>
      </c>
      <c r="P1854" t="str">
        <f t="shared" ca="1" si="169"/>
        <v>Red</v>
      </c>
      <c r="Q1854" s="36">
        <f t="shared" ca="1" si="170"/>
        <v>-35</v>
      </c>
      <c r="R1854" s="36" t="str">
        <f>""</f>
        <v/>
      </c>
      <c r="S1854" s="36" t="str">
        <f>""</f>
        <v/>
      </c>
      <c r="T1854" s="36" t="str">
        <f>""</f>
        <v/>
      </c>
      <c r="U1854" s="36" t="str">
        <f>""</f>
        <v/>
      </c>
      <c r="V1854" s="36" t="str">
        <f>""</f>
        <v/>
      </c>
      <c r="W1854" s="36">
        <f t="shared" si="171"/>
        <v>1</v>
      </c>
      <c r="X1854" t="str">
        <f t="shared" si="172"/>
        <v>Inactive</v>
      </c>
      <c r="Y1854" t="str">
        <f>IF(MAIN!$H$3="Selected Year",IF(A1854=MAIN!$B$3,"Yes","No"),IF(MAIN!$H$3="Included Years",IF(D1854="Yes","Yes","No"),IF(C1854="Yes","Yes","No")))</f>
        <v>No</v>
      </c>
      <c r="Z1854" t="str">
        <f>IF(MAIN!$F$3="Project to Date",IF(AND(A1854&gt;=SETTINGS!$B$4,A1854&lt;MAIN!$B$3),"Yes",IF(AND(A1854=MAIN!$B$3,E1854&lt;=MAIN!$L$3),"Yes","No")),IF(OR(MAIN!$F$3="Full Year",MAIN!$D$3="All"),"Yes",IF(MAIN!$F$3="Monthly",IF(E1854=MAIN!$L$3,"Yes","No"),IF(E1854&lt;=MAIN!$L$3,"Yes","No"))))</f>
        <v>Yes</v>
      </c>
      <c r="AA1854" t="str">
        <f t="shared" si="173"/>
        <v>No</v>
      </c>
    </row>
    <row r="1855" spans="1:27" x14ac:dyDescent="0.3">
      <c r="A1855">
        <f>INDEX(SETTINGS!$A$15:$A$24,$B1855)</f>
        <v>2033</v>
      </c>
      <c r="B1855">
        <v>9</v>
      </c>
      <c r="C1855" t="str">
        <f>IF(AND(A1855&gt;=SETTINGS!$B$4,A1855&lt;=SETTINGS!$B$5),"Yes","No")</f>
        <v>No</v>
      </c>
      <c r="D1855" t="str">
        <f>IFERROR(INDEX(SETTINGS!$C$15:$C$24,MATCH(A1855,SETTINGS!$A$15:$A$24,0)),"No")</f>
        <v>No</v>
      </c>
      <c r="E1855">
        <v>2</v>
      </c>
      <c r="F1855" t="s">
        <v>35</v>
      </c>
      <c r="G1855">
        <v>45</v>
      </c>
      <c r="H1855" t="s">
        <v>104</v>
      </c>
      <c r="I1855" t="s">
        <v>22</v>
      </c>
      <c r="J1855" t="s">
        <v>24</v>
      </c>
      <c r="K1855" t="s">
        <v>3</v>
      </c>
      <c r="L1855" s="36">
        <f ca="1">IF(C1855&lt;&gt;"Yes",0,IF(A1855=2025,N('2025'!D45),IF(A1855=2026,N('2026'!D45),IF(A1855=2027,N('2027'!D45),IF(A1855=2028,N('2028'!D45),IF(A1855=2029,N('2029'!D45),IF(A1855=2030,N('2030'!D45),IF(A1855=2031,N('2031'!D45),IF(A1855=2032,N('2032'!D45),IF(A1855=2033,N('2033'!D45),IF(A1855=2034,N('2034'!D45),IFERROR(N(INDIRECT("'"&amp;A1855&amp;"'!D"&amp;G1855)),0))))))))))))</f>
        <v>0</v>
      </c>
      <c r="M1855" s="36">
        <f>IFERROR(IF(NOT(ISBLANK(KPI_TARGETS!$O$15)),KPI_TARGETS!$O$15,IF(NOT(ISBLANK(KPI_TARGETS!$F$15)),KPI_TARGETS!$F$15,"")),"")</f>
        <v>5</v>
      </c>
      <c r="N1855" s="36" t="str">
        <f>IFERROR(KPI_TARGETS!$E$15,"Higher is better")</f>
        <v>Higher is better</v>
      </c>
      <c r="O1855" s="37">
        <f t="shared" ca="1" si="168"/>
        <v>0</v>
      </c>
      <c r="P1855" t="str">
        <f t="shared" ca="1" si="169"/>
        <v>Red</v>
      </c>
      <c r="Q1855" s="36">
        <f t="shared" ca="1" si="170"/>
        <v>-5</v>
      </c>
      <c r="R1855" s="36" t="str">
        <f>""</f>
        <v/>
      </c>
      <c r="S1855" s="36" t="str">
        <f>""</f>
        <v/>
      </c>
      <c r="T1855" s="36" t="str">
        <f>""</f>
        <v/>
      </c>
      <c r="U1855" s="36" t="str">
        <f>""</f>
        <v/>
      </c>
      <c r="V1855" s="36" t="str">
        <f>""</f>
        <v/>
      </c>
      <c r="W1855" s="36">
        <f t="shared" si="171"/>
        <v>1</v>
      </c>
      <c r="X1855" t="str">
        <f t="shared" si="172"/>
        <v>Inactive</v>
      </c>
      <c r="Y1855" t="str">
        <f>IF(MAIN!$H$3="Selected Year",IF(A1855=MAIN!$B$3,"Yes","No"),IF(MAIN!$H$3="Included Years",IF(D1855="Yes","Yes","No"),IF(C1855="Yes","Yes","No")))</f>
        <v>No</v>
      </c>
      <c r="Z1855" t="str">
        <f>IF(MAIN!$F$3="Project to Date",IF(AND(A1855&gt;=SETTINGS!$B$4,A1855&lt;MAIN!$B$3),"Yes",IF(AND(A1855=MAIN!$B$3,E1855&lt;=MAIN!$L$3),"Yes","No")),IF(OR(MAIN!$F$3="Full Year",MAIN!$D$3="All"),"Yes",IF(MAIN!$F$3="Monthly",IF(E1855=MAIN!$L$3,"Yes","No"),IF(E1855&lt;=MAIN!$L$3,"Yes","No"))))</f>
        <v>Yes</v>
      </c>
      <c r="AA1855" t="str">
        <f t="shared" si="173"/>
        <v>No</v>
      </c>
    </row>
    <row r="1856" spans="1:27" x14ac:dyDescent="0.3">
      <c r="A1856">
        <f>INDEX(SETTINGS!$A$15:$A$24,$B1856)</f>
        <v>2033</v>
      </c>
      <c r="B1856">
        <v>9</v>
      </c>
      <c r="C1856" t="str">
        <f>IF(AND(A1856&gt;=SETTINGS!$B$4,A1856&lt;=SETTINGS!$B$5),"Yes","No")</f>
        <v>No</v>
      </c>
      <c r="D1856" t="str">
        <f>IFERROR(INDEX(SETTINGS!$C$15:$C$24,MATCH(A1856,SETTINGS!$A$15:$A$24,0)),"No")</f>
        <v>No</v>
      </c>
      <c r="E1856">
        <v>2</v>
      </c>
      <c r="F1856" t="s">
        <v>35</v>
      </c>
      <c r="G1856">
        <v>46</v>
      </c>
      <c r="H1856" t="s">
        <v>105</v>
      </c>
      <c r="I1856" t="s">
        <v>22</v>
      </c>
      <c r="J1856" t="s">
        <v>25</v>
      </c>
      <c r="K1856" t="s">
        <v>3</v>
      </c>
      <c r="L1856" s="36">
        <f ca="1">IF(C1856&lt;&gt;"Yes",0,IF(A1856=2025,N('2025'!D46),IF(A1856=2026,N('2026'!D46),IF(A1856=2027,N('2027'!D46),IF(A1856=2028,N('2028'!D46),IF(A1856=2029,N('2029'!D46),IF(A1856=2030,N('2030'!D46),IF(A1856=2031,N('2031'!D46),IF(A1856=2032,N('2032'!D46),IF(A1856=2033,N('2033'!D46),IF(A1856=2034,N('2034'!D46),IFERROR(N(INDIRECT("'"&amp;A1856&amp;"'!D"&amp;G1856)),0))))))))))))</f>
        <v>0</v>
      </c>
      <c r="M1856" s="36">
        <f>IFERROR(IF(NOT(ISBLANK(KPI_TARGETS!$O$16)),KPI_TARGETS!$O$16,IF(NOT(ISBLANK(KPI_TARGETS!$F$16)),KPI_TARGETS!$F$16,"")),"")</f>
        <v>4</v>
      </c>
      <c r="N1856" s="36" t="str">
        <f>IFERROR(KPI_TARGETS!$E$16,"Higher is better")</f>
        <v>Higher is better</v>
      </c>
      <c r="O1856" s="37">
        <f t="shared" ca="1" si="168"/>
        <v>0</v>
      </c>
      <c r="P1856" t="str">
        <f t="shared" ca="1" si="169"/>
        <v>Red</v>
      </c>
      <c r="Q1856" s="36">
        <f t="shared" ca="1" si="170"/>
        <v>-4</v>
      </c>
      <c r="R1856" s="36" t="str">
        <f>""</f>
        <v/>
      </c>
      <c r="S1856" s="36" t="str">
        <f>""</f>
        <v/>
      </c>
      <c r="T1856" s="36" t="str">
        <f>""</f>
        <v/>
      </c>
      <c r="U1856" s="36" t="str">
        <f>""</f>
        <v/>
      </c>
      <c r="V1856" s="36" t="str">
        <f>""</f>
        <v/>
      </c>
      <c r="W1856" s="36">
        <f t="shared" si="171"/>
        <v>1</v>
      </c>
      <c r="X1856" t="str">
        <f t="shared" si="172"/>
        <v>Inactive</v>
      </c>
      <c r="Y1856" t="str">
        <f>IF(MAIN!$H$3="Selected Year",IF(A1856=MAIN!$B$3,"Yes","No"),IF(MAIN!$H$3="Included Years",IF(D1856="Yes","Yes","No"),IF(C1856="Yes","Yes","No")))</f>
        <v>No</v>
      </c>
      <c r="Z1856" t="str">
        <f>IF(MAIN!$F$3="Project to Date",IF(AND(A1856&gt;=SETTINGS!$B$4,A1856&lt;MAIN!$B$3),"Yes",IF(AND(A1856=MAIN!$B$3,E1856&lt;=MAIN!$L$3),"Yes","No")),IF(OR(MAIN!$F$3="Full Year",MAIN!$D$3="All"),"Yes",IF(MAIN!$F$3="Monthly",IF(E1856=MAIN!$L$3,"Yes","No"),IF(E1856&lt;=MAIN!$L$3,"Yes","No"))))</f>
        <v>Yes</v>
      </c>
      <c r="AA1856" t="str">
        <f t="shared" si="173"/>
        <v>No</v>
      </c>
    </row>
    <row r="1857" spans="1:27" x14ac:dyDescent="0.3">
      <c r="A1857">
        <f>INDEX(SETTINGS!$A$15:$A$24,$B1857)</f>
        <v>2033</v>
      </c>
      <c r="B1857">
        <v>9</v>
      </c>
      <c r="C1857" t="str">
        <f>IF(AND(A1857&gt;=SETTINGS!$B$4,A1857&lt;=SETTINGS!$B$5),"Yes","No")</f>
        <v>No</v>
      </c>
      <c r="D1857" t="str">
        <f>IFERROR(INDEX(SETTINGS!$C$15:$C$24,MATCH(A1857,SETTINGS!$A$15:$A$24,0)),"No")</f>
        <v>No</v>
      </c>
      <c r="E1857">
        <v>2</v>
      </c>
      <c r="F1857" t="s">
        <v>35</v>
      </c>
      <c r="G1857">
        <v>47</v>
      </c>
      <c r="H1857" t="s">
        <v>106</v>
      </c>
      <c r="I1857" t="s">
        <v>22</v>
      </c>
      <c r="J1857" t="s">
        <v>26</v>
      </c>
      <c r="K1857" t="s">
        <v>3</v>
      </c>
      <c r="L1857" s="36">
        <f ca="1">IF(C1857&lt;&gt;"Yes",0,IF(A1857=2025,N('2025'!D47),IF(A1857=2026,N('2026'!D47),IF(A1857=2027,N('2027'!D47),IF(A1857=2028,N('2028'!D47),IF(A1857=2029,N('2029'!D47),IF(A1857=2030,N('2030'!D47),IF(A1857=2031,N('2031'!D47),IF(A1857=2032,N('2032'!D47),IF(A1857=2033,N('2033'!D47),IF(A1857=2034,N('2034'!D47),IFERROR(N(INDIRECT("'"&amp;A1857&amp;"'!D"&amp;G1857)),0))))))))))))</f>
        <v>0</v>
      </c>
      <c r="M1857" s="36">
        <f>IFERROR(IF(NOT(ISBLANK(KPI_TARGETS!$O$17)),KPI_TARGETS!$O$17,IF(NOT(ISBLANK(KPI_TARGETS!$F$17)),KPI_TARGETS!$F$17,"")),"")</f>
        <v>12</v>
      </c>
      <c r="N1857" s="36" t="str">
        <f>IFERROR(KPI_TARGETS!$E$17,"Higher is better")</f>
        <v>Higher is better</v>
      </c>
      <c r="O1857" s="37">
        <f t="shared" ca="1" si="168"/>
        <v>0</v>
      </c>
      <c r="P1857" t="str">
        <f t="shared" ca="1" si="169"/>
        <v>Red</v>
      </c>
      <c r="Q1857" s="36">
        <f t="shared" ca="1" si="170"/>
        <v>-12</v>
      </c>
      <c r="R1857" s="36" t="str">
        <f>""</f>
        <v/>
      </c>
      <c r="S1857" s="36" t="str">
        <f>""</f>
        <v/>
      </c>
      <c r="T1857" s="36" t="str">
        <f>""</f>
        <v/>
      </c>
      <c r="U1857" s="36" t="str">
        <f>""</f>
        <v/>
      </c>
      <c r="V1857" s="36" t="str">
        <f>""</f>
        <v/>
      </c>
      <c r="W1857" s="36">
        <f t="shared" si="171"/>
        <v>1</v>
      </c>
      <c r="X1857" t="str">
        <f t="shared" si="172"/>
        <v>Inactive</v>
      </c>
      <c r="Y1857" t="str">
        <f>IF(MAIN!$H$3="Selected Year",IF(A1857=MAIN!$B$3,"Yes","No"),IF(MAIN!$H$3="Included Years",IF(D1857="Yes","Yes","No"),IF(C1857="Yes","Yes","No")))</f>
        <v>No</v>
      </c>
      <c r="Z1857" t="str">
        <f>IF(MAIN!$F$3="Project to Date",IF(AND(A1857&gt;=SETTINGS!$B$4,A1857&lt;MAIN!$B$3),"Yes",IF(AND(A1857=MAIN!$B$3,E1857&lt;=MAIN!$L$3),"Yes","No")),IF(OR(MAIN!$F$3="Full Year",MAIN!$D$3="All"),"Yes",IF(MAIN!$F$3="Monthly",IF(E1857=MAIN!$L$3,"Yes","No"),IF(E1857&lt;=MAIN!$L$3,"Yes","No"))))</f>
        <v>Yes</v>
      </c>
      <c r="AA1857" t="str">
        <f t="shared" si="173"/>
        <v>No</v>
      </c>
    </row>
    <row r="1858" spans="1:27" x14ac:dyDescent="0.3">
      <c r="A1858">
        <f>INDEX(SETTINGS!$A$15:$A$24,$B1858)</f>
        <v>2033</v>
      </c>
      <c r="B1858">
        <v>9</v>
      </c>
      <c r="C1858" t="str">
        <f>IF(AND(A1858&gt;=SETTINGS!$B$4,A1858&lt;=SETTINGS!$B$5),"Yes","No")</f>
        <v>No</v>
      </c>
      <c r="D1858" t="str">
        <f>IFERROR(INDEX(SETTINGS!$C$15:$C$24,MATCH(A1858,SETTINGS!$A$15:$A$24,0)),"No")</f>
        <v>No</v>
      </c>
      <c r="E1858">
        <v>2</v>
      </c>
      <c r="F1858" t="s">
        <v>35</v>
      </c>
      <c r="G1858">
        <v>48</v>
      </c>
      <c r="H1858" t="s">
        <v>107</v>
      </c>
      <c r="I1858" t="s">
        <v>22</v>
      </c>
      <c r="J1858" t="s">
        <v>27</v>
      </c>
      <c r="K1858" t="s">
        <v>3</v>
      </c>
      <c r="L1858" s="36">
        <f ca="1">IF(C1858&lt;&gt;"Yes",0,IF(A1858=2025,N('2025'!D48),IF(A1858=2026,N('2026'!D48),IF(A1858=2027,N('2027'!D48),IF(A1858=2028,N('2028'!D48),IF(A1858=2029,N('2029'!D48),IF(A1858=2030,N('2030'!D48),IF(A1858=2031,N('2031'!D48),IF(A1858=2032,N('2032'!D48),IF(A1858=2033,N('2033'!D48),IF(A1858=2034,N('2034'!D48),IFERROR(N(INDIRECT("'"&amp;A1858&amp;"'!D"&amp;G1858)),0))))))))))))</f>
        <v>0</v>
      </c>
      <c r="M1858" s="36">
        <f>IFERROR(IF(NOT(ISBLANK(KPI_TARGETS!$O$18)),KPI_TARGETS!$O$18,IF(NOT(ISBLANK(KPI_TARGETS!$F$18)),KPI_TARGETS!$F$18,"")),"")</f>
        <v>4</v>
      </c>
      <c r="N1858" s="36" t="str">
        <f>IFERROR(KPI_TARGETS!$E$18,"Higher is better")</f>
        <v>Higher is better</v>
      </c>
      <c r="O1858" s="37">
        <f t="shared" ref="O1858:O1921" ca="1" si="174">IF(M1858="","",IF(N1858="Higher is better",IFERROR(L1858/M1858,""),IF(L1858=0,1,IFERROR(M1858/L1858,""))))</f>
        <v>0</v>
      </c>
      <c r="P1858" t="str">
        <f t="shared" ref="P1858:P1921" ca="1" si="175">IF(M1858="","Target Needed",IF(N1858="Higher is better",IF(L1858&gt;=M1858,"Green",IF(L1858&gt;=0.8*M1858,"Amber","Red")),IF(M1858=0,IF(L1858=0,"Green","Red"),IF(L1858&lt;=M1858,"Green",IF(L1858&lt;=1.25*M1858,"Amber","Red")))))</f>
        <v>Red</v>
      </c>
      <c r="Q1858" s="36">
        <f t="shared" ref="Q1858:Q1921" ca="1" si="176">IF(M1858="","",IF(N1858="Higher is better",L1858-M1858,M1858-L1858))</f>
        <v>-4</v>
      </c>
      <c r="R1858" s="36" t="str">
        <f>""</f>
        <v/>
      </c>
      <c r="S1858" s="36" t="str">
        <f>""</f>
        <v/>
      </c>
      <c r="T1858" s="36" t="str">
        <f>""</f>
        <v/>
      </c>
      <c r="U1858" s="36" t="str">
        <f>""</f>
        <v/>
      </c>
      <c r="V1858" s="36" t="str">
        <f>""</f>
        <v/>
      </c>
      <c r="W1858" s="36">
        <f t="shared" ref="W1858:W1921" si="177">IF(LEN(M1858&amp;"")&gt;0,1,0)</f>
        <v>1</v>
      </c>
      <c r="X1858" t="str">
        <f t="shared" ref="X1858:X1921" si="178">IF(C1858&lt;&gt;"Yes","Inactive",IF(M1858="","Missing target","OK"))</f>
        <v>Inactive</v>
      </c>
      <c r="Y1858" t="str">
        <f>IF(MAIN!$H$3="Selected Year",IF(A1858=MAIN!$B$3,"Yes","No"),IF(MAIN!$H$3="Included Years",IF(D1858="Yes","Yes","No"),IF(C1858="Yes","Yes","No")))</f>
        <v>No</v>
      </c>
      <c r="Z1858" t="str">
        <f>IF(MAIN!$F$3="Project to Date",IF(AND(A1858&gt;=SETTINGS!$B$4,A1858&lt;MAIN!$B$3),"Yes",IF(AND(A1858=MAIN!$B$3,E1858&lt;=MAIN!$L$3),"Yes","No")),IF(OR(MAIN!$F$3="Full Year",MAIN!$D$3="All"),"Yes",IF(MAIN!$F$3="Monthly",IF(E1858=MAIN!$L$3,"Yes","No"),IF(E1858&lt;=MAIN!$L$3,"Yes","No"))))</f>
        <v>Yes</v>
      </c>
      <c r="AA1858" t="str">
        <f t="shared" ref="AA1858:AA1921" si="179">IF(AND(Y1858="Yes",Z1858="Yes"),"Yes","No")</f>
        <v>No</v>
      </c>
    </row>
    <row r="1859" spans="1:27" x14ac:dyDescent="0.3">
      <c r="A1859">
        <f>INDEX(SETTINGS!$A$15:$A$24,$B1859)</f>
        <v>2033</v>
      </c>
      <c r="B1859">
        <v>9</v>
      </c>
      <c r="C1859" t="str">
        <f>IF(AND(A1859&gt;=SETTINGS!$B$4,A1859&lt;=SETTINGS!$B$5),"Yes","No")</f>
        <v>No</v>
      </c>
      <c r="D1859" t="str">
        <f>IFERROR(INDEX(SETTINGS!$C$15:$C$24,MATCH(A1859,SETTINGS!$A$15:$A$24,0)),"No")</f>
        <v>No</v>
      </c>
      <c r="E1859">
        <v>2</v>
      </c>
      <c r="F1859" t="s">
        <v>35</v>
      </c>
      <c r="G1859">
        <v>49</v>
      </c>
      <c r="H1859" t="s">
        <v>108</v>
      </c>
      <c r="I1859" t="s">
        <v>22</v>
      </c>
      <c r="J1859" t="s">
        <v>28</v>
      </c>
      <c r="K1859" t="s">
        <v>3</v>
      </c>
      <c r="L1859" s="36">
        <f ca="1">IF(C1859&lt;&gt;"Yes",0,IF(A1859=2025,N('2025'!D49),IF(A1859=2026,N('2026'!D49),IF(A1859=2027,N('2027'!D49),IF(A1859=2028,N('2028'!D49),IF(A1859=2029,N('2029'!D49),IF(A1859=2030,N('2030'!D49),IF(A1859=2031,N('2031'!D49),IF(A1859=2032,N('2032'!D49),IF(A1859=2033,N('2033'!D49),IF(A1859=2034,N('2034'!D49),IFERROR(N(INDIRECT("'"&amp;A1859&amp;"'!D"&amp;G1859)),0))))))))))))</f>
        <v>0</v>
      </c>
      <c r="M1859" s="36">
        <f>IFERROR(IF(NOT(ISBLANK(KPI_TARGETS!$O$19)),KPI_TARGETS!$O$19,IF(NOT(ISBLANK(KPI_TARGETS!$F$19)),KPI_TARGETS!$F$19,"")),"")</f>
        <v>16</v>
      </c>
      <c r="N1859" s="36" t="str">
        <f>IFERROR(KPI_TARGETS!$E$19,"Higher is better")</f>
        <v>Higher is better</v>
      </c>
      <c r="O1859" s="37">
        <f t="shared" ca="1" si="174"/>
        <v>0</v>
      </c>
      <c r="P1859" t="str">
        <f t="shared" ca="1" si="175"/>
        <v>Red</v>
      </c>
      <c r="Q1859" s="36">
        <f t="shared" ca="1" si="176"/>
        <v>-16</v>
      </c>
      <c r="R1859" s="36" t="str">
        <f>""</f>
        <v/>
      </c>
      <c r="S1859" s="36" t="str">
        <f>""</f>
        <v/>
      </c>
      <c r="T1859" s="36" t="str">
        <f>""</f>
        <v/>
      </c>
      <c r="U1859" s="36" t="str">
        <f>""</f>
        <v/>
      </c>
      <c r="V1859" s="36" t="str">
        <f>""</f>
        <v/>
      </c>
      <c r="W1859" s="36">
        <f t="shared" si="177"/>
        <v>1</v>
      </c>
      <c r="X1859" t="str">
        <f t="shared" si="178"/>
        <v>Inactive</v>
      </c>
      <c r="Y1859" t="str">
        <f>IF(MAIN!$H$3="Selected Year",IF(A1859=MAIN!$B$3,"Yes","No"),IF(MAIN!$H$3="Included Years",IF(D1859="Yes","Yes","No"),IF(C1859="Yes","Yes","No")))</f>
        <v>No</v>
      </c>
      <c r="Z1859" t="str">
        <f>IF(MAIN!$F$3="Project to Date",IF(AND(A1859&gt;=SETTINGS!$B$4,A1859&lt;MAIN!$B$3),"Yes",IF(AND(A1859=MAIN!$B$3,E1859&lt;=MAIN!$L$3),"Yes","No")),IF(OR(MAIN!$F$3="Full Year",MAIN!$D$3="All"),"Yes",IF(MAIN!$F$3="Monthly",IF(E1859=MAIN!$L$3,"Yes","No"),IF(E1859&lt;=MAIN!$L$3,"Yes","No"))))</f>
        <v>Yes</v>
      </c>
      <c r="AA1859" t="str">
        <f t="shared" si="179"/>
        <v>No</v>
      </c>
    </row>
    <row r="1860" spans="1:27" x14ac:dyDescent="0.3">
      <c r="A1860">
        <f>INDEX(SETTINGS!$A$15:$A$24,$B1860)</f>
        <v>2033</v>
      </c>
      <c r="B1860">
        <v>9</v>
      </c>
      <c r="C1860" t="str">
        <f>IF(AND(A1860&gt;=SETTINGS!$B$4,A1860&lt;=SETTINGS!$B$5),"Yes","No")</f>
        <v>No</v>
      </c>
      <c r="D1860" t="str">
        <f>IFERROR(INDEX(SETTINGS!$C$15:$C$24,MATCH(A1860,SETTINGS!$A$15:$A$24,0)),"No")</f>
        <v>No</v>
      </c>
      <c r="E1860">
        <v>2</v>
      </c>
      <c r="F1860" t="s">
        <v>35</v>
      </c>
      <c r="G1860">
        <v>50</v>
      </c>
      <c r="H1860" t="s">
        <v>109</v>
      </c>
      <c r="I1860" t="s">
        <v>22</v>
      </c>
      <c r="J1860" t="s">
        <v>29</v>
      </c>
      <c r="K1860" t="s">
        <v>3</v>
      </c>
      <c r="L1860" s="36">
        <f ca="1">IF(C1860&lt;&gt;"Yes",0,IF(A1860=2025,N('2025'!D50),IF(A1860=2026,N('2026'!D50),IF(A1860=2027,N('2027'!D50),IF(A1860=2028,N('2028'!D50),IF(A1860=2029,N('2029'!D50),IF(A1860=2030,N('2030'!D50),IF(A1860=2031,N('2031'!D50),IF(A1860=2032,N('2032'!D50),IF(A1860=2033,N('2033'!D50),IF(A1860=2034,N('2034'!D50),IFERROR(N(INDIRECT("'"&amp;A1860&amp;"'!D"&amp;G1860)),0))))))))))))</f>
        <v>0</v>
      </c>
      <c r="M1860" s="36">
        <f>IFERROR(IF(NOT(ISBLANK(KPI_TARGETS!$O$20)),KPI_TARGETS!$O$20,IF(NOT(ISBLANK(KPI_TARGETS!$F$20)),KPI_TARGETS!$F$20,"")),"")</f>
        <v>1</v>
      </c>
      <c r="N1860" s="36" t="str">
        <f>IFERROR(KPI_TARGETS!$E$20,"Higher is better")</f>
        <v>Higher is better</v>
      </c>
      <c r="O1860" s="37">
        <f t="shared" ca="1" si="174"/>
        <v>0</v>
      </c>
      <c r="P1860" t="str">
        <f t="shared" ca="1" si="175"/>
        <v>Red</v>
      </c>
      <c r="Q1860" s="36">
        <f t="shared" ca="1" si="176"/>
        <v>-1</v>
      </c>
      <c r="R1860" s="36" t="str">
        <f>""</f>
        <v/>
      </c>
      <c r="S1860" s="36" t="str">
        <f>""</f>
        <v/>
      </c>
      <c r="T1860" s="36" t="str">
        <f>""</f>
        <v/>
      </c>
      <c r="U1860" s="36" t="str">
        <f>""</f>
        <v/>
      </c>
      <c r="V1860" s="36" t="str">
        <f>""</f>
        <v/>
      </c>
      <c r="W1860" s="36">
        <f t="shared" si="177"/>
        <v>1</v>
      </c>
      <c r="X1860" t="str">
        <f t="shared" si="178"/>
        <v>Inactive</v>
      </c>
      <c r="Y1860" t="str">
        <f>IF(MAIN!$H$3="Selected Year",IF(A1860=MAIN!$B$3,"Yes","No"),IF(MAIN!$H$3="Included Years",IF(D1860="Yes","Yes","No"),IF(C1860="Yes","Yes","No")))</f>
        <v>No</v>
      </c>
      <c r="Z1860" t="str">
        <f>IF(MAIN!$F$3="Project to Date",IF(AND(A1860&gt;=SETTINGS!$B$4,A1860&lt;MAIN!$B$3),"Yes",IF(AND(A1860=MAIN!$B$3,E1860&lt;=MAIN!$L$3),"Yes","No")),IF(OR(MAIN!$F$3="Full Year",MAIN!$D$3="All"),"Yes",IF(MAIN!$F$3="Monthly",IF(E1860=MAIN!$L$3,"Yes","No"),IF(E1860&lt;=MAIN!$L$3,"Yes","No"))))</f>
        <v>Yes</v>
      </c>
      <c r="AA1860" t="str">
        <f t="shared" si="179"/>
        <v>No</v>
      </c>
    </row>
    <row r="1861" spans="1:27" x14ac:dyDescent="0.3">
      <c r="A1861">
        <f>INDEX(SETTINGS!$A$15:$A$24,$B1861)</f>
        <v>2033</v>
      </c>
      <c r="B1861">
        <v>9</v>
      </c>
      <c r="C1861" t="str">
        <f>IF(AND(A1861&gt;=SETTINGS!$B$4,A1861&lt;=SETTINGS!$B$5),"Yes","No")</f>
        <v>No</v>
      </c>
      <c r="D1861" t="str">
        <f>IFERROR(INDEX(SETTINGS!$C$15:$C$24,MATCH(A1861,SETTINGS!$A$15:$A$24,0)),"No")</f>
        <v>No</v>
      </c>
      <c r="E1861">
        <v>2</v>
      </c>
      <c r="F1861" t="s">
        <v>35</v>
      </c>
      <c r="G1861">
        <v>52</v>
      </c>
      <c r="H1861" t="s">
        <v>110</v>
      </c>
      <c r="I1861" t="s">
        <v>30</v>
      </c>
      <c r="J1861" t="s">
        <v>31</v>
      </c>
      <c r="K1861" t="s">
        <v>3</v>
      </c>
      <c r="L1861" s="36">
        <f ca="1">IF(C1861&lt;&gt;"Yes",0,IF(A1861=2025,N('2025'!D52),IF(A1861=2026,N('2026'!D52),IF(A1861=2027,N('2027'!D52),IF(A1861=2028,N('2028'!D52),IF(A1861=2029,N('2029'!D52),IF(A1861=2030,N('2030'!D52),IF(A1861=2031,N('2031'!D52),IF(A1861=2032,N('2032'!D52),IF(A1861=2033,N('2033'!D52),IF(A1861=2034,N('2034'!D52),IFERROR(N(INDIRECT("'"&amp;A1861&amp;"'!D"&amp;G1861)),0))))))))))))</f>
        <v>0</v>
      </c>
      <c r="M1861" s="36">
        <f>IFERROR(IF(NOT(ISBLANK(KPI_TARGETS!$O$21)),KPI_TARGETS!$O$21,IF(NOT(ISBLANK(KPI_TARGETS!$F$21)),KPI_TARGETS!$F$21,"")),"")</f>
        <v>0</v>
      </c>
      <c r="N1861" s="36" t="str">
        <f>IFERROR(KPI_TARGETS!$E$21,"Higher is better")</f>
        <v>Lower is better</v>
      </c>
      <c r="O1861" s="37">
        <f t="shared" ca="1" si="174"/>
        <v>1</v>
      </c>
      <c r="P1861" t="str">
        <f t="shared" ca="1" si="175"/>
        <v>Green</v>
      </c>
      <c r="Q1861" s="36">
        <f t="shared" ca="1" si="176"/>
        <v>0</v>
      </c>
      <c r="R1861" s="36" t="str">
        <f>""</f>
        <v/>
      </c>
      <c r="S1861" s="36" t="str">
        <f>""</f>
        <v/>
      </c>
      <c r="T1861" s="36" t="str">
        <f>""</f>
        <v/>
      </c>
      <c r="U1861" s="36" t="str">
        <f>""</f>
        <v/>
      </c>
      <c r="V1861" s="36" t="str">
        <f>""</f>
        <v/>
      </c>
      <c r="W1861" s="36">
        <f t="shared" si="177"/>
        <v>1</v>
      </c>
      <c r="X1861" t="str">
        <f t="shared" si="178"/>
        <v>Inactive</v>
      </c>
      <c r="Y1861" t="str">
        <f>IF(MAIN!$H$3="Selected Year",IF(A1861=MAIN!$B$3,"Yes","No"),IF(MAIN!$H$3="Included Years",IF(D1861="Yes","Yes","No"),IF(C1861="Yes","Yes","No")))</f>
        <v>No</v>
      </c>
      <c r="Z1861" t="str">
        <f>IF(MAIN!$F$3="Project to Date",IF(AND(A1861&gt;=SETTINGS!$B$4,A1861&lt;MAIN!$B$3),"Yes",IF(AND(A1861=MAIN!$B$3,E1861&lt;=MAIN!$L$3),"Yes","No")),IF(OR(MAIN!$F$3="Full Year",MAIN!$D$3="All"),"Yes",IF(MAIN!$F$3="Monthly",IF(E1861=MAIN!$L$3,"Yes","No"),IF(E1861&lt;=MAIN!$L$3,"Yes","No"))))</f>
        <v>Yes</v>
      </c>
      <c r="AA1861" t="str">
        <f t="shared" si="179"/>
        <v>No</v>
      </c>
    </row>
    <row r="1862" spans="1:27" x14ac:dyDescent="0.3">
      <c r="A1862">
        <f>INDEX(SETTINGS!$A$15:$A$24,$B1862)</f>
        <v>2033</v>
      </c>
      <c r="B1862">
        <v>9</v>
      </c>
      <c r="C1862" t="str">
        <f>IF(AND(A1862&gt;=SETTINGS!$B$4,A1862&lt;=SETTINGS!$B$5),"Yes","No")</f>
        <v>No</v>
      </c>
      <c r="D1862" t="str">
        <f>IFERROR(INDEX(SETTINGS!$C$15:$C$24,MATCH(A1862,SETTINGS!$A$15:$A$24,0)),"No")</f>
        <v>No</v>
      </c>
      <c r="E1862">
        <v>2</v>
      </c>
      <c r="F1862" t="s">
        <v>35</v>
      </c>
      <c r="G1862">
        <v>53</v>
      </c>
      <c r="H1862" t="s">
        <v>111</v>
      </c>
      <c r="I1862" t="s">
        <v>30</v>
      </c>
      <c r="J1862" t="s">
        <v>32</v>
      </c>
      <c r="K1862" t="s">
        <v>3</v>
      </c>
      <c r="L1862" s="36">
        <f ca="1">IF(C1862&lt;&gt;"Yes",0,IF(A1862=2025,N('2025'!D53),IF(A1862=2026,N('2026'!D53),IF(A1862=2027,N('2027'!D53),IF(A1862=2028,N('2028'!D53),IF(A1862=2029,N('2029'!D53),IF(A1862=2030,N('2030'!D53),IF(A1862=2031,N('2031'!D53),IF(A1862=2032,N('2032'!D53),IF(A1862=2033,N('2033'!D53),IF(A1862=2034,N('2034'!D53),IFERROR(N(INDIRECT("'"&amp;A1862&amp;"'!D"&amp;G1862)),0))))))))))))</f>
        <v>0</v>
      </c>
      <c r="M1862" s="36">
        <f>IFERROR(IF(NOT(ISBLANK(KPI_TARGETS!$O$22)),KPI_TARGETS!$O$22,IF(NOT(ISBLANK(KPI_TARGETS!$F$22)),KPI_TARGETS!$F$22,"")),"")</f>
        <v>1</v>
      </c>
      <c r="N1862" s="36" t="str">
        <f>IFERROR(KPI_TARGETS!$E$22,"Higher is better")</f>
        <v>Higher is better</v>
      </c>
      <c r="O1862" s="37">
        <f t="shared" ca="1" si="174"/>
        <v>0</v>
      </c>
      <c r="P1862" t="str">
        <f t="shared" ca="1" si="175"/>
        <v>Red</v>
      </c>
      <c r="Q1862" s="36">
        <f t="shared" ca="1" si="176"/>
        <v>-1</v>
      </c>
      <c r="R1862" s="36" t="str">
        <f>""</f>
        <v/>
      </c>
      <c r="S1862" s="36" t="str">
        <f>""</f>
        <v/>
      </c>
      <c r="T1862" s="36" t="str">
        <f>""</f>
        <v/>
      </c>
      <c r="U1862" s="36" t="str">
        <f>""</f>
        <v/>
      </c>
      <c r="V1862" s="36" t="str">
        <f>""</f>
        <v/>
      </c>
      <c r="W1862" s="36">
        <f t="shared" si="177"/>
        <v>1</v>
      </c>
      <c r="X1862" t="str">
        <f t="shared" si="178"/>
        <v>Inactive</v>
      </c>
      <c r="Y1862" t="str">
        <f>IF(MAIN!$H$3="Selected Year",IF(A1862=MAIN!$B$3,"Yes","No"),IF(MAIN!$H$3="Included Years",IF(D1862="Yes","Yes","No"),IF(C1862="Yes","Yes","No")))</f>
        <v>No</v>
      </c>
      <c r="Z1862" t="str">
        <f>IF(MAIN!$F$3="Project to Date",IF(AND(A1862&gt;=SETTINGS!$B$4,A1862&lt;MAIN!$B$3),"Yes",IF(AND(A1862=MAIN!$B$3,E1862&lt;=MAIN!$L$3),"Yes","No")),IF(OR(MAIN!$F$3="Full Year",MAIN!$D$3="All"),"Yes",IF(MAIN!$F$3="Monthly",IF(E1862=MAIN!$L$3,"Yes","No"),IF(E1862&lt;=MAIN!$L$3,"Yes","No"))))</f>
        <v>Yes</v>
      </c>
      <c r="AA1862" t="str">
        <f t="shared" si="179"/>
        <v>No</v>
      </c>
    </row>
    <row r="1863" spans="1:27" x14ac:dyDescent="0.3">
      <c r="A1863">
        <f>INDEX(SETTINGS!$A$15:$A$24,$B1863)</f>
        <v>2033</v>
      </c>
      <c r="B1863">
        <v>9</v>
      </c>
      <c r="C1863" t="str">
        <f>IF(AND(A1863&gt;=SETTINGS!$B$4,A1863&lt;=SETTINGS!$B$5),"Yes","No")</f>
        <v>No</v>
      </c>
      <c r="D1863" t="str">
        <f>IFERROR(INDEX(SETTINGS!$C$15:$C$24,MATCH(A1863,SETTINGS!$A$15:$A$24,0)),"No")</f>
        <v>No</v>
      </c>
      <c r="E1863">
        <v>2</v>
      </c>
      <c r="F1863" t="s">
        <v>35</v>
      </c>
      <c r="G1863">
        <v>54</v>
      </c>
      <c r="H1863" t="s">
        <v>112</v>
      </c>
      <c r="I1863" t="s">
        <v>30</v>
      </c>
      <c r="J1863" t="s">
        <v>33</v>
      </c>
      <c r="K1863" t="s">
        <v>34</v>
      </c>
      <c r="L1863" s="36">
        <f ca="1">IF(C1863&lt;&gt;"Yes",0,IF(A1863=2025,N('2025'!D54),IF(A1863=2026,N('2026'!D54),IF(A1863=2027,N('2027'!D54),IF(A1863=2028,N('2028'!D54),IF(A1863=2029,N('2029'!D54),IF(A1863=2030,N('2030'!D54),IF(A1863=2031,N('2031'!D54),IF(A1863=2032,N('2032'!D54),IF(A1863=2033,N('2033'!D54),IF(A1863=2034,N('2034'!D54),IFERROR(N(INDIRECT("'"&amp;A1863&amp;"'!D"&amp;G1863)),0))))))))))))</f>
        <v>0</v>
      </c>
      <c r="M1863" s="36">
        <f>IFERROR(IF(NOT(ISBLANK(KPI_TARGETS!$O$23)),KPI_TARGETS!$O$23,IF(NOT(ISBLANK(KPI_TARGETS!$F$23)),KPI_TARGETS!$F$23,"")),"")</f>
        <v>1</v>
      </c>
      <c r="N1863" s="36" t="str">
        <f>IFERROR(KPI_TARGETS!$E$23,"Higher is better")</f>
        <v>Higher is better</v>
      </c>
      <c r="O1863" s="37">
        <f t="shared" ca="1" si="174"/>
        <v>0</v>
      </c>
      <c r="P1863" t="str">
        <f t="shared" ca="1" si="175"/>
        <v>Red</v>
      </c>
      <c r="Q1863" s="36">
        <f t="shared" ca="1" si="176"/>
        <v>-1</v>
      </c>
      <c r="R1863" s="36" t="str">
        <f>""</f>
        <v/>
      </c>
      <c r="S1863" s="36" t="str">
        <f>""</f>
        <v/>
      </c>
      <c r="T1863" s="36" t="str">
        <f>""</f>
        <v/>
      </c>
      <c r="U1863" s="36" t="str">
        <f>""</f>
        <v/>
      </c>
      <c r="V1863" s="36" t="str">
        <f>""</f>
        <v/>
      </c>
      <c r="W1863" s="36">
        <f t="shared" si="177"/>
        <v>1</v>
      </c>
      <c r="X1863" t="str">
        <f t="shared" si="178"/>
        <v>Inactive</v>
      </c>
      <c r="Y1863" t="str">
        <f>IF(MAIN!$H$3="Selected Year",IF(A1863=MAIN!$B$3,"Yes","No"),IF(MAIN!$H$3="Included Years",IF(D1863="Yes","Yes","No"),IF(C1863="Yes","Yes","No")))</f>
        <v>No</v>
      </c>
      <c r="Z1863" t="str">
        <f>IF(MAIN!$F$3="Project to Date",IF(AND(A1863&gt;=SETTINGS!$B$4,A1863&lt;MAIN!$B$3),"Yes",IF(AND(A1863=MAIN!$B$3,E1863&lt;=MAIN!$L$3),"Yes","No")),IF(OR(MAIN!$F$3="Full Year",MAIN!$D$3="All"),"Yes",IF(MAIN!$F$3="Monthly",IF(E1863=MAIN!$L$3,"Yes","No"),IF(E1863&lt;=MAIN!$L$3,"Yes","No"))))</f>
        <v>Yes</v>
      </c>
      <c r="AA1863" t="str">
        <f t="shared" si="179"/>
        <v>No</v>
      </c>
    </row>
    <row r="1864" spans="1:27" x14ac:dyDescent="0.3">
      <c r="A1864">
        <f>INDEX(SETTINGS!$A$15:$A$24,$B1864)</f>
        <v>2033</v>
      </c>
      <c r="B1864">
        <v>9</v>
      </c>
      <c r="C1864" t="str">
        <f>IF(AND(A1864&gt;=SETTINGS!$B$4,A1864&lt;=SETTINGS!$B$5),"Yes","No")</f>
        <v>No</v>
      </c>
      <c r="D1864" t="str">
        <f>IFERROR(INDEX(SETTINGS!$C$15:$C$24,MATCH(A1864,SETTINGS!$A$15:$A$24,0)),"No")</f>
        <v>No</v>
      </c>
      <c r="E1864">
        <v>3</v>
      </c>
      <c r="F1864" t="s">
        <v>36</v>
      </c>
      <c r="G1864">
        <v>57</v>
      </c>
      <c r="H1864" t="s">
        <v>88</v>
      </c>
      <c r="I1864" t="s">
        <v>89</v>
      </c>
      <c r="J1864" t="s">
        <v>10</v>
      </c>
      <c r="K1864" t="s">
        <v>3</v>
      </c>
      <c r="L1864" s="36">
        <f ca="1">IF(C1864&lt;&gt;"Yes",0,IF(A1864=2025,N('2025'!D57),IF(A1864=2026,N('2026'!D57),IF(A1864=2027,N('2027'!D57),IF(A1864=2028,N('2028'!D57),IF(A1864=2029,N('2029'!D57),IF(A1864=2030,N('2030'!D57),IF(A1864=2031,N('2031'!D57),IF(A1864=2032,N('2032'!D57),IF(A1864=2033,N('2033'!D57),IF(A1864=2034,N('2034'!D57),IFERROR(N(INDIRECT("'"&amp;A1864&amp;"'!D"&amp;G1864)),0))))))))))))</f>
        <v>0</v>
      </c>
      <c r="M1864" s="36">
        <f>IFERROR(IF(NOT(ISBLANK(KPI_TARGETS!$O$5)),KPI_TARGETS!$O$5,IF(NOT(ISBLANK(KPI_TARGETS!$F$5)),KPI_TARGETS!$F$5,"")),"")</f>
        <v>104</v>
      </c>
      <c r="N1864" s="36" t="str">
        <f>IFERROR(KPI_TARGETS!$E$5,"Higher is better")</f>
        <v>Higher is better</v>
      </c>
      <c r="O1864" s="37">
        <f t="shared" ca="1" si="174"/>
        <v>0</v>
      </c>
      <c r="P1864" t="str">
        <f t="shared" ca="1" si="175"/>
        <v>Red</v>
      </c>
      <c r="Q1864" s="36">
        <f t="shared" ca="1" si="176"/>
        <v>-104</v>
      </c>
      <c r="R1864" s="36" t="str">
        <f>""</f>
        <v/>
      </c>
      <c r="S1864" s="36" t="str">
        <f>""</f>
        <v/>
      </c>
      <c r="T1864" s="36" t="str">
        <f>""</f>
        <v/>
      </c>
      <c r="U1864" s="36" t="str">
        <f>""</f>
        <v/>
      </c>
      <c r="V1864" s="36" t="str">
        <f>""</f>
        <v/>
      </c>
      <c r="W1864" s="36">
        <f t="shared" si="177"/>
        <v>1</v>
      </c>
      <c r="X1864" t="str">
        <f t="shared" si="178"/>
        <v>Inactive</v>
      </c>
      <c r="Y1864" t="str">
        <f>IF(MAIN!$H$3="Selected Year",IF(A1864=MAIN!$B$3,"Yes","No"),IF(MAIN!$H$3="Included Years",IF(D1864="Yes","Yes","No"),IF(C1864="Yes","Yes","No")))</f>
        <v>No</v>
      </c>
      <c r="Z1864" t="str">
        <f>IF(MAIN!$F$3="Project to Date",IF(AND(A1864&gt;=SETTINGS!$B$4,A1864&lt;MAIN!$B$3),"Yes",IF(AND(A1864=MAIN!$B$3,E1864&lt;=MAIN!$L$3),"Yes","No")),IF(OR(MAIN!$F$3="Full Year",MAIN!$D$3="All"),"Yes",IF(MAIN!$F$3="Monthly",IF(E1864=MAIN!$L$3,"Yes","No"),IF(E1864&lt;=MAIN!$L$3,"Yes","No"))))</f>
        <v>Yes</v>
      </c>
      <c r="AA1864" t="str">
        <f t="shared" si="179"/>
        <v>No</v>
      </c>
    </row>
    <row r="1865" spans="1:27" x14ac:dyDescent="0.3">
      <c r="A1865">
        <f>INDEX(SETTINGS!$A$15:$A$24,$B1865)</f>
        <v>2033</v>
      </c>
      <c r="B1865">
        <v>9</v>
      </c>
      <c r="C1865" t="str">
        <f>IF(AND(A1865&gt;=SETTINGS!$B$4,A1865&lt;=SETTINGS!$B$5),"Yes","No")</f>
        <v>No</v>
      </c>
      <c r="D1865" t="str">
        <f>IFERROR(INDEX(SETTINGS!$C$15:$C$24,MATCH(A1865,SETTINGS!$A$15:$A$24,0)),"No")</f>
        <v>No</v>
      </c>
      <c r="E1865">
        <v>3</v>
      </c>
      <c r="F1865" t="s">
        <v>36</v>
      </c>
      <c r="G1865">
        <v>58</v>
      </c>
      <c r="H1865" t="s">
        <v>91</v>
      </c>
      <c r="I1865" t="s">
        <v>89</v>
      </c>
      <c r="J1865" t="s">
        <v>11</v>
      </c>
      <c r="K1865" t="s">
        <v>12</v>
      </c>
      <c r="L1865" s="36">
        <f ca="1">IF(C1865&lt;&gt;"Yes",0,IF(A1865=2025,N('2025'!D58),IF(A1865=2026,N('2026'!D58),IF(A1865=2027,N('2027'!D58),IF(A1865=2028,N('2028'!D58),IF(A1865=2029,N('2029'!D58),IF(A1865=2030,N('2030'!D58),IF(A1865=2031,N('2031'!D58),IF(A1865=2032,N('2032'!D58),IF(A1865=2033,N('2033'!D58),IF(A1865=2034,N('2034'!D58),IFERROR(N(INDIRECT("'"&amp;A1865&amp;"'!D"&amp;G1865)),0))))))))))))</f>
        <v>0</v>
      </c>
      <c r="M1865" s="36">
        <f>IFERROR(IF(NOT(ISBLANK(KPI_TARGETS!$O$6)),KPI_TARGETS!$O$6,IF(NOT(ISBLANK(KPI_TARGETS!$F$6)),KPI_TARGETS!$F$6,"")),"")</f>
        <v>4000</v>
      </c>
      <c r="N1865" s="36" t="str">
        <f>IFERROR(KPI_TARGETS!$E$6,"Higher is better")</f>
        <v>Higher is better</v>
      </c>
      <c r="O1865" s="37">
        <f t="shared" ca="1" si="174"/>
        <v>0</v>
      </c>
      <c r="P1865" t="str">
        <f t="shared" ca="1" si="175"/>
        <v>Red</v>
      </c>
      <c r="Q1865" s="36">
        <f t="shared" ca="1" si="176"/>
        <v>-4000</v>
      </c>
      <c r="R1865" s="36" t="str">
        <f>""</f>
        <v/>
      </c>
      <c r="S1865" s="36" t="str">
        <f>""</f>
        <v/>
      </c>
      <c r="T1865" s="36" t="str">
        <f>""</f>
        <v/>
      </c>
      <c r="U1865" s="36" t="str">
        <f>""</f>
        <v/>
      </c>
      <c r="V1865" s="36" t="str">
        <f>""</f>
        <v/>
      </c>
      <c r="W1865" s="36">
        <f t="shared" si="177"/>
        <v>1</v>
      </c>
      <c r="X1865" t="str">
        <f t="shared" si="178"/>
        <v>Inactive</v>
      </c>
      <c r="Y1865" t="str">
        <f>IF(MAIN!$H$3="Selected Year",IF(A1865=MAIN!$B$3,"Yes","No"),IF(MAIN!$H$3="Included Years",IF(D1865="Yes","Yes","No"),IF(C1865="Yes","Yes","No")))</f>
        <v>No</v>
      </c>
      <c r="Z1865" t="str">
        <f>IF(MAIN!$F$3="Project to Date",IF(AND(A1865&gt;=SETTINGS!$B$4,A1865&lt;MAIN!$B$3),"Yes",IF(AND(A1865=MAIN!$B$3,E1865&lt;=MAIN!$L$3),"Yes","No")),IF(OR(MAIN!$F$3="Full Year",MAIN!$D$3="All"),"Yes",IF(MAIN!$F$3="Monthly",IF(E1865=MAIN!$L$3,"Yes","No"),IF(E1865&lt;=MAIN!$L$3,"Yes","No"))))</f>
        <v>Yes</v>
      </c>
      <c r="AA1865" t="str">
        <f t="shared" si="179"/>
        <v>No</v>
      </c>
    </row>
    <row r="1866" spans="1:27" x14ac:dyDescent="0.3">
      <c r="A1866">
        <f>INDEX(SETTINGS!$A$15:$A$24,$B1866)</f>
        <v>2033</v>
      </c>
      <c r="B1866">
        <v>9</v>
      </c>
      <c r="C1866" t="str">
        <f>IF(AND(A1866&gt;=SETTINGS!$B$4,A1866&lt;=SETTINGS!$B$5),"Yes","No")</f>
        <v>No</v>
      </c>
      <c r="D1866" t="str">
        <f>IFERROR(INDEX(SETTINGS!$C$15:$C$24,MATCH(A1866,SETTINGS!$A$15:$A$24,0)),"No")</f>
        <v>No</v>
      </c>
      <c r="E1866">
        <v>3</v>
      </c>
      <c r="F1866" t="s">
        <v>36</v>
      </c>
      <c r="G1866">
        <v>59</v>
      </c>
      <c r="H1866" t="s">
        <v>93</v>
      </c>
      <c r="I1866" t="s">
        <v>89</v>
      </c>
      <c r="J1866" t="s">
        <v>13</v>
      </c>
      <c r="K1866" t="s">
        <v>14</v>
      </c>
      <c r="L1866" s="36">
        <f ca="1">IF(C1866&lt;&gt;"Yes",0,IF(A1866=2025,N('2025'!D59),IF(A1866=2026,N('2026'!D59),IF(A1866=2027,N('2027'!D59),IF(A1866=2028,N('2028'!D59),IF(A1866=2029,N('2029'!D59),IF(A1866=2030,N('2030'!D59),IF(A1866=2031,N('2031'!D59),IF(A1866=2032,N('2032'!D59),IF(A1866=2033,N('2033'!D59),IF(A1866=2034,N('2034'!D59),IFERROR(N(INDIRECT("'"&amp;A1866&amp;"'!D"&amp;G1866)),0))))))))))))</f>
        <v>0</v>
      </c>
      <c r="M1866" s="36">
        <f>IFERROR(IF(NOT(ISBLANK(KPI_TARGETS!$O$7)),KPI_TARGETS!$O$7,IF(NOT(ISBLANK(KPI_TARGETS!$F$7)),KPI_TARGETS!$F$7,"")),"")</f>
        <v>8000</v>
      </c>
      <c r="N1866" s="36" t="str">
        <f>IFERROR(KPI_TARGETS!$E$7,"Higher is better")</f>
        <v>Higher is better</v>
      </c>
      <c r="O1866" s="37">
        <f t="shared" ca="1" si="174"/>
        <v>0</v>
      </c>
      <c r="P1866" t="str">
        <f t="shared" ca="1" si="175"/>
        <v>Red</v>
      </c>
      <c r="Q1866" s="36">
        <f t="shared" ca="1" si="176"/>
        <v>-8000</v>
      </c>
      <c r="R1866" s="36" t="str">
        <f>""</f>
        <v/>
      </c>
      <c r="S1866" s="36" t="str">
        <f>""</f>
        <v/>
      </c>
      <c r="T1866" s="36" t="str">
        <f>""</f>
        <v/>
      </c>
      <c r="U1866" s="36" t="str">
        <f>""</f>
        <v/>
      </c>
      <c r="V1866" s="36" t="str">
        <f>""</f>
        <v/>
      </c>
      <c r="W1866" s="36">
        <f t="shared" si="177"/>
        <v>1</v>
      </c>
      <c r="X1866" t="str">
        <f t="shared" si="178"/>
        <v>Inactive</v>
      </c>
      <c r="Y1866" t="str">
        <f>IF(MAIN!$H$3="Selected Year",IF(A1866=MAIN!$B$3,"Yes","No"),IF(MAIN!$H$3="Included Years",IF(D1866="Yes","Yes","No"),IF(C1866="Yes","Yes","No")))</f>
        <v>No</v>
      </c>
      <c r="Z1866" t="str">
        <f>IF(MAIN!$F$3="Project to Date",IF(AND(A1866&gt;=SETTINGS!$B$4,A1866&lt;MAIN!$B$3),"Yes",IF(AND(A1866=MAIN!$B$3,E1866&lt;=MAIN!$L$3),"Yes","No")),IF(OR(MAIN!$F$3="Full Year",MAIN!$D$3="All"),"Yes",IF(MAIN!$F$3="Monthly",IF(E1866=MAIN!$L$3,"Yes","No"),IF(E1866&lt;=MAIN!$L$3,"Yes","No"))))</f>
        <v>Yes</v>
      </c>
      <c r="AA1866" t="str">
        <f t="shared" si="179"/>
        <v>No</v>
      </c>
    </row>
    <row r="1867" spans="1:27" x14ac:dyDescent="0.3">
      <c r="A1867">
        <f>INDEX(SETTINGS!$A$15:$A$24,$B1867)</f>
        <v>2033</v>
      </c>
      <c r="B1867">
        <v>9</v>
      </c>
      <c r="C1867" t="str">
        <f>IF(AND(A1867&gt;=SETTINGS!$B$4,A1867&lt;=SETTINGS!$B$5),"Yes","No")</f>
        <v>No</v>
      </c>
      <c r="D1867" t="str">
        <f>IFERROR(INDEX(SETTINGS!$C$15:$C$24,MATCH(A1867,SETTINGS!$A$15:$A$24,0)),"No")</f>
        <v>No</v>
      </c>
      <c r="E1867">
        <v>3</v>
      </c>
      <c r="F1867" t="s">
        <v>36</v>
      </c>
      <c r="G1867">
        <v>61</v>
      </c>
      <c r="H1867" t="s">
        <v>95</v>
      </c>
      <c r="I1867" t="s">
        <v>15</v>
      </c>
      <c r="J1867" t="s">
        <v>16</v>
      </c>
      <c r="K1867" t="s">
        <v>3</v>
      </c>
      <c r="L1867" s="36">
        <f ca="1">IF(C1867&lt;&gt;"Yes",0,IF(A1867=2025,N('2025'!D61),IF(A1867=2026,N('2026'!D61),IF(A1867=2027,N('2027'!D61),IF(A1867=2028,N('2028'!D61),IF(A1867=2029,N('2029'!D61),IF(A1867=2030,N('2030'!D61),IF(A1867=2031,N('2031'!D61),IF(A1867=2032,N('2032'!D61),IF(A1867=2033,N('2033'!D61),IF(A1867=2034,N('2034'!D61),IFERROR(N(INDIRECT("'"&amp;A1867&amp;"'!D"&amp;G1867)),0))))))))))))</f>
        <v>0</v>
      </c>
      <c r="M1867" s="36">
        <f>IFERROR(IF(NOT(ISBLANK(KPI_TARGETS!$O$8)),KPI_TARGETS!$O$8,IF(NOT(ISBLANK(KPI_TARGETS!$F$8)),KPI_TARGETS!$F$8,"")),"")</f>
        <v>0</v>
      </c>
      <c r="N1867" s="36" t="str">
        <f>IFERROR(KPI_TARGETS!$E$8,"Higher is better")</f>
        <v>Lower is better</v>
      </c>
      <c r="O1867" s="37">
        <f t="shared" ca="1" si="174"/>
        <v>1</v>
      </c>
      <c r="P1867" t="str">
        <f t="shared" ca="1" si="175"/>
        <v>Green</v>
      </c>
      <c r="Q1867" s="36">
        <f t="shared" ca="1" si="176"/>
        <v>0</v>
      </c>
      <c r="R1867" s="36" t="str">
        <f>""</f>
        <v/>
      </c>
      <c r="S1867" s="36" t="str">
        <f>""</f>
        <v/>
      </c>
      <c r="T1867" s="36" t="str">
        <f>""</f>
        <v/>
      </c>
      <c r="U1867" s="36" t="str">
        <f>""</f>
        <v/>
      </c>
      <c r="V1867" s="36" t="str">
        <f>""</f>
        <v/>
      </c>
      <c r="W1867" s="36">
        <f t="shared" si="177"/>
        <v>1</v>
      </c>
      <c r="X1867" t="str">
        <f t="shared" si="178"/>
        <v>Inactive</v>
      </c>
      <c r="Y1867" t="str">
        <f>IF(MAIN!$H$3="Selected Year",IF(A1867=MAIN!$B$3,"Yes","No"),IF(MAIN!$H$3="Included Years",IF(D1867="Yes","Yes","No"),IF(C1867="Yes","Yes","No")))</f>
        <v>No</v>
      </c>
      <c r="Z1867" t="str">
        <f>IF(MAIN!$F$3="Project to Date",IF(AND(A1867&gt;=SETTINGS!$B$4,A1867&lt;MAIN!$B$3),"Yes",IF(AND(A1867=MAIN!$B$3,E1867&lt;=MAIN!$L$3),"Yes","No")),IF(OR(MAIN!$F$3="Full Year",MAIN!$D$3="All"),"Yes",IF(MAIN!$F$3="Monthly",IF(E1867=MAIN!$L$3,"Yes","No"),IF(E1867&lt;=MAIN!$L$3,"Yes","No"))))</f>
        <v>Yes</v>
      </c>
      <c r="AA1867" t="str">
        <f t="shared" si="179"/>
        <v>No</v>
      </c>
    </row>
    <row r="1868" spans="1:27" x14ac:dyDescent="0.3">
      <c r="A1868">
        <f>INDEX(SETTINGS!$A$15:$A$24,$B1868)</f>
        <v>2033</v>
      </c>
      <c r="B1868">
        <v>9</v>
      </c>
      <c r="C1868" t="str">
        <f>IF(AND(A1868&gt;=SETTINGS!$B$4,A1868&lt;=SETTINGS!$B$5),"Yes","No")</f>
        <v>No</v>
      </c>
      <c r="D1868" t="str">
        <f>IFERROR(INDEX(SETTINGS!$C$15:$C$24,MATCH(A1868,SETTINGS!$A$15:$A$24,0)),"No")</f>
        <v>No</v>
      </c>
      <c r="E1868">
        <v>3</v>
      </c>
      <c r="F1868" t="s">
        <v>36</v>
      </c>
      <c r="G1868">
        <v>62</v>
      </c>
      <c r="H1868" t="s">
        <v>97</v>
      </c>
      <c r="I1868" t="s">
        <v>15</v>
      </c>
      <c r="J1868" t="s">
        <v>17</v>
      </c>
      <c r="K1868" t="s">
        <v>3</v>
      </c>
      <c r="L1868" s="36">
        <f ca="1">IF(C1868&lt;&gt;"Yes",0,IF(A1868=2025,N('2025'!D62),IF(A1868=2026,N('2026'!D62),IF(A1868=2027,N('2027'!D62),IF(A1868=2028,N('2028'!D62),IF(A1868=2029,N('2029'!D62),IF(A1868=2030,N('2030'!D62),IF(A1868=2031,N('2031'!D62),IF(A1868=2032,N('2032'!D62),IF(A1868=2033,N('2033'!D62),IF(A1868=2034,N('2034'!D62),IFERROR(N(INDIRECT("'"&amp;A1868&amp;"'!D"&amp;G1868)),0))))))))))))</f>
        <v>0</v>
      </c>
      <c r="M1868" s="36">
        <f>IFERROR(IF(NOT(ISBLANK(KPI_TARGETS!$O$9)),KPI_TARGETS!$O$9,IF(NOT(ISBLANK(KPI_TARGETS!$F$9)),KPI_TARGETS!$F$9,"")),"")</f>
        <v>0</v>
      </c>
      <c r="N1868" s="36" t="str">
        <f>IFERROR(KPI_TARGETS!$E$9,"Higher is better")</f>
        <v>Higher is better</v>
      </c>
      <c r="O1868" s="37" t="str">
        <f t="shared" ca="1" si="174"/>
        <v/>
      </c>
      <c r="P1868" t="str">
        <f t="shared" ca="1" si="175"/>
        <v>Green</v>
      </c>
      <c r="Q1868" s="36">
        <f t="shared" ca="1" si="176"/>
        <v>0</v>
      </c>
      <c r="R1868" s="36" t="str">
        <f>""</f>
        <v/>
      </c>
      <c r="S1868" s="36" t="str">
        <f>""</f>
        <v/>
      </c>
      <c r="T1868" s="36" t="str">
        <f>""</f>
        <v/>
      </c>
      <c r="U1868" s="36" t="str">
        <f>""</f>
        <v/>
      </c>
      <c r="V1868" s="36" t="str">
        <f>""</f>
        <v/>
      </c>
      <c r="W1868" s="36">
        <f t="shared" si="177"/>
        <v>1</v>
      </c>
      <c r="X1868" t="str">
        <f t="shared" si="178"/>
        <v>Inactive</v>
      </c>
      <c r="Y1868" t="str">
        <f>IF(MAIN!$H$3="Selected Year",IF(A1868=MAIN!$B$3,"Yes","No"),IF(MAIN!$H$3="Included Years",IF(D1868="Yes","Yes","No"),IF(C1868="Yes","Yes","No")))</f>
        <v>No</v>
      </c>
      <c r="Z1868" t="str">
        <f>IF(MAIN!$F$3="Project to Date",IF(AND(A1868&gt;=SETTINGS!$B$4,A1868&lt;MAIN!$B$3),"Yes",IF(AND(A1868=MAIN!$B$3,E1868&lt;=MAIN!$L$3),"Yes","No")),IF(OR(MAIN!$F$3="Full Year",MAIN!$D$3="All"),"Yes",IF(MAIN!$F$3="Monthly",IF(E1868=MAIN!$L$3,"Yes","No"),IF(E1868&lt;=MAIN!$L$3,"Yes","No"))))</f>
        <v>Yes</v>
      </c>
      <c r="AA1868" t="str">
        <f t="shared" si="179"/>
        <v>No</v>
      </c>
    </row>
    <row r="1869" spans="1:27" x14ac:dyDescent="0.3">
      <c r="A1869">
        <f>INDEX(SETTINGS!$A$15:$A$24,$B1869)</f>
        <v>2033</v>
      </c>
      <c r="B1869">
        <v>9</v>
      </c>
      <c r="C1869" t="str">
        <f>IF(AND(A1869&gt;=SETTINGS!$B$4,A1869&lt;=SETTINGS!$B$5),"Yes","No")</f>
        <v>No</v>
      </c>
      <c r="D1869" t="str">
        <f>IFERROR(INDEX(SETTINGS!$C$15:$C$24,MATCH(A1869,SETTINGS!$A$15:$A$24,0)),"No")</f>
        <v>No</v>
      </c>
      <c r="E1869">
        <v>3</v>
      </c>
      <c r="F1869" t="s">
        <v>36</v>
      </c>
      <c r="G1869">
        <v>63</v>
      </c>
      <c r="H1869" t="s">
        <v>99</v>
      </c>
      <c r="I1869" t="s">
        <v>15</v>
      </c>
      <c r="J1869" t="s">
        <v>18</v>
      </c>
      <c r="K1869" t="s">
        <v>3</v>
      </c>
      <c r="L1869" s="36">
        <f ca="1">IF(C1869&lt;&gt;"Yes",0,IF(A1869=2025,N('2025'!D63),IF(A1869=2026,N('2026'!D63),IF(A1869=2027,N('2027'!D63),IF(A1869=2028,N('2028'!D63),IF(A1869=2029,N('2029'!D63),IF(A1869=2030,N('2030'!D63),IF(A1869=2031,N('2031'!D63),IF(A1869=2032,N('2032'!D63),IF(A1869=2033,N('2033'!D63),IF(A1869=2034,N('2034'!D63),IFERROR(N(INDIRECT("'"&amp;A1869&amp;"'!D"&amp;G1869)),0))))))))))))</f>
        <v>0</v>
      </c>
      <c r="M1869" s="36">
        <f>IFERROR(IF(NOT(ISBLANK(KPI_TARGETS!$O$10)),KPI_TARGETS!$O$10,IF(NOT(ISBLANK(KPI_TARGETS!$F$10)),KPI_TARGETS!$F$10,"")),"")</f>
        <v>0</v>
      </c>
      <c r="N1869" s="36" t="str">
        <f>IFERROR(KPI_TARGETS!$E$10,"Higher is better")</f>
        <v>Lower is better</v>
      </c>
      <c r="O1869" s="37">
        <f t="shared" ca="1" si="174"/>
        <v>1</v>
      </c>
      <c r="P1869" t="str">
        <f t="shared" ca="1" si="175"/>
        <v>Green</v>
      </c>
      <c r="Q1869" s="36">
        <f t="shared" ca="1" si="176"/>
        <v>0</v>
      </c>
      <c r="R1869" s="36" t="str">
        <f>""</f>
        <v/>
      </c>
      <c r="S1869" s="36" t="str">
        <f>""</f>
        <v/>
      </c>
      <c r="T1869" s="36" t="str">
        <f>""</f>
        <v/>
      </c>
      <c r="U1869" s="36" t="str">
        <f>""</f>
        <v/>
      </c>
      <c r="V1869" s="36" t="str">
        <f>""</f>
        <v/>
      </c>
      <c r="W1869" s="36">
        <f t="shared" si="177"/>
        <v>1</v>
      </c>
      <c r="X1869" t="str">
        <f t="shared" si="178"/>
        <v>Inactive</v>
      </c>
      <c r="Y1869" t="str">
        <f>IF(MAIN!$H$3="Selected Year",IF(A1869=MAIN!$B$3,"Yes","No"),IF(MAIN!$H$3="Included Years",IF(D1869="Yes","Yes","No"),IF(C1869="Yes","Yes","No")))</f>
        <v>No</v>
      </c>
      <c r="Z1869" t="str">
        <f>IF(MAIN!$F$3="Project to Date",IF(AND(A1869&gt;=SETTINGS!$B$4,A1869&lt;MAIN!$B$3),"Yes",IF(AND(A1869=MAIN!$B$3,E1869&lt;=MAIN!$L$3),"Yes","No")),IF(OR(MAIN!$F$3="Full Year",MAIN!$D$3="All"),"Yes",IF(MAIN!$F$3="Monthly",IF(E1869=MAIN!$L$3,"Yes","No"),IF(E1869&lt;=MAIN!$L$3,"Yes","No"))))</f>
        <v>Yes</v>
      </c>
      <c r="AA1869" t="str">
        <f t="shared" si="179"/>
        <v>No</v>
      </c>
    </row>
    <row r="1870" spans="1:27" x14ac:dyDescent="0.3">
      <c r="A1870">
        <f>INDEX(SETTINGS!$A$15:$A$24,$B1870)</f>
        <v>2033</v>
      </c>
      <c r="B1870">
        <v>9</v>
      </c>
      <c r="C1870" t="str">
        <f>IF(AND(A1870&gt;=SETTINGS!$B$4,A1870&lt;=SETTINGS!$B$5),"Yes","No")</f>
        <v>No</v>
      </c>
      <c r="D1870" t="str">
        <f>IFERROR(INDEX(SETTINGS!$C$15:$C$24,MATCH(A1870,SETTINGS!$A$15:$A$24,0)),"No")</f>
        <v>No</v>
      </c>
      <c r="E1870">
        <v>3</v>
      </c>
      <c r="F1870" t="s">
        <v>36</v>
      </c>
      <c r="G1870">
        <v>64</v>
      </c>
      <c r="H1870" t="s">
        <v>100</v>
      </c>
      <c r="I1870" t="s">
        <v>15</v>
      </c>
      <c r="J1870" t="s">
        <v>19</v>
      </c>
      <c r="K1870" t="s">
        <v>3</v>
      </c>
      <c r="L1870" s="36">
        <f ca="1">IF(C1870&lt;&gt;"Yes",0,IF(A1870=2025,N('2025'!D64),IF(A1870=2026,N('2026'!D64),IF(A1870=2027,N('2027'!D64),IF(A1870=2028,N('2028'!D64),IF(A1870=2029,N('2029'!D64),IF(A1870=2030,N('2030'!D64),IF(A1870=2031,N('2031'!D64),IF(A1870=2032,N('2032'!D64),IF(A1870=2033,N('2033'!D64),IF(A1870=2034,N('2034'!D64),IFERROR(N(INDIRECT("'"&amp;A1870&amp;"'!D"&amp;G1870)),0))))))))))))</f>
        <v>0</v>
      </c>
      <c r="M1870" s="36">
        <f>IFERROR(IF(NOT(ISBLANK(KPI_TARGETS!$O$11)),KPI_TARGETS!$O$11,IF(NOT(ISBLANK(KPI_TARGETS!$F$11)),KPI_TARGETS!$F$11,"")),"")</f>
        <v>0</v>
      </c>
      <c r="N1870" s="36" t="str">
        <f>IFERROR(KPI_TARGETS!$E$11,"Higher is better")</f>
        <v>Lower is better</v>
      </c>
      <c r="O1870" s="37">
        <f t="shared" ca="1" si="174"/>
        <v>1</v>
      </c>
      <c r="P1870" t="str">
        <f t="shared" ca="1" si="175"/>
        <v>Green</v>
      </c>
      <c r="Q1870" s="36">
        <f t="shared" ca="1" si="176"/>
        <v>0</v>
      </c>
      <c r="R1870" s="36" t="str">
        <f>""</f>
        <v/>
      </c>
      <c r="S1870" s="36" t="str">
        <f>""</f>
        <v/>
      </c>
      <c r="T1870" s="36" t="str">
        <f>""</f>
        <v/>
      </c>
      <c r="U1870" s="36" t="str">
        <f>""</f>
        <v/>
      </c>
      <c r="V1870" s="36" t="str">
        <f>""</f>
        <v/>
      </c>
      <c r="W1870" s="36">
        <f t="shared" si="177"/>
        <v>1</v>
      </c>
      <c r="X1870" t="str">
        <f t="shared" si="178"/>
        <v>Inactive</v>
      </c>
      <c r="Y1870" t="str">
        <f>IF(MAIN!$H$3="Selected Year",IF(A1870=MAIN!$B$3,"Yes","No"),IF(MAIN!$H$3="Included Years",IF(D1870="Yes","Yes","No"),IF(C1870="Yes","Yes","No")))</f>
        <v>No</v>
      </c>
      <c r="Z1870" t="str">
        <f>IF(MAIN!$F$3="Project to Date",IF(AND(A1870&gt;=SETTINGS!$B$4,A1870&lt;MAIN!$B$3),"Yes",IF(AND(A1870=MAIN!$B$3,E1870&lt;=MAIN!$L$3),"Yes","No")),IF(OR(MAIN!$F$3="Full Year",MAIN!$D$3="All"),"Yes",IF(MAIN!$F$3="Monthly",IF(E1870=MAIN!$L$3,"Yes","No"),IF(E1870&lt;=MAIN!$L$3,"Yes","No"))))</f>
        <v>Yes</v>
      </c>
      <c r="AA1870" t="str">
        <f t="shared" si="179"/>
        <v>No</v>
      </c>
    </row>
    <row r="1871" spans="1:27" x14ac:dyDescent="0.3">
      <c r="A1871">
        <f>INDEX(SETTINGS!$A$15:$A$24,$B1871)</f>
        <v>2033</v>
      </c>
      <c r="B1871">
        <v>9</v>
      </c>
      <c r="C1871" t="str">
        <f>IF(AND(A1871&gt;=SETTINGS!$B$4,A1871&lt;=SETTINGS!$B$5),"Yes","No")</f>
        <v>No</v>
      </c>
      <c r="D1871" t="str">
        <f>IFERROR(INDEX(SETTINGS!$C$15:$C$24,MATCH(A1871,SETTINGS!$A$15:$A$24,0)),"No")</f>
        <v>No</v>
      </c>
      <c r="E1871">
        <v>3</v>
      </c>
      <c r="F1871" t="s">
        <v>36</v>
      </c>
      <c r="G1871">
        <v>65</v>
      </c>
      <c r="H1871" t="s">
        <v>101</v>
      </c>
      <c r="I1871" t="s">
        <v>15</v>
      </c>
      <c r="J1871" t="s">
        <v>20</v>
      </c>
      <c r="K1871" t="s">
        <v>3</v>
      </c>
      <c r="L1871" s="36">
        <f ca="1">IF(C1871&lt;&gt;"Yes",0,IF(A1871=2025,N('2025'!D65),IF(A1871=2026,N('2026'!D65),IF(A1871=2027,N('2027'!D65),IF(A1871=2028,N('2028'!D65),IF(A1871=2029,N('2029'!D65),IF(A1871=2030,N('2030'!D65),IF(A1871=2031,N('2031'!D65),IF(A1871=2032,N('2032'!D65),IF(A1871=2033,N('2033'!D65),IF(A1871=2034,N('2034'!D65),IFERROR(N(INDIRECT("'"&amp;A1871&amp;"'!D"&amp;G1871)),0))))))))))))</f>
        <v>0</v>
      </c>
      <c r="M1871" s="36">
        <f>IFERROR(IF(NOT(ISBLANK(KPI_TARGETS!$O$12)),KPI_TARGETS!$O$12,IF(NOT(ISBLANK(KPI_TARGETS!$F$12)),KPI_TARGETS!$F$12,"")),"")</f>
        <v>0</v>
      </c>
      <c r="N1871" s="36" t="str">
        <f>IFERROR(KPI_TARGETS!$E$12,"Higher is better")</f>
        <v>Lower is better</v>
      </c>
      <c r="O1871" s="37">
        <f t="shared" ca="1" si="174"/>
        <v>1</v>
      </c>
      <c r="P1871" t="str">
        <f t="shared" ca="1" si="175"/>
        <v>Green</v>
      </c>
      <c r="Q1871" s="36">
        <f t="shared" ca="1" si="176"/>
        <v>0</v>
      </c>
      <c r="R1871" s="36" t="str">
        <f>""</f>
        <v/>
      </c>
      <c r="S1871" s="36" t="str">
        <f>""</f>
        <v/>
      </c>
      <c r="T1871" s="36" t="str">
        <f>""</f>
        <v/>
      </c>
      <c r="U1871" s="36" t="str">
        <f>""</f>
        <v/>
      </c>
      <c r="V1871" s="36" t="str">
        <f>""</f>
        <v/>
      </c>
      <c r="W1871" s="36">
        <f t="shared" si="177"/>
        <v>1</v>
      </c>
      <c r="X1871" t="str">
        <f t="shared" si="178"/>
        <v>Inactive</v>
      </c>
      <c r="Y1871" t="str">
        <f>IF(MAIN!$H$3="Selected Year",IF(A1871=MAIN!$B$3,"Yes","No"),IF(MAIN!$H$3="Included Years",IF(D1871="Yes","Yes","No"),IF(C1871="Yes","Yes","No")))</f>
        <v>No</v>
      </c>
      <c r="Z1871" t="str">
        <f>IF(MAIN!$F$3="Project to Date",IF(AND(A1871&gt;=SETTINGS!$B$4,A1871&lt;MAIN!$B$3),"Yes",IF(AND(A1871=MAIN!$B$3,E1871&lt;=MAIN!$L$3),"Yes","No")),IF(OR(MAIN!$F$3="Full Year",MAIN!$D$3="All"),"Yes",IF(MAIN!$F$3="Monthly",IF(E1871=MAIN!$L$3,"Yes","No"),IF(E1871&lt;=MAIN!$L$3,"Yes","No"))))</f>
        <v>Yes</v>
      </c>
      <c r="AA1871" t="str">
        <f t="shared" si="179"/>
        <v>No</v>
      </c>
    </row>
    <row r="1872" spans="1:27" x14ac:dyDescent="0.3">
      <c r="A1872">
        <f>INDEX(SETTINGS!$A$15:$A$24,$B1872)</f>
        <v>2033</v>
      </c>
      <c r="B1872">
        <v>9</v>
      </c>
      <c r="C1872" t="str">
        <f>IF(AND(A1872&gt;=SETTINGS!$B$4,A1872&lt;=SETTINGS!$B$5),"Yes","No")</f>
        <v>No</v>
      </c>
      <c r="D1872" t="str">
        <f>IFERROR(INDEX(SETTINGS!$C$15:$C$24,MATCH(A1872,SETTINGS!$A$15:$A$24,0)),"No")</f>
        <v>No</v>
      </c>
      <c r="E1872">
        <v>3</v>
      </c>
      <c r="F1872" t="s">
        <v>36</v>
      </c>
      <c r="G1872">
        <v>66</v>
      </c>
      <c r="H1872" t="s">
        <v>102</v>
      </c>
      <c r="I1872" t="s">
        <v>15</v>
      </c>
      <c r="J1872" t="s">
        <v>21</v>
      </c>
      <c r="K1872" t="s">
        <v>3</v>
      </c>
      <c r="L1872" s="36">
        <f ca="1">IF(C1872&lt;&gt;"Yes",0,IF(A1872=2025,N('2025'!D66),IF(A1872=2026,N('2026'!D66),IF(A1872=2027,N('2027'!D66),IF(A1872=2028,N('2028'!D66),IF(A1872=2029,N('2029'!D66),IF(A1872=2030,N('2030'!D66),IF(A1872=2031,N('2031'!D66),IF(A1872=2032,N('2032'!D66),IF(A1872=2033,N('2033'!D66),IF(A1872=2034,N('2034'!D66),IFERROR(N(INDIRECT("'"&amp;A1872&amp;"'!D"&amp;G1872)),0))))))))))))</f>
        <v>0</v>
      </c>
      <c r="M1872" s="36">
        <f>IFERROR(IF(NOT(ISBLANK(KPI_TARGETS!$O$13)),KPI_TARGETS!$O$13,IF(NOT(ISBLANK(KPI_TARGETS!$F$13)),KPI_TARGETS!$F$13,"")),"")</f>
        <v>0</v>
      </c>
      <c r="N1872" s="36" t="str">
        <f>IFERROR(KPI_TARGETS!$E$13,"Higher is better")</f>
        <v>Lower is better</v>
      </c>
      <c r="O1872" s="37">
        <f t="shared" ca="1" si="174"/>
        <v>1</v>
      </c>
      <c r="P1872" t="str">
        <f t="shared" ca="1" si="175"/>
        <v>Green</v>
      </c>
      <c r="Q1872" s="36">
        <f t="shared" ca="1" si="176"/>
        <v>0</v>
      </c>
      <c r="R1872" s="36" t="str">
        <f>""</f>
        <v/>
      </c>
      <c r="S1872" s="36" t="str">
        <f>""</f>
        <v/>
      </c>
      <c r="T1872" s="36" t="str">
        <f>""</f>
        <v/>
      </c>
      <c r="U1872" s="36" t="str">
        <f>""</f>
        <v/>
      </c>
      <c r="V1872" s="36" t="str">
        <f>""</f>
        <v/>
      </c>
      <c r="W1872" s="36">
        <f t="shared" si="177"/>
        <v>1</v>
      </c>
      <c r="X1872" t="str">
        <f t="shared" si="178"/>
        <v>Inactive</v>
      </c>
      <c r="Y1872" t="str">
        <f>IF(MAIN!$H$3="Selected Year",IF(A1872=MAIN!$B$3,"Yes","No"),IF(MAIN!$H$3="Included Years",IF(D1872="Yes","Yes","No"),IF(C1872="Yes","Yes","No")))</f>
        <v>No</v>
      </c>
      <c r="Z1872" t="str">
        <f>IF(MAIN!$F$3="Project to Date",IF(AND(A1872&gt;=SETTINGS!$B$4,A1872&lt;MAIN!$B$3),"Yes",IF(AND(A1872=MAIN!$B$3,E1872&lt;=MAIN!$L$3),"Yes","No")),IF(OR(MAIN!$F$3="Full Year",MAIN!$D$3="All"),"Yes",IF(MAIN!$F$3="Monthly",IF(E1872=MAIN!$L$3,"Yes","No"),IF(E1872&lt;=MAIN!$L$3,"Yes","No"))))</f>
        <v>Yes</v>
      </c>
      <c r="AA1872" t="str">
        <f t="shared" si="179"/>
        <v>No</v>
      </c>
    </row>
    <row r="1873" spans="1:27" x14ac:dyDescent="0.3">
      <c r="A1873">
        <f>INDEX(SETTINGS!$A$15:$A$24,$B1873)</f>
        <v>2033</v>
      </c>
      <c r="B1873">
        <v>9</v>
      </c>
      <c r="C1873" t="str">
        <f>IF(AND(A1873&gt;=SETTINGS!$B$4,A1873&lt;=SETTINGS!$B$5),"Yes","No")</f>
        <v>No</v>
      </c>
      <c r="D1873" t="str">
        <f>IFERROR(INDEX(SETTINGS!$C$15:$C$24,MATCH(A1873,SETTINGS!$A$15:$A$24,0)),"No")</f>
        <v>No</v>
      </c>
      <c r="E1873">
        <v>3</v>
      </c>
      <c r="F1873" t="s">
        <v>36</v>
      </c>
      <c r="G1873">
        <v>68</v>
      </c>
      <c r="H1873" t="s">
        <v>103</v>
      </c>
      <c r="I1873" t="s">
        <v>22</v>
      </c>
      <c r="J1873" t="s">
        <v>23</v>
      </c>
      <c r="K1873" t="s">
        <v>3</v>
      </c>
      <c r="L1873" s="36">
        <f ca="1">IF(C1873&lt;&gt;"Yes",0,IF(A1873=2025,N('2025'!D68),IF(A1873=2026,N('2026'!D68),IF(A1873=2027,N('2027'!D68),IF(A1873=2028,N('2028'!D68),IF(A1873=2029,N('2029'!D68),IF(A1873=2030,N('2030'!D68),IF(A1873=2031,N('2031'!D68),IF(A1873=2032,N('2032'!D68),IF(A1873=2033,N('2033'!D68),IF(A1873=2034,N('2034'!D68),IFERROR(N(INDIRECT("'"&amp;A1873&amp;"'!D"&amp;G1873)),0))))))))))))</f>
        <v>0</v>
      </c>
      <c r="M1873" s="36">
        <f>IFERROR(IF(NOT(ISBLANK(KPI_TARGETS!$O$14)),KPI_TARGETS!$O$14,IF(NOT(ISBLANK(KPI_TARGETS!$F$14)),KPI_TARGETS!$F$14,"")),"")</f>
        <v>35</v>
      </c>
      <c r="N1873" s="36" t="str">
        <f>IFERROR(KPI_TARGETS!$E$14,"Higher is better")</f>
        <v>Higher is better</v>
      </c>
      <c r="O1873" s="37">
        <f t="shared" ca="1" si="174"/>
        <v>0</v>
      </c>
      <c r="P1873" t="str">
        <f t="shared" ca="1" si="175"/>
        <v>Red</v>
      </c>
      <c r="Q1873" s="36">
        <f t="shared" ca="1" si="176"/>
        <v>-35</v>
      </c>
      <c r="R1873" s="36" t="str">
        <f>""</f>
        <v/>
      </c>
      <c r="S1873" s="36" t="str">
        <f>""</f>
        <v/>
      </c>
      <c r="T1873" s="36" t="str">
        <f>""</f>
        <v/>
      </c>
      <c r="U1873" s="36" t="str">
        <f>""</f>
        <v/>
      </c>
      <c r="V1873" s="36" t="str">
        <f>""</f>
        <v/>
      </c>
      <c r="W1873" s="36">
        <f t="shared" si="177"/>
        <v>1</v>
      </c>
      <c r="X1873" t="str">
        <f t="shared" si="178"/>
        <v>Inactive</v>
      </c>
      <c r="Y1873" t="str">
        <f>IF(MAIN!$H$3="Selected Year",IF(A1873=MAIN!$B$3,"Yes","No"),IF(MAIN!$H$3="Included Years",IF(D1873="Yes","Yes","No"),IF(C1873="Yes","Yes","No")))</f>
        <v>No</v>
      </c>
      <c r="Z1873" t="str">
        <f>IF(MAIN!$F$3="Project to Date",IF(AND(A1873&gt;=SETTINGS!$B$4,A1873&lt;MAIN!$B$3),"Yes",IF(AND(A1873=MAIN!$B$3,E1873&lt;=MAIN!$L$3),"Yes","No")),IF(OR(MAIN!$F$3="Full Year",MAIN!$D$3="All"),"Yes",IF(MAIN!$F$3="Monthly",IF(E1873=MAIN!$L$3,"Yes","No"),IF(E1873&lt;=MAIN!$L$3,"Yes","No"))))</f>
        <v>Yes</v>
      </c>
      <c r="AA1873" t="str">
        <f t="shared" si="179"/>
        <v>No</v>
      </c>
    </row>
    <row r="1874" spans="1:27" x14ac:dyDescent="0.3">
      <c r="A1874">
        <f>INDEX(SETTINGS!$A$15:$A$24,$B1874)</f>
        <v>2033</v>
      </c>
      <c r="B1874">
        <v>9</v>
      </c>
      <c r="C1874" t="str">
        <f>IF(AND(A1874&gt;=SETTINGS!$B$4,A1874&lt;=SETTINGS!$B$5),"Yes","No")</f>
        <v>No</v>
      </c>
      <c r="D1874" t="str">
        <f>IFERROR(INDEX(SETTINGS!$C$15:$C$24,MATCH(A1874,SETTINGS!$A$15:$A$24,0)),"No")</f>
        <v>No</v>
      </c>
      <c r="E1874">
        <v>3</v>
      </c>
      <c r="F1874" t="s">
        <v>36</v>
      </c>
      <c r="G1874">
        <v>69</v>
      </c>
      <c r="H1874" t="s">
        <v>104</v>
      </c>
      <c r="I1874" t="s">
        <v>22</v>
      </c>
      <c r="J1874" t="s">
        <v>24</v>
      </c>
      <c r="K1874" t="s">
        <v>3</v>
      </c>
      <c r="L1874" s="36">
        <f ca="1">IF(C1874&lt;&gt;"Yes",0,IF(A1874=2025,N('2025'!D69),IF(A1874=2026,N('2026'!D69),IF(A1874=2027,N('2027'!D69),IF(A1874=2028,N('2028'!D69),IF(A1874=2029,N('2029'!D69),IF(A1874=2030,N('2030'!D69),IF(A1874=2031,N('2031'!D69),IF(A1874=2032,N('2032'!D69),IF(A1874=2033,N('2033'!D69),IF(A1874=2034,N('2034'!D69),IFERROR(N(INDIRECT("'"&amp;A1874&amp;"'!D"&amp;G1874)),0))))))))))))</f>
        <v>0</v>
      </c>
      <c r="M1874" s="36">
        <f>IFERROR(IF(NOT(ISBLANK(KPI_TARGETS!$O$15)),KPI_TARGETS!$O$15,IF(NOT(ISBLANK(KPI_TARGETS!$F$15)),KPI_TARGETS!$F$15,"")),"")</f>
        <v>5</v>
      </c>
      <c r="N1874" s="36" t="str">
        <f>IFERROR(KPI_TARGETS!$E$15,"Higher is better")</f>
        <v>Higher is better</v>
      </c>
      <c r="O1874" s="37">
        <f t="shared" ca="1" si="174"/>
        <v>0</v>
      </c>
      <c r="P1874" t="str">
        <f t="shared" ca="1" si="175"/>
        <v>Red</v>
      </c>
      <c r="Q1874" s="36">
        <f t="shared" ca="1" si="176"/>
        <v>-5</v>
      </c>
      <c r="R1874" s="36" t="str">
        <f>""</f>
        <v/>
      </c>
      <c r="S1874" s="36" t="str">
        <f>""</f>
        <v/>
      </c>
      <c r="T1874" s="36" t="str">
        <f>""</f>
        <v/>
      </c>
      <c r="U1874" s="36" t="str">
        <f>""</f>
        <v/>
      </c>
      <c r="V1874" s="36" t="str">
        <f>""</f>
        <v/>
      </c>
      <c r="W1874" s="36">
        <f t="shared" si="177"/>
        <v>1</v>
      </c>
      <c r="X1874" t="str">
        <f t="shared" si="178"/>
        <v>Inactive</v>
      </c>
      <c r="Y1874" t="str">
        <f>IF(MAIN!$H$3="Selected Year",IF(A1874=MAIN!$B$3,"Yes","No"),IF(MAIN!$H$3="Included Years",IF(D1874="Yes","Yes","No"),IF(C1874="Yes","Yes","No")))</f>
        <v>No</v>
      </c>
      <c r="Z1874" t="str">
        <f>IF(MAIN!$F$3="Project to Date",IF(AND(A1874&gt;=SETTINGS!$B$4,A1874&lt;MAIN!$B$3),"Yes",IF(AND(A1874=MAIN!$B$3,E1874&lt;=MAIN!$L$3),"Yes","No")),IF(OR(MAIN!$F$3="Full Year",MAIN!$D$3="All"),"Yes",IF(MAIN!$F$3="Monthly",IF(E1874=MAIN!$L$3,"Yes","No"),IF(E1874&lt;=MAIN!$L$3,"Yes","No"))))</f>
        <v>Yes</v>
      </c>
      <c r="AA1874" t="str">
        <f t="shared" si="179"/>
        <v>No</v>
      </c>
    </row>
    <row r="1875" spans="1:27" x14ac:dyDescent="0.3">
      <c r="A1875">
        <f>INDEX(SETTINGS!$A$15:$A$24,$B1875)</f>
        <v>2033</v>
      </c>
      <c r="B1875">
        <v>9</v>
      </c>
      <c r="C1875" t="str">
        <f>IF(AND(A1875&gt;=SETTINGS!$B$4,A1875&lt;=SETTINGS!$B$5),"Yes","No")</f>
        <v>No</v>
      </c>
      <c r="D1875" t="str">
        <f>IFERROR(INDEX(SETTINGS!$C$15:$C$24,MATCH(A1875,SETTINGS!$A$15:$A$24,0)),"No")</f>
        <v>No</v>
      </c>
      <c r="E1875">
        <v>3</v>
      </c>
      <c r="F1875" t="s">
        <v>36</v>
      </c>
      <c r="G1875">
        <v>70</v>
      </c>
      <c r="H1875" t="s">
        <v>105</v>
      </c>
      <c r="I1875" t="s">
        <v>22</v>
      </c>
      <c r="J1875" t="s">
        <v>25</v>
      </c>
      <c r="K1875" t="s">
        <v>3</v>
      </c>
      <c r="L1875" s="36">
        <f ca="1">IF(C1875&lt;&gt;"Yes",0,IF(A1875=2025,N('2025'!D70),IF(A1875=2026,N('2026'!D70),IF(A1875=2027,N('2027'!D70),IF(A1875=2028,N('2028'!D70),IF(A1875=2029,N('2029'!D70),IF(A1875=2030,N('2030'!D70),IF(A1875=2031,N('2031'!D70),IF(A1875=2032,N('2032'!D70),IF(A1875=2033,N('2033'!D70),IF(A1875=2034,N('2034'!D70),IFERROR(N(INDIRECT("'"&amp;A1875&amp;"'!D"&amp;G1875)),0))))))))))))</f>
        <v>0</v>
      </c>
      <c r="M1875" s="36">
        <f>IFERROR(IF(NOT(ISBLANK(KPI_TARGETS!$O$16)),KPI_TARGETS!$O$16,IF(NOT(ISBLANK(KPI_TARGETS!$F$16)),KPI_TARGETS!$F$16,"")),"")</f>
        <v>4</v>
      </c>
      <c r="N1875" s="36" t="str">
        <f>IFERROR(KPI_TARGETS!$E$16,"Higher is better")</f>
        <v>Higher is better</v>
      </c>
      <c r="O1875" s="37">
        <f t="shared" ca="1" si="174"/>
        <v>0</v>
      </c>
      <c r="P1875" t="str">
        <f t="shared" ca="1" si="175"/>
        <v>Red</v>
      </c>
      <c r="Q1875" s="36">
        <f t="shared" ca="1" si="176"/>
        <v>-4</v>
      </c>
      <c r="R1875" s="36" t="str">
        <f>""</f>
        <v/>
      </c>
      <c r="S1875" s="36" t="str">
        <f>""</f>
        <v/>
      </c>
      <c r="T1875" s="36" t="str">
        <f>""</f>
        <v/>
      </c>
      <c r="U1875" s="36" t="str">
        <f>""</f>
        <v/>
      </c>
      <c r="V1875" s="36" t="str">
        <f>""</f>
        <v/>
      </c>
      <c r="W1875" s="36">
        <f t="shared" si="177"/>
        <v>1</v>
      </c>
      <c r="X1875" t="str">
        <f t="shared" si="178"/>
        <v>Inactive</v>
      </c>
      <c r="Y1875" t="str">
        <f>IF(MAIN!$H$3="Selected Year",IF(A1875=MAIN!$B$3,"Yes","No"),IF(MAIN!$H$3="Included Years",IF(D1875="Yes","Yes","No"),IF(C1875="Yes","Yes","No")))</f>
        <v>No</v>
      </c>
      <c r="Z1875" t="str">
        <f>IF(MAIN!$F$3="Project to Date",IF(AND(A1875&gt;=SETTINGS!$B$4,A1875&lt;MAIN!$B$3),"Yes",IF(AND(A1875=MAIN!$B$3,E1875&lt;=MAIN!$L$3),"Yes","No")),IF(OR(MAIN!$F$3="Full Year",MAIN!$D$3="All"),"Yes",IF(MAIN!$F$3="Monthly",IF(E1875=MAIN!$L$3,"Yes","No"),IF(E1875&lt;=MAIN!$L$3,"Yes","No"))))</f>
        <v>Yes</v>
      </c>
      <c r="AA1875" t="str">
        <f t="shared" si="179"/>
        <v>No</v>
      </c>
    </row>
    <row r="1876" spans="1:27" x14ac:dyDescent="0.3">
      <c r="A1876">
        <f>INDEX(SETTINGS!$A$15:$A$24,$B1876)</f>
        <v>2033</v>
      </c>
      <c r="B1876">
        <v>9</v>
      </c>
      <c r="C1876" t="str">
        <f>IF(AND(A1876&gt;=SETTINGS!$B$4,A1876&lt;=SETTINGS!$B$5),"Yes","No")</f>
        <v>No</v>
      </c>
      <c r="D1876" t="str">
        <f>IFERROR(INDEX(SETTINGS!$C$15:$C$24,MATCH(A1876,SETTINGS!$A$15:$A$24,0)),"No")</f>
        <v>No</v>
      </c>
      <c r="E1876">
        <v>3</v>
      </c>
      <c r="F1876" t="s">
        <v>36</v>
      </c>
      <c r="G1876">
        <v>71</v>
      </c>
      <c r="H1876" t="s">
        <v>106</v>
      </c>
      <c r="I1876" t="s">
        <v>22</v>
      </c>
      <c r="J1876" t="s">
        <v>26</v>
      </c>
      <c r="K1876" t="s">
        <v>3</v>
      </c>
      <c r="L1876" s="36">
        <f ca="1">IF(C1876&lt;&gt;"Yes",0,IF(A1876=2025,N('2025'!D71),IF(A1876=2026,N('2026'!D71),IF(A1876=2027,N('2027'!D71),IF(A1876=2028,N('2028'!D71),IF(A1876=2029,N('2029'!D71),IF(A1876=2030,N('2030'!D71),IF(A1876=2031,N('2031'!D71),IF(A1876=2032,N('2032'!D71),IF(A1876=2033,N('2033'!D71),IF(A1876=2034,N('2034'!D71),IFERROR(N(INDIRECT("'"&amp;A1876&amp;"'!D"&amp;G1876)),0))))))))))))</f>
        <v>0</v>
      </c>
      <c r="M1876" s="36">
        <f>IFERROR(IF(NOT(ISBLANK(KPI_TARGETS!$O$17)),KPI_TARGETS!$O$17,IF(NOT(ISBLANK(KPI_TARGETS!$F$17)),KPI_TARGETS!$F$17,"")),"")</f>
        <v>12</v>
      </c>
      <c r="N1876" s="36" t="str">
        <f>IFERROR(KPI_TARGETS!$E$17,"Higher is better")</f>
        <v>Higher is better</v>
      </c>
      <c r="O1876" s="37">
        <f t="shared" ca="1" si="174"/>
        <v>0</v>
      </c>
      <c r="P1876" t="str">
        <f t="shared" ca="1" si="175"/>
        <v>Red</v>
      </c>
      <c r="Q1876" s="36">
        <f t="shared" ca="1" si="176"/>
        <v>-12</v>
      </c>
      <c r="R1876" s="36" t="str">
        <f>""</f>
        <v/>
      </c>
      <c r="S1876" s="36" t="str">
        <f>""</f>
        <v/>
      </c>
      <c r="T1876" s="36" t="str">
        <f>""</f>
        <v/>
      </c>
      <c r="U1876" s="36" t="str">
        <f>""</f>
        <v/>
      </c>
      <c r="V1876" s="36" t="str">
        <f>""</f>
        <v/>
      </c>
      <c r="W1876" s="36">
        <f t="shared" si="177"/>
        <v>1</v>
      </c>
      <c r="X1876" t="str">
        <f t="shared" si="178"/>
        <v>Inactive</v>
      </c>
      <c r="Y1876" t="str">
        <f>IF(MAIN!$H$3="Selected Year",IF(A1876=MAIN!$B$3,"Yes","No"),IF(MAIN!$H$3="Included Years",IF(D1876="Yes","Yes","No"),IF(C1876="Yes","Yes","No")))</f>
        <v>No</v>
      </c>
      <c r="Z1876" t="str">
        <f>IF(MAIN!$F$3="Project to Date",IF(AND(A1876&gt;=SETTINGS!$B$4,A1876&lt;MAIN!$B$3),"Yes",IF(AND(A1876=MAIN!$B$3,E1876&lt;=MAIN!$L$3),"Yes","No")),IF(OR(MAIN!$F$3="Full Year",MAIN!$D$3="All"),"Yes",IF(MAIN!$F$3="Monthly",IF(E1876=MAIN!$L$3,"Yes","No"),IF(E1876&lt;=MAIN!$L$3,"Yes","No"))))</f>
        <v>Yes</v>
      </c>
      <c r="AA1876" t="str">
        <f t="shared" si="179"/>
        <v>No</v>
      </c>
    </row>
    <row r="1877" spans="1:27" x14ac:dyDescent="0.3">
      <c r="A1877">
        <f>INDEX(SETTINGS!$A$15:$A$24,$B1877)</f>
        <v>2033</v>
      </c>
      <c r="B1877">
        <v>9</v>
      </c>
      <c r="C1877" t="str">
        <f>IF(AND(A1877&gt;=SETTINGS!$B$4,A1877&lt;=SETTINGS!$B$5),"Yes","No")</f>
        <v>No</v>
      </c>
      <c r="D1877" t="str">
        <f>IFERROR(INDEX(SETTINGS!$C$15:$C$24,MATCH(A1877,SETTINGS!$A$15:$A$24,0)),"No")</f>
        <v>No</v>
      </c>
      <c r="E1877">
        <v>3</v>
      </c>
      <c r="F1877" t="s">
        <v>36</v>
      </c>
      <c r="G1877">
        <v>72</v>
      </c>
      <c r="H1877" t="s">
        <v>107</v>
      </c>
      <c r="I1877" t="s">
        <v>22</v>
      </c>
      <c r="J1877" t="s">
        <v>27</v>
      </c>
      <c r="K1877" t="s">
        <v>3</v>
      </c>
      <c r="L1877" s="36">
        <f ca="1">IF(C1877&lt;&gt;"Yes",0,IF(A1877=2025,N('2025'!D72),IF(A1877=2026,N('2026'!D72),IF(A1877=2027,N('2027'!D72),IF(A1877=2028,N('2028'!D72),IF(A1877=2029,N('2029'!D72),IF(A1877=2030,N('2030'!D72),IF(A1877=2031,N('2031'!D72),IF(A1877=2032,N('2032'!D72),IF(A1877=2033,N('2033'!D72),IF(A1877=2034,N('2034'!D72),IFERROR(N(INDIRECT("'"&amp;A1877&amp;"'!D"&amp;G1877)),0))))))))))))</f>
        <v>0</v>
      </c>
      <c r="M1877" s="36">
        <f>IFERROR(IF(NOT(ISBLANK(KPI_TARGETS!$O$18)),KPI_TARGETS!$O$18,IF(NOT(ISBLANK(KPI_TARGETS!$F$18)),KPI_TARGETS!$F$18,"")),"")</f>
        <v>4</v>
      </c>
      <c r="N1877" s="36" t="str">
        <f>IFERROR(KPI_TARGETS!$E$18,"Higher is better")</f>
        <v>Higher is better</v>
      </c>
      <c r="O1877" s="37">
        <f t="shared" ca="1" si="174"/>
        <v>0</v>
      </c>
      <c r="P1877" t="str">
        <f t="shared" ca="1" si="175"/>
        <v>Red</v>
      </c>
      <c r="Q1877" s="36">
        <f t="shared" ca="1" si="176"/>
        <v>-4</v>
      </c>
      <c r="R1877" s="36" t="str">
        <f>""</f>
        <v/>
      </c>
      <c r="S1877" s="36" t="str">
        <f>""</f>
        <v/>
      </c>
      <c r="T1877" s="36" t="str">
        <f>""</f>
        <v/>
      </c>
      <c r="U1877" s="36" t="str">
        <f>""</f>
        <v/>
      </c>
      <c r="V1877" s="36" t="str">
        <f>""</f>
        <v/>
      </c>
      <c r="W1877" s="36">
        <f t="shared" si="177"/>
        <v>1</v>
      </c>
      <c r="X1877" t="str">
        <f t="shared" si="178"/>
        <v>Inactive</v>
      </c>
      <c r="Y1877" t="str">
        <f>IF(MAIN!$H$3="Selected Year",IF(A1877=MAIN!$B$3,"Yes","No"),IF(MAIN!$H$3="Included Years",IF(D1877="Yes","Yes","No"),IF(C1877="Yes","Yes","No")))</f>
        <v>No</v>
      </c>
      <c r="Z1877" t="str">
        <f>IF(MAIN!$F$3="Project to Date",IF(AND(A1877&gt;=SETTINGS!$B$4,A1877&lt;MAIN!$B$3),"Yes",IF(AND(A1877=MAIN!$B$3,E1877&lt;=MAIN!$L$3),"Yes","No")),IF(OR(MAIN!$F$3="Full Year",MAIN!$D$3="All"),"Yes",IF(MAIN!$F$3="Monthly",IF(E1877=MAIN!$L$3,"Yes","No"),IF(E1877&lt;=MAIN!$L$3,"Yes","No"))))</f>
        <v>Yes</v>
      </c>
      <c r="AA1877" t="str">
        <f t="shared" si="179"/>
        <v>No</v>
      </c>
    </row>
    <row r="1878" spans="1:27" x14ac:dyDescent="0.3">
      <c r="A1878">
        <f>INDEX(SETTINGS!$A$15:$A$24,$B1878)</f>
        <v>2033</v>
      </c>
      <c r="B1878">
        <v>9</v>
      </c>
      <c r="C1878" t="str">
        <f>IF(AND(A1878&gt;=SETTINGS!$B$4,A1878&lt;=SETTINGS!$B$5),"Yes","No")</f>
        <v>No</v>
      </c>
      <c r="D1878" t="str">
        <f>IFERROR(INDEX(SETTINGS!$C$15:$C$24,MATCH(A1878,SETTINGS!$A$15:$A$24,0)),"No")</f>
        <v>No</v>
      </c>
      <c r="E1878">
        <v>3</v>
      </c>
      <c r="F1878" t="s">
        <v>36</v>
      </c>
      <c r="G1878">
        <v>73</v>
      </c>
      <c r="H1878" t="s">
        <v>108</v>
      </c>
      <c r="I1878" t="s">
        <v>22</v>
      </c>
      <c r="J1878" t="s">
        <v>28</v>
      </c>
      <c r="K1878" t="s">
        <v>3</v>
      </c>
      <c r="L1878" s="36">
        <f ca="1">IF(C1878&lt;&gt;"Yes",0,IF(A1878=2025,N('2025'!D73),IF(A1878=2026,N('2026'!D73),IF(A1878=2027,N('2027'!D73),IF(A1878=2028,N('2028'!D73),IF(A1878=2029,N('2029'!D73),IF(A1878=2030,N('2030'!D73),IF(A1878=2031,N('2031'!D73),IF(A1878=2032,N('2032'!D73),IF(A1878=2033,N('2033'!D73),IF(A1878=2034,N('2034'!D73),IFERROR(N(INDIRECT("'"&amp;A1878&amp;"'!D"&amp;G1878)),0))))))))))))</f>
        <v>0</v>
      </c>
      <c r="M1878" s="36">
        <f>IFERROR(IF(NOT(ISBLANK(KPI_TARGETS!$O$19)),KPI_TARGETS!$O$19,IF(NOT(ISBLANK(KPI_TARGETS!$F$19)),KPI_TARGETS!$F$19,"")),"")</f>
        <v>16</v>
      </c>
      <c r="N1878" s="36" t="str">
        <f>IFERROR(KPI_TARGETS!$E$19,"Higher is better")</f>
        <v>Higher is better</v>
      </c>
      <c r="O1878" s="37">
        <f t="shared" ca="1" si="174"/>
        <v>0</v>
      </c>
      <c r="P1878" t="str">
        <f t="shared" ca="1" si="175"/>
        <v>Red</v>
      </c>
      <c r="Q1878" s="36">
        <f t="shared" ca="1" si="176"/>
        <v>-16</v>
      </c>
      <c r="R1878" s="36" t="str">
        <f>""</f>
        <v/>
      </c>
      <c r="S1878" s="36" t="str">
        <f>""</f>
        <v/>
      </c>
      <c r="T1878" s="36" t="str">
        <f>""</f>
        <v/>
      </c>
      <c r="U1878" s="36" t="str">
        <f>""</f>
        <v/>
      </c>
      <c r="V1878" s="36" t="str">
        <f>""</f>
        <v/>
      </c>
      <c r="W1878" s="36">
        <f t="shared" si="177"/>
        <v>1</v>
      </c>
      <c r="X1878" t="str">
        <f t="shared" si="178"/>
        <v>Inactive</v>
      </c>
      <c r="Y1878" t="str">
        <f>IF(MAIN!$H$3="Selected Year",IF(A1878=MAIN!$B$3,"Yes","No"),IF(MAIN!$H$3="Included Years",IF(D1878="Yes","Yes","No"),IF(C1878="Yes","Yes","No")))</f>
        <v>No</v>
      </c>
      <c r="Z1878" t="str">
        <f>IF(MAIN!$F$3="Project to Date",IF(AND(A1878&gt;=SETTINGS!$B$4,A1878&lt;MAIN!$B$3),"Yes",IF(AND(A1878=MAIN!$B$3,E1878&lt;=MAIN!$L$3),"Yes","No")),IF(OR(MAIN!$F$3="Full Year",MAIN!$D$3="All"),"Yes",IF(MAIN!$F$3="Monthly",IF(E1878=MAIN!$L$3,"Yes","No"),IF(E1878&lt;=MAIN!$L$3,"Yes","No"))))</f>
        <v>Yes</v>
      </c>
      <c r="AA1878" t="str">
        <f t="shared" si="179"/>
        <v>No</v>
      </c>
    </row>
    <row r="1879" spans="1:27" x14ac:dyDescent="0.3">
      <c r="A1879">
        <f>INDEX(SETTINGS!$A$15:$A$24,$B1879)</f>
        <v>2033</v>
      </c>
      <c r="B1879">
        <v>9</v>
      </c>
      <c r="C1879" t="str">
        <f>IF(AND(A1879&gt;=SETTINGS!$B$4,A1879&lt;=SETTINGS!$B$5),"Yes","No")</f>
        <v>No</v>
      </c>
      <c r="D1879" t="str">
        <f>IFERROR(INDEX(SETTINGS!$C$15:$C$24,MATCH(A1879,SETTINGS!$A$15:$A$24,0)),"No")</f>
        <v>No</v>
      </c>
      <c r="E1879">
        <v>3</v>
      </c>
      <c r="F1879" t="s">
        <v>36</v>
      </c>
      <c r="G1879">
        <v>74</v>
      </c>
      <c r="H1879" t="s">
        <v>109</v>
      </c>
      <c r="I1879" t="s">
        <v>22</v>
      </c>
      <c r="J1879" t="s">
        <v>29</v>
      </c>
      <c r="K1879" t="s">
        <v>3</v>
      </c>
      <c r="L1879" s="36">
        <f ca="1">IF(C1879&lt;&gt;"Yes",0,IF(A1879=2025,N('2025'!D74),IF(A1879=2026,N('2026'!D74),IF(A1879=2027,N('2027'!D74),IF(A1879=2028,N('2028'!D74),IF(A1879=2029,N('2029'!D74),IF(A1879=2030,N('2030'!D74),IF(A1879=2031,N('2031'!D74),IF(A1879=2032,N('2032'!D74),IF(A1879=2033,N('2033'!D74),IF(A1879=2034,N('2034'!D74),IFERROR(N(INDIRECT("'"&amp;A1879&amp;"'!D"&amp;G1879)),0))))))))))))</f>
        <v>0</v>
      </c>
      <c r="M1879" s="36">
        <f>IFERROR(IF(NOT(ISBLANK(KPI_TARGETS!$O$20)),KPI_TARGETS!$O$20,IF(NOT(ISBLANK(KPI_TARGETS!$F$20)),KPI_TARGETS!$F$20,"")),"")</f>
        <v>1</v>
      </c>
      <c r="N1879" s="36" t="str">
        <f>IFERROR(KPI_TARGETS!$E$20,"Higher is better")</f>
        <v>Higher is better</v>
      </c>
      <c r="O1879" s="37">
        <f t="shared" ca="1" si="174"/>
        <v>0</v>
      </c>
      <c r="P1879" t="str">
        <f t="shared" ca="1" si="175"/>
        <v>Red</v>
      </c>
      <c r="Q1879" s="36">
        <f t="shared" ca="1" si="176"/>
        <v>-1</v>
      </c>
      <c r="R1879" s="36" t="str">
        <f>""</f>
        <v/>
      </c>
      <c r="S1879" s="36" t="str">
        <f>""</f>
        <v/>
      </c>
      <c r="T1879" s="36" t="str">
        <f>""</f>
        <v/>
      </c>
      <c r="U1879" s="36" t="str">
        <f>""</f>
        <v/>
      </c>
      <c r="V1879" s="36" t="str">
        <f>""</f>
        <v/>
      </c>
      <c r="W1879" s="36">
        <f t="shared" si="177"/>
        <v>1</v>
      </c>
      <c r="X1879" t="str">
        <f t="shared" si="178"/>
        <v>Inactive</v>
      </c>
      <c r="Y1879" t="str">
        <f>IF(MAIN!$H$3="Selected Year",IF(A1879=MAIN!$B$3,"Yes","No"),IF(MAIN!$H$3="Included Years",IF(D1879="Yes","Yes","No"),IF(C1879="Yes","Yes","No")))</f>
        <v>No</v>
      </c>
      <c r="Z1879" t="str">
        <f>IF(MAIN!$F$3="Project to Date",IF(AND(A1879&gt;=SETTINGS!$B$4,A1879&lt;MAIN!$B$3),"Yes",IF(AND(A1879=MAIN!$B$3,E1879&lt;=MAIN!$L$3),"Yes","No")),IF(OR(MAIN!$F$3="Full Year",MAIN!$D$3="All"),"Yes",IF(MAIN!$F$3="Monthly",IF(E1879=MAIN!$L$3,"Yes","No"),IF(E1879&lt;=MAIN!$L$3,"Yes","No"))))</f>
        <v>Yes</v>
      </c>
      <c r="AA1879" t="str">
        <f t="shared" si="179"/>
        <v>No</v>
      </c>
    </row>
    <row r="1880" spans="1:27" x14ac:dyDescent="0.3">
      <c r="A1880">
        <f>INDEX(SETTINGS!$A$15:$A$24,$B1880)</f>
        <v>2033</v>
      </c>
      <c r="B1880">
        <v>9</v>
      </c>
      <c r="C1880" t="str">
        <f>IF(AND(A1880&gt;=SETTINGS!$B$4,A1880&lt;=SETTINGS!$B$5),"Yes","No")</f>
        <v>No</v>
      </c>
      <c r="D1880" t="str">
        <f>IFERROR(INDEX(SETTINGS!$C$15:$C$24,MATCH(A1880,SETTINGS!$A$15:$A$24,0)),"No")</f>
        <v>No</v>
      </c>
      <c r="E1880">
        <v>3</v>
      </c>
      <c r="F1880" t="s">
        <v>36</v>
      </c>
      <c r="G1880">
        <v>76</v>
      </c>
      <c r="H1880" t="s">
        <v>110</v>
      </c>
      <c r="I1880" t="s">
        <v>30</v>
      </c>
      <c r="J1880" t="s">
        <v>31</v>
      </c>
      <c r="K1880" t="s">
        <v>3</v>
      </c>
      <c r="L1880" s="36">
        <f ca="1">IF(C1880&lt;&gt;"Yes",0,IF(A1880=2025,N('2025'!D76),IF(A1880=2026,N('2026'!D76),IF(A1880=2027,N('2027'!D76),IF(A1880=2028,N('2028'!D76),IF(A1880=2029,N('2029'!D76),IF(A1880=2030,N('2030'!D76),IF(A1880=2031,N('2031'!D76),IF(A1880=2032,N('2032'!D76),IF(A1880=2033,N('2033'!D76),IF(A1880=2034,N('2034'!D76),IFERROR(N(INDIRECT("'"&amp;A1880&amp;"'!D"&amp;G1880)),0))))))))))))</f>
        <v>0</v>
      </c>
      <c r="M1880" s="36">
        <f>IFERROR(IF(NOT(ISBLANK(KPI_TARGETS!$O$21)),KPI_TARGETS!$O$21,IF(NOT(ISBLANK(KPI_TARGETS!$F$21)),KPI_TARGETS!$F$21,"")),"")</f>
        <v>0</v>
      </c>
      <c r="N1880" s="36" t="str">
        <f>IFERROR(KPI_TARGETS!$E$21,"Higher is better")</f>
        <v>Lower is better</v>
      </c>
      <c r="O1880" s="37">
        <f t="shared" ca="1" si="174"/>
        <v>1</v>
      </c>
      <c r="P1880" t="str">
        <f t="shared" ca="1" si="175"/>
        <v>Green</v>
      </c>
      <c r="Q1880" s="36">
        <f t="shared" ca="1" si="176"/>
        <v>0</v>
      </c>
      <c r="R1880" s="36" t="str">
        <f>""</f>
        <v/>
      </c>
      <c r="S1880" s="36" t="str">
        <f>""</f>
        <v/>
      </c>
      <c r="T1880" s="36" t="str">
        <f>""</f>
        <v/>
      </c>
      <c r="U1880" s="36" t="str">
        <f>""</f>
        <v/>
      </c>
      <c r="V1880" s="36" t="str">
        <f>""</f>
        <v/>
      </c>
      <c r="W1880" s="36">
        <f t="shared" si="177"/>
        <v>1</v>
      </c>
      <c r="X1880" t="str">
        <f t="shared" si="178"/>
        <v>Inactive</v>
      </c>
      <c r="Y1880" t="str">
        <f>IF(MAIN!$H$3="Selected Year",IF(A1880=MAIN!$B$3,"Yes","No"),IF(MAIN!$H$3="Included Years",IF(D1880="Yes","Yes","No"),IF(C1880="Yes","Yes","No")))</f>
        <v>No</v>
      </c>
      <c r="Z1880" t="str">
        <f>IF(MAIN!$F$3="Project to Date",IF(AND(A1880&gt;=SETTINGS!$B$4,A1880&lt;MAIN!$B$3),"Yes",IF(AND(A1880=MAIN!$B$3,E1880&lt;=MAIN!$L$3),"Yes","No")),IF(OR(MAIN!$F$3="Full Year",MAIN!$D$3="All"),"Yes",IF(MAIN!$F$3="Monthly",IF(E1880=MAIN!$L$3,"Yes","No"),IF(E1880&lt;=MAIN!$L$3,"Yes","No"))))</f>
        <v>Yes</v>
      </c>
      <c r="AA1880" t="str">
        <f t="shared" si="179"/>
        <v>No</v>
      </c>
    </row>
    <row r="1881" spans="1:27" x14ac:dyDescent="0.3">
      <c r="A1881">
        <f>INDEX(SETTINGS!$A$15:$A$24,$B1881)</f>
        <v>2033</v>
      </c>
      <c r="B1881">
        <v>9</v>
      </c>
      <c r="C1881" t="str">
        <f>IF(AND(A1881&gt;=SETTINGS!$B$4,A1881&lt;=SETTINGS!$B$5),"Yes","No")</f>
        <v>No</v>
      </c>
      <c r="D1881" t="str">
        <f>IFERROR(INDEX(SETTINGS!$C$15:$C$24,MATCH(A1881,SETTINGS!$A$15:$A$24,0)),"No")</f>
        <v>No</v>
      </c>
      <c r="E1881">
        <v>3</v>
      </c>
      <c r="F1881" t="s">
        <v>36</v>
      </c>
      <c r="G1881">
        <v>77</v>
      </c>
      <c r="H1881" t="s">
        <v>111</v>
      </c>
      <c r="I1881" t="s">
        <v>30</v>
      </c>
      <c r="J1881" t="s">
        <v>32</v>
      </c>
      <c r="K1881" t="s">
        <v>3</v>
      </c>
      <c r="L1881" s="36">
        <f ca="1">IF(C1881&lt;&gt;"Yes",0,IF(A1881=2025,N('2025'!D77),IF(A1881=2026,N('2026'!D77),IF(A1881=2027,N('2027'!D77),IF(A1881=2028,N('2028'!D77),IF(A1881=2029,N('2029'!D77),IF(A1881=2030,N('2030'!D77),IF(A1881=2031,N('2031'!D77),IF(A1881=2032,N('2032'!D77),IF(A1881=2033,N('2033'!D77),IF(A1881=2034,N('2034'!D77),IFERROR(N(INDIRECT("'"&amp;A1881&amp;"'!D"&amp;G1881)),0))))))))))))</f>
        <v>0</v>
      </c>
      <c r="M1881" s="36">
        <f>IFERROR(IF(NOT(ISBLANK(KPI_TARGETS!$O$22)),KPI_TARGETS!$O$22,IF(NOT(ISBLANK(KPI_TARGETS!$F$22)),KPI_TARGETS!$F$22,"")),"")</f>
        <v>1</v>
      </c>
      <c r="N1881" s="36" t="str">
        <f>IFERROR(KPI_TARGETS!$E$22,"Higher is better")</f>
        <v>Higher is better</v>
      </c>
      <c r="O1881" s="37">
        <f t="shared" ca="1" si="174"/>
        <v>0</v>
      </c>
      <c r="P1881" t="str">
        <f t="shared" ca="1" si="175"/>
        <v>Red</v>
      </c>
      <c r="Q1881" s="36">
        <f t="shared" ca="1" si="176"/>
        <v>-1</v>
      </c>
      <c r="R1881" s="36" t="str">
        <f>""</f>
        <v/>
      </c>
      <c r="S1881" s="36" t="str">
        <f>""</f>
        <v/>
      </c>
      <c r="T1881" s="36" t="str">
        <f>""</f>
        <v/>
      </c>
      <c r="U1881" s="36" t="str">
        <f>""</f>
        <v/>
      </c>
      <c r="V1881" s="36" t="str">
        <f>""</f>
        <v/>
      </c>
      <c r="W1881" s="36">
        <f t="shared" si="177"/>
        <v>1</v>
      </c>
      <c r="X1881" t="str">
        <f t="shared" si="178"/>
        <v>Inactive</v>
      </c>
      <c r="Y1881" t="str">
        <f>IF(MAIN!$H$3="Selected Year",IF(A1881=MAIN!$B$3,"Yes","No"),IF(MAIN!$H$3="Included Years",IF(D1881="Yes","Yes","No"),IF(C1881="Yes","Yes","No")))</f>
        <v>No</v>
      </c>
      <c r="Z1881" t="str">
        <f>IF(MAIN!$F$3="Project to Date",IF(AND(A1881&gt;=SETTINGS!$B$4,A1881&lt;MAIN!$B$3),"Yes",IF(AND(A1881=MAIN!$B$3,E1881&lt;=MAIN!$L$3),"Yes","No")),IF(OR(MAIN!$F$3="Full Year",MAIN!$D$3="All"),"Yes",IF(MAIN!$F$3="Monthly",IF(E1881=MAIN!$L$3,"Yes","No"),IF(E1881&lt;=MAIN!$L$3,"Yes","No"))))</f>
        <v>Yes</v>
      </c>
      <c r="AA1881" t="str">
        <f t="shared" si="179"/>
        <v>No</v>
      </c>
    </row>
    <row r="1882" spans="1:27" x14ac:dyDescent="0.3">
      <c r="A1882">
        <f>INDEX(SETTINGS!$A$15:$A$24,$B1882)</f>
        <v>2033</v>
      </c>
      <c r="B1882">
        <v>9</v>
      </c>
      <c r="C1882" t="str">
        <f>IF(AND(A1882&gt;=SETTINGS!$B$4,A1882&lt;=SETTINGS!$B$5),"Yes","No")</f>
        <v>No</v>
      </c>
      <c r="D1882" t="str">
        <f>IFERROR(INDEX(SETTINGS!$C$15:$C$24,MATCH(A1882,SETTINGS!$A$15:$A$24,0)),"No")</f>
        <v>No</v>
      </c>
      <c r="E1882">
        <v>3</v>
      </c>
      <c r="F1882" t="s">
        <v>36</v>
      </c>
      <c r="G1882">
        <v>78</v>
      </c>
      <c r="H1882" t="s">
        <v>112</v>
      </c>
      <c r="I1882" t="s">
        <v>30</v>
      </c>
      <c r="J1882" t="s">
        <v>33</v>
      </c>
      <c r="K1882" t="s">
        <v>34</v>
      </c>
      <c r="L1882" s="36">
        <f ca="1">IF(C1882&lt;&gt;"Yes",0,IF(A1882=2025,N('2025'!D78),IF(A1882=2026,N('2026'!D78),IF(A1882=2027,N('2027'!D78),IF(A1882=2028,N('2028'!D78),IF(A1882=2029,N('2029'!D78),IF(A1882=2030,N('2030'!D78),IF(A1882=2031,N('2031'!D78),IF(A1882=2032,N('2032'!D78),IF(A1882=2033,N('2033'!D78),IF(A1882=2034,N('2034'!D78),IFERROR(N(INDIRECT("'"&amp;A1882&amp;"'!D"&amp;G1882)),0))))))))))))</f>
        <v>0</v>
      </c>
      <c r="M1882" s="36">
        <f>IFERROR(IF(NOT(ISBLANK(KPI_TARGETS!$O$23)),KPI_TARGETS!$O$23,IF(NOT(ISBLANK(KPI_TARGETS!$F$23)),KPI_TARGETS!$F$23,"")),"")</f>
        <v>1</v>
      </c>
      <c r="N1882" s="36" t="str">
        <f>IFERROR(KPI_TARGETS!$E$23,"Higher is better")</f>
        <v>Higher is better</v>
      </c>
      <c r="O1882" s="37">
        <f t="shared" ca="1" si="174"/>
        <v>0</v>
      </c>
      <c r="P1882" t="str">
        <f t="shared" ca="1" si="175"/>
        <v>Red</v>
      </c>
      <c r="Q1882" s="36">
        <f t="shared" ca="1" si="176"/>
        <v>-1</v>
      </c>
      <c r="R1882" s="36" t="str">
        <f>""</f>
        <v/>
      </c>
      <c r="S1882" s="36" t="str">
        <f>""</f>
        <v/>
      </c>
      <c r="T1882" s="36" t="str">
        <f>""</f>
        <v/>
      </c>
      <c r="U1882" s="36" t="str">
        <f>""</f>
        <v/>
      </c>
      <c r="V1882" s="36" t="str">
        <f>""</f>
        <v/>
      </c>
      <c r="W1882" s="36">
        <f t="shared" si="177"/>
        <v>1</v>
      </c>
      <c r="X1882" t="str">
        <f t="shared" si="178"/>
        <v>Inactive</v>
      </c>
      <c r="Y1882" t="str">
        <f>IF(MAIN!$H$3="Selected Year",IF(A1882=MAIN!$B$3,"Yes","No"),IF(MAIN!$H$3="Included Years",IF(D1882="Yes","Yes","No"),IF(C1882="Yes","Yes","No")))</f>
        <v>No</v>
      </c>
      <c r="Z1882" t="str">
        <f>IF(MAIN!$F$3="Project to Date",IF(AND(A1882&gt;=SETTINGS!$B$4,A1882&lt;MAIN!$B$3),"Yes",IF(AND(A1882=MAIN!$B$3,E1882&lt;=MAIN!$L$3),"Yes","No")),IF(OR(MAIN!$F$3="Full Year",MAIN!$D$3="All"),"Yes",IF(MAIN!$F$3="Monthly",IF(E1882=MAIN!$L$3,"Yes","No"),IF(E1882&lt;=MAIN!$L$3,"Yes","No"))))</f>
        <v>Yes</v>
      </c>
      <c r="AA1882" t="str">
        <f t="shared" si="179"/>
        <v>No</v>
      </c>
    </row>
    <row r="1883" spans="1:27" x14ac:dyDescent="0.3">
      <c r="A1883">
        <f>INDEX(SETTINGS!$A$15:$A$24,$B1883)</f>
        <v>2033</v>
      </c>
      <c r="B1883">
        <v>9</v>
      </c>
      <c r="C1883" t="str">
        <f>IF(AND(A1883&gt;=SETTINGS!$B$4,A1883&lt;=SETTINGS!$B$5),"Yes","No")</f>
        <v>No</v>
      </c>
      <c r="D1883" t="str">
        <f>IFERROR(INDEX(SETTINGS!$C$15:$C$24,MATCH(A1883,SETTINGS!$A$15:$A$24,0)),"No")</f>
        <v>No</v>
      </c>
      <c r="E1883">
        <v>4</v>
      </c>
      <c r="F1883" t="s">
        <v>37</v>
      </c>
      <c r="G1883">
        <v>81</v>
      </c>
      <c r="H1883" t="s">
        <v>88</v>
      </c>
      <c r="I1883" t="s">
        <v>89</v>
      </c>
      <c r="J1883" t="s">
        <v>10</v>
      </c>
      <c r="K1883" t="s">
        <v>3</v>
      </c>
      <c r="L1883" s="36">
        <f ca="1">IF(C1883&lt;&gt;"Yes",0,IF(A1883=2025,N('2025'!D81),IF(A1883=2026,N('2026'!D81),IF(A1883=2027,N('2027'!D81),IF(A1883=2028,N('2028'!D81),IF(A1883=2029,N('2029'!D81),IF(A1883=2030,N('2030'!D81),IF(A1883=2031,N('2031'!D81),IF(A1883=2032,N('2032'!D81),IF(A1883=2033,N('2033'!D81),IF(A1883=2034,N('2034'!D81),IFERROR(N(INDIRECT("'"&amp;A1883&amp;"'!D"&amp;G1883)),0))))))))))))</f>
        <v>0</v>
      </c>
      <c r="M1883" s="36">
        <f>IFERROR(IF(NOT(ISBLANK(KPI_TARGETS!$O$5)),KPI_TARGETS!$O$5,IF(NOT(ISBLANK(KPI_TARGETS!$F$5)),KPI_TARGETS!$F$5,"")),"")</f>
        <v>104</v>
      </c>
      <c r="N1883" s="36" t="str">
        <f>IFERROR(KPI_TARGETS!$E$5,"Higher is better")</f>
        <v>Higher is better</v>
      </c>
      <c r="O1883" s="37">
        <f t="shared" ca="1" si="174"/>
        <v>0</v>
      </c>
      <c r="P1883" t="str">
        <f t="shared" ca="1" si="175"/>
        <v>Red</v>
      </c>
      <c r="Q1883" s="36">
        <f t="shared" ca="1" si="176"/>
        <v>-104</v>
      </c>
      <c r="R1883" s="36" t="str">
        <f>""</f>
        <v/>
      </c>
      <c r="S1883" s="36" t="str">
        <f>""</f>
        <v/>
      </c>
      <c r="T1883" s="36" t="str">
        <f>""</f>
        <v/>
      </c>
      <c r="U1883" s="36" t="str">
        <f>""</f>
        <v/>
      </c>
      <c r="V1883" s="36" t="str">
        <f>""</f>
        <v/>
      </c>
      <c r="W1883" s="36">
        <f t="shared" si="177"/>
        <v>1</v>
      </c>
      <c r="X1883" t="str">
        <f t="shared" si="178"/>
        <v>Inactive</v>
      </c>
      <c r="Y1883" t="str">
        <f>IF(MAIN!$H$3="Selected Year",IF(A1883=MAIN!$B$3,"Yes","No"),IF(MAIN!$H$3="Included Years",IF(D1883="Yes","Yes","No"),IF(C1883="Yes","Yes","No")))</f>
        <v>No</v>
      </c>
      <c r="Z1883" t="str">
        <f>IF(MAIN!$F$3="Project to Date",IF(AND(A1883&gt;=SETTINGS!$B$4,A1883&lt;MAIN!$B$3),"Yes",IF(AND(A1883=MAIN!$B$3,E1883&lt;=MAIN!$L$3),"Yes","No")),IF(OR(MAIN!$F$3="Full Year",MAIN!$D$3="All"),"Yes",IF(MAIN!$F$3="Monthly",IF(E1883=MAIN!$L$3,"Yes","No"),IF(E1883&lt;=MAIN!$L$3,"Yes","No"))))</f>
        <v>Yes</v>
      </c>
      <c r="AA1883" t="str">
        <f t="shared" si="179"/>
        <v>No</v>
      </c>
    </row>
    <row r="1884" spans="1:27" x14ac:dyDescent="0.3">
      <c r="A1884">
        <f>INDEX(SETTINGS!$A$15:$A$24,$B1884)</f>
        <v>2033</v>
      </c>
      <c r="B1884">
        <v>9</v>
      </c>
      <c r="C1884" t="str">
        <f>IF(AND(A1884&gt;=SETTINGS!$B$4,A1884&lt;=SETTINGS!$B$5),"Yes","No")</f>
        <v>No</v>
      </c>
      <c r="D1884" t="str">
        <f>IFERROR(INDEX(SETTINGS!$C$15:$C$24,MATCH(A1884,SETTINGS!$A$15:$A$24,0)),"No")</f>
        <v>No</v>
      </c>
      <c r="E1884">
        <v>4</v>
      </c>
      <c r="F1884" t="s">
        <v>37</v>
      </c>
      <c r="G1884">
        <v>82</v>
      </c>
      <c r="H1884" t="s">
        <v>91</v>
      </c>
      <c r="I1884" t="s">
        <v>89</v>
      </c>
      <c r="J1884" t="s">
        <v>11</v>
      </c>
      <c r="K1884" t="s">
        <v>12</v>
      </c>
      <c r="L1884" s="36">
        <f ca="1">IF(C1884&lt;&gt;"Yes",0,IF(A1884=2025,N('2025'!D82),IF(A1884=2026,N('2026'!D82),IF(A1884=2027,N('2027'!D82),IF(A1884=2028,N('2028'!D82),IF(A1884=2029,N('2029'!D82),IF(A1884=2030,N('2030'!D82),IF(A1884=2031,N('2031'!D82),IF(A1884=2032,N('2032'!D82),IF(A1884=2033,N('2033'!D82),IF(A1884=2034,N('2034'!D82),IFERROR(N(INDIRECT("'"&amp;A1884&amp;"'!D"&amp;G1884)),0))))))))))))</f>
        <v>0</v>
      </c>
      <c r="M1884" s="36">
        <f>IFERROR(IF(NOT(ISBLANK(KPI_TARGETS!$O$6)),KPI_TARGETS!$O$6,IF(NOT(ISBLANK(KPI_TARGETS!$F$6)),KPI_TARGETS!$F$6,"")),"")</f>
        <v>4000</v>
      </c>
      <c r="N1884" s="36" t="str">
        <f>IFERROR(KPI_TARGETS!$E$6,"Higher is better")</f>
        <v>Higher is better</v>
      </c>
      <c r="O1884" s="37">
        <f t="shared" ca="1" si="174"/>
        <v>0</v>
      </c>
      <c r="P1884" t="str">
        <f t="shared" ca="1" si="175"/>
        <v>Red</v>
      </c>
      <c r="Q1884" s="36">
        <f t="shared" ca="1" si="176"/>
        <v>-4000</v>
      </c>
      <c r="R1884" s="36" t="str">
        <f>""</f>
        <v/>
      </c>
      <c r="S1884" s="36" t="str">
        <f>""</f>
        <v/>
      </c>
      <c r="T1884" s="36" t="str">
        <f>""</f>
        <v/>
      </c>
      <c r="U1884" s="36" t="str">
        <f>""</f>
        <v/>
      </c>
      <c r="V1884" s="36" t="str">
        <f>""</f>
        <v/>
      </c>
      <c r="W1884" s="36">
        <f t="shared" si="177"/>
        <v>1</v>
      </c>
      <c r="X1884" t="str">
        <f t="shared" si="178"/>
        <v>Inactive</v>
      </c>
      <c r="Y1884" t="str">
        <f>IF(MAIN!$H$3="Selected Year",IF(A1884=MAIN!$B$3,"Yes","No"),IF(MAIN!$H$3="Included Years",IF(D1884="Yes","Yes","No"),IF(C1884="Yes","Yes","No")))</f>
        <v>No</v>
      </c>
      <c r="Z1884" t="str">
        <f>IF(MAIN!$F$3="Project to Date",IF(AND(A1884&gt;=SETTINGS!$B$4,A1884&lt;MAIN!$B$3),"Yes",IF(AND(A1884=MAIN!$B$3,E1884&lt;=MAIN!$L$3),"Yes","No")),IF(OR(MAIN!$F$3="Full Year",MAIN!$D$3="All"),"Yes",IF(MAIN!$F$3="Monthly",IF(E1884=MAIN!$L$3,"Yes","No"),IF(E1884&lt;=MAIN!$L$3,"Yes","No"))))</f>
        <v>Yes</v>
      </c>
      <c r="AA1884" t="str">
        <f t="shared" si="179"/>
        <v>No</v>
      </c>
    </row>
    <row r="1885" spans="1:27" x14ac:dyDescent="0.3">
      <c r="A1885">
        <f>INDEX(SETTINGS!$A$15:$A$24,$B1885)</f>
        <v>2033</v>
      </c>
      <c r="B1885">
        <v>9</v>
      </c>
      <c r="C1885" t="str">
        <f>IF(AND(A1885&gt;=SETTINGS!$B$4,A1885&lt;=SETTINGS!$B$5),"Yes","No")</f>
        <v>No</v>
      </c>
      <c r="D1885" t="str">
        <f>IFERROR(INDEX(SETTINGS!$C$15:$C$24,MATCH(A1885,SETTINGS!$A$15:$A$24,0)),"No")</f>
        <v>No</v>
      </c>
      <c r="E1885">
        <v>4</v>
      </c>
      <c r="F1885" t="s">
        <v>37</v>
      </c>
      <c r="G1885">
        <v>83</v>
      </c>
      <c r="H1885" t="s">
        <v>93</v>
      </c>
      <c r="I1885" t="s">
        <v>89</v>
      </c>
      <c r="J1885" t="s">
        <v>13</v>
      </c>
      <c r="K1885" t="s">
        <v>14</v>
      </c>
      <c r="L1885" s="36">
        <f ca="1">IF(C1885&lt;&gt;"Yes",0,IF(A1885=2025,N('2025'!D83),IF(A1885=2026,N('2026'!D83),IF(A1885=2027,N('2027'!D83),IF(A1885=2028,N('2028'!D83),IF(A1885=2029,N('2029'!D83),IF(A1885=2030,N('2030'!D83),IF(A1885=2031,N('2031'!D83),IF(A1885=2032,N('2032'!D83),IF(A1885=2033,N('2033'!D83),IF(A1885=2034,N('2034'!D83),IFERROR(N(INDIRECT("'"&amp;A1885&amp;"'!D"&amp;G1885)),0))))))))))))</f>
        <v>0</v>
      </c>
      <c r="M1885" s="36">
        <f>IFERROR(IF(NOT(ISBLANK(KPI_TARGETS!$O$7)),KPI_TARGETS!$O$7,IF(NOT(ISBLANK(KPI_TARGETS!$F$7)),KPI_TARGETS!$F$7,"")),"")</f>
        <v>8000</v>
      </c>
      <c r="N1885" s="36" t="str">
        <f>IFERROR(KPI_TARGETS!$E$7,"Higher is better")</f>
        <v>Higher is better</v>
      </c>
      <c r="O1885" s="37">
        <f t="shared" ca="1" si="174"/>
        <v>0</v>
      </c>
      <c r="P1885" t="str">
        <f t="shared" ca="1" si="175"/>
        <v>Red</v>
      </c>
      <c r="Q1885" s="36">
        <f t="shared" ca="1" si="176"/>
        <v>-8000</v>
      </c>
      <c r="R1885" s="36" t="str">
        <f>""</f>
        <v/>
      </c>
      <c r="S1885" s="36" t="str">
        <f>""</f>
        <v/>
      </c>
      <c r="T1885" s="36" t="str">
        <f>""</f>
        <v/>
      </c>
      <c r="U1885" s="36" t="str">
        <f>""</f>
        <v/>
      </c>
      <c r="V1885" s="36" t="str">
        <f>""</f>
        <v/>
      </c>
      <c r="W1885" s="36">
        <f t="shared" si="177"/>
        <v>1</v>
      </c>
      <c r="X1885" t="str">
        <f t="shared" si="178"/>
        <v>Inactive</v>
      </c>
      <c r="Y1885" t="str">
        <f>IF(MAIN!$H$3="Selected Year",IF(A1885=MAIN!$B$3,"Yes","No"),IF(MAIN!$H$3="Included Years",IF(D1885="Yes","Yes","No"),IF(C1885="Yes","Yes","No")))</f>
        <v>No</v>
      </c>
      <c r="Z1885" t="str">
        <f>IF(MAIN!$F$3="Project to Date",IF(AND(A1885&gt;=SETTINGS!$B$4,A1885&lt;MAIN!$B$3),"Yes",IF(AND(A1885=MAIN!$B$3,E1885&lt;=MAIN!$L$3),"Yes","No")),IF(OR(MAIN!$F$3="Full Year",MAIN!$D$3="All"),"Yes",IF(MAIN!$F$3="Monthly",IF(E1885=MAIN!$L$3,"Yes","No"),IF(E1885&lt;=MAIN!$L$3,"Yes","No"))))</f>
        <v>Yes</v>
      </c>
      <c r="AA1885" t="str">
        <f t="shared" si="179"/>
        <v>No</v>
      </c>
    </row>
    <row r="1886" spans="1:27" x14ac:dyDescent="0.3">
      <c r="A1886">
        <f>INDEX(SETTINGS!$A$15:$A$24,$B1886)</f>
        <v>2033</v>
      </c>
      <c r="B1886">
        <v>9</v>
      </c>
      <c r="C1886" t="str">
        <f>IF(AND(A1886&gt;=SETTINGS!$B$4,A1886&lt;=SETTINGS!$B$5),"Yes","No")</f>
        <v>No</v>
      </c>
      <c r="D1886" t="str">
        <f>IFERROR(INDEX(SETTINGS!$C$15:$C$24,MATCH(A1886,SETTINGS!$A$15:$A$24,0)),"No")</f>
        <v>No</v>
      </c>
      <c r="E1886">
        <v>4</v>
      </c>
      <c r="F1886" t="s">
        <v>37</v>
      </c>
      <c r="G1886">
        <v>85</v>
      </c>
      <c r="H1886" t="s">
        <v>95</v>
      </c>
      <c r="I1886" t="s">
        <v>15</v>
      </c>
      <c r="J1886" t="s">
        <v>16</v>
      </c>
      <c r="K1886" t="s">
        <v>3</v>
      </c>
      <c r="L1886" s="36">
        <f ca="1">IF(C1886&lt;&gt;"Yes",0,IF(A1886=2025,N('2025'!D85),IF(A1886=2026,N('2026'!D85),IF(A1886=2027,N('2027'!D85),IF(A1886=2028,N('2028'!D85),IF(A1886=2029,N('2029'!D85),IF(A1886=2030,N('2030'!D85),IF(A1886=2031,N('2031'!D85),IF(A1886=2032,N('2032'!D85),IF(A1886=2033,N('2033'!D85),IF(A1886=2034,N('2034'!D85),IFERROR(N(INDIRECT("'"&amp;A1886&amp;"'!D"&amp;G1886)),0))))))))))))</f>
        <v>0</v>
      </c>
      <c r="M1886" s="36">
        <f>IFERROR(IF(NOT(ISBLANK(KPI_TARGETS!$O$8)),KPI_TARGETS!$O$8,IF(NOT(ISBLANK(KPI_TARGETS!$F$8)),KPI_TARGETS!$F$8,"")),"")</f>
        <v>0</v>
      </c>
      <c r="N1886" s="36" t="str">
        <f>IFERROR(KPI_TARGETS!$E$8,"Higher is better")</f>
        <v>Lower is better</v>
      </c>
      <c r="O1886" s="37">
        <f t="shared" ca="1" si="174"/>
        <v>1</v>
      </c>
      <c r="P1886" t="str">
        <f t="shared" ca="1" si="175"/>
        <v>Green</v>
      </c>
      <c r="Q1886" s="36">
        <f t="shared" ca="1" si="176"/>
        <v>0</v>
      </c>
      <c r="R1886" s="36" t="str">
        <f>""</f>
        <v/>
      </c>
      <c r="S1886" s="36" t="str">
        <f>""</f>
        <v/>
      </c>
      <c r="T1886" s="36" t="str">
        <f>""</f>
        <v/>
      </c>
      <c r="U1886" s="36" t="str">
        <f>""</f>
        <v/>
      </c>
      <c r="V1886" s="36" t="str">
        <f>""</f>
        <v/>
      </c>
      <c r="W1886" s="36">
        <f t="shared" si="177"/>
        <v>1</v>
      </c>
      <c r="X1886" t="str">
        <f t="shared" si="178"/>
        <v>Inactive</v>
      </c>
      <c r="Y1886" t="str">
        <f>IF(MAIN!$H$3="Selected Year",IF(A1886=MAIN!$B$3,"Yes","No"),IF(MAIN!$H$3="Included Years",IF(D1886="Yes","Yes","No"),IF(C1886="Yes","Yes","No")))</f>
        <v>No</v>
      </c>
      <c r="Z1886" t="str">
        <f>IF(MAIN!$F$3="Project to Date",IF(AND(A1886&gt;=SETTINGS!$B$4,A1886&lt;MAIN!$B$3),"Yes",IF(AND(A1886=MAIN!$B$3,E1886&lt;=MAIN!$L$3),"Yes","No")),IF(OR(MAIN!$F$3="Full Year",MAIN!$D$3="All"),"Yes",IF(MAIN!$F$3="Monthly",IF(E1886=MAIN!$L$3,"Yes","No"),IF(E1886&lt;=MAIN!$L$3,"Yes","No"))))</f>
        <v>Yes</v>
      </c>
      <c r="AA1886" t="str">
        <f t="shared" si="179"/>
        <v>No</v>
      </c>
    </row>
    <row r="1887" spans="1:27" x14ac:dyDescent="0.3">
      <c r="A1887">
        <f>INDEX(SETTINGS!$A$15:$A$24,$B1887)</f>
        <v>2033</v>
      </c>
      <c r="B1887">
        <v>9</v>
      </c>
      <c r="C1887" t="str">
        <f>IF(AND(A1887&gt;=SETTINGS!$B$4,A1887&lt;=SETTINGS!$B$5),"Yes","No")</f>
        <v>No</v>
      </c>
      <c r="D1887" t="str">
        <f>IFERROR(INDEX(SETTINGS!$C$15:$C$24,MATCH(A1887,SETTINGS!$A$15:$A$24,0)),"No")</f>
        <v>No</v>
      </c>
      <c r="E1887">
        <v>4</v>
      </c>
      <c r="F1887" t="s">
        <v>37</v>
      </c>
      <c r="G1887">
        <v>86</v>
      </c>
      <c r="H1887" t="s">
        <v>97</v>
      </c>
      <c r="I1887" t="s">
        <v>15</v>
      </c>
      <c r="J1887" t="s">
        <v>17</v>
      </c>
      <c r="K1887" t="s">
        <v>3</v>
      </c>
      <c r="L1887" s="36">
        <f ca="1">IF(C1887&lt;&gt;"Yes",0,IF(A1887=2025,N('2025'!D86),IF(A1887=2026,N('2026'!D86),IF(A1887=2027,N('2027'!D86),IF(A1887=2028,N('2028'!D86),IF(A1887=2029,N('2029'!D86),IF(A1887=2030,N('2030'!D86),IF(A1887=2031,N('2031'!D86),IF(A1887=2032,N('2032'!D86),IF(A1887=2033,N('2033'!D86),IF(A1887=2034,N('2034'!D86),IFERROR(N(INDIRECT("'"&amp;A1887&amp;"'!D"&amp;G1887)),0))))))))))))</f>
        <v>0</v>
      </c>
      <c r="M1887" s="36">
        <f>IFERROR(IF(NOT(ISBLANK(KPI_TARGETS!$O$9)),KPI_TARGETS!$O$9,IF(NOT(ISBLANK(KPI_TARGETS!$F$9)),KPI_TARGETS!$F$9,"")),"")</f>
        <v>0</v>
      </c>
      <c r="N1887" s="36" t="str">
        <f>IFERROR(KPI_TARGETS!$E$9,"Higher is better")</f>
        <v>Higher is better</v>
      </c>
      <c r="O1887" s="37" t="str">
        <f t="shared" ca="1" si="174"/>
        <v/>
      </c>
      <c r="P1887" t="str">
        <f t="shared" ca="1" si="175"/>
        <v>Green</v>
      </c>
      <c r="Q1887" s="36">
        <f t="shared" ca="1" si="176"/>
        <v>0</v>
      </c>
      <c r="R1887" s="36" t="str">
        <f>""</f>
        <v/>
      </c>
      <c r="S1887" s="36" t="str">
        <f>""</f>
        <v/>
      </c>
      <c r="T1887" s="36" t="str">
        <f>""</f>
        <v/>
      </c>
      <c r="U1887" s="36" t="str">
        <f>""</f>
        <v/>
      </c>
      <c r="V1887" s="36" t="str">
        <f>""</f>
        <v/>
      </c>
      <c r="W1887" s="36">
        <f t="shared" si="177"/>
        <v>1</v>
      </c>
      <c r="X1887" t="str">
        <f t="shared" si="178"/>
        <v>Inactive</v>
      </c>
      <c r="Y1887" t="str">
        <f>IF(MAIN!$H$3="Selected Year",IF(A1887=MAIN!$B$3,"Yes","No"),IF(MAIN!$H$3="Included Years",IF(D1887="Yes","Yes","No"),IF(C1887="Yes","Yes","No")))</f>
        <v>No</v>
      </c>
      <c r="Z1887" t="str">
        <f>IF(MAIN!$F$3="Project to Date",IF(AND(A1887&gt;=SETTINGS!$B$4,A1887&lt;MAIN!$B$3),"Yes",IF(AND(A1887=MAIN!$B$3,E1887&lt;=MAIN!$L$3),"Yes","No")),IF(OR(MAIN!$F$3="Full Year",MAIN!$D$3="All"),"Yes",IF(MAIN!$F$3="Monthly",IF(E1887=MAIN!$L$3,"Yes","No"),IF(E1887&lt;=MAIN!$L$3,"Yes","No"))))</f>
        <v>Yes</v>
      </c>
      <c r="AA1887" t="str">
        <f t="shared" si="179"/>
        <v>No</v>
      </c>
    </row>
    <row r="1888" spans="1:27" x14ac:dyDescent="0.3">
      <c r="A1888">
        <f>INDEX(SETTINGS!$A$15:$A$24,$B1888)</f>
        <v>2033</v>
      </c>
      <c r="B1888">
        <v>9</v>
      </c>
      <c r="C1888" t="str">
        <f>IF(AND(A1888&gt;=SETTINGS!$B$4,A1888&lt;=SETTINGS!$B$5),"Yes","No")</f>
        <v>No</v>
      </c>
      <c r="D1888" t="str">
        <f>IFERROR(INDEX(SETTINGS!$C$15:$C$24,MATCH(A1888,SETTINGS!$A$15:$A$24,0)),"No")</f>
        <v>No</v>
      </c>
      <c r="E1888">
        <v>4</v>
      </c>
      <c r="F1888" t="s">
        <v>37</v>
      </c>
      <c r="G1888">
        <v>87</v>
      </c>
      <c r="H1888" t="s">
        <v>99</v>
      </c>
      <c r="I1888" t="s">
        <v>15</v>
      </c>
      <c r="J1888" t="s">
        <v>18</v>
      </c>
      <c r="K1888" t="s">
        <v>3</v>
      </c>
      <c r="L1888" s="36">
        <f ca="1">IF(C1888&lt;&gt;"Yes",0,IF(A1888=2025,N('2025'!D87),IF(A1888=2026,N('2026'!D87),IF(A1888=2027,N('2027'!D87),IF(A1888=2028,N('2028'!D87),IF(A1888=2029,N('2029'!D87),IF(A1888=2030,N('2030'!D87),IF(A1888=2031,N('2031'!D87),IF(A1888=2032,N('2032'!D87),IF(A1888=2033,N('2033'!D87),IF(A1888=2034,N('2034'!D87),IFERROR(N(INDIRECT("'"&amp;A1888&amp;"'!D"&amp;G1888)),0))))))))))))</f>
        <v>0</v>
      </c>
      <c r="M1888" s="36">
        <f>IFERROR(IF(NOT(ISBLANK(KPI_TARGETS!$O$10)),KPI_TARGETS!$O$10,IF(NOT(ISBLANK(KPI_TARGETS!$F$10)),KPI_TARGETS!$F$10,"")),"")</f>
        <v>0</v>
      </c>
      <c r="N1888" s="36" t="str">
        <f>IFERROR(KPI_TARGETS!$E$10,"Higher is better")</f>
        <v>Lower is better</v>
      </c>
      <c r="O1888" s="37">
        <f t="shared" ca="1" si="174"/>
        <v>1</v>
      </c>
      <c r="P1888" t="str">
        <f t="shared" ca="1" si="175"/>
        <v>Green</v>
      </c>
      <c r="Q1888" s="36">
        <f t="shared" ca="1" si="176"/>
        <v>0</v>
      </c>
      <c r="R1888" s="36" t="str">
        <f>""</f>
        <v/>
      </c>
      <c r="S1888" s="36" t="str">
        <f>""</f>
        <v/>
      </c>
      <c r="T1888" s="36" t="str">
        <f>""</f>
        <v/>
      </c>
      <c r="U1888" s="36" t="str">
        <f>""</f>
        <v/>
      </c>
      <c r="V1888" s="36" t="str">
        <f>""</f>
        <v/>
      </c>
      <c r="W1888" s="36">
        <f t="shared" si="177"/>
        <v>1</v>
      </c>
      <c r="X1888" t="str">
        <f t="shared" si="178"/>
        <v>Inactive</v>
      </c>
      <c r="Y1888" t="str">
        <f>IF(MAIN!$H$3="Selected Year",IF(A1888=MAIN!$B$3,"Yes","No"),IF(MAIN!$H$3="Included Years",IF(D1888="Yes","Yes","No"),IF(C1888="Yes","Yes","No")))</f>
        <v>No</v>
      </c>
      <c r="Z1888" t="str">
        <f>IF(MAIN!$F$3="Project to Date",IF(AND(A1888&gt;=SETTINGS!$B$4,A1888&lt;MAIN!$B$3),"Yes",IF(AND(A1888=MAIN!$B$3,E1888&lt;=MAIN!$L$3),"Yes","No")),IF(OR(MAIN!$F$3="Full Year",MAIN!$D$3="All"),"Yes",IF(MAIN!$F$3="Monthly",IF(E1888=MAIN!$L$3,"Yes","No"),IF(E1888&lt;=MAIN!$L$3,"Yes","No"))))</f>
        <v>Yes</v>
      </c>
      <c r="AA1888" t="str">
        <f t="shared" si="179"/>
        <v>No</v>
      </c>
    </row>
    <row r="1889" spans="1:27" x14ac:dyDescent="0.3">
      <c r="A1889">
        <f>INDEX(SETTINGS!$A$15:$A$24,$B1889)</f>
        <v>2033</v>
      </c>
      <c r="B1889">
        <v>9</v>
      </c>
      <c r="C1889" t="str">
        <f>IF(AND(A1889&gt;=SETTINGS!$B$4,A1889&lt;=SETTINGS!$B$5),"Yes","No")</f>
        <v>No</v>
      </c>
      <c r="D1889" t="str">
        <f>IFERROR(INDEX(SETTINGS!$C$15:$C$24,MATCH(A1889,SETTINGS!$A$15:$A$24,0)),"No")</f>
        <v>No</v>
      </c>
      <c r="E1889">
        <v>4</v>
      </c>
      <c r="F1889" t="s">
        <v>37</v>
      </c>
      <c r="G1889">
        <v>88</v>
      </c>
      <c r="H1889" t="s">
        <v>100</v>
      </c>
      <c r="I1889" t="s">
        <v>15</v>
      </c>
      <c r="J1889" t="s">
        <v>19</v>
      </c>
      <c r="K1889" t="s">
        <v>3</v>
      </c>
      <c r="L1889" s="36">
        <f ca="1">IF(C1889&lt;&gt;"Yes",0,IF(A1889=2025,N('2025'!D88),IF(A1889=2026,N('2026'!D88),IF(A1889=2027,N('2027'!D88),IF(A1889=2028,N('2028'!D88),IF(A1889=2029,N('2029'!D88),IF(A1889=2030,N('2030'!D88),IF(A1889=2031,N('2031'!D88),IF(A1889=2032,N('2032'!D88),IF(A1889=2033,N('2033'!D88),IF(A1889=2034,N('2034'!D88),IFERROR(N(INDIRECT("'"&amp;A1889&amp;"'!D"&amp;G1889)),0))))))))))))</f>
        <v>0</v>
      </c>
      <c r="M1889" s="36">
        <f>IFERROR(IF(NOT(ISBLANK(KPI_TARGETS!$O$11)),KPI_TARGETS!$O$11,IF(NOT(ISBLANK(KPI_TARGETS!$F$11)),KPI_TARGETS!$F$11,"")),"")</f>
        <v>0</v>
      </c>
      <c r="N1889" s="36" t="str">
        <f>IFERROR(KPI_TARGETS!$E$11,"Higher is better")</f>
        <v>Lower is better</v>
      </c>
      <c r="O1889" s="37">
        <f t="shared" ca="1" si="174"/>
        <v>1</v>
      </c>
      <c r="P1889" t="str">
        <f t="shared" ca="1" si="175"/>
        <v>Green</v>
      </c>
      <c r="Q1889" s="36">
        <f t="shared" ca="1" si="176"/>
        <v>0</v>
      </c>
      <c r="R1889" s="36" t="str">
        <f>""</f>
        <v/>
      </c>
      <c r="S1889" s="36" t="str">
        <f>""</f>
        <v/>
      </c>
      <c r="T1889" s="36" t="str">
        <f>""</f>
        <v/>
      </c>
      <c r="U1889" s="36" t="str">
        <f>""</f>
        <v/>
      </c>
      <c r="V1889" s="36" t="str">
        <f>""</f>
        <v/>
      </c>
      <c r="W1889" s="36">
        <f t="shared" si="177"/>
        <v>1</v>
      </c>
      <c r="X1889" t="str">
        <f t="shared" si="178"/>
        <v>Inactive</v>
      </c>
      <c r="Y1889" t="str">
        <f>IF(MAIN!$H$3="Selected Year",IF(A1889=MAIN!$B$3,"Yes","No"),IF(MAIN!$H$3="Included Years",IF(D1889="Yes","Yes","No"),IF(C1889="Yes","Yes","No")))</f>
        <v>No</v>
      </c>
      <c r="Z1889" t="str">
        <f>IF(MAIN!$F$3="Project to Date",IF(AND(A1889&gt;=SETTINGS!$B$4,A1889&lt;MAIN!$B$3),"Yes",IF(AND(A1889=MAIN!$B$3,E1889&lt;=MAIN!$L$3),"Yes","No")),IF(OR(MAIN!$F$3="Full Year",MAIN!$D$3="All"),"Yes",IF(MAIN!$F$3="Monthly",IF(E1889=MAIN!$L$3,"Yes","No"),IF(E1889&lt;=MAIN!$L$3,"Yes","No"))))</f>
        <v>Yes</v>
      </c>
      <c r="AA1889" t="str">
        <f t="shared" si="179"/>
        <v>No</v>
      </c>
    </row>
    <row r="1890" spans="1:27" x14ac:dyDescent="0.3">
      <c r="A1890">
        <f>INDEX(SETTINGS!$A$15:$A$24,$B1890)</f>
        <v>2033</v>
      </c>
      <c r="B1890">
        <v>9</v>
      </c>
      <c r="C1890" t="str">
        <f>IF(AND(A1890&gt;=SETTINGS!$B$4,A1890&lt;=SETTINGS!$B$5),"Yes","No")</f>
        <v>No</v>
      </c>
      <c r="D1890" t="str">
        <f>IFERROR(INDEX(SETTINGS!$C$15:$C$24,MATCH(A1890,SETTINGS!$A$15:$A$24,0)),"No")</f>
        <v>No</v>
      </c>
      <c r="E1890">
        <v>4</v>
      </c>
      <c r="F1890" t="s">
        <v>37</v>
      </c>
      <c r="G1890">
        <v>89</v>
      </c>
      <c r="H1890" t="s">
        <v>101</v>
      </c>
      <c r="I1890" t="s">
        <v>15</v>
      </c>
      <c r="J1890" t="s">
        <v>20</v>
      </c>
      <c r="K1890" t="s">
        <v>3</v>
      </c>
      <c r="L1890" s="36">
        <f ca="1">IF(C1890&lt;&gt;"Yes",0,IF(A1890=2025,N('2025'!D89),IF(A1890=2026,N('2026'!D89),IF(A1890=2027,N('2027'!D89),IF(A1890=2028,N('2028'!D89),IF(A1890=2029,N('2029'!D89),IF(A1890=2030,N('2030'!D89),IF(A1890=2031,N('2031'!D89),IF(A1890=2032,N('2032'!D89),IF(A1890=2033,N('2033'!D89),IF(A1890=2034,N('2034'!D89),IFERROR(N(INDIRECT("'"&amp;A1890&amp;"'!D"&amp;G1890)),0))))))))))))</f>
        <v>0</v>
      </c>
      <c r="M1890" s="36">
        <f>IFERROR(IF(NOT(ISBLANK(KPI_TARGETS!$O$12)),KPI_TARGETS!$O$12,IF(NOT(ISBLANK(KPI_TARGETS!$F$12)),KPI_TARGETS!$F$12,"")),"")</f>
        <v>0</v>
      </c>
      <c r="N1890" s="36" t="str">
        <f>IFERROR(KPI_TARGETS!$E$12,"Higher is better")</f>
        <v>Lower is better</v>
      </c>
      <c r="O1890" s="37">
        <f t="shared" ca="1" si="174"/>
        <v>1</v>
      </c>
      <c r="P1890" t="str">
        <f t="shared" ca="1" si="175"/>
        <v>Green</v>
      </c>
      <c r="Q1890" s="36">
        <f t="shared" ca="1" si="176"/>
        <v>0</v>
      </c>
      <c r="R1890" s="36" t="str">
        <f>""</f>
        <v/>
      </c>
      <c r="S1890" s="36" t="str">
        <f>""</f>
        <v/>
      </c>
      <c r="T1890" s="36" t="str">
        <f>""</f>
        <v/>
      </c>
      <c r="U1890" s="36" t="str">
        <f>""</f>
        <v/>
      </c>
      <c r="V1890" s="36" t="str">
        <f>""</f>
        <v/>
      </c>
      <c r="W1890" s="36">
        <f t="shared" si="177"/>
        <v>1</v>
      </c>
      <c r="X1890" t="str">
        <f t="shared" si="178"/>
        <v>Inactive</v>
      </c>
      <c r="Y1890" t="str">
        <f>IF(MAIN!$H$3="Selected Year",IF(A1890=MAIN!$B$3,"Yes","No"),IF(MAIN!$H$3="Included Years",IF(D1890="Yes","Yes","No"),IF(C1890="Yes","Yes","No")))</f>
        <v>No</v>
      </c>
      <c r="Z1890" t="str">
        <f>IF(MAIN!$F$3="Project to Date",IF(AND(A1890&gt;=SETTINGS!$B$4,A1890&lt;MAIN!$B$3),"Yes",IF(AND(A1890=MAIN!$B$3,E1890&lt;=MAIN!$L$3),"Yes","No")),IF(OR(MAIN!$F$3="Full Year",MAIN!$D$3="All"),"Yes",IF(MAIN!$F$3="Monthly",IF(E1890=MAIN!$L$3,"Yes","No"),IF(E1890&lt;=MAIN!$L$3,"Yes","No"))))</f>
        <v>Yes</v>
      </c>
      <c r="AA1890" t="str">
        <f t="shared" si="179"/>
        <v>No</v>
      </c>
    </row>
    <row r="1891" spans="1:27" x14ac:dyDescent="0.3">
      <c r="A1891">
        <f>INDEX(SETTINGS!$A$15:$A$24,$B1891)</f>
        <v>2033</v>
      </c>
      <c r="B1891">
        <v>9</v>
      </c>
      <c r="C1891" t="str">
        <f>IF(AND(A1891&gt;=SETTINGS!$B$4,A1891&lt;=SETTINGS!$B$5),"Yes","No")</f>
        <v>No</v>
      </c>
      <c r="D1891" t="str">
        <f>IFERROR(INDEX(SETTINGS!$C$15:$C$24,MATCH(A1891,SETTINGS!$A$15:$A$24,0)),"No")</f>
        <v>No</v>
      </c>
      <c r="E1891">
        <v>4</v>
      </c>
      <c r="F1891" t="s">
        <v>37</v>
      </c>
      <c r="G1891">
        <v>90</v>
      </c>
      <c r="H1891" t="s">
        <v>102</v>
      </c>
      <c r="I1891" t="s">
        <v>15</v>
      </c>
      <c r="J1891" t="s">
        <v>21</v>
      </c>
      <c r="K1891" t="s">
        <v>3</v>
      </c>
      <c r="L1891" s="36">
        <f ca="1">IF(C1891&lt;&gt;"Yes",0,IF(A1891=2025,N('2025'!D90),IF(A1891=2026,N('2026'!D90),IF(A1891=2027,N('2027'!D90),IF(A1891=2028,N('2028'!D90),IF(A1891=2029,N('2029'!D90),IF(A1891=2030,N('2030'!D90),IF(A1891=2031,N('2031'!D90),IF(A1891=2032,N('2032'!D90),IF(A1891=2033,N('2033'!D90),IF(A1891=2034,N('2034'!D90),IFERROR(N(INDIRECT("'"&amp;A1891&amp;"'!D"&amp;G1891)),0))))))))))))</f>
        <v>0</v>
      </c>
      <c r="M1891" s="36">
        <f>IFERROR(IF(NOT(ISBLANK(KPI_TARGETS!$O$13)),KPI_TARGETS!$O$13,IF(NOT(ISBLANK(KPI_TARGETS!$F$13)),KPI_TARGETS!$F$13,"")),"")</f>
        <v>0</v>
      </c>
      <c r="N1891" s="36" t="str">
        <f>IFERROR(KPI_TARGETS!$E$13,"Higher is better")</f>
        <v>Lower is better</v>
      </c>
      <c r="O1891" s="37">
        <f t="shared" ca="1" si="174"/>
        <v>1</v>
      </c>
      <c r="P1891" t="str">
        <f t="shared" ca="1" si="175"/>
        <v>Green</v>
      </c>
      <c r="Q1891" s="36">
        <f t="shared" ca="1" si="176"/>
        <v>0</v>
      </c>
      <c r="R1891" s="36" t="str">
        <f>""</f>
        <v/>
      </c>
      <c r="S1891" s="36" t="str">
        <f>""</f>
        <v/>
      </c>
      <c r="T1891" s="36" t="str">
        <f>""</f>
        <v/>
      </c>
      <c r="U1891" s="36" t="str">
        <f>""</f>
        <v/>
      </c>
      <c r="V1891" s="36" t="str">
        <f>""</f>
        <v/>
      </c>
      <c r="W1891" s="36">
        <f t="shared" si="177"/>
        <v>1</v>
      </c>
      <c r="X1891" t="str">
        <f t="shared" si="178"/>
        <v>Inactive</v>
      </c>
      <c r="Y1891" t="str">
        <f>IF(MAIN!$H$3="Selected Year",IF(A1891=MAIN!$B$3,"Yes","No"),IF(MAIN!$H$3="Included Years",IF(D1891="Yes","Yes","No"),IF(C1891="Yes","Yes","No")))</f>
        <v>No</v>
      </c>
      <c r="Z1891" t="str">
        <f>IF(MAIN!$F$3="Project to Date",IF(AND(A1891&gt;=SETTINGS!$B$4,A1891&lt;MAIN!$B$3),"Yes",IF(AND(A1891=MAIN!$B$3,E1891&lt;=MAIN!$L$3),"Yes","No")),IF(OR(MAIN!$F$3="Full Year",MAIN!$D$3="All"),"Yes",IF(MAIN!$F$3="Monthly",IF(E1891=MAIN!$L$3,"Yes","No"),IF(E1891&lt;=MAIN!$L$3,"Yes","No"))))</f>
        <v>Yes</v>
      </c>
      <c r="AA1891" t="str">
        <f t="shared" si="179"/>
        <v>No</v>
      </c>
    </row>
    <row r="1892" spans="1:27" x14ac:dyDescent="0.3">
      <c r="A1892">
        <f>INDEX(SETTINGS!$A$15:$A$24,$B1892)</f>
        <v>2033</v>
      </c>
      <c r="B1892">
        <v>9</v>
      </c>
      <c r="C1892" t="str">
        <f>IF(AND(A1892&gt;=SETTINGS!$B$4,A1892&lt;=SETTINGS!$B$5),"Yes","No")</f>
        <v>No</v>
      </c>
      <c r="D1892" t="str">
        <f>IFERROR(INDEX(SETTINGS!$C$15:$C$24,MATCH(A1892,SETTINGS!$A$15:$A$24,0)),"No")</f>
        <v>No</v>
      </c>
      <c r="E1892">
        <v>4</v>
      </c>
      <c r="F1892" t="s">
        <v>37</v>
      </c>
      <c r="G1892">
        <v>92</v>
      </c>
      <c r="H1892" t="s">
        <v>103</v>
      </c>
      <c r="I1892" t="s">
        <v>22</v>
      </c>
      <c r="J1892" t="s">
        <v>23</v>
      </c>
      <c r="K1892" t="s">
        <v>3</v>
      </c>
      <c r="L1892" s="36">
        <f ca="1">IF(C1892&lt;&gt;"Yes",0,IF(A1892=2025,N('2025'!D92),IF(A1892=2026,N('2026'!D92),IF(A1892=2027,N('2027'!D92),IF(A1892=2028,N('2028'!D92),IF(A1892=2029,N('2029'!D92),IF(A1892=2030,N('2030'!D92),IF(A1892=2031,N('2031'!D92),IF(A1892=2032,N('2032'!D92),IF(A1892=2033,N('2033'!D92),IF(A1892=2034,N('2034'!D92),IFERROR(N(INDIRECT("'"&amp;A1892&amp;"'!D"&amp;G1892)),0))))))))))))</f>
        <v>0</v>
      </c>
      <c r="M1892" s="36">
        <f>IFERROR(IF(NOT(ISBLANK(KPI_TARGETS!$O$14)),KPI_TARGETS!$O$14,IF(NOT(ISBLANK(KPI_TARGETS!$F$14)),KPI_TARGETS!$F$14,"")),"")</f>
        <v>35</v>
      </c>
      <c r="N1892" s="36" t="str">
        <f>IFERROR(KPI_TARGETS!$E$14,"Higher is better")</f>
        <v>Higher is better</v>
      </c>
      <c r="O1892" s="37">
        <f t="shared" ca="1" si="174"/>
        <v>0</v>
      </c>
      <c r="P1892" t="str">
        <f t="shared" ca="1" si="175"/>
        <v>Red</v>
      </c>
      <c r="Q1892" s="36">
        <f t="shared" ca="1" si="176"/>
        <v>-35</v>
      </c>
      <c r="R1892" s="36" t="str">
        <f>""</f>
        <v/>
      </c>
      <c r="S1892" s="36" t="str">
        <f>""</f>
        <v/>
      </c>
      <c r="T1892" s="36" t="str">
        <f>""</f>
        <v/>
      </c>
      <c r="U1892" s="36" t="str">
        <f>""</f>
        <v/>
      </c>
      <c r="V1892" s="36" t="str">
        <f>""</f>
        <v/>
      </c>
      <c r="W1892" s="36">
        <f t="shared" si="177"/>
        <v>1</v>
      </c>
      <c r="X1892" t="str">
        <f t="shared" si="178"/>
        <v>Inactive</v>
      </c>
      <c r="Y1892" t="str">
        <f>IF(MAIN!$H$3="Selected Year",IF(A1892=MAIN!$B$3,"Yes","No"),IF(MAIN!$H$3="Included Years",IF(D1892="Yes","Yes","No"),IF(C1892="Yes","Yes","No")))</f>
        <v>No</v>
      </c>
      <c r="Z1892" t="str">
        <f>IF(MAIN!$F$3="Project to Date",IF(AND(A1892&gt;=SETTINGS!$B$4,A1892&lt;MAIN!$B$3),"Yes",IF(AND(A1892=MAIN!$B$3,E1892&lt;=MAIN!$L$3),"Yes","No")),IF(OR(MAIN!$F$3="Full Year",MAIN!$D$3="All"),"Yes",IF(MAIN!$F$3="Monthly",IF(E1892=MAIN!$L$3,"Yes","No"),IF(E1892&lt;=MAIN!$L$3,"Yes","No"))))</f>
        <v>Yes</v>
      </c>
      <c r="AA1892" t="str">
        <f t="shared" si="179"/>
        <v>No</v>
      </c>
    </row>
    <row r="1893" spans="1:27" x14ac:dyDescent="0.3">
      <c r="A1893">
        <f>INDEX(SETTINGS!$A$15:$A$24,$B1893)</f>
        <v>2033</v>
      </c>
      <c r="B1893">
        <v>9</v>
      </c>
      <c r="C1893" t="str">
        <f>IF(AND(A1893&gt;=SETTINGS!$B$4,A1893&lt;=SETTINGS!$B$5),"Yes","No")</f>
        <v>No</v>
      </c>
      <c r="D1893" t="str">
        <f>IFERROR(INDEX(SETTINGS!$C$15:$C$24,MATCH(A1893,SETTINGS!$A$15:$A$24,0)),"No")</f>
        <v>No</v>
      </c>
      <c r="E1893">
        <v>4</v>
      </c>
      <c r="F1893" t="s">
        <v>37</v>
      </c>
      <c r="G1893">
        <v>93</v>
      </c>
      <c r="H1893" t="s">
        <v>104</v>
      </c>
      <c r="I1893" t="s">
        <v>22</v>
      </c>
      <c r="J1893" t="s">
        <v>24</v>
      </c>
      <c r="K1893" t="s">
        <v>3</v>
      </c>
      <c r="L1893" s="36">
        <f ca="1">IF(C1893&lt;&gt;"Yes",0,IF(A1893=2025,N('2025'!D93),IF(A1893=2026,N('2026'!D93),IF(A1893=2027,N('2027'!D93),IF(A1893=2028,N('2028'!D93),IF(A1893=2029,N('2029'!D93),IF(A1893=2030,N('2030'!D93),IF(A1893=2031,N('2031'!D93),IF(A1893=2032,N('2032'!D93),IF(A1893=2033,N('2033'!D93),IF(A1893=2034,N('2034'!D93),IFERROR(N(INDIRECT("'"&amp;A1893&amp;"'!D"&amp;G1893)),0))))))))))))</f>
        <v>0</v>
      </c>
      <c r="M1893" s="36">
        <f>IFERROR(IF(NOT(ISBLANK(KPI_TARGETS!$O$15)),KPI_TARGETS!$O$15,IF(NOT(ISBLANK(KPI_TARGETS!$F$15)),KPI_TARGETS!$F$15,"")),"")</f>
        <v>5</v>
      </c>
      <c r="N1893" s="36" t="str">
        <f>IFERROR(KPI_TARGETS!$E$15,"Higher is better")</f>
        <v>Higher is better</v>
      </c>
      <c r="O1893" s="37">
        <f t="shared" ca="1" si="174"/>
        <v>0</v>
      </c>
      <c r="P1893" t="str">
        <f t="shared" ca="1" si="175"/>
        <v>Red</v>
      </c>
      <c r="Q1893" s="36">
        <f t="shared" ca="1" si="176"/>
        <v>-5</v>
      </c>
      <c r="R1893" s="36" t="str">
        <f>""</f>
        <v/>
      </c>
      <c r="S1893" s="36" t="str">
        <f>""</f>
        <v/>
      </c>
      <c r="T1893" s="36" t="str">
        <f>""</f>
        <v/>
      </c>
      <c r="U1893" s="36" t="str">
        <f>""</f>
        <v/>
      </c>
      <c r="V1893" s="36" t="str">
        <f>""</f>
        <v/>
      </c>
      <c r="W1893" s="36">
        <f t="shared" si="177"/>
        <v>1</v>
      </c>
      <c r="X1893" t="str">
        <f t="shared" si="178"/>
        <v>Inactive</v>
      </c>
      <c r="Y1893" t="str">
        <f>IF(MAIN!$H$3="Selected Year",IF(A1893=MAIN!$B$3,"Yes","No"),IF(MAIN!$H$3="Included Years",IF(D1893="Yes","Yes","No"),IF(C1893="Yes","Yes","No")))</f>
        <v>No</v>
      </c>
      <c r="Z1893" t="str">
        <f>IF(MAIN!$F$3="Project to Date",IF(AND(A1893&gt;=SETTINGS!$B$4,A1893&lt;MAIN!$B$3),"Yes",IF(AND(A1893=MAIN!$B$3,E1893&lt;=MAIN!$L$3),"Yes","No")),IF(OR(MAIN!$F$3="Full Year",MAIN!$D$3="All"),"Yes",IF(MAIN!$F$3="Monthly",IF(E1893=MAIN!$L$3,"Yes","No"),IF(E1893&lt;=MAIN!$L$3,"Yes","No"))))</f>
        <v>Yes</v>
      </c>
      <c r="AA1893" t="str">
        <f t="shared" si="179"/>
        <v>No</v>
      </c>
    </row>
    <row r="1894" spans="1:27" x14ac:dyDescent="0.3">
      <c r="A1894">
        <f>INDEX(SETTINGS!$A$15:$A$24,$B1894)</f>
        <v>2033</v>
      </c>
      <c r="B1894">
        <v>9</v>
      </c>
      <c r="C1894" t="str">
        <f>IF(AND(A1894&gt;=SETTINGS!$B$4,A1894&lt;=SETTINGS!$B$5),"Yes","No")</f>
        <v>No</v>
      </c>
      <c r="D1894" t="str">
        <f>IFERROR(INDEX(SETTINGS!$C$15:$C$24,MATCH(A1894,SETTINGS!$A$15:$A$24,0)),"No")</f>
        <v>No</v>
      </c>
      <c r="E1894">
        <v>4</v>
      </c>
      <c r="F1894" t="s">
        <v>37</v>
      </c>
      <c r="G1894">
        <v>94</v>
      </c>
      <c r="H1894" t="s">
        <v>105</v>
      </c>
      <c r="I1894" t="s">
        <v>22</v>
      </c>
      <c r="J1894" t="s">
        <v>25</v>
      </c>
      <c r="K1894" t="s">
        <v>3</v>
      </c>
      <c r="L1894" s="36">
        <f ca="1">IF(C1894&lt;&gt;"Yes",0,IF(A1894=2025,N('2025'!D94),IF(A1894=2026,N('2026'!D94),IF(A1894=2027,N('2027'!D94),IF(A1894=2028,N('2028'!D94),IF(A1894=2029,N('2029'!D94),IF(A1894=2030,N('2030'!D94),IF(A1894=2031,N('2031'!D94),IF(A1894=2032,N('2032'!D94),IF(A1894=2033,N('2033'!D94),IF(A1894=2034,N('2034'!D94),IFERROR(N(INDIRECT("'"&amp;A1894&amp;"'!D"&amp;G1894)),0))))))))))))</f>
        <v>0</v>
      </c>
      <c r="M1894" s="36">
        <f>IFERROR(IF(NOT(ISBLANK(KPI_TARGETS!$O$16)),KPI_TARGETS!$O$16,IF(NOT(ISBLANK(KPI_TARGETS!$F$16)),KPI_TARGETS!$F$16,"")),"")</f>
        <v>4</v>
      </c>
      <c r="N1894" s="36" t="str">
        <f>IFERROR(KPI_TARGETS!$E$16,"Higher is better")</f>
        <v>Higher is better</v>
      </c>
      <c r="O1894" s="37">
        <f t="shared" ca="1" si="174"/>
        <v>0</v>
      </c>
      <c r="P1894" t="str">
        <f t="shared" ca="1" si="175"/>
        <v>Red</v>
      </c>
      <c r="Q1894" s="36">
        <f t="shared" ca="1" si="176"/>
        <v>-4</v>
      </c>
      <c r="R1894" s="36" t="str">
        <f>""</f>
        <v/>
      </c>
      <c r="S1894" s="36" t="str">
        <f>""</f>
        <v/>
      </c>
      <c r="T1894" s="36" t="str">
        <f>""</f>
        <v/>
      </c>
      <c r="U1894" s="36" t="str">
        <f>""</f>
        <v/>
      </c>
      <c r="V1894" s="36" t="str">
        <f>""</f>
        <v/>
      </c>
      <c r="W1894" s="36">
        <f t="shared" si="177"/>
        <v>1</v>
      </c>
      <c r="X1894" t="str">
        <f t="shared" si="178"/>
        <v>Inactive</v>
      </c>
      <c r="Y1894" t="str">
        <f>IF(MAIN!$H$3="Selected Year",IF(A1894=MAIN!$B$3,"Yes","No"),IF(MAIN!$H$3="Included Years",IF(D1894="Yes","Yes","No"),IF(C1894="Yes","Yes","No")))</f>
        <v>No</v>
      </c>
      <c r="Z1894" t="str">
        <f>IF(MAIN!$F$3="Project to Date",IF(AND(A1894&gt;=SETTINGS!$B$4,A1894&lt;MAIN!$B$3),"Yes",IF(AND(A1894=MAIN!$B$3,E1894&lt;=MAIN!$L$3),"Yes","No")),IF(OR(MAIN!$F$3="Full Year",MAIN!$D$3="All"),"Yes",IF(MAIN!$F$3="Monthly",IF(E1894=MAIN!$L$3,"Yes","No"),IF(E1894&lt;=MAIN!$L$3,"Yes","No"))))</f>
        <v>Yes</v>
      </c>
      <c r="AA1894" t="str">
        <f t="shared" si="179"/>
        <v>No</v>
      </c>
    </row>
    <row r="1895" spans="1:27" x14ac:dyDescent="0.3">
      <c r="A1895">
        <f>INDEX(SETTINGS!$A$15:$A$24,$B1895)</f>
        <v>2033</v>
      </c>
      <c r="B1895">
        <v>9</v>
      </c>
      <c r="C1895" t="str">
        <f>IF(AND(A1895&gt;=SETTINGS!$B$4,A1895&lt;=SETTINGS!$B$5),"Yes","No")</f>
        <v>No</v>
      </c>
      <c r="D1895" t="str">
        <f>IFERROR(INDEX(SETTINGS!$C$15:$C$24,MATCH(A1895,SETTINGS!$A$15:$A$24,0)),"No")</f>
        <v>No</v>
      </c>
      <c r="E1895">
        <v>4</v>
      </c>
      <c r="F1895" t="s">
        <v>37</v>
      </c>
      <c r="G1895">
        <v>95</v>
      </c>
      <c r="H1895" t="s">
        <v>106</v>
      </c>
      <c r="I1895" t="s">
        <v>22</v>
      </c>
      <c r="J1895" t="s">
        <v>26</v>
      </c>
      <c r="K1895" t="s">
        <v>3</v>
      </c>
      <c r="L1895" s="36">
        <f ca="1">IF(C1895&lt;&gt;"Yes",0,IF(A1895=2025,N('2025'!D95),IF(A1895=2026,N('2026'!D95),IF(A1895=2027,N('2027'!D95),IF(A1895=2028,N('2028'!D95),IF(A1895=2029,N('2029'!D95),IF(A1895=2030,N('2030'!D95),IF(A1895=2031,N('2031'!D95),IF(A1895=2032,N('2032'!D95),IF(A1895=2033,N('2033'!D95),IF(A1895=2034,N('2034'!D95),IFERROR(N(INDIRECT("'"&amp;A1895&amp;"'!D"&amp;G1895)),0))))))))))))</f>
        <v>0</v>
      </c>
      <c r="M1895" s="36">
        <f>IFERROR(IF(NOT(ISBLANK(KPI_TARGETS!$O$17)),KPI_TARGETS!$O$17,IF(NOT(ISBLANK(KPI_TARGETS!$F$17)),KPI_TARGETS!$F$17,"")),"")</f>
        <v>12</v>
      </c>
      <c r="N1895" s="36" t="str">
        <f>IFERROR(KPI_TARGETS!$E$17,"Higher is better")</f>
        <v>Higher is better</v>
      </c>
      <c r="O1895" s="37">
        <f t="shared" ca="1" si="174"/>
        <v>0</v>
      </c>
      <c r="P1895" t="str">
        <f t="shared" ca="1" si="175"/>
        <v>Red</v>
      </c>
      <c r="Q1895" s="36">
        <f t="shared" ca="1" si="176"/>
        <v>-12</v>
      </c>
      <c r="R1895" s="36" t="str">
        <f>""</f>
        <v/>
      </c>
      <c r="S1895" s="36" t="str">
        <f>""</f>
        <v/>
      </c>
      <c r="T1895" s="36" t="str">
        <f>""</f>
        <v/>
      </c>
      <c r="U1895" s="36" t="str">
        <f>""</f>
        <v/>
      </c>
      <c r="V1895" s="36" t="str">
        <f>""</f>
        <v/>
      </c>
      <c r="W1895" s="36">
        <f t="shared" si="177"/>
        <v>1</v>
      </c>
      <c r="X1895" t="str">
        <f t="shared" si="178"/>
        <v>Inactive</v>
      </c>
      <c r="Y1895" t="str">
        <f>IF(MAIN!$H$3="Selected Year",IF(A1895=MAIN!$B$3,"Yes","No"),IF(MAIN!$H$3="Included Years",IF(D1895="Yes","Yes","No"),IF(C1895="Yes","Yes","No")))</f>
        <v>No</v>
      </c>
      <c r="Z1895" t="str">
        <f>IF(MAIN!$F$3="Project to Date",IF(AND(A1895&gt;=SETTINGS!$B$4,A1895&lt;MAIN!$B$3),"Yes",IF(AND(A1895=MAIN!$B$3,E1895&lt;=MAIN!$L$3),"Yes","No")),IF(OR(MAIN!$F$3="Full Year",MAIN!$D$3="All"),"Yes",IF(MAIN!$F$3="Monthly",IF(E1895=MAIN!$L$3,"Yes","No"),IF(E1895&lt;=MAIN!$L$3,"Yes","No"))))</f>
        <v>Yes</v>
      </c>
      <c r="AA1895" t="str">
        <f t="shared" si="179"/>
        <v>No</v>
      </c>
    </row>
    <row r="1896" spans="1:27" x14ac:dyDescent="0.3">
      <c r="A1896">
        <f>INDEX(SETTINGS!$A$15:$A$24,$B1896)</f>
        <v>2033</v>
      </c>
      <c r="B1896">
        <v>9</v>
      </c>
      <c r="C1896" t="str">
        <f>IF(AND(A1896&gt;=SETTINGS!$B$4,A1896&lt;=SETTINGS!$B$5),"Yes","No")</f>
        <v>No</v>
      </c>
      <c r="D1896" t="str">
        <f>IFERROR(INDEX(SETTINGS!$C$15:$C$24,MATCH(A1896,SETTINGS!$A$15:$A$24,0)),"No")</f>
        <v>No</v>
      </c>
      <c r="E1896">
        <v>4</v>
      </c>
      <c r="F1896" t="s">
        <v>37</v>
      </c>
      <c r="G1896">
        <v>96</v>
      </c>
      <c r="H1896" t="s">
        <v>107</v>
      </c>
      <c r="I1896" t="s">
        <v>22</v>
      </c>
      <c r="J1896" t="s">
        <v>27</v>
      </c>
      <c r="K1896" t="s">
        <v>3</v>
      </c>
      <c r="L1896" s="36">
        <f ca="1">IF(C1896&lt;&gt;"Yes",0,IF(A1896=2025,N('2025'!D96),IF(A1896=2026,N('2026'!D96),IF(A1896=2027,N('2027'!D96),IF(A1896=2028,N('2028'!D96),IF(A1896=2029,N('2029'!D96),IF(A1896=2030,N('2030'!D96),IF(A1896=2031,N('2031'!D96),IF(A1896=2032,N('2032'!D96),IF(A1896=2033,N('2033'!D96),IF(A1896=2034,N('2034'!D96),IFERROR(N(INDIRECT("'"&amp;A1896&amp;"'!D"&amp;G1896)),0))))))))))))</f>
        <v>0</v>
      </c>
      <c r="M1896" s="36">
        <f>IFERROR(IF(NOT(ISBLANK(KPI_TARGETS!$O$18)),KPI_TARGETS!$O$18,IF(NOT(ISBLANK(KPI_TARGETS!$F$18)),KPI_TARGETS!$F$18,"")),"")</f>
        <v>4</v>
      </c>
      <c r="N1896" s="36" t="str">
        <f>IFERROR(KPI_TARGETS!$E$18,"Higher is better")</f>
        <v>Higher is better</v>
      </c>
      <c r="O1896" s="37">
        <f t="shared" ca="1" si="174"/>
        <v>0</v>
      </c>
      <c r="P1896" t="str">
        <f t="shared" ca="1" si="175"/>
        <v>Red</v>
      </c>
      <c r="Q1896" s="36">
        <f t="shared" ca="1" si="176"/>
        <v>-4</v>
      </c>
      <c r="R1896" s="36" t="str">
        <f>""</f>
        <v/>
      </c>
      <c r="S1896" s="36" t="str">
        <f>""</f>
        <v/>
      </c>
      <c r="T1896" s="36" t="str">
        <f>""</f>
        <v/>
      </c>
      <c r="U1896" s="36" t="str">
        <f>""</f>
        <v/>
      </c>
      <c r="V1896" s="36" t="str">
        <f>""</f>
        <v/>
      </c>
      <c r="W1896" s="36">
        <f t="shared" si="177"/>
        <v>1</v>
      </c>
      <c r="X1896" t="str">
        <f t="shared" si="178"/>
        <v>Inactive</v>
      </c>
      <c r="Y1896" t="str">
        <f>IF(MAIN!$H$3="Selected Year",IF(A1896=MAIN!$B$3,"Yes","No"),IF(MAIN!$H$3="Included Years",IF(D1896="Yes","Yes","No"),IF(C1896="Yes","Yes","No")))</f>
        <v>No</v>
      </c>
      <c r="Z1896" t="str">
        <f>IF(MAIN!$F$3="Project to Date",IF(AND(A1896&gt;=SETTINGS!$B$4,A1896&lt;MAIN!$B$3),"Yes",IF(AND(A1896=MAIN!$B$3,E1896&lt;=MAIN!$L$3),"Yes","No")),IF(OR(MAIN!$F$3="Full Year",MAIN!$D$3="All"),"Yes",IF(MAIN!$F$3="Monthly",IF(E1896=MAIN!$L$3,"Yes","No"),IF(E1896&lt;=MAIN!$L$3,"Yes","No"))))</f>
        <v>Yes</v>
      </c>
      <c r="AA1896" t="str">
        <f t="shared" si="179"/>
        <v>No</v>
      </c>
    </row>
    <row r="1897" spans="1:27" x14ac:dyDescent="0.3">
      <c r="A1897">
        <f>INDEX(SETTINGS!$A$15:$A$24,$B1897)</f>
        <v>2033</v>
      </c>
      <c r="B1897">
        <v>9</v>
      </c>
      <c r="C1897" t="str">
        <f>IF(AND(A1897&gt;=SETTINGS!$B$4,A1897&lt;=SETTINGS!$B$5),"Yes","No")</f>
        <v>No</v>
      </c>
      <c r="D1897" t="str">
        <f>IFERROR(INDEX(SETTINGS!$C$15:$C$24,MATCH(A1897,SETTINGS!$A$15:$A$24,0)),"No")</f>
        <v>No</v>
      </c>
      <c r="E1897">
        <v>4</v>
      </c>
      <c r="F1897" t="s">
        <v>37</v>
      </c>
      <c r="G1897">
        <v>97</v>
      </c>
      <c r="H1897" t="s">
        <v>108</v>
      </c>
      <c r="I1897" t="s">
        <v>22</v>
      </c>
      <c r="J1897" t="s">
        <v>28</v>
      </c>
      <c r="K1897" t="s">
        <v>3</v>
      </c>
      <c r="L1897" s="36">
        <f ca="1">IF(C1897&lt;&gt;"Yes",0,IF(A1897=2025,N('2025'!D97),IF(A1897=2026,N('2026'!D97),IF(A1897=2027,N('2027'!D97),IF(A1897=2028,N('2028'!D97),IF(A1897=2029,N('2029'!D97),IF(A1897=2030,N('2030'!D97),IF(A1897=2031,N('2031'!D97),IF(A1897=2032,N('2032'!D97),IF(A1897=2033,N('2033'!D97),IF(A1897=2034,N('2034'!D97),IFERROR(N(INDIRECT("'"&amp;A1897&amp;"'!D"&amp;G1897)),0))))))))))))</f>
        <v>0</v>
      </c>
      <c r="M1897" s="36">
        <f>IFERROR(IF(NOT(ISBLANK(KPI_TARGETS!$O$19)),KPI_TARGETS!$O$19,IF(NOT(ISBLANK(KPI_TARGETS!$F$19)),KPI_TARGETS!$F$19,"")),"")</f>
        <v>16</v>
      </c>
      <c r="N1897" s="36" t="str">
        <f>IFERROR(KPI_TARGETS!$E$19,"Higher is better")</f>
        <v>Higher is better</v>
      </c>
      <c r="O1897" s="37">
        <f t="shared" ca="1" si="174"/>
        <v>0</v>
      </c>
      <c r="P1897" t="str">
        <f t="shared" ca="1" si="175"/>
        <v>Red</v>
      </c>
      <c r="Q1897" s="36">
        <f t="shared" ca="1" si="176"/>
        <v>-16</v>
      </c>
      <c r="R1897" s="36" t="str">
        <f>""</f>
        <v/>
      </c>
      <c r="S1897" s="36" t="str">
        <f>""</f>
        <v/>
      </c>
      <c r="T1897" s="36" t="str">
        <f>""</f>
        <v/>
      </c>
      <c r="U1897" s="36" t="str">
        <f>""</f>
        <v/>
      </c>
      <c r="V1897" s="36" t="str">
        <f>""</f>
        <v/>
      </c>
      <c r="W1897" s="36">
        <f t="shared" si="177"/>
        <v>1</v>
      </c>
      <c r="X1897" t="str">
        <f t="shared" si="178"/>
        <v>Inactive</v>
      </c>
      <c r="Y1897" t="str">
        <f>IF(MAIN!$H$3="Selected Year",IF(A1897=MAIN!$B$3,"Yes","No"),IF(MAIN!$H$3="Included Years",IF(D1897="Yes","Yes","No"),IF(C1897="Yes","Yes","No")))</f>
        <v>No</v>
      </c>
      <c r="Z1897" t="str">
        <f>IF(MAIN!$F$3="Project to Date",IF(AND(A1897&gt;=SETTINGS!$B$4,A1897&lt;MAIN!$B$3),"Yes",IF(AND(A1897=MAIN!$B$3,E1897&lt;=MAIN!$L$3),"Yes","No")),IF(OR(MAIN!$F$3="Full Year",MAIN!$D$3="All"),"Yes",IF(MAIN!$F$3="Monthly",IF(E1897=MAIN!$L$3,"Yes","No"),IF(E1897&lt;=MAIN!$L$3,"Yes","No"))))</f>
        <v>Yes</v>
      </c>
      <c r="AA1897" t="str">
        <f t="shared" si="179"/>
        <v>No</v>
      </c>
    </row>
    <row r="1898" spans="1:27" x14ac:dyDescent="0.3">
      <c r="A1898">
        <f>INDEX(SETTINGS!$A$15:$A$24,$B1898)</f>
        <v>2033</v>
      </c>
      <c r="B1898">
        <v>9</v>
      </c>
      <c r="C1898" t="str">
        <f>IF(AND(A1898&gt;=SETTINGS!$B$4,A1898&lt;=SETTINGS!$B$5),"Yes","No")</f>
        <v>No</v>
      </c>
      <c r="D1898" t="str">
        <f>IFERROR(INDEX(SETTINGS!$C$15:$C$24,MATCH(A1898,SETTINGS!$A$15:$A$24,0)),"No")</f>
        <v>No</v>
      </c>
      <c r="E1898">
        <v>4</v>
      </c>
      <c r="F1898" t="s">
        <v>37</v>
      </c>
      <c r="G1898">
        <v>98</v>
      </c>
      <c r="H1898" t="s">
        <v>109</v>
      </c>
      <c r="I1898" t="s">
        <v>22</v>
      </c>
      <c r="J1898" t="s">
        <v>29</v>
      </c>
      <c r="K1898" t="s">
        <v>3</v>
      </c>
      <c r="L1898" s="36">
        <f ca="1">IF(C1898&lt;&gt;"Yes",0,IF(A1898=2025,N('2025'!D98),IF(A1898=2026,N('2026'!D98),IF(A1898=2027,N('2027'!D98),IF(A1898=2028,N('2028'!D98),IF(A1898=2029,N('2029'!D98),IF(A1898=2030,N('2030'!D98),IF(A1898=2031,N('2031'!D98),IF(A1898=2032,N('2032'!D98),IF(A1898=2033,N('2033'!D98),IF(A1898=2034,N('2034'!D98),IFERROR(N(INDIRECT("'"&amp;A1898&amp;"'!D"&amp;G1898)),0))))))))))))</f>
        <v>0</v>
      </c>
      <c r="M1898" s="36">
        <f>IFERROR(IF(NOT(ISBLANK(KPI_TARGETS!$O$20)),KPI_TARGETS!$O$20,IF(NOT(ISBLANK(KPI_TARGETS!$F$20)),KPI_TARGETS!$F$20,"")),"")</f>
        <v>1</v>
      </c>
      <c r="N1898" s="36" t="str">
        <f>IFERROR(KPI_TARGETS!$E$20,"Higher is better")</f>
        <v>Higher is better</v>
      </c>
      <c r="O1898" s="37">
        <f t="shared" ca="1" si="174"/>
        <v>0</v>
      </c>
      <c r="P1898" t="str">
        <f t="shared" ca="1" si="175"/>
        <v>Red</v>
      </c>
      <c r="Q1898" s="36">
        <f t="shared" ca="1" si="176"/>
        <v>-1</v>
      </c>
      <c r="R1898" s="36" t="str">
        <f>""</f>
        <v/>
      </c>
      <c r="S1898" s="36" t="str">
        <f>""</f>
        <v/>
      </c>
      <c r="T1898" s="36" t="str">
        <f>""</f>
        <v/>
      </c>
      <c r="U1898" s="36" t="str">
        <f>""</f>
        <v/>
      </c>
      <c r="V1898" s="36" t="str">
        <f>""</f>
        <v/>
      </c>
      <c r="W1898" s="36">
        <f t="shared" si="177"/>
        <v>1</v>
      </c>
      <c r="X1898" t="str">
        <f t="shared" si="178"/>
        <v>Inactive</v>
      </c>
      <c r="Y1898" t="str">
        <f>IF(MAIN!$H$3="Selected Year",IF(A1898=MAIN!$B$3,"Yes","No"),IF(MAIN!$H$3="Included Years",IF(D1898="Yes","Yes","No"),IF(C1898="Yes","Yes","No")))</f>
        <v>No</v>
      </c>
      <c r="Z1898" t="str">
        <f>IF(MAIN!$F$3="Project to Date",IF(AND(A1898&gt;=SETTINGS!$B$4,A1898&lt;MAIN!$B$3),"Yes",IF(AND(A1898=MAIN!$B$3,E1898&lt;=MAIN!$L$3),"Yes","No")),IF(OR(MAIN!$F$3="Full Year",MAIN!$D$3="All"),"Yes",IF(MAIN!$F$3="Monthly",IF(E1898=MAIN!$L$3,"Yes","No"),IF(E1898&lt;=MAIN!$L$3,"Yes","No"))))</f>
        <v>Yes</v>
      </c>
      <c r="AA1898" t="str">
        <f t="shared" si="179"/>
        <v>No</v>
      </c>
    </row>
    <row r="1899" spans="1:27" x14ac:dyDescent="0.3">
      <c r="A1899">
        <f>INDEX(SETTINGS!$A$15:$A$24,$B1899)</f>
        <v>2033</v>
      </c>
      <c r="B1899">
        <v>9</v>
      </c>
      <c r="C1899" t="str">
        <f>IF(AND(A1899&gt;=SETTINGS!$B$4,A1899&lt;=SETTINGS!$B$5),"Yes","No")</f>
        <v>No</v>
      </c>
      <c r="D1899" t="str">
        <f>IFERROR(INDEX(SETTINGS!$C$15:$C$24,MATCH(A1899,SETTINGS!$A$15:$A$24,0)),"No")</f>
        <v>No</v>
      </c>
      <c r="E1899">
        <v>4</v>
      </c>
      <c r="F1899" t="s">
        <v>37</v>
      </c>
      <c r="G1899">
        <v>100</v>
      </c>
      <c r="H1899" t="s">
        <v>110</v>
      </c>
      <c r="I1899" t="s">
        <v>30</v>
      </c>
      <c r="J1899" t="s">
        <v>31</v>
      </c>
      <c r="K1899" t="s">
        <v>3</v>
      </c>
      <c r="L1899" s="36">
        <f ca="1">IF(C1899&lt;&gt;"Yes",0,IF(A1899=2025,N('2025'!D100),IF(A1899=2026,N('2026'!D100),IF(A1899=2027,N('2027'!D100),IF(A1899=2028,N('2028'!D100),IF(A1899=2029,N('2029'!D100),IF(A1899=2030,N('2030'!D100),IF(A1899=2031,N('2031'!D100),IF(A1899=2032,N('2032'!D100),IF(A1899=2033,N('2033'!D100),IF(A1899=2034,N('2034'!D100),IFERROR(N(INDIRECT("'"&amp;A1899&amp;"'!D"&amp;G1899)),0))))))))))))</f>
        <v>0</v>
      </c>
      <c r="M1899" s="36">
        <f>IFERROR(IF(NOT(ISBLANK(KPI_TARGETS!$O$21)),KPI_TARGETS!$O$21,IF(NOT(ISBLANK(KPI_TARGETS!$F$21)),KPI_TARGETS!$F$21,"")),"")</f>
        <v>0</v>
      </c>
      <c r="N1899" s="36" t="str">
        <f>IFERROR(KPI_TARGETS!$E$21,"Higher is better")</f>
        <v>Lower is better</v>
      </c>
      <c r="O1899" s="37">
        <f t="shared" ca="1" si="174"/>
        <v>1</v>
      </c>
      <c r="P1899" t="str">
        <f t="shared" ca="1" si="175"/>
        <v>Green</v>
      </c>
      <c r="Q1899" s="36">
        <f t="shared" ca="1" si="176"/>
        <v>0</v>
      </c>
      <c r="R1899" s="36" t="str">
        <f>""</f>
        <v/>
      </c>
      <c r="S1899" s="36" t="str">
        <f>""</f>
        <v/>
      </c>
      <c r="T1899" s="36" t="str">
        <f>""</f>
        <v/>
      </c>
      <c r="U1899" s="36" t="str">
        <f>""</f>
        <v/>
      </c>
      <c r="V1899" s="36" t="str">
        <f>""</f>
        <v/>
      </c>
      <c r="W1899" s="36">
        <f t="shared" si="177"/>
        <v>1</v>
      </c>
      <c r="X1899" t="str">
        <f t="shared" si="178"/>
        <v>Inactive</v>
      </c>
      <c r="Y1899" t="str">
        <f>IF(MAIN!$H$3="Selected Year",IF(A1899=MAIN!$B$3,"Yes","No"),IF(MAIN!$H$3="Included Years",IF(D1899="Yes","Yes","No"),IF(C1899="Yes","Yes","No")))</f>
        <v>No</v>
      </c>
      <c r="Z1899" t="str">
        <f>IF(MAIN!$F$3="Project to Date",IF(AND(A1899&gt;=SETTINGS!$B$4,A1899&lt;MAIN!$B$3),"Yes",IF(AND(A1899=MAIN!$B$3,E1899&lt;=MAIN!$L$3),"Yes","No")),IF(OR(MAIN!$F$3="Full Year",MAIN!$D$3="All"),"Yes",IF(MAIN!$F$3="Monthly",IF(E1899=MAIN!$L$3,"Yes","No"),IF(E1899&lt;=MAIN!$L$3,"Yes","No"))))</f>
        <v>Yes</v>
      </c>
      <c r="AA1899" t="str">
        <f t="shared" si="179"/>
        <v>No</v>
      </c>
    </row>
    <row r="1900" spans="1:27" x14ac:dyDescent="0.3">
      <c r="A1900">
        <f>INDEX(SETTINGS!$A$15:$A$24,$B1900)</f>
        <v>2033</v>
      </c>
      <c r="B1900">
        <v>9</v>
      </c>
      <c r="C1900" t="str">
        <f>IF(AND(A1900&gt;=SETTINGS!$B$4,A1900&lt;=SETTINGS!$B$5),"Yes","No")</f>
        <v>No</v>
      </c>
      <c r="D1900" t="str">
        <f>IFERROR(INDEX(SETTINGS!$C$15:$C$24,MATCH(A1900,SETTINGS!$A$15:$A$24,0)),"No")</f>
        <v>No</v>
      </c>
      <c r="E1900">
        <v>4</v>
      </c>
      <c r="F1900" t="s">
        <v>37</v>
      </c>
      <c r="G1900">
        <v>101</v>
      </c>
      <c r="H1900" t="s">
        <v>111</v>
      </c>
      <c r="I1900" t="s">
        <v>30</v>
      </c>
      <c r="J1900" t="s">
        <v>32</v>
      </c>
      <c r="K1900" t="s">
        <v>3</v>
      </c>
      <c r="L1900" s="36">
        <f ca="1">IF(C1900&lt;&gt;"Yes",0,IF(A1900=2025,N('2025'!D101),IF(A1900=2026,N('2026'!D101),IF(A1900=2027,N('2027'!D101),IF(A1900=2028,N('2028'!D101),IF(A1900=2029,N('2029'!D101),IF(A1900=2030,N('2030'!D101),IF(A1900=2031,N('2031'!D101),IF(A1900=2032,N('2032'!D101),IF(A1900=2033,N('2033'!D101),IF(A1900=2034,N('2034'!D101),IFERROR(N(INDIRECT("'"&amp;A1900&amp;"'!D"&amp;G1900)),0))))))))))))</f>
        <v>0</v>
      </c>
      <c r="M1900" s="36">
        <f>IFERROR(IF(NOT(ISBLANK(KPI_TARGETS!$O$22)),KPI_TARGETS!$O$22,IF(NOT(ISBLANK(KPI_TARGETS!$F$22)),KPI_TARGETS!$F$22,"")),"")</f>
        <v>1</v>
      </c>
      <c r="N1900" s="36" t="str">
        <f>IFERROR(KPI_TARGETS!$E$22,"Higher is better")</f>
        <v>Higher is better</v>
      </c>
      <c r="O1900" s="37">
        <f t="shared" ca="1" si="174"/>
        <v>0</v>
      </c>
      <c r="P1900" t="str">
        <f t="shared" ca="1" si="175"/>
        <v>Red</v>
      </c>
      <c r="Q1900" s="36">
        <f t="shared" ca="1" si="176"/>
        <v>-1</v>
      </c>
      <c r="R1900" s="36" t="str">
        <f>""</f>
        <v/>
      </c>
      <c r="S1900" s="36" t="str">
        <f>""</f>
        <v/>
      </c>
      <c r="T1900" s="36" t="str">
        <f>""</f>
        <v/>
      </c>
      <c r="U1900" s="36" t="str">
        <f>""</f>
        <v/>
      </c>
      <c r="V1900" s="36" t="str">
        <f>""</f>
        <v/>
      </c>
      <c r="W1900" s="36">
        <f t="shared" si="177"/>
        <v>1</v>
      </c>
      <c r="X1900" t="str">
        <f t="shared" si="178"/>
        <v>Inactive</v>
      </c>
      <c r="Y1900" t="str">
        <f>IF(MAIN!$H$3="Selected Year",IF(A1900=MAIN!$B$3,"Yes","No"),IF(MAIN!$H$3="Included Years",IF(D1900="Yes","Yes","No"),IF(C1900="Yes","Yes","No")))</f>
        <v>No</v>
      </c>
      <c r="Z1900" t="str">
        <f>IF(MAIN!$F$3="Project to Date",IF(AND(A1900&gt;=SETTINGS!$B$4,A1900&lt;MAIN!$B$3),"Yes",IF(AND(A1900=MAIN!$B$3,E1900&lt;=MAIN!$L$3),"Yes","No")),IF(OR(MAIN!$F$3="Full Year",MAIN!$D$3="All"),"Yes",IF(MAIN!$F$3="Monthly",IF(E1900=MAIN!$L$3,"Yes","No"),IF(E1900&lt;=MAIN!$L$3,"Yes","No"))))</f>
        <v>Yes</v>
      </c>
      <c r="AA1900" t="str">
        <f t="shared" si="179"/>
        <v>No</v>
      </c>
    </row>
    <row r="1901" spans="1:27" x14ac:dyDescent="0.3">
      <c r="A1901">
        <f>INDEX(SETTINGS!$A$15:$A$24,$B1901)</f>
        <v>2033</v>
      </c>
      <c r="B1901">
        <v>9</v>
      </c>
      <c r="C1901" t="str">
        <f>IF(AND(A1901&gt;=SETTINGS!$B$4,A1901&lt;=SETTINGS!$B$5),"Yes","No")</f>
        <v>No</v>
      </c>
      <c r="D1901" t="str">
        <f>IFERROR(INDEX(SETTINGS!$C$15:$C$24,MATCH(A1901,SETTINGS!$A$15:$A$24,0)),"No")</f>
        <v>No</v>
      </c>
      <c r="E1901">
        <v>4</v>
      </c>
      <c r="F1901" t="s">
        <v>37</v>
      </c>
      <c r="G1901">
        <v>102</v>
      </c>
      <c r="H1901" t="s">
        <v>112</v>
      </c>
      <c r="I1901" t="s">
        <v>30</v>
      </c>
      <c r="J1901" t="s">
        <v>33</v>
      </c>
      <c r="K1901" t="s">
        <v>34</v>
      </c>
      <c r="L1901" s="36">
        <f ca="1">IF(C1901&lt;&gt;"Yes",0,IF(A1901=2025,N('2025'!D102),IF(A1901=2026,N('2026'!D102),IF(A1901=2027,N('2027'!D102),IF(A1901=2028,N('2028'!D102),IF(A1901=2029,N('2029'!D102),IF(A1901=2030,N('2030'!D102),IF(A1901=2031,N('2031'!D102),IF(A1901=2032,N('2032'!D102),IF(A1901=2033,N('2033'!D102),IF(A1901=2034,N('2034'!D102),IFERROR(N(INDIRECT("'"&amp;A1901&amp;"'!D"&amp;G1901)),0))))))))))))</f>
        <v>0</v>
      </c>
      <c r="M1901" s="36">
        <f>IFERROR(IF(NOT(ISBLANK(KPI_TARGETS!$O$23)),KPI_TARGETS!$O$23,IF(NOT(ISBLANK(KPI_TARGETS!$F$23)),KPI_TARGETS!$F$23,"")),"")</f>
        <v>1</v>
      </c>
      <c r="N1901" s="36" t="str">
        <f>IFERROR(KPI_TARGETS!$E$23,"Higher is better")</f>
        <v>Higher is better</v>
      </c>
      <c r="O1901" s="37">
        <f t="shared" ca="1" si="174"/>
        <v>0</v>
      </c>
      <c r="P1901" t="str">
        <f t="shared" ca="1" si="175"/>
        <v>Red</v>
      </c>
      <c r="Q1901" s="36">
        <f t="shared" ca="1" si="176"/>
        <v>-1</v>
      </c>
      <c r="R1901" s="36" t="str">
        <f>""</f>
        <v/>
      </c>
      <c r="S1901" s="36" t="str">
        <f>""</f>
        <v/>
      </c>
      <c r="T1901" s="36" t="str">
        <f>""</f>
        <v/>
      </c>
      <c r="U1901" s="36" t="str">
        <f>""</f>
        <v/>
      </c>
      <c r="V1901" s="36" t="str">
        <f>""</f>
        <v/>
      </c>
      <c r="W1901" s="36">
        <f t="shared" si="177"/>
        <v>1</v>
      </c>
      <c r="X1901" t="str">
        <f t="shared" si="178"/>
        <v>Inactive</v>
      </c>
      <c r="Y1901" t="str">
        <f>IF(MAIN!$H$3="Selected Year",IF(A1901=MAIN!$B$3,"Yes","No"),IF(MAIN!$H$3="Included Years",IF(D1901="Yes","Yes","No"),IF(C1901="Yes","Yes","No")))</f>
        <v>No</v>
      </c>
      <c r="Z1901" t="str">
        <f>IF(MAIN!$F$3="Project to Date",IF(AND(A1901&gt;=SETTINGS!$B$4,A1901&lt;MAIN!$B$3),"Yes",IF(AND(A1901=MAIN!$B$3,E1901&lt;=MAIN!$L$3),"Yes","No")),IF(OR(MAIN!$F$3="Full Year",MAIN!$D$3="All"),"Yes",IF(MAIN!$F$3="Monthly",IF(E1901=MAIN!$L$3,"Yes","No"),IF(E1901&lt;=MAIN!$L$3,"Yes","No"))))</f>
        <v>Yes</v>
      </c>
      <c r="AA1901" t="str">
        <f t="shared" si="179"/>
        <v>No</v>
      </c>
    </row>
    <row r="1902" spans="1:27" x14ac:dyDescent="0.3">
      <c r="A1902">
        <f>INDEX(SETTINGS!$A$15:$A$24,$B1902)</f>
        <v>2033</v>
      </c>
      <c r="B1902">
        <v>9</v>
      </c>
      <c r="C1902" t="str">
        <f>IF(AND(A1902&gt;=SETTINGS!$B$4,A1902&lt;=SETTINGS!$B$5),"Yes","No")</f>
        <v>No</v>
      </c>
      <c r="D1902" t="str">
        <f>IFERROR(INDEX(SETTINGS!$C$15:$C$24,MATCH(A1902,SETTINGS!$A$15:$A$24,0)),"No")</f>
        <v>No</v>
      </c>
      <c r="E1902">
        <v>5</v>
      </c>
      <c r="F1902" t="s">
        <v>38</v>
      </c>
      <c r="G1902">
        <v>105</v>
      </c>
      <c r="H1902" t="s">
        <v>88</v>
      </c>
      <c r="I1902" t="s">
        <v>89</v>
      </c>
      <c r="J1902" t="s">
        <v>10</v>
      </c>
      <c r="K1902" t="s">
        <v>3</v>
      </c>
      <c r="L1902" s="36">
        <f ca="1">IF(C1902&lt;&gt;"Yes",0,IF(A1902=2025,N('2025'!D105),IF(A1902=2026,N('2026'!D105),IF(A1902=2027,N('2027'!D105),IF(A1902=2028,N('2028'!D105),IF(A1902=2029,N('2029'!D105),IF(A1902=2030,N('2030'!D105),IF(A1902=2031,N('2031'!D105),IF(A1902=2032,N('2032'!D105),IF(A1902=2033,N('2033'!D105),IF(A1902=2034,N('2034'!D105),IFERROR(N(INDIRECT("'"&amp;A1902&amp;"'!D"&amp;G1902)),0))))))))))))</f>
        <v>0</v>
      </c>
      <c r="M1902" s="36">
        <f>IFERROR(IF(NOT(ISBLANK(KPI_TARGETS!$O$5)),KPI_TARGETS!$O$5,IF(NOT(ISBLANK(KPI_TARGETS!$F$5)),KPI_TARGETS!$F$5,"")),"")</f>
        <v>104</v>
      </c>
      <c r="N1902" s="36" t="str">
        <f>IFERROR(KPI_TARGETS!$E$5,"Higher is better")</f>
        <v>Higher is better</v>
      </c>
      <c r="O1902" s="37">
        <f t="shared" ca="1" si="174"/>
        <v>0</v>
      </c>
      <c r="P1902" t="str">
        <f t="shared" ca="1" si="175"/>
        <v>Red</v>
      </c>
      <c r="Q1902" s="36">
        <f t="shared" ca="1" si="176"/>
        <v>-104</v>
      </c>
      <c r="R1902" s="36" t="str">
        <f>""</f>
        <v/>
      </c>
      <c r="S1902" s="36" t="str">
        <f>""</f>
        <v/>
      </c>
      <c r="T1902" s="36" t="str">
        <f>""</f>
        <v/>
      </c>
      <c r="U1902" s="36" t="str">
        <f>""</f>
        <v/>
      </c>
      <c r="V1902" s="36" t="str">
        <f>""</f>
        <v/>
      </c>
      <c r="W1902" s="36">
        <f t="shared" si="177"/>
        <v>1</v>
      </c>
      <c r="X1902" t="str">
        <f t="shared" si="178"/>
        <v>Inactive</v>
      </c>
      <c r="Y1902" t="str">
        <f>IF(MAIN!$H$3="Selected Year",IF(A1902=MAIN!$B$3,"Yes","No"),IF(MAIN!$H$3="Included Years",IF(D1902="Yes","Yes","No"),IF(C1902="Yes","Yes","No")))</f>
        <v>No</v>
      </c>
      <c r="Z1902" t="str">
        <f>IF(MAIN!$F$3="Project to Date",IF(AND(A1902&gt;=SETTINGS!$B$4,A1902&lt;MAIN!$B$3),"Yes",IF(AND(A1902=MAIN!$B$3,E1902&lt;=MAIN!$L$3),"Yes","No")),IF(OR(MAIN!$F$3="Full Year",MAIN!$D$3="All"),"Yes",IF(MAIN!$F$3="Monthly",IF(E1902=MAIN!$L$3,"Yes","No"),IF(E1902&lt;=MAIN!$L$3,"Yes","No"))))</f>
        <v>Yes</v>
      </c>
      <c r="AA1902" t="str">
        <f t="shared" si="179"/>
        <v>No</v>
      </c>
    </row>
    <row r="1903" spans="1:27" x14ac:dyDescent="0.3">
      <c r="A1903">
        <f>INDEX(SETTINGS!$A$15:$A$24,$B1903)</f>
        <v>2033</v>
      </c>
      <c r="B1903">
        <v>9</v>
      </c>
      <c r="C1903" t="str">
        <f>IF(AND(A1903&gt;=SETTINGS!$B$4,A1903&lt;=SETTINGS!$B$5),"Yes","No")</f>
        <v>No</v>
      </c>
      <c r="D1903" t="str">
        <f>IFERROR(INDEX(SETTINGS!$C$15:$C$24,MATCH(A1903,SETTINGS!$A$15:$A$24,0)),"No")</f>
        <v>No</v>
      </c>
      <c r="E1903">
        <v>5</v>
      </c>
      <c r="F1903" t="s">
        <v>38</v>
      </c>
      <c r="G1903">
        <v>106</v>
      </c>
      <c r="H1903" t="s">
        <v>91</v>
      </c>
      <c r="I1903" t="s">
        <v>89</v>
      </c>
      <c r="J1903" t="s">
        <v>11</v>
      </c>
      <c r="K1903" t="s">
        <v>12</v>
      </c>
      <c r="L1903" s="36">
        <f ca="1">IF(C1903&lt;&gt;"Yes",0,IF(A1903=2025,N('2025'!D106),IF(A1903=2026,N('2026'!D106),IF(A1903=2027,N('2027'!D106),IF(A1903=2028,N('2028'!D106),IF(A1903=2029,N('2029'!D106),IF(A1903=2030,N('2030'!D106),IF(A1903=2031,N('2031'!D106),IF(A1903=2032,N('2032'!D106),IF(A1903=2033,N('2033'!D106),IF(A1903=2034,N('2034'!D106),IFERROR(N(INDIRECT("'"&amp;A1903&amp;"'!D"&amp;G1903)),0))))))))))))</f>
        <v>0</v>
      </c>
      <c r="M1903" s="36">
        <f>IFERROR(IF(NOT(ISBLANK(KPI_TARGETS!$O$6)),KPI_TARGETS!$O$6,IF(NOT(ISBLANK(KPI_TARGETS!$F$6)),KPI_TARGETS!$F$6,"")),"")</f>
        <v>4000</v>
      </c>
      <c r="N1903" s="36" t="str">
        <f>IFERROR(KPI_TARGETS!$E$6,"Higher is better")</f>
        <v>Higher is better</v>
      </c>
      <c r="O1903" s="37">
        <f t="shared" ca="1" si="174"/>
        <v>0</v>
      </c>
      <c r="P1903" t="str">
        <f t="shared" ca="1" si="175"/>
        <v>Red</v>
      </c>
      <c r="Q1903" s="36">
        <f t="shared" ca="1" si="176"/>
        <v>-4000</v>
      </c>
      <c r="R1903" s="36" t="str">
        <f>""</f>
        <v/>
      </c>
      <c r="S1903" s="36" t="str">
        <f>""</f>
        <v/>
      </c>
      <c r="T1903" s="36" t="str">
        <f>""</f>
        <v/>
      </c>
      <c r="U1903" s="36" t="str">
        <f>""</f>
        <v/>
      </c>
      <c r="V1903" s="36" t="str">
        <f>""</f>
        <v/>
      </c>
      <c r="W1903" s="36">
        <f t="shared" si="177"/>
        <v>1</v>
      </c>
      <c r="X1903" t="str">
        <f t="shared" si="178"/>
        <v>Inactive</v>
      </c>
      <c r="Y1903" t="str">
        <f>IF(MAIN!$H$3="Selected Year",IF(A1903=MAIN!$B$3,"Yes","No"),IF(MAIN!$H$3="Included Years",IF(D1903="Yes","Yes","No"),IF(C1903="Yes","Yes","No")))</f>
        <v>No</v>
      </c>
      <c r="Z1903" t="str">
        <f>IF(MAIN!$F$3="Project to Date",IF(AND(A1903&gt;=SETTINGS!$B$4,A1903&lt;MAIN!$B$3),"Yes",IF(AND(A1903=MAIN!$B$3,E1903&lt;=MAIN!$L$3),"Yes","No")),IF(OR(MAIN!$F$3="Full Year",MAIN!$D$3="All"),"Yes",IF(MAIN!$F$3="Monthly",IF(E1903=MAIN!$L$3,"Yes","No"),IF(E1903&lt;=MAIN!$L$3,"Yes","No"))))</f>
        <v>Yes</v>
      </c>
      <c r="AA1903" t="str">
        <f t="shared" si="179"/>
        <v>No</v>
      </c>
    </row>
    <row r="1904" spans="1:27" x14ac:dyDescent="0.3">
      <c r="A1904">
        <f>INDEX(SETTINGS!$A$15:$A$24,$B1904)</f>
        <v>2033</v>
      </c>
      <c r="B1904">
        <v>9</v>
      </c>
      <c r="C1904" t="str">
        <f>IF(AND(A1904&gt;=SETTINGS!$B$4,A1904&lt;=SETTINGS!$B$5),"Yes","No")</f>
        <v>No</v>
      </c>
      <c r="D1904" t="str">
        <f>IFERROR(INDEX(SETTINGS!$C$15:$C$24,MATCH(A1904,SETTINGS!$A$15:$A$24,0)),"No")</f>
        <v>No</v>
      </c>
      <c r="E1904">
        <v>5</v>
      </c>
      <c r="F1904" t="s">
        <v>38</v>
      </c>
      <c r="G1904">
        <v>107</v>
      </c>
      <c r="H1904" t="s">
        <v>93</v>
      </c>
      <c r="I1904" t="s">
        <v>89</v>
      </c>
      <c r="J1904" t="s">
        <v>13</v>
      </c>
      <c r="K1904" t="s">
        <v>14</v>
      </c>
      <c r="L1904" s="36">
        <f ca="1">IF(C1904&lt;&gt;"Yes",0,IF(A1904=2025,N('2025'!D107),IF(A1904=2026,N('2026'!D107),IF(A1904=2027,N('2027'!D107),IF(A1904=2028,N('2028'!D107),IF(A1904=2029,N('2029'!D107),IF(A1904=2030,N('2030'!D107),IF(A1904=2031,N('2031'!D107),IF(A1904=2032,N('2032'!D107),IF(A1904=2033,N('2033'!D107),IF(A1904=2034,N('2034'!D107),IFERROR(N(INDIRECT("'"&amp;A1904&amp;"'!D"&amp;G1904)),0))))))))))))</f>
        <v>0</v>
      </c>
      <c r="M1904" s="36">
        <f>IFERROR(IF(NOT(ISBLANK(KPI_TARGETS!$O$7)),KPI_TARGETS!$O$7,IF(NOT(ISBLANK(KPI_TARGETS!$F$7)),KPI_TARGETS!$F$7,"")),"")</f>
        <v>8000</v>
      </c>
      <c r="N1904" s="36" t="str">
        <f>IFERROR(KPI_TARGETS!$E$7,"Higher is better")</f>
        <v>Higher is better</v>
      </c>
      <c r="O1904" s="37">
        <f t="shared" ca="1" si="174"/>
        <v>0</v>
      </c>
      <c r="P1904" t="str">
        <f t="shared" ca="1" si="175"/>
        <v>Red</v>
      </c>
      <c r="Q1904" s="36">
        <f t="shared" ca="1" si="176"/>
        <v>-8000</v>
      </c>
      <c r="R1904" s="36" t="str">
        <f>""</f>
        <v/>
      </c>
      <c r="S1904" s="36" t="str">
        <f>""</f>
        <v/>
      </c>
      <c r="T1904" s="36" t="str">
        <f>""</f>
        <v/>
      </c>
      <c r="U1904" s="36" t="str">
        <f>""</f>
        <v/>
      </c>
      <c r="V1904" s="36" t="str">
        <f>""</f>
        <v/>
      </c>
      <c r="W1904" s="36">
        <f t="shared" si="177"/>
        <v>1</v>
      </c>
      <c r="X1904" t="str">
        <f t="shared" si="178"/>
        <v>Inactive</v>
      </c>
      <c r="Y1904" t="str">
        <f>IF(MAIN!$H$3="Selected Year",IF(A1904=MAIN!$B$3,"Yes","No"),IF(MAIN!$H$3="Included Years",IF(D1904="Yes","Yes","No"),IF(C1904="Yes","Yes","No")))</f>
        <v>No</v>
      </c>
      <c r="Z1904" t="str">
        <f>IF(MAIN!$F$3="Project to Date",IF(AND(A1904&gt;=SETTINGS!$B$4,A1904&lt;MAIN!$B$3),"Yes",IF(AND(A1904=MAIN!$B$3,E1904&lt;=MAIN!$L$3),"Yes","No")),IF(OR(MAIN!$F$3="Full Year",MAIN!$D$3="All"),"Yes",IF(MAIN!$F$3="Monthly",IF(E1904=MAIN!$L$3,"Yes","No"),IF(E1904&lt;=MAIN!$L$3,"Yes","No"))))</f>
        <v>Yes</v>
      </c>
      <c r="AA1904" t="str">
        <f t="shared" si="179"/>
        <v>No</v>
      </c>
    </row>
    <row r="1905" spans="1:27" x14ac:dyDescent="0.3">
      <c r="A1905">
        <f>INDEX(SETTINGS!$A$15:$A$24,$B1905)</f>
        <v>2033</v>
      </c>
      <c r="B1905">
        <v>9</v>
      </c>
      <c r="C1905" t="str">
        <f>IF(AND(A1905&gt;=SETTINGS!$B$4,A1905&lt;=SETTINGS!$B$5),"Yes","No")</f>
        <v>No</v>
      </c>
      <c r="D1905" t="str">
        <f>IFERROR(INDEX(SETTINGS!$C$15:$C$24,MATCH(A1905,SETTINGS!$A$15:$A$24,0)),"No")</f>
        <v>No</v>
      </c>
      <c r="E1905">
        <v>5</v>
      </c>
      <c r="F1905" t="s">
        <v>38</v>
      </c>
      <c r="G1905">
        <v>109</v>
      </c>
      <c r="H1905" t="s">
        <v>95</v>
      </c>
      <c r="I1905" t="s">
        <v>15</v>
      </c>
      <c r="J1905" t="s">
        <v>16</v>
      </c>
      <c r="K1905" t="s">
        <v>3</v>
      </c>
      <c r="L1905" s="36">
        <f ca="1">IF(C1905&lt;&gt;"Yes",0,IF(A1905=2025,N('2025'!D109),IF(A1905=2026,N('2026'!D109),IF(A1905=2027,N('2027'!D109),IF(A1905=2028,N('2028'!D109),IF(A1905=2029,N('2029'!D109),IF(A1905=2030,N('2030'!D109),IF(A1905=2031,N('2031'!D109),IF(A1905=2032,N('2032'!D109),IF(A1905=2033,N('2033'!D109),IF(A1905=2034,N('2034'!D109),IFERROR(N(INDIRECT("'"&amp;A1905&amp;"'!D"&amp;G1905)),0))))))))))))</f>
        <v>0</v>
      </c>
      <c r="M1905" s="36">
        <f>IFERROR(IF(NOT(ISBLANK(KPI_TARGETS!$O$8)),KPI_TARGETS!$O$8,IF(NOT(ISBLANK(KPI_TARGETS!$F$8)),KPI_TARGETS!$F$8,"")),"")</f>
        <v>0</v>
      </c>
      <c r="N1905" s="36" t="str">
        <f>IFERROR(KPI_TARGETS!$E$8,"Higher is better")</f>
        <v>Lower is better</v>
      </c>
      <c r="O1905" s="37">
        <f t="shared" ca="1" si="174"/>
        <v>1</v>
      </c>
      <c r="P1905" t="str">
        <f t="shared" ca="1" si="175"/>
        <v>Green</v>
      </c>
      <c r="Q1905" s="36">
        <f t="shared" ca="1" si="176"/>
        <v>0</v>
      </c>
      <c r="R1905" s="36" t="str">
        <f>""</f>
        <v/>
      </c>
      <c r="S1905" s="36" t="str">
        <f>""</f>
        <v/>
      </c>
      <c r="T1905" s="36" t="str">
        <f>""</f>
        <v/>
      </c>
      <c r="U1905" s="36" t="str">
        <f>""</f>
        <v/>
      </c>
      <c r="V1905" s="36" t="str">
        <f>""</f>
        <v/>
      </c>
      <c r="W1905" s="36">
        <f t="shared" si="177"/>
        <v>1</v>
      </c>
      <c r="X1905" t="str">
        <f t="shared" si="178"/>
        <v>Inactive</v>
      </c>
      <c r="Y1905" t="str">
        <f>IF(MAIN!$H$3="Selected Year",IF(A1905=MAIN!$B$3,"Yes","No"),IF(MAIN!$H$3="Included Years",IF(D1905="Yes","Yes","No"),IF(C1905="Yes","Yes","No")))</f>
        <v>No</v>
      </c>
      <c r="Z1905" t="str">
        <f>IF(MAIN!$F$3="Project to Date",IF(AND(A1905&gt;=SETTINGS!$B$4,A1905&lt;MAIN!$B$3),"Yes",IF(AND(A1905=MAIN!$B$3,E1905&lt;=MAIN!$L$3),"Yes","No")),IF(OR(MAIN!$F$3="Full Year",MAIN!$D$3="All"),"Yes",IF(MAIN!$F$3="Monthly",IF(E1905=MAIN!$L$3,"Yes","No"),IF(E1905&lt;=MAIN!$L$3,"Yes","No"))))</f>
        <v>Yes</v>
      </c>
      <c r="AA1905" t="str">
        <f t="shared" si="179"/>
        <v>No</v>
      </c>
    </row>
    <row r="1906" spans="1:27" x14ac:dyDescent="0.3">
      <c r="A1906">
        <f>INDEX(SETTINGS!$A$15:$A$24,$B1906)</f>
        <v>2033</v>
      </c>
      <c r="B1906">
        <v>9</v>
      </c>
      <c r="C1906" t="str">
        <f>IF(AND(A1906&gt;=SETTINGS!$B$4,A1906&lt;=SETTINGS!$B$5),"Yes","No")</f>
        <v>No</v>
      </c>
      <c r="D1906" t="str">
        <f>IFERROR(INDEX(SETTINGS!$C$15:$C$24,MATCH(A1906,SETTINGS!$A$15:$A$24,0)),"No")</f>
        <v>No</v>
      </c>
      <c r="E1906">
        <v>5</v>
      </c>
      <c r="F1906" t="s">
        <v>38</v>
      </c>
      <c r="G1906">
        <v>110</v>
      </c>
      <c r="H1906" t="s">
        <v>97</v>
      </c>
      <c r="I1906" t="s">
        <v>15</v>
      </c>
      <c r="J1906" t="s">
        <v>17</v>
      </c>
      <c r="K1906" t="s">
        <v>3</v>
      </c>
      <c r="L1906" s="36">
        <f ca="1">IF(C1906&lt;&gt;"Yes",0,IF(A1906=2025,N('2025'!D110),IF(A1906=2026,N('2026'!D110),IF(A1906=2027,N('2027'!D110),IF(A1906=2028,N('2028'!D110),IF(A1906=2029,N('2029'!D110),IF(A1906=2030,N('2030'!D110),IF(A1906=2031,N('2031'!D110),IF(A1906=2032,N('2032'!D110),IF(A1906=2033,N('2033'!D110),IF(A1906=2034,N('2034'!D110),IFERROR(N(INDIRECT("'"&amp;A1906&amp;"'!D"&amp;G1906)),0))))))))))))</f>
        <v>0</v>
      </c>
      <c r="M1906" s="36">
        <f>IFERROR(IF(NOT(ISBLANK(KPI_TARGETS!$O$9)),KPI_TARGETS!$O$9,IF(NOT(ISBLANK(KPI_TARGETS!$F$9)),KPI_TARGETS!$F$9,"")),"")</f>
        <v>0</v>
      </c>
      <c r="N1906" s="36" t="str">
        <f>IFERROR(KPI_TARGETS!$E$9,"Higher is better")</f>
        <v>Higher is better</v>
      </c>
      <c r="O1906" s="37" t="str">
        <f t="shared" ca="1" si="174"/>
        <v/>
      </c>
      <c r="P1906" t="str">
        <f t="shared" ca="1" si="175"/>
        <v>Green</v>
      </c>
      <c r="Q1906" s="36">
        <f t="shared" ca="1" si="176"/>
        <v>0</v>
      </c>
      <c r="R1906" s="36" t="str">
        <f>""</f>
        <v/>
      </c>
      <c r="S1906" s="36" t="str">
        <f>""</f>
        <v/>
      </c>
      <c r="T1906" s="36" t="str">
        <f>""</f>
        <v/>
      </c>
      <c r="U1906" s="36" t="str">
        <f>""</f>
        <v/>
      </c>
      <c r="V1906" s="36" t="str">
        <f>""</f>
        <v/>
      </c>
      <c r="W1906" s="36">
        <f t="shared" si="177"/>
        <v>1</v>
      </c>
      <c r="X1906" t="str">
        <f t="shared" si="178"/>
        <v>Inactive</v>
      </c>
      <c r="Y1906" t="str">
        <f>IF(MAIN!$H$3="Selected Year",IF(A1906=MAIN!$B$3,"Yes","No"),IF(MAIN!$H$3="Included Years",IF(D1906="Yes","Yes","No"),IF(C1906="Yes","Yes","No")))</f>
        <v>No</v>
      </c>
      <c r="Z1906" t="str">
        <f>IF(MAIN!$F$3="Project to Date",IF(AND(A1906&gt;=SETTINGS!$B$4,A1906&lt;MAIN!$B$3),"Yes",IF(AND(A1906=MAIN!$B$3,E1906&lt;=MAIN!$L$3),"Yes","No")),IF(OR(MAIN!$F$3="Full Year",MAIN!$D$3="All"),"Yes",IF(MAIN!$F$3="Monthly",IF(E1906=MAIN!$L$3,"Yes","No"),IF(E1906&lt;=MAIN!$L$3,"Yes","No"))))</f>
        <v>Yes</v>
      </c>
      <c r="AA1906" t="str">
        <f t="shared" si="179"/>
        <v>No</v>
      </c>
    </row>
    <row r="1907" spans="1:27" x14ac:dyDescent="0.3">
      <c r="A1907">
        <f>INDEX(SETTINGS!$A$15:$A$24,$B1907)</f>
        <v>2033</v>
      </c>
      <c r="B1907">
        <v>9</v>
      </c>
      <c r="C1907" t="str">
        <f>IF(AND(A1907&gt;=SETTINGS!$B$4,A1907&lt;=SETTINGS!$B$5),"Yes","No")</f>
        <v>No</v>
      </c>
      <c r="D1907" t="str">
        <f>IFERROR(INDEX(SETTINGS!$C$15:$C$24,MATCH(A1907,SETTINGS!$A$15:$A$24,0)),"No")</f>
        <v>No</v>
      </c>
      <c r="E1907">
        <v>5</v>
      </c>
      <c r="F1907" t="s">
        <v>38</v>
      </c>
      <c r="G1907">
        <v>111</v>
      </c>
      <c r="H1907" t="s">
        <v>99</v>
      </c>
      <c r="I1907" t="s">
        <v>15</v>
      </c>
      <c r="J1907" t="s">
        <v>18</v>
      </c>
      <c r="K1907" t="s">
        <v>3</v>
      </c>
      <c r="L1907" s="36">
        <f ca="1">IF(C1907&lt;&gt;"Yes",0,IF(A1907=2025,N('2025'!D111),IF(A1907=2026,N('2026'!D111),IF(A1907=2027,N('2027'!D111),IF(A1907=2028,N('2028'!D111),IF(A1907=2029,N('2029'!D111),IF(A1907=2030,N('2030'!D111),IF(A1907=2031,N('2031'!D111),IF(A1907=2032,N('2032'!D111),IF(A1907=2033,N('2033'!D111),IF(A1907=2034,N('2034'!D111),IFERROR(N(INDIRECT("'"&amp;A1907&amp;"'!D"&amp;G1907)),0))))))))))))</f>
        <v>0</v>
      </c>
      <c r="M1907" s="36">
        <f>IFERROR(IF(NOT(ISBLANK(KPI_TARGETS!$O$10)),KPI_TARGETS!$O$10,IF(NOT(ISBLANK(KPI_TARGETS!$F$10)),KPI_TARGETS!$F$10,"")),"")</f>
        <v>0</v>
      </c>
      <c r="N1907" s="36" t="str">
        <f>IFERROR(KPI_TARGETS!$E$10,"Higher is better")</f>
        <v>Lower is better</v>
      </c>
      <c r="O1907" s="37">
        <f t="shared" ca="1" si="174"/>
        <v>1</v>
      </c>
      <c r="P1907" t="str">
        <f t="shared" ca="1" si="175"/>
        <v>Green</v>
      </c>
      <c r="Q1907" s="36">
        <f t="shared" ca="1" si="176"/>
        <v>0</v>
      </c>
      <c r="R1907" s="36" t="str">
        <f>""</f>
        <v/>
      </c>
      <c r="S1907" s="36" t="str">
        <f>""</f>
        <v/>
      </c>
      <c r="T1907" s="36" t="str">
        <f>""</f>
        <v/>
      </c>
      <c r="U1907" s="36" t="str">
        <f>""</f>
        <v/>
      </c>
      <c r="V1907" s="36" t="str">
        <f>""</f>
        <v/>
      </c>
      <c r="W1907" s="36">
        <f t="shared" si="177"/>
        <v>1</v>
      </c>
      <c r="X1907" t="str">
        <f t="shared" si="178"/>
        <v>Inactive</v>
      </c>
      <c r="Y1907" t="str">
        <f>IF(MAIN!$H$3="Selected Year",IF(A1907=MAIN!$B$3,"Yes","No"),IF(MAIN!$H$3="Included Years",IF(D1907="Yes","Yes","No"),IF(C1907="Yes","Yes","No")))</f>
        <v>No</v>
      </c>
      <c r="Z1907" t="str">
        <f>IF(MAIN!$F$3="Project to Date",IF(AND(A1907&gt;=SETTINGS!$B$4,A1907&lt;MAIN!$B$3),"Yes",IF(AND(A1907=MAIN!$B$3,E1907&lt;=MAIN!$L$3),"Yes","No")),IF(OR(MAIN!$F$3="Full Year",MAIN!$D$3="All"),"Yes",IF(MAIN!$F$3="Monthly",IF(E1907=MAIN!$L$3,"Yes","No"),IF(E1907&lt;=MAIN!$L$3,"Yes","No"))))</f>
        <v>Yes</v>
      </c>
      <c r="AA1907" t="str">
        <f t="shared" si="179"/>
        <v>No</v>
      </c>
    </row>
    <row r="1908" spans="1:27" x14ac:dyDescent="0.3">
      <c r="A1908">
        <f>INDEX(SETTINGS!$A$15:$A$24,$B1908)</f>
        <v>2033</v>
      </c>
      <c r="B1908">
        <v>9</v>
      </c>
      <c r="C1908" t="str">
        <f>IF(AND(A1908&gt;=SETTINGS!$B$4,A1908&lt;=SETTINGS!$B$5),"Yes","No")</f>
        <v>No</v>
      </c>
      <c r="D1908" t="str">
        <f>IFERROR(INDEX(SETTINGS!$C$15:$C$24,MATCH(A1908,SETTINGS!$A$15:$A$24,0)),"No")</f>
        <v>No</v>
      </c>
      <c r="E1908">
        <v>5</v>
      </c>
      <c r="F1908" t="s">
        <v>38</v>
      </c>
      <c r="G1908">
        <v>112</v>
      </c>
      <c r="H1908" t="s">
        <v>100</v>
      </c>
      <c r="I1908" t="s">
        <v>15</v>
      </c>
      <c r="J1908" t="s">
        <v>19</v>
      </c>
      <c r="K1908" t="s">
        <v>3</v>
      </c>
      <c r="L1908" s="36">
        <f ca="1">IF(C1908&lt;&gt;"Yes",0,IF(A1908=2025,N('2025'!D112),IF(A1908=2026,N('2026'!D112),IF(A1908=2027,N('2027'!D112),IF(A1908=2028,N('2028'!D112),IF(A1908=2029,N('2029'!D112),IF(A1908=2030,N('2030'!D112),IF(A1908=2031,N('2031'!D112),IF(A1908=2032,N('2032'!D112),IF(A1908=2033,N('2033'!D112),IF(A1908=2034,N('2034'!D112),IFERROR(N(INDIRECT("'"&amp;A1908&amp;"'!D"&amp;G1908)),0))))))))))))</f>
        <v>0</v>
      </c>
      <c r="M1908" s="36">
        <f>IFERROR(IF(NOT(ISBLANK(KPI_TARGETS!$O$11)),KPI_TARGETS!$O$11,IF(NOT(ISBLANK(KPI_TARGETS!$F$11)),KPI_TARGETS!$F$11,"")),"")</f>
        <v>0</v>
      </c>
      <c r="N1908" s="36" t="str">
        <f>IFERROR(KPI_TARGETS!$E$11,"Higher is better")</f>
        <v>Lower is better</v>
      </c>
      <c r="O1908" s="37">
        <f t="shared" ca="1" si="174"/>
        <v>1</v>
      </c>
      <c r="P1908" t="str">
        <f t="shared" ca="1" si="175"/>
        <v>Green</v>
      </c>
      <c r="Q1908" s="36">
        <f t="shared" ca="1" si="176"/>
        <v>0</v>
      </c>
      <c r="R1908" s="36" t="str">
        <f>""</f>
        <v/>
      </c>
      <c r="S1908" s="36" t="str">
        <f>""</f>
        <v/>
      </c>
      <c r="T1908" s="36" t="str">
        <f>""</f>
        <v/>
      </c>
      <c r="U1908" s="36" t="str">
        <f>""</f>
        <v/>
      </c>
      <c r="V1908" s="36" t="str">
        <f>""</f>
        <v/>
      </c>
      <c r="W1908" s="36">
        <f t="shared" si="177"/>
        <v>1</v>
      </c>
      <c r="X1908" t="str">
        <f t="shared" si="178"/>
        <v>Inactive</v>
      </c>
      <c r="Y1908" t="str">
        <f>IF(MAIN!$H$3="Selected Year",IF(A1908=MAIN!$B$3,"Yes","No"),IF(MAIN!$H$3="Included Years",IF(D1908="Yes","Yes","No"),IF(C1908="Yes","Yes","No")))</f>
        <v>No</v>
      </c>
      <c r="Z1908" t="str">
        <f>IF(MAIN!$F$3="Project to Date",IF(AND(A1908&gt;=SETTINGS!$B$4,A1908&lt;MAIN!$B$3),"Yes",IF(AND(A1908=MAIN!$B$3,E1908&lt;=MAIN!$L$3),"Yes","No")),IF(OR(MAIN!$F$3="Full Year",MAIN!$D$3="All"),"Yes",IF(MAIN!$F$3="Monthly",IF(E1908=MAIN!$L$3,"Yes","No"),IF(E1908&lt;=MAIN!$L$3,"Yes","No"))))</f>
        <v>Yes</v>
      </c>
      <c r="AA1908" t="str">
        <f t="shared" si="179"/>
        <v>No</v>
      </c>
    </row>
    <row r="1909" spans="1:27" x14ac:dyDescent="0.3">
      <c r="A1909">
        <f>INDEX(SETTINGS!$A$15:$A$24,$B1909)</f>
        <v>2033</v>
      </c>
      <c r="B1909">
        <v>9</v>
      </c>
      <c r="C1909" t="str">
        <f>IF(AND(A1909&gt;=SETTINGS!$B$4,A1909&lt;=SETTINGS!$B$5),"Yes","No")</f>
        <v>No</v>
      </c>
      <c r="D1909" t="str">
        <f>IFERROR(INDEX(SETTINGS!$C$15:$C$24,MATCH(A1909,SETTINGS!$A$15:$A$24,0)),"No")</f>
        <v>No</v>
      </c>
      <c r="E1909">
        <v>5</v>
      </c>
      <c r="F1909" t="s">
        <v>38</v>
      </c>
      <c r="G1909">
        <v>113</v>
      </c>
      <c r="H1909" t="s">
        <v>101</v>
      </c>
      <c r="I1909" t="s">
        <v>15</v>
      </c>
      <c r="J1909" t="s">
        <v>20</v>
      </c>
      <c r="K1909" t="s">
        <v>3</v>
      </c>
      <c r="L1909" s="36">
        <f ca="1">IF(C1909&lt;&gt;"Yes",0,IF(A1909=2025,N('2025'!D113),IF(A1909=2026,N('2026'!D113),IF(A1909=2027,N('2027'!D113),IF(A1909=2028,N('2028'!D113),IF(A1909=2029,N('2029'!D113),IF(A1909=2030,N('2030'!D113),IF(A1909=2031,N('2031'!D113),IF(A1909=2032,N('2032'!D113),IF(A1909=2033,N('2033'!D113),IF(A1909=2034,N('2034'!D113),IFERROR(N(INDIRECT("'"&amp;A1909&amp;"'!D"&amp;G1909)),0))))))))))))</f>
        <v>0</v>
      </c>
      <c r="M1909" s="36">
        <f>IFERROR(IF(NOT(ISBLANK(KPI_TARGETS!$O$12)),KPI_TARGETS!$O$12,IF(NOT(ISBLANK(KPI_TARGETS!$F$12)),KPI_TARGETS!$F$12,"")),"")</f>
        <v>0</v>
      </c>
      <c r="N1909" s="36" t="str">
        <f>IFERROR(KPI_TARGETS!$E$12,"Higher is better")</f>
        <v>Lower is better</v>
      </c>
      <c r="O1909" s="37">
        <f t="shared" ca="1" si="174"/>
        <v>1</v>
      </c>
      <c r="P1909" t="str">
        <f t="shared" ca="1" si="175"/>
        <v>Green</v>
      </c>
      <c r="Q1909" s="36">
        <f t="shared" ca="1" si="176"/>
        <v>0</v>
      </c>
      <c r="R1909" s="36" t="str">
        <f>""</f>
        <v/>
      </c>
      <c r="S1909" s="36" t="str">
        <f>""</f>
        <v/>
      </c>
      <c r="T1909" s="36" t="str">
        <f>""</f>
        <v/>
      </c>
      <c r="U1909" s="36" t="str">
        <f>""</f>
        <v/>
      </c>
      <c r="V1909" s="36" t="str">
        <f>""</f>
        <v/>
      </c>
      <c r="W1909" s="36">
        <f t="shared" si="177"/>
        <v>1</v>
      </c>
      <c r="X1909" t="str">
        <f t="shared" si="178"/>
        <v>Inactive</v>
      </c>
      <c r="Y1909" t="str">
        <f>IF(MAIN!$H$3="Selected Year",IF(A1909=MAIN!$B$3,"Yes","No"),IF(MAIN!$H$3="Included Years",IF(D1909="Yes","Yes","No"),IF(C1909="Yes","Yes","No")))</f>
        <v>No</v>
      </c>
      <c r="Z1909" t="str">
        <f>IF(MAIN!$F$3="Project to Date",IF(AND(A1909&gt;=SETTINGS!$B$4,A1909&lt;MAIN!$B$3),"Yes",IF(AND(A1909=MAIN!$B$3,E1909&lt;=MAIN!$L$3),"Yes","No")),IF(OR(MAIN!$F$3="Full Year",MAIN!$D$3="All"),"Yes",IF(MAIN!$F$3="Monthly",IF(E1909=MAIN!$L$3,"Yes","No"),IF(E1909&lt;=MAIN!$L$3,"Yes","No"))))</f>
        <v>Yes</v>
      </c>
      <c r="AA1909" t="str">
        <f t="shared" si="179"/>
        <v>No</v>
      </c>
    </row>
    <row r="1910" spans="1:27" x14ac:dyDescent="0.3">
      <c r="A1910">
        <f>INDEX(SETTINGS!$A$15:$A$24,$B1910)</f>
        <v>2033</v>
      </c>
      <c r="B1910">
        <v>9</v>
      </c>
      <c r="C1910" t="str">
        <f>IF(AND(A1910&gt;=SETTINGS!$B$4,A1910&lt;=SETTINGS!$B$5),"Yes","No")</f>
        <v>No</v>
      </c>
      <c r="D1910" t="str">
        <f>IFERROR(INDEX(SETTINGS!$C$15:$C$24,MATCH(A1910,SETTINGS!$A$15:$A$24,0)),"No")</f>
        <v>No</v>
      </c>
      <c r="E1910">
        <v>5</v>
      </c>
      <c r="F1910" t="s">
        <v>38</v>
      </c>
      <c r="G1910">
        <v>114</v>
      </c>
      <c r="H1910" t="s">
        <v>102</v>
      </c>
      <c r="I1910" t="s">
        <v>15</v>
      </c>
      <c r="J1910" t="s">
        <v>21</v>
      </c>
      <c r="K1910" t="s">
        <v>3</v>
      </c>
      <c r="L1910" s="36">
        <f ca="1">IF(C1910&lt;&gt;"Yes",0,IF(A1910=2025,N('2025'!D114),IF(A1910=2026,N('2026'!D114),IF(A1910=2027,N('2027'!D114),IF(A1910=2028,N('2028'!D114),IF(A1910=2029,N('2029'!D114),IF(A1910=2030,N('2030'!D114),IF(A1910=2031,N('2031'!D114),IF(A1910=2032,N('2032'!D114),IF(A1910=2033,N('2033'!D114),IF(A1910=2034,N('2034'!D114),IFERROR(N(INDIRECT("'"&amp;A1910&amp;"'!D"&amp;G1910)),0))))))))))))</f>
        <v>0</v>
      </c>
      <c r="M1910" s="36">
        <f>IFERROR(IF(NOT(ISBLANK(KPI_TARGETS!$O$13)),KPI_TARGETS!$O$13,IF(NOT(ISBLANK(KPI_TARGETS!$F$13)),KPI_TARGETS!$F$13,"")),"")</f>
        <v>0</v>
      </c>
      <c r="N1910" s="36" t="str">
        <f>IFERROR(KPI_TARGETS!$E$13,"Higher is better")</f>
        <v>Lower is better</v>
      </c>
      <c r="O1910" s="37">
        <f t="shared" ca="1" si="174"/>
        <v>1</v>
      </c>
      <c r="P1910" t="str">
        <f t="shared" ca="1" si="175"/>
        <v>Green</v>
      </c>
      <c r="Q1910" s="36">
        <f t="shared" ca="1" si="176"/>
        <v>0</v>
      </c>
      <c r="R1910" s="36" t="str">
        <f>""</f>
        <v/>
      </c>
      <c r="S1910" s="36" t="str">
        <f>""</f>
        <v/>
      </c>
      <c r="T1910" s="36" t="str">
        <f>""</f>
        <v/>
      </c>
      <c r="U1910" s="36" t="str">
        <f>""</f>
        <v/>
      </c>
      <c r="V1910" s="36" t="str">
        <f>""</f>
        <v/>
      </c>
      <c r="W1910" s="36">
        <f t="shared" si="177"/>
        <v>1</v>
      </c>
      <c r="X1910" t="str">
        <f t="shared" si="178"/>
        <v>Inactive</v>
      </c>
      <c r="Y1910" t="str">
        <f>IF(MAIN!$H$3="Selected Year",IF(A1910=MAIN!$B$3,"Yes","No"),IF(MAIN!$H$3="Included Years",IF(D1910="Yes","Yes","No"),IF(C1910="Yes","Yes","No")))</f>
        <v>No</v>
      </c>
      <c r="Z1910" t="str">
        <f>IF(MAIN!$F$3="Project to Date",IF(AND(A1910&gt;=SETTINGS!$B$4,A1910&lt;MAIN!$B$3),"Yes",IF(AND(A1910=MAIN!$B$3,E1910&lt;=MAIN!$L$3),"Yes","No")),IF(OR(MAIN!$F$3="Full Year",MAIN!$D$3="All"),"Yes",IF(MAIN!$F$3="Monthly",IF(E1910=MAIN!$L$3,"Yes","No"),IF(E1910&lt;=MAIN!$L$3,"Yes","No"))))</f>
        <v>Yes</v>
      </c>
      <c r="AA1910" t="str">
        <f t="shared" si="179"/>
        <v>No</v>
      </c>
    </row>
    <row r="1911" spans="1:27" x14ac:dyDescent="0.3">
      <c r="A1911">
        <f>INDEX(SETTINGS!$A$15:$A$24,$B1911)</f>
        <v>2033</v>
      </c>
      <c r="B1911">
        <v>9</v>
      </c>
      <c r="C1911" t="str">
        <f>IF(AND(A1911&gt;=SETTINGS!$B$4,A1911&lt;=SETTINGS!$B$5),"Yes","No")</f>
        <v>No</v>
      </c>
      <c r="D1911" t="str">
        <f>IFERROR(INDEX(SETTINGS!$C$15:$C$24,MATCH(A1911,SETTINGS!$A$15:$A$24,0)),"No")</f>
        <v>No</v>
      </c>
      <c r="E1911">
        <v>5</v>
      </c>
      <c r="F1911" t="s">
        <v>38</v>
      </c>
      <c r="G1911">
        <v>116</v>
      </c>
      <c r="H1911" t="s">
        <v>103</v>
      </c>
      <c r="I1911" t="s">
        <v>22</v>
      </c>
      <c r="J1911" t="s">
        <v>23</v>
      </c>
      <c r="K1911" t="s">
        <v>3</v>
      </c>
      <c r="L1911" s="36">
        <f ca="1">IF(C1911&lt;&gt;"Yes",0,IF(A1911=2025,N('2025'!D116),IF(A1911=2026,N('2026'!D116),IF(A1911=2027,N('2027'!D116),IF(A1911=2028,N('2028'!D116),IF(A1911=2029,N('2029'!D116),IF(A1911=2030,N('2030'!D116),IF(A1911=2031,N('2031'!D116),IF(A1911=2032,N('2032'!D116),IF(A1911=2033,N('2033'!D116),IF(A1911=2034,N('2034'!D116),IFERROR(N(INDIRECT("'"&amp;A1911&amp;"'!D"&amp;G1911)),0))))))))))))</f>
        <v>0</v>
      </c>
      <c r="M1911" s="36">
        <f>IFERROR(IF(NOT(ISBLANK(KPI_TARGETS!$O$14)),KPI_TARGETS!$O$14,IF(NOT(ISBLANK(KPI_TARGETS!$F$14)),KPI_TARGETS!$F$14,"")),"")</f>
        <v>35</v>
      </c>
      <c r="N1911" s="36" t="str">
        <f>IFERROR(KPI_TARGETS!$E$14,"Higher is better")</f>
        <v>Higher is better</v>
      </c>
      <c r="O1911" s="37">
        <f t="shared" ca="1" si="174"/>
        <v>0</v>
      </c>
      <c r="P1911" t="str">
        <f t="shared" ca="1" si="175"/>
        <v>Red</v>
      </c>
      <c r="Q1911" s="36">
        <f t="shared" ca="1" si="176"/>
        <v>-35</v>
      </c>
      <c r="R1911" s="36" t="str">
        <f>""</f>
        <v/>
      </c>
      <c r="S1911" s="36" t="str">
        <f>""</f>
        <v/>
      </c>
      <c r="T1911" s="36" t="str">
        <f>""</f>
        <v/>
      </c>
      <c r="U1911" s="36" t="str">
        <f>""</f>
        <v/>
      </c>
      <c r="V1911" s="36" t="str">
        <f>""</f>
        <v/>
      </c>
      <c r="W1911" s="36">
        <f t="shared" si="177"/>
        <v>1</v>
      </c>
      <c r="X1911" t="str">
        <f t="shared" si="178"/>
        <v>Inactive</v>
      </c>
      <c r="Y1911" t="str">
        <f>IF(MAIN!$H$3="Selected Year",IF(A1911=MAIN!$B$3,"Yes","No"),IF(MAIN!$H$3="Included Years",IF(D1911="Yes","Yes","No"),IF(C1911="Yes","Yes","No")))</f>
        <v>No</v>
      </c>
      <c r="Z1911" t="str">
        <f>IF(MAIN!$F$3="Project to Date",IF(AND(A1911&gt;=SETTINGS!$B$4,A1911&lt;MAIN!$B$3),"Yes",IF(AND(A1911=MAIN!$B$3,E1911&lt;=MAIN!$L$3),"Yes","No")),IF(OR(MAIN!$F$3="Full Year",MAIN!$D$3="All"),"Yes",IF(MAIN!$F$3="Monthly",IF(E1911=MAIN!$L$3,"Yes","No"),IF(E1911&lt;=MAIN!$L$3,"Yes","No"))))</f>
        <v>Yes</v>
      </c>
      <c r="AA1911" t="str">
        <f t="shared" si="179"/>
        <v>No</v>
      </c>
    </row>
    <row r="1912" spans="1:27" x14ac:dyDescent="0.3">
      <c r="A1912">
        <f>INDEX(SETTINGS!$A$15:$A$24,$B1912)</f>
        <v>2033</v>
      </c>
      <c r="B1912">
        <v>9</v>
      </c>
      <c r="C1912" t="str">
        <f>IF(AND(A1912&gt;=SETTINGS!$B$4,A1912&lt;=SETTINGS!$B$5),"Yes","No")</f>
        <v>No</v>
      </c>
      <c r="D1912" t="str">
        <f>IFERROR(INDEX(SETTINGS!$C$15:$C$24,MATCH(A1912,SETTINGS!$A$15:$A$24,0)),"No")</f>
        <v>No</v>
      </c>
      <c r="E1912">
        <v>5</v>
      </c>
      <c r="F1912" t="s">
        <v>38</v>
      </c>
      <c r="G1912">
        <v>117</v>
      </c>
      <c r="H1912" t="s">
        <v>104</v>
      </c>
      <c r="I1912" t="s">
        <v>22</v>
      </c>
      <c r="J1912" t="s">
        <v>24</v>
      </c>
      <c r="K1912" t="s">
        <v>3</v>
      </c>
      <c r="L1912" s="36">
        <f ca="1">IF(C1912&lt;&gt;"Yes",0,IF(A1912=2025,N('2025'!D117),IF(A1912=2026,N('2026'!D117),IF(A1912=2027,N('2027'!D117),IF(A1912=2028,N('2028'!D117),IF(A1912=2029,N('2029'!D117),IF(A1912=2030,N('2030'!D117),IF(A1912=2031,N('2031'!D117),IF(A1912=2032,N('2032'!D117),IF(A1912=2033,N('2033'!D117),IF(A1912=2034,N('2034'!D117),IFERROR(N(INDIRECT("'"&amp;A1912&amp;"'!D"&amp;G1912)),0))))))))))))</f>
        <v>0</v>
      </c>
      <c r="M1912" s="36">
        <f>IFERROR(IF(NOT(ISBLANK(KPI_TARGETS!$O$15)),KPI_TARGETS!$O$15,IF(NOT(ISBLANK(KPI_TARGETS!$F$15)),KPI_TARGETS!$F$15,"")),"")</f>
        <v>5</v>
      </c>
      <c r="N1912" s="36" t="str">
        <f>IFERROR(KPI_TARGETS!$E$15,"Higher is better")</f>
        <v>Higher is better</v>
      </c>
      <c r="O1912" s="37">
        <f t="shared" ca="1" si="174"/>
        <v>0</v>
      </c>
      <c r="P1912" t="str">
        <f t="shared" ca="1" si="175"/>
        <v>Red</v>
      </c>
      <c r="Q1912" s="36">
        <f t="shared" ca="1" si="176"/>
        <v>-5</v>
      </c>
      <c r="R1912" s="36" t="str">
        <f>""</f>
        <v/>
      </c>
      <c r="S1912" s="36" t="str">
        <f>""</f>
        <v/>
      </c>
      <c r="T1912" s="36" t="str">
        <f>""</f>
        <v/>
      </c>
      <c r="U1912" s="36" t="str">
        <f>""</f>
        <v/>
      </c>
      <c r="V1912" s="36" t="str">
        <f>""</f>
        <v/>
      </c>
      <c r="W1912" s="36">
        <f t="shared" si="177"/>
        <v>1</v>
      </c>
      <c r="X1912" t="str">
        <f t="shared" si="178"/>
        <v>Inactive</v>
      </c>
      <c r="Y1912" t="str">
        <f>IF(MAIN!$H$3="Selected Year",IF(A1912=MAIN!$B$3,"Yes","No"),IF(MAIN!$H$3="Included Years",IF(D1912="Yes","Yes","No"),IF(C1912="Yes","Yes","No")))</f>
        <v>No</v>
      </c>
      <c r="Z1912" t="str">
        <f>IF(MAIN!$F$3="Project to Date",IF(AND(A1912&gt;=SETTINGS!$B$4,A1912&lt;MAIN!$B$3),"Yes",IF(AND(A1912=MAIN!$B$3,E1912&lt;=MAIN!$L$3),"Yes","No")),IF(OR(MAIN!$F$3="Full Year",MAIN!$D$3="All"),"Yes",IF(MAIN!$F$3="Monthly",IF(E1912=MAIN!$L$3,"Yes","No"),IF(E1912&lt;=MAIN!$L$3,"Yes","No"))))</f>
        <v>Yes</v>
      </c>
      <c r="AA1912" t="str">
        <f t="shared" si="179"/>
        <v>No</v>
      </c>
    </row>
    <row r="1913" spans="1:27" x14ac:dyDescent="0.3">
      <c r="A1913">
        <f>INDEX(SETTINGS!$A$15:$A$24,$B1913)</f>
        <v>2033</v>
      </c>
      <c r="B1913">
        <v>9</v>
      </c>
      <c r="C1913" t="str">
        <f>IF(AND(A1913&gt;=SETTINGS!$B$4,A1913&lt;=SETTINGS!$B$5),"Yes","No")</f>
        <v>No</v>
      </c>
      <c r="D1913" t="str">
        <f>IFERROR(INDEX(SETTINGS!$C$15:$C$24,MATCH(A1913,SETTINGS!$A$15:$A$24,0)),"No")</f>
        <v>No</v>
      </c>
      <c r="E1913">
        <v>5</v>
      </c>
      <c r="F1913" t="s">
        <v>38</v>
      </c>
      <c r="G1913">
        <v>118</v>
      </c>
      <c r="H1913" t="s">
        <v>105</v>
      </c>
      <c r="I1913" t="s">
        <v>22</v>
      </c>
      <c r="J1913" t="s">
        <v>25</v>
      </c>
      <c r="K1913" t="s">
        <v>3</v>
      </c>
      <c r="L1913" s="36">
        <f ca="1">IF(C1913&lt;&gt;"Yes",0,IF(A1913=2025,N('2025'!D118),IF(A1913=2026,N('2026'!D118),IF(A1913=2027,N('2027'!D118),IF(A1913=2028,N('2028'!D118),IF(A1913=2029,N('2029'!D118),IF(A1913=2030,N('2030'!D118),IF(A1913=2031,N('2031'!D118),IF(A1913=2032,N('2032'!D118),IF(A1913=2033,N('2033'!D118),IF(A1913=2034,N('2034'!D118),IFERROR(N(INDIRECT("'"&amp;A1913&amp;"'!D"&amp;G1913)),0))))))))))))</f>
        <v>0</v>
      </c>
      <c r="M1913" s="36">
        <f>IFERROR(IF(NOT(ISBLANK(KPI_TARGETS!$O$16)),KPI_TARGETS!$O$16,IF(NOT(ISBLANK(KPI_TARGETS!$F$16)),KPI_TARGETS!$F$16,"")),"")</f>
        <v>4</v>
      </c>
      <c r="N1913" s="36" t="str">
        <f>IFERROR(KPI_TARGETS!$E$16,"Higher is better")</f>
        <v>Higher is better</v>
      </c>
      <c r="O1913" s="37">
        <f t="shared" ca="1" si="174"/>
        <v>0</v>
      </c>
      <c r="P1913" t="str">
        <f t="shared" ca="1" si="175"/>
        <v>Red</v>
      </c>
      <c r="Q1913" s="36">
        <f t="shared" ca="1" si="176"/>
        <v>-4</v>
      </c>
      <c r="R1913" s="36" t="str">
        <f>""</f>
        <v/>
      </c>
      <c r="S1913" s="36" t="str">
        <f>""</f>
        <v/>
      </c>
      <c r="T1913" s="36" t="str">
        <f>""</f>
        <v/>
      </c>
      <c r="U1913" s="36" t="str">
        <f>""</f>
        <v/>
      </c>
      <c r="V1913" s="36" t="str">
        <f>""</f>
        <v/>
      </c>
      <c r="W1913" s="36">
        <f t="shared" si="177"/>
        <v>1</v>
      </c>
      <c r="X1913" t="str">
        <f t="shared" si="178"/>
        <v>Inactive</v>
      </c>
      <c r="Y1913" t="str">
        <f>IF(MAIN!$H$3="Selected Year",IF(A1913=MAIN!$B$3,"Yes","No"),IF(MAIN!$H$3="Included Years",IF(D1913="Yes","Yes","No"),IF(C1913="Yes","Yes","No")))</f>
        <v>No</v>
      </c>
      <c r="Z1913" t="str">
        <f>IF(MAIN!$F$3="Project to Date",IF(AND(A1913&gt;=SETTINGS!$B$4,A1913&lt;MAIN!$B$3),"Yes",IF(AND(A1913=MAIN!$B$3,E1913&lt;=MAIN!$L$3),"Yes","No")),IF(OR(MAIN!$F$3="Full Year",MAIN!$D$3="All"),"Yes",IF(MAIN!$F$3="Monthly",IF(E1913=MAIN!$L$3,"Yes","No"),IF(E1913&lt;=MAIN!$L$3,"Yes","No"))))</f>
        <v>Yes</v>
      </c>
      <c r="AA1913" t="str">
        <f t="shared" si="179"/>
        <v>No</v>
      </c>
    </row>
    <row r="1914" spans="1:27" x14ac:dyDescent="0.3">
      <c r="A1914">
        <f>INDEX(SETTINGS!$A$15:$A$24,$B1914)</f>
        <v>2033</v>
      </c>
      <c r="B1914">
        <v>9</v>
      </c>
      <c r="C1914" t="str">
        <f>IF(AND(A1914&gt;=SETTINGS!$B$4,A1914&lt;=SETTINGS!$B$5),"Yes","No")</f>
        <v>No</v>
      </c>
      <c r="D1914" t="str">
        <f>IFERROR(INDEX(SETTINGS!$C$15:$C$24,MATCH(A1914,SETTINGS!$A$15:$A$24,0)),"No")</f>
        <v>No</v>
      </c>
      <c r="E1914">
        <v>5</v>
      </c>
      <c r="F1914" t="s">
        <v>38</v>
      </c>
      <c r="G1914">
        <v>119</v>
      </c>
      <c r="H1914" t="s">
        <v>106</v>
      </c>
      <c r="I1914" t="s">
        <v>22</v>
      </c>
      <c r="J1914" t="s">
        <v>26</v>
      </c>
      <c r="K1914" t="s">
        <v>3</v>
      </c>
      <c r="L1914" s="36">
        <f ca="1">IF(C1914&lt;&gt;"Yes",0,IF(A1914=2025,N('2025'!D119),IF(A1914=2026,N('2026'!D119),IF(A1914=2027,N('2027'!D119),IF(A1914=2028,N('2028'!D119),IF(A1914=2029,N('2029'!D119),IF(A1914=2030,N('2030'!D119),IF(A1914=2031,N('2031'!D119),IF(A1914=2032,N('2032'!D119),IF(A1914=2033,N('2033'!D119),IF(A1914=2034,N('2034'!D119),IFERROR(N(INDIRECT("'"&amp;A1914&amp;"'!D"&amp;G1914)),0))))))))))))</f>
        <v>0</v>
      </c>
      <c r="M1914" s="36">
        <f>IFERROR(IF(NOT(ISBLANK(KPI_TARGETS!$O$17)),KPI_TARGETS!$O$17,IF(NOT(ISBLANK(KPI_TARGETS!$F$17)),KPI_TARGETS!$F$17,"")),"")</f>
        <v>12</v>
      </c>
      <c r="N1914" s="36" t="str">
        <f>IFERROR(KPI_TARGETS!$E$17,"Higher is better")</f>
        <v>Higher is better</v>
      </c>
      <c r="O1914" s="37">
        <f t="shared" ca="1" si="174"/>
        <v>0</v>
      </c>
      <c r="P1914" t="str">
        <f t="shared" ca="1" si="175"/>
        <v>Red</v>
      </c>
      <c r="Q1914" s="36">
        <f t="shared" ca="1" si="176"/>
        <v>-12</v>
      </c>
      <c r="R1914" s="36" t="str">
        <f>""</f>
        <v/>
      </c>
      <c r="S1914" s="36" t="str">
        <f>""</f>
        <v/>
      </c>
      <c r="T1914" s="36" t="str">
        <f>""</f>
        <v/>
      </c>
      <c r="U1914" s="36" t="str">
        <f>""</f>
        <v/>
      </c>
      <c r="V1914" s="36" t="str">
        <f>""</f>
        <v/>
      </c>
      <c r="W1914" s="36">
        <f t="shared" si="177"/>
        <v>1</v>
      </c>
      <c r="X1914" t="str">
        <f t="shared" si="178"/>
        <v>Inactive</v>
      </c>
      <c r="Y1914" t="str">
        <f>IF(MAIN!$H$3="Selected Year",IF(A1914=MAIN!$B$3,"Yes","No"),IF(MAIN!$H$3="Included Years",IF(D1914="Yes","Yes","No"),IF(C1914="Yes","Yes","No")))</f>
        <v>No</v>
      </c>
      <c r="Z1914" t="str">
        <f>IF(MAIN!$F$3="Project to Date",IF(AND(A1914&gt;=SETTINGS!$B$4,A1914&lt;MAIN!$B$3),"Yes",IF(AND(A1914=MAIN!$B$3,E1914&lt;=MAIN!$L$3),"Yes","No")),IF(OR(MAIN!$F$3="Full Year",MAIN!$D$3="All"),"Yes",IF(MAIN!$F$3="Monthly",IF(E1914=MAIN!$L$3,"Yes","No"),IF(E1914&lt;=MAIN!$L$3,"Yes","No"))))</f>
        <v>Yes</v>
      </c>
      <c r="AA1914" t="str">
        <f t="shared" si="179"/>
        <v>No</v>
      </c>
    </row>
    <row r="1915" spans="1:27" x14ac:dyDescent="0.3">
      <c r="A1915">
        <f>INDEX(SETTINGS!$A$15:$A$24,$B1915)</f>
        <v>2033</v>
      </c>
      <c r="B1915">
        <v>9</v>
      </c>
      <c r="C1915" t="str">
        <f>IF(AND(A1915&gt;=SETTINGS!$B$4,A1915&lt;=SETTINGS!$B$5),"Yes","No")</f>
        <v>No</v>
      </c>
      <c r="D1915" t="str">
        <f>IFERROR(INDEX(SETTINGS!$C$15:$C$24,MATCH(A1915,SETTINGS!$A$15:$A$24,0)),"No")</f>
        <v>No</v>
      </c>
      <c r="E1915">
        <v>5</v>
      </c>
      <c r="F1915" t="s">
        <v>38</v>
      </c>
      <c r="G1915">
        <v>120</v>
      </c>
      <c r="H1915" t="s">
        <v>107</v>
      </c>
      <c r="I1915" t="s">
        <v>22</v>
      </c>
      <c r="J1915" t="s">
        <v>27</v>
      </c>
      <c r="K1915" t="s">
        <v>3</v>
      </c>
      <c r="L1915" s="36">
        <f ca="1">IF(C1915&lt;&gt;"Yes",0,IF(A1915=2025,N('2025'!D120),IF(A1915=2026,N('2026'!D120),IF(A1915=2027,N('2027'!D120),IF(A1915=2028,N('2028'!D120),IF(A1915=2029,N('2029'!D120),IF(A1915=2030,N('2030'!D120),IF(A1915=2031,N('2031'!D120),IF(A1915=2032,N('2032'!D120),IF(A1915=2033,N('2033'!D120),IF(A1915=2034,N('2034'!D120),IFERROR(N(INDIRECT("'"&amp;A1915&amp;"'!D"&amp;G1915)),0))))))))))))</f>
        <v>0</v>
      </c>
      <c r="M1915" s="36">
        <f>IFERROR(IF(NOT(ISBLANK(KPI_TARGETS!$O$18)),KPI_TARGETS!$O$18,IF(NOT(ISBLANK(KPI_TARGETS!$F$18)),KPI_TARGETS!$F$18,"")),"")</f>
        <v>4</v>
      </c>
      <c r="N1915" s="36" t="str">
        <f>IFERROR(KPI_TARGETS!$E$18,"Higher is better")</f>
        <v>Higher is better</v>
      </c>
      <c r="O1915" s="37">
        <f t="shared" ca="1" si="174"/>
        <v>0</v>
      </c>
      <c r="P1915" t="str">
        <f t="shared" ca="1" si="175"/>
        <v>Red</v>
      </c>
      <c r="Q1915" s="36">
        <f t="shared" ca="1" si="176"/>
        <v>-4</v>
      </c>
      <c r="R1915" s="36" t="str">
        <f>""</f>
        <v/>
      </c>
      <c r="S1915" s="36" t="str">
        <f>""</f>
        <v/>
      </c>
      <c r="T1915" s="36" t="str">
        <f>""</f>
        <v/>
      </c>
      <c r="U1915" s="36" t="str">
        <f>""</f>
        <v/>
      </c>
      <c r="V1915" s="36" t="str">
        <f>""</f>
        <v/>
      </c>
      <c r="W1915" s="36">
        <f t="shared" si="177"/>
        <v>1</v>
      </c>
      <c r="X1915" t="str">
        <f t="shared" si="178"/>
        <v>Inactive</v>
      </c>
      <c r="Y1915" t="str">
        <f>IF(MAIN!$H$3="Selected Year",IF(A1915=MAIN!$B$3,"Yes","No"),IF(MAIN!$H$3="Included Years",IF(D1915="Yes","Yes","No"),IF(C1915="Yes","Yes","No")))</f>
        <v>No</v>
      </c>
      <c r="Z1915" t="str">
        <f>IF(MAIN!$F$3="Project to Date",IF(AND(A1915&gt;=SETTINGS!$B$4,A1915&lt;MAIN!$B$3),"Yes",IF(AND(A1915=MAIN!$B$3,E1915&lt;=MAIN!$L$3),"Yes","No")),IF(OR(MAIN!$F$3="Full Year",MAIN!$D$3="All"),"Yes",IF(MAIN!$F$3="Monthly",IF(E1915=MAIN!$L$3,"Yes","No"),IF(E1915&lt;=MAIN!$L$3,"Yes","No"))))</f>
        <v>Yes</v>
      </c>
      <c r="AA1915" t="str">
        <f t="shared" si="179"/>
        <v>No</v>
      </c>
    </row>
    <row r="1916" spans="1:27" x14ac:dyDescent="0.3">
      <c r="A1916">
        <f>INDEX(SETTINGS!$A$15:$A$24,$B1916)</f>
        <v>2033</v>
      </c>
      <c r="B1916">
        <v>9</v>
      </c>
      <c r="C1916" t="str">
        <f>IF(AND(A1916&gt;=SETTINGS!$B$4,A1916&lt;=SETTINGS!$B$5),"Yes","No")</f>
        <v>No</v>
      </c>
      <c r="D1916" t="str">
        <f>IFERROR(INDEX(SETTINGS!$C$15:$C$24,MATCH(A1916,SETTINGS!$A$15:$A$24,0)),"No")</f>
        <v>No</v>
      </c>
      <c r="E1916">
        <v>5</v>
      </c>
      <c r="F1916" t="s">
        <v>38</v>
      </c>
      <c r="G1916">
        <v>121</v>
      </c>
      <c r="H1916" t="s">
        <v>108</v>
      </c>
      <c r="I1916" t="s">
        <v>22</v>
      </c>
      <c r="J1916" t="s">
        <v>28</v>
      </c>
      <c r="K1916" t="s">
        <v>3</v>
      </c>
      <c r="L1916" s="36">
        <f ca="1">IF(C1916&lt;&gt;"Yes",0,IF(A1916=2025,N('2025'!D121),IF(A1916=2026,N('2026'!D121),IF(A1916=2027,N('2027'!D121),IF(A1916=2028,N('2028'!D121),IF(A1916=2029,N('2029'!D121),IF(A1916=2030,N('2030'!D121),IF(A1916=2031,N('2031'!D121),IF(A1916=2032,N('2032'!D121),IF(A1916=2033,N('2033'!D121),IF(A1916=2034,N('2034'!D121),IFERROR(N(INDIRECT("'"&amp;A1916&amp;"'!D"&amp;G1916)),0))))))))))))</f>
        <v>0</v>
      </c>
      <c r="M1916" s="36">
        <f>IFERROR(IF(NOT(ISBLANK(KPI_TARGETS!$O$19)),KPI_TARGETS!$O$19,IF(NOT(ISBLANK(KPI_TARGETS!$F$19)),KPI_TARGETS!$F$19,"")),"")</f>
        <v>16</v>
      </c>
      <c r="N1916" s="36" t="str">
        <f>IFERROR(KPI_TARGETS!$E$19,"Higher is better")</f>
        <v>Higher is better</v>
      </c>
      <c r="O1916" s="37">
        <f t="shared" ca="1" si="174"/>
        <v>0</v>
      </c>
      <c r="P1916" t="str">
        <f t="shared" ca="1" si="175"/>
        <v>Red</v>
      </c>
      <c r="Q1916" s="36">
        <f t="shared" ca="1" si="176"/>
        <v>-16</v>
      </c>
      <c r="R1916" s="36" t="str">
        <f>""</f>
        <v/>
      </c>
      <c r="S1916" s="36" t="str">
        <f>""</f>
        <v/>
      </c>
      <c r="T1916" s="36" t="str">
        <f>""</f>
        <v/>
      </c>
      <c r="U1916" s="36" t="str">
        <f>""</f>
        <v/>
      </c>
      <c r="V1916" s="36" t="str">
        <f>""</f>
        <v/>
      </c>
      <c r="W1916" s="36">
        <f t="shared" si="177"/>
        <v>1</v>
      </c>
      <c r="X1916" t="str">
        <f t="shared" si="178"/>
        <v>Inactive</v>
      </c>
      <c r="Y1916" t="str">
        <f>IF(MAIN!$H$3="Selected Year",IF(A1916=MAIN!$B$3,"Yes","No"),IF(MAIN!$H$3="Included Years",IF(D1916="Yes","Yes","No"),IF(C1916="Yes","Yes","No")))</f>
        <v>No</v>
      </c>
      <c r="Z1916" t="str">
        <f>IF(MAIN!$F$3="Project to Date",IF(AND(A1916&gt;=SETTINGS!$B$4,A1916&lt;MAIN!$B$3),"Yes",IF(AND(A1916=MAIN!$B$3,E1916&lt;=MAIN!$L$3),"Yes","No")),IF(OR(MAIN!$F$3="Full Year",MAIN!$D$3="All"),"Yes",IF(MAIN!$F$3="Monthly",IF(E1916=MAIN!$L$3,"Yes","No"),IF(E1916&lt;=MAIN!$L$3,"Yes","No"))))</f>
        <v>Yes</v>
      </c>
      <c r="AA1916" t="str">
        <f t="shared" si="179"/>
        <v>No</v>
      </c>
    </row>
    <row r="1917" spans="1:27" x14ac:dyDescent="0.3">
      <c r="A1917">
        <f>INDEX(SETTINGS!$A$15:$A$24,$B1917)</f>
        <v>2033</v>
      </c>
      <c r="B1917">
        <v>9</v>
      </c>
      <c r="C1917" t="str">
        <f>IF(AND(A1917&gt;=SETTINGS!$B$4,A1917&lt;=SETTINGS!$B$5),"Yes","No")</f>
        <v>No</v>
      </c>
      <c r="D1917" t="str">
        <f>IFERROR(INDEX(SETTINGS!$C$15:$C$24,MATCH(A1917,SETTINGS!$A$15:$A$24,0)),"No")</f>
        <v>No</v>
      </c>
      <c r="E1917">
        <v>5</v>
      </c>
      <c r="F1917" t="s">
        <v>38</v>
      </c>
      <c r="G1917">
        <v>122</v>
      </c>
      <c r="H1917" t="s">
        <v>109</v>
      </c>
      <c r="I1917" t="s">
        <v>22</v>
      </c>
      <c r="J1917" t="s">
        <v>29</v>
      </c>
      <c r="K1917" t="s">
        <v>3</v>
      </c>
      <c r="L1917" s="36">
        <f ca="1">IF(C1917&lt;&gt;"Yes",0,IF(A1917=2025,N('2025'!D122),IF(A1917=2026,N('2026'!D122),IF(A1917=2027,N('2027'!D122),IF(A1917=2028,N('2028'!D122),IF(A1917=2029,N('2029'!D122),IF(A1917=2030,N('2030'!D122),IF(A1917=2031,N('2031'!D122),IF(A1917=2032,N('2032'!D122),IF(A1917=2033,N('2033'!D122),IF(A1917=2034,N('2034'!D122),IFERROR(N(INDIRECT("'"&amp;A1917&amp;"'!D"&amp;G1917)),0))))))))))))</f>
        <v>0</v>
      </c>
      <c r="M1917" s="36">
        <f>IFERROR(IF(NOT(ISBLANK(KPI_TARGETS!$O$20)),KPI_TARGETS!$O$20,IF(NOT(ISBLANK(KPI_TARGETS!$F$20)),KPI_TARGETS!$F$20,"")),"")</f>
        <v>1</v>
      </c>
      <c r="N1917" s="36" t="str">
        <f>IFERROR(KPI_TARGETS!$E$20,"Higher is better")</f>
        <v>Higher is better</v>
      </c>
      <c r="O1917" s="37">
        <f t="shared" ca="1" si="174"/>
        <v>0</v>
      </c>
      <c r="P1917" t="str">
        <f t="shared" ca="1" si="175"/>
        <v>Red</v>
      </c>
      <c r="Q1917" s="36">
        <f t="shared" ca="1" si="176"/>
        <v>-1</v>
      </c>
      <c r="R1917" s="36" t="str">
        <f>""</f>
        <v/>
      </c>
      <c r="S1917" s="36" t="str">
        <f>""</f>
        <v/>
      </c>
      <c r="T1917" s="36" t="str">
        <f>""</f>
        <v/>
      </c>
      <c r="U1917" s="36" t="str">
        <f>""</f>
        <v/>
      </c>
      <c r="V1917" s="36" t="str">
        <f>""</f>
        <v/>
      </c>
      <c r="W1917" s="36">
        <f t="shared" si="177"/>
        <v>1</v>
      </c>
      <c r="X1917" t="str">
        <f t="shared" si="178"/>
        <v>Inactive</v>
      </c>
      <c r="Y1917" t="str">
        <f>IF(MAIN!$H$3="Selected Year",IF(A1917=MAIN!$B$3,"Yes","No"),IF(MAIN!$H$3="Included Years",IF(D1917="Yes","Yes","No"),IF(C1917="Yes","Yes","No")))</f>
        <v>No</v>
      </c>
      <c r="Z1917" t="str">
        <f>IF(MAIN!$F$3="Project to Date",IF(AND(A1917&gt;=SETTINGS!$B$4,A1917&lt;MAIN!$B$3),"Yes",IF(AND(A1917=MAIN!$B$3,E1917&lt;=MAIN!$L$3),"Yes","No")),IF(OR(MAIN!$F$3="Full Year",MAIN!$D$3="All"),"Yes",IF(MAIN!$F$3="Monthly",IF(E1917=MAIN!$L$3,"Yes","No"),IF(E1917&lt;=MAIN!$L$3,"Yes","No"))))</f>
        <v>Yes</v>
      </c>
      <c r="AA1917" t="str">
        <f t="shared" si="179"/>
        <v>No</v>
      </c>
    </row>
    <row r="1918" spans="1:27" x14ac:dyDescent="0.3">
      <c r="A1918">
        <f>INDEX(SETTINGS!$A$15:$A$24,$B1918)</f>
        <v>2033</v>
      </c>
      <c r="B1918">
        <v>9</v>
      </c>
      <c r="C1918" t="str">
        <f>IF(AND(A1918&gt;=SETTINGS!$B$4,A1918&lt;=SETTINGS!$B$5),"Yes","No")</f>
        <v>No</v>
      </c>
      <c r="D1918" t="str">
        <f>IFERROR(INDEX(SETTINGS!$C$15:$C$24,MATCH(A1918,SETTINGS!$A$15:$A$24,0)),"No")</f>
        <v>No</v>
      </c>
      <c r="E1918">
        <v>5</v>
      </c>
      <c r="F1918" t="s">
        <v>38</v>
      </c>
      <c r="G1918">
        <v>124</v>
      </c>
      <c r="H1918" t="s">
        <v>110</v>
      </c>
      <c r="I1918" t="s">
        <v>30</v>
      </c>
      <c r="J1918" t="s">
        <v>31</v>
      </c>
      <c r="K1918" t="s">
        <v>3</v>
      </c>
      <c r="L1918" s="36">
        <f ca="1">IF(C1918&lt;&gt;"Yes",0,IF(A1918=2025,N('2025'!D124),IF(A1918=2026,N('2026'!D124),IF(A1918=2027,N('2027'!D124),IF(A1918=2028,N('2028'!D124),IF(A1918=2029,N('2029'!D124),IF(A1918=2030,N('2030'!D124),IF(A1918=2031,N('2031'!D124),IF(A1918=2032,N('2032'!D124),IF(A1918=2033,N('2033'!D124),IF(A1918=2034,N('2034'!D124),IFERROR(N(INDIRECT("'"&amp;A1918&amp;"'!D"&amp;G1918)),0))))))))))))</f>
        <v>0</v>
      </c>
      <c r="M1918" s="36">
        <f>IFERROR(IF(NOT(ISBLANK(KPI_TARGETS!$O$21)),KPI_TARGETS!$O$21,IF(NOT(ISBLANK(KPI_TARGETS!$F$21)),KPI_TARGETS!$F$21,"")),"")</f>
        <v>0</v>
      </c>
      <c r="N1918" s="36" t="str">
        <f>IFERROR(KPI_TARGETS!$E$21,"Higher is better")</f>
        <v>Lower is better</v>
      </c>
      <c r="O1918" s="37">
        <f t="shared" ca="1" si="174"/>
        <v>1</v>
      </c>
      <c r="P1918" t="str">
        <f t="shared" ca="1" si="175"/>
        <v>Green</v>
      </c>
      <c r="Q1918" s="36">
        <f t="shared" ca="1" si="176"/>
        <v>0</v>
      </c>
      <c r="R1918" s="36" t="str">
        <f>""</f>
        <v/>
      </c>
      <c r="S1918" s="36" t="str">
        <f>""</f>
        <v/>
      </c>
      <c r="T1918" s="36" t="str">
        <f>""</f>
        <v/>
      </c>
      <c r="U1918" s="36" t="str">
        <f>""</f>
        <v/>
      </c>
      <c r="V1918" s="36" t="str">
        <f>""</f>
        <v/>
      </c>
      <c r="W1918" s="36">
        <f t="shared" si="177"/>
        <v>1</v>
      </c>
      <c r="X1918" t="str">
        <f t="shared" si="178"/>
        <v>Inactive</v>
      </c>
      <c r="Y1918" t="str">
        <f>IF(MAIN!$H$3="Selected Year",IF(A1918=MAIN!$B$3,"Yes","No"),IF(MAIN!$H$3="Included Years",IF(D1918="Yes","Yes","No"),IF(C1918="Yes","Yes","No")))</f>
        <v>No</v>
      </c>
      <c r="Z1918" t="str">
        <f>IF(MAIN!$F$3="Project to Date",IF(AND(A1918&gt;=SETTINGS!$B$4,A1918&lt;MAIN!$B$3),"Yes",IF(AND(A1918=MAIN!$B$3,E1918&lt;=MAIN!$L$3),"Yes","No")),IF(OR(MAIN!$F$3="Full Year",MAIN!$D$3="All"),"Yes",IF(MAIN!$F$3="Monthly",IF(E1918=MAIN!$L$3,"Yes","No"),IF(E1918&lt;=MAIN!$L$3,"Yes","No"))))</f>
        <v>Yes</v>
      </c>
      <c r="AA1918" t="str">
        <f t="shared" si="179"/>
        <v>No</v>
      </c>
    </row>
    <row r="1919" spans="1:27" x14ac:dyDescent="0.3">
      <c r="A1919">
        <f>INDEX(SETTINGS!$A$15:$A$24,$B1919)</f>
        <v>2033</v>
      </c>
      <c r="B1919">
        <v>9</v>
      </c>
      <c r="C1919" t="str">
        <f>IF(AND(A1919&gt;=SETTINGS!$B$4,A1919&lt;=SETTINGS!$B$5),"Yes","No")</f>
        <v>No</v>
      </c>
      <c r="D1919" t="str">
        <f>IFERROR(INDEX(SETTINGS!$C$15:$C$24,MATCH(A1919,SETTINGS!$A$15:$A$24,0)),"No")</f>
        <v>No</v>
      </c>
      <c r="E1919">
        <v>5</v>
      </c>
      <c r="F1919" t="s">
        <v>38</v>
      </c>
      <c r="G1919">
        <v>125</v>
      </c>
      <c r="H1919" t="s">
        <v>111</v>
      </c>
      <c r="I1919" t="s">
        <v>30</v>
      </c>
      <c r="J1919" t="s">
        <v>32</v>
      </c>
      <c r="K1919" t="s">
        <v>3</v>
      </c>
      <c r="L1919" s="36">
        <f ca="1">IF(C1919&lt;&gt;"Yes",0,IF(A1919=2025,N('2025'!D125),IF(A1919=2026,N('2026'!D125),IF(A1919=2027,N('2027'!D125),IF(A1919=2028,N('2028'!D125),IF(A1919=2029,N('2029'!D125),IF(A1919=2030,N('2030'!D125),IF(A1919=2031,N('2031'!D125),IF(A1919=2032,N('2032'!D125),IF(A1919=2033,N('2033'!D125),IF(A1919=2034,N('2034'!D125),IFERROR(N(INDIRECT("'"&amp;A1919&amp;"'!D"&amp;G1919)),0))))))))))))</f>
        <v>0</v>
      </c>
      <c r="M1919" s="36">
        <f>IFERROR(IF(NOT(ISBLANK(KPI_TARGETS!$O$22)),KPI_TARGETS!$O$22,IF(NOT(ISBLANK(KPI_TARGETS!$F$22)),KPI_TARGETS!$F$22,"")),"")</f>
        <v>1</v>
      </c>
      <c r="N1919" s="36" t="str">
        <f>IFERROR(KPI_TARGETS!$E$22,"Higher is better")</f>
        <v>Higher is better</v>
      </c>
      <c r="O1919" s="37">
        <f t="shared" ca="1" si="174"/>
        <v>0</v>
      </c>
      <c r="P1919" t="str">
        <f t="shared" ca="1" si="175"/>
        <v>Red</v>
      </c>
      <c r="Q1919" s="36">
        <f t="shared" ca="1" si="176"/>
        <v>-1</v>
      </c>
      <c r="R1919" s="36" t="str">
        <f>""</f>
        <v/>
      </c>
      <c r="S1919" s="36" t="str">
        <f>""</f>
        <v/>
      </c>
      <c r="T1919" s="36" t="str">
        <f>""</f>
        <v/>
      </c>
      <c r="U1919" s="36" t="str">
        <f>""</f>
        <v/>
      </c>
      <c r="V1919" s="36" t="str">
        <f>""</f>
        <v/>
      </c>
      <c r="W1919" s="36">
        <f t="shared" si="177"/>
        <v>1</v>
      </c>
      <c r="X1919" t="str">
        <f t="shared" si="178"/>
        <v>Inactive</v>
      </c>
      <c r="Y1919" t="str">
        <f>IF(MAIN!$H$3="Selected Year",IF(A1919=MAIN!$B$3,"Yes","No"),IF(MAIN!$H$3="Included Years",IF(D1919="Yes","Yes","No"),IF(C1919="Yes","Yes","No")))</f>
        <v>No</v>
      </c>
      <c r="Z1919" t="str">
        <f>IF(MAIN!$F$3="Project to Date",IF(AND(A1919&gt;=SETTINGS!$B$4,A1919&lt;MAIN!$B$3),"Yes",IF(AND(A1919=MAIN!$B$3,E1919&lt;=MAIN!$L$3),"Yes","No")),IF(OR(MAIN!$F$3="Full Year",MAIN!$D$3="All"),"Yes",IF(MAIN!$F$3="Monthly",IF(E1919=MAIN!$L$3,"Yes","No"),IF(E1919&lt;=MAIN!$L$3,"Yes","No"))))</f>
        <v>Yes</v>
      </c>
      <c r="AA1919" t="str">
        <f t="shared" si="179"/>
        <v>No</v>
      </c>
    </row>
    <row r="1920" spans="1:27" x14ac:dyDescent="0.3">
      <c r="A1920">
        <f>INDEX(SETTINGS!$A$15:$A$24,$B1920)</f>
        <v>2033</v>
      </c>
      <c r="B1920">
        <v>9</v>
      </c>
      <c r="C1920" t="str">
        <f>IF(AND(A1920&gt;=SETTINGS!$B$4,A1920&lt;=SETTINGS!$B$5),"Yes","No")</f>
        <v>No</v>
      </c>
      <c r="D1920" t="str">
        <f>IFERROR(INDEX(SETTINGS!$C$15:$C$24,MATCH(A1920,SETTINGS!$A$15:$A$24,0)),"No")</f>
        <v>No</v>
      </c>
      <c r="E1920">
        <v>5</v>
      </c>
      <c r="F1920" t="s">
        <v>38</v>
      </c>
      <c r="G1920">
        <v>126</v>
      </c>
      <c r="H1920" t="s">
        <v>112</v>
      </c>
      <c r="I1920" t="s">
        <v>30</v>
      </c>
      <c r="J1920" t="s">
        <v>33</v>
      </c>
      <c r="K1920" t="s">
        <v>34</v>
      </c>
      <c r="L1920" s="36">
        <f ca="1">IF(C1920&lt;&gt;"Yes",0,IF(A1920=2025,N('2025'!D126),IF(A1920=2026,N('2026'!D126),IF(A1920=2027,N('2027'!D126),IF(A1920=2028,N('2028'!D126),IF(A1920=2029,N('2029'!D126),IF(A1920=2030,N('2030'!D126),IF(A1920=2031,N('2031'!D126),IF(A1920=2032,N('2032'!D126),IF(A1920=2033,N('2033'!D126),IF(A1920=2034,N('2034'!D126),IFERROR(N(INDIRECT("'"&amp;A1920&amp;"'!D"&amp;G1920)),0))))))))))))</f>
        <v>0</v>
      </c>
      <c r="M1920" s="36">
        <f>IFERROR(IF(NOT(ISBLANK(KPI_TARGETS!$O$23)),KPI_TARGETS!$O$23,IF(NOT(ISBLANK(KPI_TARGETS!$F$23)),KPI_TARGETS!$F$23,"")),"")</f>
        <v>1</v>
      </c>
      <c r="N1920" s="36" t="str">
        <f>IFERROR(KPI_TARGETS!$E$23,"Higher is better")</f>
        <v>Higher is better</v>
      </c>
      <c r="O1920" s="37">
        <f t="shared" ca="1" si="174"/>
        <v>0</v>
      </c>
      <c r="P1920" t="str">
        <f t="shared" ca="1" si="175"/>
        <v>Red</v>
      </c>
      <c r="Q1920" s="36">
        <f t="shared" ca="1" si="176"/>
        <v>-1</v>
      </c>
      <c r="R1920" s="36" t="str">
        <f>""</f>
        <v/>
      </c>
      <c r="S1920" s="36" t="str">
        <f>""</f>
        <v/>
      </c>
      <c r="T1920" s="36" t="str">
        <f>""</f>
        <v/>
      </c>
      <c r="U1920" s="36" t="str">
        <f>""</f>
        <v/>
      </c>
      <c r="V1920" s="36" t="str">
        <f>""</f>
        <v/>
      </c>
      <c r="W1920" s="36">
        <f t="shared" si="177"/>
        <v>1</v>
      </c>
      <c r="X1920" t="str">
        <f t="shared" si="178"/>
        <v>Inactive</v>
      </c>
      <c r="Y1920" t="str">
        <f>IF(MAIN!$H$3="Selected Year",IF(A1920=MAIN!$B$3,"Yes","No"),IF(MAIN!$H$3="Included Years",IF(D1920="Yes","Yes","No"),IF(C1920="Yes","Yes","No")))</f>
        <v>No</v>
      </c>
      <c r="Z1920" t="str">
        <f>IF(MAIN!$F$3="Project to Date",IF(AND(A1920&gt;=SETTINGS!$B$4,A1920&lt;MAIN!$B$3),"Yes",IF(AND(A1920=MAIN!$B$3,E1920&lt;=MAIN!$L$3),"Yes","No")),IF(OR(MAIN!$F$3="Full Year",MAIN!$D$3="All"),"Yes",IF(MAIN!$F$3="Monthly",IF(E1920=MAIN!$L$3,"Yes","No"),IF(E1920&lt;=MAIN!$L$3,"Yes","No"))))</f>
        <v>Yes</v>
      </c>
      <c r="AA1920" t="str">
        <f t="shared" si="179"/>
        <v>No</v>
      </c>
    </row>
    <row r="1921" spans="1:27" x14ac:dyDescent="0.3">
      <c r="A1921">
        <f>INDEX(SETTINGS!$A$15:$A$24,$B1921)</f>
        <v>2033</v>
      </c>
      <c r="B1921">
        <v>9</v>
      </c>
      <c r="C1921" t="str">
        <f>IF(AND(A1921&gt;=SETTINGS!$B$4,A1921&lt;=SETTINGS!$B$5),"Yes","No")</f>
        <v>No</v>
      </c>
      <c r="D1921" t="str">
        <f>IFERROR(INDEX(SETTINGS!$C$15:$C$24,MATCH(A1921,SETTINGS!$A$15:$A$24,0)),"No")</f>
        <v>No</v>
      </c>
      <c r="E1921">
        <v>6</v>
      </c>
      <c r="F1921" t="s">
        <v>39</v>
      </c>
      <c r="G1921">
        <v>129</v>
      </c>
      <c r="H1921" t="s">
        <v>88</v>
      </c>
      <c r="I1921" t="s">
        <v>89</v>
      </c>
      <c r="J1921" t="s">
        <v>10</v>
      </c>
      <c r="K1921" t="s">
        <v>3</v>
      </c>
      <c r="L1921" s="36">
        <f ca="1">IF(C1921&lt;&gt;"Yes",0,IF(A1921=2025,N('2025'!D129),IF(A1921=2026,N('2026'!D129),IF(A1921=2027,N('2027'!D129),IF(A1921=2028,N('2028'!D129),IF(A1921=2029,N('2029'!D129),IF(A1921=2030,N('2030'!D129),IF(A1921=2031,N('2031'!D129),IF(A1921=2032,N('2032'!D129),IF(A1921=2033,N('2033'!D129),IF(A1921=2034,N('2034'!D129),IFERROR(N(INDIRECT("'"&amp;A1921&amp;"'!D"&amp;G1921)),0))))))))))))</f>
        <v>0</v>
      </c>
      <c r="M1921" s="36">
        <f>IFERROR(IF(NOT(ISBLANK(KPI_TARGETS!$O$5)),KPI_TARGETS!$O$5,IF(NOT(ISBLANK(KPI_TARGETS!$F$5)),KPI_TARGETS!$F$5,"")),"")</f>
        <v>104</v>
      </c>
      <c r="N1921" s="36" t="str">
        <f>IFERROR(KPI_TARGETS!$E$5,"Higher is better")</f>
        <v>Higher is better</v>
      </c>
      <c r="O1921" s="37">
        <f t="shared" ca="1" si="174"/>
        <v>0</v>
      </c>
      <c r="P1921" t="str">
        <f t="shared" ca="1" si="175"/>
        <v>Red</v>
      </c>
      <c r="Q1921" s="36">
        <f t="shared" ca="1" si="176"/>
        <v>-104</v>
      </c>
      <c r="R1921" s="36" t="str">
        <f>""</f>
        <v/>
      </c>
      <c r="S1921" s="36" t="str">
        <f>""</f>
        <v/>
      </c>
      <c r="T1921" s="36" t="str">
        <f>""</f>
        <v/>
      </c>
      <c r="U1921" s="36" t="str">
        <f>""</f>
        <v/>
      </c>
      <c r="V1921" s="36" t="str">
        <f>""</f>
        <v/>
      </c>
      <c r="W1921" s="36">
        <f t="shared" si="177"/>
        <v>1</v>
      </c>
      <c r="X1921" t="str">
        <f t="shared" si="178"/>
        <v>Inactive</v>
      </c>
      <c r="Y1921" t="str">
        <f>IF(MAIN!$H$3="Selected Year",IF(A1921=MAIN!$B$3,"Yes","No"),IF(MAIN!$H$3="Included Years",IF(D1921="Yes","Yes","No"),IF(C1921="Yes","Yes","No")))</f>
        <v>No</v>
      </c>
      <c r="Z1921" t="str">
        <f>IF(MAIN!$F$3="Project to Date",IF(AND(A1921&gt;=SETTINGS!$B$4,A1921&lt;MAIN!$B$3),"Yes",IF(AND(A1921=MAIN!$B$3,E1921&lt;=MAIN!$L$3),"Yes","No")),IF(OR(MAIN!$F$3="Full Year",MAIN!$D$3="All"),"Yes",IF(MAIN!$F$3="Monthly",IF(E1921=MAIN!$L$3,"Yes","No"),IF(E1921&lt;=MAIN!$L$3,"Yes","No"))))</f>
        <v>Yes</v>
      </c>
      <c r="AA1921" t="str">
        <f t="shared" si="179"/>
        <v>No</v>
      </c>
    </row>
    <row r="1922" spans="1:27" x14ac:dyDescent="0.3">
      <c r="A1922">
        <f>INDEX(SETTINGS!$A$15:$A$24,$B1922)</f>
        <v>2033</v>
      </c>
      <c r="B1922">
        <v>9</v>
      </c>
      <c r="C1922" t="str">
        <f>IF(AND(A1922&gt;=SETTINGS!$B$4,A1922&lt;=SETTINGS!$B$5),"Yes","No")</f>
        <v>No</v>
      </c>
      <c r="D1922" t="str">
        <f>IFERROR(INDEX(SETTINGS!$C$15:$C$24,MATCH(A1922,SETTINGS!$A$15:$A$24,0)),"No")</f>
        <v>No</v>
      </c>
      <c r="E1922">
        <v>6</v>
      </c>
      <c r="F1922" t="s">
        <v>39</v>
      </c>
      <c r="G1922">
        <v>130</v>
      </c>
      <c r="H1922" t="s">
        <v>91</v>
      </c>
      <c r="I1922" t="s">
        <v>89</v>
      </c>
      <c r="J1922" t="s">
        <v>11</v>
      </c>
      <c r="K1922" t="s">
        <v>12</v>
      </c>
      <c r="L1922" s="36">
        <f ca="1">IF(C1922&lt;&gt;"Yes",0,IF(A1922=2025,N('2025'!D130),IF(A1922=2026,N('2026'!D130),IF(A1922=2027,N('2027'!D130),IF(A1922=2028,N('2028'!D130),IF(A1922=2029,N('2029'!D130),IF(A1922=2030,N('2030'!D130),IF(A1922=2031,N('2031'!D130),IF(A1922=2032,N('2032'!D130),IF(A1922=2033,N('2033'!D130),IF(A1922=2034,N('2034'!D130),IFERROR(N(INDIRECT("'"&amp;A1922&amp;"'!D"&amp;G1922)),0))))))))))))</f>
        <v>0</v>
      </c>
      <c r="M1922" s="36">
        <f>IFERROR(IF(NOT(ISBLANK(KPI_TARGETS!$O$6)),KPI_TARGETS!$O$6,IF(NOT(ISBLANK(KPI_TARGETS!$F$6)),KPI_TARGETS!$F$6,"")),"")</f>
        <v>4000</v>
      </c>
      <c r="N1922" s="36" t="str">
        <f>IFERROR(KPI_TARGETS!$E$6,"Higher is better")</f>
        <v>Higher is better</v>
      </c>
      <c r="O1922" s="37">
        <f t="shared" ref="O1922:O1985" ca="1" si="180">IF(M1922="","",IF(N1922="Higher is better",IFERROR(L1922/M1922,""),IF(L1922=0,1,IFERROR(M1922/L1922,""))))</f>
        <v>0</v>
      </c>
      <c r="P1922" t="str">
        <f t="shared" ref="P1922:P1985" ca="1" si="181">IF(M1922="","Target Needed",IF(N1922="Higher is better",IF(L1922&gt;=M1922,"Green",IF(L1922&gt;=0.8*M1922,"Amber","Red")),IF(M1922=0,IF(L1922=0,"Green","Red"),IF(L1922&lt;=M1922,"Green",IF(L1922&lt;=1.25*M1922,"Amber","Red")))))</f>
        <v>Red</v>
      </c>
      <c r="Q1922" s="36">
        <f t="shared" ref="Q1922:Q1985" ca="1" si="182">IF(M1922="","",IF(N1922="Higher is better",L1922-M1922,M1922-L1922))</f>
        <v>-4000</v>
      </c>
      <c r="R1922" s="36" t="str">
        <f>""</f>
        <v/>
      </c>
      <c r="S1922" s="36" t="str">
        <f>""</f>
        <v/>
      </c>
      <c r="T1922" s="36" t="str">
        <f>""</f>
        <v/>
      </c>
      <c r="U1922" s="36" t="str">
        <f>""</f>
        <v/>
      </c>
      <c r="V1922" s="36" t="str">
        <f>""</f>
        <v/>
      </c>
      <c r="W1922" s="36">
        <f t="shared" ref="W1922:W1985" si="183">IF(LEN(M1922&amp;"")&gt;0,1,0)</f>
        <v>1</v>
      </c>
      <c r="X1922" t="str">
        <f t="shared" ref="X1922:X1985" si="184">IF(C1922&lt;&gt;"Yes","Inactive",IF(M1922="","Missing target","OK"))</f>
        <v>Inactive</v>
      </c>
      <c r="Y1922" t="str">
        <f>IF(MAIN!$H$3="Selected Year",IF(A1922=MAIN!$B$3,"Yes","No"),IF(MAIN!$H$3="Included Years",IF(D1922="Yes","Yes","No"),IF(C1922="Yes","Yes","No")))</f>
        <v>No</v>
      </c>
      <c r="Z1922" t="str">
        <f>IF(MAIN!$F$3="Project to Date",IF(AND(A1922&gt;=SETTINGS!$B$4,A1922&lt;MAIN!$B$3),"Yes",IF(AND(A1922=MAIN!$B$3,E1922&lt;=MAIN!$L$3),"Yes","No")),IF(OR(MAIN!$F$3="Full Year",MAIN!$D$3="All"),"Yes",IF(MAIN!$F$3="Monthly",IF(E1922=MAIN!$L$3,"Yes","No"),IF(E1922&lt;=MAIN!$L$3,"Yes","No"))))</f>
        <v>Yes</v>
      </c>
      <c r="AA1922" t="str">
        <f t="shared" ref="AA1922:AA1985" si="185">IF(AND(Y1922="Yes",Z1922="Yes"),"Yes","No")</f>
        <v>No</v>
      </c>
    </row>
    <row r="1923" spans="1:27" x14ac:dyDescent="0.3">
      <c r="A1923">
        <f>INDEX(SETTINGS!$A$15:$A$24,$B1923)</f>
        <v>2033</v>
      </c>
      <c r="B1923">
        <v>9</v>
      </c>
      <c r="C1923" t="str">
        <f>IF(AND(A1923&gt;=SETTINGS!$B$4,A1923&lt;=SETTINGS!$B$5),"Yes","No")</f>
        <v>No</v>
      </c>
      <c r="D1923" t="str">
        <f>IFERROR(INDEX(SETTINGS!$C$15:$C$24,MATCH(A1923,SETTINGS!$A$15:$A$24,0)),"No")</f>
        <v>No</v>
      </c>
      <c r="E1923">
        <v>6</v>
      </c>
      <c r="F1923" t="s">
        <v>39</v>
      </c>
      <c r="G1923">
        <v>131</v>
      </c>
      <c r="H1923" t="s">
        <v>93</v>
      </c>
      <c r="I1923" t="s">
        <v>89</v>
      </c>
      <c r="J1923" t="s">
        <v>13</v>
      </c>
      <c r="K1923" t="s">
        <v>14</v>
      </c>
      <c r="L1923" s="36">
        <f ca="1">IF(C1923&lt;&gt;"Yes",0,IF(A1923=2025,N('2025'!D131),IF(A1923=2026,N('2026'!D131),IF(A1923=2027,N('2027'!D131),IF(A1923=2028,N('2028'!D131),IF(A1923=2029,N('2029'!D131),IF(A1923=2030,N('2030'!D131),IF(A1923=2031,N('2031'!D131),IF(A1923=2032,N('2032'!D131),IF(A1923=2033,N('2033'!D131),IF(A1923=2034,N('2034'!D131),IFERROR(N(INDIRECT("'"&amp;A1923&amp;"'!D"&amp;G1923)),0))))))))))))</f>
        <v>0</v>
      </c>
      <c r="M1923" s="36">
        <f>IFERROR(IF(NOT(ISBLANK(KPI_TARGETS!$O$7)),KPI_TARGETS!$O$7,IF(NOT(ISBLANK(KPI_TARGETS!$F$7)),KPI_TARGETS!$F$7,"")),"")</f>
        <v>8000</v>
      </c>
      <c r="N1923" s="36" t="str">
        <f>IFERROR(KPI_TARGETS!$E$7,"Higher is better")</f>
        <v>Higher is better</v>
      </c>
      <c r="O1923" s="37">
        <f t="shared" ca="1" si="180"/>
        <v>0</v>
      </c>
      <c r="P1923" t="str">
        <f t="shared" ca="1" si="181"/>
        <v>Red</v>
      </c>
      <c r="Q1923" s="36">
        <f t="shared" ca="1" si="182"/>
        <v>-8000</v>
      </c>
      <c r="R1923" s="36" t="str">
        <f>""</f>
        <v/>
      </c>
      <c r="S1923" s="36" t="str">
        <f>""</f>
        <v/>
      </c>
      <c r="T1923" s="36" t="str">
        <f>""</f>
        <v/>
      </c>
      <c r="U1923" s="36" t="str">
        <f>""</f>
        <v/>
      </c>
      <c r="V1923" s="36" t="str">
        <f>""</f>
        <v/>
      </c>
      <c r="W1923" s="36">
        <f t="shared" si="183"/>
        <v>1</v>
      </c>
      <c r="X1923" t="str">
        <f t="shared" si="184"/>
        <v>Inactive</v>
      </c>
      <c r="Y1923" t="str">
        <f>IF(MAIN!$H$3="Selected Year",IF(A1923=MAIN!$B$3,"Yes","No"),IF(MAIN!$H$3="Included Years",IF(D1923="Yes","Yes","No"),IF(C1923="Yes","Yes","No")))</f>
        <v>No</v>
      </c>
      <c r="Z1923" t="str">
        <f>IF(MAIN!$F$3="Project to Date",IF(AND(A1923&gt;=SETTINGS!$B$4,A1923&lt;MAIN!$B$3),"Yes",IF(AND(A1923=MAIN!$B$3,E1923&lt;=MAIN!$L$3),"Yes","No")),IF(OR(MAIN!$F$3="Full Year",MAIN!$D$3="All"),"Yes",IF(MAIN!$F$3="Monthly",IF(E1923=MAIN!$L$3,"Yes","No"),IF(E1923&lt;=MAIN!$L$3,"Yes","No"))))</f>
        <v>Yes</v>
      </c>
      <c r="AA1923" t="str">
        <f t="shared" si="185"/>
        <v>No</v>
      </c>
    </row>
    <row r="1924" spans="1:27" x14ac:dyDescent="0.3">
      <c r="A1924">
        <f>INDEX(SETTINGS!$A$15:$A$24,$B1924)</f>
        <v>2033</v>
      </c>
      <c r="B1924">
        <v>9</v>
      </c>
      <c r="C1924" t="str">
        <f>IF(AND(A1924&gt;=SETTINGS!$B$4,A1924&lt;=SETTINGS!$B$5),"Yes","No")</f>
        <v>No</v>
      </c>
      <c r="D1924" t="str">
        <f>IFERROR(INDEX(SETTINGS!$C$15:$C$24,MATCH(A1924,SETTINGS!$A$15:$A$24,0)),"No")</f>
        <v>No</v>
      </c>
      <c r="E1924">
        <v>6</v>
      </c>
      <c r="F1924" t="s">
        <v>39</v>
      </c>
      <c r="G1924">
        <v>133</v>
      </c>
      <c r="H1924" t="s">
        <v>95</v>
      </c>
      <c r="I1924" t="s">
        <v>15</v>
      </c>
      <c r="J1924" t="s">
        <v>16</v>
      </c>
      <c r="K1924" t="s">
        <v>3</v>
      </c>
      <c r="L1924" s="36">
        <f ca="1">IF(C1924&lt;&gt;"Yes",0,IF(A1924=2025,N('2025'!D133),IF(A1924=2026,N('2026'!D133),IF(A1924=2027,N('2027'!D133),IF(A1924=2028,N('2028'!D133),IF(A1924=2029,N('2029'!D133),IF(A1924=2030,N('2030'!D133),IF(A1924=2031,N('2031'!D133),IF(A1924=2032,N('2032'!D133),IF(A1924=2033,N('2033'!D133),IF(A1924=2034,N('2034'!D133),IFERROR(N(INDIRECT("'"&amp;A1924&amp;"'!D"&amp;G1924)),0))))))))))))</f>
        <v>0</v>
      </c>
      <c r="M1924" s="36">
        <f>IFERROR(IF(NOT(ISBLANK(KPI_TARGETS!$O$8)),KPI_TARGETS!$O$8,IF(NOT(ISBLANK(KPI_TARGETS!$F$8)),KPI_TARGETS!$F$8,"")),"")</f>
        <v>0</v>
      </c>
      <c r="N1924" s="36" t="str">
        <f>IFERROR(KPI_TARGETS!$E$8,"Higher is better")</f>
        <v>Lower is better</v>
      </c>
      <c r="O1924" s="37">
        <f t="shared" ca="1" si="180"/>
        <v>1</v>
      </c>
      <c r="P1924" t="str">
        <f t="shared" ca="1" si="181"/>
        <v>Green</v>
      </c>
      <c r="Q1924" s="36">
        <f t="shared" ca="1" si="182"/>
        <v>0</v>
      </c>
      <c r="R1924" s="36" t="str">
        <f>""</f>
        <v/>
      </c>
      <c r="S1924" s="36" t="str">
        <f>""</f>
        <v/>
      </c>
      <c r="T1924" s="36" t="str">
        <f>""</f>
        <v/>
      </c>
      <c r="U1924" s="36" t="str">
        <f>""</f>
        <v/>
      </c>
      <c r="V1924" s="36" t="str">
        <f>""</f>
        <v/>
      </c>
      <c r="W1924" s="36">
        <f t="shared" si="183"/>
        <v>1</v>
      </c>
      <c r="X1924" t="str">
        <f t="shared" si="184"/>
        <v>Inactive</v>
      </c>
      <c r="Y1924" t="str">
        <f>IF(MAIN!$H$3="Selected Year",IF(A1924=MAIN!$B$3,"Yes","No"),IF(MAIN!$H$3="Included Years",IF(D1924="Yes","Yes","No"),IF(C1924="Yes","Yes","No")))</f>
        <v>No</v>
      </c>
      <c r="Z1924" t="str">
        <f>IF(MAIN!$F$3="Project to Date",IF(AND(A1924&gt;=SETTINGS!$B$4,A1924&lt;MAIN!$B$3),"Yes",IF(AND(A1924=MAIN!$B$3,E1924&lt;=MAIN!$L$3),"Yes","No")),IF(OR(MAIN!$F$3="Full Year",MAIN!$D$3="All"),"Yes",IF(MAIN!$F$3="Monthly",IF(E1924=MAIN!$L$3,"Yes","No"),IF(E1924&lt;=MAIN!$L$3,"Yes","No"))))</f>
        <v>Yes</v>
      </c>
      <c r="AA1924" t="str">
        <f t="shared" si="185"/>
        <v>No</v>
      </c>
    </row>
    <row r="1925" spans="1:27" x14ac:dyDescent="0.3">
      <c r="A1925">
        <f>INDEX(SETTINGS!$A$15:$A$24,$B1925)</f>
        <v>2033</v>
      </c>
      <c r="B1925">
        <v>9</v>
      </c>
      <c r="C1925" t="str">
        <f>IF(AND(A1925&gt;=SETTINGS!$B$4,A1925&lt;=SETTINGS!$B$5),"Yes","No")</f>
        <v>No</v>
      </c>
      <c r="D1925" t="str">
        <f>IFERROR(INDEX(SETTINGS!$C$15:$C$24,MATCH(A1925,SETTINGS!$A$15:$A$24,0)),"No")</f>
        <v>No</v>
      </c>
      <c r="E1925">
        <v>6</v>
      </c>
      <c r="F1925" t="s">
        <v>39</v>
      </c>
      <c r="G1925">
        <v>134</v>
      </c>
      <c r="H1925" t="s">
        <v>97</v>
      </c>
      <c r="I1925" t="s">
        <v>15</v>
      </c>
      <c r="J1925" t="s">
        <v>17</v>
      </c>
      <c r="K1925" t="s">
        <v>3</v>
      </c>
      <c r="L1925" s="36">
        <f ca="1">IF(C1925&lt;&gt;"Yes",0,IF(A1925=2025,N('2025'!D134),IF(A1925=2026,N('2026'!D134),IF(A1925=2027,N('2027'!D134),IF(A1925=2028,N('2028'!D134),IF(A1925=2029,N('2029'!D134),IF(A1925=2030,N('2030'!D134),IF(A1925=2031,N('2031'!D134),IF(A1925=2032,N('2032'!D134),IF(A1925=2033,N('2033'!D134),IF(A1925=2034,N('2034'!D134),IFERROR(N(INDIRECT("'"&amp;A1925&amp;"'!D"&amp;G1925)),0))))))))))))</f>
        <v>0</v>
      </c>
      <c r="M1925" s="36">
        <f>IFERROR(IF(NOT(ISBLANK(KPI_TARGETS!$O$9)),KPI_TARGETS!$O$9,IF(NOT(ISBLANK(KPI_TARGETS!$F$9)),KPI_TARGETS!$F$9,"")),"")</f>
        <v>0</v>
      </c>
      <c r="N1925" s="36" t="str">
        <f>IFERROR(KPI_TARGETS!$E$9,"Higher is better")</f>
        <v>Higher is better</v>
      </c>
      <c r="O1925" s="37" t="str">
        <f t="shared" ca="1" si="180"/>
        <v/>
      </c>
      <c r="P1925" t="str">
        <f t="shared" ca="1" si="181"/>
        <v>Green</v>
      </c>
      <c r="Q1925" s="36">
        <f t="shared" ca="1" si="182"/>
        <v>0</v>
      </c>
      <c r="R1925" s="36" t="str">
        <f>""</f>
        <v/>
      </c>
      <c r="S1925" s="36" t="str">
        <f>""</f>
        <v/>
      </c>
      <c r="T1925" s="36" t="str">
        <f>""</f>
        <v/>
      </c>
      <c r="U1925" s="36" t="str">
        <f>""</f>
        <v/>
      </c>
      <c r="V1925" s="36" t="str">
        <f>""</f>
        <v/>
      </c>
      <c r="W1925" s="36">
        <f t="shared" si="183"/>
        <v>1</v>
      </c>
      <c r="X1925" t="str">
        <f t="shared" si="184"/>
        <v>Inactive</v>
      </c>
      <c r="Y1925" t="str">
        <f>IF(MAIN!$H$3="Selected Year",IF(A1925=MAIN!$B$3,"Yes","No"),IF(MAIN!$H$3="Included Years",IF(D1925="Yes","Yes","No"),IF(C1925="Yes","Yes","No")))</f>
        <v>No</v>
      </c>
      <c r="Z1925" t="str">
        <f>IF(MAIN!$F$3="Project to Date",IF(AND(A1925&gt;=SETTINGS!$B$4,A1925&lt;MAIN!$B$3),"Yes",IF(AND(A1925=MAIN!$B$3,E1925&lt;=MAIN!$L$3),"Yes","No")),IF(OR(MAIN!$F$3="Full Year",MAIN!$D$3="All"),"Yes",IF(MAIN!$F$3="Monthly",IF(E1925=MAIN!$L$3,"Yes","No"),IF(E1925&lt;=MAIN!$L$3,"Yes","No"))))</f>
        <v>Yes</v>
      </c>
      <c r="AA1925" t="str">
        <f t="shared" si="185"/>
        <v>No</v>
      </c>
    </row>
    <row r="1926" spans="1:27" x14ac:dyDescent="0.3">
      <c r="A1926">
        <f>INDEX(SETTINGS!$A$15:$A$24,$B1926)</f>
        <v>2033</v>
      </c>
      <c r="B1926">
        <v>9</v>
      </c>
      <c r="C1926" t="str">
        <f>IF(AND(A1926&gt;=SETTINGS!$B$4,A1926&lt;=SETTINGS!$B$5),"Yes","No")</f>
        <v>No</v>
      </c>
      <c r="D1926" t="str">
        <f>IFERROR(INDEX(SETTINGS!$C$15:$C$24,MATCH(A1926,SETTINGS!$A$15:$A$24,0)),"No")</f>
        <v>No</v>
      </c>
      <c r="E1926">
        <v>6</v>
      </c>
      <c r="F1926" t="s">
        <v>39</v>
      </c>
      <c r="G1926">
        <v>135</v>
      </c>
      <c r="H1926" t="s">
        <v>99</v>
      </c>
      <c r="I1926" t="s">
        <v>15</v>
      </c>
      <c r="J1926" t="s">
        <v>18</v>
      </c>
      <c r="K1926" t="s">
        <v>3</v>
      </c>
      <c r="L1926" s="36">
        <f ca="1">IF(C1926&lt;&gt;"Yes",0,IF(A1926=2025,N('2025'!D135),IF(A1926=2026,N('2026'!D135),IF(A1926=2027,N('2027'!D135),IF(A1926=2028,N('2028'!D135),IF(A1926=2029,N('2029'!D135),IF(A1926=2030,N('2030'!D135),IF(A1926=2031,N('2031'!D135),IF(A1926=2032,N('2032'!D135),IF(A1926=2033,N('2033'!D135),IF(A1926=2034,N('2034'!D135),IFERROR(N(INDIRECT("'"&amp;A1926&amp;"'!D"&amp;G1926)),0))))))))))))</f>
        <v>0</v>
      </c>
      <c r="M1926" s="36">
        <f>IFERROR(IF(NOT(ISBLANK(KPI_TARGETS!$O$10)),KPI_TARGETS!$O$10,IF(NOT(ISBLANK(KPI_TARGETS!$F$10)),KPI_TARGETS!$F$10,"")),"")</f>
        <v>0</v>
      </c>
      <c r="N1926" s="36" t="str">
        <f>IFERROR(KPI_TARGETS!$E$10,"Higher is better")</f>
        <v>Lower is better</v>
      </c>
      <c r="O1926" s="37">
        <f t="shared" ca="1" si="180"/>
        <v>1</v>
      </c>
      <c r="P1926" t="str">
        <f t="shared" ca="1" si="181"/>
        <v>Green</v>
      </c>
      <c r="Q1926" s="36">
        <f t="shared" ca="1" si="182"/>
        <v>0</v>
      </c>
      <c r="R1926" s="36" t="str">
        <f>""</f>
        <v/>
      </c>
      <c r="S1926" s="36" t="str">
        <f>""</f>
        <v/>
      </c>
      <c r="T1926" s="36" t="str">
        <f>""</f>
        <v/>
      </c>
      <c r="U1926" s="36" t="str">
        <f>""</f>
        <v/>
      </c>
      <c r="V1926" s="36" t="str">
        <f>""</f>
        <v/>
      </c>
      <c r="W1926" s="36">
        <f t="shared" si="183"/>
        <v>1</v>
      </c>
      <c r="X1926" t="str">
        <f t="shared" si="184"/>
        <v>Inactive</v>
      </c>
      <c r="Y1926" t="str">
        <f>IF(MAIN!$H$3="Selected Year",IF(A1926=MAIN!$B$3,"Yes","No"),IF(MAIN!$H$3="Included Years",IF(D1926="Yes","Yes","No"),IF(C1926="Yes","Yes","No")))</f>
        <v>No</v>
      </c>
      <c r="Z1926" t="str">
        <f>IF(MAIN!$F$3="Project to Date",IF(AND(A1926&gt;=SETTINGS!$B$4,A1926&lt;MAIN!$B$3),"Yes",IF(AND(A1926=MAIN!$B$3,E1926&lt;=MAIN!$L$3),"Yes","No")),IF(OR(MAIN!$F$3="Full Year",MAIN!$D$3="All"),"Yes",IF(MAIN!$F$3="Monthly",IF(E1926=MAIN!$L$3,"Yes","No"),IF(E1926&lt;=MAIN!$L$3,"Yes","No"))))</f>
        <v>Yes</v>
      </c>
      <c r="AA1926" t="str">
        <f t="shared" si="185"/>
        <v>No</v>
      </c>
    </row>
    <row r="1927" spans="1:27" x14ac:dyDescent="0.3">
      <c r="A1927">
        <f>INDEX(SETTINGS!$A$15:$A$24,$B1927)</f>
        <v>2033</v>
      </c>
      <c r="B1927">
        <v>9</v>
      </c>
      <c r="C1927" t="str">
        <f>IF(AND(A1927&gt;=SETTINGS!$B$4,A1927&lt;=SETTINGS!$B$5),"Yes","No")</f>
        <v>No</v>
      </c>
      <c r="D1927" t="str">
        <f>IFERROR(INDEX(SETTINGS!$C$15:$C$24,MATCH(A1927,SETTINGS!$A$15:$A$24,0)),"No")</f>
        <v>No</v>
      </c>
      <c r="E1927">
        <v>6</v>
      </c>
      <c r="F1927" t="s">
        <v>39</v>
      </c>
      <c r="G1927">
        <v>136</v>
      </c>
      <c r="H1927" t="s">
        <v>100</v>
      </c>
      <c r="I1927" t="s">
        <v>15</v>
      </c>
      <c r="J1927" t="s">
        <v>19</v>
      </c>
      <c r="K1927" t="s">
        <v>3</v>
      </c>
      <c r="L1927" s="36">
        <f ca="1">IF(C1927&lt;&gt;"Yes",0,IF(A1927=2025,N('2025'!D136),IF(A1927=2026,N('2026'!D136),IF(A1927=2027,N('2027'!D136),IF(A1927=2028,N('2028'!D136),IF(A1927=2029,N('2029'!D136),IF(A1927=2030,N('2030'!D136),IF(A1927=2031,N('2031'!D136),IF(A1927=2032,N('2032'!D136),IF(A1927=2033,N('2033'!D136),IF(A1927=2034,N('2034'!D136),IFERROR(N(INDIRECT("'"&amp;A1927&amp;"'!D"&amp;G1927)),0))))))))))))</f>
        <v>0</v>
      </c>
      <c r="M1927" s="36">
        <f>IFERROR(IF(NOT(ISBLANK(KPI_TARGETS!$O$11)),KPI_TARGETS!$O$11,IF(NOT(ISBLANK(KPI_TARGETS!$F$11)),KPI_TARGETS!$F$11,"")),"")</f>
        <v>0</v>
      </c>
      <c r="N1927" s="36" t="str">
        <f>IFERROR(KPI_TARGETS!$E$11,"Higher is better")</f>
        <v>Lower is better</v>
      </c>
      <c r="O1927" s="37">
        <f t="shared" ca="1" si="180"/>
        <v>1</v>
      </c>
      <c r="P1927" t="str">
        <f t="shared" ca="1" si="181"/>
        <v>Green</v>
      </c>
      <c r="Q1927" s="36">
        <f t="shared" ca="1" si="182"/>
        <v>0</v>
      </c>
      <c r="R1927" s="36" t="str">
        <f>""</f>
        <v/>
      </c>
      <c r="S1927" s="36" t="str">
        <f>""</f>
        <v/>
      </c>
      <c r="T1927" s="36" t="str">
        <f>""</f>
        <v/>
      </c>
      <c r="U1927" s="36" t="str">
        <f>""</f>
        <v/>
      </c>
      <c r="V1927" s="36" t="str">
        <f>""</f>
        <v/>
      </c>
      <c r="W1927" s="36">
        <f t="shared" si="183"/>
        <v>1</v>
      </c>
      <c r="X1927" t="str">
        <f t="shared" si="184"/>
        <v>Inactive</v>
      </c>
      <c r="Y1927" t="str">
        <f>IF(MAIN!$H$3="Selected Year",IF(A1927=MAIN!$B$3,"Yes","No"),IF(MAIN!$H$3="Included Years",IF(D1927="Yes","Yes","No"),IF(C1927="Yes","Yes","No")))</f>
        <v>No</v>
      </c>
      <c r="Z1927" t="str">
        <f>IF(MAIN!$F$3="Project to Date",IF(AND(A1927&gt;=SETTINGS!$B$4,A1927&lt;MAIN!$B$3),"Yes",IF(AND(A1927=MAIN!$B$3,E1927&lt;=MAIN!$L$3),"Yes","No")),IF(OR(MAIN!$F$3="Full Year",MAIN!$D$3="All"),"Yes",IF(MAIN!$F$3="Monthly",IF(E1927=MAIN!$L$3,"Yes","No"),IF(E1927&lt;=MAIN!$L$3,"Yes","No"))))</f>
        <v>Yes</v>
      </c>
      <c r="AA1927" t="str">
        <f t="shared" si="185"/>
        <v>No</v>
      </c>
    </row>
    <row r="1928" spans="1:27" x14ac:dyDescent="0.3">
      <c r="A1928">
        <f>INDEX(SETTINGS!$A$15:$A$24,$B1928)</f>
        <v>2033</v>
      </c>
      <c r="B1928">
        <v>9</v>
      </c>
      <c r="C1928" t="str">
        <f>IF(AND(A1928&gt;=SETTINGS!$B$4,A1928&lt;=SETTINGS!$B$5),"Yes","No")</f>
        <v>No</v>
      </c>
      <c r="D1928" t="str">
        <f>IFERROR(INDEX(SETTINGS!$C$15:$C$24,MATCH(A1928,SETTINGS!$A$15:$A$24,0)),"No")</f>
        <v>No</v>
      </c>
      <c r="E1928">
        <v>6</v>
      </c>
      <c r="F1928" t="s">
        <v>39</v>
      </c>
      <c r="G1928">
        <v>137</v>
      </c>
      <c r="H1928" t="s">
        <v>101</v>
      </c>
      <c r="I1928" t="s">
        <v>15</v>
      </c>
      <c r="J1928" t="s">
        <v>20</v>
      </c>
      <c r="K1928" t="s">
        <v>3</v>
      </c>
      <c r="L1928" s="36">
        <f ca="1">IF(C1928&lt;&gt;"Yes",0,IF(A1928=2025,N('2025'!D137),IF(A1928=2026,N('2026'!D137),IF(A1928=2027,N('2027'!D137),IF(A1928=2028,N('2028'!D137),IF(A1928=2029,N('2029'!D137),IF(A1928=2030,N('2030'!D137),IF(A1928=2031,N('2031'!D137),IF(A1928=2032,N('2032'!D137),IF(A1928=2033,N('2033'!D137),IF(A1928=2034,N('2034'!D137),IFERROR(N(INDIRECT("'"&amp;A1928&amp;"'!D"&amp;G1928)),0))))))))))))</f>
        <v>0</v>
      </c>
      <c r="M1928" s="36">
        <f>IFERROR(IF(NOT(ISBLANK(KPI_TARGETS!$O$12)),KPI_TARGETS!$O$12,IF(NOT(ISBLANK(KPI_TARGETS!$F$12)),KPI_TARGETS!$F$12,"")),"")</f>
        <v>0</v>
      </c>
      <c r="N1928" s="36" t="str">
        <f>IFERROR(KPI_TARGETS!$E$12,"Higher is better")</f>
        <v>Lower is better</v>
      </c>
      <c r="O1928" s="37">
        <f t="shared" ca="1" si="180"/>
        <v>1</v>
      </c>
      <c r="P1928" t="str">
        <f t="shared" ca="1" si="181"/>
        <v>Green</v>
      </c>
      <c r="Q1928" s="36">
        <f t="shared" ca="1" si="182"/>
        <v>0</v>
      </c>
      <c r="R1928" s="36" t="str">
        <f>""</f>
        <v/>
      </c>
      <c r="S1928" s="36" t="str">
        <f>""</f>
        <v/>
      </c>
      <c r="T1928" s="36" t="str">
        <f>""</f>
        <v/>
      </c>
      <c r="U1928" s="36" t="str">
        <f>""</f>
        <v/>
      </c>
      <c r="V1928" s="36" t="str">
        <f>""</f>
        <v/>
      </c>
      <c r="W1928" s="36">
        <f t="shared" si="183"/>
        <v>1</v>
      </c>
      <c r="X1928" t="str">
        <f t="shared" si="184"/>
        <v>Inactive</v>
      </c>
      <c r="Y1928" t="str">
        <f>IF(MAIN!$H$3="Selected Year",IF(A1928=MAIN!$B$3,"Yes","No"),IF(MAIN!$H$3="Included Years",IF(D1928="Yes","Yes","No"),IF(C1928="Yes","Yes","No")))</f>
        <v>No</v>
      </c>
      <c r="Z1928" t="str">
        <f>IF(MAIN!$F$3="Project to Date",IF(AND(A1928&gt;=SETTINGS!$B$4,A1928&lt;MAIN!$B$3),"Yes",IF(AND(A1928=MAIN!$B$3,E1928&lt;=MAIN!$L$3),"Yes","No")),IF(OR(MAIN!$F$3="Full Year",MAIN!$D$3="All"),"Yes",IF(MAIN!$F$3="Monthly",IF(E1928=MAIN!$L$3,"Yes","No"),IF(E1928&lt;=MAIN!$L$3,"Yes","No"))))</f>
        <v>Yes</v>
      </c>
      <c r="AA1928" t="str">
        <f t="shared" si="185"/>
        <v>No</v>
      </c>
    </row>
    <row r="1929" spans="1:27" x14ac:dyDescent="0.3">
      <c r="A1929">
        <f>INDEX(SETTINGS!$A$15:$A$24,$B1929)</f>
        <v>2033</v>
      </c>
      <c r="B1929">
        <v>9</v>
      </c>
      <c r="C1929" t="str">
        <f>IF(AND(A1929&gt;=SETTINGS!$B$4,A1929&lt;=SETTINGS!$B$5),"Yes","No")</f>
        <v>No</v>
      </c>
      <c r="D1929" t="str">
        <f>IFERROR(INDEX(SETTINGS!$C$15:$C$24,MATCH(A1929,SETTINGS!$A$15:$A$24,0)),"No")</f>
        <v>No</v>
      </c>
      <c r="E1929">
        <v>6</v>
      </c>
      <c r="F1929" t="s">
        <v>39</v>
      </c>
      <c r="G1929">
        <v>138</v>
      </c>
      <c r="H1929" t="s">
        <v>102</v>
      </c>
      <c r="I1929" t="s">
        <v>15</v>
      </c>
      <c r="J1929" t="s">
        <v>21</v>
      </c>
      <c r="K1929" t="s">
        <v>3</v>
      </c>
      <c r="L1929" s="36">
        <f ca="1">IF(C1929&lt;&gt;"Yes",0,IF(A1929=2025,N('2025'!D138),IF(A1929=2026,N('2026'!D138),IF(A1929=2027,N('2027'!D138),IF(A1929=2028,N('2028'!D138),IF(A1929=2029,N('2029'!D138),IF(A1929=2030,N('2030'!D138),IF(A1929=2031,N('2031'!D138),IF(A1929=2032,N('2032'!D138),IF(A1929=2033,N('2033'!D138),IF(A1929=2034,N('2034'!D138),IFERROR(N(INDIRECT("'"&amp;A1929&amp;"'!D"&amp;G1929)),0))))))))))))</f>
        <v>0</v>
      </c>
      <c r="M1929" s="36">
        <f>IFERROR(IF(NOT(ISBLANK(KPI_TARGETS!$O$13)),KPI_TARGETS!$O$13,IF(NOT(ISBLANK(KPI_TARGETS!$F$13)),KPI_TARGETS!$F$13,"")),"")</f>
        <v>0</v>
      </c>
      <c r="N1929" s="36" t="str">
        <f>IFERROR(KPI_TARGETS!$E$13,"Higher is better")</f>
        <v>Lower is better</v>
      </c>
      <c r="O1929" s="37">
        <f t="shared" ca="1" si="180"/>
        <v>1</v>
      </c>
      <c r="P1929" t="str">
        <f t="shared" ca="1" si="181"/>
        <v>Green</v>
      </c>
      <c r="Q1929" s="36">
        <f t="shared" ca="1" si="182"/>
        <v>0</v>
      </c>
      <c r="R1929" s="36" t="str">
        <f>""</f>
        <v/>
      </c>
      <c r="S1929" s="36" t="str">
        <f>""</f>
        <v/>
      </c>
      <c r="T1929" s="36" t="str">
        <f>""</f>
        <v/>
      </c>
      <c r="U1929" s="36" t="str">
        <f>""</f>
        <v/>
      </c>
      <c r="V1929" s="36" t="str">
        <f>""</f>
        <v/>
      </c>
      <c r="W1929" s="36">
        <f t="shared" si="183"/>
        <v>1</v>
      </c>
      <c r="X1929" t="str">
        <f t="shared" si="184"/>
        <v>Inactive</v>
      </c>
      <c r="Y1929" t="str">
        <f>IF(MAIN!$H$3="Selected Year",IF(A1929=MAIN!$B$3,"Yes","No"),IF(MAIN!$H$3="Included Years",IF(D1929="Yes","Yes","No"),IF(C1929="Yes","Yes","No")))</f>
        <v>No</v>
      </c>
      <c r="Z1929" t="str">
        <f>IF(MAIN!$F$3="Project to Date",IF(AND(A1929&gt;=SETTINGS!$B$4,A1929&lt;MAIN!$B$3),"Yes",IF(AND(A1929=MAIN!$B$3,E1929&lt;=MAIN!$L$3),"Yes","No")),IF(OR(MAIN!$F$3="Full Year",MAIN!$D$3="All"),"Yes",IF(MAIN!$F$3="Monthly",IF(E1929=MAIN!$L$3,"Yes","No"),IF(E1929&lt;=MAIN!$L$3,"Yes","No"))))</f>
        <v>Yes</v>
      </c>
      <c r="AA1929" t="str">
        <f t="shared" si="185"/>
        <v>No</v>
      </c>
    </row>
    <row r="1930" spans="1:27" x14ac:dyDescent="0.3">
      <c r="A1930">
        <f>INDEX(SETTINGS!$A$15:$A$24,$B1930)</f>
        <v>2033</v>
      </c>
      <c r="B1930">
        <v>9</v>
      </c>
      <c r="C1930" t="str">
        <f>IF(AND(A1930&gt;=SETTINGS!$B$4,A1930&lt;=SETTINGS!$B$5),"Yes","No")</f>
        <v>No</v>
      </c>
      <c r="D1930" t="str">
        <f>IFERROR(INDEX(SETTINGS!$C$15:$C$24,MATCH(A1930,SETTINGS!$A$15:$A$24,0)),"No")</f>
        <v>No</v>
      </c>
      <c r="E1930">
        <v>6</v>
      </c>
      <c r="F1930" t="s">
        <v>39</v>
      </c>
      <c r="G1930">
        <v>140</v>
      </c>
      <c r="H1930" t="s">
        <v>103</v>
      </c>
      <c r="I1930" t="s">
        <v>22</v>
      </c>
      <c r="J1930" t="s">
        <v>23</v>
      </c>
      <c r="K1930" t="s">
        <v>3</v>
      </c>
      <c r="L1930" s="36">
        <f ca="1">IF(C1930&lt;&gt;"Yes",0,IF(A1930=2025,N('2025'!D140),IF(A1930=2026,N('2026'!D140),IF(A1930=2027,N('2027'!D140),IF(A1930=2028,N('2028'!D140),IF(A1930=2029,N('2029'!D140),IF(A1930=2030,N('2030'!D140),IF(A1930=2031,N('2031'!D140),IF(A1930=2032,N('2032'!D140),IF(A1930=2033,N('2033'!D140),IF(A1930=2034,N('2034'!D140),IFERROR(N(INDIRECT("'"&amp;A1930&amp;"'!D"&amp;G1930)),0))))))))))))</f>
        <v>0</v>
      </c>
      <c r="M1930" s="36">
        <f>IFERROR(IF(NOT(ISBLANK(KPI_TARGETS!$O$14)),KPI_TARGETS!$O$14,IF(NOT(ISBLANK(KPI_TARGETS!$F$14)),KPI_TARGETS!$F$14,"")),"")</f>
        <v>35</v>
      </c>
      <c r="N1930" s="36" t="str">
        <f>IFERROR(KPI_TARGETS!$E$14,"Higher is better")</f>
        <v>Higher is better</v>
      </c>
      <c r="O1930" s="37">
        <f t="shared" ca="1" si="180"/>
        <v>0</v>
      </c>
      <c r="P1930" t="str">
        <f t="shared" ca="1" si="181"/>
        <v>Red</v>
      </c>
      <c r="Q1930" s="36">
        <f t="shared" ca="1" si="182"/>
        <v>-35</v>
      </c>
      <c r="R1930" s="36" t="str">
        <f>""</f>
        <v/>
      </c>
      <c r="S1930" s="36" t="str">
        <f>""</f>
        <v/>
      </c>
      <c r="T1930" s="36" t="str">
        <f>""</f>
        <v/>
      </c>
      <c r="U1930" s="36" t="str">
        <f>""</f>
        <v/>
      </c>
      <c r="V1930" s="36" t="str">
        <f>""</f>
        <v/>
      </c>
      <c r="W1930" s="36">
        <f t="shared" si="183"/>
        <v>1</v>
      </c>
      <c r="X1930" t="str">
        <f t="shared" si="184"/>
        <v>Inactive</v>
      </c>
      <c r="Y1930" t="str">
        <f>IF(MAIN!$H$3="Selected Year",IF(A1930=MAIN!$B$3,"Yes","No"),IF(MAIN!$H$3="Included Years",IF(D1930="Yes","Yes","No"),IF(C1930="Yes","Yes","No")))</f>
        <v>No</v>
      </c>
      <c r="Z1930" t="str">
        <f>IF(MAIN!$F$3="Project to Date",IF(AND(A1930&gt;=SETTINGS!$B$4,A1930&lt;MAIN!$B$3),"Yes",IF(AND(A1930=MAIN!$B$3,E1930&lt;=MAIN!$L$3),"Yes","No")),IF(OR(MAIN!$F$3="Full Year",MAIN!$D$3="All"),"Yes",IF(MAIN!$F$3="Monthly",IF(E1930=MAIN!$L$3,"Yes","No"),IF(E1930&lt;=MAIN!$L$3,"Yes","No"))))</f>
        <v>Yes</v>
      </c>
      <c r="AA1930" t="str">
        <f t="shared" si="185"/>
        <v>No</v>
      </c>
    </row>
    <row r="1931" spans="1:27" x14ac:dyDescent="0.3">
      <c r="A1931">
        <f>INDEX(SETTINGS!$A$15:$A$24,$B1931)</f>
        <v>2033</v>
      </c>
      <c r="B1931">
        <v>9</v>
      </c>
      <c r="C1931" t="str">
        <f>IF(AND(A1931&gt;=SETTINGS!$B$4,A1931&lt;=SETTINGS!$B$5),"Yes","No")</f>
        <v>No</v>
      </c>
      <c r="D1931" t="str">
        <f>IFERROR(INDEX(SETTINGS!$C$15:$C$24,MATCH(A1931,SETTINGS!$A$15:$A$24,0)),"No")</f>
        <v>No</v>
      </c>
      <c r="E1931">
        <v>6</v>
      </c>
      <c r="F1931" t="s">
        <v>39</v>
      </c>
      <c r="G1931">
        <v>141</v>
      </c>
      <c r="H1931" t="s">
        <v>104</v>
      </c>
      <c r="I1931" t="s">
        <v>22</v>
      </c>
      <c r="J1931" t="s">
        <v>24</v>
      </c>
      <c r="K1931" t="s">
        <v>3</v>
      </c>
      <c r="L1931" s="36">
        <f ca="1">IF(C1931&lt;&gt;"Yes",0,IF(A1931=2025,N('2025'!D141),IF(A1931=2026,N('2026'!D141),IF(A1931=2027,N('2027'!D141),IF(A1931=2028,N('2028'!D141),IF(A1931=2029,N('2029'!D141),IF(A1931=2030,N('2030'!D141),IF(A1931=2031,N('2031'!D141),IF(A1931=2032,N('2032'!D141),IF(A1931=2033,N('2033'!D141),IF(A1931=2034,N('2034'!D141),IFERROR(N(INDIRECT("'"&amp;A1931&amp;"'!D"&amp;G1931)),0))))))))))))</f>
        <v>0</v>
      </c>
      <c r="M1931" s="36">
        <f>IFERROR(IF(NOT(ISBLANK(KPI_TARGETS!$O$15)),KPI_TARGETS!$O$15,IF(NOT(ISBLANK(KPI_TARGETS!$F$15)),KPI_TARGETS!$F$15,"")),"")</f>
        <v>5</v>
      </c>
      <c r="N1931" s="36" t="str">
        <f>IFERROR(KPI_TARGETS!$E$15,"Higher is better")</f>
        <v>Higher is better</v>
      </c>
      <c r="O1931" s="37">
        <f t="shared" ca="1" si="180"/>
        <v>0</v>
      </c>
      <c r="P1931" t="str">
        <f t="shared" ca="1" si="181"/>
        <v>Red</v>
      </c>
      <c r="Q1931" s="36">
        <f t="shared" ca="1" si="182"/>
        <v>-5</v>
      </c>
      <c r="R1931" s="36" t="str">
        <f>""</f>
        <v/>
      </c>
      <c r="S1931" s="36" t="str">
        <f>""</f>
        <v/>
      </c>
      <c r="T1931" s="36" t="str">
        <f>""</f>
        <v/>
      </c>
      <c r="U1931" s="36" t="str">
        <f>""</f>
        <v/>
      </c>
      <c r="V1931" s="36" t="str">
        <f>""</f>
        <v/>
      </c>
      <c r="W1931" s="36">
        <f t="shared" si="183"/>
        <v>1</v>
      </c>
      <c r="X1931" t="str">
        <f t="shared" si="184"/>
        <v>Inactive</v>
      </c>
      <c r="Y1931" t="str">
        <f>IF(MAIN!$H$3="Selected Year",IF(A1931=MAIN!$B$3,"Yes","No"),IF(MAIN!$H$3="Included Years",IF(D1931="Yes","Yes","No"),IF(C1931="Yes","Yes","No")))</f>
        <v>No</v>
      </c>
      <c r="Z1931" t="str">
        <f>IF(MAIN!$F$3="Project to Date",IF(AND(A1931&gt;=SETTINGS!$B$4,A1931&lt;MAIN!$B$3),"Yes",IF(AND(A1931=MAIN!$B$3,E1931&lt;=MAIN!$L$3),"Yes","No")),IF(OR(MAIN!$F$3="Full Year",MAIN!$D$3="All"),"Yes",IF(MAIN!$F$3="Monthly",IF(E1931=MAIN!$L$3,"Yes","No"),IF(E1931&lt;=MAIN!$L$3,"Yes","No"))))</f>
        <v>Yes</v>
      </c>
      <c r="AA1931" t="str">
        <f t="shared" si="185"/>
        <v>No</v>
      </c>
    </row>
    <row r="1932" spans="1:27" x14ac:dyDescent="0.3">
      <c r="A1932">
        <f>INDEX(SETTINGS!$A$15:$A$24,$B1932)</f>
        <v>2033</v>
      </c>
      <c r="B1932">
        <v>9</v>
      </c>
      <c r="C1932" t="str">
        <f>IF(AND(A1932&gt;=SETTINGS!$B$4,A1932&lt;=SETTINGS!$B$5),"Yes","No")</f>
        <v>No</v>
      </c>
      <c r="D1932" t="str">
        <f>IFERROR(INDEX(SETTINGS!$C$15:$C$24,MATCH(A1932,SETTINGS!$A$15:$A$24,0)),"No")</f>
        <v>No</v>
      </c>
      <c r="E1932">
        <v>6</v>
      </c>
      <c r="F1932" t="s">
        <v>39</v>
      </c>
      <c r="G1932">
        <v>142</v>
      </c>
      <c r="H1932" t="s">
        <v>105</v>
      </c>
      <c r="I1932" t="s">
        <v>22</v>
      </c>
      <c r="J1932" t="s">
        <v>25</v>
      </c>
      <c r="K1932" t="s">
        <v>3</v>
      </c>
      <c r="L1932" s="36">
        <f ca="1">IF(C1932&lt;&gt;"Yes",0,IF(A1932=2025,N('2025'!D142),IF(A1932=2026,N('2026'!D142),IF(A1932=2027,N('2027'!D142),IF(A1932=2028,N('2028'!D142),IF(A1932=2029,N('2029'!D142),IF(A1932=2030,N('2030'!D142),IF(A1932=2031,N('2031'!D142),IF(A1932=2032,N('2032'!D142),IF(A1932=2033,N('2033'!D142),IF(A1932=2034,N('2034'!D142),IFERROR(N(INDIRECT("'"&amp;A1932&amp;"'!D"&amp;G1932)),0))))))))))))</f>
        <v>0</v>
      </c>
      <c r="M1932" s="36">
        <f>IFERROR(IF(NOT(ISBLANK(KPI_TARGETS!$O$16)),KPI_TARGETS!$O$16,IF(NOT(ISBLANK(KPI_TARGETS!$F$16)),KPI_TARGETS!$F$16,"")),"")</f>
        <v>4</v>
      </c>
      <c r="N1932" s="36" t="str">
        <f>IFERROR(KPI_TARGETS!$E$16,"Higher is better")</f>
        <v>Higher is better</v>
      </c>
      <c r="O1932" s="37">
        <f t="shared" ca="1" si="180"/>
        <v>0</v>
      </c>
      <c r="P1932" t="str">
        <f t="shared" ca="1" si="181"/>
        <v>Red</v>
      </c>
      <c r="Q1932" s="36">
        <f t="shared" ca="1" si="182"/>
        <v>-4</v>
      </c>
      <c r="R1932" s="36" t="str">
        <f>""</f>
        <v/>
      </c>
      <c r="S1932" s="36" t="str">
        <f>""</f>
        <v/>
      </c>
      <c r="T1932" s="36" t="str">
        <f>""</f>
        <v/>
      </c>
      <c r="U1932" s="36" t="str">
        <f>""</f>
        <v/>
      </c>
      <c r="V1932" s="36" t="str">
        <f>""</f>
        <v/>
      </c>
      <c r="W1932" s="36">
        <f t="shared" si="183"/>
        <v>1</v>
      </c>
      <c r="X1932" t="str">
        <f t="shared" si="184"/>
        <v>Inactive</v>
      </c>
      <c r="Y1932" t="str">
        <f>IF(MAIN!$H$3="Selected Year",IF(A1932=MAIN!$B$3,"Yes","No"),IF(MAIN!$H$3="Included Years",IF(D1932="Yes","Yes","No"),IF(C1932="Yes","Yes","No")))</f>
        <v>No</v>
      </c>
      <c r="Z1932" t="str">
        <f>IF(MAIN!$F$3="Project to Date",IF(AND(A1932&gt;=SETTINGS!$B$4,A1932&lt;MAIN!$B$3),"Yes",IF(AND(A1932=MAIN!$B$3,E1932&lt;=MAIN!$L$3),"Yes","No")),IF(OR(MAIN!$F$3="Full Year",MAIN!$D$3="All"),"Yes",IF(MAIN!$F$3="Monthly",IF(E1932=MAIN!$L$3,"Yes","No"),IF(E1932&lt;=MAIN!$L$3,"Yes","No"))))</f>
        <v>Yes</v>
      </c>
      <c r="AA1932" t="str">
        <f t="shared" si="185"/>
        <v>No</v>
      </c>
    </row>
    <row r="1933" spans="1:27" x14ac:dyDescent="0.3">
      <c r="A1933">
        <f>INDEX(SETTINGS!$A$15:$A$24,$B1933)</f>
        <v>2033</v>
      </c>
      <c r="B1933">
        <v>9</v>
      </c>
      <c r="C1933" t="str">
        <f>IF(AND(A1933&gt;=SETTINGS!$B$4,A1933&lt;=SETTINGS!$B$5),"Yes","No")</f>
        <v>No</v>
      </c>
      <c r="D1933" t="str">
        <f>IFERROR(INDEX(SETTINGS!$C$15:$C$24,MATCH(A1933,SETTINGS!$A$15:$A$24,0)),"No")</f>
        <v>No</v>
      </c>
      <c r="E1933">
        <v>6</v>
      </c>
      <c r="F1933" t="s">
        <v>39</v>
      </c>
      <c r="G1933">
        <v>143</v>
      </c>
      <c r="H1933" t="s">
        <v>106</v>
      </c>
      <c r="I1933" t="s">
        <v>22</v>
      </c>
      <c r="J1933" t="s">
        <v>26</v>
      </c>
      <c r="K1933" t="s">
        <v>3</v>
      </c>
      <c r="L1933" s="36">
        <f ca="1">IF(C1933&lt;&gt;"Yes",0,IF(A1933=2025,N('2025'!D143),IF(A1933=2026,N('2026'!D143),IF(A1933=2027,N('2027'!D143),IF(A1933=2028,N('2028'!D143),IF(A1933=2029,N('2029'!D143),IF(A1933=2030,N('2030'!D143),IF(A1933=2031,N('2031'!D143),IF(A1933=2032,N('2032'!D143),IF(A1933=2033,N('2033'!D143),IF(A1933=2034,N('2034'!D143),IFERROR(N(INDIRECT("'"&amp;A1933&amp;"'!D"&amp;G1933)),0))))))))))))</f>
        <v>0</v>
      </c>
      <c r="M1933" s="36">
        <f>IFERROR(IF(NOT(ISBLANK(KPI_TARGETS!$O$17)),KPI_TARGETS!$O$17,IF(NOT(ISBLANK(KPI_TARGETS!$F$17)),KPI_TARGETS!$F$17,"")),"")</f>
        <v>12</v>
      </c>
      <c r="N1933" s="36" t="str">
        <f>IFERROR(KPI_TARGETS!$E$17,"Higher is better")</f>
        <v>Higher is better</v>
      </c>
      <c r="O1933" s="37">
        <f t="shared" ca="1" si="180"/>
        <v>0</v>
      </c>
      <c r="P1933" t="str">
        <f t="shared" ca="1" si="181"/>
        <v>Red</v>
      </c>
      <c r="Q1933" s="36">
        <f t="shared" ca="1" si="182"/>
        <v>-12</v>
      </c>
      <c r="R1933" s="36" t="str">
        <f>""</f>
        <v/>
      </c>
      <c r="S1933" s="36" t="str">
        <f>""</f>
        <v/>
      </c>
      <c r="T1933" s="36" t="str">
        <f>""</f>
        <v/>
      </c>
      <c r="U1933" s="36" t="str">
        <f>""</f>
        <v/>
      </c>
      <c r="V1933" s="36" t="str">
        <f>""</f>
        <v/>
      </c>
      <c r="W1933" s="36">
        <f t="shared" si="183"/>
        <v>1</v>
      </c>
      <c r="X1933" t="str">
        <f t="shared" si="184"/>
        <v>Inactive</v>
      </c>
      <c r="Y1933" t="str">
        <f>IF(MAIN!$H$3="Selected Year",IF(A1933=MAIN!$B$3,"Yes","No"),IF(MAIN!$H$3="Included Years",IF(D1933="Yes","Yes","No"),IF(C1933="Yes","Yes","No")))</f>
        <v>No</v>
      </c>
      <c r="Z1933" t="str">
        <f>IF(MAIN!$F$3="Project to Date",IF(AND(A1933&gt;=SETTINGS!$B$4,A1933&lt;MAIN!$B$3),"Yes",IF(AND(A1933=MAIN!$B$3,E1933&lt;=MAIN!$L$3),"Yes","No")),IF(OR(MAIN!$F$3="Full Year",MAIN!$D$3="All"),"Yes",IF(MAIN!$F$3="Monthly",IF(E1933=MAIN!$L$3,"Yes","No"),IF(E1933&lt;=MAIN!$L$3,"Yes","No"))))</f>
        <v>Yes</v>
      </c>
      <c r="AA1933" t="str">
        <f t="shared" si="185"/>
        <v>No</v>
      </c>
    </row>
    <row r="1934" spans="1:27" x14ac:dyDescent="0.3">
      <c r="A1934">
        <f>INDEX(SETTINGS!$A$15:$A$24,$B1934)</f>
        <v>2033</v>
      </c>
      <c r="B1934">
        <v>9</v>
      </c>
      <c r="C1934" t="str">
        <f>IF(AND(A1934&gt;=SETTINGS!$B$4,A1934&lt;=SETTINGS!$B$5),"Yes","No")</f>
        <v>No</v>
      </c>
      <c r="D1934" t="str">
        <f>IFERROR(INDEX(SETTINGS!$C$15:$C$24,MATCH(A1934,SETTINGS!$A$15:$A$24,0)),"No")</f>
        <v>No</v>
      </c>
      <c r="E1934">
        <v>6</v>
      </c>
      <c r="F1934" t="s">
        <v>39</v>
      </c>
      <c r="G1934">
        <v>144</v>
      </c>
      <c r="H1934" t="s">
        <v>107</v>
      </c>
      <c r="I1934" t="s">
        <v>22</v>
      </c>
      <c r="J1934" t="s">
        <v>27</v>
      </c>
      <c r="K1934" t="s">
        <v>3</v>
      </c>
      <c r="L1934" s="36">
        <f ca="1">IF(C1934&lt;&gt;"Yes",0,IF(A1934=2025,N('2025'!D144),IF(A1934=2026,N('2026'!D144),IF(A1934=2027,N('2027'!D144),IF(A1934=2028,N('2028'!D144),IF(A1934=2029,N('2029'!D144),IF(A1934=2030,N('2030'!D144),IF(A1934=2031,N('2031'!D144),IF(A1934=2032,N('2032'!D144),IF(A1934=2033,N('2033'!D144),IF(A1934=2034,N('2034'!D144),IFERROR(N(INDIRECT("'"&amp;A1934&amp;"'!D"&amp;G1934)),0))))))))))))</f>
        <v>0</v>
      </c>
      <c r="M1934" s="36">
        <f>IFERROR(IF(NOT(ISBLANK(KPI_TARGETS!$O$18)),KPI_TARGETS!$O$18,IF(NOT(ISBLANK(KPI_TARGETS!$F$18)),KPI_TARGETS!$F$18,"")),"")</f>
        <v>4</v>
      </c>
      <c r="N1934" s="36" t="str">
        <f>IFERROR(KPI_TARGETS!$E$18,"Higher is better")</f>
        <v>Higher is better</v>
      </c>
      <c r="O1934" s="37">
        <f t="shared" ca="1" si="180"/>
        <v>0</v>
      </c>
      <c r="P1934" t="str">
        <f t="shared" ca="1" si="181"/>
        <v>Red</v>
      </c>
      <c r="Q1934" s="36">
        <f t="shared" ca="1" si="182"/>
        <v>-4</v>
      </c>
      <c r="R1934" s="36" t="str">
        <f>""</f>
        <v/>
      </c>
      <c r="S1934" s="36" t="str">
        <f>""</f>
        <v/>
      </c>
      <c r="T1934" s="36" t="str">
        <f>""</f>
        <v/>
      </c>
      <c r="U1934" s="36" t="str">
        <f>""</f>
        <v/>
      </c>
      <c r="V1934" s="36" t="str">
        <f>""</f>
        <v/>
      </c>
      <c r="W1934" s="36">
        <f t="shared" si="183"/>
        <v>1</v>
      </c>
      <c r="X1934" t="str">
        <f t="shared" si="184"/>
        <v>Inactive</v>
      </c>
      <c r="Y1934" t="str">
        <f>IF(MAIN!$H$3="Selected Year",IF(A1934=MAIN!$B$3,"Yes","No"),IF(MAIN!$H$3="Included Years",IF(D1934="Yes","Yes","No"),IF(C1934="Yes","Yes","No")))</f>
        <v>No</v>
      </c>
      <c r="Z1934" t="str">
        <f>IF(MAIN!$F$3="Project to Date",IF(AND(A1934&gt;=SETTINGS!$B$4,A1934&lt;MAIN!$B$3),"Yes",IF(AND(A1934=MAIN!$B$3,E1934&lt;=MAIN!$L$3),"Yes","No")),IF(OR(MAIN!$F$3="Full Year",MAIN!$D$3="All"),"Yes",IF(MAIN!$F$3="Monthly",IF(E1934=MAIN!$L$3,"Yes","No"),IF(E1934&lt;=MAIN!$L$3,"Yes","No"))))</f>
        <v>Yes</v>
      </c>
      <c r="AA1934" t="str">
        <f t="shared" si="185"/>
        <v>No</v>
      </c>
    </row>
    <row r="1935" spans="1:27" x14ac:dyDescent="0.3">
      <c r="A1935">
        <f>INDEX(SETTINGS!$A$15:$A$24,$B1935)</f>
        <v>2033</v>
      </c>
      <c r="B1935">
        <v>9</v>
      </c>
      <c r="C1935" t="str">
        <f>IF(AND(A1935&gt;=SETTINGS!$B$4,A1935&lt;=SETTINGS!$B$5),"Yes","No")</f>
        <v>No</v>
      </c>
      <c r="D1935" t="str">
        <f>IFERROR(INDEX(SETTINGS!$C$15:$C$24,MATCH(A1935,SETTINGS!$A$15:$A$24,0)),"No")</f>
        <v>No</v>
      </c>
      <c r="E1935">
        <v>6</v>
      </c>
      <c r="F1935" t="s">
        <v>39</v>
      </c>
      <c r="G1935">
        <v>145</v>
      </c>
      <c r="H1935" t="s">
        <v>108</v>
      </c>
      <c r="I1935" t="s">
        <v>22</v>
      </c>
      <c r="J1935" t="s">
        <v>28</v>
      </c>
      <c r="K1935" t="s">
        <v>3</v>
      </c>
      <c r="L1935" s="36">
        <f ca="1">IF(C1935&lt;&gt;"Yes",0,IF(A1935=2025,N('2025'!D145),IF(A1935=2026,N('2026'!D145),IF(A1935=2027,N('2027'!D145),IF(A1935=2028,N('2028'!D145),IF(A1935=2029,N('2029'!D145),IF(A1935=2030,N('2030'!D145),IF(A1935=2031,N('2031'!D145),IF(A1935=2032,N('2032'!D145),IF(A1935=2033,N('2033'!D145),IF(A1935=2034,N('2034'!D145),IFERROR(N(INDIRECT("'"&amp;A1935&amp;"'!D"&amp;G1935)),0))))))))))))</f>
        <v>0</v>
      </c>
      <c r="M1935" s="36">
        <f>IFERROR(IF(NOT(ISBLANK(KPI_TARGETS!$O$19)),KPI_TARGETS!$O$19,IF(NOT(ISBLANK(KPI_TARGETS!$F$19)),KPI_TARGETS!$F$19,"")),"")</f>
        <v>16</v>
      </c>
      <c r="N1935" s="36" t="str">
        <f>IFERROR(KPI_TARGETS!$E$19,"Higher is better")</f>
        <v>Higher is better</v>
      </c>
      <c r="O1935" s="37">
        <f t="shared" ca="1" si="180"/>
        <v>0</v>
      </c>
      <c r="P1935" t="str">
        <f t="shared" ca="1" si="181"/>
        <v>Red</v>
      </c>
      <c r="Q1935" s="36">
        <f t="shared" ca="1" si="182"/>
        <v>-16</v>
      </c>
      <c r="R1935" s="36" t="str">
        <f>""</f>
        <v/>
      </c>
      <c r="S1935" s="36" t="str">
        <f>""</f>
        <v/>
      </c>
      <c r="T1935" s="36" t="str">
        <f>""</f>
        <v/>
      </c>
      <c r="U1935" s="36" t="str">
        <f>""</f>
        <v/>
      </c>
      <c r="V1935" s="36" t="str">
        <f>""</f>
        <v/>
      </c>
      <c r="W1935" s="36">
        <f t="shared" si="183"/>
        <v>1</v>
      </c>
      <c r="X1935" t="str">
        <f t="shared" si="184"/>
        <v>Inactive</v>
      </c>
      <c r="Y1935" t="str">
        <f>IF(MAIN!$H$3="Selected Year",IF(A1935=MAIN!$B$3,"Yes","No"),IF(MAIN!$H$3="Included Years",IF(D1935="Yes","Yes","No"),IF(C1935="Yes","Yes","No")))</f>
        <v>No</v>
      </c>
      <c r="Z1935" t="str">
        <f>IF(MAIN!$F$3="Project to Date",IF(AND(A1935&gt;=SETTINGS!$B$4,A1935&lt;MAIN!$B$3),"Yes",IF(AND(A1935=MAIN!$B$3,E1935&lt;=MAIN!$L$3),"Yes","No")),IF(OR(MAIN!$F$3="Full Year",MAIN!$D$3="All"),"Yes",IF(MAIN!$F$3="Monthly",IF(E1935=MAIN!$L$3,"Yes","No"),IF(E1935&lt;=MAIN!$L$3,"Yes","No"))))</f>
        <v>Yes</v>
      </c>
      <c r="AA1935" t="str">
        <f t="shared" si="185"/>
        <v>No</v>
      </c>
    </row>
    <row r="1936" spans="1:27" x14ac:dyDescent="0.3">
      <c r="A1936">
        <f>INDEX(SETTINGS!$A$15:$A$24,$B1936)</f>
        <v>2033</v>
      </c>
      <c r="B1936">
        <v>9</v>
      </c>
      <c r="C1936" t="str">
        <f>IF(AND(A1936&gt;=SETTINGS!$B$4,A1936&lt;=SETTINGS!$B$5),"Yes","No")</f>
        <v>No</v>
      </c>
      <c r="D1936" t="str">
        <f>IFERROR(INDEX(SETTINGS!$C$15:$C$24,MATCH(A1936,SETTINGS!$A$15:$A$24,0)),"No")</f>
        <v>No</v>
      </c>
      <c r="E1936">
        <v>6</v>
      </c>
      <c r="F1936" t="s">
        <v>39</v>
      </c>
      <c r="G1936">
        <v>146</v>
      </c>
      <c r="H1936" t="s">
        <v>109</v>
      </c>
      <c r="I1936" t="s">
        <v>22</v>
      </c>
      <c r="J1936" t="s">
        <v>29</v>
      </c>
      <c r="K1936" t="s">
        <v>3</v>
      </c>
      <c r="L1936" s="36">
        <f ca="1">IF(C1936&lt;&gt;"Yes",0,IF(A1936=2025,N('2025'!D146),IF(A1936=2026,N('2026'!D146),IF(A1936=2027,N('2027'!D146),IF(A1936=2028,N('2028'!D146),IF(A1936=2029,N('2029'!D146),IF(A1936=2030,N('2030'!D146),IF(A1936=2031,N('2031'!D146),IF(A1936=2032,N('2032'!D146),IF(A1936=2033,N('2033'!D146),IF(A1936=2034,N('2034'!D146),IFERROR(N(INDIRECT("'"&amp;A1936&amp;"'!D"&amp;G1936)),0))))))))))))</f>
        <v>0</v>
      </c>
      <c r="M1936" s="36">
        <f>IFERROR(IF(NOT(ISBLANK(KPI_TARGETS!$O$20)),KPI_TARGETS!$O$20,IF(NOT(ISBLANK(KPI_TARGETS!$F$20)),KPI_TARGETS!$F$20,"")),"")</f>
        <v>1</v>
      </c>
      <c r="N1936" s="36" t="str">
        <f>IFERROR(KPI_TARGETS!$E$20,"Higher is better")</f>
        <v>Higher is better</v>
      </c>
      <c r="O1936" s="37">
        <f t="shared" ca="1" si="180"/>
        <v>0</v>
      </c>
      <c r="P1936" t="str">
        <f t="shared" ca="1" si="181"/>
        <v>Red</v>
      </c>
      <c r="Q1936" s="36">
        <f t="shared" ca="1" si="182"/>
        <v>-1</v>
      </c>
      <c r="R1936" s="36" t="str">
        <f>""</f>
        <v/>
      </c>
      <c r="S1936" s="36" t="str">
        <f>""</f>
        <v/>
      </c>
      <c r="T1936" s="36" t="str">
        <f>""</f>
        <v/>
      </c>
      <c r="U1936" s="36" t="str">
        <f>""</f>
        <v/>
      </c>
      <c r="V1936" s="36" t="str">
        <f>""</f>
        <v/>
      </c>
      <c r="W1936" s="36">
        <f t="shared" si="183"/>
        <v>1</v>
      </c>
      <c r="X1936" t="str">
        <f t="shared" si="184"/>
        <v>Inactive</v>
      </c>
      <c r="Y1936" t="str">
        <f>IF(MAIN!$H$3="Selected Year",IF(A1936=MAIN!$B$3,"Yes","No"),IF(MAIN!$H$3="Included Years",IF(D1936="Yes","Yes","No"),IF(C1936="Yes","Yes","No")))</f>
        <v>No</v>
      </c>
      <c r="Z1936" t="str">
        <f>IF(MAIN!$F$3="Project to Date",IF(AND(A1936&gt;=SETTINGS!$B$4,A1936&lt;MAIN!$B$3),"Yes",IF(AND(A1936=MAIN!$B$3,E1936&lt;=MAIN!$L$3),"Yes","No")),IF(OR(MAIN!$F$3="Full Year",MAIN!$D$3="All"),"Yes",IF(MAIN!$F$3="Monthly",IF(E1936=MAIN!$L$3,"Yes","No"),IF(E1936&lt;=MAIN!$L$3,"Yes","No"))))</f>
        <v>Yes</v>
      </c>
      <c r="AA1936" t="str">
        <f t="shared" si="185"/>
        <v>No</v>
      </c>
    </row>
    <row r="1937" spans="1:27" x14ac:dyDescent="0.3">
      <c r="A1937">
        <f>INDEX(SETTINGS!$A$15:$A$24,$B1937)</f>
        <v>2033</v>
      </c>
      <c r="B1937">
        <v>9</v>
      </c>
      <c r="C1937" t="str">
        <f>IF(AND(A1937&gt;=SETTINGS!$B$4,A1937&lt;=SETTINGS!$B$5),"Yes","No")</f>
        <v>No</v>
      </c>
      <c r="D1937" t="str">
        <f>IFERROR(INDEX(SETTINGS!$C$15:$C$24,MATCH(A1937,SETTINGS!$A$15:$A$24,0)),"No")</f>
        <v>No</v>
      </c>
      <c r="E1937">
        <v>6</v>
      </c>
      <c r="F1937" t="s">
        <v>39</v>
      </c>
      <c r="G1937">
        <v>148</v>
      </c>
      <c r="H1937" t="s">
        <v>110</v>
      </c>
      <c r="I1937" t="s">
        <v>30</v>
      </c>
      <c r="J1937" t="s">
        <v>31</v>
      </c>
      <c r="K1937" t="s">
        <v>3</v>
      </c>
      <c r="L1937" s="36">
        <f ca="1">IF(C1937&lt;&gt;"Yes",0,IF(A1937=2025,N('2025'!D148),IF(A1937=2026,N('2026'!D148),IF(A1937=2027,N('2027'!D148),IF(A1937=2028,N('2028'!D148),IF(A1937=2029,N('2029'!D148),IF(A1937=2030,N('2030'!D148),IF(A1937=2031,N('2031'!D148),IF(A1937=2032,N('2032'!D148),IF(A1937=2033,N('2033'!D148),IF(A1937=2034,N('2034'!D148),IFERROR(N(INDIRECT("'"&amp;A1937&amp;"'!D"&amp;G1937)),0))))))))))))</f>
        <v>0</v>
      </c>
      <c r="M1937" s="36">
        <f>IFERROR(IF(NOT(ISBLANK(KPI_TARGETS!$O$21)),KPI_TARGETS!$O$21,IF(NOT(ISBLANK(KPI_TARGETS!$F$21)),KPI_TARGETS!$F$21,"")),"")</f>
        <v>0</v>
      </c>
      <c r="N1937" s="36" t="str">
        <f>IFERROR(KPI_TARGETS!$E$21,"Higher is better")</f>
        <v>Lower is better</v>
      </c>
      <c r="O1937" s="37">
        <f t="shared" ca="1" si="180"/>
        <v>1</v>
      </c>
      <c r="P1937" t="str">
        <f t="shared" ca="1" si="181"/>
        <v>Green</v>
      </c>
      <c r="Q1937" s="36">
        <f t="shared" ca="1" si="182"/>
        <v>0</v>
      </c>
      <c r="R1937" s="36" t="str">
        <f>""</f>
        <v/>
      </c>
      <c r="S1937" s="36" t="str">
        <f>""</f>
        <v/>
      </c>
      <c r="T1937" s="36" t="str">
        <f>""</f>
        <v/>
      </c>
      <c r="U1937" s="36" t="str">
        <f>""</f>
        <v/>
      </c>
      <c r="V1937" s="36" t="str">
        <f>""</f>
        <v/>
      </c>
      <c r="W1937" s="36">
        <f t="shared" si="183"/>
        <v>1</v>
      </c>
      <c r="X1937" t="str">
        <f t="shared" si="184"/>
        <v>Inactive</v>
      </c>
      <c r="Y1937" t="str">
        <f>IF(MAIN!$H$3="Selected Year",IF(A1937=MAIN!$B$3,"Yes","No"),IF(MAIN!$H$3="Included Years",IF(D1937="Yes","Yes","No"),IF(C1937="Yes","Yes","No")))</f>
        <v>No</v>
      </c>
      <c r="Z1937" t="str">
        <f>IF(MAIN!$F$3="Project to Date",IF(AND(A1937&gt;=SETTINGS!$B$4,A1937&lt;MAIN!$B$3),"Yes",IF(AND(A1937=MAIN!$B$3,E1937&lt;=MAIN!$L$3),"Yes","No")),IF(OR(MAIN!$F$3="Full Year",MAIN!$D$3="All"),"Yes",IF(MAIN!$F$3="Monthly",IF(E1937=MAIN!$L$3,"Yes","No"),IF(E1937&lt;=MAIN!$L$3,"Yes","No"))))</f>
        <v>Yes</v>
      </c>
      <c r="AA1937" t="str">
        <f t="shared" si="185"/>
        <v>No</v>
      </c>
    </row>
    <row r="1938" spans="1:27" x14ac:dyDescent="0.3">
      <c r="A1938">
        <f>INDEX(SETTINGS!$A$15:$A$24,$B1938)</f>
        <v>2033</v>
      </c>
      <c r="B1938">
        <v>9</v>
      </c>
      <c r="C1938" t="str">
        <f>IF(AND(A1938&gt;=SETTINGS!$B$4,A1938&lt;=SETTINGS!$B$5),"Yes","No")</f>
        <v>No</v>
      </c>
      <c r="D1938" t="str">
        <f>IFERROR(INDEX(SETTINGS!$C$15:$C$24,MATCH(A1938,SETTINGS!$A$15:$A$24,0)),"No")</f>
        <v>No</v>
      </c>
      <c r="E1938">
        <v>6</v>
      </c>
      <c r="F1938" t="s">
        <v>39</v>
      </c>
      <c r="G1938">
        <v>149</v>
      </c>
      <c r="H1938" t="s">
        <v>111</v>
      </c>
      <c r="I1938" t="s">
        <v>30</v>
      </c>
      <c r="J1938" t="s">
        <v>32</v>
      </c>
      <c r="K1938" t="s">
        <v>3</v>
      </c>
      <c r="L1938" s="36">
        <f ca="1">IF(C1938&lt;&gt;"Yes",0,IF(A1938=2025,N('2025'!D149),IF(A1938=2026,N('2026'!D149),IF(A1938=2027,N('2027'!D149),IF(A1938=2028,N('2028'!D149),IF(A1938=2029,N('2029'!D149),IF(A1938=2030,N('2030'!D149),IF(A1938=2031,N('2031'!D149),IF(A1938=2032,N('2032'!D149),IF(A1938=2033,N('2033'!D149),IF(A1938=2034,N('2034'!D149),IFERROR(N(INDIRECT("'"&amp;A1938&amp;"'!D"&amp;G1938)),0))))))))))))</f>
        <v>0</v>
      </c>
      <c r="M1938" s="36">
        <f>IFERROR(IF(NOT(ISBLANK(KPI_TARGETS!$O$22)),KPI_TARGETS!$O$22,IF(NOT(ISBLANK(KPI_TARGETS!$F$22)),KPI_TARGETS!$F$22,"")),"")</f>
        <v>1</v>
      </c>
      <c r="N1938" s="36" t="str">
        <f>IFERROR(KPI_TARGETS!$E$22,"Higher is better")</f>
        <v>Higher is better</v>
      </c>
      <c r="O1938" s="37">
        <f t="shared" ca="1" si="180"/>
        <v>0</v>
      </c>
      <c r="P1938" t="str">
        <f t="shared" ca="1" si="181"/>
        <v>Red</v>
      </c>
      <c r="Q1938" s="36">
        <f t="shared" ca="1" si="182"/>
        <v>-1</v>
      </c>
      <c r="R1938" s="36" t="str">
        <f>""</f>
        <v/>
      </c>
      <c r="S1938" s="36" t="str">
        <f>""</f>
        <v/>
      </c>
      <c r="T1938" s="36" t="str">
        <f>""</f>
        <v/>
      </c>
      <c r="U1938" s="36" t="str">
        <f>""</f>
        <v/>
      </c>
      <c r="V1938" s="36" t="str">
        <f>""</f>
        <v/>
      </c>
      <c r="W1938" s="36">
        <f t="shared" si="183"/>
        <v>1</v>
      </c>
      <c r="X1938" t="str">
        <f t="shared" si="184"/>
        <v>Inactive</v>
      </c>
      <c r="Y1938" t="str">
        <f>IF(MAIN!$H$3="Selected Year",IF(A1938=MAIN!$B$3,"Yes","No"),IF(MAIN!$H$3="Included Years",IF(D1938="Yes","Yes","No"),IF(C1938="Yes","Yes","No")))</f>
        <v>No</v>
      </c>
      <c r="Z1938" t="str">
        <f>IF(MAIN!$F$3="Project to Date",IF(AND(A1938&gt;=SETTINGS!$B$4,A1938&lt;MAIN!$B$3),"Yes",IF(AND(A1938=MAIN!$B$3,E1938&lt;=MAIN!$L$3),"Yes","No")),IF(OR(MAIN!$F$3="Full Year",MAIN!$D$3="All"),"Yes",IF(MAIN!$F$3="Monthly",IF(E1938=MAIN!$L$3,"Yes","No"),IF(E1938&lt;=MAIN!$L$3,"Yes","No"))))</f>
        <v>Yes</v>
      </c>
      <c r="AA1938" t="str">
        <f t="shared" si="185"/>
        <v>No</v>
      </c>
    </row>
    <row r="1939" spans="1:27" x14ac:dyDescent="0.3">
      <c r="A1939">
        <f>INDEX(SETTINGS!$A$15:$A$24,$B1939)</f>
        <v>2033</v>
      </c>
      <c r="B1939">
        <v>9</v>
      </c>
      <c r="C1939" t="str">
        <f>IF(AND(A1939&gt;=SETTINGS!$B$4,A1939&lt;=SETTINGS!$B$5),"Yes","No")</f>
        <v>No</v>
      </c>
      <c r="D1939" t="str">
        <f>IFERROR(INDEX(SETTINGS!$C$15:$C$24,MATCH(A1939,SETTINGS!$A$15:$A$24,0)),"No")</f>
        <v>No</v>
      </c>
      <c r="E1939">
        <v>6</v>
      </c>
      <c r="F1939" t="s">
        <v>39</v>
      </c>
      <c r="G1939">
        <v>150</v>
      </c>
      <c r="H1939" t="s">
        <v>112</v>
      </c>
      <c r="I1939" t="s">
        <v>30</v>
      </c>
      <c r="J1939" t="s">
        <v>33</v>
      </c>
      <c r="K1939" t="s">
        <v>34</v>
      </c>
      <c r="L1939" s="36">
        <f ca="1">IF(C1939&lt;&gt;"Yes",0,IF(A1939=2025,N('2025'!D150),IF(A1939=2026,N('2026'!D150),IF(A1939=2027,N('2027'!D150),IF(A1939=2028,N('2028'!D150),IF(A1939=2029,N('2029'!D150),IF(A1939=2030,N('2030'!D150),IF(A1939=2031,N('2031'!D150),IF(A1939=2032,N('2032'!D150),IF(A1939=2033,N('2033'!D150),IF(A1939=2034,N('2034'!D150),IFERROR(N(INDIRECT("'"&amp;A1939&amp;"'!D"&amp;G1939)),0))))))))))))</f>
        <v>0</v>
      </c>
      <c r="M1939" s="36">
        <f>IFERROR(IF(NOT(ISBLANK(KPI_TARGETS!$O$23)),KPI_TARGETS!$O$23,IF(NOT(ISBLANK(KPI_TARGETS!$F$23)),KPI_TARGETS!$F$23,"")),"")</f>
        <v>1</v>
      </c>
      <c r="N1939" s="36" t="str">
        <f>IFERROR(KPI_TARGETS!$E$23,"Higher is better")</f>
        <v>Higher is better</v>
      </c>
      <c r="O1939" s="37">
        <f t="shared" ca="1" si="180"/>
        <v>0</v>
      </c>
      <c r="P1939" t="str">
        <f t="shared" ca="1" si="181"/>
        <v>Red</v>
      </c>
      <c r="Q1939" s="36">
        <f t="shared" ca="1" si="182"/>
        <v>-1</v>
      </c>
      <c r="R1939" s="36" t="str">
        <f>""</f>
        <v/>
      </c>
      <c r="S1939" s="36" t="str">
        <f>""</f>
        <v/>
      </c>
      <c r="T1939" s="36" t="str">
        <f>""</f>
        <v/>
      </c>
      <c r="U1939" s="36" t="str">
        <f>""</f>
        <v/>
      </c>
      <c r="V1939" s="36" t="str">
        <f>""</f>
        <v/>
      </c>
      <c r="W1939" s="36">
        <f t="shared" si="183"/>
        <v>1</v>
      </c>
      <c r="X1939" t="str">
        <f t="shared" si="184"/>
        <v>Inactive</v>
      </c>
      <c r="Y1939" t="str">
        <f>IF(MAIN!$H$3="Selected Year",IF(A1939=MAIN!$B$3,"Yes","No"),IF(MAIN!$H$3="Included Years",IF(D1939="Yes","Yes","No"),IF(C1939="Yes","Yes","No")))</f>
        <v>No</v>
      </c>
      <c r="Z1939" t="str">
        <f>IF(MAIN!$F$3="Project to Date",IF(AND(A1939&gt;=SETTINGS!$B$4,A1939&lt;MAIN!$B$3),"Yes",IF(AND(A1939=MAIN!$B$3,E1939&lt;=MAIN!$L$3),"Yes","No")),IF(OR(MAIN!$F$3="Full Year",MAIN!$D$3="All"),"Yes",IF(MAIN!$F$3="Monthly",IF(E1939=MAIN!$L$3,"Yes","No"),IF(E1939&lt;=MAIN!$L$3,"Yes","No"))))</f>
        <v>Yes</v>
      </c>
      <c r="AA1939" t="str">
        <f t="shared" si="185"/>
        <v>No</v>
      </c>
    </row>
    <row r="1940" spans="1:27" x14ac:dyDescent="0.3">
      <c r="A1940">
        <f>INDEX(SETTINGS!$A$15:$A$24,$B1940)</f>
        <v>2033</v>
      </c>
      <c r="B1940">
        <v>9</v>
      </c>
      <c r="C1940" t="str">
        <f>IF(AND(A1940&gt;=SETTINGS!$B$4,A1940&lt;=SETTINGS!$B$5),"Yes","No")</f>
        <v>No</v>
      </c>
      <c r="D1940" t="str">
        <f>IFERROR(INDEX(SETTINGS!$C$15:$C$24,MATCH(A1940,SETTINGS!$A$15:$A$24,0)),"No")</f>
        <v>No</v>
      </c>
      <c r="E1940">
        <v>7</v>
      </c>
      <c r="F1940" t="s">
        <v>40</v>
      </c>
      <c r="G1940">
        <v>153</v>
      </c>
      <c r="H1940" t="s">
        <v>88</v>
      </c>
      <c r="I1940" t="s">
        <v>89</v>
      </c>
      <c r="J1940" t="s">
        <v>10</v>
      </c>
      <c r="K1940" t="s">
        <v>3</v>
      </c>
      <c r="L1940" s="36">
        <f ca="1">IF(C1940&lt;&gt;"Yes",0,IF(A1940=2025,N('2025'!D153),IF(A1940=2026,N('2026'!D153),IF(A1940=2027,N('2027'!D153),IF(A1940=2028,N('2028'!D153),IF(A1940=2029,N('2029'!D153),IF(A1940=2030,N('2030'!D153),IF(A1940=2031,N('2031'!D153),IF(A1940=2032,N('2032'!D153),IF(A1940=2033,N('2033'!D153),IF(A1940=2034,N('2034'!D153),IFERROR(N(INDIRECT("'"&amp;A1940&amp;"'!D"&amp;G1940)),0))))))))))))</f>
        <v>0</v>
      </c>
      <c r="M1940" s="36">
        <f>IFERROR(IF(NOT(ISBLANK(KPI_TARGETS!$O$5)),KPI_TARGETS!$O$5,IF(NOT(ISBLANK(KPI_TARGETS!$F$5)),KPI_TARGETS!$F$5,"")),"")</f>
        <v>104</v>
      </c>
      <c r="N1940" s="36" t="str">
        <f>IFERROR(KPI_TARGETS!$E$5,"Higher is better")</f>
        <v>Higher is better</v>
      </c>
      <c r="O1940" s="37">
        <f t="shared" ca="1" si="180"/>
        <v>0</v>
      </c>
      <c r="P1940" t="str">
        <f t="shared" ca="1" si="181"/>
        <v>Red</v>
      </c>
      <c r="Q1940" s="36">
        <f t="shared" ca="1" si="182"/>
        <v>-104</v>
      </c>
      <c r="R1940" s="36" t="str">
        <f>""</f>
        <v/>
      </c>
      <c r="S1940" s="36" t="str">
        <f>""</f>
        <v/>
      </c>
      <c r="T1940" s="36" t="str">
        <f>""</f>
        <v/>
      </c>
      <c r="U1940" s="36" t="str">
        <f>""</f>
        <v/>
      </c>
      <c r="V1940" s="36" t="str">
        <f>""</f>
        <v/>
      </c>
      <c r="W1940" s="36">
        <f t="shared" si="183"/>
        <v>1</v>
      </c>
      <c r="X1940" t="str">
        <f t="shared" si="184"/>
        <v>Inactive</v>
      </c>
      <c r="Y1940" t="str">
        <f>IF(MAIN!$H$3="Selected Year",IF(A1940=MAIN!$B$3,"Yes","No"),IF(MAIN!$H$3="Included Years",IF(D1940="Yes","Yes","No"),IF(C1940="Yes","Yes","No")))</f>
        <v>No</v>
      </c>
      <c r="Z1940" t="str">
        <f>IF(MAIN!$F$3="Project to Date",IF(AND(A1940&gt;=SETTINGS!$B$4,A1940&lt;MAIN!$B$3),"Yes",IF(AND(A1940=MAIN!$B$3,E1940&lt;=MAIN!$L$3),"Yes","No")),IF(OR(MAIN!$F$3="Full Year",MAIN!$D$3="All"),"Yes",IF(MAIN!$F$3="Monthly",IF(E1940=MAIN!$L$3,"Yes","No"),IF(E1940&lt;=MAIN!$L$3,"Yes","No"))))</f>
        <v>Yes</v>
      </c>
      <c r="AA1940" t="str">
        <f t="shared" si="185"/>
        <v>No</v>
      </c>
    </row>
    <row r="1941" spans="1:27" x14ac:dyDescent="0.3">
      <c r="A1941">
        <f>INDEX(SETTINGS!$A$15:$A$24,$B1941)</f>
        <v>2033</v>
      </c>
      <c r="B1941">
        <v>9</v>
      </c>
      <c r="C1941" t="str">
        <f>IF(AND(A1941&gt;=SETTINGS!$B$4,A1941&lt;=SETTINGS!$B$5),"Yes","No")</f>
        <v>No</v>
      </c>
      <c r="D1941" t="str">
        <f>IFERROR(INDEX(SETTINGS!$C$15:$C$24,MATCH(A1941,SETTINGS!$A$15:$A$24,0)),"No")</f>
        <v>No</v>
      </c>
      <c r="E1941">
        <v>7</v>
      </c>
      <c r="F1941" t="s">
        <v>40</v>
      </c>
      <c r="G1941">
        <v>154</v>
      </c>
      <c r="H1941" t="s">
        <v>91</v>
      </c>
      <c r="I1941" t="s">
        <v>89</v>
      </c>
      <c r="J1941" t="s">
        <v>11</v>
      </c>
      <c r="K1941" t="s">
        <v>12</v>
      </c>
      <c r="L1941" s="36">
        <f ca="1">IF(C1941&lt;&gt;"Yes",0,IF(A1941=2025,N('2025'!D154),IF(A1941=2026,N('2026'!D154),IF(A1941=2027,N('2027'!D154),IF(A1941=2028,N('2028'!D154),IF(A1941=2029,N('2029'!D154),IF(A1941=2030,N('2030'!D154),IF(A1941=2031,N('2031'!D154),IF(A1941=2032,N('2032'!D154),IF(A1941=2033,N('2033'!D154),IF(A1941=2034,N('2034'!D154),IFERROR(N(INDIRECT("'"&amp;A1941&amp;"'!D"&amp;G1941)),0))))))))))))</f>
        <v>0</v>
      </c>
      <c r="M1941" s="36">
        <f>IFERROR(IF(NOT(ISBLANK(KPI_TARGETS!$O$6)),KPI_TARGETS!$O$6,IF(NOT(ISBLANK(KPI_TARGETS!$F$6)),KPI_TARGETS!$F$6,"")),"")</f>
        <v>4000</v>
      </c>
      <c r="N1941" s="36" t="str">
        <f>IFERROR(KPI_TARGETS!$E$6,"Higher is better")</f>
        <v>Higher is better</v>
      </c>
      <c r="O1941" s="37">
        <f t="shared" ca="1" si="180"/>
        <v>0</v>
      </c>
      <c r="P1941" t="str">
        <f t="shared" ca="1" si="181"/>
        <v>Red</v>
      </c>
      <c r="Q1941" s="36">
        <f t="shared" ca="1" si="182"/>
        <v>-4000</v>
      </c>
      <c r="R1941" s="36" t="str">
        <f>""</f>
        <v/>
      </c>
      <c r="S1941" s="36" t="str">
        <f>""</f>
        <v/>
      </c>
      <c r="T1941" s="36" t="str">
        <f>""</f>
        <v/>
      </c>
      <c r="U1941" s="36" t="str">
        <f>""</f>
        <v/>
      </c>
      <c r="V1941" s="36" t="str">
        <f>""</f>
        <v/>
      </c>
      <c r="W1941" s="36">
        <f t="shared" si="183"/>
        <v>1</v>
      </c>
      <c r="X1941" t="str">
        <f t="shared" si="184"/>
        <v>Inactive</v>
      </c>
      <c r="Y1941" t="str">
        <f>IF(MAIN!$H$3="Selected Year",IF(A1941=MAIN!$B$3,"Yes","No"),IF(MAIN!$H$3="Included Years",IF(D1941="Yes","Yes","No"),IF(C1941="Yes","Yes","No")))</f>
        <v>No</v>
      </c>
      <c r="Z1941" t="str">
        <f>IF(MAIN!$F$3="Project to Date",IF(AND(A1941&gt;=SETTINGS!$B$4,A1941&lt;MAIN!$B$3),"Yes",IF(AND(A1941=MAIN!$B$3,E1941&lt;=MAIN!$L$3),"Yes","No")),IF(OR(MAIN!$F$3="Full Year",MAIN!$D$3="All"),"Yes",IF(MAIN!$F$3="Monthly",IF(E1941=MAIN!$L$3,"Yes","No"),IF(E1941&lt;=MAIN!$L$3,"Yes","No"))))</f>
        <v>Yes</v>
      </c>
      <c r="AA1941" t="str">
        <f t="shared" si="185"/>
        <v>No</v>
      </c>
    </row>
    <row r="1942" spans="1:27" x14ac:dyDescent="0.3">
      <c r="A1942">
        <f>INDEX(SETTINGS!$A$15:$A$24,$B1942)</f>
        <v>2033</v>
      </c>
      <c r="B1942">
        <v>9</v>
      </c>
      <c r="C1942" t="str">
        <f>IF(AND(A1942&gt;=SETTINGS!$B$4,A1942&lt;=SETTINGS!$B$5),"Yes","No")</f>
        <v>No</v>
      </c>
      <c r="D1942" t="str">
        <f>IFERROR(INDEX(SETTINGS!$C$15:$C$24,MATCH(A1942,SETTINGS!$A$15:$A$24,0)),"No")</f>
        <v>No</v>
      </c>
      <c r="E1942">
        <v>7</v>
      </c>
      <c r="F1942" t="s">
        <v>40</v>
      </c>
      <c r="G1942">
        <v>155</v>
      </c>
      <c r="H1942" t="s">
        <v>93</v>
      </c>
      <c r="I1942" t="s">
        <v>89</v>
      </c>
      <c r="J1942" t="s">
        <v>13</v>
      </c>
      <c r="K1942" t="s">
        <v>14</v>
      </c>
      <c r="L1942" s="36">
        <f ca="1">IF(C1942&lt;&gt;"Yes",0,IF(A1942=2025,N('2025'!D155),IF(A1942=2026,N('2026'!D155),IF(A1942=2027,N('2027'!D155),IF(A1942=2028,N('2028'!D155),IF(A1942=2029,N('2029'!D155),IF(A1942=2030,N('2030'!D155),IF(A1942=2031,N('2031'!D155),IF(A1942=2032,N('2032'!D155),IF(A1942=2033,N('2033'!D155),IF(A1942=2034,N('2034'!D155),IFERROR(N(INDIRECT("'"&amp;A1942&amp;"'!D"&amp;G1942)),0))))))))))))</f>
        <v>0</v>
      </c>
      <c r="M1942" s="36">
        <f>IFERROR(IF(NOT(ISBLANK(KPI_TARGETS!$O$7)),KPI_TARGETS!$O$7,IF(NOT(ISBLANK(KPI_TARGETS!$F$7)),KPI_TARGETS!$F$7,"")),"")</f>
        <v>8000</v>
      </c>
      <c r="N1942" s="36" t="str">
        <f>IFERROR(KPI_TARGETS!$E$7,"Higher is better")</f>
        <v>Higher is better</v>
      </c>
      <c r="O1942" s="37">
        <f t="shared" ca="1" si="180"/>
        <v>0</v>
      </c>
      <c r="P1942" t="str">
        <f t="shared" ca="1" si="181"/>
        <v>Red</v>
      </c>
      <c r="Q1942" s="36">
        <f t="shared" ca="1" si="182"/>
        <v>-8000</v>
      </c>
      <c r="R1942" s="36" t="str">
        <f>""</f>
        <v/>
      </c>
      <c r="S1942" s="36" t="str">
        <f>""</f>
        <v/>
      </c>
      <c r="T1942" s="36" t="str">
        <f>""</f>
        <v/>
      </c>
      <c r="U1942" s="36" t="str">
        <f>""</f>
        <v/>
      </c>
      <c r="V1942" s="36" t="str">
        <f>""</f>
        <v/>
      </c>
      <c r="W1942" s="36">
        <f t="shared" si="183"/>
        <v>1</v>
      </c>
      <c r="X1942" t="str">
        <f t="shared" si="184"/>
        <v>Inactive</v>
      </c>
      <c r="Y1942" t="str">
        <f>IF(MAIN!$H$3="Selected Year",IF(A1942=MAIN!$B$3,"Yes","No"),IF(MAIN!$H$3="Included Years",IF(D1942="Yes","Yes","No"),IF(C1942="Yes","Yes","No")))</f>
        <v>No</v>
      </c>
      <c r="Z1942" t="str">
        <f>IF(MAIN!$F$3="Project to Date",IF(AND(A1942&gt;=SETTINGS!$B$4,A1942&lt;MAIN!$B$3),"Yes",IF(AND(A1942=MAIN!$B$3,E1942&lt;=MAIN!$L$3),"Yes","No")),IF(OR(MAIN!$F$3="Full Year",MAIN!$D$3="All"),"Yes",IF(MAIN!$F$3="Monthly",IF(E1942=MAIN!$L$3,"Yes","No"),IF(E1942&lt;=MAIN!$L$3,"Yes","No"))))</f>
        <v>Yes</v>
      </c>
      <c r="AA1942" t="str">
        <f t="shared" si="185"/>
        <v>No</v>
      </c>
    </row>
    <row r="1943" spans="1:27" x14ac:dyDescent="0.3">
      <c r="A1943">
        <f>INDEX(SETTINGS!$A$15:$A$24,$B1943)</f>
        <v>2033</v>
      </c>
      <c r="B1943">
        <v>9</v>
      </c>
      <c r="C1943" t="str">
        <f>IF(AND(A1943&gt;=SETTINGS!$B$4,A1943&lt;=SETTINGS!$B$5),"Yes","No")</f>
        <v>No</v>
      </c>
      <c r="D1943" t="str">
        <f>IFERROR(INDEX(SETTINGS!$C$15:$C$24,MATCH(A1943,SETTINGS!$A$15:$A$24,0)),"No")</f>
        <v>No</v>
      </c>
      <c r="E1943">
        <v>7</v>
      </c>
      <c r="F1943" t="s">
        <v>40</v>
      </c>
      <c r="G1943">
        <v>157</v>
      </c>
      <c r="H1943" t="s">
        <v>95</v>
      </c>
      <c r="I1943" t="s">
        <v>15</v>
      </c>
      <c r="J1943" t="s">
        <v>16</v>
      </c>
      <c r="K1943" t="s">
        <v>3</v>
      </c>
      <c r="L1943" s="36">
        <f ca="1">IF(C1943&lt;&gt;"Yes",0,IF(A1943=2025,N('2025'!D157),IF(A1943=2026,N('2026'!D157),IF(A1943=2027,N('2027'!D157),IF(A1943=2028,N('2028'!D157),IF(A1943=2029,N('2029'!D157),IF(A1943=2030,N('2030'!D157),IF(A1943=2031,N('2031'!D157),IF(A1943=2032,N('2032'!D157),IF(A1943=2033,N('2033'!D157),IF(A1943=2034,N('2034'!D157),IFERROR(N(INDIRECT("'"&amp;A1943&amp;"'!D"&amp;G1943)),0))))))))))))</f>
        <v>0</v>
      </c>
      <c r="M1943" s="36">
        <f>IFERROR(IF(NOT(ISBLANK(KPI_TARGETS!$O$8)),KPI_TARGETS!$O$8,IF(NOT(ISBLANK(KPI_TARGETS!$F$8)),KPI_TARGETS!$F$8,"")),"")</f>
        <v>0</v>
      </c>
      <c r="N1943" s="36" t="str">
        <f>IFERROR(KPI_TARGETS!$E$8,"Higher is better")</f>
        <v>Lower is better</v>
      </c>
      <c r="O1943" s="37">
        <f t="shared" ca="1" si="180"/>
        <v>1</v>
      </c>
      <c r="P1943" t="str">
        <f t="shared" ca="1" si="181"/>
        <v>Green</v>
      </c>
      <c r="Q1943" s="36">
        <f t="shared" ca="1" si="182"/>
        <v>0</v>
      </c>
      <c r="R1943" s="36" t="str">
        <f>""</f>
        <v/>
      </c>
      <c r="S1943" s="36" t="str">
        <f>""</f>
        <v/>
      </c>
      <c r="T1943" s="36" t="str">
        <f>""</f>
        <v/>
      </c>
      <c r="U1943" s="36" t="str">
        <f>""</f>
        <v/>
      </c>
      <c r="V1943" s="36" t="str">
        <f>""</f>
        <v/>
      </c>
      <c r="W1943" s="36">
        <f t="shared" si="183"/>
        <v>1</v>
      </c>
      <c r="X1943" t="str">
        <f t="shared" si="184"/>
        <v>Inactive</v>
      </c>
      <c r="Y1943" t="str">
        <f>IF(MAIN!$H$3="Selected Year",IF(A1943=MAIN!$B$3,"Yes","No"),IF(MAIN!$H$3="Included Years",IF(D1943="Yes","Yes","No"),IF(C1943="Yes","Yes","No")))</f>
        <v>No</v>
      </c>
      <c r="Z1943" t="str">
        <f>IF(MAIN!$F$3="Project to Date",IF(AND(A1943&gt;=SETTINGS!$B$4,A1943&lt;MAIN!$B$3),"Yes",IF(AND(A1943=MAIN!$B$3,E1943&lt;=MAIN!$L$3),"Yes","No")),IF(OR(MAIN!$F$3="Full Year",MAIN!$D$3="All"),"Yes",IF(MAIN!$F$3="Monthly",IF(E1943=MAIN!$L$3,"Yes","No"),IF(E1943&lt;=MAIN!$L$3,"Yes","No"))))</f>
        <v>Yes</v>
      </c>
      <c r="AA1943" t="str">
        <f t="shared" si="185"/>
        <v>No</v>
      </c>
    </row>
    <row r="1944" spans="1:27" x14ac:dyDescent="0.3">
      <c r="A1944">
        <f>INDEX(SETTINGS!$A$15:$A$24,$B1944)</f>
        <v>2033</v>
      </c>
      <c r="B1944">
        <v>9</v>
      </c>
      <c r="C1944" t="str">
        <f>IF(AND(A1944&gt;=SETTINGS!$B$4,A1944&lt;=SETTINGS!$B$5),"Yes","No")</f>
        <v>No</v>
      </c>
      <c r="D1944" t="str">
        <f>IFERROR(INDEX(SETTINGS!$C$15:$C$24,MATCH(A1944,SETTINGS!$A$15:$A$24,0)),"No")</f>
        <v>No</v>
      </c>
      <c r="E1944">
        <v>7</v>
      </c>
      <c r="F1944" t="s">
        <v>40</v>
      </c>
      <c r="G1944">
        <v>158</v>
      </c>
      <c r="H1944" t="s">
        <v>97</v>
      </c>
      <c r="I1944" t="s">
        <v>15</v>
      </c>
      <c r="J1944" t="s">
        <v>17</v>
      </c>
      <c r="K1944" t="s">
        <v>3</v>
      </c>
      <c r="L1944" s="36">
        <f ca="1">IF(C1944&lt;&gt;"Yes",0,IF(A1944=2025,N('2025'!D158),IF(A1944=2026,N('2026'!D158),IF(A1944=2027,N('2027'!D158),IF(A1944=2028,N('2028'!D158),IF(A1944=2029,N('2029'!D158),IF(A1944=2030,N('2030'!D158),IF(A1944=2031,N('2031'!D158),IF(A1944=2032,N('2032'!D158),IF(A1944=2033,N('2033'!D158),IF(A1944=2034,N('2034'!D158),IFERROR(N(INDIRECT("'"&amp;A1944&amp;"'!D"&amp;G1944)),0))))))))))))</f>
        <v>0</v>
      </c>
      <c r="M1944" s="36">
        <f>IFERROR(IF(NOT(ISBLANK(KPI_TARGETS!$O$9)),KPI_TARGETS!$O$9,IF(NOT(ISBLANK(KPI_TARGETS!$F$9)),KPI_TARGETS!$F$9,"")),"")</f>
        <v>0</v>
      </c>
      <c r="N1944" s="36" t="str">
        <f>IFERROR(KPI_TARGETS!$E$9,"Higher is better")</f>
        <v>Higher is better</v>
      </c>
      <c r="O1944" s="37" t="str">
        <f t="shared" ca="1" si="180"/>
        <v/>
      </c>
      <c r="P1944" t="str">
        <f t="shared" ca="1" si="181"/>
        <v>Green</v>
      </c>
      <c r="Q1944" s="36">
        <f t="shared" ca="1" si="182"/>
        <v>0</v>
      </c>
      <c r="R1944" s="36" t="str">
        <f>""</f>
        <v/>
      </c>
      <c r="S1944" s="36" t="str">
        <f>""</f>
        <v/>
      </c>
      <c r="T1944" s="36" t="str">
        <f>""</f>
        <v/>
      </c>
      <c r="U1944" s="36" t="str">
        <f>""</f>
        <v/>
      </c>
      <c r="V1944" s="36" t="str">
        <f>""</f>
        <v/>
      </c>
      <c r="W1944" s="36">
        <f t="shared" si="183"/>
        <v>1</v>
      </c>
      <c r="X1944" t="str">
        <f t="shared" si="184"/>
        <v>Inactive</v>
      </c>
      <c r="Y1944" t="str">
        <f>IF(MAIN!$H$3="Selected Year",IF(A1944=MAIN!$B$3,"Yes","No"),IF(MAIN!$H$3="Included Years",IF(D1944="Yes","Yes","No"),IF(C1944="Yes","Yes","No")))</f>
        <v>No</v>
      </c>
      <c r="Z1944" t="str">
        <f>IF(MAIN!$F$3="Project to Date",IF(AND(A1944&gt;=SETTINGS!$B$4,A1944&lt;MAIN!$B$3),"Yes",IF(AND(A1944=MAIN!$B$3,E1944&lt;=MAIN!$L$3),"Yes","No")),IF(OR(MAIN!$F$3="Full Year",MAIN!$D$3="All"),"Yes",IF(MAIN!$F$3="Monthly",IF(E1944=MAIN!$L$3,"Yes","No"),IF(E1944&lt;=MAIN!$L$3,"Yes","No"))))</f>
        <v>Yes</v>
      </c>
      <c r="AA1944" t="str">
        <f t="shared" si="185"/>
        <v>No</v>
      </c>
    </row>
    <row r="1945" spans="1:27" x14ac:dyDescent="0.3">
      <c r="A1945">
        <f>INDEX(SETTINGS!$A$15:$A$24,$B1945)</f>
        <v>2033</v>
      </c>
      <c r="B1945">
        <v>9</v>
      </c>
      <c r="C1945" t="str">
        <f>IF(AND(A1945&gt;=SETTINGS!$B$4,A1945&lt;=SETTINGS!$B$5),"Yes","No")</f>
        <v>No</v>
      </c>
      <c r="D1945" t="str">
        <f>IFERROR(INDEX(SETTINGS!$C$15:$C$24,MATCH(A1945,SETTINGS!$A$15:$A$24,0)),"No")</f>
        <v>No</v>
      </c>
      <c r="E1945">
        <v>7</v>
      </c>
      <c r="F1945" t="s">
        <v>40</v>
      </c>
      <c r="G1945">
        <v>159</v>
      </c>
      <c r="H1945" t="s">
        <v>99</v>
      </c>
      <c r="I1945" t="s">
        <v>15</v>
      </c>
      <c r="J1945" t="s">
        <v>18</v>
      </c>
      <c r="K1945" t="s">
        <v>3</v>
      </c>
      <c r="L1945" s="36">
        <f ca="1">IF(C1945&lt;&gt;"Yes",0,IF(A1945=2025,N('2025'!D159),IF(A1945=2026,N('2026'!D159),IF(A1945=2027,N('2027'!D159),IF(A1945=2028,N('2028'!D159),IF(A1945=2029,N('2029'!D159),IF(A1945=2030,N('2030'!D159),IF(A1945=2031,N('2031'!D159),IF(A1945=2032,N('2032'!D159),IF(A1945=2033,N('2033'!D159),IF(A1945=2034,N('2034'!D159),IFERROR(N(INDIRECT("'"&amp;A1945&amp;"'!D"&amp;G1945)),0))))))))))))</f>
        <v>0</v>
      </c>
      <c r="M1945" s="36">
        <f>IFERROR(IF(NOT(ISBLANK(KPI_TARGETS!$O$10)),KPI_TARGETS!$O$10,IF(NOT(ISBLANK(KPI_TARGETS!$F$10)),KPI_TARGETS!$F$10,"")),"")</f>
        <v>0</v>
      </c>
      <c r="N1945" s="36" t="str">
        <f>IFERROR(KPI_TARGETS!$E$10,"Higher is better")</f>
        <v>Lower is better</v>
      </c>
      <c r="O1945" s="37">
        <f t="shared" ca="1" si="180"/>
        <v>1</v>
      </c>
      <c r="P1945" t="str">
        <f t="shared" ca="1" si="181"/>
        <v>Green</v>
      </c>
      <c r="Q1945" s="36">
        <f t="shared" ca="1" si="182"/>
        <v>0</v>
      </c>
      <c r="R1945" s="36" t="str">
        <f>""</f>
        <v/>
      </c>
      <c r="S1945" s="36" t="str">
        <f>""</f>
        <v/>
      </c>
      <c r="T1945" s="36" t="str">
        <f>""</f>
        <v/>
      </c>
      <c r="U1945" s="36" t="str">
        <f>""</f>
        <v/>
      </c>
      <c r="V1945" s="36" t="str">
        <f>""</f>
        <v/>
      </c>
      <c r="W1945" s="36">
        <f t="shared" si="183"/>
        <v>1</v>
      </c>
      <c r="X1945" t="str">
        <f t="shared" si="184"/>
        <v>Inactive</v>
      </c>
      <c r="Y1945" t="str">
        <f>IF(MAIN!$H$3="Selected Year",IF(A1945=MAIN!$B$3,"Yes","No"),IF(MAIN!$H$3="Included Years",IF(D1945="Yes","Yes","No"),IF(C1945="Yes","Yes","No")))</f>
        <v>No</v>
      </c>
      <c r="Z1945" t="str">
        <f>IF(MAIN!$F$3="Project to Date",IF(AND(A1945&gt;=SETTINGS!$B$4,A1945&lt;MAIN!$B$3),"Yes",IF(AND(A1945=MAIN!$B$3,E1945&lt;=MAIN!$L$3),"Yes","No")),IF(OR(MAIN!$F$3="Full Year",MAIN!$D$3="All"),"Yes",IF(MAIN!$F$3="Monthly",IF(E1945=MAIN!$L$3,"Yes","No"),IF(E1945&lt;=MAIN!$L$3,"Yes","No"))))</f>
        <v>Yes</v>
      </c>
      <c r="AA1945" t="str">
        <f t="shared" si="185"/>
        <v>No</v>
      </c>
    </row>
    <row r="1946" spans="1:27" x14ac:dyDescent="0.3">
      <c r="A1946">
        <f>INDEX(SETTINGS!$A$15:$A$24,$B1946)</f>
        <v>2033</v>
      </c>
      <c r="B1946">
        <v>9</v>
      </c>
      <c r="C1946" t="str">
        <f>IF(AND(A1946&gt;=SETTINGS!$B$4,A1946&lt;=SETTINGS!$B$5),"Yes","No")</f>
        <v>No</v>
      </c>
      <c r="D1946" t="str">
        <f>IFERROR(INDEX(SETTINGS!$C$15:$C$24,MATCH(A1946,SETTINGS!$A$15:$A$24,0)),"No")</f>
        <v>No</v>
      </c>
      <c r="E1946">
        <v>7</v>
      </c>
      <c r="F1946" t="s">
        <v>40</v>
      </c>
      <c r="G1946">
        <v>160</v>
      </c>
      <c r="H1946" t="s">
        <v>100</v>
      </c>
      <c r="I1946" t="s">
        <v>15</v>
      </c>
      <c r="J1946" t="s">
        <v>19</v>
      </c>
      <c r="K1946" t="s">
        <v>3</v>
      </c>
      <c r="L1946" s="36">
        <f ca="1">IF(C1946&lt;&gt;"Yes",0,IF(A1946=2025,N('2025'!D160),IF(A1946=2026,N('2026'!D160),IF(A1946=2027,N('2027'!D160),IF(A1946=2028,N('2028'!D160),IF(A1946=2029,N('2029'!D160),IF(A1946=2030,N('2030'!D160),IF(A1946=2031,N('2031'!D160),IF(A1946=2032,N('2032'!D160),IF(A1946=2033,N('2033'!D160),IF(A1946=2034,N('2034'!D160),IFERROR(N(INDIRECT("'"&amp;A1946&amp;"'!D"&amp;G1946)),0))))))))))))</f>
        <v>0</v>
      </c>
      <c r="M1946" s="36">
        <f>IFERROR(IF(NOT(ISBLANK(KPI_TARGETS!$O$11)),KPI_TARGETS!$O$11,IF(NOT(ISBLANK(KPI_TARGETS!$F$11)),KPI_TARGETS!$F$11,"")),"")</f>
        <v>0</v>
      </c>
      <c r="N1946" s="36" t="str">
        <f>IFERROR(KPI_TARGETS!$E$11,"Higher is better")</f>
        <v>Lower is better</v>
      </c>
      <c r="O1946" s="37">
        <f t="shared" ca="1" si="180"/>
        <v>1</v>
      </c>
      <c r="P1946" t="str">
        <f t="shared" ca="1" si="181"/>
        <v>Green</v>
      </c>
      <c r="Q1946" s="36">
        <f t="shared" ca="1" si="182"/>
        <v>0</v>
      </c>
      <c r="R1946" s="36" t="str">
        <f>""</f>
        <v/>
      </c>
      <c r="S1946" s="36" t="str">
        <f>""</f>
        <v/>
      </c>
      <c r="T1946" s="36" t="str">
        <f>""</f>
        <v/>
      </c>
      <c r="U1946" s="36" t="str">
        <f>""</f>
        <v/>
      </c>
      <c r="V1946" s="36" t="str">
        <f>""</f>
        <v/>
      </c>
      <c r="W1946" s="36">
        <f t="shared" si="183"/>
        <v>1</v>
      </c>
      <c r="X1946" t="str">
        <f t="shared" si="184"/>
        <v>Inactive</v>
      </c>
      <c r="Y1946" t="str">
        <f>IF(MAIN!$H$3="Selected Year",IF(A1946=MAIN!$B$3,"Yes","No"),IF(MAIN!$H$3="Included Years",IF(D1946="Yes","Yes","No"),IF(C1946="Yes","Yes","No")))</f>
        <v>No</v>
      </c>
      <c r="Z1946" t="str">
        <f>IF(MAIN!$F$3="Project to Date",IF(AND(A1946&gt;=SETTINGS!$B$4,A1946&lt;MAIN!$B$3),"Yes",IF(AND(A1946=MAIN!$B$3,E1946&lt;=MAIN!$L$3),"Yes","No")),IF(OR(MAIN!$F$3="Full Year",MAIN!$D$3="All"),"Yes",IF(MAIN!$F$3="Monthly",IF(E1946=MAIN!$L$3,"Yes","No"),IF(E1946&lt;=MAIN!$L$3,"Yes","No"))))</f>
        <v>Yes</v>
      </c>
      <c r="AA1946" t="str">
        <f t="shared" si="185"/>
        <v>No</v>
      </c>
    </row>
    <row r="1947" spans="1:27" x14ac:dyDescent="0.3">
      <c r="A1947">
        <f>INDEX(SETTINGS!$A$15:$A$24,$B1947)</f>
        <v>2033</v>
      </c>
      <c r="B1947">
        <v>9</v>
      </c>
      <c r="C1947" t="str">
        <f>IF(AND(A1947&gt;=SETTINGS!$B$4,A1947&lt;=SETTINGS!$B$5),"Yes","No")</f>
        <v>No</v>
      </c>
      <c r="D1947" t="str">
        <f>IFERROR(INDEX(SETTINGS!$C$15:$C$24,MATCH(A1947,SETTINGS!$A$15:$A$24,0)),"No")</f>
        <v>No</v>
      </c>
      <c r="E1947">
        <v>7</v>
      </c>
      <c r="F1947" t="s">
        <v>40</v>
      </c>
      <c r="G1947">
        <v>161</v>
      </c>
      <c r="H1947" t="s">
        <v>101</v>
      </c>
      <c r="I1947" t="s">
        <v>15</v>
      </c>
      <c r="J1947" t="s">
        <v>20</v>
      </c>
      <c r="K1947" t="s">
        <v>3</v>
      </c>
      <c r="L1947" s="36">
        <f ca="1">IF(C1947&lt;&gt;"Yes",0,IF(A1947=2025,N('2025'!D161),IF(A1947=2026,N('2026'!D161),IF(A1947=2027,N('2027'!D161),IF(A1947=2028,N('2028'!D161),IF(A1947=2029,N('2029'!D161),IF(A1947=2030,N('2030'!D161),IF(A1947=2031,N('2031'!D161),IF(A1947=2032,N('2032'!D161),IF(A1947=2033,N('2033'!D161),IF(A1947=2034,N('2034'!D161),IFERROR(N(INDIRECT("'"&amp;A1947&amp;"'!D"&amp;G1947)),0))))))))))))</f>
        <v>0</v>
      </c>
      <c r="M1947" s="36">
        <f>IFERROR(IF(NOT(ISBLANK(KPI_TARGETS!$O$12)),KPI_TARGETS!$O$12,IF(NOT(ISBLANK(KPI_TARGETS!$F$12)),KPI_TARGETS!$F$12,"")),"")</f>
        <v>0</v>
      </c>
      <c r="N1947" s="36" t="str">
        <f>IFERROR(KPI_TARGETS!$E$12,"Higher is better")</f>
        <v>Lower is better</v>
      </c>
      <c r="O1947" s="37">
        <f t="shared" ca="1" si="180"/>
        <v>1</v>
      </c>
      <c r="P1947" t="str">
        <f t="shared" ca="1" si="181"/>
        <v>Green</v>
      </c>
      <c r="Q1947" s="36">
        <f t="shared" ca="1" si="182"/>
        <v>0</v>
      </c>
      <c r="R1947" s="36" t="str">
        <f>""</f>
        <v/>
      </c>
      <c r="S1947" s="36" t="str">
        <f>""</f>
        <v/>
      </c>
      <c r="T1947" s="36" t="str">
        <f>""</f>
        <v/>
      </c>
      <c r="U1947" s="36" t="str">
        <f>""</f>
        <v/>
      </c>
      <c r="V1947" s="36" t="str">
        <f>""</f>
        <v/>
      </c>
      <c r="W1947" s="36">
        <f t="shared" si="183"/>
        <v>1</v>
      </c>
      <c r="X1947" t="str">
        <f t="shared" si="184"/>
        <v>Inactive</v>
      </c>
      <c r="Y1947" t="str">
        <f>IF(MAIN!$H$3="Selected Year",IF(A1947=MAIN!$B$3,"Yes","No"),IF(MAIN!$H$3="Included Years",IF(D1947="Yes","Yes","No"),IF(C1947="Yes","Yes","No")))</f>
        <v>No</v>
      </c>
      <c r="Z1947" t="str">
        <f>IF(MAIN!$F$3="Project to Date",IF(AND(A1947&gt;=SETTINGS!$B$4,A1947&lt;MAIN!$B$3),"Yes",IF(AND(A1947=MAIN!$B$3,E1947&lt;=MAIN!$L$3),"Yes","No")),IF(OR(MAIN!$F$3="Full Year",MAIN!$D$3="All"),"Yes",IF(MAIN!$F$3="Monthly",IF(E1947=MAIN!$L$3,"Yes","No"),IF(E1947&lt;=MAIN!$L$3,"Yes","No"))))</f>
        <v>Yes</v>
      </c>
      <c r="AA1947" t="str">
        <f t="shared" si="185"/>
        <v>No</v>
      </c>
    </row>
    <row r="1948" spans="1:27" x14ac:dyDescent="0.3">
      <c r="A1948">
        <f>INDEX(SETTINGS!$A$15:$A$24,$B1948)</f>
        <v>2033</v>
      </c>
      <c r="B1948">
        <v>9</v>
      </c>
      <c r="C1948" t="str">
        <f>IF(AND(A1948&gt;=SETTINGS!$B$4,A1948&lt;=SETTINGS!$B$5),"Yes","No")</f>
        <v>No</v>
      </c>
      <c r="D1948" t="str">
        <f>IFERROR(INDEX(SETTINGS!$C$15:$C$24,MATCH(A1948,SETTINGS!$A$15:$A$24,0)),"No")</f>
        <v>No</v>
      </c>
      <c r="E1948">
        <v>7</v>
      </c>
      <c r="F1948" t="s">
        <v>40</v>
      </c>
      <c r="G1948">
        <v>162</v>
      </c>
      <c r="H1948" t="s">
        <v>102</v>
      </c>
      <c r="I1948" t="s">
        <v>15</v>
      </c>
      <c r="J1948" t="s">
        <v>21</v>
      </c>
      <c r="K1948" t="s">
        <v>3</v>
      </c>
      <c r="L1948" s="36">
        <f ca="1">IF(C1948&lt;&gt;"Yes",0,IF(A1948=2025,N('2025'!D162),IF(A1948=2026,N('2026'!D162),IF(A1948=2027,N('2027'!D162),IF(A1948=2028,N('2028'!D162),IF(A1948=2029,N('2029'!D162),IF(A1948=2030,N('2030'!D162),IF(A1948=2031,N('2031'!D162),IF(A1948=2032,N('2032'!D162),IF(A1948=2033,N('2033'!D162),IF(A1948=2034,N('2034'!D162),IFERROR(N(INDIRECT("'"&amp;A1948&amp;"'!D"&amp;G1948)),0))))))))))))</f>
        <v>0</v>
      </c>
      <c r="M1948" s="36">
        <f>IFERROR(IF(NOT(ISBLANK(KPI_TARGETS!$O$13)),KPI_TARGETS!$O$13,IF(NOT(ISBLANK(KPI_TARGETS!$F$13)),KPI_TARGETS!$F$13,"")),"")</f>
        <v>0</v>
      </c>
      <c r="N1948" s="36" t="str">
        <f>IFERROR(KPI_TARGETS!$E$13,"Higher is better")</f>
        <v>Lower is better</v>
      </c>
      <c r="O1948" s="37">
        <f t="shared" ca="1" si="180"/>
        <v>1</v>
      </c>
      <c r="P1948" t="str">
        <f t="shared" ca="1" si="181"/>
        <v>Green</v>
      </c>
      <c r="Q1948" s="36">
        <f t="shared" ca="1" si="182"/>
        <v>0</v>
      </c>
      <c r="R1948" s="36" t="str">
        <f>""</f>
        <v/>
      </c>
      <c r="S1948" s="36" t="str">
        <f>""</f>
        <v/>
      </c>
      <c r="T1948" s="36" t="str">
        <f>""</f>
        <v/>
      </c>
      <c r="U1948" s="36" t="str">
        <f>""</f>
        <v/>
      </c>
      <c r="V1948" s="36" t="str">
        <f>""</f>
        <v/>
      </c>
      <c r="W1948" s="36">
        <f t="shared" si="183"/>
        <v>1</v>
      </c>
      <c r="X1948" t="str">
        <f t="shared" si="184"/>
        <v>Inactive</v>
      </c>
      <c r="Y1948" t="str">
        <f>IF(MAIN!$H$3="Selected Year",IF(A1948=MAIN!$B$3,"Yes","No"),IF(MAIN!$H$3="Included Years",IF(D1948="Yes","Yes","No"),IF(C1948="Yes","Yes","No")))</f>
        <v>No</v>
      </c>
      <c r="Z1948" t="str">
        <f>IF(MAIN!$F$3="Project to Date",IF(AND(A1948&gt;=SETTINGS!$B$4,A1948&lt;MAIN!$B$3),"Yes",IF(AND(A1948=MAIN!$B$3,E1948&lt;=MAIN!$L$3),"Yes","No")),IF(OR(MAIN!$F$3="Full Year",MAIN!$D$3="All"),"Yes",IF(MAIN!$F$3="Monthly",IF(E1948=MAIN!$L$3,"Yes","No"),IF(E1948&lt;=MAIN!$L$3,"Yes","No"))))</f>
        <v>Yes</v>
      </c>
      <c r="AA1948" t="str">
        <f t="shared" si="185"/>
        <v>No</v>
      </c>
    </row>
    <row r="1949" spans="1:27" x14ac:dyDescent="0.3">
      <c r="A1949">
        <f>INDEX(SETTINGS!$A$15:$A$24,$B1949)</f>
        <v>2033</v>
      </c>
      <c r="B1949">
        <v>9</v>
      </c>
      <c r="C1949" t="str">
        <f>IF(AND(A1949&gt;=SETTINGS!$B$4,A1949&lt;=SETTINGS!$B$5),"Yes","No")</f>
        <v>No</v>
      </c>
      <c r="D1949" t="str">
        <f>IFERROR(INDEX(SETTINGS!$C$15:$C$24,MATCH(A1949,SETTINGS!$A$15:$A$24,0)),"No")</f>
        <v>No</v>
      </c>
      <c r="E1949">
        <v>7</v>
      </c>
      <c r="F1949" t="s">
        <v>40</v>
      </c>
      <c r="G1949">
        <v>164</v>
      </c>
      <c r="H1949" t="s">
        <v>103</v>
      </c>
      <c r="I1949" t="s">
        <v>22</v>
      </c>
      <c r="J1949" t="s">
        <v>23</v>
      </c>
      <c r="K1949" t="s">
        <v>3</v>
      </c>
      <c r="L1949" s="36">
        <f ca="1">IF(C1949&lt;&gt;"Yes",0,IF(A1949=2025,N('2025'!D164),IF(A1949=2026,N('2026'!D164),IF(A1949=2027,N('2027'!D164),IF(A1949=2028,N('2028'!D164),IF(A1949=2029,N('2029'!D164),IF(A1949=2030,N('2030'!D164),IF(A1949=2031,N('2031'!D164),IF(A1949=2032,N('2032'!D164),IF(A1949=2033,N('2033'!D164),IF(A1949=2034,N('2034'!D164),IFERROR(N(INDIRECT("'"&amp;A1949&amp;"'!D"&amp;G1949)),0))))))))))))</f>
        <v>0</v>
      </c>
      <c r="M1949" s="36">
        <f>IFERROR(IF(NOT(ISBLANK(KPI_TARGETS!$O$14)),KPI_TARGETS!$O$14,IF(NOT(ISBLANK(KPI_TARGETS!$F$14)),KPI_TARGETS!$F$14,"")),"")</f>
        <v>35</v>
      </c>
      <c r="N1949" s="36" t="str">
        <f>IFERROR(KPI_TARGETS!$E$14,"Higher is better")</f>
        <v>Higher is better</v>
      </c>
      <c r="O1949" s="37">
        <f t="shared" ca="1" si="180"/>
        <v>0</v>
      </c>
      <c r="P1949" t="str">
        <f t="shared" ca="1" si="181"/>
        <v>Red</v>
      </c>
      <c r="Q1949" s="36">
        <f t="shared" ca="1" si="182"/>
        <v>-35</v>
      </c>
      <c r="R1949" s="36" t="str">
        <f>""</f>
        <v/>
      </c>
      <c r="S1949" s="36" t="str">
        <f>""</f>
        <v/>
      </c>
      <c r="T1949" s="36" t="str">
        <f>""</f>
        <v/>
      </c>
      <c r="U1949" s="36" t="str">
        <f>""</f>
        <v/>
      </c>
      <c r="V1949" s="36" t="str">
        <f>""</f>
        <v/>
      </c>
      <c r="W1949" s="36">
        <f t="shared" si="183"/>
        <v>1</v>
      </c>
      <c r="X1949" t="str">
        <f t="shared" si="184"/>
        <v>Inactive</v>
      </c>
      <c r="Y1949" t="str">
        <f>IF(MAIN!$H$3="Selected Year",IF(A1949=MAIN!$B$3,"Yes","No"),IF(MAIN!$H$3="Included Years",IF(D1949="Yes","Yes","No"),IF(C1949="Yes","Yes","No")))</f>
        <v>No</v>
      </c>
      <c r="Z1949" t="str">
        <f>IF(MAIN!$F$3="Project to Date",IF(AND(A1949&gt;=SETTINGS!$B$4,A1949&lt;MAIN!$B$3),"Yes",IF(AND(A1949=MAIN!$B$3,E1949&lt;=MAIN!$L$3),"Yes","No")),IF(OR(MAIN!$F$3="Full Year",MAIN!$D$3="All"),"Yes",IF(MAIN!$F$3="Monthly",IF(E1949=MAIN!$L$3,"Yes","No"),IF(E1949&lt;=MAIN!$L$3,"Yes","No"))))</f>
        <v>Yes</v>
      </c>
      <c r="AA1949" t="str">
        <f t="shared" si="185"/>
        <v>No</v>
      </c>
    </row>
    <row r="1950" spans="1:27" x14ac:dyDescent="0.3">
      <c r="A1950">
        <f>INDEX(SETTINGS!$A$15:$A$24,$B1950)</f>
        <v>2033</v>
      </c>
      <c r="B1950">
        <v>9</v>
      </c>
      <c r="C1950" t="str">
        <f>IF(AND(A1950&gt;=SETTINGS!$B$4,A1950&lt;=SETTINGS!$B$5),"Yes","No")</f>
        <v>No</v>
      </c>
      <c r="D1950" t="str">
        <f>IFERROR(INDEX(SETTINGS!$C$15:$C$24,MATCH(A1950,SETTINGS!$A$15:$A$24,0)),"No")</f>
        <v>No</v>
      </c>
      <c r="E1950">
        <v>7</v>
      </c>
      <c r="F1950" t="s">
        <v>40</v>
      </c>
      <c r="G1950">
        <v>165</v>
      </c>
      <c r="H1950" t="s">
        <v>104</v>
      </c>
      <c r="I1950" t="s">
        <v>22</v>
      </c>
      <c r="J1950" t="s">
        <v>24</v>
      </c>
      <c r="K1950" t="s">
        <v>3</v>
      </c>
      <c r="L1950" s="36">
        <f ca="1">IF(C1950&lt;&gt;"Yes",0,IF(A1950=2025,N('2025'!D165),IF(A1950=2026,N('2026'!D165),IF(A1950=2027,N('2027'!D165),IF(A1950=2028,N('2028'!D165),IF(A1950=2029,N('2029'!D165),IF(A1950=2030,N('2030'!D165),IF(A1950=2031,N('2031'!D165),IF(A1950=2032,N('2032'!D165),IF(A1950=2033,N('2033'!D165),IF(A1950=2034,N('2034'!D165),IFERROR(N(INDIRECT("'"&amp;A1950&amp;"'!D"&amp;G1950)),0))))))))))))</f>
        <v>0</v>
      </c>
      <c r="M1950" s="36">
        <f>IFERROR(IF(NOT(ISBLANK(KPI_TARGETS!$O$15)),KPI_TARGETS!$O$15,IF(NOT(ISBLANK(KPI_TARGETS!$F$15)),KPI_TARGETS!$F$15,"")),"")</f>
        <v>5</v>
      </c>
      <c r="N1950" s="36" t="str">
        <f>IFERROR(KPI_TARGETS!$E$15,"Higher is better")</f>
        <v>Higher is better</v>
      </c>
      <c r="O1950" s="37">
        <f t="shared" ca="1" si="180"/>
        <v>0</v>
      </c>
      <c r="P1950" t="str">
        <f t="shared" ca="1" si="181"/>
        <v>Red</v>
      </c>
      <c r="Q1950" s="36">
        <f t="shared" ca="1" si="182"/>
        <v>-5</v>
      </c>
      <c r="R1950" s="36" t="str">
        <f>""</f>
        <v/>
      </c>
      <c r="S1950" s="36" t="str">
        <f>""</f>
        <v/>
      </c>
      <c r="T1950" s="36" t="str">
        <f>""</f>
        <v/>
      </c>
      <c r="U1950" s="36" t="str">
        <f>""</f>
        <v/>
      </c>
      <c r="V1950" s="36" t="str">
        <f>""</f>
        <v/>
      </c>
      <c r="W1950" s="36">
        <f t="shared" si="183"/>
        <v>1</v>
      </c>
      <c r="X1950" t="str">
        <f t="shared" si="184"/>
        <v>Inactive</v>
      </c>
      <c r="Y1950" t="str">
        <f>IF(MAIN!$H$3="Selected Year",IF(A1950=MAIN!$B$3,"Yes","No"),IF(MAIN!$H$3="Included Years",IF(D1950="Yes","Yes","No"),IF(C1950="Yes","Yes","No")))</f>
        <v>No</v>
      </c>
      <c r="Z1950" t="str">
        <f>IF(MAIN!$F$3="Project to Date",IF(AND(A1950&gt;=SETTINGS!$B$4,A1950&lt;MAIN!$B$3),"Yes",IF(AND(A1950=MAIN!$B$3,E1950&lt;=MAIN!$L$3),"Yes","No")),IF(OR(MAIN!$F$3="Full Year",MAIN!$D$3="All"),"Yes",IF(MAIN!$F$3="Monthly",IF(E1950=MAIN!$L$3,"Yes","No"),IF(E1950&lt;=MAIN!$L$3,"Yes","No"))))</f>
        <v>Yes</v>
      </c>
      <c r="AA1950" t="str">
        <f t="shared" si="185"/>
        <v>No</v>
      </c>
    </row>
    <row r="1951" spans="1:27" x14ac:dyDescent="0.3">
      <c r="A1951">
        <f>INDEX(SETTINGS!$A$15:$A$24,$B1951)</f>
        <v>2033</v>
      </c>
      <c r="B1951">
        <v>9</v>
      </c>
      <c r="C1951" t="str">
        <f>IF(AND(A1951&gt;=SETTINGS!$B$4,A1951&lt;=SETTINGS!$B$5),"Yes","No")</f>
        <v>No</v>
      </c>
      <c r="D1951" t="str">
        <f>IFERROR(INDEX(SETTINGS!$C$15:$C$24,MATCH(A1951,SETTINGS!$A$15:$A$24,0)),"No")</f>
        <v>No</v>
      </c>
      <c r="E1951">
        <v>7</v>
      </c>
      <c r="F1951" t="s">
        <v>40</v>
      </c>
      <c r="G1951">
        <v>166</v>
      </c>
      <c r="H1951" t="s">
        <v>105</v>
      </c>
      <c r="I1951" t="s">
        <v>22</v>
      </c>
      <c r="J1951" t="s">
        <v>25</v>
      </c>
      <c r="K1951" t="s">
        <v>3</v>
      </c>
      <c r="L1951" s="36">
        <f ca="1">IF(C1951&lt;&gt;"Yes",0,IF(A1951=2025,N('2025'!D166),IF(A1951=2026,N('2026'!D166),IF(A1951=2027,N('2027'!D166),IF(A1951=2028,N('2028'!D166),IF(A1951=2029,N('2029'!D166),IF(A1951=2030,N('2030'!D166),IF(A1951=2031,N('2031'!D166),IF(A1951=2032,N('2032'!D166),IF(A1951=2033,N('2033'!D166),IF(A1951=2034,N('2034'!D166),IFERROR(N(INDIRECT("'"&amp;A1951&amp;"'!D"&amp;G1951)),0))))))))))))</f>
        <v>0</v>
      </c>
      <c r="M1951" s="36">
        <f>IFERROR(IF(NOT(ISBLANK(KPI_TARGETS!$O$16)),KPI_TARGETS!$O$16,IF(NOT(ISBLANK(KPI_TARGETS!$F$16)),KPI_TARGETS!$F$16,"")),"")</f>
        <v>4</v>
      </c>
      <c r="N1951" s="36" t="str">
        <f>IFERROR(KPI_TARGETS!$E$16,"Higher is better")</f>
        <v>Higher is better</v>
      </c>
      <c r="O1951" s="37">
        <f t="shared" ca="1" si="180"/>
        <v>0</v>
      </c>
      <c r="P1951" t="str">
        <f t="shared" ca="1" si="181"/>
        <v>Red</v>
      </c>
      <c r="Q1951" s="36">
        <f t="shared" ca="1" si="182"/>
        <v>-4</v>
      </c>
      <c r="R1951" s="36" t="str">
        <f>""</f>
        <v/>
      </c>
      <c r="S1951" s="36" t="str">
        <f>""</f>
        <v/>
      </c>
      <c r="T1951" s="36" t="str">
        <f>""</f>
        <v/>
      </c>
      <c r="U1951" s="36" t="str">
        <f>""</f>
        <v/>
      </c>
      <c r="V1951" s="36" t="str">
        <f>""</f>
        <v/>
      </c>
      <c r="W1951" s="36">
        <f t="shared" si="183"/>
        <v>1</v>
      </c>
      <c r="X1951" t="str">
        <f t="shared" si="184"/>
        <v>Inactive</v>
      </c>
      <c r="Y1951" t="str">
        <f>IF(MAIN!$H$3="Selected Year",IF(A1951=MAIN!$B$3,"Yes","No"),IF(MAIN!$H$3="Included Years",IF(D1951="Yes","Yes","No"),IF(C1951="Yes","Yes","No")))</f>
        <v>No</v>
      </c>
      <c r="Z1951" t="str">
        <f>IF(MAIN!$F$3="Project to Date",IF(AND(A1951&gt;=SETTINGS!$B$4,A1951&lt;MAIN!$B$3),"Yes",IF(AND(A1951=MAIN!$B$3,E1951&lt;=MAIN!$L$3),"Yes","No")),IF(OR(MAIN!$F$3="Full Year",MAIN!$D$3="All"),"Yes",IF(MAIN!$F$3="Monthly",IF(E1951=MAIN!$L$3,"Yes","No"),IF(E1951&lt;=MAIN!$L$3,"Yes","No"))))</f>
        <v>Yes</v>
      </c>
      <c r="AA1951" t="str">
        <f t="shared" si="185"/>
        <v>No</v>
      </c>
    </row>
    <row r="1952" spans="1:27" x14ac:dyDescent="0.3">
      <c r="A1952">
        <f>INDEX(SETTINGS!$A$15:$A$24,$B1952)</f>
        <v>2033</v>
      </c>
      <c r="B1952">
        <v>9</v>
      </c>
      <c r="C1952" t="str">
        <f>IF(AND(A1952&gt;=SETTINGS!$B$4,A1952&lt;=SETTINGS!$B$5),"Yes","No")</f>
        <v>No</v>
      </c>
      <c r="D1952" t="str">
        <f>IFERROR(INDEX(SETTINGS!$C$15:$C$24,MATCH(A1952,SETTINGS!$A$15:$A$24,0)),"No")</f>
        <v>No</v>
      </c>
      <c r="E1952">
        <v>7</v>
      </c>
      <c r="F1952" t="s">
        <v>40</v>
      </c>
      <c r="G1952">
        <v>167</v>
      </c>
      <c r="H1952" t="s">
        <v>106</v>
      </c>
      <c r="I1952" t="s">
        <v>22</v>
      </c>
      <c r="J1952" t="s">
        <v>26</v>
      </c>
      <c r="K1952" t="s">
        <v>3</v>
      </c>
      <c r="L1952" s="36">
        <f ca="1">IF(C1952&lt;&gt;"Yes",0,IF(A1952=2025,N('2025'!D167),IF(A1952=2026,N('2026'!D167),IF(A1952=2027,N('2027'!D167),IF(A1952=2028,N('2028'!D167),IF(A1952=2029,N('2029'!D167),IF(A1952=2030,N('2030'!D167),IF(A1952=2031,N('2031'!D167),IF(A1952=2032,N('2032'!D167),IF(A1952=2033,N('2033'!D167),IF(A1952=2034,N('2034'!D167),IFERROR(N(INDIRECT("'"&amp;A1952&amp;"'!D"&amp;G1952)),0))))))))))))</f>
        <v>0</v>
      </c>
      <c r="M1952" s="36">
        <f>IFERROR(IF(NOT(ISBLANK(KPI_TARGETS!$O$17)),KPI_TARGETS!$O$17,IF(NOT(ISBLANK(KPI_TARGETS!$F$17)),KPI_TARGETS!$F$17,"")),"")</f>
        <v>12</v>
      </c>
      <c r="N1952" s="36" t="str">
        <f>IFERROR(KPI_TARGETS!$E$17,"Higher is better")</f>
        <v>Higher is better</v>
      </c>
      <c r="O1952" s="37">
        <f t="shared" ca="1" si="180"/>
        <v>0</v>
      </c>
      <c r="P1952" t="str">
        <f t="shared" ca="1" si="181"/>
        <v>Red</v>
      </c>
      <c r="Q1952" s="36">
        <f t="shared" ca="1" si="182"/>
        <v>-12</v>
      </c>
      <c r="R1952" s="36" t="str">
        <f>""</f>
        <v/>
      </c>
      <c r="S1952" s="36" t="str">
        <f>""</f>
        <v/>
      </c>
      <c r="T1952" s="36" t="str">
        <f>""</f>
        <v/>
      </c>
      <c r="U1952" s="36" t="str">
        <f>""</f>
        <v/>
      </c>
      <c r="V1952" s="36" t="str">
        <f>""</f>
        <v/>
      </c>
      <c r="W1952" s="36">
        <f t="shared" si="183"/>
        <v>1</v>
      </c>
      <c r="X1952" t="str">
        <f t="shared" si="184"/>
        <v>Inactive</v>
      </c>
      <c r="Y1952" t="str">
        <f>IF(MAIN!$H$3="Selected Year",IF(A1952=MAIN!$B$3,"Yes","No"),IF(MAIN!$H$3="Included Years",IF(D1952="Yes","Yes","No"),IF(C1952="Yes","Yes","No")))</f>
        <v>No</v>
      </c>
      <c r="Z1952" t="str">
        <f>IF(MAIN!$F$3="Project to Date",IF(AND(A1952&gt;=SETTINGS!$B$4,A1952&lt;MAIN!$B$3),"Yes",IF(AND(A1952=MAIN!$B$3,E1952&lt;=MAIN!$L$3),"Yes","No")),IF(OR(MAIN!$F$3="Full Year",MAIN!$D$3="All"),"Yes",IF(MAIN!$F$3="Monthly",IF(E1952=MAIN!$L$3,"Yes","No"),IF(E1952&lt;=MAIN!$L$3,"Yes","No"))))</f>
        <v>Yes</v>
      </c>
      <c r="AA1952" t="str">
        <f t="shared" si="185"/>
        <v>No</v>
      </c>
    </row>
    <row r="1953" spans="1:27" x14ac:dyDescent="0.3">
      <c r="A1953">
        <f>INDEX(SETTINGS!$A$15:$A$24,$B1953)</f>
        <v>2033</v>
      </c>
      <c r="B1953">
        <v>9</v>
      </c>
      <c r="C1953" t="str">
        <f>IF(AND(A1953&gt;=SETTINGS!$B$4,A1953&lt;=SETTINGS!$B$5),"Yes","No")</f>
        <v>No</v>
      </c>
      <c r="D1953" t="str">
        <f>IFERROR(INDEX(SETTINGS!$C$15:$C$24,MATCH(A1953,SETTINGS!$A$15:$A$24,0)),"No")</f>
        <v>No</v>
      </c>
      <c r="E1953">
        <v>7</v>
      </c>
      <c r="F1953" t="s">
        <v>40</v>
      </c>
      <c r="G1953">
        <v>168</v>
      </c>
      <c r="H1953" t="s">
        <v>107</v>
      </c>
      <c r="I1953" t="s">
        <v>22</v>
      </c>
      <c r="J1953" t="s">
        <v>27</v>
      </c>
      <c r="K1953" t="s">
        <v>3</v>
      </c>
      <c r="L1953" s="36">
        <f ca="1">IF(C1953&lt;&gt;"Yes",0,IF(A1953=2025,N('2025'!D168),IF(A1953=2026,N('2026'!D168),IF(A1953=2027,N('2027'!D168),IF(A1953=2028,N('2028'!D168),IF(A1953=2029,N('2029'!D168),IF(A1953=2030,N('2030'!D168),IF(A1953=2031,N('2031'!D168),IF(A1953=2032,N('2032'!D168),IF(A1953=2033,N('2033'!D168),IF(A1953=2034,N('2034'!D168),IFERROR(N(INDIRECT("'"&amp;A1953&amp;"'!D"&amp;G1953)),0))))))))))))</f>
        <v>0</v>
      </c>
      <c r="M1953" s="36">
        <f>IFERROR(IF(NOT(ISBLANK(KPI_TARGETS!$O$18)),KPI_TARGETS!$O$18,IF(NOT(ISBLANK(KPI_TARGETS!$F$18)),KPI_TARGETS!$F$18,"")),"")</f>
        <v>4</v>
      </c>
      <c r="N1953" s="36" t="str">
        <f>IFERROR(KPI_TARGETS!$E$18,"Higher is better")</f>
        <v>Higher is better</v>
      </c>
      <c r="O1953" s="37">
        <f t="shared" ca="1" si="180"/>
        <v>0</v>
      </c>
      <c r="P1953" t="str">
        <f t="shared" ca="1" si="181"/>
        <v>Red</v>
      </c>
      <c r="Q1953" s="36">
        <f t="shared" ca="1" si="182"/>
        <v>-4</v>
      </c>
      <c r="R1953" s="36" t="str">
        <f>""</f>
        <v/>
      </c>
      <c r="S1953" s="36" t="str">
        <f>""</f>
        <v/>
      </c>
      <c r="T1953" s="36" t="str">
        <f>""</f>
        <v/>
      </c>
      <c r="U1953" s="36" t="str">
        <f>""</f>
        <v/>
      </c>
      <c r="V1953" s="36" t="str">
        <f>""</f>
        <v/>
      </c>
      <c r="W1953" s="36">
        <f t="shared" si="183"/>
        <v>1</v>
      </c>
      <c r="X1953" t="str">
        <f t="shared" si="184"/>
        <v>Inactive</v>
      </c>
      <c r="Y1953" t="str">
        <f>IF(MAIN!$H$3="Selected Year",IF(A1953=MAIN!$B$3,"Yes","No"),IF(MAIN!$H$3="Included Years",IF(D1953="Yes","Yes","No"),IF(C1953="Yes","Yes","No")))</f>
        <v>No</v>
      </c>
      <c r="Z1953" t="str">
        <f>IF(MAIN!$F$3="Project to Date",IF(AND(A1953&gt;=SETTINGS!$B$4,A1953&lt;MAIN!$B$3),"Yes",IF(AND(A1953=MAIN!$B$3,E1953&lt;=MAIN!$L$3),"Yes","No")),IF(OR(MAIN!$F$3="Full Year",MAIN!$D$3="All"),"Yes",IF(MAIN!$F$3="Monthly",IF(E1953=MAIN!$L$3,"Yes","No"),IF(E1953&lt;=MAIN!$L$3,"Yes","No"))))</f>
        <v>Yes</v>
      </c>
      <c r="AA1953" t="str">
        <f t="shared" si="185"/>
        <v>No</v>
      </c>
    </row>
    <row r="1954" spans="1:27" x14ac:dyDescent="0.3">
      <c r="A1954">
        <f>INDEX(SETTINGS!$A$15:$A$24,$B1954)</f>
        <v>2033</v>
      </c>
      <c r="B1954">
        <v>9</v>
      </c>
      <c r="C1954" t="str">
        <f>IF(AND(A1954&gt;=SETTINGS!$B$4,A1954&lt;=SETTINGS!$B$5),"Yes","No")</f>
        <v>No</v>
      </c>
      <c r="D1954" t="str">
        <f>IFERROR(INDEX(SETTINGS!$C$15:$C$24,MATCH(A1954,SETTINGS!$A$15:$A$24,0)),"No")</f>
        <v>No</v>
      </c>
      <c r="E1954">
        <v>7</v>
      </c>
      <c r="F1954" t="s">
        <v>40</v>
      </c>
      <c r="G1954">
        <v>169</v>
      </c>
      <c r="H1954" t="s">
        <v>108</v>
      </c>
      <c r="I1954" t="s">
        <v>22</v>
      </c>
      <c r="J1954" t="s">
        <v>28</v>
      </c>
      <c r="K1954" t="s">
        <v>3</v>
      </c>
      <c r="L1954" s="36">
        <f ca="1">IF(C1954&lt;&gt;"Yes",0,IF(A1954=2025,N('2025'!D169),IF(A1954=2026,N('2026'!D169),IF(A1954=2027,N('2027'!D169),IF(A1954=2028,N('2028'!D169),IF(A1954=2029,N('2029'!D169),IF(A1954=2030,N('2030'!D169),IF(A1954=2031,N('2031'!D169),IF(A1954=2032,N('2032'!D169),IF(A1954=2033,N('2033'!D169),IF(A1954=2034,N('2034'!D169),IFERROR(N(INDIRECT("'"&amp;A1954&amp;"'!D"&amp;G1954)),0))))))))))))</f>
        <v>0</v>
      </c>
      <c r="M1954" s="36">
        <f>IFERROR(IF(NOT(ISBLANK(KPI_TARGETS!$O$19)),KPI_TARGETS!$O$19,IF(NOT(ISBLANK(KPI_TARGETS!$F$19)),KPI_TARGETS!$F$19,"")),"")</f>
        <v>16</v>
      </c>
      <c r="N1954" s="36" t="str">
        <f>IFERROR(KPI_TARGETS!$E$19,"Higher is better")</f>
        <v>Higher is better</v>
      </c>
      <c r="O1954" s="37">
        <f t="shared" ca="1" si="180"/>
        <v>0</v>
      </c>
      <c r="P1954" t="str">
        <f t="shared" ca="1" si="181"/>
        <v>Red</v>
      </c>
      <c r="Q1954" s="36">
        <f t="shared" ca="1" si="182"/>
        <v>-16</v>
      </c>
      <c r="R1954" s="36" t="str">
        <f>""</f>
        <v/>
      </c>
      <c r="S1954" s="36" t="str">
        <f>""</f>
        <v/>
      </c>
      <c r="T1954" s="36" t="str">
        <f>""</f>
        <v/>
      </c>
      <c r="U1954" s="36" t="str">
        <f>""</f>
        <v/>
      </c>
      <c r="V1954" s="36" t="str">
        <f>""</f>
        <v/>
      </c>
      <c r="W1954" s="36">
        <f t="shared" si="183"/>
        <v>1</v>
      </c>
      <c r="X1954" t="str">
        <f t="shared" si="184"/>
        <v>Inactive</v>
      </c>
      <c r="Y1954" t="str">
        <f>IF(MAIN!$H$3="Selected Year",IF(A1954=MAIN!$B$3,"Yes","No"),IF(MAIN!$H$3="Included Years",IF(D1954="Yes","Yes","No"),IF(C1954="Yes","Yes","No")))</f>
        <v>No</v>
      </c>
      <c r="Z1954" t="str">
        <f>IF(MAIN!$F$3="Project to Date",IF(AND(A1954&gt;=SETTINGS!$B$4,A1954&lt;MAIN!$B$3),"Yes",IF(AND(A1954=MAIN!$B$3,E1954&lt;=MAIN!$L$3),"Yes","No")),IF(OR(MAIN!$F$3="Full Year",MAIN!$D$3="All"),"Yes",IF(MAIN!$F$3="Monthly",IF(E1954=MAIN!$L$3,"Yes","No"),IF(E1954&lt;=MAIN!$L$3,"Yes","No"))))</f>
        <v>Yes</v>
      </c>
      <c r="AA1954" t="str">
        <f t="shared" si="185"/>
        <v>No</v>
      </c>
    </row>
    <row r="1955" spans="1:27" x14ac:dyDescent="0.3">
      <c r="A1955">
        <f>INDEX(SETTINGS!$A$15:$A$24,$B1955)</f>
        <v>2033</v>
      </c>
      <c r="B1955">
        <v>9</v>
      </c>
      <c r="C1955" t="str">
        <f>IF(AND(A1955&gt;=SETTINGS!$B$4,A1955&lt;=SETTINGS!$B$5),"Yes","No")</f>
        <v>No</v>
      </c>
      <c r="D1955" t="str">
        <f>IFERROR(INDEX(SETTINGS!$C$15:$C$24,MATCH(A1955,SETTINGS!$A$15:$A$24,0)),"No")</f>
        <v>No</v>
      </c>
      <c r="E1955">
        <v>7</v>
      </c>
      <c r="F1955" t="s">
        <v>40</v>
      </c>
      <c r="G1955">
        <v>170</v>
      </c>
      <c r="H1955" t="s">
        <v>109</v>
      </c>
      <c r="I1955" t="s">
        <v>22</v>
      </c>
      <c r="J1955" t="s">
        <v>29</v>
      </c>
      <c r="K1955" t="s">
        <v>3</v>
      </c>
      <c r="L1955" s="36">
        <f ca="1">IF(C1955&lt;&gt;"Yes",0,IF(A1955=2025,N('2025'!D170),IF(A1955=2026,N('2026'!D170),IF(A1955=2027,N('2027'!D170),IF(A1955=2028,N('2028'!D170),IF(A1955=2029,N('2029'!D170),IF(A1955=2030,N('2030'!D170),IF(A1955=2031,N('2031'!D170),IF(A1955=2032,N('2032'!D170),IF(A1955=2033,N('2033'!D170),IF(A1955=2034,N('2034'!D170),IFERROR(N(INDIRECT("'"&amp;A1955&amp;"'!D"&amp;G1955)),0))))))))))))</f>
        <v>0</v>
      </c>
      <c r="M1955" s="36">
        <f>IFERROR(IF(NOT(ISBLANK(KPI_TARGETS!$O$20)),KPI_TARGETS!$O$20,IF(NOT(ISBLANK(KPI_TARGETS!$F$20)),KPI_TARGETS!$F$20,"")),"")</f>
        <v>1</v>
      </c>
      <c r="N1955" s="36" t="str">
        <f>IFERROR(KPI_TARGETS!$E$20,"Higher is better")</f>
        <v>Higher is better</v>
      </c>
      <c r="O1955" s="37">
        <f t="shared" ca="1" si="180"/>
        <v>0</v>
      </c>
      <c r="P1955" t="str">
        <f t="shared" ca="1" si="181"/>
        <v>Red</v>
      </c>
      <c r="Q1955" s="36">
        <f t="shared" ca="1" si="182"/>
        <v>-1</v>
      </c>
      <c r="R1955" s="36" t="str">
        <f>""</f>
        <v/>
      </c>
      <c r="S1955" s="36" t="str">
        <f>""</f>
        <v/>
      </c>
      <c r="T1955" s="36" t="str">
        <f>""</f>
        <v/>
      </c>
      <c r="U1955" s="36" t="str">
        <f>""</f>
        <v/>
      </c>
      <c r="V1955" s="36" t="str">
        <f>""</f>
        <v/>
      </c>
      <c r="W1955" s="36">
        <f t="shared" si="183"/>
        <v>1</v>
      </c>
      <c r="X1955" t="str">
        <f t="shared" si="184"/>
        <v>Inactive</v>
      </c>
      <c r="Y1955" t="str">
        <f>IF(MAIN!$H$3="Selected Year",IF(A1955=MAIN!$B$3,"Yes","No"),IF(MAIN!$H$3="Included Years",IF(D1955="Yes","Yes","No"),IF(C1955="Yes","Yes","No")))</f>
        <v>No</v>
      </c>
      <c r="Z1955" t="str">
        <f>IF(MAIN!$F$3="Project to Date",IF(AND(A1955&gt;=SETTINGS!$B$4,A1955&lt;MAIN!$B$3),"Yes",IF(AND(A1955=MAIN!$B$3,E1955&lt;=MAIN!$L$3),"Yes","No")),IF(OR(MAIN!$F$3="Full Year",MAIN!$D$3="All"),"Yes",IF(MAIN!$F$3="Monthly",IF(E1955=MAIN!$L$3,"Yes","No"),IF(E1955&lt;=MAIN!$L$3,"Yes","No"))))</f>
        <v>Yes</v>
      </c>
      <c r="AA1955" t="str">
        <f t="shared" si="185"/>
        <v>No</v>
      </c>
    </row>
    <row r="1956" spans="1:27" x14ac:dyDescent="0.3">
      <c r="A1956">
        <f>INDEX(SETTINGS!$A$15:$A$24,$B1956)</f>
        <v>2033</v>
      </c>
      <c r="B1956">
        <v>9</v>
      </c>
      <c r="C1956" t="str">
        <f>IF(AND(A1956&gt;=SETTINGS!$B$4,A1956&lt;=SETTINGS!$B$5),"Yes","No")</f>
        <v>No</v>
      </c>
      <c r="D1956" t="str">
        <f>IFERROR(INDEX(SETTINGS!$C$15:$C$24,MATCH(A1956,SETTINGS!$A$15:$A$24,0)),"No")</f>
        <v>No</v>
      </c>
      <c r="E1956">
        <v>7</v>
      </c>
      <c r="F1956" t="s">
        <v>40</v>
      </c>
      <c r="G1956">
        <v>172</v>
      </c>
      <c r="H1956" t="s">
        <v>110</v>
      </c>
      <c r="I1956" t="s">
        <v>30</v>
      </c>
      <c r="J1956" t="s">
        <v>31</v>
      </c>
      <c r="K1956" t="s">
        <v>3</v>
      </c>
      <c r="L1956" s="36">
        <f ca="1">IF(C1956&lt;&gt;"Yes",0,IF(A1956=2025,N('2025'!D172),IF(A1956=2026,N('2026'!D172),IF(A1956=2027,N('2027'!D172),IF(A1956=2028,N('2028'!D172),IF(A1956=2029,N('2029'!D172),IF(A1956=2030,N('2030'!D172),IF(A1956=2031,N('2031'!D172),IF(A1956=2032,N('2032'!D172),IF(A1956=2033,N('2033'!D172),IF(A1956=2034,N('2034'!D172),IFERROR(N(INDIRECT("'"&amp;A1956&amp;"'!D"&amp;G1956)),0))))))))))))</f>
        <v>0</v>
      </c>
      <c r="M1956" s="36">
        <f>IFERROR(IF(NOT(ISBLANK(KPI_TARGETS!$O$21)),KPI_TARGETS!$O$21,IF(NOT(ISBLANK(KPI_TARGETS!$F$21)),KPI_TARGETS!$F$21,"")),"")</f>
        <v>0</v>
      </c>
      <c r="N1956" s="36" t="str">
        <f>IFERROR(KPI_TARGETS!$E$21,"Higher is better")</f>
        <v>Lower is better</v>
      </c>
      <c r="O1956" s="37">
        <f t="shared" ca="1" si="180"/>
        <v>1</v>
      </c>
      <c r="P1956" t="str">
        <f t="shared" ca="1" si="181"/>
        <v>Green</v>
      </c>
      <c r="Q1956" s="36">
        <f t="shared" ca="1" si="182"/>
        <v>0</v>
      </c>
      <c r="R1956" s="36" t="str">
        <f>""</f>
        <v/>
      </c>
      <c r="S1956" s="36" t="str">
        <f>""</f>
        <v/>
      </c>
      <c r="T1956" s="36" t="str">
        <f>""</f>
        <v/>
      </c>
      <c r="U1956" s="36" t="str">
        <f>""</f>
        <v/>
      </c>
      <c r="V1956" s="36" t="str">
        <f>""</f>
        <v/>
      </c>
      <c r="W1956" s="36">
        <f t="shared" si="183"/>
        <v>1</v>
      </c>
      <c r="X1956" t="str">
        <f t="shared" si="184"/>
        <v>Inactive</v>
      </c>
      <c r="Y1956" t="str">
        <f>IF(MAIN!$H$3="Selected Year",IF(A1956=MAIN!$B$3,"Yes","No"),IF(MAIN!$H$3="Included Years",IF(D1956="Yes","Yes","No"),IF(C1956="Yes","Yes","No")))</f>
        <v>No</v>
      </c>
      <c r="Z1956" t="str">
        <f>IF(MAIN!$F$3="Project to Date",IF(AND(A1956&gt;=SETTINGS!$B$4,A1956&lt;MAIN!$B$3),"Yes",IF(AND(A1956=MAIN!$B$3,E1956&lt;=MAIN!$L$3),"Yes","No")),IF(OR(MAIN!$F$3="Full Year",MAIN!$D$3="All"),"Yes",IF(MAIN!$F$3="Monthly",IF(E1956=MAIN!$L$3,"Yes","No"),IF(E1956&lt;=MAIN!$L$3,"Yes","No"))))</f>
        <v>Yes</v>
      </c>
      <c r="AA1956" t="str">
        <f t="shared" si="185"/>
        <v>No</v>
      </c>
    </row>
    <row r="1957" spans="1:27" x14ac:dyDescent="0.3">
      <c r="A1957">
        <f>INDEX(SETTINGS!$A$15:$A$24,$B1957)</f>
        <v>2033</v>
      </c>
      <c r="B1957">
        <v>9</v>
      </c>
      <c r="C1957" t="str">
        <f>IF(AND(A1957&gt;=SETTINGS!$B$4,A1957&lt;=SETTINGS!$B$5),"Yes","No")</f>
        <v>No</v>
      </c>
      <c r="D1957" t="str">
        <f>IFERROR(INDEX(SETTINGS!$C$15:$C$24,MATCH(A1957,SETTINGS!$A$15:$A$24,0)),"No")</f>
        <v>No</v>
      </c>
      <c r="E1957">
        <v>7</v>
      </c>
      <c r="F1957" t="s">
        <v>40</v>
      </c>
      <c r="G1957">
        <v>173</v>
      </c>
      <c r="H1957" t="s">
        <v>111</v>
      </c>
      <c r="I1957" t="s">
        <v>30</v>
      </c>
      <c r="J1957" t="s">
        <v>32</v>
      </c>
      <c r="K1957" t="s">
        <v>3</v>
      </c>
      <c r="L1957" s="36">
        <f ca="1">IF(C1957&lt;&gt;"Yes",0,IF(A1957=2025,N('2025'!D173),IF(A1957=2026,N('2026'!D173),IF(A1957=2027,N('2027'!D173),IF(A1957=2028,N('2028'!D173),IF(A1957=2029,N('2029'!D173),IF(A1957=2030,N('2030'!D173),IF(A1957=2031,N('2031'!D173),IF(A1957=2032,N('2032'!D173),IF(A1957=2033,N('2033'!D173),IF(A1957=2034,N('2034'!D173),IFERROR(N(INDIRECT("'"&amp;A1957&amp;"'!D"&amp;G1957)),0))))))))))))</f>
        <v>0</v>
      </c>
      <c r="M1957" s="36">
        <f>IFERROR(IF(NOT(ISBLANK(KPI_TARGETS!$O$22)),KPI_TARGETS!$O$22,IF(NOT(ISBLANK(KPI_TARGETS!$F$22)),KPI_TARGETS!$F$22,"")),"")</f>
        <v>1</v>
      </c>
      <c r="N1957" s="36" t="str">
        <f>IFERROR(KPI_TARGETS!$E$22,"Higher is better")</f>
        <v>Higher is better</v>
      </c>
      <c r="O1957" s="37">
        <f t="shared" ca="1" si="180"/>
        <v>0</v>
      </c>
      <c r="P1957" t="str">
        <f t="shared" ca="1" si="181"/>
        <v>Red</v>
      </c>
      <c r="Q1957" s="36">
        <f t="shared" ca="1" si="182"/>
        <v>-1</v>
      </c>
      <c r="R1957" s="36" t="str">
        <f>""</f>
        <v/>
      </c>
      <c r="S1957" s="36" t="str">
        <f>""</f>
        <v/>
      </c>
      <c r="T1957" s="36" t="str">
        <f>""</f>
        <v/>
      </c>
      <c r="U1957" s="36" t="str">
        <f>""</f>
        <v/>
      </c>
      <c r="V1957" s="36" t="str">
        <f>""</f>
        <v/>
      </c>
      <c r="W1957" s="36">
        <f t="shared" si="183"/>
        <v>1</v>
      </c>
      <c r="X1957" t="str">
        <f t="shared" si="184"/>
        <v>Inactive</v>
      </c>
      <c r="Y1957" t="str">
        <f>IF(MAIN!$H$3="Selected Year",IF(A1957=MAIN!$B$3,"Yes","No"),IF(MAIN!$H$3="Included Years",IF(D1957="Yes","Yes","No"),IF(C1957="Yes","Yes","No")))</f>
        <v>No</v>
      </c>
      <c r="Z1957" t="str">
        <f>IF(MAIN!$F$3="Project to Date",IF(AND(A1957&gt;=SETTINGS!$B$4,A1957&lt;MAIN!$B$3),"Yes",IF(AND(A1957=MAIN!$B$3,E1957&lt;=MAIN!$L$3),"Yes","No")),IF(OR(MAIN!$F$3="Full Year",MAIN!$D$3="All"),"Yes",IF(MAIN!$F$3="Monthly",IF(E1957=MAIN!$L$3,"Yes","No"),IF(E1957&lt;=MAIN!$L$3,"Yes","No"))))</f>
        <v>Yes</v>
      </c>
      <c r="AA1957" t="str">
        <f t="shared" si="185"/>
        <v>No</v>
      </c>
    </row>
    <row r="1958" spans="1:27" x14ac:dyDescent="0.3">
      <c r="A1958">
        <f>INDEX(SETTINGS!$A$15:$A$24,$B1958)</f>
        <v>2033</v>
      </c>
      <c r="B1958">
        <v>9</v>
      </c>
      <c r="C1958" t="str">
        <f>IF(AND(A1958&gt;=SETTINGS!$B$4,A1958&lt;=SETTINGS!$B$5),"Yes","No")</f>
        <v>No</v>
      </c>
      <c r="D1958" t="str">
        <f>IFERROR(INDEX(SETTINGS!$C$15:$C$24,MATCH(A1958,SETTINGS!$A$15:$A$24,0)),"No")</f>
        <v>No</v>
      </c>
      <c r="E1958">
        <v>7</v>
      </c>
      <c r="F1958" t="s">
        <v>40</v>
      </c>
      <c r="G1958">
        <v>174</v>
      </c>
      <c r="H1958" t="s">
        <v>112</v>
      </c>
      <c r="I1958" t="s">
        <v>30</v>
      </c>
      <c r="J1958" t="s">
        <v>33</v>
      </c>
      <c r="K1958" t="s">
        <v>34</v>
      </c>
      <c r="L1958" s="36">
        <f ca="1">IF(C1958&lt;&gt;"Yes",0,IF(A1958=2025,N('2025'!D174),IF(A1958=2026,N('2026'!D174),IF(A1958=2027,N('2027'!D174),IF(A1958=2028,N('2028'!D174),IF(A1958=2029,N('2029'!D174),IF(A1958=2030,N('2030'!D174),IF(A1958=2031,N('2031'!D174),IF(A1958=2032,N('2032'!D174),IF(A1958=2033,N('2033'!D174),IF(A1958=2034,N('2034'!D174),IFERROR(N(INDIRECT("'"&amp;A1958&amp;"'!D"&amp;G1958)),0))))))))))))</f>
        <v>0</v>
      </c>
      <c r="M1958" s="36">
        <f>IFERROR(IF(NOT(ISBLANK(KPI_TARGETS!$O$23)),KPI_TARGETS!$O$23,IF(NOT(ISBLANK(KPI_TARGETS!$F$23)),KPI_TARGETS!$F$23,"")),"")</f>
        <v>1</v>
      </c>
      <c r="N1958" s="36" t="str">
        <f>IFERROR(KPI_TARGETS!$E$23,"Higher is better")</f>
        <v>Higher is better</v>
      </c>
      <c r="O1958" s="37">
        <f t="shared" ca="1" si="180"/>
        <v>0</v>
      </c>
      <c r="P1958" t="str">
        <f t="shared" ca="1" si="181"/>
        <v>Red</v>
      </c>
      <c r="Q1958" s="36">
        <f t="shared" ca="1" si="182"/>
        <v>-1</v>
      </c>
      <c r="R1958" s="36" t="str">
        <f>""</f>
        <v/>
      </c>
      <c r="S1958" s="36" t="str">
        <f>""</f>
        <v/>
      </c>
      <c r="T1958" s="36" t="str">
        <f>""</f>
        <v/>
      </c>
      <c r="U1958" s="36" t="str">
        <f>""</f>
        <v/>
      </c>
      <c r="V1958" s="36" t="str">
        <f>""</f>
        <v/>
      </c>
      <c r="W1958" s="36">
        <f t="shared" si="183"/>
        <v>1</v>
      </c>
      <c r="X1958" t="str">
        <f t="shared" si="184"/>
        <v>Inactive</v>
      </c>
      <c r="Y1958" t="str">
        <f>IF(MAIN!$H$3="Selected Year",IF(A1958=MAIN!$B$3,"Yes","No"),IF(MAIN!$H$3="Included Years",IF(D1958="Yes","Yes","No"),IF(C1958="Yes","Yes","No")))</f>
        <v>No</v>
      </c>
      <c r="Z1958" t="str">
        <f>IF(MAIN!$F$3="Project to Date",IF(AND(A1958&gt;=SETTINGS!$B$4,A1958&lt;MAIN!$B$3),"Yes",IF(AND(A1958=MAIN!$B$3,E1958&lt;=MAIN!$L$3),"Yes","No")),IF(OR(MAIN!$F$3="Full Year",MAIN!$D$3="All"),"Yes",IF(MAIN!$F$3="Monthly",IF(E1958=MAIN!$L$3,"Yes","No"),IF(E1958&lt;=MAIN!$L$3,"Yes","No"))))</f>
        <v>Yes</v>
      </c>
      <c r="AA1958" t="str">
        <f t="shared" si="185"/>
        <v>No</v>
      </c>
    </row>
    <row r="1959" spans="1:27" x14ac:dyDescent="0.3">
      <c r="A1959">
        <f>INDEX(SETTINGS!$A$15:$A$24,$B1959)</f>
        <v>2033</v>
      </c>
      <c r="B1959">
        <v>9</v>
      </c>
      <c r="C1959" t="str">
        <f>IF(AND(A1959&gt;=SETTINGS!$B$4,A1959&lt;=SETTINGS!$B$5),"Yes","No")</f>
        <v>No</v>
      </c>
      <c r="D1959" t="str">
        <f>IFERROR(INDEX(SETTINGS!$C$15:$C$24,MATCH(A1959,SETTINGS!$A$15:$A$24,0)),"No")</f>
        <v>No</v>
      </c>
      <c r="E1959">
        <v>8</v>
      </c>
      <c r="F1959" t="s">
        <v>41</v>
      </c>
      <c r="G1959">
        <v>177</v>
      </c>
      <c r="H1959" t="s">
        <v>88</v>
      </c>
      <c r="I1959" t="s">
        <v>89</v>
      </c>
      <c r="J1959" t="s">
        <v>10</v>
      </c>
      <c r="K1959" t="s">
        <v>3</v>
      </c>
      <c r="L1959" s="36">
        <f ca="1">IF(C1959&lt;&gt;"Yes",0,IF(A1959=2025,N('2025'!D177),IF(A1959=2026,N('2026'!D177),IF(A1959=2027,N('2027'!D177),IF(A1959=2028,N('2028'!D177),IF(A1959=2029,N('2029'!D177),IF(A1959=2030,N('2030'!D177),IF(A1959=2031,N('2031'!D177),IF(A1959=2032,N('2032'!D177),IF(A1959=2033,N('2033'!D177),IF(A1959=2034,N('2034'!D177),IFERROR(N(INDIRECT("'"&amp;A1959&amp;"'!D"&amp;G1959)),0))))))))))))</f>
        <v>0</v>
      </c>
      <c r="M1959" s="36">
        <f>IFERROR(IF(NOT(ISBLANK(KPI_TARGETS!$O$5)),KPI_TARGETS!$O$5,IF(NOT(ISBLANK(KPI_TARGETS!$F$5)),KPI_TARGETS!$F$5,"")),"")</f>
        <v>104</v>
      </c>
      <c r="N1959" s="36" t="str">
        <f>IFERROR(KPI_TARGETS!$E$5,"Higher is better")</f>
        <v>Higher is better</v>
      </c>
      <c r="O1959" s="37">
        <f t="shared" ca="1" si="180"/>
        <v>0</v>
      </c>
      <c r="P1959" t="str">
        <f t="shared" ca="1" si="181"/>
        <v>Red</v>
      </c>
      <c r="Q1959" s="36">
        <f t="shared" ca="1" si="182"/>
        <v>-104</v>
      </c>
      <c r="R1959" s="36" t="str">
        <f>""</f>
        <v/>
      </c>
      <c r="S1959" s="36" t="str">
        <f>""</f>
        <v/>
      </c>
      <c r="T1959" s="36" t="str">
        <f>""</f>
        <v/>
      </c>
      <c r="U1959" s="36" t="str">
        <f>""</f>
        <v/>
      </c>
      <c r="V1959" s="36" t="str">
        <f>""</f>
        <v/>
      </c>
      <c r="W1959" s="36">
        <f t="shared" si="183"/>
        <v>1</v>
      </c>
      <c r="X1959" t="str">
        <f t="shared" si="184"/>
        <v>Inactive</v>
      </c>
      <c r="Y1959" t="str">
        <f>IF(MAIN!$H$3="Selected Year",IF(A1959=MAIN!$B$3,"Yes","No"),IF(MAIN!$H$3="Included Years",IF(D1959="Yes","Yes","No"),IF(C1959="Yes","Yes","No")))</f>
        <v>No</v>
      </c>
      <c r="Z1959" t="str">
        <f>IF(MAIN!$F$3="Project to Date",IF(AND(A1959&gt;=SETTINGS!$B$4,A1959&lt;MAIN!$B$3),"Yes",IF(AND(A1959=MAIN!$B$3,E1959&lt;=MAIN!$L$3),"Yes","No")),IF(OR(MAIN!$F$3="Full Year",MAIN!$D$3="All"),"Yes",IF(MAIN!$F$3="Monthly",IF(E1959=MAIN!$L$3,"Yes","No"),IF(E1959&lt;=MAIN!$L$3,"Yes","No"))))</f>
        <v>Yes</v>
      </c>
      <c r="AA1959" t="str">
        <f t="shared" si="185"/>
        <v>No</v>
      </c>
    </row>
    <row r="1960" spans="1:27" x14ac:dyDescent="0.3">
      <c r="A1960">
        <f>INDEX(SETTINGS!$A$15:$A$24,$B1960)</f>
        <v>2033</v>
      </c>
      <c r="B1960">
        <v>9</v>
      </c>
      <c r="C1960" t="str">
        <f>IF(AND(A1960&gt;=SETTINGS!$B$4,A1960&lt;=SETTINGS!$B$5),"Yes","No")</f>
        <v>No</v>
      </c>
      <c r="D1960" t="str">
        <f>IFERROR(INDEX(SETTINGS!$C$15:$C$24,MATCH(A1960,SETTINGS!$A$15:$A$24,0)),"No")</f>
        <v>No</v>
      </c>
      <c r="E1960">
        <v>8</v>
      </c>
      <c r="F1960" t="s">
        <v>41</v>
      </c>
      <c r="G1960">
        <v>178</v>
      </c>
      <c r="H1960" t="s">
        <v>91</v>
      </c>
      <c r="I1960" t="s">
        <v>89</v>
      </c>
      <c r="J1960" t="s">
        <v>11</v>
      </c>
      <c r="K1960" t="s">
        <v>12</v>
      </c>
      <c r="L1960" s="36">
        <f ca="1">IF(C1960&lt;&gt;"Yes",0,IF(A1960=2025,N('2025'!D178),IF(A1960=2026,N('2026'!D178),IF(A1960=2027,N('2027'!D178),IF(A1960=2028,N('2028'!D178),IF(A1960=2029,N('2029'!D178),IF(A1960=2030,N('2030'!D178),IF(A1960=2031,N('2031'!D178),IF(A1960=2032,N('2032'!D178),IF(A1960=2033,N('2033'!D178),IF(A1960=2034,N('2034'!D178),IFERROR(N(INDIRECT("'"&amp;A1960&amp;"'!D"&amp;G1960)),0))))))))))))</f>
        <v>0</v>
      </c>
      <c r="M1960" s="36">
        <f>IFERROR(IF(NOT(ISBLANK(KPI_TARGETS!$O$6)),KPI_TARGETS!$O$6,IF(NOT(ISBLANK(KPI_TARGETS!$F$6)),KPI_TARGETS!$F$6,"")),"")</f>
        <v>4000</v>
      </c>
      <c r="N1960" s="36" t="str">
        <f>IFERROR(KPI_TARGETS!$E$6,"Higher is better")</f>
        <v>Higher is better</v>
      </c>
      <c r="O1960" s="37">
        <f t="shared" ca="1" si="180"/>
        <v>0</v>
      </c>
      <c r="P1960" t="str">
        <f t="shared" ca="1" si="181"/>
        <v>Red</v>
      </c>
      <c r="Q1960" s="36">
        <f t="shared" ca="1" si="182"/>
        <v>-4000</v>
      </c>
      <c r="R1960" s="36" t="str">
        <f>""</f>
        <v/>
      </c>
      <c r="S1960" s="36" t="str">
        <f>""</f>
        <v/>
      </c>
      <c r="T1960" s="36" t="str">
        <f>""</f>
        <v/>
      </c>
      <c r="U1960" s="36" t="str">
        <f>""</f>
        <v/>
      </c>
      <c r="V1960" s="36" t="str">
        <f>""</f>
        <v/>
      </c>
      <c r="W1960" s="36">
        <f t="shared" si="183"/>
        <v>1</v>
      </c>
      <c r="X1960" t="str">
        <f t="shared" si="184"/>
        <v>Inactive</v>
      </c>
      <c r="Y1960" t="str">
        <f>IF(MAIN!$H$3="Selected Year",IF(A1960=MAIN!$B$3,"Yes","No"),IF(MAIN!$H$3="Included Years",IF(D1960="Yes","Yes","No"),IF(C1960="Yes","Yes","No")))</f>
        <v>No</v>
      </c>
      <c r="Z1960" t="str">
        <f>IF(MAIN!$F$3="Project to Date",IF(AND(A1960&gt;=SETTINGS!$B$4,A1960&lt;MAIN!$B$3),"Yes",IF(AND(A1960=MAIN!$B$3,E1960&lt;=MAIN!$L$3),"Yes","No")),IF(OR(MAIN!$F$3="Full Year",MAIN!$D$3="All"),"Yes",IF(MAIN!$F$3="Monthly",IF(E1960=MAIN!$L$3,"Yes","No"),IF(E1960&lt;=MAIN!$L$3,"Yes","No"))))</f>
        <v>Yes</v>
      </c>
      <c r="AA1960" t="str">
        <f t="shared" si="185"/>
        <v>No</v>
      </c>
    </row>
    <row r="1961" spans="1:27" x14ac:dyDescent="0.3">
      <c r="A1961">
        <f>INDEX(SETTINGS!$A$15:$A$24,$B1961)</f>
        <v>2033</v>
      </c>
      <c r="B1961">
        <v>9</v>
      </c>
      <c r="C1961" t="str">
        <f>IF(AND(A1961&gt;=SETTINGS!$B$4,A1961&lt;=SETTINGS!$B$5),"Yes","No")</f>
        <v>No</v>
      </c>
      <c r="D1961" t="str">
        <f>IFERROR(INDEX(SETTINGS!$C$15:$C$24,MATCH(A1961,SETTINGS!$A$15:$A$24,0)),"No")</f>
        <v>No</v>
      </c>
      <c r="E1961">
        <v>8</v>
      </c>
      <c r="F1961" t="s">
        <v>41</v>
      </c>
      <c r="G1961">
        <v>179</v>
      </c>
      <c r="H1961" t="s">
        <v>93</v>
      </c>
      <c r="I1961" t="s">
        <v>89</v>
      </c>
      <c r="J1961" t="s">
        <v>13</v>
      </c>
      <c r="K1961" t="s">
        <v>14</v>
      </c>
      <c r="L1961" s="36">
        <f ca="1">IF(C1961&lt;&gt;"Yes",0,IF(A1961=2025,N('2025'!D179),IF(A1961=2026,N('2026'!D179),IF(A1961=2027,N('2027'!D179),IF(A1961=2028,N('2028'!D179),IF(A1961=2029,N('2029'!D179),IF(A1961=2030,N('2030'!D179),IF(A1961=2031,N('2031'!D179),IF(A1961=2032,N('2032'!D179),IF(A1961=2033,N('2033'!D179),IF(A1961=2034,N('2034'!D179),IFERROR(N(INDIRECT("'"&amp;A1961&amp;"'!D"&amp;G1961)),0))))))))))))</f>
        <v>0</v>
      </c>
      <c r="M1961" s="36">
        <f>IFERROR(IF(NOT(ISBLANK(KPI_TARGETS!$O$7)),KPI_TARGETS!$O$7,IF(NOT(ISBLANK(KPI_TARGETS!$F$7)),KPI_TARGETS!$F$7,"")),"")</f>
        <v>8000</v>
      </c>
      <c r="N1961" s="36" t="str">
        <f>IFERROR(KPI_TARGETS!$E$7,"Higher is better")</f>
        <v>Higher is better</v>
      </c>
      <c r="O1961" s="37">
        <f t="shared" ca="1" si="180"/>
        <v>0</v>
      </c>
      <c r="P1961" t="str">
        <f t="shared" ca="1" si="181"/>
        <v>Red</v>
      </c>
      <c r="Q1961" s="36">
        <f t="shared" ca="1" si="182"/>
        <v>-8000</v>
      </c>
      <c r="R1961" s="36" t="str">
        <f>""</f>
        <v/>
      </c>
      <c r="S1961" s="36" t="str">
        <f>""</f>
        <v/>
      </c>
      <c r="T1961" s="36" t="str">
        <f>""</f>
        <v/>
      </c>
      <c r="U1961" s="36" t="str">
        <f>""</f>
        <v/>
      </c>
      <c r="V1961" s="36" t="str">
        <f>""</f>
        <v/>
      </c>
      <c r="W1961" s="36">
        <f t="shared" si="183"/>
        <v>1</v>
      </c>
      <c r="X1961" t="str">
        <f t="shared" si="184"/>
        <v>Inactive</v>
      </c>
      <c r="Y1961" t="str">
        <f>IF(MAIN!$H$3="Selected Year",IF(A1961=MAIN!$B$3,"Yes","No"),IF(MAIN!$H$3="Included Years",IF(D1961="Yes","Yes","No"),IF(C1961="Yes","Yes","No")))</f>
        <v>No</v>
      </c>
      <c r="Z1961" t="str">
        <f>IF(MAIN!$F$3="Project to Date",IF(AND(A1961&gt;=SETTINGS!$B$4,A1961&lt;MAIN!$B$3),"Yes",IF(AND(A1961=MAIN!$B$3,E1961&lt;=MAIN!$L$3),"Yes","No")),IF(OR(MAIN!$F$3="Full Year",MAIN!$D$3="All"),"Yes",IF(MAIN!$F$3="Monthly",IF(E1961=MAIN!$L$3,"Yes","No"),IF(E1961&lt;=MAIN!$L$3,"Yes","No"))))</f>
        <v>Yes</v>
      </c>
      <c r="AA1961" t="str">
        <f t="shared" si="185"/>
        <v>No</v>
      </c>
    </row>
    <row r="1962" spans="1:27" x14ac:dyDescent="0.3">
      <c r="A1962">
        <f>INDEX(SETTINGS!$A$15:$A$24,$B1962)</f>
        <v>2033</v>
      </c>
      <c r="B1962">
        <v>9</v>
      </c>
      <c r="C1962" t="str">
        <f>IF(AND(A1962&gt;=SETTINGS!$B$4,A1962&lt;=SETTINGS!$B$5),"Yes","No")</f>
        <v>No</v>
      </c>
      <c r="D1962" t="str">
        <f>IFERROR(INDEX(SETTINGS!$C$15:$C$24,MATCH(A1962,SETTINGS!$A$15:$A$24,0)),"No")</f>
        <v>No</v>
      </c>
      <c r="E1962">
        <v>8</v>
      </c>
      <c r="F1962" t="s">
        <v>41</v>
      </c>
      <c r="G1962">
        <v>181</v>
      </c>
      <c r="H1962" t="s">
        <v>95</v>
      </c>
      <c r="I1962" t="s">
        <v>15</v>
      </c>
      <c r="J1962" t="s">
        <v>16</v>
      </c>
      <c r="K1962" t="s">
        <v>3</v>
      </c>
      <c r="L1962" s="36">
        <f ca="1">IF(C1962&lt;&gt;"Yes",0,IF(A1962=2025,N('2025'!D181),IF(A1962=2026,N('2026'!D181),IF(A1962=2027,N('2027'!D181),IF(A1962=2028,N('2028'!D181),IF(A1962=2029,N('2029'!D181),IF(A1962=2030,N('2030'!D181),IF(A1962=2031,N('2031'!D181),IF(A1962=2032,N('2032'!D181),IF(A1962=2033,N('2033'!D181),IF(A1962=2034,N('2034'!D181),IFERROR(N(INDIRECT("'"&amp;A1962&amp;"'!D"&amp;G1962)),0))))))))))))</f>
        <v>0</v>
      </c>
      <c r="M1962" s="36">
        <f>IFERROR(IF(NOT(ISBLANK(KPI_TARGETS!$O$8)),KPI_TARGETS!$O$8,IF(NOT(ISBLANK(KPI_TARGETS!$F$8)),KPI_TARGETS!$F$8,"")),"")</f>
        <v>0</v>
      </c>
      <c r="N1962" s="36" t="str">
        <f>IFERROR(KPI_TARGETS!$E$8,"Higher is better")</f>
        <v>Lower is better</v>
      </c>
      <c r="O1962" s="37">
        <f t="shared" ca="1" si="180"/>
        <v>1</v>
      </c>
      <c r="P1962" t="str">
        <f t="shared" ca="1" si="181"/>
        <v>Green</v>
      </c>
      <c r="Q1962" s="36">
        <f t="shared" ca="1" si="182"/>
        <v>0</v>
      </c>
      <c r="R1962" s="36" t="str">
        <f>""</f>
        <v/>
      </c>
      <c r="S1962" s="36" t="str">
        <f>""</f>
        <v/>
      </c>
      <c r="T1962" s="36" t="str">
        <f>""</f>
        <v/>
      </c>
      <c r="U1962" s="36" t="str">
        <f>""</f>
        <v/>
      </c>
      <c r="V1962" s="36" t="str">
        <f>""</f>
        <v/>
      </c>
      <c r="W1962" s="36">
        <f t="shared" si="183"/>
        <v>1</v>
      </c>
      <c r="X1962" t="str">
        <f t="shared" si="184"/>
        <v>Inactive</v>
      </c>
      <c r="Y1962" t="str">
        <f>IF(MAIN!$H$3="Selected Year",IF(A1962=MAIN!$B$3,"Yes","No"),IF(MAIN!$H$3="Included Years",IF(D1962="Yes","Yes","No"),IF(C1962="Yes","Yes","No")))</f>
        <v>No</v>
      </c>
      <c r="Z1962" t="str">
        <f>IF(MAIN!$F$3="Project to Date",IF(AND(A1962&gt;=SETTINGS!$B$4,A1962&lt;MAIN!$B$3),"Yes",IF(AND(A1962=MAIN!$B$3,E1962&lt;=MAIN!$L$3),"Yes","No")),IF(OR(MAIN!$F$3="Full Year",MAIN!$D$3="All"),"Yes",IF(MAIN!$F$3="Monthly",IF(E1962=MAIN!$L$3,"Yes","No"),IF(E1962&lt;=MAIN!$L$3,"Yes","No"))))</f>
        <v>Yes</v>
      </c>
      <c r="AA1962" t="str">
        <f t="shared" si="185"/>
        <v>No</v>
      </c>
    </row>
    <row r="1963" spans="1:27" x14ac:dyDescent="0.3">
      <c r="A1963">
        <f>INDEX(SETTINGS!$A$15:$A$24,$B1963)</f>
        <v>2033</v>
      </c>
      <c r="B1963">
        <v>9</v>
      </c>
      <c r="C1963" t="str">
        <f>IF(AND(A1963&gt;=SETTINGS!$B$4,A1963&lt;=SETTINGS!$B$5),"Yes","No")</f>
        <v>No</v>
      </c>
      <c r="D1963" t="str">
        <f>IFERROR(INDEX(SETTINGS!$C$15:$C$24,MATCH(A1963,SETTINGS!$A$15:$A$24,0)),"No")</f>
        <v>No</v>
      </c>
      <c r="E1963">
        <v>8</v>
      </c>
      <c r="F1963" t="s">
        <v>41</v>
      </c>
      <c r="G1963">
        <v>182</v>
      </c>
      <c r="H1963" t="s">
        <v>97</v>
      </c>
      <c r="I1963" t="s">
        <v>15</v>
      </c>
      <c r="J1963" t="s">
        <v>17</v>
      </c>
      <c r="K1963" t="s">
        <v>3</v>
      </c>
      <c r="L1963" s="36">
        <f ca="1">IF(C1963&lt;&gt;"Yes",0,IF(A1963=2025,N('2025'!D182),IF(A1963=2026,N('2026'!D182),IF(A1963=2027,N('2027'!D182),IF(A1963=2028,N('2028'!D182),IF(A1963=2029,N('2029'!D182),IF(A1963=2030,N('2030'!D182),IF(A1963=2031,N('2031'!D182),IF(A1963=2032,N('2032'!D182),IF(A1963=2033,N('2033'!D182),IF(A1963=2034,N('2034'!D182),IFERROR(N(INDIRECT("'"&amp;A1963&amp;"'!D"&amp;G1963)),0))))))))))))</f>
        <v>0</v>
      </c>
      <c r="M1963" s="36">
        <f>IFERROR(IF(NOT(ISBLANK(KPI_TARGETS!$O$9)),KPI_TARGETS!$O$9,IF(NOT(ISBLANK(KPI_TARGETS!$F$9)),KPI_TARGETS!$F$9,"")),"")</f>
        <v>0</v>
      </c>
      <c r="N1963" s="36" t="str">
        <f>IFERROR(KPI_TARGETS!$E$9,"Higher is better")</f>
        <v>Higher is better</v>
      </c>
      <c r="O1963" s="37" t="str">
        <f t="shared" ca="1" si="180"/>
        <v/>
      </c>
      <c r="P1963" t="str">
        <f t="shared" ca="1" si="181"/>
        <v>Green</v>
      </c>
      <c r="Q1963" s="36">
        <f t="shared" ca="1" si="182"/>
        <v>0</v>
      </c>
      <c r="R1963" s="36" t="str">
        <f>""</f>
        <v/>
      </c>
      <c r="S1963" s="36" t="str">
        <f>""</f>
        <v/>
      </c>
      <c r="T1963" s="36" t="str">
        <f>""</f>
        <v/>
      </c>
      <c r="U1963" s="36" t="str">
        <f>""</f>
        <v/>
      </c>
      <c r="V1963" s="36" t="str">
        <f>""</f>
        <v/>
      </c>
      <c r="W1963" s="36">
        <f t="shared" si="183"/>
        <v>1</v>
      </c>
      <c r="X1963" t="str">
        <f t="shared" si="184"/>
        <v>Inactive</v>
      </c>
      <c r="Y1963" t="str">
        <f>IF(MAIN!$H$3="Selected Year",IF(A1963=MAIN!$B$3,"Yes","No"),IF(MAIN!$H$3="Included Years",IF(D1963="Yes","Yes","No"),IF(C1963="Yes","Yes","No")))</f>
        <v>No</v>
      </c>
      <c r="Z1963" t="str">
        <f>IF(MAIN!$F$3="Project to Date",IF(AND(A1963&gt;=SETTINGS!$B$4,A1963&lt;MAIN!$B$3),"Yes",IF(AND(A1963=MAIN!$B$3,E1963&lt;=MAIN!$L$3),"Yes","No")),IF(OR(MAIN!$F$3="Full Year",MAIN!$D$3="All"),"Yes",IF(MAIN!$F$3="Monthly",IF(E1963=MAIN!$L$3,"Yes","No"),IF(E1963&lt;=MAIN!$L$3,"Yes","No"))))</f>
        <v>Yes</v>
      </c>
      <c r="AA1963" t="str">
        <f t="shared" si="185"/>
        <v>No</v>
      </c>
    </row>
    <row r="1964" spans="1:27" x14ac:dyDescent="0.3">
      <c r="A1964">
        <f>INDEX(SETTINGS!$A$15:$A$24,$B1964)</f>
        <v>2033</v>
      </c>
      <c r="B1964">
        <v>9</v>
      </c>
      <c r="C1964" t="str">
        <f>IF(AND(A1964&gt;=SETTINGS!$B$4,A1964&lt;=SETTINGS!$B$5),"Yes","No")</f>
        <v>No</v>
      </c>
      <c r="D1964" t="str">
        <f>IFERROR(INDEX(SETTINGS!$C$15:$C$24,MATCH(A1964,SETTINGS!$A$15:$A$24,0)),"No")</f>
        <v>No</v>
      </c>
      <c r="E1964">
        <v>8</v>
      </c>
      <c r="F1964" t="s">
        <v>41</v>
      </c>
      <c r="G1964">
        <v>183</v>
      </c>
      <c r="H1964" t="s">
        <v>99</v>
      </c>
      <c r="I1964" t="s">
        <v>15</v>
      </c>
      <c r="J1964" t="s">
        <v>18</v>
      </c>
      <c r="K1964" t="s">
        <v>3</v>
      </c>
      <c r="L1964" s="36">
        <f ca="1">IF(C1964&lt;&gt;"Yes",0,IF(A1964=2025,N('2025'!D183),IF(A1964=2026,N('2026'!D183),IF(A1964=2027,N('2027'!D183),IF(A1964=2028,N('2028'!D183),IF(A1964=2029,N('2029'!D183),IF(A1964=2030,N('2030'!D183),IF(A1964=2031,N('2031'!D183),IF(A1964=2032,N('2032'!D183),IF(A1964=2033,N('2033'!D183),IF(A1964=2034,N('2034'!D183),IFERROR(N(INDIRECT("'"&amp;A1964&amp;"'!D"&amp;G1964)),0))))))))))))</f>
        <v>0</v>
      </c>
      <c r="M1964" s="36">
        <f>IFERROR(IF(NOT(ISBLANK(KPI_TARGETS!$O$10)),KPI_TARGETS!$O$10,IF(NOT(ISBLANK(KPI_TARGETS!$F$10)),KPI_TARGETS!$F$10,"")),"")</f>
        <v>0</v>
      </c>
      <c r="N1964" s="36" t="str">
        <f>IFERROR(KPI_TARGETS!$E$10,"Higher is better")</f>
        <v>Lower is better</v>
      </c>
      <c r="O1964" s="37">
        <f t="shared" ca="1" si="180"/>
        <v>1</v>
      </c>
      <c r="P1964" t="str">
        <f t="shared" ca="1" si="181"/>
        <v>Green</v>
      </c>
      <c r="Q1964" s="36">
        <f t="shared" ca="1" si="182"/>
        <v>0</v>
      </c>
      <c r="R1964" s="36" t="str">
        <f>""</f>
        <v/>
      </c>
      <c r="S1964" s="36" t="str">
        <f>""</f>
        <v/>
      </c>
      <c r="T1964" s="36" t="str">
        <f>""</f>
        <v/>
      </c>
      <c r="U1964" s="36" t="str">
        <f>""</f>
        <v/>
      </c>
      <c r="V1964" s="36" t="str">
        <f>""</f>
        <v/>
      </c>
      <c r="W1964" s="36">
        <f t="shared" si="183"/>
        <v>1</v>
      </c>
      <c r="X1964" t="str">
        <f t="shared" si="184"/>
        <v>Inactive</v>
      </c>
      <c r="Y1964" t="str">
        <f>IF(MAIN!$H$3="Selected Year",IF(A1964=MAIN!$B$3,"Yes","No"),IF(MAIN!$H$3="Included Years",IF(D1964="Yes","Yes","No"),IF(C1964="Yes","Yes","No")))</f>
        <v>No</v>
      </c>
      <c r="Z1964" t="str">
        <f>IF(MAIN!$F$3="Project to Date",IF(AND(A1964&gt;=SETTINGS!$B$4,A1964&lt;MAIN!$B$3),"Yes",IF(AND(A1964=MAIN!$B$3,E1964&lt;=MAIN!$L$3),"Yes","No")),IF(OR(MAIN!$F$3="Full Year",MAIN!$D$3="All"),"Yes",IF(MAIN!$F$3="Monthly",IF(E1964=MAIN!$L$3,"Yes","No"),IF(E1964&lt;=MAIN!$L$3,"Yes","No"))))</f>
        <v>Yes</v>
      </c>
      <c r="AA1964" t="str">
        <f t="shared" si="185"/>
        <v>No</v>
      </c>
    </row>
    <row r="1965" spans="1:27" x14ac:dyDescent="0.3">
      <c r="A1965">
        <f>INDEX(SETTINGS!$A$15:$A$24,$B1965)</f>
        <v>2033</v>
      </c>
      <c r="B1965">
        <v>9</v>
      </c>
      <c r="C1965" t="str">
        <f>IF(AND(A1965&gt;=SETTINGS!$B$4,A1965&lt;=SETTINGS!$B$5),"Yes","No")</f>
        <v>No</v>
      </c>
      <c r="D1965" t="str">
        <f>IFERROR(INDEX(SETTINGS!$C$15:$C$24,MATCH(A1965,SETTINGS!$A$15:$A$24,0)),"No")</f>
        <v>No</v>
      </c>
      <c r="E1965">
        <v>8</v>
      </c>
      <c r="F1965" t="s">
        <v>41</v>
      </c>
      <c r="G1965">
        <v>184</v>
      </c>
      <c r="H1965" t="s">
        <v>100</v>
      </c>
      <c r="I1965" t="s">
        <v>15</v>
      </c>
      <c r="J1965" t="s">
        <v>19</v>
      </c>
      <c r="K1965" t="s">
        <v>3</v>
      </c>
      <c r="L1965" s="36">
        <f ca="1">IF(C1965&lt;&gt;"Yes",0,IF(A1965=2025,N('2025'!D184),IF(A1965=2026,N('2026'!D184),IF(A1965=2027,N('2027'!D184),IF(A1965=2028,N('2028'!D184),IF(A1965=2029,N('2029'!D184),IF(A1965=2030,N('2030'!D184),IF(A1965=2031,N('2031'!D184),IF(A1965=2032,N('2032'!D184),IF(A1965=2033,N('2033'!D184),IF(A1965=2034,N('2034'!D184),IFERROR(N(INDIRECT("'"&amp;A1965&amp;"'!D"&amp;G1965)),0))))))))))))</f>
        <v>0</v>
      </c>
      <c r="M1965" s="36">
        <f>IFERROR(IF(NOT(ISBLANK(KPI_TARGETS!$O$11)),KPI_TARGETS!$O$11,IF(NOT(ISBLANK(KPI_TARGETS!$F$11)),KPI_TARGETS!$F$11,"")),"")</f>
        <v>0</v>
      </c>
      <c r="N1965" s="36" t="str">
        <f>IFERROR(KPI_TARGETS!$E$11,"Higher is better")</f>
        <v>Lower is better</v>
      </c>
      <c r="O1965" s="37">
        <f t="shared" ca="1" si="180"/>
        <v>1</v>
      </c>
      <c r="P1965" t="str">
        <f t="shared" ca="1" si="181"/>
        <v>Green</v>
      </c>
      <c r="Q1965" s="36">
        <f t="shared" ca="1" si="182"/>
        <v>0</v>
      </c>
      <c r="R1965" s="36" t="str">
        <f>""</f>
        <v/>
      </c>
      <c r="S1965" s="36" t="str">
        <f>""</f>
        <v/>
      </c>
      <c r="T1965" s="36" t="str">
        <f>""</f>
        <v/>
      </c>
      <c r="U1965" s="36" t="str">
        <f>""</f>
        <v/>
      </c>
      <c r="V1965" s="36" t="str">
        <f>""</f>
        <v/>
      </c>
      <c r="W1965" s="36">
        <f t="shared" si="183"/>
        <v>1</v>
      </c>
      <c r="X1965" t="str">
        <f t="shared" si="184"/>
        <v>Inactive</v>
      </c>
      <c r="Y1965" t="str">
        <f>IF(MAIN!$H$3="Selected Year",IF(A1965=MAIN!$B$3,"Yes","No"),IF(MAIN!$H$3="Included Years",IF(D1965="Yes","Yes","No"),IF(C1965="Yes","Yes","No")))</f>
        <v>No</v>
      </c>
      <c r="Z1965" t="str">
        <f>IF(MAIN!$F$3="Project to Date",IF(AND(A1965&gt;=SETTINGS!$B$4,A1965&lt;MAIN!$B$3),"Yes",IF(AND(A1965=MAIN!$B$3,E1965&lt;=MAIN!$L$3),"Yes","No")),IF(OR(MAIN!$F$3="Full Year",MAIN!$D$3="All"),"Yes",IF(MAIN!$F$3="Monthly",IF(E1965=MAIN!$L$3,"Yes","No"),IF(E1965&lt;=MAIN!$L$3,"Yes","No"))))</f>
        <v>Yes</v>
      </c>
      <c r="AA1965" t="str">
        <f t="shared" si="185"/>
        <v>No</v>
      </c>
    </row>
    <row r="1966" spans="1:27" x14ac:dyDescent="0.3">
      <c r="A1966">
        <f>INDEX(SETTINGS!$A$15:$A$24,$B1966)</f>
        <v>2033</v>
      </c>
      <c r="B1966">
        <v>9</v>
      </c>
      <c r="C1966" t="str">
        <f>IF(AND(A1966&gt;=SETTINGS!$B$4,A1966&lt;=SETTINGS!$B$5),"Yes","No")</f>
        <v>No</v>
      </c>
      <c r="D1966" t="str">
        <f>IFERROR(INDEX(SETTINGS!$C$15:$C$24,MATCH(A1966,SETTINGS!$A$15:$A$24,0)),"No")</f>
        <v>No</v>
      </c>
      <c r="E1966">
        <v>8</v>
      </c>
      <c r="F1966" t="s">
        <v>41</v>
      </c>
      <c r="G1966">
        <v>185</v>
      </c>
      <c r="H1966" t="s">
        <v>101</v>
      </c>
      <c r="I1966" t="s">
        <v>15</v>
      </c>
      <c r="J1966" t="s">
        <v>20</v>
      </c>
      <c r="K1966" t="s">
        <v>3</v>
      </c>
      <c r="L1966" s="36">
        <f ca="1">IF(C1966&lt;&gt;"Yes",0,IF(A1966=2025,N('2025'!D185),IF(A1966=2026,N('2026'!D185),IF(A1966=2027,N('2027'!D185),IF(A1966=2028,N('2028'!D185),IF(A1966=2029,N('2029'!D185),IF(A1966=2030,N('2030'!D185),IF(A1966=2031,N('2031'!D185),IF(A1966=2032,N('2032'!D185),IF(A1966=2033,N('2033'!D185),IF(A1966=2034,N('2034'!D185),IFERROR(N(INDIRECT("'"&amp;A1966&amp;"'!D"&amp;G1966)),0))))))))))))</f>
        <v>0</v>
      </c>
      <c r="M1966" s="36">
        <f>IFERROR(IF(NOT(ISBLANK(KPI_TARGETS!$O$12)),KPI_TARGETS!$O$12,IF(NOT(ISBLANK(KPI_TARGETS!$F$12)),KPI_TARGETS!$F$12,"")),"")</f>
        <v>0</v>
      </c>
      <c r="N1966" s="36" t="str">
        <f>IFERROR(KPI_TARGETS!$E$12,"Higher is better")</f>
        <v>Lower is better</v>
      </c>
      <c r="O1966" s="37">
        <f t="shared" ca="1" si="180"/>
        <v>1</v>
      </c>
      <c r="P1966" t="str">
        <f t="shared" ca="1" si="181"/>
        <v>Green</v>
      </c>
      <c r="Q1966" s="36">
        <f t="shared" ca="1" si="182"/>
        <v>0</v>
      </c>
      <c r="R1966" s="36" t="str">
        <f>""</f>
        <v/>
      </c>
      <c r="S1966" s="36" t="str">
        <f>""</f>
        <v/>
      </c>
      <c r="T1966" s="36" t="str">
        <f>""</f>
        <v/>
      </c>
      <c r="U1966" s="36" t="str">
        <f>""</f>
        <v/>
      </c>
      <c r="V1966" s="36" t="str">
        <f>""</f>
        <v/>
      </c>
      <c r="W1966" s="36">
        <f t="shared" si="183"/>
        <v>1</v>
      </c>
      <c r="X1966" t="str">
        <f t="shared" si="184"/>
        <v>Inactive</v>
      </c>
      <c r="Y1966" t="str">
        <f>IF(MAIN!$H$3="Selected Year",IF(A1966=MAIN!$B$3,"Yes","No"),IF(MAIN!$H$3="Included Years",IF(D1966="Yes","Yes","No"),IF(C1966="Yes","Yes","No")))</f>
        <v>No</v>
      </c>
      <c r="Z1966" t="str">
        <f>IF(MAIN!$F$3="Project to Date",IF(AND(A1966&gt;=SETTINGS!$B$4,A1966&lt;MAIN!$B$3),"Yes",IF(AND(A1966=MAIN!$B$3,E1966&lt;=MAIN!$L$3),"Yes","No")),IF(OR(MAIN!$F$3="Full Year",MAIN!$D$3="All"),"Yes",IF(MAIN!$F$3="Monthly",IF(E1966=MAIN!$L$3,"Yes","No"),IF(E1966&lt;=MAIN!$L$3,"Yes","No"))))</f>
        <v>Yes</v>
      </c>
      <c r="AA1966" t="str">
        <f t="shared" si="185"/>
        <v>No</v>
      </c>
    </row>
    <row r="1967" spans="1:27" x14ac:dyDescent="0.3">
      <c r="A1967">
        <f>INDEX(SETTINGS!$A$15:$A$24,$B1967)</f>
        <v>2033</v>
      </c>
      <c r="B1967">
        <v>9</v>
      </c>
      <c r="C1967" t="str">
        <f>IF(AND(A1967&gt;=SETTINGS!$B$4,A1967&lt;=SETTINGS!$B$5),"Yes","No")</f>
        <v>No</v>
      </c>
      <c r="D1967" t="str">
        <f>IFERROR(INDEX(SETTINGS!$C$15:$C$24,MATCH(A1967,SETTINGS!$A$15:$A$24,0)),"No")</f>
        <v>No</v>
      </c>
      <c r="E1967">
        <v>8</v>
      </c>
      <c r="F1967" t="s">
        <v>41</v>
      </c>
      <c r="G1967">
        <v>186</v>
      </c>
      <c r="H1967" t="s">
        <v>102</v>
      </c>
      <c r="I1967" t="s">
        <v>15</v>
      </c>
      <c r="J1967" t="s">
        <v>21</v>
      </c>
      <c r="K1967" t="s">
        <v>3</v>
      </c>
      <c r="L1967" s="36">
        <f ca="1">IF(C1967&lt;&gt;"Yes",0,IF(A1967=2025,N('2025'!D186),IF(A1967=2026,N('2026'!D186),IF(A1967=2027,N('2027'!D186),IF(A1967=2028,N('2028'!D186),IF(A1967=2029,N('2029'!D186),IF(A1967=2030,N('2030'!D186),IF(A1967=2031,N('2031'!D186),IF(A1967=2032,N('2032'!D186),IF(A1967=2033,N('2033'!D186),IF(A1967=2034,N('2034'!D186),IFERROR(N(INDIRECT("'"&amp;A1967&amp;"'!D"&amp;G1967)),0))))))))))))</f>
        <v>0</v>
      </c>
      <c r="M1967" s="36">
        <f>IFERROR(IF(NOT(ISBLANK(KPI_TARGETS!$O$13)),KPI_TARGETS!$O$13,IF(NOT(ISBLANK(KPI_TARGETS!$F$13)),KPI_TARGETS!$F$13,"")),"")</f>
        <v>0</v>
      </c>
      <c r="N1967" s="36" t="str">
        <f>IFERROR(KPI_TARGETS!$E$13,"Higher is better")</f>
        <v>Lower is better</v>
      </c>
      <c r="O1967" s="37">
        <f t="shared" ca="1" si="180"/>
        <v>1</v>
      </c>
      <c r="P1967" t="str">
        <f t="shared" ca="1" si="181"/>
        <v>Green</v>
      </c>
      <c r="Q1967" s="36">
        <f t="shared" ca="1" si="182"/>
        <v>0</v>
      </c>
      <c r="R1967" s="36" t="str">
        <f>""</f>
        <v/>
      </c>
      <c r="S1967" s="36" t="str">
        <f>""</f>
        <v/>
      </c>
      <c r="T1967" s="36" t="str">
        <f>""</f>
        <v/>
      </c>
      <c r="U1967" s="36" t="str">
        <f>""</f>
        <v/>
      </c>
      <c r="V1967" s="36" t="str">
        <f>""</f>
        <v/>
      </c>
      <c r="W1967" s="36">
        <f t="shared" si="183"/>
        <v>1</v>
      </c>
      <c r="X1967" t="str">
        <f t="shared" si="184"/>
        <v>Inactive</v>
      </c>
      <c r="Y1967" t="str">
        <f>IF(MAIN!$H$3="Selected Year",IF(A1967=MAIN!$B$3,"Yes","No"),IF(MAIN!$H$3="Included Years",IF(D1967="Yes","Yes","No"),IF(C1967="Yes","Yes","No")))</f>
        <v>No</v>
      </c>
      <c r="Z1967" t="str">
        <f>IF(MAIN!$F$3="Project to Date",IF(AND(A1967&gt;=SETTINGS!$B$4,A1967&lt;MAIN!$B$3),"Yes",IF(AND(A1967=MAIN!$B$3,E1967&lt;=MAIN!$L$3),"Yes","No")),IF(OR(MAIN!$F$3="Full Year",MAIN!$D$3="All"),"Yes",IF(MAIN!$F$3="Monthly",IF(E1967=MAIN!$L$3,"Yes","No"),IF(E1967&lt;=MAIN!$L$3,"Yes","No"))))</f>
        <v>Yes</v>
      </c>
      <c r="AA1967" t="str">
        <f t="shared" si="185"/>
        <v>No</v>
      </c>
    </row>
    <row r="1968" spans="1:27" x14ac:dyDescent="0.3">
      <c r="A1968">
        <f>INDEX(SETTINGS!$A$15:$A$24,$B1968)</f>
        <v>2033</v>
      </c>
      <c r="B1968">
        <v>9</v>
      </c>
      <c r="C1968" t="str">
        <f>IF(AND(A1968&gt;=SETTINGS!$B$4,A1968&lt;=SETTINGS!$B$5),"Yes","No")</f>
        <v>No</v>
      </c>
      <c r="D1968" t="str">
        <f>IFERROR(INDEX(SETTINGS!$C$15:$C$24,MATCH(A1968,SETTINGS!$A$15:$A$24,0)),"No")</f>
        <v>No</v>
      </c>
      <c r="E1968">
        <v>8</v>
      </c>
      <c r="F1968" t="s">
        <v>41</v>
      </c>
      <c r="G1968">
        <v>188</v>
      </c>
      <c r="H1968" t="s">
        <v>103</v>
      </c>
      <c r="I1968" t="s">
        <v>22</v>
      </c>
      <c r="J1968" t="s">
        <v>23</v>
      </c>
      <c r="K1968" t="s">
        <v>3</v>
      </c>
      <c r="L1968" s="36">
        <f ca="1">IF(C1968&lt;&gt;"Yes",0,IF(A1968=2025,N('2025'!D188),IF(A1968=2026,N('2026'!D188),IF(A1968=2027,N('2027'!D188),IF(A1968=2028,N('2028'!D188),IF(A1968=2029,N('2029'!D188),IF(A1968=2030,N('2030'!D188),IF(A1968=2031,N('2031'!D188),IF(A1968=2032,N('2032'!D188),IF(A1968=2033,N('2033'!D188),IF(A1968=2034,N('2034'!D188),IFERROR(N(INDIRECT("'"&amp;A1968&amp;"'!D"&amp;G1968)),0))))))))))))</f>
        <v>0</v>
      </c>
      <c r="M1968" s="36">
        <f>IFERROR(IF(NOT(ISBLANK(KPI_TARGETS!$O$14)),KPI_TARGETS!$O$14,IF(NOT(ISBLANK(KPI_TARGETS!$F$14)),KPI_TARGETS!$F$14,"")),"")</f>
        <v>35</v>
      </c>
      <c r="N1968" s="36" t="str">
        <f>IFERROR(KPI_TARGETS!$E$14,"Higher is better")</f>
        <v>Higher is better</v>
      </c>
      <c r="O1968" s="37">
        <f t="shared" ca="1" si="180"/>
        <v>0</v>
      </c>
      <c r="P1968" t="str">
        <f t="shared" ca="1" si="181"/>
        <v>Red</v>
      </c>
      <c r="Q1968" s="36">
        <f t="shared" ca="1" si="182"/>
        <v>-35</v>
      </c>
      <c r="R1968" s="36" t="str">
        <f>""</f>
        <v/>
      </c>
      <c r="S1968" s="36" t="str">
        <f>""</f>
        <v/>
      </c>
      <c r="T1968" s="36" t="str">
        <f>""</f>
        <v/>
      </c>
      <c r="U1968" s="36" t="str">
        <f>""</f>
        <v/>
      </c>
      <c r="V1968" s="36" t="str">
        <f>""</f>
        <v/>
      </c>
      <c r="W1968" s="36">
        <f t="shared" si="183"/>
        <v>1</v>
      </c>
      <c r="X1968" t="str">
        <f t="shared" si="184"/>
        <v>Inactive</v>
      </c>
      <c r="Y1968" t="str">
        <f>IF(MAIN!$H$3="Selected Year",IF(A1968=MAIN!$B$3,"Yes","No"),IF(MAIN!$H$3="Included Years",IF(D1968="Yes","Yes","No"),IF(C1968="Yes","Yes","No")))</f>
        <v>No</v>
      </c>
      <c r="Z1968" t="str">
        <f>IF(MAIN!$F$3="Project to Date",IF(AND(A1968&gt;=SETTINGS!$B$4,A1968&lt;MAIN!$B$3),"Yes",IF(AND(A1968=MAIN!$B$3,E1968&lt;=MAIN!$L$3),"Yes","No")),IF(OR(MAIN!$F$3="Full Year",MAIN!$D$3="All"),"Yes",IF(MAIN!$F$3="Monthly",IF(E1968=MAIN!$L$3,"Yes","No"),IF(E1968&lt;=MAIN!$L$3,"Yes","No"))))</f>
        <v>Yes</v>
      </c>
      <c r="AA1968" t="str">
        <f t="shared" si="185"/>
        <v>No</v>
      </c>
    </row>
    <row r="1969" spans="1:27" x14ac:dyDescent="0.3">
      <c r="A1969">
        <f>INDEX(SETTINGS!$A$15:$A$24,$B1969)</f>
        <v>2033</v>
      </c>
      <c r="B1969">
        <v>9</v>
      </c>
      <c r="C1969" t="str">
        <f>IF(AND(A1969&gt;=SETTINGS!$B$4,A1969&lt;=SETTINGS!$B$5),"Yes","No")</f>
        <v>No</v>
      </c>
      <c r="D1969" t="str">
        <f>IFERROR(INDEX(SETTINGS!$C$15:$C$24,MATCH(A1969,SETTINGS!$A$15:$A$24,0)),"No")</f>
        <v>No</v>
      </c>
      <c r="E1969">
        <v>8</v>
      </c>
      <c r="F1969" t="s">
        <v>41</v>
      </c>
      <c r="G1969">
        <v>189</v>
      </c>
      <c r="H1969" t="s">
        <v>104</v>
      </c>
      <c r="I1969" t="s">
        <v>22</v>
      </c>
      <c r="J1969" t="s">
        <v>24</v>
      </c>
      <c r="K1969" t="s">
        <v>3</v>
      </c>
      <c r="L1969" s="36">
        <f ca="1">IF(C1969&lt;&gt;"Yes",0,IF(A1969=2025,N('2025'!D189),IF(A1969=2026,N('2026'!D189),IF(A1969=2027,N('2027'!D189),IF(A1969=2028,N('2028'!D189),IF(A1969=2029,N('2029'!D189),IF(A1969=2030,N('2030'!D189),IF(A1969=2031,N('2031'!D189),IF(A1969=2032,N('2032'!D189),IF(A1969=2033,N('2033'!D189),IF(A1969=2034,N('2034'!D189),IFERROR(N(INDIRECT("'"&amp;A1969&amp;"'!D"&amp;G1969)),0))))))))))))</f>
        <v>0</v>
      </c>
      <c r="M1969" s="36">
        <f>IFERROR(IF(NOT(ISBLANK(KPI_TARGETS!$O$15)),KPI_TARGETS!$O$15,IF(NOT(ISBLANK(KPI_TARGETS!$F$15)),KPI_TARGETS!$F$15,"")),"")</f>
        <v>5</v>
      </c>
      <c r="N1969" s="36" t="str">
        <f>IFERROR(KPI_TARGETS!$E$15,"Higher is better")</f>
        <v>Higher is better</v>
      </c>
      <c r="O1969" s="37">
        <f t="shared" ca="1" si="180"/>
        <v>0</v>
      </c>
      <c r="P1969" t="str">
        <f t="shared" ca="1" si="181"/>
        <v>Red</v>
      </c>
      <c r="Q1969" s="36">
        <f t="shared" ca="1" si="182"/>
        <v>-5</v>
      </c>
      <c r="R1969" s="36" t="str">
        <f>""</f>
        <v/>
      </c>
      <c r="S1969" s="36" t="str">
        <f>""</f>
        <v/>
      </c>
      <c r="T1969" s="36" t="str">
        <f>""</f>
        <v/>
      </c>
      <c r="U1969" s="36" t="str">
        <f>""</f>
        <v/>
      </c>
      <c r="V1969" s="36" t="str">
        <f>""</f>
        <v/>
      </c>
      <c r="W1969" s="36">
        <f t="shared" si="183"/>
        <v>1</v>
      </c>
      <c r="X1969" t="str">
        <f t="shared" si="184"/>
        <v>Inactive</v>
      </c>
      <c r="Y1969" t="str">
        <f>IF(MAIN!$H$3="Selected Year",IF(A1969=MAIN!$B$3,"Yes","No"),IF(MAIN!$H$3="Included Years",IF(D1969="Yes","Yes","No"),IF(C1969="Yes","Yes","No")))</f>
        <v>No</v>
      </c>
      <c r="Z1969" t="str">
        <f>IF(MAIN!$F$3="Project to Date",IF(AND(A1969&gt;=SETTINGS!$B$4,A1969&lt;MAIN!$B$3),"Yes",IF(AND(A1969=MAIN!$B$3,E1969&lt;=MAIN!$L$3),"Yes","No")),IF(OR(MAIN!$F$3="Full Year",MAIN!$D$3="All"),"Yes",IF(MAIN!$F$3="Monthly",IF(E1969=MAIN!$L$3,"Yes","No"),IF(E1969&lt;=MAIN!$L$3,"Yes","No"))))</f>
        <v>Yes</v>
      </c>
      <c r="AA1969" t="str">
        <f t="shared" si="185"/>
        <v>No</v>
      </c>
    </row>
    <row r="1970" spans="1:27" x14ac:dyDescent="0.3">
      <c r="A1970">
        <f>INDEX(SETTINGS!$A$15:$A$24,$B1970)</f>
        <v>2033</v>
      </c>
      <c r="B1970">
        <v>9</v>
      </c>
      <c r="C1970" t="str">
        <f>IF(AND(A1970&gt;=SETTINGS!$B$4,A1970&lt;=SETTINGS!$B$5),"Yes","No")</f>
        <v>No</v>
      </c>
      <c r="D1970" t="str">
        <f>IFERROR(INDEX(SETTINGS!$C$15:$C$24,MATCH(A1970,SETTINGS!$A$15:$A$24,0)),"No")</f>
        <v>No</v>
      </c>
      <c r="E1970">
        <v>8</v>
      </c>
      <c r="F1970" t="s">
        <v>41</v>
      </c>
      <c r="G1970">
        <v>190</v>
      </c>
      <c r="H1970" t="s">
        <v>105</v>
      </c>
      <c r="I1970" t="s">
        <v>22</v>
      </c>
      <c r="J1970" t="s">
        <v>25</v>
      </c>
      <c r="K1970" t="s">
        <v>3</v>
      </c>
      <c r="L1970" s="36">
        <f ca="1">IF(C1970&lt;&gt;"Yes",0,IF(A1970=2025,N('2025'!D190),IF(A1970=2026,N('2026'!D190),IF(A1970=2027,N('2027'!D190),IF(A1970=2028,N('2028'!D190),IF(A1970=2029,N('2029'!D190),IF(A1970=2030,N('2030'!D190),IF(A1970=2031,N('2031'!D190),IF(A1970=2032,N('2032'!D190),IF(A1970=2033,N('2033'!D190),IF(A1970=2034,N('2034'!D190),IFERROR(N(INDIRECT("'"&amp;A1970&amp;"'!D"&amp;G1970)),0))))))))))))</f>
        <v>0</v>
      </c>
      <c r="M1970" s="36">
        <f>IFERROR(IF(NOT(ISBLANK(KPI_TARGETS!$O$16)),KPI_TARGETS!$O$16,IF(NOT(ISBLANK(KPI_TARGETS!$F$16)),KPI_TARGETS!$F$16,"")),"")</f>
        <v>4</v>
      </c>
      <c r="N1970" s="36" t="str">
        <f>IFERROR(KPI_TARGETS!$E$16,"Higher is better")</f>
        <v>Higher is better</v>
      </c>
      <c r="O1970" s="37">
        <f t="shared" ca="1" si="180"/>
        <v>0</v>
      </c>
      <c r="P1970" t="str">
        <f t="shared" ca="1" si="181"/>
        <v>Red</v>
      </c>
      <c r="Q1970" s="36">
        <f t="shared" ca="1" si="182"/>
        <v>-4</v>
      </c>
      <c r="R1970" s="36" t="str">
        <f>""</f>
        <v/>
      </c>
      <c r="S1970" s="36" t="str">
        <f>""</f>
        <v/>
      </c>
      <c r="T1970" s="36" t="str">
        <f>""</f>
        <v/>
      </c>
      <c r="U1970" s="36" t="str">
        <f>""</f>
        <v/>
      </c>
      <c r="V1970" s="36" t="str">
        <f>""</f>
        <v/>
      </c>
      <c r="W1970" s="36">
        <f t="shared" si="183"/>
        <v>1</v>
      </c>
      <c r="X1970" t="str">
        <f t="shared" si="184"/>
        <v>Inactive</v>
      </c>
      <c r="Y1970" t="str">
        <f>IF(MAIN!$H$3="Selected Year",IF(A1970=MAIN!$B$3,"Yes","No"),IF(MAIN!$H$3="Included Years",IF(D1970="Yes","Yes","No"),IF(C1970="Yes","Yes","No")))</f>
        <v>No</v>
      </c>
      <c r="Z1970" t="str">
        <f>IF(MAIN!$F$3="Project to Date",IF(AND(A1970&gt;=SETTINGS!$B$4,A1970&lt;MAIN!$B$3),"Yes",IF(AND(A1970=MAIN!$B$3,E1970&lt;=MAIN!$L$3),"Yes","No")),IF(OR(MAIN!$F$3="Full Year",MAIN!$D$3="All"),"Yes",IF(MAIN!$F$3="Monthly",IF(E1970=MAIN!$L$3,"Yes","No"),IF(E1970&lt;=MAIN!$L$3,"Yes","No"))))</f>
        <v>Yes</v>
      </c>
      <c r="AA1970" t="str">
        <f t="shared" si="185"/>
        <v>No</v>
      </c>
    </row>
    <row r="1971" spans="1:27" x14ac:dyDescent="0.3">
      <c r="A1971">
        <f>INDEX(SETTINGS!$A$15:$A$24,$B1971)</f>
        <v>2033</v>
      </c>
      <c r="B1971">
        <v>9</v>
      </c>
      <c r="C1971" t="str">
        <f>IF(AND(A1971&gt;=SETTINGS!$B$4,A1971&lt;=SETTINGS!$B$5),"Yes","No")</f>
        <v>No</v>
      </c>
      <c r="D1971" t="str">
        <f>IFERROR(INDEX(SETTINGS!$C$15:$C$24,MATCH(A1971,SETTINGS!$A$15:$A$24,0)),"No")</f>
        <v>No</v>
      </c>
      <c r="E1971">
        <v>8</v>
      </c>
      <c r="F1971" t="s">
        <v>41</v>
      </c>
      <c r="G1971">
        <v>191</v>
      </c>
      <c r="H1971" t="s">
        <v>106</v>
      </c>
      <c r="I1971" t="s">
        <v>22</v>
      </c>
      <c r="J1971" t="s">
        <v>26</v>
      </c>
      <c r="K1971" t="s">
        <v>3</v>
      </c>
      <c r="L1971" s="36">
        <f ca="1">IF(C1971&lt;&gt;"Yes",0,IF(A1971=2025,N('2025'!D191),IF(A1971=2026,N('2026'!D191),IF(A1971=2027,N('2027'!D191),IF(A1971=2028,N('2028'!D191),IF(A1971=2029,N('2029'!D191),IF(A1971=2030,N('2030'!D191),IF(A1971=2031,N('2031'!D191),IF(A1971=2032,N('2032'!D191),IF(A1971=2033,N('2033'!D191),IF(A1971=2034,N('2034'!D191),IFERROR(N(INDIRECT("'"&amp;A1971&amp;"'!D"&amp;G1971)),0))))))))))))</f>
        <v>0</v>
      </c>
      <c r="M1971" s="36">
        <f>IFERROR(IF(NOT(ISBLANK(KPI_TARGETS!$O$17)),KPI_TARGETS!$O$17,IF(NOT(ISBLANK(KPI_TARGETS!$F$17)),KPI_TARGETS!$F$17,"")),"")</f>
        <v>12</v>
      </c>
      <c r="N1971" s="36" t="str">
        <f>IFERROR(KPI_TARGETS!$E$17,"Higher is better")</f>
        <v>Higher is better</v>
      </c>
      <c r="O1971" s="37">
        <f t="shared" ca="1" si="180"/>
        <v>0</v>
      </c>
      <c r="P1971" t="str">
        <f t="shared" ca="1" si="181"/>
        <v>Red</v>
      </c>
      <c r="Q1971" s="36">
        <f t="shared" ca="1" si="182"/>
        <v>-12</v>
      </c>
      <c r="R1971" s="36" t="str">
        <f>""</f>
        <v/>
      </c>
      <c r="S1971" s="36" t="str">
        <f>""</f>
        <v/>
      </c>
      <c r="T1971" s="36" t="str">
        <f>""</f>
        <v/>
      </c>
      <c r="U1971" s="36" t="str">
        <f>""</f>
        <v/>
      </c>
      <c r="V1971" s="36" t="str">
        <f>""</f>
        <v/>
      </c>
      <c r="W1971" s="36">
        <f t="shared" si="183"/>
        <v>1</v>
      </c>
      <c r="X1971" t="str">
        <f t="shared" si="184"/>
        <v>Inactive</v>
      </c>
      <c r="Y1971" t="str">
        <f>IF(MAIN!$H$3="Selected Year",IF(A1971=MAIN!$B$3,"Yes","No"),IF(MAIN!$H$3="Included Years",IF(D1971="Yes","Yes","No"),IF(C1971="Yes","Yes","No")))</f>
        <v>No</v>
      </c>
      <c r="Z1971" t="str">
        <f>IF(MAIN!$F$3="Project to Date",IF(AND(A1971&gt;=SETTINGS!$B$4,A1971&lt;MAIN!$B$3),"Yes",IF(AND(A1971=MAIN!$B$3,E1971&lt;=MAIN!$L$3),"Yes","No")),IF(OR(MAIN!$F$3="Full Year",MAIN!$D$3="All"),"Yes",IF(MAIN!$F$3="Monthly",IF(E1971=MAIN!$L$3,"Yes","No"),IF(E1971&lt;=MAIN!$L$3,"Yes","No"))))</f>
        <v>Yes</v>
      </c>
      <c r="AA1971" t="str">
        <f t="shared" si="185"/>
        <v>No</v>
      </c>
    </row>
    <row r="1972" spans="1:27" x14ac:dyDescent="0.3">
      <c r="A1972">
        <f>INDEX(SETTINGS!$A$15:$A$24,$B1972)</f>
        <v>2033</v>
      </c>
      <c r="B1972">
        <v>9</v>
      </c>
      <c r="C1972" t="str">
        <f>IF(AND(A1972&gt;=SETTINGS!$B$4,A1972&lt;=SETTINGS!$B$5),"Yes","No")</f>
        <v>No</v>
      </c>
      <c r="D1972" t="str">
        <f>IFERROR(INDEX(SETTINGS!$C$15:$C$24,MATCH(A1972,SETTINGS!$A$15:$A$24,0)),"No")</f>
        <v>No</v>
      </c>
      <c r="E1972">
        <v>8</v>
      </c>
      <c r="F1972" t="s">
        <v>41</v>
      </c>
      <c r="G1972">
        <v>192</v>
      </c>
      <c r="H1972" t="s">
        <v>107</v>
      </c>
      <c r="I1972" t="s">
        <v>22</v>
      </c>
      <c r="J1972" t="s">
        <v>27</v>
      </c>
      <c r="K1972" t="s">
        <v>3</v>
      </c>
      <c r="L1972" s="36">
        <f ca="1">IF(C1972&lt;&gt;"Yes",0,IF(A1972=2025,N('2025'!D192),IF(A1972=2026,N('2026'!D192),IF(A1972=2027,N('2027'!D192),IF(A1972=2028,N('2028'!D192),IF(A1972=2029,N('2029'!D192),IF(A1972=2030,N('2030'!D192),IF(A1972=2031,N('2031'!D192),IF(A1972=2032,N('2032'!D192),IF(A1972=2033,N('2033'!D192),IF(A1972=2034,N('2034'!D192),IFERROR(N(INDIRECT("'"&amp;A1972&amp;"'!D"&amp;G1972)),0))))))))))))</f>
        <v>0</v>
      </c>
      <c r="M1972" s="36">
        <f>IFERROR(IF(NOT(ISBLANK(KPI_TARGETS!$O$18)),KPI_TARGETS!$O$18,IF(NOT(ISBLANK(KPI_TARGETS!$F$18)),KPI_TARGETS!$F$18,"")),"")</f>
        <v>4</v>
      </c>
      <c r="N1972" s="36" t="str">
        <f>IFERROR(KPI_TARGETS!$E$18,"Higher is better")</f>
        <v>Higher is better</v>
      </c>
      <c r="O1972" s="37">
        <f t="shared" ca="1" si="180"/>
        <v>0</v>
      </c>
      <c r="P1972" t="str">
        <f t="shared" ca="1" si="181"/>
        <v>Red</v>
      </c>
      <c r="Q1972" s="36">
        <f t="shared" ca="1" si="182"/>
        <v>-4</v>
      </c>
      <c r="R1972" s="36" t="str">
        <f>""</f>
        <v/>
      </c>
      <c r="S1972" s="36" t="str">
        <f>""</f>
        <v/>
      </c>
      <c r="T1972" s="36" t="str">
        <f>""</f>
        <v/>
      </c>
      <c r="U1972" s="36" t="str">
        <f>""</f>
        <v/>
      </c>
      <c r="V1972" s="36" t="str">
        <f>""</f>
        <v/>
      </c>
      <c r="W1972" s="36">
        <f t="shared" si="183"/>
        <v>1</v>
      </c>
      <c r="X1972" t="str">
        <f t="shared" si="184"/>
        <v>Inactive</v>
      </c>
      <c r="Y1972" t="str">
        <f>IF(MAIN!$H$3="Selected Year",IF(A1972=MAIN!$B$3,"Yes","No"),IF(MAIN!$H$3="Included Years",IF(D1972="Yes","Yes","No"),IF(C1972="Yes","Yes","No")))</f>
        <v>No</v>
      </c>
      <c r="Z1972" t="str">
        <f>IF(MAIN!$F$3="Project to Date",IF(AND(A1972&gt;=SETTINGS!$B$4,A1972&lt;MAIN!$B$3),"Yes",IF(AND(A1972=MAIN!$B$3,E1972&lt;=MAIN!$L$3),"Yes","No")),IF(OR(MAIN!$F$3="Full Year",MAIN!$D$3="All"),"Yes",IF(MAIN!$F$3="Monthly",IF(E1972=MAIN!$L$3,"Yes","No"),IF(E1972&lt;=MAIN!$L$3,"Yes","No"))))</f>
        <v>Yes</v>
      </c>
      <c r="AA1972" t="str">
        <f t="shared" si="185"/>
        <v>No</v>
      </c>
    </row>
    <row r="1973" spans="1:27" x14ac:dyDescent="0.3">
      <c r="A1973">
        <f>INDEX(SETTINGS!$A$15:$A$24,$B1973)</f>
        <v>2033</v>
      </c>
      <c r="B1973">
        <v>9</v>
      </c>
      <c r="C1973" t="str">
        <f>IF(AND(A1973&gt;=SETTINGS!$B$4,A1973&lt;=SETTINGS!$B$5),"Yes","No")</f>
        <v>No</v>
      </c>
      <c r="D1973" t="str">
        <f>IFERROR(INDEX(SETTINGS!$C$15:$C$24,MATCH(A1973,SETTINGS!$A$15:$A$24,0)),"No")</f>
        <v>No</v>
      </c>
      <c r="E1973">
        <v>8</v>
      </c>
      <c r="F1973" t="s">
        <v>41</v>
      </c>
      <c r="G1973">
        <v>193</v>
      </c>
      <c r="H1973" t="s">
        <v>108</v>
      </c>
      <c r="I1973" t="s">
        <v>22</v>
      </c>
      <c r="J1973" t="s">
        <v>28</v>
      </c>
      <c r="K1973" t="s">
        <v>3</v>
      </c>
      <c r="L1973" s="36">
        <f ca="1">IF(C1973&lt;&gt;"Yes",0,IF(A1973=2025,N('2025'!D193),IF(A1973=2026,N('2026'!D193),IF(A1973=2027,N('2027'!D193),IF(A1973=2028,N('2028'!D193),IF(A1973=2029,N('2029'!D193),IF(A1973=2030,N('2030'!D193),IF(A1973=2031,N('2031'!D193),IF(A1973=2032,N('2032'!D193),IF(A1973=2033,N('2033'!D193),IF(A1973=2034,N('2034'!D193),IFERROR(N(INDIRECT("'"&amp;A1973&amp;"'!D"&amp;G1973)),0))))))))))))</f>
        <v>0</v>
      </c>
      <c r="M1973" s="36">
        <f>IFERROR(IF(NOT(ISBLANK(KPI_TARGETS!$O$19)),KPI_TARGETS!$O$19,IF(NOT(ISBLANK(KPI_TARGETS!$F$19)),KPI_TARGETS!$F$19,"")),"")</f>
        <v>16</v>
      </c>
      <c r="N1973" s="36" t="str">
        <f>IFERROR(KPI_TARGETS!$E$19,"Higher is better")</f>
        <v>Higher is better</v>
      </c>
      <c r="O1973" s="37">
        <f t="shared" ca="1" si="180"/>
        <v>0</v>
      </c>
      <c r="P1973" t="str">
        <f t="shared" ca="1" si="181"/>
        <v>Red</v>
      </c>
      <c r="Q1973" s="36">
        <f t="shared" ca="1" si="182"/>
        <v>-16</v>
      </c>
      <c r="R1973" s="36" t="str">
        <f>""</f>
        <v/>
      </c>
      <c r="S1973" s="36" t="str">
        <f>""</f>
        <v/>
      </c>
      <c r="T1973" s="36" t="str">
        <f>""</f>
        <v/>
      </c>
      <c r="U1973" s="36" t="str">
        <f>""</f>
        <v/>
      </c>
      <c r="V1973" s="36" t="str">
        <f>""</f>
        <v/>
      </c>
      <c r="W1973" s="36">
        <f t="shared" si="183"/>
        <v>1</v>
      </c>
      <c r="X1973" t="str">
        <f t="shared" si="184"/>
        <v>Inactive</v>
      </c>
      <c r="Y1973" t="str">
        <f>IF(MAIN!$H$3="Selected Year",IF(A1973=MAIN!$B$3,"Yes","No"),IF(MAIN!$H$3="Included Years",IF(D1973="Yes","Yes","No"),IF(C1973="Yes","Yes","No")))</f>
        <v>No</v>
      </c>
      <c r="Z1973" t="str">
        <f>IF(MAIN!$F$3="Project to Date",IF(AND(A1973&gt;=SETTINGS!$B$4,A1973&lt;MAIN!$B$3),"Yes",IF(AND(A1973=MAIN!$B$3,E1973&lt;=MAIN!$L$3),"Yes","No")),IF(OR(MAIN!$F$3="Full Year",MAIN!$D$3="All"),"Yes",IF(MAIN!$F$3="Monthly",IF(E1973=MAIN!$L$3,"Yes","No"),IF(E1973&lt;=MAIN!$L$3,"Yes","No"))))</f>
        <v>Yes</v>
      </c>
      <c r="AA1973" t="str">
        <f t="shared" si="185"/>
        <v>No</v>
      </c>
    </row>
    <row r="1974" spans="1:27" x14ac:dyDescent="0.3">
      <c r="A1974">
        <f>INDEX(SETTINGS!$A$15:$A$24,$B1974)</f>
        <v>2033</v>
      </c>
      <c r="B1974">
        <v>9</v>
      </c>
      <c r="C1974" t="str">
        <f>IF(AND(A1974&gt;=SETTINGS!$B$4,A1974&lt;=SETTINGS!$B$5),"Yes","No")</f>
        <v>No</v>
      </c>
      <c r="D1974" t="str">
        <f>IFERROR(INDEX(SETTINGS!$C$15:$C$24,MATCH(A1974,SETTINGS!$A$15:$A$24,0)),"No")</f>
        <v>No</v>
      </c>
      <c r="E1974">
        <v>8</v>
      </c>
      <c r="F1974" t="s">
        <v>41</v>
      </c>
      <c r="G1974">
        <v>194</v>
      </c>
      <c r="H1974" t="s">
        <v>109</v>
      </c>
      <c r="I1974" t="s">
        <v>22</v>
      </c>
      <c r="J1974" t="s">
        <v>29</v>
      </c>
      <c r="K1974" t="s">
        <v>3</v>
      </c>
      <c r="L1974" s="36">
        <f ca="1">IF(C1974&lt;&gt;"Yes",0,IF(A1974=2025,N('2025'!D194),IF(A1974=2026,N('2026'!D194),IF(A1974=2027,N('2027'!D194),IF(A1974=2028,N('2028'!D194),IF(A1974=2029,N('2029'!D194),IF(A1974=2030,N('2030'!D194),IF(A1974=2031,N('2031'!D194),IF(A1974=2032,N('2032'!D194),IF(A1974=2033,N('2033'!D194),IF(A1974=2034,N('2034'!D194),IFERROR(N(INDIRECT("'"&amp;A1974&amp;"'!D"&amp;G1974)),0))))))))))))</f>
        <v>0</v>
      </c>
      <c r="M1974" s="36">
        <f>IFERROR(IF(NOT(ISBLANK(KPI_TARGETS!$O$20)),KPI_TARGETS!$O$20,IF(NOT(ISBLANK(KPI_TARGETS!$F$20)),KPI_TARGETS!$F$20,"")),"")</f>
        <v>1</v>
      </c>
      <c r="N1974" s="36" t="str">
        <f>IFERROR(KPI_TARGETS!$E$20,"Higher is better")</f>
        <v>Higher is better</v>
      </c>
      <c r="O1974" s="37">
        <f t="shared" ca="1" si="180"/>
        <v>0</v>
      </c>
      <c r="P1974" t="str">
        <f t="shared" ca="1" si="181"/>
        <v>Red</v>
      </c>
      <c r="Q1974" s="36">
        <f t="shared" ca="1" si="182"/>
        <v>-1</v>
      </c>
      <c r="R1974" s="36" t="str">
        <f>""</f>
        <v/>
      </c>
      <c r="S1974" s="36" t="str">
        <f>""</f>
        <v/>
      </c>
      <c r="T1974" s="36" t="str">
        <f>""</f>
        <v/>
      </c>
      <c r="U1974" s="36" t="str">
        <f>""</f>
        <v/>
      </c>
      <c r="V1974" s="36" t="str">
        <f>""</f>
        <v/>
      </c>
      <c r="W1974" s="36">
        <f t="shared" si="183"/>
        <v>1</v>
      </c>
      <c r="X1974" t="str">
        <f t="shared" si="184"/>
        <v>Inactive</v>
      </c>
      <c r="Y1974" t="str">
        <f>IF(MAIN!$H$3="Selected Year",IF(A1974=MAIN!$B$3,"Yes","No"),IF(MAIN!$H$3="Included Years",IF(D1974="Yes","Yes","No"),IF(C1974="Yes","Yes","No")))</f>
        <v>No</v>
      </c>
      <c r="Z1974" t="str">
        <f>IF(MAIN!$F$3="Project to Date",IF(AND(A1974&gt;=SETTINGS!$B$4,A1974&lt;MAIN!$B$3),"Yes",IF(AND(A1974=MAIN!$B$3,E1974&lt;=MAIN!$L$3),"Yes","No")),IF(OR(MAIN!$F$3="Full Year",MAIN!$D$3="All"),"Yes",IF(MAIN!$F$3="Monthly",IF(E1974=MAIN!$L$3,"Yes","No"),IF(E1974&lt;=MAIN!$L$3,"Yes","No"))))</f>
        <v>Yes</v>
      </c>
      <c r="AA1974" t="str">
        <f t="shared" si="185"/>
        <v>No</v>
      </c>
    </row>
    <row r="1975" spans="1:27" x14ac:dyDescent="0.3">
      <c r="A1975">
        <f>INDEX(SETTINGS!$A$15:$A$24,$B1975)</f>
        <v>2033</v>
      </c>
      <c r="B1975">
        <v>9</v>
      </c>
      <c r="C1975" t="str">
        <f>IF(AND(A1975&gt;=SETTINGS!$B$4,A1975&lt;=SETTINGS!$B$5),"Yes","No")</f>
        <v>No</v>
      </c>
      <c r="D1975" t="str">
        <f>IFERROR(INDEX(SETTINGS!$C$15:$C$24,MATCH(A1975,SETTINGS!$A$15:$A$24,0)),"No")</f>
        <v>No</v>
      </c>
      <c r="E1975">
        <v>8</v>
      </c>
      <c r="F1975" t="s">
        <v>41</v>
      </c>
      <c r="G1975">
        <v>196</v>
      </c>
      <c r="H1975" t="s">
        <v>110</v>
      </c>
      <c r="I1975" t="s">
        <v>30</v>
      </c>
      <c r="J1975" t="s">
        <v>31</v>
      </c>
      <c r="K1975" t="s">
        <v>3</v>
      </c>
      <c r="L1975" s="36">
        <f ca="1">IF(C1975&lt;&gt;"Yes",0,IF(A1975=2025,N('2025'!D196),IF(A1975=2026,N('2026'!D196),IF(A1975=2027,N('2027'!D196),IF(A1975=2028,N('2028'!D196),IF(A1975=2029,N('2029'!D196),IF(A1975=2030,N('2030'!D196),IF(A1975=2031,N('2031'!D196),IF(A1975=2032,N('2032'!D196),IF(A1975=2033,N('2033'!D196),IF(A1975=2034,N('2034'!D196),IFERROR(N(INDIRECT("'"&amp;A1975&amp;"'!D"&amp;G1975)),0))))))))))))</f>
        <v>0</v>
      </c>
      <c r="M1975" s="36">
        <f>IFERROR(IF(NOT(ISBLANK(KPI_TARGETS!$O$21)),KPI_TARGETS!$O$21,IF(NOT(ISBLANK(KPI_TARGETS!$F$21)),KPI_TARGETS!$F$21,"")),"")</f>
        <v>0</v>
      </c>
      <c r="N1975" s="36" t="str">
        <f>IFERROR(KPI_TARGETS!$E$21,"Higher is better")</f>
        <v>Lower is better</v>
      </c>
      <c r="O1975" s="37">
        <f t="shared" ca="1" si="180"/>
        <v>1</v>
      </c>
      <c r="P1975" t="str">
        <f t="shared" ca="1" si="181"/>
        <v>Green</v>
      </c>
      <c r="Q1975" s="36">
        <f t="shared" ca="1" si="182"/>
        <v>0</v>
      </c>
      <c r="R1975" s="36" t="str">
        <f>""</f>
        <v/>
      </c>
      <c r="S1975" s="36" t="str">
        <f>""</f>
        <v/>
      </c>
      <c r="T1975" s="36" t="str">
        <f>""</f>
        <v/>
      </c>
      <c r="U1975" s="36" t="str">
        <f>""</f>
        <v/>
      </c>
      <c r="V1975" s="36" t="str">
        <f>""</f>
        <v/>
      </c>
      <c r="W1975" s="36">
        <f t="shared" si="183"/>
        <v>1</v>
      </c>
      <c r="X1975" t="str">
        <f t="shared" si="184"/>
        <v>Inactive</v>
      </c>
      <c r="Y1975" t="str">
        <f>IF(MAIN!$H$3="Selected Year",IF(A1975=MAIN!$B$3,"Yes","No"),IF(MAIN!$H$3="Included Years",IF(D1975="Yes","Yes","No"),IF(C1975="Yes","Yes","No")))</f>
        <v>No</v>
      </c>
      <c r="Z1975" t="str">
        <f>IF(MAIN!$F$3="Project to Date",IF(AND(A1975&gt;=SETTINGS!$B$4,A1975&lt;MAIN!$B$3),"Yes",IF(AND(A1975=MAIN!$B$3,E1975&lt;=MAIN!$L$3),"Yes","No")),IF(OR(MAIN!$F$3="Full Year",MAIN!$D$3="All"),"Yes",IF(MAIN!$F$3="Monthly",IF(E1975=MAIN!$L$3,"Yes","No"),IF(E1975&lt;=MAIN!$L$3,"Yes","No"))))</f>
        <v>Yes</v>
      </c>
      <c r="AA1975" t="str">
        <f t="shared" si="185"/>
        <v>No</v>
      </c>
    </row>
    <row r="1976" spans="1:27" x14ac:dyDescent="0.3">
      <c r="A1976">
        <f>INDEX(SETTINGS!$A$15:$A$24,$B1976)</f>
        <v>2033</v>
      </c>
      <c r="B1976">
        <v>9</v>
      </c>
      <c r="C1976" t="str">
        <f>IF(AND(A1976&gt;=SETTINGS!$B$4,A1976&lt;=SETTINGS!$B$5),"Yes","No")</f>
        <v>No</v>
      </c>
      <c r="D1976" t="str">
        <f>IFERROR(INDEX(SETTINGS!$C$15:$C$24,MATCH(A1976,SETTINGS!$A$15:$A$24,0)),"No")</f>
        <v>No</v>
      </c>
      <c r="E1976">
        <v>8</v>
      </c>
      <c r="F1976" t="s">
        <v>41</v>
      </c>
      <c r="G1976">
        <v>197</v>
      </c>
      <c r="H1976" t="s">
        <v>111</v>
      </c>
      <c r="I1976" t="s">
        <v>30</v>
      </c>
      <c r="J1976" t="s">
        <v>32</v>
      </c>
      <c r="K1976" t="s">
        <v>3</v>
      </c>
      <c r="L1976" s="36">
        <f ca="1">IF(C1976&lt;&gt;"Yes",0,IF(A1976=2025,N('2025'!D197),IF(A1976=2026,N('2026'!D197),IF(A1976=2027,N('2027'!D197),IF(A1976=2028,N('2028'!D197),IF(A1976=2029,N('2029'!D197),IF(A1976=2030,N('2030'!D197),IF(A1976=2031,N('2031'!D197),IF(A1976=2032,N('2032'!D197),IF(A1976=2033,N('2033'!D197),IF(A1976=2034,N('2034'!D197),IFERROR(N(INDIRECT("'"&amp;A1976&amp;"'!D"&amp;G1976)),0))))))))))))</f>
        <v>0</v>
      </c>
      <c r="M1976" s="36">
        <f>IFERROR(IF(NOT(ISBLANK(KPI_TARGETS!$O$22)),KPI_TARGETS!$O$22,IF(NOT(ISBLANK(KPI_TARGETS!$F$22)),KPI_TARGETS!$F$22,"")),"")</f>
        <v>1</v>
      </c>
      <c r="N1976" s="36" t="str">
        <f>IFERROR(KPI_TARGETS!$E$22,"Higher is better")</f>
        <v>Higher is better</v>
      </c>
      <c r="O1976" s="37">
        <f t="shared" ca="1" si="180"/>
        <v>0</v>
      </c>
      <c r="P1976" t="str">
        <f t="shared" ca="1" si="181"/>
        <v>Red</v>
      </c>
      <c r="Q1976" s="36">
        <f t="shared" ca="1" si="182"/>
        <v>-1</v>
      </c>
      <c r="R1976" s="36" t="str">
        <f>""</f>
        <v/>
      </c>
      <c r="S1976" s="36" t="str">
        <f>""</f>
        <v/>
      </c>
      <c r="T1976" s="36" t="str">
        <f>""</f>
        <v/>
      </c>
      <c r="U1976" s="36" t="str">
        <f>""</f>
        <v/>
      </c>
      <c r="V1976" s="36" t="str">
        <f>""</f>
        <v/>
      </c>
      <c r="W1976" s="36">
        <f t="shared" si="183"/>
        <v>1</v>
      </c>
      <c r="X1976" t="str">
        <f t="shared" si="184"/>
        <v>Inactive</v>
      </c>
      <c r="Y1976" t="str">
        <f>IF(MAIN!$H$3="Selected Year",IF(A1976=MAIN!$B$3,"Yes","No"),IF(MAIN!$H$3="Included Years",IF(D1976="Yes","Yes","No"),IF(C1976="Yes","Yes","No")))</f>
        <v>No</v>
      </c>
      <c r="Z1976" t="str">
        <f>IF(MAIN!$F$3="Project to Date",IF(AND(A1976&gt;=SETTINGS!$B$4,A1976&lt;MAIN!$B$3),"Yes",IF(AND(A1976=MAIN!$B$3,E1976&lt;=MAIN!$L$3),"Yes","No")),IF(OR(MAIN!$F$3="Full Year",MAIN!$D$3="All"),"Yes",IF(MAIN!$F$3="Monthly",IF(E1976=MAIN!$L$3,"Yes","No"),IF(E1976&lt;=MAIN!$L$3,"Yes","No"))))</f>
        <v>Yes</v>
      </c>
      <c r="AA1976" t="str">
        <f t="shared" si="185"/>
        <v>No</v>
      </c>
    </row>
    <row r="1977" spans="1:27" x14ac:dyDescent="0.3">
      <c r="A1977">
        <f>INDEX(SETTINGS!$A$15:$A$24,$B1977)</f>
        <v>2033</v>
      </c>
      <c r="B1977">
        <v>9</v>
      </c>
      <c r="C1977" t="str">
        <f>IF(AND(A1977&gt;=SETTINGS!$B$4,A1977&lt;=SETTINGS!$B$5),"Yes","No")</f>
        <v>No</v>
      </c>
      <c r="D1977" t="str">
        <f>IFERROR(INDEX(SETTINGS!$C$15:$C$24,MATCH(A1977,SETTINGS!$A$15:$A$24,0)),"No")</f>
        <v>No</v>
      </c>
      <c r="E1977">
        <v>8</v>
      </c>
      <c r="F1977" t="s">
        <v>41</v>
      </c>
      <c r="G1977">
        <v>198</v>
      </c>
      <c r="H1977" t="s">
        <v>112</v>
      </c>
      <c r="I1977" t="s">
        <v>30</v>
      </c>
      <c r="J1977" t="s">
        <v>33</v>
      </c>
      <c r="K1977" t="s">
        <v>34</v>
      </c>
      <c r="L1977" s="36">
        <f ca="1">IF(C1977&lt;&gt;"Yes",0,IF(A1977=2025,N('2025'!D198),IF(A1977=2026,N('2026'!D198),IF(A1977=2027,N('2027'!D198),IF(A1977=2028,N('2028'!D198),IF(A1977=2029,N('2029'!D198),IF(A1977=2030,N('2030'!D198),IF(A1977=2031,N('2031'!D198),IF(A1977=2032,N('2032'!D198),IF(A1977=2033,N('2033'!D198),IF(A1977=2034,N('2034'!D198),IFERROR(N(INDIRECT("'"&amp;A1977&amp;"'!D"&amp;G1977)),0))))))))))))</f>
        <v>0</v>
      </c>
      <c r="M1977" s="36">
        <f>IFERROR(IF(NOT(ISBLANK(KPI_TARGETS!$O$23)),KPI_TARGETS!$O$23,IF(NOT(ISBLANK(KPI_TARGETS!$F$23)),KPI_TARGETS!$F$23,"")),"")</f>
        <v>1</v>
      </c>
      <c r="N1977" s="36" t="str">
        <f>IFERROR(KPI_TARGETS!$E$23,"Higher is better")</f>
        <v>Higher is better</v>
      </c>
      <c r="O1977" s="37">
        <f t="shared" ca="1" si="180"/>
        <v>0</v>
      </c>
      <c r="P1977" t="str">
        <f t="shared" ca="1" si="181"/>
        <v>Red</v>
      </c>
      <c r="Q1977" s="36">
        <f t="shared" ca="1" si="182"/>
        <v>-1</v>
      </c>
      <c r="R1977" s="36" t="str">
        <f>""</f>
        <v/>
      </c>
      <c r="S1977" s="36" t="str">
        <f>""</f>
        <v/>
      </c>
      <c r="T1977" s="36" t="str">
        <f>""</f>
        <v/>
      </c>
      <c r="U1977" s="36" t="str">
        <f>""</f>
        <v/>
      </c>
      <c r="V1977" s="36" t="str">
        <f>""</f>
        <v/>
      </c>
      <c r="W1977" s="36">
        <f t="shared" si="183"/>
        <v>1</v>
      </c>
      <c r="X1977" t="str">
        <f t="shared" si="184"/>
        <v>Inactive</v>
      </c>
      <c r="Y1977" t="str">
        <f>IF(MAIN!$H$3="Selected Year",IF(A1977=MAIN!$B$3,"Yes","No"),IF(MAIN!$H$3="Included Years",IF(D1977="Yes","Yes","No"),IF(C1977="Yes","Yes","No")))</f>
        <v>No</v>
      </c>
      <c r="Z1977" t="str">
        <f>IF(MAIN!$F$3="Project to Date",IF(AND(A1977&gt;=SETTINGS!$B$4,A1977&lt;MAIN!$B$3),"Yes",IF(AND(A1977=MAIN!$B$3,E1977&lt;=MAIN!$L$3),"Yes","No")),IF(OR(MAIN!$F$3="Full Year",MAIN!$D$3="All"),"Yes",IF(MAIN!$F$3="Monthly",IF(E1977=MAIN!$L$3,"Yes","No"),IF(E1977&lt;=MAIN!$L$3,"Yes","No"))))</f>
        <v>Yes</v>
      </c>
      <c r="AA1977" t="str">
        <f t="shared" si="185"/>
        <v>No</v>
      </c>
    </row>
    <row r="1978" spans="1:27" x14ac:dyDescent="0.3">
      <c r="A1978">
        <f>INDEX(SETTINGS!$A$15:$A$24,$B1978)</f>
        <v>2033</v>
      </c>
      <c r="B1978">
        <v>9</v>
      </c>
      <c r="C1978" t="str">
        <f>IF(AND(A1978&gt;=SETTINGS!$B$4,A1978&lt;=SETTINGS!$B$5),"Yes","No")</f>
        <v>No</v>
      </c>
      <c r="D1978" t="str">
        <f>IFERROR(INDEX(SETTINGS!$C$15:$C$24,MATCH(A1978,SETTINGS!$A$15:$A$24,0)),"No")</f>
        <v>No</v>
      </c>
      <c r="E1978">
        <v>9</v>
      </c>
      <c r="F1978" t="s">
        <v>42</v>
      </c>
      <c r="G1978">
        <v>201</v>
      </c>
      <c r="H1978" t="s">
        <v>88</v>
      </c>
      <c r="I1978" t="s">
        <v>89</v>
      </c>
      <c r="J1978" t="s">
        <v>10</v>
      </c>
      <c r="K1978" t="s">
        <v>3</v>
      </c>
      <c r="L1978" s="36">
        <f ca="1">IF(C1978&lt;&gt;"Yes",0,IF(A1978=2025,N('2025'!D201),IF(A1978=2026,N('2026'!D201),IF(A1978=2027,N('2027'!D201),IF(A1978=2028,N('2028'!D201),IF(A1978=2029,N('2029'!D201),IF(A1978=2030,N('2030'!D201),IF(A1978=2031,N('2031'!D201),IF(A1978=2032,N('2032'!D201),IF(A1978=2033,N('2033'!D201),IF(A1978=2034,N('2034'!D201),IFERROR(N(INDIRECT("'"&amp;A1978&amp;"'!D"&amp;G1978)),0))))))))))))</f>
        <v>0</v>
      </c>
      <c r="M1978" s="36">
        <f>IFERROR(IF(NOT(ISBLANK(KPI_TARGETS!$O$5)),KPI_TARGETS!$O$5,IF(NOT(ISBLANK(KPI_TARGETS!$F$5)),KPI_TARGETS!$F$5,"")),"")</f>
        <v>104</v>
      </c>
      <c r="N1978" s="36" t="str">
        <f>IFERROR(KPI_TARGETS!$E$5,"Higher is better")</f>
        <v>Higher is better</v>
      </c>
      <c r="O1978" s="37">
        <f t="shared" ca="1" si="180"/>
        <v>0</v>
      </c>
      <c r="P1978" t="str">
        <f t="shared" ca="1" si="181"/>
        <v>Red</v>
      </c>
      <c r="Q1978" s="36">
        <f t="shared" ca="1" si="182"/>
        <v>-104</v>
      </c>
      <c r="R1978" s="36" t="str">
        <f>""</f>
        <v/>
      </c>
      <c r="S1978" s="36" t="str">
        <f>""</f>
        <v/>
      </c>
      <c r="T1978" s="36" t="str">
        <f>""</f>
        <v/>
      </c>
      <c r="U1978" s="36" t="str">
        <f>""</f>
        <v/>
      </c>
      <c r="V1978" s="36" t="str">
        <f>""</f>
        <v/>
      </c>
      <c r="W1978" s="36">
        <f t="shared" si="183"/>
        <v>1</v>
      </c>
      <c r="X1978" t="str">
        <f t="shared" si="184"/>
        <v>Inactive</v>
      </c>
      <c r="Y1978" t="str">
        <f>IF(MAIN!$H$3="Selected Year",IF(A1978=MAIN!$B$3,"Yes","No"),IF(MAIN!$H$3="Included Years",IF(D1978="Yes","Yes","No"),IF(C1978="Yes","Yes","No")))</f>
        <v>No</v>
      </c>
      <c r="Z1978" t="str">
        <f>IF(MAIN!$F$3="Project to Date",IF(AND(A1978&gt;=SETTINGS!$B$4,A1978&lt;MAIN!$B$3),"Yes",IF(AND(A1978=MAIN!$B$3,E1978&lt;=MAIN!$L$3),"Yes","No")),IF(OR(MAIN!$F$3="Full Year",MAIN!$D$3="All"),"Yes",IF(MAIN!$F$3="Monthly",IF(E1978=MAIN!$L$3,"Yes","No"),IF(E1978&lt;=MAIN!$L$3,"Yes","No"))))</f>
        <v>Yes</v>
      </c>
      <c r="AA1978" t="str">
        <f t="shared" si="185"/>
        <v>No</v>
      </c>
    </row>
    <row r="1979" spans="1:27" x14ac:dyDescent="0.3">
      <c r="A1979">
        <f>INDEX(SETTINGS!$A$15:$A$24,$B1979)</f>
        <v>2033</v>
      </c>
      <c r="B1979">
        <v>9</v>
      </c>
      <c r="C1979" t="str">
        <f>IF(AND(A1979&gt;=SETTINGS!$B$4,A1979&lt;=SETTINGS!$B$5),"Yes","No")</f>
        <v>No</v>
      </c>
      <c r="D1979" t="str">
        <f>IFERROR(INDEX(SETTINGS!$C$15:$C$24,MATCH(A1979,SETTINGS!$A$15:$A$24,0)),"No")</f>
        <v>No</v>
      </c>
      <c r="E1979">
        <v>9</v>
      </c>
      <c r="F1979" t="s">
        <v>42</v>
      </c>
      <c r="G1979">
        <v>202</v>
      </c>
      <c r="H1979" t="s">
        <v>91</v>
      </c>
      <c r="I1979" t="s">
        <v>89</v>
      </c>
      <c r="J1979" t="s">
        <v>11</v>
      </c>
      <c r="K1979" t="s">
        <v>12</v>
      </c>
      <c r="L1979" s="36">
        <f ca="1">IF(C1979&lt;&gt;"Yes",0,IF(A1979=2025,N('2025'!D202),IF(A1979=2026,N('2026'!D202),IF(A1979=2027,N('2027'!D202),IF(A1979=2028,N('2028'!D202),IF(A1979=2029,N('2029'!D202),IF(A1979=2030,N('2030'!D202),IF(A1979=2031,N('2031'!D202),IF(A1979=2032,N('2032'!D202),IF(A1979=2033,N('2033'!D202),IF(A1979=2034,N('2034'!D202),IFERROR(N(INDIRECT("'"&amp;A1979&amp;"'!D"&amp;G1979)),0))))))))))))</f>
        <v>0</v>
      </c>
      <c r="M1979" s="36">
        <f>IFERROR(IF(NOT(ISBLANK(KPI_TARGETS!$O$6)),KPI_TARGETS!$O$6,IF(NOT(ISBLANK(KPI_TARGETS!$F$6)),KPI_TARGETS!$F$6,"")),"")</f>
        <v>4000</v>
      </c>
      <c r="N1979" s="36" t="str">
        <f>IFERROR(KPI_TARGETS!$E$6,"Higher is better")</f>
        <v>Higher is better</v>
      </c>
      <c r="O1979" s="37">
        <f t="shared" ca="1" si="180"/>
        <v>0</v>
      </c>
      <c r="P1979" t="str">
        <f t="shared" ca="1" si="181"/>
        <v>Red</v>
      </c>
      <c r="Q1979" s="36">
        <f t="shared" ca="1" si="182"/>
        <v>-4000</v>
      </c>
      <c r="R1979" s="36" t="str">
        <f>""</f>
        <v/>
      </c>
      <c r="S1979" s="36" t="str">
        <f>""</f>
        <v/>
      </c>
      <c r="T1979" s="36" t="str">
        <f>""</f>
        <v/>
      </c>
      <c r="U1979" s="36" t="str">
        <f>""</f>
        <v/>
      </c>
      <c r="V1979" s="36" t="str">
        <f>""</f>
        <v/>
      </c>
      <c r="W1979" s="36">
        <f t="shared" si="183"/>
        <v>1</v>
      </c>
      <c r="X1979" t="str">
        <f t="shared" si="184"/>
        <v>Inactive</v>
      </c>
      <c r="Y1979" t="str">
        <f>IF(MAIN!$H$3="Selected Year",IF(A1979=MAIN!$B$3,"Yes","No"),IF(MAIN!$H$3="Included Years",IF(D1979="Yes","Yes","No"),IF(C1979="Yes","Yes","No")))</f>
        <v>No</v>
      </c>
      <c r="Z1979" t="str">
        <f>IF(MAIN!$F$3="Project to Date",IF(AND(A1979&gt;=SETTINGS!$B$4,A1979&lt;MAIN!$B$3),"Yes",IF(AND(A1979=MAIN!$B$3,E1979&lt;=MAIN!$L$3),"Yes","No")),IF(OR(MAIN!$F$3="Full Year",MAIN!$D$3="All"),"Yes",IF(MAIN!$F$3="Monthly",IF(E1979=MAIN!$L$3,"Yes","No"),IF(E1979&lt;=MAIN!$L$3,"Yes","No"))))</f>
        <v>Yes</v>
      </c>
      <c r="AA1979" t="str">
        <f t="shared" si="185"/>
        <v>No</v>
      </c>
    </row>
    <row r="1980" spans="1:27" x14ac:dyDescent="0.3">
      <c r="A1980">
        <f>INDEX(SETTINGS!$A$15:$A$24,$B1980)</f>
        <v>2033</v>
      </c>
      <c r="B1980">
        <v>9</v>
      </c>
      <c r="C1980" t="str">
        <f>IF(AND(A1980&gt;=SETTINGS!$B$4,A1980&lt;=SETTINGS!$B$5),"Yes","No")</f>
        <v>No</v>
      </c>
      <c r="D1980" t="str">
        <f>IFERROR(INDEX(SETTINGS!$C$15:$C$24,MATCH(A1980,SETTINGS!$A$15:$A$24,0)),"No")</f>
        <v>No</v>
      </c>
      <c r="E1980">
        <v>9</v>
      </c>
      <c r="F1980" t="s">
        <v>42</v>
      </c>
      <c r="G1980">
        <v>203</v>
      </c>
      <c r="H1980" t="s">
        <v>93</v>
      </c>
      <c r="I1980" t="s">
        <v>89</v>
      </c>
      <c r="J1980" t="s">
        <v>13</v>
      </c>
      <c r="K1980" t="s">
        <v>14</v>
      </c>
      <c r="L1980" s="36">
        <f ca="1">IF(C1980&lt;&gt;"Yes",0,IF(A1980=2025,N('2025'!D203),IF(A1980=2026,N('2026'!D203),IF(A1980=2027,N('2027'!D203),IF(A1980=2028,N('2028'!D203),IF(A1980=2029,N('2029'!D203),IF(A1980=2030,N('2030'!D203),IF(A1980=2031,N('2031'!D203),IF(A1980=2032,N('2032'!D203),IF(A1980=2033,N('2033'!D203),IF(A1980=2034,N('2034'!D203),IFERROR(N(INDIRECT("'"&amp;A1980&amp;"'!D"&amp;G1980)),0))))))))))))</f>
        <v>0</v>
      </c>
      <c r="M1980" s="36">
        <f>IFERROR(IF(NOT(ISBLANK(KPI_TARGETS!$O$7)),KPI_TARGETS!$O$7,IF(NOT(ISBLANK(KPI_TARGETS!$F$7)),KPI_TARGETS!$F$7,"")),"")</f>
        <v>8000</v>
      </c>
      <c r="N1980" s="36" t="str">
        <f>IFERROR(KPI_TARGETS!$E$7,"Higher is better")</f>
        <v>Higher is better</v>
      </c>
      <c r="O1980" s="37">
        <f t="shared" ca="1" si="180"/>
        <v>0</v>
      </c>
      <c r="P1980" t="str">
        <f t="shared" ca="1" si="181"/>
        <v>Red</v>
      </c>
      <c r="Q1980" s="36">
        <f t="shared" ca="1" si="182"/>
        <v>-8000</v>
      </c>
      <c r="R1980" s="36" t="str">
        <f>""</f>
        <v/>
      </c>
      <c r="S1980" s="36" t="str">
        <f>""</f>
        <v/>
      </c>
      <c r="T1980" s="36" t="str">
        <f>""</f>
        <v/>
      </c>
      <c r="U1980" s="36" t="str">
        <f>""</f>
        <v/>
      </c>
      <c r="V1980" s="36" t="str">
        <f>""</f>
        <v/>
      </c>
      <c r="W1980" s="36">
        <f t="shared" si="183"/>
        <v>1</v>
      </c>
      <c r="X1980" t="str">
        <f t="shared" si="184"/>
        <v>Inactive</v>
      </c>
      <c r="Y1980" t="str">
        <f>IF(MAIN!$H$3="Selected Year",IF(A1980=MAIN!$B$3,"Yes","No"),IF(MAIN!$H$3="Included Years",IF(D1980="Yes","Yes","No"),IF(C1980="Yes","Yes","No")))</f>
        <v>No</v>
      </c>
      <c r="Z1980" t="str">
        <f>IF(MAIN!$F$3="Project to Date",IF(AND(A1980&gt;=SETTINGS!$B$4,A1980&lt;MAIN!$B$3),"Yes",IF(AND(A1980=MAIN!$B$3,E1980&lt;=MAIN!$L$3),"Yes","No")),IF(OR(MAIN!$F$3="Full Year",MAIN!$D$3="All"),"Yes",IF(MAIN!$F$3="Monthly",IF(E1980=MAIN!$L$3,"Yes","No"),IF(E1980&lt;=MAIN!$L$3,"Yes","No"))))</f>
        <v>Yes</v>
      </c>
      <c r="AA1980" t="str">
        <f t="shared" si="185"/>
        <v>No</v>
      </c>
    </row>
    <row r="1981" spans="1:27" x14ac:dyDescent="0.3">
      <c r="A1981">
        <f>INDEX(SETTINGS!$A$15:$A$24,$B1981)</f>
        <v>2033</v>
      </c>
      <c r="B1981">
        <v>9</v>
      </c>
      <c r="C1981" t="str">
        <f>IF(AND(A1981&gt;=SETTINGS!$B$4,A1981&lt;=SETTINGS!$B$5),"Yes","No")</f>
        <v>No</v>
      </c>
      <c r="D1981" t="str">
        <f>IFERROR(INDEX(SETTINGS!$C$15:$C$24,MATCH(A1981,SETTINGS!$A$15:$A$24,0)),"No")</f>
        <v>No</v>
      </c>
      <c r="E1981">
        <v>9</v>
      </c>
      <c r="F1981" t="s">
        <v>42</v>
      </c>
      <c r="G1981">
        <v>205</v>
      </c>
      <c r="H1981" t="s">
        <v>95</v>
      </c>
      <c r="I1981" t="s">
        <v>15</v>
      </c>
      <c r="J1981" t="s">
        <v>16</v>
      </c>
      <c r="K1981" t="s">
        <v>3</v>
      </c>
      <c r="L1981" s="36">
        <f ca="1">IF(C1981&lt;&gt;"Yes",0,IF(A1981=2025,N('2025'!D205),IF(A1981=2026,N('2026'!D205),IF(A1981=2027,N('2027'!D205),IF(A1981=2028,N('2028'!D205),IF(A1981=2029,N('2029'!D205),IF(A1981=2030,N('2030'!D205),IF(A1981=2031,N('2031'!D205),IF(A1981=2032,N('2032'!D205),IF(A1981=2033,N('2033'!D205),IF(A1981=2034,N('2034'!D205),IFERROR(N(INDIRECT("'"&amp;A1981&amp;"'!D"&amp;G1981)),0))))))))))))</f>
        <v>0</v>
      </c>
      <c r="M1981" s="36">
        <f>IFERROR(IF(NOT(ISBLANK(KPI_TARGETS!$O$8)),KPI_TARGETS!$O$8,IF(NOT(ISBLANK(KPI_TARGETS!$F$8)),KPI_TARGETS!$F$8,"")),"")</f>
        <v>0</v>
      </c>
      <c r="N1981" s="36" t="str">
        <f>IFERROR(KPI_TARGETS!$E$8,"Higher is better")</f>
        <v>Lower is better</v>
      </c>
      <c r="O1981" s="37">
        <f t="shared" ca="1" si="180"/>
        <v>1</v>
      </c>
      <c r="P1981" t="str">
        <f t="shared" ca="1" si="181"/>
        <v>Green</v>
      </c>
      <c r="Q1981" s="36">
        <f t="shared" ca="1" si="182"/>
        <v>0</v>
      </c>
      <c r="R1981" s="36" t="str">
        <f>""</f>
        <v/>
      </c>
      <c r="S1981" s="36" t="str">
        <f>""</f>
        <v/>
      </c>
      <c r="T1981" s="36" t="str">
        <f>""</f>
        <v/>
      </c>
      <c r="U1981" s="36" t="str">
        <f>""</f>
        <v/>
      </c>
      <c r="V1981" s="36" t="str">
        <f>""</f>
        <v/>
      </c>
      <c r="W1981" s="36">
        <f t="shared" si="183"/>
        <v>1</v>
      </c>
      <c r="X1981" t="str">
        <f t="shared" si="184"/>
        <v>Inactive</v>
      </c>
      <c r="Y1981" t="str">
        <f>IF(MAIN!$H$3="Selected Year",IF(A1981=MAIN!$B$3,"Yes","No"),IF(MAIN!$H$3="Included Years",IF(D1981="Yes","Yes","No"),IF(C1981="Yes","Yes","No")))</f>
        <v>No</v>
      </c>
      <c r="Z1981" t="str">
        <f>IF(MAIN!$F$3="Project to Date",IF(AND(A1981&gt;=SETTINGS!$B$4,A1981&lt;MAIN!$B$3),"Yes",IF(AND(A1981=MAIN!$B$3,E1981&lt;=MAIN!$L$3),"Yes","No")),IF(OR(MAIN!$F$3="Full Year",MAIN!$D$3="All"),"Yes",IF(MAIN!$F$3="Monthly",IF(E1981=MAIN!$L$3,"Yes","No"),IF(E1981&lt;=MAIN!$L$3,"Yes","No"))))</f>
        <v>Yes</v>
      </c>
      <c r="AA1981" t="str">
        <f t="shared" si="185"/>
        <v>No</v>
      </c>
    </row>
    <row r="1982" spans="1:27" x14ac:dyDescent="0.3">
      <c r="A1982">
        <f>INDEX(SETTINGS!$A$15:$A$24,$B1982)</f>
        <v>2033</v>
      </c>
      <c r="B1982">
        <v>9</v>
      </c>
      <c r="C1982" t="str">
        <f>IF(AND(A1982&gt;=SETTINGS!$B$4,A1982&lt;=SETTINGS!$B$5),"Yes","No")</f>
        <v>No</v>
      </c>
      <c r="D1982" t="str">
        <f>IFERROR(INDEX(SETTINGS!$C$15:$C$24,MATCH(A1982,SETTINGS!$A$15:$A$24,0)),"No")</f>
        <v>No</v>
      </c>
      <c r="E1982">
        <v>9</v>
      </c>
      <c r="F1982" t="s">
        <v>42</v>
      </c>
      <c r="G1982">
        <v>206</v>
      </c>
      <c r="H1982" t="s">
        <v>97</v>
      </c>
      <c r="I1982" t="s">
        <v>15</v>
      </c>
      <c r="J1982" t="s">
        <v>17</v>
      </c>
      <c r="K1982" t="s">
        <v>3</v>
      </c>
      <c r="L1982" s="36">
        <f ca="1">IF(C1982&lt;&gt;"Yes",0,IF(A1982=2025,N('2025'!D206),IF(A1982=2026,N('2026'!D206),IF(A1982=2027,N('2027'!D206),IF(A1982=2028,N('2028'!D206),IF(A1982=2029,N('2029'!D206),IF(A1982=2030,N('2030'!D206),IF(A1982=2031,N('2031'!D206),IF(A1982=2032,N('2032'!D206),IF(A1982=2033,N('2033'!D206),IF(A1982=2034,N('2034'!D206),IFERROR(N(INDIRECT("'"&amp;A1982&amp;"'!D"&amp;G1982)),0))))))))))))</f>
        <v>0</v>
      </c>
      <c r="M1982" s="36">
        <f>IFERROR(IF(NOT(ISBLANK(KPI_TARGETS!$O$9)),KPI_TARGETS!$O$9,IF(NOT(ISBLANK(KPI_TARGETS!$F$9)),KPI_TARGETS!$F$9,"")),"")</f>
        <v>0</v>
      </c>
      <c r="N1982" s="36" t="str">
        <f>IFERROR(KPI_TARGETS!$E$9,"Higher is better")</f>
        <v>Higher is better</v>
      </c>
      <c r="O1982" s="37" t="str">
        <f t="shared" ca="1" si="180"/>
        <v/>
      </c>
      <c r="P1982" t="str">
        <f t="shared" ca="1" si="181"/>
        <v>Green</v>
      </c>
      <c r="Q1982" s="36">
        <f t="shared" ca="1" si="182"/>
        <v>0</v>
      </c>
      <c r="R1982" s="36" t="str">
        <f>""</f>
        <v/>
      </c>
      <c r="S1982" s="36" t="str">
        <f>""</f>
        <v/>
      </c>
      <c r="T1982" s="36" t="str">
        <f>""</f>
        <v/>
      </c>
      <c r="U1982" s="36" t="str">
        <f>""</f>
        <v/>
      </c>
      <c r="V1982" s="36" t="str">
        <f>""</f>
        <v/>
      </c>
      <c r="W1982" s="36">
        <f t="shared" si="183"/>
        <v>1</v>
      </c>
      <c r="X1982" t="str">
        <f t="shared" si="184"/>
        <v>Inactive</v>
      </c>
      <c r="Y1982" t="str">
        <f>IF(MAIN!$H$3="Selected Year",IF(A1982=MAIN!$B$3,"Yes","No"),IF(MAIN!$H$3="Included Years",IF(D1982="Yes","Yes","No"),IF(C1982="Yes","Yes","No")))</f>
        <v>No</v>
      </c>
      <c r="Z1982" t="str">
        <f>IF(MAIN!$F$3="Project to Date",IF(AND(A1982&gt;=SETTINGS!$B$4,A1982&lt;MAIN!$B$3),"Yes",IF(AND(A1982=MAIN!$B$3,E1982&lt;=MAIN!$L$3),"Yes","No")),IF(OR(MAIN!$F$3="Full Year",MAIN!$D$3="All"),"Yes",IF(MAIN!$F$3="Monthly",IF(E1982=MAIN!$L$3,"Yes","No"),IF(E1982&lt;=MAIN!$L$3,"Yes","No"))))</f>
        <v>Yes</v>
      </c>
      <c r="AA1982" t="str">
        <f t="shared" si="185"/>
        <v>No</v>
      </c>
    </row>
    <row r="1983" spans="1:27" x14ac:dyDescent="0.3">
      <c r="A1983">
        <f>INDEX(SETTINGS!$A$15:$A$24,$B1983)</f>
        <v>2033</v>
      </c>
      <c r="B1983">
        <v>9</v>
      </c>
      <c r="C1983" t="str">
        <f>IF(AND(A1983&gt;=SETTINGS!$B$4,A1983&lt;=SETTINGS!$B$5),"Yes","No")</f>
        <v>No</v>
      </c>
      <c r="D1983" t="str">
        <f>IFERROR(INDEX(SETTINGS!$C$15:$C$24,MATCH(A1983,SETTINGS!$A$15:$A$24,0)),"No")</f>
        <v>No</v>
      </c>
      <c r="E1983">
        <v>9</v>
      </c>
      <c r="F1983" t="s">
        <v>42</v>
      </c>
      <c r="G1983">
        <v>207</v>
      </c>
      <c r="H1983" t="s">
        <v>99</v>
      </c>
      <c r="I1983" t="s">
        <v>15</v>
      </c>
      <c r="J1983" t="s">
        <v>18</v>
      </c>
      <c r="K1983" t="s">
        <v>3</v>
      </c>
      <c r="L1983" s="36">
        <f ca="1">IF(C1983&lt;&gt;"Yes",0,IF(A1983=2025,N('2025'!D207),IF(A1983=2026,N('2026'!D207),IF(A1983=2027,N('2027'!D207),IF(A1983=2028,N('2028'!D207),IF(A1983=2029,N('2029'!D207),IF(A1983=2030,N('2030'!D207),IF(A1983=2031,N('2031'!D207),IF(A1983=2032,N('2032'!D207),IF(A1983=2033,N('2033'!D207),IF(A1983=2034,N('2034'!D207),IFERROR(N(INDIRECT("'"&amp;A1983&amp;"'!D"&amp;G1983)),0))))))))))))</f>
        <v>0</v>
      </c>
      <c r="M1983" s="36">
        <f>IFERROR(IF(NOT(ISBLANK(KPI_TARGETS!$O$10)),KPI_TARGETS!$O$10,IF(NOT(ISBLANK(KPI_TARGETS!$F$10)),KPI_TARGETS!$F$10,"")),"")</f>
        <v>0</v>
      </c>
      <c r="N1983" s="36" t="str">
        <f>IFERROR(KPI_TARGETS!$E$10,"Higher is better")</f>
        <v>Lower is better</v>
      </c>
      <c r="O1983" s="37">
        <f t="shared" ca="1" si="180"/>
        <v>1</v>
      </c>
      <c r="P1983" t="str">
        <f t="shared" ca="1" si="181"/>
        <v>Green</v>
      </c>
      <c r="Q1983" s="36">
        <f t="shared" ca="1" si="182"/>
        <v>0</v>
      </c>
      <c r="R1983" s="36" t="str">
        <f>""</f>
        <v/>
      </c>
      <c r="S1983" s="36" t="str">
        <f>""</f>
        <v/>
      </c>
      <c r="T1983" s="36" t="str">
        <f>""</f>
        <v/>
      </c>
      <c r="U1983" s="36" t="str">
        <f>""</f>
        <v/>
      </c>
      <c r="V1983" s="36" t="str">
        <f>""</f>
        <v/>
      </c>
      <c r="W1983" s="36">
        <f t="shared" si="183"/>
        <v>1</v>
      </c>
      <c r="X1983" t="str">
        <f t="shared" si="184"/>
        <v>Inactive</v>
      </c>
      <c r="Y1983" t="str">
        <f>IF(MAIN!$H$3="Selected Year",IF(A1983=MAIN!$B$3,"Yes","No"),IF(MAIN!$H$3="Included Years",IF(D1983="Yes","Yes","No"),IF(C1983="Yes","Yes","No")))</f>
        <v>No</v>
      </c>
      <c r="Z1983" t="str">
        <f>IF(MAIN!$F$3="Project to Date",IF(AND(A1983&gt;=SETTINGS!$B$4,A1983&lt;MAIN!$B$3),"Yes",IF(AND(A1983=MAIN!$B$3,E1983&lt;=MAIN!$L$3),"Yes","No")),IF(OR(MAIN!$F$3="Full Year",MAIN!$D$3="All"),"Yes",IF(MAIN!$F$3="Monthly",IF(E1983=MAIN!$L$3,"Yes","No"),IF(E1983&lt;=MAIN!$L$3,"Yes","No"))))</f>
        <v>Yes</v>
      </c>
      <c r="AA1983" t="str">
        <f t="shared" si="185"/>
        <v>No</v>
      </c>
    </row>
    <row r="1984" spans="1:27" x14ac:dyDescent="0.3">
      <c r="A1984">
        <f>INDEX(SETTINGS!$A$15:$A$24,$B1984)</f>
        <v>2033</v>
      </c>
      <c r="B1984">
        <v>9</v>
      </c>
      <c r="C1984" t="str">
        <f>IF(AND(A1984&gt;=SETTINGS!$B$4,A1984&lt;=SETTINGS!$B$5),"Yes","No")</f>
        <v>No</v>
      </c>
      <c r="D1984" t="str">
        <f>IFERROR(INDEX(SETTINGS!$C$15:$C$24,MATCH(A1984,SETTINGS!$A$15:$A$24,0)),"No")</f>
        <v>No</v>
      </c>
      <c r="E1984">
        <v>9</v>
      </c>
      <c r="F1984" t="s">
        <v>42</v>
      </c>
      <c r="G1984">
        <v>208</v>
      </c>
      <c r="H1984" t="s">
        <v>100</v>
      </c>
      <c r="I1984" t="s">
        <v>15</v>
      </c>
      <c r="J1984" t="s">
        <v>19</v>
      </c>
      <c r="K1984" t="s">
        <v>3</v>
      </c>
      <c r="L1984" s="36">
        <f ca="1">IF(C1984&lt;&gt;"Yes",0,IF(A1984=2025,N('2025'!D208),IF(A1984=2026,N('2026'!D208),IF(A1984=2027,N('2027'!D208),IF(A1984=2028,N('2028'!D208),IF(A1984=2029,N('2029'!D208),IF(A1984=2030,N('2030'!D208),IF(A1984=2031,N('2031'!D208),IF(A1984=2032,N('2032'!D208),IF(A1984=2033,N('2033'!D208),IF(A1984=2034,N('2034'!D208),IFERROR(N(INDIRECT("'"&amp;A1984&amp;"'!D"&amp;G1984)),0))))))))))))</f>
        <v>0</v>
      </c>
      <c r="M1984" s="36">
        <f>IFERROR(IF(NOT(ISBLANK(KPI_TARGETS!$O$11)),KPI_TARGETS!$O$11,IF(NOT(ISBLANK(KPI_TARGETS!$F$11)),KPI_TARGETS!$F$11,"")),"")</f>
        <v>0</v>
      </c>
      <c r="N1984" s="36" t="str">
        <f>IFERROR(KPI_TARGETS!$E$11,"Higher is better")</f>
        <v>Lower is better</v>
      </c>
      <c r="O1984" s="37">
        <f t="shared" ca="1" si="180"/>
        <v>1</v>
      </c>
      <c r="P1984" t="str">
        <f t="shared" ca="1" si="181"/>
        <v>Green</v>
      </c>
      <c r="Q1984" s="36">
        <f t="shared" ca="1" si="182"/>
        <v>0</v>
      </c>
      <c r="R1984" s="36" t="str">
        <f>""</f>
        <v/>
      </c>
      <c r="S1984" s="36" t="str">
        <f>""</f>
        <v/>
      </c>
      <c r="T1984" s="36" t="str">
        <f>""</f>
        <v/>
      </c>
      <c r="U1984" s="36" t="str">
        <f>""</f>
        <v/>
      </c>
      <c r="V1984" s="36" t="str">
        <f>""</f>
        <v/>
      </c>
      <c r="W1984" s="36">
        <f t="shared" si="183"/>
        <v>1</v>
      </c>
      <c r="X1984" t="str">
        <f t="shared" si="184"/>
        <v>Inactive</v>
      </c>
      <c r="Y1984" t="str">
        <f>IF(MAIN!$H$3="Selected Year",IF(A1984=MAIN!$B$3,"Yes","No"),IF(MAIN!$H$3="Included Years",IF(D1984="Yes","Yes","No"),IF(C1984="Yes","Yes","No")))</f>
        <v>No</v>
      </c>
      <c r="Z1984" t="str">
        <f>IF(MAIN!$F$3="Project to Date",IF(AND(A1984&gt;=SETTINGS!$B$4,A1984&lt;MAIN!$B$3),"Yes",IF(AND(A1984=MAIN!$B$3,E1984&lt;=MAIN!$L$3),"Yes","No")),IF(OR(MAIN!$F$3="Full Year",MAIN!$D$3="All"),"Yes",IF(MAIN!$F$3="Monthly",IF(E1984=MAIN!$L$3,"Yes","No"),IF(E1984&lt;=MAIN!$L$3,"Yes","No"))))</f>
        <v>Yes</v>
      </c>
      <c r="AA1984" t="str">
        <f t="shared" si="185"/>
        <v>No</v>
      </c>
    </row>
    <row r="1985" spans="1:27" x14ac:dyDescent="0.3">
      <c r="A1985">
        <f>INDEX(SETTINGS!$A$15:$A$24,$B1985)</f>
        <v>2033</v>
      </c>
      <c r="B1985">
        <v>9</v>
      </c>
      <c r="C1985" t="str">
        <f>IF(AND(A1985&gt;=SETTINGS!$B$4,A1985&lt;=SETTINGS!$B$5),"Yes","No")</f>
        <v>No</v>
      </c>
      <c r="D1985" t="str">
        <f>IFERROR(INDEX(SETTINGS!$C$15:$C$24,MATCH(A1985,SETTINGS!$A$15:$A$24,0)),"No")</f>
        <v>No</v>
      </c>
      <c r="E1985">
        <v>9</v>
      </c>
      <c r="F1985" t="s">
        <v>42</v>
      </c>
      <c r="G1985">
        <v>209</v>
      </c>
      <c r="H1985" t="s">
        <v>101</v>
      </c>
      <c r="I1985" t="s">
        <v>15</v>
      </c>
      <c r="J1985" t="s">
        <v>20</v>
      </c>
      <c r="K1985" t="s">
        <v>3</v>
      </c>
      <c r="L1985" s="36">
        <f ca="1">IF(C1985&lt;&gt;"Yes",0,IF(A1985=2025,N('2025'!D209),IF(A1985=2026,N('2026'!D209),IF(A1985=2027,N('2027'!D209),IF(A1985=2028,N('2028'!D209),IF(A1985=2029,N('2029'!D209),IF(A1985=2030,N('2030'!D209),IF(A1985=2031,N('2031'!D209),IF(A1985=2032,N('2032'!D209),IF(A1985=2033,N('2033'!D209),IF(A1985=2034,N('2034'!D209),IFERROR(N(INDIRECT("'"&amp;A1985&amp;"'!D"&amp;G1985)),0))))))))))))</f>
        <v>0</v>
      </c>
      <c r="M1985" s="36">
        <f>IFERROR(IF(NOT(ISBLANK(KPI_TARGETS!$O$12)),KPI_TARGETS!$O$12,IF(NOT(ISBLANK(KPI_TARGETS!$F$12)),KPI_TARGETS!$F$12,"")),"")</f>
        <v>0</v>
      </c>
      <c r="N1985" s="36" t="str">
        <f>IFERROR(KPI_TARGETS!$E$12,"Higher is better")</f>
        <v>Lower is better</v>
      </c>
      <c r="O1985" s="37">
        <f t="shared" ca="1" si="180"/>
        <v>1</v>
      </c>
      <c r="P1985" t="str">
        <f t="shared" ca="1" si="181"/>
        <v>Green</v>
      </c>
      <c r="Q1985" s="36">
        <f t="shared" ca="1" si="182"/>
        <v>0</v>
      </c>
      <c r="R1985" s="36" t="str">
        <f>""</f>
        <v/>
      </c>
      <c r="S1985" s="36" t="str">
        <f>""</f>
        <v/>
      </c>
      <c r="T1985" s="36" t="str">
        <f>""</f>
        <v/>
      </c>
      <c r="U1985" s="36" t="str">
        <f>""</f>
        <v/>
      </c>
      <c r="V1985" s="36" t="str">
        <f>""</f>
        <v/>
      </c>
      <c r="W1985" s="36">
        <f t="shared" si="183"/>
        <v>1</v>
      </c>
      <c r="X1985" t="str">
        <f t="shared" si="184"/>
        <v>Inactive</v>
      </c>
      <c r="Y1985" t="str">
        <f>IF(MAIN!$H$3="Selected Year",IF(A1985=MAIN!$B$3,"Yes","No"),IF(MAIN!$H$3="Included Years",IF(D1985="Yes","Yes","No"),IF(C1985="Yes","Yes","No")))</f>
        <v>No</v>
      </c>
      <c r="Z1985" t="str">
        <f>IF(MAIN!$F$3="Project to Date",IF(AND(A1985&gt;=SETTINGS!$B$4,A1985&lt;MAIN!$B$3),"Yes",IF(AND(A1985=MAIN!$B$3,E1985&lt;=MAIN!$L$3),"Yes","No")),IF(OR(MAIN!$F$3="Full Year",MAIN!$D$3="All"),"Yes",IF(MAIN!$F$3="Monthly",IF(E1985=MAIN!$L$3,"Yes","No"),IF(E1985&lt;=MAIN!$L$3,"Yes","No"))))</f>
        <v>Yes</v>
      </c>
      <c r="AA1985" t="str">
        <f t="shared" si="185"/>
        <v>No</v>
      </c>
    </row>
    <row r="1986" spans="1:27" x14ac:dyDescent="0.3">
      <c r="A1986">
        <f>INDEX(SETTINGS!$A$15:$A$24,$B1986)</f>
        <v>2033</v>
      </c>
      <c r="B1986">
        <v>9</v>
      </c>
      <c r="C1986" t="str">
        <f>IF(AND(A1986&gt;=SETTINGS!$B$4,A1986&lt;=SETTINGS!$B$5),"Yes","No")</f>
        <v>No</v>
      </c>
      <c r="D1986" t="str">
        <f>IFERROR(INDEX(SETTINGS!$C$15:$C$24,MATCH(A1986,SETTINGS!$A$15:$A$24,0)),"No")</f>
        <v>No</v>
      </c>
      <c r="E1986">
        <v>9</v>
      </c>
      <c r="F1986" t="s">
        <v>42</v>
      </c>
      <c r="G1986">
        <v>210</v>
      </c>
      <c r="H1986" t="s">
        <v>102</v>
      </c>
      <c r="I1986" t="s">
        <v>15</v>
      </c>
      <c r="J1986" t="s">
        <v>21</v>
      </c>
      <c r="K1986" t="s">
        <v>3</v>
      </c>
      <c r="L1986" s="36">
        <f ca="1">IF(C1986&lt;&gt;"Yes",0,IF(A1986=2025,N('2025'!D210),IF(A1986=2026,N('2026'!D210),IF(A1986=2027,N('2027'!D210),IF(A1986=2028,N('2028'!D210),IF(A1986=2029,N('2029'!D210),IF(A1986=2030,N('2030'!D210),IF(A1986=2031,N('2031'!D210),IF(A1986=2032,N('2032'!D210),IF(A1986=2033,N('2033'!D210),IF(A1986=2034,N('2034'!D210),IFERROR(N(INDIRECT("'"&amp;A1986&amp;"'!D"&amp;G1986)),0))))))))))))</f>
        <v>0</v>
      </c>
      <c r="M1986" s="36">
        <f>IFERROR(IF(NOT(ISBLANK(KPI_TARGETS!$O$13)),KPI_TARGETS!$O$13,IF(NOT(ISBLANK(KPI_TARGETS!$F$13)),KPI_TARGETS!$F$13,"")),"")</f>
        <v>0</v>
      </c>
      <c r="N1986" s="36" t="str">
        <f>IFERROR(KPI_TARGETS!$E$13,"Higher is better")</f>
        <v>Lower is better</v>
      </c>
      <c r="O1986" s="37">
        <f t="shared" ref="O1986:O2049" ca="1" si="186">IF(M1986="","",IF(N1986="Higher is better",IFERROR(L1986/M1986,""),IF(L1986=0,1,IFERROR(M1986/L1986,""))))</f>
        <v>1</v>
      </c>
      <c r="P1986" t="str">
        <f t="shared" ref="P1986:P2049" ca="1" si="187">IF(M1986="","Target Needed",IF(N1986="Higher is better",IF(L1986&gt;=M1986,"Green",IF(L1986&gt;=0.8*M1986,"Amber","Red")),IF(M1986=0,IF(L1986=0,"Green","Red"),IF(L1986&lt;=M1986,"Green",IF(L1986&lt;=1.25*M1986,"Amber","Red")))))</f>
        <v>Green</v>
      </c>
      <c r="Q1986" s="36">
        <f t="shared" ref="Q1986:Q2049" ca="1" si="188">IF(M1986="","",IF(N1986="Higher is better",L1986-M1986,M1986-L1986))</f>
        <v>0</v>
      </c>
      <c r="R1986" s="36" t="str">
        <f>""</f>
        <v/>
      </c>
      <c r="S1986" s="36" t="str">
        <f>""</f>
        <v/>
      </c>
      <c r="T1986" s="36" t="str">
        <f>""</f>
        <v/>
      </c>
      <c r="U1986" s="36" t="str">
        <f>""</f>
        <v/>
      </c>
      <c r="V1986" s="36" t="str">
        <f>""</f>
        <v/>
      </c>
      <c r="W1986" s="36">
        <f t="shared" ref="W1986:W2049" si="189">IF(LEN(M1986&amp;"")&gt;0,1,0)</f>
        <v>1</v>
      </c>
      <c r="X1986" t="str">
        <f t="shared" ref="X1986:X2049" si="190">IF(C1986&lt;&gt;"Yes","Inactive",IF(M1986="","Missing target","OK"))</f>
        <v>Inactive</v>
      </c>
      <c r="Y1986" t="str">
        <f>IF(MAIN!$H$3="Selected Year",IF(A1986=MAIN!$B$3,"Yes","No"),IF(MAIN!$H$3="Included Years",IF(D1986="Yes","Yes","No"),IF(C1986="Yes","Yes","No")))</f>
        <v>No</v>
      </c>
      <c r="Z1986" t="str">
        <f>IF(MAIN!$F$3="Project to Date",IF(AND(A1986&gt;=SETTINGS!$B$4,A1986&lt;MAIN!$B$3),"Yes",IF(AND(A1986=MAIN!$B$3,E1986&lt;=MAIN!$L$3),"Yes","No")),IF(OR(MAIN!$F$3="Full Year",MAIN!$D$3="All"),"Yes",IF(MAIN!$F$3="Monthly",IF(E1986=MAIN!$L$3,"Yes","No"),IF(E1986&lt;=MAIN!$L$3,"Yes","No"))))</f>
        <v>Yes</v>
      </c>
      <c r="AA1986" t="str">
        <f t="shared" ref="AA1986:AA2049" si="191">IF(AND(Y1986="Yes",Z1986="Yes"),"Yes","No")</f>
        <v>No</v>
      </c>
    </row>
    <row r="1987" spans="1:27" x14ac:dyDescent="0.3">
      <c r="A1987">
        <f>INDEX(SETTINGS!$A$15:$A$24,$B1987)</f>
        <v>2033</v>
      </c>
      <c r="B1987">
        <v>9</v>
      </c>
      <c r="C1987" t="str">
        <f>IF(AND(A1987&gt;=SETTINGS!$B$4,A1987&lt;=SETTINGS!$B$5),"Yes","No")</f>
        <v>No</v>
      </c>
      <c r="D1987" t="str">
        <f>IFERROR(INDEX(SETTINGS!$C$15:$C$24,MATCH(A1987,SETTINGS!$A$15:$A$24,0)),"No")</f>
        <v>No</v>
      </c>
      <c r="E1987">
        <v>9</v>
      </c>
      <c r="F1987" t="s">
        <v>42</v>
      </c>
      <c r="G1987">
        <v>212</v>
      </c>
      <c r="H1987" t="s">
        <v>103</v>
      </c>
      <c r="I1987" t="s">
        <v>22</v>
      </c>
      <c r="J1987" t="s">
        <v>23</v>
      </c>
      <c r="K1987" t="s">
        <v>3</v>
      </c>
      <c r="L1987" s="36">
        <f ca="1">IF(C1987&lt;&gt;"Yes",0,IF(A1987=2025,N('2025'!D212),IF(A1987=2026,N('2026'!D212),IF(A1987=2027,N('2027'!D212),IF(A1987=2028,N('2028'!D212),IF(A1987=2029,N('2029'!D212),IF(A1987=2030,N('2030'!D212),IF(A1987=2031,N('2031'!D212),IF(A1987=2032,N('2032'!D212),IF(A1987=2033,N('2033'!D212),IF(A1987=2034,N('2034'!D212),IFERROR(N(INDIRECT("'"&amp;A1987&amp;"'!D"&amp;G1987)),0))))))))))))</f>
        <v>0</v>
      </c>
      <c r="M1987" s="36">
        <f>IFERROR(IF(NOT(ISBLANK(KPI_TARGETS!$O$14)),KPI_TARGETS!$O$14,IF(NOT(ISBLANK(KPI_TARGETS!$F$14)),KPI_TARGETS!$F$14,"")),"")</f>
        <v>35</v>
      </c>
      <c r="N1987" s="36" t="str">
        <f>IFERROR(KPI_TARGETS!$E$14,"Higher is better")</f>
        <v>Higher is better</v>
      </c>
      <c r="O1987" s="37">
        <f t="shared" ca="1" si="186"/>
        <v>0</v>
      </c>
      <c r="P1987" t="str">
        <f t="shared" ca="1" si="187"/>
        <v>Red</v>
      </c>
      <c r="Q1987" s="36">
        <f t="shared" ca="1" si="188"/>
        <v>-35</v>
      </c>
      <c r="R1987" s="36" t="str">
        <f>""</f>
        <v/>
      </c>
      <c r="S1987" s="36" t="str">
        <f>""</f>
        <v/>
      </c>
      <c r="T1987" s="36" t="str">
        <f>""</f>
        <v/>
      </c>
      <c r="U1987" s="36" t="str">
        <f>""</f>
        <v/>
      </c>
      <c r="V1987" s="36" t="str">
        <f>""</f>
        <v/>
      </c>
      <c r="W1987" s="36">
        <f t="shared" si="189"/>
        <v>1</v>
      </c>
      <c r="X1987" t="str">
        <f t="shared" si="190"/>
        <v>Inactive</v>
      </c>
      <c r="Y1987" t="str">
        <f>IF(MAIN!$H$3="Selected Year",IF(A1987=MAIN!$B$3,"Yes","No"),IF(MAIN!$H$3="Included Years",IF(D1987="Yes","Yes","No"),IF(C1987="Yes","Yes","No")))</f>
        <v>No</v>
      </c>
      <c r="Z1987" t="str">
        <f>IF(MAIN!$F$3="Project to Date",IF(AND(A1987&gt;=SETTINGS!$B$4,A1987&lt;MAIN!$B$3),"Yes",IF(AND(A1987=MAIN!$B$3,E1987&lt;=MAIN!$L$3),"Yes","No")),IF(OR(MAIN!$F$3="Full Year",MAIN!$D$3="All"),"Yes",IF(MAIN!$F$3="Monthly",IF(E1987=MAIN!$L$3,"Yes","No"),IF(E1987&lt;=MAIN!$L$3,"Yes","No"))))</f>
        <v>Yes</v>
      </c>
      <c r="AA1987" t="str">
        <f t="shared" si="191"/>
        <v>No</v>
      </c>
    </row>
    <row r="1988" spans="1:27" x14ac:dyDescent="0.3">
      <c r="A1988">
        <f>INDEX(SETTINGS!$A$15:$A$24,$B1988)</f>
        <v>2033</v>
      </c>
      <c r="B1988">
        <v>9</v>
      </c>
      <c r="C1988" t="str">
        <f>IF(AND(A1988&gt;=SETTINGS!$B$4,A1988&lt;=SETTINGS!$B$5),"Yes","No")</f>
        <v>No</v>
      </c>
      <c r="D1988" t="str">
        <f>IFERROR(INDEX(SETTINGS!$C$15:$C$24,MATCH(A1988,SETTINGS!$A$15:$A$24,0)),"No")</f>
        <v>No</v>
      </c>
      <c r="E1988">
        <v>9</v>
      </c>
      <c r="F1988" t="s">
        <v>42</v>
      </c>
      <c r="G1988">
        <v>213</v>
      </c>
      <c r="H1988" t="s">
        <v>104</v>
      </c>
      <c r="I1988" t="s">
        <v>22</v>
      </c>
      <c r="J1988" t="s">
        <v>24</v>
      </c>
      <c r="K1988" t="s">
        <v>3</v>
      </c>
      <c r="L1988" s="36">
        <f ca="1">IF(C1988&lt;&gt;"Yes",0,IF(A1988=2025,N('2025'!D213),IF(A1988=2026,N('2026'!D213),IF(A1988=2027,N('2027'!D213),IF(A1988=2028,N('2028'!D213),IF(A1988=2029,N('2029'!D213),IF(A1988=2030,N('2030'!D213),IF(A1988=2031,N('2031'!D213),IF(A1988=2032,N('2032'!D213),IF(A1988=2033,N('2033'!D213),IF(A1988=2034,N('2034'!D213),IFERROR(N(INDIRECT("'"&amp;A1988&amp;"'!D"&amp;G1988)),0))))))))))))</f>
        <v>0</v>
      </c>
      <c r="M1988" s="36">
        <f>IFERROR(IF(NOT(ISBLANK(KPI_TARGETS!$O$15)),KPI_TARGETS!$O$15,IF(NOT(ISBLANK(KPI_TARGETS!$F$15)),KPI_TARGETS!$F$15,"")),"")</f>
        <v>5</v>
      </c>
      <c r="N1988" s="36" t="str">
        <f>IFERROR(KPI_TARGETS!$E$15,"Higher is better")</f>
        <v>Higher is better</v>
      </c>
      <c r="O1988" s="37">
        <f t="shared" ca="1" si="186"/>
        <v>0</v>
      </c>
      <c r="P1988" t="str">
        <f t="shared" ca="1" si="187"/>
        <v>Red</v>
      </c>
      <c r="Q1988" s="36">
        <f t="shared" ca="1" si="188"/>
        <v>-5</v>
      </c>
      <c r="R1988" s="36" t="str">
        <f>""</f>
        <v/>
      </c>
      <c r="S1988" s="36" t="str">
        <f>""</f>
        <v/>
      </c>
      <c r="T1988" s="36" t="str">
        <f>""</f>
        <v/>
      </c>
      <c r="U1988" s="36" t="str">
        <f>""</f>
        <v/>
      </c>
      <c r="V1988" s="36" t="str">
        <f>""</f>
        <v/>
      </c>
      <c r="W1988" s="36">
        <f t="shared" si="189"/>
        <v>1</v>
      </c>
      <c r="X1988" t="str">
        <f t="shared" si="190"/>
        <v>Inactive</v>
      </c>
      <c r="Y1988" t="str">
        <f>IF(MAIN!$H$3="Selected Year",IF(A1988=MAIN!$B$3,"Yes","No"),IF(MAIN!$H$3="Included Years",IF(D1988="Yes","Yes","No"),IF(C1988="Yes","Yes","No")))</f>
        <v>No</v>
      </c>
      <c r="Z1988" t="str">
        <f>IF(MAIN!$F$3="Project to Date",IF(AND(A1988&gt;=SETTINGS!$B$4,A1988&lt;MAIN!$B$3),"Yes",IF(AND(A1988=MAIN!$B$3,E1988&lt;=MAIN!$L$3),"Yes","No")),IF(OR(MAIN!$F$3="Full Year",MAIN!$D$3="All"),"Yes",IF(MAIN!$F$3="Monthly",IF(E1988=MAIN!$L$3,"Yes","No"),IF(E1988&lt;=MAIN!$L$3,"Yes","No"))))</f>
        <v>Yes</v>
      </c>
      <c r="AA1988" t="str">
        <f t="shared" si="191"/>
        <v>No</v>
      </c>
    </row>
    <row r="1989" spans="1:27" x14ac:dyDescent="0.3">
      <c r="A1989">
        <f>INDEX(SETTINGS!$A$15:$A$24,$B1989)</f>
        <v>2033</v>
      </c>
      <c r="B1989">
        <v>9</v>
      </c>
      <c r="C1989" t="str">
        <f>IF(AND(A1989&gt;=SETTINGS!$B$4,A1989&lt;=SETTINGS!$B$5),"Yes","No")</f>
        <v>No</v>
      </c>
      <c r="D1989" t="str">
        <f>IFERROR(INDEX(SETTINGS!$C$15:$C$24,MATCH(A1989,SETTINGS!$A$15:$A$24,0)),"No")</f>
        <v>No</v>
      </c>
      <c r="E1989">
        <v>9</v>
      </c>
      <c r="F1989" t="s">
        <v>42</v>
      </c>
      <c r="G1989">
        <v>214</v>
      </c>
      <c r="H1989" t="s">
        <v>105</v>
      </c>
      <c r="I1989" t="s">
        <v>22</v>
      </c>
      <c r="J1989" t="s">
        <v>25</v>
      </c>
      <c r="K1989" t="s">
        <v>3</v>
      </c>
      <c r="L1989" s="36">
        <f ca="1">IF(C1989&lt;&gt;"Yes",0,IF(A1989=2025,N('2025'!D214),IF(A1989=2026,N('2026'!D214),IF(A1989=2027,N('2027'!D214),IF(A1989=2028,N('2028'!D214),IF(A1989=2029,N('2029'!D214),IF(A1989=2030,N('2030'!D214),IF(A1989=2031,N('2031'!D214),IF(A1989=2032,N('2032'!D214),IF(A1989=2033,N('2033'!D214),IF(A1989=2034,N('2034'!D214),IFERROR(N(INDIRECT("'"&amp;A1989&amp;"'!D"&amp;G1989)),0))))))))))))</f>
        <v>0</v>
      </c>
      <c r="M1989" s="36">
        <f>IFERROR(IF(NOT(ISBLANK(KPI_TARGETS!$O$16)),KPI_TARGETS!$O$16,IF(NOT(ISBLANK(KPI_TARGETS!$F$16)),KPI_TARGETS!$F$16,"")),"")</f>
        <v>4</v>
      </c>
      <c r="N1989" s="36" t="str">
        <f>IFERROR(KPI_TARGETS!$E$16,"Higher is better")</f>
        <v>Higher is better</v>
      </c>
      <c r="O1989" s="37">
        <f t="shared" ca="1" si="186"/>
        <v>0</v>
      </c>
      <c r="P1989" t="str">
        <f t="shared" ca="1" si="187"/>
        <v>Red</v>
      </c>
      <c r="Q1989" s="36">
        <f t="shared" ca="1" si="188"/>
        <v>-4</v>
      </c>
      <c r="R1989" s="36" t="str">
        <f>""</f>
        <v/>
      </c>
      <c r="S1989" s="36" t="str">
        <f>""</f>
        <v/>
      </c>
      <c r="T1989" s="36" t="str">
        <f>""</f>
        <v/>
      </c>
      <c r="U1989" s="36" t="str">
        <f>""</f>
        <v/>
      </c>
      <c r="V1989" s="36" t="str">
        <f>""</f>
        <v/>
      </c>
      <c r="W1989" s="36">
        <f t="shared" si="189"/>
        <v>1</v>
      </c>
      <c r="X1989" t="str">
        <f t="shared" si="190"/>
        <v>Inactive</v>
      </c>
      <c r="Y1989" t="str">
        <f>IF(MAIN!$H$3="Selected Year",IF(A1989=MAIN!$B$3,"Yes","No"),IF(MAIN!$H$3="Included Years",IF(D1989="Yes","Yes","No"),IF(C1989="Yes","Yes","No")))</f>
        <v>No</v>
      </c>
      <c r="Z1989" t="str">
        <f>IF(MAIN!$F$3="Project to Date",IF(AND(A1989&gt;=SETTINGS!$B$4,A1989&lt;MAIN!$B$3),"Yes",IF(AND(A1989=MAIN!$B$3,E1989&lt;=MAIN!$L$3),"Yes","No")),IF(OR(MAIN!$F$3="Full Year",MAIN!$D$3="All"),"Yes",IF(MAIN!$F$3="Monthly",IF(E1989=MAIN!$L$3,"Yes","No"),IF(E1989&lt;=MAIN!$L$3,"Yes","No"))))</f>
        <v>Yes</v>
      </c>
      <c r="AA1989" t="str">
        <f t="shared" si="191"/>
        <v>No</v>
      </c>
    </row>
    <row r="1990" spans="1:27" x14ac:dyDescent="0.3">
      <c r="A1990">
        <f>INDEX(SETTINGS!$A$15:$A$24,$B1990)</f>
        <v>2033</v>
      </c>
      <c r="B1990">
        <v>9</v>
      </c>
      <c r="C1990" t="str">
        <f>IF(AND(A1990&gt;=SETTINGS!$B$4,A1990&lt;=SETTINGS!$B$5),"Yes","No")</f>
        <v>No</v>
      </c>
      <c r="D1990" t="str">
        <f>IFERROR(INDEX(SETTINGS!$C$15:$C$24,MATCH(A1990,SETTINGS!$A$15:$A$24,0)),"No")</f>
        <v>No</v>
      </c>
      <c r="E1990">
        <v>9</v>
      </c>
      <c r="F1990" t="s">
        <v>42</v>
      </c>
      <c r="G1990">
        <v>215</v>
      </c>
      <c r="H1990" t="s">
        <v>106</v>
      </c>
      <c r="I1990" t="s">
        <v>22</v>
      </c>
      <c r="J1990" t="s">
        <v>26</v>
      </c>
      <c r="K1990" t="s">
        <v>3</v>
      </c>
      <c r="L1990" s="36">
        <f ca="1">IF(C1990&lt;&gt;"Yes",0,IF(A1990=2025,N('2025'!D215),IF(A1990=2026,N('2026'!D215),IF(A1990=2027,N('2027'!D215),IF(A1990=2028,N('2028'!D215),IF(A1990=2029,N('2029'!D215),IF(A1990=2030,N('2030'!D215),IF(A1990=2031,N('2031'!D215),IF(A1990=2032,N('2032'!D215),IF(A1990=2033,N('2033'!D215),IF(A1990=2034,N('2034'!D215),IFERROR(N(INDIRECT("'"&amp;A1990&amp;"'!D"&amp;G1990)),0))))))))))))</f>
        <v>0</v>
      </c>
      <c r="M1990" s="36">
        <f>IFERROR(IF(NOT(ISBLANK(KPI_TARGETS!$O$17)),KPI_TARGETS!$O$17,IF(NOT(ISBLANK(KPI_TARGETS!$F$17)),KPI_TARGETS!$F$17,"")),"")</f>
        <v>12</v>
      </c>
      <c r="N1990" s="36" t="str">
        <f>IFERROR(KPI_TARGETS!$E$17,"Higher is better")</f>
        <v>Higher is better</v>
      </c>
      <c r="O1990" s="37">
        <f t="shared" ca="1" si="186"/>
        <v>0</v>
      </c>
      <c r="P1990" t="str">
        <f t="shared" ca="1" si="187"/>
        <v>Red</v>
      </c>
      <c r="Q1990" s="36">
        <f t="shared" ca="1" si="188"/>
        <v>-12</v>
      </c>
      <c r="R1990" s="36" t="str">
        <f>""</f>
        <v/>
      </c>
      <c r="S1990" s="36" t="str">
        <f>""</f>
        <v/>
      </c>
      <c r="T1990" s="36" t="str">
        <f>""</f>
        <v/>
      </c>
      <c r="U1990" s="36" t="str">
        <f>""</f>
        <v/>
      </c>
      <c r="V1990" s="36" t="str">
        <f>""</f>
        <v/>
      </c>
      <c r="W1990" s="36">
        <f t="shared" si="189"/>
        <v>1</v>
      </c>
      <c r="X1990" t="str">
        <f t="shared" si="190"/>
        <v>Inactive</v>
      </c>
      <c r="Y1990" t="str">
        <f>IF(MAIN!$H$3="Selected Year",IF(A1990=MAIN!$B$3,"Yes","No"),IF(MAIN!$H$3="Included Years",IF(D1990="Yes","Yes","No"),IF(C1990="Yes","Yes","No")))</f>
        <v>No</v>
      </c>
      <c r="Z1990" t="str">
        <f>IF(MAIN!$F$3="Project to Date",IF(AND(A1990&gt;=SETTINGS!$B$4,A1990&lt;MAIN!$B$3),"Yes",IF(AND(A1990=MAIN!$B$3,E1990&lt;=MAIN!$L$3),"Yes","No")),IF(OR(MAIN!$F$3="Full Year",MAIN!$D$3="All"),"Yes",IF(MAIN!$F$3="Monthly",IF(E1990=MAIN!$L$3,"Yes","No"),IF(E1990&lt;=MAIN!$L$3,"Yes","No"))))</f>
        <v>Yes</v>
      </c>
      <c r="AA1990" t="str">
        <f t="shared" si="191"/>
        <v>No</v>
      </c>
    </row>
    <row r="1991" spans="1:27" x14ac:dyDescent="0.3">
      <c r="A1991">
        <f>INDEX(SETTINGS!$A$15:$A$24,$B1991)</f>
        <v>2033</v>
      </c>
      <c r="B1991">
        <v>9</v>
      </c>
      <c r="C1991" t="str">
        <f>IF(AND(A1991&gt;=SETTINGS!$B$4,A1991&lt;=SETTINGS!$B$5),"Yes","No")</f>
        <v>No</v>
      </c>
      <c r="D1991" t="str">
        <f>IFERROR(INDEX(SETTINGS!$C$15:$C$24,MATCH(A1991,SETTINGS!$A$15:$A$24,0)),"No")</f>
        <v>No</v>
      </c>
      <c r="E1991">
        <v>9</v>
      </c>
      <c r="F1991" t="s">
        <v>42</v>
      </c>
      <c r="G1991">
        <v>216</v>
      </c>
      <c r="H1991" t="s">
        <v>107</v>
      </c>
      <c r="I1991" t="s">
        <v>22</v>
      </c>
      <c r="J1991" t="s">
        <v>27</v>
      </c>
      <c r="K1991" t="s">
        <v>3</v>
      </c>
      <c r="L1991" s="36">
        <f ca="1">IF(C1991&lt;&gt;"Yes",0,IF(A1991=2025,N('2025'!D216),IF(A1991=2026,N('2026'!D216),IF(A1991=2027,N('2027'!D216),IF(A1991=2028,N('2028'!D216),IF(A1991=2029,N('2029'!D216),IF(A1991=2030,N('2030'!D216),IF(A1991=2031,N('2031'!D216),IF(A1991=2032,N('2032'!D216),IF(A1991=2033,N('2033'!D216),IF(A1991=2034,N('2034'!D216),IFERROR(N(INDIRECT("'"&amp;A1991&amp;"'!D"&amp;G1991)),0))))))))))))</f>
        <v>0</v>
      </c>
      <c r="M1991" s="36">
        <f>IFERROR(IF(NOT(ISBLANK(KPI_TARGETS!$O$18)),KPI_TARGETS!$O$18,IF(NOT(ISBLANK(KPI_TARGETS!$F$18)),KPI_TARGETS!$F$18,"")),"")</f>
        <v>4</v>
      </c>
      <c r="N1991" s="36" t="str">
        <f>IFERROR(KPI_TARGETS!$E$18,"Higher is better")</f>
        <v>Higher is better</v>
      </c>
      <c r="O1991" s="37">
        <f t="shared" ca="1" si="186"/>
        <v>0</v>
      </c>
      <c r="P1991" t="str">
        <f t="shared" ca="1" si="187"/>
        <v>Red</v>
      </c>
      <c r="Q1991" s="36">
        <f t="shared" ca="1" si="188"/>
        <v>-4</v>
      </c>
      <c r="R1991" s="36" t="str">
        <f>""</f>
        <v/>
      </c>
      <c r="S1991" s="36" t="str">
        <f>""</f>
        <v/>
      </c>
      <c r="T1991" s="36" t="str">
        <f>""</f>
        <v/>
      </c>
      <c r="U1991" s="36" t="str">
        <f>""</f>
        <v/>
      </c>
      <c r="V1991" s="36" t="str">
        <f>""</f>
        <v/>
      </c>
      <c r="W1991" s="36">
        <f t="shared" si="189"/>
        <v>1</v>
      </c>
      <c r="X1991" t="str">
        <f t="shared" si="190"/>
        <v>Inactive</v>
      </c>
      <c r="Y1991" t="str">
        <f>IF(MAIN!$H$3="Selected Year",IF(A1991=MAIN!$B$3,"Yes","No"),IF(MAIN!$H$3="Included Years",IF(D1991="Yes","Yes","No"),IF(C1991="Yes","Yes","No")))</f>
        <v>No</v>
      </c>
      <c r="Z1991" t="str">
        <f>IF(MAIN!$F$3="Project to Date",IF(AND(A1991&gt;=SETTINGS!$B$4,A1991&lt;MAIN!$B$3),"Yes",IF(AND(A1991=MAIN!$B$3,E1991&lt;=MAIN!$L$3),"Yes","No")),IF(OR(MAIN!$F$3="Full Year",MAIN!$D$3="All"),"Yes",IF(MAIN!$F$3="Monthly",IF(E1991=MAIN!$L$3,"Yes","No"),IF(E1991&lt;=MAIN!$L$3,"Yes","No"))))</f>
        <v>Yes</v>
      </c>
      <c r="AA1991" t="str">
        <f t="shared" si="191"/>
        <v>No</v>
      </c>
    </row>
    <row r="1992" spans="1:27" x14ac:dyDescent="0.3">
      <c r="A1992">
        <f>INDEX(SETTINGS!$A$15:$A$24,$B1992)</f>
        <v>2033</v>
      </c>
      <c r="B1992">
        <v>9</v>
      </c>
      <c r="C1992" t="str">
        <f>IF(AND(A1992&gt;=SETTINGS!$B$4,A1992&lt;=SETTINGS!$B$5),"Yes","No")</f>
        <v>No</v>
      </c>
      <c r="D1992" t="str">
        <f>IFERROR(INDEX(SETTINGS!$C$15:$C$24,MATCH(A1992,SETTINGS!$A$15:$A$24,0)),"No")</f>
        <v>No</v>
      </c>
      <c r="E1992">
        <v>9</v>
      </c>
      <c r="F1992" t="s">
        <v>42</v>
      </c>
      <c r="G1992">
        <v>217</v>
      </c>
      <c r="H1992" t="s">
        <v>108</v>
      </c>
      <c r="I1992" t="s">
        <v>22</v>
      </c>
      <c r="J1992" t="s">
        <v>28</v>
      </c>
      <c r="K1992" t="s">
        <v>3</v>
      </c>
      <c r="L1992" s="36">
        <f ca="1">IF(C1992&lt;&gt;"Yes",0,IF(A1992=2025,N('2025'!D217),IF(A1992=2026,N('2026'!D217),IF(A1992=2027,N('2027'!D217),IF(A1992=2028,N('2028'!D217),IF(A1992=2029,N('2029'!D217),IF(A1992=2030,N('2030'!D217),IF(A1992=2031,N('2031'!D217),IF(A1992=2032,N('2032'!D217),IF(A1992=2033,N('2033'!D217),IF(A1992=2034,N('2034'!D217),IFERROR(N(INDIRECT("'"&amp;A1992&amp;"'!D"&amp;G1992)),0))))))))))))</f>
        <v>0</v>
      </c>
      <c r="M1992" s="36">
        <f>IFERROR(IF(NOT(ISBLANK(KPI_TARGETS!$O$19)),KPI_TARGETS!$O$19,IF(NOT(ISBLANK(KPI_TARGETS!$F$19)),KPI_TARGETS!$F$19,"")),"")</f>
        <v>16</v>
      </c>
      <c r="N1992" s="36" t="str">
        <f>IFERROR(KPI_TARGETS!$E$19,"Higher is better")</f>
        <v>Higher is better</v>
      </c>
      <c r="O1992" s="37">
        <f t="shared" ca="1" si="186"/>
        <v>0</v>
      </c>
      <c r="P1992" t="str">
        <f t="shared" ca="1" si="187"/>
        <v>Red</v>
      </c>
      <c r="Q1992" s="36">
        <f t="shared" ca="1" si="188"/>
        <v>-16</v>
      </c>
      <c r="R1992" s="36" t="str">
        <f>""</f>
        <v/>
      </c>
      <c r="S1992" s="36" t="str">
        <f>""</f>
        <v/>
      </c>
      <c r="T1992" s="36" t="str">
        <f>""</f>
        <v/>
      </c>
      <c r="U1992" s="36" t="str">
        <f>""</f>
        <v/>
      </c>
      <c r="V1992" s="36" t="str">
        <f>""</f>
        <v/>
      </c>
      <c r="W1992" s="36">
        <f t="shared" si="189"/>
        <v>1</v>
      </c>
      <c r="X1992" t="str">
        <f t="shared" si="190"/>
        <v>Inactive</v>
      </c>
      <c r="Y1992" t="str">
        <f>IF(MAIN!$H$3="Selected Year",IF(A1992=MAIN!$B$3,"Yes","No"),IF(MAIN!$H$3="Included Years",IF(D1992="Yes","Yes","No"),IF(C1992="Yes","Yes","No")))</f>
        <v>No</v>
      </c>
      <c r="Z1992" t="str">
        <f>IF(MAIN!$F$3="Project to Date",IF(AND(A1992&gt;=SETTINGS!$B$4,A1992&lt;MAIN!$B$3),"Yes",IF(AND(A1992=MAIN!$B$3,E1992&lt;=MAIN!$L$3),"Yes","No")),IF(OR(MAIN!$F$3="Full Year",MAIN!$D$3="All"),"Yes",IF(MAIN!$F$3="Monthly",IF(E1992=MAIN!$L$3,"Yes","No"),IF(E1992&lt;=MAIN!$L$3,"Yes","No"))))</f>
        <v>Yes</v>
      </c>
      <c r="AA1992" t="str">
        <f t="shared" si="191"/>
        <v>No</v>
      </c>
    </row>
    <row r="1993" spans="1:27" x14ac:dyDescent="0.3">
      <c r="A1993">
        <f>INDEX(SETTINGS!$A$15:$A$24,$B1993)</f>
        <v>2033</v>
      </c>
      <c r="B1993">
        <v>9</v>
      </c>
      <c r="C1993" t="str">
        <f>IF(AND(A1993&gt;=SETTINGS!$B$4,A1993&lt;=SETTINGS!$B$5),"Yes","No")</f>
        <v>No</v>
      </c>
      <c r="D1993" t="str">
        <f>IFERROR(INDEX(SETTINGS!$C$15:$C$24,MATCH(A1993,SETTINGS!$A$15:$A$24,0)),"No")</f>
        <v>No</v>
      </c>
      <c r="E1993">
        <v>9</v>
      </c>
      <c r="F1993" t="s">
        <v>42</v>
      </c>
      <c r="G1993">
        <v>218</v>
      </c>
      <c r="H1993" t="s">
        <v>109</v>
      </c>
      <c r="I1993" t="s">
        <v>22</v>
      </c>
      <c r="J1993" t="s">
        <v>29</v>
      </c>
      <c r="K1993" t="s">
        <v>3</v>
      </c>
      <c r="L1993" s="36">
        <f ca="1">IF(C1993&lt;&gt;"Yes",0,IF(A1993=2025,N('2025'!D218),IF(A1993=2026,N('2026'!D218),IF(A1993=2027,N('2027'!D218),IF(A1993=2028,N('2028'!D218),IF(A1993=2029,N('2029'!D218),IF(A1993=2030,N('2030'!D218),IF(A1993=2031,N('2031'!D218),IF(A1993=2032,N('2032'!D218),IF(A1993=2033,N('2033'!D218),IF(A1993=2034,N('2034'!D218),IFERROR(N(INDIRECT("'"&amp;A1993&amp;"'!D"&amp;G1993)),0))))))))))))</f>
        <v>0</v>
      </c>
      <c r="M1993" s="36">
        <f>IFERROR(IF(NOT(ISBLANK(KPI_TARGETS!$O$20)),KPI_TARGETS!$O$20,IF(NOT(ISBLANK(KPI_TARGETS!$F$20)),KPI_TARGETS!$F$20,"")),"")</f>
        <v>1</v>
      </c>
      <c r="N1993" s="36" t="str">
        <f>IFERROR(KPI_TARGETS!$E$20,"Higher is better")</f>
        <v>Higher is better</v>
      </c>
      <c r="O1993" s="37">
        <f t="shared" ca="1" si="186"/>
        <v>0</v>
      </c>
      <c r="P1993" t="str">
        <f t="shared" ca="1" si="187"/>
        <v>Red</v>
      </c>
      <c r="Q1993" s="36">
        <f t="shared" ca="1" si="188"/>
        <v>-1</v>
      </c>
      <c r="R1993" s="36" t="str">
        <f>""</f>
        <v/>
      </c>
      <c r="S1993" s="36" t="str">
        <f>""</f>
        <v/>
      </c>
      <c r="T1993" s="36" t="str">
        <f>""</f>
        <v/>
      </c>
      <c r="U1993" s="36" t="str">
        <f>""</f>
        <v/>
      </c>
      <c r="V1993" s="36" t="str">
        <f>""</f>
        <v/>
      </c>
      <c r="W1993" s="36">
        <f t="shared" si="189"/>
        <v>1</v>
      </c>
      <c r="X1993" t="str">
        <f t="shared" si="190"/>
        <v>Inactive</v>
      </c>
      <c r="Y1993" t="str">
        <f>IF(MAIN!$H$3="Selected Year",IF(A1993=MAIN!$B$3,"Yes","No"),IF(MAIN!$H$3="Included Years",IF(D1993="Yes","Yes","No"),IF(C1993="Yes","Yes","No")))</f>
        <v>No</v>
      </c>
      <c r="Z1993" t="str">
        <f>IF(MAIN!$F$3="Project to Date",IF(AND(A1993&gt;=SETTINGS!$B$4,A1993&lt;MAIN!$B$3),"Yes",IF(AND(A1993=MAIN!$B$3,E1993&lt;=MAIN!$L$3),"Yes","No")),IF(OR(MAIN!$F$3="Full Year",MAIN!$D$3="All"),"Yes",IF(MAIN!$F$3="Monthly",IF(E1993=MAIN!$L$3,"Yes","No"),IF(E1993&lt;=MAIN!$L$3,"Yes","No"))))</f>
        <v>Yes</v>
      </c>
      <c r="AA1993" t="str">
        <f t="shared" si="191"/>
        <v>No</v>
      </c>
    </row>
    <row r="1994" spans="1:27" x14ac:dyDescent="0.3">
      <c r="A1994">
        <f>INDEX(SETTINGS!$A$15:$A$24,$B1994)</f>
        <v>2033</v>
      </c>
      <c r="B1994">
        <v>9</v>
      </c>
      <c r="C1994" t="str">
        <f>IF(AND(A1994&gt;=SETTINGS!$B$4,A1994&lt;=SETTINGS!$B$5),"Yes","No")</f>
        <v>No</v>
      </c>
      <c r="D1994" t="str">
        <f>IFERROR(INDEX(SETTINGS!$C$15:$C$24,MATCH(A1994,SETTINGS!$A$15:$A$24,0)),"No")</f>
        <v>No</v>
      </c>
      <c r="E1994">
        <v>9</v>
      </c>
      <c r="F1994" t="s">
        <v>42</v>
      </c>
      <c r="G1994">
        <v>220</v>
      </c>
      <c r="H1994" t="s">
        <v>110</v>
      </c>
      <c r="I1994" t="s">
        <v>30</v>
      </c>
      <c r="J1994" t="s">
        <v>31</v>
      </c>
      <c r="K1994" t="s">
        <v>3</v>
      </c>
      <c r="L1994" s="36">
        <f ca="1">IF(C1994&lt;&gt;"Yes",0,IF(A1994=2025,N('2025'!D220),IF(A1994=2026,N('2026'!D220),IF(A1994=2027,N('2027'!D220),IF(A1994=2028,N('2028'!D220),IF(A1994=2029,N('2029'!D220),IF(A1994=2030,N('2030'!D220),IF(A1994=2031,N('2031'!D220),IF(A1994=2032,N('2032'!D220),IF(A1994=2033,N('2033'!D220),IF(A1994=2034,N('2034'!D220),IFERROR(N(INDIRECT("'"&amp;A1994&amp;"'!D"&amp;G1994)),0))))))))))))</f>
        <v>0</v>
      </c>
      <c r="M1994" s="36">
        <f>IFERROR(IF(NOT(ISBLANK(KPI_TARGETS!$O$21)),KPI_TARGETS!$O$21,IF(NOT(ISBLANK(KPI_TARGETS!$F$21)),KPI_TARGETS!$F$21,"")),"")</f>
        <v>0</v>
      </c>
      <c r="N1994" s="36" t="str">
        <f>IFERROR(KPI_TARGETS!$E$21,"Higher is better")</f>
        <v>Lower is better</v>
      </c>
      <c r="O1994" s="37">
        <f t="shared" ca="1" si="186"/>
        <v>1</v>
      </c>
      <c r="P1994" t="str">
        <f t="shared" ca="1" si="187"/>
        <v>Green</v>
      </c>
      <c r="Q1994" s="36">
        <f t="shared" ca="1" si="188"/>
        <v>0</v>
      </c>
      <c r="R1994" s="36" t="str">
        <f>""</f>
        <v/>
      </c>
      <c r="S1994" s="36" t="str">
        <f>""</f>
        <v/>
      </c>
      <c r="T1994" s="36" t="str">
        <f>""</f>
        <v/>
      </c>
      <c r="U1994" s="36" t="str">
        <f>""</f>
        <v/>
      </c>
      <c r="V1994" s="36" t="str">
        <f>""</f>
        <v/>
      </c>
      <c r="W1994" s="36">
        <f t="shared" si="189"/>
        <v>1</v>
      </c>
      <c r="X1994" t="str">
        <f t="shared" si="190"/>
        <v>Inactive</v>
      </c>
      <c r="Y1994" t="str">
        <f>IF(MAIN!$H$3="Selected Year",IF(A1994=MAIN!$B$3,"Yes","No"),IF(MAIN!$H$3="Included Years",IF(D1994="Yes","Yes","No"),IF(C1994="Yes","Yes","No")))</f>
        <v>No</v>
      </c>
      <c r="Z1994" t="str">
        <f>IF(MAIN!$F$3="Project to Date",IF(AND(A1994&gt;=SETTINGS!$B$4,A1994&lt;MAIN!$B$3),"Yes",IF(AND(A1994=MAIN!$B$3,E1994&lt;=MAIN!$L$3),"Yes","No")),IF(OR(MAIN!$F$3="Full Year",MAIN!$D$3="All"),"Yes",IF(MAIN!$F$3="Monthly",IF(E1994=MAIN!$L$3,"Yes","No"),IF(E1994&lt;=MAIN!$L$3,"Yes","No"))))</f>
        <v>Yes</v>
      </c>
      <c r="AA1994" t="str">
        <f t="shared" si="191"/>
        <v>No</v>
      </c>
    </row>
    <row r="1995" spans="1:27" x14ac:dyDescent="0.3">
      <c r="A1995">
        <f>INDEX(SETTINGS!$A$15:$A$24,$B1995)</f>
        <v>2033</v>
      </c>
      <c r="B1995">
        <v>9</v>
      </c>
      <c r="C1995" t="str">
        <f>IF(AND(A1995&gt;=SETTINGS!$B$4,A1995&lt;=SETTINGS!$B$5),"Yes","No")</f>
        <v>No</v>
      </c>
      <c r="D1995" t="str">
        <f>IFERROR(INDEX(SETTINGS!$C$15:$C$24,MATCH(A1995,SETTINGS!$A$15:$A$24,0)),"No")</f>
        <v>No</v>
      </c>
      <c r="E1995">
        <v>9</v>
      </c>
      <c r="F1995" t="s">
        <v>42</v>
      </c>
      <c r="G1995">
        <v>221</v>
      </c>
      <c r="H1995" t="s">
        <v>111</v>
      </c>
      <c r="I1995" t="s">
        <v>30</v>
      </c>
      <c r="J1995" t="s">
        <v>32</v>
      </c>
      <c r="K1995" t="s">
        <v>3</v>
      </c>
      <c r="L1995" s="36">
        <f ca="1">IF(C1995&lt;&gt;"Yes",0,IF(A1995=2025,N('2025'!D221),IF(A1995=2026,N('2026'!D221),IF(A1995=2027,N('2027'!D221),IF(A1995=2028,N('2028'!D221),IF(A1995=2029,N('2029'!D221),IF(A1995=2030,N('2030'!D221),IF(A1995=2031,N('2031'!D221),IF(A1995=2032,N('2032'!D221),IF(A1995=2033,N('2033'!D221),IF(A1995=2034,N('2034'!D221),IFERROR(N(INDIRECT("'"&amp;A1995&amp;"'!D"&amp;G1995)),0))))))))))))</f>
        <v>0</v>
      </c>
      <c r="M1995" s="36">
        <f>IFERROR(IF(NOT(ISBLANK(KPI_TARGETS!$O$22)),KPI_TARGETS!$O$22,IF(NOT(ISBLANK(KPI_TARGETS!$F$22)),KPI_TARGETS!$F$22,"")),"")</f>
        <v>1</v>
      </c>
      <c r="N1995" s="36" t="str">
        <f>IFERROR(KPI_TARGETS!$E$22,"Higher is better")</f>
        <v>Higher is better</v>
      </c>
      <c r="O1995" s="37">
        <f t="shared" ca="1" si="186"/>
        <v>0</v>
      </c>
      <c r="P1995" t="str">
        <f t="shared" ca="1" si="187"/>
        <v>Red</v>
      </c>
      <c r="Q1995" s="36">
        <f t="shared" ca="1" si="188"/>
        <v>-1</v>
      </c>
      <c r="R1995" s="36" t="str">
        <f>""</f>
        <v/>
      </c>
      <c r="S1995" s="36" t="str">
        <f>""</f>
        <v/>
      </c>
      <c r="T1995" s="36" t="str">
        <f>""</f>
        <v/>
      </c>
      <c r="U1995" s="36" t="str">
        <f>""</f>
        <v/>
      </c>
      <c r="V1995" s="36" t="str">
        <f>""</f>
        <v/>
      </c>
      <c r="W1995" s="36">
        <f t="shared" si="189"/>
        <v>1</v>
      </c>
      <c r="X1995" t="str">
        <f t="shared" si="190"/>
        <v>Inactive</v>
      </c>
      <c r="Y1995" t="str">
        <f>IF(MAIN!$H$3="Selected Year",IF(A1995=MAIN!$B$3,"Yes","No"),IF(MAIN!$H$3="Included Years",IF(D1995="Yes","Yes","No"),IF(C1995="Yes","Yes","No")))</f>
        <v>No</v>
      </c>
      <c r="Z1995" t="str">
        <f>IF(MAIN!$F$3="Project to Date",IF(AND(A1995&gt;=SETTINGS!$B$4,A1995&lt;MAIN!$B$3),"Yes",IF(AND(A1995=MAIN!$B$3,E1995&lt;=MAIN!$L$3),"Yes","No")),IF(OR(MAIN!$F$3="Full Year",MAIN!$D$3="All"),"Yes",IF(MAIN!$F$3="Monthly",IF(E1995=MAIN!$L$3,"Yes","No"),IF(E1995&lt;=MAIN!$L$3,"Yes","No"))))</f>
        <v>Yes</v>
      </c>
      <c r="AA1995" t="str">
        <f t="shared" si="191"/>
        <v>No</v>
      </c>
    </row>
    <row r="1996" spans="1:27" x14ac:dyDescent="0.3">
      <c r="A1996">
        <f>INDEX(SETTINGS!$A$15:$A$24,$B1996)</f>
        <v>2033</v>
      </c>
      <c r="B1996">
        <v>9</v>
      </c>
      <c r="C1996" t="str">
        <f>IF(AND(A1996&gt;=SETTINGS!$B$4,A1996&lt;=SETTINGS!$B$5),"Yes","No")</f>
        <v>No</v>
      </c>
      <c r="D1996" t="str">
        <f>IFERROR(INDEX(SETTINGS!$C$15:$C$24,MATCH(A1996,SETTINGS!$A$15:$A$24,0)),"No")</f>
        <v>No</v>
      </c>
      <c r="E1996">
        <v>9</v>
      </c>
      <c r="F1996" t="s">
        <v>42</v>
      </c>
      <c r="G1996">
        <v>222</v>
      </c>
      <c r="H1996" t="s">
        <v>112</v>
      </c>
      <c r="I1996" t="s">
        <v>30</v>
      </c>
      <c r="J1996" t="s">
        <v>33</v>
      </c>
      <c r="K1996" t="s">
        <v>34</v>
      </c>
      <c r="L1996" s="36">
        <f ca="1">IF(C1996&lt;&gt;"Yes",0,IF(A1996=2025,N('2025'!D222),IF(A1996=2026,N('2026'!D222),IF(A1996=2027,N('2027'!D222),IF(A1996=2028,N('2028'!D222),IF(A1996=2029,N('2029'!D222),IF(A1996=2030,N('2030'!D222),IF(A1996=2031,N('2031'!D222),IF(A1996=2032,N('2032'!D222),IF(A1996=2033,N('2033'!D222),IF(A1996=2034,N('2034'!D222),IFERROR(N(INDIRECT("'"&amp;A1996&amp;"'!D"&amp;G1996)),0))))))))))))</f>
        <v>0</v>
      </c>
      <c r="M1996" s="36">
        <f>IFERROR(IF(NOT(ISBLANK(KPI_TARGETS!$O$23)),KPI_TARGETS!$O$23,IF(NOT(ISBLANK(KPI_TARGETS!$F$23)),KPI_TARGETS!$F$23,"")),"")</f>
        <v>1</v>
      </c>
      <c r="N1996" s="36" t="str">
        <f>IFERROR(KPI_TARGETS!$E$23,"Higher is better")</f>
        <v>Higher is better</v>
      </c>
      <c r="O1996" s="37">
        <f t="shared" ca="1" si="186"/>
        <v>0</v>
      </c>
      <c r="P1996" t="str">
        <f t="shared" ca="1" si="187"/>
        <v>Red</v>
      </c>
      <c r="Q1996" s="36">
        <f t="shared" ca="1" si="188"/>
        <v>-1</v>
      </c>
      <c r="R1996" s="36" t="str">
        <f>""</f>
        <v/>
      </c>
      <c r="S1996" s="36" t="str">
        <f>""</f>
        <v/>
      </c>
      <c r="T1996" s="36" t="str">
        <f>""</f>
        <v/>
      </c>
      <c r="U1996" s="36" t="str">
        <f>""</f>
        <v/>
      </c>
      <c r="V1996" s="36" t="str">
        <f>""</f>
        <v/>
      </c>
      <c r="W1996" s="36">
        <f t="shared" si="189"/>
        <v>1</v>
      </c>
      <c r="X1996" t="str">
        <f t="shared" si="190"/>
        <v>Inactive</v>
      </c>
      <c r="Y1996" t="str">
        <f>IF(MAIN!$H$3="Selected Year",IF(A1996=MAIN!$B$3,"Yes","No"),IF(MAIN!$H$3="Included Years",IF(D1996="Yes","Yes","No"),IF(C1996="Yes","Yes","No")))</f>
        <v>No</v>
      </c>
      <c r="Z1996" t="str">
        <f>IF(MAIN!$F$3="Project to Date",IF(AND(A1996&gt;=SETTINGS!$B$4,A1996&lt;MAIN!$B$3),"Yes",IF(AND(A1996=MAIN!$B$3,E1996&lt;=MAIN!$L$3),"Yes","No")),IF(OR(MAIN!$F$3="Full Year",MAIN!$D$3="All"),"Yes",IF(MAIN!$F$3="Monthly",IF(E1996=MAIN!$L$3,"Yes","No"),IF(E1996&lt;=MAIN!$L$3,"Yes","No"))))</f>
        <v>Yes</v>
      </c>
      <c r="AA1996" t="str">
        <f t="shared" si="191"/>
        <v>No</v>
      </c>
    </row>
    <row r="1997" spans="1:27" x14ac:dyDescent="0.3">
      <c r="A1997">
        <f>INDEX(SETTINGS!$A$15:$A$24,$B1997)</f>
        <v>2033</v>
      </c>
      <c r="B1997">
        <v>9</v>
      </c>
      <c r="C1997" t="str">
        <f>IF(AND(A1997&gt;=SETTINGS!$B$4,A1997&lt;=SETTINGS!$B$5),"Yes","No")</f>
        <v>No</v>
      </c>
      <c r="D1997" t="str">
        <f>IFERROR(INDEX(SETTINGS!$C$15:$C$24,MATCH(A1997,SETTINGS!$A$15:$A$24,0)),"No")</f>
        <v>No</v>
      </c>
      <c r="E1997">
        <v>10</v>
      </c>
      <c r="F1997" t="s">
        <v>43</v>
      </c>
      <c r="G1997">
        <v>225</v>
      </c>
      <c r="H1997" t="s">
        <v>88</v>
      </c>
      <c r="I1997" t="s">
        <v>89</v>
      </c>
      <c r="J1997" t="s">
        <v>10</v>
      </c>
      <c r="K1997" t="s">
        <v>3</v>
      </c>
      <c r="L1997" s="36">
        <f ca="1">IF(C1997&lt;&gt;"Yes",0,IF(A1997=2025,N('2025'!D225),IF(A1997=2026,N('2026'!D225),IF(A1997=2027,N('2027'!D225),IF(A1997=2028,N('2028'!D225),IF(A1997=2029,N('2029'!D225),IF(A1997=2030,N('2030'!D225),IF(A1997=2031,N('2031'!D225),IF(A1997=2032,N('2032'!D225),IF(A1997=2033,N('2033'!D225),IF(A1997=2034,N('2034'!D225),IFERROR(N(INDIRECT("'"&amp;A1997&amp;"'!D"&amp;G1997)),0))))))))))))</f>
        <v>0</v>
      </c>
      <c r="M1997" s="36">
        <f>IFERROR(IF(NOT(ISBLANK(KPI_TARGETS!$O$5)),KPI_TARGETS!$O$5,IF(NOT(ISBLANK(KPI_TARGETS!$F$5)),KPI_TARGETS!$F$5,"")),"")</f>
        <v>104</v>
      </c>
      <c r="N1997" s="36" t="str">
        <f>IFERROR(KPI_TARGETS!$E$5,"Higher is better")</f>
        <v>Higher is better</v>
      </c>
      <c r="O1997" s="37">
        <f t="shared" ca="1" si="186"/>
        <v>0</v>
      </c>
      <c r="P1997" t="str">
        <f t="shared" ca="1" si="187"/>
        <v>Red</v>
      </c>
      <c r="Q1997" s="36">
        <f t="shared" ca="1" si="188"/>
        <v>-104</v>
      </c>
      <c r="R1997" s="36" t="str">
        <f>""</f>
        <v/>
      </c>
      <c r="S1997" s="36" t="str">
        <f>""</f>
        <v/>
      </c>
      <c r="T1997" s="36" t="str">
        <f>""</f>
        <v/>
      </c>
      <c r="U1997" s="36" t="str">
        <f>""</f>
        <v/>
      </c>
      <c r="V1997" s="36" t="str">
        <f>""</f>
        <v/>
      </c>
      <c r="W1997" s="36">
        <f t="shared" si="189"/>
        <v>1</v>
      </c>
      <c r="X1997" t="str">
        <f t="shared" si="190"/>
        <v>Inactive</v>
      </c>
      <c r="Y1997" t="str">
        <f>IF(MAIN!$H$3="Selected Year",IF(A1997=MAIN!$B$3,"Yes","No"),IF(MAIN!$H$3="Included Years",IF(D1997="Yes","Yes","No"),IF(C1997="Yes","Yes","No")))</f>
        <v>No</v>
      </c>
      <c r="Z1997" t="str">
        <f>IF(MAIN!$F$3="Project to Date",IF(AND(A1997&gt;=SETTINGS!$B$4,A1997&lt;MAIN!$B$3),"Yes",IF(AND(A1997=MAIN!$B$3,E1997&lt;=MAIN!$L$3),"Yes","No")),IF(OR(MAIN!$F$3="Full Year",MAIN!$D$3="All"),"Yes",IF(MAIN!$F$3="Monthly",IF(E1997=MAIN!$L$3,"Yes","No"),IF(E1997&lt;=MAIN!$L$3,"Yes","No"))))</f>
        <v>Yes</v>
      </c>
      <c r="AA1997" t="str">
        <f t="shared" si="191"/>
        <v>No</v>
      </c>
    </row>
    <row r="1998" spans="1:27" x14ac:dyDescent="0.3">
      <c r="A1998">
        <f>INDEX(SETTINGS!$A$15:$A$24,$B1998)</f>
        <v>2033</v>
      </c>
      <c r="B1998">
        <v>9</v>
      </c>
      <c r="C1998" t="str">
        <f>IF(AND(A1998&gt;=SETTINGS!$B$4,A1998&lt;=SETTINGS!$B$5),"Yes","No")</f>
        <v>No</v>
      </c>
      <c r="D1998" t="str">
        <f>IFERROR(INDEX(SETTINGS!$C$15:$C$24,MATCH(A1998,SETTINGS!$A$15:$A$24,0)),"No")</f>
        <v>No</v>
      </c>
      <c r="E1998">
        <v>10</v>
      </c>
      <c r="F1998" t="s">
        <v>43</v>
      </c>
      <c r="G1998">
        <v>226</v>
      </c>
      <c r="H1998" t="s">
        <v>91</v>
      </c>
      <c r="I1998" t="s">
        <v>89</v>
      </c>
      <c r="J1998" t="s">
        <v>11</v>
      </c>
      <c r="K1998" t="s">
        <v>12</v>
      </c>
      <c r="L1998" s="36">
        <f ca="1">IF(C1998&lt;&gt;"Yes",0,IF(A1998=2025,N('2025'!D226),IF(A1998=2026,N('2026'!D226),IF(A1998=2027,N('2027'!D226),IF(A1998=2028,N('2028'!D226),IF(A1998=2029,N('2029'!D226),IF(A1998=2030,N('2030'!D226),IF(A1998=2031,N('2031'!D226),IF(A1998=2032,N('2032'!D226),IF(A1998=2033,N('2033'!D226),IF(A1998=2034,N('2034'!D226),IFERROR(N(INDIRECT("'"&amp;A1998&amp;"'!D"&amp;G1998)),0))))))))))))</f>
        <v>0</v>
      </c>
      <c r="M1998" s="36">
        <f>IFERROR(IF(NOT(ISBLANK(KPI_TARGETS!$O$6)),KPI_TARGETS!$O$6,IF(NOT(ISBLANK(KPI_TARGETS!$F$6)),KPI_TARGETS!$F$6,"")),"")</f>
        <v>4000</v>
      </c>
      <c r="N1998" s="36" t="str">
        <f>IFERROR(KPI_TARGETS!$E$6,"Higher is better")</f>
        <v>Higher is better</v>
      </c>
      <c r="O1998" s="37">
        <f t="shared" ca="1" si="186"/>
        <v>0</v>
      </c>
      <c r="P1998" t="str">
        <f t="shared" ca="1" si="187"/>
        <v>Red</v>
      </c>
      <c r="Q1998" s="36">
        <f t="shared" ca="1" si="188"/>
        <v>-4000</v>
      </c>
      <c r="R1998" s="36" t="str">
        <f>""</f>
        <v/>
      </c>
      <c r="S1998" s="36" t="str">
        <f>""</f>
        <v/>
      </c>
      <c r="T1998" s="36" t="str">
        <f>""</f>
        <v/>
      </c>
      <c r="U1998" s="36" t="str">
        <f>""</f>
        <v/>
      </c>
      <c r="V1998" s="36" t="str">
        <f>""</f>
        <v/>
      </c>
      <c r="W1998" s="36">
        <f t="shared" si="189"/>
        <v>1</v>
      </c>
      <c r="X1998" t="str">
        <f t="shared" si="190"/>
        <v>Inactive</v>
      </c>
      <c r="Y1998" t="str">
        <f>IF(MAIN!$H$3="Selected Year",IF(A1998=MAIN!$B$3,"Yes","No"),IF(MAIN!$H$3="Included Years",IF(D1998="Yes","Yes","No"),IF(C1998="Yes","Yes","No")))</f>
        <v>No</v>
      </c>
      <c r="Z1998" t="str">
        <f>IF(MAIN!$F$3="Project to Date",IF(AND(A1998&gt;=SETTINGS!$B$4,A1998&lt;MAIN!$B$3),"Yes",IF(AND(A1998=MAIN!$B$3,E1998&lt;=MAIN!$L$3),"Yes","No")),IF(OR(MAIN!$F$3="Full Year",MAIN!$D$3="All"),"Yes",IF(MAIN!$F$3="Monthly",IF(E1998=MAIN!$L$3,"Yes","No"),IF(E1998&lt;=MAIN!$L$3,"Yes","No"))))</f>
        <v>Yes</v>
      </c>
      <c r="AA1998" t="str">
        <f t="shared" si="191"/>
        <v>No</v>
      </c>
    </row>
    <row r="1999" spans="1:27" x14ac:dyDescent="0.3">
      <c r="A1999">
        <f>INDEX(SETTINGS!$A$15:$A$24,$B1999)</f>
        <v>2033</v>
      </c>
      <c r="B1999">
        <v>9</v>
      </c>
      <c r="C1999" t="str">
        <f>IF(AND(A1999&gt;=SETTINGS!$B$4,A1999&lt;=SETTINGS!$B$5),"Yes","No")</f>
        <v>No</v>
      </c>
      <c r="D1999" t="str">
        <f>IFERROR(INDEX(SETTINGS!$C$15:$C$24,MATCH(A1999,SETTINGS!$A$15:$A$24,0)),"No")</f>
        <v>No</v>
      </c>
      <c r="E1999">
        <v>10</v>
      </c>
      <c r="F1999" t="s">
        <v>43</v>
      </c>
      <c r="G1999">
        <v>227</v>
      </c>
      <c r="H1999" t="s">
        <v>93</v>
      </c>
      <c r="I1999" t="s">
        <v>89</v>
      </c>
      <c r="J1999" t="s">
        <v>13</v>
      </c>
      <c r="K1999" t="s">
        <v>14</v>
      </c>
      <c r="L1999" s="36">
        <f ca="1">IF(C1999&lt;&gt;"Yes",0,IF(A1999=2025,N('2025'!D227),IF(A1999=2026,N('2026'!D227),IF(A1999=2027,N('2027'!D227),IF(A1999=2028,N('2028'!D227),IF(A1999=2029,N('2029'!D227),IF(A1999=2030,N('2030'!D227),IF(A1999=2031,N('2031'!D227),IF(A1999=2032,N('2032'!D227),IF(A1999=2033,N('2033'!D227),IF(A1999=2034,N('2034'!D227),IFERROR(N(INDIRECT("'"&amp;A1999&amp;"'!D"&amp;G1999)),0))))))))))))</f>
        <v>0</v>
      </c>
      <c r="M1999" s="36">
        <f>IFERROR(IF(NOT(ISBLANK(KPI_TARGETS!$O$7)),KPI_TARGETS!$O$7,IF(NOT(ISBLANK(KPI_TARGETS!$F$7)),KPI_TARGETS!$F$7,"")),"")</f>
        <v>8000</v>
      </c>
      <c r="N1999" s="36" t="str">
        <f>IFERROR(KPI_TARGETS!$E$7,"Higher is better")</f>
        <v>Higher is better</v>
      </c>
      <c r="O1999" s="37">
        <f t="shared" ca="1" si="186"/>
        <v>0</v>
      </c>
      <c r="P1999" t="str">
        <f t="shared" ca="1" si="187"/>
        <v>Red</v>
      </c>
      <c r="Q1999" s="36">
        <f t="shared" ca="1" si="188"/>
        <v>-8000</v>
      </c>
      <c r="R1999" s="36" t="str">
        <f>""</f>
        <v/>
      </c>
      <c r="S1999" s="36" t="str">
        <f>""</f>
        <v/>
      </c>
      <c r="T1999" s="36" t="str">
        <f>""</f>
        <v/>
      </c>
      <c r="U1999" s="36" t="str">
        <f>""</f>
        <v/>
      </c>
      <c r="V1999" s="36" t="str">
        <f>""</f>
        <v/>
      </c>
      <c r="W1999" s="36">
        <f t="shared" si="189"/>
        <v>1</v>
      </c>
      <c r="X1999" t="str">
        <f t="shared" si="190"/>
        <v>Inactive</v>
      </c>
      <c r="Y1999" t="str">
        <f>IF(MAIN!$H$3="Selected Year",IF(A1999=MAIN!$B$3,"Yes","No"),IF(MAIN!$H$3="Included Years",IF(D1999="Yes","Yes","No"),IF(C1999="Yes","Yes","No")))</f>
        <v>No</v>
      </c>
      <c r="Z1999" t="str">
        <f>IF(MAIN!$F$3="Project to Date",IF(AND(A1999&gt;=SETTINGS!$B$4,A1999&lt;MAIN!$B$3),"Yes",IF(AND(A1999=MAIN!$B$3,E1999&lt;=MAIN!$L$3),"Yes","No")),IF(OR(MAIN!$F$3="Full Year",MAIN!$D$3="All"),"Yes",IF(MAIN!$F$3="Monthly",IF(E1999=MAIN!$L$3,"Yes","No"),IF(E1999&lt;=MAIN!$L$3,"Yes","No"))))</f>
        <v>Yes</v>
      </c>
      <c r="AA1999" t="str">
        <f t="shared" si="191"/>
        <v>No</v>
      </c>
    </row>
    <row r="2000" spans="1:27" x14ac:dyDescent="0.3">
      <c r="A2000">
        <f>INDEX(SETTINGS!$A$15:$A$24,$B2000)</f>
        <v>2033</v>
      </c>
      <c r="B2000">
        <v>9</v>
      </c>
      <c r="C2000" t="str">
        <f>IF(AND(A2000&gt;=SETTINGS!$B$4,A2000&lt;=SETTINGS!$B$5),"Yes","No")</f>
        <v>No</v>
      </c>
      <c r="D2000" t="str">
        <f>IFERROR(INDEX(SETTINGS!$C$15:$C$24,MATCH(A2000,SETTINGS!$A$15:$A$24,0)),"No")</f>
        <v>No</v>
      </c>
      <c r="E2000">
        <v>10</v>
      </c>
      <c r="F2000" t="s">
        <v>43</v>
      </c>
      <c r="G2000">
        <v>229</v>
      </c>
      <c r="H2000" t="s">
        <v>95</v>
      </c>
      <c r="I2000" t="s">
        <v>15</v>
      </c>
      <c r="J2000" t="s">
        <v>16</v>
      </c>
      <c r="K2000" t="s">
        <v>3</v>
      </c>
      <c r="L2000" s="36">
        <f ca="1">IF(C2000&lt;&gt;"Yes",0,IF(A2000=2025,N('2025'!D229),IF(A2000=2026,N('2026'!D229),IF(A2000=2027,N('2027'!D229),IF(A2000=2028,N('2028'!D229),IF(A2000=2029,N('2029'!D229),IF(A2000=2030,N('2030'!D229),IF(A2000=2031,N('2031'!D229),IF(A2000=2032,N('2032'!D229),IF(A2000=2033,N('2033'!D229),IF(A2000=2034,N('2034'!D229),IFERROR(N(INDIRECT("'"&amp;A2000&amp;"'!D"&amp;G2000)),0))))))))))))</f>
        <v>0</v>
      </c>
      <c r="M2000" s="36">
        <f>IFERROR(IF(NOT(ISBLANK(KPI_TARGETS!$O$8)),KPI_TARGETS!$O$8,IF(NOT(ISBLANK(KPI_TARGETS!$F$8)),KPI_TARGETS!$F$8,"")),"")</f>
        <v>0</v>
      </c>
      <c r="N2000" s="36" t="str">
        <f>IFERROR(KPI_TARGETS!$E$8,"Higher is better")</f>
        <v>Lower is better</v>
      </c>
      <c r="O2000" s="37">
        <f t="shared" ca="1" si="186"/>
        <v>1</v>
      </c>
      <c r="P2000" t="str">
        <f t="shared" ca="1" si="187"/>
        <v>Green</v>
      </c>
      <c r="Q2000" s="36">
        <f t="shared" ca="1" si="188"/>
        <v>0</v>
      </c>
      <c r="R2000" s="36" t="str">
        <f>""</f>
        <v/>
      </c>
      <c r="S2000" s="36" t="str">
        <f>""</f>
        <v/>
      </c>
      <c r="T2000" s="36" t="str">
        <f>""</f>
        <v/>
      </c>
      <c r="U2000" s="36" t="str">
        <f>""</f>
        <v/>
      </c>
      <c r="V2000" s="36" t="str">
        <f>""</f>
        <v/>
      </c>
      <c r="W2000" s="36">
        <f t="shared" si="189"/>
        <v>1</v>
      </c>
      <c r="X2000" t="str">
        <f t="shared" si="190"/>
        <v>Inactive</v>
      </c>
      <c r="Y2000" t="str">
        <f>IF(MAIN!$H$3="Selected Year",IF(A2000=MAIN!$B$3,"Yes","No"),IF(MAIN!$H$3="Included Years",IF(D2000="Yes","Yes","No"),IF(C2000="Yes","Yes","No")))</f>
        <v>No</v>
      </c>
      <c r="Z2000" t="str">
        <f>IF(MAIN!$F$3="Project to Date",IF(AND(A2000&gt;=SETTINGS!$B$4,A2000&lt;MAIN!$B$3),"Yes",IF(AND(A2000=MAIN!$B$3,E2000&lt;=MAIN!$L$3),"Yes","No")),IF(OR(MAIN!$F$3="Full Year",MAIN!$D$3="All"),"Yes",IF(MAIN!$F$3="Monthly",IF(E2000=MAIN!$L$3,"Yes","No"),IF(E2000&lt;=MAIN!$L$3,"Yes","No"))))</f>
        <v>Yes</v>
      </c>
      <c r="AA2000" t="str">
        <f t="shared" si="191"/>
        <v>No</v>
      </c>
    </row>
    <row r="2001" spans="1:27" x14ac:dyDescent="0.3">
      <c r="A2001">
        <f>INDEX(SETTINGS!$A$15:$A$24,$B2001)</f>
        <v>2033</v>
      </c>
      <c r="B2001">
        <v>9</v>
      </c>
      <c r="C2001" t="str">
        <f>IF(AND(A2001&gt;=SETTINGS!$B$4,A2001&lt;=SETTINGS!$B$5),"Yes","No")</f>
        <v>No</v>
      </c>
      <c r="D2001" t="str">
        <f>IFERROR(INDEX(SETTINGS!$C$15:$C$24,MATCH(A2001,SETTINGS!$A$15:$A$24,0)),"No")</f>
        <v>No</v>
      </c>
      <c r="E2001">
        <v>10</v>
      </c>
      <c r="F2001" t="s">
        <v>43</v>
      </c>
      <c r="G2001">
        <v>230</v>
      </c>
      <c r="H2001" t="s">
        <v>97</v>
      </c>
      <c r="I2001" t="s">
        <v>15</v>
      </c>
      <c r="J2001" t="s">
        <v>17</v>
      </c>
      <c r="K2001" t="s">
        <v>3</v>
      </c>
      <c r="L2001" s="36">
        <f ca="1">IF(C2001&lt;&gt;"Yes",0,IF(A2001=2025,N('2025'!D230),IF(A2001=2026,N('2026'!D230),IF(A2001=2027,N('2027'!D230),IF(A2001=2028,N('2028'!D230),IF(A2001=2029,N('2029'!D230),IF(A2001=2030,N('2030'!D230),IF(A2001=2031,N('2031'!D230),IF(A2001=2032,N('2032'!D230),IF(A2001=2033,N('2033'!D230),IF(A2001=2034,N('2034'!D230),IFERROR(N(INDIRECT("'"&amp;A2001&amp;"'!D"&amp;G2001)),0))))))))))))</f>
        <v>0</v>
      </c>
      <c r="M2001" s="36">
        <f>IFERROR(IF(NOT(ISBLANK(KPI_TARGETS!$O$9)),KPI_TARGETS!$O$9,IF(NOT(ISBLANK(KPI_TARGETS!$F$9)),KPI_TARGETS!$F$9,"")),"")</f>
        <v>0</v>
      </c>
      <c r="N2001" s="36" t="str">
        <f>IFERROR(KPI_TARGETS!$E$9,"Higher is better")</f>
        <v>Higher is better</v>
      </c>
      <c r="O2001" s="37" t="str">
        <f t="shared" ca="1" si="186"/>
        <v/>
      </c>
      <c r="P2001" t="str">
        <f t="shared" ca="1" si="187"/>
        <v>Green</v>
      </c>
      <c r="Q2001" s="36">
        <f t="shared" ca="1" si="188"/>
        <v>0</v>
      </c>
      <c r="R2001" s="36" t="str">
        <f>""</f>
        <v/>
      </c>
      <c r="S2001" s="36" t="str">
        <f>""</f>
        <v/>
      </c>
      <c r="T2001" s="36" t="str">
        <f>""</f>
        <v/>
      </c>
      <c r="U2001" s="36" t="str">
        <f>""</f>
        <v/>
      </c>
      <c r="V2001" s="36" t="str">
        <f>""</f>
        <v/>
      </c>
      <c r="W2001" s="36">
        <f t="shared" si="189"/>
        <v>1</v>
      </c>
      <c r="X2001" t="str">
        <f t="shared" si="190"/>
        <v>Inactive</v>
      </c>
      <c r="Y2001" t="str">
        <f>IF(MAIN!$H$3="Selected Year",IF(A2001=MAIN!$B$3,"Yes","No"),IF(MAIN!$H$3="Included Years",IF(D2001="Yes","Yes","No"),IF(C2001="Yes","Yes","No")))</f>
        <v>No</v>
      </c>
      <c r="Z2001" t="str">
        <f>IF(MAIN!$F$3="Project to Date",IF(AND(A2001&gt;=SETTINGS!$B$4,A2001&lt;MAIN!$B$3),"Yes",IF(AND(A2001=MAIN!$B$3,E2001&lt;=MAIN!$L$3),"Yes","No")),IF(OR(MAIN!$F$3="Full Year",MAIN!$D$3="All"),"Yes",IF(MAIN!$F$3="Monthly",IF(E2001=MAIN!$L$3,"Yes","No"),IF(E2001&lt;=MAIN!$L$3,"Yes","No"))))</f>
        <v>Yes</v>
      </c>
      <c r="AA2001" t="str">
        <f t="shared" si="191"/>
        <v>No</v>
      </c>
    </row>
    <row r="2002" spans="1:27" x14ac:dyDescent="0.3">
      <c r="A2002">
        <f>INDEX(SETTINGS!$A$15:$A$24,$B2002)</f>
        <v>2033</v>
      </c>
      <c r="B2002">
        <v>9</v>
      </c>
      <c r="C2002" t="str">
        <f>IF(AND(A2002&gt;=SETTINGS!$B$4,A2002&lt;=SETTINGS!$B$5),"Yes","No")</f>
        <v>No</v>
      </c>
      <c r="D2002" t="str">
        <f>IFERROR(INDEX(SETTINGS!$C$15:$C$24,MATCH(A2002,SETTINGS!$A$15:$A$24,0)),"No")</f>
        <v>No</v>
      </c>
      <c r="E2002">
        <v>10</v>
      </c>
      <c r="F2002" t="s">
        <v>43</v>
      </c>
      <c r="G2002">
        <v>231</v>
      </c>
      <c r="H2002" t="s">
        <v>99</v>
      </c>
      <c r="I2002" t="s">
        <v>15</v>
      </c>
      <c r="J2002" t="s">
        <v>18</v>
      </c>
      <c r="K2002" t="s">
        <v>3</v>
      </c>
      <c r="L2002" s="36">
        <f ca="1">IF(C2002&lt;&gt;"Yes",0,IF(A2002=2025,N('2025'!D231),IF(A2002=2026,N('2026'!D231),IF(A2002=2027,N('2027'!D231),IF(A2002=2028,N('2028'!D231),IF(A2002=2029,N('2029'!D231),IF(A2002=2030,N('2030'!D231),IF(A2002=2031,N('2031'!D231),IF(A2002=2032,N('2032'!D231),IF(A2002=2033,N('2033'!D231),IF(A2002=2034,N('2034'!D231),IFERROR(N(INDIRECT("'"&amp;A2002&amp;"'!D"&amp;G2002)),0))))))))))))</f>
        <v>0</v>
      </c>
      <c r="M2002" s="36">
        <f>IFERROR(IF(NOT(ISBLANK(KPI_TARGETS!$O$10)),KPI_TARGETS!$O$10,IF(NOT(ISBLANK(KPI_TARGETS!$F$10)),KPI_TARGETS!$F$10,"")),"")</f>
        <v>0</v>
      </c>
      <c r="N2002" s="36" t="str">
        <f>IFERROR(KPI_TARGETS!$E$10,"Higher is better")</f>
        <v>Lower is better</v>
      </c>
      <c r="O2002" s="37">
        <f t="shared" ca="1" si="186"/>
        <v>1</v>
      </c>
      <c r="P2002" t="str">
        <f t="shared" ca="1" si="187"/>
        <v>Green</v>
      </c>
      <c r="Q2002" s="36">
        <f t="shared" ca="1" si="188"/>
        <v>0</v>
      </c>
      <c r="R2002" s="36" t="str">
        <f>""</f>
        <v/>
      </c>
      <c r="S2002" s="36" t="str">
        <f>""</f>
        <v/>
      </c>
      <c r="T2002" s="36" t="str">
        <f>""</f>
        <v/>
      </c>
      <c r="U2002" s="36" t="str">
        <f>""</f>
        <v/>
      </c>
      <c r="V2002" s="36" t="str">
        <f>""</f>
        <v/>
      </c>
      <c r="W2002" s="36">
        <f t="shared" si="189"/>
        <v>1</v>
      </c>
      <c r="X2002" t="str">
        <f t="shared" si="190"/>
        <v>Inactive</v>
      </c>
      <c r="Y2002" t="str">
        <f>IF(MAIN!$H$3="Selected Year",IF(A2002=MAIN!$B$3,"Yes","No"),IF(MAIN!$H$3="Included Years",IF(D2002="Yes","Yes","No"),IF(C2002="Yes","Yes","No")))</f>
        <v>No</v>
      </c>
      <c r="Z2002" t="str">
        <f>IF(MAIN!$F$3="Project to Date",IF(AND(A2002&gt;=SETTINGS!$B$4,A2002&lt;MAIN!$B$3),"Yes",IF(AND(A2002=MAIN!$B$3,E2002&lt;=MAIN!$L$3),"Yes","No")),IF(OR(MAIN!$F$3="Full Year",MAIN!$D$3="All"),"Yes",IF(MAIN!$F$3="Monthly",IF(E2002=MAIN!$L$3,"Yes","No"),IF(E2002&lt;=MAIN!$L$3,"Yes","No"))))</f>
        <v>Yes</v>
      </c>
      <c r="AA2002" t="str">
        <f t="shared" si="191"/>
        <v>No</v>
      </c>
    </row>
    <row r="2003" spans="1:27" x14ac:dyDescent="0.3">
      <c r="A2003">
        <f>INDEX(SETTINGS!$A$15:$A$24,$B2003)</f>
        <v>2033</v>
      </c>
      <c r="B2003">
        <v>9</v>
      </c>
      <c r="C2003" t="str">
        <f>IF(AND(A2003&gt;=SETTINGS!$B$4,A2003&lt;=SETTINGS!$B$5),"Yes","No")</f>
        <v>No</v>
      </c>
      <c r="D2003" t="str">
        <f>IFERROR(INDEX(SETTINGS!$C$15:$C$24,MATCH(A2003,SETTINGS!$A$15:$A$24,0)),"No")</f>
        <v>No</v>
      </c>
      <c r="E2003">
        <v>10</v>
      </c>
      <c r="F2003" t="s">
        <v>43</v>
      </c>
      <c r="G2003">
        <v>232</v>
      </c>
      <c r="H2003" t="s">
        <v>100</v>
      </c>
      <c r="I2003" t="s">
        <v>15</v>
      </c>
      <c r="J2003" t="s">
        <v>19</v>
      </c>
      <c r="K2003" t="s">
        <v>3</v>
      </c>
      <c r="L2003" s="36">
        <f ca="1">IF(C2003&lt;&gt;"Yes",0,IF(A2003=2025,N('2025'!D232),IF(A2003=2026,N('2026'!D232),IF(A2003=2027,N('2027'!D232),IF(A2003=2028,N('2028'!D232),IF(A2003=2029,N('2029'!D232),IF(A2003=2030,N('2030'!D232),IF(A2003=2031,N('2031'!D232),IF(A2003=2032,N('2032'!D232),IF(A2003=2033,N('2033'!D232),IF(A2003=2034,N('2034'!D232),IFERROR(N(INDIRECT("'"&amp;A2003&amp;"'!D"&amp;G2003)),0))))))))))))</f>
        <v>0</v>
      </c>
      <c r="M2003" s="36">
        <f>IFERROR(IF(NOT(ISBLANK(KPI_TARGETS!$O$11)),KPI_TARGETS!$O$11,IF(NOT(ISBLANK(KPI_TARGETS!$F$11)),KPI_TARGETS!$F$11,"")),"")</f>
        <v>0</v>
      </c>
      <c r="N2003" s="36" t="str">
        <f>IFERROR(KPI_TARGETS!$E$11,"Higher is better")</f>
        <v>Lower is better</v>
      </c>
      <c r="O2003" s="37">
        <f t="shared" ca="1" si="186"/>
        <v>1</v>
      </c>
      <c r="P2003" t="str">
        <f t="shared" ca="1" si="187"/>
        <v>Green</v>
      </c>
      <c r="Q2003" s="36">
        <f t="shared" ca="1" si="188"/>
        <v>0</v>
      </c>
      <c r="R2003" s="36" t="str">
        <f>""</f>
        <v/>
      </c>
      <c r="S2003" s="36" t="str">
        <f>""</f>
        <v/>
      </c>
      <c r="T2003" s="36" t="str">
        <f>""</f>
        <v/>
      </c>
      <c r="U2003" s="36" t="str">
        <f>""</f>
        <v/>
      </c>
      <c r="V2003" s="36" t="str">
        <f>""</f>
        <v/>
      </c>
      <c r="W2003" s="36">
        <f t="shared" si="189"/>
        <v>1</v>
      </c>
      <c r="X2003" t="str">
        <f t="shared" si="190"/>
        <v>Inactive</v>
      </c>
      <c r="Y2003" t="str">
        <f>IF(MAIN!$H$3="Selected Year",IF(A2003=MAIN!$B$3,"Yes","No"),IF(MAIN!$H$3="Included Years",IF(D2003="Yes","Yes","No"),IF(C2003="Yes","Yes","No")))</f>
        <v>No</v>
      </c>
      <c r="Z2003" t="str">
        <f>IF(MAIN!$F$3="Project to Date",IF(AND(A2003&gt;=SETTINGS!$B$4,A2003&lt;MAIN!$B$3),"Yes",IF(AND(A2003=MAIN!$B$3,E2003&lt;=MAIN!$L$3),"Yes","No")),IF(OR(MAIN!$F$3="Full Year",MAIN!$D$3="All"),"Yes",IF(MAIN!$F$3="Monthly",IF(E2003=MAIN!$L$3,"Yes","No"),IF(E2003&lt;=MAIN!$L$3,"Yes","No"))))</f>
        <v>Yes</v>
      </c>
      <c r="AA2003" t="str">
        <f t="shared" si="191"/>
        <v>No</v>
      </c>
    </row>
    <row r="2004" spans="1:27" x14ac:dyDescent="0.3">
      <c r="A2004">
        <f>INDEX(SETTINGS!$A$15:$A$24,$B2004)</f>
        <v>2033</v>
      </c>
      <c r="B2004">
        <v>9</v>
      </c>
      <c r="C2004" t="str">
        <f>IF(AND(A2004&gt;=SETTINGS!$B$4,A2004&lt;=SETTINGS!$B$5),"Yes","No")</f>
        <v>No</v>
      </c>
      <c r="D2004" t="str">
        <f>IFERROR(INDEX(SETTINGS!$C$15:$C$24,MATCH(A2004,SETTINGS!$A$15:$A$24,0)),"No")</f>
        <v>No</v>
      </c>
      <c r="E2004">
        <v>10</v>
      </c>
      <c r="F2004" t="s">
        <v>43</v>
      </c>
      <c r="G2004">
        <v>233</v>
      </c>
      <c r="H2004" t="s">
        <v>101</v>
      </c>
      <c r="I2004" t="s">
        <v>15</v>
      </c>
      <c r="J2004" t="s">
        <v>20</v>
      </c>
      <c r="K2004" t="s">
        <v>3</v>
      </c>
      <c r="L2004" s="36">
        <f ca="1">IF(C2004&lt;&gt;"Yes",0,IF(A2004=2025,N('2025'!D233),IF(A2004=2026,N('2026'!D233),IF(A2004=2027,N('2027'!D233),IF(A2004=2028,N('2028'!D233),IF(A2004=2029,N('2029'!D233),IF(A2004=2030,N('2030'!D233),IF(A2004=2031,N('2031'!D233),IF(A2004=2032,N('2032'!D233),IF(A2004=2033,N('2033'!D233),IF(A2004=2034,N('2034'!D233),IFERROR(N(INDIRECT("'"&amp;A2004&amp;"'!D"&amp;G2004)),0))))))))))))</f>
        <v>0</v>
      </c>
      <c r="M2004" s="36">
        <f>IFERROR(IF(NOT(ISBLANK(KPI_TARGETS!$O$12)),KPI_TARGETS!$O$12,IF(NOT(ISBLANK(KPI_TARGETS!$F$12)),KPI_TARGETS!$F$12,"")),"")</f>
        <v>0</v>
      </c>
      <c r="N2004" s="36" t="str">
        <f>IFERROR(KPI_TARGETS!$E$12,"Higher is better")</f>
        <v>Lower is better</v>
      </c>
      <c r="O2004" s="37">
        <f t="shared" ca="1" si="186"/>
        <v>1</v>
      </c>
      <c r="P2004" t="str">
        <f t="shared" ca="1" si="187"/>
        <v>Green</v>
      </c>
      <c r="Q2004" s="36">
        <f t="shared" ca="1" si="188"/>
        <v>0</v>
      </c>
      <c r="R2004" s="36" t="str">
        <f>""</f>
        <v/>
      </c>
      <c r="S2004" s="36" t="str">
        <f>""</f>
        <v/>
      </c>
      <c r="T2004" s="36" t="str">
        <f>""</f>
        <v/>
      </c>
      <c r="U2004" s="36" t="str">
        <f>""</f>
        <v/>
      </c>
      <c r="V2004" s="36" t="str">
        <f>""</f>
        <v/>
      </c>
      <c r="W2004" s="36">
        <f t="shared" si="189"/>
        <v>1</v>
      </c>
      <c r="X2004" t="str">
        <f t="shared" si="190"/>
        <v>Inactive</v>
      </c>
      <c r="Y2004" t="str">
        <f>IF(MAIN!$H$3="Selected Year",IF(A2004=MAIN!$B$3,"Yes","No"),IF(MAIN!$H$3="Included Years",IF(D2004="Yes","Yes","No"),IF(C2004="Yes","Yes","No")))</f>
        <v>No</v>
      </c>
      <c r="Z2004" t="str">
        <f>IF(MAIN!$F$3="Project to Date",IF(AND(A2004&gt;=SETTINGS!$B$4,A2004&lt;MAIN!$B$3),"Yes",IF(AND(A2004=MAIN!$B$3,E2004&lt;=MAIN!$L$3),"Yes","No")),IF(OR(MAIN!$F$3="Full Year",MAIN!$D$3="All"),"Yes",IF(MAIN!$F$3="Monthly",IF(E2004=MAIN!$L$3,"Yes","No"),IF(E2004&lt;=MAIN!$L$3,"Yes","No"))))</f>
        <v>Yes</v>
      </c>
      <c r="AA2004" t="str">
        <f t="shared" si="191"/>
        <v>No</v>
      </c>
    </row>
    <row r="2005" spans="1:27" x14ac:dyDescent="0.3">
      <c r="A2005">
        <f>INDEX(SETTINGS!$A$15:$A$24,$B2005)</f>
        <v>2033</v>
      </c>
      <c r="B2005">
        <v>9</v>
      </c>
      <c r="C2005" t="str">
        <f>IF(AND(A2005&gt;=SETTINGS!$B$4,A2005&lt;=SETTINGS!$B$5),"Yes","No")</f>
        <v>No</v>
      </c>
      <c r="D2005" t="str">
        <f>IFERROR(INDEX(SETTINGS!$C$15:$C$24,MATCH(A2005,SETTINGS!$A$15:$A$24,0)),"No")</f>
        <v>No</v>
      </c>
      <c r="E2005">
        <v>10</v>
      </c>
      <c r="F2005" t="s">
        <v>43</v>
      </c>
      <c r="G2005">
        <v>234</v>
      </c>
      <c r="H2005" t="s">
        <v>102</v>
      </c>
      <c r="I2005" t="s">
        <v>15</v>
      </c>
      <c r="J2005" t="s">
        <v>21</v>
      </c>
      <c r="K2005" t="s">
        <v>3</v>
      </c>
      <c r="L2005" s="36">
        <f ca="1">IF(C2005&lt;&gt;"Yes",0,IF(A2005=2025,N('2025'!D234),IF(A2005=2026,N('2026'!D234),IF(A2005=2027,N('2027'!D234),IF(A2005=2028,N('2028'!D234),IF(A2005=2029,N('2029'!D234),IF(A2005=2030,N('2030'!D234),IF(A2005=2031,N('2031'!D234),IF(A2005=2032,N('2032'!D234),IF(A2005=2033,N('2033'!D234),IF(A2005=2034,N('2034'!D234),IFERROR(N(INDIRECT("'"&amp;A2005&amp;"'!D"&amp;G2005)),0))))))))))))</f>
        <v>0</v>
      </c>
      <c r="M2005" s="36">
        <f>IFERROR(IF(NOT(ISBLANK(KPI_TARGETS!$O$13)),KPI_TARGETS!$O$13,IF(NOT(ISBLANK(KPI_TARGETS!$F$13)),KPI_TARGETS!$F$13,"")),"")</f>
        <v>0</v>
      </c>
      <c r="N2005" s="36" t="str">
        <f>IFERROR(KPI_TARGETS!$E$13,"Higher is better")</f>
        <v>Lower is better</v>
      </c>
      <c r="O2005" s="37">
        <f t="shared" ca="1" si="186"/>
        <v>1</v>
      </c>
      <c r="P2005" t="str">
        <f t="shared" ca="1" si="187"/>
        <v>Green</v>
      </c>
      <c r="Q2005" s="36">
        <f t="shared" ca="1" si="188"/>
        <v>0</v>
      </c>
      <c r="R2005" s="36" t="str">
        <f>""</f>
        <v/>
      </c>
      <c r="S2005" s="36" t="str">
        <f>""</f>
        <v/>
      </c>
      <c r="T2005" s="36" t="str">
        <f>""</f>
        <v/>
      </c>
      <c r="U2005" s="36" t="str">
        <f>""</f>
        <v/>
      </c>
      <c r="V2005" s="36" t="str">
        <f>""</f>
        <v/>
      </c>
      <c r="W2005" s="36">
        <f t="shared" si="189"/>
        <v>1</v>
      </c>
      <c r="X2005" t="str">
        <f t="shared" si="190"/>
        <v>Inactive</v>
      </c>
      <c r="Y2005" t="str">
        <f>IF(MAIN!$H$3="Selected Year",IF(A2005=MAIN!$B$3,"Yes","No"),IF(MAIN!$H$3="Included Years",IF(D2005="Yes","Yes","No"),IF(C2005="Yes","Yes","No")))</f>
        <v>No</v>
      </c>
      <c r="Z2005" t="str">
        <f>IF(MAIN!$F$3="Project to Date",IF(AND(A2005&gt;=SETTINGS!$B$4,A2005&lt;MAIN!$B$3),"Yes",IF(AND(A2005=MAIN!$B$3,E2005&lt;=MAIN!$L$3),"Yes","No")),IF(OR(MAIN!$F$3="Full Year",MAIN!$D$3="All"),"Yes",IF(MAIN!$F$3="Monthly",IF(E2005=MAIN!$L$3,"Yes","No"),IF(E2005&lt;=MAIN!$L$3,"Yes","No"))))</f>
        <v>Yes</v>
      </c>
      <c r="AA2005" t="str">
        <f t="shared" si="191"/>
        <v>No</v>
      </c>
    </row>
    <row r="2006" spans="1:27" x14ac:dyDescent="0.3">
      <c r="A2006">
        <f>INDEX(SETTINGS!$A$15:$A$24,$B2006)</f>
        <v>2033</v>
      </c>
      <c r="B2006">
        <v>9</v>
      </c>
      <c r="C2006" t="str">
        <f>IF(AND(A2006&gt;=SETTINGS!$B$4,A2006&lt;=SETTINGS!$B$5),"Yes","No")</f>
        <v>No</v>
      </c>
      <c r="D2006" t="str">
        <f>IFERROR(INDEX(SETTINGS!$C$15:$C$24,MATCH(A2006,SETTINGS!$A$15:$A$24,0)),"No")</f>
        <v>No</v>
      </c>
      <c r="E2006">
        <v>10</v>
      </c>
      <c r="F2006" t="s">
        <v>43</v>
      </c>
      <c r="G2006">
        <v>236</v>
      </c>
      <c r="H2006" t="s">
        <v>103</v>
      </c>
      <c r="I2006" t="s">
        <v>22</v>
      </c>
      <c r="J2006" t="s">
        <v>23</v>
      </c>
      <c r="K2006" t="s">
        <v>3</v>
      </c>
      <c r="L2006" s="36">
        <f ca="1">IF(C2006&lt;&gt;"Yes",0,IF(A2006=2025,N('2025'!D236),IF(A2006=2026,N('2026'!D236),IF(A2006=2027,N('2027'!D236),IF(A2006=2028,N('2028'!D236),IF(A2006=2029,N('2029'!D236),IF(A2006=2030,N('2030'!D236),IF(A2006=2031,N('2031'!D236),IF(A2006=2032,N('2032'!D236),IF(A2006=2033,N('2033'!D236),IF(A2006=2034,N('2034'!D236),IFERROR(N(INDIRECT("'"&amp;A2006&amp;"'!D"&amp;G2006)),0))))))))))))</f>
        <v>0</v>
      </c>
      <c r="M2006" s="36">
        <f>IFERROR(IF(NOT(ISBLANK(KPI_TARGETS!$O$14)),KPI_TARGETS!$O$14,IF(NOT(ISBLANK(KPI_TARGETS!$F$14)),KPI_TARGETS!$F$14,"")),"")</f>
        <v>35</v>
      </c>
      <c r="N2006" s="36" t="str">
        <f>IFERROR(KPI_TARGETS!$E$14,"Higher is better")</f>
        <v>Higher is better</v>
      </c>
      <c r="O2006" s="37">
        <f t="shared" ca="1" si="186"/>
        <v>0</v>
      </c>
      <c r="P2006" t="str">
        <f t="shared" ca="1" si="187"/>
        <v>Red</v>
      </c>
      <c r="Q2006" s="36">
        <f t="shared" ca="1" si="188"/>
        <v>-35</v>
      </c>
      <c r="R2006" s="36" t="str">
        <f>""</f>
        <v/>
      </c>
      <c r="S2006" s="36" t="str">
        <f>""</f>
        <v/>
      </c>
      <c r="T2006" s="36" t="str">
        <f>""</f>
        <v/>
      </c>
      <c r="U2006" s="36" t="str">
        <f>""</f>
        <v/>
      </c>
      <c r="V2006" s="36" t="str">
        <f>""</f>
        <v/>
      </c>
      <c r="W2006" s="36">
        <f t="shared" si="189"/>
        <v>1</v>
      </c>
      <c r="X2006" t="str">
        <f t="shared" si="190"/>
        <v>Inactive</v>
      </c>
      <c r="Y2006" t="str">
        <f>IF(MAIN!$H$3="Selected Year",IF(A2006=MAIN!$B$3,"Yes","No"),IF(MAIN!$H$3="Included Years",IF(D2006="Yes","Yes","No"),IF(C2006="Yes","Yes","No")))</f>
        <v>No</v>
      </c>
      <c r="Z2006" t="str">
        <f>IF(MAIN!$F$3="Project to Date",IF(AND(A2006&gt;=SETTINGS!$B$4,A2006&lt;MAIN!$B$3),"Yes",IF(AND(A2006=MAIN!$B$3,E2006&lt;=MAIN!$L$3),"Yes","No")),IF(OR(MAIN!$F$3="Full Year",MAIN!$D$3="All"),"Yes",IF(MAIN!$F$3="Monthly",IF(E2006=MAIN!$L$3,"Yes","No"),IF(E2006&lt;=MAIN!$L$3,"Yes","No"))))</f>
        <v>Yes</v>
      </c>
      <c r="AA2006" t="str">
        <f t="shared" si="191"/>
        <v>No</v>
      </c>
    </row>
    <row r="2007" spans="1:27" x14ac:dyDescent="0.3">
      <c r="A2007">
        <f>INDEX(SETTINGS!$A$15:$A$24,$B2007)</f>
        <v>2033</v>
      </c>
      <c r="B2007">
        <v>9</v>
      </c>
      <c r="C2007" t="str">
        <f>IF(AND(A2007&gt;=SETTINGS!$B$4,A2007&lt;=SETTINGS!$B$5),"Yes","No")</f>
        <v>No</v>
      </c>
      <c r="D2007" t="str">
        <f>IFERROR(INDEX(SETTINGS!$C$15:$C$24,MATCH(A2007,SETTINGS!$A$15:$A$24,0)),"No")</f>
        <v>No</v>
      </c>
      <c r="E2007">
        <v>10</v>
      </c>
      <c r="F2007" t="s">
        <v>43</v>
      </c>
      <c r="G2007">
        <v>237</v>
      </c>
      <c r="H2007" t="s">
        <v>104</v>
      </c>
      <c r="I2007" t="s">
        <v>22</v>
      </c>
      <c r="J2007" t="s">
        <v>24</v>
      </c>
      <c r="K2007" t="s">
        <v>3</v>
      </c>
      <c r="L2007" s="36">
        <f ca="1">IF(C2007&lt;&gt;"Yes",0,IF(A2007=2025,N('2025'!D237),IF(A2007=2026,N('2026'!D237),IF(A2007=2027,N('2027'!D237),IF(A2007=2028,N('2028'!D237),IF(A2007=2029,N('2029'!D237),IF(A2007=2030,N('2030'!D237),IF(A2007=2031,N('2031'!D237),IF(A2007=2032,N('2032'!D237),IF(A2007=2033,N('2033'!D237),IF(A2007=2034,N('2034'!D237),IFERROR(N(INDIRECT("'"&amp;A2007&amp;"'!D"&amp;G2007)),0))))))))))))</f>
        <v>0</v>
      </c>
      <c r="M2007" s="36">
        <f>IFERROR(IF(NOT(ISBLANK(KPI_TARGETS!$O$15)),KPI_TARGETS!$O$15,IF(NOT(ISBLANK(KPI_TARGETS!$F$15)),KPI_TARGETS!$F$15,"")),"")</f>
        <v>5</v>
      </c>
      <c r="N2007" s="36" t="str">
        <f>IFERROR(KPI_TARGETS!$E$15,"Higher is better")</f>
        <v>Higher is better</v>
      </c>
      <c r="O2007" s="37">
        <f t="shared" ca="1" si="186"/>
        <v>0</v>
      </c>
      <c r="P2007" t="str">
        <f t="shared" ca="1" si="187"/>
        <v>Red</v>
      </c>
      <c r="Q2007" s="36">
        <f t="shared" ca="1" si="188"/>
        <v>-5</v>
      </c>
      <c r="R2007" s="36" t="str">
        <f>""</f>
        <v/>
      </c>
      <c r="S2007" s="36" t="str">
        <f>""</f>
        <v/>
      </c>
      <c r="T2007" s="36" t="str">
        <f>""</f>
        <v/>
      </c>
      <c r="U2007" s="36" t="str">
        <f>""</f>
        <v/>
      </c>
      <c r="V2007" s="36" t="str">
        <f>""</f>
        <v/>
      </c>
      <c r="W2007" s="36">
        <f t="shared" si="189"/>
        <v>1</v>
      </c>
      <c r="X2007" t="str">
        <f t="shared" si="190"/>
        <v>Inactive</v>
      </c>
      <c r="Y2007" t="str">
        <f>IF(MAIN!$H$3="Selected Year",IF(A2007=MAIN!$B$3,"Yes","No"),IF(MAIN!$H$3="Included Years",IF(D2007="Yes","Yes","No"),IF(C2007="Yes","Yes","No")))</f>
        <v>No</v>
      </c>
      <c r="Z2007" t="str">
        <f>IF(MAIN!$F$3="Project to Date",IF(AND(A2007&gt;=SETTINGS!$B$4,A2007&lt;MAIN!$B$3),"Yes",IF(AND(A2007=MAIN!$B$3,E2007&lt;=MAIN!$L$3),"Yes","No")),IF(OR(MAIN!$F$3="Full Year",MAIN!$D$3="All"),"Yes",IF(MAIN!$F$3="Monthly",IF(E2007=MAIN!$L$3,"Yes","No"),IF(E2007&lt;=MAIN!$L$3,"Yes","No"))))</f>
        <v>Yes</v>
      </c>
      <c r="AA2007" t="str">
        <f t="shared" si="191"/>
        <v>No</v>
      </c>
    </row>
    <row r="2008" spans="1:27" x14ac:dyDescent="0.3">
      <c r="A2008">
        <f>INDEX(SETTINGS!$A$15:$A$24,$B2008)</f>
        <v>2033</v>
      </c>
      <c r="B2008">
        <v>9</v>
      </c>
      <c r="C2008" t="str">
        <f>IF(AND(A2008&gt;=SETTINGS!$B$4,A2008&lt;=SETTINGS!$B$5),"Yes","No")</f>
        <v>No</v>
      </c>
      <c r="D2008" t="str">
        <f>IFERROR(INDEX(SETTINGS!$C$15:$C$24,MATCH(A2008,SETTINGS!$A$15:$A$24,0)),"No")</f>
        <v>No</v>
      </c>
      <c r="E2008">
        <v>10</v>
      </c>
      <c r="F2008" t="s">
        <v>43</v>
      </c>
      <c r="G2008">
        <v>238</v>
      </c>
      <c r="H2008" t="s">
        <v>105</v>
      </c>
      <c r="I2008" t="s">
        <v>22</v>
      </c>
      <c r="J2008" t="s">
        <v>25</v>
      </c>
      <c r="K2008" t="s">
        <v>3</v>
      </c>
      <c r="L2008" s="36">
        <f ca="1">IF(C2008&lt;&gt;"Yes",0,IF(A2008=2025,N('2025'!D238),IF(A2008=2026,N('2026'!D238),IF(A2008=2027,N('2027'!D238),IF(A2008=2028,N('2028'!D238),IF(A2008=2029,N('2029'!D238),IF(A2008=2030,N('2030'!D238),IF(A2008=2031,N('2031'!D238),IF(A2008=2032,N('2032'!D238),IF(A2008=2033,N('2033'!D238),IF(A2008=2034,N('2034'!D238),IFERROR(N(INDIRECT("'"&amp;A2008&amp;"'!D"&amp;G2008)),0))))))))))))</f>
        <v>0</v>
      </c>
      <c r="M2008" s="36">
        <f>IFERROR(IF(NOT(ISBLANK(KPI_TARGETS!$O$16)),KPI_TARGETS!$O$16,IF(NOT(ISBLANK(KPI_TARGETS!$F$16)),KPI_TARGETS!$F$16,"")),"")</f>
        <v>4</v>
      </c>
      <c r="N2008" s="36" t="str">
        <f>IFERROR(KPI_TARGETS!$E$16,"Higher is better")</f>
        <v>Higher is better</v>
      </c>
      <c r="O2008" s="37">
        <f t="shared" ca="1" si="186"/>
        <v>0</v>
      </c>
      <c r="P2008" t="str">
        <f t="shared" ca="1" si="187"/>
        <v>Red</v>
      </c>
      <c r="Q2008" s="36">
        <f t="shared" ca="1" si="188"/>
        <v>-4</v>
      </c>
      <c r="R2008" s="36" t="str">
        <f>""</f>
        <v/>
      </c>
      <c r="S2008" s="36" t="str">
        <f>""</f>
        <v/>
      </c>
      <c r="T2008" s="36" t="str">
        <f>""</f>
        <v/>
      </c>
      <c r="U2008" s="36" t="str">
        <f>""</f>
        <v/>
      </c>
      <c r="V2008" s="36" t="str">
        <f>""</f>
        <v/>
      </c>
      <c r="W2008" s="36">
        <f t="shared" si="189"/>
        <v>1</v>
      </c>
      <c r="X2008" t="str">
        <f t="shared" si="190"/>
        <v>Inactive</v>
      </c>
      <c r="Y2008" t="str">
        <f>IF(MAIN!$H$3="Selected Year",IF(A2008=MAIN!$B$3,"Yes","No"),IF(MAIN!$H$3="Included Years",IF(D2008="Yes","Yes","No"),IF(C2008="Yes","Yes","No")))</f>
        <v>No</v>
      </c>
      <c r="Z2008" t="str">
        <f>IF(MAIN!$F$3="Project to Date",IF(AND(A2008&gt;=SETTINGS!$B$4,A2008&lt;MAIN!$B$3),"Yes",IF(AND(A2008=MAIN!$B$3,E2008&lt;=MAIN!$L$3),"Yes","No")),IF(OR(MAIN!$F$3="Full Year",MAIN!$D$3="All"),"Yes",IF(MAIN!$F$3="Monthly",IF(E2008=MAIN!$L$3,"Yes","No"),IF(E2008&lt;=MAIN!$L$3,"Yes","No"))))</f>
        <v>Yes</v>
      </c>
      <c r="AA2008" t="str">
        <f t="shared" si="191"/>
        <v>No</v>
      </c>
    </row>
    <row r="2009" spans="1:27" x14ac:dyDescent="0.3">
      <c r="A2009">
        <f>INDEX(SETTINGS!$A$15:$A$24,$B2009)</f>
        <v>2033</v>
      </c>
      <c r="B2009">
        <v>9</v>
      </c>
      <c r="C2009" t="str">
        <f>IF(AND(A2009&gt;=SETTINGS!$B$4,A2009&lt;=SETTINGS!$B$5),"Yes","No")</f>
        <v>No</v>
      </c>
      <c r="D2009" t="str">
        <f>IFERROR(INDEX(SETTINGS!$C$15:$C$24,MATCH(A2009,SETTINGS!$A$15:$A$24,0)),"No")</f>
        <v>No</v>
      </c>
      <c r="E2009">
        <v>10</v>
      </c>
      <c r="F2009" t="s">
        <v>43</v>
      </c>
      <c r="G2009">
        <v>239</v>
      </c>
      <c r="H2009" t="s">
        <v>106</v>
      </c>
      <c r="I2009" t="s">
        <v>22</v>
      </c>
      <c r="J2009" t="s">
        <v>26</v>
      </c>
      <c r="K2009" t="s">
        <v>3</v>
      </c>
      <c r="L2009" s="36">
        <f ca="1">IF(C2009&lt;&gt;"Yes",0,IF(A2009=2025,N('2025'!D239),IF(A2009=2026,N('2026'!D239),IF(A2009=2027,N('2027'!D239),IF(A2009=2028,N('2028'!D239),IF(A2009=2029,N('2029'!D239),IF(A2009=2030,N('2030'!D239),IF(A2009=2031,N('2031'!D239),IF(A2009=2032,N('2032'!D239),IF(A2009=2033,N('2033'!D239),IF(A2009=2034,N('2034'!D239),IFERROR(N(INDIRECT("'"&amp;A2009&amp;"'!D"&amp;G2009)),0))))))))))))</f>
        <v>0</v>
      </c>
      <c r="M2009" s="36">
        <f>IFERROR(IF(NOT(ISBLANK(KPI_TARGETS!$O$17)),KPI_TARGETS!$O$17,IF(NOT(ISBLANK(KPI_TARGETS!$F$17)),KPI_TARGETS!$F$17,"")),"")</f>
        <v>12</v>
      </c>
      <c r="N2009" s="36" t="str">
        <f>IFERROR(KPI_TARGETS!$E$17,"Higher is better")</f>
        <v>Higher is better</v>
      </c>
      <c r="O2009" s="37">
        <f t="shared" ca="1" si="186"/>
        <v>0</v>
      </c>
      <c r="P2009" t="str">
        <f t="shared" ca="1" si="187"/>
        <v>Red</v>
      </c>
      <c r="Q2009" s="36">
        <f t="shared" ca="1" si="188"/>
        <v>-12</v>
      </c>
      <c r="R2009" s="36" t="str">
        <f>""</f>
        <v/>
      </c>
      <c r="S2009" s="36" t="str">
        <f>""</f>
        <v/>
      </c>
      <c r="T2009" s="36" t="str">
        <f>""</f>
        <v/>
      </c>
      <c r="U2009" s="36" t="str">
        <f>""</f>
        <v/>
      </c>
      <c r="V2009" s="36" t="str">
        <f>""</f>
        <v/>
      </c>
      <c r="W2009" s="36">
        <f t="shared" si="189"/>
        <v>1</v>
      </c>
      <c r="X2009" t="str">
        <f t="shared" si="190"/>
        <v>Inactive</v>
      </c>
      <c r="Y2009" t="str">
        <f>IF(MAIN!$H$3="Selected Year",IF(A2009=MAIN!$B$3,"Yes","No"),IF(MAIN!$H$3="Included Years",IF(D2009="Yes","Yes","No"),IF(C2009="Yes","Yes","No")))</f>
        <v>No</v>
      </c>
      <c r="Z2009" t="str">
        <f>IF(MAIN!$F$3="Project to Date",IF(AND(A2009&gt;=SETTINGS!$B$4,A2009&lt;MAIN!$B$3),"Yes",IF(AND(A2009=MAIN!$B$3,E2009&lt;=MAIN!$L$3),"Yes","No")),IF(OR(MAIN!$F$3="Full Year",MAIN!$D$3="All"),"Yes",IF(MAIN!$F$3="Monthly",IF(E2009=MAIN!$L$3,"Yes","No"),IF(E2009&lt;=MAIN!$L$3,"Yes","No"))))</f>
        <v>Yes</v>
      </c>
      <c r="AA2009" t="str">
        <f t="shared" si="191"/>
        <v>No</v>
      </c>
    </row>
    <row r="2010" spans="1:27" x14ac:dyDescent="0.3">
      <c r="A2010">
        <f>INDEX(SETTINGS!$A$15:$A$24,$B2010)</f>
        <v>2033</v>
      </c>
      <c r="B2010">
        <v>9</v>
      </c>
      <c r="C2010" t="str">
        <f>IF(AND(A2010&gt;=SETTINGS!$B$4,A2010&lt;=SETTINGS!$B$5),"Yes","No")</f>
        <v>No</v>
      </c>
      <c r="D2010" t="str">
        <f>IFERROR(INDEX(SETTINGS!$C$15:$C$24,MATCH(A2010,SETTINGS!$A$15:$A$24,0)),"No")</f>
        <v>No</v>
      </c>
      <c r="E2010">
        <v>10</v>
      </c>
      <c r="F2010" t="s">
        <v>43</v>
      </c>
      <c r="G2010">
        <v>240</v>
      </c>
      <c r="H2010" t="s">
        <v>107</v>
      </c>
      <c r="I2010" t="s">
        <v>22</v>
      </c>
      <c r="J2010" t="s">
        <v>27</v>
      </c>
      <c r="K2010" t="s">
        <v>3</v>
      </c>
      <c r="L2010" s="36">
        <f ca="1">IF(C2010&lt;&gt;"Yes",0,IF(A2010=2025,N('2025'!D240),IF(A2010=2026,N('2026'!D240),IF(A2010=2027,N('2027'!D240),IF(A2010=2028,N('2028'!D240),IF(A2010=2029,N('2029'!D240),IF(A2010=2030,N('2030'!D240),IF(A2010=2031,N('2031'!D240),IF(A2010=2032,N('2032'!D240),IF(A2010=2033,N('2033'!D240),IF(A2010=2034,N('2034'!D240),IFERROR(N(INDIRECT("'"&amp;A2010&amp;"'!D"&amp;G2010)),0))))))))))))</f>
        <v>0</v>
      </c>
      <c r="M2010" s="36">
        <f>IFERROR(IF(NOT(ISBLANK(KPI_TARGETS!$O$18)),KPI_TARGETS!$O$18,IF(NOT(ISBLANK(KPI_TARGETS!$F$18)),KPI_TARGETS!$F$18,"")),"")</f>
        <v>4</v>
      </c>
      <c r="N2010" s="36" t="str">
        <f>IFERROR(KPI_TARGETS!$E$18,"Higher is better")</f>
        <v>Higher is better</v>
      </c>
      <c r="O2010" s="37">
        <f t="shared" ca="1" si="186"/>
        <v>0</v>
      </c>
      <c r="P2010" t="str">
        <f t="shared" ca="1" si="187"/>
        <v>Red</v>
      </c>
      <c r="Q2010" s="36">
        <f t="shared" ca="1" si="188"/>
        <v>-4</v>
      </c>
      <c r="R2010" s="36" t="str">
        <f>""</f>
        <v/>
      </c>
      <c r="S2010" s="36" t="str">
        <f>""</f>
        <v/>
      </c>
      <c r="T2010" s="36" t="str">
        <f>""</f>
        <v/>
      </c>
      <c r="U2010" s="36" t="str">
        <f>""</f>
        <v/>
      </c>
      <c r="V2010" s="36" t="str">
        <f>""</f>
        <v/>
      </c>
      <c r="W2010" s="36">
        <f t="shared" si="189"/>
        <v>1</v>
      </c>
      <c r="X2010" t="str">
        <f t="shared" si="190"/>
        <v>Inactive</v>
      </c>
      <c r="Y2010" t="str">
        <f>IF(MAIN!$H$3="Selected Year",IF(A2010=MAIN!$B$3,"Yes","No"),IF(MAIN!$H$3="Included Years",IF(D2010="Yes","Yes","No"),IF(C2010="Yes","Yes","No")))</f>
        <v>No</v>
      </c>
      <c r="Z2010" t="str">
        <f>IF(MAIN!$F$3="Project to Date",IF(AND(A2010&gt;=SETTINGS!$B$4,A2010&lt;MAIN!$B$3),"Yes",IF(AND(A2010=MAIN!$B$3,E2010&lt;=MAIN!$L$3),"Yes","No")),IF(OR(MAIN!$F$3="Full Year",MAIN!$D$3="All"),"Yes",IF(MAIN!$F$3="Monthly",IF(E2010=MAIN!$L$3,"Yes","No"),IF(E2010&lt;=MAIN!$L$3,"Yes","No"))))</f>
        <v>Yes</v>
      </c>
      <c r="AA2010" t="str">
        <f t="shared" si="191"/>
        <v>No</v>
      </c>
    </row>
    <row r="2011" spans="1:27" x14ac:dyDescent="0.3">
      <c r="A2011">
        <f>INDEX(SETTINGS!$A$15:$A$24,$B2011)</f>
        <v>2033</v>
      </c>
      <c r="B2011">
        <v>9</v>
      </c>
      <c r="C2011" t="str">
        <f>IF(AND(A2011&gt;=SETTINGS!$B$4,A2011&lt;=SETTINGS!$B$5),"Yes","No")</f>
        <v>No</v>
      </c>
      <c r="D2011" t="str">
        <f>IFERROR(INDEX(SETTINGS!$C$15:$C$24,MATCH(A2011,SETTINGS!$A$15:$A$24,0)),"No")</f>
        <v>No</v>
      </c>
      <c r="E2011">
        <v>10</v>
      </c>
      <c r="F2011" t="s">
        <v>43</v>
      </c>
      <c r="G2011">
        <v>241</v>
      </c>
      <c r="H2011" t="s">
        <v>108</v>
      </c>
      <c r="I2011" t="s">
        <v>22</v>
      </c>
      <c r="J2011" t="s">
        <v>28</v>
      </c>
      <c r="K2011" t="s">
        <v>3</v>
      </c>
      <c r="L2011" s="36">
        <f ca="1">IF(C2011&lt;&gt;"Yes",0,IF(A2011=2025,N('2025'!D241),IF(A2011=2026,N('2026'!D241),IF(A2011=2027,N('2027'!D241),IF(A2011=2028,N('2028'!D241),IF(A2011=2029,N('2029'!D241),IF(A2011=2030,N('2030'!D241),IF(A2011=2031,N('2031'!D241),IF(A2011=2032,N('2032'!D241),IF(A2011=2033,N('2033'!D241),IF(A2011=2034,N('2034'!D241),IFERROR(N(INDIRECT("'"&amp;A2011&amp;"'!D"&amp;G2011)),0))))))))))))</f>
        <v>0</v>
      </c>
      <c r="M2011" s="36">
        <f>IFERROR(IF(NOT(ISBLANK(KPI_TARGETS!$O$19)),KPI_TARGETS!$O$19,IF(NOT(ISBLANK(KPI_TARGETS!$F$19)),KPI_TARGETS!$F$19,"")),"")</f>
        <v>16</v>
      </c>
      <c r="N2011" s="36" t="str">
        <f>IFERROR(KPI_TARGETS!$E$19,"Higher is better")</f>
        <v>Higher is better</v>
      </c>
      <c r="O2011" s="37">
        <f t="shared" ca="1" si="186"/>
        <v>0</v>
      </c>
      <c r="P2011" t="str">
        <f t="shared" ca="1" si="187"/>
        <v>Red</v>
      </c>
      <c r="Q2011" s="36">
        <f t="shared" ca="1" si="188"/>
        <v>-16</v>
      </c>
      <c r="R2011" s="36" t="str">
        <f>""</f>
        <v/>
      </c>
      <c r="S2011" s="36" t="str">
        <f>""</f>
        <v/>
      </c>
      <c r="T2011" s="36" t="str">
        <f>""</f>
        <v/>
      </c>
      <c r="U2011" s="36" t="str">
        <f>""</f>
        <v/>
      </c>
      <c r="V2011" s="36" t="str">
        <f>""</f>
        <v/>
      </c>
      <c r="W2011" s="36">
        <f t="shared" si="189"/>
        <v>1</v>
      </c>
      <c r="X2011" t="str">
        <f t="shared" si="190"/>
        <v>Inactive</v>
      </c>
      <c r="Y2011" t="str">
        <f>IF(MAIN!$H$3="Selected Year",IF(A2011=MAIN!$B$3,"Yes","No"),IF(MAIN!$H$3="Included Years",IF(D2011="Yes","Yes","No"),IF(C2011="Yes","Yes","No")))</f>
        <v>No</v>
      </c>
      <c r="Z2011" t="str">
        <f>IF(MAIN!$F$3="Project to Date",IF(AND(A2011&gt;=SETTINGS!$B$4,A2011&lt;MAIN!$B$3),"Yes",IF(AND(A2011=MAIN!$B$3,E2011&lt;=MAIN!$L$3),"Yes","No")),IF(OR(MAIN!$F$3="Full Year",MAIN!$D$3="All"),"Yes",IF(MAIN!$F$3="Monthly",IF(E2011=MAIN!$L$3,"Yes","No"),IF(E2011&lt;=MAIN!$L$3,"Yes","No"))))</f>
        <v>Yes</v>
      </c>
      <c r="AA2011" t="str">
        <f t="shared" si="191"/>
        <v>No</v>
      </c>
    </row>
    <row r="2012" spans="1:27" x14ac:dyDescent="0.3">
      <c r="A2012">
        <f>INDEX(SETTINGS!$A$15:$A$24,$B2012)</f>
        <v>2033</v>
      </c>
      <c r="B2012">
        <v>9</v>
      </c>
      <c r="C2012" t="str">
        <f>IF(AND(A2012&gt;=SETTINGS!$B$4,A2012&lt;=SETTINGS!$B$5),"Yes","No")</f>
        <v>No</v>
      </c>
      <c r="D2012" t="str">
        <f>IFERROR(INDEX(SETTINGS!$C$15:$C$24,MATCH(A2012,SETTINGS!$A$15:$A$24,0)),"No")</f>
        <v>No</v>
      </c>
      <c r="E2012">
        <v>10</v>
      </c>
      <c r="F2012" t="s">
        <v>43</v>
      </c>
      <c r="G2012">
        <v>242</v>
      </c>
      <c r="H2012" t="s">
        <v>109</v>
      </c>
      <c r="I2012" t="s">
        <v>22</v>
      </c>
      <c r="J2012" t="s">
        <v>29</v>
      </c>
      <c r="K2012" t="s">
        <v>3</v>
      </c>
      <c r="L2012" s="36">
        <f ca="1">IF(C2012&lt;&gt;"Yes",0,IF(A2012=2025,N('2025'!D242),IF(A2012=2026,N('2026'!D242),IF(A2012=2027,N('2027'!D242),IF(A2012=2028,N('2028'!D242),IF(A2012=2029,N('2029'!D242),IF(A2012=2030,N('2030'!D242),IF(A2012=2031,N('2031'!D242),IF(A2012=2032,N('2032'!D242),IF(A2012=2033,N('2033'!D242),IF(A2012=2034,N('2034'!D242),IFERROR(N(INDIRECT("'"&amp;A2012&amp;"'!D"&amp;G2012)),0))))))))))))</f>
        <v>0</v>
      </c>
      <c r="M2012" s="36">
        <f>IFERROR(IF(NOT(ISBLANK(KPI_TARGETS!$O$20)),KPI_TARGETS!$O$20,IF(NOT(ISBLANK(KPI_TARGETS!$F$20)),KPI_TARGETS!$F$20,"")),"")</f>
        <v>1</v>
      </c>
      <c r="N2012" s="36" t="str">
        <f>IFERROR(KPI_TARGETS!$E$20,"Higher is better")</f>
        <v>Higher is better</v>
      </c>
      <c r="O2012" s="37">
        <f t="shared" ca="1" si="186"/>
        <v>0</v>
      </c>
      <c r="P2012" t="str">
        <f t="shared" ca="1" si="187"/>
        <v>Red</v>
      </c>
      <c r="Q2012" s="36">
        <f t="shared" ca="1" si="188"/>
        <v>-1</v>
      </c>
      <c r="R2012" s="36" t="str">
        <f>""</f>
        <v/>
      </c>
      <c r="S2012" s="36" t="str">
        <f>""</f>
        <v/>
      </c>
      <c r="T2012" s="36" t="str">
        <f>""</f>
        <v/>
      </c>
      <c r="U2012" s="36" t="str">
        <f>""</f>
        <v/>
      </c>
      <c r="V2012" s="36" t="str">
        <f>""</f>
        <v/>
      </c>
      <c r="W2012" s="36">
        <f t="shared" si="189"/>
        <v>1</v>
      </c>
      <c r="X2012" t="str">
        <f t="shared" si="190"/>
        <v>Inactive</v>
      </c>
      <c r="Y2012" t="str">
        <f>IF(MAIN!$H$3="Selected Year",IF(A2012=MAIN!$B$3,"Yes","No"),IF(MAIN!$H$3="Included Years",IF(D2012="Yes","Yes","No"),IF(C2012="Yes","Yes","No")))</f>
        <v>No</v>
      </c>
      <c r="Z2012" t="str">
        <f>IF(MAIN!$F$3="Project to Date",IF(AND(A2012&gt;=SETTINGS!$B$4,A2012&lt;MAIN!$B$3),"Yes",IF(AND(A2012=MAIN!$B$3,E2012&lt;=MAIN!$L$3),"Yes","No")),IF(OR(MAIN!$F$3="Full Year",MAIN!$D$3="All"),"Yes",IF(MAIN!$F$3="Monthly",IF(E2012=MAIN!$L$3,"Yes","No"),IF(E2012&lt;=MAIN!$L$3,"Yes","No"))))</f>
        <v>Yes</v>
      </c>
      <c r="AA2012" t="str">
        <f t="shared" si="191"/>
        <v>No</v>
      </c>
    </row>
    <row r="2013" spans="1:27" x14ac:dyDescent="0.3">
      <c r="A2013">
        <f>INDEX(SETTINGS!$A$15:$A$24,$B2013)</f>
        <v>2033</v>
      </c>
      <c r="B2013">
        <v>9</v>
      </c>
      <c r="C2013" t="str">
        <f>IF(AND(A2013&gt;=SETTINGS!$B$4,A2013&lt;=SETTINGS!$B$5),"Yes","No")</f>
        <v>No</v>
      </c>
      <c r="D2013" t="str">
        <f>IFERROR(INDEX(SETTINGS!$C$15:$C$24,MATCH(A2013,SETTINGS!$A$15:$A$24,0)),"No")</f>
        <v>No</v>
      </c>
      <c r="E2013">
        <v>10</v>
      </c>
      <c r="F2013" t="s">
        <v>43</v>
      </c>
      <c r="G2013">
        <v>244</v>
      </c>
      <c r="H2013" t="s">
        <v>110</v>
      </c>
      <c r="I2013" t="s">
        <v>30</v>
      </c>
      <c r="J2013" t="s">
        <v>31</v>
      </c>
      <c r="K2013" t="s">
        <v>3</v>
      </c>
      <c r="L2013" s="36">
        <f ca="1">IF(C2013&lt;&gt;"Yes",0,IF(A2013=2025,N('2025'!D244),IF(A2013=2026,N('2026'!D244),IF(A2013=2027,N('2027'!D244),IF(A2013=2028,N('2028'!D244),IF(A2013=2029,N('2029'!D244),IF(A2013=2030,N('2030'!D244),IF(A2013=2031,N('2031'!D244),IF(A2013=2032,N('2032'!D244),IF(A2013=2033,N('2033'!D244),IF(A2013=2034,N('2034'!D244),IFERROR(N(INDIRECT("'"&amp;A2013&amp;"'!D"&amp;G2013)),0))))))))))))</f>
        <v>0</v>
      </c>
      <c r="M2013" s="36">
        <f>IFERROR(IF(NOT(ISBLANK(KPI_TARGETS!$O$21)),KPI_TARGETS!$O$21,IF(NOT(ISBLANK(KPI_TARGETS!$F$21)),KPI_TARGETS!$F$21,"")),"")</f>
        <v>0</v>
      </c>
      <c r="N2013" s="36" t="str">
        <f>IFERROR(KPI_TARGETS!$E$21,"Higher is better")</f>
        <v>Lower is better</v>
      </c>
      <c r="O2013" s="37">
        <f t="shared" ca="1" si="186"/>
        <v>1</v>
      </c>
      <c r="P2013" t="str">
        <f t="shared" ca="1" si="187"/>
        <v>Green</v>
      </c>
      <c r="Q2013" s="36">
        <f t="shared" ca="1" si="188"/>
        <v>0</v>
      </c>
      <c r="R2013" s="36" t="str">
        <f>""</f>
        <v/>
      </c>
      <c r="S2013" s="36" t="str">
        <f>""</f>
        <v/>
      </c>
      <c r="T2013" s="36" t="str">
        <f>""</f>
        <v/>
      </c>
      <c r="U2013" s="36" t="str">
        <f>""</f>
        <v/>
      </c>
      <c r="V2013" s="36" t="str">
        <f>""</f>
        <v/>
      </c>
      <c r="W2013" s="36">
        <f t="shared" si="189"/>
        <v>1</v>
      </c>
      <c r="X2013" t="str">
        <f t="shared" si="190"/>
        <v>Inactive</v>
      </c>
      <c r="Y2013" t="str">
        <f>IF(MAIN!$H$3="Selected Year",IF(A2013=MAIN!$B$3,"Yes","No"),IF(MAIN!$H$3="Included Years",IF(D2013="Yes","Yes","No"),IF(C2013="Yes","Yes","No")))</f>
        <v>No</v>
      </c>
      <c r="Z2013" t="str">
        <f>IF(MAIN!$F$3="Project to Date",IF(AND(A2013&gt;=SETTINGS!$B$4,A2013&lt;MAIN!$B$3),"Yes",IF(AND(A2013=MAIN!$B$3,E2013&lt;=MAIN!$L$3),"Yes","No")),IF(OR(MAIN!$F$3="Full Year",MAIN!$D$3="All"),"Yes",IF(MAIN!$F$3="Monthly",IF(E2013=MAIN!$L$3,"Yes","No"),IF(E2013&lt;=MAIN!$L$3,"Yes","No"))))</f>
        <v>Yes</v>
      </c>
      <c r="AA2013" t="str">
        <f t="shared" si="191"/>
        <v>No</v>
      </c>
    </row>
    <row r="2014" spans="1:27" x14ac:dyDescent="0.3">
      <c r="A2014">
        <f>INDEX(SETTINGS!$A$15:$A$24,$B2014)</f>
        <v>2033</v>
      </c>
      <c r="B2014">
        <v>9</v>
      </c>
      <c r="C2014" t="str">
        <f>IF(AND(A2014&gt;=SETTINGS!$B$4,A2014&lt;=SETTINGS!$B$5),"Yes","No")</f>
        <v>No</v>
      </c>
      <c r="D2014" t="str">
        <f>IFERROR(INDEX(SETTINGS!$C$15:$C$24,MATCH(A2014,SETTINGS!$A$15:$A$24,0)),"No")</f>
        <v>No</v>
      </c>
      <c r="E2014">
        <v>10</v>
      </c>
      <c r="F2014" t="s">
        <v>43</v>
      </c>
      <c r="G2014">
        <v>245</v>
      </c>
      <c r="H2014" t="s">
        <v>111</v>
      </c>
      <c r="I2014" t="s">
        <v>30</v>
      </c>
      <c r="J2014" t="s">
        <v>32</v>
      </c>
      <c r="K2014" t="s">
        <v>3</v>
      </c>
      <c r="L2014" s="36">
        <f ca="1">IF(C2014&lt;&gt;"Yes",0,IF(A2014=2025,N('2025'!D245),IF(A2014=2026,N('2026'!D245),IF(A2014=2027,N('2027'!D245),IF(A2014=2028,N('2028'!D245),IF(A2014=2029,N('2029'!D245),IF(A2014=2030,N('2030'!D245),IF(A2014=2031,N('2031'!D245),IF(A2014=2032,N('2032'!D245),IF(A2014=2033,N('2033'!D245),IF(A2014=2034,N('2034'!D245),IFERROR(N(INDIRECT("'"&amp;A2014&amp;"'!D"&amp;G2014)),0))))))))))))</f>
        <v>0</v>
      </c>
      <c r="M2014" s="36">
        <f>IFERROR(IF(NOT(ISBLANK(KPI_TARGETS!$O$22)),KPI_TARGETS!$O$22,IF(NOT(ISBLANK(KPI_TARGETS!$F$22)),KPI_TARGETS!$F$22,"")),"")</f>
        <v>1</v>
      </c>
      <c r="N2014" s="36" t="str">
        <f>IFERROR(KPI_TARGETS!$E$22,"Higher is better")</f>
        <v>Higher is better</v>
      </c>
      <c r="O2014" s="37">
        <f t="shared" ca="1" si="186"/>
        <v>0</v>
      </c>
      <c r="P2014" t="str">
        <f t="shared" ca="1" si="187"/>
        <v>Red</v>
      </c>
      <c r="Q2014" s="36">
        <f t="shared" ca="1" si="188"/>
        <v>-1</v>
      </c>
      <c r="R2014" s="36" t="str">
        <f>""</f>
        <v/>
      </c>
      <c r="S2014" s="36" t="str">
        <f>""</f>
        <v/>
      </c>
      <c r="T2014" s="36" t="str">
        <f>""</f>
        <v/>
      </c>
      <c r="U2014" s="36" t="str">
        <f>""</f>
        <v/>
      </c>
      <c r="V2014" s="36" t="str">
        <f>""</f>
        <v/>
      </c>
      <c r="W2014" s="36">
        <f t="shared" si="189"/>
        <v>1</v>
      </c>
      <c r="X2014" t="str">
        <f t="shared" si="190"/>
        <v>Inactive</v>
      </c>
      <c r="Y2014" t="str">
        <f>IF(MAIN!$H$3="Selected Year",IF(A2014=MAIN!$B$3,"Yes","No"),IF(MAIN!$H$3="Included Years",IF(D2014="Yes","Yes","No"),IF(C2014="Yes","Yes","No")))</f>
        <v>No</v>
      </c>
      <c r="Z2014" t="str">
        <f>IF(MAIN!$F$3="Project to Date",IF(AND(A2014&gt;=SETTINGS!$B$4,A2014&lt;MAIN!$B$3),"Yes",IF(AND(A2014=MAIN!$B$3,E2014&lt;=MAIN!$L$3),"Yes","No")),IF(OR(MAIN!$F$3="Full Year",MAIN!$D$3="All"),"Yes",IF(MAIN!$F$3="Monthly",IF(E2014=MAIN!$L$3,"Yes","No"),IF(E2014&lt;=MAIN!$L$3,"Yes","No"))))</f>
        <v>Yes</v>
      </c>
      <c r="AA2014" t="str">
        <f t="shared" si="191"/>
        <v>No</v>
      </c>
    </row>
    <row r="2015" spans="1:27" x14ac:dyDescent="0.3">
      <c r="A2015">
        <f>INDEX(SETTINGS!$A$15:$A$24,$B2015)</f>
        <v>2033</v>
      </c>
      <c r="B2015">
        <v>9</v>
      </c>
      <c r="C2015" t="str">
        <f>IF(AND(A2015&gt;=SETTINGS!$B$4,A2015&lt;=SETTINGS!$B$5),"Yes","No")</f>
        <v>No</v>
      </c>
      <c r="D2015" t="str">
        <f>IFERROR(INDEX(SETTINGS!$C$15:$C$24,MATCH(A2015,SETTINGS!$A$15:$A$24,0)),"No")</f>
        <v>No</v>
      </c>
      <c r="E2015">
        <v>10</v>
      </c>
      <c r="F2015" t="s">
        <v>43</v>
      </c>
      <c r="G2015">
        <v>246</v>
      </c>
      <c r="H2015" t="s">
        <v>112</v>
      </c>
      <c r="I2015" t="s">
        <v>30</v>
      </c>
      <c r="J2015" t="s">
        <v>33</v>
      </c>
      <c r="K2015" t="s">
        <v>34</v>
      </c>
      <c r="L2015" s="36">
        <f ca="1">IF(C2015&lt;&gt;"Yes",0,IF(A2015=2025,N('2025'!D246),IF(A2015=2026,N('2026'!D246),IF(A2015=2027,N('2027'!D246),IF(A2015=2028,N('2028'!D246),IF(A2015=2029,N('2029'!D246),IF(A2015=2030,N('2030'!D246),IF(A2015=2031,N('2031'!D246),IF(A2015=2032,N('2032'!D246),IF(A2015=2033,N('2033'!D246),IF(A2015=2034,N('2034'!D246),IFERROR(N(INDIRECT("'"&amp;A2015&amp;"'!D"&amp;G2015)),0))))))))))))</f>
        <v>0</v>
      </c>
      <c r="M2015" s="36">
        <f>IFERROR(IF(NOT(ISBLANK(KPI_TARGETS!$O$23)),KPI_TARGETS!$O$23,IF(NOT(ISBLANK(KPI_TARGETS!$F$23)),KPI_TARGETS!$F$23,"")),"")</f>
        <v>1</v>
      </c>
      <c r="N2015" s="36" t="str">
        <f>IFERROR(KPI_TARGETS!$E$23,"Higher is better")</f>
        <v>Higher is better</v>
      </c>
      <c r="O2015" s="37">
        <f t="shared" ca="1" si="186"/>
        <v>0</v>
      </c>
      <c r="P2015" t="str">
        <f t="shared" ca="1" si="187"/>
        <v>Red</v>
      </c>
      <c r="Q2015" s="36">
        <f t="shared" ca="1" si="188"/>
        <v>-1</v>
      </c>
      <c r="R2015" s="36" t="str">
        <f>""</f>
        <v/>
      </c>
      <c r="S2015" s="36" t="str">
        <f>""</f>
        <v/>
      </c>
      <c r="T2015" s="36" t="str">
        <f>""</f>
        <v/>
      </c>
      <c r="U2015" s="36" t="str">
        <f>""</f>
        <v/>
      </c>
      <c r="V2015" s="36" t="str">
        <f>""</f>
        <v/>
      </c>
      <c r="W2015" s="36">
        <f t="shared" si="189"/>
        <v>1</v>
      </c>
      <c r="X2015" t="str">
        <f t="shared" si="190"/>
        <v>Inactive</v>
      </c>
      <c r="Y2015" t="str">
        <f>IF(MAIN!$H$3="Selected Year",IF(A2015=MAIN!$B$3,"Yes","No"),IF(MAIN!$H$3="Included Years",IF(D2015="Yes","Yes","No"),IF(C2015="Yes","Yes","No")))</f>
        <v>No</v>
      </c>
      <c r="Z2015" t="str">
        <f>IF(MAIN!$F$3="Project to Date",IF(AND(A2015&gt;=SETTINGS!$B$4,A2015&lt;MAIN!$B$3),"Yes",IF(AND(A2015=MAIN!$B$3,E2015&lt;=MAIN!$L$3),"Yes","No")),IF(OR(MAIN!$F$3="Full Year",MAIN!$D$3="All"),"Yes",IF(MAIN!$F$3="Monthly",IF(E2015=MAIN!$L$3,"Yes","No"),IF(E2015&lt;=MAIN!$L$3,"Yes","No"))))</f>
        <v>Yes</v>
      </c>
      <c r="AA2015" t="str">
        <f t="shared" si="191"/>
        <v>No</v>
      </c>
    </row>
    <row r="2016" spans="1:27" x14ac:dyDescent="0.3">
      <c r="A2016">
        <f>INDEX(SETTINGS!$A$15:$A$24,$B2016)</f>
        <v>2033</v>
      </c>
      <c r="B2016">
        <v>9</v>
      </c>
      <c r="C2016" t="str">
        <f>IF(AND(A2016&gt;=SETTINGS!$B$4,A2016&lt;=SETTINGS!$B$5),"Yes","No")</f>
        <v>No</v>
      </c>
      <c r="D2016" t="str">
        <f>IFERROR(INDEX(SETTINGS!$C$15:$C$24,MATCH(A2016,SETTINGS!$A$15:$A$24,0)),"No")</f>
        <v>No</v>
      </c>
      <c r="E2016">
        <v>11</v>
      </c>
      <c r="F2016" t="s">
        <v>44</v>
      </c>
      <c r="G2016">
        <v>249</v>
      </c>
      <c r="H2016" t="s">
        <v>88</v>
      </c>
      <c r="I2016" t="s">
        <v>89</v>
      </c>
      <c r="J2016" t="s">
        <v>10</v>
      </c>
      <c r="K2016" t="s">
        <v>3</v>
      </c>
      <c r="L2016" s="36">
        <f ca="1">IF(C2016&lt;&gt;"Yes",0,IF(A2016=2025,N('2025'!D249),IF(A2016=2026,N('2026'!D249),IF(A2016=2027,N('2027'!D249),IF(A2016=2028,N('2028'!D249),IF(A2016=2029,N('2029'!D249),IF(A2016=2030,N('2030'!D249),IF(A2016=2031,N('2031'!D249),IF(A2016=2032,N('2032'!D249),IF(A2016=2033,N('2033'!D249),IF(A2016=2034,N('2034'!D249),IFERROR(N(INDIRECT("'"&amp;A2016&amp;"'!D"&amp;G2016)),0))))))))))))</f>
        <v>0</v>
      </c>
      <c r="M2016" s="36">
        <f>IFERROR(IF(NOT(ISBLANK(KPI_TARGETS!$O$5)),KPI_TARGETS!$O$5,IF(NOT(ISBLANK(KPI_TARGETS!$F$5)),KPI_TARGETS!$F$5,"")),"")</f>
        <v>104</v>
      </c>
      <c r="N2016" s="36" t="str">
        <f>IFERROR(KPI_TARGETS!$E$5,"Higher is better")</f>
        <v>Higher is better</v>
      </c>
      <c r="O2016" s="37">
        <f t="shared" ca="1" si="186"/>
        <v>0</v>
      </c>
      <c r="P2016" t="str">
        <f t="shared" ca="1" si="187"/>
        <v>Red</v>
      </c>
      <c r="Q2016" s="36">
        <f t="shared" ca="1" si="188"/>
        <v>-104</v>
      </c>
      <c r="R2016" s="36" t="str">
        <f>""</f>
        <v/>
      </c>
      <c r="S2016" s="36" t="str">
        <f>""</f>
        <v/>
      </c>
      <c r="T2016" s="36" t="str">
        <f>""</f>
        <v/>
      </c>
      <c r="U2016" s="36" t="str">
        <f>""</f>
        <v/>
      </c>
      <c r="V2016" s="36" t="str">
        <f>""</f>
        <v/>
      </c>
      <c r="W2016" s="36">
        <f t="shared" si="189"/>
        <v>1</v>
      </c>
      <c r="X2016" t="str">
        <f t="shared" si="190"/>
        <v>Inactive</v>
      </c>
      <c r="Y2016" t="str">
        <f>IF(MAIN!$H$3="Selected Year",IF(A2016=MAIN!$B$3,"Yes","No"),IF(MAIN!$H$3="Included Years",IF(D2016="Yes","Yes","No"),IF(C2016="Yes","Yes","No")))</f>
        <v>No</v>
      </c>
      <c r="Z2016" t="str">
        <f>IF(MAIN!$F$3="Project to Date",IF(AND(A2016&gt;=SETTINGS!$B$4,A2016&lt;MAIN!$B$3),"Yes",IF(AND(A2016=MAIN!$B$3,E2016&lt;=MAIN!$L$3),"Yes","No")),IF(OR(MAIN!$F$3="Full Year",MAIN!$D$3="All"),"Yes",IF(MAIN!$F$3="Monthly",IF(E2016=MAIN!$L$3,"Yes","No"),IF(E2016&lt;=MAIN!$L$3,"Yes","No"))))</f>
        <v>Yes</v>
      </c>
      <c r="AA2016" t="str">
        <f t="shared" si="191"/>
        <v>No</v>
      </c>
    </row>
    <row r="2017" spans="1:27" x14ac:dyDescent="0.3">
      <c r="A2017">
        <f>INDEX(SETTINGS!$A$15:$A$24,$B2017)</f>
        <v>2033</v>
      </c>
      <c r="B2017">
        <v>9</v>
      </c>
      <c r="C2017" t="str">
        <f>IF(AND(A2017&gt;=SETTINGS!$B$4,A2017&lt;=SETTINGS!$B$5),"Yes","No")</f>
        <v>No</v>
      </c>
      <c r="D2017" t="str">
        <f>IFERROR(INDEX(SETTINGS!$C$15:$C$24,MATCH(A2017,SETTINGS!$A$15:$A$24,0)),"No")</f>
        <v>No</v>
      </c>
      <c r="E2017">
        <v>11</v>
      </c>
      <c r="F2017" t="s">
        <v>44</v>
      </c>
      <c r="G2017">
        <v>250</v>
      </c>
      <c r="H2017" t="s">
        <v>91</v>
      </c>
      <c r="I2017" t="s">
        <v>89</v>
      </c>
      <c r="J2017" t="s">
        <v>11</v>
      </c>
      <c r="K2017" t="s">
        <v>12</v>
      </c>
      <c r="L2017" s="36">
        <f ca="1">IF(C2017&lt;&gt;"Yes",0,IF(A2017=2025,N('2025'!D250),IF(A2017=2026,N('2026'!D250),IF(A2017=2027,N('2027'!D250),IF(A2017=2028,N('2028'!D250),IF(A2017=2029,N('2029'!D250),IF(A2017=2030,N('2030'!D250),IF(A2017=2031,N('2031'!D250),IF(A2017=2032,N('2032'!D250),IF(A2017=2033,N('2033'!D250),IF(A2017=2034,N('2034'!D250),IFERROR(N(INDIRECT("'"&amp;A2017&amp;"'!D"&amp;G2017)),0))))))))))))</f>
        <v>0</v>
      </c>
      <c r="M2017" s="36">
        <f>IFERROR(IF(NOT(ISBLANK(KPI_TARGETS!$O$6)),KPI_TARGETS!$O$6,IF(NOT(ISBLANK(KPI_TARGETS!$F$6)),KPI_TARGETS!$F$6,"")),"")</f>
        <v>4000</v>
      </c>
      <c r="N2017" s="36" t="str">
        <f>IFERROR(KPI_TARGETS!$E$6,"Higher is better")</f>
        <v>Higher is better</v>
      </c>
      <c r="O2017" s="37">
        <f t="shared" ca="1" si="186"/>
        <v>0</v>
      </c>
      <c r="P2017" t="str">
        <f t="shared" ca="1" si="187"/>
        <v>Red</v>
      </c>
      <c r="Q2017" s="36">
        <f t="shared" ca="1" si="188"/>
        <v>-4000</v>
      </c>
      <c r="R2017" s="36" t="str">
        <f>""</f>
        <v/>
      </c>
      <c r="S2017" s="36" t="str">
        <f>""</f>
        <v/>
      </c>
      <c r="T2017" s="36" t="str">
        <f>""</f>
        <v/>
      </c>
      <c r="U2017" s="36" t="str">
        <f>""</f>
        <v/>
      </c>
      <c r="V2017" s="36" t="str">
        <f>""</f>
        <v/>
      </c>
      <c r="W2017" s="36">
        <f t="shared" si="189"/>
        <v>1</v>
      </c>
      <c r="X2017" t="str">
        <f t="shared" si="190"/>
        <v>Inactive</v>
      </c>
      <c r="Y2017" t="str">
        <f>IF(MAIN!$H$3="Selected Year",IF(A2017=MAIN!$B$3,"Yes","No"),IF(MAIN!$H$3="Included Years",IF(D2017="Yes","Yes","No"),IF(C2017="Yes","Yes","No")))</f>
        <v>No</v>
      </c>
      <c r="Z2017" t="str">
        <f>IF(MAIN!$F$3="Project to Date",IF(AND(A2017&gt;=SETTINGS!$B$4,A2017&lt;MAIN!$B$3),"Yes",IF(AND(A2017=MAIN!$B$3,E2017&lt;=MAIN!$L$3),"Yes","No")),IF(OR(MAIN!$F$3="Full Year",MAIN!$D$3="All"),"Yes",IF(MAIN!$F$3="Monthly",IF(E2017=MAIN!$L$3,"Yes","No"),IF(E2017&lt;=MAIN!$L$3,"Yes","No"))))</f>
        <v>Yes</v>
      </c>
      <c r="AA2017" t="str">
        <f t="shared" si="191"/>
        <v>No</v>
      </c>
    </row>
    <row r="2018" spans="1:27" x14ac:dyDescent="0.3">
      <c r="A2018">
        <f>INDEX(SETTINGS!$A$15:$A$24,$B2018)</f>
        <v>2033</v>
      </c>
      <c r="B2018">
        <v>9</v>
      </c>
      <c r="C2018" t="str">
        <f>IF(AND(A2018&gt;=SETTINGS!$B$4,A2018&lt;=SETTINGS!$B$5),"Yes","No")</f>
        <v>No</v>
      </c>
      <c r="D2018" t="str">
        <f>IFERROR(INDEX(SETTINGS!$C$15:$C$24,MATCH(A2018,SETTINGS!$A$15:$A$24,0)),"No")</f>
        <v>No</v>
      </c>
      <c r="E2018">
        <v>11</v>
      </c>
      <c r="F2018" t="s">
        <v>44</v>
      </c>
      <c r="G2018">
        <v>251</v>
      </c>
      <c r="H2018" t="s">
        <v>93</v>
      </c>
      <c r="I2018" t="s">
        <v>89</v>
      </c>
      <c r="J2018" t="s">
        <v>13</v>
      </c>
      <c r="K2018" t="s">
        <v>14</v>
      </c>
      <c r="L2018" s="36">
        <f ca="1">IF(C2018&lt;&gt;"Yes",0,IF(A2018=2025,N('2025'!D251),IF(A2018=2026,N('2026'!D251),IF(A2018=2027,N('2027'!D251),IF(A2018=2028,N('2028'!D251),IF(A2018=2029,N('2029'!D251),IF(A2018=2030,N('2030'!D251),IF(A2018=2031,N('2031'!D251),IF(A2018=2032,N('2032'!D251),IF(A2018=2033,N('2033'!D251),IF(A2018=2034,N('2034'!D251),IFERROR(N(INDIRECT("'"&amp;A2018&amp;"'!D"&amp;G2018)),0))))))))))))</f>
        <v>0</v>
      </c>
      <c r="M2018" s="36">
        <f>IFERROR(IF(NOT(ISBLANK(KPI_TARGETS!$O$7)),KPI_TARGETS!$O$7,IF(NOT(ISBLANK(KPI_TARGETS!$F$7)),KPI_TARGETS!$F$7,"")),"")</f>
        <v>8000</v>
      </c>
      <c r="N2018" s="36" t="str">
        <f>IFERROR(KPI_TARGETS!$E$7,"Higher is better")</f>
        <v>Higher is better</v>
      </c>
      <c r="O2018" s="37">
        <f t="shared" ca="1" si="186"/>
        <v>0</v>
      </c>
      <c r="P2018" t="str">
        <f t="shared" ca="1" si="187"/>
        <v>Red</v>
      </c>
      <c r="Q2018" s="36">
        <f t="shared" ca="1" si="188"/>
        <v>-8000</v>
      </c>
      <c r="R2018" s="36" t="str">
        <f>""</f>
        <v/>
      </c>
      <c r="S2018" s="36" t="str">
        <f>""</f>
        <v/>
      </c>
      <c r="T2018" s="36" t="str">
        <f>""</f>
        <v/>
      </c>
      <c r="U2018" s="36" t="str">
        <f>""</f>
        <v/>
      </c>
      <c r="V2018" s="36" t="str">
        <f>""</f>
        <v/>
      </c>
      <c r="W2018" s="36">
        <f t="shared" si="189"/>
        <v>1</v>
      </c>
      <c r="X2018" t="str">
        <f t="shared" si="190"/>
        <v>Inactive</v>
      </c>
      <c r="Y2018" t="str">
        <f>IF(MAIN!$H$3="Selected Year",IF(A2018=MAIN!$B$3,"Yes","No"),IF(MAIN!$H$3="Included Years",IF(D2018="Yes","Yes","No"),IF(C2018="Yes","Yes","No")))</f>
        <v>No</v>
      </c>
      <c r="Z2018" t="str">
        <f>IF(MAIN!$F$3="Project to Date",IF(AND(A2018&gt;=SETTINGS!$B$4,A2018&lt;MAIN!$B$3),"Yes",IF(AND(A2018=MAIN!$B$3,E2018&lt;=MAIN!$L$3),"Yes","No")),IF(OR(MAIN!$F$3="Full Year",MAIN!$D$3="All"),"Yes",IF(MAIN!$F$3="Monthly",IF(E2018=MAIN!$L$3,"Yes","No"),IF(E2018&lt;=MAIN!$L$3,"Yes","No"))))</f>
        <v>Yes</v>
      </c>
      <c r="AA2018" t="str">
        <f t="shared" si="191"/>
        <v>No</v>
      </c>
    </row>
    <row r="2019" spans="1:27" x14ac:dyDescent="0.3">
      <c r="A2019">
        <f>INDEX(SETTINGS!$A$15:$A$24,$B2019)</f>
        <v>2033</v>
      </c>
      <c r="B2019">
        <v>9</v>
      </c>
      <c r="C2019" t="str">
        <f>IF(AND(A2019&gt;=SETTINGS!$B$4,A2019&lt;=SETTINGS!$B$5),"Yes","No")</f>
        <v>No</v>
      </c>
      <c r="D2019" t="str">
        <f>IFERROR(INDEX(SETTINGS!$C$15:$C$24,MATCH(A2019,SETTINGS!$A$15:$A$24,0)),"No")</f>
        <v>No</v>
      </c>
      <c r="E2019">
        <v>11</v>
      </c>
      <c r="F2019" t="s">
        <v>44</v>
      </c>
      <c r="G2019">
        <v>253</v>
      </c>
      <c r="H2019" t="s">
        <v>95</v>
      </c>
      <c r="I2019" t="s">
        <v>15</v>
      </c>
      <c r="J2019" t="s">
        <v>16</v>
      </c>
      <c r="K2019" t="s">
        <v>3</v>
      </c>
      <c r="L2019" s="36">
        <f ca="1">IF(C2019&lt;&gt;"Yes",0,IF(A2019=2025,N('2025'!D253),IF(A2019=2026,N('2026'!D253),IF(A2019=2027,N('2027'!D253),IF(A2019=2028,N('2028'!D253),IF(A2019=2029,N('2029'!D253),IF(A2019=2030,N('2030'!D253),IF(A2019=2031,N('2031'!D253),IF(A2019=2032,N('2032'!D253),IF(A2019=2033,N('2033'!D253),IF(A2019=2034,N('2034'!D253),IFERROR(N(INDIRECT("'"&amp;A2019&amp;"'!D"&amp;G2019)),0))))))))))))</f>
        <v>0</v>
      </c>
      <c r="M2019" s="36">
        <f>IFERROR(IF(NOT(ISBLANK(KPI_TARGETS!$O$8)),KPI_TARGETS!$O$8,IF(NOT(ISBLANK(KPI_TARGETS!$F$8)),KPI_TARGETS!$F$8,"")),"")</f>
        <v>0</v>
      </c>
      <c r="N2019" s="36" t="str">
        <f>IFERROR(KPI_TARGETS!$E$8,"Higher is better")</f>
        <v>Lower is better</v>
      </c>
      <c r="O2019" s="37">
        <f t="shared" ca="1" si="186"/>
        <v>1</v>
      </c>
      <c r="P2019" t="str">
        <f t="shared" ca="1" si="187"/>
        <v>Green</v>
      </c>
      <c r="Q2019" s="36">
        <f t="shared" ca="1" si="188"/>
        <v>0</v>
      </c>
      <c r="R2019" s="36" t="str">
        <f>""</f>
        <v/>
      </c>
      <c r="S2019" s="36" t="str">
        <f>""</f>
        <v/>
      </c>
      <c r="T2019" s="36" t="str">
        <f>""</f>
        <v/>
      </c>
      <c r="U2019" s="36" t="str">
        <f>""</f>
        <v/>
      </c>
      <c r="V2019" s="36" t="str">
        <f>""</f>
        <v/>
      </c>
      <c r="W2019" s="36">
        <f t="shared" si="189"/>
        <v>1</v>
      </c>
      <c r="X2019" t="str">
        <f t="shared" si="190"/>
        <v>Inactive</v>
      </c>
      <c r="Y2019" t="str">
        <f>IF(MAIN!$H$3="Selected Year",IF(A2019=MAIN!$B$3,"Yes","No"),IF(MAIN!$H$3="Included Years",IF(D2019="Yes","Yes","No"),IF(C2019="Yes","Yes","No")))</f>
        <v>No</v>
      </c>
      <c r="Z2019" t="str">
        <f>IF(MAIN!$F$3="Project to Date",IF(AND(A2019&gt;=SETTINGS!$B$4,A2019&lt;MAIN!$B$3),"Yes",IF(AND(A2019=MAIN!$B$3,E2019&lt;=MAIN!$L$3),"Yes","No")),IF(OR(MAIN!$F$3="Full Year",MAIN!$D$3="All"),"Yes",IF(MAIN!$F$3="Monthly",IF(E2019=MAIN!$L$3,"Yes","No"),IF(E2019&lt;=MAIN!$L$3,"Yes","No"))))</f>
        <v>Yes</v>
      </c>
      <c r="AA2019" t="str">
        <f t="shared" si="191"/>
        <v>No</v>
      </c>
    </row>
    <row r="2020" spans="1:27" x14ac:dyDescent="0.3">
      <c r="A2020">
        <f>INDEX(SETTINGS!$A$15:$A$24,$B2020)</f>
        <v>2033</v>
      </c>
      <c r="B2020">
        <v>9</v>
      </c>
      <c r="C2020" t="str">
        <f>IF(AND(A2020&gt;=SETTINGS!$B$4,A2020&lt;=SETTINGS!$B$5),"Yes","No")</f>
        <v>No</v>
      </c>
      <c r="D2020" t="str">
        <f>IFERROR(INDEX(SETTINGS!$C$15:$C$24,MATCH(A2020,SETTINGS!$A$15:$A$24,0)),"No")</f>
        <v>No</v>
      </c>
      <c r="E2020">
        <v>11</v>
      </c>
      <c r="F2020" t="s">
        <v>44</v>
      </c>
      <c r="G2020">
        <v>254</v>
      </c>
      <c r="H2020" t="s">
        <v>97</v>
      </c>
      <c r="I2020" t="s">
        <v>15</v>
      </c>
      <c r="J2020" t="s">
        <v>17</v>
      </c>
      <c r="K2020" t="s">
        <v>3</v>
      </c>
      <c r="L2020" s="36">
        <f ca="1">IF(C2020&lt;&gt;"Yes",0,IF(A2020=2025,N('2025'!D254),IF(A2020=2026,N('2026'!D254),IF(A2020=2027,N('2027'!D254),IF(A2020=2028,N('2028'!D254),IF(A2020=2029,N('2029'!D254),IF(A2020=2030,N('2030'!D254),IF(A2020=2031,N('2031'!D254),IF(A2020=2032,N('2032'!D254),IF(A2020=2033,N('2033'!D254),IF(A2020=2034,N('2034'!D254),IFERROR(N(INDIRECT("'"&amp;A2020&amp;"'!D"&amp;G2020)),0))))))))))))</f>
        <v>0</v>
      </c>
      <c r="M2020" s="36">
        <f>IFERROR(IF(NOT(ISBLANK(KPI_TARGETS!$O$9)),KPI_TARGETS!$O$9,IF(NOT(ISBLANK(KPI_TARGETS!$F$9)),KPI_TARGETS!$F$9,"")),"")</f>
        <v>0</v>
      </c>
      <c r="N2020" s="36" t="str">
        <f>IFERROR(KPI_TARGETS!$E$9,"Higher is better")</f>
        <v>Higher is better</v>
      </c>
      <c r="O2020" s="37" t="str">
        <f t="shared" ca="1" si="186"/>
        <v/>
      </c>
      <c r="P2020" t="str">
        <f t="shared" ca="1" si="187"/>
        <v>Green</v>
      </c>
      <c r="Q2020" s="36">
        <f t="shared" ca="1" si="188"/>
        <v>0</v>
      </c>
      <c r="R2020" s="36" t="str">
        <f>""</f>
        <v/>
      </c>
      <c r="S2020" s="36" t="str">
        <f>""</f>
        <v/>
      </c>
      <c r="T2020" s="36" t="str">
        <f>""</f>
        <v/>
      </c>
      <c r="U2020" s="36" t="str">
        <f>""</f>
        <v/>
      </c>
      <c r="V2020" s="36" t="str">
        <f>""</f>
        <v/>
      </c>
      <c r="W2020" s="36">
        <f t="shared" si="189"/>
        <v>1</v>
      </c>
      <c r="X2020" t="str">
        <f t="shared" si="190"/>
        <v>Inactive</v>
      </c>
      <c r="Y2020" t="str">
        <f>IF(MAIN!$H$3="Selected Year",IF(A2020=MAIN!$B$3,"Yes","No"),IF(MAIN!$H$3="Included Years",IF(D2020="Yes","Yes","No"),IF(C2020="Yes","Yes","No")))</f>
        <v>No</v>
      </c>
      <c r="Z2020" t="str">
        <f>IF(MAIN!$F$3="Project to Date",IF(AND(A2020&gt;=SETTINGS!$B$4,A2020&lt;MAIN!$B$3),"Yes",IF(AND(A2020=MAIN!$B$3,E2020&lt;=MAIN!$L$3),"Yes","No")),IF(OR(MAIN!$F$3="Full Year",MAIN!$D$3="All"),"Yes",IF(MAIN!$F$3="Monthly",IF(E2020=MAIN!$L$3,"Yes","No"),IF(E2020&lt;=MAIN!$L$3,"Yes","No"))))</f>
        <v>Yes</v>
      </c>
      <c r="AA2020" t="str">
        <f t="shared" si="191"/>
        <v>No</v>
      </c>
    </row>
    <row r="2021" spans="1:27" x14ac:dyDescent="0.3">
      <c r="A2021">
        <f>INDEX(SETTINGS!$A$15:$A$24,$B2021)</f>
        <v>2033</v>
      </c>
      <c r="B2021">
        <v>9</v>
      </c>
      <c r="C2021" t="str">
        <f>IF(AND(A2021&gt;=SETTINGS!$B$4,A2021&lt;=SETTINGS!$B$5),"Yes","No")</f>
        <v>No</v>
      </c>
      <c r="D2021" t="str">
        <f>IFERROR(INDEX(SETTINGS!$C$15:$C$24,MATCH(A2021,SETTINGS!$A$15:$A$24,0)),"No")</f>
        <v>No</v>
      </c>
      <c r="E2021">
        <v>11</v>
      </c>
      <c r="F2021" t="s">
        <v>44</v>
      </c>
      <c r="G2021">
        <v>255</v>
      </c>
      <c r="H2021" t="s">
        <v>99</v>
      </c>
      <c r="I2021" t="s">
        <v>15</v>
      </c>
      <c r="J2021" t="s">
        <v>18</v>
      </c>
      <c r="K2021" t="s">
        <v>3</v>
      </c>
      <c r="L2021" s="36">
        <f ca="1">IF(C2021&lt;&gt;"Yes",0,IF(A2021=2025,N('2025'!D255),IF(A2021=2026,N('2026'!D255),IF(A2021=2027,N('2027'!D255),IF(A2021=2028,N('2028'!D255),IF(A2021=2029,N('2029'!D255),IF(A2021=2030,N('2030'!D255),IF(A2021=2031,N('2031'!D255),IF(A2021=2032,N('2032'!D255),IF(A2021=2033,N('2033'!D255),IF(A2021=2034,N('2034'!D255),IFERROR(N(INDIRECT("'"&amp;A2021&amp;"'!D"&amp;G2021)),0))))))))))))</f>
        <v>0</v>
      </c>
      <c r="M2021" s="36">
        <f>IFERROR(IF(NOT(ISBLANK(KPI_TARGETS!$O$10)),KPI_TARGETS!$O$10,IF(NOT(ISBLANK(KPI_TARGETS!$F$10)),KPI_TARGETS!$F$10,"")),"")</f>
        <v>0</v>
      </c>
      <c r="N2021" s="36" t="str">
        <f>IFERROR(KPI_TARGETS!$E$10,"Higher is better")</f>
        <v>Lower is better</v>
      </c>
      <c r="O2021" s="37">
        <f t="shared" ca="1" si="186"/>
        <v>1</v>
      </c>
      <c r="P2021" t="str">
        <f t="shared" ca="1" si="187"/>
        <v>Green</v>
      </c>
      <c r="Q2021" s="36">
        <f t="shared" ca="1" si="188"/>
        <v>0</v>
      </c>
      <c r="R2021" s="36" t="str">
        <f>""</f>
        <v/>
      </c>
      <c r="S2021" s="36" t="str">
        <f>""</f>
        <v/>
      </c>
      <c r="T2021" s="36" t="str">
        <f>""</f>
        <v/>
      </c>
      <c r="U2021" s="36" t="str">
        <f>""</f>
        <v/>
      </c>
      <c r="V2021" s="36" t="str">
        <f>""</f>
        <v/>
      </c>
      <c r="W2021" s="36">
        <f t="shared" si="189"/>
        <v>1</v>
      </c>
      <c r="X2021" t="str">
        <f t="shared" si="190"/>
        <v>Inactive</v>
      </c>
      <c r="Y2021" t="str">
        <f>IF(MAIN!$H$3="Selected Year",IF(A2021=MAIN!$B$3,"Yes","No"),IF(MAIN!$H$3="Included Years",IF(D2021="Yes","Yes","No"),IF(C2021="Yes","Yes","No")))</f>
        <v>No</v>
      </c>
      <c r="Z2021" t="str">
        <f>IF(MAIN!$F$3="Project to Date",IF(AND(A2021&gt;=SETTINGS!$B$4,A2021&lt;MAIN!$B$3),"Yes",IF(AND(A2021=MAIN!$B$3,E2021&lt;=MAIN!$L$3),"Yes","No")),IF(OR(MAIN!$F$3="Full Year",MAIN!$D$3="All"),"Yes",IF(MAIN!$F$3="Monthly",IF(E2021=MAIN!$L$3,"Yes","No"),IF(E2021&lt;=MAIN!$L$3,"Yes","No"))))</f>
        <v>Yes</v>
      </c>
      <c r="AA2021" t="str">
        <f t="shared" si="191"/>
        <v>No</v>
      </c>
    </row>
    <row r="2022" spans="1:27" x14ac:dyDescent="0.3">
      <c r="A2022">
        <f>INDEX(SETTINGS!$A$15:$A$24,$B2022)</f>
        <v>2033</v>
      </c>
      <c r="B2022">
        <v>9</v>
      </c>
      <c r="C2022" t="str">
        <f>IF(AND(A2022&gt;=SETTINGS!$B$4,A2022&lt;=SETTINGS!$B$5),"Yes","No")</f>
        <v>No</v>
      </c>
      <c r="D2022" t="str">
        <f>IFERROR(INDEX(SETTINGS!$C$15:$C$24,MATCH(A2022,SETTINGS!$A$15:$A$24,0)),"No")</f>
        <v>No</v>
      </c>
      <c r="E2022">
        <v>11</v>
      </c>
      <c r="F2022" t="s">
        <v>44</v>
      </c>
      <c r="G2022">
        <v>256</v>
      </c>
      <c r="H2022" t="s">
        <v>100</v>
      </c>
      <c r="I2022" t="s">
        <v>15</v>
      </c>
      <c r="J2022" t="s">
        <v>19</v>
      </c>
      <c r="K2022" t="s">
        <v>3</v>
      </c>
      <c r="L2022" s="36">
        <f ca="1">IF(C2022&lt;&gt;"Yes",0,IF(A2022=2025,N('2025'!D256),IF(A2022=2026,N('2026'!D256),IF(A2022=2027,N('2027'!D256),IF(A2022=2028,N('2028'!D256),IF(A2022=2029,N('2029'!D256),IF(A2022=2030,N('2030'!D256),IF(A2022=2031,N('2031'!D256),IF(A2022=2032,N('2032'!D256),IF(A2022=2033,N('2033'!D256),IF(A2022=2034,N('2034'!D256),IFERROR(N(INDIRECT("'"&amp;A2022&amp;"'!D"&amp;G2022)),0))))))))))))</f>
        <v>0</v>
      </c>
      <c r="M2022" s="36">
        <f>IFERROR(IF(NOT(ISBLANK(KPI_TARGETS!$O$11)),KPI_TARGETS!$O$11,IF(NOT(ISBLANK(KPI_TARGETS!$F$11)),KPI_TARGETS!$F$11,"")),"")</f>
        <v>0</v>
      </c>
      <c r="N2022" s="36" t="str">
        <f>IFERROR(KPI_TARGETS!$E$11,"Higher is better")</f>
        <v>Lower is better</v>
      </c>
      <c r="O2022" s="37">
        <f t="shared" ca="1" si="186"/>
        <v>1</v>
      </c>
      <c r="P2022" t="str">
        <f t="shared" ca="1" si="187"/>
        <v>Green</v>
      </c>
      <c r="Q2022" s="36">
        <f t="shared" ca="1" si="188"/>
        <v>0</v>
      </c>
      <c r="R2022" s="36" t="str">
        <f>""</f>
        <v/>
      </c>
      <c r="S2022" s="36" t="str">
        <f>""</f>
        <v/>
      </c>
      <c r="T2022" s="36" t="str">
        <f>""</f>
        <v/>
      </c>
      <c r="U2022" s="36" t="str">
        <f>""</f>
        <v/>
      </c>
      <c r="V2022" s="36" t="str">
        <f>""</f>
        <v/>
      </c>
      <c r="W2022" s="36">
        <f t="shared" si="189"/>
        <v>1</v>
      </c>
      <c r="X2022" t="str">
        <f t="shared" si="190"/>
        <v>Inactive</v>
      </c>
      <c r="Y2022" t="str">
        <f>IF(MAIN!$H$3="Selected Year",IF(A2022=MAIN!$B$3,"Yes","No"),IF(MAIN!$H$3="Included Years",IF(D2022="Yes","Yes","No"),IF(C2022="Yes","Yes","No")))</f>
        <v>No</v>
      </c>
      <c r="Z2022" t="str">
        <f>IF(MAIN!$F$3="Project to Date",IF(AND(A2022&gt;=SETTINGS!$B$4,A2022&lt;MAIN!$B$3),"Yes",IF(AND(A2022=MAIN!$B$3,E2022&lt;=MAIN!$L$3),"Yes","No")),IF(OR(MAIN!$F$3="Full Year",MAIN!$D$3="All"),"Yes",IF(MAIN!$F$3="Monthly",IF(E2022=MAIN!$L$3,"Yes","No"),IF(E2022&lt;=MAIN!$L$3,"Yes","No"))))</f>
        <v>Yes</v>
      </c>
      <c r="AA2022" t="str">
        <f t="shared" si="191"/>
        <v>No</v>
      </c>
    </row>
    <row r="2023" spans="1:27" x14ac:dyDescent="0.3">
      <c r="A2023">
        <f>INDEX(SETTINGS!$A$15:$A$24,$B2023)</f>
        <v>2033</v>
      </c>
      <c r="B2023">
        <v>9</v>
      </c>
      <c r="C2023" t="str">
        <f>IF(AND(A2023&gt;=SETTINGS!$B$4,A2023&lt;=SETTINGS!$B$5),"Yes","No")</f>
        <v>No</v>
      </c>
      <c r="D2023" t="str">
        <f>IFERROR(INDEX(SETTINGS!$C$15:$C$24,MATCH(A2023,SETTINGS!$A$15:$A$24,0)),"No")</f>
        <v>No</v>
      </c>
      <c r="E2023">
        <v>11</v>
      </c>
      <c r="F2023" t="s">
        <v>44</v>
      </c>
      <c r="G2023">
        <v>257</v>
      </c>
      <c r="H2023" t="s">
        <v>101</v>
      </c>
      <c r="I2023" t="s">
        <v>15</v>
      </c>
      <c r="J2023" t="s">
        <v>20</v>
      </c>
      <c r="K2023" t="s">
        <v>3</v>
      </c>
      <c r="L2023" s="36">
        <f ca="1">IF(C2023&lt;&gt;"Yes",0,IF(A2023=2025,N('2025'!D257),IF(A2023=2026,N('2026'!D257),IF(A2023=2027,N('2027'!D257),IF(A2023=2028,N('2028'!D257),IF(A2023=2029,N('2029'!D257),IF(A2023=2030,N('2030'!D257),IF(A2023=2031,N('2031'!D257),IF(A2023=2032,N('2032'!D257),IF(A2023=2033,N('2033'!D257),IF(A2023=2034,N('2034'!D257),IFERROR(N(INDIRECT("'"&amp;A2023&amp;"'!D"&amp;G2023)),0))))))))))))</f>
        <v>0</v>
      </c>
      <c r="M2023" s="36">
        <f>IFERROR(IF(NOT(ISBLANK(KPI_TARGETS!$O$12)),KPI_TARGETS!$O$12,IF(NOT(ISBLANK(KPI_TARGETS!$F$12)),KPI_TARGETS!$F$12,"")),"")</f>
        <v>0</v>
      </c>
      <c r="N2023" s="36" t="str">
        <f>IFERROR(KPI_TARGETS!$E$12,"Higher is better")</f>
        <v>Lower is better</v>
      </c>
      <c r="O2023" s="37">
        <f t="shared" ca="1" si="186"/>
        <v>1</v>
      </c>
      <c r="P2023" t="str">
        <f t="shared" ca="1" si="187"/>
        <v>Green</v>
      </c>
      <c r="Q2023" s="36">
        <f t="shared" ca="1" si="188"/>
        <v>0</v>
      </c>
      <c r="R2023" s="36" t="str">
        <f>""</f>
        <v/>
      </c>
      <c r="S2023" s="36" t="str">
        <f>""</f>
        <v/>
      </c>
      <c r="T2023" s="36" t="str">
        <f>""</f>
        <v/>
      </c>
      <c r="U2023" s="36" t="str">
        <f>""</f>
        <v/>
      </c>
      <c r="V2023" s="36" t="str">
        <f>""</f>
        <v/>
      </c>
      <c r="W2023" s="36">
        <f t="shared" si="189"/>
        <v>1</v>
      </c>
      <c r="X2023" t="str">
        <f t="shared" si="190"/>
        <v>Inactive</v>
      </c>
      <c r="Y2023" t="str">
        <f>IF(MAIN!$H$3="Selected Year",IF(A2023=MAIN!$B$3,"Yes","No"),IF(MAIN!$H$3="Included Years",IF(D2023="Yes","Yes","No"),IF(C2023="Yes","Yes","No")))</f>
        <v>No</v>
      </c>
      <c r="Z2023" t="str">
        <f>IF(MAIN!$F$3="Project to Date",IF(AND(A2023&gt;=SETTINGS!$B$4,A2023&lt;MAIN!$B$3),"Yes",IF(AND(A2023=MAIN!$B$3,E2023&lt;=MAIN!$L$3),"Yes","No")),IF(OR(MAIN!$F$3="Full Year",MAIN!$D$3="All"),"Yes",IF(MAIN!$F$3="Monthly",IF(E2023=MAIN!$L$3,"Yes","No"),IF(E2023&lt;=MAIN!$L$3,"Yes","No"))))</f>
        <v>Yes</v>
      </c>
      <c r="AA2023" t="str">
        <f t="shared" si="191"/>
        <v>No</v>
      </c>
    </row>
    <row r="2024" spans="1:27" x14ac:dyDescent="0.3">
      <c r="A2024">
        <f>INDEX(SETTINGS!$A$15:$A$24,$B2024)</f>
        <v>2033</v>
      </c>
      <c r="B2024">
        <v>9</v>
      </c>
      <c r="C2024" t="str">
        <f>IF(AND(A2024&gt;=SETTINGS!$B$4,A2024&lt;=SETTINGS!$B$5),"Yes","No")</f>
        <v>No</v>
      </c>
      <c r="D2024" t="str">
        <f>IFERROR(INDEX(SETTINGS!$C$15:$C$24,MATCH(A2024,SETTINGS!$A$15:$A$24,0)),"No")</f>
        <v>No</v>
      </c>
      <c r="E2024">
        <v>11</v>
      </c>
      <c r="F2024" t="s">
        <v>44</v>
      </c>
      <c r="G2024">
        <v>258</v>
      </c>
      <c r="H2024" t="s">
        <v>102</v>
      </c>
      <c r="I2024" t="s">
        <v>15</v>
      </c>
      <c r="J2024" t="s">
        <v>21</v>
      </c>
      <c r="K2024" t="s">
        <v>3</v>
      </c>
      <c r="L2024" s="36">
        <f ca="1">IF(C2024&lt;&gt;"Yes",0,IF(A2024=2025,N('2025'!D258),IF(A2024=2026,N('2026'!D258),IF(A2024=2027,N('2027'!D258),IF(A2024=2028,N('2028'!D258),IF(A2024=2029,N('2029'!D258),IF(A2024=2030,N('2030'!D258),IF(A2024=2031,N('2031'!D258),IF(A2024=2032,N('2032'!D258),IF(A2024=2033,N('2033'!D258),IF(A2024=2034,N('2034'!D258),IFERROR(N(INDIRECT("'"&amp;A2024&amp;"'!D"&amp;G2024)),0))))))))))))</f>
        <v>0</v>
      </c>
      <c r="M2024" s="36">
        <f>IFERROR(IF(NOT(ISBLANK(KPI_TARGETS!$O$13)),KPI_TARGETS!$O$13,IF(NOT(ISBLANK(KPI_TARGETS!$F$13)),KPI_TARGETS!$F$13,"")),"")</f>
        <v>0</v>
      </c>
      <c r="N2024" s="36" t="str">
        <f>IFERROR(KPI_TARGETS!$E$13,"Higher is better")</f>
        <v>Lower is better</v>
      </c>
      <c r="O2024" s="37">
        <f t="shared" ca="1" si="186"/>
        <v>1</v>
      </c>
      <c r="P2024" t="str">
        <f t="shared" ca="1" si="187"/>
        <v>Green</v>
      </c>
      <c r="Q2024" s="36">
        <f t="shared" ca="1" si="188"/>
        <v>0</v>
      </c>
      <c r="R2024" s="36" t="str">
        <f>""</f>
        <v/>
      </c>
      <c r="S2024" s="36" t="str">
        <f>""</f>
        <v/>
      </c>
      <c r="T2024" s="36" t="str">
        <f>""</f>
        <v/>
      </c>
      <c r="U2024" s="36" t="str">
        <f>""</f>
        <v/>
      </c>
      <c r="V2024" s="36" t="str">
        <f>""</f>
        <v/>
      </c>
      <c r="W2024" s="36">
        <f t="shared" si="189"/>
        <v>1</v>
      </c>
      <c r="X2024" t="str">
        <f t="shared" si="190"/>
        <v>Inactive</v>
      </c>
      <c r="Y2024" t="str">
        <f>IF(MAIN!$H$3="Selected Year",IF(A2024=MAIN!$B$3,"Yes","No"),IF(MAIN!$H$3="Included Years",IF(D2024="Yes","Yes","No"),IF(C2024="Yes","Yes","No")))</f>
        <v>No</v>
      </c>
      <c r="Z2024" t="str">
        <f>IF(MAIN!$F$3="Project to Date",IF(AND(A2024&gt;=SETTINGS!$B$4,A2024&lt;MAIN!$B$3),"Yes",IF(AND(A2024=MAIN!$B$3,E2024&lt;=MAIN!$L$3),"Yes","No")),IF(OR(MAIN!$F$3="Full Year",MAIN!$D$3="All"),"Yes",IF(MAIN!$F$3="Monthly",IF(E2024=MAIN!$L$3,"Yes","No"),IF(E2024&lt;=MAIN!$L$3,"Yes","No"))))</f>
        <v>Yes</v>
      </c>
      <c r="AA2024" t="str">
        <f t="shared" si="191"/>
        <v>No</v>
      </c>
    </row>
    <row r="2025" spans="1:27" x14ac:dyDescent="0.3">
      <c r="A2025">
        <f>INDEX(SETTINGS!$A$15:$A$24,$B2025)</f>
        <v>2033</v>
      </c>
      <c r="B2025">
        <v>9</v>
      </c>
      <c r="C2025" t="str">
        <f>IF(AND(A2025&gt;=SETTINGS!$B$4,A2025&lt;=SETTINGS!$B$5),"Yes","No")</f>
        <v>No</v>
      </c>
      <c r="D2025" t="str">
        <f>IFERROR(INDEX(SETTINGS!$C$15:$C$24,MATCH(A2025,SETTINGS!$A$15:$A$24,0)),"No")</f>
        <v>No</v>
      </c>
      <c r="E2025">
        <v>11</v>
      </c>
      <c r="F2025" t="s">
        <v>44</v>
      </c>
      <c r="G2025">
        <v>260</v>
      </c>
      <c r="H2025" t="s">
        <v>103</v>
      </c>
      <c r="I2025" t="s">
        <v>22</v>
      </c>
      <c r="J2025" t="s">
        <v>23</v>
      </c>
      <c r="K2025" t="s">
        <v>3</v>
      </c>
      <c r="L2025" s="36">
        <f ca="1">IF(C2025&lt;&gt;"Yes",0,IF(A2025=2025,N('2025'!D260),IF(A2025=2026,N('2026'!D260),IF(A2025=2027,N('2027'!D260),IF(A2025=2028,N('2028'!D260),IF(A2025=2029,N('2029'!D260),IF(A2025=2030,N('2030'!D260),IF(A2025=2031,N('2031'!D260),IF(A2025=2032,N('2032'!D260),IF(A2025=2033,N('2033'!D260),IF(A2025=2034,N('2034'!D260),IFERROR(N(INDIRECT("'"&amp;A2025&amp;"'!D"&amp;G2025)),0))))))))))))</f>
        <v>0</v>
      </c>
      <c r="M2025" s="36">
        <f>IFERROR(IF(NOT(ISBLANK(KPI_TARGETS!$O$14)),KPI_TARGETS!$O$14,IF(NOT(ISBLANK(KPI_TARGETS!$F$14)),KPI_TARGETS!$F$14,"")),"")</f>
        <v>35</v>
      </c>
      <c r="N2025" s="36" t="str">
        <f>IFERROR(KPI_TARGETS!$E$14,"Higher is better")</f>
        <v>Higher is better</v>
      </c>
      <c r="O2025" s="37">
        <f t="shared" ca="1" si="186"/>
        <v>0</v>
      </c>
      <c r="P2025" t="str">
        <f t="shared" ca="1" si="187"/>
        <v>Red</v>
      </c>
      <c r="Q2025" s="36">
        <f t="shared" ca="1" si="188"/>
        <v>-35</v>
      </c>
      <c r="R2025" s="36" t="str">
        <f>""</f>
        <v/>
      </c>
      <c r="S2025" s="36" t="str">
        <f>""</f>
        <v/>
      </c>
      <c r="T2025" s="36" t="str">
        <f>""</f>
        <v/>
      </c>
      <c r="U2025" s="36" t="str">
        <f>""</f>
        <v/>
      </c>
      <c r="V2025" s="36" t="str">
        <f>""</f>
        <v/>
      </c>
      <c r="W2025" s="36">
        <f t="shared" si="189"/>
        <v>1</v>
      </c>
      <c r="X2025" t="str">
        <f t="shared" si="190"/>
        <v>Inactive</v>
      </c>
      <c r="Y2025" t="str">
        <f>IF(MAIN!$H$3="Selected Year",IF(A2025=MAIN!$B$3,"Yes","No"),IF(MAIN!$H$3="Included Years",IF(D2025="Yes","Yes","No"),IF(C2025="Yes","Yes","No")))</f>
        <v>No</v>
      </c>
      <c r="Z2025" t="str">
        <f>IF(MAIN!$F$3="Project to Date",IF(AND(A2025&gt;=SETTINGS!$B$4,A2025&lt;MAIN!$B$3),"Yes",IF(AND(A2025=MAIN!$B$3,E2025&lt;=MAIN!$L$3),"Yes","No")),IF(OR(MAIN!$F$3="Full Year",MAIN!$D$3="All"),"Yes",IF(MAIN!$F$3="Monthly",IF(E2025=MAIN!$L$3,"Yes","No"),IF(E2025&lt;=MAIN!$L$3,"Yes","No"))))</f>
        <v>Yes</v>
      </c>
      <c r="AA2025" t="str">
        <f t="shared" si="191"/>
        <v>No</v>
      </c>
    </row>
    <row r="2026" spans="1:27" x14ac:dyDescent="0.3">
      <c r="A2026">
        <f>INDEX(SETTINGS!$A$15:$A$24,$B2026)</f>
        <v>2033</v>
      </c>
      <c r="B2026">
        <v>9</v>
      </c>
      <c r="C2026" t="str">
        <f>IF(AND(A2026&gt;=SETTINGS!$B$4,A2026&lt;=SETTINGS!$B$5),"Yes","No")</f>
        <v>No</v>
      </c>
      <c r="D2026" t="str">
        <f>IFERROR(INDEX(SETTINGS!$C$15:$C$24,MATCH(A2026,SETTINGS!$A$15:$A$24,0)),"No")</f>
        <v>No</v>
      </c>
      <c r="E2026">
        <v>11</v>
      </c>
      <c r="F2026" t="s">
        <v>44</v>
      </c>
      <c r="G2026">
        <v>261</v>
      </c>
      <c r="H2026" t="s">
        <v>104</v>
      </c>
      <c r="I2026" t="s">
        <v>22</v>
      </c>
      <c r="J2026" t="s">
        <v>24</v>
      </c>
      <c r="K2026" t="s">
        <v>3</v>
      </c>
      <c r="L2026" s="36">
        <f ca="1">IF(C2026&lt;&gt;"Yes",0,IF(A2026=2025,N('2025'!D261),IF(A2026=2026,N('2026'!D261),IF(A2026=2027,N('2027'!D261),IF(A2026=2028,N('2028'!D261),IF(A2026=2029,N('2029'!D261),IF(A2026=2030,N('2030'!D261),IF(A2026=2031,N('2031'!D261),IF(A2026=2032,N('2032'!D261),IF(A2026=2033,N('2033'!D261),IF(A2026=2034,N('2034'!D261),IFERROR(N(INDIRECT("'"&amp;A2026&amp;"'!D"&amp;G2026)),0))))))))))))</f>
        <v>0</v>
      </c>
      <c r="M2026" s="36">
        <f>IFERROR(IF(NOT(ISBLANK(KPI_TARGETS!$O$15)),KPI_TARGETS!$O$15,IF(NOT(ISBLANK(KPI_TARGETS!$F$15)),KPI_TARGETS!$F$15,"")),"")</f>
        <v>5</v>
      </c>
      <c r="N2026" s="36" t="str">
        <f>IFERROR(KPI_TARGETS!$E$15,"Higher is better")</f>
        <v>Higher is better</v>
      </c>
      <c r="O2026" s="37">
        <f t="shared" ca="1" si="186"/>
        <v>0</v>
      </c>
      <c r="P2026" t="str">
        <f t="shared" ca="1" si="187"/>
        <v>Red</v>
      </c>
      <c r="Q2026" s="36">
        <f t="shared" ca="1" si="188"/>
        <v>-5</v>
      </c>
      <c r="R2026" s="36" t="str">
        <f>""</f>
        <v/>
      </c>
      <c r="S2026" s="36" t="str">
        <f>""</f>
        <v/>
      </c>
      <c r="T2026" s="36" t="str">
        <f>""</f>
        <v/>
      </c>
      <c r="U2026" s="36" t="str">
        <f>""</f>
        <v/>
      </c>
      <c r="V2026" s="36" t="str">
        <f>""</f>
        <v/>
      </c>
      <c r="W2026" s="36">
        <f t="shared" si="189"/>
        <v>1</v>
      </c>
      <c r="X2026" t="str">
        <f t="shared" si="190"/>
        <v>Inactive</v>
      </c>
      <c r="Y2026" t="str">
        <f>IF(MAIN!$H$3="Selected Year",IF(A2026=MAIN!$B$3,"Yes","No"),IF(MAIN!$H$3="Included Years",IF(D2026="Yes","Yes","No"),IF(C2026="Yes","Yes","No")))</f>
        <v>No</v>
      </c>
      <c r="Z2026" t="str">
        <f>IF(MAIN!$F$3="Project to Date",IF(AND(A2026&gt;=SETTINGS!$B$4,A2026&lt;MAIN!$B$3),"Yes",IF(AND(A2026=MAIN!$B$3,E2026&lt;=MAIN!$L$3),"Yes","No")),IF(OR(MAIN!$F$3="Full Year",MAIN!$D$3="All"),"Yes",IF(MAIN!$F$3="Monthly",IF(E2026=MAIN!$L$3,"Yes","No"),IF(E2026&lt;=MAIN!$L$3,"Yes","No"))))</f>
        <v>Yes</v>
      </c>
      <c r="AA2026" t="str">
        <f t="shared" si="191"/>
        <v>No</v>
      </c>
    </row>
    <row r="2027" spans="1:27" x14ac:dyDescent="0.3">
      <c r="A2027">
        <f>INDEX(SETTINGS!$A$15:$A$24,$B2027)</f>
        <v>2033</v>
      </c>
      <c r="B2027">
        <v>9</v>
      </c>
      <c r="C2027" t="str">
        <f>IF(AND(A2027&gt;=SETTINGS!$B$4,A2027&lt;=SETTINGS!$B$5),"Yes","No")</f>
        <v>No</v>
      </c>
      <c r="D2027" t="str">
        <f>IFERROR(INDEX(SETTINGS!$C$15:$C$24,MATCH(A2027,SETTINGS!$A$15:$A$24,0)),"No")</f>
        <v>No</v>
      </c>
      <c r="E2027">
        <v>11</v>
      </c>
      <c r="F2027" t="s">
        <v>44</v>
      </c>
      <c r="G2027">
        <v>262</v>
      </c>
      <c r="H2027" t="s">
        <v>105</v>
      </c>
      <c r="I2027" t="s">
        <v>22</v>
      </c>
      <c r="J2027" t="s">
        <v>25</v>
      </c>
      <c r="K2027" t="s">
        <v>3</v>
      </c>
      <c r="L2027" s="36">
        <f ca="1">IF(C2027&lt;&gt;"Yes",0,IF(A2027=2025,N('2025'!D262),IF(A2027=2026,N('2026'!D262),IF(A2027=2027,N('2027'!D262),IF(A2027=2028,N('2028'!D262),IF(A2027=2029,N('2029'!D262),IF(A2027=2030,N('2030'!D262),IF(A2027=2031,N('2031'!D262),IF(A2027=2032,N('2032'!D262),IF(A2027=2033,N('2033'!D262),IF(A2027=2034,N('2034'!D262),IFERROR(N(INDIRECT("'"&amp;A2027&amp;"'!D"&amp;G2027)),0))))))))))))</f>
        <v>0</v>
      </c>
      <c r="M2027" s="36">
        <f>IFERROR(IF(NOT(ISBLANK(KPI_TARGETS!$O$16)),KPI_TARGETS!$O$16,IF(NOT(ISBLANK(KPI_TARGETS!$F$16)),KPI_TARGETS!$F$16,"")),"")</f>
        <v>4</v>
      </c>
      <c r="N2027" s="36" t="str">
        <f>IFERROR(KPI_TARGETS!$E$16,"Higher is better")</f>
        <v>Higher is better</v>
      </c>
      <c r="O2027" s="37">
        <f t="shared" ca="1" si="186"/>
        <v>0</v>
      </c>
      <c r="P2027" t="str">
        <f t="shared" ca="1" si="187"/>
        <v>Red</v>
      </c>
      <c r="Q2027" s="36">
        <f t="shared" ca="1" si="188"/>
        <v>-4</v>
      </c>
      <c r="R2027" s="36" t="str">
        <f>""</f>
        <v/>
      </c>
      <c r="S2027" s="36" t="str">
        <f>""</f>
        <v/>
      </c>
      <c r="T2027" s="36" t="str">
        <f>""</f>
        <v/>
      </c>
      <c r="U2027" s="36" t="str">
        <f>""</f>
        <v/>
      </c>
      <c r="V2027" s="36" t="str">
        <f>""</f>
        <v/>
      </c>
      <c r="W2027" s="36">
        <f t="shared" si="189"/>
        <v>1</v>
      </c>
      <c r="X2027" t="str">
        <f t="shared" si="190"/>
        <v>Inactive</v>
      </c>
      <c r="Y2027" t="str">
        <f>IF(MAIN!$H$3="Selected Year",IF(A2027=MAIN!$B$3,"Yes","No"),IF(MAIN!$H$3="Included Years",IF(D2027="Yes","Yes","No"),IF(C2027="Yes","Yes","No")))</f>
        <v>No</v>
      </c>
      <c r="Z2027" t="str">
        <f>IF(MAIN!$F$3="Project to Date",IF(AND(A2027&gt;=SETTINGS!$B$4,A2027&lt;MAIN!$B$3),"Yes",IF(AND(A2027=MAIN!$B$3,E2027&lt;=MAIN!$L$3),"Yes","No")),IF(OR(MAIN!$F$3="Full Year",MAIN!$D$3="All"),"Yes",IF(MAIN!$F$3="Monthly",IF(E2027=MAIN!$L$3,"Yes","No"),IF(E2027&lt;=MAIN!$L$3,"Yes","No"))))</f>
        <v>Yes</v>
      </c>
      <c r="AA2027" t="str">
        <f t="shared" si="191"/>
        <v>No</v>
      </c>
    </row>
    <row r="2028" spans="1:27" x14ac:dyDescent="0.3">
      <c r="A2028">
        <f>INDEX(SETTINGS!$A$15:$A$24,$B2028)</f>
        <v>2033</v>
      </c>
      <c r="B2028">
        <v>9</v>
      </c>
      <c r="C2028" t="str">
        <f>IF(AND(A2028&gt;=SETTINGS!$B$4,A2028&lt;=SETTINGS!$B$5),"Yes","No")</f>
        <v>No</v>
      </c>
      <c r="D2028" t="str">
        <f>IFERROR(INDEX(SETTINGS!$C$15:$C$24,MATCH(A2028,SETTINGS!$A$15:$A$24,0)),"No")</f>
        <v>No</v>
      </c>
      <c r="E2028">
        <v>11</v>
      </c>
      <c r="F2028" t="s">
        <v>44</v>
      </c>
      <c r="G2028">
        <v>263</v>
      </c>
      <c r="H2028" t="s">
        <v>106</v>
      </c>
      <c r="I2028" t="s">
        <v>22</v>
      </c>
      <c r="J2028" t="s">
        <v>26</v>
      </c>
      <c r="K2028" t="s">
        <v>3</v>
      </c>
      <c r="L2028" s="36">
        <f ca="1">IF(C2028&lt;&gt;"Yes",0,IF(A2028=2025,N('2025'!D263),IF(A2028=2026,N('2026'!D263),IF(A2028=2027,N('2027'!D263),IF(A2028=2028,N('2028'!D263),IF(A2028=2029,N('2029'!D263),IF(A2028=2030,N('2030'!D263),IF(A2028=2031,N('2031'!D263),IF(A2028=2032,N('2032'!D263),IF(A2028=2033,N('2033'!D263),IF(A2028=2034,N('2034'!D263),IFERROR(N(INDIRECT("'"&amp;A2028&amp;"'!D"&amp;G2028)),0))))))))))))</f>
        <v>0</v>
      </c>
      <c r="M2028" s="36">
        <f>IFERROR(IF(NOT(ISBLANK(KPI_TARGETS!$O$17)),KPI_TARGETS!$O$17,IF(NOT(ISBLANK(KPI_TARGETS!$F$17)),KPI_TARGETS!$F$17,"")),"")</f>
        <v>12</v>
      </c>
      <c r="N2028" s="36" t="str">
        <f>IFERROR(KPI_TARGETS!$E$17,"Higher is better")</f>
        <v>Higher is better</v>
      </c>
      <c r="O2028" s="37">
        <f t="shared" ca="1" si="186"/>
        <v>0</v>
      </c>
      <c r="P2028" t="str">
        <f t="shared" ca="1" si="187"/>
        <v>Red</v>
      </c>
      <c r="Q2028" s="36">
        <f t="shared" ca="1" si="188"/>
        <v>-12</v>
      </c>
      <c r="R2028" s="36" t="str">
        <f>""</f>
        <v/>
      </c>
      <c r="S2028" s="36" t="str">
        <f>""</f>
        <v/>
      </c>
      <c r="T2028" s="36" t="str">
        <f>""</f>
        <v/>
      </c>
      <c r="U2028" s="36" t="str">
        <f>""</f>
        <v/>
      </c>
      <c r="V2028" s="36" t="str">
        <f>""</f>
        <v/>
      </c>
      <c r="W2028" s="36">
        <f t="shared" si="189"/>
        <v>1</v>
      </c>
      <c r="X2028" t="str">
        <f t="shared" si="190"/>
        <v>Inactive</v>
      </c>
      <c r="Y2028" t="str">
        <f>IF(MAIN!$H$3="Selected Year",IF(A2028=MAIN!$B$3,"Yes","No"),IF(MAIN!$H$3="Included Years",IF(D2028="Yes","Yes","No"),IF(C2028="Yes","Yes","No")))</f>
        <v>No</v>
      </c>
      <c r="Z2028" t="str">
        <f>IF(MAIN!$F$3="Project to Date",IF(AND(A2028&gt;=SETTINGS!$B$4,A2028&lt;MAIN!$B$3),"Yes",IF(AND(A2028=MAIN!$B$3,E2028&lt;=MAIN!$L$3),"Yes","No")),IF(OR(MAIN!$F$3="Full Year",MAIN!$D$3="All"),"Yes",IF(MAIN!$F$3="Monthly",IF(E2028=MAIN!$L$3,"Yes","No"),IF(E2028&lt;=MAIN!$L$3,"Yes","No"))))</f>
        <v>Yes</v>
      </c>
      <c r="AA2028" t="str">
        <f t="shared" si="191"/>
        <v>No</v>
      </c>
    </row>
    <row r="2029" spans="1:27" x14ac:dyDescent="0.3">
      <c r="A2029">
        <f>INDEX(SETTINGS!$A$15:$A$24,$B2029)</f>
        <v>2033</v>
      </c>
      <c r="B2029">
        <v>9</v>
      </c>
      <c r="C2029" t="str">
        <f>IF(AND(A2029&gt;=SETTINGS!$B$4,A2029&lt;=SETTINGS!$B$5),"Yes","No")</f>
        <v>No</v>
      </c>
      <c r="D2029" t="str">
        <f>IFERROR(INDEX(SETTINGS!$C$15:$C$24,MATCH(A2029,SETTINGS!$A$15:$A$24,0)),"No")</f>
        <v>No</v>
      </c>
      <c r="E2029">
        <v>11</v>
      </c>
      <c r="F2029" t="s">
        <v>44</v>
      </c>
      <c r="G2029">
        <v>264</v>
      </c>
      <c r="H2029" t="s">
        <v>107</v>
      </c>
      <c r="I2029" t="s">
        <v>22</v>
      </c>
      <c r="J2029" t="s">
        <v>27</v>
      </c>
      <c r="K2029" t="s">
        <v>3</v>
      </c>
      <c r="L2029" s="36">
        <f ca="1">IF(C2029&lt;&gt;"Yes",0,IF(A2029=2025,N('2025'!D264),IF(A2029=2026,N('2026'!D264),IF(A2029=2027,N('2027'!D264),IF(A2029=2028,N('2028'!D264),IF(A2029=2029,N('2029'!D264),IF(A2029=2030,N('2030'!D264),IF(A2029=2031,N('2031'!D264),IF(A2029=2032,N('2032'!D264),IF(A2029=2033,N('2033'!D264),IF(A2029=2034,N('2034'!D264),IFERROR(N(INDIRECT("'"&amp;A2029&amp;"'!D"&amp;G2029)),0))))))))))))</f>
        <v>0</v>
      </c>
      <c r="M2029" s="36">
        <f>IFERROR(IF(NOT(ISBLANK(KPI_TARGETS!$O$18)),KPI_TARGETS!$O$18,IF(NOT(ISBLANK(KPI_TARGETS!$F$18)),KPI_TARGETS!$F$18,"")),"")</f>
        <v>4</v>
      </c>
      <c r="N2029" s="36" t="str">
        <f>IFERROR(KPI_TARGETS!$E$18,"Higher is better")</f>
        <v>Higher is better</v>
      </c>
      <c r="O2029" s="37">
        <f t="shared" ca="1" si="186"/>
        <v>0</v>
      </c>
      <c r="P2029" t="str">
        <f t="shared" ca="1" si="187"/>
        <v>Red</v>
      </c>
      <c r="Q2029" s="36">
        <f t="shared" ca="1" si="188"/>
        <v>-4</v>
      </c>
      <c r="R2029" s="36" t="str">
        <f>""</f>
        <v/>
      </c>
      <c r="S2029" s="36" t="str">
        <f>""</f>
        <v/>
      </c>
      <c r="T2029" s="36" t="str">
        <f>""</f>
        <v/>
      </c>
      <c r="U2029" s="36" t="str">
        <f>""</f>
        <v/>
      </c>
      <c r="V2029" s="36" t="str">
        <f>""</f>
        <v/>
      </c>
      <c r="W2029" s="36">
        <f t="shared" si="189"/>
        <v>1</v>
      </c>
      <c r="X2029" t="str">
        <f t="shared" si="190"/>
        <v>Inactive</v>
      </c>
      <c r="Y2029" t="str">
        <f>IF(MAIN!$H$3="Selected Year",IF(A2029=MAIN!$B$3,"Yes","No"),IF(MAIN!$H$3="Included Years",IF(D2029="Yes","Yes","No"),IF(C2029="Yes","Yes","No")))</f>
        <v>No</v>
      </c>
      <c r="Z2029" t="str">
        <f>IF(MAIN!$F$3="Project to Date",IF(AND(A2029&gt;=SETTINGS!$B$4,A2029&lt;MAIN!$B$3),"Yes",IF(AND(A2029=MAIN!$B$3,E2029&lt;=MAIN!$L$3),"Yes","No")),IF(OR(MAIN!$F$3="Full Year",MAIN!$D$3="All"),"Yes",IF(MAIN!$F$3="Monthly",IF(E2029=MAIN!$L$3,"Yes","No"),IF(E2029&lt;=MAIN!$L$3,"Yes","No"))))</f>
        <v>Yes</v>
      </c>
      <c r="AA2029" t="str">
        <f t="shared" si="191"/>
        <v>No</v>
      </c>
    </row>
    <row r="2030" spans="1:27" x14ac:dyDescent="0.3">
      <c r="A2030">
        <f>INDEX(SETTINGS!$A$15:$A$24,$B2030)</f>
        <v>2033</v>
      </c>
      <c r="B2030">
        <v>9</v>
      </c>
      <c r="C2030" t="str">
        <f>IF(AND(A2030&gt;=SETTINGS!$B$4,A2030&lt;=SETTINGS!$B$5),"Yes","No")</f>
        <v>No</v>
      </c>
      <c r="D2030" t="str">
        <f>IFERROR(INDEX(SETTINGS!$C$15:$C$24,MATCH(A2030,SETTINGS!$A$15:$A$24,0)),"No")</f>
        <v>No</v>
      </c>
      <c r="E2030">
        <v>11</v>
      </c>
      <c r="F2030" t="s">
        <v>44</v>
      </c>
      <c r="G2030">
        <v>265</v>
      </c>
      <c r="H2030" t="s">
        <v>108</v>
      </c>
      <c r="I2030" t="s">
        <v>22</v>
      </c>
      <c r="J2030" t="s">
        <v>28</v>
      </c>
      <c r="K2030" t="s">
        <v>3</v>
      </c>
      <c r="L2030" s="36">
        <f ca="1">IF(C2030&lt;&gt;"Yes",0,IF(A2030=2025,N('2025'!D265),IF(A2030=2026,N('2026'!D265),IF(A2030=2027,N('2027'!D265),IF(A2030=2028,N('2028'!D265),IF(A2030=2029,N('2029'!D265),IF(A2030=2030,N('2030'!D265),IF(A2030=2031,N('2031'!D265),IF(A2030=2032,N('2032'!D265),IF(A2030=2033,N('2033'!D265),IF(A2030=2034,N('2034'!D265),IFERROR(N(INDIRECT("'"&amp;A2030&amp;"'!D"&amp;G2030)),0))))))))))))</f>
        <v>0</v>
      </c>
      <c r="M2030" s="36">
        <f>IFERROR(IF(NOT(ISBLANK(KPI_TARGETS!$O$19)),KPI_TARGETS!$O$19,IF(NOT(ISBLANK(KPI_TARGETS!$F$19)),KPI_TARGETS!$F$19,"")),"")</f>
        <v>16</v>
      </c>
      <c r="N2030" s="36" t="str">
        <f>IFERROR(KPI_TARGETS!$E$19,"Higher is better")</f>
        <v>Higher is better</v>
      </c>
      <c r="O2030" s="37">
        <f t="shared" ca="1" si="186"/>
        <v>0</v>
      </c>
      <c r="P2030" t="str">
        <f t="shared" ca="1" si="187"/>
        <v>Red</v>
      </c>
      <c r="Q2030" s="36">
        <f t="shared" ca="1" si="188"/>
        <v>-16</v>
      </c>
      <c r="R2030" s="36" t="str">
        <f>""</f>
        <v/>
      </c>
      <c r="S2030" s="36" t="str">
        <f>""</f>
        <v/>
      </c>
      <c r="T2030" s="36" t="str">
        <f>""</f>
        <v/>
      </c>
      <c r="U2030" s="36" t="str">
        <f>""</f>
        <v/>
      </c>
      <c r="V2030" s="36" t="str">
        <f>""</f>
        <v/>
      </c>
      <c r="W2030" s="36">
        <f t="shared" si="189"/>
        <v>1</v>
      </c>
      <c r="X2030" t="str">
        <f t="shared" si="190"/>
        <v>Inactive</v>
      </c>
      <c r="Y2030" t="str">
        <f>IF(MAIN!$H$3="Selected Year",IF(A2030=MAIN!$B$3,"Yes","No"),IF(MAIN!$H$3="Included Years",IF(D2030="Yes","Yes","No"),IF(C2030="Yes","Yes","No")))</f>
        <v>No</v>
      </c>
      <c r="Z2030" t="str">
        <f>IF(MAIN!$F$3="Project to Date",IF(AND(A2030&gt;=SETTINGS!$B$4,A2030&lt;MAIN!$B$3),"Yes",IF(AND(A2030=MAIN!$B$3,E2030&lt;=MAIN!$L$3),"Yes","No")),IF(OR(MAIN!$F$3="Full Year",MAIN!$D$3="All"),"Yes",IF(MAIN!$F$3="Monthly",IF(E2030=MAIN!$L$3,"Yes","No"),IF(E2030&lt;=MAIN!$L$3,"Yes","No"))))</f>
        <v>Yes</v>
      </c>
      <c r="AA2030" t="str">
        <f t="shared" si="191"/>
        <v>No</v>
      </c>
    </row>
    <row r="2031" spans="1:27" x14ac:dyDescent="0.3">
      <c r="A2031">
        <f>INDEX(SETTINGS!$A$15:$A$24,$B2031)</f>
        <v>2033</v>
      </c>
      <c r="B2031">
        <v>9</v>
      </c>
      <c r="C2031" t="str">
        <f>IF(AND(A2031&gt;=SETTINGS!$B$4,A2031&lt;=SETTINGS!$B$5),"Yes","No")</f>
        <v>No</v>
      </c>
      <c r="D2031" t="str">
        <f>IFERROR(INDEX(SETTINGS!$C$15:$C$24,MATCH(A2031,SETTINGS!$A$15:$A$24,0)),"No")</f>
        <v>No</v>
      </c>
      <c r="E2031">
        <v>11</v>
      </c>
      <c r="F2031" t="s">
        <v>44</v>
      </c>
      <c r="G2031">
        <v>266</v>
      </c>
      <c r="H2031" t="s">
        <v>109</v>
      </c>
      <c r="I2031" t="s">
        <v>22</v>
      </c>
      <c r="J2031" t="s">
        <v>29</v>
      </c>
      <c r="K2031" t="s">
        <v>3</v>
      </c>
      <c r="L2031" s="36">
        <f ca="1">IF(C2031&lt;&gt;"Yes",0,IF(A2031=2025,N('2025'!D266),IF(A2031=2026,N('2026'!D266),IF(A2031=2027,N('2027'!D266),IF(A2031=2028,N('2028'!D266),IF(A2031=2029,N('2029'!D266),IF(A2031=2030,N('2030'!D266),IF(A2031=2031,N('2031'!D266),IF(A2031=2032,N('2032'!D266),IF(A2031=2033,N('2033'!D266),IF(A2031=2034,N('2034'!D266),IFERROR(N(INDIRECT("'"&amp;A2031&amp;"'!D"&amp;G2031)),0))))))))))))</f>
        <v>0</v>
      </c>
      <c r="M2031" s="36">
        <f>IFERROR(IF(NOT(ISBLANK(KPI_TARGETS!$O$20)),KPI_TARGETS!$O$20,IF(NOT(ISBLANK(KPI_TARGETS!$F$20)),KPI_TARGETS!$F$20,"")),"")</f>
        <v>1</v>
      </c>
      <c r="N2031" s="36" t="str">
        <f>IFERROR(KPI_TARGETS!$E$20,"Higher is better")</f>
        <v>Higher is better</v>
      </c>
      <c r="O2031" s="37">
        <f t="shared" ca="1" si="186"/>
        <v>0</v>
      </c>
      <c r="P2031" t="str">
        <f t="shared" ca="1" si="187"/>
        <v>Red</v>
      </c>
      <c r="Q2031" s="36">
        <f t="shared" ca="1" si="188"/>
        <v>-1</v>
      </c>
      <c r="R2031" s="36" t="str">
        <f>""</f>
        <v/>
      </c>
      <c r="S2031" s="36" t="str">
        <f>""</f>
        <v/>
      </c>
      <c r="T2031" s="36" t="str">
        <f>""</f>
        <v/>
      </c>
      <c r="U2031" s="36" t="str">
        <f>""</f>
        <v/>
      </c>
      <c r="V2031" s="36" t="str">
        <f>""</f>
        <v/>
      </c>
      <c r="W2031" s="36">
        <f t="shared" si="189"/>
        <v>1</v>
      </c>
      <c r="X2031" t="str">
        <f t="shared" si="190"/>
        <v>Inactive</v>
      </c>
      <c r="Y2031" t="str">
        <f>IF(MAIN!$H$3="Selected Year",IF(A2031=MAIN!$B$3,"Yes","No"),IF(MAIN!$H$3="Included Years",IF(D2031="Yes","Yes","No"),IF(C2031="Yes","Yes","No")))</f>
        <v>No</v>
      </c>
      <c r="Z2031" t="str">
        <f>IF(MAIN!$F$3="Project to Date",IF(AND(A2031&gt;=SETTINGS!$B$4,A2031&lt;MAIN!$B$3),"Yes",IF(AND(A2031=MAIN!$B$3,E2031&lt;=MAIN!$L$3),"Yes","No")),IF(OR(MAIN!$F$3="Full Year",MAIN!$D$3="All"),"Yes",IF(MAIN!$F$3="Monthly",IF(E2031=MAIN!$L$3,"Yes","No"),IF(E2031&lt;=MAIN!$L$3,"Yes","No"))))</f>
        <v>Yes</v>
      </c>
      <c r="AA2031" t="str">
        <f t="shared" si="191"/>
        <v>No</v>
      </c>
    </row>
    <row r="2032" spans="1:27" x14ac:dyDescent="0.3">
      <c r="A2032">
        <f>INDEX(SETTINGS!$A$15:$A$24,$B2032)</f>
        <v>2033</v>
      </c>
      <c r="B2032">
        <v>9</v>
      </c>
      <c r="C2032" t="str">
        <f>IF(AND(A2032&gt;=SETTINGS!$B$4,A2032&lt;=SETTINGS!$B$5),"Yes","No")</f>
        <v>No</v>
      </c>
      <c r="D2032" t="str">
        <f>IFERROR(INDEX(SETTINGS!$C$15:$C$24,MATCH(A2032,SETTINGS!$A$15:$A$24,0)),"No")</f>
        <v>No</v>
      </c>
      <c r="E2032">
        <v>11</v>
      </c>
      <c r="F2032" t="s">
        <v>44</v>
      </c>
      <c r="G2032">
        <v>268</v>
      </c>
      <c r="H2032" t="s">
        <v>110</v>
      </c>
      <c r="I2032" t="s">
        <v>30</v>
      </c>
      <c r="J2032" t="s">
        <v>31</v>
      </c>
      <c r="K2032" t="s">
        <v>3</v>
      </c>
      <c r="L2032" s="36">
        <f ca="1">IF(C2032&lt;&gt;"Yes",0,IF(A2032=2025,N('2025'!D268),IF(A2032=2026,N('2026'!D268),IF(A2032=2027,N('2027'!D268),IF(A2032=2028,N('2028'!D268),IF(A2032=2029,N('2029'!D268),IF(A2032=2030,N('2030'!D268),IF(A2032=2031,N('2031'!D268),IF(A2032=2032,N('2032'!D268),IF(A2032=2033,N('2033'!D268),IF(A2032=2034,N('2034'!D268),IFERROR(N(INDIRECT("'"&amp;A2032&amp;"'!D"&amp;G2032)),0))))))))))))</f>
        <v>0</v>
      </c>
      <c r="M2032" s="36">
        <f>IFERROR(IF(NOT(ISBLANK(KPI_TARGETS!$O$21)),KPI_TARGETS!$O$21,IF(NOT(ISBLANK(KPI_TARGETS!$F$21)),KPI_TARGETS!$F$21,"")),"")</f>
        <v>0</v>
      </c>
      <c r="N2032" s="36" t="str">
        <f>IFERROR(KPI_TARGETS!$E$21,"Higher is better")</f>
        <v>Lower is better</v>
      </c>
      <c r="O2032" s="37">
        <f t="shared" ca="1" si="186"/>
        <v>1</v>
      </c>
      <c r="P2032" t="str">
        <f t="shared" ca="1" si="187"/>
        <v>Green</v>
      </c>
      <c r="Q2032" s="36">
        <f t="shared" ca="1" si="188"/>
        <v>0</v>
      </c>
      <c r="R2032" s="36" t="str">
        <f>""</f>
        <v/>
      </c>
      <c r="S2032" s="36" t="str">
        <f>""</f>
        <v/>
      </c>
      <c r="T2032" s="36" t="str">
        <f>""</f>
        <v/>
      </c>
      <c r="U2032" s="36" t="str">
        <f>""</f>
        <v/>
      </c>
      <c r="V2032" s="36" t="str">
        <f>""</f>
        <v/>
      </c>
      <c r="W2032" s="36">
        <f t="shared" si="189"/>
        <v>1</v>
      </c>
      <c r="X2032" t="str">
        <f t="shared" si="190"/>
        <v>Inactive</v>
      </c>
      <c r="Y2032" t="str">
        <f>IF(MAIN!$H$3="Selected Year",IF(A2032=MAIN!$B$3,"Yes","No"),IF(MAIN!$H$3="Included Years",IF(D2032="Yes","Yes","No"),IF(C2032="Yes","Yes","No")))</f>
        <v>No</v>
      </c>
      <c r="Z2032" t="str">
        <f>IF(MAIN!$F$3="Project to Date",IF(AND(A2032&gt;=SETTINGS!$B$4,A2032&lt;MAIN!$B$3),"Yes",IF(AND(A2032=MAIN!$B$3,E2032&lt;=MAIN!$L$3),"Yes","No")),IF(OR(MAIN!$F$3="Full Year",MAIN!$D$3="All"),"Yes",IF(MAIN!$F$3="Monthly",IF(E2032=MAIN!$L$3,"Yes","No"),IF(E2032&lt;=MAIN!$L$3,"Yes","No"))))</f>
        <v>Yes</v>
      </c>
      <c r="AA2032" t="str">
        <f t="shared" si="191"/>
        <v>No</v>
      </c>
    </row>
    <row r="2033" spans="1:27" x14ac:dyDescent="0.3">
      <c r="A2033">
        <f>INDEX(SETTINGS!$A$15:$A$24,$B2033)</f>
        <v>2033</v>
      </c>
      <c r="B2033">
        <v>9</v>
      </c>
      <c r="C2033" t="str">
        <f>IF(AND(A2033&gt;=SETTINGS!$B$4,A2033&lt;=SETTINGS!$B$5),"Yes","No")</f>
        <v>No</v>
      </c>
      <c r="D2033" t="str">
        <f>IFERROR(INDEX(SETTINGS!$C$15:$C$24,MATCH(A2033,SETTINGS!$A$15:$A$24,0)),"No")</f>
        <v>No</v>
      </c>
      <c r="E2033">
        <v>11</v>
      </c>
      <c r="F2033" t="s">
        <v>44</v>
      </c>
      <c r="G2033">
        <v>269</v>
      </c>
      <c r="H2033" t="s">
        <v>111</v>
      </c>
      <c r="I2033" t="s">
        <v>30</v>
      </c>
      <c r="J2033" t="s">
        <v>32</v>
      </c>
      <c r="K2033" t="s">
        <v>3</v>
      </c>
      <c r="L2033" s="36">
        <f ca="1">IF(C2033&lt;&gt;"Yes",0,IF(A2033=2025,N('2025'!D269),IF(A2033=2026,N('2026'!D269),IF(A2033=2027,N('2027'!D269),IF(A2033=2028,N('2028'!D269),IF(A2033=2029,N('2029'!D269),IF(A2033=2030,N('2030'!D269),IF(A2033=2031,N('2031'!D269),IF(A2033=2032,N('2032'!D269),IF(A2033=2033,N('2033'!D269),IF(A2033=2034,N('2034'!D269),IFERROR(N(INDIRECT("'"&amp;A2033&amp;"'!D"&amp;G2033)),0))))))))))))</f>
        <v>0</v>
      </c>
      <c r="M2033" s="36">
        <f>IFERROR(IF(NOT(ISBLANK(KPI_TARGETS!$O$22)),KPI_TARGETS!$O$22,IF(NOT(ISBLANK(KPI_TARGETS!$F$22)),KPI_TARGETS!$F$22,"")),"")</f>
        <v>1</v>
      </c>
      <c r="N2033" s="36" t="str">
        <f>IFERROR(KPI_TARGETS!$E$22,"Higher is better")</f>
        <v>Higher is better</v>
      </c>
      <c r="O2033" s="37">
        <f t="shared" ca="1" si="186"/>
        <v>0</v>
      </c>
      <c r="P2033" t="str">
        <f t="shared" ca="1" si="187"/>
        <v>Red</v>
      </c>
      <c r="Q2033" s="36">
        <f t="shared" ca="1" si="188"/>
        <v>-1</v>
      </c>
      <c r="R2033" s="36" t="str">
        <f>""</f>
        <v/>
      </c>
      <c r="S2033" s="36" t="str">
        <f>""</f>
        <v/>
      </c>
      <c r="T2033" s="36" t="str">
        <f>""</f>
        <v/>
      </c>
      <c r="U2033" s="36" t="str">
        <f>""</f>
        <v/>
      </c>
      <c r="V2033" s="36" t="str">
        <f>""</f>
        <v/>
      </c>
      <c r="W2033" s="36">
        <f t="shared" si="189"/>
        <v>1</v>
      </c>
      <c r="X2033" t="str">
        <f t="shared" si="190"/>
        <v>Inactive</v>
      </c>
      <c r="Y2033" t="str">
        <f>IF(MAIN!$H$3="Selected Year",IF(A2033=MAIN!$B$3,"Yes","No"),IF(MAIN!$H$3="Included Years",IF(D2033="Yes","Yes","No"),IF(C2033="Yes","Yes","No")))</f>
        <v>No</v>
      </c>
      <c r="Z2033" t="str">
        <f>IF(MAIN!$F$3="Project to Date",IF(AND(A2033&gt;=SETTINGS!$B$4,A2033&lt;MAIN!$B$3),"Yes",IF(AND(A2033=MAIN!$B$3,E2033&lt;=MAIN!$L$3),"Yes","No")),IF(OR(MAIN!$F$3="Full Year",MAIN!$D$3="All"),"Yes",IF(MAIN!$F$3="Monthly",IF(E2033=MAIN!$L$3,"Yes","No"),IF(E2033&lt;=MAIN!$L$3,"Yes","No"))))</f>
        <v>Yes</v>
      </c>
      <c r="AA2033" t="str">
        <f t="shared" si="191"/>
        <v>No</v>
      </c>
    </row>
    <row r="2034" spans="1:27" x14ac:dyDescent="0.3">
      <c r="A2034">
        <f>INDEX(SETTINGS!$A$15:$A$24,$B2034)</f>
        <v>2033</v>
      </c>
      <c r="B2034">
        <v>9</v>
      </c>
      <c r="C2034" t="str">
        <f>IF(AND(A2034&gt;=SETTINGS!$B$4,A2034&lt;=SETTINGS!$B$5),"Yes","No")</f>
        <v>No</v>
      </c>
      <c r="D2034" t="str">
        <f>IFERROR(INDEX(SETTINGS!$C$15:$C$24,MATCH(A2034,SETTINGS!$A$15:$A$24,0)),"No")</f>
        <v>No</v>
      </c>
      <c r="E2034">
        <v>11</v>
      </c>
      <c r="F2034" t="s">
        <v>44</v>
      </c>
      <c r="G2034">
        <v>270</v>
      </c>
      <c r="H2034" t="s">
        <v>112</v>
      </c>
      <c r="I2034" t="s">
        <v>30</v>
      </c>
      <c r="J2034" t="s">
        <v>33</v>
      </c>
      <c r="K2034" t="s">
        <v>34</v>
      </c>
      <c r="L2034" s="36">
        <f ca="1">IF(C2034&lt;&gt;"Yes",0,IF(A2034=2025,N('2025'!D270),IF(A2034=2026,N('2026'!D270),IF(A2034=2027,N('2027'!D270),IF(A2034=2028,N('2028'!D270),IF(A2034=2029,N('2029'!D270),IF(A2034=2030,N('2030'!D270),IF(A2034=2031,N('2031'!D270),IF(A2034=2032,N('2032'!D270),IF(A2034=2033,N('2033'!D270),IF(A2034=2034,N('2034'!D270),IFERROR(N(INDIRECT("'"&amp;A2034&amp;"'!D"&amp;G2034)),0))))))))))))</f>
        <v>0</v>
      </c>
      <c r="M2034" s="36">
        <f>IFERROR(IF(NOT(ISBLANK(KPI_TARGETS!$O$23)),KPI_TARGETS!$O$23,IF(NOT(ISBLANK(KPI_TARGETS!$F$23)),KPI_TARGETS!$F$23,"")),"")</f>
        <v>1</v>
      </c>
      <c r="N2034" s="36" t="str">
        <f>IFERROR(KPI_TARGETS!$E$23,"Higher is better")</f>
        <v>Higher is better</v>
      </c>
      <c r="O2034" s="37">
        <f t="shared" ca="1" si="186"/>
        <v>0</v>
      </c>
      <c r="P2034" t="str">
        <f t="shared" ca="1" si="187"/>
        <v>Red</v>
      </c>
      <c r="Q2034" s="36">
        <f t="shared" ca="1" si="188"/>
        <v>-1</v>
      </c>
      <c r="R2034" s="36" t="str">
        <f>""</f>
        <v/>
      </c>
      <c r="S2034" s="36" t="str">
        <f>""</f>
        <v/>
      </c>
      <c r="T2034" s="36" t="str">
        <f>""</f>
        <v/>
      </c>
      <c r="U2034" s="36" t="str">
        <f>""</f>
        <v/>
      </c>
      <c r="V2034" s="36" t="str">
        <f>""</f>
        <v/>
      </c>
      <c r="W2034" s="36">
        <f t="shared" si="189"/>
        <v>1</v>
      </c>
      <c r="X2034" t="str">
        <f t="shared" si="190"/>
        <v>Inactive</v>
      </c>
      <c r="Y2034" t="str">
        <f>IF(MAIN!$H$3="Selected Year",IF(A2034=MAIN!$B$3,"Yes","No"),IF(MAIN!$H$3="Included Years",IF(D2034="Yes","Yes","No"),IF(C2034="Yes","Yes","No")))</f>
        <v>No</v>
      </c>
      <c r="Z2034" t="str">
        <f>IF(MAIN!$F$3="Project to Date",IF(AND(A2034&gt;=SETTINGS!$B$4,A2034&lt;MAIN!$B$3),"Yes",IF(AND(A2034=MAIN!$B$3,E2034&lt;=MAIN!$L$3),"Yes","No")),IF(OR(MAIN!$F$3="Full Year",MAIN!$D$3="All"),"Yes",IF(MAIN!$F$3="Monthly",IF(E2034=MAIN!$L$3,"Yes","No"),IF(E2034&lt;=MAIN!$L$3,"Yes","No"))))</f>
        <v>Yes</v>
      </c>
      <c r="AA2034" t="str">
        <f t="shared" si="191"/>
        <v>No</v>
      </c>
    </row>
    <row r="2035" spans="1:27" x14ac:dyDescent="0.3">
      <c r="A2035">
        <f>INDEX(SETTINGS!$A$15:$A$24,$B2035)</f>
        <v>2033</v>
      </c>
      <c r="B2035">
        <v>9</v>
      </c>
      <c r="C2035" t="str">
        <f>IF(AND(A2035&gt;=SETTINGS!$B$4,A2035&lt;=SETTINGS!$B$5),"Yes","No")</f>
        <v>No</v>
      </c>
      <c r="D2035" t="str">
        <f>IFERROR(INDEX(SETTINGS!$C$15:$C$24,MATCH(A2035,SETTINGS!$A$15:$A$24,0)),"No")</f>
        <v>No</v>
      </c>
      <c r="E2035">
        <v>12</v>
      </c>
      <c r="F2035" t="s">
        <v>45</v>
      </c>
      <c r="G2035">
        <v>273</v>
      </c>
      <c r="H2035" t="s">
        <v>88</v>
      </c>
      <c r="I2035" t="s">
        <v>89</v>
      </c>
      <c r="J2035" t="s">
        <v>10</v>
      </c>
      <c r="K2035" t="s">
        <v>3</v>
      </c>
      <c r="L2035" s="36">
        <f ca="1">IF(C2035&lt;&gt;"Yes",0,IF(A2035=2025,N('2025'!D273),IF(A2035=2026,N('2026'!D273),IF(A2035=2027,N('2027'!D273),IF(A2035=2028,N('2028'!D273),IF(A2035=2029,N('2029'!D273),IF(A2035=2030,N('2030'!D273),IF(A2035=2031,N('2031'!D273),IF(A2035=2032,N('2032'!D273),IF(A2035=2033,N('2033'!D273),IF(A2035=2034,N('2034'!D273),IFERROR(N(INDIRECT("'"&amp;A2035&amp;"'!D"&amp;G2035)),0))))))))))))</f>
        <v>0</v>
      </c>
      <c r="M2035" s="36">
        <f>IFERROR(IF(NOT(ISBLANK(KPI_TARGETS!$O$5)),KPI_TARGETS!$O$5,IF(NOT(ISBLANK(KPI_TARGETS!$F$5)),KPI_TARGETS!$F$5,"")),"")</f>
        <v>104</v>
      </c>
      <c r="N2035" s="36" t="str">
        <f>IFERROR(KPI_TARGETS!$E$5,"Higher is better")</f>
        <v>Higher is better</v>
      </c>
      <c r="O2035" s="37">
        <f t="shared" ca="1" si="186"/>
        <v>0</v>
      </c>
      <c r="P2035" t="str">
        <f t="shared" ca="1" si="187"/>
        <v>Red</v>
      </c>
      <c r="Q2035" s="36">
        <f t="shared" ca="1" si="188"/>
        <v>-104</v>
      </c>
      <c r="R2035" s="36" t="str">
        <f>""</f>
        <v/>
      </c>
      <c r="S2035" s="36" t="str">
        <f>""</f>
        <v/>
      </c>
      <c r="T2035" s="36" t="str">
        <f>""</f>
        <v/>
      </c>
      <c r="U2035" s="36" t="str">
        <f>""</f>
        <v/>
      </c>
      <c r="V2035" s="36" t="str">
        <f>""</f>
        <v/>
      </c>
      <c r="W2035" s="36">
        <f t="shared" si="189"/>
        <v>1</v>
      </c>
      <c r="X2035" t="str">
        <f t="shared" si="190"/>
        <v>Inactive</v>
      </c>
      <c r="Y2035" t="str">
        <f>IF(MAIN!$H$3="Selected Year",IF(A2035=MAIN!$B$3,"Yes","No"),IF(MAIN!$H$3="Included Years",IF(D2035="Yes","Yes","No"),IF(C2035="Yes","Yes","No")))</f>
        <v>No</v>
      </c>
      <c r="Z2035" t="str">
        <f>IF(MAIN!$F$3="Project to Date",IF(AND(A2035&gt;=SETTINGS!$B$4,A2035&lt;MAIN!$B$3),"Yes",IF(AND(A2035=MAIN!$B$3,E2035&lt;=MAIN!$L$3),"Yes","No")),IF(OR(MAIN!$F$3="Full Year",MAIN!$D$3="All"),"Yes",IF(MAIN!$F$3="Monthly",IF(E2035=MAIN!$L$3,"Yes","No"),IF(E2035&lt;=MAIN!$L$3,"Yes","No"))))</f>
        <v>Yes</v>
      </c>
      <c r="AA2035" t="str">
        <f t="shared" si="191"/>
        <v>No</v>
      </c>
    </row>
    <row r="2036" spans="1:27" x14ac:dyDescent="0.3">
      <c r="A2036">
        <f>INDEX(SETTINGS!$A$15:$A$24,$B2036)</f>
        <v>2033</v>
      </c>
      <c r="B2036">
        <v>9</v>
      </c>
      <c r="C2036" t="str">
        <f>IF(AND(A2036&gt;=SETTINGS!$B$4,A2036&lt;=SETTINGS!$B$5),"Yes","No")</f>
        <v>No</v>
      </c>
      <c r="D2036" t="str">
        <f>IFERROR(INDEX(SETTINGS!$C$15:$C$24,MATCH(A2036,SETTINGS!$A$15:$A$24,0)),"No")</f>
        <v>No</v>
      </c>
      <c r="E2036">
        <v>12</v>
      </c>
      <c r="F2036" t="s">
        <v>45</v>
      </c>
      <c r="G2036">
        <v>274</v>
      </c>
      <c r="H2036" t="s">
        <v>91</v>
      </c>
      <c r="I2036" t="s">
        <v>89</v>
      </c>
      <c r="J2036" t="s">
        <v>11</v>
      </c>
      <c r="K2036" t="s">
        <v>12</v>
      </c>
      <c r="L2036" s="36">
        <f ca="1">IF(C2036&lt;&gt;"Yes",0,IF(A2036=2025,N('2025'!D274),IF(A2036=2026,N('2026'!D274),IF(A2036=2027,N('2027'!D274),IF(A2036=2028,N('2028'!D274),IF(A2036=2029,N('2029'!D274),IF(A2036=2030,N('2030'!D274),IF(A2036=2031,N('2031'!D274),IF(A2036=2032,N('2032'!D274),IF(A2036=2033,N('2033'!D274),IF(A2036=2034,N('2034'!D274),IFERROR(N(INDIRECT("'"&amp;A2036&amp;"'!D"&amp;G2036)),0))))))))))))</f>
        <v>0</v>
      </c>
      <c r="M2036" s="36">
        <f>IFERROR(IF(NOT(ISBLANK(KPI_TARGETS!$O$6)),KPI_TARGETS!$O$6,IF(NOT(ISBLANK(KPI_TARGETS!$F$6)),KPI_TARGETS!$F$6,"")),"")</f>
        <v>4000</v>
      </c>
      <c r="N2036" s="36" t="str">
        <f>IFERROR(KPI_TARGETS!$E$6,"Higher is better")</f>
        <v>Higher is better</v>
      </c>
      <c r="O2036" s="37">
        <f t="shared" ca="1" si="186"/>
        <v>0</v>
      </c>
      <c r="P2036" t="str">
        <f t="shared" ca="1" si="187"/>
        <v>Red</v>
      </c>
      <c r="Q2036" s="36">
        <f t="shared" ca="1" si="188"/>
        <v>-4000</v>
      </c>
      <c r="R2036" s="36" t="str">
        <f>""</f>
        <v/>
      </c>
      <c r="S2036" s="36" t="str">
        <f>""</f>
        <v/>
      </c>
      <c r="T2036" s="36" t="str">
        <f>""</f>
        <v/>
      </c>
      <c r="U2036" s="36" t="str">
        <f>""</f>
        <v/>
      </c>
      <c r="V2036" s="36" t="str">
        <f>""</f>
        <v/>
      </c>
      <c r="W2036" s="36">
        <f t="shared" si="189"/>
        <v>1</v>
      </c>
      <c r="X2036" t="str">
        <f t="shared" si="190"/>
        <v>Inactive</v>
      </c>
      <c r="Y2036" t="str">
        <f>IF(MAIN!$H$3="Selected Year",IF(A2036=MAIN!$B$3,"Yes","No"),IF(MAIN!$H$3="Included Years",IF(D2036="Yes","Yes","No"),IF(C2036="Yes","Yes","No")))</f>
        <v>No</v>
      </c>
      <c r="Z2036" t="str">
        <f>IF(MAIN!$F$3="Project to Date",IF(AND(A2036&gt;=SETTINGS!$B$4,A2036&lt;MAIN!$B$3),"Yes",IF(AND(A2036=MAIN!$B$3,E2036&lt;=MAIN!$L$3),"Yes","No")),IF(OR(MAIN!$F$3="Full Year",MAIN!$D$3="All"),"Yes",IF(MAIN!$F$3="Monthly",IF(E2036=MAIN!$L$3,"Yes","No"),IF(E2036&lt;=MAIN!$L$3,"Yes","No"))))</f>
        <v>Yes</v>
      </c>
      <c r="AA2036" t="str">
        <f t="shared" si="191"/>
        <v>No</v>
      </c>
    </row>
    <row r="2037" spans="1:27" x14ac:dyDescent="0.3">
      <c r="A2037">
        <f>INDEX(SETTINGS!$A$15:$A$24,$B2037)</f>
        <v>2033</v>
      </c>
      <c r="B2037">
        <v>9</v>
      </c>
      <c r="C2037" t="str">
        <f>IF(AND(A2037&gt;=SETTINGS!$B$4,A2037&lt;=SETTINGS!$B$5),"Yes","No")</f>
        <v>No</v>
      </c>
      <c r="D2037" t="str">
        <f>IFERROR(INDEX(SETTINGS!$C$15:$C$24,MATCH(A2037,SETTINGS!$A$15:$A$24,0)),"No")</f>
        <v>No</v>
      </c>
      <c r="E2037">
        <v>12</v>
      </c>
      <c r="F2037" t="s">
        <v>45</v>
      </c>
      <c r="G2037">
        <v>275</v>
      </c>
      <c r="H2037" t="s">
        <v>93</v>
      </c>
      <c r="I2037" t="s">
        <v>89</v>
      </c>
      <c r="J2037" t="s">
        <v>13</v>
      </c>
      <c r="K2037" t="s">
        <v>14</v>
      </c>
      <c r="L2037" s="36">
        <f ca="1">IF(C2037&lt;&gt;"Yes",0,IF(A2037=2025,N('2025'!D275),IF(A2037=2026,N('2026'!D275),IF(A2037=2027,N('2027'!D275),IF(A2037=2028,N('2028'!D275),IF(A2037=2029,N('2029'!D275),IF(A2037=2030,N('2030'!D275),IF(A2037=2031,N('2031'!D275),IF(A2037=2032,N('2032'!D275),IF(A2037=2033,N('2033'!D275),IF(A2037=2034,N('2034'!D275),IFERROR(N(INDIRECT("'"&amp;A2037&amp;"'!D"&amp;G2037)),0))))))))))))</f>
        <v>0</v>
      </c>
      <c r="M2037" s="36">
        <f>IFERROR(IF(NOT(ISBLANK(KPI_TARGETS!$O$7)),KPI_TARGETS!$O$7,IF(NOT(ISBLANK(KPI_TARGETS!$F$7)),KPI_TARGETS!$F$7,"")),"")</f>
        <v>8000</v>
      </c>
      <c r="N2037" s="36" t="str">
        <f>IFERROR(KPI_TARGETS!$E$7,"Higher is better")</f>
        <v>Higher is better</v>
      </c>
      <c r="O2037" s="37">
        <f t="shared" ca="1" si="186"/>
        <v>0</v>
      </c>
      <c r="P2037" t="str">
        <f t="shared" ca="1" si="187"/>
        <v>Red</v>
      </c>
      <c r="Q2037" s="36">
        <f t="shared" ca="1" si="188"/>
        <v>-8000</v>
      </c>
      <c r="R2037" s="36" t="str">
        <f>""</f>
        <v/>
      </c>
      <c r="S2037" s="36" t="str">
        <f>""</f>
        <v/>
      </c>
      <c r="T2037" s="36" t="str">
        <f>""</f>
        <v/>
      </c>
      <c r="U2037" s="36" t="str">
        <f>""</f>
        <v/>
      </c>
      <c r="V2037" s="36" t="str">
        <f>""</f>
        <v/>
      </c>
      <c r="W2037" s="36">
        <f t="shared" si="189"/>
        <v>1</v>
      </c>
      <c r="X2037" t="str">
        <f t="shared" si="190"/>
        <v>Inactive</v>
      </c>
      <c r="Y2037" t="str">
        <f>IF(MAIN!$H$3="Selected Year",IF(A2037=MAIN!$B$3,"Yes","No"),IF(MAIN!$H$3="Included Years",IF(D2037="Yes","Yes","No"),IF(C2037="Yes","Yes","No")))</f>
        <v>No</v>
      </c>
      <c r="Z2037" t="str">
        <f>IF(MAIN!$F$3="Project to Date",IF(AND(A2037&gt;=SETTINGS!$B$4,A2037&lt;MAIN!$B$3),"Yes",IF(AND(A2037=MAIN!$B$3,E2037&lt;=MAIN!$L$3),"Yes","No")),IF(OR(MAIN!$F$3="Full Year",MAIN!$D$3="All"),"Yes",IF(MAIN!$F$3="Monthly",IF(E2037=MAIN!$L$3,"Yes","No"),IF(E2037&lt;=MAIN!$L$3,"Yes","No"))))</f>
        <v>Yes</v>
      </c>
      <c r="AA2037" t="str">
        <f t="shared" si="191"/>
        <v>No</v>
      </c>
    </row>
    <row r="2038" spans="1:27" x14ac:dyDescent="0.3">
      <c r="A2038">
        <f>INDEX(SETTINGS!$A$15:$A$24,$B2038)</f>
        <v>2033</v>
      </c>
      <c r="B2038">
        <v>9</v>
      </c>
      <c r="C2038" t="str">
        <f>IF(AND(A2038&gt;=SETTINGS!$B$4,A2038&lt;=SETTINGS!$B$5),"Yes","No")</f>
        <v>No</v>
      </c>
      <c r="D2038" t="str">
        <f>IFERROR(INDEX(SETTINGS!$C$15:$C$24,MATCH(A2038,SETTINGS!$A$15:$A$24,0)),"No")</f>
        <v>No</v>
      </c>
      <c r="E2038">
        <v>12</v>
      </c>
      <c r="F2038" t="s">
        <v>45</v>
      </c>
      <c r="G2038">
        <v>277</v>
      </c>
      <c r="H2038" t="s">
        <v>95</v>
      </c>
      <c r="I2038" t="s">
        <v>15</v>
      </c>
      <c r="J2038" t="s">
        <v>16</v>
      </c>
      <c r="K2038" t="s">
        <v>3</v>
      </c>
      <c r="L2038" s="36">
        <f ca="1">IF(C2038&lt;&gt;"Yes",0,IF(A2038=2025,N('2025'!D277),IF(A2038=2026,N('2026'!D277),IF(A2038=2027,N('2027'!D277),IF(A2038=2028,N('2028'!D277),IF(A2038=2029,N('2029'!D277),IF(A2038=2030,N('2030'!D277),IF(A2038=2031,N('2031'!D277),IF(A2038=2032,N('2032'!D277),IF(A2038=2033,N('2033'!D277),IF(A2038=2034,N('2034'!D277),IFERROR(N(INDIRECT("'"&amp;A2038&amp;"'!D"&amp;G2038)),0))))))))))))</f>
        <v>0</v>
      </c>
      <c r="M2038" s="36">
        <f>IFERROR(IF(NOT(ISBLANK(KPI_TARGETS!$O$8)),KPI_TARGETS!$O$8,IF(NOT(ISBLANK(KPI_TARGETS!$F$8)),KPI_TARGETS!$F$8,"")),"")</f>
        <v>0</v>
      </c>
      <c r="N2038" s="36" t="str">
        <f>IFERROR(KPI_TARGETS!$E$8,"Higher is better")</f>
        <v>Lower is better</v>
      </c>
      <c r="O2038" s="37">
        <f t="shared" ca="1" si="186"/>
        <v>1</v>
      </c>
      <c r="P2038" t="str">
        <f t="shared" ca="1" si="187"/>
        <v>Green</v>
      </c>
      <c r="Q2038" s="36">
        <f t="shared" ca="1" si="188"/>
        <v>0</v>
      </c>
      <c r="R2038" s="36" t="str">
        <f>""</f>
        <v/>
      </c>
      <c r="S2038" s="36" t="str">
        <f>""</f>
        <v/>
      </c>
      <c r="T2038" s="36" t="str">
        <f>""</f>
        <v/>
      </c>
      <c r="U2038" s="36" t="str">
        <f>""</f>
        <v/>
      </c>
      <c r="V2038" s="36" t="str">
        <f>""</f>
        <v/>
      </c>
      <c r="W2038" s="36">
        <f t="shared" si="189"/>
        <v>1</v>
      </c>
      <c r="X2038" t="str">
        <f t="shared" si="190"/>
        <v>Inactive</v>
      </c>
      <c r="Y2038" t="str">
        <f>IF(MAIN!$H$3="Selected Year",IF(A2038=MAIN!$B$3,"Yes","No"),IF(MAIN!$H$3="Included Years",IF(D2038="Yes","Yes","No"),IF(C2038="Yes","Yes","No")))</f>
        <v>No</v>
      </c>
      <c r="Z2038" t="str">
        <f>IF(MAIN!$F$3="Project to Date",IF(AND(A2038&gt;=SETTINGS!$B$4,A2038&lt;MAIN!$B$3),"Yes",IF(AND(A2038=MAIN!$B$3,E2038&lt;=MAIN!$L$3),"Yes","No")),IF(OR(MAIN!$F$3="Full Year",MAIN!$D$3="All"),"Yes",IF(MAIN!$F$3="Monthly",IF(E2038=MAIN!$L$3,"Yes","No"),IF(E2038&lt;=MAIN!$L$3,"Yes","No"))))</f>
        <v>Yes</v>
      </c>
      <c r="AA2038" t="str">
        <f t="shared" si="191"/>
        <v>No</v>
      </c>
    </row>
    <row r="2039" spans="1:27" x14ac:dyDescent="0.3">
      <c r="A2039">
        <f>INDEX(SETTINGS!$A$15:$A$24,$B2039)</f>
        <v>2033</v>
      </c>
      <c r="B2039">
        <v>9</v>
      </c>
      <c r="C2039" t="str">
        <f>IF(AND(A2039&gt;=SETTINGS!$B$4,A2039&lt;=SETTINGS!$B$5),"Yes","No")</f>
        <v>No</v>
      </c>
      <c r="D2039" t="str">
        <f>IFERROR(INDEX(SETTINGS!$C$15:$C$24,MATCH(A2039,SETTINGS!$A$15:$A$24,0)),"No")</f>
        <v>No</v>
      </c>
      <c r="E2039">
        <v>12</v>
      </c>
      <c r="F2039" t="s">
        <v>45</v>
      </c>
      <c r="G2039">
        <v>278</v>
      </c>
      <c r="H2039" t="s">
        <v>97</v>
      </c>
      <c r="I2039" t="s">
        <v>15</v>
      </c>
      <c r="J2039" t="s">
        <v>17</v>
      </c>
      <c r="K2039" t="s">
        <v>3</v>
      </c>
      <c r="L2039" s="36">
        <f ca="1">IF(C2039&lt;&gt;"Yes",0,IF(A2039=2025,N('2025'!D278),IF(A2039=2026,N('2026'!D278),IF(A2039=2027,N('2027'!D278),IF(A2039=2028,N('2028'!D278),IF(A2039=2029,N('2029'!D278),IF(A2039=2030,N('2030'!D278),IF(A2039=2031,N('2031'!D278),IF(A2039=2032,N('2032'!D278),IF(A2039=2033,N('2033'!D278),IF(A2039=2034,N('2034'!D278),IFERROR(N(INDIRECT("'"&amp;A2039&amp;"'!D"&amp;G2039)),0))))))))))))</f>
        <v>0</v>
      </c>
      <c r="M2039" s="36">
        <f>IFERROR(IF(NOT(ISBLANK(KPI_TARGETS!$O$9)),KPI_TARGETS!$O$9,IF(NOT(ISBLANK(KPI_TARGETS!$F$9)),KPI_TARGETS!$F$9,"")),"")</f>
        <v>0</v>
      </c>
      <c r="N2039" s="36" t="str">
        <f>IFERROR(KPI_TARGETS!$E$9,"Higher is better")</f>
        <v>Higher is better</v>
      </c>
      <c r="O2039" s="37" t="str">
        <f t="shared" ca="1" si="186"/>
        <v/>
      </c>
      <c r="P2039" t="str">
        <f t="shared" ca="1" si="187"/>
        <v>Green</v>
      </c>
      <c r="Q2039" s="36">
        <f t="shared" ca="1" si="188"/>
        <v>0</v>
      </c>
      <c r="R2039" s="36" t="str">
        <f>""</f>
        <v/>
      </c>
      <c r="S2039" s="36" t="str">
        <f>""</f>
        <v/>
      </c>
      <c r="T2039" s="36" t="str">
        <f>""</f>
        <v/>
      </c>
      <c r="U2039" s="36" t="str">
        <f>""</f>
        <v/>
      </c>
      <c r="V2039" s="36" t="str">
        <f>""</f>
        <v/>
      </c>
      <c r="W2039" s="36">
        <f t="shared" si="189"/>
        <v>1</v>
      </c>
      <c r="X2039" t="str">
        <f t="shared" si="190"/>
        <v>Inactive</v>
      </c>
      <c r="Y2039" t="str">
        <f>IF(MAIN!$H$3="Selected Year",IF(A2039=MAIN!$B$3,"Yes","No"),IF(MAIN!$H$3="Included Years",IF(D2039="Yes","Yes","No"),IF(C2039="Yes","Yes","No")))</f>
        <v>No</v>
      </c>
      <c r="Z2039" t="str">
        <f>IF(MAIN!$F$3="Project to Date",IF(AND(A2039&gt;=SETTINGS!$B$4,A2039&lt;MAIN!$B$3),"Yes",IF(AND(A2039=MAIN!$B$3,E2039&lt;=MAIN!$L$3),"Yes","No")),IF(OR(MAIN!$F$3="Full Year",MAIN!$D$3="All"),"Yes",IF(MAIN!$F$3="Monthly",IF(E2039=MAIN!$L$3,"Yes","No"),IF(E2039&lt;=MAIN!$L$3,"Yes","No"))))</f>
        <v>Yes</v>
      </c>
      <c r="AA2039" t="str">
        <f t="shared" si="191"/>
        <v>No</v>
      </c>
    </row>
    <row r="2040" spans="1:27" x14ac:dyDescent="0.3">
      <c r="A2040">
        <f>INDEX(SETTINGS!$A$15:$A$24,$B2040)</f>
        <v>2033</v>
      </c>
      <c r="B2040">
        <v>9</v>
      </c>
      <c r="C2040" t="str">
        <f>IF(AND(A2040&gt;=SETTINGS!$B$4,A2040&lt;=SETTINGS!$B$5),"Yes","No")</f>
        <v>No</v>
      </c>
      <c r="D2040" t="str">
        <f>IFERROR(INDEX(SETTINGS!$C$15:$C$24,MATCH(A2040,SETTINGS!$A$15:$A$24,0)),"No")</f>
        <v>No</v>
      </c>
      <c r="E2040">
        <v>12</v>
      </c>
      <c r="F2040" t="s">
        <v>45</v>
      </c>
      <c r="G2040">
        <v>279</v>
      </c>
      <c r="H2040" t="s">
        <v>99</v>
      </c>
      <c r="I2040" t="s">
        <v>15</v>
      </c>
      <c r="J2040" t="s">
        <v>18</v>
      </c>
      <c r="K2040" t="s">
        <v>3</v>
      </c>
      <c r="L2040" s="36">
        <f ca="1">IF(C2040&lt;&gt;"Yes",0,IF(A2040=2025,N('2025'!D279),IF(A2040=2026,N('2026'!D279),IF(A2040=2027,N('2027'!D279),IF(A2040=2028,N('2028'!D279),IF(A2040=2029,N('2029'!D279),IF(A2040=2030,N('2030'!D279),IF(A2040=2031,N('2031'!D279),IF(A2040=2032,N('2032'!D279),IF(A2040=2033,N('2033'!D279),IF(A2040=2034,N('2034'!D279),IFERROR(N(INDIRECT("'"&amp;A2040&amp;"'!D"&amp;G2040)),0))))))))))))</f>
        <v>0</v>
      </c>
      <c r="M2040" s="36">
        <f>IFERROR(IF(NOT(ISBLANK(KPI_TARGETS!$O$10)),KPI_TARGETS!$O$10,IF(NOT(ISBLANK(KPI_TARGETS!$F$10)),KPI_TARGETS!$F$10,"")),"")</f>
        <v>0</v>
      </c>
      <c r="N2040" s="36" t="str">
        <f>IFERROR(KPI_TARGETS!$E$10,"Higher is better")</f>
        <v>Lower is better</v>
      </c>
      <c r="O2040" s="37">
        <f t="shared" ca="1" si="186"/>
        <v>1</v>
      </c>
      <c r="P2040" t="str">
        <f t="shared" ca="1" si="187"/>
        <v>Green</v>
      </c>
      <c r="Q2040" s="36">
        <f t="shared" ca="1" si="188"/>
        <v>0</v>
      </c>
      <c r="R2040" s="36" t="str">
        <f>""</f>
        <v/>
      </c>
      <c r="S2040" s="36" t="str">
        <f>""</f>
        <v/>
      </c>
      <c r="T2040" s="36" t="str">
        <f>""</f>
        <v/>
      </c>
      <c r="U2040" s="36" t="str">
        <f>""</f>
        <v/>
      </c>
      <c r="V2040" s="36" t="str">
        <f>""</f>
        <v/>
      </c>
      <c r="W2040" s="36">
        <f t="shared" si="189"/>
        <v>1</v>
      </c>
      <c r="X2040" t="str">
        <f t="shared" si="190"/>
        <v>Inactive</v>
      </c>
      <c r="Y2040" t="str">
        <f>IF(MAIN!$H$3="Selected Year",IF(A2040=MAIN!$B$3,"Yes","No"),IF(MAIN!$H$3="Included Years",IF(D2040="Yes","Yes","No"),IF(C2040="Yes","Yes","No")))</f>
        <v>No</v>
      </c>
      <c r="Z2040" t="str">
        <f>IF(MAIN!$F$3="Project to Date",IF(AND(A2040&gt;=SETTINGS!$B$4,A2040&lt;MAIN!$B$3),"Yes",IF(AND(A2040=MAIN!$B$3,E2040&lt;=MAIN!$L$3),"Yes","No")),IF(OR(MAIN!$F$3="Full Year",MAIN!$D$3="All"),"Yes",IF(MAIN!$F$3="Monthly",IF(E2040=MAIN!$L$3,"Yes","No"),IF(E2040&lt;=MAIN!$L$3,"Yes","No"))))</f>
        <v>Yes</v>
      </c>
      <c r="AA2040" t="str">
        <f t="shared" si="191"/>
        <v>No</v>
      </c>
    </row>
    <row r="2041" spans="1:27" x14ac:dyDescent="0.3">
      <c r="A2041">
        <f>INDEX(SETTINGS!$A$15:$A$24,$B2041)</f>
        <v>2033</v>
      </c>
      <c r="B2041">
        <v>9</v>
      </c>
      <c r="C2041" t="str">
        <f>IF(AND(A2041&gt;=SETTINGS!$B$4,A2041&lt;=SETTINGS!$B$5),"Yes","No")</f>
        <v>No</v>
      </c>
      <c r="D2041" t="str">
        <f>IFERROR(INDEX(SETTINGS!$C$15:$C$24,MATCH(A2041,SETTINGS!$A$15:$A$24,0)),"No")</f>
        <v>No</v>
      </c>
      <c r="E2041">
        <v>12</v>
      </c>
      <c r="F2041" t="s">
        <v>45</v>
      </c>
      <c r="G2041">
        <v>280</v>
      </c>
      <c r="H2041" t="s">
        <v>100</v>
      </c>
      <c r="I2041" t="s">
        <v>15</v>
      </c>
      <c r="J2041" t="s">
        <v>19</v>
      </c>
      <c r="K2041" t="s">
        <v>3</v>
      </c>
      <c r="L2041" s="36">
        <f ca="1">IF(C2041&lt;&gt;"Yes",0,IF(A2041=2025,N('2025'!D280),IF(A2041=2026,N('2026'!D280),IF(A2041=2027,N('2027'!D280),IF(A2041=2028,N('2028'!D280),IF(A2041=2029,N('2029'!D280),IF(A2041=2030,N('2030'!D280),IF(A2041=2031,N('2031'!D280),IF(A2041=2032,N('2032'!D280),IF(A2041=2033,N('2033'!D280),IF(A2041=2034,N('2034'!D280),IFERROR(N(INDIRECT("'"&amp;A2041&amp;"'!D"&amp;G2041)),0))))))))))))</f>
        <v>0</v>
      </c>
      <c r="M2041" s="36">
        <f>IFERROR(IF(NOT(ISBLANK(KPI_TARGETS!$O$11)),KPI_TARGETS!$O$11,IF(NOT(ISBLANK(KPI_TARGETS!$F$11)),KPI_TARGETS!$F$11,"")),"")</f>
        <v>0</v>
      </c>
      <c r="N2041" s="36" t="str">
        <f>IFERROR(KPI_TARGETS!$E$11,"Higher is better")</f>
        <v>Lower is better</v>
      </c>
      <c r="O2041" s="37">
        <f t="shared" ca="1" si="186"/>
        <v>1</v>
      </c>
      <c r="P2041" t="str">
        <f t="shared" ca="1" si="187"/>
        <v>Green</v>
      </c>
      <c r="Q2041" s="36">
        <f t="shared" ca="1" si="188"/>
        <v>0</v>
      </c>
      <c r="R2041" s="36" t="str">
        <f>""</f>
        <v/>
      </c>
      <c r="S2041" s="36" t="str">
        <f>""</f>
        <v/>
      </c>
      <c r="T2041" s="36" t="str">
        <f>""</f>
        <v/>
      </c>
      <c r="U2041" s="36" t="str">
        <f>""</f>
        <v/>
      </c>
      <c r="V2041" s="36" t="str">
        <f>""</f>
        <v/>
      </c>
      <c r="W2041" s="36">
        <f t="shared" si="189"/>
        <v>1</v>
      </c>
      <c r="X2041" t="str">
        <f t="shared" si="190"/>
        <v>Inactive</v>
      </c>
      <c r="Y2041" t="str">
        <f>IF(MAIN!$H$3="Selected Year",IF(A2041=MAIN!$B$3,"Yes","No"),IF(MAIN!$H$3="Included Years",IF(D2041="Yes","Yes","No"),IF(C2041="Yes","Yes","No")))</f>
        <v>No</v>
      </c>
      <c r="Z2041" t="str">
        <f>IF(MAIN!$F$3="Project to Date",IF(AND(A2041&gt;=SETTINGS!$B$4,A2041&lt;MAIN!$B$3),"Yes",IF(AND(A2041=MAIN!$B$3,E2041&lt;=MAIN!$L$3),"Yes","No")),IF(OR(MAIN!$F$3="Full Year",MAIN!$D$3="All"),"Yes",IF(MAIN!$F$3="Monthly",IF(E2041=MAIN!$L$3,"Yes","No"),IF(E2041&lt;=MAIN!$L$3,"Yes","No"))))</f>
        <v>Yes</v>
      </c>
      <c r="AA2041" t="str">
        <f t="shared" si="191"/>
        <v>No</v>
      </c>
    </row>
    <row r="2042" spans="1:27" x14ac:dyDescent="0.3">
      <c r="A2042">
        <f>INDEX(SETTINGS!$A$15:$A$24,$B2042)</f>
        <v>2033</v>
      </c>
      <c r="B2042">
        <v>9</v>
      </c>
      <c r="C2042" t="str">
        <f>IF(AND(A2042&gt;=SETTINGS!$B$4,A2042&lt;=SETTINGS!$B$5),"Yes","No")</f>
        <v>No</v>
      </c>
      <c r="D2042" t="str">
        <f>IFERROR(INDEX(SETTINGS!$C$15:$C$24,MATCH(A2042,SETTINGS!$A$15:$A$24,0)),"No")</f>
        <v>No</v>
      </c>
      <c r="E2042">
        <v>12</v>
      </c>
      <c r="F2042" t="s">
        <v>45</v>
      </c>
      <c r="G2042">
        <v>281</v>
      </c>
      <c r="H2042" t="s">
        <v>101</v>
      </c>
      <c r="I2042" t="s">
        <v>15</v>
      </c>
      <c r="J2042" t="s">
        <v>20</v>
      </c>
      <c r="K2042" t="s">
        <v>3</v>
      </c>
      <c r="L2042" s="36">
        <f ca="1">IF(C2042&lt;&gt;"Yes",0,IF(A2042=2025,N('2025'!D281),IF(A2042=2026,N('2026'!D281),IF(A2042=2027,N('2027'!D281),IF(A2042=2028,N('2028'!D281),IF(A2042=2029,N('2029'!D281),IF(A2042=2030,N('2030'!D281),IF(A2042=2031,N('2031'!D281),IF(A2042=2032,N('2032'!D281),IF(A2042=2033,N('2033'!D281),IF(A2042=2034,N('2034'!D281),IFERROR(N(INDIRECT("'"&amp;A2042&amp;"'!D"&amp;G2042)),0))))))))))))</f>
        <v>0</v>
      </c>
      <c r="M2042" s="36">
        <f>IFERROR(IF(NOT(ISBLANK(KPI_TARGETS!$O$12)),KPI_TARGETS!$O$12,IF(NOT(ISBLANK(KPI_TARGETS!$F$12)),KPI_TARGETS!$F$12,"")),"")</f>
        <v>0</v>
      </c>
      <c r="N2042" s="36" t="str">
        <f>IFERROR(KPI_TARGETS!$E$12,"Higher is better")</f>
        <v>Lower is better</v>
      </c>
      <c r="O2042" s="37">
        <f t="shared" ca="1" si="186"/>
        <v>1</v>
      </c>
      <c r="P2042" t="str">
        <f t="shared" ca="1" si="187"/>
        <v>Green</v>
      </c>
      <c r="Q2042" s="36">
        <f t="shared" ca="1" si="188"/>
        <v>0</v>
      </c>
      <c r="R2042" s="36" t="str">
        <f>""</f>
        <v/>
      </c>
      <c r="S2042" s="36" t="str">
        <f>""</f>
        <v/>
      </c>
      <c r="T2042" s="36" t="str">
        <f>""</f>
        <v/>
      </c>
      <c r="U2042" s="36" t="str">
        <f>""</f>
        <v/>
      </c>
      <c r="V2042" s="36" t="str">
        <f>""</f>
        <v/>
      </c>
      <c r="W2042" s="36">
        <f t="shared" si="189"/>
        <v>1</v>
      </c>
      <c r="X2042" t="str">
        <f t="shared" si="190"/>
        <v>Inactive</v>
      </c>
      <c r="Y2042" t="str">
        <f>IF(MAIN!$H$3="Selected Year",IF(A2042=MAIN!$B$3,"Yes","No"),IF(MAIN!$H$3="Included Years",IF(D2042="Yes","Yes","No"),IF(C2042="Yes","Yes","No")))</f>
        <v>No</v>
      </c>
      <c r="Z2042" t="str">
        <f>IF(MAIN!$F$3="Project to Date",IF(AND(A2042&gt;=SETTINGS!$B$4,A2042&lt;MAIN!$B$3),"Yes",IF(AND(A2042=MAIN!$B$3,E2042&lt;=MAIN!$L$3),"Yes","No")),IF(OR(MAIN!$F$3="Full Year",MAIN!$D$3="All"),"Yes",IF(MAIN!$F$3="Monthly",IF(E2042=MAIN!$L$3,"Yes","No"),IF(E2042&lt;=MAIN!$L$3,"Yes","No"))))</f>
        <v>Yes</v>
      </c>
      <c r="AA2042" t="str">
        <f t="shared" si="191"/>
        <v>No</v>
      </c>
    </row>
    <row r="2043" spans="1:27" x14ac:dyDescent="0.3">
      <c r="A2043">
        <f>INDEX(SETTINGS!$A$15:$A$24,$B2043)</f>
        <v>2033</v>
      </c>
      <c r="B2043">
        <v>9</v>
      </c>
      <c r="C2043" t="str">
        <f>IF(AND(A2043&gt;=SETTINGS!$B$4,A2043&lt;=SETTINGS!$B$5),"Yes","No")</f>
        <v>No</v>
      </c>
      <c r="D2043" t="str">
        <f>IFERROR(INDEX(SETTINGS!$C$15:$C$24,MATCH(A2043,SETTINGS!$A$15:$A$24,0)),"No")</f>
        <v>No</v>
      </c>
      <c r="E2043">
        <v>12</v>
      </c>
      <c r="F2043" t="s">
        <v>45</v>
      </c>
      <c r="G2043">
        <v>282</v>
      </c>
      <c r="H2043" t="s">
        <v>102</v>
      </c>
      <c r="I2043" t="s">
        <v>15</v>
      </c>
      <c r="J2043" t="s">
        <v>21</v>
      </c>
      <c r="K2043" t="s">
        <v>3</v>
      </c>
      <c r="L2043" s="36">
        <f ca="1">IF(C2043&lt;&gt;"Yes",0,IF(A2043=2025,N('2025'!D282),IF(A2043=2026,N('2026'!D282),IF(A2043=2027,N('2027'!D282),IF(A2043=2028,N('2028'!D282),IF(A2043=2029,N('2029'!D282),IF(A2043=2030,N('2030'!D282),IF(A2043=2031,N('2031'!D282),IF(A2043=2032,N('2032'!D282),IF(A2043=2033,N('2033'!D282),IF(A2043=2034,N('2034'!D282),IFERROR(N(INDIRECT("'"&amp;A2043&amp;"'!D"&amp;G2043)),0))))))))))))</f>
        <v>0</v>
      </c>
      <c r="M2043" s="36">
        <f>IFERROR(IF(NOT(ISBLANK(KPI_TARGETS!$O$13)),KPI_TARGETS!$O$13,IF(NOT(ISBLANK(KPI_TARGETS!$F$13)),KPI_TARGETS!$F$13,"")),"")</f>
        <v>0</v>
      </c>
      <c r="N2043" s="36" t="str">
        <f>IFERROR(KPI_TARGETS!$E$13,"Higher is better")</f>
        <v>Lower is better</v>
      </c>
      <c r="O2043" s="37">
        <f t="shared" ca="1" si="186"/>
        <v>1</v>
      </c>
      <c r="P2043" t="str">
        <f t="shared" ca="1" si="187"/>
        <v>Green</v>
      </c>
      <c r="Q2043" s="36">
        <f t="shared" ca="1" si="188"/>
        <v>0</v>
      </c>
      <c r="R2043" s="36" t="str">
        <f>""</f>
        <v/>
      </c>
      <c r="S2043" s="36" t="str">
        <f>""</f>
        <v/>
      </c>
      <c r="T2043" s="36" t="str">
        <f>""</f>
        <v/>
      </c>
      <c r="U2043" s="36" t="str">
        <f>""</f>
        <v/>
      </c>
      <c r="V2043" s="36" t="str">
        <f>""</f>
        <v/>
      </c>
      <c r="W2043" s="36">
        <f t="shared" si="189"/>
        <v>1</v>
      </c>
      <c r="X2043" t="str">
        <f t="shared" si="190"/>
        <v>Inactive</v>
      </c>
      <c r="Y2043" t="str">
        <f>IF(MAIN!$H$3="Selected Year",IF(A2043=MAIN!$B$3,"Yes","No"),IF(MAIN!$H$3="Included Years",IF(D2043="Yes","Yes","No"),IF(C2043="Yes","Yes","No")))</f>
        <v>No</v>
      </c>
      <c r="Z2043" t="str">
        <f>IF(MAIN!$F$3="Project to Date",IF(AND(A2043&gt;=SETTINGS!$B$4,A2043&lt;MAIN!$B$3),"Yes",IF(AND(A2043=MAIN!$B$3,E2043&lt;=MAIN!$L$3),"Yes","No")),IF(OR(MAIN!$F$3="Full Year",MAIN!$D$3="All"),"Yes",IF(MAIN!$F$3="Monthly",IF(E2043=MAIN!$L$3,"Yes","No"),IF(E2043&lt;=MAIN!$L$3,"Yes","No"))))</f>
        <v>Yes</v>
      </c>
      <c r="AA2043" t="str">
        <f t="shared" si="191"/>
        <v>No</v>
      </c>
    </row>
    <row r="2044" spans="1:27" x14ac:dyDescent="0.3">
      <c r="A2044">
        <f>INDEX(SETTINGS!$A$15:$A$24,$B2044)</f>
        <v>2033</v>
      </c>
      <c r="B2044">
        <v>9</v>
      </c>
      <c r="C2044" t="str">
        <f>IF(AND(A2044&gt;=SETTINGS!$B$4,A2044&lt;=SETTINGS!$B$5),"Yes","No")</f>
        <v>No</v>
      </c>
      <c r="D2044" t="str">
        <f>IFERROR(INDEX(SETTINGS!$C$15:$C$24,MATCH(A2044,SETTINGS!$A$15:$A$24,0)),"No")</f>
        <v>No</v>
      </c>
      <c r="E2044">
        <v>12</v>
      </c>
      <c r="F2044" t="s">
        <v>45</v>
      </c>
      <c r="G2044">
        <v>284</v>
      </c>
      <c r="H2044" t="s">
        <v>103</v>
      </c>
      <c r="I2044" t="s">
        <v>22</v>
      </c>
      <c r="J2044" t="s">
        <v>23</v>
      </c>
      <c r="K2044" t="s">
        <v>3</v>
      </c>
      <c r="L2044" s="36">
        <f ca="1">IF(C2044&lt;&gt;"Yes",0,IF(A2044=2025,N('2025'!D284),IF(A2044=2026,N('2026'!D284),IF(A2044=2027,N('2027'!D284),IF(A2044=2028,N('2028'!D284),IF(A2044=2029,N('2029'!D284),IF(A2044=2030,N('2030'!D284),IF(A2044=2031,N('2031'!D284),IF(A2044=2032,N('2032'!D284),IF(A2044=2033,N('2033'!D284),IF(A2044=2034,N('2034'!D284),IFERROR(N(INDIRECT("'"&amp;A2044&amp;"'!D"&amp;G2044)),0))))))))))))</f>
        <v>0</v>
      </c>
      <c r="M2044" s="36">
        <f>IFERROR(IF(NOT(ISBLANK(KPI_TARGETS!$O$14)),KPI_TARGETS!$O$14,IF(NOT(ISBLANK(KPI_TARGETS!$F$14)),KPI_TARGETS!$F$14,"")),"")</f>
        <v>35</v>
      </c>
      <c r="N2044" s="36" t="str">
        <f>IFERROR(KPI_TARGETS!$E$14,"Higher is better")</f>
        <v>Higher is better</v>
      </c>
      <c r="O2044" s="37">
        <f t="shared" ca="1" si="186"/>
        <v>0</v>
      </c>
      <c r="P2044" t="str">
        <f t="shared" ca="1" si="187"/>
        <v>Red</v>
      </c>
      <c r="Q2044" s="36">
        <f t="shared" ca="1" si="188"/>
        <v>-35</v>
      </c>
      <c r="R2044" s="36" t="str">
        <f>""</f>
        <v/>
      </c>
      <c r="S2044" s="36" t="str">
        <f>""</f>
        <v/>
      </c>
      <c r="T2044" s="36" t="str">
        <f>""</f>
        <v/>
      </c>
      <c r="U2044" s="36" t="str">
        <f>""</f>
        <v/>
      </c>
      <c r="V2044" s="36" t="str">
        <f>""</f>
        <v/>
      </c>
      <c r="W2044" s="36">
        <f t="shared" si="189"/>
        <v>1</v>
      </c>
      <c r="X2044" t="str">
        <f t="shared" si="190"/>
        <v>Inactive</v>
      </c>
      <c r="Y2044" t="str">
        <f>IF(MAIN!$H$3="Selected Year",IF(A2044=MAIN!$B$3,"Yes","No"),IF(MAIN!$H$3="Included Years",IF(D2044="Yes","Yes","No"),IF(C2044="Yes","Yes","No")))</f>
        <v>No</v>
      </c>
      <c r="Z2044" t="str">
        <f>IF(MAIN!$F$3="Project to Date",IF(AND(A2044&gt;=SETTINGS!$B$4,A2044&lt;MAIN!$B$3),"Yes",IF(AND(A2044=MAIN!$B$3,E2044&lt;=MAIN!$L$3),"Yes","No")),IF(OR(MAIN!$F$3="Full Year",MAIN!$D$3="All"),"Yes",IF(MAIN!$F$3="Monthly",IF(E2044=MAIN!$L$3,"Yes","No"),IF(E2044&lt;=MAIN!$L$3,"Yes","No"))))</f>
        <v>Yes</v>
      </c>
      <c r="AA2044" t="str">
        <f t="shared" si="191"/>
        <v>No</v>
      </c>
    </row>
    <row r="2045" spans="1:27" x14ac:dyDescent="0.3">
      <c r="A2045">
        <f>INDEX(SETTINGS!$A$15:$A$24,$B2045)</f>
        <v>2033</v>
      </c>
      <c r="B2045">
        <v>9</v>
      </c>
      <c r="C2045" t="str">
        <f>IF(AND(A2045&gt;=SETTINGS!$B$4,A2045&lt;=SETTINGS!$B$5),"Yes","No")</f>
        <v>No</v>
      </c>
      <c r="D2045" t="str">
        <f>IFERROR(INDEX(SETTINGS!$C$15:$C$24,MATCH(A2045,SETTINGS!$A$15:$A$24,0)),"No")</f>
        <v>No</v>
      </c>
      <c r="E2045">
        <v>12</v>
      </c>
      <c r="F2045" t="s">
        <v>45</v>
      </c>
      <c r="G2045">
        <v>285</v>
      </c>
      <c r="H2045" t="s">
        <v>104</v>
      </c>
      <c r="I2045" t="s">
        <v>22</v>
      </c>
      <c r="J2045" t="s">
        <v>24</v>
      </c>
      <c r="K2045" t="s">
        <v>3</v>
      </c>
      <c r="L2045" s="36">
        <f ca="1">IF(C2045&lt;&gt;"Yes",0,IF(A2045=2025,N('2025'!D285),IF(A2045=2026,N('2026'!D285),IF(A2045=2027,N('2027'!D285),IF(A2045=2028,N('2028'!D285),IF(A2045=2029,N('2029'!D285),IF(A2045=2030,N('2030'!D285),IF(A2045=2031,N('2031'!D285),IF(A2045=2032,N('2032'!D285),IF(A2045=2033,N('2033'!D285),IF(A2045=2034,N('2034'!D285),IFERROR(N(INDIRECT("'"&amp;A2045&amp;"'!D"&amp;G2045)),0))))))))))))</f>
        <v>0</v>
      </c>
      <c r="M2045" s="36">
        <f>IFERROR(IF(NOT(ISBLANK(KPI_TARGETS!$O$15)),KPI_TARGETS!$O$15,IF(NOT(ISBLANK(KPI_TARGETS!$F$15)),KPI_TARGETS!$F$15,"")),"")</f>
        <v>5</v>
      </c>
      <c r="N2045" s="36" t="str">
        <f>IFERROR(KPI_TARGETS!$E$15,"Higher is better")</f>
        <v>Higher is better</v>
      </c>
      <c r="O2045" s="37">
        <f t="shared" ca="1" si="186"/>
        <v>0</v>
      </c>
      <c r="P2045" t="str">
        <f t="shared" ca="1" si="187"/>
        <v>Red</v>
      </c>
      <c r="Q2045" s="36">
        <f t="shared" ca="1" si="188"/>
        <v>-5</v>
      </c>
      <c r="R2045" s="36" t="str">
        <f>""</f>
        <v/>
      </c>
      <c r="S2045" s="36" t="str">
        <f>""</f>
        <v/>
      </c>
      <c r="T2045" s="36" t="str">
        <f>""</f>
        <v/>
      </c>
      <c r="U2045" s="36" t="str">
        <f>""</f>
        <v/>
      </c>
      <c r="V2045" s="36" t="str">
        <f>""</f>
        <v/>
      </c>
      <c r="W2045" s="36">
        <f t="shared" si="189"/>
        <v>1</v>
      </c>
      <c r="X2045" t="str">
        <f t="shared" si="190"/>
        <v>Inactive</v>
      </c>
      <c r="Y2045" t="str">
        <f>IF(MAIN!$H$3="Selected Year",IF(A2045=MAIN!$B$3,"Yes","No"),IF(MAIN!$H$3="Included Years",IF(D2045="Yes","Yes","No"),IF(C2045="Yes","Yes","No")))</f>
        <v>No</v>
      </c>
      <c r="Z2045" t="str">
        <f>IF(MAIN!$F$3="Project to Date",IF(AND(A2045&gt;=SETTINGS!$B$4,A2045&lt;MAIN!$B$3),"Yes",IF(AND(A2045=MAIN!$B$3,E2045&lt;=MAIN!$L$3),"Yes","No")),IF(OR(MAIN!$F$3="Full Year",MAIN!$D$3="All"),"Yes",IF(MAIN!$F$3="Monthly",IF(E2045=MAIN!$L$3,"Yes","No"),IF(E2045&lt;=MAIN!$L$3,"Yes","No"))))</f>
        <v>Yes</v>
      </c>
      <c r="AA2045" t="str">
        <f t="shared" si="191"/>
        <v>No</v>
      </c>
    </row>
    <row r="2046" spans="1:27" x14ac:dyDescent="0.3">
      <c r="A2046">
        <f>INDEX(SETTINGS!$A$15:$A$24,$B2046)</f>
        <v>2033</v>
      </c>
      <c r="B2046">
        <v>9</v>
      </c>
      <c r="C2046" t="str">
        <f>IF(AND(A2046&gt;=SETTINGS!$B$4,A2046&lt;=SETTINGS!$B$5),"Yes","No")</f>
        <v>No</v>
      </c>
      <c r="D2046" t="str">
        <f>IFERROR(INDEX(SETTINGS!$C$15:$C$24,MATCH(A2046,SETTINGS!$A$15:$A$24,0)),"No")</f>
        <v>No</v>
      </c>
      <c r="E2046">
        <v>12</v>
      </c>
      <c r="F2046" t="s">
        <v>45</v>
      </c>
      <c r="G2046">
        <v>286</v>
      </c>
      <c r="H2046" t="s">
        <v>105</v>
      </c>
      <c r="I2046" t="s">
        <v>22</v>
      </c>
      <c r="J2046" t="s">
        <v>25</v>
      </c>
      <c r="K2046" t="s">
        <v>3</v>
      </c>
      <c r="L2046" s="36">
        <f ca="1">IF(C2046&lt;&gt;"Yes",0,IF(A2046=2025,N('2025'!D286),IF(A2046=2026,N('2026'!D286),IF(A2046=2027,N('2027'!D286),IF(A2046=2028,N('2028'!D286),IF(A2046=2029,N('2029'!D286),IF(A2046=2030,N('2030'!D286),IF(A2046=2031,N('2031'!D286),IF(A2046=2032,N('2032'!D286),IF(A2046=2033,N('2033'!D286),IF(A2046=2034,N('2034'!D286),IFERROR(N(INDIRECT("'"&amp;A2046&amp;"'!D"&amp;G2046)),0))))))))))))</f>
        <v>0</v>
      </c>
      <c r="M2046" s="36">
        <f>IFERROR(IF(NOT(ISBLANK(KPI_TARGETS!$O$16)),KPI_TARGETS!$O$16,IF(NOT(ISBLANK(KPI_TARGETS!$F$16)),KPI_TARGETS!$F$16,"")),"")</f>
        <v>4</v>
      </c>
      <c r="N2046" s="36" t="str">
        <f>IFERROR(KPI_TARGETS!$E$16,"Higher is better")</f>
        <v>Higher is better</v>
      </c>
      <c r="O2046" s="37">
        <f t="shared" ca="1" si="186"/>
        <v>0</v>
      </c>
      <c r="P2046" t="str">
        <f t="shared" ca="1" si="187"/>
        <v>Red</v>
      </c>
      <c r="Q2046" s="36">
        <f t="shared" ca="1" si="188"/>
        <v>-4</v>
      </c>
      <c r="R2046" s="36" t="str">
        <f>""</f>
        <v/>
      </c>
      <c r="S2046" s="36" t="str">
        <f>""</f>
        <v/>
      </c>
      <c r="T2046" s="36" t="str">
        <f>""</f>
        <v/>
      </c>
      <c r="U2046" s="36" t="str">
        <f>""</f>
        <v/>
      </c>
      <c r="V2046" s="36" t="str">
        <f>""</f>
        <v/>
      </c>
      <c r="W2046" s="36">
        <f t="shared" si="189"/>
        <v>1</v>
      </c>
      <c r="X2046" t="str">
        <f t="shared" si="190"/>
        <v>Inactive</v>
      </c>
      <c r="Y2046" t="str">
        <f>IF(MAIN!$H$3="Selected Year",IF(A2046=MAIN!$B$3,"Yes","No"),IF(MAIN!$H$3="Included Years",IF(D2046="Yes","Yes","No"),IF(C2046="Yes","Yes","No")))</f>
        <v>No</v>
      </c>
      <c r="Z2046" t="str">
        <f>IF(MAIN!$F$3="Project to Date",IF(AND(A2046&gt;=SETTINGS!$B$4,A2046&lt;MAIN!$B$3),"Yes",IF(AND(A2046=MAIN!$B$3,E2046&lt;=MAIN!$L$3),"Yes","No")),IF(OR(MAIN!$F$3="Full Year",MAIN!$D$3="All"),"Yes",IF(MAIN!$F$3="Monthly",IF(E2046=MAIN!$L$3,"Yes","No"),IF(E2046&lt;=MAIN!$L$3,"Yes","No"))))</f>
        <v>Yes</v>
      </c>
      <c r="AA2046" t="str">
        <f t="shared" si="191"/>
        <v>No</v>
      </c>
    </row>
    <row r="2047" spans="1:27" x14ac:dyDescent="0.3">
      <c r="A2047">
        <f>INDEX(SETTINGS!$A$15:$A$24,$B2047)</f>
        <v>2033</v>
      </c>
      <c r="B2047">
        <v>9</v>
      </c>
      <c r="C2047" t="str">
        <f>IF(AND(A2047&gt;=SETTINGS!$B$4,A2047&lt;=SETTINGS!$B$5),"Yes","No")</f>
        <v>No</v>
      </c>
      <c r="D2047" t="str">
        <f>IFERROR(INDEX(SETTINGS!$C$15:$C$24,MATCH(A2047,SETTINGS!$A$15:$A$24,0)),"No")</f>
        <v>No</v>
      </c>
      <c r="E2047">
        <v>12</v>
      </c>
      <c r="F2047" t="s">
        <v>45</v>
      </c>
      <c r="G2047">
        <v>287</v>
      </c>
      <c r="H2047" t="s">
        <v>106</v>
      </c>
      <c r="I2047" t="s">
        <v>22</v>
      </c>
      <c r="J2047" t="s">
        <v>26</v>
      </c>
      <c r="K2047" t="s">
        <v>3</v>
      </c>
      <c r="L2047" s="36">
        <f ca="1">IF(C2047&lt;&gt;"Yes",0,IF(A2047=2025,N('2025'!D287),IF(A2047=2026,N('2026'!D287),IF(A2047=2027,N('2027'!D287),IF(A2047=2028,N('2028'!D287),IF(A2047=2029,N('2029'!D287),IF(A2047=2030,N('2030'!D287),IF(A2047=2031,N('2031'!D287),IF(A2047=2032,N('2032'!D287),IF(A2047=2033,N('2033'!D287),IF(A2047=2034,N('2034'!D287),IFERROR(N(INDIRECT("'"&amp;A2047&amp;"'!D"&amp;G2047)),0))))))))))))</f>
        <v>0</v>
      </c>
      <c r="M2047" s="36">
        <f>IFERROR(IF(NOT(ISBLANK(KPI_TARGETS!$O$17)),KPI_TARGETS!$O$17,IF(NOT(ISBLANK(KPI_TARGETS!$F$17)),KPI_TARGETS!$F$17,"")),"")</f>
        <v>12</v>
      </c>
      <c r="N2047" s="36" t="str">
        <f>IFERROR(KPI_TARGETS!$E$17,"Higher is better")</f>
        <v>Higher is better</v>
      </c>
      <c r="O2047" s="37">
        <f t="shared" ca="1" si="186"/>
        <v>0</v>
      </c>
      <c r="P2047" t="str">
        <f t="shared" ca="1" si="187"/>
        <v>Red</v>
      </c>
      <c r="Q2047" s="36">
        <f t="shared" ca="1" si="188"/>
        <v>-12</v>
      </c>
      <c r="R2047" s="36" t="str">
        <f>""</f>
        <v/>
      </c>
      <c r="S2047" s="36" t="str">
        <f>""</f>
        <v/>
      </c>
      <c r="T2047" s="36" t="str">
        <f>""</f>
        <v/>
      </c>
      <c r="U2047" s="36" t="str">
        <f>""</f>
        <v/>
      </c>
      <c r="V2047" s="36" t="str">
        <f>""</f>
        <v/>
      </c>
      <c r="W2047" s="36">
        <f t="shared" si="189"/>
        <v>1</v>
      </c>
      <c r="X2047" t="str">
        <f t="shared" si="190"/>
        <v>Inactive</v>
      </c>
      <c r="Y2047" t="str">
        <f>IF(MAIN!$H$3="Selected Year",IF(A2047=MAIN!$B$3,"Yes","No"),IF(MAIN!$H$3="Included Years",IF(D2047="Yes","Yes","No"),IF(C2047="Yes","Yes","No")))</f>
        <v>No</v>
      </c>
      <c r="Z2047" t="str">
        <f>IF(MAIN!$F$3="Project to Date",IF(AND(A2047&gt;=SETTINGS!$B$4,A2047&lt;MAIN!$B$3),"Yes",IF(AND(A2047=MAIN!$B$3,E2047&lt;=MAIN!$L$3),"Yes","No")),IF(OR(MAIN!$F$3="Full Year",MAIN!$D$3="All"),"Yes",IF(MAIN!$F$3="Monthly",IF(E2047=MAIN!$L$3,"Yes","No"),IF(E2047&lt;=MAIN!$L$3,"Yes","No"))))</f>
        <v>Yes</v>
      </c>
      <c r="AA2047" t="str">
        <f t="shared" si="191"/>
        <v>No</v>
      </c>
    </row>
    <row r="2048" spans="1:27" x14ac:dyDescent="0.3">
      <c r="A2048">
        <f>INDEX(SETTINGS!$A$15:$A$24,$B2048)</f>
        <v>2033</v>
      </c>
      <c r="B2048">
        <v>9</v>
      </c>
      <c r="C2048" t="str">
        <f>IF(AND(A2048&gt;=SETTINGS!$B$4,A2048&lt;=SETTINGS!$B$5),"Yes","No")</f>
        <v>No</v>
      </c>
      <c r="D2048" t="str">
        <f>IFERROR(INDEX(SETTINGS!$C$15:$C$24,MATCH(A2048,SETTINGS!$A$15:$A$24,0)),"No")</f>
        <v>No</v>
      </c>
      <c r="E2048">
        <v>12</v>
      </c>
      <c r="F2048" t="s">
        <v>45</v>
      </c>
      <c r="G2048">
        <v>288</v>
      </c>
      <c r="H2048" t="s">
        <v>107</v>
      </c>
      <c r="I2048" t="s">
        <v>22</v>
      </c>
      <c r="J2048" t="s">
        <v>27</v>
      </c>
      <c r="K2048" t="s">
        <v>3</v>
      </c>
      <c r="L2048" s="36">
        <f ca="1">IF(C2048&lt;&gt;"Yes",0,IF(A2048=2025,N('2025'!D288),IF(A2048=2026,N('2026'!D288),IF(A2048=2027,N('2027'!D288),IF(A2048=2028,N('2028'!D288),IF(A2048=2029,N('2029'!D288),IF(A2048=2030,N('2030'!D288),IF(A2048=2031,N('2031'!D288),IF(A2048=2032,N('2032'!D288),IF(A2048=2033,N('2033'!D288),IF(A2048=2034,N('2034'!D288),IFERROR(N(INDIRECT("'"&amp;A2048&amp;"'!D"&amp;G2048)),0))))))))))))</f>
        <v>0</v>
      </c>
      <c r="M2048" s="36">
        <f>IFERROR(IF(NOT(ISBLANK(KPI_TARGETS!$O$18)),KPI_TARGETS!$O$18,IF(NOT(ISBLANK(KPI_TARGETS!$F$18)),KPI_TARGETS!$F$18,"")),"")</f>
        <v>4</v>
      </c>
      <c r="N2048" s="36" t="str">
        <f>IFERROR(KPI_TARGETS!$E$18,"Higher is better")</f>
        <v>Higher is better</v>
      </c>
      <c r="O2048" s="37">
        <f t="shared" ca="1" si="186"/>
        <v>0</v>
      </c>
      <c r="P2048" t="str">
        <f t="shared" ca="1" si="187"/>
        <v>Red</v>
      </c>
      <c r="Q2048" s="36">
        <f t="shared" ca="1" si="188"/>
        <v>-4</v>
      </c>
      <c r="R2048" s="36" t="str">
        <f>""</f>
        <v/>
      </c>
      <c r="S2048" s="36" t="str">
        <f>""</f>
        <v/>
      </c>
      <c r="T2048" s="36" t="str">
        <f>""</f>
        <v/>
      </c>
      <c r="U2048" s="36" t="str">
        <f>""</f>
        <v/>
      </c>
      <c r="V2048" s="36" t="str">
        <f>""</f>
        <v/>
      </c>
      <c r="W2048" s="36">
        <f t="shared" si="189"/>
        <v>1</v>
      </c>
      <c r="X2048" t="str">
        <f t="shared" si="190"/>
        <v>Inactive</v>
      </c>
      <c r="Y2048" t="str">
        <f>IF(MAIN!$H$3="Selected Year",IF(A2048=MAIN!$B$3,"Yes","No"),IF(MAIN!$H$3="Included Years",IF(D2048="Yes","Yes","No"),IF(C2048="Yes","Yes","No")))</f>
        <v>No</v>
      </c>
      <c r="Z2048" t="str">
        <f>IF(MAIN!$F$3="Project to Date",IF(AND(A2048&gt;=SETTINGS!$B$4,A2048&lt;MAIN!$B$3),"Yes",IF(AND(A2048=MAIN!$B$3,E2048&lt;=MAIN!$L$3),"Yes","No")),IF(OR(MAIN!$F$3="Full Year",MAIN!$D$3="All"),"Yes",IF(MAIN!$F$3="Monthly",IF(E2048=MAIN!$L$3,"Yes","No"),IF(E2048&lt;=MAIN!$L$3,"Yes","No"))))</f>
        <v>Yes</v>
      </c>
      <c r="AA2048" t="str">
        <f t="shared" si="191"/>
        <v>No</v>
      </c>
    </row>
    <row r="2049" spans="1:27" x14ac:dyDescent="0.3">
      <c r="A2049">
        <f>INDEX(SETTINGS!$A$15:$A$24,$B2049)</f>
        <v>2033</v>
      </c>
      <c r="B2049">
        <v>9</v>
      </c>
      <c r="C2049" t="str">
        <f>IF(AND(A2049&gt;=SETTINGS!$B$4,A2049&lt;=SETTINGS!$B$5),"Yes","No")</f>
        <v>No</v>
      </c>
      <c r="D2049" t="str">
        <f>IFERROR(INDEX(SETTINGS!$C$15:$C$24,MATCH(A2049,SETTINGS!$A$15:$A$24,0)),"No")</f>
        <v>No</v>
      </c>
      <c r="E2049">
        <v>12</v>
      </c>
      <c r="F2049" t="s">
        <v>45</v>
      </c>
      <c r="G2049">
        <v>289</v>
      </c>
      <c r="H2049" t="s">
        <v>108</v>
      </c>
      <c r="I2049" t="s">
        <v>22</v>
      </c>
      <c r="J2049" t="s">
        <v>28</v>
      </c>
      <c r="K2049" t="s">
        <v>3</v>
      </c>
      <c r="L2049" s="36">
        <f ca="1">IF(C2049&lt;&gt;"Yes",0,IF(A2049=2025,N('2025'!D289),IF(A2049=2026,N('2026'!D289),IF(A2049=2027,N('2027'!D289),IF(A2049=2028,N('2028'!D289),IF(A2049=2029,N('2029'!D289),IF(A2049=2030,N('2030'!D289),IF(A2049=2031,N('2031'!D289),IF(A2049=2032,N('2032'!D289),IF(A2049=2033,N('2033'!D289),IF(A2049=2034,N('2034'!D289),IFERROR(N(INDIRECT("'"&amp;A2049&amp;"'!D"&amp;G2049)),0))))))))))))</f>
        <v>0</v>
      </c>
      <c r="M2049" s="36">
        <f>IFERROR(IF(NOT(ISBLANK(KPI_TARGETS!$O$19)),KPI_TARGETS!$O$19,IF(NOT(ISBLANK(KPI_TARGETS!$F$19)),KPI_TARGETS!$F$19,"")),"")</f>
        <v>16</v>
      </c>
      <c r="N2049" s="36" t="str">
        <f>IFERROR(KPI_TARGETS!$E$19,"Higher is better")</f>
        <v>Higher is better</v>
      </c>
      <c r="O2049" s="37">
        <f t="shared" ca="1" si="186"/>
        <v>0</v>
      </c>
      <c r="P2049" t="str">
        <f t="shared" ca="1" si="187"/>
        <v>Red</v>
      </c>
      <c r="Q2049" s="36">
        <f t="shared" ca="1" si="188"/>
        <v>-16</v>
      </c>
      <c r="R2049" s="36" t="str">
        <f>""</f>
        <v/>
      </c>
      <c r="S2049" s="36" t="str">
        <f>""</f>
        <v/>
      </c>
      <c r="T2049" s="36" t="str">
        <f>""</f>
        <v/>
      </c>
      <c r="U2049" s="36" t="str">
        <f>""</f>
        <v/>
      </c>
      <c r="V2049" s="36" t="str">
        <f>""</f>
        <v/>
      </c>
      <c r="W2049" s="36">
        <f t="shared" si="189"/>
        <v>1</v>
      </c>
      <c r="X2049" t="str">
        <f t="shared" si="190"/>
        <v>Inactive</v>
      </c>
      <c r="Y2049" t="str">
        <f>IF(MAIN!$H$3="Selected Year",IF(A2049=MAIN!$B$3,"Yes","No"),IF(MAIN!$H$3="Included Years",IF(D2049="Yes","Yes","No"),IF(C2049="Yes","Yes","No")))</f>
        <v>No</v>
      </c>
      <c r="Z2049" t="str">
        <f>IF(MAIN!$F$3="Project to Date",IF(AND(A2049&gt;=SETTINGS!$B$4,A2049&lt;MAIN!$B$3),"Yes",IF(AND(A2049=MAIN!$B$3,E2049&lt;=MAIN!$L$3),"Yes","No")),IF(OR(MAIN!$F$3="Full Year",MAIN!$D$3="All"),"Yes",IF(MAIN!$F$3="Monthly",IF(E2049=MAIN!$L$3,"Yes","No"),IF(E2049&lt;=MAIN!$L$3,"Yes","No"))))</f>
        <v>Yes</v>
      </c>
      <c r="AA2049" t="str">
        <f t="shared" si="191"/>
        <v>No</v>
      </c>
    </row>
    <row r="2050" spans="1:27" x14ac:dyDescent="0.3">
      <c r="A2050">
        <f>INDEX(SETTINGS!$A$15:$A$24,$B2050)</f>
        <v>2033</v>
      </c>
      <c r="B2050">
        <v>9</v>
      </c>
      <c r="C2050" t="str">
        <f>IF(AND(A2050&gt;=SETTINGS!$B$4,A2050&lt;=SETTINGS!$B$5),"Yes","No")</f>
        <v>No</v>
      </c>
      <c r="D2050" t="str">
        <f>IFERROR(INDEX(SETTINGS!$C$15:$C$24,MATCH(A2050,SETTINGS!$A$15:$A$24,0)),"No")</f>
        <v>No</v>
      </c>
      <c r="E2050">
        <v>12</v>
      </c>
      <c r="F2050" t="s">
        <v>45</v>
      </c>
      <c r="G2050">
        <v>290</v>
      </c>
      <c r="H2050" t="s">
        <v>109</v>
      </c>
      <c r="I2050" t="s">
        <v>22</v>
      </c>
      <c r="J2050" t="s">
        <v>29</v>
      </c>
      <c r="K2050" t="s">
        <v>3</v>
      </c>
      <c r="L2050" s="36">
        <f ca="1">IF(C2050&lt;&gt;"Yes",0,IF(A2050=2025,N('2025'!D290),IF(A2050=2026,N('2026'!D290),IF(A2050=2027,N('2027'!D290),IF(A2050=2028,N('2028'!D290),IF(A2050=2029,N('2029'!D290),IF(A2050=2030,N('2030'!D290),IF(A2050=2031,N('2031'!D290),IF(A2050=2032,N('2032'!D290),IF(A2050=2033,N('2033'!D290),IF(A2050=2034,N('2034'!D290),IFERROR(N(INDIRECT("'"&amp;A2050&amp;"'!D"&amp;G2050)),0))))))))))))</f>
        <v>0</v>
      </c>
      <c r="M2050" s="36">
        <f>IFERROR(IF(NOT(ISBLANK(KPI_TARGETS!$O$20)),KPI_TARGETS!$O$20,IF(NOT(ISBLANK(KPI_TARGETS!$F$20)),KPI_TARGETS!$F$20,"")),"")</f>
        <v>1</v>
      </c>
      <c r="N2050" s="36" t="str">
        <f>IFERROR(KPI_TARGETS!$E$20,"Higher is better")</f>
        <v>Higher is better</v>
      </c>
      <c r="O2050" s="37">
        <f t="shared" ref="O2050:O2113" ca="1" si="192">IF(M2050="","",IF(N2050="Higher is better",IFERROR(L2050/M2050,""),IF(L2050=0,1,IFERROR(M2050/L2050,""))))</f>
        <v>0</v>
      </c>
      <c r="P2050" t="str">
        <f t="shared" ref="P2050:P2113" ca="1" si="193">IF(M2050="","Target Needed",IF(N2050="Higher is better",IF(L2050&gt;=M2050,"Green",IF(L2050&gt;=0.8*M2050,"Amber","Red")),IF(M2050=0,IF(L2050=0,"Green","Red"),IF(L2050&lt;=M2050,"Green",IF(L2050&lt;=1.25*M2050,"Amber","Red")))))</f>
        <v>Red</v>
      </c>
      <c r="Q2050" s="36">
        <f t="shared" ref="Q2050:Q2113" ca="1" si="194">IF(M2050="","",IF(N2050="Higher is better",L2050-M2050,M2050-L2050))</f>
        <v>-1</v>
      </c>
      <c r="R2050" s="36" t="str">
        <f>""</f>
        <v/>
      </c>
      <c r="S2050" s="36" t="str">
        <f>""</f>
        <v/>
      </c>
      <c r="T2050" s="36" t="str">
        <f>""</f>
        <v/>
      </c>
      <c r="U2050" s="36" t="str">
        <f>""</f>
        <v/>
      </c>
      <c r="V2050" s="36" t="str">
        <f>""</f>
        <v/>
      </c>
      <c r="W2050" s="36">
        <f t="shared" ref="W2050:W2113" si="195">IF(LEN(M2050&amp;"")&gt;0,1,0)</f>
        <v>1</v>
      </c>
      <c r="X2050" t="str">
        <f t="shared" ref="X2050:X2113" si="196">IF(C2050&lt;&gt;"Yes","Inactive",IF(M2050="","Missing target","OK"))</f>
        <v>Inactive</v>
      </c>
      <c r="Y2050" t="str">
        <f>IF(MAIN!$H$3="Selected Year",IF(A2050=MAIN!$B$3,"Yes","No"),IF(MAIN!$H$3="Included Years",IF(D2050="Yes","Yes","No"),IF(C2050="Yes","Yes","No")))</f>
        <v>No</v>
      </c>
      <c r="Z2050" t="str">
        <f>IF(MAIN!$F$3="Project to Date",IF(AND(A2050&gt;=SETTINGS!$B$4,A2050&lt;MAIN!$B$3),"Yes",IF(AND(A2050=MAIN!$B$3,E2050&lt;=MAIN!$L$3),"Yes","No")),IF(OR(MAIN!$F$3="Full Year",MAIN!$D$3="All"),"Yes",IF(MAIN!$F$3="Monthly",IF(E2050=MAIN!$L$3,"Yes","No"),IF(E2050&lt;=MAIN!$L$3,"Yes","No"))))</f>
        <v>Yes</v>
      </c>
      <c r="AA2050" t="str">
        <f t="shared" ref="AA2050:AA2113" si="197">IF(AND(Y2050="Yes",Z2050="Yes"),"Yes","No")</f>
        <v>No</v>
      </c>
    </row>
    <row r="2051" spans="1:27" x14ac:dyDescent="0.3">
      <c r="A2051">
        <f>INDEX(SETTINGS!$A$15:$A$24,$B2051)</f>
        <v>2033</v>
      </c>
      <c r="B2051">
        <v>9</v>
      </c>
      <c r="C2051" t="str">
        <f>IF(AND(A2051&gt;=SETTINGS!$B$4,A2051&lt;=SETTINGS!$B$5),"Yes","No")</f>
        <v>No</v>
      </c>
      <c r="D2051" t="str">
        <f>IFERROR(INDEX(SETTINGS!$C$15:$C$24,MATCH(A2051,SETTINGS!$A$15:$A$24,0)),"No")</f>
        <v>No</v>
      </c>
      <c r="E2051">
        <v>12</v>
      </c>
      <c r="F2051" t="s">
        <v>45</v>
      </c>
      <c r="G2051">
        <v>292</v>
      </c>
      <c r="H2051" t="s">
        <v>110</v>
      </c>
      <c r="I2051" t="s">
        <v>30</v>
      </c>
      <c r="J2051" t="s">
        <v>31</v>
      </c>
      <c r="K2051" t="s">
        <v>3</v>
      </c>
      <c r="L2051" s="36">
        <f ca="1">IF(C2051&lt;&gt;"Yes",0,IF(A2051=2025,N('2025'!D292),IF(A2051=2026,N('2026'!D292),IF(A2051=2027,N('2027'!D292),IF(A2051=2028,N('2028'!D292),IF(A2051=2029,N('2029'!D292),IF(A2051=2030,N('2030'!D292),IF(A2051=2031,N('2031'!D292),IF(A2051=2032,N('2032'!D292),IF(A2051=2033,N('2033'!D292),IF(A2051=2034,N('2034'!D292),IFERROR(N(INDIRECT("'"&amp;A2051&amp;"'!D"&amp;G2051)),0))))))))))))</f>
        <v>0</v>
      </c>
      <c r="M2051" s="36">
        <f>IFERROR(IF(NOT(ISBLANK(KPI_TARGETS!$O$21)),KPI_TARGETS!$O$21,IF(NOT(ISBLANK(KPI_TARGETS!$F$21)),KPI_TARGETS!$F$21,"")),"")</f>
        <v>0</v>
      </c>
      <c r="N2051" s="36" t="str">
        <f>IFERROR(KPI_TARGETS!$E$21,"Higher is better")</f>
        <v>Lower is better</v>
      </c>
      <c r="O2051" s="37">
        <f t="shared" ca="1" si="192"/>
        <v>1</v>
      </c>
      <c r="P2051" t="str">
        <f t="shared" ca="1" si="193"/>
        <v>Green</v>
      </c>
      <c r="Q2051" s="36">
        <f t="shared" ca="1" si="194"/>
        <v>0</v>
      </c>
      <c r="R2051" s="36" t="str">
        <f>""</f>
        <v/>
      </c>
      <c r="S2051" s="36" t="str">
        <f>""</f>
        <v/>
      </c>
      <c r="T2051" s="36" t="str">
        <f>""</f>
        <v/>
      </c>
      <c r="U2051" s="36" t="str">
        <f>""</f>
        <v/>
      </c>
      <c r="V2051" s="36" t="str">
        <f>""</f>
        <v/>
      </c>
      <c r="W2051" s="36">
        <f t="shared" si="195"/>
        <v>1</v>
      </c>
      <c r="X2051" t="str">
        <f t="shared" si="196"/>
        <v>Inactive</v>
      </c>
      <c r="Y2051" t="str">
        <f>IF(MAIN!$H$3="Selected Year",IF(A2051=MAIN!$B$3,"Yes","No"),IF(MAIN!$H$3="Included Years",IF(D2051="Yes","Yes","No"),IF(C2051="Yes","Yes","No")))</f>
        <v>No</v>
      </c>
      <c r="Z2051" t="str">
        <f>IF(MAIN!$F$3="Project to Date",IF(AND(A2051&gt;=SETTINGS!$B$4,A2051&lt;MAIN!$B$3),"Yes",IF(AND(A2051=MAIN!$B$3,E2051&lt;=MAIN!$L$3),"Yes","No")),IF(OR(MAIN!$F$3="Full Year",MAIN!$D$3="All"),"Yes",IF(MAIN!$F$3="Monthly",IF(E2051=MAIN!$L$3,"Yes","No"),IF(E2051&lt;=MAIN!$L$3,"Yes","No"))))</f>
        <v>Yes</v>
      </c>
      <c r="AA2051" t="str">
        <f t="shared" si="197"/>
        <v>No</v>
      </c>
    </row>
    <row r="2052" spans="1:27" x14ac:dyDescent="0.3">
      <c r="A2052">
        <f>INDEX(SETTINGS!$A$15:$A$24,$B2052)</f>
        <v>2033</v>
      </c>
      <c r="B2052">
        <v>9</v>
      </c>
      <c r="C2052" t="str">
        <f>IF(AND(A2052&gt;=SETTINGS!$B$4,A2052&lt;=SETTINGS!$B$5),"Yes","No")</f>
        <v>No</v>
      </c>
      <c r="D2052" t="str">
        <f>IFERROR(INDEX(SETTINGS!$C$15:$C$24,MATCH(A2052,SETTINGS!$A$15:$A$24,0)),"No")</f>
        <v>No</v>
      </c>
      <c r="E2052">
        <v>12</v>
      </c>
      <c r="F2052" t="s">
        <v>45</v>
      </c>
      <c r="G2052">
        <v>293</v>
      </c>
      <c r="H2052" t="s">
        <v>111</v>
      </c>
      <c r="I2052" t="s">
        <v>30</v>
      </c>
      <c r="J2052" t="s">
        <v>32</v>
      </c>
      <c r="K2052" t="s">
        <v>3</v>
      </c>
      <c r="L2052" s="36">
        <f ca="1">IF(C2052&lt;&gt;"Yes",0,IF(A2052=2025,N('2025'!D293),IF(A2052=2026,N('2026'!D293),IF(A2052=2027,N('2027'!D293),IF(A2052=2028,N('2028'!D293),IF(A2052=2029,N('2029'!D293),IF(A2052=2030,N('2030'!D293),IF(A2052=2031,N('2031'!D293),IF(A2052=2032,N('2032'!D293),IF(A2052=2033,N('2033'!D293),IF(A2052=2034,N('2034'!D293),IFERROR(N(INDIRECT("'"&amp;A2052&amp;"'!D"&amp;G2052)),0))))))))))))</f>
        <v>0</v>
      </c>
      <c r="M2052" s="36">
        <f>IFERROR(IF(NOT(ISBLANK(KPI_TARGETS!$O$22)),KPI_TARGETS!$O$22,IF(NOT(ISBLANK(KPI_TARGETS!$F$22)),KPI_TARGETS!$F$22,"")),"")</f>
        <v>1</v>
      </c>
      <c r="N2052" s="36" t="str">
        <f>IFERROR(KPI_TARGETS!$E$22,"Higher is better")</f>
        <v>Higher is better</v>
      </c>
      <c r="O2052" s="37">
        <f t="shared" ca="1" si="192"/>
        <v>0</v>
      </c>
      <c r="P2052" t="str">
        <f t="shared" ca="1" si="193"/>
        <v>Red</v>
      </c>
      <c r="Q2052" s="36">
        <f t="shared" ca="1" si="194"/>
        <v>-1</v>
      </c>
      <c r="R2052" s="36" t="str">
        <f>""</f>
        <v/>
      </c>
      <c r="S2052" s="36" t="str">
        <f>""</f>
        <v/>
      </c>
      <c r="T2052" s="36" t="str">
        <f>""</f>
        <v/>
      </c>
      <c r="U2052" s="36" t="str">
        <f>""</f>
        <v/>
      </c>
      <c r="V2052" s="36" t="str">
        <f>""</f>
        <v/>
      </c>
      <c r="W2052" s="36">
        <f t="shared" si="195"/>
        <v>1</v>
      </c>
      <c r="X2052" t="str">
        <f t="shared" si="196"/>
        <v>Inactive</v>
      </c>
      <c r="Y2052" t="str">
        <f>IF(MAIN!$H$3="Selected Year",IF(A2052=MAIN!$B$3,"Yes","No"),IF(MAIN!$H$3="Included Years",IF(D2052="Yes","Yes","No"),IF(C2052="Yes","Yes","No")))</f>
        <v>No</v>
      </c>
      <c r="Z2052" t="str">
        <f>IF(MAIN!$F$3="Project to Date",IF(AND(A2052&gt;=SETTINGS!$B$4,A2052&lt;MAIN!$B$3),"Yes",IF(AND(A2052=MAIN!$B$3,E2052&lt;=MAIN!$L$3),"Yes","No")),IF(OR(MAIN!$F$3="Full Year",MAIN!$D$3="All"),"Yes",IF(MAIN!$F$3="Monthly",IF(E2052=MAIN!$L$3,"Yes","No"),IF(E2052&lt;=MAIN!$L$3,"Yes","No"))))</f>
        <v>Yes</v>
      </c>
      <c r="AA2052" t="str">
        <f t="shared" si="197"/>
        <v>No</v>
      </c>
    </row>
    <row r="2053" spans="1:27" x14ac:dyDescent="0.3">
      <c r="A2053">
        <f>INDEX(SETTINGS!$A$15:$A$24,$B2053)</f>
        <v>2033</v>
      </c>
      <c r="B2053">
        <v>9</v>
      </c>
      <c r="C2053" t="str">
        <f>IF(AND(A2053&gt;=SETTINGS!$B$4,A2053&lt;=SETTINGS!$B$5),"Yes","No")</f>
        <v>No</v>
      </c>
      <c r="D2053" t="str">
        <f>IFERROR(INDEX(SETTINGS!$C$15:$C$24,MATCH(A2053,SETTINGS!$A$15:$A$24,0)),"No")</f>
        <v>No</v>
      </c>
      <c r="E2053">
        <v>12</v>
      </c>
      <c r="F2053" t="s">
        <v>45</v>
      </c>
      <c r="G2053">
        <v>294</v>
      </c>
      <c r="H2053" t="s">
        <v>112</v>
      </c>
      <c r="I2053" t="s">
        <v>30</v>
      </c>
      <c r="J2053" t="s">
        <v>33</v>
      </c>
      <c r="K2053" t="s">
        <v>34</v>
      </c>
      <c r="L2053" s="36">
        <f ca="1">IF(C2053&lt;&gt;"Yes",0,IF(A2053=2025,N('2025'!D294),IF(A2053=2026,N('2026'!D294),IF(A2053=2027,N('2027'!D294),IF(A2053=2028,N('2028'!D294),IF(A2053=2029,N('2029'!D294),IF(A2053=2030,N('2030'!D294),IF(A2053=2031,N('2031'!D294),IF(A2053=2032,N('2032'!D294),IF(A2053=2033,N('2033'!D294),IF(A2053=2034,N('2034'!D294),IFERROR(N(INDIRECT("'"&amp;A2053&amp;"'!D"&amp;G2053)),0))))))))))))</f>
        <v>0</v>
      </c>
      <c r="M2053" s="36">
        <f>IFERROR(IF(NOT(ISBLANK(KPI_TARGETS!$O$23)),KPI_TARGETS!$O$23,IF(NOT(ISBLANK(KPI_TARGETS!$F$23)),KPI_TARGETS!$F$23,"")),"")</f>
        <v>1</v>
      </c>
      <c r="N2053" s="36" t="str">
        <f>IFERROR(KPI_TARGETS!$E$23,"Higher is better")</f>
        <v>Higher is better</v>
      </c>
      <c r="O2053" s="37">
        <f t="shared" ca="1" si="192"/>
        <v>0</v>
      </c>
      <c r="P2053" t="str">
        <f t="shared" ca="1" si="193"/>
        <v>Red</v>
      </c>
      <c r="Q2053" s="36">
        <f t="shared" ca="1" si="194"/>
        <v>-1</v>
      </c>
      <c r="R2053" s="36" t="str">
        <f>""</f>
        <v/>
      </c>
      <c r="S2053" s="36" t="str">
        <f>""</f>
        <v/>
      </c>
      <c r="T2053" s="36" t="str">
        <f>""</f>
        <v/>
      </c>
      <c r="U2053" s="36" t="str">
        <f>""</f>
        <v/>
      </c>
      <c r="V2053" s="36" t="str">
        <f>""</f>
        <v/>
      </c>
      <c r="W2053" s="36">
        <f t="shared" si="195"/>
        <v>1</v>
      </c>
      <c r="X2053" t="str">
        <f t="shared" si="196"/>
        <v>Inactive</v>
      </c>
      <c r="Y2053" t="str">
        <f>IF(MAIN!$H$3="Selected Year",IF(A2053=MAIN!$B$3,"Yes","No"),IF(MAIN!$H$3="Included Years",IF(D2053="Yes","Yes","No"),IF(C2053="Yes","Yes","No")))</f>
        <v>No</v>
      </c>
      <c r="Z2053" t="str">
        <f>IF(MAIN!$F$3="Project to Date",IF(AND(A2053&gt;=SETTINGS!$B$4,A2053&lt;MAIN!$B$3),"Yes",IF(AND(A2053=MAIN!$B$3,E2053&lt;=MAIN!$L$3),"Yes","No")),IF(OR(MAIN!$F$3="Full Year",MAIN!$D$3="All"),"Yes",IF(MAIN!$F$3="Monthly",IF(E2053=MAIN!$L$3,"Yes","No"),IF(E2053&lt;=MAIN!$L$3,"Yes","No"))))</f>
        <v>Yes</v>
      </c>
      <c r="AA2053" t="str">
        <f t="shared" si="197"/>
        <v>No</v>
      </c>
    </row>
    <row r="2054" spans="1:27" x14ac:dyDescent="0.3">
      <c r="A2054">
        <f>INDEX(SETTINGS!$A$15:$A$24,$B2054)</f>
        <v>2034</v>
      </c>
      <c r="B2054">
        <v>10</v>
      </c>
      <c r="C2054" t="str">
        <f>IF(AND(A2054&gt;=SETTINGS!$B$4,A2054&lt;=SETTINGS!$B$5),"Yes","No")</f>
        <v>No</v>
      </c>
      <c r="D2054" t="str">
        <f>IFERROR(INDEX(SETTINGS!$C$15:$C$24,MATCH(A2054,SETTINGS!$A$15:$A$24,0)),"No")</f>
        <v>No</v>
      </c>
      <c r="E2054">
        <v>1</v>
      </c>
      <c r="F2054" t="s">
        <v>2</v>
      </c>
      <c r="G2054">
        <v>9</v>
      </c>
      <c r="H2054" t="s">
        <v>88</v>
      </c>
      <c r="I2054" t="s">
        <v>89</v>
      </c>
      <c r="J2054" t="s">
        <v>10</v>
      </c>
      <c r="K2054" t="s">
        <v>3</v>
      </c>
      <c r="L2054" s="36">
        <f ca="1">IF(C2054&lt;&gt;"Yes",0,IF(A2054=2025,N('2025'!D9),IF(A2054=2026,N('2026'!D9),IF(A2054=2027,N('2027'!D9),IF(A2054=2028,N('2028'!D9),IF(A2054=2029,N('2029'!D9),IF(A2054=2030,N('2030'!D9),IF(A2054=2031,N('2031'!D9),IF(A2054=2032,N('2032'!D9),IF(A2054=2033,N('2033'!D9),IF(A2054=2034,N('2034'!D9),IFERROR(N(INDIRECT("'"&amp;A2054&amp;"'!D"&amp;G2054)),0))))))))))))</f>
        <v>0</v>
      </c>
      <c r="M2054" s="36">
        <f>IFERROR(IF(NOT(ISBLANK(KPI_TARGETS!$P$5)),KPI_TARGETS!$P$5,IF(NOT(ISBLANK(KPI_TARGETS!$F$5)),KPI_TARGETS!$F$5,"")),"")</f>
        <v>104</v>
      </c>
      <c r="N2054" s="36" t="str">
        <f>IFERROR(KPI_TARGETS!$E$5,"Higher is better")</f>
        <v>Higher is better</v>
      </c>
      <c r="O2054" s="37">
        <f t="shared" ca="1" si="192"/>
        <v>0</v>
      </c>
      <c r="P2054" t="str">
        <f t="shared" ca="1" si="193"/>
        <v>Red</v>
      </c>
      <c r="Q2054" s="36">
        <f t="shared" ca="1" si="194"/>
        <v>-104</v>
      </c>
      <c r="R2054" s="36" t="str">
        <f>""</f>
        <v/>
      </c>
      <c r="S2054" s="36" t="str">
        <f>""</f>
        <v/>
      </c>
      <c r="T2054" s="36" t="str">
        <f>""</f>
        <v/>
      </c>
      <c r="U2054" s="36" t="str">
        <f>""</f>
        <v/>
      </c>
      <c r="V2054" s="36" t="str">
        <f>""</f>
        <v/>
      </c>
      <c r="W2054" s="36">
        <f t="shared" si="195"/>
        <v>1</v>
      </c>
      <c r="X2054" t="str">
        <f t="shared" si="196"/>
        <v>Inactive</v>
      </c>
      <c r="Y2054" t="str">
        <f>IF(MAIN!$H$3="Selected Year",IF(A2054=MAIN!$B$3,"Yes","No"),IF(MAIN!$H$3="Included Years",IF(D2054="Yes","Yes","No"),IF(C2054="Yes","Yes","No")))</f>
        <v>No</v>
      </c>
      <c r="Z2054" t="str">
        <f>IF(MAIN!$F$3="Project to Date",IF(AND(A2054&gt;=SETTINGS!$B$4,A2054&lt;MAIN!$B$3),"Yes",IF(AND(A2054=MAIN!$B$3,E2054&lt;=MAIN!$L$3),"Yes","No")),IF(OR(MAIN!$F$3="Full Year",MAIN!$D$3="All"),"Yes",IF(MAIN!$F$3="Monthly",IF(E2054=MAIN!$L$3,"Yes","No"),IF(E2054&lt;=MAIN!$L$3,"Yes","No"))))</f>
        <v>Yes</v>
      </c>
      <c r="AA2054" t="str">
        <f t="shared" si="197"/>
        <v>No</v>
      </c>
    </row>
    <row r="2055" spans="1:27" x14ac:dyDescent="0.3">
      <c r="A2055">
        <f>INDEX(SETTINGS!$A$15:$A$24,$B2055)</f>
        <v>2034</v>
      </c>
      <c r="B2055">
        <v>10</v>
      </c>
      <c r="C2055" t="str">
        <f>IF(AND(A2055&gt;=SETTINGS!$B$4,A2055&lt;=SETTINGS!$B$5),"Yes","No")</f>
        <v>No</v>
      </c>
      <c r="D2055" t="str">
        <f>IFERROR(INDEX(SETTINGS!$C$15:$C$24,MATCH(A2055,SETTINGS!$A$15:$A$24,0)),"No")</f>
        <v>No</v>
      </c>
      <c r="E2055">
        <v>1</v>
      </c>
      <c r="F2055" t="s">
        <v>2</v>
      </c>
      <c r="G2055">
        <v>10</v>
      </c>
      <c r="H2055" t="s">
        <v>91</v>
      </c>
      <c r="I2055" t="s">
        <v>89</v>
      </c>
      <c r="J2055" t="s">
        <v>11</v>
      </c>
      <c r="K2055" t="s">
        <v>12</v>
      </c>
      <c r="L2055" s="36">
        <f ca="1">IF(C2055&lt;&gt;"Yes",0,IF(A2055=2025,N('2025'!D10),IF(A2055=2026,N('2026'!D10),IF(A2055=2027,N('2027'!D10),IF(A2055=2028,N('2028'!D10),IF(A2055=2029,N('2029'!D10),IF(A2055=2030,N('2030'!D10),IF(A2055=2031,N('2031'!D10),IF(A2055=2032,N('2032'!D10),IF(A2055=2033,N('2033'!D10),IF(A2055=2034,N('2034'!D10),IFERROR(N(INDIRECT("'"&amp;A2055&amp;"'!D"&amp;G2055)),0))))))))))))</f>
        <v>0</v>
      </c>
      <c r="M2055" s="36">
        <f>IFERROR(IF(NOT(ISBLANK(KPI_TARGETS!$P$6)),KPI_TARGETS!$P$6,IF(NOT(ISBLANK(KPI_TARGETS!$F$6)),KPI_TARGETS!$F$6,"")),"")</f>
        <v>4000</v>
      </c>
      <c r="N2055" s="36" t="str">
        <f>IFERROR(KPI_TARGETS!$E$6,"Higher is better")</f>
        <v>Higher is better</v>
      </c>
      <c r="O2055" s="37">
        <f t="shared" ca="1" si="192"/>
        <v>0</v>
      </c>
      <c r="P2055" t="str">
        <f t="shared" ca="1" si="193"/>
        <v>Red</v>
      </c>
      <c r="Q2055" s="36">
        <f t="shared" ca="1" si="194"/>
        <v>-4000</v>
      </c>
      <c r="R2055" s="36" t="str">
        <f>""</f>
        <v/>
      </c>
      <c r="S2055" s="36" t="str">
        <f>""</f>
        <v/>
      </c>
      <c r="T2055" s="36" t="str">
        <f>""</f>
        <v/>
      </c>
      <c r="U2055" s="36" t="str">
        <f>""</f>
        <v/>
      </c>
      <c r="V2055" s="36" t="str">
        <f>""</f>
        <v/>
      </c>
      <c r="W2055" s="36">
        <f t="shared" si="195"/>
        <v>1</v>
      </c>
      <c r="X2055" t="str">
        <f t="shared" si="196"/>
        <v>Inactive</v>
      </c>
      <c r="Y2055" t="str">
        <f>IF(MAIN!$H$3="Selected Year",IF(A2055=MAIN!$B$3,"Yes","No"),IF(MAIN!$H$3="Included Years",IF(D2055="Yes","Yes","No"),IF(C2055="Yes","Yes","No")))</f>
        <v>No</v>
      </c>
      <c r="Z2055" t="str">
        <f>IF(MAIN!$F$3="Project to Date",IF(AND(A2055&gt;=SETTINGS!$B$4,A2055&lt;MAIN!$B$3),"Yes",IF(AND(A2055=MAIN!$B$3,E2055&lt;=MAIN!$L$3),"Yes","No")),IF(OR(MAIN!$F$3="Full Year",MAIN!$D$3="All"),"Yes",IF(MAIN!$F$3="Monthly",IF(E2055=MAIN!$L$3,"Yes","No"),IF(E2055&lt;=MAIN!$L$3,"Yes","No"))))</f>
        <v>Yes</v>
      </c>
      <c r="AA2055" t="str">
        <f t="shared" si="197"/>
        <v>No</v>
      </c>
    </row>
    <row r="2056" spans="1:27" x14ac:dyDescent="0.3">
      <c r="A2056">
        <f>INDEX(SETTINGS!$A$15:$A$24,$B2056)</f>
        <v>2034</v>
      </c>
      <c r="B2056">
        <v>10</v>
      </c>
      <c r="C2056" t="str">
        <f>IF(AND(A2056&gt;=SETTINGS!$B$4,A2056&lt;=SETTINGS!$B$5),"Yes","No")</f>
        <v>No</v>
      </c>
      <c r="D2056" t="str">
        <f>IFERROR(INDEX(SETTINGS!$C$15:$C$24,MATCH(A2056,SETTINGS!$A$15:$A$24,0)),"No")</f>
        <v>No</v>
      </c>
      <c r="E2056">
        <v>1</v>
      </c>
      <c r="F2056" t="s">
        <v>2</v>
      </c>
      <c r="G2056">
        <v>11</v>
      </c>
      <c r="H2056" t="s">
        <v>93</v>
      </c>
      <c r="I2056" t="s">
        <v>89</v>
      </c>
      <c r="J2056" t="s">
        <v>13</v>
      </c>
      <c r="K2056" t="s">
        <v>14</v>
      </c>
      <c r="L2056" s="36">
        <f ca="1">IF(C2056&lt;&gt;"Yes",0,IF(A2056=2025,N('2025'!D11),IF(A2056=2026,N('2026'!D11),IF(A2056=2027,N('2027'!D11),IF(A2056=2028,N('2028'!D11),IF(A2056=2029,N('2029'!D11),IF(A2056=2030,N('2030'!D11),IF(A2056=2031,N('2031'!D11),IF(A2056=2032,N('2032'!D11),IF(A2056=2033,N('2033'!D11),IF(A2056=2034,N('2034'!D11),IFERROR(N(INDIRECT("'"&amp;A2056&amp;"'!D"&amp;G2056)),0))))))))))))</f>
        <v>0</v>
      </c>
      <c r="M2056" s="36">
        <f>IFERROR(IF(NOT(ISBLANK(KPI_TARGETS!$P$7)),KPI_TARGETS!$P$7,IF(NOT(ISBLANK(KPI_TARGETS!$F$7)),KPI_TARGETS!$F$7,"")),"")</f>
        <v>8000</v>
      </c>
      <c r="N2056" s="36" t="str">
        <f>IFERROR(KPI_TARGETS!$E$7,"Higher is better")</f>
        <v>Higher is better</v>
      </c>
      <c r="O2056" s="37">
        <f t="shared" ca="1" si="192"/>
        <v>0</v>
      </c>
      <c r="P2056" t="str">
        <f t="shared" ca="1" si="193"/>
        <v>Red</v>
      </c>
      <c r="Q2056" s="36">
        <f t="shared" ca="1" si="194"/>
        <v>-8000</v>
      </c>
      <c r="R2056" s="36" t="str">
        <f>""</f>
        <v/>
      </c>
      <c r="S2056" s="36" t="str">
        <f>""</f>
        <v/>
      </c>
      <c r="T2056" s="36" t="str">
        <f>""</f>
        <v/>
      </c>
      <c r="U2056" s="36" t="str">
        <f>""</f>
        <v/>
      </c>
      <c r="V2056" s="36" t="str">
        <f>""</f>
        <v/>
      </c>
      <c r="W2056" s="36">
        <f t="shared" si="195"/>
        <v>1</v>
      </c>
      <c r="X2056" t="str">
        <f t="shared" si="196"/>
        <v>Inactive</v>
      </c>
      <c r="Y2056" t="str">
        <f>IF(MAIN!$H$3="Selected Year",IF(A2056=MAIN!$B$3,"Yes","No"),IF(MAIN!$H$3="Included Years",IF(D2056="Yes","Yes","No"),IF(C2056="Yes","Yes","No")))</f>
        <v>No</v>
      </c>
      <c r="Z2056" t="str">
        <f>IF(MAIN!$F$3="Project to Date",IF(AND(A2056&gt;=SETTINGS!$B$4,A2056&lt;MAIN!$B$3),"Yes",IF(AND(A2056=MAIN!$B$3,E2056&lt;=MAIN!$L$3),"Yes","No")),IF(OR(MAIN!$F$3="Full Year",MAIN!$D$3="All"),"Yes",IF(MAIN!$F$3="Monthly",IF(E2056=MAIN!$L$3,"Yes","No"),IF(E2056&lt;=MAIN!$L$3,"Yes","No"))))</f>
        <v>Yes</v>
      </c>
      <c r="AA2056" t="str">
        <f t="shared" si="197"/>
        <v>No</v>
      </c>
    </row>
    <row r="2057" spans="1:27" x14ac:dyDescent="0.3">
      <c r="A2057">
        <f>INDEX(SETTINGS!$A$15:$A$24,$B2057)</f>
        <v>2034</v>
      </c>
      <c r="B2057">
        <v>10</v>
      </c>
      <c r="C2057" t="str">
        <f>IF(AND(A2057&gt;=SETTINGS!$B$4,A2057&lt;=SETTINGS!$B$5),"Yes","No")</f>
        <v>No</v>
      </c>
      <c r="D2057" t="str">
        <f>IFERROR(INDEX(SETTINGS!$C$15:$C$24,MATCH(A2057,SETTINGS!$A$15:$A$24,0)),"No")</f>
        <v>No</v>
      </c>
      <c r="E2057">
        <v>1</v>
      </c>
      <c r="F2057" t="s">
        <v>2</v>
      </c>
      <c r="G2057">
        <v>13</v>
      </c>
      <c r="H2057" t="s">
        <v>95</v>
      </c>
      <c r="I2057" t="s">
        <v>15</v>
      </c>
      <c r="J2057" t="s">
        <v>16</v>
      </c>
      <c r="K2057" t="s">
        <v>3</v>
      </c>
      <c r="L2057" s="36">
        <f ca="1">IF(C2057&lt;&gt;"Yes",0,IF(A2057=2025,N('2025'!D13),IF(A2057=2026,N('2026'!D13),IF(A2057=2027,N('2027'!D13),IF(A2057=2028,N('2028'!D13),IF(A2057=2029,N('2029'!D13),IF(A2057=2030,N('2030'!D13),IF(A2057=2031,N('2031'!D13),IF(A2057=2032,N('2032'!D13),IF(A2057=2033,N('2033'!D13),IF(A2057=2034,N('2034'!D13),IFERROR(N(INDIRECT("'"&amp;A2057&amp;"'!D"&amp;G2057)),0))))))))))))</f>
        <v>0</v>
      </c>
      <c r="M2057" s="36">
        <f>IFERROR(IF(NOT(ISBLANK(KPI_TARGETS!$P$8)),KPI_TARGETS!$P$8,IF(NOT(ISBLANK(KPI_TARGETS!$F$8)),KPI_TARGETS!$F$8,"")),"")</f>
        <v>0</v>
      </c>
      <c r="N2057" s="36" t="str">
        <f>IFERROR(KPI_TARGETS!$E$8,"Higher is better")</f>
        <v>Lower is better</v>
      </c>
      <c r="O2057" s="37">
        <f t="shared" ca="1" si="192"/>
        <v>1</v>
      </c>
      <c r="P2057" t="str">
        <f t="shared" ca="1" si="193"/>
        <v>Green</v>
      </c>
      <c r="Q2057" s="36">
        <f t="shared" ca="1" si="194"/>
        <v>0</v>
      </c>
      <c r="R2057" s="36" t="str">
        <f>""</f>
        <v/>
      </c>
      <c r="S2057" s="36" t="str">
        <f>""</f>
        <v/>
      </c>
      <c r="T2057" s="36" t="str">
        <f>""</f>
        <v/>
      </c>
      <c r="U2057" s="36" t="str">
        <f>""</f>
        <v/>
      </c>
      <c r="V2057" s="36" t="str">
        <f>""</f>
        <v/>
      </c>
      <c r="W2057" s="36">
        <f t="shared" si="195"/>
        <v>1</v>
      </c>
      <c r="X2057" t="str">
        <f t="shared" si="196"/>
        <v>Inactive</v>
      </c>
      <c r="Y2057" t="str">
        <f>IF(MAIN!$H$3="Selected Year",IF(A2057=MAIN!$B$3,"Yes","No"),IF(MAIN!$H$3="Included Years",IF(D2057="Yes","Yes","No"),IF(C2057="Yes","Yes","No")))</f>
        <v>No</v>
      </c>
      <c r="Z2057" t="str">
        <f>IF(MAIN!$F$3="Project to Date",IF(AND(A2057&gt;=SETTINGS!$B$4,A2057&lt;MAIN!$B$3),"Yes",IF(AND(A2057=MAIN!$B$3,E2057&lt;=MAIN!$L$3),"Yes","No")),IF(OR(MAIN!$F$3="Full Year",MAIN!$D$3="All"),"Yes",IF(MAIN!$F$3="Monthly",IF(E2057=MAIN!$L$3,"Yes","No"),IF(E2057&lt;=MAIN!$L$3,"Yes","No"))))</f>
        <v>Yes</v>
      </c>
      <c r="AA2057" t="str">
        <f t="shared" si="197"/>
        <v>No</v>
      </c>
    </row>
    <row r="2058" spans="1:27" x14ac:dyDescent="0.3">
      <c r="A2058">
        <f>INDEX(SETTINGS!$A$15:$A$24,$B2058)</f>
        <v>2034</v>
      </c>
      <c r="B2058">
        <v>10</v>
      </c>
      <c r="C2058" t="str">
        <f>IF(AND(A2058&gt;=SETTINGS!$B$4,A2058&lt;=SETTINGS!$B$5),"Yes","No")</f>
        <v>No</v>
      </c>
      <c r="D2058" t="str">
        <f>IFERROR(INDEX(SETTINGS!$C$15:$C$24,MATCH(A2058,SETTINGS!$A$15:$A$24,0)),"No")</f>
        <v>No</v>
      </c>
      <c r="E2058">
        <v>1</v>
      </c>
      <c r="F2058" t="s">
        <v>2</v>
      </c>
      <c r="G2058">
        <v>14</v>
      </c>
      <c r="H2058" t="s">
        <v>97</v>
      </c>
      <c r="I2058" t="s">
        <v>15</v>
      </c>
      <c r="J2058" t="s">
        <v>17</v>
      </c>
      <c r="K2058" t="s">
        <v>3</v>
      </c>
      <c r="L2058" s="36">
        <f ca="1">IF(C2058&lt;&gt;"Yes",0,IF(A2058=2025,N('2025'!D14),IF(A2058=2026,N('2026'!D14),IF(A2058=2027,N('2027'!D14),IF(A2058=2028,N('2028'!D14),IF(A2058=2029,N('2029'!D14),IF(A2058=2030,N('2030'!D14),IF(A2058=2031,N('2031'!D14),IF(A2058=2032,N('2032'!D14),IF(A2058=2033,N('2033'!D14),IF(A2058=2034,N('2034'!D14),IFERROR(N(INDIRECT("'"&amp;A2058&amp;"'!D"&amp;G2058)),0))))))))))))</f>
        <v>0</v>
      </c>
      <c r="M2058" s="36">
        <f>IFERROR(IF(NOT(ISBLANK(KPI_TARGETS!$P$9)),KPI_TARGETS!$P$9,IF(NOT(ISBLANK(KPI_TARGETS!$F$9)),KPI_TARGETS!$F$9,"")),"")</f>
        <v>0</v>
      </c>
      <c r="N2058" s="36" t="str">
        <f>IFERROR(KPI_TARGETS!$E$9,"Higher is better")</f>
        <v>Higher is better</v>
      </c>
      <c r="O2058" s="37" t="str">
        <f t="shared" ca="1" si="192"/>
        <v/>
      </c>
      <c r="P2058" t="str">
        <f t="shared" ca="1" si="193"/>
        <v>Green</v>
      </c>
      <c r="Q2058" s="36">
        <f t="shared" ca="1" si="194"/>
        <v>0</v>
      </c>
      <c r="R2058" s="36" t="str">
        <f>""</f>
        <v/>
      </c>
      <c r="S2058" s="36" t="str">
        <f>""</f>
        <v/>
      </c>
      <c r="T2058" s="36" t="str">
        <f>""</f>
        <v/>
      </c>
      <c r="U2058" s="36" t="str">
        <f>""</f>
        <v/>
      </c>
      <c r="V2058" s="36" t="str">
        <f>""</f>
        <v/>
      </c>
      <c r="W2058" s="36">
        <f t="shared" si="195"/>
        <v>1</v>
      </c>
      <c r="X2058" t="str">
        <f t="shared" si="196"/>
        <v>Inactive</v>
      </c>
      <c r="Y2058" t="str">
        <f>IF(MAIN!$H$3="Selected Year",IF(A2058=MAIN!$B$3,"Yes","No"),IF(MAIN!$H$3="Included Years",IF(D2058="Yes","Yes","No"),IF(C2058="Yes","Yes","No")))</f>
        <v>No</v>
      </c>
      <c r="Z2058" t="str">
        <f>IF(MAIN!$F$3="Project to Date",IF(AND(A2058&gt;=SETTINGS!$B$4,A2058&lt;MAIN!$B$3),"Yes",IF(AND(A2058=MAIN!$B$3,E2058&lt;=MAIN!$L$3),"Yes","No")),IF(OR(MAIN!$F$3="Full Year",MAIN!$D$3="All"),"Yes",IF(MAIN!$F$3="Monthly",IF(E2058=MAIN!$L$3,"Yes","No"),IF(E2058&lt;=MAIN!$L$3,"Yes","No"))))</f>
        <v>Yes</v>
      </c>
      <c r="AA2058" t="str">
        <f t="shared" si="197"/>
        <v>No</v>
      </c>
    </row>
    <row r="2059" spans="1:27" x14ac:dyDescent="0.3">
      <c r="A2059">
        <f>INDEX(SETTINGS!$A$15:$A$24,$B2059)</f>
        <v>2034</v>
      </c>
      <c r="B2059">
        <v>10</v>
      </c>
      <c r="C2059" t="str">
        <f>IF(AND(A2059&gt;=SETTINGS!$B$4,A2059&lt;=SETTINGS!$B$5),"Yes","No")</f>
        <v>No</v>
      </c>
      <c r="D2059" t="str">
        <f>IFERROR(INDEX(SETTINGS!$C$15:$C$24,MATCH(A2059,SETTINGS!$A$15:$A$24,0)),"No")</f>
        <v>No</v>
      </c>
      <c r="E2059">
        <v>1</v>
      </c>
      <c r="F2059" t="s">
        <v>2</v>
      </c>
      <c r="G2059">
        <v>15</v>
      </c>
      <c r="H2059" t="s">
        <v>99</v>
      </c>
      <c r="I2059" t="s">
        <v>15</v>
      </c>
      <c r="J2059" t="s">
        <v>18</v>
      </c>
      <c r="K2059" t="s">
        <v>3</v>
      </c>
      <c r="L2059" s="36">
        <f ca="1">IF(C2059&lt;&gt;"Yes",0,IF(A2059=2025,N('2025'!D15),IF(A2059=2026,N('2026'!D15),IF(A2059=2027,N('2027'!D15),IF(A2059=2028,N('2028'!D15),IF(A2059=2029,N('2029'!D15),IF(A2059=2030,N('2030'!D15),IF(A2059=2031,N('2031'!D15),IF(A2059=2032,N('2032'!D15),IF(A2059=2033,N('2033'!D15),IF(A2059=2034,N('2034'!D15),IFERROR(N(INDIRECT("'"&amp;A2059&amp;"'!D"&amp;G2059)),0))))))))))))</f>
        <v>0</v>
      </c>
      <c r="M2059" s="36">
        <f>IFERROR(IF(NOT(ISBLANK(KPI_TARGETS!$P$10)),KPI_TARGETS!$P$10,IF(NOT(ISBLANK(KPI_TARGETS!$F$10)),KPI_TARGETS!$F$10,"")),"")</f>
        <v>0</v>
      </c>
      <c r="N2059" s="36" t="str">
        <f>IFERROR(KPI_TARGETS!$E$10,"Higher is better")</f>
        <v>Lower is better</v>
      </c>
      <c r="O2059" s="37">
        <f t="shared" ca="1" si="192"/>
        <v>1</v>
      </c>
      <c r="P2059" t="str">
        <f t="shared" ca="1" si="193"/>
        <v>Green</v>
      </c>
      <c r="Q2059" s="36">
        <f t="shared" ca="1" si="194"/>
        <v>0</v>
      </c>
      <c r="R2059" s="36" t="str">
        <f>""</f>
        <v/>
      </c>
      <c r="S2059" s="36" t="str">
        <f>""</f>
        <v/>
      </c>
      <c r="T2059" s="36" t="str">
        <f>""</f>
        <v/>
      </c>
      <c r="U2059" s="36" t="str">
        <f>""</f>
        <v/>
      </c>
      <c r="V2059" s="36" t="str">
        <f>""</f>
        <v/>
      </c>
      <c r="W2059" s="36">
        <f t="shared" si="195"/>
        <v>1</v>
      </c>
      <c r="X2059" t="str">
        <f t="shared" si="196"/>
        <v>Inactive</v>
      </c>
      <c r="Y2059" t="str">
        <f>IF(MAIN!$H$3="Selected Year",IF(A2059=MAIN!$B$3,"Yes","No"),IF(MAIN!$H$3="Included Years",IF(D2059="Yes","Yes","No"),IF(C2059="Yes","Yes","No")))</f>
        <v>No</v>
      </c>
      <c r="Z2059" t="str">
        <f>IF(MAIN!$F$3="Project to Date",IF(AND(A2059&gt;=SETTINGS!$B$4,A2059&lt;MAIN!$B$3),"Yes",IF(AND(A2059=MAIN!$B$3,E2059&lt;=MAIN!$L$3),"Yes","No")),IF(OR(MAIN!$F$3="Full Year",MAIN!$D$3="All"),"Yes",IF(MAIN!$F$3="Monthly",IF(E2059=MAIN!$L$3,"Yes","No"),IF(E2059&lt;=MAIN!$L$3,"Yes","No"))))</f>
        <v>Yes</v>
      </c>
      <c r="AA2059" t="str">
        <f t="shared" si="197"/>
        <v>No</v>
      </c>
    </row>
    <row r="2060" spans="1:27" x14ac:dyDescent="0.3">
      <c r="A2060">
        <f>INDEX(SETTINGS!$A$15:$A$24,$B2060)</f>
        <v>2034</v>
      </c>
      <c r="B2060">
        <v>10</v>
      </c>
      <c r="C2060" t="str">
        <f>IF(AND(A2060&gt;=SETTINGS!$B$4,A2060&lt;=SETTINGS!$B$5),"Yes","No")</f>
        <v>No</v>
      </c>
      <c r="D2060" t="str">
        <f>IFERROR(INDEX(SETTINGS!$C$15:$C$24,MATCH(A2060,SETTINGS!$A$15:$A$24,0)),"No")</f>
        <v>No</v>
      </c>
      <c r="E2060">
        <v>1</v>
      </c>
      <c r="F2060" t="s">
        <v>2</v>
      </c>
      <c r="G2060">
        <v>16</v>
      </c>
      <c r="H2060" t="s">
        <v>100</v>
      </c>
      <c r="I2060" t="s">
        <v>15</v>
      </c>
      <c r="J2060" t="s">
        <v>19</v>
      </c>
      <c r="K2060" t="s">
        <v>3</v>
      </c>
      <c r="L2060" s="36">
        <f ca="1">IF(C2060&lt;&gt;"Yes",0,IF(A2060=2025,N('2025'!D16),IF(A2060=2026,N('2026'!D16),IF(A2060=2027,N('2027'!D16),IF(A2060=2028,N('2028'!D16),IF(A2060=2029,N('2029'!D16),IF(A2060=2030,N('2030'!D16),IF(A2060=2031,N('2031'!D16),IF(A2060=2032,N('2032'!D16),IF(A2060=2033,N('2033'!D16),IF(A2060=2034,N('2034'!D16),IFERROR(N(INDIRECT("'"&amp;A2060&amp;"'!D"&amp;G2060)),0))))))))))))</f>
        <v>0</v>
      </c>
      <c r="M2060" s="36">
        <f>IFERROR(IF(NOT(ISBLANK(KPI_TARGETS!$P$11)),KPI_TARGETS!$P$11,IF(NOT(ISBLANK(KPI_TARGETS!$F$11)),KPI_TARGETS!$F$11,"")),"")</f>
        <v>0</v>
      </c>
      <c r="N2060" s="36" t="str">
        <f>IFERROR(KPI_TARGETS!$E$11,"Higher is better")</f>
        <v>Lower is better</v>
      </c>
      <c r="O2060" s="37">
        <f t="shared" ca="1" si="192"/>
        <v>1</v>
      </c>
      <c r="P2060" t="str">
        <f t="shared" ca="1" si="193"/>
        <v>Green</v>
      </c>
      <c r="Q2060" s="36">
        <f t="shared" ca="1" si="194"/>
        <v>0</v>
      </c>
      <c r="R2060" s="36" t="str">
        <f>""</f>
        <v/>
      </c>
      <c r="S2060" s="36" t="str">
        <f>""</f>
        <v/>
      </c>
      <c r="T2060" s="36" t="str">
        <f>""</f>
        <v/>
      </c>
      <c r="U2060" s="36" t="str">
        <f>""</f>
        <v/>
      </c>
      <c r="V2060" s="36" t="str">
        <f>""</f>
        <v/>
      </c>
      <c r="W2060" s="36">
        <f t="shared" si="195"/>
        <v>1</v>
      </c>
      <c r="X2060" t="str">
        <f t="shared" si="196"/>
        <v>Inactive</v>
      </c>
      <c r="Y2060" t="str">
        <f>IF(MAIN!$H$3="Selected Year",IF(A2060=MAIN!$B$3,"Yes","No"),IF(MAIN!$H$3="Included Years",IF(D2060="Yes","Yes","No"),IF(C2060="Yes","Yes","No")))</f>
        <v>No</v>
      </c>
      <c r="Z2060" t="str">
        <f>IF(MAIN!$F$3="Project to Date",IF(AND(A2060&gt;=SETTINGS!$B$4,A2060&lt;MAIN!$B$3),"Yes",IF(AND(A2060=MAIN!$B$3,E2060&lt;=MAIN!$L$3),"Yes","No")),IF(OR(MAIN!$F$3="Full Year",MAIN!$D$3="All"),"Yes",IF(MAIN!$F$3="Monthly",IF(E2060=MAIN!$L$3,"Yes","No"),IF(E2060&lt;=MAIN!$L$3,"Yes","No"))))</f>
        <v>Yes</v>
      </c>
      <c r="AA2060" t="str">
        <f t="shared" si="197"/>
        <v>No</v>
      </c>
    </row>
    <row r="2061" spans="1:27" x14ac:dyDescent="0.3">
      <c r="A2061">
        <f>INDEX(SETTINGS!$A$15:$A$24,$B2061)</f>
        <v>2034</v>
      </c>
      <c r="B2061">
        <v>10</v>
      </c>
      <c r="C2061" t="str">
        <f>IF(AND(A2061&gt;=SETTINGS!$B$4,A2061&lt;=SETTINGS!$B$5),"Yes","No")</f>
        <v>No</v>
      </c>
      <c r="D2061" t="str">
        <f>IFERROR(INDEX(SETTINGS!$C$15:$C$24,MATCH(A2061,SETTINGS!$A$15:$A$24,0)),"No")</f>
        <v>No</v>
      </c>
      <c r="E2061">
        <v>1</v>
      </c>
      <c r="F2061" t="s">
        <v>2</v>
      </c>
      <c r="G2061">
        <v>17</v>
      </c>
      <c r="H2061" t="s">
        <v>101</v>
      </c>
      <c r="I2061" t="s">
        <v>15</v>
      </c>
      <c r="J2061" t="s">
        <v>20</v>
      </c>
      <c r="K2061" t="s">
        <v>3</v>
      </c>
      <c r="L2061" s="36">
        <f ca="1">IF(C2061&lt;&gt;"Yes",0,IF(A2061=2025,N('2025'!D17),IF(A2061=2026,N('2026'!D17),IF(A2061=2027,N('2027'!D17),IF(A2061=2028,N('2028'!D17),IF(A2061=2029,N('2029'!D17),IF(A2061=2030,N('2030'!D17),IF(A2061=2031,N('2031'!D17),IF(A2061=2032,N('2032'!D17),IF(A2061=2033,N('2033'!D17),IF(A2061=2034,N('2034'!D17),IFERROR(N(INDIRECT("'"&amp;A2061&amp;"'!D"&amp;G2061)),0))))))))))))</f>
        <v>0</v>
      </c>
      <c r="M2061" s="36">
        <f>IFERROR(IF(NOT(ISBLANK(KPI_TARGETS!$P$12)),KPI_TARGETS!$P$12,IF(NOT(ISBLANK(KPI_TARGETS!$F$12)),KPI_TARGETS!$F$12,"")),"")</f>
        <v>0</v>
      </c>
      <c r="N2061" s="36" t="str">
        <f>IFERROR(KPI_TARGETS!$E$12,"Higher is better")</f>
        <v>Lower is better</v>
      </c>
      <c r="O2061" s="37">
        <f t="shared" ca="1" si="192"/>
        <v>1</v>
      </c>
      <c r="P2061" t="str">
        <f t="shared" ca="1" si="193"/>
        <v>Green</v>
      </c>
      <c r="Q2061" s="36">
        <f t="shared" ca="1" si="194"/>
        <v>0</v>
      </c>
      <c r="R2061" s="36" t="str">
        <f>""</f>
        <v/>
      </c>
      <c r="S2061" s="36" t="str">
        <f>""</f>
        <v/>
      </c>
      <c r="T2061" s="36" t="str">
        <f>""</f>
        <v/>
      </c>
      <c r="U2061" s="36" t="str">
        <f>""</f>
        <v/>
      </c>
      <c r="V2061" s="36" t="str">
        <f>""</f>
        <v/>
      </c>
      <c r="W2061" s="36">
        <f t="shared" si="195"/>
        <v>1</v>
      </c>
      <c r="X2061" t="str">
        <f t="shared" si="196"/>
        <v>Inactive</v>
      </c>
      <c r="Y2061" t="str">
        <f>IF(MAIN!$H$3="Selected Year",IF(A2061=MAIN!$B$3,"Yes","No"),IF(MAIN!$H$3="Included Years",IF(D2061="Yes","Yes","No"),IF(C2061="Yes","Yes","No")))</f>
        <v>No</v>
      </c>
      <c r="Z2061" t="str">
        <f>IF(MAIN!$F$3="Project to Date",IF(AND(A2061&gt;=SETTINGS!$B$4,A2061&lt;MAIN!$B$3),"Yes",IF(AND(A2061=MAIN!$B$3,E2061&lt;=MAIN!$L$3),"Yes","No")),IF(OR(MAIN!$F$3="Full Year",MAIN!$D$3="All"),"Yes",IF(MAIN!$F$3="Monthly",IF(E2061=MAIN!$L$3,"Yes","No"),IF(E2061&lt;=MAIN!$L$3,"Yes","No"))))</f>
        <v>Yes</v>
      </c>
      <c r="AA2061" t="str">
        <f t="shared" si="197"/>
        <v>No</v>
      </c>
    </row>
    <row r="2062" spans="1:27" x14ac:dyDescent="0.3">
      <c r="A2062">
        <f>INDEX(SETTINGS!$A$15:$A$24,$B2062)</f>
        <v>2034</v>
      </c>
      <c r="B2062">
        <v>10</v>
      </c>
      <c r="C2062" t="str">
        <f>IF(AND(A2062&gt;=SETTINGS!$B$4,A2062&lt;=SETTINGS!$B$5),"Yes","No")</f>
        <v>No</v>
      </c>
      <c r="D2062" t="str">
        <f>IFERROR(INDEX(SETTINGS!$C$15:$C$24,MATCH(A2062,SETTINGS!$A$15:$A$24,0)),"No")</f>
        <v>No</v>
      </c>
      <c r="E2062">
        <v>1</v>
      </c>
      <c r="F2062" t="s">
        <v>2</v>
      </c>
      <c r="G2062">
        <v>18</v>
      </c>
      <c r="H2062" t="s">
        <v>102</v>
      </c>
      <c r="I2062" t="s">
        <v>15</v>
      </c>
      <c r="J2062" t="s">
        <v>21</v>
      </c>
      <c r="K2062" t="s">
        <v>3</v>
      </c>
      <c r="L2062" s="36">
        <f ca="1">IF(C2062&lt;&gt;"Yes",0,IF(A2062=2025,N('2025'!D18),IF(A2062=2026,N('2026'!D18),IF(A2062=2027,N('2027'!D18),IF(A2062=2028,N('2028'!D18),IF(A2062=2029,N('2029'!D18),IF(A2062=2030,N('2030'!D18),IF(A2062=2031,N('2031'!D18),IF(A2062=2032,N('2032'!D18),IF(A2062=2033,N('2033'!D18),IF(A2062=2034,N('2034'!D18),IFERROR(N(INDIRECT("'"&amp;A2062&amp;"'!D"&amp;G2062)),0))))))))))))</f>
        <v>0</v>
      </c>
      <c r="M2062" s="36">
        <f>IFERROR(IF(NOT(ISBLANK(KPI_TARGETS!$P$13)),KPI_TARGETS!$P$13,IF(NOT(ISBLANK(KPI_TARGETS!$F$13)),KPI_TARGETS!$F$13,"")),"")</f>
        <v>0</v>
      </c>
      <c r="N2062" s="36" t="str">
        <f>IFERROR(KPI_TARGETS!$E$13,"Higher is better")</f>
        <v>Lower is better</v>
      </c>
      <c r="O2062" s="37">
        <f t="shared" ca="1" si="192"/>
        <v>1</v>
      </c>
      <c r="P2062" t="str">
        <f t="shared" ca="1" si="193"/>
        <v>Green</v>
      </c>
      <c r="Q2062" s="36">
        <f t="shared" ca="1" si="194"/>
        <v>0</v>
      </c>
      <c r="R2062" s="36" t="str">
        <f>""</f>
        <v/>
      </c>
      <c r="S2062" s="36" t="str">
        <f>""</f>
        <v/>
      </c>
      <c r="T2062" s="36" t="str">
        <f>""</f>
        <v/>
      </c>
      <c r="U2062" s="36" t="str">
        <f>""</f>
        <v/>
      </c>
      <c r="V2062" s="36" t="str">
        <f>""</f>
        <v/>
      </c>
      <c r="W2062" s="36">
        <f t="shared" si="195"/>
        <v>1</v>
      </c>
      <c r="X2062" t="str">
        <f t="shared" si="196"/>
        <v>Inactive</v>
      </c>
      <c r="Y2062" t="str">
        <f>IF(MAIN!$H$3="Selected Year",IF(A2062=MAIN!$B$3,"Yes","No"),IF(MAIN!$H$3="Included Years",IF(D2062="Yes","Yes","No"),IF(C2062="Yes","Yes","No")))</f>
        <v>No</v>
      </c>
      <c r="Z2062" t="str">
        <f>IF(MAIN!$F$3="Project to Date",IF(AND(A2062&gt;=SETTINGS!$B$4,A2062&lt;MAIN!$B$3),"Yes",IF(AND(A2062=MAIN!$B$3,E2062&lt;=MAIN!$L$3),"Yes","No")),IF(OR(MAIN!$F$3="Full Year",MAIN!$D$3="All"),"Yes",IF(MAIN!$F$3="Monthly",IF(E2062=MAIN!$L$3,"Yes","No"),IF(E2062&lt;=MAIN!$L$3,"Yes","No"))))</f>
        <v>Yes</v>
      </c>
      <c r="AA2062" t="str">
        <f t="shared" si="197"/>
        <v>No</v>
      </c>
    </row>
    <row r="2063" spans="1:27" x14ac:dyDescent="0.3">
      <c r="A2063">
        <f>INDEX(SETTINGS!$A$15:$A$24,$B2063)</f>
        <v>2034</v>
      </c>
      <c r="B2063">
        <v>10</v>
      </c>
      <c r="C2063" t="str">
        <f>IF(AND(A2063&gt;=SETTINGS!$B$4,A2063&lt;=SETTINGS!$B$5),"Yes","No")</f>
        <v>No</v>
      </c>
      <c r="D2063" t="str">
        <f>IFERROR(INDEX(SETTINGS!$C$15:$C$24,MATCH(A2063,SETTINGS!$A$15:$A$24,0)),"No")</f>
        <v>No</v>
      </c>
      <c r="E2063">
        <v>1</v>
      </c>
      <c r="F2063" t="s">
        <v>2</v>
      </c>
      <c r="G2063">
        <v>20</v>
      </c>
      <c r="H2063" t="s">
        <v>103</v>
      </c>
      <c r="I2063" t="s">
        <v>22</v>
      </c>
      <c r="J2063" t="s">
        <v>23</v>
      </c>
      <c r="K2063" t="s">
        <v>3</v>
      </c>
      <c r="L2063" s="36">
        <f ca="1">IF(C2063&lt;&gt;"Yes",0,IF(A2063=2025,N('2025'!D20),IF(A2063=2026,N('2026'!D20),IF(A2063=2027,N('2027'!D20),IF(A2063=2028,N('2028'!D20),IF(A2063=2029,N('2029'!D20),IF(A2063=2030,N('2030'!D20),IF(A2063=2031,N('2031'!D20),IF(A2063=2032,N('2032'!D20),IF(A2063=2033,N('2033'!D20),IF(A2063=2034,N('2034'!D20),IFERROR(N(INDIRECT("'"&amp;A2063&amp;"'!D"&amp;G2063)),0))))))))))))</f>
        <v>0</v>
      </c>
      <c r="M2063" s="36">
        <f>IFERROR(IF(NOT(ISBLANK(KPI_TARGETS!$P$14)),KPI_TARGETS!$P$14,IF(NOT(ISBLANK(KPI_TARGETS!$F$14)),KPI_TARGETS!$F$14,"")),"")</f>
        <v>35</v>
      </c>
      <c r="N2063" s="36" t="str">
        <f>IFERROR(KPI_TARGETS!$E$14,"Higher is better")</f>
        <v>Higher is better</v>
      </c>
      <c r="O2063" s="37">
        <f t="shared" ca="1" si="192"/>
        <v>0</v>
      </c>
      <c r="P2063" t="str">
        <f t="shared" ca="1" si="193"/>
        <v>Red</v>
      </c>
      <c r="Q2063" s="36">
        <f t="shared" ca="1" si="194"/>
        <v>-35</v>
      </c>
      <c r="R2063" s="36" t="str">
        <f>""</f>
        <v/>
      </c>
      <c r="S2063" s="36" t="str">
        <f>""</f>
        <v/>
      </c>
      <c r="T2063" s="36" t="str">
        <f>""</f>
        <v/>
      </c>
      <c r="U2063" s="36" t="str">
        <f>""</f>
        <v/>
      </c>
      <c r="V2063" s="36" t="str">
        <f>""</f>
        <v/>
      </c>
      <c r="W2063" s="36">
        <f t="shared" si="195"/>
        <v>1</v>
      </c>
      <c r="X2063" t="str">
        <f t="shared" si="196"/>
        <v>Inactive</v>
      </c>
      <c r="Y2063" t="str">
        <f>IF(MAIN!$H$3="Selected Year",IF(A2063=MAIN!$B$3,"Yes","No"),IF(MAIN!$H$3="Included Years",IF(D2063="Yes","Yes","No"),IF(C2063="Yes","Yes","No")))</f>
        <v>No</v>
      </c>
      <c r="Z2063" t="str">
        <f>IF(MAIN!$F$3="Project to Date",IF(AND(A2063&gt;=SETTINGS!$B$4,A2063&lt;MAIN!$B$3),"Yes",IF(AND(A2063=MAIN!$B$3,E2063&lt;=MAIN!$L$3),"Yes","No")),IF(OR(MAIN!$F$3="Full Year",MAIN!$D$3="All"),"Yes",IF(MAIN!$F$3="Monthly",IF(E2063=MAIN!$L$3,"Yes","No"),IF(E2063&lt;=MAIN!$L$3,"Yes","No"))))</f>
        <v>Yes</v>
      </c>
      <c r="AA2063" t="str">
        <f t="shared" si="197"/>
        <v>No</v>
      </c>
    </row>
    <row r="2064" spans="1:27" x14ac:dyDescent="0.3">
      <c r="A2064">
        <f>INDEX(SETTINGS!$A$15:$A$24,$B2064)</f>
        <v>2034</v>
      </c>
      <c r="B2064">
        <v>10</v>
      </c>
      <c r="C2064" t="str">
        <f>IF(AND(A2064&gt;=SETTINGS!$B$4,A2064&lt;=SETTINGS!$B$5),"Yes","No")</f>
        <v>No</v>
      </c>
      <c r="D2064" t="str">
        <f>IFERROR(INDEX(SETTINGS!$C$15:$C$24,MATCH(A2064,SETTINGS!$A$15:$A$24,0)),"No")</f>
        <v>No</v>
      </c>
      <c r="E2064">
        <v>1</v>
      </c>
      <c r="F2064" t="s">
        <v>2</v>
      </c>
      <c r="G2064">
        <v>21</v>
      </c>
      <c r="H2064" t="s">
        <v>104</v>
      </c>
      <c r="I2064" t="s">
        <v>22</v>
      </c>
      <c r="J2064" t="s">
        <v>24</v>
      </c>
      <c r="K2064" t="s">
        <v>3</v>
      </c>
      <c r="L2064" s="36">
        <f ca="1">IF(C2064&lt;&gt;"Yes",0,IF(A2064=2025,N('2025'!D21),IF(A2064=2026,N('2026'!D21),IF(A2064=2027,N('2027'!D21),IF(A2064=2028,N('2028'!D21),IF(A2064=2029,N('2029'!D21),IF(A2064=2030,N('2030'!D21),IF(A2064=2031,N('2031'!D21),IF(A2064=2032,N('2032'!D21),IF(A2064=2033,N('2033'!D21),IF(A2064=2034,N('2034'!D21),IFERROR(N(INDIRECT("'"&amp;A2064&amp;"'!D"&amp;G2064)),0))))))))))))</f>
        <v>0</v>
      </c>
      <c r="M2064" s="36">
        <f>IFERROR(IF(NOT(ISBLANK(KPI_TARGETS!$P$15)),KPI_TARGETS!$P$15,IF(NOT(ISBLANK(KPI_TARGETS!$F$15)),KPI_TARGETS!$F$15,"")),"")</f>
        <v>5</v>
      </c>
      <c r="N2064" s="36" t="str">
        <f>IFERROR(KPI_TARGETS!$E$15,"Higher is better")</f>
        <v>Higher is better</v>
      </c>
      <c r="O2064" s="37">
        <f t="shared" ca="1" si="192"/>
        <v>0</v>
      </c>
      <c r="P2064" t="str">
        <f t="shared" ca="1" si="193"/>
        <v>Red</v>
      </c>
      <c r="Q2064" s="36">
        <f t="shared" ca="1" si="194"/>
        <v>-5</v>
      </c>
      <c r="R2064" s="36" t="str">
        <f>""</f>
        <v/>
      </c>
      <c r="S2064" s="36" t="str">
        <f>""</f>
        <v/>
      </c>
      <c r="T2064" s="36" t="str">
        <f>""</f>
        <v/>
      </c>
      <c r="U2064" s="36" t="str">
        <f>""</f>
        <v/>
      </c>
      <c r="V2064" s="36" t="str">
        <f>""</f>
        <v/>
      </c>
      <c r="W2064" s="36">
        <f t="shared" si="195"/>
        <v>1</v>
      </c>
      <c r="X2064" t="str">
        <f t="shared" si="196"/>
        <v>Inactive</v>
      </c>
      <c r="Y2064" t="str">
        <f>IF(MAIN!$H$3="Selected Year",IF(A2064=MAIN!$B$3,"Yes","No"),IF(MAIN!$H$3="Included Years",IF(D2064="Yes","Yes","No"),IF(C2064="Yes","Yes","No")))</f>
        <v>No</v>
      </c>
      <c r="Z2064" t="str">
        <f>IF(MAIN!$F$3="Project to Date",IF(AND(A2064&gt;=SETTINGS!$B$4,A2064&lt;MAIN!$B$3),"Yes",IF(AND(A2064=MAIN!$B$3,E2064&lt;=MAIN!$L$3),"Yes","No")),IF(OR(MAIN!$F$3="Full Year",MAIN!$D$3="All"),"Yes",IF(MAIN!$F$3="Monthly",IF(E2064=MAIN!$L$3,"Yes","No"),IF(E2064&lt;=MAIN!$L$3,"Yes","No"))))</f>
        <v>Yes</v>
      </c>
      <c r="AA2064" t="str">
        <f t="shared" si="197"/>
        <v>No</v>
      </c>
    </row>
    <row r="2065" spans="1:27" x14ac:dyDescent="0.3">
      <c r="A2065">
        <f>INDEX(SETTINGS!$A$15:$A$24,$B2065)</f>
        <v>2034</v>
      </c>
      <c r="B2065">
        <v>10</v>
      </c>
      <c r="C2065" t="str">
        <f>IF(AND(A2065&gt;=SETTINGS!$B$4,A2065&lt;=SETTINGS!$B$5),"Yes","No")</f>
        <v>No</v>
      </c>
      <c r="D2065" t="str">
        <f>IFERROR(INDEX(SETTINGS!$C$15:$C$24,MATCH(A2065,SETTINGS!$A$15:$A$24,0)),"No")</f>
        <v>No</v>
      </c>
      <c r="E2065">
        <v>1</v>
      </c>
      <c r="F2065" t="s">
        <v>2</v>
      </c>
      <c r="G2065">
        <v>22</v>
      </c>
      <c r="H2065" t="s">
        <v>105</v>
      </c>
      <c r="I2065" t="s">
        <v>22</v>
      </c>
      <c r="J2065" t="s">
        <v>25</v>
      </c>
      <c r="K2065" t="s">
        <v>3</v>
      </c>
      <c r="L2065" s="36">
        <f ca="1">IF(C2065&lt;&gt;"Yes",0,IF(A2065=2025,N('2025'!D22),IF(A2065=2026,N('2026'!D22),IF(A2065=2027,N('2027'!D22),IF(A2065=2028,N('2028'!D22),IF(A2065=2029,N('2029'!D22),IF(A2065=2030,N('2030'!D22),IF(A2065=2031,N('2031'!D22),IF(A2065=2032,N('2032'!D22),IF(A2065=2033,N('2033'!D22),IF(A2065=2034,N('2034'!D22),IFERROR(N(INDIRECT("'"&amp;A2065&amp;"'!D"&amp;G2065)),0))))))))))))</f>
        <v>0</v>
      </c>
      <c r="M2065" s="36">
        <f>IFERROR(IF(NOT(ISBLANK(KPI_TARGETS!$P$16)),KPI_TARGETS!$P$16,IF(NOT(ISBLANK(KPI_TARGETS!$F$16)),KPI_TARGETS!$F$16,"")),"")</f>
        <v>4</v>
      </c>
      <c r="N2065" s="36" t="str">
        <f>IFERROR(KPI_TARGETS!$E$16,"Higher is better")</f>
        <v>Higher is better</v>
      </c>
      <c r="O2065" s="37">
        <f t="shared" ca="1" si="192"/>
        <v>0</v>
      </c>
      <c r="P2065" t="str">
        <f t="shared" ca="1" si="193"/>
        <v>Red</v>
      </c>
      <c r="Q2065" s="36">
        <f t="shared" ca="1" si="194"/>
        <v>-4</v>
      </c>
      <c r="R2065" s="36" t="str">
        <f>""</f>
        <v/>
      </c>
      <c r="S2065" s="36" t="str">
        <f>""</f>
        <v/>
      </c>
      <c r="T2065" s="36" t="str">
        <f>""</f>
        <v/>
      </c>
      <c r="U2065" s="36" t="str">
        <f>""</f>
        <v/>
      </c>
      <c r="V2065" s="36" t="str">
        <f>""</f>
        <v/>
      </c>
      <c r="W2065" s="36">
        <f t="shared" si="195"/>
        <v>1</v>
      </c>
      <c r="X2065" t="str">
        <f t="shared" si="196"/>
        <v>Inactive</v>
      </c>
      <c r="Y2065" t="str">
        <f>IF(MAIN!$H$3="Selected Year",IF(A2065=MAIN!$B$3,"Yes","No"),IF(MAIN!$H$3="Included Years",IF(D2065="Yes","Yes","No"),IF(C2065="Yes","Yes","No")))</f>
        <v>No</v>
      </c>
      <c r="Z2065" t="str">
        <f>IF(MAIN!$F$3="Project to Date",IF(AND(A2065&gt;=SETTINGS!$B$4,A2065&lt;MAIN!$B$3),"Yes",IF(AND(A2065=MAIN!$B$3,E2065&lt;=MAIN!$L$3),"Yes","No")),IF(OR(MAIN!$F$3="Full Year",MAIN!$D$3="All"),"Yes",IF(MAIN!$F$3="Monthly",IF(E2065=MAIN!$L$3,"Yes","No"),IF(E2065&lt;=MAIN!$L$3,"Yes","No"))))</f>
        <v>Yes</v>
      </c>
      <c r="AA2065" t="str">
        <f t="shared" si="197"/>
        <v>No</v>
      </c>
    </row>
    <row r="2066" spans="1:27" x14ac:dyDescent="0.3">
      <c r="A2066">
        <f>INDEX(SETTINGS!$A$15:$A$24,$B2066)</f>
        <v>2034</v>
      </c>
      <c r="B2066">
        <v>10</v>
      </c>
      <c r="C2066" t="str">
        <f>IF(AND(A2066&gt;=SETTINGS!$B$4,A2066&lt;=SETTINGS!$B$5),"Yes","No")</f>
        <v>No</v>
      </c>
      <c r="D2066" t="str">
        <f>IFERROR(INDEX(SETTINGS!$C$15:$C$24,MATCH(A2066,SETTINGS!$A$15:$A$24,0)),"No")</f>
        <v>No</v>
      </c>
      <c r="E2066">
        <v>1</v>
      </c>
      <c r="F2066" t="s">
        <v>2</v>
      </c>
      <c r="G2066">
        <v>23</v>
      </c>
      <c r="H2066" t="s">
        <v>106</v>
      </c>
      <c r="I2066" t="s">
        <v>22</v>
      </c>
      <c r="J2066" t="s">
        <v>26</v>
      </c>
      <c r="K2066" t="s">
        <v>3</v>
      </c>
      <c r="L2066" s="36">
        <f ca="1">IF(C2066&lt;&gt;"Yes",0,IF(A2066=2025,N('2025'!D23),IF(A2066=2026,N('2026'!D23),IF(A2066=2027,N('2027'!D23),IF(A2066=2028,N('2028'!D23),IF(A2066=2029,N('2029'!D23),IF(A2066=2030,N('2030'!D23),IF(A2066=2031,N('2031'!D23),IF(A2066=2032,N('2032'!D23),IF(A2066=2033,N('2033'!D23),IF(A2066=2034,N('2034'!D23),IFERROR(N(INDIRECT("'"&amp;A2066&amp;"'!D"&amp;G2066)),0))))))))))))</f>
        <v>0</v>
      </c>
      <c r="M2066" s="36">
        <f>IFERROR(IF(NOT(ISBLANK(KPI_TARGETS!$P$17)),KPI_TARGETS!$P$17,IF(NOT(ISBLANK(KPI_TARGETS!$F$17)),KPI_TARGETS!$F$17,"")),"")</f>
        <v>12</v>
      </c>
      <c r="N2066" s="36" t="str">
        <f>IFERROR(KPI_TARGETS!$E$17,"Higher is better")</f>
        <v>Higher is better</v>
      </c>
      <c r="O2066" s="37">
        <f t="shared" ca="1" si="192"/>
        <v>0</v>
      </c>
      <c r="P2066" t="str">
        <f t="shared" ca="1" si="193"/>
        <v>Red</v>
      </c>
      <c r="Q2066" s="36">
        <f t="shared" ca="1" si="194"/>
        <v>-12</v>
      </c>
      <c r="R2066" s="36" t="str">
        <f>""</f>
        <v/>
      </c>
      <c r="S2066" s="36" t="str">
        <f>""</f>
        <v/>
      </c>
      <c r="T2066" s="36" t="str">
        <f>""</f>
        <v/>
      </c>
      <c r="U2066" s="36" t="str">
        <f>""</f>
        <v/>
      </c>
      <c r="V2066" s="36" t="str">
        <f>""</f>
        <v/>
      </c>
      <c r="W2066" s="36">
        <f t="shared" si="195"/>
        <v>1</v>
      </c>
      <c r="X2066" t="str">
        <f t="shared" si="196"/>
        <v>Inactive</v>
      </c>
      <c r="Y2066" t="str">
        <f>IF(MAIN!$H$3="Selected Year",IF(A2066=MAIN!$B$3,"Yes","No"),IF(MAIN!$H$3="Included Years",IF(D2066="Yes","Yes","No"),IF(C2066="Yes","Yes","No")))</f>
        <v>No</v>
      </c>
      <c r="Z2066" t="str">
        <f>IF(MAIN!$F$3="Project to Date",IF(AND(A2066&gt;=SETTINGS!$B$4,A2066&lt;MAIN!$B$3),"Yes",IF(AND(A2066=MAIN!$B$3,E2066&lt;=MAIN!$L$3),"Yes","No")),IF(OR(MAIN!$F$3="Full Year",MAIN!$D$3="All"),"Yes",IF(MAIN!$F$3="Monthly",IF(E2066=MAIN!$L$3,"Yes","No"),IF(E2066&lt;=MAIN!$L$3,"Yes","No"))))</f>
        <v>Yes</v>
      </c>
      <c r="AA2066" t="str">
        <f t="shared" si="197"/>
        <v>No</v>
      </c>
    </row>
    <row r="2067" spans="1:27" x14ac:dyDescent="0.3">
      <c r="A2067">
        <f>INDEX(SETTINGS!$A$15:$A$24,$B2067)</f>
        <v>2034</v>
      </c>
      <c r="B2067">
        <v>10</v>
      </c>
      <c r="C2067" t="str">
        <f>IF(AND(A2067&gt;=SETTINGS!$B$4,A2067&lt;=SETTINGS!$B$5),"Yes","No")</f>
        <v>No</v>
      </c>
      <c r="D2067" t="str">
        <f>IFERROR(INDEX(SETTINGS!$C$15:$C$24,MATCH(A2067,SETTINGS!$A$15:$A$24,0)),"No")</f>
        <v>No</v>
      </c>
      <c r="E2067">
        <v>1</v>
      </c>
      <c r="F2067" t="s">
        <v>2</v>
      </c>
      <c r="G2067">
        <v>24</v>
      </c>
      <c r="H2067" t="s">
        <v>107</v>
      </c>
      <c r="I2067" t="s">
        <v>22</v>
      </c>
      <c r="J2067" t="s">
        <v>27</v>
      </c>
      <c r="K2067" t="s">
        <v>3</v>
      </c>
      <c r="L2067" s="36">
        <f ca="1">IF(C2067&lt;&gt;"Yes",0,IF(A2067=2025,N('2025'!D24),IF(A2067=2026,N('2026'!D24),IF(A2067=2027,N('2027'!D24),IF(A2067=2028,N('2028'!D24),IF(A2067=2029,N('2029'!D24),IF(A2067=2030,N('2030'!D24),IF(A2067=2031,N('2031'!D24),IF(A2067=2032,N('2032'!D24),IF(A2067=2033,N('2033'!D24),IF(A2067=2034,N('2034'!D24),IFERROR(N(INDIRECT("'"&amp;A2067&amp;"'!D"&amp;G2067)),0))))))))))))</f>
        <v>0</v>
      </c>
      <c r="M2067" s="36">
        <f>IFERROR(IF(NOT(ISBLANK(KPI_TARGETS!$P$18)),KPI_TARGETS!$P$18,IF(NOT(ISBLANK(KPI_TARGETS!$F$18)),KPI_TARGETS!$F$18,"")),"")</f>
        <v>4</v>
      </c>
      <c r="N2067" s="36" t="str">
        <f>IFERROR(KPI_TARGETS!$E$18,"Higher is better")</f>
        <v>Higher is better</v>
      </c>
      <c r="O2067" s="37">
        <f t="shared" ca="1" si="192"/>
        <v>0</v>
      </c>
      <c r="P2067" t="str">
        <f t="shared" ca="1" si="193"/>
        <v>Red</v>
      </c>
      <c r="Q2067" s="36">
        <f t="shared" ca="1" si="194"/>
        <v>-4</v>
      </c>
      <c r="R2067" s="36" t="str">
        <f>""</f>
        <v/>
      </c>
      <c r="S2067" s="36" t="str">
        <f>""</f>
        <v/>
      </c>
      <c r="T2067" s="36" t="str">
        <f>""</f>
        <v/>
      </c>
      <c r="U2067" s="36" t="str">
        <f>""</f>
        <v/>
      </c>
      <c r="V2067" s="36" t="str">
        <f>""</f>
        <v/>
      </c>
      <c r="W2067" s="36">
        <f t="shared" si="195"/>
        <v>1</v>
      </c>
      <c r="X2067" t="str">
        <f t="shared" si="196"/>
        <v>Inactive</v>
      </c>
      <c r="Y2067" t="str">
        <f>IF(MAIN!$H$3="Selected Year",IF(A2067=MAIN!$B$3,"Yes","No"),IF(MAIN!$H$3="Included Years",IF(D2067="Yes","Yes","No"),IF(C2067="Yes","Yes","No")))</f>
        <v>No</v>
      </c>
      <c r="Z2067" t="str">
        <f>IF(MAIN!$F$3="Project to Date",IF(AND(A2067&gt;=SETTINGS!$B$4,A2067&lt;MAIN!$B$3),"Yes",IF(AND(A2067=MAIN!$B$3,E2067&lt;=MAIN!$L$3),"Yes","No")),IF(OR(MAIN!$F$3="Full Year",MAIN!$D$3="All"),"Yes",IF(MAIN!$F$3="Monthly",IF(E2067=MAIN!$L$3,"Yes","No"),IF(E2067&lt;=MAIN!$L$3,"Yes","No"))))</f>
        <v>Yes</v>
      </c>
      <c r="AA2067" t="str">
        <f t="shared" si="197"/>
        <v>No</v>
      </c>
    </row>
    <row r="2068" spans="1:27" x14ac:dyDescent="0.3">
      <c r="A2068">
        <f>INDEX(SETTINGS!$A$15:$A$24,$B2068)</f>
        <v>2034</v>
      </c>
      <c r="B2068">
        <v>10</v>
      </c>
      <c r="C2068" t="str">
        <f>IF(AND(A2068&gt;=SETTINGS!$B$4,A2068&lt;=SETTINGS!$B$5),"Yes","No")</f>
        <v>No</v>
      </c>
      <c r="D2068" t="str">
        <f>IFERROR(INDEX(SETTINGS!$C$15:$C$24,MATCH(A2068,SETTINGS!$A$15:$A$24,0)),"No")</f>
        <v>No</v>
      </c>
      <c r="E2068">
        <v>1</v>
      </c>
      <c r="F2068" t="s">
        <v>2</v>
      </c>
      <c r="G2068">
        <v>25</v>
      </c>
      <c r="H2068" t="s">
        <v>108</v>
      </c>
      <c r="I2068" t="s">
        <v>22</v>
      </c>
      <c r="J2068" t="s">
        <v>28</v>
      </c>
      <c r="K2068" t="s">
        <v>3</v>
      </c>
      <c r="L2068" s="36">
        <f ca="1">IF(C2068&lt;&gt;"Yes",0,IF(A2068=2025,N('2025'!D25),IF(A2068=2026,N('2026'!D25),IF(A2068=2027,N('2027'!D25),IF(A2068=2028,N('2028'!D25),IF(A2068=2029,N('2029'!D25),IF(A2068=2030,N('2030'!D25),IF(A2068=2031,N('2031'!D25),IF(A2068=2032,N('2032'!D25),IF(A2068=2033,N('2033'!D25),IF(A2068=2034,N('2034'!D25),IFERROR(N(INDIRECT("'"&amp;A2068&amp;"'!D"&amp;G2068)),0))))))))))))</f>
        <v>0</v>
      </c>
      <c r="M2068" s="36">
        <f>IFERROR(IF(NOT(ISBLANK(KPI_TARGETS!$P$19)),KPI_TARGETS!$P$19,IF(NOT(ISBLANK(KPI_TARGETS!$F$19)),KPI_TARGETS!$F$19,"")),"")</f>
        <v>16</v>
      </c>
      <c r="N2068" s="36" t="str">
        <f>IFERROR(KPI_TARGETS!$E$19,"Higher is better")</f>
        <v>Higher is better</v>
      </c>
      <c r="O2068" s="37">
        <f t="shared" ca="1" si="192"/>
        <v>0</v>
      </c>
      <c r="P2068" t="str">
        <f t="shared" ca="1" si="193"/>
        <v>Red</v>
      </c>
      <c r="Q2068" s="36">
        <f t="shared" ca="1" si="194"/>
        <v>-16</v>
      </c>
      <c r="R2068" s="36" t="str">
        <f>""</f>
        <v/>
      </c>
      <c r="S2068" s="36" t="str">
        <f>""</f>
        <v/>
      </c>
      <c r="T2068" s="36" t="str">
        <f>""</f>
        <v/>
      </c>
      <c r="U2068" s="36" t="str">
        <f>""</f>
        <v/>
      </c>
      <c r="V2068" s="36" t="str">
        <f>""</f>
        <v/>
      </c>
      <c r="W2068" s="36">
        <f t="shared" si="195"/>
        <v>1</v>
      </c>
      <c r="X2068" t="str">
        <f t="shared" si="196"/>
        <v>Inactive</v>
      </c>
      <c r="Y2068" t="str">
        <f>IF(MAIN!$H$3="Selected Year",IF(A2068=MAIN!$B$3,"Yes","No"),IF(MAIN!$H$3="Included Years",IF(D2068="Yes","Yes","No"),IF(C2068="Yes","Yes","No")))</f>
        <v>No</v>
      </c>
      <c r="Z2068" t="str">
        <f>IF(MAIN!$F$3="Project to Date",IF(AND(A2068&gt;=SETTINGS!$B$4,A2068&lt;MAIN!$B$3),"Yes",IF(AND(A2068=MAIN!$B$3,E2068&lt;=MAIN!$L$3),"Yes","No")),IF(OR(MAIN!$F$3="Full Year",MAIN!$D$3="All"),"Yes",IF(MAIN!$F$3="Monthly",IF(E2068=MAIN!$L$3,"Yes","No"),IF(E2068&lt;=MAIN!$L$3,"Yes","No"))))</f>
        <v>Yes</v>
      </c>
      <c r="AA2068" t="str">
        <f t="shared" si="197"/>
        <v>No</v>
      </c>
    </row>
    <row r="2069" spans="1:27" x14ac:dyDescent="0.3">
      <c r="A2069">
        <f>INDEX(SETTINGS!$A$15:$A$24,$B2069)</f>
        <v>2034</v>
      </c>
      <c r="B2069">
        <v>10</v>
      </c>
      <c r="C2069" t="str">
        <f>IF(AND(A2069&gt;=SETTINGS!$B$4,A2069&lt;=SETTINGS!$B$5),"Yes","No")</f>
        <v>No</v>
      </c>
      <c r="D2069" t="str">
        <f>IFERROR(INDEX(SETTINGS!$C$15:$C$24,MATCH(A2069,SETTINGS!$A$15:$A$24,0)),"No")</f>
        <v>No</v>
      </c>
      <c r="E2069">
        <v>1</v>
      </c>
      <c r="F2069" t="s">
        <v>2</v>
      </c>
      <c r="G2069">
        <v>26</v>
      </c>
      <c r="H2069" t="s">
        <v>109</v>
      </c>
      <c r="I2069" t="s">
        <v>22</v>
      </c>
      <c r="J2069" t="s">
        <v>29</v>
      </c>
      <c r="K2069" t="s">
        <v>3</v>
      </c>
      <c r="L2069" s="36">
        <f ca="1">IF(C2069&lt;&gt;"Yes",0,IF(A2069=2025,N('2025'!D26),IF(A2069=2026,N('2026'!D26),IF(A2069=2027,N('2027'!D26),IF(A2069=2028,N('2028'!D26),IF(A2069=2029,N('2029'!D26),IF(A2069=2030,N('2030'!D26),IF(A2069=2031,N('2031'!D26),IF(A2069=2032,N('2032'!D26),IF(A2069=2033,N('2033'!D26),IF(A2069=2034,N('2034'!D26),IFERROR(N(INDIRECT("'"&amp;A2069&amp;"'!D"&amp;G2069)),0))))))))))))</f>
        <v>0</v>
      </c>
      <c r="M2069" s="36">
        <f>IFERROR(IF(NOT(ISBLANK(KPI_TARGETS!$P$20)),KPI_TARGETS!$P$20,IF(NOT(ISBLANK(KPI_TARGETS!$F$20)),KPI_TARGETS!$F$20,"")),"")</f>
        <v>1</v>
      </c>
      <c r="N2069" s="36" t="str">
        <f>IFERROR(KPI_TARGETS!$E$20,"Higher is better")</f>
        <v>Higher is better</v>
      </c>
      <c r="O2069" s="37">
        <f t="shared" ca="1" si="192"/>
        <v>0</v>
      </c>
      <c r="P2069" t="str">
        <f t="shared" ca="1" si="193"/>
        <v>Red</v>
      </c>
      <c r="Q2069" s="36">
        <f t="shared" ca="1" si="194"/>
        <v>-1</v>
      </c>
      <c r="R2069" s="36" t="str">
        <f>""</f>
        <v/>
      </c>
      <c r="S2069" s="36" t="str">
        <f>""</f>
        <v/>
      </c>
      <c r="T2069" s="36" t="str">
        <f>""</f>
        <v/>
      </c>
      <c r="U2069" s="36" t="str">
        <f>""</f>
        <v/>
      </c>
      <c r="V2069" s="36" t="str">
        <f>""</f>
        <v/>
      </c>
      <c r="W2069" s="36">
        <f t="shared" si="195"/>
        <v>1</v>
      </c>
      <c r="X2069" t="str">
        <f t="shared" si="196"/>
        <v>Inactive</v>
      </c>
      <c r="Y2069" t="str">
        <f>IF(MAIN!$H$3="Selected Year",IF(A2069=MAIN!$B$3,"Yes","No"),IF(MAIN!$H$3="Included Years",IF(D2069="Yes","Yes","No"),IF(C2069="Yes","Yes","No")))</f>
        <v>No</v>
      </c>
      <c r="Z2069" t="str">
        <f>IF(MAIN!$F$3="Project to Date",IF(AND(A2069&gt;=SETTINGS!$B$4,A2069&lt;MAIN!$B$3),"Yes",IF(AND(A2069=MAIN!$B$3,E2069&lt;=MAIN!$L$3),"Yes","No")),IF(OR(MAIN!$F$3="Full Year",MAIN!$D$3="All"),"Yes",IF(MAIN!$F$3="Monthly",IF(E2069=MAIN!$L$3,"Yes","No"),IF(E2069&lt;=MAIN!$L$3,"Yes","No"))))</f>
        <v>Yes</v>
      </c>
      <c r="AA2069" t="str">
        <f t="shared" si="197"/>
        <v>No</v>
      </c>
    </row>
    <row r="2070" spans="1:27" x14ac:dyDescent="0.3">
      <c r="A2070">
        <f>INDEX(SETTINGS!$A$15:$A$24,$B2070)</f>
        <v>2034</v>
      </c>
      <c r="B2070">
        <v>10</v>
      </c>
      <c r="C2070" t="str">
        <f>IF(AND(A2070&gt;=SETTINGS!$B$4,A2070&lt;=SETTINGS!$B$5),"Yes","No")</f>
        <v>No</v>
      </c>
      <c r="D2070" t="str">
        <f>IFERROR(INDEX(SETTINGS!$C$15:$C$24,MATCH(A2070,SETTINGS!$A$15:$A$24,0)),"No")</f>
        <v>No</v>
      </c>
      <c r="E2070">
        <v>1</v>
      </c>
      <c r="F2070" t="s">
        <v>2</v>
      </c>
      <c r="G2070">
        <v>28</v>
      </c>
      <c r="H2070" t="s">
        <v>110</v>
      </c>
      <c r="I2070" t="s">
        <v>30</v>
      </c>
      <c r="J2070" t="s">
        <v>31</v>
      </c>
      <c r="K2070" t="s">
        <v>3</v>
      </c>
      <c r="L2070" s="36">
        <f ca="1">IF(C2070&lt;&gt;"Yes",0,IF(A2070=2025,N('2025'!D28),IF(A2070=2026,N('2026'!D28),IF(A2070=2027,N('2027'!D28),IF(A2070=2028,N('2028'!D28),IF(A2070=2029,N('2029'!D28),IF(A2070=2030,N('2030'!D28),IF(A2070=2031,N('2031'!D28),IF(A2070=2032,N('2032'!D28),IF(A2070=2033,N('2033'!D28),IF(A2070=2034,N('2034'!D28),IFERROR(N(INDIRECT("'"&amp;A2070&amp;"'!D"&amp;G2070)),0))))))))))))</f>
        <v>0</v>
      </c>
      <c r="M2070" s="36">
        <f>IFERROR(IF(NOT(ISBLANK(KPI_TARGETS!$P$21)),KPI_TARGETS!$P$21,IF(NOT(ISBLANK(KPI_TARGETS!$F$21)),KPI_TARGETS!$F$21,"")),"")</f>
        <v>0</v>
      </c>
      <c r="N2070" s="36" t="str">
        <f>IFERROR(KPI_TARGETS!$E$21,"Higher is better")</f>
        <v>Lower is better</v>
      </c>
      <c r="O2070" s="37">
        <f t="shared" ca="1" si="192"/>
        <v>1</v>
      </c>
      <c r="P2070" t="str">
        <f t="shared" ca="1" si="193"/>
        <v>Green</v>
      </c>
      <c r="Q2070" s="36">
        <f t="shared" ca="1" si="194"/>
        <v>0</v>
      </c>
      <c r="R2070" s="36" t="str">
        <f>""</f>
        <v/>
      </c>
      <c r="S2070" s="36" t="str">
        <f>""</f>
        <v/>
      </c>
      <c r="T2070" s="36" t="str">
        <f>""</f>
        <v/>
      </c>
      <c r="U2070" s="36" t="str">
        <f>""</f>
        <v/>
      </c>
      <c r="V2070" s="36" t="str">
        <f>""</f>
        <v/>
      </c>
      <c r="W2070" s="36">
        <f t="shared" si="195"/>
        <v>1</v>
      </c>
      <c r="X2070" t="str">
        <f t="shared" si="196"/>
        <v>Inactive</v>
      </c>
      <c r="Y2070" t="str">
        <f>IF(MAIN!$H$3="Selected Year",IF(A2070=MAIN!$B$3,"Yes","No"),IF(MAIN!$H$3="Included Years",IF(D2070="Yes","Yes","No"),IF(C2070="Yes","Yes","No")))</f>
        <v>No</v>
      </c>
      <c r="Z2070" t="str">
        <f>IF(MAIN!$F$3="Project to Date",IF(AND(A2070&gt;=SETTINGS!$B$4,A2070&lt;MAIN!$B$3),"Yes",IF(AND(A2070=MAIN!$B$3,E2070&lt;=MAIN!$L$3),"Yes","No")),IF(OR(MAIN!$F$3="Full Year",MAIN!$D$3="All"),"Yes",IF(MAIN!$F$3="Monthly",IF(E2070=MAIN!$L$3,"Yes","No"),IF(E2070&lt;=MAIN!$L$3,"Yes","No"))))</f>
        <v>Yes</v>
      </c>
      <c r="AA2070" t="str">
        <f t="shared" si="197"/>
        <v>No</v>
      </c>
    </row>
    <row r="2071" spans="1:27" x14ac:dyDescent="0.3">
      <c r="A2071">
        <f>INDEX(SETTINGS!$A$15:$A$24,$B2071)</f>
        <v>2034</v>
      </c>
      <c r="B2071">
        <v>10</v>
      </c>
      <c r="C2071" t="str">
        <f>IF(AND(A2071&gt;=SETTINGS!$B$4,A2071&lt;=SETTINGS!$B$5),"Yes","No")</f>
        <v>No</v>
      </c>
      <c r="D2071" t="str">
        <f>IFERROR(INDEX(SETTINGS!$C$15:$C$24,MATCH(A2071,SETTINGS!$A$15:$A$24,0)),"No")</f>
        <v>No</v>
      </c>
      <c r="E2071">
        <v>1</v>
      </c>
      <c r="F2071" t="s">
        <v>2</v>
      </c>
      <c r="G2071">
        <v>29</v>
      </c>
      <c r="H2071" t="s">
        <v>111</v>
      </c>
      <c r="I2071" t="s">
        <v>30</v>
      </c>
      <c r="J2071" t="s">
        <v>32</v>
      </c>
      <c r="K2071" t="s">
        <v>3</v>
      </c>
      <c r="L2071" s="36">
        <f ca="1">IF(C2071&lt;&gt;"Yes",0,IF(A2071=2025,N('2025'!D29),IF(A2071=2026,N('2026'!D29),IF(A2071=2027,N('2027'!D29),IF(A2071=2028,N('2028'!D29),IF(A2071=2029,N('2029'!D29),IF(A2071=2030,N('2030'!D29),IF(A2071=2031,N('2031'!D29),IF(A2071=2032,N('2032'!D29),IF(A2071=2033,N('2033'!D29),IF(A2071=2034,N('2034'!D29),IFERROR(N(INDIRECT("'"&amp;A2071&amp;"'!D"&amp;G2071)),0))))))))))))</f>
        <v>0</v>
      </c>
      <c r="M2071" s="36">
        <f>IFERROR(IF(NOT(ISBLANK(KPI_TARGETS!$P$22)),KPI_TARGETS!$P$22,IF(NOT(ISBLANK(KPI_TARGETS!$F$22)),KPI_TARGETS!$F$22,"")),"")</f>
        <v>1</v>
      </c>
      <c r="N2071" s="36" t="str">
        <f>IFERROR(KPI_TARGETS!$E$22,"Higher is better")</f>
        <v>Higher is better</v>
      </c>
      <c r="O2071" s="37">
        <f t="shared" ca="1" si="192"/>
        <v>0</v>
      </c>
      <c r="P2071" t="str">
        <f t="shared" ca="1" si="193"/>
        <v>Red</v>
      </c>
      <c r="Q2071" s="36">
        <f t="shared" ca="1" si="194"/>
        <v>-1</v>
      </c>
      <c r="R2071" s="36" t="str">
        <f>""</f>
        <v/>
      </c>
      <c r="S2071" s="36" t="str">
        <f>""</f>
        <v/>
      </c>
      <c r="T2071" s="36" t="str">
        <f>""</f>
        <v/>
      </c>
      <c r="U2071" s="36" t="str">
        <f>""</f>
        <v/>
      </c>
      <c r="V2071" s="36" t="str">
        <f>""</f>
        <v/>
      </c>
      <c r="W2071" s="36">
        <f t="shared" si="195"/>
        <v>1</v>
      </c>
      <c r="X2071" t="str">
        <f t="shared" si="196"/>
        <v>Inactive</v>
      </c>
      <c r="Y2071" t="str">
        <f>IF(MAIN!$H$3="Selected Year",IF(A2071=MAIN!$B$3,"Yes","No"),IF(MAIN!$H$3="Included Years",IF(D2071="Yes","Yes","No"),IF(C2071="Yes","Yes","No")))</f>
        <v>No</v>
      </c>
      <c r="Z2071" t="str">
        <f>IF(MAIN!$F$3="Project to Date",IF(AND(A2071&gt;=SETTINGS!$B$4,A2071&lt;MAIN!$B$3),"Yes",IF(AND(A2071=MAIN!$B$3,E2071&lt;=MAIN!$L$3),"Yes","No")),IF(OR(MAIN!$F$3="Full Year",MAIN!$D$3="All"),"Yes",IF(MAIN!$F$3="Monthly",IF(E2071=MAIN!$L$3,"Yes","No"),IF(E2071&lt;=MAIN!$L$3,"Yes","No"))))</f>
        <v>Yes</v>
      </c>
      <c r="AA2071" t="str">
        <f t="shared" si="197"/>
        <v>No</v>
      </c>
    </row>
    <row r="2072" spans="1:27" x14ac:dyDescent="0.3">
      <c r="A2072">
        <f>INDEX(SETTINGS!$A$15:$A$24,$B2072)</f>
        <v>2034</v>
      </c>
      <c r="B2072">
        <v>10</v>
      </c>
      <c r="C2072" t="str">
        <f>IF(AND(A2072&gt;=SETTINGS!$B$4,A2072&lt;=SETTINGS!$B$5),"Yes","No")</f>
        <v>No</v>
      </c>
      <c r="D2072" t="str">
        <f>IFERROR(INDEX(SETTINGS!$C$15:$C$24,MATCH(A2072,SETTINGS!$A$15:$A$24,0)),"No")</f>
        <v>No</v>
      </c>
      <c r="E2072">
        <v>1</v>
      </c>
      <c r="F2072" t="s">
        <v>2</v>
      </c>
      <c r="G2072">
        <v>30</v>
      </c>
      <c r="H2072" t="s">
        <v>112</v>
      </c>
      <c r="I2072" t="s">
        <v>30</v>
      </c>
      <c r="J2072" t="s">
        <v>33</v>
      </c>
      <c r="K2072" t="s">
        <v>34</v>
      </c>
      <c r="L2072" s="36">
        <f ca="1">IF(C2072&lt;&gt;"Yes",0,IF(A2072=2025,N('2025'!D30),IF(A2072=2026,N('2026'!D30),IF(A2072=2027,N('2027'!D30),IF(A2072=2028,N('2028'!D30),IF(A2072=2029,N('2029'!D30),IF(A2072=2030,N('2030'!D30),IF(A2072=2031,N('2031'!D30),IF(A2072=2032,N('2032'!D30),IF(A2072=2033,N('2033'!D30),IF(A2072=2034,N('2034'!D30),IFERROR(N(INDIRECT("'"&amp;A2072&amp;"'!D"&amp;G2072)),0))))))))))))</f>
        <v>0</v>
      </c>
      <c r="M2072" s="36">
        <f>IFERROR(IF(NOT(ISBLANK(KPI_TARGETS!$P$23)),KPI_TARGETS!$P$23,IF(NOT(ISBLANK(KPI_TARGETS!$F$23)),KPI_TARGETS!$F$23,"")),"")</f>
        <v>1</v>
      </c>
      <c r="N2072" s="36" t="str">
        <f>IFERROR(KPI_TARGETS!$E$23,"Higher is better")</f>
        <v>Higher is better</v>
      </c>
      <c r="O2072" s="37">
        <f t="shared" ca="1" si="192"/>
        <v>0</v>
      </c>
      <c r="P2072" t="str">
        <f t="shared" ca="1" si="193"/>
        <v>Red</v>
      </c>
      <c r="Q2072" s="36">
        <f t="shared" ca="1" si="194"/>
        <v>-1</v>
      </c>
      <c r="R2072" s="36" t="str">
        <f>""</f>
        <v/>
      </c>
      <c r="S2072" s="36" t="str">
        <f>""</f>
        <v/>
      </c>
      <c r="T2072" s="36" t="str">
        <f>""</f>
        <v/>
      </c>
      <c r="U2072" s="36" t="str">
        <f>""</f>
        <v/>
      </c>
      <c r="V2072" s="36" t="str">
        <f>""</f>
        <v/>
      </c>
      <c r="W2072" s="36">
        <f t="shared" si="195"/>
        <v>1</v>
      </c>
      <c r="X2072" t="str">
        <f t="shared" si="196"/>
        <v>Inactive</v>
      </c>
      <c r="Y2072" t="str">
        <f>IF(MAIN!$H$3="Selected Year",IF(A2072=MAIN!$B$3,"Yes","No"),IF(MAIN!$H$3="Included Years",IF(D2072="Yes","Yes","No"),IF(C2072="Yes","Yes","No")))</f>
        <v>No</v>
      </c>
      <c r="Z2072" t="str">
        <f>IF(MAIN!$F$3="Project to Date",IF(AND(A2072&gt;=SETTINGS!$B$4,A2072&lt;MAIN!$B$3),"Yes",IF(AND(A2072=MAIN!$B$3,E2072&lt;=MAIN!$L$3),"Yes","No")),IF(OR(MAIN!$F$3="Full Year",MAIN!$D$3="All"),"Yes",IF(MAIN!$F$3="Monthly",IF(E2072=MAIN!$L$3,"Yes","No"),IF(E2072&lt;=MAIN!$L$3,"Yes","No"))))</f>
        <v>Yes</v>
      </c>
      <c r="AA2072" t="str">
        <f t="shared" si="197"/>
        <v>No</v>
      </c>
    </row>
    <row r="2073" spans="1:27" x14ac:dyDescent="0.3">
      <c r="A2073">
        <f>INDEX(SETTINGS!$A$15:$A$24,$B2073)</f>
        <v>2034</v>
      </c>
      <c r="B2073">
        <v>10</v>
      </c>
      <c r="C2073" t="str">
        <f>IF(AND(A2073&gt;=SETTINGS!$B$4,A2073&lt;=SETTINGS!$B$5),"Yes","No")</f>
        <v>No</v>
      </c>
      <c r="D2073" t="str">
        <f>IFERROR(INDEX(SETTINGS!$C$15:$C$24,MATCH(A2073,SETTINGS!$A$15:$A$24,0)),"No")</f>
        <v>No</v>
      </c>
      <c r="E2073">
        <v>2</v>
      </c>
      <c r="F2073" t="s">
        <v>35</v>
      </c>
      <c r="G2073">
        <v>33</v>
      </c>
      <c r="H2073" t="s">
        <v>88</v>
      </c>
      <c r="I2073" t="s">
        <v>89</v>
      </c>
      <c r="J2073" t="s">
        <v>10</v>
      </c>
      <c r="K2073" t="s">
        <v>3</v>
      </c>
      <c r="L2073" s="36">
        <f ca="1">IF(C2073&lt;&gt;"Yes",0,IF(A2073=2025,N('2025'!D33),IF(A2073=2026,N('2026'!D33),IF(A2073=2027,N('2027'!D33),IF(A2073=2028,N('2028'!D33),IF(A2073=2029,N('2029'!D33),IF(A2073=2030,N('2030'!D33),IF(A2073=2031,N('2031'!D33),IF(A2073=2032,N('2032'!D33),IF(A2073=2033,N('2033'!D33),IF(A2073=2034,N('2034'!D33),IFERROR(N(INDIRECT("'"&amp;A2073&amp;"'!D"&amp;G2073)),0))))))))))))</f>
        <v>0</v>
      </c>
      <c r="M2073" s="36">
        <f>IFERROR(IF(NOT(ISBLANK(KPI_TARGETS!$P$5)),KPI_TARGETS!$P$5,IF(NOT(ISBLANK(KPI_TARGETS!$F$5)),KPI_TARGETS!$F$5,"")),"")</f>
        <v>104</v>
      </c>
      <c r="N2073" s="36" t="str">
        <f>IFERROR(KPI_TARGETS!$E$5,"Higher is better")</f>
        <v>Higher is better</v>
      </c>
      <c r="O2073" s="37">
        <f t="shared" ca="1" si="192"/>
        <v>0</v>
      </c>
      <c r="P2073" t="str">
        <f t="shared" ca="1" si="193"/>
        <v>Red</v>
      </c>
      <c r="Q2073" s="36">
        <f t="shared" ca="1" si="194"/>
        <v>-104</v>
      </c>
      <c r="R2073" s="36" t="str">
        <f>""</f>
        <v/>
      </c>
      <c r="S2073" s="36" t="str">
        <f>""</f>
        <v/>
      </c>
      <c r="T2073" s="36" t="str">
        <f>""</f>
        <v/>
      </c>
      <c r="U2073" s="36" t="str">
        <f>""</f>
        <v/>
      </c>
      <c r="V2073" s="36" t="str">
        <f>""</f>
        <v/>
      </c>
      <c r="W2073" s="36">
        <f t="shared" si="195"/>
        <v>1</v>
      </c>
      <c r="X2073" t="str">
        <f t="shared" si="196"/>
        <v>Inactive</v>
      </c>
      <c r="Y2073" t="str">
        <f>IF(MAIN!$H$3="Selected Year",IF(A2073=MAIN!$B$3,"Yes","No"),IF(MAIN!$H$3="Included Years",IF(D2073="Yes","Yes","No"),IF(C2073="Yes","Yes","No")))</f>
        <v>No</v>
      </c>
      <c r="Z2073" t="str">
        <f>IF(MAIN!$F$3="Project to Date",IF(AND(A2073&gt;=SETTINGS!$B$4,A2073&lt;MAIN!$B$3),"Yes",IF(AND(A2073=MAIN!$B$3,E2073&lt;=MAIN!$L$3),"Yes","No")),IF(OR(MAIN!$F$3="Full Year",MAIN!$D$3="All"),"Yes",IF(MAIN!$F$3="Monthly",IF(E2073=MAIN!$L$3,"Yes","No"),IF(E2073&lt;=MAIN!$L$3,"Yes","No"))))</f>
        <v>Yes</v>
      </c>
      <c r="AA2073" t="str">
        <f t="shared" si="197"/>
        <v>No</v>
      </c>
    </row>
    <row r="2074" spans="1:27" x14ac:dyDescent="0.3">
      <c r="A2074">
        <f>INDEX(SETTINGS!$A$15:$A$24,$B2074)</f>
        <v>2034</v>
      </c>
      <c r="B2074">
        <v>10</v>
      </c>
      <c r="C2074" t="str">
        <f>IF(AND(A2074&gt;=SETTINGS!$B$4,A2074&lt;=SETTINGS!$B$5),"Yes","No")</f>
        <v>No</v>
      </c>
      <c r="D2074" t="str">
        <f>IFERROR(INDEX(SETTINGS!$C$15:$C$24,MATCH(A2074,SETTINGS!$A$15:$A$24,0)),"No")</f>
        <v>No</v>
      </c>
      <c r="E2074">
        <v>2</v>
      </c>
      <c r="F2074" t="s">
        <v>35</v>
      </c>
      <c r="G2074">
        <v>34</v>
      </c>
      <c r="H2074" t="s">
        <v>91</v>
      </c>
      <c r="I2074" t="s">
        <v>89</v>
      </c>
      <c r="J2074" t="s">
        <v>11</v>
      </c>
      <c r="K2074" t="s">
        <v>12</v>
      </c>
      <c r="L2074" s="36">
        <f ca="1">IF(C2074&lt;&gt;"Yes",0,IF(A2074=2025,N('2025'!D34),IF(A2074=2026,N('2026'!D34),IF(A2074=2027,N('2027'!D34),IF(A2074=2028,N('2028'!D34),IF(A2074=2029,N('2029'!D34),IF(A2074=2030,N('2030'!D34),IF(A2074=2031,N('2031'!D34),IF(A2074=2032,N('2032'!D34),IF(A2074=2033,N('2033'!D34),IF(A2074=2034,N('2034'!D34),IFERROR(N(INDIRECT("'"&amp;A2074&amp;"'!D"&amp;G2074)),0))))))))))))</f>
        <v>0</v>
      </c>
      <c r="M2074" s="36">
        <f>IFERROR(IF(NOT(ISBLANK(KPI_TARGETS!$P$6)),KPI_TARGETS!$P$6,IF(NOT(ISBLANK(KPI_TARGETS!$F$6)),KPI_TARGETS!$F$6,"")),"")</f>
        <v>4000</v>
      </c>
      <c r="N2074" s="36" t="str">
        <f>IFERROR(KPI_TARGETS!$E$6,"Higher is better")</f>
        <v>Higher is better</v>
      </c>
      <c r="O2074" s="37">
        <f t="shared" ca="1" si="192"/>
        <v>0</v>
      </c>
      <c r="P2074" t="str">
        <f t="shared" ca="1" si="193"/>
        <v>Red</v>
      </c>
      <c r="Q2074" s="36">
        <f t="shared" ca="1" si="194"/>
        <v>-4000</v>
      </c>
      <c r="R2074" s="36" t="str">
        <f>""</f>
        <v/>
      </c>
      <c r="S2074" s="36" t="str">
        <f>""</f>
        <v/>
      </c>
      <c r="T2074" s="36" t="str">
        <f>""</f>
        <v/>
      </c>
      <c r="U2074" s="36" t="str">
        <f>""</f>
        <v/>
      </c>
      <c r="V2074" s="36" t="str">
        <f>""</f>
        <v/>
      </c>
      <c r="W2074" s="36">
        <f t="shared" si="195"/>
        <v>1</v>
      </c>
      <c r="X2074" t="str">
        <f t="shared" si="196"/>
        <v>Inactive</v>
      </c>
      <c r="Y2074" t="str">
        <f>IF(MAIN!$H$3="Selected Year",IF(A2074=MAIN!$B$3,"Yes","No"),IF(MAIN!$H$3="Included Years",IF(D2074="Yes","Yes","No"),IF(C2074="Yes","Yes","No")))</f>
        <v>No</v>
      </c>
      <c r="Z2074" t="str">
        <f>IF(MAIN!$F$3="Project to Date",IF(AND(A2074&gt;=SETTINGS!$B$4,A2074&lt;MAIN!$B$3),"Yes",IF(AND(A2074=MAIN!$B$3,E2074&lt;=MAIN!$L$3),"Yes","No")),IF(OR(MAIN!$F$3="Full Year",MAIN!$D$3="All"),"Yes",IF(MAIN!$F$3="Monthly",IF(E2074=MAIN!$L$3,"Yes","No"),IF(E2074&lt;=MAIN!$L$3,"Yes","No"))))</f>
        <v>Yes</v>
      </c>
      <c r="AA2074" t="str">
        <f t="shared" si="197"/>
        <v>No</v>
      </c>
    </row>
    <row r="2075" spans="1:27" x14ac:dyDescent="0.3">
      <c r="A2075">
        <f>INDEX(SETTINGS!$A$15:$A$24,$B2075)</f>
        <v>2034</v>
      </c>
      <c r="B2075">
        <v>10</v>
      </c>
      <c r="C2075" t="str">
        <f>IF(AND(A2075&gt;=SETTINGS!$B$4,A2075&lt;=SETTINGS!$B$5),"Yes","No")</f>
        <v>No</v>
      </c>
      <c r="D2075" t="str">
        <f>IFERROR(INDEX(SETTINGS!$C$15:$C$24,MATCH(A2075,SETTINGS!$A$15:$A$24,0)),"No")</f>
        <v>No</v>
      </c>
      <c r="E2075">
        <v>2</v>
      </c>
      <c r="F2075" t="s">
        <v>35</v>
      </c>
      <c r="G2075">
        <v>35</v>
      </c>
      <c r="H2075" t="s">
        <v>93</v>
      </c>
      <c r="I2075" t="s">
        <v>89</v>
      </c>
      <c r="J2075" t="s">
        <v>13</v>
      </c>
      <c r="K2075" t="s">
        <v>14</v>
      </c>
      <c r="L2075" s="36">
        <f ca="1">IF(C2075&lt;&gt;"Yes",0,IF(A2075=2025,N('2025'!D35),IF(A2075=2026,N('2026'!D35),IF(A2075=2027,N('2027'!D35),IF(A2075=2028,N('2028'!D35),IF(A2075=2029,N('2029'!D35),IF(A2075=2030,N('2030'!D35),IF(A2075=2031,N('2031'!D35),IF(A2075=2032,N('2032'!D35),IF(A2075=2033,N('2033'!D35),IF(A2075=2034,N('2034'!D35),IFERROR(N(INDIRECT("'"&amp;A2075&amp;"'!D"&amp;G2075)),0))))))))))))</f>
        <v>0</v>
      </c>
      <c r="M2075" s="36">
        <f>IFERROR(IF(NOT(ISBLANK(KPI_TARGETS!$P$7)),KPI_TARGETS!$P$7,IF(NOT(ISBLANK(KPI_TARGETS!$F$7)),KPI_TARGETS!$F$7,"")),"")</f>
        <v>8000</v>
      </c>
      <c r="N2075" s="36" t="str">
        <f>IFERROR(KPI_TARGETS!$E$7,"Higher is better")</f>
        <v>Higher is better</v>
      </c>
      <c r="O2075" s="37">
        <f t="shared" ca="1" si="192"/>
        <v>0</v>
      </c>
      <c r="P2075" t="str">
        <f t="shared" ca="1" si="193"/>
        <v>Red</v>
      </c>
      <c r="Q2075" s="36">
        <f t="shared" ca="1" si="194"/>
        <v>-8000</v>
      </c>
      <c r="R2075" s="36" t="str">
        <f>""</f>
        <v/>
      </c>
      <c r="S2075" s="36" t="str">
        <f>""</f>
        <v/>
      </c>
      <c r="T2075" s="36" t="str">
        <f>""</f>
        <v/>
      </c>
      <c r="U2075" s="36" t="str">
        <f>""</f>
        <v/>
      </c>
      <c r="V2075" s="36" t="str">
        <f>""</f>
        <v/>
      </c>
      <c r="W2075" s="36">
        <f t="shared" si="195"/>
        <v>1</v>
      </c>
      <c r="X2075" t="str">
        <f t="shared" si="196"/>
        <v>Inactive</v>
      </c>
      <c r="Y2075" t="str">
        <f>IF(MAIN!$H$3="Selected Year",IF(A2075=MAIN!$B$3,"Yes","No"),IF(MAIN!$H$3="Included Years",IF(D2075="Yes","Yes","No"),IF(C2075="Yes","Yes","No")))</f>
        <v>No</v>
      </c>
      <c r="Z2075" t="str">
        <f>IF(MAIN!$F$3="Project to Date",IF(AND(A2075&gt;=SETTINGS!$B$4,A2075&lt;MAIN!$B$3),"Yes",IF(AND(A2075=MAIN!$B$3,E2075&lt;=MAIN!$L$3),"Yes","No")),IF(OR(MAIN!$F$3="Full Year",MAIN!$D$3="All"),"Yes",IF(MAIN!$F$3="Monthly",IF(E2075=MAIN!$L$3,"Yes","No"),IF(E2075&lt;=MAIN!$L$3,"Yes","No"))))</f>
        <v>Yes</v>
      </c>
      <c r="AA2075" t="str">
        <f t="shared" si="197"/>
        <v>No</v>
      </c>
    </row>
    <row r="2076" spans="1:27" x14ac:dyDescent="0.3">
      <c r="A2076">
        <f>INDEX(SETTINGS!$A$15:$A$24,$B2076)</f>
        <v>2034</v>
      </c>
      <c r="B2076">
        <v>10</v>
      </c>
      <c r="C2076" t="str">
        <f>IF(AND(A2076&gt;=SETTINGS!$B$4,A2076&lt;=SETTINGS!$B$5),"Yes","No")</f>
        <v>No</v>
      </c>
      <c r="D2076" t="str">
        <f>IFERROR(INDEX(SETTINGS!$C$15:$C$24,MATCH(A2076,SETTINGS!$A$15:$A$24,0)),"No")</f>
        <v>No</v>
      </c>
      <c r="E2076">
        <v>2</v>
      </c>
      <c r="F2076" t="s">
        <v>35</v>
      </c>
      <c r="G2076">
        <v>37</v>
      </c>
      <c r="H2076" t="s">
        <v>95</v>
      </c>
      <c r="I2076" t="s">
        <v>15</v>
      </c>
      <c r="J2076" t="s">
        <v>16</v>
      </c>
      <c r="K2076" t="s">
        <v>3</v>
      </c>
      <c r="L2076" s="36">
        <f ca="1">IF(C2076&lt;&gt;"Yes",0,IF(A2076=2025,N('2025'!D37),IF(A2076=2026,N('2026'!D37),IF(A2076=2027,N('2027'!D37),IF(A2076=2028,N('2028'!D37),IF(A2076=2029,N('2029'!D37),IF(A2076=2030,N('2030'!D37),IF(A2076=2031,N('2031'!D37),IF(A2076=2032,N('2032'!D37),IF(A2076=2033,N('2033'!D37),IF(A2076=2034,N('2034'!D37),IFERROR(N(INDIRECT("'"&amp;A2076&amp;"'!D"&amp;G2076)),0))))))))))))</f>
        <v>0</v>
      </c>
      <c r="M2076" s="36">
        <f>IFERROR(IF(NOT(ISBLANK(KPI_TARGETS!$P$8)),KPI_TARGETS!$P$8,IF(NOT(ISBLANK(KPI_TARGETS!$F$8)),KPI_TARGETS!$F$8,"")),"")</f>
        <v>0</v>
      </c>
      <c r="N2076" s="36" t="str">
        <f>IFERROR(KPI_TARGETS!$E$8,"Higher is better")</f>
        <v>Lower is better</v>
      </c>
      <c r="O2076" s="37">
        <f t="shared" ca="1" si="192"/>
        <v>1</v>
      </c>
      <c r="P2076" t="str">
        <f t="shared" ca="1" si="193"/>
        <v>Green</v>
      </c>
      <c r="Q2076" s="36">
        <f t="shared" ca="1" si="194"/>
        <v>0</v>
      </c>
      <c r="R2076" s="36" t="str">
        <f>""</f>
        <v/>
      </c>
      <c r="S2076" s="36" t="str">
        <f>""</f>
        <v/>
      </c>
      <c r="T2076" s="36" t="str">
        <f>""</f>
        <v/>
      </c>
      <c r="U2076" s="36" t="str">
        <f>""</f>
        <v/>
      </c>
      <c r="V2076" s="36" t="str">
        <f>""</f>
        <v/>
      </c>
      <c r="W2076" s="36">
        <f t="shared" si="195"/>
        <v>1</v>
      </c>
      <c r="X2076" t="str">
        <f t="shared" si="196"/>
        <v>Inactive</v>
      </c>
      <c r="Y2076" t="str">
        <f>IF(MAIN!$H$3="Selected Year",IF(A2076=MAIN!$B$3,"Yes","No"),IF(MAIN!$H$3="Included Years",IF(D2076="Yes","Yes","No"),IF(C2076="Yes","Yes","No")))</f>
        <v>No</v>
      </c>
      <c r="Z2076" t="str">
        <f>IF(MAIN!$F$3="Project to Date",IF(AND(A2076&gt;=SETTINGS!$B$4,A2076&lt;MAIN!$B$3),"Yes",IF(AND(A2076=MAIN!$B$3,E2076&lt;=MAIN!$L$3),"Yes","No")),IF(OR(MAIN!$F$3="Full Year",MAIN!$D$3="All"),"Yes",IF(MAIN!$F$3="Monthly",IF(E2076=MAIN!$L$3,"Yes","No"),IF(E2076&lt;=MAIN!$L$3,"Yes","No"))))</f>
        <v>Yes</v>
      </c>
      <c r="AA2076" t="str">
        <f t="shared" si="197"/>
        <v>No</v>
      </c>
    </row>
    <row r="2077" spans="1:27" x14ac:dyDescent="0.3">
      <c r="A2077">
        <f>INDEX(SETTINGS!$A$15:$A$24,$B2077)</f>
        <v>2034</v>
      </c>
      <c r="B2077">
        <v>10</v>
      </c>
      <c r="C2077" t="str">
        <f>IF(AND(A2077&gt;=SETTINGS!$B$4,A2077&lt;=SETTINGS!$B$5),"Yes","No")</f>
        <v>No</v>
      </c>
      <c r="D2077" t="str">
        <f>IFERROR(INDEX(SETTINGS!$C$15:$C$24,MATCH(A2077,SETTINGS!$A$15:$A$24,0)),"No")</f>
        <v>No</v>
      </c>
      <c r="E2077">
        <v>2</v>
      </c>
      <c r="F2077" t="s">
        <v>35</v>
      </c>
      <c r="G2077">
        <v>38</v>
      </c>
      <c r="H2077" t="s">
        <v>97</v>
      </c>
      <c r="I2077" t="s">
        <v>15</v>
      </c>
      <c r="J2077" t="s">
        <v>17</v>
      </c>
      <c r="K2077" t="s">
        <v>3</v>
      </c>
      <c r="L2077" s="36">
        <f ca="1">IF(C2077&lt;&gt;"Yes",0,IF(A2077=2025,N('2025'!D38),IF(A2077=2026,N('2026'!D38),IF(A2077=2027,N('2027'!D38),IF(A2077=2028,N('2028'!D38),IF(A2077=2029,N('2029'!D38),IF(A2077=2030,N('2030'!D38),IF(A2077=2031,N('2031'!D38),IF(A2077=2032,N('2032'!D38),IF(A2077=2033,N('2033'!D38),IF(A2077=2034,N('2034'!D38),IFERROR(N(INDIRECT("'"&amp;A2077&amp;"'!D"&amp;G2077)),0))))))))))))</f>
        <v>0</v>
      </c>
      <c r="M2077" s="36">
        <f>IFERROR(IF(NOT(ISBLANK(KPI_TARGETS!$P$9)),KPI_TARGETS!$P$9,IF(NOT(ISBLANK(KPI_TARGETS!$F$9)),KPI_TARGETS!$F$9,"")),"")</f>
        <v>0</v>
      </c>
      <c r="N2077" s="36" t="str">
        <f>IFERROR(KPI_TARGETS!$E$9,"Higher is better")</f>
        <v>Higher is better</v>
      </c>
      <c r="O2077" s="37" t="str">
        <f t="shared" ca="1" si="192"/>
        <v/>
      </c>
      <c r="P2077" t="str">
        <f t="shared" ca="1" si="193"/>
        <v>Green</v>
      </c>
      <c r="Q2077" s="36">
        <f t="shared" ca="1" si="194"/>
        <v>0</v>
      </c>
      <c r="R2077" s="36" t="str">
        <f>""</f>
        <v/>
      </c>
      <c r="S2077" s="36" t="str">
        <f>""</f>
        <v/>
      </c>
      <c r="T2077" s="36" t="str">
        <f>""</f>
        <v/>
      </c>
      <c r="U2077" s="36" t="str">
        <f>""</f>
        <v/>
      </c>
      <c r="V2077" s="36" t="str">
        <f>""</f>
        <v/>
      </c>
      <c r="W2077" s="36">
        <f t="shared" si="195"/>
        <v>1</v>
      </c>
      <c r="X2077" t="str">
        <f t="shared" si="196"/>
        <v>Inactive</v>
      </c>
      <c r="Y2077" t="str">
        <f>IF(MAIN!$H$3="Selected Year",IF(A2077=MAIN!$B$3,"Yes","No"),IF(MAIN!$H$3="Included Years",IF(D2077="Yes","Yes","No"),IF(C2077="Yes","Yes","No")))</f>
        <v>No</v>
      </c>
      <c r="Z2077" t="str">
        <f>IF(MAIN!$F$3="Project to Date",IF(AND(A2077&gt;=SETTINGS!$B$4,A2077&lt;MAIN!$B$3),"Yes",IF(AND(A2077=MAIN!$B$3,E2077&lt;=MAIN!$L$3),"Yes","No")),IF(OR(MAIN!$F$3="Full Year",MAIN!$D$3="All"),"Yes",IF(MAIN!$F$3="Monthly",IF(E2077=MAIN!$L$3,"Yes","No"),IF(E2077&lt;=MAIN!$L$3,"Yes","No"))))</f>
        <v>Yes</v>
      </c>
      <c r="AA2077" t="str">
        <f t="shared" si="197"/>
        <v>No</v>
      </c>
    </row>
    <row r="2078" spans="1:27" x14ac:dyDescent="0.3">
      <c r="A2078">
        <f>INDEX(SETTINGS!$A$15:$A$24,$B2078)</f>
        <v>2034</v>
      </c>
      <c r="B2078">
        <v>10</v>
      </c>
      <c r="C2078" t="str">
        <f>IF(AND(A2078&gt;=SETTINGS!$B$4,A2078&lt;=SETTINGS!$B$5),"Yes","No")</f>
        <v>No</v>
      </c>
      <c r="D2078" t="str">
        <f>IFERROR(INDEX(SETTINGS!$C$15:$C$24,MATCH(A2078,SETTINGS!$A$15:$A$24,0)),"No")</f>
        <v>No</v>
      </c>
      <c r="E2078">
        <v>2</v>
      </c>
      <c r="F2078" t="s">
        <v>35</v>
      </c>
      <c r="G2078">
        <v>39</v>
      </c>
      <c r="H2078" t="s">
        <v>99</v>
      </c>
      <c r="I2078" t="s">
        <v>15</v>
      </c>
      <c r="J2078" t="s">
        <v>18</v>
      </c>
      <c r="K2078" t="s">
        <v>3</v>
      </c>
      <c r="L2078" s="36">
        <f ca="1">IF(C2078&lt;&gt;"Yes",0,IF(A2078=2025,N('2025'!D39),IF(A2078=2026,N('2026'!D39),IF(A2078=2027,N('2027'!D39),IF(A2078=2028,N('2028'!D39),IF(A2078=2029,N('2029'!D39),IF(A2078=2030,N('2030'!D39),IF(A2078=2031,N('2031'!D39),IF(A2078=2032,N('2032'!D39),IF(A2078=2033,N('2033'!D39),IF(A2078=2034,N('2034'!D39),IFERROR(N(INDIRECT("'"&amp;A2078&amp;"'!D"&amp;G2078)),0))))))))))))</f>
        <v>0</v>
      </c>
      <c r="M2078" s="36">
        <f>IFERROR(IF(NOT(ISBLANK(KPI_TARGETS!$P$10)),KPI_TARGETS!$P$10,IF(NOT(ISBLANK(KPI_TARGETS!$F$10)),KPI_TARGETS!$F$10,"")),"")</f>
        <v>0</v>
      </c>
      <c r="N2078" s="36" t="str">
        <f>IFERROR(KPI_TARGETS!$E$10,"Higher is better")</f>
        <v>Lower is better</v>
      </c>
      <c r="O2078" s="37">
        <f t="shared" ca="1" si="192"/>
        <v>1</v>
      </c>
      <c r="P2078" t="str">
        <f t="shared" ca="1" si="193"/>
        <v>Green</v>
      </c>
      <c r="Q2078" s="36">
        <f t="shared" ca="1" si="194"/>
        <v>0</v>
      </c>
      <c r="R2078" s="36" t="str">
        <f>""</f>
        <v/>
      </c>
      <c r="S2078" s="36" t="str">
        <f>""</f>
        <v/>
      </c>
      <c r="T2078" s="36" t="str">
        <f>""</f>
        <v/>
      </c>
      <c r="U2078" s="36" t="str">
        <f>""</f>
        <v/>
      </c>
      <c r="V2078" s="36" t="str">
        <f>""</f>
        <v/>
      </c>
      <c r="W2078" s="36">
        <f t="shared" si="195"/>
        <v>1</v>
      </c>
      <c r="X2078" t="str">
        <f t="shared" si="196"/>
        <v>Inactive</v>
      </c>
      <c r="Y2078" t="str">
        <f>IF(MAIN!$H$3="Selected Year",IF(A2078=MAIN!$B$3,"Yes","No"),IF(MAIN!$H$3="Included Years",IF(D2078="Yes","Yes","No"),IF(C2078="Yes","Yes","No")))</f>
        <v>No</v>
      </c>
      <c r="Z2078" t="str">
        <f>IF(MAIN!$F$3="Project to Date",IF(AND(A2078&gt;=SETTINGS!$B$4,A2078&lt;MAIN!$B$3),"Yes",IF(AND(A2078=MAIN!$B$3,E2078&lt;=MAIN!$L$3),"Yes","No")),IF(OR(MAIN!$F$3="Full Year",MAIN!$D$3="All"),"Yes",IF(MAIN!$F$3="Monthly",IF(E2078=MAIN!$L$3,"Yes","No"),IF(E2078&lt;=MAIN!$L$3,"Yes","No"))))</f>
        <v>Yes</v>
      </c>
      <c r="AA2078" t="str">
        <f t="shared" si="197"/>
        <v>No</v>
      </c>
    </row>
    <row r="2079" spans="1:27" x14ac:dyDescent="0.3">
      <c r="A2079">
        <f>INDEX(SETTINGS!$A$15:$A$24,$B2079)</f>
        <v>2034</v>
      </c>
      <c r="B2079">
        <v>10</v>
      </c>
      <c r="C2079" t="str">
        <f>IF(AND(A2079&gt;=SETTINGS!$B$4,A2079&lt;=SETTINGS!$B$5),"Yes","No")</f>
        <v>No</v>
      </c>
      <c r="D2079" t="str">
        <f>IFERROR(INDEX(SETTINGS!$C$15:$C$24,MATCH(A2079,SETTINGS!$A$15:$A$24,0)),"No")</f>
        <v>No</v>
      </c>
      <c r="E2079">
        <v>2</v>
      </c>
      <c r="F2079" t="s">
        <v>35</v>
      </c>
      <c r="G2079">
        <v>40</v>
      </c>
      <c r="H2079" t="s">
        <v>100</v>
      </c>
      <c r="I2079" t="s">
        <v>15</v>
      </c>
      <c r="J2079" t="s">
        <v>19</v>
      </c>
      <c r="K2079" t="s">
        <v>3</v>
      </c>
      <c r="L2079" s="36">
        <f ca="1">IF(C2079&lt;&gt;"Yes",0,IF(A2079=2025,N('2025'!D40),IF(A2079=2026,N('2026'!D40),IF(A2079=2027,N('2027'!D40),IF(A2079=2028,N('2028'!D40),IF(A2079=2029,N('2029'!D40),IF(A2079=2030,N('2030'!D40),IF(A2079=2031,N('2031'!D40),IF(A2079=2032,N('2032'!D40),IF(A2079=2033,N('2033'!D40),IF(A2079=2034,N('2034'!D40),IFERROR(N(INDIRECT("'"&amp;A2079&amp;"'!D"&amp;G2079)),0))))))))))))</f>
        <v>0</v>
      </c>
      <c r="M2079" s="36">
        <f>IFERROR(IF(NOT(ISBLANK(KPI_TARGETS!$P$11)),KPI_TARGETS!$P$11,IF(NOT(ISBLANK(KPI_TARGETS!$F$11)),KPI_TARGETS!$F$11,"")),"")</f>
        <v>0</v>
      </c>
      <c r="N2079" s="36" t="str">
        <f>IFERROR(KPI_TARGETS!$E$11,"Higher is better")</f>
        <v>Lower is better</v>
      </c>
      <c r="O2079" s="37">
        <f t="shared" ca="1" si="192"/>
        <v>1</v>
      </c>
      <c r="P2079" t="str">
        <f t="shared" ca="1" si="193"/>
        <v>Green</v>
      </c>
      <c r="Q2079" s="36">
        <f t="shared" ca="1" si="194"/>
        <v>0</v>
      </c>
      <c r="R2079" s="36" t="str">
        <f>""</f>
        <v/>
      </c>
      <c r="S2079" s="36" t="str">
        <f>""</f>
        <v/>
      </c>
      <c r="T2079" s="36" t="str">
        <f>""</f>
        <v/>
      </c>
      <c r="U2079" s="36" t="str">
        <f>""</f>
        <v/>
      </c>
      <c r="V2079" s="36" t="str">
        <f>""</f>
        <v/>
      </c>
      <c r="W2079" s="36">
        <f t="shared" si="195"/>
        <v>1</v>
      </c>
      <c r="X2079" t="str">
        <f t="shared" si="196"/>
        <v>Inactive</v>
      </c>
      <c r="Y2079" t="str">
        <f>IF(MAIN!$H$3="Selected Year",IF(A2079=MAIN!$B$3,"Yes","No"),IF(MAIN!$H$3="Included Years",IF(D2079="Yes","Yes","No"),IF(C2079="Yes","Yes","No")))</f>
        <v>No</v>
      </c>
      <c r="Z2079" t="str">
        <f>IF(MAIN!$F$3="Project to Date",IF(AND(A2079&gt;=SETTINGS!$B$4,A2079&lt;MAIN!$B$3),"Yes",IF(AND(A2079=MAIN!$B$3,E2079&lt;=MAIN!$L$3),"Yes","No")),IF(OR(MAIN!$F$3="Full Year",MAIN!$D$3="All"),"Yes",IF(MAIN!$F$3="Monthly",IF(E2079=MAIN!$L$3,"Yes","No"),IF(E2079&lt;=MAIN!$L$3,"Yes","No"))))</f>
        <v>Yes</v>
      </c>
      <c r="AA2079" t="str">
        <f t="shared" si="197"/>
        <v>No</v>
      </c>
    </row>
    <row r="2080" spans="1:27" x14ac:dyDescent="0.3">
      <c r="A2080">
        <f>INDEX(SETTINGS!$A$15:$A$24,$B2080)</f>
        <v>2034</v>
      </c>
      <c r="B2080">
        <v>10</v>
      </c>
      <c r="C2080" t="str">
        <f>IF(AND(A2080&gt;=SETTINGS!$B$4,A2080&lt;=SETTINGS!$B$5),"Yes","No")</f>
        <v>No</v>
      </c>
      <c r="D2080" t="str">
        <f>IFERROR(INDEX(SETTINGS!$C$15:$C$24,MATCH(A2080,SETTINGS!$A$15:$A$24,0)),"No")</f>
        <v>No</v>
      </c>
      <c r="E2080">
        <v>2</v>
      </c>
      <c r="F2080" t="s">
        <v>35</v>
      </c>
      <c r="G2080">
        <v>41</v>
      </c>
      <c r="H2080" t="s">
        <v>101</v>
      </c>
      <c r="I2080" t="s">
        <v>15</v>
      </c>
      <c r="J2080" t="s">
        <v>20</v>
      </c>
      <c r="K2080" t="s">
        <v>3</v>
      </c>
      <c r="L2080" s="36">
        <f ca="1">IF(C2080&lt;&gt;"Yes",0,IF(A2080=2025,N('2025'!D41),IF(A2080=2026,N('2026'!D41),IF(A2080=2027,N('2027'!D41),IF(A2080=2028,N('2028'!D41),IF(A2080=2029,N('2029'!D41),IF(A2080=2030,N('2030'!D41),IF(A2080=2031,N('2031'!D41),IF(A2080=2032,N('2032'!D41),IF(A2080=2033,N('2033'!D41),IF(A2080=2034,N('2034'!D41),IFERROR(N(INDIRECT("'"&amp;A2080&amp;"'!D"&amp;G2080)),0))))))))))))</f>
        <v>0</v>
      </c>
      <c r="M2080" s="36">
        <f>IFERROR(IF(NOT(ISBLANK(KPI_TARGETS!$P$12)),KPI_TARGETS!$P$12,IF(NOT(ISBLANK(KPI_TARGETS!$F$12)),KPI_TARGETS!$F$12,"")),"")</f>
        <v>0</v>
      </c>
      <c r="N2080" s="36" t="str">
        <f>IFERROR(KPI_TARGETS!$E$12,"Higher is better")</f>
        <v>Lower is better</v>
      </c>
      <c r="O2080" s="37">
        <f t="shared" ca="1" si="192"/>
        <v>1</v>
      </c>
      <c r="P2080" t="str">
        <f t="shared" ca="1" si="193"/>
        <v>Green</v>
      </c>
      <c r="Q2080" s="36">
        <f t="shared" ca="1" si="194"/>
        <v>0</v>
      </c>
      <c r="R2080" s="36" t="str">
        <f>""</f>
        <v/>
      </c>
      <c r="S2080" s="36" t="str">
        <f>""</f>
        <v/>
      </c>
      <c r="T2080" s="36" t="str">
        <f>""</f>
        <v/>
      </c>
      <c r="U2080" s="36" t="str">
        <f>""</f>
        <v/>
      </c>
      <c r="V2080" s="36" t="str">
        <f>""</f>
        <v/>
      </c>
      <c r="W2080" s="36">
        <f t="shared" si="195"/>
        <v>1</v>
      </c>
      <c r="X2080" t="str">
        <f t="shared" si="196"/>
        <v>Inactive</v>
      </c>
      <c r="Y2080" t="str">
        <f>IF(MAIN!$H$3="Selected Year",IF(A2080=MAIN!$B$3,"Yes","No"),IF(MAIN!$H$3="Included Years",IF(D2080="Yes","Yes","No"),IF(C2080="Yes","Yes","No")))</f>
        <v>No</v>
      </c>
      <c r="Z2080" t="str">
        <f>IF(MAIN!$F$3="Project to Date",IF(AND(A2080&gt;=SETTINGS!$B$4,A2080&lt;MAIN!$B$3),"Yes",IF(AND(A2080=MAIN!$B$3,E2080&lt;=MAIN!$L$3),"Yes","No")),IF(OR(MAIN!$F$3="Full Year",MAIN!$D$3="All"),"Yes",IF(MAIN!$F$3="Monthly",IF(E2080=MAIN!$L$3,"Yes","No"),IF(E2080&lt;=MAIN!$L$3,"Yes","No"))))</f>
        <v>Yes</v>
      </c>
      <c r="AA2080" t="str">
        <f t="shared" si="197"/>
        <v>No</v>
      </c>
    </row>
    <row r="2081" spans="1:27" x14ac:dyDescent="0.3">
      <c r="A2081">
        <f>INDEX(SETTINGS!$A$15:$A$24,$B2081)</f>
        <v>2034</v>
      </c>
      <c r="B2081">
        <v>10</v>
      </c>
      <c r="C2081" t="str">
        <f>IF(AND(A2081&gt;=SETTINGS!$B$4,A2081&lt;=SETTINGS!$B$5),"Yes","No")</f>
        <v>No</v>
      </c>
      <c r="D2081" t="str">
        <f>IFERROR(INDEX(SETTINGS!$C$15:$C$24,MATCH(A2081,SETTINGS!$A$15:$A$24,0)),"No")</f>
        <v>No</v>
      </c>
      <c r="E2081">
        <v>2</v>
      </c>
      <c r="F2081" t="s">
        <v>35</v>
      </c>
      <c r="G2081">
        <v>42</v>
      </c>
      <c r="H2081" t="s">
        <v>102</v>
      </c>
      <c r="I2081" t="s">
        <v>15</v>
      </c>
      <c r="J2081" t="s">
        <v>21</v>
      </c>
      <c r="K2081" t="s">
        <v>3</v>
      </c>
      <c r="L2081" s="36">
        <f ca="1">IF(C2081&lt;&gt;"Yes",0,IF(A2081=2025,N('2025'!D42),IF(A2081=2026,N('2026'!D42),IF(A2081=2027,N('2027'!D42),IF(A2081=2028,N('2028'!D42),IF(A2081=2029,N('2029'!D42),IF(A2081=2030,N('2030'!D42),IF(A2081=2031,N('2031'!D42),IF(A2081=2032,N('2032'!D42),IF(A2081=2033,N('2033'!D42),IF(A2081=2034,N('2034'!D42),IFERROR(N(INDIRECT("'"&amp;A2081&amp;"'!D"&amp;G2081)),0))))))))))))</f>
        <v>0</v>
      </c>
      <c r="M2081" s="36">
        <f>IFERROR(IF(NOT(ISBLANK(KPI_TARGETS!$P$13)),KPI_TARGETS!$P$13,IF(NOT(ISBLANK(KPI_TARGETS!$F$13)),KPI_TARGETS!$F$13,"")),"")</f>
        <v>0</v>
      </c>
      <c r="N2081" s="36" t="str">
        <f>IFERROR(KPI_TARGETS!$E$13,"Higher is better")</f>
        <v>Lower is better</v>
      </c>
      <c r="O2081" s="37">
        <f t="shared" ca="1" si="192"/>
        <v>1</v>
      </c>
      <c r="P2081" t="str">
        <f t="shared" ca="1" si="193"/>
        <v>Green</v>
      </c>
      <c r="Q2081" s="36">
        <f t="shared" ca="1" si="194"/>
        <v>0</v>
      </c>
      <c r="R2081" s="36" t="str">
        <f>""</f>
        <v/>
      </c>
      <c r="S2081" s="36" t="str">
        <f>""</f>
        <v/>
      </c>
      <c r="T2081" s="36" t="str">
        <f>""</f>
        <v/>
      </c>
      <c r="U2081" s="36" t="str">
        <f>""</f>
        <v/>
      </c>
      <c r="V2081" s="36" t="str">
        <f>""</f>
        <v/>
      </c>
      <c r="W2081" s="36">
        <f t="shared" si="195"/>
        <v>1</v>
      </c>
      <c r="X2081" t="str">
        <f t="shared" si="196"/>
        <v>Inactive</v>
      </c>
      <c r="Y2081" t="str">
        <f>IF(MAIN!$H$3="Selected Year",IF(A2081=MAIN!$B$3,"Yes","No"),IF(MAIN!$H$3="Included Years",IF(D2081="Yes","Yes","No"),IF(C2081="Yes","Yes","No")))</f>
        <v>No</v>
      </c>
      <c r="Z2081" t="str">
        <f>IF(MAIN!$F$3="Project to Date",IF(AND(A2081&gt;=SETTINGS!$B$4,A2081&lt;MAIN!$B$3),"Yes",IF(AND(A2081=MAIN!$B$3,E2081&lt;=MAIN!$L$3),"Yes","No")),IF(OR(MAIN!$F$3="Full Year",MAIN!$D$3="All"),"Yes",IF(MAIN!$F$3="Monthly",IF(E2081=MAIN!$L$3,"Yes","No"),IF(E2081&lt;=MAIN!$L$3,"Yes","No"))))</f>
        <v>Yes</v>
      </c>
      <c r="AA2081" t="str">
        <f t="shared" si="197"/>
        <v>No</v>
      </c>
    </row>
    <row r="2082" spans="1:27" x14ac:dyDescent="0.3">
      <c r="A2082">
        <f>INDEX(SETTINGS!$A$15:$A$24,$B2082)</f>
        <v>2034</v>
      </c>
      <c r="B2082">
        <v>10</v>
      </c>
      <c r="C2082" t="str">
        <f>IF(AND(A2082&gt;=SETTINGS!$B$4,A2082&lt;=SETTINGS!$B$5),"Yes","No")</f>
        <v>No</v>
      </c>
      <c r="D2082" t="str">
        <f>IFERROR(INDEX(SETTINGS!$C$15:$C$24,MATCH(A2082,SETTINGS!$A$15:$A$24,0)),"No")</f>
        <v>No</v>
      </c>
      <c r="E2082">
        <v>2</v>
      </c>
      <c r="F2082" t="s">
        <v>35</v>
      </c>
      <c r="G2082">
        <v>44</v>
      </c>
      <c r="H2082" t="s">
        <v>103</v>
      </c>
      <c r="I2082" t="s">
        <v>22</v>
      </c>
      <c r="J2082" t="s">
        <v>23</v>
      </c>
      <c r="K2082" t="s">
        <v>3</v>
      </c>
      <c r="L2082" s="36">
        <f ca="1">IF(C2082&lt;&gt;"Yes",0,IF(A2082=2025,N('2025'!D44),IF(A2082=2026,N('2026'!D44),IF(A2082=2027,N('2027'!D44),IF(A2082=2028,N('2028'!D44),IF(A2082=2029,N('2029'!D44),IF(A2082=2030,N('2030'!D44),IF(A2082=2031,N('2031'!D44),IF(A2082=2032,N('2032'!D44),IF(A2082=2033,N('2033'!D44),IF(A2082=2034,N('2034'!D44),IFERROR(N(INDIRECT("'"&amp;A2082&amp;"'!D"&amp;G2082)),0))))))))))))</f>
        <v>0</v>
      </c>
      <c r="M2082" s="36">
        <f>IFERROR(IF(NOT(ISBLANK(KPI_TARGETS!$P$14)),KPI_TARGETS!$P$14,IF(NOT(ISBLANK(KPI_TARGETS!$F$14)),KPI_TARGETS!$F$14,"")),"")</f>
        <v>35</v>
      </c>
      <c r="N2082" s="36" t="str">
        <f>IFERROR(KPI_TARGETS!$E$14,"Higher is better")</f>
        <v>Higher is better</v>
      </c>
      <c r="O2082" s="37">
        <f t="shared" ca="1" si="192"/>
        <v>0</v>
      </c>
      <c r="P2082" t="str">
        <f t="shared" ca="1" si="193"/>
        <v>Red</v>
      </c>
      <c r="Q2082" s="36">
        <f t="shared" ca="1" si="194"/>
        <v>-35</v>
      </c>
      <c r="R2082" s="36" t="str">
        <f>""</f>
        <v/>
      </c>
      <c r="S2082" s="36" t="str">
        <f>""</f>
        <v/>
      </c>
      <c r="T2082" s="36" t="str">
        <f>""</f>
        <v/>
      </c>
      <c r="U2082" s="36" t="str">
        <f>""</f>
        <v/>
      </c>
      <c r="V2082" s="36" t="str">
        <f>""</f>
        <v/>
      </c>
      <c r="W2082" s="36">
        <f t="shared" si="195"/>
        <v>1</v>
      </c>
      <c r="X2082" t="str">
        <f t="shared" si="196"/>
        <v>Inactive</v>
      </c>
      <c r="Y2082" t="str">
        <f>IF(MAIN!$H$3="Selected Year",IF(A2082=MAIN!$B$3,"Yes","No"),IF(MAIN!$H$3="Included Years",IF(D2082="Yes","Yes","No"),IF(C2082="Yes","Yes","No")))</f>
        <v>No</v>
      </c>
      <c r="Z2082" t="str">
        <f>IF(MAIN!$F$3="Project to Date",IF(AND(A2082&gt;=SETTINGS!$B$4,A2082&lt;MAIN!$B$3),"Yes",IF(AND(A2082=MAIN!$B$3,E2082&lt;=MAIN!$L$3),"Yes","No")),IF(OR(MAIN!$F$3="Full Year",MAIN!$D$3="All"),"Yes",IF(MAIN!$F$3="Monthly",IF(E2082=MAIN!$L$3,"Yes","No"),IF(E2082&lt;=MAIN!$L$3,"Yes","No"))))</f>
        <v>Yes</v>
      </c>
      <c r="AA2082" t="str">
        <f t="shared" si="197"/>
        <v>No</v>
      </c>
    </row>
    <row r="2083" spans="1:27" x14ac:dyDescent="0.3">
      <c r="A2083">
        <f>INDEX(SETTINGS!$A$15:$A$24,$B2083)</f>
        <v>2034</v>
      </c>
      <c r="B2083">
        <v>10</v>
      </c>
      <c r="C2083" t="str">
        <f>IF(AND(A2083&gt;=SETTINGS!$B$4,A2083&lt;=SETTINGS!$B$5),"Yes","No")</f>
        <v>No</v>
      </c>
      <c r="D2083" t="str">
        <f>IFERROR(INDEX(SETTINGS!$C$15:$C$24,MATCH(A2083,SETTINGS!$A$15:$A$24,0)),"No")</f>
        <v>No</v>
      </c>
      <c r="E2083">
        <v>2</v>
      </c>
      <c r="F2083" t="s">
        <v>35</v>
      </c>
      <c r="G2083">
        <v>45</v>
      </c>
      <c r="H2083" t="s">
        <v>104</v>
      </c>
      <c r="I2083" t="s">
        <v>22</v>
      </c>
      <c r="J2083" t="s">
        <v>24</v>
      </c>
      <c r="K2083" t="s">
        <v>3</v>
      </c>
      <c r="L2083" s="36">
        <f ca="1">IF(C2083&lt;&gt;"Yes",0,IF(A2083=2025,N('2025'!D45),IF(A2083=2026,N('2026'!D45),IF(A2083=2027,N('2027'!D45),IF(A2083=2028,N('2028'!D45),IF(A2083=2029,N('2029'!D45),IF(A2083=2030,N('2030'!D45),IF(A2083=2031,N('2031'!D45),IF(A2083=2032,N('2032'!D45),IF(A2083=2033,N('2033'!D45),IF(A2083=2034,N('2034'!D45),IFERROR(N(INDIRECT("'"&amp;A2083&amp;"'!D"&amp;G2083)),0))))))))))))</f>
        <v>0</v>
      </c>
      <c r="M2083" s="36">
        <f>IFERROR(IF(NOT(ISBLANK(KPI_TARGETS!$P$15)),KPI_TARGETS!$P$15,IF(NOT(ISBLANK(KPI_TARGETS!$F$15)),KPI_TARGETS!$F$15,"")),"")</f>
        <v>5</v>
      </c>
      <c r="N2083" s="36" t="str">
        <f>IFERROR(KPI_TARGETS!$E$15,"Higher is better")</f>
        <v>Higher is better</v>
      </c>
      <c r="O2083" s="37">
        <f t="shared" ca="1" si="192"/>
        <v>0</v>
      </c>
      <c r="P2083" t="str">
        <f t="shared" ca="1" si="193"/>
        <v>Red</v>
      </c>
      <c r="Q2083" s="36">
        <f t="shared" ca="1" si="194"/>
        <v>-5</v>
      </c>
      <c r="R2083" s="36" t="str">
        <f>""</f>
        <v/>
      </c>
      <c r="S2083" s="36" t="str">
        <f>""</f>
        <v/>
      </c>
      <c r="T2083" s="36" t="str">
        <f>""</f>
        <v/>
      </c>
      <c r="U2083" s="36" t="str">
        <f>""</f>
        <v/>
      </c>
      <c r="V2083" s="36" t="str">
        <f>""</f>
        <v/>
      </c>
      <c r="W2083" s="36">
        <f t="shared" si="195"/>
        <v>1</v>
      </c>
      <c r="X2083" t="str">
        <f t="shared" si="196"/>
        <v>Inactive</v>
      </c>
      <c r="Y2083" t="str">
        <f>IF(MAIN!$H$3="Selected Year",IF(A2083=MAIN!$B$3,"Yes","No"),IF(MAIN!$H$3="Included Years",IF(D2083="Yes","Yes","No"),IF(C2083="Yes","Yes","No")))</f>
        <v>No</v>
      </c>
      <c r="Z2083" t="str">
        <f>IF(MAIN!$F$3="Project to Date",IF(AND(A2083&gt;=SETTINGS!$B$4,A2083&lt;MAIN!$B$3),"Yes",IF(AND(A2083=MAIN!$B$3,E2083&lt;=MAIN!$L$3),"Yes","No")),IF(OR(MAIN!$F$3="Full Year",MAIN!$D$3="All"),"Yes",IF(MAIN!$F$3="Monthly",IF(E2083=MAIN!$L$3,"Yes","No"),IF(E2083&lt;=MAIN!$L$3,"Yes","No"))))</f>
        <v>Yes</v>
      </c>
      <c r="AA2083" t="str">
        <f t="shared" si="197"/>
        <v>No</v>
      </c>
    </row>
    <row r="2084" spans="1:27" x14ac:dyDescent="0.3">
      <c r="A2084">
        <f>INDEX(SETTINGS!$A$15:$A$24,$B2084)</f>
        <v>2034</v>
      </c>
      <c r="B2084">
        <v>10</v>
      </c>
      <c r="C2084" t="str">
        <f>IF(AND(A2084&gt;=SETTINGS!$B$4,A2084&lt;=SETTINGS!$B$5),"Yes","No")</f>
        <v>No</v>
      </c>
      <c r="D2084" t="str">
        <f>IFERROR(INDEX(SETTINGS!$C$15:$C$24,MATCH(A2084,SETTINGS!$A$15:$A$24,0)),"No")</f>
        <v>No</v>
      </c>
      <c r="E2084">
        <v>2</v>
      </c>
      <c r="F2084" t="s">
        <v>35</v>
      </c>
      <c r="G2084">
        <v>46</v>
      </c>
      <c r="H2084" t="s">
        <v>105</v>
      </c>
      <c r="I2084" t="s">
        <v>22</v>
      </c>
      <c r="J2084" t="s">
        <v>25</v>
      </c>
      <c r="K2084" t="s">
        <v>3</v>
      </c>
      <c r="L2084" s="36">
        <f ca="1">IF(C2084&lt;&gt;"Yes",0,IF(A2084=2025,N('2025'!D46),IF(A2084=2026,N('2026'!D46),IF(A2084=2027,N('2027'!D46),IF(A2084=2028,N('2028'!D46),IF(A2084=2029,N('2029'!D46),IF(A2084=2030,N('2030'!D46),IF(A2084=2031,N('2031'!D46),IF(A2084=2032,N('2032'!D46),IF(A2084=2033,N('2033'!D46),IF(A2084=2034,N('2034'!D46),IFERROR(N(INDIRECT("'"&amp;A2084&amp;"'!D"&amp;G2084)),0))))))))))))</f>
        <v>0</v>
      </c>
      <c r="M2084" s="36">
        <f>IFERROR(IF(NOT(ISBLANK(KPI_TARGETS!$P$16)),KPI_TARGETS!$P$16,IF(NOT(ISBLANK(KPI_TARGETS!$F$16)),KPI_TARGETS!$F$16,"")),"")</f>
        <v>4</v>
      </c>
      <c r="N2084" s="36" t="str">
        <f>IFERROR(KPI_TARGETS!$E$16,"Higher is better")</f>
        <v>Higher is better</v>
      </c>
      <c r="O2084" s="37">
        <f t="shared" ca="1" si="192"/>
        <v>0</v>
      </c>
      <c r="P2084" t="str">
        <f t="shared" ca="1" si="193"/>
        <v>Red</v>
      </c>
      <c r="Q2084" s="36">
        <f t="shared" ca="1" si="194"/>
        <v>-4</v>
      </c>
      <c r="R2084" s="36" t="str">
        <f>""</f>
        <v/>
      </c>
      <c r="S2084" s="36" t="str">
        <f>""</f>
        <v/>
      </c>
      <c r="T2084" s="36" t="str">
        <f>""</f>
        <v/>
      </c>
      <c r="U2084" s="36" t="str">
        <f>""</f>
        <v/>
      </c>
      <c r="V2084" s="36" t="str">
        <f>""</f>
        <v/>
      </c>
      <c r="W2084" s="36">
        <f t="shared" si="195"/>
        <v>1</v>
      </c>
      <c r="X2084" t="str">
        <f t="shared" si="196"/>
        <v>Inactive</v>
      </c>
      <c r="Y2084" t="str">
        <f>IF(MAIN!$H$3="Selected Year",IF(A2084=MAIN!$B$3,"Yes","No"),IF(MAIN!$H$3="Included Years",IF(D2084="Yes","Yes","No"),IF(C2084="Yes","Yes","No")))</f>
        <v>No</v>
      </c>
      <c r="Z2084" t="str">
        <f>IF(MAIN!$F$3="Project to Date",IF(AND(A2084&gt;=SETTINGS!$B$4,A2084&lt;MAIN!$B$3),"Yes",IF(AND(A2084=MAIN!$B$3,E2084&lt;=MAIN!$L$3),"Yes","No")),IF(OR(MAIN!$F$3="Full Year",MAIN!$D$3="All"),"Yes",IF(MAIN!$F$3="Monthly",IF(E2084=MAIN!$L$3,"Yes","No"),IF(E2084&lt;=MAIN!$L$3,"Yes","No"))))</f>
        <v>Yes</v>
      </c>
      <c r="AA2084" t="str">
        <f t="shared" si="197"/>
        <v>No</v>
      </c>
    </row>
    <row r="2085" spans="1:27" x14ac:dyDescent="0.3">
      <c r="A2085">
        <f>INDEX(SETTINGS!$A$15:$A$24,$B2085)</f>
        <v>2034</v>
      </c>
      <c r="B2085">
        <v>10</v>
      </c>
      <c r="C2085" t="str">
        <f>IF(AND(A2085&gt;=SETTINGS!$B$4,A2085&lt;=SETTINGS!$B$5),"Yes","No")</f>
        <v>No</v>
      </c>
      <c r="D2085" t="str">
        <f>IFERROR(INDEX(SETTINGS!$C$15:$C$24,MATCH(A2085,SETTINGS!$A$15:$A$24,0)),"No")</f>
        <v>No</v>
      </c>
      <c r="E2085">
        <v>2</v>
      </c>
      <c r="F2085" t="s">
        <v>35</v>
      </c>
      <c r="G2085">
        <v>47</v>
      </c>
      <c r="H2085" t="s">
        <v>106</v>
      </c>
      <c r="I2085" t="s">
        <v>22</v>
      </c>
      <c r="J2085" t="s">
        <v>26</v>
      </c>
      <c r="K2085" t="s">
        <v>3</v>
      </c>
      <c r="L2085" s="36">
        <f ca="1">IF(C2085&lt;&gt;"Yes",0,IF(A2085=2025,N('2025'!D47),IF(A2085=2026,N('2026'!D47),IF(A2085=2027,N('2027'!D47),IF(A2085=2028,N('2028'!D47),IF(A2085=2029,N('2029'!D47),IF(A2085=2030,N('2030'!D47),IF(A2085=2031,N('2031'!D47),IF(A2085=2032,N('2032'!D47),IF(A2085=2033,N('2033'!D47),IF(A2085=2034,N('2034'!D47),IFERROR(N(INDIRECT("'"&amp;A2085&amp;"'!D"&amp;G2085)),0))))))))))))</f>
        <v>0</v>
      </c>
      <c r="M2085" s="36">
        <f>IFERROR(IF(NOT(ISBLANK(KPI_TARGETS!$P$17)),KPI_TARGETS!$P$17,IF(NOT(ISBLANK(KPI_TARGETS!$F$17)),KPI_TARGETS!$F$17,"")),"")</f>
        <v>12</v>
      </c>
      <c r="N2085" s="36" t="str">
        <f>IFERROR(KPI_TARGETS!$E$17,"Higher is better")</f>
        <v>Higher is better</v>
      </c>
      <c r="O2085" s="37">
        <f t="shared" ca="1" si="192"/>
        <v>0</v>
      </c>
      <c r="P2085" t="str">
        <f t="shared" ca="1" si="193"/>
        <v>Red</v>
      </c>
      <c r="Q2085" s="36">
        <f t="shared" ca="1" si="194"/>
        <v>-12</v>
      </c>
      <c r="R2085" s="36" t="str">
        <f>""</f>
        <v/>
      </c>
      <c r="S2085" s="36" t="str">
        <f>""</f>
        <v/>
      </c>
      <c r="T2085" s="36" t="str">
        <f>""</f>
        <v/>
      </c>
      <c r="U2085" s="36" t="str">
        <f>""</f>
        <v/>
      </c>
      <c r="V2085" s="36" t="str">
        <f>""</f>
        <v/>
      </c>
      <c r="W2085" s="36">
        <f t="shared" si="195"/>
        <v>1</v>
      </c>
      <c r="X2085" t="str">
        <f t="shared" si="196"/>
        <v>Inactive</v>
      </c>
      <c r="Y2085" t="str">
        <f>IF(MAIN!$H$3="Selected Year",IF(A2085=MAIN!$B$3,"Yes","No"),IF(MAIN!$H$3="Included Years",IF(D2085="Yes","Yes","No"),IF(C2085="Yes","Yes","No")))</f>
        <v>No</v>
      </c>
      <c r="Z2085" t="str">
        <f>IF(MAIN!$F$3="Project to Date",IF(AND(A2085&gt;=SETTINGS!$B$4,A2085&lt;MAIN!$B$3),"Yes",IF(AND(A2085=MAIN!$B$3,E2085&lt;=MAIN!$L$3),"Yes","No")),IF(OR(MAIN!$F$3="Full Year",MAIN!$D$3="All"),"Yes",IF(MAIN!$F$3="Monthly",IF(E2085=MAIN!$L$3,"Yes","No"),IF(E2085&lt;=MAIN!$L$3,"Yes","No"))))</f>
        <v>Yes</v>
      </c>
      <c r="AA2085" t="str">
        <f t="shared" si="197"/>
        <v>No</v>
      </c>
    </row>
    <row r="2086" spans="1:27" x14ac:dyDescent="0.3">
      <c r="A2086">
        <f>INDEX(SETTINGS!$A$15:$A$24,$B2086)</f>
        <v>2034</v>
      </c>
      <c r="B2086">
        <v>10</v>
      </c>
      <c r="C2086" t="str">
        <f>IF(AND(A2086&gt;=SETTINGS!$B$4,A2086&lt;=SETTINGS!$B$5),"Yes","No")</f>
        <v>No</v>
      </c>
      <c r="D2086" t="str">
        <f>IFERROR(INDEX(SETTINGS!$C$15:$C$24,MATCH(A2086,SETTINGS!$A$15:$A$24,0)),"No")</f>
        <v>No</v>
      </c>
      <c r="E2086">
        <v>2</v>
      </c>
      <c r="F2086" t="s">
        <v>35</v>
      </c>
      <c r="G2086">
        <v>48</v>
      </c>
      <c r="H2086" t="s">
        <v>107</v>
      </c>
      <c r="I2086" t="s">
        <v>22</v>
      </c>
      <c r="J2086" t="s">
        <v>27</v>
      </c>
      <c r="K2086" t="s">
        <v>3</v>
      </c>
      <c r="L2086" s="36">
        <f ca="1">IF(C2086&lt;&gt;"Yes",0,IF(A2086=2025,N('2025'!D48),IF(A2086=2026,N('2026'!D48),IF(A2086=2027,N('2027'!D48),IF(A2086=2028,N('2028'!D48),IF(A2086=2029,N('2029'!D48),IF(A2086=2030,N('2030'!D48),IF(A2086=2031,N('2031'!D48),IF(A2086=2032,N('2032'!D48),IF(A2086=2033,N('2033'!D48),IF(A2086=2034,N('2034'!D48),IFERROR(N(INDIRECT("'"&amp;A2086&amp;"'!D"&amp;G2086)),0))))))))))))</f>
        <v>0</v>
      </c>
      <c r="M2086" s="36">
        <f>IFERROR(IF(NOT(ISBLANK(KPI_TARGETS!$P$18)),KPI_TARGETS!$P$18,IF(NOT(ISBLANK(KPI_TARGETS!$F$18)),KPI_TARGETS!$F$18,"")),"")</f>
        <v>4</v>
      </c>
      <c r="N2086" s="36" t="str">
        <f>IFERROR(KPI_TARGETS!$E$18,"Higher is better")</f>
        <v>Higher is better</v>
      </c>
      <c r="O2086" s="37">
        <f t="shared" ca="1" si="192"/>
        <v>0</v>
      </c>
      <c r="P2086" t="str">
        <f t="shared" ca="1" si="193"/>
        <v>Red</v>
      </c>
      <c r="Q2086" s="36">
        <f t="shared" ca="1" si="194"/>
        <v>-4</v>
      </c>
      <c r="R2086" s="36" t="str">
        <f>""</f>
        <v/>
      </c>
      <c r="S2086" s="36" t="str">
        <f>""</f>
        <v/>
      </c>
      <c r="T2086" s="36" t="str">
        <f>""</f>
        <v/>
      </c>
      <c r="U2086" s="36" t="str">
        <f>""</f>
        <v/>
      </c>
      <c r="V2086" s="36" t="str">
        <f>""</f>
        <v/>
      </c>
      <c r="W2086" s="36">
        <f t="shared" si="195"/>
        <v>1</v>
      </c>
      <c r="X2086" t="str">
        <f t="shared" si="196"/>
        <v>Inactive</v>
      </c>
      <c r="Y2086" t="str">
        <f>IF(MAIN!$H$3="Selected Year",IF(A2086=MAIN!$B$3,"Yes","No"),IF(MAIN!$H$3="Included Years",IF(D2086="Yes","Yes","No"),IF(C2086="Yes","Yes","No")))</f>
        <v>No</v>
      </c>
      <c r="Z2086" t="str">
        <f>IF(MAIN!$F$3="Project to Date",IF(AND(A2086&gt;=SETTINGS!$B$4,A2086&lt;MAIN!$B$3),"Yes",IF(AND(A2086=MAIN!$B$3,E2086&lt;=MAIN!$L$3),"Yes","No")),IF(OR(MAIN!$F$3="Full Year",MAIN!$D$3="All"),"Yes",IF(MAIN!$F$3="Monthly",IF(E2086=MAIN!$L$3,"Yes","No"),IF(E2086&lt;=MAIN!$L$3,"Yes","No"))))</f>
        <v>Yes</v>
      </c>
      <c r="AA2086" t="str">
        <f t="shared" si="197"/>
        <v>No</v>
      </c>
    </row>
    <row r="2087" spans="1:27" x14ac:dyDescent="0.3">
      <c r="A2087">
        <f>INDEX(SETTINGS!$A$15:$A$24,$B2087)</f>
        <v>2034</v>
      </c>
      <c r="B2087">
        <v>10</v>
      </c>
      <c r="C2087" t="str">
        <f>IF(AND(A2087&gt;=SETTINGS!$B$4,A2087&lt;=SETTINGS!$B$5),"Yes","No")</f>
        <v>No</v>
      </c>
      <c r="D2087" t="str">
        <f>IFERROR(INDEX(SETTINGS!$C$15:$C$24,MATCH(A2087,SETTINGS!$A$15:$A$24,0)),"No")</f>
        <v>No</v>
      </c>
      <c r="E2087">
        <v>2</v>
      </c>
      <c r="F2087" t="s">
        <v>35</v>
      </c>
      <c r="G2087">
        <v>49</v>
      </c>
      <c r="H2087" t="s">
        <v>108</v>
      </c>
      <c r="I2087" t="s">
        <v>22</v>
      </c>
      <c r="J2087" t="s">
        <v>28</v>
      </c>
      <c r="K2087" t="s">
        <v>3</v>
      </c>
      <c r="L2087" s="36">
        <f ca="1">IF(C2087&lt;&gt;"Yes",0,IF(A2087=2025,N('2025'!D49),IF(A2087=2026,N('2026'!D49),IF(A2087=2027,N('2027'!D49),IF(A2087=2028,N('2028'!D49),IF(A2087=2029,N('2029'!D49),IF(A2087=2030,N('2030'!D49),IF(A2087=2031,N('2031'!D49),IF(A2087=2032,N('2032'!D49),IF(A2087=2033,N('2033'!D49),IF(A2087=2034,N('2034'!D49),IFERROR(N(INDIRECT("'"&amp;A2087&amp;"'!D"&amp;G2087)),0))))))))))))</f>
        <v>0</v>
      </c>
      <c r="M2087" s="36">
        <f>IFERROR(IF(NOT(ISBLANK(KPI_TARGETS!$P$19)),KPI_TARGETS!$P$19,IF(NOT(ISBLANK(KPI_TARGETS!$F$19)),KPI_TARGETS!$F$19,"")),"")</f>
        <v>16</v>
      </c>
      <c r="N2087" s="36" t="str">
        <f>IFERROR(KPI_TARGETS!$E$19,"Higher is better")</f>
        <v>Higher is better</v>
      </c>
      <c r="O2087" s="37">
        <f t="shared" ca="1" si="192"/>
        <v>0</v>
      </c>
      <c r="P2087" t="str">
        <f t="shared" ca="1" si="193"/>
        <v>Red</v>
      </c>
      <c r="Q2087" s="36">
        <f t="shared" ca="1" si="194"/>
        <v>-16</v>
      </c>
      <c r="R2087" s="36" t="str">
        <f>""</f>
        <v/>
      </c>
      <c r="S2087" s="36" t="str">
        <f>""</f>
        <v/>
      </c>
      <c r="T2087" s="36" t="str">
        <f>""</f>
        <v/>
      </c>
      <c r="U2087" s="36" t="str">
        <f>""</f>
        <v/>
      </c>
      <c r="V2087" s="36" t="str">
        <f>""</f>
        <v/>
      </c>
      <c r="W2087" s="36">
        <f t="shared" si="195"/>
        <v>1</v>
      </c>
      <c r="X2087" t="str">
        <f t="shared" si="196"/>
        <v>Inactive</v>
      </c>
      <c r="Y2087" t="str">
        <f>IF(MAIN!$H$3="Selected Year",IF(A2087=MAIN!$B$3,"Yes","No"),IF(MAIN!$H$3="Included Years",IF(D2087="Yes","Yes","No"),IF(C2087="Yes","Yes","No")))</f>
        <v>No</v>
      </c>
      <c r="Z2087" t="str">
        <f>IF(MAIN!$F$3="Project to Date",IF(AND(A2087&gt;=SETTINGS!$B$4,A2087&lt;MAIN!$B$3),"Yes",IF(AND(A2087=MAIN!$B$3,E2087&lt;=MAIN!$L$3),"Yes","No")),IF(OR(MAIN!$F$3="Full Year",MAIN!$D$3="All"),"Yes",IF(MAIN!$F$3="Monthly",IF(E2087=MAIN!$L$3,"Yes","No"),IF(E2087&lt;=MAIN!$L$3,"Yes","No"))))</f>
        <v>Yes</v>
      </c>
      <c r="AA2087" t="str">
        <f t="shared" si="197"/>
        <v>No</v>
      </c>
    </row>
    <row r="2088" spans="1:27" x14ac:dyDescent="0.3">
      <c r="A2088">
        <f>INDEX(SETTINGS!$A$15:$A$24,$B2088)</f>
        <v>2034</v>
      </c>
      <c r="B2088">
        <v>10</v>
      </c>
      <c r="C2088" t="str">
        <f>IF(AND(A2088&gt;=SETTINGS!$B$4,A2088&lt;=SETTINGS!$B$5),"Yes","No")</f>
        <v>No</v>
      </c>
      <c r="D2088" t="str">
        <f>IFERROR(INDEX(SETTINGS!$C$15:$C$24,MATCH(A2088,SETTINGS!$A$15:$A$24,0)),"No")</f>
        <v>No</v>
      </c>
      <c r="E2088">
        <v>2</v>
      </c>
      <c r="F2088" t="s">
        <v>35</v>
      </c>
      <c r="G2088">
        <v>50</v>
      </c>
      <c r="H2088" t="s">
        <v>109</v>
      </c>
      <c r="I2088" t="s">
        <v>22</v>
      </c>
      <c r="J2088" t="s">
        <v>29</v>
      </c>
      <c r="K2088" t="s">
        <v>3</v>
      </c>
      <c r="L2088" s="36">
        <f ca="1">IF(C2088&lt;&gt;"Yes",0,IF(A2088=2025,N('2025'!D50),IF(A2088=2026,N('2026'!D50),IF(A2088=2027,N('2027'!D50),IF(A2088=2028,N('2028'!D50),IF(A2088=2029,N('2029'!D50),IF(A2088=2030,N('2030'!D50),IF(A2088=2031,N('2031'!D50),IF(A2088=2032,N('2032'!D50),IF(A2088=2033,N('2033'!D50),IF(A2088=2034,N('2034'!D50),IFERROR(N(INDIRECT("'"&amp;A2088&amp;"'!D"&amp;G2088)),0))))))))))))</f>
        <v>0</v>
      </c>
      <c r="M2088" s="36">
        <f>IFERROR(IF(NOT(ISBLANK(KPI_TARGETS!$P$20)),KPI_TARGETS!$P$20,IF(NOT(ISBLANK(KPI_TARGETS!$F$20)),KPI_TARGETS!$F$20,"")),"")</f>
        <v>1</v>
      </c>
      <c r="N2088" s="36" t="str">
        <f>IFERROR(KPI_TARGETS!$E$20,"Higher is better")</f>
        <v>Higher is better</v>
      </c>
      <c r="O2088" s="37">
        <f t="shared" ca="1" si="192"/>
        <v>0</v>
      </c>
      <c r="P2088" t="str">
        <f t="shared" ca="1" si="193"/>
        <v>Red</v>
      </c>
      <c r="Q2088" s="36">
        <f t="shared" ca="1" si="194"/>
        <v>-1</v>
      </c>
      <c r="R2088" s="36" t="str">
        <f>""</f>
        <v/>
      </c>
      <c r="S2088" s="36" t="str">
        <f>""</f>
        <v/>
      </c>
      <c r="T2088" s="36" t="str">
        <f>""</f>
        <v/>
      </c>
      <c r="U2088" s="36" t="str">
        <f>""</f>
        <v/>
      </c>
      <c r="V2088" s="36" t="str">
        <f>""</f>
        <v/>
      </c>
      <c r="W2088" s="36">
        <f t="shared" si="195"/>
        <v>1</v>
      </c>
      <c r="X2088" t="str">
        <f t="shared" si="196"/>
        <v>Inactive</v>
      </c>
      <c r="Y2088" t="str">
        <f>IF(MAIN!$H$3="Selected Year",IF(A2088=MAIN!$B$3,"Yes","No"),IF(MAIN!$H$3="Included Years",IF(D2088="Yes","Yes","No"),IF(C2088="Yes","Yes","No")))</f>
        <v>No</v>
      </c>
      <c r="Z2088" t="str">
        <f>IF(MAIN!$F$3="Project to Date",IF(AND(A2088&gt;=SETTINGS!$B$4,A2088&lt;MAIN!$B$3),"Yes",IF(AND(A2088=MAIN!$B$3,E2088&lt;=MAIN!$L$3),"Yes","No")),IF(OR(MAIN!$F$3="Full Year",MAIN!$D$3="All"),"Yes",IF(MAIN!$F$3="Monthly",IF(E2088=MAIN!$L$3,"Yes","No"),IF(E2088&lt;=MAIN!$L$3,"Yes","No"))))</f>
        <v>Yes</v>
      </c>
      <c r="AA2088" t="str">
        <f t="shared" si="197"/>
        <v>No</v>
      </c>
    </row>
    <row r="2089" spans="1:27" x14ac:dyDescent="0.3">
      <c r="A2089">
        <f>INDEX(SETTINGS!$A$15:$A$24,$B2089)</f>
        <v>2034</v>
      </c>
      <c r="B2089">
        <v>10</v>
      </c>
      <c r="C2089" t="str">
        <f>IF(AND(A2089&gt;=SETTINGS!$B$4,A2089&lt;=SETTINGS!$B$5),"Yes","No")</f>
        <v>No</v>
      </c>
      <c r="D2089" t="str">
        <f>IFERROR(INDEX(SETTINGS!$C$15:$C$24,MATCH(A2089,SETTINGS!$A$15:$A$24,0)),"No")</f>
        <v>No</v>
      </c>
      <c r="E2089">
        <v>2</v>
      </c>
      <c r="F2089" t="s">
        <v>35</v>
      </c>
      <c r="G2089">
        <v>52</v>
      </c>
      <c r="H2089" t="s">
        <v>110</v>
      </c>
      <c r="I2089" t="s">
        <v>30</v>
      </c>
      <c r="J2089" t="s">
        <v>31</v>
      </c>
      <c r="K2089" t="s">
        <v>3</v>
      </c>
      <c r="L2089" s="36">
        <f ca="1">IF(C2089&lt;&gt;"Yes",0,IF(A2089=2025,N('2025'!D52),IF(A2089=2026,N('2026'!D52),IF(A2089=2027,N('2027'!D52),IF(A2089=2028,N('2028'!D52),IF(A2089=2029,N('2029'!D52),IF(A2089=2030,N('2030'!D52),IF(A2089=2031,N('2031'!D52),IF(A2089=2032,N('2032'!D52),IF(A2089=2033,N('2033'!D52),IF(A2089=2034,N('2034'!D52),IFERROR(N(INDIRECT("'"&amp;A2089&amp;"'!D"&amp;G2089)),0))))))))))))</f>
        <v>0</v>
      </c>
      <c r="M2089" s="36">
        <f>IFERROR(IF(NOT(ISBLANK(KPI_TARGETS!$P$21)),KPI_TARGETS!$P$21,IF(NOT(ISBLANK(KPI_TARGETS!$F$21)),KPI_TARGETS!$F$21,"")),"")</f>
        <v>0</v>
      </c>
      <c r="N2089" s="36" t="str">
        <f>IFERROR(KPI_TARGETS!$E$21,"Higher is better")</f>
        <v>Lower is better</v>
      </c>
      <c r="O2089" s="37">
        <f t="shared" ca="1" si="192"/>
        <v>1</v>
      </c>
      <c r="P2089" t="str">
        <f t="shared" ca="1" si="193"/>
        <v>Green</v>
      </c>
      <c r="Q2089" s="36">
        <f t="shared" ca="1" si="194"/>
        <v>0</v>
      </c>
      <c r="R2089" s="36" t="str">
        <f>""</f>
        <v/>
      </c>
      <c r="S2089" s="36" t="str">
        <f>""</f>
        <v/>
      </c>
      <c r="T2089" s="36" t="str">
        <f>""</f>
        <v/>
      </c>
      <c r="U2089" s="36" t="str">
        <f>""</f>
        <v/>
      </c>
      <c r="V2089" s="36" t="str">
        <f>""</f>
        <v/>
      </c>
      <c r="W2089" s="36">
        <f t="shared" si="195"/>
        <v>1</v>
      </c>
      <c r="X2089" t="str">
        <f t="shared" si="196"/>
        <v>Inactive</v>
      </c>
      <c r="Y2089" t="str">
        <f>IF(MAIN!$H$3="Selected Year",IF(A2089=MAIN!$B$3,"Yes","No"),IF(MAIN!$H$3="Included Years",IF(D2089="Yes","Yes","No"),IF(C2089="Yes","Yes","No")))</f>
        <v>No</v>
      </c>
      <c r="Z2089" t="str">
        <f>IF(MAIN!$F$3="Project to Date",IF(AND(A2089&gt;=SETTINGS!$B$4,A2089&lt;MAIN!$B$3),"Yes",IF(AND(A2089=MAIN!$B$3,E2089&lt;=MAIN!$L$3),"Yes","No")),IF(OR(MAIN!$F$3="Full Year",MAIN!$D$3="All"),"Yes",IF(MAIN!$F$3="Monthly",IF(E2089=MAIN!$L$3,"Yes","No"),IF(E2089&lt;=MAIN!$L$3,"Yes","No"))))</f>
        <v>Yes</v>
      </c>
      <c r="AA2089" t="str">
        <f t="shared" si="197"/>
        <v>No</v>
      </c>
    </row>
    <row r="2090" spans="1:27" x14ac:dyDescent="0.3">
      <c r="A2090">
        <f>INDEX(SETTINGS!$A$15:$A$24,$B2090)</f>
        <v>2034</v>
      </c>
      <c r="B2090">
        <v>10</v>
      </c>
      <c r="C2090" t="str">
        <f>IF(AND(A2090&gt;=SETTINGS!$B$4,A2090&lt;=SETTINGS!$B$5),"Yes","No")</f>
        <v>No</v>
      </c>
      <c r="D2090" t="str">
        <f>IFERROR(INDEX(SETTINGS!$C$15:$C$24,MATCH(A2090,SETTINGS!$A$15:$A$24,0)),"No")</f>
        <v>No</v>
      </c>
      <c r="E2090">
        <v>2</v>
      </c>
      <c r="F2090" t="s">
        <v>35</v>
      </c>
      <c r="G2090">
        <v>53</v>
      </c>
      <c r="H2090" t="s">
        <v>111</v>
      </c>
      <c r="I2090" t="s">
        <v>30</v>
      </c>
      <c r="J2090" t="s">
        <v>32</v>
      </c>
      <c r="K2090" t="s">
        <v>3</v>
      </c>
      <c r="L2090" s="36">
        <f ca="1">IF(C2090&lt;&gt;"Yes",0,IF(A2090=2025,N('2025'!D53),IF(A2090=2026,N('2026'!D53),IF(A2090=2027,N('2027'!D53),IF(A2090=2028,N('2028'!D53),IF(A2090=2029,N('2029'!D53),IF(A2090=2030,N('2030'!D53),IF(A2090=2031,N('2031'!D53),IF(A2090=2032,N('2032'!D53),IF(A2090=2033,N('2033'!D53),IF(A2090=2034,N('2034'!D53),IFERROR(N(INDIRECT("'"&amp;A2090&amp;"'!D"&amp;G2090)),0))))))))))))</f>
        <v>0</v>
      </c>
      <c r="M2090" s="36">
        <f>IFERROR(IF(NOT(ISBLANK(KPI_TARGETS!$P$22)),KPI_TARGETS!$P$22,IF(NOT(ISBLANK(KPI_TARGETS!$F$22)),KPI_TARGETS!$F$22,"")),"")</f>
        <v>1</v>
      </c>
      <c r="N2090" s="36" t="str">
        <f>IFERROR(KPI_TARGETS!$E$22,"Higher is better")</f>
        <v>Higher is better</v>
      </c>
      <c r="O2090" s="37">
        <f t="shared" ca="1" si="192"/>
        <v>0</v>
      </c>
      <c r="P2090" t="str">
        <f t="shared" ca="1" si="193"/>
        <v>Red</v>
      </c>
      <c r="Q2090" s="36">
        <f t="shared" ca="1" si="194"/>
        <v>-1</v>
      </c>
      <c r="R2090" s="36" t="str">
        <f>""</f>
        <v/>
      </c>
      <c r="S2090" s="36" t="str">
        <f>""</f>
        <v/>
      </c>
      <c r="T2090" s="36" t="str">
        <f>""</f>
        <v/>
      </c>
      <c r="U2090" s="36" t="str">
        <f>""</f>
        <v/>
      </c>
      <c r="V2090" s="36" t="str">
        <f>""</f>
        <v/>
      </c>
      <c r="W2090" s="36">
        <f t="shared" si="195"/>
        <v>1</v>
      </c>
      <c r="X2090" t="str">
        <f t="shared" si="196"/>
        <v>Inactive</v>
      </c>
      <c r="Y2090" t="str">
        <f>IF(MAIN!$H$3="Selected Year",IF(A2090=MAIN!$B$3,"Yes","No"),IF(MAIN!$H$3="Included Years",IF(D2090="Yes","Yes","No"),IF(C2090="Yes","Yes","No")))</f>
        <v>No</v>
      </c>
      <c r="Z2090" t="str">
        <f>IF(MAIN!$F$3="Project to Date",IF(AND(A2090&gt;=SETTINGS!$B$4,A2090&lt;MAIN!$B$3),"Yes",IF(AND(A2090=MAIN!$B$3,E2090&lt;=MAIN!$L$3),"Yes","No")),IF(OR(MAIN!$F$3="Full Year",MAIN!$D$3="All"),"Yes",IF(MAIN!$F$3="Monthly",IF(E2090=MAIN!$L$3,"Yes","No"),IF(E2090&lt;=MAIN!$L$3,"Yes","No"))))</f>
        <v>Yes</v>
      </c>
      <c r="AA2090" t="str">
        <f t="shared" si="197"/>
        <v>No</v>
      </c>
    </row>
    <row r="2091" spans="1:27" x14ac:dyDescent="0.3">
      <c r="A2091">
        <f>INDEX(SETTINGS!$A$15:$A$24,$B2091)</f>
        <v>2034</v>
      </c>
      <c r="B2091">
        <v>10</v>
      </c>
      <c r="C2091" t="str">
        <f>IF(AND(A2091&gt;=SETTINGS!$B$4,A2091&lt;=SETTINGS!$B$5),"Yes","No")</f>
        <v>No</v>
      </c>
      <c r="D2091" t="str">
        <f>IFERROR(INDEX(SETTINGS!$C$15:$C$24,MATCH(A2091,SETTINGS!$A$15:$A$24,0)),"No")</f>
        <v>No</v>
      </c>
      <c r="E2091">
        <v>2</v>
      </c>
      <c r="F2091" t="s">
        <v>35</v>
      </c>
      <c r="G2091">
        <v>54</v>
      </c>
      <c r="H2091" t="s">
        <v>112</v>
      </c>
      <c r="I2091" t="s">
        <v>30</v>
      </c>
      <c r="J2091" t="s">
        <v>33</v>
      </c>
      <c r="K2091" t="s">
        <v>34</v>
      </c>
      <c r="L2091" s="36">
        <f ca="1">IF(C2091&lt;&gt;"Yes",0,IF(A2091=2025,N('2025'!D54),IF(A2091=2026,N('2026'!D54),IF(A2091=2027,N('2027'!D54),IF(A2091=2028,N('2028'!D54),IF(A2091=2029,N('2029'!D54),IF(A2091=2030,N('2030'!D54),IF(A2091=2031,N('2031'!D54),IF(A2091=2032,N('2032'!D54),IF(A2091=2033,N('2033'!D54),IF(A2091=2034,N('2034'!D54),IFERROR(N(INDIRECT("'"&amp;A2091&amp;"'!D"&amp;G2091)),0))))))))))))</f>
        <v>0</v>
      </c>
      <c r="M2091" s="36">
        <f>IFERROR(IF(NOT(ISBLANK(KPI_TARGETS!$P$23)),KPI_TARGETS!$P$23,IF(NOT(ISBLANK(KPI_TARGETS!$F$23)),KPI_TARGETS!$F$23,"")),"")</f>
        <v>1</v>
      </c>
      <c r="N2091" s="36" t="str">
        <f>IFERROR(KPI_TARGETS!$E$23,"Higher is better")</f>
        <v>Higher is better</v>
      </c>
      <c r="O2091" s="37">
        <f t="shared" ca="1" si="192"/>
        <v>0</v>
      </c>
      <c r="P2091" t="str">
        <f t="shared" ca="1" si="193"/>
        <v>Red</v>
      </c>
      <c r="Q2091" s="36">
        <f t="shared" ca="1" si="194"/>
        <v>-1</v>
      </c>
      <c r="R2091" s="36" t="str">
        <f>""</f>
        <v/>
      </c>
      <c r="S2091" s="36" t="str">
        <f>""</f>
        <v/>
      </c>
      <c r="T2091" s="36" t="str">
        <f>""</f>
        <v/>
      </c>
      <c r="U2091" s="36" t="str">
        <f>""</f>
        <v/>
      </c>
      <c r="V2091" s="36" t="str">
        <f>""</f>
        <v/>
      </c>
      <c r="W2091" s="36">
        <f t="shared" si="195"/>
        <v>1</v>
      </c>
      <c r="X2091" t="str">
        <f t="shared" si="196"/>
        <v>Inactive</v>
      </c>
      <c r="Y2091" t="str">
        <f>IF(MAIN!$H$3="Selected Year",IF(A2091=MAIN!$B$3,"Yes","No"),IF(MAIN!$H$3="Included Years",IF(D2091="Yes","Yes","No"),IF(C2091="Yes","Yes","No")))</f>
        <v>No</v>
      </c>
      <c r="Z2091" t="str">
        <f>IF(MAIN!$F$3="Project to Date",IF(AND(A2091&gt;=SETTINGS!$B$4,A2091&lt;MAIN!$B$3),"Yes",IF(AND(A2091=MAIN!$B$3,E2091&lt;=MAIN!$L$3),"Yes","No")),IF(OR(MAIN!$F$3="Full Year",MAIN!$D$3="All"),"Yes",IF(MAIN!$F$3="Monthly",IF(E2091=MAIN!$L$3,"Yes","No"),IF(E2091&lt;=MAIN!$L$3,"Yes","No"))))</f>
        <v>Yes</v>
      </c>
      <c r="AA2091" t="str">
        <f t="shared" si="197"/>
        <v>No</v>
      </c>
    </row>
    <row r="2092" spans="1:27" x14ac:dyDescent="0.3">
      <c r="A2092">
        <f>INDEX(SETTINGS!$A$15:$A$24,$B2092)</f>
        <v>2034</v>
      </c>
      <c r="B2092">
        <v>10</v>
      </c>
      <c r="C2092" t="str">
        <f>IF(AND(A2092&gt;=SETTINGS!$B$4,A2092&lt;=SETTINGS!$B$5),"Yes","No")</f>
        <v>No</v>
      </c>
      <c r="D2092" t="str">
        <f>IFERROR(INDEX(SETTINGS!$C$15:$C$24,MATCH(A2092,SETTINGS!$A$15:$A$24,0)),"No")</f>
        <v>No</v>
      </c>
      <c r="E2092">
        <v>3</v>
      </c>
      <c r="F2092" t="s">
        <v>36</v>
      </c>
      <c r="G2092">
        <v>57</v>
      </c>
      <c r="H2092" t="s">
        <v>88</v>
      </c>
      <c r="I2092" t="s">
        <v>89</v>
      </c>
      <c r="J2092" t="s">
        <v>10</v>
      </c>
      <c r="K2092" t="s">
        <v>3</v>
      </c>
      <c r="L2092" s="36">
        <f ca="1">IF(C2092&lt;&gt;"Yes",0,IF(A2092=2025,N('2025'!D57),IF(A2092=2026,N('2026'!D57),IF(A2092=2027,N('2027'!D57),IF(A2092=2028,N('2028'!D57),IF(A2092=2029,N('2029'!D57),IF(A2092=2030,N('2030'!D57),IF(A2092=2031,N('2031'!D57),IF(A2092=2032,N('2032'!D57),IF(A2092=2033,N('2033'!D57),IF(A2092=2034,N('2034'!D57),IFERROR(N(INDIRECT("'"&amp;A2092&amp;"'!D"&amp;G2092)),0))))))))))))</f>
        <v>0</v>
      </c>
      <c r="M2092" s="36">
        <f>IFERROR(IF(NOT(ISBLANK(KPI_TARGETS!$P$5)),KPI_TARGETS!$P$5,IF(NOT(ISBLANK(KPI_TARGETS!$F$5)),KPI_TARGETS!$F$5,"")),"")</f>
        <v>104</v>
      </c>
      <c r="N2092" s="36" t="str">
        <f>IFERROR(KPI_TARGETS!$E$5,"Higher is better")</f>
        <v>Higher is better</v>
      </c>
      <c r="O2092" s="37">
        <f t="shared" ca="1" si="192"/>
        <v>0</v>
      </c>
      <c r="P2092" t="str">
        <f t="shared" ca="1" si="193"/>
        <v>Red</v>
      </c>
      <c r="Q2092" s="36">
        <f t="shared" ca="1" si="194"/>
        <v>-104</v>
      </c>
      <c r="R2092" s="36" t="str">
        <f>""</f>
        <v/>
      </c>
      <c r="S2092" s="36" t="str">
        <f>""</f>
        <v/>
      </c>
      <c r="T2092" s="36" t="str">
        <f>""</f>
        <v/>
      </c>
      <c r="U2092" s="36" t="str">
        <f>""</f>
        <v/>
      </c>
      <c r="V2092" s="36" t="str">
        <f>""</f>
        <v/>
      </c>
      <c r="W2092" s="36">
        <f t="shared" si="195"/>
        <v>1</v>
      </c>
      <c r="X2092" t="str">
        <f t="shared" si="196"/>
        <v>Inactive</v>
      </c>
      <c r="Y2092" t="str">
        <f>IF(MAIN!$H$3="Selected Year",IF(A2092=MAIN!$B$3,"Yes","No"),IF(MAIN!$H$3="Included Years",IF(D2092="Yes","Yes","No"),IF(C2092="Yes","Yes","No")))</f>
        <v>No</v>
      </c>
      <c r="Z2092" t="str">
        <f>IF(MAIN!$F$3="Project to Date",IF(AND(A2092&gt;=SETTINGS!$B$4,A2092&lt;MAIN!$B$3),"Yes",IF(AND(A2092=MAIN!$B$3,E2092&lt;=MAIN!$L$3),"Yes","No")),IF(OR(MAIN!$F$3="Full Year",MAIN!$D$3="All"),"Yes",IF(MAIN!$F$3="Monthly",IF(E2092=MAIN!$L$3,"Yes","No"),IF(E2092&lt;=MAIN!$L$3,"Yes","No"))))</f>
        <v>Yes</v>
      </c>
      <c r="AA2092" t="str">
        <f t="shared" si="197"/>
        <v>No</v>
      </c>
    </row>
    <row r="2093" spans="1:27" x14ac:dyDescent="0.3">
      <c r="A2093">
        <f>INDEX(SETTINGS!$A$15:$A$24,$B2093)</f>
        <v>2034</v>
      </c>
      <c r="B2093">
        <v>10</v>
      </c>
      <c r="C2093" t="str">
        <f>IF(AND(A2093&gt;=SETTINGS!$B$4,A2093&lt;=SETTINGS!$B$5),"Yes","No")</f>
        <v>No</v>
      </c>
      <c r="D2093" t="str">
        <f>IFERROR(INDEX(SETTINGS!$C$15:$C$24,MATCH(A2093,SETTINGS!$A$15:$A$24,0)),"No")</f>
        <v>No</v>
      </c>
      <c r="E2093">
        <v>3</v>
      </c>
      <c r="F2093" t="s">
        <v>36</v>
      </c>
      <c r="G2093">
        <v>58</v>
      </c>
      <c r="H2093" t="s">
        <v>91</v>
      </c>
      <c r="I2093" t="s">
        <v>89</v>
      </c>
      <c r="J2093" t="s">
        <v>11</v>
      </c>
      <c r="K2093" t="s">
        <v>12</v>
      </c>
      <c r="L2093" s="36">
        <f ca="1">IF(C2093&lt;&gt;"Yes",0,IF(A2093=2025,N('2025'!D58),IF(A2093=2026,N('2026'!D58),IF(A2093=2027,N('2027'!D58),IF(A2093=2028,N('2028'!D58),IF(A2093=2029,N('2029'!D58),IF(A2093=2030,N('2030'!D58),IF(A2093=2031,N('2031'!D58),IF(A2093=2032,N('2032'!D58),IF(A2093=2033,N('2033'!D58),IF(A2093=2034,N('2034'!D58),IFERROR(N(INDIRECT("'"&amp;A2093&amp;"'!D"&amp;G2093)),0))))))))))))</f>
        <v>0</v>
      </c>
      <c r="M2093" s="36">
        <f>IFERROR(IF(NOT(ISBLANK(KPI_TARGETS!$P$6)),KPI_TARGETS!$P$6,IF(NOT(ISBLANK(KPI_TARGETS!$F$6)),KPI_TARGETS!$F$6,"")),"")</f>
        <v>4000</v>
      </c>
      <c r="N2093" s="36" t="str">
        <f>IFERROR(KPI_TARGETS!$E$6,"Higher is better")</f>
        <v>Higher is better</v>
      </c>
      <c r="O2093" s="37">
        <f t="shared" ca="1" si="192"/>
        <v>0</v>
      </c>
      <c r="P2093" t="str">
        <f t="shared" ca="1" si="193"/>
        <v>Red</v>
      </c>
      <c r="Q2093" s="36">
        <f t="shared" ca="1" si="194"/>
        <v>-4000</v>
      </c>
      <c r="R2093" s="36" t="str">
        <f>""</f>
        <v/>
      </c>
      <c r="S2093" s="36" t="str">
        <f>""</f>
        <v/>
      </c>
      <c r="T2093" s="36" t="str">
        <f>""</f>
        <v/>
      </c>
      <c r="U2093" s="36" t="str">
        <f>""</f>
        <v/>
      </c>
      <c r="V2093" s="36" t="str">
        <f>""</f>
        <v/>
      </c>
      <c r="W2093" s="36">
        <f t="shared" si="195"/>
        <v>1</v>
      </c>
      <c r="X2093" t="str">
        <f t="shared" si="196"/>
        <v>Inactive</v>
      </c>
      <c r="Y2093" t="str">
        <f>IF(MAIN!$H$3="Selected Year",IF(A2093=MAIN!$B$3,"Yes","No"),IF(MAIN!$H$3="Included Years",IF(D2093="Yes","Yes","No"),IF(C2093="Yes","Yes","No")))</f>
        <v>No</v>
      </c>
      <c r="Z2093" t="str">
        <f>IF(MAIN!$F$3="Project to Date",IF(AND(A2093&gt;=SETTINGS!$B$4,A2093&lt;MAIN!$B$3),"Yes",IF(AND(A2093=MAIN!$B$3,E2093&lt;=MAIN!$L$3),"Yes","No")),IF(OR(MAIN!$F$3="Full Year",MAIN!$D$3="All"),"Yes",IF(MAIN!$F$3="Monthly",IF(E2093=MAIN!$L$3,"Yes","No"),IF(E2093&lt;=MAIN!$L$3,"Yes","No"))))</f>
        <v>Yes</v>
      </c>
      <c r="AA2093" t="str">
        <f t="shared" si="197"/>
        <v>No</v>
      </c>
    </row>
    <row r="2094" spans="1:27" x14ac:dyDescent="0.3">
      <c r="A2094">
        <f>INDEX(SETTINGS!$A$15:$A$24,$B2094)</f>
        <v>2034</v>
      </c>
      <c r="B2094">
        <v>10</v>
      </c>
      <c r="C2094" t="str">
        <f>IF(AND(A2094&gt;=SETTINGS!$B$4,A2094&lt;=SETTINGS!$B$5),"Yes","No")</f>
        <v>No</v>
      </c>
      <c r="D2094" t="str">
        <f>IFERROR(INDEX(SETTINGS!$C$15:$C$24,MATCH(A2094,SETTINGS!$A$15:$A$24,0)),"No")</f>
        <v>No</v>
      </c>
      <c r="E2094">
        <v>3</v>
      </c>
      <c r="F2094" t="s">
        <v>36</v>
      </c>
      <c r="G2094">
        <v>59</v>
      </c>
      <c r="H2094" t="s">
        <v>93</v>
      </c>
      <c r="I2094" t="s">
        <v>89</v>
      </c>
      <c r="J2094" t="s">
        <v>13</v>
      </c>
      <c r="K2094" t="s">
        <v>14</v>
      </c>
      <c r="L2094" s="36">
        <f ca="1">IF(C2094&lt;&gt;"Yes",0,IF(A2094=2025,N('2025'!D59),IF(A2094=2026,N('2026'!D59),IF(A2094=2027,N('2027'!D59),IF(A2094=2028,N('2028'!D59),IF(A2094=2029,N('2029'!D59),IF(A2094=2030,N('2030'!D59),IF(A2094=2031,N('2031'!D59),IF(A2094=2032,N('2032'!D59),IF(A2094=2033,N('2033'!D59),IF(A2094=2034,N('2034'!D59),IFERROR(N(INDIRECT("'"&amp;A2094&amp;"'!D"&amp;G2094)),0))))))))))))</f>
        <v>0</v>
      </c>
      <c r="M2094" s="36">
        <f>IFERROR(IF(NOT(ISBLANK(KPI_TARGETS!$P$7)),KPI_TARGETS!$P$7,IF(NOT(ISBLANK(KPI_TARGETS!$F$7)),KPI_TARGETS!$F$7,"")),"")</f>
        <v>8000</v>
      </c>
      <c r="N2094" s="36" t="str">
        <f>IFERROR(KPI_TARGETS!$E$7,"Higher is better")</f>
        <v>Higher is better</v>
      </c>
      <c r="O2094" s="37">
        <f t="shared" ca="1" si="192"/>
        <v>0</v>
      </c>
      <c r="P2094" t="str">
        <f t="shared" ca="1" si="193"/>
        <v>Red</v>
      </c>
      <c r="Q2094" s="36">
        <f t="shared" ca="1" si="194"/>
        <v>-8000</v>
      </c>
      <c r="R2094" s="36" t="str">
        <f>""</f>
        <v/>
      </c>
      <c r="S2094" s="36" t="str">
        <f>""</f>
        <v/>
      </c>
      <c r="T2094" s="36" t="str">
        <f>""</f>
        <v/>
      </c>
      <c r="U2094" s="36" t="str">
        <f>""</f>
        <v/>
      </c>
      <c r="V2094" s="36" t="str">
        <f>""</f>
        <v/>
      </c>
      <c r="W2094" s="36">
        <f t="shared" si="195"/>
        <v>1</v>
      </c>
      <c r="X2094" t="str">
        <f t="shared" si="196"/>
        <v>Inactive</v>
      </c>
      <c r="Y2094" t="str">
        <f>IF(MAIN!$H$3="Selected Year",IF(A2094=MAIN!$B$3,"Yes","No"),IF(MAIN!$H$3="Included Years",IF(D2094="Yes","Yes","No"),IF(C2094="Yes","Yes","No")))</f>
        <v>No</v>
      </c>
      <c r="Z2094" t="str">
        <f>IF(MAIN!$F$3="Project to Date",IF(AND(A2094&gt;=SETTINGS!$B$4,A2094&lt;MAIN!$B$3),"Yes",IF(AND(A2094=MAIN!$B$3,E2094&lt;=MAIN!$L$3),"Yes","No")),IF(OR(MAIN!$F$3="Full Year",MAIN!$D$3="All"),"Yes",IF(MAIN!$F$3="Monthly",IF(E2094=MAIN!$L$3,"Yes","No"),IF(E2094&lt;=MAIN!$L$3,"Yes","No"))))</f>
        <v>Yes</v>
      </c>
      <c r="AA2094" t="str">
        <f t="shared" si="197"/>
        <v>No</v>
      </c>
    </row>
    <row r="2095" spans="1:27" x14ac:dyDescent="0.3">
      <c r="A2095">
        <f>INDEX(SETTINGS!$A$15:$A$24,$B2095)</f>
        <v>2034</v>
      </c>
      <c r="B2095">
        <v>10</v>
      </c>
      <c r="C2095" t="str">
        <f>IF(AND(A2095&gt;=SETTINGS!$B$4,A2095&lt;=SETTINGS!$B$5),"Yes","No")</f>
        <v>No</v>
      </c>
      <c r="D2095" t="str">
        <f>IFERROR(INDEX(SETTINGS!$C$15:$C$24,MATCH(A2095,SETTINGS!$A$15:$A$24,0)),"No")</f>
        <v>No</v>
      </c>
      <c r="E2095">
        <v>3</v>
      </c>
      <c r="F2095" t="s">
        <v>36</v>
      </c>
      <c r="G2095">
        <v>61</v>
      </c>
      <c r="H2095" t="s">
        <v>95</v>
      </c>
      <c r="I2095" t="s">
        <v>15</v>
      </c>
      <c r="J2095" t="s">
        <v>16</v>
      </c>
      <c r="K2095" t="s">
        <v>3</v>
      </c>
      <c r="L2095" s="36">
        <f ca="1">IF(C2095&lt;&gt;"Yes",0,IF(A2095=2025,N('2025'!D61),IF(A2095=2026,N('2026'!D61),IF(A2095=2027,N('2027'!D61),IF(A2095=2028,N('2028'!D61),IF(A2095=2029,N('2029'!D61),IF(A2095=2030,N('2030'!D61),IF(A2095=2031,N('2031'!D61),IF(A2095=2032,N('2032'!D61),IF(A2095=2033,N('2033'!D61),IF(A2095=2034,N('2034'!D61),IFERROR(N(INDIRECT("'"&amp;A2095&amp;"'!D"&amp;G2095)),0))))))))))))</f>
        <v>0</v>
      </c>
      <c r="M2095" s="36">
        <f>IFERROR(IF(NOT(ISBLANK(KPI_TARGETS!$P$8)),KPI_TARGETS!$P$8,IF(NOT(ISBLANK(KPI_TARGETS!$F$8)),KPI_TARGETS!$F$8,"")),"")</f>
        <v>0</v>
      </c>
      <c r="N2095" s="36" t="str">
        <f>IFERROR(KPI_TARGETS!$E$8,"Higher is better")</f>
        <v>Lower is better</v>
      </c>
      <c r="O2095" s="37">
        <f t="shared" ca="1" si="192"/>
        <v>1</v>
      </c>
      <c r="P2095" t="str">
        <f t="shared" ca="1" si="193"/>
        <v>Green</v>
      </c>
      <c r="Q2095" s="36">
        <f t="shared" ca="1" si="194"/>
        <v>0</v>
      </c>
      <c r="R2095" s="36" t="str">
        <f>""</f>
        <v/>
      </c>
      <c r="S2095" s="36" t="str">
        <f>""</f>
        <v/>
      </c>
      <c r="T2095" s="36" t="str">
        <f>""</f>
        <v/>
      </c>
      <c r="U2095" s="36" t="str">
        <f>""</f>
        <v/>
      </c>
      <c r="V2095" s="36" t="str">
        <f>""</f>
        <v/>
      </c>
      <c r="W2095" s="36">
        <f t="shared" si="195"/>
        <v>1</v>
      </c>
      <c r="X2095" t="str">
        <f t="shared" si="196"/>
        <v>Inactive</v>
      </c>
      <c r="Y2095" t="str">
        <f>IF(MAIN!$H$3="Selected Year",IF(A2095=MAIN!$B$3,"Yes","No"),IF(MAIN!$H$3="Included Years",IF(D2095="Yes","Yes","No"),IF(C2095="Yes","Yes","No")))</f>
        <v>No</v>
      </c>
      <c r="Z2095" t="str">
        <f>IF(MAIN!$F$3="Project to Date",IF(AND(A2095&gt;=SETTINGS!$B$4,A2095&lt;MAIN!$B$3),"Yes",IF(AND(A2095=MAIN!$B$3,E2095&lt;=MAIN!$L$3),"Yes","No")),IF(OR(MAIN!$F$3="Full Year",MAIN!$D$3="All"),"Yes",IF(MAIN!$F$3="Monthly",IF(E2095=MAIN!$L$3,"Yes","No"),IF(E2095&lt;=MAIN!$L$3,"Yes","No"))))</f>
        <v>Yes</v>
      </c>
      <c r="AA2095" t="str">
        <f t="shared" si="197"/>
        <v>No</v>
      </c>
    </row>
    <row r="2096" spans="1:27" x14ac:dyDescent="0.3">
      <c r="A2096">
        <f>INDEX(SETTINGS!$A$15:$A$24,$B2096)</f>
        <v>2034</v>
      </c>
      <c r="B2096">
        <v>10</v>
      </c>
      <c r="C2096" t="str">
        <f>IF(AND(A2096&gt;=SETTINGS!$B$4,A2096&lt;=SETTINGS!$B$5),"Yes","No")</f>
        <v>No</v>
      </c>
      <c r="D2096" t="str">
        <f>IFERROR(INDEX(SETTINGS!$C$15:$C$24,MATCH(A2096,SETTINGS!$A$15:$A$24,0)),"No")</f>
        <v>No</v>
      </c>
      <c r="E2096">
        <v>3</v>
      </c>
      <c r="F2096" t="s">
        <v>36</v>
      </c>
      <c r="G2096">
        <v>62</v>
      </c>
      <c r="H2096" t="s">
        <v>97</v>
      </c>
      <c r="I2096" t="s">
        <v>15</v>
      </c>
      <c r="J2096" t="s">
        <v>17</v>
      </c>
      <c r="K2096" t="s">
        <v>3</v>
      </c>
      <c r="L2096" s="36">
        <f ca="1">IF(C2096&lt;&gt;"Yes",0,IF(A2096=2025,N('2025'!D62),IF(A2096=2026,N('2026'!D62),IF(A2096=2027,N('2027'!D62),IF(A2096=2028,N('2028'!D62),IF(A2096=2029,N('2029'!D62),IF(A2096=2030,N('2030'!D62),IF(A2096=2031,N('2031'!D62),IF(A2096=2032,N('2032'!D62),IF(A2096=2033,N('2033'!D62),IF(A2096=2034,N('2034'!D62),IFERROR(N(INDIRECT("'"&amp;A2096&amp;"'!D"&amp;G2096)),0))))))))))))</f>
        <v>0</v>
      </c>
      <c r="M2096" s="36">
        <f>IFERROR(IF(NOT(ISBLANK(KPI_TARGETS!$P$9)),KPI_TARGETS!$P$9,IF(NOT(ISBLANK(KPI_TARGETS!$F$9)),KPI_TARGETS!$F$9,"")),"")</f>
        <v>0</v>
      </c>
      <c r="N2096" s="36" t="str">
        <f>IFERROR(KPI_TARGETS!$E$9,"Higher is better")</f>
        <v>Higher is better</v>
      </c>
      <c r="O2096" s="37" t="str">
        <f t="shared" ca="1" si="192"/>
        <v/>
      </c>
      <c r="P2096" t="str">
        <f t="shared" ca="1" si="193"/>
        <v>Green</v>
      </c>
      <c r="Q2096" s="36">
        <f t="shared" ca="1" si="194"/>
        <v>0</v>
      </c>
      <c r="R2096" s="36" t="str">
        <f>""</f>
        <v/>
      </c>
      <c r="S2096" s="36" t="str">
        <f>""</f>
        <v/>
      </c>
      <c r="T2096" s="36" t="str">
        <f>""</f>
        <v/>
      </c>
      <c r="U2096" s="36" t="str">
        <f>""</f>
        <v/>
      </c>
      <c r="V2096" s="36" t="str">
        <f>""</f>
        <v/>
      </c>
      <c r="W2096" s="36">
        <f t="shared" si="195"/>
        <v>1</v>
      </c>
      <c r="X2096" t="str">
        <f t="shared" si="196"/>
        <v>Inactive</v>
      </c>
      <c r="Y2096" t="str">
        <f>IF(MAIN!$H$3="Selected Year",IF(A2096=MAIN!$B$3,"Yes","No"),IF(MAIN!$H$3="Included Years",IF(D2096="Yes","Yes","No"),IF(C2096="Yes","Yes","No")))</f>
        <v>No</v>
      </c>
      <c r="Z2096" t="str">
        <f>IF(MAIN!$F$3="Project to Date",IF(AND(A2096&gt;=SETTINGS!$B$4,A2096&lt;MAIN!$B$3),"Yes",IF(AND(A2096=MAIN!$B$3,E2096&lt;=MAIN!$L$3),"Yes","No")),IF(OR(MAIN!$F$3="Full Year",MAIN!$D$3="All"),"Yes",IF(MAIN!$F$3="Monthly",IF(E2096=MAIN!$L$3,"Yes","No"),IF(E2096&lt;=MAIN!$L$3,"Yes","No"))))</f>
        <v>Yes</v>
      </c>
      <c r="AA2096" t="str">
        <f t="shared" si="197"/>
        <v>No</v>
      </c>
    </row>
    <row r="2097" spans="1:27" x14ac:dyDescent="0.3">
      <c r="A2097">
        <f>INDEX(SETTINGS!$A$15:$A$24,$B2097)</f>
        <v>2034</v>
      </c>
      <c r="B2097">
        <v>10</v>
      </c>
      <c r="C2097" t="str">
        <f>IF(AND(A2097&gt;=SETTINGS!$B$4,A2097&lt;=SETTINGS!$B$5),"Yes","No")</f>
        <v>No</v>
      </c>
      <c r="D2097" t="str">
        <f>IFERROR(INDEX(SETTINGS!$C$15:$C$24,MATCH(A2097,SETTINGS!$A$15:$A$24,0)),"No")</f>
        <v>No</v>
      </c>
      <c r="E2097">
        <v>3</v>
      </c>
      <c r="F2097" t="s">
        <v>36</v>
      </c>
      <c r="G2097">
        <v>63</v>
      </c>
      <c r="H2097" t="s">
        <v>99</v>
      </c>
      <c r="I2097" t="s">
        <v>15</v>
      </c>
      <c r="J2097" t="s">
        <v>18</v>
      </c>
      <c r="K2097" t="s">
        <v>3</v>
      </c>
      <c r="L2097" s="36">
        <f ca="1">IF(C2097&lt;&gt;"Yes",0,IF(A2097=2025,N('2025'!D63),IF(A2097=2026,N('2026'!D63),IF(A2097=2027,N('2027'!D63),IF(A2097=2028,N('2028'!D63),IF(A2097=2029,N('2029'!D63),IF(A2097=2030,N('2030'!D63),IF(A2097=2031,N('2031'!D63),IF(A2097=2032,N('2032'!D63),IF(A2097=2033,N('2033'!D63),IF(A2097=2034,N('2034'!D63),IFERROR(N(INDIRECT("'"&amp;A2097&amp;"'!D"&amp;G2097)),0))))))))))))</f>
        <v>0</v>
      </c>
      <c r="M2097" s="36">
        <f>IFERROR(IF(NOT(ISBLANK(KPI_TARGETS!$P$10)),KPI_TARGETS!$P$10,IF(NOT(ISBLANK(KPI_TARGETS!$F$10)),KPI_TARGETS!$F$10,"")),"")</f>
        <v>0</v>
      </c>
      <c r="N2097" s="36" t="str">
        <f>IFERROR(KPI_TARGETS!$E$10,"Higher is better")</f>
        <v>Lower is better</v>
      </c>
      <c r="O2097" s="37">
        <f t="shared" ca="1" si="192"/>
        <v>1</v>
      </c>
      <c r="P2097" t="str">
        <f t="shared" ca="1" si="193"/>
        <v>Green</v>
      </c>
      <c r="Q2097" s="36">
        <f t="shared" ca="1" si="194"/>
        <v>0</v>
      </c>
      <c r="R2097" s="36" t="str">
        <f>""</f>
        <v/>
      </c>
      <c r="S2097" s="36" t="str">
        <f>""</f>
        <v/>
      </c>
      <c r="T2097" s="36" t="str">
        <f>""</f>
        <v/>
      </c>
      <c r="U2097" s="36" t="str">
        <f>""</f>
        <v/>
      </c>
      <c r="V2097" s="36" t="str">
        <f>""</f>
        <v/>
      </c>
      <c r="W2097" s="36">
        <f t="shared" si="195"/>
        <v>1</v>
      </c>
      <c r="X2097" t="str">
        <f t="shared" si="196"/>
        <v>Inactive</v>
      </c>
      <c r="Y2097" t="str">
        <f>IF(MAIN!$H$3="Selected Year",IF(A2097=MAIN!$B$3,"Yes","No"),IF(MAIN!$H$3="Included Years",IF(D2097="Yes","Yes","No"),IF(C2097="Yes","Yes","No")))</f>
        <v>No</v>
      </c>
      <c r="Z2097" t="str">
        <f>IF(MAIN!$F$3="Project to Date",IF(AND(A2097&gt;=SETTINGS!$B$4,A2097&lt;MAIN!$B$3),"Yes",IF(AND(A2097=MAIN!$B$3,E2097&lt;=MAIN!$L$3),"Yes","No")),IF(OR(MAIN!$F$3="Full Year",MAIN!$D$3="All"),"Yes",IF(MAIN!$F$3="Monthly",IF(E2097=MAIN!$L$3,"Yes","No"),IF(E2097&lt;=MAIN!$L$3,"Yes","No"))))</f>
        <v>Yes</v>
      </c>
      <c r="AA2097" t="str">
        <f t="shared" si="197"/>
        <v>No</v>
      </c>
    </row>
    <row r="2098" spans="1:27" x14ac:dyDescent="0.3">
      <c r="A2098">
        <f>INDEX(SETTINGS!$A$15:$A$24,$B2098)</f>
        <v>2034</v>
      </c>
      <c r="B2098">
        <v>10</v>
      </c>
      <c r="C2098" t="str">
        <f>IF(AND(A2098&gt;=SETTINGS!$B$4,A2098&lt;=SETTINGS!$B$5),"Yes","No")</f>
        <v>No</v>
      </c>
      <c r="D2098" t="str">
        <f>IFERROR(INDEX(SETTINGS!$C$15:$C$24,MATCH(A2098,SETTINGS!$A$15:$A$24,0)),"No")</f>
        <v>No</v>
      </c>
      <c r="E2098">
        <v>3</v>
      </c>
      <c r="F2098" t="s">
        <v>36</v>
      </c>
      <c r="G2098">
        <v>64</v>
      </c>
      <c r="H2098" t="s">
        <v>100</v>
      </c>
      <c r="I2098" t="s">
        <v>15</v>
      </c>
      <c r="J2098" t="s">
        <v>19</v>
      </c>
      <c r="K2098" t="s">
        <v>3</v>
      </c>
      <c r="L2098" s="36">
        <f ca="1">IF(C2098&lt;&gt;"Yes",0,IF(A2098=2025,N('2025'!D64),IF(A2098=2026,N('2026'!D64),IF(A2098=2027,N('2027'!D64),IF(A2098=2028,N('2028'!D64),IF(A2098=2029,N('2029'!D64),IF(A2098=2030,N('2030'!D64),IF(A2098=2031,N('2031'!D64),IF(A2098=2032,N('2032'!D64),IF(A2098=2033,N('2033'!D64),IF(A2098=2034,N('2034'!D64),IFERROR(N(INDIRECT("'"&amp;A2098&amp;"'!D"&amp;G2098)),0))))))))))))</f>
        <v>0</v>
      </c>
      <c r="M2098" s="36">
        <f>IFERROR(IF(NOT(ISBLANK(KPI_TARGETS!$P$11)),KPI_TARGETS!$P$11,IF(NOT(ISBLANK(KPI_TARGETS!$F$11)),KPI_TARGETS!$F$11,"")),"")</f>
        <v>0</v>
      </c>
      <c r="N2098" s="36" t="str">
        <f>IFERROR(KPI_TARGETS!$E$11,"Higher is better")</f>
        <v>Lower is better</v>
      </c>
      <c r="O2098" s="37">
        <f t="shared" ca="1" si="192"/>
        <v>1</v>
      </c>
      <c r="P2098" t="str">
        <f t="shared" ca="1" si="193"/>
        <v>Green</v>
      </c>
      <c r="Q2098" s="36">
        <f t="shared" ca="1" si="194"/>
        <v>0</v>
      </c>
      <c r="R2098" s="36" t="str">
        <f>""</f>
        <v/>
      </c>
      <c r="S2098" s="36" t="str">
        <f>""</f>
        <v/>
      </c>
      <c r="T2098" s="36" t="str">
        <f>""</f>
        <v/>
      </c>
      <c r="U2098" s="36" t="str">
        <f>""</f>
        <v/>
      </c>
      <c r="V2098" s="36" t="str">
        <f>""</f>
        <v/>
      </c>
      <c r="W2098" s="36">
        <f t="shared" si="195"/>
        <v>1</v>
      </c>
      <c r="X2098" t="str">
        <f t="shared" si="196"/>
        <v>Inactive</v>
      </c>
      <c r="Y2098" t="str">
        <f>IF(MAIN!$H$3="Selected Year",IF(A2098=MAIN!$B$3,"Yes","No"),IF(MAIN!$H$3="Included Years",IF(D2098="Yes","Yes","No"),IF(C2098="Yes","Yes","No")))</f>
        <v>No</v>
      </c>
      <c r="Z2098" t="str">
        <f>IF(MAIN!$F$3="Project to Date",IF(AND(A2098&gt;=SETTINGS!$B$4,A2098&lt;MAIN!$B$3),"Yes",IF(AND(A2098=MAIN!$B$3,E2098&lt;=MAIN!$L$3),"Yes","No")),IF(OR(MAIN!$F$3="Full Year",MAIN!$D$3="All"),"Yes",IF(MAIN!$F$3="Monthly",IF(E2098=MAIN!$L$3,"Yes","No"),IF(E2098&lt;=MAIN!$L$3,"Yes","No"))))</f>
        <v>Yes</v>
      </c>
      <c r="AA2098" t="str">
        <f t="shared" si="197"/>
        <v>No</v>
      </c>
    </row>
    <row r="2099" spans="1:27" x14ac:dyDescent="0.3">
      <c r="A2099">
        <f>INDEX(SETTINGS!$A$15:$A$24,$B2099)</f>
        <v>2034</v>
      </c>
      <c r="B2099">
        <v>10</v>
      </c>
      <c r="C2099" t="str">
        <f>IF(AND(A2099&gt;=SETTINGS!$B$4,A2099&lt;=SETTINGS!$B$5),"Yes","No")</f>
        <v>No</v>
      </c>
      <c r="D2099" t="str">
        <f>IFERROR(INDEX(SETTINGS!$C$15:$C$24,MATCH(A2099,SETTINGS!$A$15:$A$24,0)),"No")</f>
        <v>No</v>
      </c>
      <c r="E2099">
        <v>3</v>
      </c>
      <c r="F2099" t="s">
        <v>36</v>
      </c>
      <c r="G2099">
        <v>65</v>
      </c>
      <c r="H2099" t="s">
        <v>101</v>
      </c>
      <c r="I2099" t="s">
        <v>15</v>
      </c>
      <c r="J2099" t="s">
        <v>20</v>
      </c>
      <c r="K2099" t="s">
        <v>3</v>
      </c>
      <c r="L2099" s="36">
        <f ca="1">IF(C2099&lt;&gt;"Yes",0,IF(A2099=2025,N('2025'!D65),IF(A2099=2026,N('2026'!D65),IF(A2099=2027,N('2027'!D65),IF(A2099=2028,N('2028'!D65),IF(A2099=2029,N('2029'!D65),IF(A2099=2030,N('2030'!D65),IF(A2099=2031,N('2031'!D65),IF(A2099=2032,N('2032'!D65),IF(A2099=2033,N('2033'!D65),IF(A2099=2034,N('2034'!D65),IFERROR(N(INDIRECT("'"&amp;A2099&amp;"'!D"&amp;G2099)),0))))))))))))</f>
        <v>0</v>
      </c>
      <c r="M2099" s="36">
        <f>IFERROR(IF(NOT(ISBLANK(KPI_TARGETS!$P$12)),KPI_TARGETS!$P$12,IF(NOT(ISBLANK(KPI_TARGETS!$F$12)),KPI_TARGETS!$F$12,"")),"")</f>
        <v>0</v>
      </c>
      <c r="N2099" s="36" t="str">
        <f>IFERROR(KPI_TARGETS!$E$12,"Higher is better")</f>
        <v>Lower is better</v>
      </c>
      <c r="O2099" s="37">
        <f t="shared" ca="1" si="192"/>
        <v>1</v>
      </c>
      <c r="P2099" t="str">
        <f t="shared" ca="1" si="193"/>
        <v>Green</v>
      </c>
      <c r="Q2099" s="36">
        <f t="shared" ca="1" si="194"/>
        <v>0</v>
      </c>
      <c r="R2099" s="36" t="str">
        <f>""</f>
        <v/>
      </c>
      <c r="S2099" s="36" t="str">
        <f>""</f>
        <v/>
      </c>
      <c r="T2099" s="36" t="str">
        <f>""</f>
        <v/>
      </c>
      <c r="U2099" s="36" t="str">
        <f>""</f>
        <v/>
      </c>
      <c r="V2099" s="36" t="str">
        <f>""</f>
        <v/>
      </c>
      <c r="W2099" s="36">
        <f t="shared" si="195"/>
        <v>1</v>
      </c>
      <c r="X2099" t="str">
        <f t="shared" si="196"/>
        <v>Inactive</v>
      </c>
      <c r="Y2099" t="str">
        <f>IF(MAIN!$H$3="Selected Year",IF(A2099=MAIN!$B$3,"Yes","No"),IF(MAIN!$H$3="Included Years",IF(D2099="Yes","Yes","No"),IF(C2099="Yes","Yes","No")))</f>
        <v>No</v>
      </c>
      <c r="Z2099" t="str">
        <f>IF(MAIN!$F$3="Project to Date",IF(AND(A2099&gt;=SETTINGS!$B$4,A2099&lt;MAIN!$B$3),"Yes",IF(AND(A2099=MAIN!$B$3,E2099&lt;=MAIN!$L$3),"Yes","No")),IF(OR(MAIN!$F$3="Full Year",MAIN!$D$3="All"),"Yes",IF(MAIN!$F$3="Monthly",IF(E2099=MAIN!$L$3,"Yes","No"),IF(E2099&lt;=MAIN!$L$3,"Yes","No"))))</f>
        <v>Yes</v>
      </c>
      <c r="AA2099" t="str">
        <f t="shared" si="197"/>
        <v>No</v>
      </c>
    </row>
    <row r="2100" spans="1:27" x14ac:dyDescent="0.3">
      <c r="A2100">
        <f>INDEX(SETTINGS!$A$15:$A$24,$B2100)</f>
        <v>2034</v>
      </c>
      <c r="B2100">
        <v>10</v>
      </c>
      <c r="C2100" t="str">
        <f>IF(AND(A2100&gt;=SETTINGS!$B$4,A2100&lt;=SETTINGS!$B$5),"Yes","No")</f>
        <v>No</v>
      </c>
      <c r="D2100" t="str">
        <f>IFERROR(INDEX(SETTINGS!$C$15:$C$24,MATCH(A2100,SETTINGS!$A$15:$A$24,0)),"No")</f>
        <v>No</v>
      </c>
      <c r="E2100">
        <v>3</v>
      </c>
      <c r="F2100" t="s">
        <v>36</v>
      </c>
      <c r="G2100">
        <v>66</v>
      </c>
      <c r="H2100" t="s">
        <v>102</v>
      </c>
      <c r="I2100" t="s">
        <v>15</v>
      </c>
      <c r="J2100" t="s">
        <v>21</v>
      </c>
      <c r="K2100" t="s">
        <v>3</v>
      </c>
      <c r="L2100" s="36">
        <f ca="1">IF(C2100&lt;&gt;"Yes",0,IF(A2100=2025,N('2025'!D66),IF(A2100=2026,N('2026'!D66),IF(A2100=2027,N('2027'!D66),IF(A2100=2028,N('2028'!D66),IF(A2100=2029,N('2029'!D66),IF(A2100=2030,N('2030'!D66),IF(A2100=2031,N('2031'!D66),IF(A2100=2032,N('2032'!D66),IF(A2100=2033,N('2033'!D66),IF(A2100=2034,N('2034'!D66),IFERROR(N(INDIRECT("'"&amp;A2100&amp;"'!D"&amp;G2100)),0))))))))))))</f>
        <v>0</v>
      </c>
      <c r="M2100" s="36">
        <f>IFERROR(IF(NOT(ISBLANK(KPI_TARGETS!$P$13)),KPI_TARGETS!$P$13,IF(NOT(ISBLANK(KPI_TARGETS!$F$13)),KPI_TARGETS!$F$13,"")),"")</f>
        <v>0</v>
      </c>
      <c r="N2100" s="36" t="str">
        <f>IFERROR(KPI_TARGETS!$E$13,"Higher is better")</f>
        <v>Lower is better</v>
      </c>
      <c r="O2100" s="37">
        <f t="shared" ca="1" si="192"/>
        <v>1</v>
      </c>
      <c r="P2100" t="str">
        <f t="shared" ca="1" si="193"/>
        <v>Green</v>
      </c>
      <c r="Q2100" s="36">
        <f t="shared" ca="1" si="194"/>
        <v>0</v>
      </c>
      <c r="R2100" s="36" t="str">
        <f>""</f>
        <v/>
      </c>
      <c r="S2100" s="36" t="str">
        <f>""</f>
        <v/>
      </c>
      <c r="T2100" s="36" t="str">
        <f>""</f>
        <v/>
      </c>
      <c r="U2100" s="36" t="str">
        <f>""</f>
        <v/>
      </c>
      <c r="V2100" s="36" t="str">
        <f>""</f>
        <v/>
      </c>
      <c r="W2100" s="36">
        <f t="shared" si="195"/>
        <v>1</v>
      </c>
      <c r="X2100" t="str">
        <f t="shared" si="196"/>
        <v>Inactive</v>
      </c>
      <c r="Y2100" t="str">
        <f>IF(MAIN!$H$3="Selected Year",IF(A2100=MAIN!$B$3,"Yes","No"),IF(MAIN!$H$3="Included Years",IF(D2100="Yes","Yes","No"),IF(C2100="Yes","Yes","No")))</f>
        <v>No</v>
      </c>
      <c r="Z2100" t="str">
        <f>IF(MAIN!$F$3="Project to Date",IF(AND(A2100&gt;=SETTINGS!$B$4,A2100&lt;MAIN!$B$3),"Yes",IF(AND(A2100=MAIN!$B$3,E2100&lt;=MAIN!$L$3),"Yes","No")),IF(OR(MAIN!$F$3="Full Year",MAIN!$D$3="All"),"Yes",IF(MAIN!$F$3="Monthly",IF(E2100=MAIN!$L$3,"Yes","No"),IF(E2100&lt;=MAIN!$L$3,"Yes","No"))))</f>
        <v>Yes</v>
      </c>
      <c r="AA2100" t="str">
        <f t="shared" si="197"/>
        <v>No</v>
      </c>
    </row>
    <row r="2101" spans="1:27" x14ac:dyDescent="0.3">
      <c r="A2101">
        <f>INDEX(SETTINGS!$A$15:$A$24,$B2101)</f>
        <v>2034</v>
      </c>
      <c r="B2101">
        <v>10</v>
      </c>
      <c r="C2101" t="str">
        <f>IF(AND(A2101&gt;=SETTINGS!$B$4,A2101&lt;=SETTINGS!$B$5),"Yes","No")</f>
        <v>No</v>
      </c>
      <c r="D2101" t="str">
        <f>IFERROR(INDEX(SETTINGS!$C$15:$C$24,MATCH(A2101,SETTINGS!$A$15:$A$24,0)),"No")</f>
        <v>No</v>
      </c>
      <c r="E2101">
        <v>3</v>
      </c>
      <c r="F2101" t="s">
        <v>36</v>
      </c>
      <c r="G2101">
        <v>68</v>
      </c>
      <c r="H2101" t="s">
        <v>103</v>
      </c>
      <c r="I2101" t="s">
        <v>22</v>
      </c>
      <c r="J2101" t="s">
        <v>23</v>
      </c>
      <c r="K2101" t="s">
        <v>3</v>
      </c>
      <c r="L2101" s="36">
        <f ca="1">IF(C2101&lt;&gt;"Yes",0,IF(A2101=2025,N('2025'!D68),IF(A2101=2026,N('2026'!D68),IF(A2101=2027,N('2027'!D68),IF(A2101=2028,N('2028'!D68),IF(A2101=2029,N('2029'!D68),IF(A2101=2030,N('2030'!D68),IF(A2101=2031,N('2031'!D68),IF(A2101=2032,N('2032'!D68),IF(A2101=2033,N('2033'!D68),IF(A2101=2034,N('2034'!D68),IFERROR(N(INDIRECT("'"&amp;A2101&amp;"'!D"&amp;G2101)),0))))))))))))</f>
        <v>0</v>
      </c>
      <c r="M2101" s="36">
        <f>IFERROR(IF(NOT(ISBLANK(KPI_TARGETS!$P$14)),KPI_TARGETS!$P$14,IF(NOT(ISBLANK(KPI_TARGETS!$F$14)),KPI_TARGETS!$F$14,"")),"")</f>
        <v>35</v>
      </c>
      <c r="N2101" s="36" t="str">
        <f>IFERROR(KPI_TARGETS!$E$14,"Higher is better")</f>
        <v>Higher is better</v>
      </c>
      <c r="O2101" s="37">
        <f t="shared" ca="1" si="192"/>
        <v>0</v>
      </c>
      <c r="P2101" t="str">
        <f t="shared" ca="1" si="193"/>
        <v>Red</v>
      </c>
      <c r="Q2101" s="36">
        <f t="shared" ca="1" si="194"/>
        <v>-35</v>
      </c>
      <c r="R2101" s="36" t="str">
        <f>""</f>
        <v/>
      </c>
      <c r="S2101" s="36" t="str">
        <f>""</f>
        <v/>
      </c>
      <c r="T2101" s="36" t="str">
        <f>""</f>
        <v/>
      </c>
      <c r="U2101" s="36" t="str">
        <f>""</f>
        <v/>
      </c>
      <c r="V2101" s="36" t="str">
        <f>""</f>
        <v/>
      </c>
      <c r="W2101" s="36">
        <f t="shared" si="195"/>
        <v>1</v>
      </c>
      <c r="X2101" t="str">
        <f t="shared" si="196"/>
        <v>Inactive</v>
      </c>
      <c r="Y2101" t="str">
        <f>IF(MAIN!$H$3="Selected Year",IF(A2101=MAIN!$B$3,"Yes","No"),IF(MAIN!$H$3="Included Years",IF(D2101="Yes","Yes","No"),IF(C2101="Yes","Yes","No")))</f>
        <v>No</v>
      </c>
      <c r="Z2101" t="str">
        <f>IF(MAIN!$F$3="Project to Date",IF(AND(A2101&gt;=SETTINGS!$B$4,A2101&lt;MAIN!$B$3),"Yes",IF(AND(A2101=MAIN!$B$3,E2101&lt;=MAIN!$L$3),"Yes","No")),IF(OR(MAIN!$F$3="Full Year",MAIN!$D$3="All"),"Yes",IF(MAIN!$F$3="Monthly",IF(E2101=MAIN!$L$3,"Yes","No"),IF(E2101&lt;=MAIN!$L$3,"Yes","No"))))</f>
        <v>Yes</v>
      </c>
      <c r="AA2101" t="str">
        <f t="shared" si="197"/>
        <v>No</v>
      </c>
    </row>
    <row r="2102" spans="1:27" x14ac:dyDescent="0.3">
      <c r="A2102">
        <f>INDEX(SETTINGS!$A$15:$A$24,$B2102)</f>
        <v>2034</v>
      </c>
      <c r="B2102">
        <v>10</v>
      </c>
      <c r="C2102" t="str">
        <f>IF(AND(A2102&gt;=SETTINGS!$B$4,A2102&lt;=SETTINGS!$B$5),"Yes","No")</f>
        <v>No</v>
      </c>
      <c r="D2102" t="str">
        <f>IFERROR(INDEX(SETTINGS!$C$15:$C$24,MATCH(A2102,SETTINGS!$A$15:$A$24,0)),"No")</f>
        <v>No</v>
      </c>
      <c r="E2102">
        <v>3</v>
      </c>
      <c r="F2102" t="s">
        <v>36</v>
      </c>
      <c r="G2102">
        <v>69</v>
      </c>
      <c r="H2102" t="s">
        <v>104</v>
      </c>
      <c r="I2102" t="s">
        <v>22</v>
      </c>
      <c r="J2102" t="s">
        <v>24</v>
      </c>
      <c r="K2102" t="s">
        <v>3</v>
      </c>
      <c r="L2102" s="36">
        <f ca="1">IF(C2102&lt;&gt;"Yes",0,IF(A2102=2025,N('2025'!D69),IF(A2102=2026,N('2026'!D69),IF(A2102=2027,N('2027'!D69),IF(A2102=2028,N('2028'!D69),IF(A2102=2029,N('2029'!D69),IF(A2102=2030,N('2030'!D69),IF(A2102=2031,N('2031'!D69),IF(A2102=2032,N('2032'!D69),IF(A2102=2033,N('2033'!D69),IF(A2102=2034,N('2034'!D69),IFERROR(N(INDIRECT("'"&amp;A2102&amp;"'!D"&amp;G2102)),0))))))))))))</f>
        <v>0</v>
      </c>
      <c r="M2102" s="36">
        <f>IFERROR(IF(NOT(ISBLANK(KPI_TARGETS!$P$15)),KPI_TARGETS!$P$15,IF(NOT(ISBLANK(KPI_TARGETS!$F$15)),KPI_TARGETS!$F$15,"")),"")</f>
        <v>5</v>
      </c>
      <c r="N2102" s="36" t="str">
        <f>IFERROR(KPI_TARGETS!$E$15,"Higher is better")</f>
        <v>Higher is better</v>
      </c>
      <c r="O2102" s="37">
        <f t="shared" ca="1" si="192"/>
        <v>0</v>
      </c>
      <c r="P2102" t="str">
        <f t="shared" ca="1" si="193"/>
        <v>Red</v>
      </c>
      <c r="Q2102" s="36">
        <f t="shared" ca="1" si="194"/>
        <v>-5</v>
      </c>
      <c r="R2102" s="36" t="str">
        <f>""</f>
        <v/>
      </c>
      <c r="S2102" s="36" t="str">
        <f>""</f>
        <v/>
      </c>
      <c r="T2102" s="36" t="str">
        <f>""</f>
        <v/>
      </c>
      <c r="U2102" s="36" t="str">
        <f>""</f>
        <v/>
      </c>
      <c r="V2102" s="36" t="str">
        <f>""</f>
        <v/>
      </c>
      <c r="W2102" s="36">
        <f t="shared" si="195"/>
        <v>1</v>
      </c>
      <c r="X2102" t="str">
        <f t="shared" si="196"/>
        <v>Inactive</v>
      </c>
      <c r="Y2102" t="str">
        <f>IF(MAIN!$H$3="Selected Year",IF(A2102=MAIN!$B$3,"Yes","No"),IF(MAIN!$H$3="Included Years",IF(D2102="Yes","Yes","No"),IF(C2102="Yes","Yes","No")))</f>
        <v>No</v>
      </c>
      <c r="Z2102" t="str">
        <f>IF(MAIN!$F$3="Project to Date",IF(AND(A2102&gt;=SETTINGS!$B$4,A2102&lt;MAIN!$B$3),"Yes",IF(AND(A2102=MAIN!$B$3,E2102&lt;=MAIN!$L$3),"Yes","No")),IF(OR(MAIN!$F$3="Full Year",MAIN!$D$3="All"),"Yes",IF(MAIN!$F$3="Monthly",IF(E2102=MAIN!$L$3,"Yes","No"),IF(E2102&lt;=MAIN!$L$3,"Yes","No"))))</f>
        <v>Yes</v>
      </c>
      <c r="AA2102" t="str">
        <f t="shared" si="197"/>
        <v>No</v>
      </c>
    </row>
    <row r="2103" spans="1:27" x14ac:dyDescent="0.3">
      <c r="A2103">
        <f>INDEX(SETTINGS!$A$15:$A$24,$B2103)</f>
        <v>2034</v>
      </c>
      <c r="B2103">
        <v>10</v>
      </c>
      <c r="C2103" t="str">
        <f>IF(AND(A2103&gt;=SETTINGS!$B$4,A2103&lt;=SETTINGS!$B$5),"Yes","No")</f>
        <v>No</v>
      </c>
      <c r="D2103" t="str">
        <f>IFERROR(INDEX(SETTINGS!$C$15:$C$24,MATCH(A2103,SETTINGS!$A$15:$A$24,0)),"No")</f>
        <v>No</v>
      </c>
      <c r="E2103">
        <v>3</v>
      </c>
      <c r="F2103" t="s">
        <v>36</v>
      </c>
      <c r="G2103">
        <v>70</v>
      </c>
      <c r="H2103" t="s">
        <v>105</v>
      </c>
      <c r="I2103" t="s">
        <v>22</v>
      </c>
      <c r="J2103" t="s">
        <v>25</v>
      </c>
      <c r="K2103" t="s">
        <v>3</v>
      </c>
      <c r="L2103" s="36">
        <f ca="1">IF(C2103&lt;&gt;"Yes",0,IF(A2103=2025,N('2025'!D70),IF(A2103=2026,N('2026'!D70),IF(A2103=2027,N('2027'!D70),IF(A2103=2028,N('2028'!D70),IF(A2103=2029,N('2029'!D70),IF(A2103=2030,N('2030'!D70),IF(A2103=2031,N('2031'!D70),IF(A2103=2032,N('2032'!D70),IF(A2103=2033,N('2033'!D70),IF(A2103=2034,N('2034'!D70),IFERROR(N(INDIRECT("'"&amp;A2103&amp;"'!D"&amp;G2103)),0))))))))))))</f>
        <v>0</v>
      </c>
      <c r="M2103" s="36">
        <f>IFERROR(IF(NOT(ISBLANK(KPI_TARGETS!$P$16)),KPI_TARGETS!$P$16,IF(NOT(ISBLANK(KPI_TARGETS!$F$16)),KPI_TARGETS!$F$16,"")),"")</f>
        <v>4</v>
      </c>
      <c r="N2103" s="36" t="str">
        <f>IFERROR(KPI_TARGETS!$E$16,"Higher is better")</f>
        <v>Higher is better</v>
      </c>
      <c r="O2103" s="37">
        <f t="shared" ca="1" si="192"/>
        <v>0</v>
      </c>
      <c r="P2103" t="str">
        <f t="shared" ca="1" si="193"/>
        <v>Red</v>
      </c>
      <c r="Q2103" s="36">
        <f t="shared" ca="1" si="194"/>
        <v>-4</v>
      </c>
      <c r="R2103" s="36" t="str">
        <f>""</f>
        <v/>
      </c>
      <c r="S2103" s="36" t="str">
        <f>""</f>
        <v/>
      </c>
      <c r="T2103" s="36" t="str">
        <f>""</f>
        <v/>
      </c>
      <c r="U2103" s="36" t="str">
        <f>""</f>
        <v/>
      </c>
      <c r="V2103" s="36" t="str">
        <f>""</f>
        <v/>
      </c>
      <c r="W2103" s="36">
        <f t="shared" si="195"/>
        <v>1</v>
      </c>
      <c r="X2103" t="str">
        <f t="shared" si="196"/>
        <v>Inactive</v>
      </c>
      <c r="Y2103" t="str">
        <f>IF(MAIN!$H$3="Selected Year",IF(A2103=MAIN!$B$3,"Yes","No"),IF(MAIN!$H$3="Included Years",IF(D2103="Yes","Yes","No"),IF(C2103="Yes","Yes","No")))</f>
        <v>No</v>
      </c>
      <c r="Z2103" t="str">
        <f>IF(MAIN!$F$3="Project to Date",IF(AND(A2103&gt;=SETTINGS!$B$4,A2103&lt;MAIN!$B$3),"Yes",IF(AND(A2103=MAIN!$B$3,E2103&lt;=MAIN!$L$3),"Yes","No")),IF(OR(MAIN!$F$3="Full Year",MAIN!$D$3="All"),"Yes",IF(MAIN!$F$3="Monthly",IF(E2103=MAIN!$L$3,"Yes","No"),IF(E2103&lt;=MAIN!$L$3,"Yes","No"))))</f>
        <v>Yes</v>
      </c>
      <c r="AA2103" t="str">
        <f t="shared" si="197"/>
        <v>No</v>
      </c>
    </row>
    <row r="2104" spans="1:27" x14ac:dyDescent="0.3">
      <c r="A2104">
        <f>INDEX(SETTINGS!$A$15:$A$24,$B2104)</f>
        <v>2034</v>
      </c>
      <c r="B2104">
        <v>10</v>
      </c>
      <c r="C2104" t="str">
        <f>IF(AND(A2104&gt;=SETTINGS!$B$4,A2104&lt;=SETTINGS!$B$5),"Yes","No")</f>
        <v>No</v>
      </c>
      <c r="D2104" t="str">
        <f>IFERROR(INDEX(SETTINGS!$C$15:$C$24,MATCH(A2104,SETTINGS!$A$15:$A$24,0)),"No")</f>
        <v>No</v>
      </c>
      <c r="E2104">
        <v>3</v>
      </c>
      <c r="F2104" t="s">
        <v>36</v>
      </c>
      <c r="G2104">
        <v>71</v>
      </c>
      <c r="H2104" t="s">
        <v>106</v>
      </c>
      <c r="I2104" t="s">
        <v>22</v>
      </c>
      <c r="J2104" t="s">
        <v>26</v>
      </c>
      <c r="K2104" t="s">
        <v>3</v>
      </c>
      <c r="L2104" s="36">
        <f ca="1">IF(C2104&lt;&gt;"Yes",0,IF(A2104=2025,N('2025'!D71),IF(A2104=2026,N('2026'!D71),IF(A2104=2027,N('2027'!D71),IF(A2104=2028,N('2028'!D71),IF(A2104=2029,N('2029'!D71),IF(A2104=2030,N('2030'!D71),IF(A2104=2031,N('2031'!D71),IF(A2104=2032,N('2032'!D71),IF(A2104=2033,N('2033'!D71),IF(A2104=2034,N('2034'!D71),IFERROR(N(INDIRECT("'"&amp;A2104&amp;"'!D"&amp;G2104)),0))))))))))))</f>
        <v>0</v>
      </c>
      <c r="M2104" s="36">
        <f>IFERROR(IF(NOT(ISBLANK(KPI_TARGETS!$P$17)),KPI_TARGETS!$P$17,IF(NOT(ISBLANK(KPI_TARGETS!$F$17)),KPI_TARGETS!$F$17,"")),"")</f>
        <v>12</v>
      </c>
      <c r="N2104" s="36" t="str">
        <f>IFERROR(KPI_TARGETS!$E$17,"Higher is better")</f>
        <v>Higher is better</v>
      </c>
      <c r="O2104" s="37">
        <f t="shared" ca="1" si="192"/>
        <v>0</v>
      </c>
      <c r="P2104" t="str">
        <f t="shared" ca="1" si="193"/>
        <v>Red</v>
      </c>
      <c r="Q2104" s="36">
        <f t="shared" ca="1" si="194"/>
        <v>-12</v>
      </c>
      <c r="R2104" s="36" t="str">
        <f>""</f>
        <v/>
      </c>
      <c r="S2104" s="36" t="str">
        <f>""</f>
        <v/>
      </c>
      <c r="T2104" s="36" t="str">
        <f>""</f>
        <v/>
      </c>
      <c r="U2104" s="36" t="str">
        <f>""</f>
        <v/>
      </c>
      <c r="V2104" s="36" t="str">
        <f>""</f>
        <v/>
      </c>
      <c r="W2104" s="36">
        <f t="shared" si="195"/>
        <v>1</v>
      </c>
      <c r="X2104" t="str">
        <f t="shared" si="196"/>
        <v>Inactive</v>
      </c>
      <c r="Y2104" t="str">
        <f>IF(MAIN!$H$3="Selected Year",IF(A2104=MAIN!$B$3,"Yes","No"),IF(MAIN!$H$3="Included Years",IF(D2104="Yes","Yes","No"),IF(C2104="Yes","Yes","No")))</f>
        <v>No</v>
      </c>
      <c r="Z2104" t="str">
        <f>IF(MAIN!$F$3="Project to Date",IF(AND(A2104&gt;=SETTINGS!$B$4,A2104&lt;MAIN!$B$3),"Yes",IF(AND(A2104=MAIN!$B$3,E2104&lt;=MAIN!$L$3),"Yes","No")),IF(OR(MAIN!$F$3="Full Year",MAIN!$D$3="All"),"Yes",IF(MAIN!$F$3="Monthly",IF(E2104=MAIN!$L$3,"Yes","No"),IF(E2104&lt;=MAIN!$L$3,"Yes","No"))))</f>
        <v>Yes</v>
      </c>
      <c r="AA2104" t="str">
        <f t="shared" si="197"/>
        <v>No</v>
      </c>
    </row>
    <row r="2105" spans="1:27" x14ac:dyDescent="0.3">
      <c r="A2105">
        <f>INDEX(SETTINGS!$A$15:$A$24,$B2105)</f>
        <v>2034</v>
      </c>
      <c r="B2105">
        <v>10</v>
      </c>
      <c r="C2105" t="str">
        <f>IF(AND(A2105&gt;=SETTINGS!$B$4,A2105&lt;=SETTINGS!$B$5),"Yes","No")</f>
        <v>No</v>
      </c>
      <c r="D2105" t="str">
        <f>IFERROR(INDEX(SETTINGS!$C$15:$C$24,MATCH(A2105,SETTINGS!$A$15:$A$24,0)),"No")</f>
        <v>No</v>
      </c>
      <c r="E2105">
        <v>3</v>
      </c>
      <c r="F2105" t="s">
        <v>36</v>
      </c>
      <c r="G2105">
        <v>72</v>
      </c>
      <c r="H2105" t="s">
        <v>107</v>
      </c>
      <c r="I2105" t="s">
        <v>22</v>
      </c>
      <c r="J2105" t="s">
        <v>27</v>
      </c>
      <c r="K2105" t="s">
        <v>3</v>
      </c>
      <c r="L2105" s="36">
        <f ca="1">IF(C2105&lt;&gt;"Yes",0,IF(A2105=2025,N('2025'!D72),IF(A2105=2026,N('2026'!D72),IF(A2105=2027,N('2027'!D72),IF(A2105=2028,N('2028'!D72),IF(A2105=2029,N('2029'!D72),IF(A2105=2030,N('2030'!D72),IF(A2105=2031,N('2031'!D72),IF(A2105=2032,N('2032'!D72),IF(A2105=2033,N('2033'!D72),IF(A2105=2034,N('2034'!D72),IFERROR(N(INDIRECT("'"&amp;A2105&amp;"'!D"&amp;G2105)),0))))))))))))</f>
        <v>0</v>
      </c>
      <c r="M2105" s="36">
        <f>IFERROR(IF(NOT(ISBLANK(KPI_TARGETS!$P$18)),KPI_TARGETS!$P$18,IF(NOT(ISBLANK(KPI_TARGETS!$F$18)),KPI_TARGETS!$F$18,"")),"")</f>
        <v>4</v>
      </c>
      <c r="N2105" s="36" t="str">
        <f>IFERROR(KPI_TARGETS!$E$18,"Higher is better")</f>
        <v>Higher is better</v>
      </c>
      <c r="O2105" s="37">
        <f t="shared" ca="1" si="192"/>
        <v>0</v>
      </c>
      <c r="P2105" t="str">
        <f t="shared" ca="1" si="193"/>
        <v>Red</v>
      </c>
      <c r="Q2105" s="36">
        <f t="shared" ca="1" si="194"/>
        <v>-4</v>
      </c>
      <c r="R2105" s="36" t="str">
        <f>""</f>
        <v/>
      </c>
      <c r="S2105" s="36" t="str">
        <f>""</f>
        <v/>
      </c>
      <c r="T2105" s="36" t="str">
        <f>""</f>
        <v/>
      </c>
      <c r="U2105" s="36" t="str">
        <f>""</f>
        <v/>
      </c>
      <c r="V2105" s="36" t="str">
        <f>""</f>
        <v/>
      </c>
      <c r="W2105" s="36">
        <f t="shared" si="195"/>
        <v>1</v>
      </c>
      <c r="X2105" t="str">
        <f t="shared" si="196"/>
        <v>Inactive</v>
      </c>
      <c r="Y2105" t="str">
        <f>IF(MAIN!$H$3="Selected Year",IF(A2105=MAIN!$B$3,"Yes","No"),IF(MAIN!$H$3="Included Years",IF(D2105="Yes","Yes","No"),IF(C2105="Yes","Yes","No")))</f>
        <v>No</v>
      </c>
      <c r="Z2105" t="str">
        <f>IF(MAIN!$F$3="Project to Date",IF(AND(A2105&gt;=SETTINGS!$B$4,A2105&lt;MAIN!$B$3),"Yes",IF(AND(A2105=MAIN!$B$3,E2105&lt;=MAIN!$L$3),"Yes","No")),IF(OR(MAIN!$F$3="Full Year",MAIN!$D$3="All"),"Yes",IF(MAIN!$F$3="Monthly",IF(E2105=MAIN!$L$3,"Yes","No"),IF(E2105&lt;=MAIN!$L$3,"Yes","No"))))</f>
        <v>Yes</v>
      </c>
      <c r="AA2105" t="str">
        <f t="shared" si="197"/>
        <v>No</v>
      </c>
    </row>
    <row r="2106" spans="1:27" x14ac:dyDescent="0.3">
      <c r="A2106">
        <f>INDEX(SETTINGS!$A$15:$A$24,$B2106)</f>
        <v>2034</v>
      </c>
      <c r="B2106">
        <v>10</v>
      </c>
      <c r="C2106" t="str">
        <f>IF(AND(A2106&gt;=SETTINGS!$B$4,A2106&lt;=SETTINGS!$B$5),"Yes","No")</f>
        <v>No</v>
      </c>
      <c r="D2106" t="str">
        <f>IFERROR(INDEX(SETTINGS!$C$15:$C$24,MATCH(A2106,SETTINGS!$A$15:$A$24,0)),"No")</f>
        <v>No</v>
      </c>
      <c r="E2106">
        <v>3</v>
      </c>
      <c r="F2106" t="s">
        <v>36</v>
      </c>
      <c r="G2106">
        <v>73</v>
      </c>
      <c r="H2106" t="s">
        <v>108</v>
      </c>
      <c r="I2106" t="s">
        <v>22</v>
      </c>
      <c r="J2106" t="s">
        <v>28</v>
      </c>
      <c r="K2106" t="s">
        <v>3</v>
      </c>
      <c r="L2106" s="36">
        <f ca="1">IF(C2106&lt;&gt;"Yes",0,IF(A2106=2025,N('2025'!D73),IF(A2106=2026,N('2026'!D73),IF(A2106=2027,N('2027'!D73),IF(A2106=2028,N('2028'!D73),IF(A2106=2029,N('2029'!D73),IF(A2106=2030,N('2030'!D73),IF(A2106=2031,N('2031'!D73),IF(A2106=2032,N('2032'!D73),IF(A2106=2033,N('2033'!D73),IF(A2106=2034,N('2034'!D73),IFERROR(N(INDIRECT("'"&amp;A2106&amp;"'!D"&amp;G2106)),0))))))))))))</f>
        <v>0</v>
      </c>
      <c r="M2106" s="36">
        <f>IFERROR(IF(NOT(ISBLANK(KPI_TARGETS!$P$19)),KPI_TARGETS!$P$19,IF(NOT(ISBLANK(KPI_TARGETS!$F$19)),KPI_TARGETS!$F$19,"")),"")</f>
        <v>16</v>
      </c>
      <c r="N2106" s="36" t="str">
        <f>IFERROR(KPI_TARGETS!$E$19,"Higher is better")</f>
        <v>Higher is better</v>
      </c>
      <c r="O2106" s="37">
        <f t="shared" ca="1" si="192"/>
        <v>0</v>
      </c>
      <c r="P2106" t="str">
        <f t="shared" ca="1" si="193"/>
        <v>Red</v>
      </c>
      <c r="Q2106" s="36">
        <f t="shared" ca="1" si="194"/>
        <v>-16</v>
      </c>
      <c r="R2106" s="36" t="str">
        <f>""</f>
        <v/>
      </c>
      <c r="S2106" s="36" t="str">
        <f>""</f>
        <v/>
      </c>
      <c r="T2106" s="36" t="str">
        <f>""</f>
        <v/>
      </c>
      <c r="U2106" s="36" t="str">
        <f>""</f>
        <v/>
      </c>
      <c r="V2106" s="36" t="str">
        <f>""</f>
        <v/>
      </c>
      <c r="W2106" s="36">
        <f t="shared" si="195"/>
        <v>1</v>
      </c>
      <c r="X2106" t="str">
        <f t="shared" si="196"/>
        <v>Inactive</v>
      </c>
      <c r="Y2106" t="str">
        <f>IF(MAIN!$H$3="Selected Year",IF(A2106=MAIN!$B$3,"Yes","No"),IF(MAIN!$H$3="Included Years",IF(D2106="Yes","Yes","No"),IF(C2106="Yes","Yes","No")))</f>
        <v>No</v>
      </c>
      <c r="Z2106" t="str">
        <f>IF(MAIN!$F$3="Project to Date",IF(AND(A2106&gt;=SETTINGS!$B$4,A2106&lt;MAIN!$B$3),"Yes",IF(AND(A2106=MAIN!$B$3,E2106&lt;=MAIN!$L$3),"Yes","No")),IF(OR(MAIN!$F$3="Full Year",MAIN!$D$3="All"),"Yes",IF(MAIN!$F$3="Monthly",IF(E2106=MAIN!$L$3,"Yes","No"),IF(E2106&lt;=MAIN!$L$3,"Yes","No"))))</f>
        <v>Yes</v>
      </c>
      <c r="AA2106" t="str">
        <f t="shared" si="197"/>
        <v>No</v>
      </c>
    </row>
    <row r="2107" spans="1:27" x14ac:dyDescent="0.3">
      <c r="A2107">
        <f>INDEX(SETTINGS!$A$15:$A$24,$B2107)</f>
        <v>2034</v>
      </c>
      <c r="B2107">
        <v>10</v>
      </c>
      <c r="C2107" t="str">
        <f>IF(AND(A2107&gt;=SETTINGS!$B$4,A2107&lt;=SETTINGS!$B$5),"Yes","No")</f>
        <v>No</v>
      </c>
      <c r="D2107" t="str">
        <f>IFERROR(INDEX(SETTINGS!$C$15:$C$24,MATCH(A2107,SETTINGS!$A$15:$A$24,0)),"No")</f>
        <v>No</v>
      </c>
      <c r="E2107">
        <v>3</v>
      </c>
      <c r="F2107" t="s">
        <v>36</v>
      </c>
      <c r="G2107">
        <v>74</v>
      </c>
      <c r="H2107" t="s">
        <v>109</v>
      </c>
      <c r="I2107" t="s">
        <v>22</v>
      </c>
      <c r="J2107" t="s">
        <v>29</v>
      </c>
      <c r="K2107" t="s">
        <v>3</v>
      </c>
      <c r="L2107" s="36">
        <f ca="1">IF(C2107&lt;&gt;"Yes",0,IF(A2107=2025,N('2025'!D74),IF(A2107=2026,N('2026'!D74),IF(A2107=2027,N('2027'!D74),IF(A2107=2028,N('2028'!D74),IF(A2107=2029,N('2029'!D74),IF(A2107=2030,N('2030'!D74),IF(A2107=2031,N('2031'!D74),IF(A2107=2032,N('2032'!D74),IF(A2107=2033,N('2033'!D74),IF(A2107=2034,N('2034'!D74),IFERROR(N(INDIRECT("'"&amp;A2107&amp;"'!D"&amp;G2107)),0))))))))))))</f>
        <v>0</v>
      </c>
      <c r="M2107" s="36">
        <f>IFERROR(IF(NOT(ISBLANK(KPI_TARGETS!$P$20)),KPI_TARGETS!$P$20,IF(NOT(ISBLANK(KPI_TARGETS!$F$20)),KPI_TARGETS!$F$20,"")),"")</f>
        <v>1</v>
      </c>
      <c r="N2107" s="36" t="str">
        <f>IFERROR(KPI_TARGETS!$E$20,"Higher is better")</f>
        <v>Higher is better</v>
      </c>
      <c r="O2107" s="37">
        <f t="shared" ca="1" si="192"/>
        <v>0</v>
      </c>
      <c r="P2107" t="str">
        <f t="shared" ca="1" si="193"/>
        <v>Red</v>
      </c>
      <c r="Q2107" s="36">
        <f t="shared" ca="1" si="194"/>
        <v>-1</v>
      </c>
      <c r="R2107" s="36" t="str">
        <f>""</f>
        <v/>
      </c>
      <c r="S2107" s="36" t="str">
        <f>""</f>
        <v/>
      </c>
      <c r="T2107" s="36" t="str">
        <f>""</f>
        <v/>
      </c>
      <c r="U2107" s="36" t="str">
        <f>""</f>
        <v/>
      </c>
      <c r="V2107" s="36" t="str">
        <f>""</f>
        <v/>
      </c>
      <c r="W2107" s="36">
        <f t="shared" si="195"/>
        <v>1</v>
      </c>
      <c r="X2107" t="str">
        <f t="shared" si="196"/>
        <v>Inactive</v>
      </c>
      <c r="Y2107" t="str">
        <f>IF(MAIN!$H$3="Selected Year",IF(A2107=MAIN!$B$3,"Yes","No"),IF(MAIN!$H$3="Included Years",IF(D2107="Yes","Yes","No"),IF(C2107="Yes","Yes","No")))</f>
        <v>No</v>
      </c>
      <c r="Z2107" t="str">
        <f>IF(MAIN!$F$3="Project to Date",IF(AND(A2107&gt;=SETTINGS!$B$4,A2107&lt;MAIN!$B$3),"Yes",IF(AND(A2107=MAIN!$B$3,E2107&lt;=MAIN!$L$3),"Yes","No")),IF(OR(MAIN!$F$3="Full Year",MAIN!$D$3="All"),"Yes",IF(MAIN!$F$3="Monthly",IF(E2107=MAIN!$L$3,"Yes","No"),IF(E2107&lt;=MAIN!$L$3,"Yes","No"))))</f>
        <v>Yes</v>
      </c>
      <c r="AA2107" t="str">
        <f t="shared" si="197"/>
        <v>No</v>
      </c>
    </row>
    <row r="2108" spans="1:27" x14ac:dyDescent="0.3">
      <c r="A2108">
        <f>INDEX(SETTINGS!$A$15:$A$24,$B2108)</f>
        <v>2034</v>
      </c>
      <c r="B2108">
        <v>10</v>
      </c>
      <c r="C2108" t="str">
        <f>IF(AND(A2108&gt;=SETTINGS!$B$4,A2108&lt;=SETTINGS!$B$5),"Yes","No")</f>
        <v>No</v>
      </c>
      <c r="D2108" t="str">
        <f>IFERROR(INDEX(SETTINGS!$C$15:$C$24,MATCH(A2108,SETTINGS!$A$15:$A$24,0)),"No")</f>
        <v>No</v>
      </c>
      <c r="E2108">
        <v>3</v>
      </c>
      <c r="F2108" t="s">
        <v>36</v>
      </c>
      <c r="G2108">
        <v>76</v>
      </c>
      <c r="H2108" t="s">
        <v>110</v>
      </c>
      <c r="I2108" t="s">
        <v>30</v>
      </c>
      <c r="J2108" t="s">
        <v>31</v>
      </c>
      <c r="K2108" t="s">
        <v>3</v>
      </c>
      <c r="L2108" s="36">
        <f ca="1">IF(C2108&lt;&gt;"Yes",0,IF(A2108=2025,N('2025'!D76),IF(A2108=2026,N('2026'!D76),IF(A2108=2027,N('2027'!D76),IF(A2108=2028,N('2028'!D76),IF(A2108=2029,N('2029'!D76),IF(A2108=2030,N('2030'!D76),IF(A2108=2031,N('2031'!D76),IF(A2108=2032,N('2032'!D76),IF(A2108=2033,N('2033'!D76),IF(A2108=2034,N('2034'!D76),IFERROR(N(INDIRECT("'"&amp;A2108&amp;"'!D"&amp;G2108)),0))))))))))))</f>
        <v>0</v>
      </c>
      <c r="M2108" s="36">
        <f>IFERROR(IF(NOT(ISBLANK(KPI_TARGETS!$P$21)),KPI_TARGETS!$P$21,IF(NOT(ISBLANK(KPI_TARGETS!$F$21)),KPI_TARGETS!$F$21,"")),"")</f>
        <v>0</v>
      </c>
      <c r="N2108" s="36" t="str">
        <f>IFERROR(KPI_TARGETS!$E$21,"Higher is better")</f>
        <v>Lower is better</v>
      </c>
      <c r="O2108" s="37">
        <f t="shared" ca="1" si="192"/>
        <v>1</v>
      </c>
      <c r="P2108" t="str">
        <f t="shared" ca="1" si="193"/>
        <v>Green</v>
      </c>
      <c r="Q2108" s="36">
        <f t="shared" ca="1" si="194"/>
        <v>0</v>
      </c>
      <c r="R2108" s="36" t="str">
        <f>""</f>
        <v/>
      </c>
      <c r="S2108" s="36" t="str">
        <f>""</f>
        <v/>
      </c>
      <c r="T2108" s="36" t="str">
        <f>""</f>
        <v/>
      </c>
      <c r="U2108" s="36" t="str">
        <f>""</f>
        <v/>
      </c>
      <c r="V2108" s="36" t="str">
        <f>""</f>
        <v/>
      </c>
      <c r="W2108" s="36">
        <f t="shared" si="195"/>
        <v>1</v>
      </c>
      <c r="X2108" t="str">
        <f t="shared" si="196"/>
        <v>Inactive</v>
      </c>
      <c r="Y2108" t="str">
        <f>IF(MAIN!$H$3="Selected Year",IF(A2108=MAIN!$B$3,"Yes","No"),IF(MAIN!$H$3="Included Years",IF(D2108="Yes","Yes","No"),IF(C2108="Yes","Yes","No")))</f>
        <v>No</v>
      </c>
      <c r="Z2108" t="str">
        <f>IF(MAIN!$F$3="Project to Date",IF(AND(A2108&gt;=SETTINGS!$B$4,A2108&lt;MAIN!$B$3),"Yes",IF(AND(A2108=MAIN!$B$3,E2108&lt;=MAIN!$L$3),"Yes","No")),IF(OR(MAIN!$F$3="Full Year",MAIN!$D$3="All"),"Yes",IF(MAIN!$F$3="Monthly",IF(E2108=MAIN!$L$3,"Yes","No"),IF(E2108&lt;=MAIN!$L$3,"Yes","No"))))</f>
        <v>Yes</v>
      </c>
      <c r="AA2108" t="str">
        <f t="shared" si="197"/>
        <v>No</v>
      </c>
    </row>
    <row r="2109" spans="1:27" x14ac:dyDescent="0.3">
      <c r="A2109">
        <f>INDEX(SETTINGS!$A$15:$A$24,$B2109)</f>
        <v>2034</v>
      </c>
      <c r="B2109">
        <v>10</v>
      </c>
      <c r="C2109" t="str">
        <f>IF(AND(A2109&gt;=SETTINGS!$B$4,A2109&lt;=SETTINGS!$B$5),"Yes","No")</f>
        <v>No</v>
      </c>
      <c r="D2109" t="str">
        <f>IFERROR(INDEX(SETTINGS!$C$15:$C$24,MATCH(A2109,SETTINGS!$A$15:$A$24,0)),"No")</f>
        <v>No</v>
      </c>
      <c r="E2109">
        <v>3</v>
      </c>
      <c r="F2109" t="s">
        <v>36</v>
      </c>
      <c r="G2109">
        <v>77</v>
      </c>
      <c r="H2109" t="s">
        <v>111</v>
      </c>
      <c r="I2109" t="s">
        <v>30</v>
      </c>
      <c r="J2109" t="s">
        <v>32</v>
      </c>
      <c r="K2109" t="s">
        <v>3</v>
      </c>
      <c r="L2109" s="36">
        <f ca="1">IF(C2109&lt;&gt;"Yes",0,IF(A2109=2025,N('2025'!D77),IF(A2109=2026,N('2026'!D77),IF(A2109=2027,N('2027'!D77),IF(A2109=2028,N('2028'!D77),IF(A2109=2029,N('2029'!D77),IF(A2109=2030,N('2030'!D77),IF(A2109=2031,N('2031'!D77),IF(A2109=2032,N('2032'!D77),IF(A2109=2033,N('2033'!D77),IF(A2109=2034,N('2034'!D77),IFERROR(N(INDIRECT("'"&amp;A2109&amp;"'!D"&amp;G2109)),0))))))))))))</f>
        <v>0</v>
      </c>
      <c r="M2109" s="36">
        <f>IFERROR(IF(NOT(ISBLANK(KPI_TARGETS!$P$22)),KPI_TARGETS!$P$22,IF(NOT(ISBLANK(KPI_TARGETS!$F$22)),KPI_TARGETS!$F$22,"")),"")</f>
        <v>1</v>
      </c>
      <c r="N2109" s="36" t="str">
        <f>IFERROR(KPI_TARGETS!$E$22,"Higher is better")</f>
        <v>Higher is better</v>
      </c>
      <c r="O2109" s="37">
        <f t="shared" ca="1" si="192"/>
        <v>0</v>
      </c>
      <c r="P2109" t="str">
        <f t="shared" ca="1" si="193"/>
        <v>Red</v>
      </c>
      <c r="Q2109" s="36">
        <f t="shared" ca="1" si="194"/>
        <v>-1</v>
      </c>
      <c r="R2109" s="36" t="str">
        <f>""</f>
        <v/>
      </c>
      <c r="S2109" s="36" t="str">
        <f>""</f>
        <v/>
      </c>
      <c r="T2109" s="36" t="str">
        <f>""</f>
        <v/>
      </c>
      <c r="U2109" s="36" t="str">
        <f>""</f>
        <v/>
      </c>
      <c r="V2109" s="36" t="str">
        <f>""</f>
        <v/>
      </c>
      <c r="W2109" s="36">
        <f t="shared" si="195"/>
        <v>1</v>
      </c>
      <c r="X2109" t="str">
        <f t="shared" si="196"/>
        <v>Inactive</v>
      </c>
      <c r="Y2109" t="str">
        <f>IF(MAIN!$H$3="Selected Year",IF(A2109=MAIN!$B$3,"Yes","No"),IF(MAIN!$H$3="Included Years",IF(D2109="Yes","Yes","No"),IF(C2109="Yes","Yes","No")))</f>
        <v>No</v>
      </c>
      <c r="Z2109" t="str">
        <f>IF(MAIN!$F$3="Project to Date",IF(AND(A2109&gt;=SETTINGS!$B$4,A2109&lt;MAIN!$B$3),"Yes",IF(AND(A2109=MAIN!$B$3,E2109&lt;=MAIN!$L$3),"Yes","No")),IF(OR(MAIN!$F$3="Full Year",MAIN!$D$3="All"),"Yes",IF(MAIN!$F$3="Monthly",IF(E2109=MAIN!$L$3,"Yes","No"),IF(E2109&lt;=MAIN!$L$3,"Yes","No"))))</f>
        <v>Yes</v>
      </c>
      <c r="AA2109" t="str">
        <f t="shared" si="197"/>
        <v>No</v>
      </c>
    </row>
    <row r="2110" spans="1:27" x14ac:dyDescent="0.3">
      <c r="A2110">
        <f>INDEX(SETTINGS!$A$15:$A$24,$B2110)</f>
        <v>2034</v>
      </c>
      <c r="B2110">
        <v>10</v>
      </c>
      <c r="C2110" t="str">
        <f>IF(AND(A2110&gt;=SETTINGS!$B$4,A2110&lt;=SETTINGS!$B$5),"Yes","No")</f>
        <v>No</v>
      </c>
      <c r="D2110" t="str">
        <f>IFERROR(INDEX(SETTINGS!$C$15:$C$24,MATCH(A2110,SETTINGS!$A$15:$A$24,0)),"No")</f>
        <v>No</v>
      </c>
      <c r="E2110">
        <v>3</v>
      </c>
      <c r="F2110" t="s">
        <v>36</v>
      </c>
      <c r="G2110">
        <v>78</v>
      </c>
      <c r="H2110" t="s">
        <v>112</v>
      </c>
      <c r="I2110" t="s">
        <v>30</v>
      </c>
      <c r="J2110" t="s">
        <v>33</v>
      </c>
      <c r="K2110" t="s">
        <v>34</v>
      </c>
      <c r="L2110" s="36">
        <f ca="1">IF(C2110&lt;&gt;"Yes",0,IF(A2110=2025,N('2025'!D78),IF(A2110=2026,N('2026'!D78),IF(A2110=2027,N('2027'!D78),IF(A2110=2028,N('2028'!D78),IF(A2110=2029,N('2029'!D78),IF(A2110=2030,N('2030'!D78),IF(A2110=2031,N('2031'!D78),IF(A2110=2032,N('2032'!D78),IF(A2110=2033,N('2033'!D78),IF(A2110=2034,N('2034'!D78),IFERROR(N(INDIRECT("'"&amp;A2110&amp;"'!D"&amp;G2110)),0))))))))))))</f>
        <v>0</v>
      </c>
      <c r="M2110" s="36">
        <f>IFERROR(IF(NOT(ISBLANK(KPI_TARGETS!$P$23)),KPI_TARGETS!$P$23,IF(NOT(ISBLANK(KPI_TARGETS!$F$23)),KPI_TARGETS!$F$23,"")),"")</f>
        <v>1</v>
      </c>
      <c r="N2110" s="36" t="str">
        <f>IFERROR(KPI_TARGETS!$E$23,"Higher is better")</f>
        <v>Higher is better</v>
      </c>
      <c r="O2110" s="37">
        <f t="shared" ca="1" si="192"/>
        <v>0</v>
      </c>
      <c r="P2110" t="str">
        <f t="shared" ca="1" si="193"/>
        <v>Red</v>
      </c>
      <c r="Q2110" s="36">
        <f t="shared" ca="1" si="194"/>
        <v>-1</v>
      </c>
      <c r="R2110" s="36" t="str">
        <f>""</f>
        <v/>
      </c>
      <c r="S2110" s="36" t="str">
        <f>""</f>
        <v/>
      </c>
      <c r="T2110" s="36" t="str">
        <f>""</f>
        <v/>
      </c>
      <c r="U2110" s="36" t="str">
        <f>""</f>
        <v/>
      </c>
      <c r="V2110" s="36" t="str">
        <f>""</f>
        <v/>
      </c>
      <c r="W2110" s="36">
        <f t="shared" si="195"/>
        <v>1</v>
      </c>
      <c r="X2110" t="str">
        <f t="shared" si="196"/>
        <v>Inactive</v>
      </c>
      <c r="Y2110" t="str">
        <f>IF(MAIN!$H$3="Selected Year",IF(A2110=MAIN!$B$3,"Yes","No"),IF(MAIN!$H$3="Included Years",IF(D2110="Yes","Yes","No"),IF(C2110="Yes","Yes","No")))</f>
        <v>No</v>
      </c>
      <c r="Z2110" t="str">
        <f>IF(MAIN!$F$3="Project to Date",IF(AND(A2110&gt;=SETTINGS!$B$4,A2110&lt;MAIN!$B$3),"Yes",IF(AND(A2110=MAIN!$B$3,E2110&lt;=MAIN!$L$3),"Yes","No")),IF(OR(MAIN!$F$3="Full Year",MAIN!$D$3="All"),"Yes",IF(MAIN!$F$3="Monthly",IF(E2110=MAIN!$L$3,"Yes","No"),IF(E2110&lt;=MAIN!$L$3,"Yes","No"))))</f>
        <v>Yes</v>
      </c>
      <c r="AA2110" t="str">
        <f t="shared" si="197"/>
        <v>No</v>
      </c>
    </row>
    <row r="2111" spans="1:27" x14ac:dyDescent="0.3">
      <c r="A2111">
        <f>INDEX(SETTINGS!$A$15:$A$24,$B2111)</f>
        <v>2034</v>
      </c>
      <c r="B2111">
        <v>10</v>
      </c>
      <c r="C2111" t="str">
        <f>IF(AND(A2111&gt;=SETTINGS!$B$4,A2111&lt;=SETTINGS!$B$5),"Yes","No")</f>
        <v>No</v>
      </c>
      <c r="D2111" t="str">
        <f>IFERROR(INDEX(SETTINGS!$C$15:$C$24,MATCH(A2111,SETTINGS!$A$15:$A$24,0)),"No")</f>
        <v>No</v>
      </c>
      <c r="E2111">
        <v>4</v>
      </c>
      <c r="F2111" t="s">
        <v>37</v>
      </c>
      <c r="G2111">
        <v>81</v>
      </c>
      <c r="H2111" t="s">
        <v>88</v>
      </c>
      <c r="I2111" t="s">
        <v>89</v>
      </c>
      <c r="J2111" t="s">
        <v>10</v>
      </c>
      <c r="K2111" t="s">
        <v>3</v>
      </c>
      <c r="L2111" s="36">
        <f ca="1">IF(C2111&lt;&gt;"Yes",0,IF(A2111=2025,N('2025'!D81),IF(A2111=2026,N('2026'!D81),IF(A2111=2027,N('2027'!D81),IF(A2111=2028,N('2028'!D81),IF(A2111=2029,N('2029'!D81),IF(A2111=2030,N('2030'!D81),IF(A2111=2031,N('2031'!D81),IF(A2111=2032,N('2032'!D81),IF(A2111=2033,N('2033'!D81),IF(A2111=2034,N('2034'!D81),IFERROR(N(INDIRECT("'"&amp;A2111&amp;"'!D"&amp;G2111)),0))))))))))))</f>
        <v>0</v>
      </c>
      <c r="M2111" s="36">
        <f>IFERROR(IF(NOT(ISBLANK(KPI_TARGETS!$P$5)),KPI_TARGETS!$P$5,IF(NOT(ISBLANK(KPI_TARGETS!$F$5)),KPI_TARGETS!$F$5,"")),"")</f>
        <v>104</v>
      </c>
      <c r="N2111" s="36" t="str">
        <f>IFERROR(KPI_TARGETS!$E$5,"Higher is better")</f>
        <v>Higher is better</v>
      </c>
      <c r="O2111" s="37">
        <f t="shared" ca="1" si="192"/>
        <v>0</v>
      </c>
      <c r="P2111" t="str">
        <f t="shared" ca="1" si="193"/>
        <v>Red</v>
      </c>
      <c r="Q2111" s="36">
        <f t="shared" ca="1" si="194"/>
        <v>-104</v>
      </c>
      <c r="R2111" s="36" t="str">
        <f>""</f>
        <v/>
      </c>
      <c r="S2111" s="36" t="str">
        <f>""</f>
        <v/>
      </c>
      <c r="T2111" s="36" t="str">
        <f>""</f>
        <v/>
      </c>
      <c r="U2111" s="36" t="str">
        <f>""</f>
        <v/>
      </c>
      <c r="V2111" s="36" t="str">
        <f>""</f>
        <v/>
      </c>
      <c r="W2111" s="36">
        <f t="shared" si="195"/>
        <v>1</v>
      </c>
      <c r="X2111" t="str">
        <f t="shared" si="196"/>
        <v>Inactive</v>
      </c>
      <c r="Y2111" t="str">
        <f>IF(MAIN!$H$3="Selected Year",IF(A2111=MAIN!$B$3,"Yes","No"),IF(MAIN!$H$3="Included Years",IF(D2111="Yes","Yes","No"),IF(C2111="Yes","Yes","No")))</f>
        <v>No</v>
      </c>
      <c r="Z2111" t="str">
        <f>IF(MAIN!$F$3="Project to Date",IF(AND(A2111&gt;=SETTINGS!$B$4,A2111&lt;MAIN!$B$3),"Yes",IF(AND(A2111=MAIN!$B$3,E2111&lt;=MAIN!$L$3),"Yes","No")),IF(OR(MAIN!$F$3="Full Year",MAIN!$D$3="All"),"Yes",IF(MAIN!$F$3="Monthly",IF(E2111=MAIN!$L$3,"Yes","No"),IF(E2111&lt;=MAIN!$L$3,"Yes","No"))))</f>
        <v>Yes</v>
      </c>
      <c r="AA2111" t="str">
        <f t="shared" si="197"/>
        <v>No</v>
      </c>
    </row>
    <row r="2112" spans="1:27" x14ac:dyDescent="0.3">
      <c r="A2112">
        <f>INDEX(SETTINGS!$A$15:$A$24,$B2112)</f>
        <v>2034</v>
      </c>
      <c r="B2112">
        <v>10</v>
      </c>
      <c r="C2112" t="str">
        <f>IF(AND(A2112&gt;=SETTINGS!$B$4,A2112&lt;=SETTINGS!$B$5),"Yes","No")</f>
        <v>No</v>
      </c>
      <c r="D2112" t="str">
        <f>IFERROR(INDEX(SETTINGS!$C$15:$C$24,MATCH(A2112,SETTINGS!$A$15:$A$24,0)),"No")</f>
        <v>No</v>
      </c>
      <c r="E2112">
        <v>4</v>
      </c>
      <c r="F2112" t="s">
        <v>37</v>
      </c>
      <c r="G2112">
        <v>82</v>
      </c>
      <c r="H2112" t="s">
        <v>91</v>
      </c>
      <c r="I2112" t="s">
        <v>89</v>
      </c>
      <c r="J2112" t="s">
        <v>11</v>
      </c>
      <c r="K2112" t="s">
        <v>12</v>
      </c>
      <c r="L2112" s="36">
        <f ca="1">IF(C2112&lt;&gt;"Yes",0,IF(A2112=2025,N('2025'!D82),IF(A2112=2026,N('2026'!D82),IF(A2112=2027,N('2027'!D82),IF(A2112=2028,N('2028'!D82),IF(A2112=2029,N('2029'!D82),IF(A2112=2030,N('2030'!D82),IF(A2112=2031,N('2031'!D82),IF(A2112=2032,N('2032'!D82),IF(A2112=2033,N('2033'!D82),IF(A2112=2034,N('2034'!D82),IFERROR(N(INDIRECT("'"&amp;A2112&amp;"'!D"&amp;G2112)),0))))))))))))</f>
        <v>0</v>
      </c>
      <c r="M2112" s="36">
        <f>IFERROR(IF(NOT(ISBLANK(KPI_TARGETS!$P$6)),KPI_TARGETS!$P$6,IF(NOT(ISBLANK(KPI_TARGETS!$F$6)),KPI_TARGETS!$F$6,"")),"")</f>
        <v>4000</v>
      </c>
      <c r="N2112" s="36" t="str">
        <f>IFERROR(KPI_TARGETS!$E$6,"Higher is better")</f>
        <v>Higher is better</v>
      </c>
      <c r="O2112" s="37">
        <f t="shared" ca="1" si="192"/>
        <v>0</v>
      </c>
      <c r="P2112" t="str">
        <f t="shared" ca="1" si="193"/>
        <v>Red</v>
      </c>
      <c r="Q2112" s="36">
        <f t="shared" ca="1" si="194"/>
        <v>-4000</v>
      </c>
      <c r="R2112" s="36" t="str">
        <f>""</f>
        <v/>
      </c>
      <c r="S2112" s="36" t="str">
        <f>""</f>
        <v/>
      </c>
      <c r="T2112" s="36" t="str">
        <f>""</f>
        <v/>
      </c>
      <c r="U2112" s="36" t="str">
        <f>""</f>
        <v/>
      </c>
      <c r="V2112" s="36" t="str">
        <f>""</f>
        <v/>
      </c>
      <c r="W2112" s="36">
        <f t="shared" si="195"/>
        <v>1</v>
      </c>
      <c r="X2112" t="str">
        <f t="shared" si="196"/>
        <v>Inactive</v>
      </c>
      <c r="Y2112" t="str">
        <f>IF(MAIN!$H$3="Selected Year",IF(A2112=MAIN!$B$3,"Yes","No"),IF(MAIN!$H$3="Included Years",IF(D2112="Yes","Yes","No"),IF(C2112="Yes","Yes","No")))</f>
        <v>No</v>
      </c>
      <c r="Z2112" t="str">
        <f>IF(MAIN!$F$3="Project to Date",IF(AND(A2112&gt;=SETTINGS!$B$4,A2112&lt;MAIN!$B$3),"Yes",IF(AND(A2112=MAIN!$B$3,E2112&lt;=MAIN!$L$3),"Yes","No")),IF(OR(MAIN!$F$3="Full Year",MAIN!$D$3="All"),"Yes",IF(MAIN!$F$3="Monthly",IF(E2112=MAIN!$L$3,"Yes","No"),IF(E2112&lt;=MAIN!$L$3,"Yes","No"))))</f>
        <v>Yes</v>
      </c>
      <c r="AA2112" t="str">
        <f t="shared" si="197"/>
        <v>No</v>
      </c>
    </row>
    <row r="2113" spans="1:27" x14ac:dyDescent="0.3">
      <c r="A2113">
        <f>INDEX(SETTINGS!$A$15:$A$24,$B2113)</f>
        <v>2034</v>
      </c>
      <c r="B2113">
        <v>10</v>
      </c>
      <c r="C2113" t="str">
        <f>IF(AND(A2113&gt;=SETTINGS!$B$4,A2113&lt;=SETTINGS!$B$5),"Yes","No")</f>
        <v>No</v>
      </c>
      <c r="D2113" t="str">
        <f>IFERROR(INDEX(SETTINGS!$C$15:$C$24,MATCH(A2113,SETTINGS!$A$15:$A$24,0)),"No")</f>
        <v>No</v>
      </c>
      <c r="E2113">
        <v>4</v>
      </c>
      <c r="F2113" t="s">
        <v>37</v>
      </c>
      <c r="G2113">
        <v>83</v>
      </c>
      <c r="H2113" t="s">
        <v>93</v>
      </c>
      <c r="I2113" t="s">
        <v>89</v>
      </c>
      <c r="J2113" t="s">
        <v>13</v>
      </c>
      <c r="K2113" t="s">
        <v>14</v>
      </c>
      <c r="L2113" s="36">
        <f ca="1">IF(C2113&lt;&gt;"Yes",0,IF(A2113=2025,N('2025'!D83),IF(A2113=2026,N('2026'!D83),IF(A2113=2027,N('2027'!D83),IF(A2113=2028,N('2028'!D83),IF(A2113=2029,N('2029'!D83),IF(A2113=2030,N('2030'!D83),IF(A2113=2031,N('2031'!D83),IF(A2113=2032,N('2032'!D83),IF(A2113=2033,N('2033'!D83),IF(A2113=2034,N('2034'!D83),IFERROR(N(INDIRECT("'"&amp;A2113&amp;"'!D"&amp;G2113)),0))))))))))))</f>
        <v>0</v>
      </c>
      <c r="M2113" s="36">
        <f>IFERROR(IF(NOT(ISBLANK(KPI_TARGETS!$P$7)),KPI_TARGETS!$P$7,IF(NOT(ISBLANK(KPI_TARGETS!$F$7)),KPI_TARGETS!$F$7,"")),"")</f>
        <v>8000</v>
      </c>
      <c r="N2113" s="36" t="str">
        <f>IFERROR(KPI_TARGETS!$E$7,"Higher is better")</f>
        <v>Higher is better</v>
      </c>
      <c r="O2113" s="37">
        <f t="shared" ca="1" si="192"/>
        <v>0</v>
      </c>
      <c r="P2113" t="str">
        <f t="shared" ca="1" si="193"/>
        <v>Red</v>
      </c>
      <c r="Q2113" s="36">
        <f t="shared" ca="1" si="194"/>
        <v>-8000</v>
      </c>
      <c r="R2113" s="36" t="str">
        <f>""</f>
        <v/>
      </c>
      <c r="S2113" s="36" t="str">
        <f>""</f>
        <v/>
      </c>
      <c r="T2113" s="36" t="str">
        <f>""</f>
        <v/>
      </c>
      <c r="U2113" s="36" t="str">
        <f>""</f>
        <v/>
      </c>
      <c r="V2113" s="36" t="str">
        <f>""</f>
        <v/>
      </c>
      <c r="W2113" s="36">
        <f t="shared" si="195"/>
        <v>1</v>
      </c>
      <c r="X2113" t="str">
        <f t="shared" si="196"/>
        <v>Inactive</v>
      </c>
      <c r="Y2113" t="str">
        <f>IF(MAIN!$H$3="Selected Year",IF(A2113=MAIN!$B$3,"Yes","No"),IF(MAIN!$H$3="Included Years",IF(D2113="Yes","Yes","No"),IF(C2113="Yes","Yes","No")))</f>
        <v>No</v>
      </c>
      <c r="Z2113" t="str">
        <f>IF(MAIN!$F$3="Project to Date",IF(AND(A2113&gt;=SETTINGS!$B$4,A2113&lt;MAIN!$B$3),"Yes",IF(AND(A2113=MAIN!$B$3,E2113&lt;=MAIN!$L$3),"Yes","No")),IF(OR(MAIN!$F$3="Full Year",MAIN!$D$3="All"),"Yes",IF(MAIN!$F$3="Monthly",IF(E2113=MAIN!$L$3,"Yes","No"),IF(E2113&lt;=MAIN!$L$3,"Yes","No"))))</f>
        <v>Yes</v>
      </c>
      <c r="AA2113" t="str">
        <f t="shared" si="197"/>
        <v>No</v>
      </c>
    </row>
    <row r="2114" spans="1:27" x14ac:dyDescent="0.3">
      <c r="A2114">
        <f>INDEX(SETTINGS!$A$15:$A$24,$B2114)</f>
        <v>2034</v>
      </c>
      <c r="B2114">
        <v>10</v>
      </c>
      <c r="C2114" t="str">
        <f>IF(AND(A2114&gt;=SETTINGS!$B$4,A2114&lt;=SETTINGS!$B$5),"Yes","No")</f>
        <v>No</v>
      </c>
      <c r="D2114" t="str">
        <f>IFERROR(INDEX(SETTINGS!$C$15:$C$24,MATCH(A2114,SETTINGS!$A$15:$A$24,0)),"No")</f>
        <v>No</v>
      </c>
      <c r="E2114">
        <v>4</v>
      </c>
      <c r="F2114" t="s">
        <v>37</v>
      </c>
      <c r="G2114">
        <v>85</v>
      </c>
      <c r="H2114" t="s">
        <v>95</v>
      </c>
      <c r="I2114" t="s">
        <v>15</v>
      </c>
      <c r="J2114" t="s">
        <v>16</v>
      </c>
      <c r="K2114" t="s">
        <v>3</v>
      </c>
      <c r="L2114" s="36">
        <f ca="1">IF(C2114&lt;&gt;"Yes",0,IF(A2114=2025,N('2025'!D85),IF(A2114=2026,N('2026'!D85),IF(A2114=2027,N('2027'!D85),IF(A2114=2028,N('2028'!D85),IF(A2114=2029,N('2029'!D85),IF(A2114=2030,N('2030'!D85),IF(A2114=2031,N('2031'!D85),IF(A2114=2032,N('2032'!D85),IF(A2114=2033,N('2033'!D85),IF(A2114=2034,N('2034'!D85),IFERROR(N(INDIRECT("'"&amp;A2114&amp;"'!D"&amp;G2114)),0))))))))))))</f>
        <v>0</v>
      </c>
      <c r="M2114" s="36">
        <f>IFERROR(IF(NOT(ISBLANK(KPI_TARGETS!$P$8)),KPI_TARGETS!$P$8,IF(NOT(ISBLANK(KPI_TARGETS!$F$8)),KPI_TARGETS!$F$8,"")),"")</f>
        <v>0</v>
      </c>
      <c r="N2114" s="36" t="str">
        <f>IFERROR(KPI_TARGETS!$E$8,"Higher is better")</f>
        <v>Lower is better</v>
      </c>
      <c r="O2114" s="37">
        <f t="shared" ref="O2114:O2177" ca="1" si="198">IF(M2114="","",IF(N2114="Higher is better",IFERROR(L2114/M2114,""),IF(L2114=0,1,IFERROR(M2114/L2114,""))))</f>
        <v>1</v>
      </c>
      <c r="P2114" t="str">
        <f t="shared" ref="P2114:P2177" ca="1" si="199">IF(M2114="","Target Needed",IF(N2114="Higher is better",IF(L2114&gt;=M2114,"Green",IF(L2114&gt;=0.8*M2114,"Amber","Red")),IF(M2114=0,IF(L2114=0,"Green","Red"),IF(L2114&lt;=M2114,"Green",IF(L2114&lt;=1.25*M2114,"Amber","Red")))))</f>
        <v>Green</v>
      </c>
      <c r="Q2114" s="36">
        <f t="shared" ref="Q2114:Q2177" ca="1" si="200">IF(M2114="","",IF(N2114="Higher is better",L2114-M2114,M2114-L2114))</f>
        <v>0</v>
      </c>
      <c r="R2114" s="36" t="str">
        <f>""</f>
        <v/>
      </c>
      <c r="S2114" s="36" t="str">
        <f>""</f>
        <v/>
      </c>
      <c r="T2114" s="36" t="str">
        <f>""</f>
        <v/>
      </c>
      <c r="U2114" s="36" t="str">
        <f>""</f>
        <v/>
      </c>
      <c r="V2114" s="36" t="str">
        <f>""</f>
        <v/>
      </c>
      <c r="W2114" s="36">
        <f t="shared" ref="W2114:W2177" si="201">IF(LEN(M2114&amp;"")&gt;0,1,0)</f>
        <v>1</v>
      </c>
      <c r="X2114" t="str">
        <f t="shared" ref="X2114:X2177" si="202">IF(C2114&lt;&gt;"Yes","Inactive",IF(M2114="","Missing target","OK"))</f>
        <v>Inactive</v>
      </c>
      <c r="Y2114" t="str">
        <f>IF(MAIN!$H$3="Selected Year",IF(A2114=MAIN!$B$3,"Yes","No"),IF(MAIN!$H$3="Included Years",IF(D2114="Yes","Yes","No"),IF(C2114="Yes","Yes","No")))</f>
        <v>No</v>
      </c>
      <c r="Z2114" t="str">
        <f>IF(MAIN!$F$3="Project to Date",IF(AND(A2114&gt;=SETTINGS!$B$4,A2114&lt;MAIN!$B$3),"Yes",IF(AND(A2114=MAIN!$B$3,E2114&lt;=MAIN!$L$3),"Yes","No")),IF(OR(MAIN!$F$3="Full Year",MAIN!$D$3="All"),"Yes",IF(MAIN!$F$3="Monthly",IF(E2114=MAIN!$L$3,"Yes","No"),IF(E2114&lt;=MAIN!$L$3,"Yes","No"))))</f>
        <v>Yes</v>
      </c>
      <c r="AA2114" t="str">
        <f t="shared" ref="AA2114:AA2177" si="203">IF(AND(Y2114="Yes",Z2114="Yes"),"Yes","No")</f>
        <v>No</v>
      </c>
    </row>
    <row r="2115" spans="1:27" x14ac:dyDescent="0.3">
      <c r="A2115">
        <f>INDEX(SETTINGS!$A$15:$A$24,$B2115)</f>
        <v>2034</v>
      </c>
      <c r="B2115">
        <v>10</v>
      </c>
      <c r="C2115" t="str">
        <f>IF(AND(A2115&gt;=SETTINGS!$B$4,A2115&lt;=SETTINGS!$B$5),"Yes","No")</f>
        <v>No</v>
      </c>
      <c r="D2115" t="str">
        <f>IFERROR(INDEX(SETTINGS!$C$15:$C$24,MATCH(A2115,SETTINGS!$A$15:$A$24,0)),"No")</f>
        <v>No</v>
      </c>
      <c r="E2115">
        <v>4</v>
      </c>
      <c r="F2115" t="s">
        <v>37</v>
      </c>
      <c r="G2115">
        <v>86</v>
      </c>
      <c r="H2115" t="s">
        <v>97</v>
      </c>
      <c r="I2115" t="s">
        <v>15</v>
      </c>
      <c r="J2115" t="s">
        <v>17</v>
      </c>
      <c r="K2115" t="s">
        <v>3</v>
      </c>
      <c r="L2115" s="36">
        <f ca="1">IF(C2115&lt;&gt;"Yes",0,IF(A2115=2025,N('2025'!D86),IF(A2115=2026,N('2026'!D86),IF(A2115=2027,N('2027'!D86),IF(A2115=2028,N('2028'!D86),IF(A2115=2029,N('2029'!D86),IF(A2115=2030,N('2030'!D86),IF(A2115=2031,N('2031'!D86),IF(A2115=2032,N('2032'!D86),IF(A2115=2033,N('2033'!D86),IF(A2115=2034,N('2034'!D86),IFERROR(N(INDIRECT("'"&amp;A2115&amp;"'!D"&amp;G2115)),0))))))))))))</f>
        <v>0</v>
      </c>
      <c r="M2115" s="36">
        <f>IFERROR(IF(NOT(ISBLANK(KPI_TARGETS!$P$9)),KPI_TARGETS!$P$9,IF(NOT(ISBLANK(KPI_TARGETS!$F$9)),KPI_TARGETS!$F$9,"")),"")</f>
        <v>0</v>
      </c>
      <c r="N2115" s="36" t="str">
        <f>IFERROR(KPI_TARGETS!$E$9,"Higher is better")</f>
        <v>Higher is better</v>
      </c>
      <c r="O2115" s="37" t="str">
        <f t="shared" ca="1" si="198"/>
        <v/>
      </c>
      <c r="P2115" t="str">
        <f t="shared" ca="1" si="199"/>
        <v>Green</v>
      </c>
      <c r="Q2115" s="36">
        <f t="shared" ca="1" si="200"/>
        <v>0</v>
      </c>
      <c r="R2115" s="36" t="str">
        <f>""</f>
        <v/>
      </c>
      <c r="S2115" s="36" t="str">
        <f>""</f>
        <v/>
      </c>
      <c r="T2115" s="36" t="str">
        <f>""</f>
        <v/>
      </c>
      <c r="U2115" s="36" t="str">
        <f>""</f>
        <v/>
      </c>
      <c r="V2115" s="36" t="str">
        <f>""</f>
        <v/>
      </c>
      <c r="W2115" s="36">
        <f t="shared" si="201"/>
        <v>1</v>
      </c>
      <c r="X2115" t="str">
        <f t="shared" si="202"/>
        <v>Inactive</v>
      </c>
      <c r="Y2115" t="str">
        <f>IF(MAIN!$H$3="Selected Year",IF(A2115=MAIN!$B$3,"Yes","No"),IF(MAIN!$H$3="Included Years",IF(D2115="Yes","Yes","No"),IF(C2115="Yes","Yes","No")))</f>
        <v>No</v>
      </c>
      <c r="Z2115" t="str">
        <f>IF(MAIN!$F$3="Project to Date",IF(AND(A2115&gt;=SETTINGS!$B$4,A2115&lt;MAIN!$B$3),"Yes",IF(AND(A2115=MAIN!$B$3,E2115&lt;=MAIN!$L$3),"Yes","No")),IF(OR(MAIN!$F$3="Full Year",MAIN!$D$3="All"),"Yes",IF(MAIN!$F$3="Monthly",IF(E2115=MAIN!$L$3,"Yes","No"),IF(E2115&lt;=MAIN!$L$3,"Yes","No"))))</f>
        <v>Yes</v>
      </c>
      <c r="AA2115" t="str">
        <f t="shared" si="203"/>
        <v>No</v>
      </c>
    </row>
    <row r="2116" spans="1:27" x14ac:dyDescent="0.3">
      <c r="A2116">
        <f>INDEX(SETTINGS!$A$15:$A$24,$B2116)</f>
        <v>2034</v>
      </c>
      <c r="B2116">
        <v>10</v>
      </c>
      <c r="C2116" t="str">
        <f>IF(AND(A2116&gt;=SETTINGS!$B$4,A2116&lt;=SETTINGS!$B$5),"Yes","No")</f>
        <v>No</v>
      </c>
      <c r="D2116" t="str">
        <f>IFERROR(INDEX(SETTINGS!$C$15:$C$24,MATCH(A2116,SETTINGS!$A$15:$A$24,0)),"No")</f>
        <v>No</v>
      </c>
      <c r="E2116">
        <v>4</v>
      </c>
      <c r="F2116" t="s">
        <v>37</v>
      </c>
      <c r="G2116">
        <v>87</v>
      </c>
      <c r="H2116" t="s">
        <v>99</v>
      </c>
      <c r="I2116" t="s">
        <v>15</v>
      </c>
      <c r="J2116" t="s">
        <v>18</v>
      </c>
      <c r="K2116" t="s">
        <v>3</v>
      </c>
      <c r="L2116" s="36">
        <f ca="1">IF(C2116&lt;&gt;"Yes",0,IF(A2116=2025,N('2025'!D87),IF(A2116=2026,N('2026'!D87),IF(A2116=2027,N('2027'!D87),IF(A2116=2028,N('2028'!D87),IF(A2116=2029,N('2029'!D87),IF(A2116=2030,N('2030'!D87),IF(A2116=2031,N('2031'!D87),IF(A2116=2032,N('2032'!D87),IF(A2116=2033,N('2033'!D87),IF(A2116=2034,N('2034'!D87),IFERROR(N(INDIRECT("'"&amp;A2116&amp;"'!D"&amp;G2116)),0))))))))))))</f>
        <v>0</v>
      </c>
      <c r="M2116" s="36">
        <f>IFERROR(IF(NOT(ISBLANK(KPI_TARGETS!$P$10)),KPI_TARGETS!$P$10,IF(NOT(ISBLANK(KPI_TARGETS!$F$10)),KPI_TARGETS!$F$10,"")),"")</f>
        <v>0</v>
      </c>
      <c r="N2116" s="36" t="str">
        <f>IFERROR(KPI_TARGETS!$E$10,"Higher is better")</f>
        <v>Lower is better</v>
      </c>
      <c r="O2116" s="37">
        <f t="shared" ca="1" si="198"/>
        <v>1</v>
      </c>
      <c r="P2116" t="str">
        <f t="shared" ca="1" si="199"/>
        <v>Green</v>
      </c>
      <c r="Q2116" s="36">
        <f t="shared" ca="1" si="200"/>
        <v>0</v>
      </c>
      <c r="R2116" s="36" t="str">
        <f>""</f>
        <v/>
      </c>
      <c r="S2116" s="36" t="str">
        <f>""</f>
        <v/>
      </c>
      <c r="T2116" s="36" t="str">
        <f>""</f>
        <v/>
      </c>
      <c r="U2116" s="36" t="str">
        <f>""</f>
        <v/>
      </c>
      <c r="V2116" s="36" t="str">
        <f>""</f>
        <v/>
      </c>
      <c r="W2116" s="36">
        <f t="shared" si="201"/>
        <v>1</v>
      </c>
      <c r="X2116" t="str">
        <f t="shared" si="202"/>
        <v>Inactive</v>
      </c>
      <c r="Y2116" t="str">
        <f>IF(MAIN!$H$3="Selected Year",IF(A2116=MAIN!$B$3,"Yes","No"),IF(MAIN!$H$3="Included Years",IF(D2116="Yes","Yes","No"),IF(C2116="Yes","Yes","No")))</f>
        <v>No</v>
      </c>
      <c r="Z2116" t="str">
        <f>IF(MAIN!$F$3="Project to Date",IF(AND(A2116&gt;=SETTINGS!$B$4,A2116&lt;MAIN!$B$3),"Yes",IF(AND(A2116=MAIN!$B$3,E2116&lt;=MAIN!$L$3),"Yes","No")),IF(OR(MAIN!$F$3="Full Year",MAIN!$D$3="All"),"Yes",IF(MAIN!$F$3="Monthly",IF(E2116=MAIN!$L$3,"Yes","No"),IF(E2116&lt;=MAIN!$L$3,"Yes","No"))))</f>
        <v>Yes</v>
      </c>
      <c r="AA2116" t="str">
        <f t="shared" si="203"/>
        <v>No</v>
      </c>
    </row>
    <row r="2117" spans="1:27" x14ac:dyDescent="0.3">
      <c r="A2117">
        <f>INDEX(SETTINGS!$A$15:$A$24,$B2117)</f>
        <v>2034</v>
      </c>
      <c r="B2117">
        <v>10</v>
      </c>
      <c r="C2117" t="str">
        <f>IF(AND(A2117&gt;=SETTINGS!$B$4,A2117&lt;=SETTINGS!$B$5),"Yes","No")</f>
        <v>No</v>
      </c>
      <c r="D2117" t="str">
        <f>IFERROR(INDEX(SETTINGS!$C$15:$C$24,MATCH(A2117,SETTINGS!$A$15:$A$24,0)),"No")</f>
        <v>No</v>
      </c>
      <c r="E2117">
        <v>4</v>
      </c>
      <c r="F2117" t="s">
        <v>37</v>
      </c>
      <c r="G2117">
        <v>88</v>
      </c>
      <c r="H2117" t="s">
        <v>100</v>
      </c>
      <c r="I2117" t="s">
        <v>15</v>
      </c>
      <c r="J2117" t="s">
        <v>19</v>
      </c>
      <c r="K2117" t="s">
        <v>3</v>
      </c>
      <c r="L2117" s="36">
        <f ca="1">IF(C2117&lt;&gt;"Yes",0,IF(A2117=2025,N('2025'!D88),IF(A2117=2026,N('2026'!D88),IF(A2117=2027,N('2027'!D88),IF(A2117=2028,N('2028'!D88),IF(A2117=2029,N('2029'!D88),IF(A2117=2030,N('2030'!D88),IF(A2117=2031,N('2031'!D88),IF(A2117=2032,N('2032'!D88),IF(A2117=2033,N('2033'!D88),IF(A2117=2034,N('2034'!D88),IFERROR(N(INDIRECT("'"&amp;A2117&amp;"'!D"&amp;G2117)),0))))))))))))</f>
        <v>0</v>
      </c>
      <c r="M2117" s="36">
        <f>IFERROR(IF(NOT(ISBLANK(KPI_TARGETS!$P$11)),KPI_TARGETS!$P$11,IF(NOT(ISBLANK(KPI_TARGETS!$F$11)),KPI_TARGETS!$F$11,"")),"")</f>
        <v>0</v>
      </c>
      <c r="N2117" s="36" t="str">
        <f>IFERROR(KPI_TARGETS!$E$11,"Higher is better")</f>
        <v>Lower is better</v>
      </c>
      <c r="O2117" s="37">
        <f t="shared" ca="1" si="198"/>
        <v>1</v>
      </c>
      <c r="P2117" t="str">
        <f t="shared" ca="1" si="199"/>
        <v>Green</v>
      </c>
      <c r="Q2117" s="36">
        <f t="shared" ca="1" si="200"/>
        <v>0</v>
      </c>
      <c r="R2117" s="36" t="str">
        <f>""</f>
        <v/>
      </c>
      <c r="S2117" s="36" t="str">
        <f>""</f>
        <v/>
      </c>
      <c r="T2117" s="36" t="str">
        <f>""</f>
        <v/>
      </c>
      <c r="U2117" s="36" t="str">
        <f>""</f>
        <v/>
      </c>
      <c r="V2117" s="36" t="str">
        <f>""</f>
        <v/>
      </c>
      <c r="W2117" s="36">
        <f t="shared" si="201"/>
        <v>1</v>
      </c>
      <c r="X2117" t="str">
        <f t="shared" si="202"/>
        <v>Inactive</v>
      </c>
      <c r="Y2117" t="str">
        <f>IF(MAIN!$H$3="Selected Year",IF(A2117=MAIN!$B$3,"Yes","No"),IF(MAIN!$H$3="Included Years",IF(D2117="Yes","Yes","No"),IF(C2117="Yes","Yes","No")))</f>
        <v>No</v>
      </c>
      <c r="Z2117" t="str">
        <f>IF(MAIN!$F$3="Project to Date",IF(AND(A2117&gt;=SETTINGS!$B$4,A2117&lt;MAIN!$B$3),"Yes",IF(AND(A2117=MAIN!$B$3,E2117&lt;=MAIN!$L$3),"Yes","No")),IF(OR(MAIN!$F$3="Full Year",MAIN!$D$3="All"),"Yes",IF(MAIN!$F$3="Monthly",IF(E2117=MAIN!$L$3,"Yes","No"),IF(E2117&lt;=MAIN!$L$3,"Yes","No"))))</f>
        <v>Yes</v>
      </c>
      <c r="AA2117" t="str">
        <f t="shared" si="203"/>
        <v>No</v>
      </c>
    </row>
    <row r="2118" spans="1:27" x14ac:dyDescent="0.3">
      <c r="A2118">
        <f>INDEX(SETTINGS!$A$15:$A$24,$B2118)</f>
        <v>2034</v>
      </c>
      <c r="B2118">
        <v>10</v>
      </c>
      <c r="C2118" t="str">
        <f>IF(AND(A2118&gt;=SETTINGS!$B$4,A2118&lt;=SETTINGS!$B$5),"Yes","No")</f>
        <v>No</v>
      </c>
      <c r="D2118" t="str">
        <f>IFERROR(INDEX(SETTINGS!$C$15:$C$24,MATCH(A2118,SETTINGS!$A$15:$A$24,0)),"No")</f>
        <v>No</v>
      </c>
      <c r="E2118">
        <v>4</v>
      </c>
      <c r="F2118" t="s">
        <v>37</v>
      </c>
      <c r="G2118">
        <v>89</v>
      </c>
      <c r="H2118" t="s">
        <v>101</v>
      </c>
      <c r="I2118" t="s">
        <v>15</v>
      </c>
      <c r="J2118" t="s">
        <v>20</v>
      </c>
      <c r="K2118" t="s">
        <v>3</v>
      </c>
      <c r="L2118" s="36">
        <f ca="1">IF(C2118&lt;&gt;"Yes",0,IF(A2118=2025,N('2025'!D89),IF(A2118=2026,N('2026'!D89),IF(A2118=2027,N('2027'!D89),IF(A2118=2028,N('2028'!D89),IF(A2118=2029,N('2029'!D89),IF(A2118=2030,N('2030'!D89),IF(A2118=2031,N('2031'!D89),IF(A2118=2032,N('2032'!D89),IF(A2118=2033,N('2033'!D89),IF(A2118=2034,N('2034'!D89),IFERROR(N(INDIRECT("'"&amp;A2118&amp;"'!D"&amp;G2118)),0))))))))))))</f>
        <v>0</v>
      </c>
      <c r="M2118" s="36">
        <f>IFERROR(IF(NOT(ISBLANK(KPI_TARGETS!$P$12)),KPI_TARGETS!$P$12,IF(NOT(ISBLANK(KPI_TARGETS!$F$12)),KPI_TARGETS!$F$12,"")),"")</f>
        <v>0</v>
      </c>
      <c r="N2118" s="36" t="str">
        <f>IFERROR(KPI_TARGETS!$E$12,"Higher is better")</f>
        <v>Lower is better</v>
      </c>
      <c r="O2118" s="37">
        <f t="shared" ca="1" si="198"/>
        <v>1</v>
      </c>
      <c r="P2118" t="str">
        <f t="shared" ca="1" si="199"/>
        <v>Green</v>
      </c>
      <c r="Q2118" s="36">
        <f t="shared" ca="1" si="200"/>
        <v>0</v>
      </c>
      <c r="R2118" s="36" t="str">
        <f>""</f>
        <v/>
      </c>
      <c r="S2118" s="36" t="str">
        <f>""</f>
        <v/>
      </c>
      <c r="T2118" s="36" t="str">
        <f>""</f>
        <v/>
      </c>
      <c r="U2118" s="36" t="str">
        <f>""</f>
        <v/>
      </c>
      <c r="V2118" s="36" t="str">
        <f>""</f>
        <v/>
      </c>
      <c r="W2118" s="36">
        <f t="shared" si="201"/>
        <v>1</v>
      </c>
      <c r="X2118" t="str">
        <f t="shared" si="202"/>
        <v>Inactive</v>
      </c>
      <c r="Y2118" t="str">
        <f>IF(MAIN!$H$3="Selected Year",IF(A2118=MAIN!$B$3,"Yes","No"),IF(MAIN!$H$3="Included Years",IF(D2118="Yes","Yes","No"),IF(C2118="Yes","Yes","No")))</f>
        <v>No</v>
      </c>
      <c r="Z2118" t="str">
        <f>IF(MAIN!$F$3="Project to Date",IF(AND(A2118&gt;=SETTINGS!$B$4,A2118&lt;MAIN!$B$3),"Yes",IF(AND(A2118=MAIN!$B$3,E2118&lt;=MAIN!$L$3),"Yes","No")),IF(OR(MAIN!$F$3="Full Year",MAIN!$D$3="All"),"Yes",IF(MAIN!$F$3="Monthly",IF(E2118=MAIN!$L$3,"Yes","No"),IF(E2118&lt;=MAIN!$L$3,"Yes","No"))))</f>
        <v>Yes</v>
      </c>
      <c r="AA2118" t="str">
        <f t="shared" si="203"/>
        <v>No</v>
      </c>
    </row>
    <row r="2119" spans="1:27" x14ac:dyDescent="0.3">
      <c r="A2119">
        <f>INDEX(SETTINGS!$A$15:$A$24,$B2119)</f>
        <v>2034</v>
      </c>
      <c r="B2119">
        <v>10</v>
      </c>
      <c r="C2119" t="str">
        <f>IF(AND(A2119&gt;=SETTINGS!$B$4,A2119&lt;=SETTINGS!$B$5),"Yes","No")</f>
        <v>No</v>
      </c>
      <c r="D2119" t="str">
        <f>IFERROR(INDEX(SETTINGS!$C$15:$C$24,MATCH(A2119,SETTINGS!$A$15:$A$24,0)),"No")</f>
        <v>No</v>
      </c>
      <c r="E2119">
        <v>4</v>
      </c>
      <c r="F2119" t="s">
        <v>37</v>
      </c>
      <c r="G2119">
        <v>90</v>
      </c>
      <c r="H2119" t="s">
        <v>102</v>
      </c>
      <c r="I2119" t="s">
        <v>15</v>
      </c>
      <c r="J2119" t="s">
        <v>21</v>
      </c>
      <c r="K2119" t="s">
        <v>3</v>
      </c>
      <c r="L2119" s="36">
        <f ca="1">IF(C2119&lt;&gt;"Yes",0,IF(A2119=2025,N('2025'!D90),IF(A2119=2026,N('2026'!D90),IF(A2119=2027,N('2027'!D90),IF(A2119=2028,N('2028'!D90),IF(A2119=2029,N('2029'!D90),IF(A2119=2030,N('2030'!D90),IF(A2119=2031,N('2031'!D90),IF(A2119=2032,N('2032'!D90),IF(A2119=2033,N('2033'!D90),IF(A2119=2034,N('2034'!D90),IFERROR(N(INDIRECT("'"&amp;A2119&amp;"'!D"&amp;G2119)),0))))))))))))</f>
        <v>0</v>
      </c>
      <c r="M2119" s="36">
        <f>IFERROR(IF(NOT(ISBLANK(KPI_TARGETS!$P$13)),KPI_TARGETS!$P$13,IF(NOT(ISBLANK(KPI_TARGETS!$F$13)),KPI_TARGETS!$F$13,"")),"")</f>
        <v>0</v>
      </c>
      <c r="N2119" s="36" t="str">
        <f>IFERROR(KPI_TARGETS!$E$13,"Higher is better")</f>
        <v>Lower is better</v>
      </c>
      <c r="O2119" s="37">
        <f t="shared" ca="1" si="198"/>
        <v>1</v>
      </c>
      <c r="P2119" t="str">
        <f t="shared" ca="1" si="199"/>
        <v>Green</v>
      </c>
      <c r="Q2119" s="36">
        <f t="shared" ca="1" si="200"/>
        <v>0</v>
      </c>
      <c r="R2119" s="36" t="str">
        <f>""</f>
        <v/>
      </c>
      <c r="S2119" s="36" t="str">
        <f>""</f>
        <v/>
      </c>
      <c r="T2119" s="36" t="str">
        <f>""</f>
        <v/>
      </c>
      <c r="U2119" s="36" t="str">
        <f>""</f>
        <v/>
      </c>
      <c r="V2119" s="36" t="str">
        <f>""</f>
        <v/>
      </c>
      <c r="W2119" s="36">
        <f t="shared" si="201"/>
        <v>1</v>
      </c>
      <c r="X2119" t="str">
        <f t="shared" si="202"/>
        <v>Inactive</v>
      </c>
      <c r="Y2119" t="str">
        <f>IF(MAIN!$H$3="Selected Year",IF(A2119=MAIN!$B$3,"Yes","No"),IF(MAIN!$H$3="Included Years",IF(D2119="Yes","Yes","No"),IF(C2119="Yes","Yes","No")))</f>
        <v>No</v>
      </c>
      <c r="Z2119" t="str">
        <f>IF(MAIN!$F$3="Project to Date",IF(AND(A2119&gt;=SETTINGS!$B$4,A2119&lt;MAIN!$B$3),"Yes",IF(AND(A2119=MAIN!$B$3,E2119&lt;=MAIN!$L$3),"Yes","No")),IF(OR(MAIN!$F$3="Full Year",MAIN!$D$3="All"),"Yes",IF(MAIN!$F$3="Monthly",IF(E2119=MAIN!$L$3,"Yes","No"),IF(E2119&lt;=MAIN!$L$3,"Yes","No"))))</f>
        <v>Yes</v>
      </c>
      <c r="AA2119" t="str">
        <f t="shared" si="203"/>
        <v>No</v>
      </c>
    </row>
    <row r="2120" spans="1:27" x14ac:dyDescent="0.3">
      <c r="A2120">
        <f>INDEX(SETTINGS!$A$15:$A$24,$B2120)</f>
        <v>2034</v>
      </c>
      <c r="B2120">
        <v>10</v>
      </c>
      <c r="C2120" t="str">
        <f>IF(AND(A2120&gt;=SETTINGS!$B$4,A2120&lt;=SETTINGS!$B$5),"Yes","No")</f>
        <v>No</v>
      </c>
      <c r="D2120" t="str">
        <f>IFERROR(INDEX(SETTINGS!$C$15:$C$24,MATCH(A2120,SETTINGS!$A$15:$A$24,0)),"No")</f>
        <v>No</v>
      </c>
      <c r="E2120">
        <v>4</v>
      </c>
      <c r="F2120" t="s">
        <v>37</v>
      </c>
      <c r="G2120">
        <v>92</v>
      </c>
      <c r="H2120" t="s">
        <v>103</v>
      </c>
      <c r="I2120" t="s">
        <v>22</v>
      </c>
      <c r="J2120" t="s">
        <v>23</v>
      </c>
      <c r="K2120" t="s">
        <v>3</v>
      </c>
      <c r="L2120" s="36">
        <f ca="1">IF(C2120&lt;&gt;"Yes",0,IF(A2120=2025,N('2025'!D92),IF(A2120=2026,N('2026'!D92),IF(A2120=2027,N('2027'!D92),IF(A2120=2028,N('2028'!D92),IF(A2120=2029,N('2029'!D92),IF(A2120=2030,N('2030'!D92),IF(A2120=2031,N('2031'!D92),IF(A2120=2032,N('2032'!D92),IF(A2120=2033,N('2033'!D92),IF(A2120=2034,N('2034'!D92),IFERROR(N(INDIRECT("'"&amp;A2120&amp;"'!D"&amp;G2120)),0))))))))))))</f>
        <v>0</v>
      </c>
      <c r="M2120" s="36">
        <f>IFERROR(IF(NOT(ISBLANK(KPI_TARGETS!$P$14)),KPI_TARGETS!$P$14,IF(NOT(ISBLANK(KPI_TARGETS!$F$14)),KPI_TARGETS!$F$14,"")),"")</f>
        <v>35</v>
      </c>
      <c r="N2120" s="36" t="str">
        <f>IFERROR(KPI_TARGETS!$E$14,"Higher is better")</f>
        <v>Higher is better</v>
      </c>
      <c r="O2120" s="37">
        <f t="shared" ca="1" si="198"/>
        <v>0</v>
      </c>
      <c r="P2120" t="str">
        <f t="shared" ca="1" si="199"/>
        <v>Red</v>
      </c>
      <c r="Q2120" s="36">
        <f t="shared" ca="1" si="200"/>
        <v>-35</v>
      </c>
      <c r="R2120" s="36" t="str">
        <f>""</f>
        <v/>
      </c>
      <c r="S2120" s="36" t="str">
        <f>""</f>
        <v/>
      </c>
      <c r="T2120" s="36" t="str">
        <f>""</f>
        <v/>
      </c>
      <c r="U2120" s="36" t="str">
        <f>""</f>
        <v/>
      </c>
      <c r="V2120" s="36" t="str">
        <f>""</f>
        <v/>
      </c>
      <c r="W2120" s="36">
        <f t="shared" si="201"/>
        <v>1</v>
      </c>
      <c r="X2120" t="str">
        <f t="shared" si="202"/>
        <v>Inactive</v>
      </c>
      <c r="Y2120" t="str">
        <f>IF(MAIN!$H$3="Selected Year",IF(A2120=MAIN!$B$3,"Yes","No"),IF(MAIN!$H$3="Included Years",IF(D2120="Yes","Yes","No"),IF(C2120="Yes","Yes","No")))</f>
        <v>No</v>
      </c>
      <c r="Z2120" t="str">
        <f>IF(MAIN!$F$3="Project to Date",IF(AND(A2120&gt;=SETTINGS!$B$4,A2120&lt;MAIN!$B$3),"Yes",IF(AND(A2120=MAIN!$B$3,E2120&lt;=MAIN!$L$3),"Yes","No")),IF(OR(MAIN!$F$3="Full Year",MAIN!$D$3="All"),"Yes",IF(MAIN!$F$3="Monthly",IF(E2120=MAIN!$L$3,"Yes","No"),IF(E2120&lt;=MAIN!$L$3,"Yes","No"))))</f>
        <v>Yes</v>
      </c>
      <c r="AA2120" t="str">
        <f t="shared" si="203"/>
        <v>No</v>
      </c>
    </row>
    <row r="2121" spans="1:27" x14ac:dyDescent="0.3">
      <c r="A2121">
        <f>INDEX(SETTINGS!$A$15:$A$24,$B2121)</f>
        <v>2034</v>
      </c>
      <c r="B2121">
        <v>10</v>
      </c>
      <c r="C2121" t="str">
        <f>IF(AND(A2121&gt;=SETTINGS!$B$4,A2121&lt;=SETTINGS!$B$5),"Yes","No")</f>
        <v>No</v>
      </c>
      <c r="D2121" t="str">
        <f>IFERROR(INDEX(SETTINGS!$C$15:$C$24,MATCH(A2121,SETTINGS!$A$15:$A$24,0)),"No")</f>
        <v>No</v>
      </c>
      <c r="E2121">
        <v>4</v>
      </c>
      <c r="F2121" t="s">
        <v>37</v>
      </c>
      <c r="G2121">
        <v>93</v>
      </c>
      <c r="H2121" t="s">
        <v>104</v>
      </c>
      <c r="I2121" t="s">
        <v>22</v>
      </c>
      <c r="J2121" t="s">
        <v>24</v>
      </c>
      <c r="K2121" t="s">
        <v>3</v>
      </c>
      <c r="L2121" s="36">
        <f ca="1">IF(C2121&lt;&gt;"Yes",0,IF(A2121=2025,N('2025'!D93),IF(A2121=2026,N('2026'!D93),IF(A2121=2027,N('2027'!D93),IF(A2121=2028,N('2028'!D93),IF(A2121=2029,N('2029'!D93),IF(A2121=2030,N('2030'!D93),IF(A2121=2031,N('2031'!D93),IF(A2121=2032,N('2032'!D93),IF(A2121=2033,N('2033'!D93),IF(A2121=2034,N('2034'!D93),IFERROR(N(INDIRECT("'"&amp;A2121&amp;"'!D"&amp;G2121)),0))))))))))))</f>
        <v>0</v>
      </c>
      <c r="M2121" s="36">
        <f>IFERROR(IF(NOT(ISBLANK(KPI_TARGETS!$P$15)),KPI_TARGETS!$P$15,IF(NOT(ISBLANK(KPI_TARGETS!$F$15)),KPI_TARGETS!$F$15,"")),"")</f>
        <v>5</v>
      </c>
      <c r="N2121" s="36" t="str">
        <f>IFERROR(KPI_TARGETS!$E$15,"Higher is better")</f>
        <v>Higher is better</v>
      </c>
      <c r="O2121" s="37">
        <f t="shared" ca="1" si="198"/>
        <v>0</v>
      </c>
      <c r="P2121" t="str">
        <f t="shared" ca="1" si="199"/>
        <v>Red</v>
      </c>
      <c r="Q2121" s="36">
        <f t="shared" ca="1" si="200"/>
        <v>-5</v>
      </c>
      <c r="R2121" s="36" t="str">
        <f>""</f>
        <v/>
      </c>
      <c r="S2121" s="36" t="str">
        <f>""</f>
        <v/>
      </c>
      <c r="T2121" s="36" t="str">
        <f>""</f>
        <v/>
      </c>
      <c r="U2121" s="36" t="str">
        <f>""</f>
        <v/>
      </c>
      <c r="V2121" s="36" t="str">
        <f>""</f>
        <v/>
      </c>
      <c r="W2121" s="36">
        <f t="shared" si="201"/>
        <v>1</v>
      </c>
      <c r="X2121" t="str">
        <f t="shared" si="202"/>
        <v>Inactive</v>
      </c>
      <c r="Y2121" t="str">
        <f>IF(MAIN!$H$3="Selected Year",IF(A2121=MAIN!$B$3,"Yes","No"),IF(MAIN!$H$3="Included Years",IF(D2121="Yes","Yes","No"),IF(C2121="Yes","Yes","No")))</f>
        <v>No</v>
      </c>
      <c r="Z2121" t="str">
        <f>IF(MAIN!$F$3="Project to Date",IF(AND(A2121&gt;=SETTINGS!$B$4,A2121&lt;MAIN!$B$3),"Yes",IF(AND(A2121=MAIN!$B$3,E2121&lt;=MAIN!$L$3),"Yes","No")),IF(OR(MAIN!$F$3="Full Year",MAIN!$D$3="All"),"Yes",IF(MAIN!$F$3="Monthly",IF(E2121=MAIN!$L$3,"Yes","No"),IF(E2121&lt;=MAIN!$L$3,"Yes","No"))))</f>
        <v>Yes</v>
      </c>
      <c r="AA2121" t="str">
        <f t="shared" si="203"/>
        <v>No</v>
      </c>
    </row>
    <row r="2122" spans="1:27" x14ac:dyDescent="0.3">
      <c r="A2122">
        <f>INDEX(SETTINGS!$A$15:$A$24,$B2122)</f>
        <v>2034</v>
      </c>
      <c r="B2122">
        <v>10</v>
      </c>
      <c r="C2122" t="str">
        <f>IF(AND(A2122&gt;=SETTINGS!$B$4,A2122&lt;=SETTINGS!$B$5),"Yes","No")</f>
        <v>No</v>
      </c>
      <c r="D2122" t="str">
        <f>IFERROR(INDEX(SETTINGS!$C$15:$C$24,MATCH(A2122,SETTINGS!$A$15:$A$24,0)),"No")</f>
        <v>No</v>
      </c>
      <c r="E2122">
        <v>4</v>
      </c>
      <c r="F2122" t="s">
        <v>37</v>
      </c>
      <c r="G2122">
        <v>94</v>
      </c>
      <c r="H2122" t="s">
        <v>105</v>
      </c>
      <c r="I2122" t="s">
        <v>22</v>
      </c>
      <c r="J2122" t="s">
        <v>25</v>
      </c>
      <c r="K2122" t="s">
        <v>3</v>
      </c>
      <c r="L2122" s="36">
        <f ca="1">IF(C2122&lt;&gt;"Yes",0,IF(A2122=2025,N('2025'!D94),IF(A2122=2026,N('2026'!D94),IF(A2122=2027,N('2027'!D94),IF(A2122=2028,N('2028'!D94),IF(A2122=2029,N('2029'!D94),IF(A2122=2030,N('2030'!D94),IF(A2122=2031,N('2031'!D94),IF(A2122=2032,N('2032'!D94),IF(A2122=2033,N('2033'!D94),IF(A2122=2034,N('2034'!D94),IFERROR(N(INDIRECT("'"&amp;A2122&amp;"'!D"&amp;G2122)),0))))))))))))</f>
        <v>0</v>
      </c>
      <c r="M2122" s="36">
        <f>IFERROR(IF(NOT(ISBLANK(KPI_TARGETS!$P$16)),KPI_TARGETS!$P$16,IF(NOT(ISBLANK(KPI_TARGETS!$F$16)),KPI_TARGETS!$F$16,"")),"")</f>
        <v>4</v>
      </c>
      <c r="N2122" s="36" t="str">
        <f>IFERROR(KPI_TARGETS!$E$16,"Higher is better")</f>
        <v>Higher is better</v>
      </c>
      <c r="O2122" s="37">
        <f t="shared" ca="1" si="198"/>
        <v>0</v>
      </c>
      <c r="P2122" t="str">
        <f t="shared" ca="1" si="199"/>
        <v>Red</v>
      </c>
      <c r="Q2122" s="36">
        <f t="shared" ca="1" si="200"/>
        <v>-4</v>
      </c>
      <c r="R2122" s="36" t="str">
        <f>""</f>
        <v/>
      </c>
      <c r="S2122" s="36" t="str">
        <f>""</f>
        <v/>
      </c>
      <c r="T2122" s="36" t="str">
        <f>""</f>
        <v/>
      </c>
      <c r="U2122" s="36" t="str">
        <f>""</f>
        <v/>
      </c>
      <c r="V2122" s="36" t="str">
        <f>""</f>
        <v/>
      </c>
      <c r="W2122" s="36">
        <f t="shared" si="201"/>
        <v>1</v>
      </c>
      <c r="X2122" t="str">
        <f t="shared" si="202"/>
        <v>Inactive</v>
      </c>
      <c r="Y2122" t="str">
        <f>IF(MAIN!$H$3="Selected Year",IF(A2122=MAIN!$B$3,"Yes","No"),IF(MAIN!$H$3="Included Years",IF(D2122="Yes","Yes","No"),IF(C2122="Yes","Yes","No")))</f>
        <v>No</v>
      </c>
      <c r="Z2122" t="str">
        <f>IF(MAIN!$F$3="Project to Date",IF(AND(A2122&gt;=SETTINGS!$B$4,A2122&lt;MAIN!$B$3),"Yes",IF(AND(A2122=MAIN!$B$3,E2122&lt;=MAIN!$L$3),"Yes","No")),IF(OR(MAIN!$F$3="Full Year",MAIN!$D$3="All"),"Yes",IF(MAIN!$F$3="Monthly",IF(E2122=MAIN!$L$3,"Yes","No"),IF(E2122&lt;=MAIN!$L$3,"Yes","No"))))</f>
        <v>Yes</v>
      </c>
      <c r="AA2122" t="str">
        <f t="shared" si="203"/>
        <v>No</v>
      </c>
    </row>
    <row r="2123" spans="1:27" x14ac:dyDescent="0.3">
      <c r="A2123">
        <f>INDEX(SETTINGS!$A$15:$A$24,$B2123)</f>
        <v>2034</v>
      </c>
      <c r="B2123">
        <v>10</v>
      </c>
      <c r="C2123" t="str">
        <f>IF(AND(A2123&gt;=SETTINGS!$B$4,A2123&lt;=SETTINGS!$B$5),"Yes","No")</f>
        <v>No</v>
      </c>
      <c r="D2123" t="str">
        <f>IFERROR(INDEX(SETTINGS!$C$15:$C$24,MATCH(A2123,SETTINGS!$A$15:$A$24,0)),"No")</f>
        <v>No</v>
      </c>
      <c r="E2123">
        <v>4</v>
      </c>
      <c r="F2123" t="s">
        <v>37</v>
      </c>
      <c r="G2123">
        <v>95</v>
      </c>
      <c r="H2123" t="s">
        <v>106</v>
      </c>
      <c r="I2123" t="s">
        <v>22</v>
      </c>
      <c r="J2123" t="s">
        <v>26</v>
      </c>
      <c r="K2123" t="s">
        <v>3</v>
      </c>
      <c r="L2123" s="36">
        <f ca="1">IF(C2123&lt;&gt;"Yes",0,IF(A2123=2025,N('2025'!D95),IF(A2123=2026,N('2026'!D95),IF(A2123=2027,N('2027'!D95),IF(A2123=2028,N('2028'!D95),IF(A2123=2029,N('2029'!D95),IF(A2123=2030,N('2030'!D95),IF(A2123=2031,N('2031'!D95),IF(A2123=2032,N('2032'!D95),IF(A2123=2033,N('2033'!D95),IF(A2123=2034,N('2034'!D95),IFERROR(N(INDIRECT("'"&amp;A2123&amp;"'!D"&amp;G2123)),0))))))))))))</f>
        <v>0</v>
      </c>
      <c r="M2123" s="36">
        <f>IFERROR(IF(NOT(ISBLANK(KPI_TARGETS!$P$17)),KPI_TARGETS!$P$17,IF(NOT(ISBLANK(KPI_TARGETS!$F$17)),KPI_TARGETS!$F$17,"")),"")</f>
        <v>12</v>
      </c>
      <c r="N2123" s="36" t="str">
        <f>IFERROR(KPI_TARGETS!$E$17,"Higher is better")</f>
        <v>Higher is better</v>
      </c>
      <c r="O2123" s="37">
        <f t="shared" ca="1" si="198"/>
        <v>0</v>
      </c>
      <c r="P2123" t="str">
        <f t="shared" ca="1" si="199"/>
        <v>Red</v>
      </c>
      <c r="Q2123" s="36">
        <f t="shared" ca="1" si="200"/>
        <v>-12</v>
      </c>
      <c r="R2123" s="36" t="str">
        <f>""</f>
        <v/>
      </c>
      <c r="S2123" s="36" t="str">
        <f>""</f>
        <v/>
      </c>
      <c r="T2123" s="36" t="str">
        <f>""</f>
        <v/>
      </c>
      <c r="U2123" s="36" t="str">
        <f>""</f>
        <v/>
      </c>
      <c r="V2123" s="36" t="str">
        <f>""</f>
        <v/>
      </c>
      <c r="W2123" s="36">
        <f t="shared" si="201"/>
        <v>1</v>
      </c>
      <c r="X2123" t="str">
        <f t="shared" si="202"/>
        <v>Inactive</v>
      </c>
      <c r="Y2123" t="str">
        <f>IF(MAIN!$H$3="Selected Year",IF(A2123=MAIN!$B$3,"Yes","No"),IF(MAIN!$H$3="Included Years",IF(D2123="Yes","Yes","No"),IF(C2123="Yes","Yes","No")))</f>
        <v>No</v>
      </c>
      <c r="Z2123" t="str">
        <f>IF(MAIN!$F$3="Project to Date",IF(AND(A2123&gt;=SETTINGS!$B$4,A2123&lt;MAIN!$B$3),"Yes",IF(AND(A2123=MAIN!$B$3,E2123&lt;=MAIN!$L$3),"Yes","No")),IF(OR(MAIN!$F$3="Full Year",MAIN!$D$3="All"),"Yes",IF(MAIN!$F$3="Monthly",IF(E2123=MAIN!$L$3,"Yes","No"),IF(E2123&lt;=MAIN!$L$3,"Yes","No"))))</f>
        <v>Yes</v>
      </c>
      <c r="AA2123" t="str">
        <f t="shared" si="203"/>
        <v>No</v>
      </c>
    </row>
    <row r="2124" spans="1:27" x14ac:dyDescent="0.3">
      <c r="A2124">
        <f>INDEX(SETTINGS!$A$15:$A$24,$B2124)</f>
        <v>2034</v>
      </c>
      <c r="B2124">
        <v>10</v>
      </c>
      <c r="C2124" t="str">
        <f>IF(AND(A2124&gt;=SETTINGS!$B$4,A2124&lt;=SETTINGS!$B$5),"Yes","No")</f>
        <v>No</v>
      </c>
      <c r="D2124" t="str">
        <f>IFERROR(INDEX(SETTINGS!$C$15:$C$24,MATCH(A2124,SETTINGS!$A$15:$A$24,0)),"No")</f>
        <v>No</v>
      </c>
      <c r="E2124">
        <v>4</v>
      </c>
      <c r="F2124" t="s">
        <v>37</v>
      </c>
      <c r="G2124">
        <v>96</v>
      </c>
      <c r="H2124" t="s">
        <v>107</v>
      </c>
      <c r="I2124" t="s">
        <v>22</v>
      </c>
      <c r="J2124" t="s">
        <v>27</v>
      </c>
      <c r="K2124" t="s">
        <v>3</v>
      </c>
      <c r="L2124" s="36">
        <f ca="1">IF(C2124&lt;&gt;"Yes",0,IF(A2124=2025,N('2025'!D96),IF(A2124=2026,N('2026'!D96),IF(A2124=2027,N('2027'!D96),IF(A2124=2028,N('2028'!D96),IF(A2124=2029,N('2029'!D96),IF(A2124=2030,N('2030'!D96),IF(A2124=2031,N('2031'!D96),IF(A2124=2032,N('2032'!D96),IF(A2124=2033,N('2033'!D96),IF(A2124=2034,N('2034'!D96),IFERROR(N(INDIRECT("'"&amp;A2124&amp;"'!D"&amp;G2124)),0))))))))))))</f>
        <v>0</v>
      </c>
      <c r="M2124" s="36">
        <f>IFERROR(IF(NOT(ISBLANK(KPI_TARGETS!$P$18)),KPI_TARGETS!$P$18,IF(NOT(ISBLANK(KPI_TARGETS!$F$18)),KPI_TARGETS!$F$18,"")),"")</f>
        <v>4</v>
      </c>
      <c r="N2124" s="36" t="str">
        <f>IFERROR(KPI_TARGETS!$E$18,"Higher is better")</f>
        <v>Higher is better</v>
      </c>
      <c r="O2124" s="37">
        <f t="shared" ca="1" si="198"/>
        <v>0</v>
      </c>
      <c r="P2124" t="str">
        <f t="shared" ca="1" si="199"/>
        <v>Red</v>
      </c>
      <c r="Q2124" s="36">
        <f t="shared" ca="1" si="200"/>
        <v>-4</v>
      </c>
      <c r="R2124" s="36" t="str">
        <f>""</f>
        <v/>
      </c>
      <c r="S2124" s="36" t="str">
        <f>""</f>
        <v/>
      </c>
      <c r="T2124" s="36" t="str">
        <f>""</f>
        <v/>
      </c>
      <c r="U2124" s="36" t="str">
        <f>""</f>
        <v/>
      </c>
      <c r="V2124" s="36" t="str">
        <f>""</f>
        <v/>
      </c>
      <c r="W2124" s="36">
        <f t="shared" si="201"/>
        <v>1</v>
      </c>
      <c r="X2124" t="str">
        <f t="shared" si="202"/>
        <v>Inactive</v>
      </c>
      <c r="Y2124" t="str">
        <f>IF(MAIN!$H$3="Selected Year",IF(A2124=MAIN!$B$3,"Yes","No"),IF(MAIN!$H$3="Included Years",IF(D2124="Yes","Yes","No"),IF(C2124="Yes","Yes","No")))</f>
        <v>No</v>
      </c>
      <c r="Z2124" t="str">
        <f>IF(MAIN!$F$3="Project to Date",IF(AND(A2124&gt;=SETTINGS!$B$4,A2124&lt;MAIN!$B$3),"Yes",IF(AND(A2124=MAIN!$B$3,E2124&lt;=MAIN!$L$3),"Yes","No")),IF(OR(MAIN!$F$3="Full Year",MAIN!$D$3="All"),"Yes",IF(MAIN!$F$3="Monthly",IF(E2124=MAIN!$L$3,"Yes","No"),IF(E2124&lt;=MAIN!$L$3,"Yes","No"))))</f>
        <v>Yes</v>
      </c>
      <c r="AA2124" t="str">
        <f t="shared" si="203"/>
        <v>No</v>
      </c>
    </row>
    <row r="2125" spans="1:27" x14ac:dyDescent="0.3">
      <c r="A2125">
        <f>INDEX(SETTINGS!$A$15:$A$24,$B2125)</f>
        <v>2034</v>
      </c>
      <c r="B2125">
        <v>10</v>
      </c>
      <c r="C2125" t="str">
        <f>IF(AND(A2125&gt;=SETTINGS!$B$4,A2125&lt;=SETTINGS!$B$5),"Yes","No")</f>
        <v>No</v>
      </c>
      <c r="D2125" t="str">
        <f>IFERROR(INDEX(SETTINGS!$C$15:$C$24,MATCH(A2125,SETTINGS!$A$15:$A$24,0)),"No")</f>
        <v>No</v>
      </c>
      <c r="E2125">
        <v>4</v>
      </c>
      <c r="F2125" t="s">
        <v>37</v>
      </c>
      <c r="G2125">
        <v>97</v>
      </c>
      <c r="H2125" t="s">
        <v>108</v>
      </c>
      <c r="I2125" t="s">
        <v>22</v>
      </c>
      <c r="J2125" t="s">
        <v>28</v>
      </c>
      <c r="K2125" t="s">
        <v>3</v>
      </c>
      <c r="L2125" s="36">
        <f ca="1">IF(C2125&lt;&gt;"Yes",0,IF(A2125=2025,N('2025'!D97),IF(A2125=2026,N('2026'!D97),IF(A2125=2027,N('2027'!D97),IF(A2125=2028,N('2028'!D97),IF(A2125=2029,N('2029'!D97),IF(A2125=2030,N('2030'!D97),IF(A2125=2031,N('2031'!D97),IF(A2125=2032,N('2032'!D97),IF(A2125=2033,N('2033'!D97),IF(A2125=2034,N('2034'!D97),IFERROR(N(INDIRECT("'"&amp;A2125&amp;"'!D"&amp;G2125)),0))))))))))))</f>
        <v>0</v>
      </c>
      <c r="M2125" s="36">
        <f>IFERROR(IF(NOT(ISBLANK(KPI_TARGETS!$P$19)),KPI_TARGETS!$P$19,IF(NOT(ISBLANK(KPI_TARGETS!$F$19)),KPI_TARGETS!$F$19,"")),"")</f>
        <v>16</v>
      </c>
      <c r="N2125" s="36" t="str">
        <f>IFERROR(KPI_TARGETS!$E$19,"Higher is better")</f>
        <v>Higher is better</v>
      </c>
      <c r="O2125" s="37">
        <f t="shared" ca="1" si="198"/>
        <v>0</v>
      </c>
      <c r="P2125" t="str">
        <f t="shared" ca="1" si="199"/>
        <v>Red</v>
      </c>
      <c r="Q2125" s="36">
        <f t="shared" ca="1" si="200"/>
        <v>-16</v>
      </c>
      <c r="R2125" s="36" t="str">
        <f>""</f>
        <v/>
      </c>
      <c r="S2125" s="36" t="str">
        <f>""</f>
        <v/>
      </c>
      <c r="T2125" s="36" t="str">
        <f>""</f>
        <v/>
      </c>
      <c r="U2125" s="36" t="str">
        <f>""</f>
        <v/>
      </c>
      <c r="V2125" s="36" t="str">
        <f>""</f>
        <v/>
      </c>
      <c r="W2125" s="36">
        <f t="shared" si="201"/>
        <v>1</v>
      </c>
      <c r="X2125" t="str">
        <f t="shared" si="202"/>
        <v>Inactive</v>
      </c>
      <c r="Y2125" t="str">
        <f>IF(MAIN!$H$3="Selected Year",IF(A2125=MAIN!$B$3,"Yes","No"),IF(MAIN!$H$3="Included Years",IF(D2125="Yes","Yes","No"),IF(C2125="Yes","Yes","No")))</f>
        <v>No</v>
      </c>
      <c r="Z2125" t="str">
        <f>IF(MAIN!$F$3="Project to Date",IF(AND(A2125&gt;=SETTINGS!$B$4,A2125&lt;MAIN!$B$3),"Yes",IF(AND(A2125=MAIN!$B$3,E2125&lt;=MAIN!$L$3),"Yes","No")),IF(OR(MAIN!$F$3="Full Year",MAIN!$D$3="All"),"Yes",IF(MAIN!$F$3="Monthly",IF(E2125=MAIN!$L$3,"Yes","No"),IF(E2125&lt;=MAIN!$L$3,"Yes","No"))))</f>
        <v>Yes</v>
      </c>
      <c r="AA2125" t="str">
        <f t="shared" si="203"/>
        <v>No</v>
      </c>
    </row>
    <row r="2126" spans="1:27" x14ac:dyDescent="0.3">
      <c r="A2126">
        <f>INDEX(SETTINGS!$A$15:$A$24,$B2126)</f>
        <v>2034</v>
      </c>
      <c r="B2126">
        <v>10</v>
      </c>
      <c r="C2126" t="str">
        <f>IF(AND(A2126&gt;=SETTINGS!$B$4,A2126&lt;=SETTINGS!$B$5),"Yes","No")</f>
        <v>No</v>
      </c>
      <c r="D2126" t="str">
        <f>IFERROR(INDEX(SETTINGS!$C$15:$C$24,MATCH(A2126,SETTINGS!$A$15:$A$24,0)),"No")</f>
        <v>No</v>
      </c>
      <c r="E2126">
        <v>4</v>
      </c>
      <c r="F2126" t="s">
        <v>37</v>
      </c>
      <c r="G2126">
        <v>98</v>
      </c>
      <c r="H2126" t="s">
        <v>109</v>
      </c>
      <c r="I2126" t="s">
        <v>22</v>
      </c>
      <c r="J2126" t="s">
        <v>29</v>
      </c>
      <c r="K2126" t="s">
        <v>3</v>
      </c>
      <c r="L2126" s="36">
        <f ca="1">IF(C2126&lt;&gt;"Yes",0,IF(A2126=2025,N('2025'!D98),IF(A2126=2026,N('2026'!D98),IF(A2126=2027,N('2027'!D98),IF(A2126=2028,N('2028'!D98),IF(A2126=2029,N('2029'!D98),IF(A2126=2030,N('2030'!D98),IF(A2126=2031,N('2031'!D98),IF(A2126=2032,N('2032'!D98),IF(A2126=2033,N('2033'!D98),IF(A2126=2034,N('2034'!D98),IFERROR(N(INDIRECT("'"&amp;A2126&amp;"'!D"&amp;G2126)),0))))))))))))</f>
        <v>0</v>
      </c>
      <c r="M2126" s="36">
        <f>IFERROR(IF(NOT(ISBLANK(KPI_TARGETS!$P$20)),KPI_TARGETS!$P$20,IF(NOT(ISBLANK(KPI_TARGETS!$F$20)),KPI_TARGETS!$F$20,"")),"")</f>
        <v>1</v>
      </c>
      <c r="N2126" s="36" t="str">
        <f>IFERROR(KPI_TARGETS!$E$20,"Higher is better")</f>
        <v>Higher is better</v>
      </c>
      <c r="O2126" s="37">
        <f t="shared" ca="1" si="198"/>
        <v>0</v>
      </c>
      <c r="P2126" t="str">
        <f t="shared" ca="1" si="199"/>
        <v>Red</v>
      </c>
      <c r="Q2126" s="36">
        <f t="shared" ca="1" si="200"/>
        <v>-1</v>
      </c>
      <c r="R2126" s="36" t="str">
        <f>""</f>
        <v/>
      </c>
      <c r="S2126" s="36" t="str">
        <f>""</f>
        <v/>
      </c>
      <c r="T2126" s="36" t="str">
        <f>""</f>
        <v/>
      </c>
      <c r="U2126" s="36" t="str">
        <f>""</f>
        <v/>
      </c>
      <c r="V2126" s="36" t="str">
        <f>""</f>
        <v/>
      </c>
      <c r="W2126" s="36">
        <f t="shared" si="201"/>
        <v>1</v>
      </c>
      <c r="X2126" t="str">
        <f t="shared" si="202"/>
        <v>Inactive</v>
      </c>
      <c r="Y2126" t="str">
        <f>IF(MAIN!$H$3="Selected Year",IF(A2126=MAIN!$B$3,"Yes","No"),IF(MAIN!$H$3="Included Years",IF(D2126="Yes","Yes","No"),IF(C2126="Yes","Yes","No")))</f>
        <v>No</v>
      </c>
      <c r="Z2126" t="str">
        <f>IF(MAIN!$F$3="Project to Date",IF(AND(A2126&gt;=SETTINGS!$B$4,A2126&lt;MAIN!$B$3),"Yes",IF(AND(A2126=MAIN!$B$3,E2126&lt;=MAIN!$L$3),"Yes","No")),IF(OR(MAIN!$F$3="Full Year",MAIN!$D$3="All"),"Yes",IF(MAIN!$F$3="Monthly",IF(E2126=MAIN!$L$3,"Yes","No"),IF(E2126&lt;=MAIN!$L$3,"Yes","No"))))</f>
        <v>Yes</v>
      </c>
      <c r="AA2126" t="str">
        <f t="shared" si="203"/>
        <v>No</v>
      </c>
    </row>
    <row r="2127" spans="1:27" x14ac:dyDescent="0.3">
      <c r="A2127">
        <f>INDEX(SETTINGS!$A$15:$A$24,$B2127)</f>
        <v>2034</v>
      </c>
      <c r="B2127">
        <v>10</v>
      </c>
      <c r="C2127" t="str">
        <f>IF(AND(A2127&gt;=SETTINGS!$B$4,A2127&lt;=SETTINGS!$B$5),"Yes","No")</f>
        <v>No</v>
      </c>
      <c r="D2127" t="str">
        <f>IFERROR(INDEX(SETTINGS!$C$15:$C$24,MATCH(A2127,SETTINGS!$A$15:$A$24,0)),"No")</f>
        <v>No</v>
      </c>
      <c r="E2127">
        <v>4</v>
      </c>
      <c r="F2127" t="s">
        <v>37</v>
      </c>
      <c r="G2127">
        <v>100</v>
      </c>
      <c r="H2127" t="s">
        <v>110</v>
      </c>
      <c r="I2127" t="s">
        <v>30</v>
      </c>
      <c r="J2127" t="s">
        <v>31</v>
      </c>
      <c r="K2127" t="s">
        <v>3</v>
      </c>
      <c r="L2127" s="36">
        <f ca="1">IF(C2127&lt;&gt;"Yes",0,IF(A2127=2025,N('2025'!D100),IF(A2127=2026,N('2026'!D100),IF(A2127=2027,N('2027'!D100),IF(A2127=2028,N('2028'!D100),IF(A2127=2029,N('2029'!D100),IF(A2127=2030,N('2030'!D100),IF(A2127=2031,N('2031'!D100),IF(A2127=2032,N('2032'!D100),IF(A2127=2033,N('2033'!D100),IF(A2127=2034,N('2034'!D100),IFERROR(N(INDIRECT("'"&amp;A2127&amp;"'!D"&amp;G2127)),0))))))))))))</f>
        <v>0</v>
      </c>
      <c r="M2127" s="36">
        <f>IFERROR(IF(NOT(ISBLANK(KPI_TARGETS!$P$21)),KPI_TARGETS!$P$21,IF(NOT(ISBLANK(KPI_TARGETS!$F$21)),KPI_TARGETS!$F$21,"")),"")</f>
        <v>0</v>
      </c>
      <c r="N2127" s="36" t="str">
        <f>IFERROR(KPI_TARGETS!$E$21,"Higher is better")</f>
        <v>Lower is better</v>
      </c>
      <c r="O2127" s="37">
        <f t="shared" ca="1" si="198"/>
        <v>1</v>
      </c>
      <c r="P2127" t="str">
        <f t="shared" ca="1" si="199"/>
        <v>Green</v>
      </c>
      <c r="Q2127" s="36">
        <f t="shared" ca="1" si="200"/>
        <v>0</v>
      </c>
      <c r="R2127" s="36" t="str">
        <f>""</f>
        <v/>
      </c>
      <c r="S2127" s="36" t="str">
        <f>""</f>
        <v/>
      </c>
      <c r="T2127" s="36" t="str">
        <f>""</f>
        <v/>
      </c>
      <c r="U2127" s="36" t="str">
        <f>""</f>
        <v/>
      </c>
      <c r="V2127" s="36" t="str">
        <f>""</f>
        <v/>
      </c>
      <c r="W2127" s="36">
        <f t="shared" si="201"/>
        <v>1</v>
      </c>
      <c r="X2127" t="str">
        <f t="shared" si="202"/>
        <v>Inactive</v>
      </c>
      <c r="Y2127" t="str">
        <f>IF(MAIN!$H$3="Selected Year",IF(A2127=MAIN!$B$3,"Yes","No"),IF(MAIN!$H$3="Included Years",IF(D2127="Yes","Yes","No"),IF(C2127="Yes","Yes","No")))</f>
        <v>No</v>
      </c>
      <c r="Z2127" t="str">
        <f>IF(MAIN!$F$3="Project to Date",IF(AND(A2127&gt;=SETTINGS!$B$4,A2127&lt;MAIN!$B$3),"Yes",IF(AND(A2127=MAIN!$B$3,E2127&lt;=MAIN!$L$3),"Yes","No")),IF(OR(MAIN!$F$3="Full Year",MAIN!$D$3="All"),"Yes",IF(MAIN!$F$3="Monthly",IF(E2127=MAIN!$L$3,"Yes","No"),IF(E2127&lt;=MAIN!$L$3,"Yes","No"))))</f>
        <v>Yes</v>
      </c>
      <c r="AA2127" t="str">
        <f t="shared" si="203"/>
        <v>No</v>
      </c>
    </row>
    <row r="2128" spans="1:27" x14ac:dyDescent="0.3">
      <c r="A2128">
        <f>INDEX(SETTINGS!$A$15:$A$24,$B2128)</f>
        <v>2034</v>
      </c>
      <c r="B2128">
        <v>10</v>
      </c>
      <c r="C2128" t="str">
        <f>IF(AND(A2128&gt;=SETTINGS!$B$4,A2128&lt;=SETTINGS!$B$5),"Yes","No")</f>
        <v>No</v>
      </c>
      <c r="D2128" t="str">
        <f>IFERROR(INDEX(SETTINGS!$C$15:$C$24,MATCH(A2128,SETTINGS!$A$15:$A$24,0)),"No")</f>
        <v>No</v>
      </c>
      <c r="E2128">
        <v>4</v>
      </c>
      <c r="F2128" t="s">
        <v>37</v>
      </c>
      <c r="G2128">
        <v>101</v>
      </c>
      <c r="H2128" t="s">
        <v>111</v>
      </c>
      <c r="I2128" t="s">
        <v>30</v>
      </c>
      <c r="J2128" t="s">
        <v>32</v>
      </c>
      <c r="K2128" t="s">
        <v>3</v>
      </c>
      <c r="L2128" s="36">
        <f ca="1">IF(C2128&lt;&gt;"Yes",0,IF(A2128=2025,N('2025'!D101),IF(A2128=2026,N('2026'!D101),IF(A2128=2027,N('2027'!D101),IF(A2128=2028,N('2028'!D101),IF(A2128=2029,N('2029'!D101),IF(A2128=2030,N('2030'!D101),IF(A2128=2031,N('2031'!D101),IF(A2128=2032,N('2032'!D101),IF(A2128=2033,N('2033'!D101),IF(A2128=2034,N('2034'!D101),IFERROR(N(INDIRECT("'"&amp;A2128&amp;"'!D"&amp;G2128)),0))))))))))))</f>
        <v>0</v>
      </c>
      <c r="M2128" s="36">
        <f>IFERROR(IF(NOT(ISBLANK(KPI_TARGETS!$P$22)),KPI_TARGETS!$P$22,IF(NOT(ISBLANK(KPI_TARGETS!$F$22)),KPI_TARGETS!$F$22,"")),"")</f>
        <v>1</v>
      </c>
      <c r="N2128" s="36" t="str">
        <f>IFERROR(KPI_TARGETS!$E$22,"Higher is better")</f>
        <v>Higher is better</v>
      </c>
      <c r="O2128" s="37">
        <f t="shared" ca="1" si="198"/>
        <v>0</v>
      </c>
      <c r="P2128" t="str">
        <f t="shared" ca="1" si="199"/>
        <v>Red</v>
      </c>
      <c r="Q2128" s="36">
        <f t="shared" ca="1" si="200"/>
        <v>-1</v>
      </c>
      <c r="R2128" s="36" t="str">
        <f>""</f>
        <v/>
      </c>
      <c r="S2128" s="36" t="str">
        <f>""</f>
        <v/>
      </c>
      <c r="T2128" s="36" t="str">
        <f>""</f>
        <v/>
      </c>
      <c r="U2128" s="36" t="str">
        <f>""</f>
        <v/>
      </c>
      <c r="V2128" s="36" t="str">
        <f>""</f>
        <v/>
      </c>
      <c r="W2128" s="36">
        <f t="shared" si="201"/>
        <v>1</v>
      </c>
      <c r="X2128" t="str">
        <f t="shared" si="202"/>
        <v>Inactive</v>
      </c>
      <c r="Y2128" t="str">
        <f>IF(MAIN!$H$3="Selected Year",IF(A2128=MAIN!$B$3,"Yes","No"),IF(MAIN!$H$3="Included Years",IF(D2128="Yes","Yes","No"),IF(C2128="Yes","Yes","No")))</f>
        <v>No</v>
      </c>
      <c r="Z2128" t="str">
        <f>IF(MAIN!$F$3="Project to Date",IF(AND(A2128&gt;=SETTINGS!$B$4,A2128&lt;MAIN!$B$3),"Yes",IF(AND(A2128=MAIN!$B$3,E2128&lt;=MAIN!$L$3),"Yes","No")),IF(OR(MAIN!$F$3="Full Year",MAIN!$D$3="All"),"Yes",IF(MAIN!$F$3="Monthly",IF(E2128=MAIN!$L$3,"Yes","No"),IF(E2128&lt;=MAIN!$L$3,"Yes","No"))))</f>
        <v>Yes</v>
      </c>
      <c r="AA2128" t="str">
        <f t="shared" si="203"/>
        <v>No</v>
      </c>
    </row>
    <row r="2129" spans="1:27" x14ac:dyDescent="0.3">
      <c r="A2129">
        <f>INDEX(SETTINGS!$A$15:$A$24,$B2129)</f>
        <v>2034</v>
      </c>
      <c r="B2129">
        <v>10</v>
      </c>
      <c r="C2129" t="str">
        <f>IF(AND(A2129&gt;=SETTINGS!$B$4,A2129&lt;=SETTINGS!$B$5),"Yes","No")</f>
        <v>No</v>
      </c>
      <c r="D2129" t="str">
        <f>IFERROR(INDEX(SETTINGS!$C$15:$C$24,MATCH(A2129,SETTINGS!$A$15:$A$24,0)),"No")</f>
        <v>No</v>
      </c>
      <c r="E2129">
        <v>4</v>
      </c>
      <c r="F2129" t="s">
        <v>37</v>
      </c>
      <c r="G2129">
        <v>102</v>
      </c>
      <c r="H2129" t="s">
        <v>112</v>
      </c>
      <c r="I2129" t="s">
        <v>30</v>
      </c>
      <c r="J2129" t="s">
        <v>33</v>
      </c>
      <c r="K2129" t="s">
        <v>34</v>
      </c>
      <c r="L2129" s="36">
        <f ca="1">IF(C2129&lt;&gt;"Yes",0,IF(A2129=2025,N('2025'!D102),IF(A2129=2026,N('2026'!D102),IF(A2129=2027,N('2027'!D102),IF(A2129=2028,N('2028'!D102),IF(A2129=2029,N('2029'!D102),IF(A2129=2030,N('2030'!D102),IF(A2129=2031,N('2031'!D102),IF(A2129=2032,N('2032'!D102),IF(A2129=2033,N('2033'!D102),IF(A2129=2034,N('2034'!D102),IFERROR(N(INDIRECT("'"&amp;A2129&amp;"'!D"&amp;G2129)),0))))))))))))</f>
        <v>0</v>
      </c>
      <c r="M2129" s="36">
        <f>IFERROR(IF(NOT(ISBLANK(KPI_TARGETS!$P$23)),KPI_TARGETS!$P$23,IF(NOT(ISBLANK(KPI_TARGETS!$F$23)),KPI_TARGETS!$F$23,"")),"")</f>
        <v>1</v>
      </c>
      <c r="N2129" s="36" t="str">
        <f>IFERROR(KPI_TARGETS!$E$23,"Higher is better")</f>
        <v>Higher is better</v>
      </c>
      <c r="O2129" s="37">
        <f t="shared" ca="1" si="198"/>
        <v>0</v>
      </c>
      <c r="P2129" t="str">
        <f t="shared" ca="1" si="199"/>
        <v>Red</v>
      </c>
      <c r="Q2129" s="36">
        <f t="shared" ca="1" si="200"/>
        <v>-1</v>
      </c>
      <c r="R2129" s="36" t="str">
        <f>""</f>
        <v/>
      </c>
      <c r="S2129" s="36" t="str">
        <f>""</f>
        <v/>
      </c>
      <c r="T2129" s="36" t="str">
        <f>""</f>
        <v/>
      </c>
      <c r="U2129" s="36" t="str">
        <f>""</f>
        <v/>
      </c>
      <c r="V2129" s="36" t="str">
        <f>""</f>
        <v/>
      </c>
      <c r="W2129" s="36">
        <f t="shared" si="201"/>
        <v>1</v>
      </c>
      <c r="X2129" t="str">
        <f t="shared" si="202"/>
        <v>Inactive</v>
      </c>
      <c r="Y2129" t="str">
        <f>IF(MAIN!$H$3="Selected Year",IF(A2129=MAIN!$B$3,"Yes","No"),IF(MAIN!$H$3="Included Years",IF(D2129="Yes","Yes","No"),IF(C2129="Yes","Yes","No")))</f>
        <v>No</v>
      </c>
      <c r="Z2129" t="str">
        <f>IF(MAIN!$F$3="Project to Date",IF(AND(A2129&gt;=SETTINGS!$B$4,A2129&lt;MAIN!$B$3),"Yes",IF(AND(A2129=MAIN!$B$3,E2129&lt;=MAIN!$L$3),"Yes","No")),IF(OR(MAIN!$F$3="Full Year",MAIN!$D$3="All"),"Yes",IF(MAIN!$F$3="Monthly",IF(E2129=MAIN!$L$3,"Yes","No"),IF(E2129&lt;=MAIN!$L$3,"Yes","No"))))</f>
        <v>Yes</v>
      </c>
      <c r="AA2129" t="str">
        <f t="shared" si="203"/>
        <v>No</v>
      </c>
    </row>
    <row r="2130" spans="1:27" x14ac:dyDescent="0.3">
      <c r="A2130">
        <f>INDEX(SETTINGS!$A$15:$A$24,$B2130)</f>
        <v>2034</v>
      </c>
      <c r="B2130">
        <v>10</v>
      </c>
      <c r="C2130" t="str">
        <f>IF(AND(A2130&gt;=SETTINGS!$B$4,A2130&lt;=SETTINGS!$B$5),"Yes","No")</f>
        <v>No</v>
      </c>
      <c r="D2130" t="str">
        <f>IFERROR(INDEX(SETTINGS!$C$15:$C$24,MATCH(A2130,SETTINGS!$A$15:$A$24,0)),"No")</f>
        <v>No</v>
      </c>
      <c r="E2130">
        <v>5</v>
      </c>
      <c r="F2130" t="s">
        <v>38</v>
      </c>
      <c r="G2130">
        <v>105</v>
      </c>
      <c r="H2130" t="s">
        <v>88</v>
      </c>
      <c r="I2130" t="s">
        <v>89</v>
      </c>
      <c r="J2130" t="s">
        <v>10</v>
      </c>
      <c r="K2130" t="s">
        <v>3</v>
      </c>
      <c r="L2130" s="36">
        <f ca="1">IF(C2130&lt;&gt;"Yes",0,IF(A2130=2025,N('2025'!D105),IF(A2130=2026,N('2026'!D105),IF(A2130=2027,N('2027'!D105),IF(A2130=2028,N('2028'!D105),IF(A2130=2029,N('2029'!D105),IF(A2130=2030,N('2030'!D105),IF(A2130=2031,N('2031'!D105),IF(A2130=2032,N('2032'!D105),IF(A2130=2033,N('2033'!D105),IF(A2130=2034,N('2034'!D105),IFERROR(N(INDIRECT("'"&amp;A2130&amp;"'!D"&amp;G2130)),0))))))))))))</f>
        <v>0</v>
      </c>
      <c r="M2130" s="36">
        <f>IFERROR(IF(NOT(ISBLANK(KPI_TARGETS!$P$5)),KPI_TARGETS!$P$5,IF(NOT(ISBLANK(KPI_TARGETS!$F$5)),KPI_TARGETS!$F$5,"")),"")</f>
        <v>104</v>
      </c>
      <c r="N2130" s="36" t="str">
        <f>IFERROR(KPI_TARGETS!$E$5,"Higher is better")</f>
        <v>Higher is better</v>
      </c>
      <c r="O2130" s="37">
        <f t="shared" ca="1" si="198"/>
        <v>0</v>
      </c>
      <c r="P2130" t="str">
        <f t="shared" ca="1" si="199"/>
        <v>Red</v>
      </c>
      <c r="Q2130" s="36">
        <f t="shared" ca="1" si="200"/>
        <v>-104</v>
      </c>
      <c r="R2130" s="36" t="str">
        <f>""</f>
        <v/>
      </c>
      <c r="S2130" s="36" t="str">
        <f>""</f>
        <v/>
      </c>
      <c r="T2130" s="36" t="str">
        <f>""</f>
        <v/>
      </c>
      <c r="U2130" s="36" t="str">
        <f>""</f>
        <v/>
      </c>
      <c r="V2130" s="36" t="str">
        <f>""</f>
        <v/>
      </c>
      <c r="W2130" s="36">
        <f t="shared" si="201"/>
        <v>1</v>
      </c>
      <c r="X2130" t="str">
        <f t="shared" si="202"/>
        <v>Inactive</v>
      </c>
      <c r="Y2130" t="str">
        <f>IF(MAIN!$H$3="Selected Year",IF(A2130=MAIN!$B$3,"Yes","No"),IF(MAIN!$H$3="Included Years",IF(D2130="Yes","Yes","No"),IF(C2130="Yes","Yes","No")))</f>
        <v>No</v>
      </c>
      <c r="Z2130" t="str">
        <f>IF(MAIN!$F$3="Project to Date",IF(AND(A2130&gt;=SETTINGS!$B$4,A2130&lt;MAIN!$B$3),"Yes",IF(AND(A2130=MAIN!$B$3,E2130&lt;=MAIN!$L$3),"Yes","No")),IF(OR(MAIN!$F$3="Full Year",MAIN!$D$3="All"),"Yes",IF(MAIN!$F$3="Monthly",IF(E2130=MAIN!$L$3,"Yes","No"),IF(E2130&lt;=MAIN!$L$3,"Yes","No"))))</f>
        <v>Yes</v>
      </c>
      <c r="AA2130" t="str">
        <f t="shared" si="203"/>
        <v>No</v>
      </c>
    </row>
    <row r="2131" spans="1:27" x14ac:dyDescent="0.3">
      <c r="A2131">
        <f>INDEX(SETTINGS!$A$15:$A$24,$B2131)</f>
        <v>2034</v>
      </c>
      <c r="B2131">
        <v>10</v>
      </c>
      <c r="C2131" t="str">
        <f>IF(AND(A2131&gt;=SETTINGS!$B$4,A2131&lt;=SETTINGS!$B$5),"Yes","No")</f>
        <v>No</v>
      </c>
      <c r="D2131" t="str">
        <f>IFERROR(INDEX(SETTINGS!$C$15:$C$24,MATCH(A2131,SETTINGS!$A$15:$A$24,0)),"No")</f>
        <v>No</v>
      </c>
      <c r="E2131">
        <v>5</v>
      </c>
      <c r="F2131" t="s">
        <v>38</v>
      </c>
      <c r="G2131">
        <v>106</v>
      </c>
      <c r="H2131" t="s">
        <v>91</v>
      </c>
      <c r="I2131" t="s">
        <v>89</v>
      </c>
      <c r="J2131" t="s">
        <v>11</v>
      </c>
      <c r="K2131" t="s">
        <v>12</v>
      </c>
      <c r="L2131" s="36">
        <f ca="1">IF(C2131&lt;&gt;"Yes",0,IF(A2131=2025,N('2025'!D106),IF(A2131=2026,N('2026'!D106),IF(A2131=2027,N('2027'!D106),IF(A2131=2028,N('2028'!D106),IF(A2131=2029,N('2029'!D106),IF(A2131=2030,N('2030'!D106),IF(A2131=2031,N('2031'!D106),IF(A2131=2032,N('2032'!D106),IF(A2131=2033,N('2033'!D106),IF(A2131=2034,N('2034'!D106),IFERROR(N(INDIRECT("'"&amp;A2131&amp;"'!D"&amp;G2131)),0))))))))))))</f>
        <v>0</v>
      </c>
      <c r="M2131" s="36">
        <f>IFERROR(IF(NOT(ISBLANK(KPI_TARGETS!$P$6)),KPI_TARGETS!$P$6,IF(NOT(ISBLANK(KPI_TARGETS!$F$6)),KPI_TARGETS!$F$6,"")),"")</f>
        <v>4000</v>
      </c>
      <c r="N2131" s="36" t="str">
        <f>IFERROR(KPI_TARGETS!$E$6,"Higher is better")</f>
        <v>Higher is better</v>
      </c>
      <c r="O2131" s="37">
        <f t="shared" ca="1" si="198"/>
        <v>0</v>
      </c>
      <c r="P2131" t="str">
        <f t="shared" ca="1" si="199"/>
        <v>Red</v>
      </c>
      <c r="Q2131" s="36">
        <f t="shared" ca="1" si="200"/>
        <v>-4000</v>
      </c>
      <c r="R2131" s="36" t="str">
        <f>""</f>
        <v/>
      </c>
      <c r="S2131" s="36" t="str">
        <f>""</f>
        <v/>
      </c>
      <c r="T2131" s="36" t="str">
        <f>""</f>
        <v/>
      </c>
      <c r="U2131" s="36" t="str">
        <f>""</f>
        <v/>
      </c>
      <c r="V2131" s="36" t="str">
        <f>""</f>
        <v/>
      </c>
      <c r="W2131" s="36">
        <f t="shared" si="201"/>
        <v>1</v>
      </c>
      <c r="X2131" t="str">
        <f t="shared" si="202"/>
        <v>Inactive</v>
      </c>
      <c r="Y2131" t="str">
        <f>IF(MAIN!$H$3="Selected Year",IF(A2131=MAIN!$B$3,"Yes","No"),IF(MAIN!$H$3="Included Years",IF(D2131="Yes","Yes","No"),IF(C2131="Yes","Yes","No")))</f>
        <v>No</v>
      </c>
      <c r="Z2131" t="str">
        <f>IF(MAIN!$F$3="Project to Date",IF(AND(A2131&gt;=SETTINGS!$B$4,A2131&lt;MAIN!$B$3),"Yes",IF(AND(A2131=MAIN!$B$3,E2131&lt;=MAIN!$L$3),"Yes","No")),IF(OR(MAIN!$F$3="Full Year",MAIN!$D$3="All"),"Yes",IF(MAIN!$F$3="Monthly",IF(E2131=MAIN!$L$3,"Yes","No"),IF(E2131&lt;=MAIN!$L$3,"Yes","No"))))</f>
        <v>Yes</v>
      </c>
      <c r="AA2131" t="str">
        <f t="shared" si="203"/>
        <v>No</v>
      </c>
    </row>
    <row r="2132" spans="1:27" x14ac:dyDescent="0.3">
      <c r="A2132">
        <f>INDEX(SETTINGS!$A$15:$A$24,$B2132)</f>
        <v>2034</v>
      </c>
      <c r="B2132">
        <v>10</v>
      </c>
      <c r="C2132" t="str">
        <f>IF(AND(A2132&gt;=SETTINGS!$B$4,A2132&lt;=SETTINGS!$B$5),"Yes","No")</f>
        <v>No</v>
      </c>
      <c r="D2132" t="str">
        <f>IFERROR(INDEX(SETTINGS!$C$15:$C$24,MATCH(A2132,SETTINGS!$A$15:$A$24,0)),"No")</f>
        <v>No</v>
      </c>
      <c r="E2132">
        <v>5</v>
      </c>
      <c r="F2132" t="s">
        <v>38</v>
      </c>
      <c r="G2132">
        <v>107</v>
      </c>
      <c r="H2132" t="s">
        <v>93</v>
      </c>
      <c r="I2132" t="s">
        <v>89</v>
      </c>
      <c r="J2132" t="s">
        <v>13</v>
      </c>
      <c r="K2132" t="s">
        <v>14</v>
      </c>
      <c r="L2132" s="36">
        <f ca="1">IF(C2132&lt;&gt;"Yes",0,IF(A2132=2025,N('2025'!D107),IF(A2132=2026,N('2026'!D107),IF(A2132=2027,N('2027'!D107),IF(A2132=2028,N('2028'!D107),IF(A2132=2029,N('2029'!D107),IF(A2132=2030,N('2030'!D107),IF(A2132=2031,N('2031'!D107),IF(A2132=2032,N('2032'!D107),IF(A2132=2033,N('2033'!D107),IF(A2132=2034,N('2034'!D107),IFERROR(N(INDIRECT("'"&amp;A2132&amp;"'!D"&amp;G2132)),0))))))))))))</f>
        <v>0</v>
      </c>
      <c r="M2132" s="36">
        <f>IFERROR(IF(NOT(ISBLANK(KPI_TARGETS!$P$7)),KPI_TARGETS!$P$7,IF(NOT(ISBLANK(KPI_TARGETS!$F$7)),KPI_TARGETS!$F$7,"")),"")</f>
        <v>8000</v>
      </c>
      <c r="N2132" s="36" t="str">
        <f>IFERROR(KPI_TARGETS!$E$7,"Higher is better")</f>
        <v>Higher is better</v>
      </c>
      <c r="O2132" s="37">
        <f t="shared" ca="1" si="198"/>
        <v>0</v>
      </c>
      <c r="P2132" t="str">
        <f t="shared" ca="1" si="199"/>
        <v>Red</v>
      </c>
      <c r="Q2132" s="36">
        <f t="shared" ca="1" si="200"/>
        <v>-8000</v>
      </c>
      <c r="R2132" s="36" t="str">
        <f>""</f>
        <v/>
      </c>
      <c r="S2132" s="36" t="str">
        <f>""</f>
        <v/>
      </c>
      <c r="T2132" s="36" t="str">
        <f>""</f>
        <v/>
      </c>
      <c r="U2132" s="36" t="str">
        <f>""</f>
        <v/>
      </c>
      <c r="V2132" s="36" t="str">
        <f>""</f>
        <v/>
      </c>
      <c r="W2132" s="36">
        <f t="shared" si="201"/>
        <v>1</v>
      </c>
      <c r="X2132" t="str">
        <f t="shared" si="202"/>
        <v>Inactive</v>
      </c>
      <c r="Y2132" t="str">
        <f>IF(MAIN!$H$3="Selected Year",IF(A2132=MAIN!$B$3,"Yes","No"),IF(MAIN!$H$3="Included Years",IF(D2132="Yes","Yes","No"),IF(C2132="Yes","Yes","No")))</f>
        <v>No</v>
      </c>
      <c r="Z2132" t="str">
        <f>IF(MAIN!$F$3="Project to Date",IF(AND(A2132&gt;=SETTINGS!$B$4,A2132&lt;MAIN!$B$3),"Yes",IF(AND(A2132=MAIN!$B$3,E2132&lt;=MAIN!$L$3),"Yes","No")),IF(OR(MAIN!$F$3="Full Year",MAIN!$D$3="All"),"Yes",IF(MAIN!$F$3="Monthly",IF(E2132=MAIN!$L$3,"Yes","No"),IF(E2132&lt;=MAIN!$L$3,"Yes","No"))))</f>
        <v>Yes</v>
      </c>
      <c r="AA2132" t="str">
        <f t="shared" si="203"/>
        <v>No</v>
      </c>
    </row>
    <row r="2133" spans="1:27" x14ac:dyDescent="0.3">
      <c r="A2133">
        <f>INDEX(SETTINGS!$A$15:$A$24,$B2133)</f>
        <v>2034</v>
      </c>
      <c r="B2133">
        <v>10</v>
      </c>
      <c r="C2133" t="str">
        <f>IF(AND(A2133&gt;=SETTINGS!$B$4,A2133&lt;=SETTINGS!$B$5),"Yes","No")</f>
        <v>No</v>
      </c>
      <c r="D2133" t="str">
        <f>IFERROR(INDEX(SETTINGS!$C$15:$C$24,MATCH(A2133,SETTINGS!$A$15:$A$24,0)),"No")</f>
        <v>No</v>
      </c>
      <c r="E2133">
        <v>5</v>
      </c>
      <c r="F2133" t="s">
        <v>38</v>
      </c>
      <c r="G2133">
        <v>109</v>
      </c>
      <c r="H2133" t="s">
        <v>95</v>
      </c>
      <c r="I2133" t="s">
        <v>15</v>
      </c>
      <c r="J2133" t="s">
        <v>16</v>
      </c>
      <c r="K2133" t="s">
        <v>3</v>
      </c>
      <c r="L2133" s="36">
        <f ca="1">IF(C2133&lt;&gt;"Yes",0,IF(A2133=2025,N('2025'!D109),IF(A2133=2026,N('2026'!D109),IF(A2133=2027,N('2027'!D109),IF(A2133=2028,N('2028'!D109),IF(A2133=2029,N('2029'!D109),IF(A2133=2030,N('2030'!D109),IF(A2133=2031,N('2031'!D109),IF(A2133=2032,N('2032'!D109),IF(A2133=2033,N('2033'!D109),IF(A2133=2034,N('2034'!D109),IFERROR(N(INDIRECT("'"&amp;A2133&amp;"'!D"&amp;G2133)),0))))))))))))</f>
        <v>0</v>
      </c>
      <c r="M2133" s="36">
        <f>IFERROR(IF(NOT(ISBLANK(KPI_TARGETS!$P$8)),KPI_TARGETS!$P$8,IF(NOT(ISBLANK(KPI_TARGETS!$F$8)),KPI_TARGETS!$F$8,"")),"")</f>
        <v>0</v>
      </c>
      <c r="N2133" s="36" t="str">
        <f>IFERROR(KPI_TARGETS!$E$8,"Higher is better")</f>
        <v>Lower is better</v>
      </c>
      <c r="O2133" s="37">
        <f t="shared" ca="1" si="198"/>
        <v>1</v>
      </c>
      <c r="P2133" t="str">
        <f t="shared" ca="1" si="199"/>
        <v>Green</v>
      </c>
      <c r="Q2133" s="36">
        <f t="shared" ca="1" si="200"/>
        <v>0</v>
      </c>
      <c r="R2133" s="36" t="str">
        <f>""</f>
        <v/>
      </c>
      <c r="S2133" s="36" t="str">
        <f>""</f>
        <v/>
      </c>
      <c r="T2133" s="36" t="str">
        <f>""</f>
        <v/>
      </c>
      <c r="U2133" s="36" t="str">
        <f>""</f>
        <v/>
      </c>
      <c r="V2133" s="36" t="str">
        <f>""</f>
        <v/>
      </c>
      <c r="W2133" s="36">
        <f t="shared" si="201"/>
        <v>1</v>
      </c>
      <c r="X2133" t="str">
        <f t="shared" si="202"/>
        <v>Inactive</v>
      </c>
      <c r="Y2133" t="str">
        <f>IF(MAIN!$H$3="Selected Year",IF(A2133=MAIN!$B$3,"Yes","No"),IF(MAIN!$H$3="Included Years",IF(D2133="Yes","Yes","No"),IF(C2133="Yes","Yes","No")))</f>
        <v>No</v>
      </c>
      <c r="Z2133" t="str">
        <f>IF(MAIN!$F$3="Project to Date",IF(AND(A2133&gt;=SETTINGS!$B$4,A2133&lt;MAIN!$B$3),"Yes",IF(AND(A2133=MAIN!$B$3,E2133&lt;=MAIN!$L$3),"Yes","No")),IF(OR(MAIN!$F$3="Full Year",MAIN!$D$3="All"),"Yes",IF(MAIN!$F$3="Monthly",IF(E2133=MAIN!$L$3,"Yes","No"),IF(E2133&lt;=MAIN!$L$3,"Yes","No"))))</f>
        <v>Yes</v>
      </c>
      <c r="AA2133" t="str">
        <f t="shared" si="203"/>
        <v>No</v>
      </c>
    </row>
    <row r="2134" spans="1:27" x14ac:dyDescent="0.3">
      <c r="A2134">
        <f>INDEX(SETTINGS!$A$15:$A$24,$B2134)</f>
        <v>2034</v>
      </c>
      <c r="B2134">
        <v>10</v>
      </c>
      <c r="C2134" t="str">
        <f>IF(AND(A2134&gt;=SETTINGS!$B$4,A2134&lt;=SETTINGS!$B$5),"Yes","No")</f>
        <v>No</v>
      </c>
      <c r="D2134" t="str">
        <f>IFERROR(INDEX(SETTINGS!$C$15:$C$24,MATCH(A2134,SETTINGS!$A$15:$A$24,0)),"No")</f>
        <v>No</v>
      </c>
      <c r="E2134">
        <v>5</v>
      </c>
      <c r="F2134" t="s">
        <v>38</v>
      </c>
      <c r="G2134">
        <v>110</v>
      </c>
      <c r="H2134" t="s">
        <v>97</v>
      </c>
      <c r="I2134" t="s">
        <v>15</v>
      </c>
      <c r="J2134" t="s">
        <v>17</v>
      </c>
      <c r="K2134" t="s">
        <v>3</v>
      </c>
      <c r="L2134" s="36">
        <f ca="1">IF(C2134&lt;&gt;"Yes",0,IF(A2134=2025,N('2025'!D110),IF(A2134=2026,N('2026'!D110),IF(A2134=2027,N('2027'!D110),IF(A2134=2028,N('2028'!D110),IF(A2134=2029,N('2029'!D110),IF(A2134=2030,N('2030'!D110),IF(A2134=2031,N('2031'!D110),IF(A2134=2032,N('2032'!D110),IF(A2134=2033,N('2033'!D110),IF(A2134=2034,N('2034'!D110),IFERROR(N(INDIRECT("'"&amp;A2134&amp;"'!D"&amp;G2134)),0))))))))))))</f>
        <v>0</v>
      </c>
      <c r="M2134" s="36">
        <f>IFERROR(IF(NOT(ISBLANK(KPI_TARGETS!$P$9)),KPI_TARGETS!$P$9,IF(NOT(ISBLANK(KPI_TARGETS!$F$9)),KPI_TARGETS!$F$9,"")),"")</f>
        <v>0</v>
      </c>
      <c r="N2134" s="36" t="str">
        <f>IFERROR(KPI_TARGETS!$E$9,"Higher is better")</f>
        <v>Higher is better</v>
      </c>
      <c r="O2134" s="37" t="str">
        <f t="shared" ca="1" si="198"/>
        <v/>
      </c>
      <c r="P2134" t="str">
        <f t="shared" ca="1" si="199"/>
        <v>Green</v>
      </c>
      <c r="Q2134" s="36">
        <f t="shared" ca="1" si="200"/>
        <v>0</v>
      </c>
      <c r="R2134" s="36" t="str">
        <f>""</f>
        <v/>
      </c>
      <c r="S2134" s="36" t="str">
        <f>""</f>
        <v/>
      </c>
      <c r="T2134" s="36" t="str">
        <f>""</f>
        <v/>
      </c>
      <c r="U2134" s="36" t="str">
        <f>""</f>
        <v/>
      </c>
      <c r="V2134" s="36" t="str">
        <f>""</f>
        <v/>
      </c>
      <c r="W2134" s="36">
        <f t="shared" si="201"/>
        <v>1</v>
      </c>
      <c r="X2134" t="str">
        <f t="shared" si="202"/>
        <v>Inactive</v>
      </c>
      <c r="Y2134" t="str">
        <f>IF(MAIN!$H$3="Selected Year",IF(A2134=MAIN!$B$3,"Yes","No"),IF(MAIN!$H$3="Included Years",IF(D2134="Yes","Yes","No"),IF(C2134="Yes","Yes","No")))</f>
        <v>No</v>
      </c>
      <c r="Z2134" t="str">
        <f>IF(MAIN!$F$3="Project to Date",IF(AND(A2134&gt;=SETTINGS!$B$4,A2134&lt;MAIN!$B$3),"Yes",IF(AND(A2134=MAIN!$B$3,E2134&lt;=MAIN!$L$3),"Yes","No")),IF(OR(MAIN!$F$3="Full Year",MAIN!$D$3="All"),"Yes",IF(MAIN!$F$3="Monthly",IF(E2134=MAIN!$L$3,"Yes","No"),IF(E2134&lt;=MAIN!$L$3,"Yes","No"))))</f>
        <v>Yes</v>
      </c>
      <c r="AA2134" t="str">
        <f t="shared" si="203"/>
        <v>No</v>
      </c>
    </row>
    <row r="2135" spans="1:27" x14ac:dyDescent="0.3">
      <c r="A2135">
        <f>INDEX(SETTINGS!$A$15:$A$24,$B2135)</f>
        <v>2034</v>
      </c>
      <c r="B2135">
        <v>10</v>
      </c>
      <c r="C2135" t="str">
        <f>IF(AND(A2135&gt;=SETTINGS!$B$4,A2135&lt;=SETTINGS!$B$5),"Yes","No")</f>
        <v>No</v>
      </c>
      <c r="D2135" t="str">
        <f>IFERROR(INDEX(SETTINGS!$C$15:$C$24,MATCH(A2135,SETTINGS!$A$15:$A$24,0)),"No")</f>
        <v>No</v>
      </c>
      <c r="E2135">
        <v>5</v>
      </c>
      <c r="F2135" t="s">
        <v>38</v>
      </c>
      <c r="G2135">
        <v>111</v>
      </c>
      <c r="H2135" t="s">
        <v>99</v>
      </c>
      <c r="I2135" t="s">
        <v>15</v>
      </c>
      <c r="J2135" t="s">
        <v>18</v>
      </c>
      <c r="K2135" t="s">
        <v>3</v>
      </c>
      <c r="L2135" s="36">
        <f ca="1">IF(C2135&lt;&gt;"Yes",0,IF(A2135=2025,N('2025'!D111),IF(A2135=2026,N('2026'!D111),IF(A2135=2027,N('2027'!D111),IF(A2135=2028,N('2028'!D111),IF(A2135=2029,N('2029'!D111),IF(A2135=2030,N('2030'!D111),IF(A2135=2031,N('2031'!D111),IF(A2135=2032,N('2032'!D111),IF(A2135=2033,N('2033'!D111),IF(A2135=2034,N('2034'!D111),IFERROR(N(INDIRECT("'"&amp;A2135&amp;"'!D"&amp;G2135)),0))))))))))))</f>
        <v>0</v>
      </c>
      <c r="M2135" s="36">
        <f>IFERROR(IF(NOT(ISBLANK(KPI_TARGETS!$P$10)),KPI_TARGETS!$P$10,IF(NOT(ISBLANK(KPI_TARGETS!$F$10)),KPI_TARGETS!$F$10,"")),"")</f>
        <v>0</v>
      </c>
      <c r="N2135" s="36" t="str">
        <f>IFERROR(KPI_TARGETS!$E$10,"Higher is better")</f>
        <v>Lower is better</v>
      </c>
      <c r="O2135" s="37">
        <f t="shared" ca="1" si="198"/>
        <v>1</v>
      </c>
      <c r="P2135" t="str">
        <f t="shared" ca="1" si="199"/>
        <v>Green</v>
      </c>
      <c r="Q2135" s="36">
        <f t="shared" ca="1" si="200"/>
        <v>0</v>
      </c>
      <c r="R2135" s="36" t="str">
        <f>""</f>
        <v/>
      </c>
      <c r="S2135" s="36" t="str">
        <f>""</f>
        <v/>
      </c>
      <c r="T2135" s="36" t="str">
        <f>""</f>
        <v/>
      </c>
      <c r="U2135" s="36" t="str">
        <f>""</f>
        <v/>
      </c>
      <c r="V2135" s="36" t="str">
        <f>""</f>
        <v/>
      </c>
      <c r="W2135" s="36">
        <f t="shared" si="201"/>
        <v>1</v>
      </c>
      <c r="X2135" t="str">
        <f t="shared" si="202"/>
        <v>Inactive</v>
      </c>
      <c r="Y2135" t="str">
        <f>IF(MAIN!$H$3="Selected Year",IF(A2135=MAIN!$B$3,"Yes","No"),IF(MAIN!$H$3="Included Years",IF(D2135="Yes","Yes","No"),IF(C2135="Yes","Yes","No")))</f>
        <v>No</v>
      </c>
      <c r="Z2135" t="str">
        <f>IF(MAIN!$F$3="Project to Date",IF(AND(A2135&gt;=SETTINGS!$B$4,A2135&lt;MAIN!$B$3),"Yes",IF(AND(A2135=MAIN!$B$3,E2135&lt;=MAIN!$L$3),"Yes","No")),IF(OR(MAIN!$F$3="Full Year",MAIN!$D$3="All"),"Yes",IF(MAIN!$F$3="Monthly",IF(E2135=MAIN!$L$3,"Yes","No"),IF(E2135&lt;=MAIN!$L$3,"Yes","No"))))</f>
        <v>Yes</v>
      </c>
      <c r="AA2135" t="str">
        <f t="shared" si="203"/>
        <v>No</v>
      </c>
    </row>
    <row r="2136" spans="1:27" x14ac:dyDescent="0.3">
      <c r="A2136">
        <f>INDEX(SETTINGS!$A$15:$A$24,$B2136)</f>
        <v>2034</v>
      </c>
      <c r="B2136">
        <v>10</v>
      </c>
      <c r="C2136" t="str">
        <f>IF(AND(A2136&gt;=SETTINGS!$B$4,A2136&lt;=SETTINGS!$B$5),"Yes","No")</f>
        <v>No</v>
      </c>
      <c r="D2136" t="str">
        <f>IFERROR(INDEX(SETTINGS!$C$15:$C$24,MATCH(A2136,SETTINGS!$A$15:$A$24,0)),"No")</f>
        <v>No</v>
      </c>
      <c r="E2136">
        <v>5</v>
      </c>
      <c r="F2136" t="s">
        <v>38</v>
      </c>
      <c r="G2136">
        <v>112</v>
      </c>
      <c r="H2136" t="s">
        <v>100</v>
      </c>
      <c r="I2136" t="s">
        <v>15</v>
      </c>
      <c r="J2136" t="s">
        <v>19</v>
      </c>
      <c r="K2136" t="s">
        <v>3</v>
      </c>
      <c r="L2136" s="36">
        <f ca="1">IF(C2136&lt;&gt;"Yes",0,IF(A2136=2025,N('2025'!D112),IF(A2136=2026,N('2026'!D112),IF(A2136=2027,N('2027'!D112),IF(A2136=2028,N('2028'!D112),IF(A2136=2029,N('2029'!D112),IF(A2136=2030,N('2030'!D112),IF(A2136=2031,N('2031'!D112),IF(A2136=2032,N('2032'!D112),IF(A2136=2033,N('2033'!D112),IF(A2136=2034,N('2034'!D112),IFERROR(N(INDIRECT("'"&amp;A2136&amp;"'!D"&amp;G2136)),0))))))))))))</f>
        <v>0</v>
      </c>
      <c r="M2136" s="36">
        <f>IFERROR(IF(NOT(ISBLANK(KPI_TARGETS!$P$11)),KPI_TARGETS!$P$11,IF(NOT(ISBLANK(KPI_TARGETS!$F$11)),KPI_TARGETS!$F$11,"")),"")</f>
        <v>0</v>
      </c>
      <c r="N2136" s="36" t="str">
        <f>IFERROR(KPI_TARGETS!$E$11,"Higher is better")</f>
        <v>Lower is better</v>
      </c>
      <c r="O2136" s="37">
        <f t="shared" ca="1" si="198"/>
        <v>1</v>
      </c>
      <c r="P2136" t="str">
        <f t="shared" ca="1" si="199"/>
        <v>Green</v>
      </c>
      <c r="Q2136" s="36">
        <f t="shared" ca="1" si="200"/>
        <v>0</v>
      </c>
      <c r="R2136" s="36" t="str">
        <f>""</f>
        <v/>
      </c>
      <c r="S2136" s="36" t="str">
        <f>""</f>
        <v/>
      </c>
      <c r="T2136" s="36" t="str">
        <f>""</f>
        <v/>
      </c>
      <c r="U2136" s="36" t="str">
        <f>""</f>
        <v/>
      </c>
      <c r="V2136" s="36" t="str">
        <f>""</f>
        <v/>
      </c>
      <c r="W2136" s="36">
        <f t="shared" si="201"/>
        <v>1</v>
      </c>
      <c r="X2136" t="str">
        <f t="shared" si="202"/>
        <v>Inactive</v>
      </c>
      <c r="Y2136" t="str">
        <f>IF(MAIN!$H$3="Selected Year",IF(A2136=MAIN!$B$3,"Yes","No"),IF(MAIN!$H$3="Included Years",IF(D2136="Yes","Yes","No"),IF(C2136="Yes","Yes","No")))</f>
        <v>No</v>
      </c>
      <c r="Z2136" t="str">
        <f>IF(MAIN!$F$3="Project to Date",IF(AND(A2136&gt;=SETTINGS!$B$4,A2136&lt;MAIN!$B$3),"Yes",IF(AND(A2136=MAIN!$B$3,E2136&lt;=MAIN!$L$3),"Yes","No")),IF(OR(MAIN!$F$3="Full Year",MAIN!$D$3="All"),"Yes",IF(MAIN!$F$3="Monthly",IF(E2136=MAIN!$L$3,"Yes","No"),IF(E2136&lt;=MAIN!$L$3,"Yes","No"))))</f>
        <v>Yes</v>
      </c>
      <c r="AA2136" t="str">
        <f t="shared" si="203"/>
        <v>No</v>
      </c>
    </row>
    <row r="2137" spans="1:27" x14ac:dyDescent="0.3">
      <c r="A2137">
        <f>INDEX(SETTINGS!$A$15:$A$24,$B2137)</f>
        <v>2034</v>
      </c>
      <c r="B2137">
        <v>10</v>
      </c>
      <c r="C2137" t="str">
        <f>IF(AND(A2137&gt;=SETTINGS!$B$4,A2137&lt;=SETTINGS!$B$5),"Yes","No")</f>
        <v>No</v>
      </c>
      <c r="D2137" t="str">
        <f>IFERROR(INDEX(SETTINGS!$C$15:$C$24,MATCH(A2137,SETTINGS!$A$15:$A$24,0)),"No")</f>
        <v>No</v>
      </c>
      <c r="E2137">
        <v>5</v>
      </c>
      <c r="F2137" t="s">
        <v>38</v>
      </c>
      <c r="G2137">
        <v>113</v>
      </c>
      <c r="H2137" t="s">
        <v>101</v>
      </c>
      <c r="I2137" t="s">
        <v>15</v>
      </c>
      <c r="J2137" t="s">
        <v>20</v>
      </c>
      <c r="K2137" t="s">
        <v>3</v>
      </c>
      <c r="L2137" s="36">
        <f ca="1">IF(C2137&lt;&gt;"Yes",0,IF(A2137=2025,N('2025'!D113),IF(A2137=2026,N('2026'!D113),IF(A2137=2027,N('2027'!D113),IF(A2137=2028,N('2028'!D113),IF(A2137=2029,N('2029'!D113),IF(A2137=2030,N('2030'!D113),IF(A2137=2031,N('2031'!D113),IF(A2137=2032,N('2032'!D113),IF(A2137=2033,N('2033'!D113),IF(A2137=2034,N('2034'!D113),IFERROR(N(INDIRECT("'"&amp;A2137&amp;"'!D"&amp;G2137)),0))))))))))))</f>
        <v>0</v>
      </c>
      <c r="M2137" s="36">
        <f>IFERROR(IF(NOT(ISBLANK(KPI_TARGETS!$P$12)),KPI_TARGETS!$P$12,IF(NOT(ISBLANK(KPI_TARGETS!$F$12)),KPI_TARGETS!$F$12,"")),"")</f>
        <v>0</v>
      </c>
      <c r="N2137" s="36" t="str">
        <f>IFERROR(KPI_TARGETS!$E$12,"Higher is better")</f>
        <v>Lower is better</v>
      </c>
      <c r="O2137" s="37">
        <f t="shared" ca="1" si="198"/>
        <v>1</v>
      </c>
      <c r="P2137" t="str">
        <f t="shared" ca="1" si="199"/>
        <v>Green</v>
      </c>
      <c r="Q2137" s="36">
        <f t="shared" ca="1" si="200"/>
        <v>0</v>
      </c>
      <c r="R2137" s="36" t="str">
        <f>""</f>
        <v/>
      </c>
      <c r="S2137" s="36" t="str">
        <f>""</f>
        <v/>
      </c>
      <c r="T2137" s="36" t="str">
        <f>""</f>
        <v/>
      </c>
      <c r="U2137" s="36" t="str">
        <f>""</f>
        <v/>
      </c>
      <c r="V2137" s="36" t="str">
        <f>""</f>
        <v/>
      </c>
      <c r="W2137" s="36">
        <f t="shared" si="201"/>
        <v>1</v>
      </c>
      <c r="X2137" t="str">
        <f t="shared" si="202"/>
        <v>Inactive</v>
      </c>
      <c r="Y2137" t="str">
        <f>IF(MAIN!$H$3="Selected Year",IF(A2137=MAIN!$B$3,"Yes","No"),IF(MAIN!$H$3="Included Years",IF(D2137="Yes","Yes","No"),IF(C2137="Yes","Yes","No")))</f>
        <v>No</v>
      </c>
      <c r="Z2137" t="str">
        <f>IF(MAIN!$F$3="Project to Date",IF(AND(A2137&gt;=SETTINGS!$B$4,A2137&lt;MAIN!$B$3),"Yes",IF(AND(A2137=MAIN!$B$3,E2137&lt;=MAIN!$L$3),"Yes","No")),IF(OR(MAIN!$F$3="Full Year",MAIN!$D$3="All"),"Yes",IF(MAIN!$F$3="Monthly",IF(E2137=MAIN!$L$3,"Yes","No"),IF(E2137&lt;=MAIN!$L$3,"Yes","No"))))</f>
        <v>Yes</v>
      </c>
      <c r="AA2137" t="str">
        <f t="shared" si="203"/>
        <v>No</v>
      </c>
    </row>
    <row r="2138" spans="1:27" x14ac:dyDescent="0.3">
      <c r="A2138">
        <f>INDEX(SETTINGS!$A$15:$A$24,$B2138)</f>
        <v>2034</v>
      </c>
      <c r="B2138">
        <v>10</v>
      </c>
      <c r="C2138" t="str">
        <f>IF(AND(A2138&gt;=SETTINGS!$B$4,A2138&lt;=SETTINGS!$B$5),"Yes","No")</f>
        <v>No</v>
      </c>
      <c r="D2138" t="str">
        <f>IFERROR(INDEX(SETTINGS!$C$15:$C$24,MATCH(A2138,SETTINGS!$A$15:$A$24,0)),"No")</f>
        <v>No</v>
      </c>
      <c r="E2138">
        <v>5</v>
      </c>
      <c r="F2138" t="s">
        <v>38</v>
      </c>
      <c r="G2138">
        <v>114</v>
      </c>
      <c r="H2138" t="s">
        <v>102</v>
      </c>
      <c r="I2138" t="s">
        <v>15</v>
      </c>
      <c r="J2138" t="s">
        <v>21</v>
      </c>
      <c r="K2138" t="s">
        <v>3</v>
      </c>
      <c r="L2138" s="36">
        <f ca="1">IF(C2138&lt;&gt;"Yes",0,IF(A2138=2025,N('2025'!D114),IF(A2138=2026,N('2026'!D114),IF(A2138=2027,N('2027'!D114),IF(A2138=2028,N('2028'!D114),IF(A2138=2029,N('2029'!D114),IF(A2138=2030,N('2030'!D114),IF(A2138=2031,N('2031'!D114),IF(A2138=2032,N('2032'!D114),IF(A2138=2033,N('2033'!D114),IF(A2138=2034,N('2034'!D114),IFERROR(N(INDIRECT("'"&amp;A2138&amp;"'!D"&amp;G2138)),0))))))))))))</f>
        <v>0</v>
      </c>
      <c r="M2138" s="36">
        <f>IFERROR(IF(NOT(ISBLANK(KPI_TARGETS!$P$13)),KPI_TARGETS!$P$13,IF(NOT(ISBLANK(KPI_TARGETS!$F$13)),KPI_TARGETS!$F$13,"")),"")</f>
        <v>0</v>
      </c>
      <c r="N2138" s="36" t="str">
        <f>IFERROR(KPI_TARGETS!$E$13,"Higher is better")</f>
        <v>Lower is better</v>
      </c>
      <c r="O2138" s="37">
        <f t="shared" ca="1" si="198"/>
        <v>1</v>
      </c>
      <c r="P2138" t="str">
        <f t="shared" ca="1" si="199"/>
        <v>Green</v>
      </c>
      <c r="Q2138" s="36">
        <f t="shared" ca="1" si="200"/>
        <v>0</v>
      </c>
      <c r="R2138" s="36" t="str">
        <f>""</f>
        <v/>
      </c>
      <c r="S2138" s="36" t="str">
        <f>""</f>
        <v/>
      </c>
      <c r="T2138" s="36" t="str">
        <f>""</f>
        <v/>
      </c>
      <c r="U2138" s="36" t="str">
        <f>""</f>
        <v/>
      </c>
      <c r="V2138" s="36" t="str">
        <f>""</f>
        <v/>
      </c>
      <c r="W2138" s="36">
        <f t="shared" si="201"/>
        <v>1</v>
      </c>
      <c r="X2138" t="str">
        <f t="shared" si="202"/>
        <v>Inactive</v>
      </c>
      <c r="Y2138" t="str">
        <f>IF(MAIN!$H$3="Selected Year",IF(A2138=MAIN!$B$3,"Yes","No"),IF(MAIN!$H$3="Included Years",IF(D2138="Yes","Yes","No"),IF(C2138="Yes","Yes","No")))</f>
        <v>No</v>
      </c>
      <c r="Z2138" t="str">
        <f>IF(MAIN!$F$3="Project to Date",IF(AND(A2138&gt;=SETTINGS!$B$4,A2138&lt;MAIN!$B$3),"Yes",IF(AND(A2138=MAIN!$B$3,E2138&lt;=MAIN!$L$3),"Yes","No")),IF(OR(MAIN!$F$3="Full Year",MAIN!$D$3="All"),"Yes",IF(MAIN!$F$3="Monthly",IF(E2138=MAIN!$L$3,"Yes","No"),IF(E2138&lt;=MAIN!$L$3,"Yes","No"))))</f>
        <v>Yes</v>
      </c>
      <c r="AA2138" t="str">
        <f t="shared" si="203"/>
        <v>No</v>
      </c>
    </row>
    <row r="2139" spans="1:27" x14ac:dyDescent="0.3">
      <c r="A2139">
        <f>INDEX(SETTINGS!$A$15:$A$24,$B2139)</f>
        <v>2034</v>
      </c>
      <c r="B2139">
        <v>10</v>
      </c>
      <c r="C2139" t="str">
        <f>IF(AND(A2139&gt;=SETTINGS!$B$4,A2139&lt;=SETTINGS!$B$5),"Yes","No")</f>
        <v>No</v>
      </c>
      <c r="D2139" t="str">
        <f>IFERROR(INDEX(SETTINGS!$C$15:$C$24,MATCH(A2139,SETTINGS!$A$15:$A$24,0)),"No")</f>
        <v>No</v>
      </c>
      <c r="E2139">
        <v>5</v>
      </c>
      <c r="F2139" t="s">
        <v>38</v>
      </c>
      <c r="G2139">
        <v>116</v>
      </c>
      <c r="H2139" t="s">
        <v>103</v>
      </c>
      <c r="I2139" t="s">
        <v>22</v>
      </c>
      <c r="J2139" t="s">
        <v>23</v>
      </c>
      <c r="K2139" t="s">
        <v>3</v>
      </c>
      <c r="L2139" s="36">
        <f ca="1">IF(C2139&lt;&gt;"Yes",0,IF(A2139=2025,N('2025'!D116),IF(A2139=2026,N('2026'!D116),IF(A2139=2027,N('2027'!D116),IF(A2139=2028,N('2028'!D116),IF(A2139=2029,N('2029'!D116),IF(A2139=2030,N('2030'!D116),IF(A2139=2031,N('2031'!D116),IF(A2139=2032,N('2032'!D116),IF(A2139=2033,N('2033'!D116),IF(A2139=2034,N('2034'!D116),IFERROR(N(INDIRECT("'"&amp;A2139&amp;"'!D"&amp;G2139)),0))))))))))))</f>
        <v>0</v>
      </c>
      <c r="M2139" s="36">
        <f>IFERROR(IF(NOT(ISBLANK(KPI_TARGETS!$P$14)),KPI_TARGETS!$P$14,IF(NOT(ISBLANK(KPI_TARGETS!$F$14)),KPI_TARGETS!$F$14,"")),"")</f>
        <v>35</v>
      </c>
      <c r="N2139" s="36" t="str">
        <f>IFERROR(KPI_TARGETS!$E$14,"Higher is better")</f>
        <v>Higher is better</v>
      </c>
      <c r="O2139" s="37">
        <f t="shared" ca="1" si="198"/>
        <v>0</v>
      </c>
      <c r="P2139" t="str">
        <f t="shared" ca="1" si="199"/>
        <v>Red</v>
      </c>
      <c r="Q2139" s="36">
        <f t="shared" ca="1" si="200"/>
        <v>-35</v>
      </c>
      <c r="R2139" s="36" t="str">
        <f>""</f>
        <v/>
      </c>
      <c r="S2139" s="36" t="str">
        <f>""</f>
        <v/>
      </c>
      <c r="T2139" s="36" t="str">
        <f>""</f>
        <v/>
      </c>
      <c r="U2139" s="36" t="str">
        <f>""</f>
        <v/>
      </c>
      <c r="V2139" s="36" t="str">
        <f>""</f>
        <v/>
      </c>
      <c r="W2139" s="36">
        <f t="shared" si="201"/>
        <v>1</v>
      </c>
      <c r="X2139" t="str">
        <f t="shared" si="202"/>
        <v>Inactive</v>
      </c>
      <c r="Y2139" t="str">
        <f>IF(MAIN!$H$3="Selected Year",IF(A2139=MAIN!$B$3,"Yes","No"),IF(MAIN!$H$3="Included Years",IF(D2139="Yes","Yes","No"),IF(C2139="Yes","Yes","No")))</f>
        <v>No</v>
      </c>
      <c r="Z2139" t="str">
        <f>IF(MAIN!$F$3="Project to Date",IF(AND(A2139&gt;=SETTINGS!$B$4,A2139&lt;MAIN!$B$3),"Yes",IF(AND(A2139=MAIN!$B$3,E2139&lt;=MAIN!$L$3),"Yes","No")),IF(OR(MAIN!$F$3="Full Year",MAIN!$D$3="All"),"Yes",IF(MAIN!$F$3="Monthly",IF(E2139=MAIN!$L$3,"Yes","No"),IF(E2139&lt;=MAIN!$L$3,"Yes","No"))))</f>
        <v>Yes</v>
      </c>
      <c r="AA2139" t="str">
        <f t="shared" si="203"/>
        <v>No</v>
      </c>
    </row>
    <row r="2140" spans="1:27" x14ac:dyDescent="0.3">
      <c r="A2140">
        <f>INDEX(SETTINGS!$A$15:$A$24,$B2140)</f>
        <v>2034</v>
      </c>
      <c r="B2140">
        <v>10</v>
      </c>
      <c r="C2140" t="str">
        <f>IF(AND(A2140&gt;=SETTINGS!$B$4,A2140&lt;=SETTINGS!$B$5),"Yes","No")</f>
        <v>No</v>
      </c>
      <c r="D2140" t="str">
        <f>IFERROR(INDEX(SETTINGS!$C$15:$C$24,MATCH(A2140,SETTINGS!$A$15:$A$24,0)),"No")</f>
        <v>No</v>
      </c>
      <c r="E2140">
        <v>5</v>
      </c>
      <c r="F2140" t="s">
        <v>38</v>
      </c>
      <c r="G2140">
        <v>117</v>
      </c>
      <c r="H2140" t="s">
        <v>104</v>
      </c>
      <c r="I2140" t="s">
        <v>22</v>
      </c>
      <c r="J2140" t="s">
        <v>24</v>
      </c>
      <c r="K2140" t="s">
        <v>3</v>
      </c>
      <c r="L2140" s="36">
        <f ca="1">IF(C2140&lt;&gt;"Yes",0,IF(A2140=2025,N('2025'!D117),IF(A2140=2026,N('2026'!D117),IF(A2140=2027,N('2027'!D117),IF(A2140=2028,N('2028'!D117),IF(A2140=2029,N('2029'!D117),IF(A2140=2030,N('2030'!D117),IF(A2140=2031,N('2031'!D117),IF(A2140=2032,N('2032'!D117),IF(A2140=2033,N('2033'!D117),IF(A2140=2034,N('2034'!D117),IFERROR(N(INDIRECT("'"&amp;A2140&amp;"'!D"&amp;G2140)),0))))))))))))</f>
        <v>0</v>
      </c>
      <c r="M2140" s="36">
        <f>IFERROR(IF(NOT(ISBLANK(KPI_TARGETS!$P$15)),KPI_TARGETS!$P$15,IF(NOT(ISBLANK(KPI_TARGETS!$F$15)),KPI_TARGETS!$F$15,"")),"")</f>
        <v>5</v>
      </c>
      <c r="N2140" s="36" t="str">
        <f>IFERROR(KPI_TARGETS!$E$15,"Higher is better")</f>
        <v>Higher is better</v>
      </c>
      <c r="O2140" s="37">
        <f t="shared" ca="1" si="198"/>
        <v>0</v>
      </c>
      <c r="P2140" t="str">
        <f t="shared" ca="1" si="199"/>
        <v>Red</v>
      </c>
      <c r="Q2140" s="36">
        <f t="shared" ca="1" si="200"/>
        <v>-5</v>
      </c>
      <c r="R2140" s="36" t="str">
        <f>""</f>
        <v/>
      </c>
      <c r="S2140" s="36" t="str">
        <f>""</f>
        <v/>
      </c>
      <c r="T2140" s="36" t="str">
        <f>""</f>
        <v/>
      </c>
      <c r="U2140" s="36" t="str">
        <f>""</f>
        <v/>
      </c>
      <c r="V2140" s="36" t="str">
        <f>""</f>
        <v/>
      </c>
      <c r="W2140" s="36">
        <f t="shared" si="201"/>
        <v>1</v>
      </c>
      <c r="X2140" t="str">
        <f t="shared" si="202"/>
        <v>Inactive</v>
      </c>
      <c r="Y2140" t="str">
        <f>IF(MAIN!$H$3="Selected Year",IF(A2140=MAIN!$B$3,"Yes","No"),IF(MAIN!$H$3="Included Years",IF(D2140="Yes","Yes","No"),IF(C2140="Yes","Yes","No")))</f>
        <v>No</v>
      </c>
      <c r="Z2140" t="str">
        <f>IF(MAIN!$F$3="Project to Date",IF(AND(A2140&gt;=SETTINGS!$B$4,A2140&lt;MAIN!$B$3),"Yes",IF(AND(A2140=MAIN!$B$3,E2140&lt;=MAIN!$L$3),"Yes","No")),IF(OR(MAIN!$F$3="Full Year",MAIN!$D$3="All"),"Yes",IF(MAIN!$F$3="Monthly",IF(E2140=MAIN!$L$3,"Yes","No"),IF(E2140&lt;=MAIN!$L$3,"Yes","No"))))</f>
        <v>Yes</v>
      </c>
      <c r="AA2140" t="str">
        <f t="shared" si="203"/>
        <v>No</v>
      </c>
    </row>
    <row r="2141" spans="1:27" x14ac:dyDescent="0.3">
      <c r="A2141">
        <f>INDEX(SETTINGS!$A$15:$A$24,$B2141)</f>
        <v>2034</v>
      </c>
      <c r="B2141">
        <v>10</v>
      </c>
      <c r="C2141" t="str">
        <f>IF(AND(A2141&gt;=SETTINGS!$B$4,A2141&lt;=SETTINGS!$B$5),"Yes","No")</f>
        <v>No</v>
      </c>
      <c r="D2141" t="str">
        <f>IFERROR(INDEX(SETTINGS!$C$15:$C$24,MATCH(A2141,SETTINGS!$A$15:$A$24,0)),"No")</f>
        <v>No</v>
      </c>
      <c r="E2141">
        <v>5</v>
      </c>
      <c r="F2141" t="s">
        <v>38</v>
      </c>
      <c r="G2141">
        <v>118</v>
      </c>
      <c r="H2141" t="s">
        <v>105</v>
      </c>
      <c r="I2141" t="s">
        <v>22</v>
      </c>
      <c r="J2141" t="s">
        <v>25</v>
      </c>
      <c r="K2141" t="s">
        <v>3</v>
      </c>
      <c r="L2141" s="36">
        <f ca="1">IF(C2141&lt;&gt;"Yes",0,IF(A2141=2025,N('2025'!D118),IF(A2141=2026,N('2026'!D118),IF(A2141=2027,N('2027'!D118),IF(A2141=2028,N('2028'!D118),IF(A2141=2029,N('2029'!D118),IF(A2141=2030,N('2030'!D118),IF(A2141=2031,N('2031'!D118),IF(A2141=2032,N('2032'!D118),IF(A2141=2033,N('2033'!D118),IF(A2141=2034,N('2034'!D118),IFERROR(N(INDIRECT("'"&amp;A2141&amp;"'!D"&amp;G2141)),0))))))))))))</f>
        <v>0</v>
      </c>
      <c r="M2141" s="36">
        <f>IFERROR(IF(NOT(ISBLANK(KPI_TARGETS!$P$16)),KPI_TARGETS!$P$16,IF(NOT(ISBLANK(KPI_TARGETS!$F$16)),KPI_TARGETS!$F$16,"")),"")</f>
        <v>4</v>
      </c>
      <c r="N2141" s="36" t="str">
        <f>IFERROR(KPI_TARGETS!$E$16,"Higher is better")</f>
        <v>Higher is better</v>
      </c>
      <c r="O2141" s="37">
        <f t="shared" ca="1" si="198"/>
        <v>0</v>
      </c>
      <c r="P2141" t="str">
        <f t="shared" ca="1" si="199"/>
        <v>Red</v>
      </c>
      <c r="Q2141" s="36">
        <f t="shared" ca="1" si="200"/>
        <v>-4</v>
      </c>
      <c r="R2141" s="36" t="str">
        <f>""</f>
        <v/>
      </c>
      <c r="S2141" s="36" t="str">
        <f>""</f>
        <v/>
      </c>
      <c r="T2141" s="36" t="str">
        <f>""</f>
        <v/>
      </c>
      <c r="U2141" s="36" t="str">
        <f>""</f>
        <v/>
      </c>
      <c r="V2141" s="36" t="str">
        <f>""</f>
        <v/>
      </c>
      <c r="W2141" s="36">
        <f t="shared" si="201"/>
        <v>1</v>
      </c>
      <c r="X2141" t="str">
        <f t="shared" si="202"/>
        <v>Inactive</v>
      </c>
      <c r="Y2141" t="str">
        <f>IF(MAIN!$H$3="Selected Year",IF(A2141=MAIN!$B$3,"Yes","No"),IF(MAIN!$H$3="Included Years",IF(D2141="Yes","Yes","No"),IF(C2141="Yes","Yes","No")))</f>
        <v>No</v>
      </c>
      <c r="Z2141" t="str">
        <f>IF(MAIN!$F$3="Project to Date",IF(AND(A2141&gt;=SETTINGS!$B$4,A2141&lt;MAIN!$B$3),"Yes",IF(AND(A2141=MAIN!$B$3,E2141&lt;=MAIN!$L$3),"Yes","No")),IF(OR(MAIN!$F$3="Full Year",MAIN!$D$3="All"),"Yes",IF(MAIN!$F$3="Monthly",IF(E2141=MAIN!$L$3,"Yes","No"),IF(E2141&lt;=MAIN!$L$3,"Yes","No"))))</f>
        <v>Yes</v>
      </c>
      <c r="AA2141" t="str">
        <f t="shared" si="203"/>
        <v>No</v>
      </c>
    </row>
    <row r="2142" spans="1:27" x14ac:dyDescent="0.3">
      <c r="A2142">
        <f>INDEX(SETTINGS!$A$15:$A$24,$B2142)</f>
        <v>2034</v>
      </c>
      <c r="B2142">
        <v>10</v>
      </c>
      <c r="C2142" t="str">
        <f>IF(AND(A2142&gt;=SETTINGS!$B$4,A2142&lt;=SETTINGS!$B$5),"Yes","No")</f>
        <v>No</v>
      </c>
      <c r="D2142" t="str">
        <f>IFERROR(INDEX(SETTINGS!$C$15:$C$24,MATCH(A2142,SETTINGS!$A$15:$A$24,0)),"No")</f>
        <v>No</v>
      </c>
      <c r="E2142">
        <v>5</v>
      </c>
      <c r="F2142" t="s">
        <v>38</v>
      </c>
      <c r="G2142">
        <v>119</v>
      </c>
      <c r="H2142" t="s">
        <v>106</v>
      </c>
      <c r="I2142" t="s">
        <v>22</v>
      </c>
      <c r="J2142" t="s">
        <v>26</v>
      </c>
      <c r="K2142" t="s">
        <v>3</v>
      </c>
      <c r="L2142" s="36">
        <f ca="1">IF(C2142&lt;&gt;"Yes",0,IF(A2142=2025,N('2025'!D119),IF(A2142=2026,N('2026'!D119),IF(A2142=2027,N('2027'!D119),IF(A2142=2028,N('2028'!D119),IF(A2142=2029,N('2029'!D119),IF(A2142=2030,N('2030'!D119),IF(A2142=2031,N('2031'!D119),IF(A2142=2032,N('2032'!D119),IF(A2142=2033,N('2033'!D119),IF(A2142=2034,N('2034'!D119),IFERROR(N(INDIRECT("'"&amp;A2142&amp;"'!D"&amp;G2142)),0))))))))))))</f>
        <v>0</v>
      </c>
      <c r="M2142" s="36">
        <f>IFERROR(IF(NOT(ISBLANK(KPI_TARGETS!$P$17)),KPI_TARGETS!$P$17,IF(NOT(ISBLANK(KPI_TARGETS!$F$17)),KPI_TARGETS!$F$17,"")),"")</f>
        <v>12</v>
      </c>
      <c r="N2142" s="36" t="str">
        <f>IFERROR(KPI_TARGETS!$E$17,"Higher is better")</f>
        <v>Higher is better</v>
      </c>
      <c r="O2142" s="37">
        <f t="shared" ca="1" si="198"/>
        <v>0</v>
      </c>
      <c r="P2142" t="str">
        <f t="shared" ca="1" si="199"/>
        <v>Red</v>
      </c>
      <c r="Q2142" s="36">
        <f t="shared" ca="1" si="200"/>
        <v>-12</v>
      </c>
      <c r="R2142" s="36" t="str">
        <f>""</f>
        <v/>
      </c>
      <c r="S2142" s="36" t="str">
        <f>""</f>
        <v/>
      </c>
      <c r="T2142" s="36" t="str">
        <f>""</f>
        <v/>
      </c>
      <c r="U2142" s="36" t="str">
        <f>""</f>
        <v/>
      </c>
      <c r="V2142" s="36" t="str">
        <f>""</f>
        <v/>
      </c>
      <c r="W2142" s="36">
        <f t="shared" si="201"/>
        <v>1</v>
      </c>
      <c r="X2142" t="str">
        <f t="shared" si="202"/>
        <v>Inactive</v>
      </c>
      <c r="Y2142" t="str">
        <f>IF(MAIN!$H$3="Selected Year",IF(A2142=MAIN!$B$3,"Yes","No"),IF(MAIN!$H$3="Included Years",IF(D2142="Yes","Yes","No"),IF(C2142="Yes","Yes","No")))</f>
        <v>No</v>
      </c>
      <c r="Z2142" t="str">
        <f>IF(MAIN!$F$3="Project to Date",IF(AND(A2142&gt;=SETTINGS!$B$4,A2142&lt;MAIN!$B$3),"Yes",IF(AND(A2142=MAIN!$B$3,E2142&lt;=MAIN!$L$3),"Yes","No")),IF(OR(MAIN!$F$3="Full Year",MAIN!$D$3="All"),"Yes",IF(MAIN!$F$3="Monthly",IF(E2142=MAIN!$L$3,"Yes","No"),IF(E2142&lt;=MAIN!$L$3,"Yes","No"))))</f>
        <v>Yes</v>
      </c>
      <c r="AA2142" t="str">
        <f t="shared" si="203"/>
        <v>No</v>
      </c>
    </row>
    <row r="2143" spans="1:27" x14ac:dyDescent="0.3">
      <c r="A2143">
        <f>INDEX(SETTINGS!$A$15:$A$24,$B2143)</f>
        <v>2034</v>
      </c>
      <c r="B2143">
        <v>10</v>
      </c>
      <c r="C2143" t="str">
        <f>IF(AND(A2143&gt;=SETTINGS!$B$4,A2143&lt;=SETTINGS!$B$5),"Yes","No")</f>
        <v>No</v>
      </c>
      <c r="D2143" t="str">
        <f>IFERROR(INDEX(SETTINGS!$C$15:$C$24,MATCH(A2143,SETTINGS!$A$15:$A$24,0)),"No")</f>
        <v>No</v>
      </c>
      <c r="E2143">
        <v>5</v>
      </c>
      <c r="F2143" t="s">
        <v>38</v>
      </c>
      <c r="G2143">
        <v>120</v>
      </c>
      <c r="H2143" t="s">
        <v>107</v>
      </c>
      <c r="I2143" t="s">
        <v>22</v>
      </c>
      <c r="J2143" t="s">
        <v>27</v>
      </c>
      <c r="K2143" t="s">
        <v>3</v>
      </c>
      <c r="L2143" s="36">
        <f ca="1">IF(C2143&lt;&gt;"Yes",0,IF(A2143=2025,N('2025'!D120),IF(A2143=2026,N('2026'!D120),IF(A2143=2027,N('2027'!D120),IF(A2143=2028,N('2028'!D120),IF(A2143=2029,N('2029'!D120),IF(A2143=2030,N('2030'!D120),IF(A2143=2031,N('2031'!D120),IF(A2143=2032,N('2032'!D120),IF(A2143=2033,N('2033'!D120),IF(A2143=2034,N('2034'!D120),IFERROR(N(INDIRECT("'"&amp;A2143&amp;"'!D"&amp;G2143)),0))))))))))))</f>
        <v>0</v>
      </c>
      <c r="M2143" s="36">
        <f>IFERROR(IF(NOT(ISBLANK(KPI_TARGETS!$P$18)),KPI_TARGETS!$P$18,IF(NOT(ISBLANK(KPI_TARGETS!$F$18)),KPI_TARGETS!$F$18,"")),"")</f>
        <v>4</v>
      </c>
      <c r="N2143" s="36" t="str">
        <f>IFERROR(KPI_TARGETS!$E$18,"Higher is better")</f>
        <v>Higher is better</v>
      </c>
      <c r="O2143" s="37">
        <f t="shared" ca="1" si="198"/>
        <v>0</v>
      </c>
      <c r="P2143" t="str">
        <f t="shared" ca="1" si="199"/>
        <v>Red</v>
      </c>
      <c r="Q2143" s="36">
        <f t="shared" ca="1" si="200"/>
        <v>-4</v>
      </c>
      <c r="R2143" s="36" t="str">
        <f>""</f>
        <v/>
      </c>
      <c r="S2143" s="36" t="str">
        <f>""</f>
        <v/>
      </c>
      <c r="T2143" s="36" t="str">
        <f>""</f>
        <v/>
      </c>
      <c r="U2143" s="36" t="str">
        <f>""</f>
        <v/>
      </c>
      <c r="V2143" s="36" t="str">
        <f>""</f>
        <v/>
      </c>
      <c r="W2143" s="36">
        <f t="shared" si="201"/>
        <v>1</v>
      </c>
      <c r="X2143" t="str">
        <f t="shared" si="202"/>
        <v>Inactive</v>
      </c>
      <c r="Y2143" t="str">
        <f>IF(MAIN!$H$3="Selected Year",IF(A2143=MAIN!$B$3,"Yes","No"),IF(MAIN!$H$3="Included Years",IF(D2143="Yes","Yes","No"),IF(C2143="Yes","Yes","No")))</f>
        <v>No</v>
      </c>
      <c r="Z2143" t="str">
        <f>IF(MAIN!$F$3="Project to Date",IF(AND(A2143&gt;=SETTINGS!$B$4,A2143&lt;MAIN!$B$3),"Yes",IF(AND(A2143=MAIN!$B$3,E2143&lt;=MAIN!$L$3),"Yes","No")),IF(OR(MAIN!$F$3="Full Year",MAIN!$D$3="All"),"Yes",IF(MAIN!$F$3="Monthly",IF(E2143=MAIN!$L$3,"Yes","No"),IF(E2143&lt;=MAIN!$L$3,"Yes","No"))))</f>
        <v>Yes</v>
      </c>
      <c r="AA2143" t="str">
        <f t="shared" si="203"/>
        <v>No</v>
      </c>
    </row>
    <row r="2144" spans="1:27" x14ac:dyDescent="0.3">
      <c r="A2144">
        <f>INDEX(SETTINGS!$A$15:$A$24,$B2144)</f>
        <v>2034</v>
      </c>
      <c r="B2144">
        <v>10</v>
      </c>
      <c r="C2144" t="str">
        <f>IF(AND(A2144&gt;=SETTINGS!$B$4,A2144&lt;=SETTINGS!$B$5),"Yes","No")</f>
        <v>No</v>
      </c>
      <c r="D2144" t="str">
        <f>IFERROR(INDEX(SETTINGS!$C$15:$C$24,MATCH(A2144,SETTINGS!$A$15:$A$24,0)),"No")</f>
        <v>No</v>
      </c>
      <c r="E2144">
        <v>5</v>
      </c>
      <c r="F2144" t="s">
        <v>38</v>
      </c>
      <c r="G2144">
        <v>121</v>
      </c>
      <c r="H2144" t="s">
        <v>108</v>
      </c>
      <c r="I2144" t="s">
        <v>22</v>
      </c>
      <c r="J2144" t="s">
        <v>28</v>
      </c>
      <c r="K2144" t="s">
        <v>3</v>
      </c>
      <c r="L2144" s="36">
        <f ca="1">IF(C2144&lt;&gt;"Yes",0,IF(A2144=2025,N('2025'!D121),IF(A2144=2026,N('2026'!D121),IF(A2144=2027,N('2027'!D121),IF(A2144=2028,N('2028'!D121),IF(A2144=2029,N('2029'!D121),IF(A2144=2030,N('2030'!D121),IF(A2144=2031,N('2031'!D121),IF(A2144=2032,N('2032'!D121),IF(A2144=2033,N('2033'!D121),IF(A2144=2034,N('2034'!D121),IFERROR(N(INDIRECT("'"&amp;A2144&amp;"'!D"&amp;G2144)),0))))))))))))</f>
        <v>0</v>
      </c>
      <c r="M2144" s="36">
        <f>IFERROR(IF(NOT(ISBLANK(KPI_TARGETS!$P$19)),KPI_TARGETS!$P$19,IF(NOT(ISBLANK(KPI_TARGETS!$F$19)),KPI_TARGETS!$F$19,"")),"")</f>
        <v>16</v>
      </c>
      <c r="N2144" s="36" t="str">
        <f>IFERROR(KPI_TARGETS!$E$19,"Higher is better")</f>
        <v>Higher is better</v>
      </c>
      <c r="O2144" s="37">
        <f t="shared" ca="1" si="198"/>
        <v>0</v>
      </c>
      <c r="P2144" t="str">
        <f t="shared" ca="1" si="199"/>
        <v>Red</v>
      </c>
      <c r="Q2144" s="36">
        <f t="shared" ca="1" si="200"/>
        <v>-16</v>
      </c>
      <c r="R2144" s="36" t="str">
        <f>""</f>
        <v/>
      </c>
      <c r="S2144" s="36" t="str">
        <f>""</f>
        <v/>
      </c>
      <c r="T2144" s="36" t="str">
        <f>""</f>
        <v/>
      </c>
      <c r="U2144" s="36" t="str">
        <f>""</f>
        <v/>
      </c>
      <c r="V2144" s="36" t="str">
        <f>""</f>
        <v/>
      </c>
      <c r="W2144" s="36">
        <f t="shared" si="201"/>
        <v>1</v>
      </c>
      <c r="X2144" t="str">
        <f t="shared" si="202"/>
        <v>Inactive</v>
      </c>
      <c r="Y2144" t="str">
        <f>IF(MAIN!$H$3="Selected Year",IF(A2144=MAIN!$B$3,"Yes","No"),IF(MAIN!$H$3="Included Years",IF(D2144="Yes","Yes","No"),IF(C2144="Yes","Yes","No")))</f>
        <v>No</v>
      </c>
      <c r="Z2144" t="str">
        <f>IF(MAIN!$F$3="Project to Date",IF(AND(A2144&gt;=SETTINGS!$B$4,A2144&lt;MAIN!$B$3),"Yes",IF(AND(A2144=MAIN!$B$3,E2144&lt;=MAIN!$L$3),"Yes","No")),IF(OR(MAIN!$F$3="Full Year",MAIN!$D$3="All"),"Yes",IF(MAIN!$F$3="Monthly",IF(E2144=MAIN!$L$3,"Yes","No"),IF(E2144&lt;=MAIN!$L$3,"Yes","No"))))</f>
        <v>Yes</v>
      </c>
      <c r="AA2144" t="str">
        <f t="shared" si="203"/>
        <v>No</v>
      </c>
    </row>
    <row r="2145" spans="1:27" x14ac:dyDescent="0.3">
      <c r="A2145">
        <f>INDEX(SETTINGS!$A$15:$A$24,$B2145)</f>
        <v>2034</v>
      </c>
      <c r="B2145">
        <v>10</v>
      </c>
      <c r="C2145" t="str">
        <f>IF(AND(A2145&gt;=SETTINGS!$B$4,A2145&lt;=SETTINGS!$B$5),"Yes","No")</f>
        <v>No</v>
      </c>
      <c r="D2145" t="str">
        <f>IFERROR(INDEX(SETTINGS!$C$15:$C$24,MATCH(A2145,SETTINGS!$A$15:$A$24,0)),"No")</f>
        <v>No</v>
      </c>
      <c r="E2145">
        <v>5</v>
      </c>
      <c r="F2145" t="s">
        <v>38</v>
      </c>
      <c r="G2145">
        <v>122</v>
      </c>
      <c r="H2145" t="s">
        <v>109</v>
      </c>
      <c r="I2145" t="s">
        <v>22</v>
      </c>
      <c r="J2145" t="s">
        <v>29</v>
      </c>
      <c r="K2145" t="s">
        <v>3</v>
      </c>
      <c r="L2145" s="36">
        <f ca="1">IF(C2145&lt;&gt;"Yes",0,IF(A2145=2025,N('2025'!D122),IF(A2145=2026,N('2026'!D122),IF(A2145=2027,N('2027'!D122),IF(A2145=2028,N('2028'!D122),IF(A2145=2029,N('2029'!D122),IF(A2145=2030,N('2030'!D122),IF(A2145=2031,N('2031'!D122),IF(A2145=2032,N('2032'!D122),IF(A2145=2033,N('2033'!D122),IF(A2145=2034,N('2034'!D122),IFERROR(N(INDIRECT("'"&amp;A2145&amp;"'!D"&amp;G2145)),0))))))))))))</f>
        <v>0</v>
      </c>
      <c r="M2145" s="36">
        <f>IFERROR(IF(NOT(ISBLANK(KPI_TARGETS!$P$20)),KPI_TARGETS!$P$20,IF(NOT(ISBLANK(KPI_TARGETS!$F$20)),KPI_TARGETS!$F$20,"")),"")</f>
        <v>1</v>
      </c>
      <c r="N2145" s="36" t="str">
        <f>IFERROR(KPI_TARGETS!$E$20,"Higher is better")</f>
        <v>Higher is better</v>
      </c>
      <c r="O2145" s="37">
        <f t="shared" ca="1" si="198"/>
        <v>0</v>
      </c>
      <c r="P2145" t="str">
        <f t="shared" ca="1" si="199"/>
        <v>Red</v>
      </c>
      <c r="Q2145" s="36">
        <f t="shared" ca="1" si="200"/>
        <v>-1</v>
      </c>
      <c r="R2145" s="36" t="str">
        <f>""</f>
        <v/>
      </c>
      <c r="S2145" s="36" t="str">
        <f>""</f>
        <v/>
      </c>
      <c r="T2145" s="36" t="str">
        <f>""</f>
        <v/>
      </c>
      <c r="U2145" s="36" t="str">
        <f>""</f>
        <v/>
      </c>
      <c r="V2145" s="36" t="str">
        <f>""</f>
        <v/>
      </c>
      <c r="W2145" s="36">
        <f t="shared" si="201"/>
        <v>1</v>
      </c>
      <c r="X2145" t="str">
        <f t="shared" si="202"/>
        <v>Inactive</v>
      </c>
      <c r="Y2145" t="str">
        <f>IF(MAIN!$H$3="Selected Year",IF(A2145=MAIN!$B$3,"Yes","No"),IF(MAIN!$H$3="Included Years",IF(D2145="Yes","Yes","No"),IF(C2145="Yes","Yes","No")))</f>
        <v>No</v>
      </c>
      <c r="Z2145" t="str">
        <f>IF(MAIN!$F$3="Project to Date",IF(AND(A2145&gt;=SETTINGS!$B$4,A2145&lt;MAIN!$B$3),"Yes",IF(AND(A2145=MAIN!$B$3,E2145&lt;=MAIN!$L$3),"Yes","No")),IF(OR(MAIN!$F$3="Full Year",MAIN!$D$3="All"),"Yes",IF(MAIN!$F$3="Monthly",IF(E2145=MAIN!$L$3,"Yes","No"),IF(E2145&lt;=MAIN!$L$3,"Yes","No"))))</f>
        <v>Yes</v>
      </c>
      <c r="AA2145" t="str">
        <f t="shared" si="203"/>
        <v>No</v>
      </c>
    </row>
    <row r="2146" spans="1:27" x14ac:dyDescent="0.3">
      <c r="A2146">
        <f>INDEX(SETTINGS!$A$15:$A$24,$B2146)</f>
        <v>2034</v>
      </c>
      <c r="B2146">
        <v>10</v>
      </c>
      <c r="C2146" t="str">
        <f>IF(AND(A2146&gt;=SETTINGS!$B$4,A2146&lt;=SETTINGS!$B$5),"Yes","No")</f>
        <v>No</v>
      </c>
      <c r="D2146" t="str">
        <f>IFERROR(INDEX(SETTINGS!$C$15:$C$24,MATCH(A2146,SETTINGS!$A$15:$A$24,0)),"No")</f>
        <v>No</v>
      </c>
      <c r="E2146">
        <v>5</v>
      </c>
      <c r="F2146" t="s">
        <v>38</v>
      </c>
      <c r="G2146">
        <v>124</v>
      </c>
      <c r="H2146" t="s">
        <v>110</v>
      </c>
      <c r="I2146" t="s">
        <v>30</v>
      </c>
      <c r="J2146" t="s">
        <v>31</v>
      </c>
      <c r="K2146" t="s">
        <v>3</v>
      </c>
      <c r="L2146" s="36">
        <f ca="1">IF(C2146&lt;&gt;"Yes",0,IF(A2146=2025,N('2025'!D124),IF(A2146=2026,N('2026'!D124),IF(A2146=2027,N('2027'!D124),IF(A2146=2028,N('2028'!D124),IF(A2146=2029,N('2029'!D124),IF(A2146=2030,N('2030'!D124),IF(A2146=2031,N('2031'!D124),IF(A2146=2032,N('2032'!D124),IF(A2146=2033,N('2033'!D124),IF(A2146=2034,N('2034'!D124),IFERROR(N(INDIRECT("'"&amp;A2146&amp;"'!D"&amp;G2146)),0))))))))))))</f>
        <v>0</v>
      </c>
      <c r="M2146" s="36">
        <f>IFERROR(IF(NOT(ISBLANK(KPI_TARGETS!$P$21)),KPI_TARGETS!$P$21,IF(NOT(ISBLANK(KPI_TARGETS!$F$21)),KPI_TARGETS!$F$21,"")),"")</f>
        <v>0</v>
      </c>
      <c r="N2146" s="36" t="str">
        <f>IFERROR(KPI_TARGETS!$E$21,"Higher is better")</f>
        <v>Lower is better</v>
      </c>
      <c r="O2146" s="37">
        <f t="shared" ca="1" si="198"/>
        <v>1</v>
      </c>
      <c r="P2146" t="str">
        <f t="shared" ca="1" si="199"/>
        <v>Green</v>
      </c>
      <c r="Q2146" s="36">
        <f t="shared" ca="1" si="200"/>
        <v>0</v>
      </c>
      <c r="R2146" s="36" t="str">
        <f>""</f>
        <v/>
      </c>
      <c r="S2146" s="36" t="str">
        <f>""</f>
        <v/>
      </c>
      <c r="T2146" s="36" t="str">
        <f>""</f>
        <v/>
      </c>
      <c r="U2146" s="36" t="str">
        <f>""</f>
        <v/>
      </c>
      <c r="V2146" s="36" t="str">
        <f>""</f>
        <v/>
      </c>
      <c r="W2146" s="36">
        <f t="shared" si="201"/>
        <v>1</v>
      </c>
      <c r="X2146" t="str">
        <f t="shared" si="202"/>
        <v>Inactive</v>
      </c>
      <c r="Y2146" t="str">
        <f>IF(MAIN!$H$3="Selected Year",IF(A2146=MAIN!$B$3,"Yes","No"),IF(MAIN!$H$3="Included Years",IF(D2146="Yes","Yes","No"),IF(C2146="Yes","Yes","No")))</f>
        <v>No</v>
      </c>
      <c r="Z2146" t="str">
        <f>IF(MAIN!$F$3="Project to Date",IF(AND(A2146&gt;=SETTINGS!$B$4,A2146&lt;MAIN!$B$3),"Yes",IF(AND(A2146=MAIN!$B$3,E2146&lt;=MAIN!$L$3),"Yes","No")),IF(OR(MAIN!$F$3="Full Year",MAIN!$D$3="All"),"Yes",IF(MAIN!$F$3="Monthly",IF(E2146=MAIN!$L$3,"Yes","No"),IF(E2146&lt;=MAIN!$L$3,"Yes","No"))))</f>
        <v>Yes</v>
      </c>
      <c r="AA2146" t="str">
        <f t="shared" si="203"/>
        <v>No</v>
      </c>
    </row>
    <row r="2147" spans="1:27" x14ac:dyDescent="0.3">
      <c r="A2147">
        <f>INDEX(SETTINGS!$A$15:$A$24,$B2147)</f>
        <v>2034</v>
      </c>
      <c r="B2147">
        <v>10</v>
      </c>
      <c r="C2147" t="str">
        <f>IF(AND(A2147&gt;=SETTINGS!$B$4,A2147&lt;=SETTINGS!$B$5),"Yes","No")</f>
        <v>No</v>
      </c>
      <c r="D2147" t="str">
        <f>IFERROR(INDEX(SETTINGS!$C$15:$C$24,MATCH(A2147,SETTINGS!$A$15:$A$24,0)),"No")</f>
        <v>No</v>
      </c>
      <c r="E2147">
        <v>5</v>
      </c>
      <c r="F2147" t="s">
        <v>38</v>
      </c>
      <c r="G2147">
        <v>125</v>
      </c>
      <c r="H2147" t="s">
        <v>111</v>
      </c>
      <c r="I2147" t="s">
        <v>30</v>
      </c>
      <c r="J2147" t="s">
        <v>32</v>
      </c>
      <c r="K2147" t="s">
        <v>3</v>
      </c>
      <c r="L2147" s="36">
        <f ca="1">IF(C2147&lt;&gt;"Yes",0,IF(A2147=2025,N('2025'!D125),IF(A2147=2026,N('2026'!D125),IF(A2147=2027,N('2027'!D125),IF(A2147=2028,N('2028'!D125),IF(A2147=2029,N('2029'!D125),IF(A2147=2030,N('2030'!D125),IF(A2147=2031,N('2031'!D125),IF(A2147=2032,N('2032'!D125),IF(A2147=2033,N('2033'!D125),IF(A2147=2034,N('2034'!D125),IFERROR(N(INDIRECT("'"&amp;A2147&amp;"'!D"&amp;G2147)),0))))))))))))</f>
        <v>0</v>
      </c>
      <c r="M2147" s="36">
        <f>IFERROR(IF(NOT(ISBLANK(KPI_TARGETS!$P$22)),KPI_TARGETS!$P$22,IF(NOT(ISBLANK(KPI_TARGETS!$F$22)),KPI_TARGETS!$F$22,"")),"")</f>
        <v>1</v>
      </c>
      <c r="N2147" s="36" t="str">
        <f>IFERROR(KPI_TARGETS!$E$22,"Higher is better")</f>
        <v>Higher is better</v>
      </c>
      <c r="O2147" s="37">
        <f t="shared" ca="1" si="198"/>
        <v>0</v>
      </c>
      <c r="P2147" t="str">
        <f t="shared" ca="1" si="199"/>
        <v>Red</v>
      </c>
      <c r="Q2147" s="36">
        <f t="shared" ca="1" si="200"/>
        <v>-1</v>
      </c>
      <c r="R2147" s="36" t="str">
        <f>""</f>
        <v/>
      </c>
      <c r="S2147" s="36" t="str">
        <f>""</f>
        <v/>
      </c>
      <c r="T2147" s="36" t="str">
        <f>""</f>
        <v/>
      </c>
      <c r="U2147" s="36" t="str">
        <f>""</f>
        <v/>
      </c>
      <c r="V2147" s="36" t="str">
        <f>""</f>
        <v/>
      </c>
      <c r="W2147" s="36">
        <f t="shared" si="201"/>
        <v>1</v>
      </c>
      <c r="X2147" t="str">
        <f t="shared" si="202"/>
        <v>Inactive</v>
      </c>
      <c r="Y2147" t="str">
        <f>IF(MAIN!$H$3="Selected Year",IF(A2147=MAIN!$B$3,"Yes","No"),IF(MAIN!$H$3="Included Years",IF(D2147="Yes","Yes","No"),IF(C2147="Yes","Yes","No")))</f>
        <v>No</v>
      </c>
      <c r="Z2147" t="str">
        <f>IF(MAIN!$F$3="Project to Date",IF(AND(A2147&gt;=SETTINGS!$B$4,A2147&lt;MAIN!$B$3),"Yes",IF(AND(A2147=MAIN!$B$3,E2147&lt;=MAIN!$L$3),"Yes","No")),IF(OR(MAIN!$F$3="Full Year",MAIN!$D$3="All"),"Yes",IF(MAIN!$F$3="Monthly",IF(E2147=MAIN!$L$3,"Yes","No"),IF(E2147&lt;=MAIN!$L$3,"Yes","No"))))</f>
        <v>Yes</v>
      </c>
      <c r="AA2147" t="str">
        <f t="shared" si="203"/>
        <v>No</v>
      </c>
    </row>
    <row r="2148" spans="1:27" x14ac:dyDescent="0.3">
      <c r="A2148">
        <f>INDEX(SETTINGS!$A$15:$A$24,$B2148)</f>
        <v>2034</v>
      </c>
      <c r="B2148">
        <v>10</v>
      </c>
      <c r="C2148" t="str">
        <f>IF(AND(A2148&gt;=SETTINGS!$B$4,A2148&lt;=SETTINGS!$B$5),"Yes","No")</f>
        <v>No</v>
      </c>
      <c r="D2148" t="str">
        <f>IFERROR(INDEX(SETTINGS!$C$15:$C$24,MATCH(A2148,SETTINGS!$A$15:$A$24,0)),"No")</f>
        <v>No</v>
      </c>
      <c r="E2148">
        <v>5</v>
      </c>
      <c r="F2148" t="s">
        <v>38</v>
      </c>
      <c r="G2148">
        <v>126</v>
      </c>
      <c r="H2148" t="s">
        <v>112</v>
      </c>
      <c r="I2148" t="s">
        <v>30</v>
      </c>
      <c r="J2148" t="s">
        <v>33</v>
      </c>
      <c r="K2148" t="s">
        <v>34</v>
      </c>
      <c r="L2148" s="36">
        <f ca="1">IF(C2148&lt;&gt;"Yes",0,IF(A2148=2025,N('2025'!D126),IF(A2148=2026,N('2026'!D126),IF(A2148=2027,N('2027'!D126),IF(A2148=2028,N('2028'!D126),IF(A2148=2029,N('2029'!D126),IF(A2148=2030,N('2030'!D126),IF(A2148=2031,N('2031'!D126),IF(A2148=2032,N('2032'!D126),IF(A2148=2033,N('2033'!D126),IF(A2148=2034,N('2034'!D126),IFERROR(N(INDIRECT("'"&amp;A2148&amp;"'!D"&amp;G2148)),0))))))))))))</f>
        <v>0</v>
      </c>
      <c r="M2148" s="36">
        <f>IFERROR(IF(NOT(ISBLANK(KPI_TARGETS!$P$23)),KPI_TARGETS!$P$23,IF(NOT(ISBLANK(KPI_TARGETS!$F$23)),KPI_TARGETS!$F$23,"")),"")</f>
        <v>1</v>
      </c>
      <c r="N2148" s="36" t="str">
        <f>IFERROR(KPI_TARGETS!$E$23,"Higher is better")</f>
        <v>Higher is better</v>
      </c>
      <c r="O2148" s="37">
        <f t="shared" ca="1" si="198"/>
        <v>0</v>
      </c>
      <c r="P2148" t="str">
        <f t="shared" ca="1" si="199"/>
        <v>Red</v>
      </c>
      <c r="Q2148" s="36">
        <f t="shared" ca="1" si="200"/>
        <v>-1</v>
      </c>
      <c r="R2148" s="36" t="str">
        <f>""</f>
        <v/>
      </c>
      <c r="S2148" s="36" t="str">
        <f>""</f>
        <v/>
      </c>
      <c r="T2148" s="36" t="str">
        <f>""</f>
        <v/>
      </c>
      <c r="U2148" s="36" t="str">
        <f>""</f>
        <v/>
      </c>
      <c r="V2148" s="36" t="str">
        <f>""</f>
        <v/>
      </c>
      <c r="W2148" s="36">
        <f t="shared" si="201"/>
        <v>1</v>
      </c>
      <c r="X2148" t="str">
        <f t="shared" si="202"/>
        <v>Inactive</v>
      </c>
      <c r="Y2148" t="str">
        <f>IF(MAIN!$H$3="Selected Year",IF(A2148=MAIN!$B$3,"Yes","No"),IF(MAIN!$H$3="Included Years",IF(D2148="Yes","Yes","No"),IF(C2148="Yes","Yes","No")))</f>
        <v>No</v>
      </c>
      <c r="Z2148" t="str">
        <f>IF(MAIN!$F$3="Project to Date",IF(AND(A2148&gt;=SETTINGS!$B$4,A2148&lt;MAIN!$B$3),"Yes",IF(AND(A2148=MAIN!$B$3,E2148&lt;=MAIN!$L$3),"Yes","No")),IF(OR(MAIN!$F$3="Full Year",MAIN!$D$3="All"),"Yes",IF(MAIN!$F$3="Monthly",IF(E2148=MAIN!$L$3,"Yes","No"),IF(E2148&lt;=MAIN!$L$3,"Yes","No"))))</f>
        <v>Yes</v>
      </c>
      <c r="AA2148" t="str">
        <f t="shared" si="203"/>
        <v>No</v>
      </c>
    </row>
    <row r="2149" spans="1:27" x14ac:dyDescent="0.3">
      <c r="A2149">
        <f>INDEX(SETTINGS!$A$15:$A$24,$B2149)</f>
        <v>2034</v>
      </c>
      <c r="B2149">
        <v>10</v>
      </c>
      <c r="C2149" t="str">
        <f>IF(AND(A2149&gt;=SETTINGS!$B$4,A2149&lt;=SETTINGS!$B$5),"Yes","No")</f>
        <v>No</v>
      </c>
      <c r="D2149" t="str">
        <f>IFERROR(INDEX(SETTINGS!$C$15:$C$24,MATCH(A2149,SETTINGS!$A$15:$A$24,0)),"No")</f>
        <v>No</v>
      </c>
      <c r="E2149">
        <v>6</v>
      </c>
      <c r="F2149" t="s">
        <v>39</v>
      </c>
      <c r="G2149">
        <v>129</v>
      </c>
      <c r="H2149" t="s">
        <v>88</v>
      </c>
      <c r="I2149" t="s">
        <v>89</v>
      </c>
      <c r="J2149" t="s">
        <v>10</v>
      </c>
      <c r="K2149" t="s">
        <v>3</v>
      </c>
      <c r="L2149" s="36">
        <f ca="1">IF(C2149&lt;&gt;"Yes",0,IF(A2149=2025,N('2025'!D129),IF(A2149=2026,N('2026'!D129),IF(A2149=2027,N('2027'!D129),IF(A2149=2028,N('2028'!D129),IF(A2149=2029,N('2029'!D129),IF(A2149=2030,N('2030'!D129),IF(A2149=2031,N('2031'!D129),IF(A2149=2032,N('2032'!D129),IF(A2149=2033,N('2033'!D129),IF(A2149=2034,N('2034'!D129),IFERROR(N(INDIRECT("'"&amp;A2149&amp;"'!D"&amp;G2149)),0))))))))))))</f>
        <v>0</v>
      </c>
      <c r="M2149" s="36">
        <f>IFERROR(IF(NOT(ISBLANK(KPI_TARGETS!$P$5)),KPI_TARGETS!$P$5,IF(NOT(ISBLANK(KPI_TARGETS!$F$5)),KPI_TARGETS!$F$5,"")),"")</f>
        <v>104</v>
      </c>
      <c r="N2149" s="36" t="str">
        <f>IFERROR(KPI_TARGETS!$E$5,"Higher is better")</f>
        <v>Higher is better</v>
      </c>
      <c r="O2149" s="37">
        <f t="shared" ca="1" si="198"/>
        <v>0</v>
      </c>
      <c r="P2149" t="str">
        <f t="shared" ca="1" si="199"/>
        <v>Red</v>
      </c>
      <c r="Q2149" s="36">
        <f t="shared" ca="1" si="200"/>
        <v>-104</v>
      </c>
      <c r="R2149" s="36" t="str">
        <f>""</f>
        <v/>
      </c>
      <c r="S2149" s="36" t="str">
        <f>""</f>
        <v/>
      </c>
      <c r="T2149" s="36" t="str">
        <f>""</f>
        <v/>
      </c>
      <c r="U2149" s="36" t="str">
        <f>""</f>
        <v/>
      </c>
      <c r="V2149" s="36" t="str">
        <f>""</f>
        <v/>
      </c>
      <c r="W2149" s="36">
        <f t="shared" si="201"/>
        <v>1</v>
      </c>
      <c r="X2149" t="str">
        <f t="shared" si="202"/>
        <v>Inactive</v>
      </c>
      <c r="Y2149" t="str">
        <f>IF(MAIN!$H$3="Selected Year",IF(A2149=MAIN!$B$3,"Yes","No"),IF(MAIN!$H$3="Included Years",IF(D2149="Yes","Yes","No"),IF(C2149="Yes","Yes","No")))</f>
        <v>No</v>
      </c>
      <c r="Z2149" t="str">
        <f>IF(MAIN!$F$3="Project to Date",IF(AND(A2149&gt;=SETTINGS!$B$4,A2149&lt;MAIN!$B$3),"Yes",IF(AND(A2149=MAIN!$B$3,E2149&lt;=MAIN!$L$3),"Yes","No")),IF(OR(MAIN!$F$3="Full Year",MAIN!$D$3="All"),"Yes",IF(MAIN!$F$3="Monthly",IF(E2149=MAIN!$L$3,"Yes","No"),IF(E2149&lt;=MAIN!$L$3,"Yes","No"))))</f>
        <v>Yes</v>
      </c>
      <c r="AA2149" t="str">
        <f t="shared" si="203"/>
        <v>No</v>
      </c>
    </row>
    <row r="2150" spans="1:27" x14ac:dyDescent="0.3">
      <c r="A2150">
        <f>INDEX(SETTINGS!$A$15:$A$24,$B2150)</f>
        <v>2034</v>
      </c>
      <c r="B2150">
        <v>10</v>
      </c>
      <c r="C2150" t="str">
        <f>IF(AND(A2150&gt;=SETTINGS!$B$4,A2150&lt;=SETTINGS!$B$5),"Yes","No")</f>
        <v>No</v>
      </c>
      <c r="D2150" t="str">
        <f>IFERROR(INDEX(SETTINGS!$C$15:$C$24,MATCH(A2150,SETTINGS!$A$15:$A$24,0)),"No")</f>
        <v>No</v>
      </c>
      <c r="E2150">
        <v>6</v>
      </c>
      <c r="F2150" t="s">
        <v>39</v>
      </c>
      <c r="G2150">
        <v>130</v>
      </c>
      <c r="H2150" t="s">
        <v>91</v>
      </c>
      <c r="I2150" t="s">
        <v>89</v>
      </c>
      <c r="J2150" t="s">
        <v>11</v>
      </c>
      <c r="K2150" t="s">
        <v>12</v>
      </c>
      <c r="L2150" s="36">
        <f ca="1">IF(C2150&lt;&gt;"Yes",0,IF(A2150=2025,N('2025'!D130),IF(A2150=2026,N('2026'!D130),IF(A2150=2027,N('2027'!D130),IF(A2150=2028,N('2028'!D130),IF(A2150=2029,N('2029'!D130),IF(A2150=2030,N('2030'!D130),IF(A2150=2031,N('2031'!D130),IF(A2150=2032,N('2032'!D130),IF(A2150=2033,N('2033'!D130),IF(A2150=2034,N('2034'!D130),IFERROR(N(INDIRECT("'"&amp;A2150&amp;"'!D"&amp;G2150)),0))))))))))))</f>
        <v>0</v>
      </c>
      <c r="M2150" s="36">
        <f>IFERROR(IF(NOT(ISBLANK(KPI_TARGETS!$P$6)),KPI_TARGETS!$P$6,IF(NOT(ISBLANK(KPI_TARGETS!$F$6)),KPI_TARGETS!$F$6,"")),"")</f>
        <v>4000</v>
      </c>
      <c r="N2150" s="36" t="str">
        <f>IFERROR(KPI_TARGETS!$E$6,"Higher is better")</f>
        <v>Higher is better</v>
      </c>
      <c r="O2150" s="37">
        <f t="shared" ca="1" si="198"/>
        <v>0</v>
      </c>
      <c r="P2150" t="str">
        <f t="shared" ca="1" si="199"/>
        <v>Red</v>
      </c>
      <c r="Q2150" s="36">
        <f t="shared" ca="1" si="200"/>
        <v>-4000</v>
      </c>
      <c r="R2150" s="36" t="str">
        <f>""</f>
        <v/>
      </c>
      <c r="S2150" s="36" t="str">
        <f>""</f>
        <v/>
      </c>
      <c r="T2150" s="36" t="str">
        <f>""</f>
        <v/>
      </c>
      <c r="U2150" s="36" t="str">
        <f>""</f>
        <v/>
      </c>
      <c r="V2150" s="36" t="str">
        <f>""</f>
        <v/>
      </c>
      <c r="W2150" s="36">
        <f t="shared" si="201"/>
        <v>1</v>
      </c>
      <c r="X2150" t="str">
        <f t="shared" si="202"/>
        <v>Inactive</v>
      </c>
      <c r="Y2150" t="str">
        <f>IF(MAIN!$H$3="Selected Year",IF(A2150=MAIN!$B$3,"Yes","No"),IF(MAIN!$H$3="Included Years",IF(D2150="Yes","Yes","No"),IF(C2150="Yes","Yes","No")))</f>
        <v>No</v>
      </c>
      <c r="Z2150" t="str">
        <f>IF(MAIN!$F$3="Project to Date",IF(AND(A2150&gt;=SETTINGS!$B$4,A2150&lt;MAIN!$B$3),"Yes",IF(AND(A2150=MAIN!$B$3,E2150&lt;=MAIN!$L$3),"Yes","No")),IF(OR(MAIN!$F$3="Full Year",MAIN!$D$3="All"),"Yes",IF(MAIN!$F$3="Monthly",IF(E2150=MAIN!$L$3,"Yes","No"),IF(E2150&lt;=MAIN!$L$3,"Yes","No"))))</f>
        <v>Yes</v>
      </c>
      <c r="AA2150" t="str">
        <f t="shared" si="203"/>
        <v>No</v>
      </c>
    </row>
    <row r="2151" spans="1:27" x14ac:dyDescent="0.3">
      <c r="A2151">
        <f>INDEX(SETTINGS!$A$15:$A$24,$B2151)</f>
        <v>2034</v>
      </c>
      <c r="B2151">
        <v>10</v>
      </c>
      <c r="C2151" t="str">
        <f>IF(AND(A2151&gt;=SETTINGS!$B$4,A2151&lt;=SETTINGS!$B$5),"Yes","No")</f>
        <v>No</v>
      </c>
      <c r="D2151" t="str">
        <f>IFERROR(INDEX(SETTINGS!$C$15:$C$24,MATCH(A2151,SETTINGS!$A$15:$A$24,0)),"No")</f>
        <v>No</v>
      </c>
      <c r="E2151">
        <v>6</v>
      </c>
      <c r="F2151" t="s">
        <v>39</v>
      </c>
      <c r="G2151">
        <v>131</v>
      </c>
      <c r="H2151" t="s">
        <v>93</v>
      </c>
      <c r="I2151" t="s">
        <v>89</v>
      </c>
      <c r="J2151" t="s">
        <v>13</v>
      </c>
      <c r="K2151" t="s">
        <v>14</v>
      </c>
      <c r="L2151" s="36">
        <f ca="1">IF(C2151&lt;&gt;"Yes",0,IF(A2151=2025,N('2025'!D131),IF(A2151=2026,N('2026'!D131),IF(A2151=2027,N('2027'!D131),IF(A2151=2028,N('2028'!D131),IF(A2151=2029,N('2029'!D131),IF(A2151=2030,N('2030'!D131),IF(A2151=2031,N('2031'!D131),IF(A2151=2032,N('2032'!D131),IF(A2151=2033,N('2033'!D131),IF(A2151=2034,N('2034'!D131),IFERROR(N(INDIRECT("'"&amp;A2151&amp;"'!D"&amp;G2151)),0))))))))))))</f>
        <v>0</v>
      </c>
      <c r="M2151" s="36">
        <f>IFERROR(IF(NOT(ISBLANK(KPI_TARGETS!$P$7)),KPI_TARGETS!$P$7,IF(NOT(ISBLANK(KPI_TARGETS!$F$7)),KPI_TARGETS!$F$7,"")),"")</f>
        <v>8000</v>
      </c>
      <c r="N2151" s="36" t="str">
        <f>IFERROR(KPI_TARGETS!$E$7,"Higher is better")</f>
        <v>Higher is better</v>
      </c>
      <c r="O2151" s="37">
        <f t="shared" ca="1" si="198"/>
        <v>0</v>
      </c>
      <c r="P2151" t="str">
        <f t="shared" ca="1" si="199"/>
        <v>Red</v>
      </c>
      <c r="Q2151" s="36">
        <f t="shared" ca="1" si="200"/>
        <v>-8000</v>
      </c>
      <c r="R2151" s="36" t="str">
        <f>""</f>
        <v/>
      </c>
      <c r="S2151" s="36" t="str">
        <f>""</f>
        <v/>
      </c>
      <c r="T2151" s="36" t="str">
        <f>""</f>
        <v/>
      </c>
      <c r="U2151" s="36" t="str">
        <f>""</f>
        <v/>
      </c>
      <c r="V2151" s="36" t="str">
        <f>""</f>
        <v/>
      </c>
      <c r="W2151" s="36">
        <f t="shared" si="201"/>
        <v>1</v>
      </c>
      <c r="X2151" t="str">
        <f t="shared" si="202"/>
        <v>Inactive</v>
      </c>
      <c r="Y2151" t="str">
        <f>IF(MAIN!$H$3="Selected Year",IF(A2151=MAIN!$B$3,"Yes","No"),IF(MAIN!$H$3="Included Years",IF(D2151="Yes","Yes","No"),IF(C2151="Yes","Yes","No")))</f>
        <v>No</v>
      </c>
      <c r="Z2151" t="str">
        <f>IF(MAIN!$F$3="Project to Date",IF(AND(A2151&gt;=SETTINGS!$B$4,A2151&lt;MAIN!$B$3),"Yes",IF(AND(A2151=MAIN!$B$3,E2151&lt;=MAIN!$L$3),"Yes","No")),IF(OR(MAIN!$F$3="Full Year",MAIN!$D$3="All"),"Yes",IF(MAIN!$F$3="Monthly",IF(E2151=MAIN!$L$3,"Yes","No"),IF(E2151&lt;=MAIN!$L$3,"Yes","No"))))</f>
        <v>Yes</v>
      </c>
      <c r="AA2151" t="str">
        <f t="shared" si="203"/>
        <v>No</v>
      </c>
    </row>
    <row r="2152" spans="1:27" x14ac:dyDescent="0.3">
      <c r="A2152">
        <f>INDEX(SETTINGS!$A$15:$A$24,$B2152)</f>
        <v>2034</v>
      </c>
      <c r="B2152">
        <v>10</v>
      </c>
      <c r="C2152" t="str">
        <f>IF(AND(A2152&gt;=SETTINGS!$B$4,A2152&lt;=SETTINGS!$B$5),"Yes","No")</f>
        <v>No</v>
      </c>
      <c r="D2152" t="str">
        <f>IFERROR(INDEX(SETTINGS!$C$15:$C$24,MATCH(A2152,SETTINGS!$A$15:$A$24,0)),"No")</f>
        <v>No</v>
      </c>
      <c r="E2152">
        <v>6</v>
      </c>
      <c r="F2152" t="s">
        <v>39</v>
      </c>
      <c r="G2152">
        <v>133</v>
      </c>
      <c r="H2152" t="s">
        <v>95</v>
      </c>
      <c r="I2152" t="s">
        <v>15</v>
      </c>
      <c r="J2152" t="s">
        <v>16</v>
      </c>
      <c r="K2152" t="s">
        <v>3</v>
      </c>
      <c r="L2152" s="36">
        <f ca="1">IF(C2152&lt;&gt;"Yes",0,IF(A2152=2025,N('2025'!D133),IF(A2152=2026,N('2026'!D133),IF(A2152=2027,N('2027'!D133),IF(A2152=2028,N('2028'!D133),IF(A2152=2029,N('2029'!D133),IF(A2152=2030,N('2030'!D133),IF(A2152=2031,N('2031'!D133),IF(A2152=2032,N('2032'!D133),IF(A2152=2033,N('2033'!D133),IF(A2152=2034,N('2034'!D133),IFERROR(N(INDIRECT("'"&amp;A2152&amp;"'!D"&amp;G2152)),0))))))))))))</f>
        <v>0</v>
      </c>
      <c r="M2152" s="36">
        <f>IFERROR(IF(NOT(ISBLANK(KPI_TARGETS!$P$8)),KPI_TARGETS!$P$8,IF(NOT(ISBLANK(KPI_TARGETS!$F$8)),KPI_TARGETS!$F$8,"")),"")</f>
        <v>0</v>
      </c>
      <c r="N2152" s="36" t="str">
        <f>IFERROR(KPI_TARGETS!$E$8,"Higher is better")</f>
        <v>Lower is better</v>
      </c>
      <c r="O2152" s="37">
        <f t="shared" ca="1" si="198"/>
        <v>1</v>
      </c>
      <c r="P2152" t="str">
        <f t="shared" ca="1" si="199"/>
        <v>Green</v>
      </c>
      <c r="Q2152" s="36">
        <f t="shared" ca="1" si="200"/>
        <v>0</v>
      </c>
      <c r="R2152" s="36" t="str">
        <f>""</f>
        <v/>
      </c>
      <c r="S2152" s="36" t="str">
        <f>""</f>
        <v/>
      </c>
      <c r="T2152" s="36" t="str">
        <f>""</f>
        <v/>
      </c>
      <c r="U2152" s="36" t="str">
        <f>""</f>
        <v/>
      </c>
      <c r="V2152" s="36" t="str">
        <f>""</f>
        <v/>
      </c>
      <c r="W2152" s="36">
        <f t="shared" si="201"/>
        <v>1</v>
      </c>
      <c r="X2152" t="str">
        <f t="shared" si="202"/>
        <v>Inactive</v>
      </c>
      <c r="Y2152" t="str">
        <f>IF(MAIN!$H$3="Selected Year",IF(A2152=MAIN!$B$3,"Yes","No"),IF(MAIN!$H$3="Included Years",IF(D2152="Yes","Yes","No"),IF(C2152="Yes","Yes","No")))</f>
        <v>No</v>
      </c>
      <c r="Z2152" t="str">
        <f>IF(MAIN!$F$3="Project to Date",IF(AND(A2152&gt;=SETTINGS!$B$4,A2152&lt;MAIN!$B$3),"Yes",IF(AND(A2152=MAIN!$B$3,E2152&lt;=MAIN!$L$3),"Yes","No")),IF(OR(MAIN!$F$3="Full Year",MAIN!$D$3="All"),"Yes",IF(MAIN!$F$3="Monthly",IF(E2152=MAIN!$L$3,"Yes","No"),IF(E2152&lt;=MAIN!$L$3,"Yes","No"))))</f>
        <v>Yes</v>
      </c>
      <c r="AA2152" t="str">
        <f t="shared" si="203"/>
        <v>No</v>
      </c>
    </row>
    <row r="2153" spans="1:27" x14ac:dyDescent="0.3">
      <c r="A2153">
        <f>INDEX(SETTINGS!$A$15:$A$24,$B2153)</f>
        <v>2034</v>
      </c>
      <c r="B2153">
        <v>10</v>
      </c>
      <c r="C2153" t="str">
        <f>IF(AND(A2153&gt;=SETTINGS!$B$4,A2153&lt;=SETTINGS!$B$5),"Yes","No")</f>
        <v>No</v>
      </c>
      <c r="D2153" t="str">
        <f>IFERROR(INDEX(SETTINGS!$C$15:$C$24,MATCH(A2153,SETTINGS!$A$15:$A$24,0)),"No")</f>
        <v>No</v>
      </c>
      <c r="E2153">
        <v>6</v>
      </c>
      <c r="F2153" t="s">
        <v>39</v>
      </c>
      <c r="G2153">
        <v>134</v>
      </c>
      <c r="H2153" t="s">
        <v>97</v>
      </c>
      <c r="I2153" t="s">
        <v>15</v>
      </c>
      <c r="J2153" t="s">
        <v>17</v>
      </c>
      <c r="K2153" t="s">
        <v>3</v>
      </c>
      <c r="L2153" s="36">
        <f ca="1">IF(C2153&lt;&gt;"Yes",0,IF(A2153=2025,N('2025'!D134),IF(A2153=2026,N('2026'!D134),IF(A2153=2027,N('2027'!D134),IF(A2153=2028,N('2028'!D134),IF(A2153=2029,N('2029'!D134),IF(A2153=2030,N('2030'!D134),IF(A2153=2031,N('2031'!D134),IF(A2153=2032,N('2032'!D134),IF(A2153=2033,N('2033'!D134),IF(A2153=2034,N('2034'!D134),IFERROR(N(INDIRECT("'"&amp;A2153&amp;"'!D"&amp;G2153)),0))))))))))))</f>
        <v>0</v>
      </c>
      <c r="M2153" s="36">
        <f>IFERROR(IF(NOT(ISBLANK(KPI_TARGETS!$P$9)),KPI_TARGETS!$P$9,IF(NOT(ISBLANK(KPI_TARGETS!$F$9)),KPI_TARGETS!$F$9,"")),"")</f>
        <v>0</v>
      </c>
      <c r="N2153" s="36" t="str">
        <f>IFERROR(KPI_TARGETS!$E$9,"Higher is better")</f>
        <v>Higher is better</v>
      </c>
      <c r="O2153" s="37" t="str">
        <f t="shared" ca="1" si="198"/>
        <v/>
      </c>
      <c r="P2153" t="str">
        <f t="shared" ca="1" si="199"/>
        <v>Green</v>
      </c>
      <c r="Q2153" s="36">
        <f t="shared" ca="1" si="200"/>
        <v>0</v>
      </c>
      <c r="R2153" s="36" t="str">
        <f>""</f>
        <v/>
      </c>
      <c r="S2153" s="36" t="str">
        <f>""</f>
        <v/>
      </c>
      <c r="T2153" s="36" t="str">
        <f>""</f>
        <v/>
      </c>
      <c r="U2153" s="36" t="str">
        <f>""</f>
        <v/>
      </c>
      <c r="V2153" s="36" t="str">
        <f>""</f>
        <v/>
      </c>
      <c r="W2153" s="36">
        <f t="shared" si="201"/>
        <v>1</v>
      </c>
      <c r="X2153" t="str">
        <f t="shared" si="202"/>
        <v>Inactive</v>
      </c>
      <c r="Y2153" t="str">
        <f>IF(MAIN!$H$3="Selected Year",IF(A2153=MAIN!$B$3,"Yes","No"),IF(MAIN!$H$3="Included Years",IF(D2153="Yes","Yes","No"),IF(C2153="Yes","Yes","No")))</f>
        <v>No</v>
      </c>
      <c r="Z2153" t="str">
        <f>IF(MAIN!$F$3="Project to Date",IF(AND(A2153&gt;=SETTINGS!$B$4,A2153&lt;MAIN!$B$3),"Yes",IF(AND(A2153=MAIN!$B$3,E2153&lt;=MAIN!$L$3),"Yes","No")),IF(OR(MAIN!$F$3="Full Year",MAIN!$D$3="All"),"Yes",IF(MAIN!$F$3="Monthly",IF(E2153=MAIN!$L$3,"Yes","No"),IF(E2153&lt;=MAIN!$L$3,"Yes","No"))))</f>
        <v>Yes</v>
      </c>
      <c r="AA2153" t="str">
        <f t="shared" si="203"/>
        <v>No</v>
      </c>
    </row>
    <row r="2154" spans="1:27" x14ac:dyDescent="0.3">
      <c r="A2154">
        <f>INDEX(SETTINGS!$A$15:$A$24,$B2154)</f>
        <v>2034</v>
      </c>
      <c r="B2154">
        <v>10</v>
      </c>
      <c r="C2154" t="str">
        <f>IF(AND(A2154&gt;=SETTINGS!$B$4,A2154&lt;=SETTINGS!$B$5),"Yes","No")</f>
        <v>No</v>
      </c>
      <c r="D2154" t="str">
        <f>IFERROR(INDEX(SETTINGS!$C$15:$C$24,MATCH(A2154,SETTINGS!$A$15:$A$24,0)),"No")</f>
        <v>No</v>
      </c>
      <c r="E2154">
        <v>6</v>
      </c>
      <c r="F2154" t="s">
        <v>39</v>
      </c>
      <c r="G2154">
        <v>135</v>
      </c>
      <c r="H2154" t="s">
        <v>99</v>
      </c>
      <c r="I2154" t="s">
        <v>15</v>
      </c>
      <c r="J2154" t="s">
        <v>18</v>
      </c>
      <c r="K2154" t="s">
        <v>3</v>
      </c>
      <c r="L2154" s="36">
        <f ca="1">IF(C2154&lt;&gt;"Yes",0,IF(A2154=2025,N('2025'!D135),IF(A2154=2026,N('2026'!D135),IF(A2154=2027,N('2027'!D135),IF(A2154=2028,N('2028'!D135),IF(A2154=2029,N('2029'!D135),IF(A2154=2030,N('2030'!D135),IF(A2154=2031,N('2031'!D135),IF(A2154=2032,N('2032'!D135),IF(A2154=2033,N('2033'!D135),IF(A2154=2034,N('2034'!D135),IFERROR(N(INDIRECT("'"&amp;A2154&amp;"'!D"&amp;G2154)),0))))))))))))</f>
        <v>0</v>
      </c>
      <c r="M2154" s="36">
        <f>IFERROR(IF(NOT(ISBLANK(KPI_TARGETS!$P$10)),KPI_TARGETS!$P$10,IF(NOT(ISBLANK(KPI_TARGETS!$F$10)),KPI_TARGETS!$F$10,"")),"")</f>
        <v>0</v>
      </c>
      <c r="N2154" s="36" t="str">
        <f>IFERROR(KPI_TARGETS!$E$10,"Higher is better")</f>
        <v>Lower is better</v>
      </c>
      <c r="O2154" s="37">
        <f t="shared" ca="1" si="198"/>
        <v>1</v>
      </c>
      <c r="P2154" t="str">
        <f t="shared" ca="1" si="199"/>
        <v>Green</v>
      </c>
      <c r="Q2154" s="36">
        <f t="shared" ca="1" si="200"/>
        <v>0</v>
      </c>
      <c r="R2154" s="36" t="str">
        <f>""</f>
        <v/>
      </c>
      <c r="S2154" s="36" t="str">
        <f>""</f>
        <v/>
      </c>
      <c r="T2154" s="36" t="str">
        <f>""</f>
        <v/>
      </c>
      <c r="U2154" s="36" t="str">
        <f>""</f>
        <v/>
      </c>
      <c r="V2154" s="36" t="str">
        <f>""</f>
        <v/>
      </c>
      <c r="W2154" s="36">
        <f t="shared" si="201"/>
        <v>1</v>
      </c>
      <c r="X2154" t="str">
        <f t="shared" si="202"/>
        <v>Inactive</v>
      </c>
      <c r="Y2154" t="str">
        <f>IF(MAIN!$H$3="Selected Year",IF(A2154=MAIN!$B$3,"Yes","No"),IF(MAIN!$H$3="Included Years",IF(D2154="Yes","Yes","No"),IF(C2154="Yes","Yes","No")))</f>
        <v>No</v>
      </c>
      <c r="Z2154" t="str">
        <f>IF(MAIN!$F$3="Project to Date",IF(AND(A2154&gt;=SETTINGS!$B$4,A2154&lt;MAIN!$B$3),"Yes",IF(AND(A2154=MAIN!$B$3,E2154&lt;=MAIN!$L$3),"Yes","No")),IF(OR(MAIN!$F$3="Full Year",MAIN!$D$3="All"),"Yes",IF(MAIN!$F$3="Monthly",IF(E2154=MAIN!$L$3,"Yes","No"),IF(E2154&lt;=MAIN!$L$3,"Yes","No"))))</f>
        <v>Yes</v>
      </c>
      <c r="AA2154" t="str">
        <f t="shared" si="203"/>
        <v>No</v>
      </c>
    </row>
    <row r="2155" spans="1:27" x14ac:dyDescent="0.3">
      <c r="A2155">
        <f>INDEX(SETTINGS!$A$15:$A$24,$B2155)</f>
        <v>2034</v>
      </c>
      <c r="B2155">
        <v>10</v>
      </c>
      <c r="C2155" t="str">
        <f>IF(AND(A2155&gt;=SETTINGS!$B$4,A2155&lt;=SETTINGS!$B$5),"Yes","No")</f>
        <v>No</v>
      </c>
      <c r="D2155" t="str">
        <f>IFERROR(INDEX(SETTINGS!$C$15:$C$24,MATCH(A2155,SETTINGS!$A$15:$A$24,0)),"No")</f>
        <v>No</v>
      </c>
      <c r="E2155">
        <v>6</v>
      </c>
      <c r="F2155" t="s">
        <v>39</v>
      </c>
      <c r="G2155">
        <v>136</v>
      </c>
      <c r="H2155" t="s">
        <v>100</v>
      </c>
      <c r="I2155" t="s">
        <v>15</v>
      </c>
      <c r="J2155" t="s">
        <v>19</v>
      </c>
      <c r="K2155" t="s">
        <v>3</v>
      </c>
      <c r="L2155" s="36">
        <f ca="1">IF(C2155&lt;&gt;"Yes",0,IF(A2155=2025,N('2025'!D136),IF(A2155=2026,N('2026'!D136),IF(A2155=2027,N('2027'!D136),IF(A2155=2028,N('2028'!D136),IF(A2155=2029,N('2029'!D136),IF(A2155=2030,N('2030'!D136),IF(A2155=2031,N('2031'!D136),IF(A2155=2032,N('2032'!D136),IF(A2155=2033,N('2033'!D136),IF(A2155=2034,N('2034'!D136),IFERROR(N(INDIRECT("'"&amp;A2155&amp;"'!D"&amp;G2155)),0))))))))))))</f>
        <v>0</v>
      </c>
      <c r="M2155" s="36">
        <f>IFERROR(IF(NOT(ISBLANK(KPI_TARGETS!$P$11)),KPI_TARGETS!$P$11,IF(NOT(ISBLANK(KPI_TARGETS!$F$11)),KPI_TARGETS!$F$11,"")),"")</f>
        <v>0</v>
      </c>
      <c r="N2155" s="36" t="str">
        <f>IFERROR(KPI_TARGETS!$E$11,"Higher is better")</f>
        <v>Lower is better</v>
      </c>
      <c r="O2155" s="37">
        <f t="shared" ca="1" si="198"/>
        <v>1</v>
      </c>
      <c r="P2155" t="str">
        <f t="shared" ca="1" si="199"/>
        <v>Green</v>
      </c>
      <c r="Q2155" s="36">
        <f t="shared" ca="1" si="200"/>
        <v>0</v>
      </c>
      <c r="R2155" s="36" t="str">
        <f>""</f>
        <v/>
      </c>
      <c r="S2155" s="36" t="str">
        <f>""</f>
        <v/>
      </c>
      <c r="T2155" s="36" t="str">
        <f>""</f>
        <v/>
      </c>
      <c r="U2155" s="36" t="str">
        <f>""</f>
        <v/>
      </c>
      <c r="V2155" s="36" t="str">
        <f>""</f>
        <v/>
      </c>
      <c r="W2155" s="36">
        <f t="shared" si="201"/>
        <v>1</v>
      </c>
      <c r="X2155" t="str">
        <f t="shared" si="202"/>
        <v>Inactive</v>
      </c>
      <c r="Y2155" t="str">
        <f>IF(MAIN!$H$3="Selected Year",IF(A2155=MAIN!$B$3,"Yes","No"),IF(MAIN!$H$3="Included Years",IF(D2155="Yes","Yes","No"),IF(C2155="Yes","Yes","No")))</f>
        <v>No</v>
      </c>
      <c r="Z2155" t="str">
        <f>IF(MAIN!$F$3="Project to Date",IF(AND(A2155&gt;=SETTINGS!$B$4,A2155&lt;MAIN!$B$3),"Yes",IF(AND(A2155=MAIN!$B$3,E2155&lt;=MAIN!$L$3),"Yes","No")),IF(OR(MAIN!$F$3="Full Year",MAIN!$D$3="All"),"Yes",IF(MAIN!$F$3="Monthly",IF(E2155=MAIN!$L$3,"Yes","No"),IF(E2155&lt;=MAIN!$L$3,"Yes","No"))))</f>
        <v>Yes</v>
      </c>
      <c r="AA2155" t="str">
        <f t="shared" si="203"/>
        <v>No</v>
      </c>
    </row>
    <row r="2156" spans="1:27" x14ac:dyDescent="0.3">
      <c r="A2156">
        <f>INDEX(SETTINGS!$A$15:$A$24,$B2156)</f>
        <v>2034</v>
      </c>
      <c r="B2156">
        <v>10</v>
      </c>
      <c r="C2156" t="str">
        <f>IF(AND(A2156&gt;=SETTINGS!$B$4,A2156&lt;=SETTINGS!$B$5),"Yes","No")</f>
        <v>No</v>
      </c>
      <c r="D2156" t="str">
        <f>IFERROR(INDEX(SETTINGS!$C$15:$C$24,MATCH(A2156,SETTINGS!$A$15:$A$24,0)),"No")</f>
        <v>No</v>
      </c>
      <c r="E2156">
        <v>6</v>
      </c>
      <c r="F2156" t="s">
        <v>39</v>
      </c>
      <c r="G2156">
        <v>137</v>
      </c>
      <c r="H2156" t="s">
        <v>101</v>
      </c>
      <c r="I2156" t="s">
        <v>15</v>
      </c>
      <c r="J2156" t="s">
        <v>20</v>
      </c>
      <c r="K2156" t="s">
        <v>3</v>
      </c>
      <c r="L2156" s="36">
        <f ca="1">IF(C2156&lt;&gt;"Yes",0,IF(A2156=2025,N('2025'!D137),IF(A2156=2026,N('2026'!D137),IF(A2156=2027,N('2027'!D137),IF(A2156=2028,N('2028'!D137),IF(A2156=2029,N('2029'!D137),IF(A2156=2030,N('2030'!D137),IF(A2156=2031,N('2031'!D137),IF(A2156=2032,N('2032'!D137),IF(A2156=2033,N('2033'!D137),IF(A2156=2034,N('2034'!D137),IFERROR(N(INDIRECT("'"&amp;A2156&amp;"'!D"&amp;G2156)),0))))))))))))</f>
        <v>0</v>
      </c>
      <c r="M2156" s="36">
        <f>IFERROR(IF(NOT(ISBLANK(KPI_TARGETS!$P$12)),KPI_TARGETS!$P$12,IF(NOT(ISBLANK(KPI_TARGETS!$F$12)),KPI_TARGETS!$F$12,"")),"")</f>
        <v>0</v>
      </c>
      <c r="N2156" s="36" t="str">
        <f>IFERROR(KPI_TARGETS!$E$12,"Higher is better")</f>
        <v>Lower is better</v>
      </c>
      <c r="O2156" s="37">
        <f t="shared" ca="1" si="198"/>
        <v>1</v>
      </c>
      <c r="P2156" t="str">
        <f t="shared" ca="1" si="199"/>
        <v>Green</v>
      </c>
      <c r="Q2156" s="36">
        <f t="shared" ca="1" si="200"/>
        <v>0</v>
      </c>
      <c r="R2156" s="36" t="str">
        <f>""</f>
        <v/>
      </c>
      <c r="S2156" s="36" t="str">
        <f>""</f>
        <v/>
      </c>
      <c r="T2156" s="36" t="str">
        <f>""</f>
        <v/>
      </c>
      <c r="U2156" s="36" t="str">
        <f>""</f>
        <v/>
      </c>
      <c r="V2156" s="36" t="str">
        <f>""</f>
        <v/>
      </c>
      <c r="W2156" s="36">
        <f t="shared" si="201"/>
        <v>1</v>
      </c>
      <c r="X2156" t="str">
        <f t="shared" si="202"/>
        <v>Inactive</v>
      </c>
      <c r="Y2156" t="str">
        <f>IF(MAIN!$H$3="Selected Year",IF(A2156=MAIN!$B$3,"Yes","No"),IF(MAIN!$H$3="Included Years",IF(D2156="Yes","Yes","No"),IF(C2156="Yes","Yes","No")))</f>
        <v>No</v>
      </c>
      <c r="Z2156" t="str">
        <f>IF(MAIN!$F$3="Project to Date",IF(AND(A2156&gt;=SETTINGS!$B$4,A2156&lt;MAIN!$B$3),"Yes",IF(AND(A2156=MAIN!$B$3,E2156&lt;=MAIN!$L$3),"Yes","No")),IF(OR(MAIN!$F$3="Full Year",MAIN!$D$3="All"),"Yes",IF(MAIN!$F$3="Monthly",IF(E2156=MAIN!$L$3,"Yes","No"),IF(E2156&lt;=MAIN!$L$3,"Yes","No"))))</f>
        <v>Yes</v>
      </c>
      <c r="AA2156" t="str">
        <f t="shared" si="203"/>
        <v>No</v>
      </c>
    </row>
    <row r="2157" spans="1:27" x14ac:dyDescent="0.3">
      <c r="A2157">
        <f>INDEX(SETTINGS!$A$15:$A$24,$B2157)</f>
        <v>2034</v>
      </c>
      <c r="B2157">
        <v>10</v>
      </c>
      <c r="C2157" t="str">
        <f>IF(AND(A2157&gt;=SETTINGS!$B$4,A2157&lt;=SETTINGS!$B$5),"Yes","No")</f>
        <v>No</v>
      </c>
      <c r="D2157" t="str">
        <f>IFERROR(INDEX(SETTINGS!$C$15:$C$24,MATCH(A2157,SETTINGS!$A$15:$A$24,0)),"No")</f>
        <v>No</v>
      </c>
      <c r="E2157">
        <v>6</v>
      </c>
      <c r="F2157" t="s">
        <v>39</v>
      </c>
      <c r="G2157">
        <v>138</v>
      </c>
      <c r="H2157" t="s">
        <v>102</v>
      </c>
      <c r="I2157" t="s">
        <v>15</v>
      </c>
      <c r="J2157" t="s">
        <v>21</v>
      </c>
      <c r="K2157" t="s">
        <v>3</v>
      </c>
      <c r="L2157" s="36">
        <f ca="1">IF(C2157&lt;&gt;"Yes",0,IF(A2157=2025,N('2025'!D138),IF(A2157=2026,N('2026'!D138),IF(A2157=2027,N('2027'!D138),IF(A2157=2028,N('2028'!D138),IF(A2157=2029,N('2029'!D138),IF(A2157=2030,N('2030'!D138),IF(A2157=2031,N('2031'!D138),IF(A2157=2032,N('2032'!D138),IF(A2157=2033,N('2033'!D138),IF(A2157=2034,N('2034'!D138),IFERROR(N(INDIRECT("'"&amp;A2157&amp;"'!D"&amp;G2157)),0))))))))))))</f>
        <v>0</v>
      </c>
      <c r="M2157" s="36">
        <f>IFERROR(IF(NOT(ISBLANK(KPI_TARGETS!$P$13)),KPI_TARGETS!$P$13,IF(NOT(ISBLANK(KPI_TARGETS!$F$13)),KPI_TARGETS!$F$13,"")),"")</f>
        <v>0</v>
      </c>
      <c r="N2157" s="36" t="str">
        <f>IFERROR(KPI_TARGETS!$E$13,"Higher is better")</f>
        <v>Lower is better</v>
      </c>
      <c r="O2157" s="37">
        <f t="shared" ca="1" si="198"/>
        <v>1</v>
      </c>
      <c r="P2157" t="str">
        <f t="shared" ca="1" si="199"/>
        <v>Green</v>
      </c>
      <c r="Q2157" s="36">
        <f t="shared" ca="1" si="200"/>
        <v>0</v>
      </c>
      <c r="R2157" s="36" t="str">
        <f>""</f>
        <v/>
      </c>
      <c r="S2157" s="36" t="str">
        <f>""</f>
        <v/>
      </c>
      <c r="T2157" s="36" t="str">
        <f>""</f>
        <v/>
      </c>
      <c r="U2157" s="36" t="str">
        <f>""</f>
        <v/>
      </c>
      <c r="V2157" s="36" t="str">
        <f>""</f>
        <v/>
      </c>
      <c r="W2157" s="36">
        <f t="shared" si="201"/>
        <v>1</v>
      </c>
      <c r="X2157" t="str">
        <f t="shared" si="202"/>
        <v>Inactive</v>
      </c>
      <c r="Y2157" t="str">
        <f>IF(MAIN!$H$3="Selected Year",IF(A2157=MAIN!$B$3,"Yes","No"),IF(MAIN!$H$3="Included Years",IF(D2157="Yes","Yes","No"),IF(C2157="Yes","Yes","No")))</f>
        <v>No</v>
      </c>
      <c r="Z2157" t="str">
        <f>IF(MAIN!$F$3="Project to Date",IF(AND(A2157&gt;=SETTINGS!$B$4,A2157&lt;MAIN!$B$3),"Yes",IF(AND(A2157=MAIN!$B$3,E2157&lt;=MAIN!$L$3),"Yes","No")),IF(OR(MAIN!$F$3="Full Year",MAIN!$D$3="All"),"Yes",IF(MAIN!$F$3="Monthly",IF(E2157=MAIN!$L$3,"Yes","No"),IF(E2157&lt;=MAIN!$L$3,"Yes","No"))))</f>
        <v>Yes</v>
      </c>
      <c r="AA2157" t="str">
        <f t="shared" si="203"/>
        <v>No</v>
      </c>
    </row>
    <row r="2158" spans="1:27" x14ac:dyDescent="0.3">
      <c r="A2158">
        <f>INDEX(SETTINGS!$A$15:$A$24,$B2158)</f>
        <v>2034</v>
      </c>
      <c r="B2158">
        <v>10</v>
      </c>
      <c r="C2158" t="str">
        <f>IF(AND(A2158&gt;=SETTINGS!$B$4,A2158&lt;=SETTINGS!$B$5),"Yes","No")</f>
        <v>No</v>
      </c>
      <c r="D2158" t="str">
        <f>IFERROR(INDEX(SETTINGS!$C$15:$C$24,MATCH(A2158,SETTINGS!$A$15:$A$24,0)),"No")</f>
        <v>No</v>
      </c>
      <c r="E2158">
        <v>6</v>
      </c>
      <c r="F2158" t="s">
        <v>39</v>
      </c>
      <c r="G2158">
        <v>140</v>
      </c>
      <c r="H2158" t="s">
        <v>103</v>
      </c>
      <c r="I2158" t="s">
        <v>22</v>
      </c>
      <c r="J2158" t="s">
        <v>23</v>
      </c>
      <c r="K2158" t="s">
        <v>3</v>
      </c>
      <c r="L2158" s="36">
        <f ca="1">IF(C2158&lt;&gt;"Yes",0,IF(A2158=2025,N('2025'!D140),IF(A2158=2026,N('2026'!D140),IF(A2158=2027,N('2027'!D140),IF(A2158=2028,N('2028'!D140),IF(A2158=2029,N('2029'!D140),IF(A2158=2030,N('2030'!D140),IF(A2158=2031,N('2031'!D140),IF(A2158=2032,N('2032'!D140),IF(A2158=2033,N('2033'!D140),IF(A2158=2034,N('2034'!D140),IFERROR(N(INDIRECT("'"&amp;A2158&amp;"'!D"&amp;G2158)),0))))))))))))</f>
        <v>0</v>
      </c>
      <c r="M2158" s="36">
        <f>IFERROR(IF(NOT(ISBLANK(KPI_TARGETS!$P$14)),KPI_TARGETS!$P$14,IF(NOT(ISBLANK(KPI_TARGETS!$F$14)),KPI_TARGETS!$F$14,"")),"")</f>
        <v>35</v>
      </c>
      <c r="N2158" s="36" t="str">
        <f>IFERROR(KPI_TARGETS!$E$14,"Higher is better")</f>
        <v>Higher is better</v>
      </c>
      <c r="O2158" s="37">
        <f t="shared" ca="1" si="198"/>
        <v>0</v>
      </c>
      <c r="P2158" t="str">
        <f t="shared" ca="1" si="199"/>
        <v>Red</v>
      </c>
      <c r="Q2158" s="36">
        <f t="shared" ca="1" si="200"/>
        <v>-35</v>
      </c>
      <c r="R2158" s="36" t="str">
        <f>""</f>
        <v/>
      </c>
      <c r="S2158" s="36" t="str">
        <f>""</f>
        <v/>
      </c>
      <c r="T2158" s="36" t="str">
        <f>""</f>
        <v/>
      </c>
      <c r="U2158" s="36" t="str">
        <f>""</f>
        <v/>
      </c>
      <c r="V2158" s="36" t="str">
        <f>""</f>
        <v/>
      </c>
      <c r="W2158" s="36">
        <f t="shared" si="201"/>
        <v>1</v>
      </c>
      <c r="X2158" t="str">
        <f t="shared" si="202"/>
        <v>Inactive</v>
      </c>
      <c r="Y2158" t="str">
        <f>IF(MAIN!$H$3="Selected Year",IF(A2158=MAIN!$B$3,"Yes","No"),IF(MAIN!$H$3="Included Years",IF(D2158="Yes","Yes","No"),IF(C2158="Yes","Yes","No")))</f>
        <v>No</v>
      </c>
      <c r="Z2158" t="str">
        <f>IF(MAIN!$F$3="Project to Date",IF(AND(A2158&gt;=SETTINGS!$B$4,A2158&lt;MAIN!$B$3),"Yes",IF(AND(A2158=MAIN!$B$3,E2158&lt;=MAIN!$L$3),"Yes","No")),IF(OR(MAIN!$F$3="Full Year",MAIN!$D$3="All"),"Yes",IF(MAIN!$F$3="Monthly",IF(E2158=MAIN!$L$3,"Yes","No"),IF(E2158&lt;=MAIN!$L$3,"Yes","No"))))</f>
        <v>Yes</v>
      </c>
      <c r="AA2158" t="str">
        <f t="shared" si="203"/>
        <v>No</v>
      </c>
    </row>
    <row r="2159" spans="1:27" x14ac:dyDescent="0.3">
      <c r="A2159">
        <f>INDEX(SETTINGS!$A$15:$A$24,$B2159)</f>
        <v>2034</v>
      </c>
      <c r="B2159">
        <v>10</v>
      </c>
      <c r="C2159" t="str">
        <f>IF(AND(A2159&gt;=SETTINGS!$B$4,A2159&lt;=SETTINGS!$B$5),"Yes","No")</f>
        <v>No</v>
      </c>
      <c r="D2159" t="str">
        <f>IFERROR(INDEX(SETTINGS!$C$15:$C$24,MATCH(A2159,SETTINGS!$A$15:$A$24,0)),"No")</f>
        <v>No</v>
      </c>
      <c r="E2159">
        <v>6</v>
      </c>
      <c r="F2159" t="s">
        <v>39</v>
      </c>
      <c r="G2159">
        <v>141</v>
      </c>
      <c r="H2159" t="s">
        <v>104</v>
      </c>
      <c r="I2159" t="s">
        <v>22</v>
      </c>
      <c r="J2159" t="s">
        <v>24</v>
      </c>
      <c r="K2159" t="s">
        <v>3</v>
      </c>
      <c r="L2159" s="36">
        <f ca="1">IF(C2159&lt;&gt;"Yes",0,IF(A2159=2025,N('2025'!D141),IF(A2159=2026,N('2026'!D141),IF(A2159=2027,N('2027'!D141),IF(A2159=2028,N('2028'!D141),IF(A2159=2029,N('2029'!D141),IF(A2159=2030,N('2030'!D141),IF(A2159=2031,N('2031'!D141),IF(A2159=2032,N('2032'!D141),IF(A2159=2033,N('2033'!D141),IF(A2159=2034,N('2034'!D141),IFERROR(N(INDIRECT("'"&amp;A2159&amp;"'!D"&amp;G2159)),0))))))))))))</f>
        <v>0</v>
      </c>
      <c r="M2159" s="36">
        <f>IFERROR(IF(NOT(ISBLANK(KPI_TARGETS!$P$15)),KPI_TARGETS!$P$15,IF(NOT(ISBLANK(KPI_TARGETS!$F$15)),KPI_TARGETS!$F$15,"")),"")</f>
        <v>5</v>
      </c>
      <c r="N2159" s="36" t="str">
        <f>IFERROR(KPI_TARGETS!$E$15,"Higher is better")</f>
        <v>Higher is better</v>
      </c>
      <c r="O2159" s="37">
        <f t="shared" ca="1" si="198"/>
        <v>0</v>
      </c>
      <c r="P2159" t="str">
        <f t="shared" ca="1" si="199"/>
        <v>Red</v>
      </c>
      <c r="Q2159" s="36">
        <f t="shared" ca="1" si="200"/>
        <v>-5</v>
      </c>
      <c r="R2159" s="36" t="str">
        <f>""</f>
        <v/>
      </c>
      <c r="S2159" s="36" t="str">
        <f>""</f>
        <v/>
      </c>
      <c r="T2159" s="36" t="str">
        <f>""</f>
        <v/>
      </c>
      <c r="U2159" s="36" t="str">
        <f>""</f>
        <v/>
      </c>
      <c r="V2159" s="36" t="str">
        <f>""</f>
        <v/>
      </c>
      <c r="W2159" s="36">
        <f t="shared" si="201"/>
        <v>1</v>
      </c>
      <c r="X2159" t="str">
        <f t="shared" si="202"/>
        <v>Inactive</v>
      </c>
      <c r="Y2159" t="str">
        <f>IF(MAIN!$H$3="Selected Year",IF(A2159=MAIN!$B$3,"Yes","No"),IF(MAIN!$H$3="Included Years",IF(D2159="Yes","Yes","No"),IF(C2159="Yes","Yes","No")))</f>
        <v>No</v>
      </c>
      <c r="Z2159" t="str">
        <f>IF(MAIN!$F$3="Project to Date",IF(AND(A2159&gt;=SETTINGS!$B$4,A2159&lt;MAIN!$B$3),"Yes",IF(AND(A2159=MAIN!$B$3,E2159&lt;=MAIN!$L$3),"Yes","No")),IF(OR(MAIN!$F$3="Full Year",MAIN!$D$3="All"),"Yes",IF(MAIN!$F$3="Monthly",IF(E2159=MAIN!$L$3,"Yes","No"),IF(E2159&lt;=MAIN!$L$3,"Yes","No"))))</f>
        <v>Yes</v>
      </c>
      <c r="AA2159" t="str">
        <f t="shared" si="203"/>
        <v>No</v>
      </c>
    </row>
    <row r="2160" spans="1:27" x14ac:dyDescent="0.3">
      <c r="A2160">
        <f>INDEX(SETTINGS!$A$15:$A$24,$B2160)</f>
        <v>2034</v>
      </c>
      <c r="B2160">
        <v>10</v>
      </c>
      <c r="C2160" t="str">
        <f>IF(AND(A2160&gt;=SETTINGS!$B$4,A2160&lt;=SETTINGS!$B$5),"Yes","No")</f>
        <v>No</v>
      </c>
      <c r="D2160" t="str">
        <f>IFERROR(INDEX(SETTINGS!$C$15:$C$24,MATCH(A2160,SETTINGS!$A$15:$A$24,0)),"No")</f>
        <v>No</v>
      </c>
      <c r="E2160">
        <v>6</v>
      </c>
      <c r="F2160" t="s">
        <v>39</v>
      </c>
      <c r="G2160">
        <v>142</v>
      </c>
      <c r="H2160" t="s">
        <v>105</v>
      </c>
      <c r="I2160" t="s">
        <v>22</v>
      </c>
      <c r="J2160" t="s">
        <v>25</v>
      </c>
      <c r="K2160" t="s">
        <v>3</v>
      </c>
      <c r="L2160" s="36">
        <f ca="1">IF(C2160&lt;&gt;"Yes",0,IF(A2160=2025,N('2025'!D142),IF(A2160=2026,N('2026'!D142),IF(A2160=2027,N('2027'!D142),IF(A2160=2028,N('2028'!D142),IF(A2160=2029,N('2029'!D142),IF(A2160=2030,N('2030'!D142),IF(A2160=2031,N('2031'!D142),IF(A2160=2032,N('2032'!D142),IF(A2160=2033,N('2033'!D142),IF(A2160=2034,N('2034'!D142),IFERROR(N(INDIRECT("'"&amp;A2160&amp;"'!D"&amp;G2160)),0))))))))))))</f>
        <v>0</v>
      </c>
      <c r="M2160" s="36">
        <f>IFERROR(IF(NOT(ISBLANK(KPI_TARGETS!$P$16)),KPI_TARGETS!$P$16,IF(NOT(ISBLANK(KPI_TARGETS!$F$16)),KPI_TARGETS!$F$16,"")),"")</f>
        <v>4</v>
      </c>
      <c r="N2160" s="36" t="str">
        <f>IFERROR(KPI_TARGETS!$E$16,"Higher is better")</f>
        <v>Higher is better</v>
      </c>
      <c r="O2160" s="37">
        <f t="shared" ca="1" si="198"/>
        <v>0</v>
      </c>
      <c r="P2160" t="str">
        <f t="shared" ca="1" si="199"/>
        <v>Red</v>
      </c>
      <c r="Q2160" s="36">
        <f t="shared" ca="1" si="200"/>
        <v>-4</v>
      </c>
      <c r="R2160" s="36" t="str">
        <f>""</f>
        <v/>
      </c>
      <c r="S2160" s="36" t="str">
        <f>""</f>
        <v/>
      </c>
      <c r="T2160" s="36" t="str">
        <f>""</f>
        <v/>
      </c>
      <c r="U2160" s="36" t="str">
        <f>""</f>
        <v/>
      </c>
      <c r="V2160" s="36" t="str">
        <f>""</f>
        <v/>
      </c>
      <c r="W2160" s="36">
        <f t="shared" si="201"/>
        <v>1</v>
      </c>
      <c r="X2160" t="str">
        <f t="shared" si="202"/>
        <v>Inactive</v>
      </c>
      <c r="Y2160" t="str">
        <f>IF(MAIN!$H$3="Selected Year",IF(A2160=MAIN!$B$3,"Yes","No"),IF(MAIN!$H$3="Included Years",IF(D2160="Yes","Yes","No"),IF(C2160="Yes","Yes","No")))</f>
        <v>No</v>
      </c>
      <c r="Z2160" t="str">
        <f>IF(MAIN!$F$3="Project to Date",IF(AND(A2160&gt;=SETTINGS!$B$4,A2160&lt;MAIN!$B$3),"Yes",IF(AND(A2160=MAIN!$B$3,E2160&lt;=MAIN!$L$3),"Yes","No")),IF(OR(MAIN!$F$3="Full Year",MAIN!$D$3="All"),"Yes",IF(MAIN!$F$3="Monthly",IF(E2160=MAIN!$L$3,"Yes","No"),IF(E2160&lt;=MAIN!$L$3,"Yes","No"))))</f>
        <v>Yes</v>
      </c>
      <c r="AA2160" t="str">
        <f t="shared" si="203"/>
        <v>No</v>
      </c>
    </row>
    <row r="2161" spans="1:27" x14ac:dyDescent="0.3">
      <c r="A2161">
        <f>INDEX(SETTINGS!$A$15:$A$24,$B2161)</f>
        <v>2034</v>
      </c>
      <c r="B2161">
        <v>10</v>
      </c>
      <c r="C2161" t="str">
        <f>IF(AND(A2161&gt;=SETTINGS!$B$4,A2161&lt;=SETTINGS!$B$5),"Yes","No")</f>
        <v>No</v>
      </c>
      <c r="D2161" t="str">
        <f>IFERROR(INDEX(SETTINGS!$C$15:$C$24,MATCH(A2161,SETTINGS!$A$15:$A$24,0)),"No")</f>
        <v>No</v>
      </c>
      <c r="E2161">
        <v>6</v>
      </c>
      <c r="F2161" t="s">
        <v>39</v>
      </c>
      <c r="G2161">
        <v>143</v>
      </c>
      <c r="H2161" t="s">
        <v>106</v>
      </c>
      <c r="I2161" t="s">
        <v>22</v>
      </c>
      <c r="J2161" t="s">
        <v>26</v>
      </c>
      <c r="K2161" t="s">
        <v>3</v>
      </c>
      <c r="L2161" s="36">
        <f ca="1">IF(C2161&lt;&gt;"Yes",0,IF(A2161=2025,N('2025'!D143),IF(A2161=2026,N('2026'!D143),IF(A2161=2027,N('2027'!D143),IF(A2161=2028,N('2028'!D143),IF(A2161=2029,N('2029'!D143),IF(A2161=2030,N('2030'!D143),IF(A2161=2031,N('2031'!D143),IF(A2161=2032,N('2032'!D143),IF(A2161=2033,N('2033'!D143),IF(A2161=2034,N('2034'!D143),IFERROR(N(INDIRECT("'"&amp;A2161&amp;"'!D"&amp;G2161)),0))))))))))))</f>
        <v>0</v>
      </c>
      <c r="M2161" s="36">
        <f>IFERROR(IF(NOT(ISBLANK(KPI_TARGETS!$P$17)),KPI_TARGETS!$P$17,IF(NOT(ISBLANK(KPI_TARGETS!$F$17)),KPI_TARGETS!$F$17,"")),"")</f>
        <v>12</v>
      </c>
      <c r="N2161" s="36" t="str">
        <f>IFERROR(KPI_TARGETS!$E$17,"Higher is better")</f>
        <v>Higher is better</v>
      </c>
      <c r="O2161" s="37">
        <f t="shared" ca="1" si="198"/>
        <v>0</v>
      </c>
      <c r="P2161" t="str">
        <f t="shared" ca="1" si="199"/>
        <v>Red</v>
      </c>
      <c r="Q2161" s="36">
        <f t="shared" ca="1" si="200"/>
        <v>-12</v>
      </c>
      <c r="R2161" s="36" t="str">
        <f>""</f>
        <v/>
      </c>
      <c r="S2161" s="36" t="str">
        <f>""</f>
        <v/>
      </c>
      <c r="T2161" s="36" t="str">
        <f>""</f>
        <v/>
      </c>
      <c r="U2161" s="36" t="str">
        <f>""</f>
        <v/>
      </c>
      <c r="V2161" s="36" t="str">
        <f>""</f>
        <v/>
      </c>
      <c r="W2161" s="36">
        <f t="shared" si="201"/>
        <v>1</v>
      </c>
      <c r="X2161" t="str">
        <f t="shared" si="202"/>
        <v>Inactive</v>
      </c>
      <c r="Y2161" t="str">
        <f>IF(MAIN!$H$3="Selected Year",IF(A2161=MAIN!$B$3,"Yes","No"),IF(MAIN!$H$3="Included Years",IF(D2161="Yes","Yes","No"),IF(C2161="Yes","Yes","No")))</f>
        <v>No</v>
      </c>
      <c r="Z2161" t="str">
        <f>IF(MAIN!$F$3="Project to Date",IF(AND(A2161&gt;=SETTINGS!$B$4,A2161&lt;MAIN!$B$3),"Yes",IF(AND(A2161=MAIN!$B$3,E2161&lt;=MAIN!$L$3),"Yes","No")),IF(OR(MAIN!$F$3="Full Year",MAIN!$D$3="All"),"Yes",IF(MAIN!$F$3="Monthly",IF(E2161=MAIN!$L$3,"Yes","No"),IF(E2161&lt;=MAIN!$L$3,"Yes","No"))))</f>
        <v>Yes</v>
      </c>
      <c r="AA2161" t="str">
        <f t="shared" si="203"/>
        <v>No</v>
      </c>
    </row>
    <row r="2162" spans="1:27" x14ac:dyDescent="0.3">
      <c r="A2162">
        <f>INDEX(SETTINGS!$A$15:$A$24,$B2162)</f>
        <v>2034</v>
      </c>
      <c r="B2162">
        <v>10</v>
      </c>
      <c r="C2162" t="str">
        <f>IF(AND(A2162&gt;=SETTINGS!$B$4,A2162&lt;=SETTINGS!$B$5),"Yes","No")</f>
        <v>No</v>
      </c>
      <c r="D2162" t="str">
        <f>IFERROR(INDEX(SETTINGS!$C$15:$C$24,MATCH(A2162,SETTINGS!$A$15:$A$24,0)),"No")</f>
        <v>No</v>
      </c>
      <c r="E2162">
        <v>6</v>
      </c>
      <c r="F2162" t="s">
        <v>39</v>
      </c>
      <c r="G2162">
        <v>144</v>
      </c>
      <c r="H2162" t="s">
        <v>107</v>
      </c>
      <c r="I2162" t="s">
        <v>22</v>
      </c>
      <c r="J2162" t="s">
        <v>27</v>
      </c>
      <c r="K2162" t="s">
        <v>3</v>
      </c>
      <c r="L2162" s="36">
        <f ca="1">IF(C2162&lt;&gt;"Yes",0,IF(A2162=2025,N('2025'!D144),IF(A2162=2026,N('2026'!D144),IF(A2162=2027,N('2027'!D144),IF(A2162=2028,N('2028'!D144),IF(A2162=2029,N('2029'!D144),IF(A2162=2030,N('2030'!D144),IF(A2162=2031,N('2031'!D144),IF(A2162=2032,N('2032'!D144),IF(A2162=2033,N('2033'!D144),IF(A2162=2034,N('2034'!D144),IFERROR(N(INDIRECT("'"&amp;A2162&amp;"'!D"&amp;G2162)),0))))))))))))</f>
        <v>0</v>
      </c>
      <c r="M2162" s="36">
        <f>IFERROR(IF(NOT(ISBLANK(KPI_TARGETS!$P$18)),KPI_TARGETS!$P$18,IF(NOT(ISBLANK(KPI_TARGETS!$F$18)),KPI_TARGETS!$F$18,"")),"")</f>
        <v>4</v>
      </c>
      <c r="N2162" s="36" t="str">
        <f>IFERROR(KPI_TARGETS!$E$18,"Higher is better")</f>
        <v>Higher is better</v>
      </c>
      <c r="O2162" s="37">
        <f t="shared" ca="1" si="198"/>
        <v>0</v>
      </c>
      <c r="P2162" t="str">
        <f t="shared" ca="1" si="199"/>
        <v>Red</v>
      </c>
      <c r="Q2162" s="36">
        <f t="shared" ca="1" si="200"/>
        <v>-4</v>
      </c>
      <c r="R2162" s="36" t="str">
        <f>""</f>
        <v/>
      </c>
      <c r="S2162" s="36" t="str">
        <f>""</f>
        <v/>
      </c>
      <c r="T2162" s="36" t="str">
        <f>""</f>
        <v/>
      </c>
      <c r="U2162" s="36" t="str">
        <f>""</f>
        <v/>
      </c>
      <c r="V2162" s="36" t="str">
        <f>""</f>
        <v/>
      </c>
      <c r="W2162" s="36">
        <f t="shared" si="201"/>
        <v>1</v>
      </c>
      <c r="X2162" t="str">
        <f t="shared" si="202"/>
        <v>Inactive</v>
      </c>
      <c r="Y2162" t="str">
        <f>IF(MAIN!$H$3="Selected Year",IF(A2162=MAIN!$B$3,"Yes","No"),IF(MAIN!$H$3="Included Years",IF(D2162="Yes","Yes","No"),IF(C2162="Yes","Yes","No")))</f>
        <v>No</v>
      </c>
      <c r="Z2162" t="str">
        <f>IF(MAIN!$F$3="Project to Date",IF(AND(A2162&gt;=SETTINGS!$B$4,A2162&lt;MAIN!$B$3),"Yes",IF(AND(A2162=MAIN!$B$3,E2162&lt;=MAIN!$L$3),"Yes","No")),IF(OR(MAIN!$F$3="Full Year",MAIN!$D$3="All"),"Yes",IF(MAIN!$F$3="Monthly",IF(E2162=MAIN!$L$3,"Yes","No"),IF(E2162&lt;=MAIN!$L$3,"Yes","No"))))</f>
        <v>Yes</v>
      </c>
      <c r="AA2162" t="str">
        <f t="shared" si="203"/>
        <v>No</v>
      </c>
    </row>
    <row r="2163" spans="1:27" x14ac:dyDescent="0.3">
      <c r="A2163">
        <f>INDEX(SETTINGS!$A$15:$A$24,$B2163)</f>
        <v>2034</v>
      </c>
      <c r="B2163">
        <v>10</v>
      </c>
      <c r="C2163" t="str">
        <f>IF(AND(A2163&gt;=SETTINGS!$B$4,A2163&lt;=SETTINGS!$B$5),"Yes","No")</f>
        <v>No</v>
      </c>
      <c r="D2163" t="str">
        <f>IFERROR(INDEX(SETTINGS!$C$15:$C$24,MATCH(A2163,SETTINGS!$A$15:$A$24,0)),"No")</f>
        <v>No</v>
      </c>
      <c r="E2163">
        <v>6</v>
      </c>
      <c r="F2163" t="s">
        <v>39</v>
      </c>
      <c r="G2163">
        <v>145</v>
      </c>
      <c r="H2163" t="s">
        <v>108</v>
      </c>
      <c r="I2163" t="s">
        <v>22</v>
      </c>
      <c r="J2163" t="s">
        <v>28</v>
      </c>
      <c r="K2163" t="s">
        <v>3</v>
      </c>
      <c r="L2163" s="36">
        <f ca="1">IF(C2163&lt;&gt;"Yes",0,IF(A2163=2025,N('2025'!D145),IF(A2163=2026,N('2026'!D145),IF(A2163=2027,N('2027'!D145),IF(A2163=2028,N('2028'!D145),IF(A2163=2029,N('2029'!D145),IF(A2163=2030,N('2030'!D145),IF(A2163=2031,N('2031'!D145),IF(A2163=2032,N('2032'!D145),IF(A2163=2033,N('2033'!D145),IF(A2163=2034,N('2034'!D145),IFERROR(N(INDIRECT("'"&amp;A2163&amp;"'!D"&amp;G2163)),0))))))))))))</f>
        <v>0</v>
      </c>
      <c r="M2163" s="36">
        <f>IFERROR(IF(NOT(ISBLANK(KPI_TARGETS!$P$19)),KPI_TARGETS!$P$19,IF(NOT(ISBLANK(KPI_TARGETS!$F$19)),KPI_TARGETS!$F$19,"")),"")</f>
        <v>16</v>
      </c>
      <c r="N2163" s="36" t="str">
        <f>IFERROR(KPI_TARGETS!$E$19,"Higher is better")</f>
        <v>Higher is better</v>
      </c>
      <c r="O2163" s="37">
        <f t="shared" ca="1" si="198"/>
        <v>0</v>
      </c>
      <c r="P2163" t="str">
        <f t="shared" ca="1" si="199"/>
        <v>Red</v>
      </c>
      <c r="Q2163" s="36">
        <f t="shared" ca="1" si="200"/>
        <v>-16</v>
      </c>
      <c r="R2163" s="36" t="str">
        <f>""</f>
        <v/>
      </c>
      <c r="S2163" s="36" t="str">
        <f>""</f>
        <v/>
      </c>
      <c r="T2163" s="36" t="str">
        <f>""</f>
        <v/>
      </c>
      <c r="U2163" s="36" t="str">
        <f>""</f>
        <v/>
      </c>
      <c r="V2163" s="36" t="str">
        <f>""</f>
        <v/>
      </c>
      <c r="W2163" s="36">
        <f t="shared" si="201"/>
        <v>1</v>
      </c>
      <c r="X2163" t="str">
        <f t="shared" si="202"/>
        <v>Inactive</v>
      </c>
      <c r="Y2163" t="str">
        <f>IF(MAIN!$H$3="Selected Year",IF(A2163=MAIN!$B$3,"Yes","No"),IF(MAIN!$H$3="Included Years",IF(D2163="Yes","Yes","No"),IF(C2163="Yes","Yes","No")))</f>
        <v>No</v>
      </c>
      <c r="Z2163" t="str">
        <f>IF(MAIN!$F$3="Project to Date",IF(AND(A2163&gt;=SETTINGS!$B$4,A2163&lt;MAIN!$B$3),"Yes",IF(AND(A2163=MAIN!$B$3,E2163&lt;=MAIN!$L$3),"Yes","No")),IF(OR(MAIN!$F$3="Full Year",MAIN!$D$3="All"),"Yes",IF(MAIN!$F$3="Monthly",IF(E2163=MAIN!$L$3,"Yes","No"),IF(E2163&lt;=MAIN!$L$3,"Yes","No"))))</f>
        <v>Yes</v>
      </c>
      <c r="AA2163" t="str">
        <f t="shared" si="203"/>
        <v>No</v>
      </c>
    </row>
    <row r="2164" spans="1:27" x14ac:dyDescent="0.3">
      <c r="A2164">
        <f>INDEX(SETTINGS!$A$15:$A$24,$B2164)</f>
        <v>2034</v>
      </c>
      <c r="B2164">
        <v>10</v>
      </c>
      <c r="C2164" t="str">
        <f>IF(AND(A2164&gt;=SETTINGS!$B$4,A2164&lt;=SETTINGS!$B$5),"Yes","No")</f>
        <v>No</v>
      </c>
      <c r="D2164" t="str">
        <f>IFERROR(INDEX(SETTINGS!$C$15:$C$24,MATCH(A2164,SETTINGS!$A$15:$A$24,0)),"No")</f>
        <v>No</v>
      </c>
      <c r="E2164">
        <v>6</v>
      </c>
      <c r="F2164" t="s">
        <v>39</v>
      </c>
      <c r="G2164">
        <v>146</v>
      </c>
      <c r="H2164" t="s">
        <v>109</v>
      </c>
      <c r="I2164" t="s">
        <v>22</v>
      </c>
      <c r="J2164" t="s">
        <v>29</v>
      </c>
      <c r="K2164" t="s">
        <v>3</v>
      </c>
      <c r="L2164" s="36">
        <f ca="1">IF(C2164&lt;&gt;"Yes",0,IF(A2164=2025,N('2025'!D146),IF(A2164=2026,N('2026'!D146),IF(A2164=2027,N('2027'!D146),IF(A2164=2028,N('2028'!D146),IF(A2164=2029,N('2029'!D146),IF(A2164=2030,N('2030'!D146),IF(A2164=2031,N('2031'!D146),IF(A2164=2032,N('2032'!D146),IF(A2164=2033,N('2033'!D146),IF(A2164=2034,N('2034'!D146),IFERROR(N(INDIRECT("'"&amp;A2164&amp;"'!D"&amp;G2164)),0))))))))))))</f>
        <v>0</v>
      </c>
      <c r="M2164" s="36">
        <f>IFERROR(IF(NOT(ISBLANK(KPI_TARGETS!$P$20)),KPI_TARGETS!$P$20,IF(NOT(ISBLANK(KPI_TARGETS!$F$20)),KPI_TARGETS!$F$20,"")),"")</f>
        <v>1</v>
      </c>
      <c r="N2164" s="36" t="str">
        <f>IFERROR(KPI_TARGETS!$E$20,"Higher is better")</f>
        <v>Higher is better</v>
      </c>
      <c r="O2164" s="37">
        <f t="shared" ca="1" si="198"/>
        <v>0</v>
      </c>
      <c r="P2164" t="str">
        <f t="shared" ca="1" si="199"/>
        <v>Red</v>
      </c>
      <c r="Q2164" s="36">
        <f t="shared" ca="1" si="200"/>
        <v>-1</v>
      </c>
      <c r="R2164" s="36" t="str">
        <f>""</f>
        <v/>
      </c>
      <c r="S2164" s="36" t="str">
        <f>""</f>
        <v/>
      </c>
      <c r="T2164" s="36" t="str">
        <f>""</f>
        <v/>
      </c>
      <c r="U2164" s="36" t="str">
        <f>""</f>
        <v/>
      </c>
      <c r="V2164" s="36" t="str">
        <f>""</f>
        <v/>
      </c>
      <c r="W2164" s="36">
        <f t="shared" si="201"/>
        <v>1</v>
      </c>
      <c r="X2164" t="str">
        <f t="shared" si="202"/>
        <v>Inactive</v>
      </c>
      <c r="Y2164" t="str">
        <f>IF(MAIN!$H$3="Selected Year",IF(A2164=MAIN!$B$3,"Yes","No"),IF(MAIN!$H$3="Included Years",IF(D2164="Yes","Yes","No"),IF(C2164="Yes","Yes","No")))</f>
        <v>No</v>
      </c>
      <c r="Z2164" t="str">
        <f>IF(MAIN!$F$3="Project to Date",IF(AND(A2164&gt;=SETTINGS!$B$4,A2164&lt;MAIN!$B$3),"Yes",IF(AND(A2164=MAIN!$B$3,E2164&lt;=MAIN!$L$3),"Yes","No")),IF(OR(MAIN!$F$3="Full Year",MAIN!$D$3="All"),"Yes",IF(MAIN!$F$3="Monthly",IF(E2164=MAIN!$L$3,"Yes","No"),IF(E2164&lt;=MAIN!$L$3,"Yes","No"))))</f>
        <v>Yes</v>
      </c>
      <c r="AA2164" t="str">
        <f t="shared" si="203"/>
        <v>No</v>
      </c>
    </row>
    <row r="2165" spans="1:27" x14ac:dyDescent="0.3">
      <c r="A2165">
        <f>INDEX(SETTINGS!$A$15:$A$24,$B2165)</f>
        <v>2034</v>
      </c>
      <c r="B2165">
        <v>10</v>
      </c>
      <c r="C2165" t="str">
        <f>IF(AND(A2165&gt;=SETTINGS!$B$4,A2165&lt;=SETTINGS!$B$5),"Yes","No")</f>
        <v>No</v>
      </c>
      <c r="D2165" t="str">
        <f>IFERROR(INDEX(SETTINGS!$C$15:$C$24,MATCH(A2165,SETTINGS!$A$15:$A$24,0)),"No")</f>
        <v>No</v>
      </c>
      <c r="E2165">
        <v>6</v>
      </c>
      <c r="F2165" t="s">
        <v>39</v>
      </c>
      <c r="G2165">
        <v>148</v>
      </c>
      <c r="H2165" t="s">
        <v>110</v>
      </c>
      <c r="I2165" t="s">
        <v>30</v>
      </c>
      <c r="J2165" t="s">
        <v>31</v>
      </c>
      <c r="K2165" t="s">
        <v>3</v>
      </c>
      <c r="L2165" s="36">
        <f ca="1">IF(C2165&lt;&gt;"Yes",0,IF(A2165=2025,N('2025'!D148),IF(A2165=2026,N('2026'!D148),IF(A2165=2027,N('2027'!D148),IF(A2165=2028,N('2028'!D148),IF(A2165=2029,N('2029'!D148),IF(A2165=2030,N('2030'!D148),IF(A2165=2031,N('2031'!D148),IF(A2165=2032,N('2032'!D148),IF(A2165=2033,N('2033'!D148),IF(A2165=2034,N('2034'!D148),IFERROR(N(INDIRECT("'"&amp;A2165&amp;"'!D"&amp;G2165)),0))))))))))))</f>
        <v>0</v>
      </c>
      <c r="M2165" s="36">
        <f>IFERROR(IF(NOT(ISBLANK(KPI_TARGETS!$P$21)),KPI_TARGETS!$P$21,IF(NOT(ISBLANK(KPI_TARGETS!$F$21)),KPI_TARGETS!$F$21,"")),"")</f>
        <v>0</v>
      </c>
      <c r="N2165" s="36" t="str">
        <f>IFERROR(KPI_TARGETS!$E$21,"Higher is better")</f>
        <v>Lower is better</v>
      </c>
      <c r="O2165" s="37">
        <f t="shared" ca="1" si="198"/>
        <v>1</v>
      </c>
      <c r="P2165" t="str">
        <f t="shared" ca="1" si="199"/>
        <v>Green</v>
      </c>
      <c r="Q2165" s="36">
        <f t="shared" ca="1" si="200"/>
        <v>0</v>
      </c>
      <c r="R2165" s="36" t="str">
        <f>""</f>
        <v/>
      </c>
      <c r="S2165" s="36" t="str">
        <f>""</f>
        <v/>
      </c>
      <c r="T2165" s="36" t="str">
        <f>""</f>
        <v/>
      </c>
      <c r="U2165" s="36" t="str">
        <f>""</f>
        <v/>
      </c>
      <c r="V2165" s="36" t="str">
        <f>""</f>
        <v/>
      </c>
      <c r="W2165" s="36">
        <f t="shared" si="201"/>
        <v>1</v>
      </c>
      <c r="X2165" t="str">
        <f t="shared" si="202"/>
        <v>Inactive</v>
      </c>
      <c r="Y2165" t="str">
        <f>IF(MAIN!$H$3="Selected Year",IF(A2165=MAIN!$B$3,"Yes","No"),IF(MAIN!$H$3="Included Years",IF(D2165="Yes","Yes","No"),IF(C2165="Yes","Yes","No")))</f>
        <v>No</v>
      </c>
      <c r="Z2165" t="str">
        <f>IF(MAIN!$F$3="Project to Date",IF(AND(A2165&gt;=SETTINGS!$B$4,A2165&lt;MAIN!$B$3),"Yes",IF(AND(A2165=MAIN!$B$3,E2165&lt;=MAIN!$L$3),"Yes","No")),IF(OR(MAIN!$F$3="Full Year",MAIN!$D$3="All"),"Yes",IF(MAIN!$F$3="Monthly",IF(E2165=MAIN!$L$3,"Yes","No"),IF(E2165&lt;=MAIN!$L$3,"Yes","No"))))</f>
        <v>Yes</v>
      </c>
      <c r="AA2165" t="str">
        <f t="shared" si="203"/>
        <v>No</v>
      </c>
    </row>
    <row r="2166" spans="1:27" x14ac:dyDescent="0.3">
      <c r="A2166">
        <f>INDEX(SETTINGS!$A$15:$A$24,$B2166)</f>
        <v>2034</v>
      </c>
      <c r="B2166">
        <v>10</v>
      </c>
      <c r="C2166" t="str">
        <f>IF(AND(A2166&gt;=SETTINGS!$B$4,A2166&lt;=SETTINGS!$B$5),"Yes","No")</f>
        <v>No</v>
      </c>
      <c r="D2166" t="str">
        <f>IFERROR(INDEX(SETTINGS!$C$15:$C$24,MATCH(A2166,SETTINGS!$A$15:$A$24,0)),"No")</f>
        <v>No</v>
      </c>
      <c r="E2166">
        <v>6</v>
      </c>
      <c r="F2166" t="s">
        <v>39</v>
      </c>
      <c r="G2166">
        <v>149</v>
      </c>
      <c r="H2166" t="s">
        <v>111</v>
      </c>
      <c r="I2166" t="s">
        <v>30</v>
      </c>
      <c r="J2166" t="s">
        <v>32</v>
      </c>
      <c r="K2166" t="s">
        <v>3</v>
      </c>
      <c r="L2166" s="36">
        <f ca="1">IF(C2166&lt;&gt;"Yes",0,IF(A2166=2025,N('2025'!D149),IF(A2166=2026,N('2026'!D149),IF(A2166=2027,N('2027'!D149),IF(A2166=2028,N('2028'!D149),IF(A2166=2029,N('2029'!D149),IF(A2166=2030,N('2030'!D149),IF(A2166=2031,N('2031'!D149),IF(A2166=2032,N('2032'!D149),IF(A2166=2033,N('2033'!D149),IF(A2166=2034,N('2034'!D149),IFERROR(N(INDIRECT("'"&amp;A2166&amp;"'!D"&amp;G2166)),0))))))))))))</f>
        <v>0</v>
      </c>
      <c r="M2166" s="36">
        <f>IFERROR(IF(NOT(ISBLANK(KPI_TARGETS!$P$22)),KPI_TARGETS!$P$22,IF(NOT(ISBLANK(KPI_TARGETS!$F$22)),KPI_TARGETS!$F$22,"")),"")</f>
        <v>1</v>
      </c>
      <c r="N2166" s="36" t="str">
        <f>IFERROR(KPI_TARGETS!$E$22,"Higher is better")</f>
        <v>Higher is better</v>
      </c>
      <c r="O2166" s="37">
        <f t="shared" ca="1" si="198"/>
        <v>0</v>
      </c>
      <c r="P2166" t="str">
        <f t="shared" ca="1" si="199"/>
        <v>Red</v>
      </c>
      <c r="Q2166" s="36">
        <f t="shared" ca="1" si="200"/>
        <v>-1</v>
      </c>
      <c r="R2166" s="36" t="str">
        <f>""</f>
        <v/>
      </c>
      <c r="S2166" s="36" t="str">
        <f>""</f>
        <v/>
      </c>
      <c r="T2166" s="36" t="str">
        <f>""</f>
        <v/>
      </c>
      <c r="U2166" s="36" t="str">
        <f>""</f>
        <v/>
      </c>
      <c r="V2166" s="36" t="str">
        <f>""</f>
        <v/>
      </c>
      <c r="W2166" s="36">
        <f t="shared" si="201"/>
        <v>1</v>
      </c>
      <c r="X2166" t="str">
        <f t="shared" si="202"/>
        <v>Inactive</v>
      </c>
      <c r="Y2166" t="str">
        <f>IF(MAIN!$H$3="Selected Year",IF(A2166=MAIN!$B$3,"Yes","No"),IF(MAIN!$H$3="Included Years",IF(D2166="Yes","Yes","No"),IF(C2166="Yes","Yes","No")))</f>
        <v>No</v>
      </c>
      <c r="Z2166" t="str">
        <f>IF(MAIN!$F$3="Project to Date",IF(AND(A2166&gt;=SETTINGS!$B$4,A2166&lt;MAIN!$B$3),"Yes",IF(AND(A2166=MAIN!$B$3,E2166&lt;=MAIN!$L$3),"Yes","No")),IF(OR(MAIN!$F$3="Full Year",MAIN!$D$3="All"),"Yes",IF(MAIN!$F$3="Monthly",IF(E2166=MAIN!$L$3,"Yes","No"),IF(E2166&lt;=MAIN!$L$3,"Yes","No"))))</f>
        <v>Yes</v>
      </c>
      <c r="AA2166" t="str">
        <f t="shared" si="203"/>
        <v>No</v>
      </c>
    </row>
    <row r="2167" spans="1:27" x14ac:dyDescent="0.3">
      <c r="A2167">
        <f>INDEX(SETTINGS!$A$15:$A$24,$B2167)</f>
        <v>2034</v>
      </c>
      <c r="B2167">
        <v>10</v>
      </c>
      <c r="C2167" t="str">
        <f>IF(AND(A2167&gt;=SETTINGS!$B$4,A2167&lt;=SETTINGS!$B$5),"Yes","No")</f>
        <v>No</v>
      </c>
      <c r="D2167" t="str">
        <f>IFERROR(INDEX(SETTINGS!$C$15:$C$24,MATCH(A2167,SETTINGS!$A$15:$A$24,0)),"No")</f>
        <v>No</v>
      </c>
      <c r="E2167">
        <v>6</v>
      </c>
      <c r="F2167" t="s">
        <v>39</v>
      </c>
      <c r="G2167">
        <v>150</v>
      </c>
      <c r="H2167" t="s">
        <v>112</v>
      </c>
      <c r="I2167" t="s">
        <v>30</v>
      </c>
      <c r="J2167" t="s">
        <v>33</v>
      </c>
      <c r="K2167" t="s">
        <v>34</v>
      </c>
      <c r="L2167" s="36">
        <f ca="1">IF(C2167&lt;&gt;"Yes",0,IF(A2167=2025,N('2025'!D150),IF(A2167=2026,N('2026'!D150),IF(A2167=2027,N('2027'!D150),IF(A2167=2028,N('2028'!D150),IF(A2167=2029,N('2029'!D150),IF(A2167=2030,N('2030'!D150),IF(A2167=2031,N('2031'!D150),IF(A2167=2032,N('2032'!D150),IF(A2167=2033,N('2033'!D150),IF(A2167=2034,N('2034'!D150),IFERROR(N(INDIRECT("'"&amp;A2167&amp;"'!D"&amp;G2167)),0))))))))))))</f>
        <v>0</v>
      </c>
      <c r="M2167" s="36">
        <f>IFERROR(IF(NOT(ISBLANK(KPI_TARGETS!$P$23)),KPI_TARGETS!$P$23,IF(NOT(ISBLANK(KPI_TARGETS!$F$23)),KPI_TARGETS!$F$23,"")),"")</f>
        <v>1</v>
      </c>
      <c r="N2167" s="36" t="str">
        <f>IFERROR(KPI_TARGETS!$E$23,"Higher is better")</f>
        <v>Higher is better</v>
      </c>
      <c r="O2167" s="37">
        <f t="shared" ca="1" si="198"/>
        <v>0</v>
      </c>
      <c r="P2167" t="str">
        <f t="shared" ca="1" si="199"/>
        <v>Red</v>
      </c>
      <c r="Q2167" s="36">
        <f t="shared" ca="1" si="200"/>
        <v>-1</v>
      </c>
      <c r="R2167" s="36" t="str">
        <f>""</f>
        <v/>
      </c>
      <c r="S2167" s="36" t="str">
        <f>""</f>
        <v/>
      </c>
      <c r="T2167" s="36" t="str">
        <f>""</f>
        <v/>
      </c>
      <c r="U2167" s="36" t="str">
        <f>""</f>
        <v/>
      </c>
      <c r="V2167" s="36" t="str">
        <f>""</f>
        <v/>
      </c>
      <c r="W2167" s="36">
        <f t="shared" si="201"/>
        <v>1</v>
      </c>
      <c r="X2167" t="str">
        <f t="shared" si="202"/>
        <v>Inactive</v>
      </c>
      <c r="Y2167" t="str">
        <f>IF(MAIN!$H$3="Selected Year",IF(A2167=MAIN!$B$3,"Yes","No"),IF(MAIN!$H$3="Included Years",IF(D2167="Yes","Yes","No"),IF(C2167="Yes","Yes","No")))</f>
        <v>No</v>
      </c>
      <c r="Z2167" t="str">
        <f>IF(MAIN!$F$3="Project to Date",IF(AND(A2167&gt;=SETTINGS!$B$4,A2167&lt;MAIN!$B$3),"Yes",IF(AND(A2167=MAIN!$B$3,E2167&lt;=MAIN!$L$3),"Yes","No")),IF(OR(MAIN!$F$3="Full Year",MAIN!$D$3="All"),"Yes",IF(MAIN!$F$3="Monthly",IF(E2167=MAIN!$L$3,"Yes","No"),IF(E2167&lt;=MAIN!$L$3,"Yes","No"))))</f>
        <v>Yes</v>
      </c>
      <c r="AA2167" t="str">
        <f t="shared" si="203"/>
        <v>No</v>
      </c>
    </row>
    <row r="2168" spans="1:27" x14ac:dyDescent="0.3">
      <c r="A2168">
        <f>INDEX(SETTINGS!$A$15:$A$24,$B2168)</f>
        <v>2034</v>
      </c>
      <c r="B2168">
        <v>10</v>
      </c>
      <c r="C2168" t="str">
        <f>IF(AND(A2168&gt;=SETTINGS!$B$4,A2168&lt;=SETTINGS!$B$5),"Yes","No")</f>
        <v>No</v>
      </c>
      <c r="D2168" t="str">
        <f>IFERROR(INDEX(SETTINGS!$C$15:$C$24,MATCH(A2168,SETTINGS!$A$15:$A$24,0)),"No")</f>
        <v>No</v>
      </c>
      <c r="E2168">
        <v>7</v>
      </c>
      <c r="F2168" t="s">
        <v>40</v>
      </c>
      <c r="G2168">
        <v>153</v>
      </c>
      <c r="H2168" t="s">
        <v>88</v>
      </c>
      <c r="I2168" t="s">
        <v>89</v>
      </c>
      <c r="J2168" t="s">
        <v>10</v>
      </c>
      <c r="K2168" t="s">
        <v>3</v>
      </c>
      <c r="L2168" s="36">
        <f ca="1">IF(C2168&lt;&gt;"Yes",0,IF(A2168=2025,N('2025'!D153),IF(A2168=2026,N('2026'!D153),IF(A2168=2027,N('2027'!D153),IF(A2168=2028,N('2028'!D153),IF(A2168=2029,N('2029'!D153),IF(A2168=2030,N('2030'!D153),IF(A2168=2031,N('2031'!D153),IF(A2168=2032,N('2032'!D153),IF(A2168=2033,N('2033'!D153),IF(A2168=2034,N('2034'!D153),IFERROR(N(INDIRECT("'"&amp;A2168&amp;"'!D"&amp;G2168)),0))))))))))))</f>
        <v>0</v>
      </c>
      <c r="M2168" s="36">
        <f>IFERROR(IF(NOT(ISBLANK(KPI_TARGETS!$P$5)),KPI_TARGETS!$P$5,IF(NOT(ISBLANK(KPI_TARGETS!$F$5)),KPI_TARGETS!$F$5,"")),"")</f>
        <v>104</v>
      </c>
      <c r="N2168" s="36" t="str">
        <f>IFERROR(KPI_TARGETS!$E$5,"Higher is better")</f>
        <v>Higher is better</v>
      </c>
      <c r="O2168" s="37">
        <f t="shared" ca="1" si="198"/>
        <v>0</v>
      </c>
      <c r="P2168" t="str">
        <f t="shared" ca="1" si="199"/>
        <v>Red</v>
      </c>
      <c r="Q2168" s="36">
        <f t="shared" ca="1" si="200"/>
        <v>-104</v>
      </c>
      <c r="R2168" s="36" t="str">
        <f>""</f>
        <v/>
      </c>
      <c r="S2168" s="36" t="str">
        <f>""</f>
        <v/>
      </c>
      <c r="T2168" s="36" t="str">
        <f>""</f>
        <v/>
      </c>
      <c r="U2168" s="36" t="str">
        <f>""</f>
        <v/>
      </c>
      <c r="V2168" s="36" t="str">
        <f>""</f>
        <v/>
      </c>
      <c r="W2168" s="36">
        <f t="shared" si="201"/>
        <v>1</v>
      </c>
      <c r="X2168" t="str">
        <f t="shared" si="202"/>
        <v>Inactive</v>
      </c>
      <c r="Y2168" t="str">
        <f>IF(MAIN!$H$3="Selected Year",IF(A2168=MAIN!$B$3,"Yes","No"),IF(MAIN!$H$3="Included Years",IF(D2168="Yes","Yes","No"),IF(C2168="Yes","Yes","No")))</f>
        <v>No</v>
      </c>
      <c r="Z2168" t="str">
        <f>IF(MAIN!$F$3="Project to Date",IF(AND(A2168&gt;=SETTINGS!$B$4,A2168&lt;MAIN!$B$3),"Yes",IF(AND(A2168=MAIN!$B$3,E2168&lt;=MAIN!$L$3),"Yes","No")),IF(OR(MAIN!$F$3="Full Year",MAIN!$D$3="All"),"Yes",IF(MAIN!$F$3="Monthly",IF(E2168=MAIN!$L$3,"Yes","No"),IF(E2168&lt;=MAIN!$L$3,"Yes","No"))))</f>
        <v>Yes</v>
      </c>
      <c r="AA2168" t="str">
        <f t="shared" si="203"/>
        <v>No</v>
      </c>
    </row>
    <row r="2169" spans="1:27" x14ac:dyDescent="0.3">
      <c r="A2169">
        <f>INDEX(SETTINGS!$A$15:$A$24,$B2169)</f>
        <v>2034</v>
      </c>
      <c r="B2169">
        <v>10</v>
      </c>
      <c r="C2169" t="str">
        <f>IF(AND(A2169&gt;=SETTINGS!$B$4,A2169&lt;=SETTINGS!$B$5),"Yes","No")</f>
        <v>No</v>
      </c>
      <c r="D2169" t="str">
        <f>IFERROR(INDEX(SETTINGS!$C$15:$C$24,MATCH(A2169,SETTINGS!$A$15:$A$24,0)),"No")</f>
        <v>No</v>
      </c>
      <c r="E2169">
        <v>7</v>
      </c>
      <c r="F2169" t="s">
        <v>40</v>
      </c>
      <c r="G2169">
        <v>154</v>
      </c>
      <c r="H2169" t="s">
        <v>91</v>
      </c>
      <c r="I2169" t="s">
        <v>89</v>
      </c>
      <c r="J2169" t="s">
        <v>11</v>
      </c>
      <c r="K2169" t="s">
        <v>12</v>
      </c>
      <c r="L2169" s="36">
        <f ca="1">IF(C2169&lt;&gt;"Yes",0,IF(A2169=2025,N('2025'!D154),IF(A2169=2026,N('2026'!D154),IF(A2169=2027,N('2027'!D154),IF(A2169=2028,N('2028'!D154),IF(A2169=2029,N('2029'!D154),IF(A2169=2030,N('2030'!D154),IF(A2169=2031,N('2031'!D154),IF(A2169=2032,N('2032'!D154),IF(A2169=2033,N('2033'!D154),IF(A2169=2034,N('2034'!D154),IFERROR(N(INDIRECT("'"&amp;A2169&amp;"'!D"&amp;G2169)),0))))))))))))</f>
        <v>0</v>
      </c>
      <c r="M2169" s="36">
        <f>IFERROR(IF(NOT(ISBLANK(KPI_TARGETS!$P$6)),KPI_TARGETS!$P$6,IF(NOT(ISBLANK(KPI_TARGETS!$F$6)),KPI_TARGETS!$F$6,"")),"")</f>
        <v>4000</v>
      </c>
      <c r="N2169" s="36" t="str">
        <f>IFERROR(KPI_TARGETS!$E$6,"Higher is better")</f>
        <v>Higher is better</v>
      </c>
      <c r="O2169" s="37">
        <f t="shared" ca="1" si="198"/>
        <v>0</v>
      </c>
      <c r="P2169" t="str">
        <f t="shared" ca="1" si="199"/>
        <v>Red</v>
      </c>
      <c r="Q2169" s="36">
        <f t="shared" ca="1" si="200"/>
        <v>-4000</v>
      </c>
      <c r="R2169" s="36" t="str">
        <f>""</f>
        <v/>
      </c>
      <c r="S2169" s="36" t="str">
        <f>""</f>
        <v/>
      </c>
      <c r="T2169" s="36" t="str">
        <f>""</f>
        <v/>
      </c>
      <c r="U2169" s="36" t="str">
        <f>""</f>
        <v/>
      </c>
      <c r="V2169" s="36" t="str">
        <f>""</f>
        <v/>
      </c>
      <c r="W2169" s="36">
        <f t="shared" si="201"/>
        <v>1</v>
      </c>
      <c r="X2169" t="str">
        <f t="shared" si="202"/>
        <v>Inactive</v>
      </c>
      <c r="Y2169" t="str">
        <f>IF(MAIN!$H$3="Selected Year",IF(A2169=MAIN!$B$3,"Yes","No"),IF(MAIN!$H$3="Included Years",IF(D2169="Yes","Yes","No"),IF(C2169="Yes","Yes","No")))</f>
        <v>No</v>
      </c>
      <c r="Z2169" t="str">
        <f>IF(MAIN!$F$3="Project to Date",IF(AND(A2169&gt;=SETTINGS!$B$4,A2169&lt;MAIN!$B$3),"Yes",IF(AND(A2169=MAIN!$B$3,E2169&lt;=MAIN!$L$3),"Yes","No")),IF(OR(MAIN!$F$3="Full Year",MAIN!$D$3="All"),"Yes",IF(MAIN!$F$3="Monthly",IF(E2169=MAIN!$L$3,"Yes","No"),IF(E2169&lt;=MAIN!$L$3,"Yes","No"))))</f>
        <v>Yes</v>
      </c>
      <c r="AA2169" t="str">
        <f t="shared" si="203"/>
        <v>No</v>
      </c>
    </row>
    <row r="2170" spans="1:27" x14ac:dyDescent="0.3">
      <c r="A2170">
        <f>INDEX(SETTINGS!$A$15:$A$24,$B2170)</f>
        <v>2034</v>
      </c>
      <c r="B2170">
        <v>10</v>
      </c>
      <c r="C2170" t="str">
        <f>IF(AND(A2170&gt;=SETTINGS!$B$4,A2170&lt;=SETTINGS!$B$5),"Yes","No")</f>
        <v>No</v>
      </c>
      <c r="D2170" t="str">
        <f>IFERROR(INDEX(SETTINGS!$C$15:$C$24,MATCH(A2170,SETTINGS!$A$15:$A$24,0)),"No")</f>
        <v>No</v>
      </c>
      <c r="E2170">
        <v>7</v>
      </c>
      <c r="F2170" t="s">
        <v>40</v>
      </c>
      <c r="G2170">
        <v>155</v>
      </c>
      <c r="H2170" t="s">
        <v>93</v>
      </c>
      <c r="I2170" t="s">
        <v>89</v>
      </c>
      <c r="J2170" t="s">
        <v>13</v>
      </c>
      <c r="K2170" t="s">
        <v>14</v>
      </c>
      <c r="L2170" s="36">
        <f ca="1">IF(C2170&lt;&gt;"Yes",0,IF(A2170=2025,N('2025'!D155),IF(A2170=2026,N('2026'!D155),IF(A2170=2027,N('2027'!D155),IF(A2170=2028,N('2028'!D155),IF(A2170=2029,N('2029'!D155),IF(A2170=2030,N('2030'!D155),IF(A2170=2031,N('2031'!D155),IF(A2170=2032,N('2032'!D155),IF(A2170=2033,N('2033'!D155),IF(A2170=2034,N('2034'!D155),IFERROR(N(INDIRECT("'"&amp;A2170&amp;"'!D"&amp;G2170)),0))))))))))))</f>
        <v>0</v>
      </c>
      <c r="M2170" s="36">
        <f>IFERROR(IF(NOT(ISBLANK(KPI_TARGETS!$P$7)),KPI_TARGETS!$P$7,IF(NOT(ISBLANK(KPI_TARGETS!$F$7)),KPI_TARGETS!$F$7,"")),"")</f>
        <v>8000</v>
      </c>
      <c r="N2170" s="36" t="str">
        <f>IFERROR(KPI_TARGETS!$E$7,"Higher is better")</f>
        <v>Higher is better</v>
      </c>
      <c r="O2170" s="37">
        <f t="shared" ca="1" si="198"/>
        <v>0</v>
      </c>
      <c r="P2170" t="str">
        <f t="shared" ca="1" si="199"/>
        <v>Red</v>
      </c>
      <c r="Q2170" s="36">
        <f t="shared" ca="1" si="200"/>
        <v>-8000</v>
      </c>
      <c r="R2170" s="36" t="str">
        <f>""</f>
        <v/>
      </c>
      <c r="S2170" s="36" t="str">
        <f>""</f>
        <v/>
      </c>
      <c r="T2170" s="36" t="str">
        <f>""</f>
        <v/>
      </c>
      <c r="U2170" s="36" t="str">
        <f>""</f>
        <v/>
      </c>
      <c r="V2170" s="36" t="str">
        <f>""</f>
        <v/>
      </c>
      <c r="W2170" s="36">
        <f t="shared" si="201"/>
        <v>1</v>
      </c>
      <c r="X2170" t="str">
        <f t="shared" si="202"/>
        <v>Inactive</v>
      </c>
      <c r="Y2170" t="str">
        <f>IF(MAIN!$H$3="Selected Year",IF(A2170=MAIN!$B$3,"Yes","No"),IF(MAIN!$H$3="Included Years",IF(D2170="Yes","Yes","No"),IF(C2170="Yes","Yes","No")))</f>
        <v>No</v>
      </c>
      <c r="Z2170" t="str">
        <f>IF(MAIN!$F$3="Project to Date",IF(AND(A2170&gt;=SETTINGS!$B$4,A2170&lt;MAIN!$B$3),"Yes",IF(AND(A2170=MAIN!$B$3,E2170&lt;=MAIN!$L$3),"Yes","No")),IF(OR(MAIN!$F$3="Full Year",MAIN!$D$3="All"),"Yes",IF(MAIN!$F$3="Monthly",IF(E2170=MAIN!$L$3,"Yes","No"),IF(E2170&lt;=MAIN!$L$3,"Yes","No"))))</f>
        <v>Yes</v>
      </c>
      <c r="AA2170" t="str">
        <f t="shared" si="203"/>
        <v>No</v>
      </c>
    </row>
    <row r="2171" spans="1:27" x14ac:dyDescent="0.3">
      <c r="A2171">
        <f>INDEX(SETTINGS!$A$15:$A$24,$B2171)</f>
        <v>2034</v>
      </c>
      <c r="B2171">
        <v>10</v>
      </c>
      <c r="C2171" t="str">
        <f>IF(AND(A2171&gt;=SETTINGS!$B$4,A2171&lt;=SETTINGS!$B$5),"Yes","No")</f>
        <v>No</v>
      </c>
      <c r="D2171" t="str">
        <f>IFERROR(INDEX(SETTINGS!$C$15:$C$24,MATCH(A2171,SETTINGS!$A$15:$A$24,0)),"No")</f>
        <v>No</v>
      </c>
      <c r="E2171">
        <v>7</v>
      </c>
      <c r="F2171" t="s">
        <v>40</v>
      </c>
      <c r="G2171">
        <v>157</v>
      </c>
      <c r="H2171" t="s">
        <v>95</v>
      </c>
      <c r="I2171" t="s">
        <v>15</v>
      </c>
      <c r="J2171" t="s">
        <v>16</v>
      </c>
      <c r="K2171" t="s">
        <v>3</v>
      </c>
      <c r="L2171" s="36">
        <f ca="1">IF(C2171&lt;&gt;"Yes",0,IF(A2171=2025,N('2025'!D157),IF(A2171=2026,N('2026'!D157),IF(A2171=2027,N('2027'!D157),IF(A2171=2028,N('2028'!D157),IF(A2171=2029,N('2029'!D157),IF(A2171=2030,N('2030'!D157),IF(A2171=2031,N('2031'!D157),IF(A2171=2032,N('2032'!D157),IF(A2171=2033,N('2033'!D157),IF(A2171=2034,N('2034'!D157),IFERROR(N(INDIRECT("'"&amp;A2171&amp;"'!D"&amp;G2171)),0))))))))))))</f>
        <v>0</v>
      </c>
      <c r="M2171" s="36">
        <f>IFERROR(IF(NOT(ISBLANK(KPI_TARGETS!$P$8)),KPI_TARGETS!$P$8,IF(NOT(ISBLANK(KPI_TARGETS!$F$8)),KPI_TARGETS!$F$8,"")),"")</f>
        <v>0</v>
      </c>
      <c r="N2171" s="36" t="str">
        <f>IFERROR(KPI_TARGETS!$E$8,"Higher is better")</f>
        <v>Lower is better</v>
      </c>
      <c r="O2171" s="37">
        <f t="shared" ca="1" si="198"/>
        <v>1</v>
      </c>
      <c r="P2171" t="str">
        <f t="shared" ca="1" si="199"/>
        <v>Green</v>
      </c>
      <c r="Q2171" s="36">
        <f t="shared" ca="1" si="200"/>
        <v>0</v>
      </c>
      <c r="R2171" s="36" t="str">
        <f>""</f>
        <v/>
      </c>
      <c r="S2171" s="36" t="str">
        <f>""</f>
        <v/>
      </c>
      <c r="T2171" s="36" t="str">
        <f>""</f>
        <v/>
      </c>
      <c r="U2171" s="36" t="str">
        <f>""</f>
        <v/>
      </c>
      <c r="V2171" s="36" t="str">
        <f>""</f>
        <v/>
      </c>
      <c r="W2171" s="36">
        <f t="shared" si="201"/>
        <v>1</v>
      </c>
      <c r="X2171" t="str">
        <f t="shared" si="202"/>
        <v>Inactive</v>
      </c>
      <c r="Y2171" t="str">
        <f>IF(MAIN!$H$3="Selected Year",IF(A2171=MAIN!$B$3,"Yes","No"),IF(MAIN!$H$3="Included Years",IF(D2171="Yes","Yes","No"),IF(C2171="Yes","Yes","No")))</f>
        <v>No</v>
      </c>
      <c r="Z2171" t="str">
        <f>IF(MAIN!$F$3="Project to Date",IF(AND(A2171&gt;=SETTINGS!$B$4,A2171&lt;MAIN!$B$3),"Yes",IF(AND(A2171=MAIN!$B$3,E2171&lt;=MAIN!$L$3),"Yes","No")),IF(OR(MAIN!$F$3="Full Year",MAIN!$D$3="All"),"Yes",IF(MAIN!$F$3="Monthly",IF(E2171=MAIN!$L$3,"Yes","No"),IF(E2171&lt;=MAIN!$L$3,"Yes","No"))))</f>
        <v>Yes</v>
      </c>
      <c r="AA2171" t="str">
        <f t="shared" si="203"/>
        <v>No</v>
      </c>
    </row>
    <row r="2172" spans="1:27" x14ac:dyDescent="0.3">
      <c r="A2172">
        <f>INDEX(SETTINGS!$A$15:$A$24,$B2172)</f>
        <v>2034</v>
      </c>
      <c r="B2172">
        <v>10</v>
      </c>
      <c r="C2172" t="str">
        <f>IF(AND(A2172&gt;=SETTINGS!$B$4,A2172&lt;=SETTINGS!$B$5),"Yes","No")</f>
        <v>No</v>
      </c>
      <c r="D2172" t="str">
        <f>IFERROR(INDEX(SETTINGS!$C$15:$C$24,MATCH(A2172,SETTINGS!$A$15:$A$24,0)),"No")</f>
        <v>No</v>
      </c>
      <c r="E2172">
        <v>7</v>
      </c>
      <c r="F2172" t="s">
        <v>40</v>
      </c>
      <c r="G2172">
        <v>158</v>
      </c>
      <c r="H2172" t="s">
        <v>97</v>
      </c>
      <c r="I2172" t="s">
        <v>15</v>
      </c>
      <c r="J2172" t="s">
        <v>17</v>
      </c>
      <c r="K2172" t="s">
        <v>3</v>
      </c>
      <c r="L2172" s="36">
        <f ca="1">IF(C2172&lt;&gt;"Yes",0,IF(A2172=2025,N('2025'!D158),IF(A2172=2026,N('2026'!D158),IF(A2172=2027,N('2027'!D158),IF(A2172=2028,N('2028'!D158),IF(A2172=2029,N('2029'!D158),IF(A2172=2030,N('2030'!D158),IF(A2172=2031,N('2031'!D158),IF(A2172=2032,N('2032'!D158),IF(A2172=2033,N('2033'!D158),IF(A2172=2034,N('2034'!D158),IFERROR(N(INDIRECT("'"&amp;A2172&amp;"'!D"&amp;G2172)),0))))))))))))</f>
        <v>0</v>
      </c>
      <c r="M2172" s="36">
        <f>IFERROR(IF(NOT(ISBLANK(KPI_TARGETS!$P$9)),KPI_TARGETS!$P$9,IF(NOT(ISBLANK(KPI_TARGETS!$F$9)),KPI_TARGETS!$F$9,"")),"")</f>
        <v>0</v>
      </c>
      <c r="N2172" s="36" t="str">
        <f>IFERROR(KPI_TARGETS!$E$9,"Higher is better")</f>
        <v>Higher is better</v>
      </c>
      <c r="O2172" s="37" t="str">
        <f t="shared" ca="1" si="198"/>
        <v/>
      </c>
      <c r="P2172" t="str">
        <f t="shared" ca="1" si="199"/>
        <v>Green</v>
      </c>
      <c r="Q2172" s="36">
        <f t="shared" ca="1" si="200"/>
        <v>0</v>
      </c>
      <c r="R2172" s="36" t="str">
        <f>""</f>
        <v/>
      </c>
      <c r="S2172" s="36" t="str">
        <f>""</f>
        <v/>
      </c>
      <c r="T2172" s="36" t="str">
        <f>""</f>
        <v/>
      </c>
      <c r="U2172" s="36" t="str">
        <f>""</f>
        <v/>
      </c>
      <c r="V2172" s="36" t="str">
        <f>""</f>
        <v/>
      </c>
      <c r="W2172" s="36">
        <f t="shared" si="201"/>
        <v>1</v>
      </c>
      <c r="X2172" t="str">
        <f t="shared" si="202"/>
        <v>Inactive</v>
      </c>
      <c r="Y2172" t="str">
        <f>IF(MAIN!$H$3="Selected Year",IF(A2172=MAIN!$B$3,"Yes","No"),IF(MAIN!$H$3="Included Years",IF(D2172="Yes","Yes","No"),IF(C2172="Yes","Yes","No")))</f>
        <v>No</v>
      </c>
      <c r="Z2172" t="str">
        <f>IF(MAIN!$F$3="Project to Date",IF(AND(A2172&gt;=SETTINGS!$B$4,A2172&lt;MAIN!$B$3),"Yes",IF(AND(A2172=MAIN!$B$3,E2172&lt;=MAIN!$L$3),"Yes","No")),IF(OR(MAIN!$F$3="Full Year",MAIN!$D$3="All"),"Yes",IF(MAIN!$F$3="Monthly",IF(E2172=MAIN!$L$3,"Yes","No"),IF(E2172&lt;=MAIN!$L$3,"Yes","No"))))</f>
        <v>Yes</v>
      </c>
      <c r="AA2172" t="str">
        <f t="shared" si="203"/>
        <v>No</v>
      </c>
    </row>
    <row r="2173" spans="1:27" x14ac:dyDescent="0.3">
      <c r="A2173">
        <f>INDEX(SETTINGS!$A$15:$A$24,$B2173)</f>
        <v>2034</v>
      </c>
      <c r="B2173">
        <v>10</v>
      </c>
      <c r="C2173" t="str">
        <f>IF(AND(A2173&gt;=SETTINGS!$B$4,A2173&lt;=SETTINGS!$B$5),"Yes","No")</f>
        <v>No</v>
      </c>
      <c r="D2173" t="str">
        <f>IFERROR(INDEX(SETTINGS!$C$15:$C$24,MATCH(A2173,SETTINGS!$A$15:$A$24,0)),"No")</f>
        <v>No</v>
      </c>
      <c r="E2173">
        <v>7</v>
      </c>
      <c r="F2173" t="s">
        <v>40</v>
      </c>
      <c r="G2173">
        <v>159</v>
      </c>
      <c r="H2173" t="s">
        <v>99</v>
      </c>
      <c r="I2173" t="s">
        <v>15</v>
      </c>
      <c r="J2173" t="s">
        <v>18</v>
      </c>
      <c r="K2173" t="s">
        <v>3</v>
      </c>
      <c r="L2173" s="36">
        <f ca="1">IF(C2173&lt;&gt;"Yes",0,IF(A2173=2025,N('2025'!D159),IF(A2173=2026,N('2026'!D159),IF(A2173=2027,N('2027'!D159),IF(A2173=2028,N('2028'!D159),IF(A2173=2029,N('2029'!D159),IF(A2173=2030,N('2030'!D159),IF(A2173=2031,N('2031'!D159),IF(A2173=2032,N('2032'!D159),IF(A2173=2033,N('2033'!D159),IF(A2173=2034,N('2034'!D159),IFERROR(N(INDIRECT("'"&amp;A2173&amp;"'!D"&amp;G2173)),0))))))))))))</f>
        <v>0</v>
      </c>
      <c r="M2173" s="36">
        <f>IFERROR(IF(NOT(ISBLANK(KPI_TARGETS!$P$10)),KPI_TARGETS!$P$10,IF(NOT(ISBLANK(KPI_TARGETS!$F$10)),KPI_TARGETS!$F$10,"")),"")</f>
        <v>0</v>
      </c>
      <c r="N2173" s="36" t="str">
        <f>IFERROR(KPI_TARGETS!$E$10,"Higher is better")</f>
        <v>Lower is better</v>
      </c>
      <c r="O2173" s="37">
        <f t="shared" ca="1" si="198"/>
        <v>1</v>
      </c>
      <c r="P2173" t="str">
        <f t="shared" ca="1" si="199"/>
        <v>Green</v>
      </c>
      <c r="Q2173" s="36">
        <f t="shared" ca="1" si="200"/>
        <v>0</v>
      </c>
      <c r="R2173" s="36" t="str">
        <f>""</f>
        <v/>
      </c>
      <c r="S2173" s="36" t="str">
        <f>""</f>
        <v/>
      </c>
      <c r="T2173" s="36" t="str">
        <f>""</f>
        <v/>
      </c>
      <c r="U2173" s="36" t="str">
        <f>""</f>
        <v/>
      </c>
      <c r="V2173" s="36" t="str">
        <f>""</f>
        <v/>
      </c>
      <c r="W2173" s="36">
        <f t="shared" si="201"/>
        <v>1</v>
      </c>
      <c r="X2173" t="str">
        <f t="shared" si="202"/>
        <v>Inactive</v>
      </c>
      <c r="Y2173" t="str">
        <f>IF(MAIN!$H$3="Selected Year",IF(A2173=MAIN!$B$3,"Yes","No"),IF(MAIN!$H$3="Included Years",IF(D2173="Yes","Yes","No"),IF(C2173="Yes","Yes","No")))</f>
        <v>No</v>
      </c>
      <c r="Z2173" t="str">
        <f>IF(MAIN!$F$3="Project to Date",IF(AND(A2173&gt;=SETTINGS!$B$4,A2173&lt;MAIN!$B$3),"Yes",IF(AND(A2173=MAIN!$B$3,E2173&lt;=MAIN!$L$3),"Yes","No")),IF(OR(MAIN!$F$3="Full Year",MAIN!$D$3="All"),"Yes",IF(MAIN!$F$3="Monthly",IF(E2173=MAIN!$L$3,"Yes","No"),IF(E2173&lt;=MAIN!$L$3,"Yes","No"))))</f>
        <v>Yes</v>
      </c>
      <c r="AA2173" t="str">
        <f t="shared" si="203"/>
        <v>No</v>
      </c>
    </row>
    <row r="2174" spans="1:27" x14ac:dyDescent="0.3">
      <c r="A2174">
        <f>INDEX(SETTINGS!$A$15:$A$24,$B2174)</f>
        <v>2034</v>
      </c>
      <c r="B2174">
        <v>10</v>
      </c>
      <c r="C2174" t="str">
        <f>IF(AND(A2174&gt;=SETTINGS!$B$4,A2174&lt;=SETTINGS!$B$5),"Yes","No")</f>
        <v>No</v>
      </c>
      <c r="D2174" t="str">
        <f>IFERROR(INDEX(SETTINGS!$C$15:$C$24,MATCH(A2174,SETTINGS!$A$15:$A$24,0)),"No")</f>
        <v>No</v>
      </c>
      <c r="E2174">
        <v>7</v>
      </c>
      <c r="F2174" t="s">
        <v>40</v>
      </c>
      <c r="G2174">
        <v>160</v>
      </c>
      <c r="H2174" t="s">
        <v>100</v>
      </c>
      <c r="I2174" t="s">
        <v>15</v>
      </c>
      <c r="J2174" t="s">
        <v>19</v>
      </c>
      <c r="K2174" t="s">
        <v>3</v>
      </c>
      <c r="L2174" s="36">
        <f ca="1">IF(C2174&lt;&gt;"Yes",0,IF(A2174=2025,N('2025'!D160),IF(A2174=2026,N('2026'!D160),IF(A2174=2027,N('2027'!D160),IF(A2174=2028,N('2028'!D160),IF(A2174=2029,N('2029'!D160),IF(A2174=2030,N('2030'!D160),IF(A2174=2031,N('2031'!D160),IF(A2174=2032,N('2032'!D160),IF(A2174=2033,N('2033'!D160),IF(A2174=2034,N('2034'!D160),IFERROR(N(INDIRECT("'"&amp;A2174&amp;"'!D"&amp;G2174)),0))))))))))))</f>
        <v>0</v>
      </c>
      <c r="M2174" s="36">
        <f>IFERROR(IF(NOT(ISBLANK(KPI_TARGETS!$P$11)),KPI_TARGETS!$P$11,IF(NOT(ISBLANK(KPI_TARGETS!$F$11)),KPI_TARGETS!$F$11,"")),"")</f>
        <v>0</v>
      </c>
      <c r="N2174" s="36" t="str">
        <f>IFERROR(KPI_TARGETS!$E$11,"Higher is better")</f>
        <v>Lower is better</v>
      </c>
      <c r="O2174" s="37">
        <f t="shared" ca="1" si="198"/>
        <v>1</v>
      </c>
      <c r="P2174" t="str">
        <f t="shared" ca="1" si="199"/>
        <v>Green</v>
      </c>
      <c r="Q2174" s="36">
        <f t="shared" ca="1" si="200"/>
        <v>0</v>
      </c>
      <c r="R2174" s="36" t="str">
        <f>""</f>
        <v/>
      </c>
      <c r="S2174" s="36" t="str">
        <f>""</f>
        <v/>
      </c>
      <c r="T2174" s="36" t="str">
        <f>""</f>
        <v/>
      </c>
      <c r="U2174" s="36" t="str">
        <f>""</f>
        <v/>
      </c>
      <c r="V2174" s="36" t="str">
        <f>""</f>
        <v/>
      </c>
      <c r="W2174" s="36">
        <f t="shared" si="201"/>
        <v>1</v>
      </c>
      <c r="X2174" t="str">
        <f t="shared" si="202"/>
        <v>Inactive</v>
      </c>
      <c r="Y2174" t="str">
        <f>IF(MAIN!$H$3="Selected Year",IF(A2174=MAIN!$B$3,"Yes","No"),IF(MAIN!$H$3="Included Years",IF(D2174="Yes","Yes","No"),IF(C2174="Yes","Yes","No")))</f>
        <v>No</v>
      </c>
      <c r="Z2174" t="str">
        <f>IF(MAIN!$F$3="Project to Date",IF(AND(A2174&gt;=SETTINGS!$B$4,A2174&lt;MAIN!$B$3),"Yes",IF(AND(A2174=MAIN!$B$3,E2174&lt;=MAIN!$L$3),"Yes","No")),IF(OR(MAIN!$F$3="Full Year",MAIN!$D$3="All"),"Yes",IF(MAIN!$F$3="Monthly",IF(E2174=MAIN!$L$3,"Yes","No"),IF(E2174&lt;=MAIN!$L$3,"Yes","No"))))</f>
        <v>Yes</v>
      </c>
      <c r="AA2174" t="str">
        <f t="shared" si="203"/>
        <v>No</v>
      </c>
    </row>
    <row r="2175" spans="1:27" x14ac:dyDescent="0.3">
      <c r="A2175">
        <f>INDEX(SETTINGS!$A$15:$A$24,$B2175)</f>
        <v>2034</v>
      </c>
      <c r="B2175">
        <v>10</v>
      </c>
      <c r="C2175" t="str">
        <f>IF(AND(A2175&gt;=SETTINGS!$B$4,A2175&lt;=SETTINGS!$B$5),"Yes","No")</f>
        <v>No</v>
      </c>
      <c r="D2175" t="str">
        <f>IFERROR(INDEX(SETTINGS!$C$15:$C$24,MATCH(A2175,SETTINGS!$A$15:$A$24,0)),"No")</f>
        <v>No</v>
      </c>
      <c r="E2175">
        <v>7</v>
      </c>
      <c r="F2175" t="s">
        <v>40</v>
      </c>
      <c r="G2175">
        <v>161</v>
      </c>
      <c r="H2175" t="s">
        <v>101</v>
      </c>
      <c r="I2175" t="s">
        <v>15</v>
      </c>
      <c r="J2175" t="s">
        <v>20</v>
      </c>
      <c r="K2175" t="s">
        <v>3</v>
      </c>
      <c r="L2175" s="36">
        <f ca="1">IF(C2175&lt;&gt;"Yes",0,IF(A2175=2025,N('2025'!D161),IF(A2175=2026,N('2026'!D161),IF(A2175=2027,N('2027'!D161),IF(A2175=2028,N('2028'!D161),IF(A2175=2029,N('2029'!D161),IF(A2175=2030,N('2030'!D161),IF(A2175=2031,N('2031'!D161),IF(A2175=2032,N('2032'!D161),IF(A2175=2033,N('2033'!D161),IF(A2175=2034,N('2034'!D161),IFERROR(N(INDIRECT("'"&amp;A2175&amp;"'!D"&amp;G2175)),0))))))))))))</f>
        <v>0</v>
      </c>
      <c r="M2175" s="36">
        <f>IFERROR(IF(NOT(ISBLANK(KPI_TARGETS!$P$12)),KPI_TARGETS!$P$12,IF(NOT(ISBLANK(KPI_TARGETS!$F$12)),KPI_TARGETS!$F$12,"")),"")</f>
        <v>0</v>
      </c>
      <c r="N2175" s="36" t="str">
        <f>IFERROR(KPI_TARGETS!$E$12,"Higher is better")</f>
        <v>Lower is better</v>
      </c>
      <c r="O2175" s="37">
        <f t="shared" ca="1" si="198"/>
        <v>1</v>
      </c>
      <c r="P2175" t="str">
        <f t="shared" ca="1" si="199"/>
        <v>Green</v>
      </c>
      <c r="Q2175" s="36">
        <f t="shared" ca="1" si="200"/>
        <v>0</v>
      </c>
      <c r="R2175" s="36" t="str">
        <f>""</f>
        <v/>
      </c>
      <c r="S2175" s="36" t="str">
        <f>""</f>
        <v/>
      </c>
      <c r="T2175" s="36" t="str">
        <f>""</f>
        <v/>
      </c>
      <c r="U2175" s="36" t="str">
        <f>""</f>
        <v/>
      </c>
      <c r="V2175" s="36" t="str">
        <f>""</f>
        <v/>
      </c>
      <c r="W2175" s="36">
        <f t="shared" si="201"/>
        <v>1</v>
      </c>
      <c r="X2175" t="str">
        <f t="shared" si="202"/>
        <v>Inactive</v>
      </c>
      <c r="Y2175" t="str">
        <f>IF(MAIN!$H$3="Selected Year",IF(A2175=MAIN!$B$3,"Yes","No"),IF(MAIN!$H$3="Included Years",IF(D2175="Yes","Yes","No"),IF(C2175="Yes","Yes","No")))</f>
        <v>No</v>
      </c>
      <c r="Z2175" t="str">
        <f>IF(MAIN!$F$3="Project to Date",IF(AND(A2175&gt;=SETTINGS!$B$4,A2175&lt;MAIN!$B$3),"Yes",IF(AND(A2175=MAIN!$B$3,E2175&lt;=MAIN!$L$3),"Yes","No")),IF(OR(MAIN!$F$3="Full Year",MAIN!$D$3="All"),"Yes",IF(MAIN!$F$3="Monthly",IF(E2175=MAIN!$L$3,"Yes","No"),IF(E2175&lt;=MAIN!$L$3,"Yes","No"))))</f>
        <v>Yes</v>
      </c>
      <c r="AA2175" t="str">
        <f t="shared" si="203"/>
        <v>No</v>
      </c>
    </row>
    <row r="2176" spans="1:27" x14ac:dyDescent="0.3">
      <c r="A2176">
        <f>INDEX(SETTINGS!$A$15:$A$24,$B2176)</f>
        <v>2034</v>
      </c>
      <c r="B2176">
        <v>10</v>
      </c>
      <c r="C2176" t="str">
        <f>IF(AND(A2176&gt;=SETTINGS!$B$4,A2176&lt;=SETTINGS!$B$5),"Yes","No")</f>
        <v>No</v>
      </c>
      <c r="D2176" t="str">
        <f>IFERROR(INDEX(SETTINGS!$C$15:$C$24,MATCH(A2176,SETTINGS!$A$15:$A$24,0)),"No")</f>
        <v>No</v>
      </c>
      <c r="E2176">
        <v>7</v>
      </c>
      <c r="F2176" t="s">
        <v>40</v>
      </c>
      <c r="G2176">
        <v>162</v>
      </c>
      <c r="H2176" t="s">
        <v>102</v>
      </c>
      <c r="I2176" t="s">
        <v>15</v>
      </c>
      <c r="J2176" t="s">
        <v>21</v>
      </c>
      <c r="K2176" t="s">
        <v>3</v>
      </c>
      <c r="L2176" s="36">
        <f ca="1">IF(C2176&lt;&gt;"Yes",0,IF(A2176=2025,N('2025'!D162),IF(A2176=2026,N('2026'!D162),IF(A2176=2027,N('2027'!D162),IF(A2176=2028,N('2028'!D162),IF(A2176=2029,N('2029'!D162),IF(A2176=2030,N('2030'!D162),IF(A2176=2031,N('2031'!D162),IF(A2176=2032,N('2032'!D162),IF(A2176=2033,N('2033'!D162),IF(A2176=2034,N('2034'!D162),IFERROR(N(INDIRECT("'"&amp;A2176&amp;"'!D"&amp;G2176)),0))))))))))))</f>
        <v>0</v>
      </c>
      <c r="M2176" s="36">
        <f>IFERROR(IF(NOT(ISBLANK(KPI_TARGETS!$P$13)),KPI_TARGETS!$P$13,IF(NOT(ISBLANK(KPI_TARGETS!$F$13)),KPI_TARGETS!$F$13,"")),"")</f>
        <v>0</v>
      </c>
      <c r="N2176" s="36" t="str">
        <f>IFERROR(KPI_TARGETS!$E$13,"Higher is better")</f>
        <v>Lower is better</v>
      </c>
      <c r="O2176" s="37">
        <f t="shared" ca="1" si="198"/>
        <v>1</v>
      </c>
      <c r="P2176" t="str">
        <f t="shared" ca="1" si="199"/>
        <v>Green</v>
      </c>
      <c r="Q2176" s="36">
        <f t="shared" ca="1" si="200"/>
        <v>0</v>
      </c>
      <c r="R2176" s="36" t="str">
        <f>""</f>
        <v/>
      </c>
      <c r="S2176" s="36" t="str">
        <f>""</f>
        <v/>
      </c>
      <c r="T2176" s="36" t="str">
        <f>""</f>
        <v/>
      </c>
      <c r="U2176" s="36" t="str">
        <f>""</f>
        <v/>
      </c>
      <c r="V2176" s="36" t="str">
        <f>""</f>
        <v/>
      </c>
      <c r="W2176" s="36">
        <f t="shared" si="201"/>
        <v>1</v>
      </c>
      <c r="X2176" t="str">
        <f t="shared" si="202"/>
        <v>Inactive</v>
      </c>
      <c r="Y2176" t="str">
        <f>IF(MAIN!$H$3="Selected Year",IF(A2176=MAIN!$B$3,"Yes","No"),IF(MAIN!$H$3="Included Years",IF(D2176="Yes","Yes","No"),IF(C2176="Yes","Yes","No")))</f>
        <v>No</v>
      </c>
      <c r="Z2176" t="str">
        <f>IF(MAIN!$F$3="Project to Date",IF(AND(A2176&gt;=SETTINGS!$B$4,A2176&lt;MAIN!$B$3),"Yes",IF(AND(A2176=MAIN!$B$3,E2176&lt;=MAIN!$L$3),"Yes","No")),IF(OR(MAIN!$F$3="Full Year",MAIN!$D$3="All"),"Yes",IF(MAIN!$F$3="Monthly",IF(E2176=MAIN!$L$3,"Yes","No"),IF(E2176&lt;=MAIN!$L$3,"Yes","No"))))</f>
        <v>Yes</v>
      </c>
      <c r="AA2176" t="str">
        <f t="shared" si="203"/>
        <v>No</v>
      </c>
    </row>
    <row r="2177" spans="1:27" x14ac:dyDescent="0.3">
      <c r="A2177">
        <f>INDEX(SETTINGS!$A$15:$A$24,$B2177)</f>
        <v>2034</v>
      </c>
      <c r="B2177">
        <v>10</v>
      </c>
      <c r="C2177" t="str">
        <f>IF(AND(A2177&gt;=SETTINGS!$B$4,A2177&lt;=SETTINGS!$B$5),"Yes","No")</f>
        <v>No</v>
      </c>
      <c r="D2177" t="str">
        <f>IFERROR(INDEX(SETTINGS!$C$15:$C$24,MATCH(A2177,SETTINGS!$A$15:$A$24,0)),"No")</f>
        <v>No</v>
      </c>
      <c r="E2177">
        <v>7</v>
      </c>
      <c r="F2177" t="s">
        <v>40</v>
      </c>
      <c r="G2177">
        <v>164</v>
      </c>
      <c r="H2177" t="s">
        <v>103</v>
      </c>
      <c r="I2177" t="s">
        <v>22</v>
      </c>
      <c r="J2177" t="s">
        <v>23</v>
      </c>
      <c r="K2177" t="s">
        <v>3</v>
      </c>
      <c r="L2177" s="36">
        <f ca="1">IF(C2177&lt;&gt;"Yes",0,IF(A2177=2025,N('2025'!D164),IF(A2177=2026,N('2026'!D164),IF(A2177=2027,N('2027'!D164),IF(A2177=2028,N('2028'!D164),IF(A2177=2029,N('2029'!D164),IF(A2177=2030,N('2030'!D164),IF(A2177=2031,N('2031'!D164),IF(A2177=2032,N('2032'!D164),IF(A2177=2033,N('2033'!D164),IF(A2177=2034,N('2034'!D164),IFERROR(N(INDIRECT("'"&amp;A2177&amp;"'!D"&amp;G2177)),0))))))))))))</f>
        <v>0</v>
      </c>
      <c r="M2177" s="36">
        <f>IFERROR(IF(NOT(ISBLANK(KPI_TARGETS!$P$14)),KPI_TARGETS!$P$14,IF(NOT(ISBLANK(KPI_TARGETS!$F$14)),KPI_TARGETS!$F$14,"")),"")</f>
        <v>35</v>
      </c>
      <c r="N2177" s="36" t="str">
        <f>IFERROR(KPI_TARGETS!$E$14,"Higher is better")</f>
        <v>Higher is better</v>
      </c>
      <c r="O2177" s="37">
        <f t="shared" ca="1" si="198"/>
        <v>0</v>
      </c>
      <c r="P2177" t="str">
        <f t="shared" ca="1" si="199"/>
        <v>Red</v>
      </c>
      <c r="Q2177" s="36">
        <f t="shared" ca="1" si="200"/>
        <v>-35</v>
      </c>
      <c r="R2177" s="36" t="str">
        <f>""</f>
        <v/>
      </c>
      <c r="S2177" s="36" t="str">
        <f>""</f>
        <v/>
      </c>
      <c r="T2177" s="36" t="str">
        <f>""</f>
        <v/>
      </c>
      <c r="U2177" s="36" t="str">
        <f>""</f>
        <v/>
      </c>
      <c r="V2177" s="36" t="str">
        <f>""</f>
        <v/>
      </c>
      <c r="W2177" s="36">
        <f t="shared" si="201"/>
        <v>1</v>
      </c>
      <c r="X2177" t="str">
        <f t="shared" si="202"/>
        <v>Inactive</v>
      </c>
      <c r="Y2177" t="str">
        <f>IF(MAIN!$H$3="Selected Year",IF(A2177=MAIN!$B$3,"Yes","No"),IF(MAIN!$H$3="Included Years",IF(D2177="Yes","Yes","No"),IF(C2177="Yes","Yes","No")))</f>
        <v>No</v>
      </c>
      <c r="Z2177" t="str">
        <f>IF(MAIN!$F$3="Project to Date",IF(AND(A2177&gt;=SETTINGS!$B$4,A2177&lt;MAIN!$B$3),"Yes",IF(AND(A2177=MAIN!$B$3,E2177&lt;=MAIN!$L$3),"Yes","No")),IF(OR(MAIN!$F$3="Full Year",MAIN!$D$3="All"),"Yes",IF(MAIN!$F$3="Monthly",IF(E2177=MAIN!$L$3,"Yes","No"),IF(E2177&lt;=MAIN!$L$3,"Yes","No"))))</f>
        <v>Yes</v>
      </c>
      <c r="AA2177" t="str">
        <f t="shared" si="203"/>
        <v>No</v>
      </c>
    </row>
    <row r="2178" spans="1:27" x14ac:dyDescent="0.3">
      <c r="A2178">
        <f>INDEX(SETTINGS!$A$15:$A$24,$B2178)</f>
        <v>2034</v>
      </c>
      <c r="B2178">
        <v>10</v>
      </c>
      <c r="C2178" t="str">
        <f>IF(AND(A2178&gt;=SETTINGS!$B$4,A2178&lt;=SETTINGS!$B$5),"Yes","No")</f>
        <v>No</v>
      </c>
      <c r="D2178" t="str">
        <f>IFERROR(INDEX(SETTINGS!$C$15:$C$24,MATCH(A2178,SETTINGS!$A$15:$A$24,0)),"No")</f>
        <v>No</v>
      </c>
      <c r="E2178">
        <v>7</v>
      </c>
      <c r="F2178" t="s">
        <v>40</v>
      </c>
      <c r="G2178">
        <v>165</v>
      </c>
      <c r="H2178" t="s">
        <v>104</v>
      </c>
      <c r="I2178" t="s">
        <v>22</v>
      </c>
      <c r="J2178" t="s">
        <v>24</v>
      </c>
      <c r="K2178" t="s">
        <v>3</v>
      </c>
      <c r="L2178" s="36">
        <f ca="1">IF(C2178&lt;&gt;"Yes",0,IF(A2178=2025,N('2025'!D165),IF(A2178=2026,N('2026'!D165),IF(A2178=2027,N('2027'!D165),IF(A2178=2028,N('2028'!D165),IF(A2178=2029,N('2029'!D165),IF(A2178=2030,N('2030'!D165),IF(A2178=2031,N('2031'!D165),IF(A2178=2032,N('2032'!D165),IF(A2178=2033,N('2033'!D165),IF(A2178=2034,N('2034'!D165),IFERROR(N(INDIRECT("'"&amp;A2178&amp;"'!D"&amp;G2178)),0))))))))))))</f>
        <v>0</v>
      </c>
      <c r="M2178" s="36">
        <f>IFERROR(IF(NOT(ISBLANK(KPI_TARGETS!$P$15)),KPI_TARGETS!$P$15,IF(NOT(ISBLANK(KPI_TARGETS!$F$15)),KPI_TARGETS!$F$15,"")),"")</f>
        <v>5</v>
      </c>
      <c r="N2178" s="36" t="str">
        <f>IFERROR(KPI_TARGETS!$E$15,"Higher is better")</f>
        <v>Higher is better</v>
      </c>
      <c r="O2178" s="37">
        <f t="shared" ref="O2178:O2241" ca="1" si="204">IF(M2178="","",IF(N2178="Higher is better",IFERROR(L2178/M2178,""),IF(L2178=0,1,IFERROR(M2178/L2178,""))))</f>
        <v>0</v>
      </c>
      <c r="P2178" t="str">
        <f t="shared" ref="P2178:P2241" ca="1" si="205">IF(M2178="","Target Needed",IF(N2178="Higher is better",IF(L2178&gt;=M2178,"Green",IF(L2178&gt;=0.8*M2178,"Amber","Red")),IF(M2178=0,IF(L2178=0,"Green","Red"),IF(L2178&lt;=M2178,"Green",IF(L2178&lt;=1.25*M2178,"Amber","Red")))))</f>
        <v>Red</v>
      </c>
      <c r="Q2178" s="36">
        <f t="shared" ref="Q2178:Q2241" ca="1" si="206">IF(M2178="","",IF(N2178="Higher is better",L2178-M2178,M2178-L2178))</f>
        <v>-5</v>
      </c>
      <c r="R2178" s="36" t="str">
        <f>""</f>
        <v/>
      </c>
      <c r="S2178" s="36" t="str">
        <f>""</f>
        <v/>
      </c>
      <c r="T2178" s="36" t="str">
        <f>""</f>
        <v/>
      </c>
      <c r="U2178" s="36" t="str">
        <f>""</f>
        <v/>
      </c>
      <c r="V2178" s="36" t="str">
        <f>""</f>
        <v/>
      </c>
      <c r="W2178" s="36">
        <f t="shared" ref="W2178:W2241" si="207">IF(LEN(M2178&amp;"")&gt;0,1,0)</f>
        <v>1</v>
      </c>
      <c r="X2178" t="str">
        <f t="shared" ref="X2178:X2241" si="208">IF(C2178&lt;&gt;"Yes","Inactive",IF(M2178="","Missing target","OK"))</f>
        <v>Inactive</v>
      </c>
      <c r="Y2178" t="str">
        <f>IF(MAIN!$H$3="Selected Year",IF(A2178=MAIN!$B$3,"Yes","No"),IF(MAIN!$H$3="Included Years",IF(D2178="Yes","Yes","No"),IF(C2178="Yes","Yes","No")))</f>
        <v>No</v>
      </c>
      <c r="Z2178" t="str">
        <f>IF(MAIN!$F$3="Project to Date",IF(AND(A2178&gt;=SETTINGS!$B$4,A2178&lt;MAIN!$B$3),"Yes",IF(AND(A2178=MAIN!$B$3,E2178&lt;=MAIN!$L$3),"Yes","No")),IF(OR(MAIN!$F$3="Full Year",MAIN!$D$3="All"),"Yes",IF(MAIN!$F$3="Monthly",IF(E2178=MAIN!$L$3,"Yes","No"),IF(E2178&lt;=MAIN!$L$3,"Yes","No"))))</f>
        <v>Yes</v>
      </c>
      <c r="AA2178" t="str">
        <f t="shared" ref="AA2178:AA2241" si="209">IF(AND(Y2178="Yes",Z2178="Yes"),"Yes","No")</f>
        <v>No</v>
      </c>
    </row>
    <row r="2179" spans="1:27" x14ac:dyDescent="0.3">
      <c r="A2179">
        <f>INDEX(SETTINGS!$A$15:$A$24,$B2179)</f>
        <v>2034</v>
      </c>
      <c r="B2179">
        <v>10</v>
      </c>
      <c r="C2179" t="str">
        <f>IF(AND(A2179&gt;=SETTINGS!$B$4,A2179&lt;=SETTINGS!$B$5),"Yes","No")</f>
        <v>No</v>
      </c>
      <c r="D2179" t="str">
        <f>IFERROR(INDEX(SETTINGS!$C$15:$C$24,MATCH(A2179,SETTINGS!$A$15:$A$24,0)),"No")</f>
        <v>No</v>
      </c>
      <c r="E2179">
        <v>7</v>
      </c>
      <c r="F2179" t="s">
        <v>40</v>
      </c>
      <c r="G2179">
        <v>166</v>
      </c>
      <c r="H2179" t="s">
        <v>105</v>
      </c>
      <c r="I2179" t="s">
        <v>22</v>
      </c>
      <c r="J2179" t="s">
        <v>25</v>
      </c>
      <c r="K2179" t="s">
        <v>3</v>
      </c>
      <c r="L2179" s="36">
        <f ca="1">IF(C2179&lt;&gt;"Yes",0,IF(A2179=2025,N('2025'!D166),IF(A2179=2026,N('2026'!D166),IF(A2179=2027,N('2027'!D166),IF(A2179=2028,N('2028'!D166),IF(A2179=2029,N('2029'!D166),IF(A2179=2030,N('2030'!D166),IF(A2179=2031,N('2031'!D166),IF(A2179=2032,N('2032'!D166),IF(A2179=2033,N('2033'!D166),IF(A2179=2034,N('2034'!D166),IFERROR(N(INDIRECT("'"&amp;A2179&amp;"'!D"&amp;G2179)),0))))))))))))</f>
        <v>0</v>
      </c>
      <c r="M2179" s="36">
        <f>IFERROR(IF(NOT(ISBLANK(KPI_TARGETS!$P$16)),KPI_TARGETS!$P$16,IF(NOT(ISBLANK(KPI_TARGETS!$F$16)),KPI_TARGETS!$F$16,"")),"")</f>
        <v>4</v>
      </c>
      <c r="N2179" s="36" t="str">
        <f>IFERROR(KPI_TARGETS!$E$16,"Higher is better")</f>
        <v>Higher is better</v>
      </c>
      <c r="O2179" s="37">
        <f t="shared" ca="1" si="204"/>
        <v>0</v>
      </c>
      <c r="P2179" t="str">
        <f t="shared" ca="1" si="205"/>
        <v>Red</v>
      </c>
      <c r="Q2179" s="36">
        <f t="shared" ca="1" si="206"/>
        <v>-4</v>
      </c>
      <c r="R2179" s="36" t="str">
        <f>""</f>
        <v/>
      </c>
      <c r="S2179" s="36" t="str">
        <f>""</f>
        <v/>
      </c>
      <c r="T2179" s="36" t="str">
        <f>""</f>
        <v/>
      </c>
      <c r="U2179" s="36" t="str">
        <f>""</f>
        <v/>
      </c>
      <c r="V2179" s="36" t="str">
        <f>""</f>
        <v/>
      </c>
      <c r="W2179" s="36">
        <f t="shared" si="207"/>
        <v>1</v>
      </c>
      <c r="X2179" t="str">
        <f t="shared" si="208"/>
        <v>Inactive</v>
      </c>
      <c r="Y2179" t="str">
        <f>IF(MAIN!$H$3="Selected Year",IF(A2179=MAIN!$B$3,"Yes","No"),IF(MAIN!$H$3="Included Years",IF(D2179="Yes","Yes","No"),IF(C2179="Yes","Yes","No")))</f>
        <v>No</v>
      </c>
      <c r="Z2179" t="str">
        <f>IF(MAIN!$F$3="Project to Date",IF(AND(A2179&gt;=SETTINGS!$B$4,A2179&lt;MAIN!$B$3),"Yes",IF(AND(A2179=MAIN!$B$3,E2179&lt;=MAIN!$L$3),"Yes","No")),IF(OR(MAIN!$F$3="Full Year",MAIN!$D$3="All"),"Yes",IF(MAIN!$F$3="Monthly",IF(E2179=MAIN!$L$3,"Yes","No"),IF(E2179&lt;=MAIN!$L$3,"Yes","No"))))</f>
        <v>Yes</v>
      </c>
      <c r="AA2179" t="str">
        <f t="shared" si="209"/>
        <v>No</v>
      </c>
    </row>
    <row r="2180" spans="1:27" x14ac:dyDescent="0.3">
      <c r="A2180">
        <f>INDEX(SETTINGS!$A$15:$A$24,$B2180)</f>
        <v>2034</v>
      </c>
      <c r="B2180">
        <v>10</v>
      </c>
      <c r="C2180" t="str">
        <f>IF(AND(A2180&gt;=SETTINGS!$B$4,A2180&lt;=SETTINGS!$B$5),"Yes","No")</f>
        <v>No</v>
      </c>
      <c r="D2180" t="str">
        <f>IFERROR(INDEX(SETTINGS!$C$15:$C$24,MATCH(A2180,SETTINGS!$A$15:$A$24,0)),"No")</f>
        <v>No</v>
      </c>
      <c r="E2180">
        <v>7</v>
      </c>
      <c r="F2180" t="s">
        <v>40</v>
      </c>
      <c r="G2180">
        <v>167</v>
      </c>
      <c r="H2180" t="s">
        <v>106</v>
      </c>
      <c r="I2180" t="s">
        <v>22</v>
      </c>
      <c r="J2180" t="s">
        <v>26</v>
      </c>
      <c r="K2180" t="s">
        <v>3</v>
      </c>
      <c r="L2180" s="36">
        <f ca="1">IF(C2180&lt;&gt;"Yes",0,IF(A2180=2025,N('2025'!D167),IF(A2180=2026,N('2026'!D167),IF(A2180=2027,N('2027'!D167),IF(A2180=2028,N('2028'!D167),IF(A2180=2029,N('2029'!D167),IF(A2180=2030,N('2030'!D167),IF(A2180=2031,N('2031'!D167),IF(A2180=2032,N('2032'!D167),IF(A2180=2033,N('2033'!D167),IF(A2180=2034,N('2034'!D167),IFERROR(N(INDIRECT("'"&amp;A2180&amp;"'!D"&amp;G2180)),0))))))))))))</f>
        <v>0</v>
      </c>
      <c r="M2180" s="36">
        <f>IFERROR(IF(NOT(ISBLANK(KPI_TARGETS!$P$17)),KPI_TARGETS!$P$17,IF(NOT(ISBLANK(KPI_TARGETS!$F$17)),KPI_TARGETS!$F$17,"")),"")</f>
        <v>12</v>
      </c>
      <c r="N2180" s="36" t="str">
        <f>IFERROR(KPI_TARGETS!$E$17,"Higher is better")</f>
        <v>Higher is better</v>
      </c>
      <c r="O2180" s="37">
        <f t="shared" ca="1" si="204"/>
        <v>0</v>
      </c>
      <c r="P2180" t="str">
        <f t="shared" ca="1" si="205"/>
        <v>Red</v>
      </c>
      <c r="Q2180" s="36">
        <f t="shared" ca="1" si="206"/>
        <v>-12</v>
      </c>
      <c r="R2180" s="36" t="str">
        <f>""</f>
        <v/>
      </c>
      <c r="S2180" s="36" t="str">
        <f>""</f>
        <v/>
      </c>
      <c r="T2180" s="36" t="str">
        <f>""</f>
        <v/>
      </c>
      <c r="U2180" s="36" t="str">
        <f>""</f>
        <v/>
      </c>
      <c r="V2180" s="36" t="str">
        <f>""</f>
        <v/>
      </c>
      <c r="W2180" s="36">
        <f t="shared" si="207"/>
        <v>1</v>
      </c>
      <c r="X2180" t="str">
        <f t="shared" si="208"/>
        <v>Inactive</v>
      </c>
      <c r="Y2180" t="str">
        <f>IF(MAIN!$H$3="Selected Year",IF(A2180=MAIN!$B$3,"Yes","No"),IF(MAIN!$H$3="Included Years",IF(D2180="Yes","Yes","No"),IF(C2180="Yes","Yes","No")))</f>
        <v>No</v>
      </c>
      <c r="Z2180" t="str">
        <f>IF(MAIN!$F$3="Project to Date",IF(AND(A2180&gt;=SETTINGS!$B$4,A2180&lt;MAIN!$B$3),"Yes",IF(AND(A2180=MAIN!$B$3,E2180&lt;=MAIN!$L$3),"Yes","No")),IF(OR(MAIN!$F$3="Full Year",MAIN!$D$3="All"),"Yes",IF(MAIN!$F$3="Monthly",IF(E2180=MAIN!$L$3,"Yes","No"),IF(E2180&lt;=MAIN!$L$3,"Yes","No"))))</f>
        <v>Yes</v>
      </c>
      <c r="AA2180" t="str">
        <f t="shared" si="209"/>
        <v>No</v>
      </c>
    </row>
    <row r="2181" spans="1:27" x14ac:dyDescent="0.3">
      <c r="A2181">
        <f>INDEX(SETTINGS!$A$15:$A$24,$B2181)</f>
        <v>2034</v>
      </c>
      <c r="B2181">
        <v>10</v>
      </c>
      <c r="C2181" t="str">
        <f>IF(AND(A2181&gt;=SETTINGS!$B$4,A2181&lt;=SETTINGS!$B$5),"Yes","No")</f>
        <v>No</v>
      </c>
      <c r="D2181" t="str">
        <f>IFERROR(INDEX(SETTINGS!$C$15:$C$24,MATCH(A2181,SETTINGS!$A$15:$A$24,0)),"No")</f>
        <v>No</v>
      </c>
      <c r="E2181">
        <v>7</v>
      </c>
      <c r="F2181" t="s">
        <v>40</v>
      </c>
      <c r="G2181">
        <v>168</v>
      </c>
      <c r="H2181" t="s">
        <v>107</v>
      </c>
      <c r="I2181" t="s">
        <v>22</v>
      </c>
      <c r="J2181" t="s">
        <v>27</v>
      </c>
      <c r="K2181" t="s">
        <v>3</v>
      </c>
      <c r="L2181" s="36">
        <f ca="1">IF(C2181&lt;&gt;"Yes",0,IF(A2181=2025,N('2025'!D168),IF(A2181=2026,N('2026'!D168),IF(A2181=2027,N('2027'!D168),IF(A2181=2028,N('2028'!D168),IF(A2181=2029,N('2029'!D168),IF(A2181=2030,N('2030'!D168),IF(A2181=2031,N('2031'!D168),IF(A2181=2032,N('2032'!D168),IF(A2181=2033,N('2033'!D168),IF(A2181=2034,N('2034'!D168),IFERROR(N(INDIRECT("'"&amp;A2181&amp;"'!D"&amp;G2181)),0))))))))))))</f>
        <v>0</v>
      </c>
      <c r="M2181" s="36">
        <f>IFERROR(IF(NOT(ISBLANK(KPI_TARGETS!$P$18)),KPI_TARGETS!$P$18,IF(NOT(ISBLANK(KPI_TARGETS!$F$18)),KPI_TARGETS!$F$18,"")),"")</f>
        <v>4</v>
      </c>
      <c r="N2181" s="36" t="str">
        <f>IFERROR(KPI_TARGETS!$E$18,"Higher is better")</f>
        <v>Higher is better</v>
      </c>
      <c r="O2181" s="37">
        <f t="shared" ca="1" si="204"/>
        <v>0</v>
      </c>
      <c r="P2181" t="str">
        <f t="shared" ca="1" si="205"/>
        <v>Red</v>
      </c>
      <c r="Q2181" s="36">
        <f t="shared" ca="1" si="206"/>
        <v>-4</v>
      </c>
      <c r="R2181" s="36" t="str">
        <f>""</f>
        <v/>
      </c>
      <c r="S2181" s="36" t="str">
        <f>""</f>
        <v/>
      </c>
      <c r="T2181" s="36" t="str">
        <f>""</f>
        <v/>
      </c>
      <c r="U2181" s="36" t="str">
        <f>""</f>
        <v/>
      </c>
      <c r="V2181" s="36" t="str">
        <f>""</f>
        <v/>
      </c>
      <c r="W2181" s="36">
        <f t="shared" si="207"/>
        <v>1</v>
      </c>
      <c r="X2181" t="str">
        <f t="shared" si="208"/>
        <v>Inactive</v>
      </c>
      <c r="Y2181" t="str">
        <f>IF(MAIN!$H$3="Selected Year",IF(A2181=MAIN!$B$3,"Yes","No"),IF(MAIN!$H$3="Included Years",IF(D2181="Yes","Yes","No"),IF(C2181="Yes","Yes","No")))</f>
        <v>No</v>
      </c>
      <c r="Z2181" t="str">
        <f>IF(MAIN!$F$3="Project to Date",IF(AND(A2181&gt;=SETTINGS!$B$4,A2181&lt;MAIN!$B$3),"Yes",IF(AND(A2181=MAIN!$B$3,E2181&lt;=MAIN!$L$3),"Yes","No")),IF(OR(MAIN!$F$3="Full Year",MAIN!$D$3="All"),"Yes",IF(MAIN!$F$3="Monthly",IF(E2181=MAIN!$L$3,"Yes","No"),IF(E2181&lt;=MAIN!$L$3,"Yes","No"))))</f>
        <v>Yes</v>
      </c>
      <c r="AA2181" t="str">
        <f t="shared" si="209"/>
        <v>No</v>
      </c>
    </row>
    <row r="2182" spans="1:27" x14ac:dyDescent="0.3">
      <c r="A2182">
        <f>INDEX(SETTINGS!$A$15:$A$24,$B2182)</f>
        <v>2034</v>
      </c>
      <c r="B2182">
        <v>10</v>
      </c>
      <c r="C2182" t="str">
        <f>IF(AND(A2182&gt;=SETTINGS!$B$4,A2182&lt;=SETTINGS!$B$5),"Yes","No")</f>
        <v>No</v>
      </c>
      <c r="D2182" t="str">
        <f>IFERROR(INDEX(SETTINGS!$C$15:$C$24,MATCH(A2182,SETTINGS!$A$15:$A$24,0)),"No")</f>
        <v>No</v>
      </c>
      <c r="E2182">
        <v>7</v>
      </c>
      <c r="F2182" t="s">
        <v>40</v>
      </c>
      <c r="G2182">
        <v>169</v>
      </c>
      <c r="H2182" t="s">
        <v>108</v>
      </c>
      <c r="I2182" t="s">
        <v>22</v>
      </c>
      <c r="J2182" t="s">
        <v>28</v>
      </c>
      <c r="K2182" t="s">
        <v>3</v>
      </c>
      <c r="L2182" s="36">
        <f ca="1">IF(C2182&lt;&gt;"Yes",0,IF(A2182=2025,N('2025'!D169),IF(A2182=2026,N('2026'!D169),IF(A2182=2027,N('2027'!D169),IF(A2182=2028,N('2028'!D169),IF(A2182=2029,N('2029'!D169),IF(A2182=2030,N('2030'!D169),IF(A2182=2031,N('2031'!D169),IF(A2182=2032,N('2032'!D169),IF(A2182=2033,N('2033'!D169),IF(A2182=2034,N('2034'!D169),IFERROR(N(INDIRECT("'"&amp;A2182&amp;"'!D"&amp;G2182)),0))))))))))))</f>
        <v>0</v>
      </c>
      <c r="M2182" s="36">
        <f>IFERROR(IF(NOT(ISBLANK(KPI_TARGETS!$P$19)),KPI_TARGETS!$P$19,IF(NOT(ISBLANK(KPI_TARGETS!$F$19)),KPI_TARGETS!$F$19,"")),"")</f>
        <v>16</v>
      </c>
      <c r="N2182" s="36" t="str">
        <f>IFERROR(KPI_TARGETS!$E$19,"Higher is better")</f>
        <v>Higher is better</v>
      </c>
      <c r="O2182" s="37">
        <f t="shared" ca="1" si="204"/>
        <v>0</v>
      </c>
      <c r="P2182" t="str">
        <f t="shared" ca="1" si="205"/>
        <v>Red</v>
      </c>
      <c r="Q2182" s="36">
        <f t="shared" ca="1" si="206"/>
        <v>-16</v>
      </c>
      <c r="R2182" s="36" t="str">
        <f>""</f>
        <v/>
      </c>
      <c r="S2182" s="36" t="str">
        <f>""</f>
        <v/>
      </c>
      <c r="T2182" s="36" t="str">
        <f>""</f>
        <v/>
      </c>
      <c r="U2182" s="36" t="str">
        <f>""</f>
        <v/>
      </c>
      <c r="V2182" s="36" t="str">
        <f>""</f>
        <v/>
      </c>
      <c r="W2182" s="36">
        <f t="shared" si="207"/>
        <v>1</v>
      </c>
      <c r="X2182" t="str">
        <f t="shared" si="208"/>
        <v>Inactive</v>
      </c>
      <c r="Y2182" t="str">
        <f>IF(MAIN!$H$3="Selected Year",IF(A2182=MAIN!$B$3,"Yes","No"),IF(MAIN!$H$3="Included Years",IF(D2182="Yes","Yes","No"),IF(C2182="Yes","Yes","No")))</f>
        <v>No</v>
      </c>
      <c r="Z2182" t="str">
        <f>IF(MAIN!$F$3="Project to Date",IF(AND(A2182&gt;=SETTINGS!$B$4,A2182&lt;MAIN!$B$3),"Yes",IF(AND(A2182=MAIN!$B$3,E2182&lt;=MAIN!$L$3),"Yes","No")),IF(OR(MAIN!$F$3="Full Year",MAIN!$D$3="All"),"Yes",IF(MAIN!$F$3="Monthly",IF(E2182=MAIN!$L$3,"Yes","No"),IF(E2182&lt;=MAIN!$L$3,"Yes","No"))))</f>
        <v>Yes</v>
      </c>
      <c r="AA2182" t="str">
        <f t="shared" si="209"/>
        <v>No</v>
      </c>
    </row>
    <row r="2183" spans="1:27" x14ac:dyDescent="0.3">
      <c r="A2183">
        <f>INDEX(SETTINGS!$A$15:$A$24,$B2183)</f>
        <v>2034</v>
      </c>
      <c r="B2183">
        <v>10</v>
      </c>
      <c r="C2183" t="str">
        <f>IF(AND(A2183&gt;=SETTINGS!$B$4,A2183&lt;=SETTINGS!$B$5),"Yes","No")</f>
        <v>No</v>
      </c>
      <c r="D2183" t="str">
        <f>IFERROR(INDEX(SETTINGS!$C$15:$C$24,MATCH(A2183,SETTINGS!$A$15:$A$24,0)),"No")</f>
        <v>No</v>
      </c>
      <c r="E2183">
        <v>7</v>
      </c>
      <c r="F2183" t="s">
        <v>40</v>
      </c>
      <c r="G2183">
        <v>170</v>
      </c>
      <c r="H2183" t="s">
        <v>109</v>
      </c>
      <c r="I2183" t="s">
        <v>22</v>
      </c>
      <c r="J2183" t="s">
        <v>29</v>
      </c>
      <c r="K2183" t="s">
        <v>3</v>
      </c>
      <c r="L2183" s="36">
        <f ca="1">IF(C2183&lt;&gt;"Yes",0,IF(A2183=2025,N('2025'!D170),IF(A2183=2026,N('2026'!D170),IF(A2183=2027,N('2027'!D170),IF(A2183=2028,N('2028'!D170),IF(A2183=2029,N('2029'!D170),IF(A2183=2030,N('2030'!D170),IF(A2183=2031,N('2031'!D170),IF(A2183=2032,N('2032'!D170),IF(A2183=2033,N('2033'!D170),IF(A2183=2034,N('2034'!D170),IFERROR(N(INDIRECT("'"&amp;A2183&amp;"'!D"&amp;G2183)),0))))))))))))</f>
        <v>0</v>
      </c>
      <c r="M2183" s="36">
        <f>IFERROR(IF(NOT(ISBLANK(KPI_TARGETS!$P$20)),KPI_TARGETS!$P$20,IF(NOT(ISBLANK(KPI_TARGETS!$F$20)),KPI_TARGETS!$F$20,"")),"")</f>
        <v>1</v>
      </c>
      <c r="N2183" s="36" t="str">
        <f>IFERROR(KPI_TARGETS!$E$20,"Higher is better")</f>
        <v>Higher is better</v>
      </c>
      <c r="O2183" s="37">
        <f t="shared" ca="1" si="204"/>
        <v>0</v>
      </c>
      <c r="P2183" t="str">
        <f t="shared" ca="1" si="205"/>
        <v>Red</v>
      </c>
      <c r="Q2183" s="36">
        <f t="shared" ca="1" si="206"/>
        <v>-1</v>
      </c>
      <c r="R2183" s="36" t="str">
        <f>""</f>
        <v/>
      </c>
      <c r="S2183" s="36" t="str">
        <f>""</f>
        <v/>
      </c>
      <c r="T2183" s="36" t="str">
        <f>""</f>
        <v/>
      </c>
      <c r="U2183" s="36" t="str">
        <f>""</f>
        <v/>
      </c>
      <c r="V2183" s="36" t="str">
        <f>""</f>
        <v/>
      </c>
      <c r="W2183" s="36">
        <f t="shared" si="207"/>
        <v>1</v>
      </c>
      <c r="X2183" t="str">
        <f t="shared" si="208"/>
        <v>Inactive</v>
      </c>
      <c r="Y2183" t="str">
        <f>IF(MAIN!$H$3="Selected Year",IF(A2183=MAIN!$B$3,"Yes","No"),IF(MAIN!$H$3="Included Years",IF(D2183="Yes","Yes","No"),IF(C2183="Yes","Yes","No")))</f>
        <v>No</v>
      </c>
      <c r="Z2183" t="str">
        <f>IF(MAIN!$F$3="Project to Date",IF(AND(A2183&gt;=SETTINGS!$B$4,A2183&lt;MAIN!$B$3),"Yes",IF(AND(A2183=MAIN!$B$3,E2183&lt;=MAIN!$L$3),"Yes","No")),IF(OR(MAIN!$F$3="Full Year",MAIN!$D$3="All"),"Yes",IF(MAIN!$F$3="Monthly",IF(E2183=MAIN!$L$3,"Yes","No"),IF(E2183&lt;=MAIN!$L$3,"Yes","No"))))</f>
        <v>Yes</v>
      </c>
      <c r="AA2183" t="str">
        <f t="shared" si="209"/>
        <v>No</v>
      </c>
    </row>
    <row r="2184" spans="1:27" x14ac:dyDescent="0.3">
      <c r="A2184">
        <f>INDEX(SETTINGS!$A$15:$A$24,$B2184)</f>
        <v>2034</v>
      </c>
      <c r="B2184">
        <v>10</v>
      </c>
      <c r="C2184" t="str">
        <f>IF(AND(A2184&gt;=SETTINGS!$B$4,A2184&lt;=SETTINGS!$B$5),"Yes","No")</f>
        <v>No</v>
      </c>
      <c r="D2184" t="str">
        <f>IFERROR(INDEX(SETTINGS!$C$15:$C$24,MATCH(A2184,SETTINGS!$A$15:$A$24,0)),"No")</f>
        <v>No</v>
      </c>
      <c r="E2184">
        <v>7</v>
      </c>
      <c r="F2184" t="s">
        <v>40</v>
      </c>
      <c r="G2184">
        <v>172</v>
      </c>
      <c r="H2184" t="s">
        <v>110</v>
      </c>
      <c r="I2184" t="s">
        <v>30</v>
      </c>
      <c r="J2184" t="s">
        <v>31</v>
      </c>
      <c r="K2184" t="s">
        <v>3</v>
      </c>
      <c r="L2184" s="36">
        <f ca="1">IF(C2184&lt;&gt;"Yes",0,IF(A2184=2025,N('2025'!D172),IF(A2184=2026,N('2026'!D172),IF(A2184=2027,N('2027'!D172),IF(A2184=2028,N('2028'!D172),IF(A2184=2029,N('2029'!D172),IF(A2184=2030,N('2030'!D172),IF(A2184=2031,N('2031'!D172),IF(A2184=2032,N('2032'!D172),IF(A2184=2033,N('2033'!D172),IF(A2184=2034,N('2034'!D172),IFERROR(N(INDIRECT("'"&amp;A2184&amp;"'!D"&amp;G2184)),0))))))))))))</f>
        <v>0</v>
      </c>
      <c r="M2184" s="36">
        <f>IFERROR(IF(NOT(ISBLANK(KPI_TARGETS!$P$21)),KPI_TARGETS!$P$21,IF(NOT(ISBLANK(KPI_TARGETS!$F$21)),KPI_TARGETS!$F$21,"")),"")</f>
        <v>0</v>
      </c>
      <c r="N2184" s="36" t="str">
        <f>IFERROR(KPI_TARGETS!$E$21,"Higher is better")</f>
        <v>Lower is better</v>
      </c>
      <c r="O2184" s="37">
        <f t="shared" ca="1" si="204"/>
        <v>1</v>
      </c>
      <c r="P2184" t="str">
        <f t="shared" ca="1" si="205"/>
        <v>Green</v>
      </c>
      <c r="Q2184" s="36">
        <f t="shared" ca="1" si="206"/>
        <v>0</v>
      </c>
      <c r="R2184" s="36" t="str">
        <f>""</f>
        <v/>
      </c>
      <c r="S2184" s="36" t="str">
        <f>""</f>
        <v/>
      </c>
      <c r="T2184" s="36" t="str">
        <f>""</f>
        <v/>
      </c>
      <c r="U2184" s="36" t="str">
        <f>""</f>
        <v/>
      </c>
      <c r="V2184" s="36" t="str">
        <f>""</f>
        <v/>
      </c>
      <c r="W2184" s="36">
        <f t="shared" si="207"/>
        <v>1</v>
      </c>
      <c r="X2184" t="str">
        <f t="shared" si="208"/>
        <v>Inactive</v>
      </c>
      <c r="Y2184" t="str">
        <f>IF(MAIN!$H$3="Selected Year",IF(A2184=MAIN!$B$3,"Yes","No"),IF(MAIN!$H$3="Included Years",IF(D2184="Yes","Yes","No"),IF(C2184="Yes","Yes","No")))</f>
        <v>No</v>
      </c>
      <c r="Z2184" t="str">
        <f>IF(MAIN!$F$3="Project to Date",IF(AND(A2184&gt;=SETTINGS!$B$4,A2184&lt;MAIN!$B$3),"Yes",IF(AND(A2184=MAIN!$B$3,E2184&lt;=MAIN!$L$3),"Yes","No")),IF(OR(MAIN!$F$3="Full Year",MAIN!$D$3="All"),"Yes",IF(MAIN!$F$3="Monthly",IF(E2184=MAIN!$L$3,"Yes","No"),IF(E2184&lt;=MAIN!$L$3,"Yes","No"))))</f>
        <v>Yes</v>
      </c>
      <c r="AA2184" t="str">
        <f t="shared" si="209"/>
        <v>No</v>
      </c>
    </row>
    <row r="2185" spans="1:27" x14ac:dyDescent="0.3">
      <c r="A2185">
        <f>INDEX(SETTINGS!$A$15:$A$24,$B2185)</f>
        <v>2034</v>
      </c>
      <c r="B2185">
        <v>10</v>
      </c>
      <c r="C2185" t="str">
        <f>IF(AND(A2185&gt;=SETTINGS!$B$4,A2185&lt;=SETTINGS!$B$5),"Yes","No")</f>
        <v>No</v>
      </c>
      <c r="D2185" t="str">
        <f>IFERROR(INDEX(SETTINGS!$C$15:$C$24,MATCH(A2185,SETTINGS!$A$15:$A$24,0)),"No")</f>
        <v>No</v>
      </c>
      <c r="E2185">
        <v>7</v>
      </c>
      <c r="F2185" t="s">
        <v>40</v>
      </c>
      <c r="G2185">
        <v>173</v>
      </c>
      <c r="H2185" t="s">
        <v>111</v>
      </c>
      <c r="I2185" t="s">
        <v>30</v>
      </c>
      <c r="J2185" t="s">
        <v>32</v>
      </c>
      <c r="K2185" t="s">
        <v>3</v>
      </c>
      <c r="L2185" s="36">
        <f ca="1">IF(C2185&lt;&gt;"Yes",0,IF(A2185=2025,N('2025'!D173),IF(A2185=2026,N('2026'!D173),IF(A2185=2027,N('2027'!D173),IF(A2185=2028,N('2028'!D173),IF(A2185=2029,N('2029'!D173),IF(A2185=2030,N('2030'!D173),IF(A2185=2031,N('2031'!D173),IF(A2185=2032,N('2032'!D173),IF(A2185=2033,N('2033'!D173),IF(A2185=2034,N('2034'!D173),IFERROR(N(INDIRECT("'"&amp;A2185&amp;"'!D"&amp;G2185)),0))))))))))))</f>
        <v>0</v>
      </c>
      <c r="M2185" s="36">
        <f>IFERROR(IF(NOT(ISBLANK(KPI_TARGETS!$P$22)),KPI_TARGETS!$P$22,IF(NOT(ISBLANK(KPI_TARGETS!$F$22)),KPI_TARGETS!$F$22,"")),"")</f>
        <v>1</v>
      </c>
      <c r="N2185" s="36" t="str">
        <f>IFERROR(KPI_TARGETS!$E$22,"Higher is better")</f>
        <v>Higher is better</v>
      </c>
      <c r="O2185" s="37">
        <f t="shared" ca="1" si="204"/>
        <v>0</v>
      </c>
      <c r="P2185" t="str">
        <f t="shared" ca="1" si="205"/>
        <v>Red</v>
      </c>
      <c r="Q2185" s="36">
        <f t="shared" ca="1" si="206"/>
        <v>-1</v>
      </c>
      <c r="R2185" s="36" t="str">
        <f>""</f>
        <v/>
      </c>
      <c r="S2185" s="36" t="str">
        <f>""</f>
        <v/>
      </c>
      <c r="T2185" s="36" t="str">
        <f>""</f>
        <v/>
      </c>
      <c r="U2185" s="36" t="str">
        <f>""</f>
        <v/>
      </c>
      <c r="V2185" s="36" t="str">
        <f>""</f>
        <v/>
      </c>
      <c r="W2185" s="36">
        <f t="shared" si="207"/>
        <v>1</v>
      </c>
      <c r="X2185" t="str">
        <f t="shared" si="208"/>
        <v>Inactive</v>
      </c>
      <c r="Y2185" t="str">
        <f>IF(MAIN!$H$3="Selected Year",IF(A2185=MAIN!$B$3,"Yes","No"),IF(MAIN!$H$3="Included Years",IF(D2185="Yes","Yes","No"),IF(C2185="Yes","Yes","No")))</f>
        <v>No</v>
      </c>
      <c r="Z2185" t="str">
        <f>IF(MAIN!$F$3="Project to Date",IF(AND(A2185&gt;=SETTINGS!$B$4,A2185&lt;MAIN!$B$3),"Yes",IF(AND(A2185=MAIN!$B$3,E2185&lt;=MAIN!$L$3),"Yes","No")),IF(OR(MAIN!$F$3="Full Year",MAIN!$D$3="All"),"Yes",IF(MAIN!$F$3="Monthly",IF(E2185=MAIN!$L$3,"Yes","No"),IF(E2185&lt;=MAIN!$L$3,"Yes","No"))))</f>
        <v>Yes</v>
      </c>
      <c r="AA2185" t="str">
        <f t="shared" si="209"/>
        <v>No</v>
      </c>
    </row>
    <row r="2186" spans="1:27" x14ac:dyDescent="0.3">
      <c r="A2186">
        <f>INDEX(SETTINGS!$A$15:$A$24,$B2186)</f>
        <v>2034</v>
      </c>
      <c r="B2186">
        <v>10</v>
      </c>
      <c r="C2186" t="str">
        <f>IF(AND(A2186&gt;=SETTINGS!$B$4,A2186&lt;=SETTINGS!$B$5),"Yes","No")</f>
        <v>No</v>
      </c>
      <c r="D2186" t="str">
        <f>IFERROR(INDEX(SETTINGS!$C$15:$C$24,MATCH(A2186,SETTINGS!$A$15:$A$24,0)),"No")</f>
        <v>No</v>
      </c>
      <c r="E2186">
        <v>7</v>
      </c>
      <c r="F2186" t="s">
        <v>40</v>
      </c>
      <c r="G2186">
        <v>174</v>
      </c>
      <c r="H2186" t="s">
        <v>112</v>
      </c>
      <c r="I2186" t="s">
        <v>30</v>
      </c>
      <c r="J2186" t="s">
        <v>33</v>
      </c>
      <c r="K2186" t="s">
        <v>34</v>
      </c>
      <c r="L2186" s="36">
        <f ca="1">IF(C2186&lt;&gt;"Yes",0,IF(A2186=2025,N('2025'!D174),IF(A2186=2026,N('2026'!D174),IF(A2186=2027,N('2027'!D174),IF(A2186=2028,N('2028'!D174),IF(A2186=2029,N('2029'!D174),IF(A2186=2030,N('2030'!D174),IF(A2186=2031,N('2031'!D174),IF(A2186=2032,N('2032'!D174),IF(A2186=2033,N('2033'!D174),IF(A2186=2034,N('2034'!D174),IFERROR(N(INDIRECT("'"&amp;A2186&amp;"'!D"&amp;G2186)),0))))))))))))</f>
        <v>0</v>
      </c>
      <c r="M2186" s="36">
        <f>IFERROR(IF(NOT(ISBLANK(KPI_TARGETS!$P$23)),KPI_TARGETS!$P$23,IF(NOT(ISBLANK(KPI_TARGETS!$F$23)),KPI_TARGETS!$F$23,"")),"")</f>
        <v>1</v>
      </c>
      <c r="N2186" s="36" t="str">
        <f>IFERROR(KPI_TARGETS!$E$23,"Higher is better")</f>
        <v>Higher is better</v>
      </c>
      <c r="O2186" s="37">
        <f t="shared" ca="1" si="204"/>
        <v>0</v>
      </c>
      <c r="P2186" t="str">
        <f t="shared" ca="1" si="205"/>
        <v>Red</v>
      </c>
      <c r="Q2186" s="36">
        <f t="shared" ca="1" si="206"/>
        <v>-1</v>
      </c>
      <c r="R2186" s="36" t="str">
        <f>""</f>
        <v/>
      </c>
      <c r="S2186" s="36" t="str">
        <f>""</f>
        <v/>
      </c>
      <c r="T2186" s="36" t="str">
        <f>""</f>
        <v/>
      </c>
      <c r="U2186" s="36" t="str">
        <f>""</f>
        <v/>
      </c>
      <c r="V2186" s="36" t="str">
        <f>""</f>
        <v/>
      </c>
      <c r="W2186" s="36">
        <f t="shared" si="207"/>
        <v>1</v>
      </c>
      <c r="X2186" t="str">
        <f t="shared" si="208"/>
        <v>Inactive</v>
      </c>
      <c r="Y2186" t="str">
        <f>IF(MAIN!$H$3="Selected Year",IF(A2186=MAIN!$B$3,"Yes","No"),IF(MAIN!$H$3="Included Years",IF(D2186="Yes","Yes","No"),IF(C2186="Yes","Yes","No")))</f>
        <v>No</v>
      </c>
      <c r="Z2186" t="str">
        <f>IF(MAIN!$F$3="Project to Date",IF(AND(A2186&gt;=SETTINGS!$B$4,A2186&lt;MAIN!$B$3),"Yes",IF(AND(A2186=MAIN!$B$3,E2186&lt;=MAIN!$L$3),"Yes","No")),IF(OR(MAIN!$F$3="Full Year",MAIN!$D$3="All"),"Yes",IF(MAIN!$F$3="Monthly",IF(E2186=MAIN!$L$3,"Yes","No"),IF(E2186&lt;=MAIN!$L$3,"Yes","No"))))</f>
        <v>Yes</v>
      </c>
      <c r="AA2186" t="str">
        <f t="shared" si="209"/>
        <v>No</v>
      </c>
    </row>
    <row r="2187" spans="1:27" x14ac:dyDescent="0.3">
      <c r="A2187">
        <f>INDEX(SETTINGS!$A$15:$A$24,$B2187)</f>
        <v>2034</v>
      </c>
      <c r="B2187">
        <v>10</v>
      </c>
      <c r="C2187" t="str">
        <f>IF(AND(A2187&gt;=SETTINGS!$B$4,A2187&lt;=SETTINGS!$B$5),"Yes","No")</f>
        <v>No</v>
      </c>
      <c r="D2187" t="str">
        <f>IFERROR(INDEX(SETTINGS!$C$15:$C$24,MATCH(A2187,SETTINGS!$A$15:$A$24,0)),"No")</f>
        <v>No</v>
      </c>
      <c r="E2187">
        <v>8</v>
      </c>
      <c r="F2187" t="s">
        <v>41</v>
      </c>
      <c r="G2187">
        <v>177</v>
      </c>
      <c r="H2187" t="s">
        <v>88</v>
      </c>
      <c r="I2187" t="s">
        <v>89</v>
      </c>
      <c r="J2187" t="s">
        <v>10</v>
      </c>
      <c r="K2187" t="s">
        <v>3</v>
      </c>
      <c r="L2187" s="36">
        <f ca="1">IF(C2187&lt;&gt;"Yes",0,IF(A2187=2025,N('2025'!D177),IF(A2187=2026,N('2026'!D177),IF(A2187=2027,N('2027'!D177),IF(A2187=2028,N('2028'!D177),IF(A2187=2029,N('2029'!D177),IF(A2187=2030,N('2030'!D177),IF(A2187=2031,N('2031'!D177),IF(A2187=2032,N('2032'!D177),IF(A2187=2033,N('2033'!D177),IF(A2187=2034,N('2034'!D177),IFERROR(N(INDIRECT("'"&amp;A2187&amp;"'!D"&amp;G2187)),0))))))))))))</f>
        <v>0</v>
      </c>
      <c r="M2187" s="36">
        <f>IFERROR(IF(NOT(ISBLANK(KPI_TARGETS!$P$5)),KPI_TARGETS!$P$5,IF(NOT(ISBLANK(KPI_TARGETS!$F$5)),KPI_TARGETS!$F$5,"")),"")</f>
        <v>104</v>
      </c>
      <c r="N2187" s="36" t="str">
        <f>IFERROR(KPI_TARGETS!$E$5,"Higher is better")</f>
        <v>Higher is better</v>
      </c>
      <c r="O2187" s="37">
        <f t="shared" ca="1" si="204"/>
        <v>0</v>
      </c>
      <c r="P2187" t="str">
        <f t="shared" ca="1" si="205"/>
        <v>Red</v>
      </c>
      <c r="Q2187" s="36">
        <f t="shared" ca="1" si="206"/>
        <v>-104</v>
      </c>
      <c r="R2187" s="36" t="str">
        <f>""</f>
        <v/>
      </c>
      <c r="S2187" s="36" t="str">
        <f>""</f>
        <v/>
      </c>
      <c r="T2187" s="36" t="str">
        <f>""</f>
        <v/>
      </c>
      <c r="U2187" s="36" t="str">
        <f>""</f>
        <v/>
      </c>
      <c r="V2187" s="36" t="str">
        <f>""</f>
        <v/>
      </c>
      <c r="W2187" s="36">
        <f t="shared" si="207"/>
        <v>1</v>
      </c>
      <c r="X2187" t="str">
        <f t="shared" si="208"/>
        <v>Inactive</v>
      </c>
      <c r="Y2187" t="str">
        <f>IF(MAIN!$H$3="Selected Year",IF(A2187=MAIN!$B$3,"Yes","No"),IF(MAIN!$H$3="Included Years",IF(D2187="Yes","Yes","No"),IF(C2187="Yes","Yes","No")))</f>
        <v>No</v>
      </c>
      <c r="Z2187" t="str">
        <f>IF(MAIN!$F$3="Project to Date",IF(AND(A2187&gt;=SETTINGS!$B$4,A2187&lt;MAIN!$B$3),"Yes",IF(AND(A2187=MAIN!$B$3,E2187&lt;=MAIN!$L$3),"Yes","No")),IF(OR(MAIN!$F$3="Full Year",MAIN!$D$3="All"),"Yes",IF(MAIN!$F$3="Monthly",IF(E2187=MAIN!$L$3,"Yes","No"),IF(E2187&lt;=MAIN!$L$3,"Yes","No"))))</f>
        <v>Yes</v>
      </c>
      <c r="AA2187" t="str">
        <f t="shared" si="209"/>
        <v>No</v>
      </c>
    </row>
    <row r="2188" spans="1:27" x14ac:dyDescent="0.3">
      <c r="A2188">
        <f>INDEX(SETTINGS!$A$15:$A$24,$B2188)</f>
        <v>2034</v>
      </c>
      <c r="B2188">
        <v>10</v>
      </c>
      <c r="C2188" t="str">
        <f>IF(AND(A2188&gt;=SETTINGS!$B$4,A2188&lt;=SETTINGS!$B$5),"Yes","No")</f>
        <v>No</v>
      </c>
      <c r="D2188" t="str">
        <f>IFERROR(INDEX(SETTINGS!$C$15:$C$24,MATCH(A2188,SETTINGS!$A$15:$A$24,0)),"No")</f>
        <v>No</v>
      </c>
      <c r="E2188">
        <v>8</v>
      </c>
      <c r="F2188" t="s">
        <v>41</v>
      </c>
      <c r="G2188">
        <v>178</v>
      </c>
      <c r="H2188" t="s">
        <v>91</v>
      </c>
      <c r="I2188" t="s">
        <v>89</v>
      </c>
      <c r="J2188" t="s">
        <v>11</v>
      </c>
      <c r="K2188" t="s">
        <v>12</v>
      </c>
      <c r="L2188" s="36">
        <f ca="1">IF(C2188&lt;&gt;"Yes",0,IF(A2188=2025,N('2025'!D178),IF(A2188=2026,N('2026'!D178),IF(A2188=2027,N('2027'!D178),IF(A2188=2028,N('2028'!D178),IF(A2188=2029,N('2029'!D178),IF(A2188=2030,N('2030'!D178),IF(A2188=2031,N('2031'!D178),IF(A2188=2032,N('2032'!D178),IF(A2188=2033,N('2033'!D178),IF(A2188=2034,N('2034'!D178),IFERROR(N(INDIRECT("'"&amp;A2188&amp;"'!D"&amp;G2188)),0))))))))))))</f>
        <v>0</v>
      </c>
      <c r="M2188" s="36">
        <f>IFERROR(IF(NOT(ISBLANK(KPI_TARGETS!$P$6)),KPI_TARGETS!$P$6,IF(NOT(ISBLANK(KPI_TARGETS!$F$6)),KPI_TARGETS!$F$6,"")),"")</f>
        <v>4000</v>
      </c>
      <c r="N2188" s="36" t="str">
        <f>IFERROR(KPI_TARGETS!$E$6,"Higher is better")</f>
        <v>Higher is better</v>
      </c>
      <c r="O2188" s="37">
        <f t="shared" ca="1" si="204"/>
        <v>0</v>
      </c>
      <c r="P2188" t="str">
        <f t="shared" ca="1" si="205"/>
        <v>Red</v>
      </c>
      <c r="Q2188" s="36">
        <f t="shared" ca="1" si="206"/>
        <v>-4000</v>
      </c>
      <c r="R2188" s="36" t="str">
        <f>""</f>
        <v/>
      </c>
      <c r="S2188" s="36" t="str">
        <f>""</f>
        <v/>
      </c>
      <c r="T2188" s="36" t="str">
        <f>""</f>
        <v/>
      </c>
      <c r="U2188" s="36" t="str">
        <f>""</f>
        <v/>
      </c>
      <c r="V2188" s="36" t="str">
        <f>""</f>
        <v/>
      </c>
      <c r="W2188" s="36">
        <f t="shared" si="207"/>
        <v>1</v>
      </c>
      <c r="X2188" t="str">
        <f t="shared" si="208"/>
        <v>Inactive</v>
      </c>
      <c r="Y2188" t="str">
        <f>IF(MAIN!$H$3="Selected Year",IF(A2188=MAIN!$B$3,"Yes","No"),IF(MAIN!$H$3="Included Years",IF(D2188="Yes","Yes","No"),IF(C2188="Yes","Yes","No")))</f>
        <v>No</v>
      </c>
      <c r="Z2188" t="str">
        <f>IF(MAIN!$F$3="Project to Date",IF(AND(A2188&gt;=SETTINGS!$B$4,A2188&lt;MAIN!$B$3),"Yes",IF(AND(A2188=MAIN!$B$3,E2188&lt;=MAIN!$L$3),"Yes","No")),IF(OR(MAIN!$F$3="Full Year",MAIN!$D$3="All"),"Yes",IF(MAIN!$F$3="Monthly",IF(E2188=MAIN!$L$3,"Yes","No"),IF(E2188&lt;=MAIN!$L$3,"Yes","No"))))</f>
        <v>Yes</v>
      </c>
      <c r="AA2188" t="str">
        <f t="shared" si="209"/>
        <v>No</v>
      </c>
    </row>
    <row r="2189" spans="1:27" x14ac:dyDescent="0.3">
      <c r="A2189">
        <f>INDEX(SETTINGS!$A$15:$A$24,$B2189)</f>
        <v>2034</v>
      </c>
      <c r="B2189">
        <v>10</v>
      </c>
      <c r="C2189" t="str">
        <f>IF(AND(A2189&gt;=SETTINGS!$B$4,A2189&lt;=SETTINGS!$B$5),"Yes","No")</f>
        <v>No</v>
      </c>
      <c r="D2189" t="str">
        <f>IFERROR(INDEX(SETTINGS!$C$15:$C$24,MATCH(A2189,SETTINGS!$A$15:$A$24,0)),"No")</f>
        <v>No</v>
      </c>
      <c r="E2189">
        <v>8</v>
      </c>
      <c r="F2189" t="s">
        <v>41</v>
      </c>
      <c r="G2189">
        <v>179</v>
      </c>
      <c r="H2189" t="s">
        <v>93</v>
      </c>
      <c r="I2189" t="s">
        <v>89</v>
      </c>
      <c r="J2189" t="s">
        <v>13</v>
      </c>
      <c r="K2189" t="s">
        <v>14</v>
      </c>
      <c r="L2189" s="36">
        <f ca="1">IF(C2189&lt;&gt;"Yes",0,IF(A2189=2025,N('2025'!D179),IF(A2189=2026,N('2026'!D179),IF(A2189=2027,N('2027'!D179),IF(A2189=2028,N('2028'!D179),IF(A2189=2029,N('2029'!D179),IF(A2189=2030,N('2030'!D179),IF(A2189=2031,N('2031'!D179),IF(A2189=2032,N('2032'!D179),IF(A2189=2033,N('2033'!D179),IF(A2189=2034,N('2034'!D179),IFERROR(N(INDIRECT("'"&amp;A2189&amp;"'!D"&amp;G2189)),0))))))))))))</f>
        <v>0</v>
      </c>
      <c r="M2189" s="36">
        <f>IFERROR(IF(NOT(ISBLANK(KPI_TARGETS!$P$7)),KPI_TARGETS!$P$7,IF(NOT(ISBLANK(KPI_TARGETS!$F$7)),KPI_TARGETS!$F$7,"")),"")</f>
        <v>8000</v>
      </c>
      <c r="N2189" s="36" t="str">
        <f>IFERROR(KPI_TARGETS!$E$7,"Higher is better")</f>
        <v>Higher is better</v>
      </c>
      <c r="O2189" s="37">
        <f t="shared" ca="1" si="204"/>
        <v>0</v>
      </c>
      <c r="P2189" t="str">
        <f t="shared" ca="1" si="205"/>
        <v>Red</v>
      </c>
      <c r="Q2189" s="36">
        <f t="shared" ca="1" si="206"/>
        <v>-8000</v>
      </c>
      <c r="R2189" s="36" t="str">
        <f>""</f>
        <v/>
      </c>
      <c r="S2189" s="36" t="str">
        <f>""</f>
        <v/>
      </c>
      <c r="T2189" s="36" t="str">
        <f>""</f>
        <v/>
      </c>
      <c r="U2189" s="36" t="str">
        <f>""</f>
        <v/>
      </c>
      <c r="V2189" s="36" t="str">
        <f>""</f>
        <v/>
      </c>
      <c r="W2189" s="36">
        <f t="shared" si="207"/>
        <v>1</v>
      </c>
      <c r="X2189" t="str">
        <f t="shared" si="208"/>
        <v>Inactive</v>
      </c>
      <c r="Y2189" t="str">
        <f>IF(MAIN!$H$3="Selected Year",IF(A2189=MAIN!$B$3,"Yes","No"),IF(MAIN!$H$3="Included Years",IF(D2189="Yes","Yes","No"),IF(C2189="Yes","Yes","No")))</f>
        <v>No</v>
      </c>
      <c r="Z2189" t="str">
        <f>IF(MAIN!$F$3="Project to Date",IF(AND(A2189&gt;=SETTINGS!$B$4,A2189&lt;MAIN!$B$3),"Yes",IF(AND(A2189=MAIN!$B$3,E2189&lt;=MAIN!$L$3),"Yes","No")),IF(OR(MAIN!$F$3="Full Year",MAIN!$D$3="All"),"Yes",IF(MAIN!$F$3="Monthly",IF(E2189=MAIN!$L$3,"Yes","No"),IF(E2189&lt;=MAIN!$L$3,"Yes","No"))))</f>
        <v>Yes</v>
      </c>
      <c r="AA2189" t="str">
        <f t="shared" si="209"/>
        <v>No</v>
      </c>
    </row>
    <row r="2190" spans="1:27" x14ac:dyDescent="0.3">
      <c r="A2190">
        <f>INDEX(SETTINGS!$A$15:$A$24,$B2190)</f>
        <v>2034</v>
      </c>
      <c r="B2190">
        <v>10</v>
      </c>
      <c r="C2190" t="str">
        <f>IF(AND(A2190&gt;=SETTINGS!$B$4,A2190&lt;=SETTINGS!$B$5),"Yes","No")</f>
        <v>No</v>
      </c>
      <c r="D2190" t="str">
        <f>IFERROR(INDEX(SETTINGS!$C$15:$C$24,MATCH(A2190,SETTINGS!$A$15:$A$24,0)),"No")</f>
        <v>No</v>
      </c>
      <c r="E2190">
        <v>8</v>
      </c>
      <c r="F2190" t="s">
        <v>41</v>
      </c>
      <c r="G2190">
        <v>181</v>
      </c>
      <c r="H2190" t="s">
        <v>95</v>
      </c>
      <c r="I2190" t="s">
        <v>15</v>
      </c>
      <c r="J2190" t="s">
        <v>16</v>
      </c>
      <c r="K2190" t="s">
        <v>3</v>
      </c>
      <c r="L2190" s="36">
        <f ca="1">IF(C2190&lt;&gt;"Yes",0,IF(A2190=2025,N('2025'!D181),IF(A2190=2026,N('2026'!D181),IF(A2190=2027,N('2027'!D181),IF(A2190=2028,N('2028'!D181),IF(A2190=2029,N('2029'!D181),IF(A2190=2030,N('2030'!D181),IF(A2190=2031,N('2031'!D181),IF(A2190=2032,N('2032'!D181),IF(A2190=2033,N('2033'!D181),IF(A2190=2034,N('2034'!D181),IFERROR(N(INDIRECT("'"&amp;A2190&amp;"'!D"&amp;G2190)),0))))))))))))</f>
        <v>0</v>
      </c>
      <c r="M2190" s="36">
        <f>IFERROR(IF(NOT(ISBLANK(KPI_TARGETS!$P$8)),KPI_TARGETS!$P$8,IF(NOT(ISBLANK(KPI_TARGETS!$F$8)),KPI_TARGETS!$F$8,"")),"")</f>
        <v>0</v>
      </c>
      <c r="N2190" s="36" t="str">
        <f>IFERROR(KPI_TARGETS!$E$8,"Higher is better")</f>
        <v>Lower is better</v>
      </c>
      <c r="O2190" s="37">
        <f t="shared" ca="1" si="204"/>
        <v>1</v>
      </c>
      <c r="P2190" t="str">
        <f t="shared" ca="1" si="205"/>
        <v>Green</v>
      </c>
      <c r="Q2190" s="36">
        <f t="shared" ca="1" si="206"/>
        <v>0</v>
      </c>
      <c r="R2190" s="36" t="str">
        <f>""</f>
        <v/>
      </c>
      <c r="S2190" s="36" t="str">
        <f>""</f>
        <v/>
      </c>
      <c r="T2190" s="36" t="str">
        <f>""</f>
        <v/>
      </c>
      <c r="U2190" s="36" t="str">
        <f>""</f>
        <v/>
      </c>
      <c r="V2190" s="36" t="str">
        <f>""</f>
        <v/>
      </c>
      <c r="W2190" s="36">
        <f t="shared" si="207"/>
        <v>1</v>
      </c>
      <c r="X2190" t="str">
        <f t="shared" si="208"/>
        <v>Inactive</v>
      </c>
      <c r="Y2190" t="str">
        <f>IF(MAIN!$H$3="Selected Year",IF(A2190=MAIN!$B$3,"Yes","No"),IF(MAIN!$H$3="Included Years",IF(D2190="Yes","Yes","No"),IF(C2190="Yes","Yes","No")))</f>
        <v>No</v>
      </c>
      <c r="Z2190" t="str">
        <f>IF(MAIN!$F$3="Project to Date",IF(AND(A2190&gt;=SETTINGS!$B$4,A2190&lt;MAIN!$B$3),"Yes",IF(AND(A2190=MAIN!$B$3,E2190&lt;=MAIN!$L$3),"Yes","No")),IF(OR(MAIN!$F$3="Full Year",MAIN!$D$3="All"),"Yes",IF(MAIN!$F$3="Monthly",IF(E2190=MAIN!$L$3,"Yes","No"),IF(E2190&lt;=MAIN!$L$3,"Yes","No"))))</f>
        <v>Yes</v>
      </c>
      <c r="AA2190" t="str">
        <f t="shared" si="209"/>
        <v>No</v>
      </c>
    </row>
    <row r="2191" spans="1:27" x14ac:dyDescent="0.3">
      <c r="A2191">
        <f>INDEX(SETTINGS!$A$15:$A$24,$B2191)</f>
        <v>2034</v>
      </c>
      <c r="B2191">
        <v>10</v>
      </c>
      <c r="C2191" t="str">
        <f>IF(AND(A2191&gt;=SETTINGS!$B$4,A2191&lt;=SETTINGS!$B$5),"Yes","No")</f>
        <v>No</v>
      </c>
      <c r="D2191" t="str">
        <f>IFERROR(INDEX(SETTINGS!$C$15:$C$24,MATCH(A2191,SETTINGS!$A$15:$A$24,0)),"No")</f>
        <v>No</v>
      </c>
      <c r="E2191">
        <v>8</v>
      </c>
      <c r="F2191" t="s">
        <v>41</v>
      </c>
      <c r="G2191">
        <v>182</v>
      </c>
      <c r="H2191" t="s">
        <v>97</v>
      </c>
      <c r="I2191" t="s">
        <v>15</v>
      </c>
      <c r="J2191" t="s">
        <v>17</v>
      </c>
      <c r="K2191" t="s">
        <v>3</v>
      </c>
      <c r="L2191" s="36">
        <f ca="1">IF(C2191&lt;&gt;"Yes",0,IF(A2191=2025,N('2025'!D182),IF(A2191=2026,N('2026'!D182),IF(A2191=2027,N('2027'!D182),IF(A2191=2028,N('2028'!D182),IF(A2191=2029,N('2029'!D182),IF(A2191=2030,N('2030'!D182),IF(A2191=2031,N('2031'!D182),IF(A2191=2032,N('2032'!D182),IF(A2191=2033,N('2033'!D182),IF(A2191=2034,N('2034'!D182),IFERROR(N(INDIRECT("'"&amp;A2191&amp;"'!D"&amp;G2191)),0))))))))))))</f>
        <v>0</v>
      </c>
      <c r="M2191" s="36">
        <f>IFERROR(IF(NOT(ISBLANK(KPI_TARGETS!$P$9)),KPI_TARGETS!$P$9,IF(NOT(ISBLANK(KPI_TARGETS!$F$9)),KPI_TARGETS!$F$9,"")),"")</f>
        <v>0</v>
      </c>
      <c r="N2191" s="36" t="str">
        <f>IFERROR(KPI_TARGETS!$E$9,"Higher is better")</f>
        <v>Higher is better</v>
      </c>
      <c r="O2191" s="37" t="str">
        <f t="shared" ca="1" si="204"/>
        <v/>
      </c>
      <c r="P2191" t="str">
        <f t="shared" ca="1" si="205"/>
        <v>Green</v>
      </c>
      <c r="Q2191" s="36">
        <f t="shared" ca="1" si="206"/>
        <v>0</v>
      </c>
      <c r="R2191" s="36" t="str">
        <f>""</f>
        <v/>
      </c>
      <c r="S2191" s="36" t="str">
        <f>""</f>
        <v/>
      </c>
      <c r="T2191" s="36" t="str">
        <f>""</f>
        <v/>
      </c>
      <c r="U2191" s="36" t="str">
        <f>""</f>
        <v/>
      </c>
      <c r="V2191" s="36" t="str">
        <f>""</f>
        <v/>
      </c>
      <c r="W2191" s="36">
        <f t="shared" si="207"/>
        <v>1</v>
      </c>
      <c r="X2191" t="str">
        <f t="shared" si="208"/>
        <v>Inactive</v>
      </c>
      <c r="Y2191" t="str">
        <f>IF(MAIN!$H$3="Selected Year",IF(A2191=MAIN!$B$3,"Yes","No"),IF(MAIN!$H$3="Included Years",IF(D2191="Yes","Yes","No"),IF(C2191="Yes","Yes","No")))</f>
        <v>No</v>
      </c>
      <c r="Z2191" t="str">
        <f>IF(MAIN!$F$3="Project to Date",IF(AND(A2191&gt;=SETTINGS!$B$4,A2191&lt;MAIN!$B$3),"Yes",IF(AND(A2191=MAIN!$B$3,E2191&lt;=MAIN!$L$3),"Yes","No")),IF(OR(MAIN!$F$3="Full Year",MAIN!$D$3="All"),"Yes",IF(MAIN!$F$3="Monthly",IF(E2191=MAIN!$L$3,"Yes","No"),IF(E2191&lt;=MAIN!$L$3,"Yes","No"))))</f>
        <v>Yes</v>
      </c>
      <c r="AA2191" t="str">
        <f t="shared" si="209"/>
        <v>No</v>
      </c>
    </row>
    <row r="2192" spans="1:27" x14ac:dyDescent="0.3">
      <c r="A2192">
        <f>INDEX(SETTINGS!$A$15:$A$24,$B2192)</f>
        <v>2034</v>
      </c>
      <c r="B2192">
        <v>10</v>
      </c>
      <c r="C2192" t="str">
        <f>IF(AND(A2192&gt;=SETTINGS!$B$4,A2192&lt;=SETTINGS!$B$5),"Yes","No")</f>
        <v>No</v>
      </c>
      <c r="D2192" t="str">
        <f>IFERROR(INDEX(SETTINGS!$C$15:$C$24,MATCH(A2192,SETTINGS!$A$15:$A$24,0)),"No")</f>
        <v>No</v>
      </c>
      <c r="E2192">
        <v>8</v>
      </c>
      <c r="F2192" t="s">
        <v>41</v>
      </c>
      <c r="G2192">
        <v>183</v>
      </c>
      <c r="H2192" t="s">
        <v>99</v>
      </c>
      <c r="I2192" t="s">
        <v>15</v>
      </c>
      <c r="J2192" t="s">
        <v>18</v>
      </c>
      <c r="K2192" t="s">
        <v>3</v>
      </c>
      <c r="L2192" s="36">
        <f ca="1">IF(C2192&lt;&gt;"Yes",0,IF(A2192=2025,N('2025'!D183),IF(A2192=2026,N('2026'!D183),IF(A2192=2027,N('2027'!D183),IF(A2192=2028,N('2028'!D183),IF(A2192=2029,N('2029'!D183),IF(A2192=2030,N('2030'!D183),IF(A2192=2031,N('2031'!D183),IF(A2192=2032,N('2032'!D183),IF(A2192=2033,N('2033'!D183),IF(A2192=2034,N('2034'!D183),IFERROR(N(INDIRECT("'"&amp;A2192&amp;"'!D"&amp;G2192)),0))))))))))))</f>
        <v>0</v>
      </c>
      <c r="M2192" s="36">
        <f>IFERROR(IF(NOT(ISBLANK(KPI_TARGETS!$P$10)),KPI_TARGETS!$P$10,IF(NOT(ISBLANK(KPI_TARGETS!$F$10)),KPI_TARGETS!$F$10,"")),"")</f>
        <v>0</v>
      </c>
      <c r="N2192" s="36" t="str">
        <f>IFERROR(KPI_TARGETS!$E$10,"Higher is better")</f>
        <v>Lower is better</v>
      </c>
      <c r="O2192" s="37">
        <f t="shared" ca="1" si="204"/>
        <v>1</v>
      </c>
      <c r="P2192" t="str">
        <f t="shared" ca="1" si="205"/>
        <v>Green</v>
      </c>
      <c r="Q2192" s="36">
        <f t="shared" ca="1" si="206"/>
        <v>0</v>
      </c>
      <c r="R2192" s="36" t="str">
        <f>""</f>
        <v/>
      </c>
      <c r="S2192" s="36" t="str">
        <f>""</f>
        <v/>
      </c>
      <c r="T2192" s="36" t="str">
        <f>""</f>
        <v/>
      </c>
      <c r="U2192" s="36" t="str">
        <f>""</f>
        <v/>
      </c>
      <c r="V2192" s="36" t="str">
        <f>""</f>
        <v/>
      </c>
      <c r="W2192" s="36">
        <f t="shared" si="207"/>
        <v>1</v>
      </c>
      <c r="X2192" t="str">
        <f t="shared" si="208"/>
        <v>Inactive</v>
      </c>
      <c r="Y2192" t="str">
        <f>IF(MAIN!$H$3="Selected Year",IF(A2192=MAIN!$B$3,"Yes","No"),IF(MAIN!$H$3="Included Years",IF(D2192="Yes","Yes","No"),IF(C2192="Yes","Yes","No")))</f>
        <v>No</v>
      </c>
      <c r="Z2192" t="str">
        <f>IF(MAIN!$F$3="Project to Date",IF(AND(A2192&gt;=SETTINGS!$B$4,A2192&lt;MAIN!$B$3),"Yes",IF(AND(A2192=MAIN!$B$3,E2192&lt;=MAIN!$L$3),"Yes","No")),IF(OR(MAIN!$F$3="Full Year",MAIN!$D$3="All"),"Yes",IF(MAIN!$F$3="Monthly",IF(E2192=MAIN!$L$3,"Yes","No"),IF(E2192&lt;=MAIN!$L$3,"Yes","No"))))</f>
        <v>Yes</v>
      </c>
      <c r="AA2192" t="str">
        <f t="shared" si="209"/>
        <v>No</v>
      </c>
    </row>
    <row r="2193" spans="1:27" x14ac:dyDescent="0.3">
      <c r="A2193">
        <f>INDEX(SETTINGS!$A$15:$A$24,$B2193)</f>
        <v>2034</v>
      </c>
      <c r="B2193">
        <v>10</v>
      </c>
      <c r="C2193" t="str">
        <f>IF(AND(A2193&gt;=SETTINGS!$B$4,A2193&lt;=SETTINGS!$B$5),"Yes","No")</f>
        <v>No</v>
      </c>
      <c r="D2193" t="str">
        <f>IFERROR(INDEX(SETTINGS!$C$15:$C$24,MATCH(A2193,SETTINGS!$A$15:$A$24,0)),"No")</f>
        <v>No</v>
      </c>
      <c r="E2193">
        <v>8</v>
      </c>
      <c r="F2193" t="s">
        <v>41</v>
      </c>
      <c r="G2193">
        <v>184</v>
      </c>
      <c r="H2193" t="s">
        <v>100</v>
      </c>
      <c r="I2193" t="s">
        <v>15</v>
      </c>
      <c r="J2193" t="s">
        <v>19</v>
      </c>
      <c r="K2193" t="s">
        <v>3</v>
      </c>
      <c r="L2193" s="36">
        <f ca="1">IF(C2193&lt;&gt;"Yes",0,IF(A2193=2025,N('2025'!D184),IF(A2193=2026,N('2026'!D184),IF(A2193=2027,N('2027'!D184),IF(A2193=2028,N('2028'!D184),IF(A2193=2029,N('2029'!D184),IF(A2193=2030,N('2030'!D184),IF(A2193=2031,N('2031'!D184),IF(A2193=2032,N('2032'!D184),IF(A2193=2033,N('2033'!D184),IF(A2193=2034,N('2034'!D184),IFERROR(N(INDIRECT("'"&amp;A2193&amp;"'!D"&amp;G2193)),0))))))))))))</f>
        <v>0</v>
      </c>
      <c r="M2193" s="36">
        <f>IFERROR(IF(NOT(ISBLANK(KPI_TARGETS!$P$11)),KPI_TARGETS!$P$11,IF(NOT(ISBLANK(KPI_TARGETS!$F$11)),KPI_TARGETS!$F$11,"")),"")</f>
        <v>0</v>
      </c>
      <c r="N2193" s="36" t="str">
        <f>IFERROR(KPI_TARGETS!$E$11,"Higher is better")</f>
        <v>Lower is better</v>
      </c>
      <c r="O2193" s="37">
        <f t="shared" ca="1" si="204"/>
        <v>1</v>
      </c>
      <c r="P2193" t="str">
        <f t="shared" ca="1" si="205"/>
        <v>Green</v>
      </c>
      <c r="Q2193" s="36">
        <f t="shared" ca="1" si="206"/>
        <v>0</v>
      </c>
      <c r="R2193" s="36" t="str">
        <f>""</f>
        <v/>
      </c>
      <c r="S2193" s="36" t="str">
        <f>""</f>
        <v/>
      </c>
      <c r="T2193" s="36" t="str">
        <f>""</f>
        <v/>
      </c>
      <c r="U2193" s="36" t="str">
        <f>""</f>
        <v/>
      </c>
      <c r="V2193" s="36" t="str">
        <f>""</f>
        <v/>
      </c>
      <c r="W2193" s="36">
        <f t="shared" si="207"/>
        <v>1</v>
      </c>
      <c r="X2193" t="str">
        <f t="shared" si="208"/>
        <v>Inactive</v>
      </c>
      <c r="Y2193" t="str">
        <f>IF(MAIN!$H$3="Selected Year",IF(A2193=MAIN!$B$3,"Yes","No"),IF(MAIN!$H$3="Included Years",IF(D2193="Yes","Yes","No"),IF(C2193="Yes","Yes","No")))</f>
        <v>No</v>
      </c>
      <c r="Z2193" t="str">
        <f>IF(MAIN!$F$3="Project to Date",IF(AND(A2193&gt;=SETTINGS!$B$4,A2193&lt;MAIN!$B$3),"Yes",IF(AND(A2193=MAIN!$B$3,E2193&lt;=MAIN!$L$3),"Yes","No")),IF(OR(MAIN!$F$3="Full Year",MAIN!$D$3="All"),"Yes",IF(MAIN!$F$3="Monthly",IF(E2193=MAIN!$L$3,"Yes","No"),IF(E2193&lt;=MAIN!$L$3,"Yes","No"))))</f>
        <v>Yes</v>
      </c>
      <c r="AA2193" t="str">
        <f t="shared" si="209"/>
        <v>No</v>
      </c>
    </row>
    <row r="2194" spans="1:27" x14ac:dyDescent="0.3">
      <c r="A2194">
        <f>INDEX(SETTINGS!$A$15:$A$24,$B2194)</f>
        <v>2034</v>
      </c>
      <c r="B2194">
        <v>10</v>
      </c>
      <c r="C2194" t="str">
        <f>IF(AND(A2194&gt;=SETTINGS!$B$4,A2194&lt;=SETTINGS!$B$5),"Yes","No")</f>
        <v>No</v>
      </c>
      <c r="D2194" t="str">
        <f>IFERROR(INDEX(SETTINGS!$C$15:$C$24,MATCH(A2194,SETTINGS!$A$15:$A$24,0)),"No")</f>
        <v>No</v>
      </c>
      <c r="E2194">
        <v>8</v>
      </c>
      <c r="F2194" t="s">
        <v>41</v>
      </c>
      <c r="G2194">
        <v>185</v>
      </c>
      <c r="H2194" t="s">
        <v>101</v>
      </c>
      <c r="I2194" t="s">
        <v>15</v>
      </c>
      <c r="J2194" t="s">
        <v>20</v>
      </c>
      <c r="K2194" t="s">
        <v>3</v>
      </c>
      <c r="L2194" s="36">
        <f ca="1">IF(C2194&lt;&gt;"Yes",0,IF(A2194=2025,N('2025'!D185),IF(A2194=2026,N('2026'!D185),IF(A2194=2027,N('2027'!D185),IF(A2194=2028,N('2028'!D185),IF(A2194=2029,N('2029'!D185),IF(A2194=2030,N('2030'!D185),IF(A2194=2031,N('2031'!D185),IF(A2194=2032,N('2032'!D185),IF(A2194=2033,N('2033'!D185),IF(A2194=2034,N('2034'!D185),IFERROR(N(INDIRECT("'"&amp;A2194&amp;"'!D"&amp;G2194)),0))))))))))))</f>
        <v>0</v>
      </c>
      <c r="M2194" s="36">
        <f>IFERROR(IF(NOT(ISBLANK(KPI_TARGETS!$P$12)),KPI_TARGETS!$P$12,IF(NOT(ISBLANK(KPI_TARGETS!$F$12)),KPI_TARGETS!$F$12,"")),"")</f>
        <v>0</v>
      </c>
      <c r="N2194" s="36" t="str">
        <f>IFERROR(KPI_TARGETS!$E$12,"Higher is better")</f>
        <v>Lower is better</v>
      </c>
      <c r="O2194" s="37">
        <f t="shared" ca="1" si="204"/>
        <v>1</v>
      </c>
      <c r="P2194" t="str">
        <f t="shared" ca="1" si="205"/>
        <v>Green</v>
      </c>
      <c r="Q2194" s="36">
        <f t="shared" ca="1" si="206"/>
        <v>0</v>
      </c>
      <c r="R2194" s="36" t="str">
        <f>""</f>
        <v/>
      </c>
      <c r="S2194" s="36" t="str">
        <f>""</f>
        <v/>
      </c>
      <c r="T2194" s="36" t="str">
        <f>""</f>
        <v/>
      </c>
      <c r="U2194" s="36" t="str">
        <f>""</f>
        <v/>
      </c>
      <c r="V2194" s="36" t="str">
        <f>""</f>
        <v/>
      </c>
      <c r="W2194" s="36">
        <f t="shared" si="207"/>
        <v>1</v>
      </c>
      <c r="X2194" t="str">
        <f t="shared" si="208"/>
        <v>Inactive</v>
      </c>
      <c r="Y2194" t="str">
        <f>IF(MAIN!$H$3="Selected Year",IF(A2194=MAIN!$B$3,"Yes","No"),IF(MAIN!$H$3="Included Years",IF(D2194="Yes","Yes","No"),IF(C2194="Yes","Yes","No")))</f>
        <v>No</v>
      </c>
      <c r="Z2194" t="str">
        <f>IF(MAIN!$F$3="Project to Date",IF(AND(A2194&gt;=SETTINGS!$B$4,A2194&lt;MAIN!$B$3),"Yes",IF(AND(A2194=MAIN!$B$3,E2194&lt;=MAIN!$L$3),"Yes","No")),IF(OR(MAIN!$F$3="Full Year",MAIN!$D$3="All"),"Yes",IF(MAIN!$F$3="Monthly",IF(E2194=MAIN!$L$3,"Yes","No"),IF(E2194&lt;=MAIN!$L$3,"Yes","No"))))</f>
        <v>Yes</v>
      </c>
      <c r="AA2194" t="str">
        <f t="shared" si="209"/>
        <v>No</v>
      </c>
    </row>
    <row r="2195" spans="1:27" x14ac:dyDescent="0.3">
      <c r="A2195">
        <f>INDEX(SETTINGS!$A$15:$A$24,$B2195)</f>
        <v>2034</v>
      </c>
      <c r="B2195">
        <v>10</v>
      </c>
      <c r="C2195" t="str">
        <f>IF(AND(A2195&gt;=SETTINGS!$B$4,A2195&lt;=SETTINGS!$B$5),"Yes","No")</f>
        <v>No</v>
      </c>
      <c r="D2195" t="str">
        <f>IFERROR(INDEX(SETTINGS!$C$15:$C$24,MATCH(A2195,SETTINGS!$A$15:$A$24,0)),"No")</f>
        <v>No</v>
      </c>
      <c r="E2195">
        <v>8</v>
      </c>
      <c r="F2195" t="s">
        <v>41</v>
      </c>
      <c r="G2195">
        <v>186</v>
      </c>
      <c r="H2195" t="s">
        <v>102</v>
      </c>
      <c r="I2195" t="s">
        <v>15</v>
      </c>
      <c r="J2195" t="s">
        <v>21</v>
      </c>
      <c r="K2195" t="s">
        <v>3</v>
      </c>
      <c r="L2195" s="36">
        <f ca="1">IF(C2195&lt;&gt;"Yes",0,IF(A2195=2025,N('2025'!D186),IF(A2195=2026,N('2026'!D186),IF(A2195=2027,N('2027'!D186),IF(A2195=2028,N('2028'!D186),IF(A2195=2029,N('2029'!D186),IF(A2195=2030,N('2030'!D186),IF(A2195=2031,N('2031'!D186),IF(A2195=2032,N('2032'!D186),IF(A2195=2033,N('2033'!D186),IF(A2195=2034,N('2034'!D186),IFERROR(N(INDIRECT("'"&amp;A2195&amp;"'!D"&amp;G2195)),0))))))))))))</f>
        <v>0</v>
      </c>
      <c r="M2195" s="36">
        <f>IFERROR(IF(NOT(ISBLANK(KPI_TARGETS!$P$13)),KPI_TARGETS!$P$13,IF(NOT(ISBLANK(KPI_TARGETS!$F$13)),KPI_TARGETS!$F$13,"")),"")</f>
        <v>0</v>
      </c>
      <c r="N2195" s="36" t="str">
        <f>IFERROR(KPI_TARGETS!$E$13,"Higher is better")</f>
        <v>Lower is better</v>
      </c>
      <c r="O2195" s="37">
        <f t="shared" ca="1" si="204"/>
        <v>1</v>
      </c>
      <c r="P2195" t="str">
        <f t="shared" ca="1" si="205"/>
        <v>Green</v>
      </c>
      <c r="Q2195" s="36">
        <f t="shared" ca="1" si="206"/>
        <v>0</v>
      </c>
      <c r="R2195" s="36" t="str">
        <f>""</f>
        <v/>
      </c>
      <c r="S2195" s="36" t="str">
        <f>""</f>
        <v/>
      </c>
      <c r="T2195" s="36" t="str">
        <f>""</f>
        <v/>
      </c>
      <c r="U2195" s="36" t="str">
        <f>""</f>
        <v/>
      </c>
      <c r="V2195" s="36" t="str">
        <f>""</f>
        <v/>
      </c>
      <c r="W2195" s="36">
        <f t="shared" si="207"/>
        <v>1</v>
      </c>
      <c r="X2195" t="str">
        <f t="shared" si="208"/>
        <v>Inactive</v>
      </c>
      <c r="Y2195" t="str">
        <f>IF(MAIN!$H$3="Selected Year",IF(A2195=MAIN!$B$3,"Yes","No"),IF(MAIN!$H$3="Included Years",IF(D2195="Yes","Yes","No"),IF(C2195="Yes","Yes","No")))</f>
        <v>No</v>
      </c>
      <c r="Z2195" t="str">
        <f>IF(MAIN!$F$3="Project to Date",IF(AND(A2195&gt;=SETTINGS!$B$4,A2195&lt;MAIN!$B$3),"Yes",IF(AND(A2195=MAIN!$B$3,E2195&lt;=MAIN!$L$3),"Yes","No")),IF(OR(MAIN!$F$3="Full Year",MAIN!$D$3="All"),"Yes",IF(MAIN!$F$3="Monthly",IF(E2195=MAIN!$L$3,"Yes","No"),IF(E2195&lt;=MAIN!$L$3,"Yes","No"))))</f>
        <v>Yes</v>
      </c>
      <c r="AA2195" t="str">
        <f t="shared" si="209"/>
        <v>No</v>
      </c>
    </row>
    <row r="2196" spans="1:27" x14ac:dyDescent="0.3">
      <c r="A2196">
        <f>INDEX(SETTINGS!$A$15:$A$24,$B2196)</f>
        <v>2034</v>
      </c>
      <c r="B2196">
        <v>10</v>
      </c>
      <c r="C2196" t="str">
        <f>IF(AND(A2196&gt;=SETTINGS!$B$4,A2196&lt;=SETTINGS!$B$5),"Yes","No")</f>
        <v>No</v>
      </c>
      <c r="D2196" t="str">
        <f>IFERROR(INDEX(SETTINGS!$C$15:$C$24,MATCH(A2196,SETTINGS!$A$15:$A$24,0)),"No")</f>
        <v>No</v>
      </c>
      <c r="E2196">
        <v>8</v>
      </c>
      <c r="F2196" t="s">
        <v>41</v>
      </c>
      <c r="G2196">
        <v>188</v>
      </c>
      <c r="H2196" t="s">
        <v>103</v>
      </c>
      <c r="I2196" t="s">
        <v>22</v>
      </c>
      <c r="J2196" t="s">
        <v>23</v>
      </c>
      <c r="K2196" t="s">
        <v>3</v>
      </c>
      <c r="L2196" s="36">
        <f ca="1">IF(C2196&lt;&gt;"Yes",0,IF(A2196=2025,N('2025'!D188),IF(A2196=2026,N('2026'!D188),IF(A2196=2027,N('2027'!D188),IF(A2196=2028,N('2028'!D188),IF(A2196=2029,N('2029'!D188),IF(A2196=2030,N('2030'!D188),IF(A2196=2031,N('2031'!D188),IF(A2196=2032,N('2032'!D188),IF(A2196=2033,N('2033'!D188),IF(A2196=2034,N('2034'!D188),IFERROR(N(INDIRECT("'"&amp;A2196&amp;"'!D"&amp;G2196)),0))))))))))))</f>
        <v>0</v>
      </c>
      <c r="M2196" s="36">
        <f>IFERROR(IF(NOT(ISBLANK(KPI_TARGETS!$P$14)),KPI_TARGETS!$P$14,IF(NOT(ISBLANK(KPI_TARGETS!$F$14)),KPI_TARGETS!$F$14,"")),"")</f>
        <v>35</v>
      </c>
      <c r="N2196" s="36" t="str">
        <f>IFERROR(KPI_TARGETS!$E$14,"Higher is better")</f>
        <v>Higher is better</v>
      </c>
      <c r="O2196" s="37">
        <f t="shared" ca="1" si="204"/>
        <v>0</v>
      </c>
      <c r="P2196" t="str">
        <f t="shared" ca="1" si="205"/>
        <v>Red</v>
      </c>
      <c r="Q2196" s="36">
        <f t="shared" ca="1" si="206"/>
        <v>-35</v>
      </c>
      <c r="R2196" s="36" t="str">
        <f>""</f>
        <v/>
      </c>
      <c r="S2196" s="36" t="str">
        <f>""</f>
        <v/>
      </c>
      <c r="T2196" s="36" t="str">
        <f>""</f>
        <v/>
      </c>
      <c r="U2196" s="36" t="str">
        <f>""</f>
        <v/>
      </c>
      <c r="V2196" s="36" t="str">
        <f>""</f>
        <v/>
      </c>
      <c r="W2196" s="36">
        <f t="shared" si="207"/>
        <v>1</v>
      </c>
      <c r="X2196" t="str">
        <f t="shared" si="208"/>
        <v>Inactive</v>
      </c>
      <c r="Y2196" t="str">
        <f>IF(MAIN!$H$3="Selected Year",IF(A2196=MAIN!$B$3,"Yes","No"),IF(MAIN!$H$3="Included Years",IF(D2196="Yes","Yes","No"),IF(C2196="Yes","Yes","No")))</f>
        <v>No</v>
      </c>
      <c r="Z2196" t="str">
        <f>IF(MAIN!$F$3="Project to Date",IF(AND(A2196&gt;=SETTINGS!$B$4,A2196&lt;MAIN!$B$3),"Yes",IF(AND(A2196=MAIN!$B$3,E2196&lt;=MAIN!$L$3),"Yes","No")),IF(OR(MAIN!$F$3="Full Year",MAIN!$D$3="All"),"Yes",IF(MAIN!$F$3="Monthly",IF(E2196=MAIN!$L$3,"Yes","No"),IF(E2196&lt;=MAIN!$L$3,"Yes","No"))))</f>
        <v>Yes</v>
      </c>
      <c r="AA2196" t="str">
        <f t="shared" si="209"/>
        <v>No</v>
      </c>
    </row>
    <row r="2197" spans="1:27" x14ac:dyDescent="0.3">
      <c r="A2197">
        <f>INDEX(SETTINGS!$A$15:$A$24,$B2197)</f>
        <v>2034</v>
      </c>
      <c r="B2197">
        <v>10</v>
      </c>
      <c r="C2197" t="str">
        <f>IF(AND(A2197&gt;=SETTINGS!$B$4,A2197&lt;=SETTINGS!$B$5),"Yes","No")</f>
        <v>No</v>
      </c>
      <c r="D2197" t="str">
        <f>IFERROR(INDEX(SETTINGS!$C$15:$C$24,MATCH(A2197,SETTINGS!$A$15:$A$24,0)),"No")</f>
        <v>No</v>
      </c>
      <c r="E2197">
        <v>8</v>
      </c>
      <c r="F2197" t="s">
        <v>41</v>
      </c>
      <c r="G2197">
        <v>189</v>
      </c>
      <c r="H2197" t="s">
        <v>104</v>
      </c>
      <c r="I2197" t="s">
        <v>22</v>
      </c>
      <c r="J2197" t="s">
        <v>24</v>
      </c>
      <c r="K2197" t="s">
        <v>3</v>
      </c>
      <c r="L2197" s="36">
        <f ca="1">IF(C2197&lt;&gt;"Yes",0,IF(A2197=2025,N('2025'!D189),IF(A2197=2026,N('2026'!D189),IF(A2197=2027,N('2027'!D189),IF(A2197=2028,N('2028'!D189),IF(A2197=2029,N('2029'!D189),IF(A2197=2030,N('2030'!D189),IF(A2197=2031,N('2031'!D189),IF(A2197=2032,N('2032'!D189),IF(A2197=2033,N('2033'!D189),IF(A2197=2034,N('2034'!D189),IFERROR(N(INDIRECT("'"&amp;A2197&amp;"'!D"&amp;G2197)),0))))))))))))</f>
        <v>0</v>
      </c>
      <c r="M2197" s="36">
        <f>IFERROR(IF(NOT(ISBLANK(KPI_TARGETS!$P$15)),KPI_TARGETS!$P$15,IF(NOT(ISBLANK(KPI_TARGETS!$F$15)),KPI_TARGETS!$F$15,"")),"")</f>
        <v>5</v>
      </c>
      <c r="N2197" s="36" t="str">
        <f>IFERROR(KPI_TARGETS!$E$15,"Higher is better")</f>
        <v>Higher is better</v>
      </c>
      <c r="O2197" s="37">
        <f t="shared" ca="1" si="204"/>
        <v>0</v>
      </c>
      <c r="P2197" t="str">
        <f t="shared" ca="1" si="205"/>
        <v>Red</v>
      </c>
      <c r="Q2197" s="36">
        <f t="shared" ca="1" si="206"/>
        <v>-5</v>
      </c>
      <c r="R2197" s="36" t="str">
        <f>""</f>
        <v/>
      </c>
      <c r="S2197" s="36" t="str">
        <f>""</f>
        <v/>
      </c>
      <c r="T2197" s="36" t="str">
        <f>""</f>
        <v/>
      </c>
      <c r="U2197" s="36" t="str">
        <f>""</f>
        <v/>
      </c>
      <c r="V2197" s="36" t="str">
        <f>""</f>
        <v/>
      </c>
      <c r="W2197" s="36">
        <f t="shared" si="207"/>
        <v>1</v>
      </c>
      <c r="X2197" t="str">
        <f t="shared" si="208"/>
        <v>Inactive</v>
      </c>
      <c r="Y2197" t="str">
        <f>IF(MAIN!$H$3="Selected Year",IF(A2197=MAIN!$B$3,"Yes","No"),IF(MAIN!$H$3="Included Years",IF(D2197="Yes","Yes","No"),IF(C2197="Yes","Yes","No")))</f>
        <v>No</v>
      </c>
      <c r="Z2197" t="str">
        <f>IF(MAIN!$F$3="Project to Date",IF(AND(A2197&gt;=SETTINGS!$B$4,A2197&lt;MAIN!$B$3),"Yes",IF(AND(A2197=MAIN!$B$3,E2197&lt;=MAIN!$L$3),"Yes","No")),IF(OR(MAIN!$F$3="Full Year",MAIN!$D$3="All"),"Yes",IF(MAIN!$F$3="Monthly",IF(E2197=MAIN!$L$3,"Yes","No"),IF(E2197&lt;=MAIN!$L$3,"Yes","No"))))</f>
        <v>Yes</v>
      </c>
      <c r="AA2197" t="str">
        <f t="shared" si="209"/>
        <v>No</v>
      </c>
    </row>
    <row r="2198" spans="1:27" x14ac:dyDescent="0.3">
      <c r="A2198">
        <f>INDEX(SETTINGS!$A$15:$A$24,$B2198)</f>
        <v>2034</v>
      </c>
      <c r="B2198">
        <v>10</v>
      </c>
      <c r="C2198" t="str">
        <f>IF(AND(A2198&gt;=SETTINGS!$B$4,A2198&lt;=SETTINGS!$B$5),"Yes","No")</f>
        <v>No</v>
      </c>
      <c r="D2198" t="str">
        <f>IFERROR(INDEX(SETTINGS!$C$15:$C$24,MATCH(A2198,SETTINGS!$A$15:$A$24,0)),"No")</f>
        <v>No</v>
      </c>
      <c r="E2198">
        <v>8</v>
      </c>
      <c r="F2198" t="s">
        <v>41</v>
      </c>
      <c r="G2198">
        <v>190</v>
      </c>
      <c r="H2198" t="s">
        <v>105</v>
      </c>
      <c r="I2198" t="s">
        <v>22</v>
      </c>
      <c r="J2198" t="s">
        <v>25</v>
      </c>
      <c r="K2198" t="s">
        <v>3</v>
      </c>
      <c r="L2198" s="36">
        <f ca="1">IF(C2198&lt;&gt;"Yes",0,IF(A2198=2025,N('2025'!D190),IF(A2198=2026,N('2026'!D190),IF(A2198=2027,N('2027'!D190),IF(A2198=2028,N('2028'!D190),IF(A2198=2029,N('2029'!D190),IF(A2198=2030,N('2030'!D190),IF(A2198=2031,N('2031'!D190),IF(A2198=2032,N('2032'!D190),IF(A2198=2033,N('2033'!D190),IF(A2198=2034,N('2034'!D190),IFERROR(N(INDIRECT("'"&amp;A2198&amp;"'!D"&amp;G2198)),0))))))))))))</f>
        <v>0</v>
      </c>
      <c r="M2198" s="36">
        <f>IFERROR(IF(NOT(ISBLANK(KPI_TARGETS!$P$16)),KPI_TARGETS!$P$16,IF(NOT(ISBLANK(KPI_TARGETS!$F$16)),KPI_TARGETS!$F$16,"")),"")</f>
        <v>4</v>
      </c>
      <c r="N2198" s="36" t="str">
        <f>IFERROR(KPI_TARGETS!$E$16,"Higher is better")</f>
        <v>Higher is better</v>
      </c>
      <c r="O2198" s="37">
        <f t="shared" ca="1" si="204"/>
        <v>0</v>
      </c>
      <c r="P2198" t="str">
        <f t="shared" ca="1" si="205"/>
        <v>Red</v>
      </c>
      <c r="Q2198" s="36">
        <f t="shared" ca="1" si="206"/>
        <v>-4</v>
      </c>
      <c r="R2198" s="36" t="str">
        <f>""</f>
        <v/>
      </c>
      <c r="S2198" s="36" t="str">
        <f>""</f>
        <v/>
      </c>
      <c r="T2198" s="36" t="str">
        <f>""</f>
        <v/>
      </c>
      <c r="U2198" s="36" t="str">
        <f>""</f>
        <v/>
      </c>
      <c r="V2198" s="36" t="str">
        <f>""</f>
        <v/>
      </c>
      <c r="W2198" s="36">
        <f t="shared" si="207"/>
        <v>1</v>
      </c>
      <c r="X2198" t="str">
        <f t="shared" si="208"/>
        <v>Inactive</v>
      </c>
      <c r="Y2198" t="str">
        <f>IF(MAIN!$H$3="Selected Year",IF(A2198=MAIN!$B$3,"Yes","No"),IF(MAIN!$H$3="Included Years",IF(D2198="Yes","Yes","No"),IF(C2198="Yes","Yes","No")))</f>
        <v>No</v>
      </c>
      <c r="Z2198" t="str">
        <f>IF(MAIN!$F$3="Project to Date",IF(AND(A2198&gt;=SETTINGS!$B$4,A2198&lt;MAIN!$B$3),"Yes",IF(AND(A2198=MAIN!$B$3,E2198&lt;=MAIN!$L$3),"Yes","No")),IF(OR(MAIN!$F$3="Full Year",MAIN!$D$3="All"),"Yes",IF(MAIN!$F$3="Monthly",IF(E2198=MAIN!$L$3,"Yes","No"),IF(E2198&lt;=MAIN!$L$3,"Yes","No"))))</f>
        <v>Yes</v>
      </c>
      <c r="AA2198" t="str">
        <f t="shared" si="209"/>
        <v>No</v>
      </c>
    </row>
    <row r="2199" spans="1:27" x14ac:dyDescent="0.3">
      <c r="A2199">
        <f>INDEX(SETTINGS!$A$15:$A$24,$B2199)</f>
        <v>2034</v>
      </c>
      <c r="B2199">
        <v>10</v>
      </c>
      <c r="C2199" t="str">
        <f>IF(AND(A2199&gt;=SETTINGS!$B$4,A2199&lt;=SETTINGS!$B$5),"Yes","No")</f>
        <v>No</v>
      </c>
      <c r="D2199" t="str">
        <f>IFERROR(INDEX(SETTINGS!$C$15:$C$24,MATCH(A2199,SETTINGS!$A$15:$A$24,0)),"No")</f>
        <v>No</v>
      </c>
      <c r="E2199">
        <v>8</v>
      </c>
      <c r="F2199" t="s">
        <v>41</v>
      </c>
      <c r="G2199">
        <v>191</v>
      </c>
      <c r="H2199" t="s">
        <v>106</v>
      </c>
      <c r="I2199" t="s">
        <v>22</v>
      </c>
      <c r="J2199" t="s">
        <v>26</v>
      </c>
      <c r="K2199" t="s">
        <v>3</v>
      </c>
      <c r="L2199" s="36">
        <f ca="1">IF(C2199&lt;&gt;"Yes",0,IF(A2199=2025,N('2025'!D191),IF(A2199=2026,N('2026'!D191),IF(A2199=2027,N('2027'!D191),IF(A2199=2028,N('2028'!D191),IF(A2199=2029,N('2029'!D191),IF(A2199=2030,N('2030'!D191),IF(A2199=2031,N('2031'!D191),IF(A2199=2032,N('2032'!D191),IF(A2199=2033,N('2033'!D191),IF(A2199=2034,N('2034'!D191),IFERROR(N(INDIRECT("'"&amp;A2199&amp;"'!D"&amp;G2199)),0))))))))))))</f>
        <v>0</v>
      </c>
      <c r="M2199" s="36">
        <f>IFERROR(IF(NOT(ISBLANK(KPI_TARGETS!$P$17)),KPI_TARGETS!$P$17,IF(NOT(ISBLANK(KPI_TARGETS!$F$17)),KPI_TARGETS!$F$17,"")),"")</f>
        <v>12</v>
      </c>
      <c r="N2199" s="36" t="str">
        <f>IFERROR(KPI_TARGETS!$E$17,"Higher is better")</f>
        <v>Higher is better</v>
      </c>
      <c r="O2199" s="37">
        <f t="shared" ca="1" si="204"/>
        <v>0</v>
      </c>
      <c r="P2199" t="str">
        <f t="shared" ca="1" si="205"/>
        <v>Red</v>
      </c>
      <c r="Q2199" s="36">
        <f t="shared" ca="1" si="206"/>
        <v>-12</v>
      </c>
      <c r="R2199" s="36" t="str">
        <f>""</f>
        <v/>
      </c>
      <c r="S2199" s="36" t="str">
        <f>""</f>
        <v/>
      </c>
      <c r="T2199" s="36" t="str">
        <f>""</f>
        <v/>
      </c>
      <c r="U2199" s="36" t="str">
        <f>""</f>
        <v/>
      </c>
      <c r="V2199" s="36" t="str">
        <f>""</f>
        <v/>
      </c>
      <c r="W2199" s="36">
        <f t="shared" si="207"/>
        <v>1</v>
      </c>
      <c r="X2199" t="str">
        <f t="shared" si="208"/>
        <v>Inactive</v>
      </c>
      <c r="Y2199" t="str">
        <f>IF(MAIN!$H$3="Selected Year",IF(A2199=MAIN!$B$3,"Yes","No"),IF(MAIN!$H$3="Included Years",IF(D2199="Yes","Yes","No"),IF(C2199="Yes","Yes","No")))</f>
        <v>No</v>
      </c>
      <c r="Z2199" t="str">
        <f>IF(MAIN!$F$3="Project to Date",IF(AND(A2199&gt;=SETTINGS!$B$4,A2199&lt;MAIN!$B$3),"Yes",IF(AND(A2199=MAIN!$B$3,E2199&lt;=MAIN!$L$3),"Yes","No")),IF(OR(MAIN!$F$3="Full Year",MAIN!$D$3="All"),"Yes",IF(MAIN!$F$3="Monthly",IF(E2199=MAIN!$L$3,"Yes","No"),IF(E2199&lt;=MAIN!$L$3,"Yes","No"))))</f>
        <v>Yes</v>
      </c>
      <c r="AA2199" t="str">
        <f t="shared" si="209"/>
        <v>No</v>
      </c>
    </row>
    <row r="2200" spans="1:27" x14ac:dyDescent="0.3">
      <c r="A2200">
        <f>INDEX(SETTINGS!$A$15:$A$24,$B2200)</f>
        <v>2034</v>
      </c>
      <c r="B2200">
        <v>10</v>
      </c>
      <c r="C2200" t="str">
        <f>IF(AND(A2200&gt;=SETTINGS!$B$4,A2200&lt;=SETTINGS!$B$5),"Yes","No")</f>
        <v>No</v>
      </c>
      <c r="D2200" t="str">
        <f>IFERROR(INDEX(SETTINGS!$C$15:$C$24,MATCH(A2200,SETTINGS!$A$15:$A$24,0)),"No")</f>
        <v>No</v>
      </c>
      <c r="E2200">
        <v>8</v>
      </c>
      <c r="F2200" t="s">
        <v>41</v>
      </c>
      <c r="G2200">
        <v>192</v>
      </c>
      <c r="H2200" t="s">
        <v>107</v>
      </c>
      <c r="I2200" t="s">
        <v>22</v>
      </c>
      <c r="J2200" t="s">
        <v>27</v>
      </c>
      <c r="K2200" t="s">
        <v>3</v>
      </c>
      <c r="L2200" s="36">
        <f ca="1">IF(C2200&lt;&gt;"Yes",0,IF(A2200=2025,N('2025'!D192),IF(A2200=2026,N('2026'!D192),IF(A2200=2027,N('2027'!D192),IF(A2200=2028,N('2028'!D192),IF(A2200=2029,N('2029'!D192),IF(A2200=2030,N('2030'!D192),IF(A2200=2031,N('2031'!D192),IF(A2200=2032,N('2032'!D192),IF(A2200=2033,N('2033'!D192),IF(A2200=2034,N('2034'!D192),IFERROR(N(INDIRECT("'"&amp;A2200&amp;"'!D"&amp;G2200)),0))))))))))))</f>
        <v>0</v>
      </c>
      <c r="M2200" s="36">
        <f>IFERROR(IF(NOT(ISBLANK(KPI_TARGETS!$P$18)),KPI_TARGETS!$P$18,IF(NOT(ISBLANK(KPI_TARGETS!$F$18)),KPI_TARGETS!$F$18,"")),"")</f>
        <v>4</v>
      </c>
      <c r="N2200" s="36" t="str">
        <f>IFERROR(KPI_TARGETS!$E$18,"Higher is better")</f>
        <v>Higher is better</v>
      </c>
      <c r="O2200" s="37">
        <f t="shared" ca="1" si="204"/>
        <v>0</v>
      </c>
      <c r="P2200" t="str">
        <f t="shared" ca="1" si="205"/>
        <v>Red</v>
      </c>
      <c r="Q2200" s="36">
        <f t="shared" ca="1" si="206"/>
        <v>-4</v>
      </c>
      <c r="R2200" s="36" t="str">
        <f>""</f>
        <v/>
      </c>
      <c r="S2200" s="36" t="str">
        <f>""</f>
        <v/>
      </c>
      <c r="T2200" s="36" t="str">
        <f>""</f>
        <v/>
      </c>
      <c r="U2200" s="36" t="str">
        <f>""</f>
        <v/>
      </c>
      <c r="V2200" s="36" t="str">
        <f>""</f>
        <v/>
      </c>
      <c r="W2200" s="36">
        <f t="shared" si="207"/>
        <v>1</v>
      </c>
      <c r="X2200" t="str">
        <f t="shared" si="208"/>
        <v>Inactive</v>
      </c>
      <c r="Y2200" t="str">
        <f>IF(MAIN!$H$3="Selected Year",IF(A2200=MAIN!$B$3,"Yes","No"),IF(MAIN!$H$3="Included Years",IF(D2200="Yes","Yes","No"),IF(C2200="Yes","Yes","No")))</f>
        <v>No</v>
      </c>
      <c r="Z2200" t="str">
        <f>IF(MAIN!$F$3="Project to Date",IF(AND(A2200&gt;=SETTINGS!$B$4,A2200&lt;MAIN!$B$3),"Yes",IF(AND(A2200=MAIN!$B$3,E2200&lt;=MAIN!$L$3),"Yes","No")),IF(OR(MAIN!$F$3="Full Year",MAIN!$D$3="All"),"Yes",IF(MAIN!$F$3="Monthly",IF(E2200=MAIN!$L$3,"Yes","No"),IF(E2200&lt;=MAIN!$L$3,"Yes","No"))))</f>
        <v>Yes</v>
      </c>
      <c r="AA2200" t="str">
        <f t="shared" si="209"/>
        <v>No</v>
      </c>
    </row>
    <row r="2201" spans="1:27" x14ac:dyDescent="0.3">
      <c r="A2201">
        <f>INDEX(SETTINGS!$A$15:$A$24,$B2201)</f>
        <v>2034</v>
      </c>
      <c r="B2201">
        <v>10</v>
      </c>
      <c r="C2201" t="str">
        <f>IF(AND(A2201&gt;=SETTINGS!$B$4,A2201&lt;=SETTINGS!$B$5),"Yes","No")</f>
        <v>No</v>
      </c>
      <c r="D2201" t="str">
        <f>IFERROR(INDEX(SETTINGS!$C$15:$C$24,MATCH(A2201,SETTINGS!$A$15:$A$24,0)),"No")</f>
        <v>No</v>
      </c>
      <c r="E2201">
        <v>8</v>
      </c>
      <c r="F2201" t="s">
        <v>41</v>
      </c>
      <c r="G2201">
        <v>193</v>
      </c>
      <c r="H2201" t="s">
        <v>108</v>
      </c>
      <c r="I2201" t="s">
        <v>22</v>
      </c>
      <c r="J2201" t="s">
        <v>28</v>
      </c>
      <c r="K2201" t="s">
        <v>3</v>
      </c>
      <c r="L2201" s="36">
        <f ca="1">IF(C2201&lt;&gt;"Yes",0,IF(A2201=2025,N('2025'!D193),IF(A2201=2026,N('2026'!D193),IF(A2201=2027,N('2027'!D193),IF(A2201=2028,N('2028'!D193),IF(A2201=2029,N('2029'!D193),IF(A2201=2030,N('2030'!D193),IF(A2201=2031,N('2031'!D193),IF(A2201=2032,N('2032'!D193),IF(A2201=2033,N('2033'!D193),IF(A2201=2034,N('2034'!D193),IFERROR(N(INDIRECT("'"&amp;A2201&amp;"'!D"&amp;G2201)),0))))))))))))</f>
        <v>0</v>
      </c>
      <c r="M2201" s="36">
        <f>IFERROR(IF(NOT(ISBLANK(KPI_TARGETS!$P$19)),KPI_TARGETS!$P$19,IF(NOT(ISBLANK(KPI_TARGETS!$F$19)),KPI_TARGETS!$F$19,"")),"")</f>
        <v>16</v>
      </c>
      <c r="N2201" s="36" t="str">
        <f>IFERROR(KPI_TARGETS!$E$19,"Higher is better")</f>
        <v>Higher is better</v>
      </c>
      <c r="O2201" s="37">
        <f t="shared" ca="1" si="204"/>
        <v>0</v>
      </c>
      <c r="P2201" t="str">
        <f t="shared" ca="1" si="205"/>
        <v>Red</v>
      </c>
      <c r="Q2201" s="36">
        <f t="shared" ca="1" si="206"/>
        <v>-16</v>
      </c>
      <c r="R2201" s="36" t="str">
        <f>""</f>
        <v/>
      </c>
      <c r="S2201" s="36" t="str">
        <f>""</f>
        <v/>
      </c>
      <c r="T2201" s="36" t="str">
        <f>""</f>
        <v/>
      </c>
      <c r="U2201" s="36" t="str">
        <f>""</f>
        <v/>
      </c>
      <c r="V2201" s="36" t="str">
        <f>""</f>
        <v/>
      </c>
      <c r="W2201" s="36">
        <f t="shared" si="207"/>
        <v>1</v>
      </c>
      <c r="X2201" t="str">
        <f t="shared" si="208"/>
        <v>Inactive</v>
      </c>
      <c r="Y2201" t="str">
        <f>IF(MAIN!$H$3="Selected Year",IF(A2201=MAIN!$B$3,"Yes","No"),IF(MAIN!$H$3="Included Years",IF(D2201="Yes","Yes","No"),IF(C2201="Yes","Yes","No")))</f>
        <v>No</v>
      </c>
      <c r="Z2201" t="str">
        <f>IF(MAIN!$F$3="Project to Date",IF(AND(A2201&gt;=SETTINGS!$B$4,A2201&lt;MAIN!$B$3),"Yes",IF(AND(A2201=MAIN!$B$3,E2201&lt;=MAIN!$L$3),"Yes","No")),IF(OR(MAIN!$F$3="Full Year",MAIN!$D$3="All"),"Yes",IF(MAIN!$F$3="Monthly",IF(E2201=MAIN!$L$3,"Yes","No"),IF(E2201&lt;=MAIN!$L$3,"Yes","No"))))</f>
        <v>Yes</v>
      </c>
      <c r="AA2201" t="str">
        <f t="shared" si="209"/>
        <v>No</v>
      </c>
    </row>
    <row r="2202" spans="1:27" x14ac:dyDescent="0.3">
      <c r="A2202">
        <f>INDEX(SETTINGS!$A$15:$A$24,$B2202)</f>
        <v>2034</v>
      </c>
      <c r="B2202">
        <v>10</v>
      </c>
      <c r="C2202" t="str">
        <f>IF(AND(A2202&gt;=SETTINGS!$B$4,A2202&lt;=SETTINGS!$B$5),"Yes","No")</f>
        <v>No</v>
      </c>
      <c r="D2202" t="str">
        <f>IFERROR(INDEX(SETTINGS!$C$15:$C$24,MATCH(A2202,SETTINGS!$A$15:$A$24,0)),"No")</f>
        <v>No</v>
      </c>
      <c r="E2202">
        <v>8</v>
      </c>
      <c r="F2202" t="s">
        <v>41</v>
      </c>
      <c r="G2202">
        <v>194</v>
      </c>
      <c r="H2202" t="s">
        <v>109</v>
      </c>
      <c r="I2202" t="s">
        <v>22</v>
      </c>
      <c r="J2202" t="s">
        <v>29</v>
      </c>
      <c r="K2202" t="s">
        <v>3</v>
      </c>
      <c r="L2202" s="36">
        <f ca="1">IF(C2202&lt;&gt;"Yes",0,IF(A2202=2025,N('2025'!D194),IF(A2202=2026,N('2026'!D194),IF(A2202=2027,N('2027'!D194),IF(A2202=2028,N('2028'!D194),IF(A2202=2029,N('2029'!D194),IF(A2202=2030,N('2030'!D194),IF(A2202=2031,N('2031'!D194),IF(A2202=2032,N('2032'!D194),IF(A2202=2033,N('2033'!D194),IF(A2202=2034,N('2034'!D194),IFERROR(N(INDIRECT("'"&amp;A2202&amp;"'!D"&amp;G2202)),0))))))))))))</f>
        <v>0</v>
      </c>
      <c r="M2202" s="36">
        <f>IFERROR(IF(NOT(ISBLANK(KPI_TARGETS!$P$20)),KPI_TARGETS!$P$20,IF(NOT(ISBLANK(KPI_TARGETS!$F$20)),KPI_TARGETS!$F$20,"")),"")</f>
        <v>1</v>
      </c>
      <c r="N2202" s="36" t="str">
        <f>IFERROR(KPI_TARGETS!$E$20,"Higher is better")</f>
        <v>Higher is better</v>
      </c>
      <c r="O2202" s="37">
        <f t="shared" ca="1" si="204"/>
        <v>0</v>
      </c>
      <c r="P2202" t="str">
        <f t="shared" ca="1" si="205"/>
        <v>Red</v>
      </c>
      <c r="Q2202" s="36">
        <f t="shared" ca="1" si="206"/>
        <v>-1</v>
      </c>
      <c r="R2202" s="36" t="str">
        <f>""</f>
        <v/>
      </c>
      <c r="S2202" s="36" t="str">
        <f>""</f>
        <v/>
      </c>
      <c r="T2202" s="36" t="str">
        <f>""</f>
        <v/>
      </c>
      <c r="U2202" s="36" t="str">
        <f>""</f>
        <v/>
      </c>
      <c r="V2202" s="36" t="str">
        <f>""</f>
        <v/>
      </c>
      <c r="W2202" s="36">
        <f t="shared" si="207"/>
        <v>1</v>
      </c>
      <c r="X2202" t="str">
        <f t="shared" si="208"/>
        <v>Inactive</v>
      </c>
      <c r="Y2202" t="str">
        <f>IF(MAIN!$H$3="Selected Year",IF(A2202=MAIN!$B$3,"Yes","No"),IF(MAIN!$H$3="Included Years",IF(D2202="Yes","Yes","No"),IF(C2202="Yes","Yes","No")))</f>
        <v>No</v>
      </c>
      <c r="Z2202" t="str">
        <f>IF(MAIN!$F$3="Project to Date",IF(AND(A2202&gt;=SETTINGS!$B$4,A2202&lt;MAIN!$B$3),"Yes",IF(AND(A2202=MAIN!$B$3,E2202&lt;=MAIN!$L$3),"Yes","No")),IF(OR(MAIN!$F$3="Full Year",MAIN!$D$3="All"),"Yes",IF(MAIN!$F$3="Monthly",IF(E2202=MAIN!$L$3,"Yes","No"),IF(E2202&lt;=MAIN!$L$3,"Yes","No"))))</f>
        <v>Yes</v>
      </c>
      <c r="AA2202" t="str">
        <f t="shared" si="209"/>
        <v>No</v>
      </c>
    </row>
    <row r="2203" spans="1:27" x14ac:dyDescent="0.3">
      <c r="A2203">
        <f>INDEX(SETTINGS!$A$15:$A$24,$B2203)</f>
        <v>2034</v>
      </c>
      <c r="B2203">
        <v>10</v>
      </c>
      <c r="C2203" t="str">
        <f>IF(AND(A2203&gt;=SETTINGS!$B$4,A2203&lt;=SETTINGS!$B$5),"Yes","No")</f>
        <v>No</v>
      </c>
      <c r="D2203" t="str">
        <f>IFERROR(INDEX(SETTINGS!$C$15:$C$24,MATCH(A2203,SETTINGS!$A$15:$A$24,0)),"No")</f>
        <v>No</v>
      </c>
      <c r="E2203">
        <v>8</v>
      </c>
      <c r="F2203" t="s">
        <v>41</v>
      </c>
      <c r="G2203">
        <v>196</v>
      </c>
      <c r="H2203" t="s">
        <v>110</v>
      </c>
      <c r="I2203" t="s">
        <v>30</v>
      </c>
      <c r="J2203" t="s">
        <v>31</v>
      </c>
      <c r="K2203" t="s">
        <v>3</v>
      </c>
      <c r="L2203" s="36">
        <f ca="1">IF(C2203&lt;&gt;"Yes",0,IF(A2203=2025,N('2025'!D196),IF(A2203=2026,N('2026'!D196),IF(A2203=2027,N('2027'!D196),IF(A2203=2028,N('2028'!D196),IF(A2203=2029,N('2029'!D196),IF(A2203=2030,N('2030'!D196),IF(A2203=2031,N('2031'!D196),IF(A2203=2032,N('2032'!D196),IF(A2203=2033,N('2033'!D196),IF(A2203=2034,N('2034'!D196),IFERROR(N(INDIRECT("'"&amp;A2203&amp;"'!D"&amp;G2203)),0))))))))))))</f>
        <v>0</v>
      </c>
      <c r="M2203" s="36">
        <f>IFERROR(IF(NOT(ISBLANK(KPI_TARGETS!$P$21)),KPI_TARGETS!$P$21,IF(NOT(ISBLANK(KPI_TARGETS!$F$21)),KPI_TARGETS!$F$21,"")),"")</f>
        <v>0</v>
      </c>
      <c r="N2203" s="36" t="str">
        <f>IFERROR(KPI_TARGETS!$E$21,"Higher is better")</f>
        <v>Lower is better</v>
      </c>
      <c r="O2203" s="37">
        <f t="shared" ca="1" si="204"/>
        <v>1</v>
      </c>
      <c r="P2203" t="str">
        <f t="shared" ca="1" si="205"/>
        <v>Green</v>
      </c>
      <c r="Q2203" s="36">
        <f t="shared" ca="1" si="206"/>
        <v>0</v>
      </c>
      <c r="R2203" s="36" t="str">
        <f>""</f>
        <v/>
      </c>
      <c r="S2203" s="36" t="str">
        <f>""</f>
        <v/>
      </c>
      <c r="T2203" s="36" t="str">
        <f>""</f>
        <v/>
      </c>
      <c r="U2203" s="36" t="str">
        <f>""</f>
        <v/>
      </c>
      <c r="V2203" s="36" t="str">
        <f>""</f>
        <v/>
      </c>
      <c r="W2203" s="36">
        <f t="shared" si="207"/>
        <v>1</v>
      </c>
      <c r="X2203" t="str">
        <f t="shared" si="208"/>
        <v>Inactive</v>
      </c>
      <c r="Y2203" t="str">
        <f>IF(MAIN!$H$3="Selected Year",IF(A2203=MAIN!$B$3,"Yes","No"),IF(MAIN!$H$3="Included Years",IF(D2203="Yes","Yes","No"),IF(C2203="Yes","Yes","No")))</f>
        <v>No</v>
      </c>
      <c r="Z2203" t="str">
        <f>IF(MAIN!$F$3="Project to Date",IF(AND(A2203&gt;=SETTINGS!$B$4,A2203&lt;MAIN!$B$3),"Yes",IF(AND(A2203=MAIN!$B$3,E2203&lt;=MAIN!$L$3),"Yes","No")),IF(OR(MAIN!$F$3="Full Year",MAIN!$D$3="All"),"Yes",IF(MAIN!$F$3="Monthly",IF(E2203=MAIN!$L$3,"Yes","No"),IF(E2203&lt;=MAIN!$L$3,"Yes","No"))))</f>
        <v>Yes</v>
      </c>
      <c r="AA2203" t="str">
        <f t="shared" si="209"/>
        <v>No</v>
      </c>
    </row>
    <row r="2204" spans="1:27" x14ac:dyDescent="0.3">
      <c r="A2204">
        <f>INDEX(SETTINGS!$A$15:$A$24,$B2204)</f>
        <v>2034</v>
      </c>
      <c r="B2204">
        <v>10</v>
      </c>
      <c r="C2204" t="str">
        <f>IF(AND(A2204&gt;=SETTINGS!$B$4,A2204&lt;=SETTINGS!$B$5),"Yes","No")</f>
        <v>No</v>
      </c>
      <c r="D2204" t="str">
        <f>IFERROR(INDEX(SETTINGS!$C$15:$C$24,MATCH(A2204,SETTINGS!$A$15:$A$24,0)),"No")</f>
        <v>No</v>
      </c>
      <c r="E2204">
        <v>8</v>
      </c>
      <c r="F2204" t="s">
        <v>41</v>
      </c>
      <c r="G2204">
        <v>197</v>
      </c>
      <c r="H2204" t="s">
        <v>111</v>
      </c>
      <c r="I2204" t="s">
        <v>30</v>
      </c>
      <c r="J2204" t="s">
        <v>32</v>
      </c>
      <c r="K2204" t="s">
        <v>3</v>
      </c>
      <c r="L2204" s="36">
        <f ca="1">IF(C2204&lt;&gt;"Yes",0,IF(A2204=2025,N('2025'!D197),IF(A2204=2026,N('2026'!D197),IF(A2204=2027,N('2027'!D197),IF(A2204=2028,N('2028'!D197),IF(A2204=2029,N('2029'!D197),IF(A2204=2030,N('2030'!D197),IF(A2204=2031,N('2031'!D197),IF(A2204=2032,N('2032'!D197),IF(A2204=2033,N('2033'!D197),IF(A2204=2034,N('2034'!D197),IFERROR(N(INDIRECT("'"&amp;A2204&amp;"'!D"&amp;G2204)),0))))))))))))</f>
        <v>0</v>
      </c>
      <c r="M2204" s="36">
        <f>IFERROR(IF(NOT(ISBLANK(KPI_TARGETS!$P$22)),KPI_TARGETS!$P$22,IF(NOT(ISBLANK(KPI_TARGETS!$F$22)),KPI_TARGETS!$F$22,"")),"")</f>
        <v>1</v>
      </c>
      <c r="N2204" s="36" t="str">
        <f>IFERROR(KPI_TARGETS!$E$22,"Higher is better")</f>
        <v>Higher is better</v>
      </c>
      <c r="O2204" s="37">
        <f t="shared" ca="1" si="204"/>
        <v>0</v>
      </c>
      <c r="P2204" t="str">
        <f t="shared" ca="1" si="205"/>
        <v>Red</v>
      </c>
      <c r="Q2204" s="36">
        <f t="shared" ca="1" si="206"/>
        <v>-1</v>
      </c>
      <c r="R2204" s="36" t="str">
        <f>""</f>
        <v/>
      </c>
      <c r="S2204" s="36" t="str">
        <f>""</f>
        <v/>
      </c>
      <c r="T2204" s="36" t="str">
        <f>""</f>
        <v/>
      </c>
      <c r="U2204" s="36" t="str">
        <f>""</f>
        <v/>
      </c>
      <c r="V2204" s="36" t="str">
        <f>""</f>
        <v/>
      </c>
      <c r="W2204" s="36">
        <f t="shared" si="207"/>
        <v>1</v>
      </c>
      <c r="X2204" t="str">
        <f t="shared" si="208"/>
        <v>Inactive</v>
      </c>
      <c r="Y2204" t="str">
        <f>IF(MAIN!$H$3="Selected Year",IF(A2204=MAIN!$B$3,"Yes","No"),IF(MAIN!$H$3="Included Years",IF(D2204="Yes","Yes","No"),IF(C2204="Yes","Yes","No")))</f>
        <v>No</v>
      </c>
      <c r="Z2204" t="str">
        <f>IF(MAIN!$F$3="Project to Date",IF(AND(A2204&gt;=SETTINGS!$B$4,A2204&lt;MAIN!$B$3),"Yes",IF(AND(A2204=MAIN!$B$3,E2204&lt;=MAIN!$L$3),"Yes","No")),IF(OR(MAIN!$F$3="Full Year",MAIN!$D$3="All"),"Yes",IF(MAIN!$F$3="Monthly",IF(E2204=MAIN!$L$3,"Yes","No"),IF(E2204&lt;=MAIN!$L$3,"Yes","No"))))</f>
        <v>Yes</v>
      </c>
      <c r="AA2204" t="str">
        <f t="shared" si="209"/>
        <v>No</v>
      </c>
    </row>
    <row r="2205" spans="1:27" x14ac:dyDescent="0.3">
      <c r="A2205">
        <f>INDEX(SETTINGS!$A$15:$A$24,$B2205)</f>
        <v>2034</v>
      </c>
      <c r="B2205">
        <v>10</v>
      </c>
      <c r="C2205" t="str">
        <f>IF(AND(A2205&gt;=SETTINGS!$B$4,A2205&lt;=SETTINGS!$B$5),"Yes","No")</f>
        <v>No</v>
      </c>
      <c r="D2205" t="str">
        <f>IFERROR(INDEX(SETTINGS!$C$15:$C$24,MATCH(A2205,SETTINGS!$A$15:$A$24,0)),"No")</f>
        <v>No</v>
      </c>
      <c r="E2205">
        <v>8</v>
      </c>
      <c r="F2205" t="s">
        <v>41</v>
      </c>
      <c r="G2205">
        <v>198</v>
      </c>
      <c r="H2205" t="s">
        <v>112</v>
      </c>
      <c r="I2205" t="s">
        <v>30</v>
      </c>
      <c r="J2205" t="s">
        <v>33</v>
      </c>
      <c r="K2205" t="s">
        <v>34</v>
      </c>
      <c r="L2205" s="36">
        <f ca="1">IF(C2205&lt;&gt;"Yes",0,IF(A2205=2025,N('2025'!D198),IF(A2205=2026,N('2026'!D198),IF(A2205=2027,N('2027'!D198),IF(A2205=2028,N('2028'!D198),IF(A2205=2029,N('2029'!D198),IF(A2205=2030,N('2030'!D198),IF(A2205=2031,N('2031'!D198),IF(A2205=2032,N('2032'!D198),IF(A2205=2033,N('2033'!D198),IF(A2205=2034,N('2034'!D198),IFERROR(N(INDIRECT("'"&amp;A2205&amp;"'!D"&amp;G2205)),0))))))))))))</f>
        <v>0</v>
      </c>
      <c r="M2205" s="36">
        <f>IFERROR(IF(NOT(ISBLANK(KPI_TARGETS!$P$23)),KPI_TARGETS!$P$23,IF(NOT(ISBLANK(KPI_TARGETS!$F$23)),KPI_TARGETS!$F$23,"")),"")</f>
        <v>1</v>
      </c>
      <c r="N2205" s="36" t="str">
        <f>IFERROR(KPI_TARGETS!$E$23,"Higher is better")</f>
        <v>Higher is better</v>
      </c>
      <c r="O2205" s="37">
        <f t="shared" ca="1" si="204"/>
        <v>0</v>
      </c>
      <c r="P2205" t="str">
        <f t="shared" ca="1" si="205"/>
        <v>Red</v>
      </c>
      <c r="Q2205" s="36">
        <f t="shared" ca="1" si="206"/>
        <v>-1</v>
      </c>
      <c r="R2205" s="36" t="str">
        <f>""</f>
        <v/>
      </c>
      <c r="S2205" s="36" t="str">
        <f>""</f>
        <v/>
      </c>
      <c r="T2205" s="36" t="str">
        <f>""</f>
        <v/>
      </c>
      <c r="U2205" s="36" t="str">
        <f>""</f>
        <v/>
      </c>
      <c r="V2205" s="36" t="str">
        <f>""</f>
        <v/>
      </c>
      <c r="W2205" s="36">
        <f t="shared" si="207"/>
        <v>1</v>
      </c>
      <c r="X2205" t="str">
        <f t="shared" si="208"/>
        <v>Inactive</v>
      </c>
      <c r="Y2205" t="str">
        <f>IF(MAIN!$H$3="Selected Year",IF(A2205=MAIN!$B$3,"Yes","No"),IF(MAIN!$H$3="Included Years",IF(D2205="Yes","Yes","No"),IF(C2205="Yes","Yes","No")))</f>
        <v>No</v>
      </c>
      <c r="Z2205" t="str">
        <f>IF(MAIN!$F$3="Project to Date",IF(AND(A2205&gt;=SETTINGS!$B$4,A2205&lt;MAIN!$B$3),"Yes",IF(AND(A2205=MAIN!$B$3,E2205&lt;=MAIN!$L$3),"Yes","No")),IF(OR(MAIN!$F$3="Full Year",MAIN!$D$3="All"),"Yes",IF(MAIN!$F$3="Monthly",IF(E2205=MAIN!$L$3,"Yes","No"),IF(E2205&lt;=MAIN!$L$3,"Yes","No"))))</f>
        <v>Yes</v>
      </c>
      <c r="AA2205" t="str">
        <f t="shared" si="209"/>
        <v>No</v>
      </c>
    </row>
    <row r="2206" spans="1:27" x14ac:dyDescent="0.3">
      <c r="A2206">
        <f>INDEX(SETTINGS!$A$15:$A$24,$B2206)</f>
        <v>2034</v>
      </c>
      <c r="B2206">
        <v>10</v>
      </c>
      <c r="C2206" t="str">
        <f>IF(AND(A2206&gt;=SETTINGS!$B$4,A2206&lt;=SETTINGS!$B$5),"Yes","No")</f>
        <v>No</v>
      </c>
      <c r="D2206" t="str">
        <f>IFERROR(INDEX(SETTINGS!$C$15:$C$24,MATCH(A2206,SETTINGS!$A$15:$A$24,0)),"No")</f>
        <v>No</v>
      </c>
      <c r="E2206">
        <v>9</v>
      </c>
      <c r="F2206" t="s">
        <v>42</v>
      </c>
      <c r="G2206">
        <v>201</v>
      </c>
      <c r="H2206" t="s">
        <v>88</v>
      </c>
      <c r="I2206" t="s">
        <v>89</v>
      </c>
      <c r="J2206" t="s">
        <v>10</v>
      </c>
      <c r="K2206" t="s">
        <v>3</v>
      </c>
      <c r="L2206" s="36">
        <f ca="1">IF(C2206&lt;&gt;"Yes",0,IF(A2206=2025,N('2025'!D201),IF(A2206=2026,N('2026'!D201),IF(A2206=2027,N('2027'!D201),IF(A2206=2028,N('2028'!D201),IF(A2206=2029,N('2029'!D201),IF(A2206=2030,N('2030'!D201),IF(A2206=2031,N('2031'!D201),IF(A2206=2032,N('2032'!D201),IF(A2206=2033,N('2033'!D201),IF(A2206=2034,N('2034'!D201),IFERROR(N(INDIRECT("'"&amp;A2206&amp;"'!D"&amp;G2206)),0))))))))))))</f>
        <v>0</v>
      </c>
      <c r="M2206" s="36">
        <f>IFERROR(IF(NOT(ISBLANK(KPI_TARGETS!$P$5)),KPI_TARGETS!$P$5,IF(NOT(ISBLANK(KPI_TARGETS!$F$5)),KPI_TARGETS!$F$5,"")),"")</f>
        <v>104</v>
      </c>
      <c r="N2206" s="36" t="str">
        <f>IFERROR(KPI_TARGETS!$E$5,"Higher is better")</f>
        <v>Higher is better</v>
      </c>
      <c r="O2206" s="37">
        <f t="shared" ca="1" si="204"/>
        <v>0</v>
      </c>
      <c r="P2206" t="str">
        <f t="shared" ca="1" si="205"/>
        <v>Red</v>
      </c>
      <c r="Q2206" s="36">
        <f t="shared" ca="1" si="206"/>
        <v>-104</v>
      </c>
      <c r="R2206" s="36" t="str">
        <f>""</f>
        <v/>
      </c>
      <c r="S2206" s="36" t="str">
        <f>""</f>
        <v/>
      </c>
      <c r="T2206" s="36" t="str">
        <f>""</f>
        <v/>
      </c>
      <c r="U2206" s="36" t="str">
        <f>""</f>
        <v/>
      </c>
      <c r="V2206" s="36" t="str">
        <f>""</f>
        <v/>
      </c>
      <c r="W2206" s="36">
        <f t="shared" si="207"/>
        <v>1</v>
      </c>
      <c r="X2206" t="str">
        <f t="shared" si="208"/>
        <v>Inactive</v>
      </c>
      <c r="Y2206" t="str">
        <f>IF(MAIN!$H$3="Selected Year",IF(A2206=MAIN!$B$3,"Yes","No"),IF(MAIN!$H$3="Included Years",IF(D2206="Yes","Yes","No"),IF(C2206="Yes","Yes","No")))</f>
        <v>No</v>
      </c>
      <c r="Z2206" t="str">
        <f>IF(MAIN!$F$3="Project to Date",IF(AND(A2206&gt;=SETTINGS!$B$4,A2206&lt;MAIN!$B$3),"Yes",IF(AND(A2206=MAIN!$B$3,E2206&lt;=MAIN!$L$3),"Yes","No")),IF(OR(MAIN!$F$3="Full Year",MAIN!$D$3="All"),"Yes",IF(MAIN!$F$3="Monthly",IF(E2206=MAIN!$L$3,"Yes","No"),IF(E2206&lt;=MAIN!$L$3,"Yes","No"))))</f>
        <v>Yes</v>
      </c>
      <c r="AA2206" t="str">
        <f t="shared" si="209"/>
        <v>No</v>
      </c>
    </row>
    <row r="2207" spans="1:27" x14ac:dyDescent="0.3">
      <c r="A2207">
        <f>INDEX(SETTINGS!$A$15:$A$24,$B2207)</f>
        <v>2034</v>
      </c>
      <c r="B2207">
        <v>10</v>
      </c>
      <c r="C2207" t="str">
        <f>IF(AND(A2207&gt;=SETTINGS!$B$4,A2207&lt;=SETTINGS!$B$5),"Yes","No")</f>
        <v>No</v>
      </c>
      <c r="D2207" t="str">
        <f>IFERROR(INDEX(SETTINGS!$C$15:$C$24,MATCH(A2207,SETTINGS!$A$15:$A$24,0)),"No")</f>
        <v>No</v>
      </c>
      <c r="E2207">
        <v>9</v>
      </c>
      <c r="F2207" t="s">
        <v>42</v>
      </c>
      <c r="G2207">
        <v>202</v>
      </c>
      <c r="H2207" t="s">
        <v>91</v>
      </c>
      <c r="I2207" t="s">
        <v>89</v>
      </c>
      <c r="J2207" t="s">
        <v>11</v>
      </c>
      <c r="K2207" t="s">
        <v>12</v>
      </c>
      <c r="L2207" s="36">
        <f ca="1">IF(C2207&lt;&gt;"Yes",0,IF(A2207=2025,N('2025'!D202),IF(A2207=2026,N('2026'!D202),IF(A2207=2027,N('2027'!D202),IF(A2207=2028,N('2028'!D202),IF(A2207=2029,N('2029'!D202),IF(A2207=2030,N('2030'!D202),IF(A2207=2031,N('2031'!D202),IF(A2207=2032,N('2032'!D202),IF(A2207=2033,N('2033'!D202),IF(A2207=2034,N('2034'!D202),IFERROR(N(INDIRECT("'"&amp;A2207&amp;"'!D"&amp;G2207)),0))))))))))))</f>
        <v>0</v>
      </c>
      <c r="M2207" s="36">
        <f>IFERROR(IF(NOT(ISBLANK(KPI_TARGETS!$P$6)),KPI_TARGETS!$P$6,IF(NOT(ISBLANK(KPI_TARGETS!$F$6)),KPI_TARGETS!$F$6,"")),"")</f>
        <v>4000</v>
      </c>
      <c r="N2207" s="36" t="str">
        <f>IFERROR(KPI_TARGETS!$E$6,"Higher is better")</f>
        <v>Higher is better</v>
      </c>
      <c r="O2207" s="37">
        <f t="shared" ca="1" si="204"/>
        <v>0</v>
      </c>
      <c r="P2207" t="str">
        <f t="shared" ca="1" si="205"/>
        <v>Red</v>
      </c>
      <c r="Q2207" s="36">
        <f t="shared" ca="1" si="206"/>
        <v>-4000</v>
      </c>
      <c r="R2207" s="36" t="str">
        <f>""</f>
        <v/>
      </c>
      <c r="S2207" s="36" t="str">
        <f>""</f>
        <v/>
      </c>
      <c r="T2207" s="36" t="str">
        <f>""</f>
        <v/>
      </c>
      <c r="U2207" s="36" t="str">
        <f>""</f>
        <v/>
      </c>
      <c r="V2207" s="36" t="str">
        <f>""</f>
        <v/>
      </c>
      <c r="W2207" s="36">
        <f t="shared" si="207"/>
        <v>1</v>
      </c>
      <c r="X2207" t="str">
        <f t="shared" si="208"/>
        <v>Inactive</v>
      </c>
      <c r="Y2207" t="str">
        <f>IF(MAIN!$H$3="Selected Year",IF(A2207=MAIN!$B$3,"Yes","No"),IF(MAIN!$H$3="Included Years",IF(D2207="Yes","Yes","No"),IF(C2207="Yes","Yes","No")))</f>
        <v>No</v>
      </c>
      <c r="Z2207" t="str">
        <f>IF(MAIN!$F$3="Project to Date",IF(AND(A2207&gt;=SETTINGS!$B$4,A2207&lt;MAIN!$B$3),"Yes",IF(AND(A2207=MAIN!$B$3,E2207&lt;=MAIN!$L$3),"Yes","No")),IF(OR(MAIN!$F$3="Full Year",MAIN!$D$3="All"),"Yes",IF(MAIN!$F$3="Monthly",IF(E2207=MAIN!$L$3,"Yes","No"),IF(E2207&lt;=MAIN!$L$3,"Yes","No"))))</f>
        <v>Yes</v>
      </c>
      <c r="AA2207" t="str">
        <f t="shared" si="209"/>
        <v>No</v>
      </c>
    </row>
    <row r="2208" spans="1:27" x14ac:dyDescent="0.3">
      <c r="A2208">
        <f>INDEX(SETTINGS!$A$15:$A$24,$B2208)</f>
        <v>2034</v>
      </c>
      <c r="B2208">
        <v>10</v>
      </c>
      <c r="C2208" t="str">
        <f>IF(AND(A2208&gt;=SETTINGS!$B$4,A2208&lt;=SETTINGS!$B$5),"Yes","No")</f>
        <v>No</v>
      </c>
      <c r="D2208" t="str">
        <f>IFERROR(INDEX(SETTINGS!$C$15:$C$24,MATCH(A2208,SETTINGS!$A$15:$A$24,0)),"No")</f>
        <v>No</v>
      </c>
      <c r="E2208">
        <v>9</v>
      </c>
      <c r="F2208" t="s">
        <v>42</v>
      </c>
      <c r="G2208">
        <v>203</v>
      </c>
      <c r="H2208" t="s">
        <v>93</v>
      </c>
      <c r="I2208" t="s">
        <v>89</v>
      </c>
      <c r="J2208" t="s">
        <v>13</v>
      </c>
      <c r="K2208" t="s">
        <v>14</v>
      </c>
      <c r="L2208" s="36">
        <f ca="1">IF(C2208&lt;&gt;"Yes",0,IF(A2208=2025,N('2025'!D203),IF(A2208=2026,N('2026'!D203),IF(A2208=2027,N('2027'!D203),IF(A2208=2028,N('2028'!D203),IF(A2208=2029,N('2029'!D203),IF(A2208=2030,N('2030'!D203),IF(A2208=2031,N('2031'!D203),IF(A2208=2032,N('2032'!D203),IF(A2208=2033,N('2033'!D203),IF(A2208=2034,N('2034'!D203),IFERROR(N(INDIRECT("'"&amp;A2208&amp;"'!D"&amp;G2208)),0))))))))))))</f>
        <v>0</v>
      </c>
      <c r="M2208" s="36">
        <f>IFERROR(IF(NOT(ISBLANK(KPI_TARGETS!$P$7)),KPI_TARGETS!$P$7,IF(NOT(ISBLANK(KPI_TARGETS!$F$7)),KPI_TARGETS!$F$7,"")),"")</f>
        <v>8000</v>
      </c>
      <c r="N2208" s="36" t="str">
        <f>IFERROR(KPI_TARGETS!$E$7,"Higher is better")</f>
        <v>Higher is better</v>
      </c>
      <c r="O2208" s="37">
        <f t="shared" ca="1" si="204"/>
        <v>0</v>
      </c>
      <c r="P2208" t="str">
        <f t="shared" ca="1" si="205"/>
        <v>Red</v>
      </c>
      <c r="Q2208" s="36">
        <f t="shared" ca="1" si="206"/>
        <v>-8000</v>
      </c>
      <c r="R2208" s="36" t="str">
        <f>""</f>
        <v/>
      </c>
      <c r="S2208" s="36" t="str">
        <f>""</f>
        <v/>
      </c>
      <c r="T2208" s="36" t="str">
        <f>""</f>
        <v/>
      </c>
      <c r="U2208" s="36" t="str">
        <f>""</f>
        <v/>
      </c>
      <c r="V2208" s="36" t="str">
        <f>""</f>
        <v/>
      </c>
      <c r="W2208" s="36">
        <f t="shared" si="207"/>
        <v>1</v>
      </c>
      <c r="X2208" t="str">
        <f t="shared" si="208"/>
        <v>Inactive</v>
      </c>
      <c r="Y2208" t="str">
        <f>IF(MAIN!$H$3="Selected Year",IF(A2208=MAIN!$B$3,"Yes","No"),IF(MAIN!$H$3="Included Years",IF(D2208="Yes","Yes","No"),IF(C2208="Yes","Yes","No")))</f>
        <v>No</v>
      </c>
      <c r="Z2208" t="str">
        <f>IF(MAIN!$F$3="Project to Date",IF(AND(A2208&gt;=SETTINGS!$B$4,A2208&lt;MAIN!$B$3),"Yes",IF(AND(A2208=MAIN!$B$3,E2208&lt;=MAIN!$L$3),"Yes","No")),IF(OR(MAIN!$F$3="Full Year",MAIN!$D$3="All"),"Yes",IF(MAIN!$F$3="Monthly",IF(E2208=MAIN!$L$3,"Yes","No"),IF(E2208&lt;=MAIN!$L$3,"Yes","No"))))</f>
        <v>Yes</v>
      </c>
      <c r="AA2208" t="str">
        <f t="shared" si="209"/>
        <v>No</v>
      </c>
    </row>
    <row r="2209" spans="1:27" x14ac:dyDescent="0.3">
      <c r="A2209">
        <f>INDEX(SETTINGS!$A$15:$A$24,$B2209)</f>
        <v>2034</v>
      </c>
      <c r="B2209">
        <v>10</v>
      </c>
      <c r="C2209" t="str">
        <f>IF(AND(A2209&gt;=SETTINGS!$B$4,A2209&lt;=SETTINGS!$B$5),"Yes","No")</f>
        <v>No</v>
      </c>
      <c r="D2209" t="str">
        <f>IFERROR(INDEX(SETTINGS!$C$15:$C$24,MATCH(A2209,SETTINGS!$A$15:$A$24,0)),"No")</f>
        <v>No</v>
      </c>
      <c r="E2209">
        <v>9</v>
      </c>
      <c r="F2209" t="s">
        <v>42</v>
      </c>
      <c r="G2209">
        <v>205</v>
      </c>
      <c r="H2209" t="s">
        <v>95</v>
      </c>
      <c r="I2209" t="s">
        <v>15</v>
      </c>
      <c r="J2209" t="s">
        <v>16</v>
      </c>
      <c r="K2209" t="s">
        <v>3</v>
      </c>
      <c r="L2209" s="36">
        <f ca="1">IF(C2209&lt;&gt;"Yes",0,IF(A2209=2025,N('2025'!D205),IF(A2209=2026,N('2026'!D205),IF(A2209=2027,N('2027'!D205),IF(A2209=2028,N('2028'!D205),IF(A2209=2029,N('2029'!D205),IF(A2209=2030,N('2030'!D205),IF(A2209=2031,N('2031'!D205),IF(A2209=2032,N('2032'!D205),IF(A2209=2033,N('2033'!D205),IF(A2209=2034,N('2034'!D205),IFERROR(N(INDIRECT("'"&amp;A2209&amp;"'!D"&amp;G2209)),0))))))))))))</f>
        <v>0</v>
      </c>
      <c r="M2209" s="36">
        <f>IFERROR(IF(NOT(ISBLANK(KPI_TARGETS!$P$8)),KPI_TARGETS!$P$8,IF(NOT(ISBLANK(KPI_TARGETS!$F$8)),KPI_TARGETS!$F$8,"")),"")</f>
        <v>0</v>
      </c>
      <c r="N2209" s="36" t="str">
        <f>IFERROR(KPI_TARGETS!$E$8,"Higher is better")</f>
        <v>Lower is better</v>
      </c>
      <c r="O2209" s="37">
        <f t="shared" ca="1" si="204"/>
        <v>1</v>
      </c>
      <c r="P2209" t="str">
        <f t="shared" ca="1" si="205"/>
        <v>Green</v>
      </c>
      <c r="Q2209" s="36">
        <f t="shared" ca="1" si="206"/>
        <v>0</v>
      </c>
      <c r="R2209" s="36" t="str">
        <f>""</f>
        <v/>
      </c>
      <c r="S2209" s="36" t="str">
        <f>""</f>
        <v/>
      </c>
      <c r="T2209" s="36" t="str">
        <f>""</f>
        <v/>
      </c>
      <c r="U2209" s="36" t="str">
        <f>""</f>
        <v/>
      </c>
      <c r="V2209" s="36" t="str">
        <f>""</f>
        <v/>
      </c>
      <c r="W2209" s="36">
        <f t="shared" si="207"/>
        <v>1</v>
      </c>
      <c r="X2209" t="str">
        <f t="shared" si="208"/>
        <v>Inactive</v>
      </c>
      <c r="Y2209" t="str">
        <f>IF(MAIN!$H$3="Selected Year",IF(A2209=MAIN!$B$3,"Yes","No"),IF(MAIN!$H$3="Included Years",IF(D2209="Yes","Yes","No"),IF(C2209="Yes","Yes","No")))</f>
        <v>No</v>
      </c>
      <c r="Z2209" t="str">
        <f>IF(MAIN!$F$3="Project to Date",IF(AND(A2209&gt;=SETTINGS!$B$4,A2209&lt;MAIN!$B$3),"Yes",IF(AND(A2209=MAIN!$B$3,E2209&lt;=MAIN!$L$3),"Yes","No")),IF(OR(MAIN!$F$3="Full Year",MAIN!$D$3="All"),"Yes",IF(MAIN!$F$3="Monthly",IF(E2209=MAIN!$L$3,"Yes","No"),IF(E2209&lt;=MAIN!$L$3,"Yes","No"))))</f>
        <v>Yes</v>
      </c>
      <c r="AA2209" t="str">
        <f t="shared" si="209"/>
        <v>No</v>
      </c>
    </row>
    <row r="2210" spans="1:27" x14ac:dyDescent="0.3">
      <c r="A2210">
        <f>INDEX(SETTINGS!$A$15:$A$24,$B2210)</f>
        <v>2034</v>
      </c>
      <c r="B2210">
        <v>10</v>
      </c>
      <c r="C2210" t="str">
        <f>IF(AND(A2210&gt;=SETTINGS!$B$4,A2210&lt;=SETTINGS!$B$5),"Yes","No")</f>
        <v>No</v>
      </c>
      <c r="D2210" t="str">
        <f>IFERROR(INDEX(SETTINGS!$C$15:$C$24,MATCH(A2210,SETTINGS!$A$15:$A$24,0)),"No")</f>
        <v>No</v>
      </c>
      <c r="E2210">
        <v>9</v>
      </c>
      <c r="F2210" t="s">
        <v>42</v>
      </c>
      <c r="G2210">
        <v>206</v>
      </c>
      <c r="H2210" t="s">
        <v>97</v>
      </c>
      <c r="I2210" t="s">
        <v>15</v>
      </c>
      <c r="J2210" t="s">
        <v>17</v>
      </c>
      <c r="K2210" t="s">
        <v>3</v>
      </c>
      <c r="L2210" s="36">
        <f ca="1">IF(C2210&lt;&gt;"Yes",0,IF(A2210=2025,N('2025'!D206),IF(A2210=2026,N('2026'!D206),IF(A2210=2027,N('2027'!D206),IF(A2210=2028,N('2028'!D206),IF(A2210=2029,N('2029'!D206),IF(A2210=2030,N('2030'!D206),IF(A2210=2031,N('2031'!D206),IF(A2210=2032,N('2032'!D206),IF(A2210=2033,N('2033'!D206),IF(A2210=2034,N('2034'!D206),IFERROR(N(INDIRECT("'"&amp;A2210&amp;"'!D"&amp;G2210)),0))))))))))))</f>
        <v>0</v>
      </c>
      <c r="M2210" s="36">
        <f>IFERROR(IF(NOT(ISBLANK(KPI_TARGETS!$P$9)),KPI_TARGETS!$P$9,IF(NOT(ISBLANK(KPI_TARGETS!$F$9)),KPI_TARGETS!$F$9,"")),"")</f>
        <v>0</v>
      </c>
      <c r="N2210" s="36" t="str">
        <f>IFERROR(KPI_TARGETS!$E$9,"Higher is better")</f>
        <v>Higher is better</v>
      </c>
      <c r="O2210" s="37" t="str">
        <f t="shared" ca="1" si="204"/>
        <v/>
      </c>
      <c r="P2210" t="str">
        <f t="shared" ca="1" si="205"/>
        <v>Green</v>
      </c>
      <c r="Q2210" s="36">
        <f t="shared" ca="1" si="206"/>
        <v>0</v>
      </c>
      <c r="R2210" s="36" t="str">
        <f>""</f>
        <v/>
      </c>
      <c r="S2210" s="36" t="str">
        <f>""</f>
        <v/>
      </c>
      <c r="T2210" s="36" t="str">
        <f>""</f>
        <v/>
      </c>
      <c r="U2210" s="36" t="str">
        <f>""</f>
        <v/>
      </c>
      <c r="V2210" s="36" t="str">
        <f>""</f>
        <v/>
      </c>
      <c r="W2210" s="36">
        <f t="shared" si="207"/>
        <v>1</v>
      </c>
      <c r="X2210" t="str">
        <f t="shared" si="208"/>
        <v>Inactive</v>
      </c>
      <c r="Y2210" t="str">
        <f>IF(MAIN!$H$3="Selected Year",IF(A2210=MAIN!$B$3,"Yes","No"),IF(MAIN!$H$3="Included Years",IF(D2210="Yes","Yes","No"),IF(C2210="Yes","Yes","No")))</f>
        <v>No</v>
      </c>
      <c r="Z2210" t="str">
        <f>IF(MAIN!$F$3="Project to Date",IF(AND(A2210&gt;=SETTINGS!$B$4,A2210&lt;MAIN!$B$3),"Yes",IF(AND(A2210=MAIN!$B$3,E2210&lt;=MAIN!$L$3),"Yes","No")),IF(OR(MAIN!$F$3="Full Year",MAIN!$D$3="All"),"Yes",IF(MAIN!$F$3="Monthly",IF(E2210=MAIN!$L$3,"Yes","No"),IF(E2210&lt;=MAIN!$L$3,"Yes","No"))))</f>
        <v>Yes</v>
      </c>
      <c r="AA2210" t="str">
        <f t="shared" si="209"/>
        <v>No</v>
      </c>
    </row>
    <row r="2211" spans="1:27" x14ac:dyDescent="0.3">
      <c r="A2211">
        <f>INDEX(SETTINGS!$A$15:$A$24,$B2211)</f>
        <v>2034</v>
      </c>
      <c r="B2211">
        <v>10</v>
      </c>
      <c r="C2211" t="str">
        <f>IF(AND(A2211&gt;=SETTINGS!$B$4,A2211&lt;=SETTINGS!$B$5),"Yes","No")</f>
        <v>No</v>
      </c>
      <c r="D2211" t="str">
        <f>IFERROR(INDEX(SETTINGS!$C$15:$C$24,MATCH(A2211,SETTINGS!$A$15:$A$24,0)),"No")</f>
        <v>No</v>
      </c>
      <c r="E2211">
        <v>9</v>
      </c>
      <c r="F2211" t="s">
        <v>42</v>
      </c>
      <c r="G2211">
        <v>207</v>
      </c>
      <c r="H2211" t="s">
        <v>99</v>
      </c>
      <c r="I2211" t="s">
        <v>15</v>
      </c>
      <c r="J2211" t="s">
        <v>18</v>
      </c>
      <c r="K2211" t="s">
        <v>3</v>
      </c>
      <c r="L2211" s="36">
        <f ca="1">IF(C2211&lt;&gt;"Yes",0,IF(A2211=2025,N('2025'!D207),IF(A2211=2026,N('2026'!D207),IF(A2211=2027,N('2027'!D207),IF(A2211=2028,N('2028'!D207),IF(A2211=2029,N('2029'!D207),IF(A2211=2030,N('2030'!D207),IF(A2211=2031,N('2031'!D207),IF(A2211=2032,N('2032'!D207),IF(A2211=2033,N('2033'!D207),IF(A2211=2034,N('2034'!D207),IFERROR(N(INDIRECT("'"&amp;A2211&amp;"'!D"&amp;G2211)),0))))))))))))</f>
        <v>0</v>
      </c>
      <c r="M2211" s="36">
        <f>IFERROR(IF(NOT(ISBLANK(KPI_TARGETS!$P$10)),KPI_TARGETS!$P$10,IF(NOT(ISBLANK(KPI_TARGETS!$F$10)),KPI_TARGETS!$F$10,"")),"")</f>
        <v>0</v>
      </c>
      <c r="N2211" s="36" t="str">
        <f>IFERROR(KPI_TARGETS!$E$10,"Higher is better")</f>
        <v>Lower is better</v>
      </c>
      <c r="O2211" s="37">
        <f t="shared" ca="1" si="204"/>
        <v>1</v>
      </c>
      <c r="P2211" t="str">
        <f t="shared" ca="1" si="205"/>
        <v>Green</v>
      </c>
      <c r="Q2211" s="36">
        <f t="shared" ca="1" si="206"/>
        <v>0</v>
      </c>
      <c r="R2211" s="36" t="str">
        <f>""</f>
        <v/>
      </c>
      <c r="S2211" s="36" t="str">
        <f>""</f>
        <v/>
      </c>
      <c r="T2211" s="36" t="str">
        <f>""</f>
        <v/>
      </c>
      <c r="U2211" s="36" t="str">
        <f>""</f>
        <v/>
      </c>
      <c r="V2211" s="36" t="str">
        <f>""</f>
        <v/>
      </c>
      <c r="W2211" s="36">
        <f t="shared" si="207"/>
        <v>1</v>
      </c>
      <c r="X2211" t="str">
        <f t="shared" si="208"/>
        <v>Inactive</v>
      </c>
      <c r="Y2211" t="str">
        <f>IF(MAIN!$H$3="Selected Year",IF(A2211=MAIN!$B$3,"Yes","No"),IF(MAIN!$H$3="Included Years",IF(D2211="Yes","Yes","No"),IF(C2211="Yes","Yes","No")))</f>
        <v>No</v>
      </c>
      <c r="Z2211" t="str">
        <f>IF(MAIN!$F$3="Project to Date",IF(AND(A2211&gt;=SETTINGS!$B$4,A2211&lt;MAIN!$B$3),"Yes",IF(AND(A2211=MAIN!$B$3,E2211&lt;=MAIN!$L$3),"Yes","No")),IF(OR(MAIN!$F$3="Full Year",MAIN!$D$3="All"),"Yes",IF(MAIN!$F$3="Monthly",IF(E2211=MAIN!$L$3,"Yes","No"),IF(E2211&lt;=MAIN!$L$3,"Yes","No"))))</f>
        <v>Yes</v>
      </c>
      <c r="AA2211" t="str">
        <f t="shared" si="209"/>
        <v>No</v>
      </c>
    </row>
    <row r="2212" spans="1:27" x14ac:dyDescent="0.3">
      <c r="A2212">
        <f>INDEX(SETTINGS!$A$15:$A$24,$B2212)</f>
        <v>2034</v>
      </c>
      <c r="B2212">
        <v>10</v>
      </c>
      <c r="C2212" t="str">
        <f>IF(AND(A2212&gt;=SETTINGS!$B$4,A2212&lt;=SETTINGS!$B$5),"Yes","No")</f>
        <v>No</v>
      </c>
      <c r="D2212" t="str">
        <f>IFERROR(INDEX(SETTINGS!$C$15:$C$24,MATCH(A2212,SETTINGS!$A$15:$A$24,0)),"No")</f>
        <v>No</v>
      </c>
      <c r="E2212">
        <v>9</v>
      </c>
      <c r="F2212" t="s">
        <v>42</v>
      </c>
      <c r="G2212">
        <v>208</v>
      </c>
      <c r="H2212" t="s">
        <v>100</v>
      </c>
      <c r="I2212" t="s">
        <v>15</v>
      </c>
      <c r="J2212" t="s">
        <v>19</v>
      </c>
      <c r="K2212" t="s">
        <v>3</v>
      </c>
      <c r="L2212" s="36">
        <f ca="1">IF(C2212&lt;&gt;"Yes",0,IF(A2212=2025,N('2025'!D208),IF(A2212=2026,N('2026'!D208),IF(A2212=2027,N('2027'!D208),IF(A2212=2028,N('2028'!D208),IF(A2212=2029,N('2029'!D208),IF(A2212=2030,N('2030'!D208),IF(A2212=2031,N('2031'!D208),IF(A2212=2032,N('2032'!D208),IF(A2212=2033,N('2033'!D208),IF(A2212=2034,N('2034'!D208),IFERROR(N(INDIRECT("'"&amp;A2212&amp;"'!D"&amp;G2212)),0))))))))))))</f>
        <v>0</v>
      </c>
      <c r="M2212" s="36">
        <f>IFERROR(IF(NOT(ISBLANK(KPI_TARGETS!$P$11)),KPI_TARGETS!$P$11,IF(NOT(ISBLANK(KPI_TARGETS!$F$11)),KPI_TARGETS!$F$11,"")),"")</f>
        <v>0</v>
      </c>
      <c r="N2212" s="36" t="str">
        <f>IFERROR(KPI_TARGETS!$E$11,"Higher is better")</f>
        <v>Lower is better</v>
      </c>
      <c r="O2212" s="37">
        <f t="shared" ca="1" si="204"/>
        <v>1</v>
      </c>
      <c r="P2212" t="str">
        <f t="shared" ca="1" si="205"/>
        <v>Green</v>
      </c>
      <c r="Q2212" s="36">
        <f t="shared" ca="1" si="206"/>
        <v>0</v>
      </c>
      <c r="R2212" s="36" t="str">
        <f>""</f>
        <v/>
      </c>
      <c r="S2212" s="36" t="str">
        <f>""</f>
        <v/>
      </c>
      <c r="T2212" s="36" t="str">
        <f>""</f>
        <v/>
      </c>
      <c r="U2212" s="36" t="str">
        <f>""</f>
        <v/>
      </c>
      <c r="V2212" s="36" t="str">
        <f>""</f>
        <v/>
      </c>
      <c r="W2212" s="36">
        <f t="shared" si="207"/>
        <v>1</v>
      </c>
      <c r="X2212" t="str">
        <f t="shared" si="208"/>
        <v>Inactive</v>
      </c>
      <c r="Y2212" t="str">
        <f>IF(MAIN!$H$3="Selected Year",IF(A2212=MAIN!$B$3,"Yes","No"),IF(MAIN!$H$3="Included Years",IF(D2212="Yes","Yes","No"),IF(C2212="Yes","Yes","No")))</f>
        <v>No</v>
      </c>
      <c r="Z2212" t="str">
        <f>IF(MAIN!$F$3="Project to Date",IF(AND(A2212&gt;=SETTINGS!$B$4,A2212&lt;MAIN!$B$3),"Yes",IF(AND(A2212=MAIN!$B$3,E2212&lt;=MAIN!$L$3),"Yes","No")),IF(OR(MAIN!$F$3="Full Year",MAIN!$D$3="All"),"Yes",IF(MAIN!$F$3="Monthly",IF(E2212=MAIN!$L$3,"Yes","No"),IF(E2212&lt;=MAIN!$L$3,"Yes","No"))))</f>
        <v>Yes</v>
      </c>
      <c r="AA2212" t="str">
        <f t="shared" si="209"/>
        <v>No</v>
      </c>
    </row>
    <row r="2213" spans="1:27" x14ac:dyDescent="0.3">
      <c r="A2213">
        <f>INDEX(SETTINGS!$A$15:$A$24,$B2213)</f>
        <v>2034</v>
      </c>
      <c r="B2213">
        <v>10</v>
      </c>
      <c r="C2213" t="str">
        <f>IF(AND(A2213&gt;=SETTINGS!$B$4,A2213&lt;=SETTINGS!$B$5),"Yes","No")</f>
        <v>No</v>
      </c>
      <c r="D2213" t="str">
        <f>IFERROR(INDEX(SETTINGS!$C$15:$C$24,MATCH(A2213,SETTINGS!$A$15:$A$24,0)),"No")</f>
        <v>No</v>
      </c>
      <c r="E2213">
        <v>9</v>
      </c>
      <c r="F2213" t="s">
        <v>42</v>
      </c>
      <c r="G2213">
        <v>209</v>
      </c>
      <c r="H2213" t="s">
        <v>101</v>
      </c>
      <c r="I2213" t="s">
        <v>15</v>
      </c>
      <c r="J2213" t="s">
        <v>20</v>
      </c>
      <c r="K2213" t="s">
        <v>3</v>
      </c>
      <c r="L2213" s="36">
        <f ca="1">IF(C2213&lt;&gt;"Yes",0,IF(A2213=2025,N('2025'!D209),IF(A2213=2026,N('2026'!D209),IF(A2213=2027,N('2027'!D209),IF(A2213=2028,N('2028'!D209),IF(A2213=2029,N('2029'!D209),IF(A2213=2030,N('2030'!D209),IF(A2213=2031,N('2031'!D209),IF(A2213=2032,N('2032'!D209),IF(A2213=2033,N('2033'!D209),IF(A2213=2034,N('2034'!D209),IFERROR(N(INDIRECT("'"&amp;A2213&amp;"'!D"&amp;G2213)),0))))))))))))</f>
        <v>0</v>
      </c>
      <c r="M2213" s="36">
        <f>IFERROR(IF(NOT(ISBLANK(KPI_TARGETS!$P$12)),KPI_TARGETS!$P$12,IF(NOT(ISBLANK(KPI_TARGETS!$F$12)),KPI_TARGETS!$F$12,"")),"")</f>
        <v>0</v>
      </c>
      <c r="N2213" s="36" t="str">
        <f>IFERROR(KPI_TARGETS!$E$12,"Higher is better")</f>
        <v>Lower is better</v>
      </c>
      <c r="O2213" s="37">
        <f t="shared" ca="1" si="204"/>
        <v>1</v>
      </c>
      <c r="P2213" t="str">
        <f t="shared" ca="1" si="205"/>
        <v>Green</v>
      </c>
      <c r="Q2213" s="36">
        <f t="shared" ca="1" si="206"/>
        <v>0</v>
      </c>
      <c r="R2213" s="36" t="str">
        <f>""</f>
        <v/>
      </c>
      <c r="S2213" s="36" t="str">
        <f>""</f>
        <v/>
      </c>
      <c r="T2213" s="36" t="str">
        <f>""</f>
        <v/>
      </c>
      <c r="U2213" s="36" t="str">
        <f>""</f>
        <v/>
      </c>
      <c r="V2213" s="36" t="str">
        <f>""</f>
        <v/>
      </c>
      <c r="W2213" s="36">
        <f t="shared" si="207"/>
        <v>1</v>
      </c>
      <c r="X2213" t="str">
        <f t="shared" si="208"/>
        <v>Inactive</v>
      </c>
      <c r="Y2213" t="str">
        <f>IF(MAIN!$H$3="Selected Year",IF(A2213=MAIN!$B$3,"Yes","No"),IF(MAIN!$H$3="Included Years",IF(D2213="Yes","Yes","No"),IF(C2213="Yes","Yes","No")))</f>
        <v>No</v>
      </c>
      <c r="Z2213" t="str">
        <f>IF(MAIN!$F$3="Project to Date",IF(AND(A2213&gt;=SETTINGS!$B$4,A2213&lt;MAIN!$B$3),"Yes",IF(AND(A2213=MAIN!$B$3,E2213&lt;=MAIN!$L$3),"Yes","No")),IF(OR(MAIN!$F$3="Full Year",MAIN!$D$3="All"),"Yes",IF(MAIN!$F$3="Monthly",IF(E2213=MAIN!$L$3,"Yes","No"),IF(E2213&lt;=MAIN!$L$3,"Yes","No"))))</f>
        <v>Yes</v>
      </c>
      <c r="AA2213" t="str">
        <f t="shared" si="209"/>
        <v>No</v>
      </c>
    </row>
    <row r="2214" spans="1:27" x14ac:dyDescent="0.3">
      <c r="A2214">
        <f>INDEX(SETTINGS!$A$15:$A$24,$B2214)</f>
        <v>2034</v>
      </c>
      <c r="B2214">
        <v>10</v>
      </c>
      <c r="C2214" t="str">
        <f>IF(AND(A2214&gt;=SETTINGS!$B$4,A2214&lt;=SETTINGS!$B$5),"Yes","No")</f>
        <v>No</v>
      </c>
      <c r="D2214" t="str">
        <f>IFERROR(INDEX(SETTINGS!$C$15:$C$24,MATCH(A2214,SETTINGS!$A$15:$A$24,0)),"No")</f>
        <v>No</v>
      </c>
      <c r="E2214">
        <v>9</v>
      </c>
      <c r="F2214" t="s">
        <v>42</v>
      </c>
      <c r="G2214">
        <v>210</v>
      </c>
      <c r="H2214" t="s">
        <v>102</v>
      </c>
      <c r="I2214" t="s">
        <v>15</v>
      </c>
      <c r="J2214" t="s">
        <v>21</v>
      </c>
      <c r="K2214" t="s">
        <v>3</v>
      </c>
      <c r="L2214" s="36">
        <f ca="1">IF(C2214&lt;&gt;"Yes",0,IF(A2214=2025,N('2025'!D210),IF(A2214=2026,N('2026'!D210),IF(A2214=2027,N('2027'!D210),IF(A2214=2028,N('2028'!D210),IF(A2214=2029,N('2029'!D210),IF(A2214=2030,N('2030'!D210),IF(A2214=2031,N('2031'!D210),IF(A2214=2032,N('2032'!D210),IF(A2214=2033,N('2033'!D210),IF(A2214=2034,N('2034'!D210),IFERROR(N(INDIRECT("'"&amp;A2214&amp;"'!D"&amp;G2214)),0))))))))))))</f>
        <v>0</v>
      </c>
      <c r="M2214" s="36">
        <f>IFERROR(IF(NOT(ISBLANK(KPI_TARGETS!$P$13)),KPI_TARGETS!$P$13,IF(NOT(ISBLANK(KPI_TARGETS!$F$13)),KPI_TARGETS!$F$13,"")),"")</f>
        <v>0</v>
      </c>
      <c r="N2214" s="36" t="str">
        <f>IFERROR(KPI_TARGETS!$E$13,"Higher is better")</f>
        <v>Lower is better</v>
      </c>
      <c r="O2214" s="37">
        <f t="shared" ca="1" si="204"/>
        <v>1</v>
      </c>
      <c r="P2214" t="str">
        <f t="shared" ca="1" si="205"/>
        <v>Green</v>
      </c>
      <c r="Q2214" s="36">
        <f t="shared" ca="1" si="206"/>
        <v>0</v>
      </c>
      <c r="R2214" s="36" t="str">
        <f>""</f>
        <v/>
      </c>
      <c r="S2214" s="36" t="str">
        <f>""</f>
        <v/>
      </c>
      <c r="T2214" s="36" t="str">
        <f>""</f>
        <v/>
      </c>
      <c r="U2214" s="36" t="str">
        <f>""</f>
        <v/>
      </c>
      <c r="V2214" s="36" t="str">
        <f>""</f>
        <v/>
      </c>
      <c r="W2214" s="36">
        <f t="shared" si="207"/>
        <v>1</v>
      </c>
      <c r="X2214" t="str">
        <f t="shared" si="208"/>
        <v>Inactive</v>
      </c>
      <c r="Y2214" t="str">
        <f>IF(MAIN!$H$3="Selected Year",IF(A2214=MAIN!$B$3,"Yes","No"),IF(MAIN!$H$3="Included Years",IF(D2214="Yes","Yes","No"),IF(C2214="Yes","Yes","No")))</f>
        <v>No</v>
      </c>
      <c r="Z2214" t="str">
        <f>IF(MAIN!$F$3="Project to Date",IF(AND(A2214&gt;=SETTINGS!$B$4,A2214&lt;MAIN!$B$3),"Yes",IF(AND(A2214=MAIN!$B$3,E2214&lt;=MAIN!$L$3),"Yes","No")),IF(OR(MAIN!$F$3="Full Year",MAIN!$D$3="All"),"Yes",IF(MAIN!$F$3="Monthly",IF(E2214=MAIN!$L$3,"Yes","No"),IF(E2214&lt;=MAIN!$L$3,"Yes","No"))))</f>
        <v>Yes</v>
      </c>
      <c r="AA2214" t="str">
        <f t="shared" si="209"/>
        <v>No</v>
      </c>
    </row>
    <row r="2215" spans="1:27" x14ac:dyDescent="0.3">
      <c r="A2215">
        <f>INDEX(SETTINGS!$A$15:$A$24,$B2215)</f>
        <v>2034</v>
      </c>
      <c r="B2215">
        <v>10</v>
      </c>
      <c r="C2215" t="str">
        <f>IF(AND(A2215&gt;=SETTINGS!$B$4,A2215&lt;=SETTINGS!$B$5),"Yes","No")</f>
        <v>No</v>
      </c>
      <c r="D2215" t="str">
        <f>IFERROR(INDEX(SETTINGS!$C$15:$C$24,MATCH(A2215,SETTINGS!$A$15:$A$24,0)),"No")</f>
        <v>No</v>
      </c>
      <c r="E2215">
        <v>9</v>
      </c>
      <c r="F2215" t="s">
        <v>42</v>
      </c>
      <c r="G2215">
        <v>212</v>
      </c>
      <c r="H2215" t="s">
        <v>103</v>
      </c>
      <c r="I2215" t="s">
        <v>22</v>
      </c>
      <c r="J2215" t="s">
        <v>23</v>
      </c>
      <c r="K2215" t="s">
        <v>3</v>
      </c>
      <c r="L2215" s="36">
        <f ca="1">IF(C2215&lt;&gt;"Yes",0,IF(A2215=2025,N('2025'!D212),IF(A2215=2026,N('2026'!D212),IF(A2215=2027,N('2027'!D212),IF(A2215=2028,N('2028'!D212),IF(A2215=2029,N('2029'!D212),IF(A2215=2030,N('2030'!D212),IF(A2215=2031,N('2031'!D212),IF(A2215=2032,N('2032'!D212),IF(A2215=2033,N('2033'!D212),IF(A2215=2034,N('2034'!D212),IFERROR(N(INDIRECT("'"&amp;A2215&amp;"'!D"&amp;G2215)),0))))))))))))</f>
        <v>0</v>
      </c>
      <c r="M2215" s="36">
        <f>IFERROR(IF(NOT(ISBLANK(KPI_TARGETS!$P$14)),KPI_TARGETS!$P$14,IF(NOT(ISBLANK(KPI_TARGETS!$F$14)),KPI_TARGETS!$F$14,"")),"")</f>
        <v>35</v>
      </c>
      <c r="N2215" s="36" t="str">
        <f>IFERROR(KPI_TARGETS!$E$14,"Higher is better")</f>
        <v>Higher is better</v>
      </c>
      <c r="O2215" s="37">
        <f t="shared" ca="1" si="204"/>
        <v>0</v>
      </c>
      <c r="P2215" t="str">
        <f t="shared" ca="1" si="205"/>
        <v>Red</v>
      </c>
      <c r="Q2215" s="36">
        <f t="shared" ca="1" si="206"/>
        <v>-35</v>
      </c>
      <c r="R2215" s="36" t="str">
        <f>""</f>
        <v/>
      </c>
      <c r="S2215" s="36" t="str">
        <f>""</f>
        <v/>
      </c>
      <c r="T2215" s="36" t="str">
        <f>""</f>
        <v/>
      </c>
      <c r="U2215" s="36" t="str">
        <f>""</f>
        <v/>
      </c>
      <c r="V2215" s="36" t="str">
        <f>""</f>
        <v/>
      </c>
      <c r="W2215" s="36">
        <f t="shared" si="207"/>
        <v>1</v>
      </c>
      <c r="X2215" t="str">
        <f t="shared" si="208"/>
        <v>Inactive</v>
      </c>
      <c r="Y2215" t="str">
        <f>IF(MAIN!$H$3="Selected Year",IF(A2215=MAIN!$B$3,"Yes","No"),IF(MAIN!$H$3="Included Years",IF(D2215="Yes","Yes","No"),IF(C2215="Yes","Yes","No")))</f>
        <v>No</v>
      </c>
      <c r="Z2215" t="str">
        <f>IF(MAIN!$F$3="Project to Date",IF(AND(A2215&gt;=SETTINGS!$B$4,A2215&lt;MAIN!$B$3),"Yes",IF(AND(A2215=MAIN!$B$3,E2215&lt;=MAIN!$L$3),"Yes","No")),IF(OR(MAIN!$F$3="Full Year",MAIN!$D$3="All"),"Yes",IF(MAIN!$F$3="Monthly",IF(E2215=MAIN!$L$3,"Yes","No"),IF(E2215&lt;=MAIN!$L$3,"Yes","No"))))</f>
        <v>Yes</v>
      </c>
      <c r="AA2215" t="str">
        <f t="shared" si="209"/>
        <v>No</v>
      </c>
    </row>
    <row r="2216" spans="1:27" x14ac:dyDescent="0.3">
      <c r="A2216">
        <f>INDEX(SETTINGS!$A$15:$A$24,$B2216)</f>
        <v>2034</v>
      </c>
      <c r="B2216">
        <v>10</v>
      </c>
      <c r="C2216" t="str">
        <f>IF(AND(A2216&gt;=SETTINGS!$B$4,A2216&lt;=SETTINGS!$B$5),"Yes","No")</f>
        <v>No</v>
      </c>
      <c r="D2216" t="str">
        <f>IFERROR(INDEX(SETTINGS!$C$15:$C$24,MATCH(A2216,SETTINGS!$A$15:$A$24,0)),"No")</f>
        <v>No</v>
      </c>
      <c r="E2216">
        <v>9</v>
      </c>
      <c r="F2216" t="s">
        <v>42</v>
      </c>
      <c r="G2216">
        <v>213</v>
      </c>
      <c r="H2216" t="s">
        <v>104</v>
      </c>
      <c r="I2216" t="s">
        <v>22</v>
      </c>
      <c r="J2216" t="s">
        <v>24</v>
      </c>
      <c r="K2216" t="s">
        <v>3</v>
      </c>
      <c r="L2216" s="36">
        <f ca="1">IF(C2216&lt;&gt;"Yes",0,IF(A2216=2025,N('2025'!D213),IF(A2216=2026,N('2026'!D213),IF(A2216=2027,N('2027'!D213),IF(A2216=2028,N('2028'!D213),IF(A2216=2029,N('2029'!D213),IF(A2216=2030,N('2030'!D213),IF(A2216=2031,N('2031'!D213),IF(A2216=2032,N('2032'!D213),IF(A2216=2033,N('2033'!D213),IF(A2216=2034,N('2034'!D213),IFERROR(N(INDIRECT("'"&amp;A2216&amp;"'!D"&amp;G2216)),0))))))))))))</f>
        <v>0</v>
      </c>
      <c r="M2216" s="36">
        <f>IFERROR(IF(NOT(ISBLANK(KPI_TARGETS!$P$15)),KPI_TARGETS!$P$15,IF(NOT(ISBLANK(KPI_TARGETS!$F$15)),KPI_TARGETS!$F$15,"")),"")</f>
        <v>5</v>
      </c>
      <c r="N2216" s="36" t="str">
        <f>IFERROR(KPI_TARGETS!$E$15,"Higher is better")</f>
        <v>Higher is better</v>
      </c>
      <c r="O2216" s="37">
        <f t="shared" ca="1" si="204"/>
        <v>0</v>
      </c>
      <c r="P2216" t="str">
        <f t="shared" ca="1" si="205"/>
        <v>Red</v>
      </c>
      <c r="Q2216" s="36">
        <f t="shared" ca="1" si="206"/>
        <v>-5</v>
      </c>
      <c r="R2216" s="36" t="str">
        <f>""</f>
        <v/>
      </c>
      <c r="S2216" s="36" t="str">
        <f>""</f>
        <v/>
      </c>
      <c r="T2216" s="36" t="str">
        <f>""</f>
        <v/>
      </c>
      <c r="U2216" s="36" t="str">
        <f>""</f>
        <v/>
      </c>
      <c r="V2216" s="36" t="str">
        <f>""</f>
        <v/>
      </c>
      <c r="W2216" s="36">
        <f t="shared" si="207"/>
        <v>1</v>
      </c>
      <c r="X2216" t="str">
        <f t="shared" si="208"/>
        <v>Inactive</v>
      </c>
      <c r="Y2216" t="str">
        <f>IF(MAIN!$H$3="Selected Year",IF(A2216=MAIN!$B$3,"Yes","No"),IF(MAIN!$H$3="Included Years",IF(D2216="Yes","Yes","No"),IF(C2216="Yes","Yes","No")))</f>
        <v>No</v>
      </c>
      <c r="Z2216" t="str">
        <f>IF(MAIN!$F$3="Project to Date",IF(AND(A2216&gt;=SETTINGS!$B$4,A2216&lt;MAIN!$B$3),"Yes",IF(AND(A2216=MAIN!$B$3,E2216&lt;=MAIN!$L$3),"Yes","No")),IF(OR(MAIN!$F$3="Full Year",MAIN!$D$3="All"),"Yes",IF(MAIN!$F$3="Monthly",IF(E2216=MAIN!$L$3,"Yes","No"),IF(E2216&lt;=MAIN!$L$3,"Yes","No"))))</f>
        <v>Yes</v>
      </c>
      <c r="AA2216" t="str">
        <f t="shared" si="209"/>
        <v>No</v>
      </c>
    </row>
    <row r="2217" spans="1:27" x14ac:dyDescent="0.3">
      <c r="A2217">
        <f>INDEX(SETTINGS!$A$15:$A$24,$B2217)</f>
        <v>2034</v>
      </c>
      <c r="B2217">
        <v>10</v>
      </c>
      <c r="C2217" t="str">
        <f>IF(AND(A2217&gt;=SETTINGS!$B$4,A2217&lt;=SETTINGS!$B$5),"Yes","No")</f>
        <v>No</v>
      </c>
      <c r="D2217" t="str">
        <f>IFERROR(INDEX(SETTINGS!$C$15:$C$24,MATCH(A2217,SETTINGS!$A$15:$A$24,0)),"No")</f>
        <v>No</v>
      </c>
      <c r="E2217">
        <v>9</v>
      </c>
      <c r="F2217" t="s">
        <v>42</v>
      </c>
      <c r="G2217">
        <v>214</v>
      </c>
      <c r="H2217" t="s">
        <v>105</v>
      </c>
      <c r="I2217" t="s">
        <v>22</v>
      </c>
      <c r="J2217" t="s">
        <v>25</v>
      </c>
      <c r="K2217" t="s">
        <v>3</v>
      </c>
      <c r="L2217" s="36">
        <f ca="1">IF(C2217&lt;&gt;"Yes",0,IF(A2217=2025,N('2025'!D214),IF(A2217=2026,N('2026'!D214),IF(A2217=2027,N('2027'!D214),IF(A2217=2028,N('2028'!D214),IF(A2217=2029,N('2029'!D214),IF(A2217=2030,N('2030'!D214),IF(A2217=2031,N('2031'!D214),IF(A2217=2032,N('2032'!D214),IF(A2217=2033,N('2033'!D214),IF(A2217=2034,N('2034'!D214),IFERROR(N(INDIRECT("'"&amp;A2217&amp;"'!D"&amp;G2217)),0))))))))))))</f>
        <v>0</v>
      </c>
      <c r="M2217" s="36">
        <f>IFERROR(IF(NOT(ISBLANK(KPI_TARGETS!$P$16)),KPI_TARGETS!$P$16,IF(NOT(ISBLANK(KPI_TARGETS!$F$16)),KPI_TARGETS!$F$16,"")),"")</f>
        <v>4</v>
      </c>
      <c r="N2217" s="36" t="str">
        <f>IFERROR(KPI_TARGETS!$E$16,"Higher is better")</f>
        <v>Higher is better</v>
      </c>
      <c r="O2217" s="37">
        <f t="shared" ca="1" si="204"/>
        <v>0</v>
      </c>
      <c r="P2217" t="str">
        <f t="shared" ca="1" si="205"/>
        <v>Red</v>
      </c>
      <c r="Q2217" s="36">
        <f t="shared" ca="1" si="206"/>
        <v>-4</v>
      </c>
      <c r="R2217" s="36" t="str">
        <f>""</f>
        <v/>
      </c>
      <c r="S2217" s="36" t="str">
        <f>""</f>
        <v/>
      </c>
      <c r="T2217" s="36" t="str">
        <f>""</f>
        <v/>
      </c>
      <c r="U2217" s="36" t="str">
        <f>""</f>
        <v/>
      </c>
      <c r="V2217" s="36" t="str">
        <f>""</f>
        <v/>
      </c>
      <c r="W2217" s="36">
        <f t="shared" si="207"/>
        <v>1</v>
      </c>
      <c r="X2217" t="str">
        <f t="shared" si="208"/>
        <v>Inactive</v>
      </c>
      <c r="Y2217" t="str">
        <f>IF(MAIN!$H$3="Selected Year",IF(A2217=MAIN!$B$3,"Yes","No"),IF(MAIN!$H$3="Included Years",IF(D2217="Yes","Yes","No"),IF(C2217="Yes","Yes","No")))</f>
        <v>No</v>
      </c>
      <c r="Z2217" t="str">
        <f>IF(MAIN!$F$3="Project to Date",IF(AND(A2217&gt;=SETTINGS!$B$4,A2217&lt;MAIN!$B$3),"Yes",IF(AND(A2217=MAIN!$B$3,E2217&lt;=MAIN!$L$3),"Yes","No")),IF(OR(MAIN!$F$3="Full Year",MAIN!$D$3="All"),"Yes",IF(MAIN!$F$3="Monthly",IF(E2217=MAIN!$L$3,"Yes","No"),IF(E2217&lt;=MAIN!$L$3,"Yes","No"))))</f>
        <v>Yes</v>
      </c>
      <c r="AA2217" t="str">
        <f t="shared" si="209"/>
        <v>No</v>
      </c>
    </row>
    <row r="2218" spans="1:27" x14ac:dyDescent="0.3">
      <c r="A2218">
        <f>INDEX(SETTINGS!$A$15:$A$24,$B2218)</f>
        <v>2034</v>
      </c>
      <c r="B2218">
        <v>10</v>
      </c>
      <c r="C2218" t="str">
        <f>IF(AND(A2218&gt;=SETTINGS!$B$4,A2218&lt;=SETTINGS!$B$5),"Yes","No")</f>
        <v>No</v>
      </c>
      <c r="D2218" t="str">
        <f>IFERROR(INDEX(SETTINGS!$C$15:$C$24,MATCH(A2218,SETTINGS!$A$15:$A$24,0)),"No")</f>
        <v>No</v>
      </c>
      <c r="E2218">
        <v>9</v>
      </c>
      <c r="F2218" t="s">
        <v>42</v>
      </c>
      <c r="G2218">
        <v>215</v>
      </c>
      <c r="H2218" t="s">
        <v>106</v>
      </c>
      <c r="I2218" t="s">
        <v>22</v>
      </c>
      <c r="J2218" t="s">
        <v>26</v>
      </c>
      <c r="K2218" t="s">
        <v>3</v>
      </c>
      <c r="L2218" s="36">
        <f ca="1">IF(C2218&lt;&gt;"Yes",0,IF(A2218=2025,N('2025'!D215),IF(A2218=2026,N('2026'!D215),IF(A2218=2027,N('2027'!D215),IF(A2218=2028,N('2028'!D215),IF(A2218=2029,N('2029'!D215),IF(A2218=2030,N('2030'!D215),IF(A2218=2031,N('2031'!D215),IF(A2218=2032,N('2032'!D215),IF(A2218=2033,N('2033'!D215),IF(A2218=2034,N('2034'!D215),IFERROR(N(INDIRECT("'"&amp;A2218&amp;"'!D"&amp;G2218)),0))))))))))))</f>
        <v>0</v>
      </c>
      <c r="M2218" s="36">
        <f>IFERROR(IF(NOT(ISBLANK(KPI_TARGETS!$P$17)),KPI_TARGETS!$P$17,IF(NOT(ISBLANK(KPI_TARGETS!$F$17)),KPI_TARGETS!$F$17,"")),"")</f>
        <v>12</v>
      </c>
      <c r="N2218" s="36" t="str">
        <f>IFERROR(KPI_TARGETS!$E$17,"Higher is better")</f>
        <v>Higher is better</v>
      </c>
      <c r="O2218" s="37">
        <f t="shared" ca="1" si="204"/>
        <v>0</v>
      </c>
      <c r="P2218" t="str">
        <f t="shared" ca="1" si="205"/>
        <v>Red</v>
      </c>
      <c r="Q2218" s="36">
        <f t="shared" ca="1" si="206"/>
        <v>-12</v>
      </c>
      <c r="R2218" s="36" t="str">
        <f>""</f>
        <v/>
      </c>
      <c r="S2218" s="36" t="str">
        <f>""</f>
        <v/>
      </c>
      <c r="T2218" s="36" t="str">
        <f>""</f>
        <v/>
      </c>
      <c r="U2218" s="36" t="str">
        <f>""</f>
        <v/>
      </c>
      <c r="V2218" s="36" t="str">
        <f>""</f>
        <v/>
      </c>
      <c r="W2218" s="36">
        <f t="shared" si="207"/>
        <v>1</v>
      </c>
      <c r="X2218" t="str">
        <f t="shared" si="208"/>
        <v>Inactive</v>
      </c>
      <c r="Y2218" t="str">
        <f>IF(MAIN!$H$3="Selected Year",IF(A2218=MAIN!$B$3,"Yes","No"),IF(MAIN!$H$3="Included Years",IF(D2218="Yes","Yes","No"),IF(C2218="Yes","Yes","No")))</f>
        <v>No</v>
      </c>
      <c r="Z2218" t="str">
        <f>IF(MAIN!$F$3="Project to Date",IF(AND(A2218&gt;=SETTINGS!$B$4,A2218&lt;MAIN!$B$3),"Yes",IF(AND(A2218=MAIN!$B$3,E2218&lt;=MAIN!$L$3),"Yes","No")),IF(OR(MAIN!$F$3="Full Year",MAIN!$D$3="All"),"Yes",IF(MAIN!$F$3="Monthly",IF(E2218=MAIN!$L$3,"Yes","No"),IF(E2218&lt;=MAIN!$L$3,"Yes","No"))))</f>
        <v>Yes</v>
      </c>
      <c r="AA2218" t="str">
        <f t="shared" si="209"/>
        <v>No</v>
      </c>
    </row>
    <row r="2219" spans="1:27" x14ac:dyDescent="0.3">
      <c r="A2219">
        <f>INDEX(SETTINGS!$A$15:$A$24,$B2219)</f>
        <v>2034</v>
      </c>
      <c r="B2219">
        <v>10</v>
      </c>
      <c r="C2219" t="str">
        <f>IF(AND(A2219&gt;=SETTINGS!$B$4,A2219&lt;=SETTINGS!$B$5),"Yes","No")</f>
        <v>No</v>
      </c>
      <c r="D2219" t="str">
        <f>IFERROR(INDEX(SETTINGS!$C$15:$C$24,MATCH(A2219,SETTINGS!$A$15:$A$24,0)),"No")</f>
        <v>No</v>
      </c>
      <c r="E2219">
        <v>9</v>
      </c>
      <c r="F2219" t="s">
        <v>42</v>
      </c>
      <c r="G2219">
        <v>216</v>
      </c>
      <c r="H2219" t="s">
        <v>107</v>
      </c>
      <c r="I2219" t="s">
        <v>22</v>
      </c>
      <c r="J2219" t="s">
        <v>27</v>
      </c>
      <c r="K2219" t="s">
        <v>3</v>
      </c>
      <c r="L2219" s="36">
        <f ca="1">IF(C2219&lt;&gt;"Yes",0,IF(A2219=2025,N('2025'!D216),IF(A2219=2026,N('2026'!D216),IF(A2219=2027,N('2027'!D216),IF(A2219=2028,N('2028'!D216),IF(A2219=2029,N('2029'!D216),IF(A2219=2030,N('2030'!D216),IF(A2219=2031,N('2031'!D216),IF(A2219=2032,N('2032'!D216),IF(A2219=2033,N('2033'!D216),IF(A2219=2034,N('2034'!D216),IFERROR(N(INDIRECT("'"&amp;A2219&amp;"'!D"&amp;G2219)),0))))))))))))</f>
        <v>0</v>
      </c>
      <c r="M2219" s="36">
        <f>IFERROR(IF(NOT(ISBLANK(KPI_TARGETS!$P$18)),KPI_TARGETS!$P$18,IF(NOT(ISBLANK(KPI_TARGETS!$F$18)),KPI_TARGETS!$F$18,"")),"")</f>
        <v>4</v>
      </c>
      <c r="N2219" s="36" t="str">
        <f>IFERROR(KPI_TARGETS!$E$18,"Higher is better")</f>
        <v>Higher is better</v>
      </c>
      <c r="O2219" s="37">
        <f t="shared" ca="1" si="204"/>
        <v>0</v>
      </c>
      <c r="P2219" t="str">
        <f t="shared" ca="1" si="205"/>
        <v>Red</v>
      </c>
      <c r="Q2219" s="36">
        <f t="shared" ca="1" si="206"/>
        <v>-4</v>
      </c>
      <c r="R2219" s="36" t="str">
        <f>""</f>
        <v/>
      </c>
      <c r="S2219" s="36" t="str">
        <f>""</f>
        <v/>
      </c>
      <c r="T2219" s="36" t="str">
        <f>""</f>
        <v/>
      </c>
      <c r="U2219" s="36" t="str">
        <f>""</f>
        <v/>
      </c>
      <c r="V2219" s="36" t="str">
        <f>""</f>
        <v/>
      </c>
      <c r="W2219" s="36">
        <f t="shared" si="207"/>
        <v>1</v>
      </c>
      <c r="X2219" t="str">
        <f t="shared" si="208"/>
        <v>Inactive</v>
      </c>
      <c r="Y2219" t="str">
        <f>IF(MAIN!$H$3="Selected Year",IF(A2219=MAIN!$B$3,"Yes","No"),IF(MAIN!$H$3="Included Years",IF(D2219="Yes","Yes","No"),IF(C2219="Yes","Yes","No")))</f>
        <v>No</v>
      </c>
      <c r="Z2219" t="str">
        <f>IF(MAIN!$F$3="Project to Date",IF(AND(A2219&gt;=SETTINGS!$B$4,A2219&lt;MAIN!$B$3),"Yes",IF(AND(A2219=MAIN!$B$3,E2219&lt;=MAIN!$L$3),"Yes","No")),IF(OR(MAIN!$F$3="Full Year",MAIN!$D$3="All"),"Yes",IF(MAIN!$F$3="Monthly",IF(E2219=MAIN!$L$3,"Yes","No"),IF(E2219&lt;=MAIN!$L$3,"Yes","No"))))</f>
        <v>Yes</v>
      </c>
      <c r="AA2219" t="str">
        <f t="shared" si="209"/>
        <v>No</v>
      </c>
    </row>
    <row r="2220" spans="1:27" x14ac:dyDescent="0.3">
      <c r="A2220">
        <f>INDEX(SETTINGS!$A$15:$A$24,$B2220)</f>
        <v>2034</v>
      </c>
      <c r="B2220">
        <v>10</v>
      </c>
      <c r="C2220" t="str">
        <f>IF(AND(A2220&gt;=SETTINGS!$B$4,A2220&lt;=SETTINGS!$B$5),"Yes","No")</f>
        <v>No</v>
      </c>
      <c r="D2220" t="str">
        <f>IFERROR(INDEX(SETTINGS!$C$15:$C$24,MATCH(A2220,SETTINGS!$A$15:$A$24,0)),"No")</f>
        <v>No</v>
      </c>
      <c r="E2220">
        <v>9</v>
      </c>
      <c r="F2220" t="s">
        <v>42</v>
      </c>
      <c r="G2220">
        <v>217</v>
      </c>
      <c r="H2220" t="s">
        <v>108</v>
      </c>
      <c r="I2220" t="s">
        <v>22</v>
      </c>
      <c r="J2220" t="s">
        <v>28</v>
      </c>
      <c r="K2220" t="s">
        <v>3</v>
      </c>
      <c r="L2220" s="36">
        <f ca="1">IF(C2220&lt;&gt;"Yes",0,IF(A2220=2025,N('2025'!D217),IF(A2220=2026,N('2026'!D217),IF(A2220=2027,N('2027'!D217),IF(A2220=2028,N('2028'!D217),IF(A2220=2029,N('2029'!D217),IF(A2220=2030,N('2030'!D217),IF(A2220=2031,N('2031'!D217),IF(A2220=2032,N('2032'!D217),IF(A2220=2033,N('2033'!D217),IF(A2220=2034,N('2034'!D217),IFERROR(N(INDIRECT("'"&amp;A2220&amp;"'!D"&amp;G2220)),0))))))))))))</f>
        <v>0</v>
      </c>
      <c r="M2220" s="36">
        <f>IFERROR(IF(NOT(ISBLANK(KPI_TARGETS!$P$19)),KPI_TARGETS!$P$19,IF(NOT(ISBLANK(KPI_TARGETS!$F$19)),KPI_TARGETS!$F$19,"")),"")</f>
        <v>16</v>
      </c>
      <c r="N2220" s="36" t="str">
        <f>IFERROR(KPI_TARGETS!$E$19,"Higher is better")</f>
        <v>Higher is better</v>
      </c>
      <c r="O2220" s="37">
        <f t="shared" ca="1" si="204"/>
        <v>0</v>
      </c>
      <c r="P2220" t="str">
        <f t="shared" ca="1" si="205"/>
        <v>Red</v>
      </c>
      <c r="Q2220" s="36">
        <f t="shared" ca="1" si="206"/>
        <v>-16</v>
      </c>
      <c r="R2220" s="36" t="str">
        <f>""</f>
        <v/>
      </c>
      <c r="S2220" s="36" t="str">
        <f>""</f>
        <v/>
      </c>
      <c r="T2220" s="36" t="str">
        <f>""</f>
        <v/>
      </c>
      <c r="U2220" s="36" t="str">
        <f>""</f>
        <v/>
      </c>
      <c r="V2220" s="36" t="str">
        <f>""</f>
        <v/>
      </c>
      <c r="W2220" s="36">
        <f t="shared" si="207"/>
        <v>1</v>
      </c>
      <c r="X2220" t="str">
        <f t="shared" si="208"/>
        <v>Inactive</v>
      </c>
      <c r="Y2220" t="str">
        <f>IF(MAIN!$H$3="Selected Year",IF(A2220=MAIN!$B$3,"Yes","No"),IF(MAIN!$H$3="Included Years",IF(D2220="Yes","Yes","No"),IF(C2220="Yes","Yes","No")))</f>
        <v>No</v>
      </c>
      <c r="Z2220" t="str">
        <f>IF(MAIN!$F$3="Project to Date",IF(AND(A2220&gt;=SETTINGS!$B$4,A2220&lt;MAIN!$B$3),"Yes",IF(AND(A2220=MAIN!$B$3,E2220&lt;=MAIN!$L$3),"Yes","No")),IF(OR(MAIN!$F$3="Full Year",MAIN!$D$3="All"),"Yes",IF(MAIN!$F$3="Monthly",IF(E2220=MAIN!$L$3,"Yes","No"),IF(E2220&lt;=MAIN!$L$3,"Yes","No"))))</f>
        <v>Yes</v>
      </c>
      <c r="AA2220" t="str">
        <f t="shared" si="209"/>
        <v>No</v>
      </c>
    </row>
    <row r="2221" spans="1:27" x14ac:dyDescent="0.3">
      <c r="A2221">
        <f>INDEX(SETTINGS!$A$15:$A$24,$B2221)</f>
        <v>2034</v>
      </c>
      <c r="B2221">
        <v>10</v>
      </c>
      <c r="C2221" t="str">
        <f>IF(AND(A2221&gt;=SETTINGS!$B$4,A2221&lt;=SETTINGS!$B$5),"Yes","No")</f>
        <v>No</v>
      </c>
      <c r="D2221" t="str">
        <f>IFERROR(INDEX(SETTINGS!$C$15:$C$24,MATCH(A2221,SETTINGS!$A$15:$A$24,0)),"No")</f>
        <v>No</v>
      </c>
      <c r="E2221">
        <v>9</v>
      </c>
      <c r="F2221" t="s">
        <v>42</v>
      </c>
      <c r="G2221">
        <v>218</v>
      </c>
      <c r="H2221" t="s">
        <v>109</v>
      </c>
      <c r="I2221" t="s">
        <v>22</v>
      </c>
      <c r="J2221" t="s">
        <v>29</v>
      </c>
      <c r="K2221" t="s">
        <v>3</v>
      </c>
      <c r="L2221" s="36">
        <f ca="1">IF(C2221&lt;&gt;"Yes",0,IF(A2221=2025,N('2025'!D218),IF(A2221=2026,N('2026'!D218),IF(A2221=2027,N('2027'!D218),IF(A2221=2028,N('2028'!D218),IF(A2221=2029,N('2029'!D218),IF(A2221=2030,N('2030'!D218),IF(A2221=2031,N('2031'!D218),IF(A2221=2032,N('2032'!D218),IF(A2221=2033,N('2033'!D218),IF(A2221=2034,N('2034'!D218),IFERROR(N(INDIRECT("'"&amp;A2221&amp;"'!D"&amp;G2221)),0))))))))))))</f>
        <v>0</v>
      </c>
      <c r="M2221" s="36">
        <f>IFERROR(IF(NOT(ISBLANK(KPI_TARGETS!$P$20)),KPI_TARGETS!$P$20,IF(NOT(ISBLANK(KPI_TARGETS!$F$20)),KPI_TARGETS!$F$20,"")),"")</f>
        <v>1</v>
      </c>
      <c r="N2221" s="36" t="str">
        <f>IFERROR(KPI_TARGETS!$E$20,"Higher is better")</f>
        <v>Higher is better</v>
      </c>
      <c r="O2221" s="37">
        <f t="shared" ca="1" si="204"/>
        <v>0</v>
      </c>
      <c r="P2221" t="str">
        <f t="shared" ca="1" si="205"/>
        <v>Red</v>
      </c>
      <c r="Q2221" s="36">
        <f t="shared" ca="1" si="206"/>
        <v>-1</v>
      </c>
      <c r="R2221" s="36" t="str">
        <f>""</f>
        <v/>
      </c>
      <c r="S2221" s="36" t="str">
        <f>""</f>
        <v/>
      </c>
      <c r="T2221" s="36" t="str">
        <f>""</f>
        <v/>
      </c>
      <c r="U2221" s="36" t="str">
        <f>""</f>
        <v/>
      </c>
      <c r="V2221" s="36" t="str">
        <f>""</f>
        <v/>
      </c>
      <c r="W2221" s="36">
        <f t="shared" si="207"/>
        <v>1</v>
      </c>
      <c r="X2221" t="str">
        <f t="shared" si="208"/>
        <v>Inactive</v>
      </c>
      <c r="Y2221" t="str">
        <f>IF(MAIN!$H$3="Selected Year",IF(A2221=MAIN!$B$3,"Yes","No"),IF(MAIN!$H$3="Included Years",IF(D2221="Yes","Yes","No"),IF(C2221="Yes","Yes","No")))</f>
        <v>No</v>
      </c>
      <c r="Z2221" t="str">
        <f>IF(MAIN!$F$3="Project to Date",IF(AND(A2221&gt;=SETTINGS!$B$4,A2221&lt;MAIN!$B$3),"Yes",IF(AND(A2221=MAIN!$B$3,E2221&lt;=MAIN!$L$3),"Yes","No")),IF(OR(MAIN!$F$3="Full Year",MAIN!$D$3="All"),"Yes",IF(MAIN!$F$3="Monthly",IF(E2221=MAIN!$L$3,"Yes","No"),IF(E2221&lt;=MAIN!$L$3,"Yes","No"))))</f>
        <v>Yes</v>
      </c>
      <c r="AA2221" t="str">
        <f t="shared" si="209"/>
        <v>No</v>
      </c>
    </row>
    <row r="2222" spans="1:27" x14ac:dyDescent="0.3">
      <c r="A2222">
        <f>INDEX(SETTINGS!$A$15:$A$24,$B2222)</f>
        <v>2034</v>
      </c>
      <c r="B2222">
        <v>10</v>
      </c>
      <c r="C2222" t="str">
        <f>IF(AND(A2222&gt;=SETTINGS!$B$4,A2222&lt;=SETTINGS!$B$5),"Yes","No")</f>
        <v>No</v>
      </c>
      <c r="D2222" t="str">
        <f>IFERROR(INDEX(SETTINGS!$C$15:$C$24,MATCH(A2222,SETTINGS!$A$15:$A$24,0)),"No")</f>
        <v>No</v>
      </c>
      <c r="E2222">
        <v>9</v>
      </c>
      <c r="F2222" t="s">
        <v>42</v>
      </c>
      <c r="G2222">
        <v>220</v>
      </c>
      <c r="H2222" t="s">
        <v>110</v>
      </c>
      <c r="I2222" t="s">
        <v>30</v>
      </c>
      <c r="J2222" t="s">
        <v>31</v>
      </c>
      <c r="K2222" t="s">
        <v>3</v>
      </c>
      <c r="L2222" s="36">
        <f ca="1">IF(C2222&lt;&gt;"Yes",0,IF(A2222=2025,N('2025'!D220),IF(A2222=2026,N('2026'!D220),IF(A2222=2027,N('2027'!D220),IF(A2222=2028,N('2028'!D220),IF(A2222=2029,N('2029'!D220),IF(A2222=2030,N('2030'!D220),IF(A2222=2031,N('2031'!D220),IF(A2222=2032,N('2032'!D220),IF(A2222=2033,N('2033'!D220),IF(A2222=2034,N('2034'!D220),IFERROR(N(INDIRECT("'"&amp;A2222&amp;"'!D"&amp;G2222)),0))))))))))))</f>
        <v>0</v>
      </c>
      <c r="M2222" s="36">
        <f>IFERROR(IF(NOT(ISBLANK(KPI_TARGETS!$P$21)),KPI_TARGETS!$P$21,IF(NOT(ISBLANK(KPI_TARGETS!$F$21)),KPI_TARGETS!$F$21,"")),"")</f>
        <v>0</v>
      </c>
      <c r="N2222" s="36" t="str">
        <f>IFERROR(KPI_TARGETS!$E$21,"Higher is better")</f>
        <v>Lower is better</v>
      </c>
      <c r="O2222" s="37">
        <f t="shared" ca="1" si="204"/>
        <v>1</v>
      </c>
      <c r="P2222" t="str">
        <f t="shared" ca="1" si="205"/>
        <v>Green</v>
      </c>
      <c r="Q2222" s="36">
        <f t="shared" ca="1" si="206"/>
        <v>0</v>
      </c>
      <c r="R2222" s="36" t="str">
        <f>""</f>
        <v/>
      </c>
      <c r="S2222" s="36" t="str">
        <f>""</f>
        <v/>
      </c>
      <c r="T2222" s="36" t="str">
        <f>""</f>
        <v/>
      </c>
      <c r="U2222" s="36" t="str">
        <f>""</f>
        <v/>
      </c>
      <c r="V2222" s="36" t="str">
        <f>""</f>
        <v/>
      </c>
      <c r="W2222" s="36">
        <f t="shared" si="207"/>
        <v>1</v>
      </c>
      <c r="X2222" t="str">
        <f t="shared" si="208"/>
        <v>Inactive</v>
      </c>
      <c r="Y2222" t="str">
        <f>IF(MAIN!$H$3="Selected Year",IF(A2222=MAIN!$B$3,"Yes","No"),IF(MAIN!$H$3="Included Years",IF(D2222="Yes","Yes","No"),IF(C2222="Yes","Yes","No")))</f>
        <v>No</v>
      </c>
      <c r="Z2222" t="str">
        <f>IF(MAIN!$F$3="Project to Date",IF(AND(A2222&gt;=SETTINGS!$B$4,A2222&lt;MAIN!$B$3),"Yes",IF(AND(A2222=MAIN!$B$3,E2222&lt;=MAIN!$L$3),"Yes","No")),IF(OR(MAIN!$F$3="Full Year",MAIN!$D$3="All"),"Yes",IF(MAIN!$F$3="Monthly",IF(E2222=MAIN!$L$3,"Yes","No"),IF(E2222&lt;=MAIN!$L$3,"Yes","No"))))</f>
        <v>Yes</v>
      </c>
      <c r="AA2222" t="str">
        <f t="shared" si="209"/>
        <v>No</v>
      </c>
    </row>
    <row r="2223" spans="1:27" x14ac:dyDescent="0.3">
      <c r="A2223">
        <f>INDEX(SETTINGS!$A$15:$A$24,$B2223)</f>
        <v>2034</v>
      </c>
      <c r="B2223">
        <v>10</v>
      </c>
      <c r="C2223" t="str">
        <f>IF(AND(A2223&gt;=SETTINGS!$B$4,A2223&lt;=SETTINGS!$B$5),"Yes","No")</f>
        <v>No</v>
      </c>
      <c r="D2223" t="str">
        <f>IFERROR(INDEX(SETTINGS!$C$15:$C$24,MATCH(A2223,SETTINGS!$A$15:$A$24,0)),"No")</f>
        <v>No</v>
      </c>
      <c r="E2223">
        <v>9</v>
      </c>
      <c r="F2223" t="s">
        <v>42</v>
      </c>
      <c r="G2223">
        <v>221</v>
      </c>
      <c r="H2223" t="s">
        <v>111</v>
      </c>
      <c r="I2223" t="s">
        <v>30</v>
      </c>
      <c r="J2223" t="s">
        <v>32</v>
      </c>
      <c r="K2223" t="s">
        <v>3</v>
      </c>
      <c r="L2223" s="36">
        <f ca="1">IF(C2223&lt;&gt;"Yes",0,IF(A2223=2025,N('2025'!D221),IF(A2223=2026,N('2026'!D221),IF(A2223=2027,N('2027'!D221),IF(A2223=2028,N('2028'!D221),IF(A2223=2029,N('2029'!D221),IF(A2223=2030,N('2030'!D221),IF(A2223=2031,N('2031'!D221),IF(A2223=2032,N('2032'!D221),IF(A2223=2033,N('2033'!D221),IF(A2223=2034,N('2034'!D221),IFERROR(N(INDIRECT("'"&amp;A2223&amp;"'!D"&amp;G2223)),0))))))))))))</f>
        <v>0</v>
      </c>
      <c r="M2223" s="36">
        <f>IFERROR(IF(NOT(ISBLANK(KPI_TARGETS!$P$22)),KPI_TARGETS!$P$22,IF(NOT(ISBLANK(KPI_TARGETS!$F$22)),KPI_TARGETS!$F$22,"")),"")</f>
        <v>1</v>
      </c>
      <c r="N2223" s="36" t="str">
        <f>IFERROR(KPI_TARGETS!$E$22,"Higher is better")</f>
        <v>Higher is better</v>
      </c>
      <c r="O2223" s="37">
        <f t="shared" ca="1" si="204"/>
        <v>0</v>
      </c>
      <c r="P2223" t="str">
        <f t="shared" ca="1" si="205"/>
        <v>Red</v>
      </c>
      <c r="Q2223" s="36">
        <f t="shared" ca="1" si="206"/>
        <v>-1</v>
      </c>
      <c r="R2223" s="36" t="str">
        <f>""</f>
        <v/>
      </c>
      <c r="S2223" s="36" t="str">
        <f>""</f>
        <v/>
      </c>
      <c r="T2223" s="36" t="str">
        <f>""</f>
        <v/>
      </c>
      <c r="U2223" s="36" t="str">
        <f>""</f>
        <v/>
      </c>
      <c r="V2223" s="36" t="str">
        <f>""</f>
        <v/>
      </c>
      <c r="W2223" s="36">
        <f t="shared" si="207"/>
        <v>1</v>
      </c>
      <c r="X2223" t="str">
        <f t="shared" si="208"/>
        <v>Inactive</v>
      </c>
      <c r="Y2223" t="str">
        <f>IF(MAIN!$H$3="Selected Year",IF(A2223=MAIN!$B$3,"Yes","No"),IF(MAIN!$H$3="Included Years",IF(D2223="Yes","Yes","No"),IF(C2223="Yes","Yes","No")))</f>
        <v>No</v>
      </c>
      <c r="Z2223" t="str">
        <f>IF(MAIN!$F$3="Project to Date",IF(AND(A2223&gt;=SETTINGS!$B$4,A2223&lt;MAIN!$B$3),"Yes",IF(AND(A2223=MAIN!$B$3,E2223&lt;=MAIN!$L$3),"Yes","No")),IF(OR(MAIN!$F$3="Full Year",MAIN!$D$3="All"),"Yes",IF(MAIN!$F$3="Monthly",IF(E2223=MAIN!$L$3,"Yes","No"),IF(E2223&lt;=MAIN!$L$3,"Yes","No"))))</f>
        <v>Yes</v>
      </c>
      <c r="AA2223" t="str">
        <f t="shared" si="209"/>
        <v>No</v>
      </c>
    </row>
    <row r="2224" spans="1:27" x14ac:dyDescent="0.3">
      <c r="A2224">
        <f>INDEX(SETTINGS!$A$15:$A$24,$B2224)</f>
        <v>2034</v>
      </c>
      <c r="B2224">
        <v>10</v>
      </c>
      <c r="C2224" t="str">
        <f>IF(AND(A2224&gt;=SETTINGS!$B$4,A2224&lt;=SETTINGS!$B$5),"Yes","No")</f>
        <v>No</v>
      </c>
      <c r="D2224" t="str">
        <f>IFERROR(INDEX(SETTINGS!$C$15:$C$24,MATCH(A2224,SETTINGS!$A$15:$A$24,0)),"No")</f>
        <v>No</v>
      </c>
      <c r="E2224">
        <v>9</v>
      </c>
      <c r="F2224" t="s">
        <v>42</v>
      </c>
      <c r="G2224">
        <v>222</v>
      </c>
      <c r="H2224" t="s">
        <v>112</v>
      </c>
      <c r="I2224" t="s">
        <v>30</v>
      </c>
      <c r="J2224" t="s">
        <v>33</v>
      </c>
      <c r="K2224" t="s">
        <v>34</v>
      </c>
      <c r="L2224" s="36">
        <f ca="1">IF(C2224&lt;&gt;"Yes",0,IF(A2224=2025,N('2025'!D222),IF(A2224=2026,N('2026'!D222),IF(A2224=2027,N('2027'!D222),IF(A2224=2028,N('2028'!D222),IF(A2224=2029,N('2029'!D222),IF(A2224=2030,N('2030'!D222),IF(A2224=2031,N('2031'!D222),IF(A2224=2032,N('2032'!D222),IF(A2224=2033,N('2033'!D222),IF(A2224=2034,N('2034'!D222),IFERROR(N(INDIRECT("'"&amp;A2224&amp;"'!D"&amp;G2224)),0))))))))))))</f>
        <v>0</v>
      </c>
      <c r="M2224" s="36">
        <f>IFERROR(IF(NOT(ISBLANK(KPI_TARGETS!$P$23)),KPI_TARGETS!$P$23,IF(NOT(ISBLANK(KPI_TARGETS!$F$23)),KPI_TARGETS!$F$23,"")),"")</f>
        <v>1</v>
      </c>
      <c r="N2224" s="36" t="str">
        <f>IFERROR(KPI_TARGETS!$E$23,"Higher is better")</f>
        <v>Higher is better</v>
      </c>
      <c r="O2224" s="37">
        <f t="shared" ca="1" si="204"/>
        <v>0</v>
      </c>
      <c r="P2224" t="str">
        <f t="shared" ca="1" si="205"/>
        <v>Red</v>
      </c>
      <c r="Q2224" s="36">
        <f t="shared" ca="1" si="206"/>
        <v>-1</v>
      </c>
      <c r="R2224" s="36" t="str">
        <f>""</f>
        <v/>
      </c>
      <c r="S2224" s="36" t="str">
        <f>""</f>
        <v/>
      </c>
      <c r="T2224" s="36" t="str">
        <f>""</f>
        <v/>
      </c>
      <c r="U2224" s="36" t="str">
        <f>""</f>
        <v/>
      </c>
      <c r="V2224" s="36" t="str">
        <f>""</f>
        <v/>
      </c>
      <c r="W2224" s="36">
        <f t="shared" si="207"/>
        <v>1</v>
      </c>
      <c r="X2224" t="str">
        <f t="shared" si="208"/>
        <v>Inactive</v>
      </c>
      <c r="Y2224" t="str">
        <f>IF(MAIN!$H$3="Selected Year",IF(A2224=MAIN!$B$3,"Yes","No"),IF(MAIN!$H$3="Included Years",IF(D2224="Yes","Yes","No"),IF(C2224="Yes","Yes","No")))</f>
        <v>No</v>
      </c>
      <c r="Z2224" t="str">
        <f>IF(MAIN!$F$3="Project to Date",IF(AND(A2224&gt;=SETTINGS!$B$4,A2224&lt;MAIN!$B$3),"Yes",IF(AND(A2224=MAIN!$B$3,E2224&lt;=MAIN!$L$3),"Yes","No")),IF(OR(MAIN!$F$3="Full Year",MAIN!$D$3="All"),"Yes",IF(MAIN!$F$3="Monthly",IF(E2224=MAIN!$L$3,"Yes","No"),IF(E2224&lt;=MAIN!$L$3,"Yes","No"))))</f>
        <v>Yes</v>
      </c>
      <c r="AA2224" t="str">
        <f t="shared" si="209"/>
        <v>No</v>
      </c>
    </row>
    <row r="2225" spans="1:27" x14ac:dyDescent="0.3">
      <c r="A2225">
        <f>INDEX(SETTINGS!$A$15:$A$24,$B2225)</f>
        <v>2034</v>
      </c>
      <c r="B2225">
        <v>10</v>
      </c>
      <c r="C2225" t="str">
        <f>IF(AND(A2225&gt;=SETTINGS!$B$4,A2225&lt;=SETTINGS!$B$5),"Yes","No")</f>
        <v>No</v>
      </c>
      <c r="D2225" t="str">
        <f>IFERROR(INDEX(SETTINGS!$C$15:$C$24,MATCH(A2225,SETTINGS!$A$15:$A$24,0)),"No")</f>
        <v>No</v>
      </c>
      <c r="E2225">
        <v>10</v>
      </c>
      <c r="F2225" t="s">
        <v>43</v>
      </c>
      <c r="G2225">
        <v>225</v>
      </c>
      <c r="H2225" t="s">
        <v>88</v>
      </c>
      <c r="I2225" t="s">
        <v>89</v>
      </c>
      <c r="J2225" t="s">
        <v>10</v>
      </c>
      <c r="K2225" t="s">
        <v>3</v>
      </c>
      <c r="L2225" s="36">
        <f ca="1">IF(C2225&lt;&gt;"Yes",0,IF(A2225=2025,N('2025'!D225),IF(A2225=2026,N('2026'!D225),IF(A2225=2027,N('2027'!D225),IF(A2225=2028,N('2028'!D225),IF(A2225=2029,N('2029'!D225),IF(A2225=2030,N('2030'!D225),IF(A2225=2031,N('2031'!D225),IF(A2225=2032,N('2032'!D225),IF(A2225=2033,N('2033'!D225),IF(A2225=2034,N('2034'!D225),IFERROR(N(INDIRECT("'"&amp;A2225&amp;"'!D"&amp;G2225)),0))))))))))))</f>
        <v>0</v>
      </c>
      <c r="M2225" s="36">
        <f>IFERROR(IF(NOT(ISBLANK(KPI_TARGETS!$P$5)),KPI_TARGETS!$P$5,IF(NOT(ISBLANK(KPI_TARGETS!$F$5)),KPI_TARGETS!$F$5,"")),"")</f>
        <v>104</v>
      </c>
      <c r="N2225" s="36" t="str">
        <f>IFERROR(KPI_TARGETS!$E$5,"Higher is better")</f>
        <v>Higher is better</v>
      </c>
      <c r="O2225" s="37">
        <f t="shared" ca="1" si="204"/>
        <v>0</v>
      </c>
      <c r="P2225" t="str">
        <f t="shared" ca="1" si="205"/>
        <v>Red</v>
      </c>
      <c r="Q2225" s="36">
        <f t="shared" ca="1" si="206"/>
        <v>-104</v>
      </c>
      <c r="R2225" s="36" t="str">
        <f>""</f>
        <v/>
      </c>
      <c r="S2225" s="36" t="str">
        <f>""</f>
        <v/>
      </c>
      <c r="T2225" s="36" t="str">
        <f>""</f>
        <v/>
      </c>
      <c r="U2225" s="36" t="str">
        <f>""</f>
        <v/>
      </c>
      <c r="V2225" s="36" t="str">
        <f>""</f>
        <v/>
      </c>
      <c r="W2225" s="36">
        <f t="shared" si="207"/>
        <v>1</v>
      </c>
      <c r="X2225" t="str">
        <f t="shared" si="208"/>
        <v>Inactive</v>
      </c>
      <c r="Y2225" t="str">
        <f>IF(MAIN!$H$3="Selected Year",IF(A2225=MAIN!$B$3,"Yes","No"),IF(MAIN!$H$3="Included Years",IF(D2225="Yes","Yes","No"),IF(C2225="Yes","Yes","No")))</f>
        <v>No</v>
      </c>
      <c r="Z2225" t="str">
        <f>IF(MAIN!$F$3="Project to Date",IF(AND(A2225&gt;=SETTINGS!$B$4,A2225&lt;MAIN!$B$3),"Yes",IF(AND(A2225=MAIN!$B$3,E2225&lt;=MAIN!$L$3),"Yes","No")),IF(OR(MAIN!$F$3="Full Year",MAIN!$D$3="All"),"Yes",IF(MAIN!$F$3="Monthly",IF(E2225=MAIN!$L$3,"Yes","No"),IF(E2225&lt;=MAIN!$L$3,"Yes","No"))))</f>
        <v>Yes</v>
      </c>
      <c r="AA2225" t="str">
        <f t="shared" si="209"/>
        <v>No</v>
      </c>
    </row>
    <row r="2226" spans="1:27" x14ac:dyDescent="0.3">
      <c r="A2226">
        <f>INDEX(SETTINGS!$A$15:$A$24,$B2226)</f>
        <v>2034</v>
      </c>
      <c r="B2226">
        <v>10</v>
      </c>
      <c r="C2226" t="str">
        <f>IF(AND(A2226&gt;=SETTINGS!$B$4,A2226&lt;=SETTINGS!$B$5),"Yes","No")</f>
        <v>No</v>
      </c>
      <c r="D2226" t="str">
        <f>IFERROR(INDEX(SETTINGS!$C$15:$C$24,MATCH(A2226,SETTINGS!$A$15:$A$24,0)),"No")</f>
        <v>No</v>
      </c>
      <c r="E2226">
        <v>10</v>
      </c>
      <c r="F2226" t="s">
        <v>43</v>
      </c>
      <c r="G2226">
        <v>226</v>
      </c>
      <c r="H2226" t="s">
        <v>91</v>
      </c>
      <c r="I2226" t="s">
        <v>89</v>
      </c>
      <c r="J2226" t="s">
        <v>11</v>
      </c>
      <c r="K2226" t="s">
        <v>12</v>
      </c>
      <c r="L2226" s="36">
        <f ca="1">IF(C2226&lt;&gt;"Yes",0,IF(A2226=2025,N('2025'!D226),IF(A2226=2026,N('2026'!D226),IF(A2226=2027,N('2027'!D226),IF(A2226=2028,N('2028'!D226),IF(A2226=2029,N('2029'!D226),IF(A2226=2030,N('2030'!D226),IF(A2226=2031,N('2031'!D226),IF(A2226=2032,N('2032'!D226),IF(A2226=2033,N('2033'!D226),IF(A2226=2034,N('2034'!D226),IFERROR(N(INDIRECT("'"&amp;A2226&amp;"'!D"&amp;G2226)),0))))))))))))</f>
        <v>0</v>
      </c>
      <c r="M2226" s="36">
        <f>IFERROR(IF(NOT(ISBLANK(KPI_TARGETS!$P$6)),KPI_TARGETS!$P$6,IF(NOT(ISBLANK(KPI_TARGETS!$F$6)),KPI_TARGETS!$F$6,"")),"")</f>
        <v>4000</v>
      </c>
      <c r="N2226" s="36" t="str">
        <f>IFERROR(KPI_TARGETS!$E$6,"Higher is better")</f>
        <v>Higher is better</v>
      </c>
      <c r="O2226" s="37">
        <f t="shared" ca="1" si="204"/>
        <v>0</v>
      </c>
      <c r="P2226" t="str">
        <f t="shared" ca="1" si="205"/>
        <v>Red</v>
      </c>
      <c r="Q2226" s="36">
        <f t="shared" ca="1" si="206"/>
        <v>-4000</v>
      </c>
      <c r="R2226" s="36" t="str">
        <f>""</f>
        <v/>
      </c>
      <c r="S2226" s="36" t="str">
        <f>""</f>
        <v/>
      </c>
      <c r="T2226" s="36" t="str">
        <f>""</f>
        <v/>
      </c>
      <c r="U2226" s="36" t="str">
        <f>""</f>
        <v/>
      </c>
      <c r="V2226" s="36" t="str">
        <f>""</f>
        <v/>
      </c>
      <c r="W2226" s="36">
        <f t="shared" si="207"/>
        <v>1</v>
      </c>
      <c r="X2226" t="str">
        <f t="shared" si="208"/>
        <v>Inactive</v>
      </c>
      <c r="Y2226" t="str">
        <f>IF(MAIN!$H$3="Selected Year",IF(A2226=MAIN!$B$3,"Yes","No"),IF(MAIN!$H$3="Included Years",IF(D2226="Yes","Yes","No"),IF(C2226="Yes","Yes","No")))</f>
        <v>No</v>
      </c>
      <c r="Z2226" t="str">
        <f>IF(MAIN!$F$3="Project to Date",IF(AND(A2226&gt;=SETTINGS!$B$4,A2226&lt;MAIN!$B$3),"Yes",IF(AND(A2226=MAIN!$B$3,E2226&lt;=MAIN!$L$3),"Yes","No")),IF(OR(MAIN!$F$3="Full Year",MAIN!$D$3="All"),"Yes",IF(MAIN!$F$3="Monthly",IF(E2226=MAIN!$L$3,"Yes","No"),IF(E2226&lt;=MAIN!$L$3,"Yes","No"))))</f>
        <v>Yes</v>
      </c>
      <c r="AA2226" t="str">
        <f t="shared" si="209"/>
        <v>No</v>
      </c>
    </row>
    <row r="2227" spans="1:27" x14ac:dyDescent="0.3">
      <c r="A2227">
        <f>INDEX(SETTINGS!$A$15:$A$24,$B2227)</f>
        <v>2034</v>
      </c>
      <c r="B2227">
        <v>10</v>
      </c>
      <c r="C2227" t="str">
        <f>IF(AND(A2227&gt;=SETTINGS!$B$4,A2227&lt;=SETTINGS!$B$5),"Yes","No")</f>
        <v>No</v>
      </c>
      <c r="D2227" t="str">
        <f>IFERROR(INDEX(SETTINGS!$C$15:$C$24,MATCH(A2227,SETTINGS!$A$15:$A$24,0)),"No")</f>
        <v>No</v>
      </c>
      <c r="E2227">
        <v>10</v>
      </c>
      <c r="F2227" t="s">
        <v>43</v>
      </c>
      <c r="G2227">
        <v>227</v>
      </c>
      <c r="H2227" t="s">
        <v>93</v>
      </c>
      <c r="I2227" t="s">
        <v>89</v>
      </c>
      <c r="J2227" t="s">
        <v>13</v>
      </c>
      <c r="K2227" t="s">
        <v>14</v>
      </c>
      <c r="L2227" s="36">
        <f ca="1">IF(C2227&lt;&gt;"Yes",0,IF(A2227=2025,N('2025'!D227),IF(A2227=2026,N('2026'!D227),IF(A2227=2027,N('2027'!D227),IF(A2227=2028,N('2028'!D227),IF(A2227=2029,N('2029'!D227),IF(A2227=2030,N('2030'!D227),IF(A2227=2031,N('2031'!D227),IF(A2227=2032,N('2032'!D227),IF(A2227=2033,N('2033'!D227),IF(A2227=2034,N('2034'!D227),IFERROR(N(INDIRECT("'"&amp;A2227&amp;"'!D"&amp;G2227)),0))))))))))))</f>
        <v>0</v>
      </c>
      <c r="M2227" s="36">
        <f>IFERROR(IF(NOT(ISBLANK(KPI_TARGETS!$P$7)),KPI_TARGETS!$P$7,IF(NOT(ISBLANK(KPI_TARGETS!$F$7)),KPI_TARGETS!$F$7,"")),"")</f>
        <v>8000</v>
      </c>
      <c r="N2227" s="36" t="str">
        <f>IFERROR(KPI_TARGETS!$E$7,"Higher is better")</f>
        <v>Higher is better</v>
      </c>
      <c r="O2227" s="37">
        <f t="shared" ca="1" si="204"/>
        <v>0</v>
      </c>
      <c r="P2227" t="str">
        <f t="shared" ca="1" si="205"/>
        <v>Red</v>
      </c>
      <c r="Q2227" s="36">
        <f t="shared" ca="1" si="206"/>
        <v>-8000</v>
      </c>
      <c r="R2227" s="36" t="str">
        <f>""</f>
        <v/>
      </c>
      <c r="S2227" s="36" t="str">
        <f>""</f>
        <v/>
      </c>
      <c r="T2227" s="36" t="str">
        <f>""</f>
        <v/>
      </c>
      <c r="U2227" s="36" t="str">
        <f>""</f>
        <v/>
      </c>
      <c r="V2227" s="36" t="str">
        <f>""</f>
        <v/>
      </c>
      <c r="W2227" s="36">
        <f t="shared" si="207"/>
        <v>1</v>
      </c>
      <c r="X2227" t="str">
        <f t="shared" si="208"/>
        <v>Inactive</v>
      </c>
      <c r="Y2227" t="str">
        <f>IF(MAIN!$H$3="Selected Year",IF(A2227=MAIN!$B$3,"Yes","No"),IF(MAIN!$H$3="Included Years",IF(D2227="Yes","Yes","No"),IF(C2227="Yes","Yes","No")))</f>
        <v>No</v>
      </c>
      <c r="Z2227" t="str">
        <f>IF(MAIN!$F$3="Project to Date",IF(AND(A2227&gt;=SETTINGS!$B$4,A2227&lt;MAIN!$B$3),"Yes",IF(AND(A2227=MAIN!$B$3,E2227&lt;=MAIN!$L$3),"Yes","No")),IF(OR(MAIN!$F$3="Full Year",MAIN!$D$3="All"),"Yes",IF(MAIN!$F$3="Monthly",IF(E2227=MAIN!$L$3,"Yes","No"),IF(E2227&lt;=MAIN!$L$3,"Yes","No"))))</f>
        <v>Yes</v>
      </c>
      <c r="AA2227" t="str">
        <f t="shared" si="209"/>
        <v>No</v>
      </c>
    </row>
    <row r="2228" spans="1:27" x14ac:dyDescent="0.3">
      <c r="A2228">
        <f>INDEX(SETTINGS!$A$15:$A$24,$B2228)</f>
        <v>2034</v>
      </c>
      <c r="B2228">
        <v>10</v>
      </c>
      <c r="C2228" t="str">
        <f>IF(AND(A2228&gt;=SETTINGS!$B$4,A2228&lt;=SETTINGS!$B$5),"Yes","No")</f>
        <v>No</v>
      </c>
      <c r="D2228" t="str">
        <f>IFERROR(INDEX(SETTINGS!$C$15:$C$24,MATCH(A2228,SETTINGS!$A$15:$A$24,0)),"No")</f>
        <v>No</v>
      </c>
      <c r="E2228">
        <v>10</v>
      </c>
      <c r="F2228" t="s">
        <v>43</v>
      </c>
      <c r="G2228">
        <v>229</v>
      </c>
      <c r="H2228" t="s">
        <v>95</v>
      </c>
      <c r="I2228" t="s">
        <v>15</v>
      </c>
      <c r="J2228" t="s">
        <v>16</v>
      </c>
      <c r="K2228" t="s">
        <v>3</v>
      </c>
      <c r="L2228" s="36">
        <f ca="1">IF(C2228&lt;&gt;"Yes",0,IF(A2228=2025,N('2025'!D229),IF(A2228=2026,N('2026'!D229),IF(A2228=2027,N('2027'!D229),IF(A2228=2028,N('2028'!D229),IF(A2228=2029,N('2029'!D229),IF(A2228=2030,N('2030'!D229),IF(A2228=2031,N('2031'!D229),IF(A2228=2032,N('2032'!D229),IF(A2228=2033,N('2033'!D229),IF(A2228=2034,N('2034'!D229),IFERROR(N(INDIRECT("'"&amp;A2228&amp;"'!D"&amp;G2228)),0))))))))))))</f>
        <v>0</v>
      </c>
      <c r="M2228" s="36">
        <f>IFERROR(IF(NOT(ISBLANK(KPI_TARGETS!$P$8)),KPI_TARGETS!$P$8,IF(NOT(ISBLANK(KPI_TARGETS!$F$8)),KPI_TARGETS!$F$8,"")),"")</f>
        <v>0</v>
      </c>
      <c r="N2228" s="36" t="str">
        <f>IFERROR(KPI_TARGETS!$E$8,"Higher is better")</f>
        <v>Lower is better</v>
      </c>
      <c r="O2228" s="37">
        <f t="shared" ca="1" si="204"/>
        <v>1</v>
      </c>
      <c r="P2228" t="str">
        <f t="shared" ca="1" si="205"/>
        <v>Green</v>
      </c>
      <c r="Q2228" s="36">
        <f t="shared" ca="1" si="206"/>
        <v>0</v>
      </c>
      <c r="R2228" s="36" t="str">
        <f>""</f>
        <v/>
      </c>
      <c r="S2228" s="36" t="str">
        <f>""</f>
        <v/>
      </c>
      <c r="T2228" s="36" t="str">
        <f>""</f>
        <v/>
      </c>
      <c r="U2228" s="36" t="str">
        <f>""</f>
        <v/>
      </c>
      <c r="V2228" s="36" t="str">
        <f>""</f>
        <v/>
      </c>
      <c r="W2228" s="36">
        <f t="shared" si="207"/>
        <v>1</v>
      </c>
      <c r="X2228" t="str">
        <f t="shared" si="208"/>
        <v>Inactive</v>
      </c>
      <c r="Y2228" t="str">
        <f>IF(MAIN!$H$3="Selected Year",IF(A2228=MAIN!$B$3,"Yes","No"),IF(MAIN!$H$3="Included Years",IF(D2228="Yes","Yes","No"),IF(C2228="Yes","Yes","No")))</f>
        <v>No</v>
      </c>
      <c r="Z2228" t="str">
        <f>IF(MAIN!$F$3="Project to Date",IF(AND(A2228&gt;=SETTINGS!$B$4,A2228&lt;MAIN!$B$3),"Yes",IF(AND(A2228=MAIN!$B$3,E2228&lt;=MAIN!$L$3),"Yes","No")),IF(OR(MAIN!$F$3="Full Year",MAIN!$D$3="All"),"Yes",IF(MAIN!$F$3="Monthly",IF(E2228=MAIN!$L$3,"Yes","No"),IF(E2228&lt;=MAIN!$L$3,"Yes","No"))))</f>
        <v>Yes</v>
      </c>
      <c r="AA2228" t="str">
        <f t="shared" si="209"/>
        <v>No</v>
      </c>
    </row>
    <row r="2229" spans="1:27" x14ac:dyDescent="0.3">
      <c r="A2229">
        <f>INDEX(SETTINGS!$A$15:$A$24,$B2229)</f>
        <v>2034</v>
      </c>
      <c r="B2229">
        <v>10</v>
      </c>
      <c r="C2229" t="str">
        <f>IF(AND(A2229&gt;=SETTINGS!$B$4,A2229&lt;=SETTINGS!$B$5),"Yes","No")</f>
        <v>No</v>
      </c>
      <c r="D2229" t="str">
        <f>IFERROR(INDEX(SETTINGS!$C$15:$C$24,MATCH(A2229,SETTINGS!$A$15:$A$24,0)),"No")</f>
        <v>No</v>
      </c>
      <c r="E2229">
        <v>10</v>
      </c>
      <c r="F2229" t="s">
        <v>43</v>
      </c>
      <c r="G2229">
        <v>230</v>
      </c>
      <c r="H2229" t="s">
        <v>97</v>
      </c>
      <c r="I2229" t="s">
        <v>15</v>
      </c>
      <c r="J2229" t="s">
        <v>17</v>
      </c>
      <c r="K2229" t="s">
        <v>3</v>
      </c>
      <c r="L2229" s="36">
        <f ca="1">IF(C2229&lt;&gt;"Yes",0,IF(A2229=2025,N('2025'!D230),IF(A2229=2026,N('2026'!D230),IF(A2229=2027,N('2027'!D230),IF(A2229=2028,N('2028'!D230),IF(A2229=2029,N('2029'!D230),IF(A2229=2030,N('2030'!D230),IF(A2229=2031,N('2031'!D230),IF(A2229=2032,N('2032'!D230),IF(A2229=2033,N('2033'!D230),IF(A2229=2034,N('2034'!D230),IFERROR(N(INDIRECT("'"&amp;A2229&amp;"'!D"&amp;G2229)),0))))))))))))</f>
        <v>0</v>
      </c>
      <c r="M2229" s="36">
        <f>IFERROR(IF(NOT(ISBLANK(KPI_TARGETS!$P$9)),KPI_TARGETS!$P$9,IF(NOT(ISBLANK(KPI_TARGETS!$F$9)),KPI_TARGETS!$F$9,"")),"")</f>
        <v>0</v>
      </c>
      <c r="N2229" s="36" t="str">
        <f>IFERROR(KPI_TARGETS!$E$9,"Higher is better")</f>
        <v>Higher is better</v>
      </c>
      <c r="O2229" s="37" t="str">
        <f t="shared" ca="1" si="204"/>
        <v/>
      </c>
      <c r="P2229" t="str">
        <f t="shared" ca="1" si="205"/>
        <v>Green</v>
      </c>
      <c r="Q2229" s="36">
        <f t="shared" ca="1" si="206"/>
        <v>0</v>
      </c>
      <c r="R2229" s="36" t="str">
        <f>""</f>
        <v/>
      </c>
      <c r="S2229" s="36" t="str">
        <f>""</f>
        <v/>
      </c>
      <c r="T2229" s="36" t="str">
        <f>""</f>
        <v/>
      </c>
      <c r="U2229" s="36" t="str">
        <f>""</f>
        <v/>
      </c>
      <c r="V2229" s="36" t="str">
        <f>""</f>
        <v/>
      </c>
      <c r="W2229" s="36">
        <f t="shared" si="207"/>
        <v>1</v>
      </c>
      <c r="X2229" t="str">
        <f t="shared" si="208"/>
        <v>Inactive</v>
      </c>
      <c r="Y2229" t="str">
        <f>IF(MAIN!$H$3="Selected Year",IF(A2229=MAIN!$B$3,"Yes","No"),IF(MAIN!$H$3="Included Years",IF(D2229="Yes","Yes","No"),IF(C2229="Yes","Yes","No")))</f>
        <v>No</v>
      </c>
      <c r="Z2229" t="str">
        <f>IF(MAIN!$F$3="Project to Date",IF(AND(A2229&gt;=SETTINGS!$B$4,A2229&lt;MAIN!$B$3),"Yes",IF(AND(A2229=MAIN!$B$3,E2229&lt;=MAIN!$L$3),"Yes","No")),IF(OR(MAIN!$F$3="Full Year",MAIN!$D$3="All"),"Yes",IF(MAIN!$F$3="Monthly",IF(E2229=MAIN!$L$3,"Yes","No"),IF(E2229&lt;=MAIN!$L$3,"Yes","No"))))</f>
        <v>Yes</v>
      </c>
      <c r="AA2229" t="str">
        <f t="shared" si="209"/>
        <v>No</v>
      </c>
    </row>
    <row r="2230" spans="1:27" x14ac:dyDescent="0.3">
      <c r="A2230">
        <f>INDEX(SETTINGS!$A$15:$A$24,$B2230)</f>
        <v>2034</v>
      </c>
      <c r="B2230">
        <v>10</v>
      </c>
      <c r="C2230" t="str">
        <f>IF(AND(A2230&gt;=SETTINGS!$B$4,A2230&lt;=SETTINGS!$B$5),"Yes","No")</f>
        <v>No</v>
      </c>
      <c r="D2230" t="str">
        <f>IFERROR(INDEX(SETTINGS!$C$15:$C$24,MATCH(A2230,SETTINGS!$A$15:$A$24,0)),"No")</f>
        <v>No</v>
      </c>
      <c r="E2230">
        <v>10</v>
      </c>
      <c r="F2230" t="s">
        <v>43</v>
      </c>
      <c r="G2230">
        <v>231</v>
      </c>
      <c r="H2230" t="s">
        <v>99</v>
      </c>
      <c r="I2230" t="s">
        <v>15</v>
      </c>
      <c r="J2230" t="s">
        <v>18</v>
      </c>
      <c r="K2230" t="s">
        <v>3</v>
      </c>
      <c r="L2230" s="36">
        <f ca="1">IF(C2230&lt;&gt;"Yes",0,IF(A2230=2025,N('2025'!D231),IF(A2230=2026,N('2026'!D231),IF(A2230=2027,N('2027'!D231),IF(A2230=2028,N('2028'!D231),IF(A2230=2029,N('2029'!D231),IF(A2230=2030,N('2030'!D231),IF(A2230=2031,N('2031'!D231),IF(A2230=2032,N('2032'!D231),IF(A2230=2033,N('2033'!D231),IF(A2230=2034,N('2034'!D231),IFERROR(N(INDIRECT("'"&amp;A2230&amp;"'!D"&amp;G2230)),0))))))))))))</f>
        <v>0</v>
      </c>
      <c r="M2230" s="36">
        <f>IFERROR(IF(NOT(ISBLANK(KPI_TARGETS!$P$10)),KPI_TARGETS!$P$10,IF(NOT(ISBLANK(KPI_TARGETS!$F$10)),KPI_TARGETS!$F$10,"")),"")</f>
        <v>0</v>
      </c>
      <c r="N2230" s="36" t="str">
        <f>IFERROR(KPI_TARGETS!$E$10,"Higher is better")</f>
        <v>Lower is better</v>
      </c>
      <c r="O2230" s="37">
        <f t="shared" ca="1" si="204"/>
        <v>1</v>
      </c>
      <c r="P2230" t="str">
        <f t="shared" ca="1" si="205"/>
        <v>Green</v>
      </c>
      <c r="Q2230" s="36">
        <f t="shared" ca="1" si="206"/>
        <v>0</v>
      </c>
      <c r="R2230" s="36" t="str">
        <f>""</f>
        <v/>
      </c>
      <c r="S2230" s="36" t="str">
        <f>""</f>
        <v/>
      </c>
      <c r="T2230" s="36" t="str">
        <f>""</f>
        <v/>
      </c>
      <c r="U2230" s="36" t="str">
        <f>""</f>
        <v/>
      </c>
      <c r="V2230" s="36" t="str">
        <f>""</f>
        <v/>
      </c>
      <c r="W2230" s="36">
        <f t="shared" si="207"/>
        <v>1</v>
      </c>
      <c r="X2230" t="str">
        <f t="shared" si="208"/>
        <v>Inactive</v>
      </c>
      <c r="Y2230" t="str">
        <f>IF(MAIN!$H$3="Selected Year",IF(A2230=MAIN!$B$3,"Yes","No"),IF(MAIN!$H$3="Included Years",IF(D2230="Yes","Yes","No"),IF(C2230="Yes","Yes","No")))</f>
        <v>No</v>
      </c>
      <c r="Z2230" t="str">
        <f>IF(MAIN!$F$3="Project to Date",IF(AND(A2230&gt;=SETTINGS!$B$4,A2230&lt;MAIN!$B$3),"Yes",IF(AND(A2230=MAIN!$B$3,E2230&lt;=MAIN!$L$3),"Yes","No")),IF(OR(MAIN!$F$3="Full Year",MAIN!$D$3="All"),"Yes",IF(MAIN!$F$3="Monthly",IF(E2230=MAIN!$L$3,"Yes","No"),IF(E2230&lt;=MAIN!$L$3,"Yes","No"))))</f>
        <v>Yes</v>
      </c>
      <c r="AA2230" t="str">
        <f t="shared" si="209"/>
        <v>No</v>
      </c>
    </row>
    <row r="2231" spans="1:27" x14ac:dyDescent="0.3">
      <c r="A2231">
        <f>INDEX(SETTINGS!$A$15:$A$24,$B2231)</f>
        <v>2034</v>
      </c>
      <c r="B2231">
        <v>10</v>
      </c>
      <c r="C2231" t="str">
        <f>IF(AND(A2231&gt;=SETTINGS!$B$4,A2231&lt;=SETTINGS!$B$5),"Yes","No")</f>
        <v>No</v>
      </c>
      <c r="D2231" t="str">
        <f>IFERROR(INDEX(SETTINGS!$C$15:$C$24,MATCH(A2231,SETTINGS!$A$15:$A$24,0)),"No")</f>
        <v>No</v>
      </c>
      <c r="E2231">
        <v>10</v>
      </c>
      <c r="F2231" t="s">
        <v>43</v>
      </c>
      <c r="G2231">
        <v>232</v>
      </c>
      <c r="H2231" t="s">
        <v>100</v>
      </c>
      <c r="I2231" t="s">
        <v>15</v>
      </c>
      <c r="J2231" t="s">
        <v>19</v>
      </c>
      <c r="K2231" t="s">
        <v>3</v>
      </c>
      <c r="L2231" s="36">
        <f ca="1">IF(C2231&lt;&gt;"Yes",0,IF(A2231=2025,N('2025'!D232),IF(A2231=2026,N('2026'!D232),IF(A2231=2027,N('2027'!D232),IF(A2231=2028,N('2028'!D232),IF(A2231=2029,N('2029'!D232),IF(A2231=2030,N('2030'!D232),IF(A2231=2031,N('2031'!D232),IF(A2231=2032,N('2032'!D232),IF(A2231=2033,N('2033'!D232),IF(A2231=2034,N('2034'!D232),IFERROR(N(INDIRECT("'"&amp;A2231&amp;"'!D"&amp;G2231)),0))))))))))))</f>
        <v>0</v>
      </c>
      <c r="M2231" s="36">
        <f>IFERROR(IF(NOT(ISBLANK(KPI_TARGETS!$P$11)),KPI_TARGETS!$P$11,IF(NOT(ISBLANK(KPI_TARGETS!$F$11)),KPI_TARGETS!$F$11,"")),"")</f>
        <v>0</v>
      </c>
      <c r="N2231" s="36" t="str">
        <f>IFERROR(KPI_TARGETS!$E$11,"Higher is better")</f>
        <v>Lower is better</v>
      </c>
      <c r="O2231" s="37">
        <f t="shared" ca="1" si="204"/>
        <v>1</v>
      </c>
      <c r="P2231" t="str">
        <f t="shared" ca="1" si="205"/>
        <v>Green</v>
      </c>
      <c r="Q2231" s="36">
        <f t="shared" ca="1" si="206"/>
        <v>0</v>
      </c>
      <c r="R2231" s="36" t="str">
        <f>""</f>
        <v/>
      </c>
      <c r="S2231" s="36" t="str">
        <f>""</f>
        <v/>
      </c>
      <c r="T2231" s="36" t="str">
        <f>""</f>
        <v/>
      </c>
      <c r="U2231" s="36" t="str">
        <f>""</f>
        <v/>
      </c>
      <c r="V2231" s="36" t="str">
        <f>""</f>
        <v/>
      </c>
      <c r="W2231" s="36">
        <f t="shared" si="207"/>
        <v>1</v>
      </c>
      <c r="X2231" t="str">
        <f t="shared" si="208"/>
        <v>Inactive</v>
      </c>
      <c r="Y2231" t="str">
        <f>IF(MAIN!$H$3="Selected Year",IF(A2231=MAIN!$B$3,"Yes","No"),IF(MAIN!$H$3="Included Years",IF(D2231="Yes","Yes","No"),IF(C2231="Yes","Yes","No")))</f>
        <v>No</v>
      </c>
      <c r="Z2231" t="str">
        <f>IF(MAIN!$F$3="Project to Date",IF(AND(A2231&gt;=SETTINGS!$B$4,A2231&lt;MAIN!$B$3),"Yes",IF(AND(A2231=MAIN!$B$3,E2231&lt;=MAIN!$L$3),"Yes","No")),IF(OR(MAIN!$F$3="Full Year",MAIN!$D$3="All"),"Yes",IF(MAIN!$F$3="Monthly",IF(E2231=MAIN!$L$3,"Yes","No"),IF(E2231&lt;=MAIN!$L$3,"Yes","No"))))</f>
        <v>Yes</v>
      </c>
      <c r="AA2231" t="str">
        <f t="shared" si="209"/>
        <v>No</v>
      </c>
    </row>
    <row r="2232" spans="1:27" x14ac:dyDescent="0.3">
      <c r="A2232">
        <f>INDEX(SETTINGS!$A$15:$A$24,$B2232)</f>
        <v>2034</v>
      </c>
      <c r="B2232">
        <v>10</v>
      </c>
      <c r="C2232" t="str">
        <f>IF(AND(A2232&gt;=SETTINGS!$B$4,A2232&lt;=SETTINGS!$B$5),"Yes","No")</f>
        <v>No</v>
      </c>
      <c r="D2232" t="str">
        <f>IFERROR(INDEX(SETTINGS!$C$15:$C$24,MATCH(A2232,SETTINGS!$A$15:$A$24,0)),"No")</f>
        <v>No</v>
      </c>
      <c r="E2232">
        <v>10</v>
      </c>
      <c r="F2232" t="s">
        <v>43</v>
      </c>
      <c r="G2232">
        <v>233</v>
      </c>
      <c r="H2232" t="s">
        <v>101</v>
      </c>
      <c r="I2232" t="s">
        <v>15</v>
      </c>
      <c r="J2232" t="s">
        <v>20</v>
      </c>
      <c r="K2232" t="s">
        <v>3</v>
      </c>
      <c r="L2232" s="36">
        <f ca="1">IF(C2232&lt;&gt;"Yes",0,IF(A2232=2025,N('2025'!D233),IF(A2232=2026,N('2026'!D233),IF(A2232=2027,N('2027'!D233),IF(A2232=2028,N('2028'!D233),IF(A2232=2029,N('2029'!D233),IF(A2232=2030,N('2030'!D233),IF(A2232=2031,N('2031'!D233),IF(A2232=2032,N('2032'!D233),IF(A2232=2033,N('2033'!D233),IF(A2232=2034,N('2034'!D233),IFERROR(N(INDIRECT("'"&amp;A2232&amp;"'!D"&amp;G2232)),0))))))))))))</f>
        <v>0</v>
      </c>
      <c r="M2232" s="36">
        <f>IFERROR(IF(NOT(ISBLANK(KPI_TARGETS!$P$12)),KPI_TARGETS!$P$12,IF(NOT(ISBLANK(KPI_TARGETS!$F$12)),KPI_TARGETS!$F$12,"")),"")</f>
        <v>0</v>
      </c>
      <c r="N2232" s="36" t="str">
        <f>IFERROR(KPI_TARGETS!$E$12,"Higher is better")</f>
        <v>Lower is better</v>
      </c>
      <c r="O2232" s="37">
        <f t="shared" ca="1" si="204"/>
        <v>1</v>
      </c>
      <c r="P2232" t="str">
        <f t="shared" ca="1" si="205"/>
        <v>Green</v>
      </c>
      <c r="Q2232" s="36">
        <f t="shared" ca="1" si="206"/>
        <v>0</v>
      </c>
      <c r="R2232" s="36" t="str">
        <f>""</f>
        <v/>
      </c>
      <c r="S2232" s="36" t="str">
        <f>""</f>
        <v/>
      </c>
      <c r="T2232" s="36" t="str">
        <f>""</f>
        <v/>
      </c>
      <c r="U2232" s="36" t="str">
        <f>""</f>
        <v/>
      </c>
      <c r="V2232" s="36" t="str">
        <f>""</f>
        <v/>
      </c>
      <c r="W2232" s="36">
        <f t="shared" si="207"/>
        <v>1</v>
      </c>
      <c r="X2232" t="str">
        <f t="shared" si="208"/>
        <v>Inactive</v>
      </c>
      <c r="Y2232" t="str">
        <f>IF(MAIN!$H$3="Selected Year",IF(A2232=MAIN!$B$3,"Yes","No"),IF(MAIN!$H$3="Included Years",IF(D2232="Yes","Yes","No"),IF(C2232="Yes","Yes","No")))</f>
        <v>No</v>
      </c>
      <c r="Z2232" t="str">
        <f>IF(MAIN!$F$3="Project to Date",IF(AND(A2232&gt;=SETTINGS!$B$4,A2232&lt;MAIN!$B$3),"Yes",IF(AND(A2232=MAIN!$B$3,E2232&lt;=MAIN!$L$3),"Yes","No")),IF(OR(MAIN!$F$3="Full Year",MAIN!$D$3="All"),"Yes",IF(MAIN!$F$3="Monthly",IF(E2232=MAIN!$L$3,"Yes","No"),IF(E2232&lt;=MAIN!$L$3,"Yes","No"))))</f>
        <v>Yes</v>
      </c>
      <c r="AA2232" t="str">
        <f t="shared" si="209"/>
        <v>No</v>
      </c>
    </row>
    <row r="2233" spans="1:27" x14ac:dyDescent="0.3">
      <c r="A2233">
        <f>INDEX(SETTINGS!$A$15:$A$24,$B2233)</f>
        <v>2034</v>
      </c>
      <c r="B2233">
        <v>10</v>
      </c>
      <c r="C2233" t="str">
        <f>IF(AND(A2233&gt;=SETTINGS!$B$4,A2233&lt;=SETTINGS!$B$5),"Yes","No")</f>
        <v>No</v>
      </c>
      <c r="D2233" t="str">
        <f>IFERROR(INDEX(SETTINGS!$C$15:$C$24,MATCH(A2233,SETTINGS!$A$15:$A$24,0)),"No")</f>
        <v>No</v>
      </c>
      <c r="E2233">
        <v>10</v>
      </c>
      <c r="F2233" t="s">
        <v>43</v>
      </c>
      <c r="G2233">
        <v>234</v>
      </c>
      <c r="H2233" t="s">
        <v>102</v>
      </c>
      <c r="I2233" t="s">
        <v>15</v>
      </c>
      <c r="J2233" t="s">
        <v>21</v>
      </c>
      <c r="K2233" t="s">
        <v>3</v>
      </c>
      <c r="L2233" s="36">
        <f ca="1">IF(C2233&lt;&gt;"Yes",0,IF(A2233=2025,N('2025'!D234),IF(A2233=2026,N('2026'!D234),IF(A2233=2027,N('2027'!D234),IF(A2233=2028,N('2028'!D234),IF(A2233=2029,N('2029'!D234),IF(A2233=2030,N('2030'!D234),IF(A2233=2031,N('2031'!D234),IF(A2233=2032,N('2032'!D234),IF(A2233=2033,N('2033'!D234),IF(A2233=2034,N('2034'!D234),IFERROR(N(INDIRECT("'"&amp;A2233&amp;"'!D"&amp;G2233)),0))))))))))))</f>
        <v>0</v>
      </c>
      <c r="M2233" s="36">
        <f>IFERROR(IF(NOT(ISBLANK(KPI_TARGETS!$P$13)),KPI_TARGETS!$P$13,IF(NOT(ISBLANK(KPI_TARGETS!$F$13)),KPI_TARGETS!$F$13,"")),"")</f>
        <v>0</v>
      </c>
      <c r="N2233" s="36" t="str">
        <f>IFERROR(KPI_TARGETS!$E$13,"Higher is better")</f>
        <v>Lower is better</v>
      </c>
      <c r="O2233" s="37">
        <f t="shared" ca="1" si="204"/>
        <v>1</v>
      </c>
      <c r="P2233" t="str">
        <f t="shared" ca="1" si="205"/>
        <v>Green</v>
      </c>
      <c r="Q2233" s="36">
        <f t="shared" ca="1" si="206"/>
        <v>0</v>
      </c>
      <c r="R2233" s="36" t="str">
        <f>""</f>
        <v/>
      </c>
      <c r="S2233" s="36" t="str">
        <f>""</f>
        <v/>
      </c>
      <c r="T2233" s="36" t="str">
        <f>""</f>
        <v/>
      </c>
      <c r="U2233" s="36" t="str">
        <f>""</f>
        <v/>
      </c>
      <c r="V2233" s="36" t="str">
        <f>""</f>
        <v/>
      </c>
      <c r="W2233" s="36">
        <f t="shared" si="207"/>
        <v>1</v>
      </c>
      <c r="X2233" t="str">
        <f t="shared" si="208"/>
        <v>Inactive</v>
      </c>
      <c r="Y2233" t="str">
        <f>IF(MAIN!$H$3="Selected Year",IF(A2233=MAIN!$B$3,"Yes","No"),IF(MAIN!$H$3="Included Years",IF(D2233="Yes","Yes","No"),IF(C2233="Yes","Yes","No")))</f>
        <v>No</v>
      </c>
      <c r="Z2233" t="str">
        <f>IF(MAIN!$F$3="Project to Date",IF(AND(A2233&gt;=SETTINGS!$B$4,A2233&lt;MAIN!$B$3),"Yes",IF(AND(A2233=MAIN!$B$3,E2233&lt;=MAIN!$L$3),"Yes","No")),IF(OR(MAIN!$F$3="Full Year",MAIN!$D$3="All"),"Yes",IF(MAIN!$F$3="Monthly",IF(E2233=MAIN!$L$3,"Yes","No"),IF(E2233&lt;=MAIN!$L$3,"Yes","No"))))</f>
        <v>Yes</v>
      </c>
      <c r="AA2233" t="str">
        <f t="shared" si="209"/>
        <v>No</v>
      </c>
    </row>
    <row r="2234" spans="1:27" x14ac:dyDescent="0.3">
      <c r="A2234">
        <f>INDEX(SETTINGS!$A$15:$A$24,$B2234)</f>
        <v>2034</v>
      </c>
      <c r="B2234">
        <v>10</v>
      </c>
      <c r="C2234" t="str">
        <f>IF(AND(A2234&gt;=SETTINGS!$B$4,A2234&lt;=SETTINGS!$B$5),"Yes","No")</f>
        <v>No</v>
      </c>
      <c r="D2234" t="str">
        <f>IFERROR(INDEX(SETTINGS!$C$15:$C$24,MATCH(A2234,SETTINGS!$A$15:$A$24,0)),"No")</f>
        <v>No</v>
      </c>
      <c r="E2234">
        <v>10</v>
      </c>
      <c r="F2234" t="s">
        <v>43</v>
      </c>
      <c r="G2234">
        <v>236</v>
      </c>
      <c r="H2234" t="s">
        <v>103</v>
      </c>
      <c r="I2234" t="s">
        <v>22</v>
      </c>
      <c r="J2234" t="s">
        <v>23</v>
      </c>
      <c r="K2234" t="s">
        <v>3</v>
      </c>
      <c r="L2234" s="36">
        <f ca="1">IF(C2234&lt;&gt;"Yes",0,IF(A2234=2025,N('2025'!D236),IF(A2234=2026,N('2026'!D236),IF(A2234=2027,N('2027'!D236),IF(A2234=2028,N('2028'!D236),IF(A2234=2029,N('2029'!D236),IF(A2234=2030,N('2030'!D236),IF(A2234=2031,N('2031'!D236),IF(A2234=2032,N('2032'!D236),IF(A2234=2033,N('2033'!D236),IF(A2234=2034,N('2034'!D236),IFERROR(N(INDIRECT("'"&amp;A2234&amp;"'!D"&amp;G2234)),0))))))))))))</f>
        <v>0</v>
      </c>
      <c r="M2234" s="36">
        <f>IFERROR(IF(NOT(ISBLANK(KPI_TARGETS!$P$14)),KPI_TARGETS!$P$14,IF(NOT(ISBLANK(KPI_TARGETS!$F$14)),KPI_TARGETS!$F$14,"")),"")</f>
        <v>35</v>
      </c>
      <c r="N2234" s="36" t="str">
        <f>IFERROR(KPI_TARGETS!$E$14,"Higher is better")</f>
        <v>Higher is better</v>
      </c>
      <c r="O2234" s="37">
        <f t="shared" ca="1" si="204"/>
        <v>0</v>
      </c>
      <c r="P2234" t="str">
        <f t="shared" ca="1" si="205"/>
        <v>Red</v>
      </c>
      <c r="Q2234" s="36">
        <f t="shared" ca="1" si="206"/>
        <v>-35</v>
      </c>
      <c r="R2234" s="36" t="str">
        <f>""</f>
        <v/>
      </c>
      <c r="S2234" s="36" t="str">
        <f>""</f>
        <v/>
      </c>
      <c r="T2234" s="36" t="str">
        <f>""</f>
        <v/>
      </c>
      <c r="U2234" s="36" t="str">
        <f>""</f>
        <v/>
      </c>
      <c r="V2234" s="36" t="str">
        <f>""</f>
        <v/>
      </c>
      <c r="W2234" s="36">
        <f t="shared" si="207"/>
        <v>1</v>
      </c>
      <c r="X2234" t="str">
        <f t="shared" si="208"/>
        <v>Inactive</v>
      </c>
      <c r="Y2234" t="str">
        <f>IF(MAIN!$H$3="Selected Year",IF(A2234=MAIN!$B$3,"Yes","No"),IF(MAIN!$H$3="Included Years",IF(D2234="Yes","Yes","No"),IF(C2234="Yes","Yes","No")))</f>
        <v>No</v>
      </c>
      <c r="Z2234" t="str">
        <f>IF(MAIN!$F$3="Project to Date",IF(AND(A2234&gt;=SETTINGS!$B$4,A2234&lt;MAIN!$B$3),"Yes",IF(AND(A2234=MAIN!$B$3,E2234&lt;=MAIN!$L$3),"Yes","No")),IF(OR(MAIN!$F$3="Full Year",MAIN!$D$3="All"),"Yes",IF(MAIN!$F$3="Monthly",IF(E2234=MAIN!$L$3,"Yes","No"),IF(E2234&lt;=MAIN!$L$3,"Yes","No"))))</f>
        <v>Yes</v>
      </c>
      <c r="AA2234" t="str">
        <f t="shared" si="209"/>
        <v>No</v>
      </c>
    </row>
    <row r="2235" spans="1:27" x14ac:dyDescent="0.3">
      <c r="A2235">
        <f>INDEX(SETTINGS!$A$15:$A$24,$B2235)</f>
        <v>2034</v>
      </c>
      <c r="B2235">
        <v>10</v>
      </c>
      <c r="C2235" t="str">
        <f>IF(AND(A2235&gt;=SETTINGS!$B$4,A2235&lt;=SETTINGS!$B$5),"Yes","No")</f>
        <v>No</v>
      </c>
      <c r="D2235" t="str">
        <f>IFERROR(INDEX(SETTINGS!$C$15:$C$24,MATCH(A2235,SETTINGS!$A$15:$A$24,0)),"No")</f>
        <v>No</v>
      </c>
      <c r="E2235">
        <v>10</v>
      </c>
      <c r="F2235" t="s">
        <v>43</v>
      </c>
      <c r="G2235">
        <v>237</v>
      </c>
      <c r="H2235" t="s">
        <v>104</v>
      </c>
      <c r="I2235" t="s">
        <v>22</v>
      </c>
      <c r="J2235" t="s">
        <v>24</v>
      </c>
      <c r="K2235" t="s">
        <v>3</v>
      </c>
      <c r="L2235" s="36">
        <f ca="1">IF(C2235&lt;&gt;"Yes",0,IF(A2235=2025,N('2025'!D237),IF(A2235=2026,N('2026'!D237),IF(A2235=2027,N('2027'!D237),IF(A2235=2028,N('2028'!D237),IF(A2235=2029,N('2029'!D237),IF(A2235=2030,N('2030'!D237),IF(A2235=2031,N('2031'!D237),IF(A2235=2032,N('2032'!D237),IF(A2235=2033,N('2033'!D237),IF(A2235=2034,N('2034'!D237),IFERROR(N(INDIRECT("'"&amp;A2235&amp;"'!D"&amp;G2235)),0))))))))))))</f>
        <v>0</v>
      </c>
      <c r="M2235" s="36">
        <f>IFERROR(IF(NOT(ISBLANK(KPI_TARGETS!$P$15)),KPI_TARGETS!$P$15,IF(NOT(ISBLANK(KPI_TARGETS!$F$15)),KPI_TARGETS!$F$15,"")),"")</f>
        <v>5</v>
      </c>
      <c r="N2235" s="36" t="str">
        <f>IFERROR(KPI_TARGETS!$E$15,"Higher is better")</f>
        <v>Higher is better</v>
      </c>
      <c r="O2235" s="37">
        <f t="shared" ca="1" si="204"/>
        <v>0</v>
      </c>
      <c r="P2235" t="str">
        <f t="shared" ca="1" si="205"/>
        <v>Red</v>
      </c>
      <c r="Q2235" s="36">
        <f t="shared" ca="1" si="206"/>
        <v>-5</v>
      </c>
      <c r="R2235" s="36" t="str">
        <f>""</f>
        <v/>
      </c>
      <c r="S2235" s="36" t="str">
        <f>""</f>
        <v/>
      </c>
      <c r="T2235" s="36" t="str">
        <f>""</f>
        <v/>
      </c>
      <c r="U2235" s="36" t="str">
        <f>""</f>
        <v/>
      </c>
      <c r="V2235" s="36" t="str">
        <f>""</f>
        <v/>
      </c>
      <c r="W2235" s="36">
        <f t="shared" si="207"/>
        <v>1</v>
      </c>
      <c r="X2235" t="str">
        <f t="shared" si="208"/>
        <v>Inactive</v>
      </c>
      <c r="Y2235" t="str">
        <f>IF(MAIN!$H$3="Selected Year",IF(A2235=MAIN!$B$3,"Yes","No"),IF(MAIN!$H$3="Included Years",IF(D2235="Yes","Yes","No"),IF(C2235="Yes","Yes","No")))</f>
        <v>No</v>
      </c>
      <c r="Z2235" t="str">
        <f>IF(MAIN!$F$3="Project to Date",IF(AND(A2235&gt;=SETTINGS!$B$4,A2235&lt;MAIN!$B$3),"Yes",IF(AND(A2235=MAIN!$B$3,E2235&lt;=MAIN!$L$3),"Yes","No")),IF(OR(MAIN!$F$3="Full Year",MAIN!$D$3="All"),"Yes",IF(MAIN!$F$3="Monthly",IF(E2235=MAIN!$L$3,"Yes","No"),IF(E2235&lt;=MAIN!$L$3,"Yes","No"))))</f>
        <v>Yes</v>
      </c>
      <c r="AA2235" t="str">
        <f t="shared" si="209"/>
        <v>No</v>
      </c>
    </row>
    <row r="2236" spans="1:27" x14ac:dyDescent="0.3">
      <c r="A2236">
        <f>INDEX(SETTINGS!$A$15:$A$24,$B2236)</f>
        <v>2034</v>
      </c>
      <c r="B2236">
        <v>10</v>
      </c>
      <c r="C2236" t="str">
        <f>IF(AND(A2236&gt;=SETTINGS!$B$4,A2236&lt;=SETTINGS!$B$5),"Yes","No")</f>
        <v>No</v>
      </c>
      <c r="D2236" t="str">
        <f>IFERROR(INDEX(SETTINGS!$C$15:$C$24,MATCH(A2236,SETTINGS!$A$15:$A$24,0)),"No")</f>
        <v>No</v>
      </c>
      <c r="E2236">
        <v>10</v>
      </c>
      <c r="F2236" t="s">
        <v>43</v>
      </c>
      <c r="G2236">
        <v>238</v>
      </c>
      <c r="H2236" t="s">
        <v>105</v>
      </c>
      <c r="I2236" t="s">
        <v>22</v>
      </c>
      <c r="J2236" t="s">
        <v>25</v>
      </c>
      <c r="K2236" t="s">
        <v>3</v>
      </c>
      <c r="L2236" s="36">
        <f ca="1">IF(C2236&lt;&gt;"Yes",0,IF(A2236=2025,N('2025'!D238),IF(A2236=2026,N('2026'!D238),IF(A2236=2027,N('2027'!D238),IF(A2236=2028,N('2028'!D238),IF(A2236=2029,N('2029'!D238),IF(A2236=2030,N('2030'!D238),IF(A2236=2031,N('2031'!D238),IF(A2236=2032,N('2032'!D238),IF(A2236=2033,N('2033'!D238),IF(A2236=2034,N('2034'!D238),IFERROR(N(INDIRECT("'"&amp;A2236&amp;"'!D"&amp;G2236)),0))))))))))))</f>
        <v>0</v>
      </c>
      <c r="M2236" s="36">
        <f>IFERROR(IF(NOT(ISBLANK(KPI_TARGETS!$P$16)),KPI_TARGETS!$P$16,IF(NOT(ISBLANK(KPI_TARGETS!$F$16)),KPI_TARGETS!$F$16,"")),"")</f>
        <v>4</v>
      </c>
      <c r="N2236" s="36" t="str">
        <f>IFERROR(KPI_TARGETS!$E$16,"Higher is better")</f>
        <v>Higher is better</v>
      </c>
      <c r="O2236" s="37">
        <f t="shared" ca="1" si="204"/>
        <v>0</v>
      </c>
      <c r="P2236" t="str">
        <f t="shared" ca="1" si="205"/>
        <v>Red</v>
      </c>
      <c r="Q2236" s="36">
        <f t="shared" ca="1" si="206"/>
        <v>-4</v>
      </c>
      <c r="R2236" s="36" t="str">
        <f>""</f>
        <v/>
      </c>
      <c r="S2236" s="36" t="str">
        <f>""</f>
        <v/>
      </c>
      <c r="T2236" s="36" t="str">
        <f>""</f>
        <v/>
      </c>
      <c r="U2236" s="36" t="str">
        <f>""</f>
        <v/>
      </c>
      <c r="V2236" s="36" t="str">
        <f>""</f>
        <v/>
      </c>
      <c r="W2236" s="36">
        <f t="shared" si="207"/>
        <v>1</v>
      </c>
      <c r="X2236" t="str">
        <f t="shared" si="208"/>
        <v>Inactive</v>
      </c>
      <c r="Y2236" t="str">
        <f>IF(MAIN!$H$3="Selected Year",IF(A2236=MAIN!$B$3,"Yes","No"),IF(MAIN!$H$3="Included Years",IF(D2236="Yes","Yes","No"),IF(C2236="Yes","Yes","No")))</f>
        <v>No</v>
      </c>
      <c r="Z2236" t="str">
        <f>IF(MAIN!$F$3="Project to Date",IF(AND(A2236&gt;=SETTINGS!$B$4,A2236&lt;MAIN!$B$3),"Yes",IF(AND(A2236=MAIN!$B$3,E2236&lt;=MAIN!$L$3),"Yes","No")),IF(OR(MAIN!$F$3="Full Year",MAIN!$D$3="All"),"Yes",IF(MAIN!$F$3="Monthly",IF(E2236=MAIN!$L$3,"Yes","No"),IF(E2236&lt;=MAIN!$L$3,"Yes","No"))))</f>
        <v>Yes</v>
      </c>
      <c r="AA2236" t="str">
        <f t="shared" si="209"/>
        <v>No</v>
      </c>
    </row>
    <row r="2237" spans="1:27" x14ac:dyDescent="0.3">
      <c r="A2237">
        <f>INDEX(SETTINGS!$A$15:$A$24,$B2237)</f>
        <v>2034</v>
      </c>
      <c r="B2237">
        <v>10</v>
      </c>
      <c r="C2237" t="str">
        <f>IF(AND(A2237&gt;=SETTINGS!$B$4,A2237&lt;=SETTINGS!$B$5),"Yes","No")</f>
        <v>No</v>
      </c>
      <c r="D2237" t="str">
        <f>IFERROR(INDEX(SETTINGS!$C$15:$C$24,MATCH(A2237,SETTINGS!$A$15:$A$24,0)),"No")</f>
        <v>No</v>
      </c>
      <c r="E2237">
        <v>10</v>
      </c>
      <c r="F2237" t="s">
        <v>43</v>
      </c>
      <c r="G2237">
        <v>239</v>
      </c>
      <c r="H2237" t="s">
        <v>106</v>
      </c>
      <c r="I2237" t="s">
        <v>22</v>
      </c>
      <c r="J2237" t="s">
        <v>26</v>
      </c>
      <c r="K2237" t="s">
        <v>3</v>
      </c>
      <c r="L2237" s="36">
        <f ca="1">IF(C2237&lt;&gt;"Yes",0,IF(A2237=2025,N('2025'!D239),IF(A2237=2026,N('2026'!D239),IF(A2237=2027,N('2027'!D239),IF(A2237=2028,N('2028'!D239),IF(A2237=2029,N('2029'!D239),IF(A2237=2030,N('2030'!D239),IF(A2237=2031,N('2031'!D239),IF(A2237=2032,N('2032'!D239),IF(A2237=2033,N('2033'!D239),IF(A2237=2034,N('2034'!D239),IFERROR(N(INDIRECT("'"&amp;A2237&amp;"'!D"&amp;G2237)),0))))))))))))</f>
        <v>0</v>
      </c>
      <c r="M2237" s="36">
        <f>IFERROR(IF(NOT(ISBLANK(KPI_TARGETS!$P$17)),KPI_TARGETS!$P$17,IF(NOT(ISBLANK(KPI_TARGETS!$F$17)),KPI_TARGETS!$F$17,"")),"")</f>
        <v>12</v>
      </c>
      <c r="N2237" s="36" t="str">
        <f>IFERROR(KPI_TARGETS!$E$17,"Higher is better")</f>
        <v>Higher is better</v>
      </c>
      <c r="O2237" s="37">
        <f t="shared" ca="1" si="204"/>
        <v>0</v>
      </c>
      <c r="P2237" t="str">
        <f t="shared" ca="1" si="205"/>
        <v>Red</v>
      </c>
      <c r="Q2237" s="36">
        <f t="shared" ca="1" si="206"/>
        <v>-12</v>
      </c>
      <c r="R2237" s="36" t="str">
        <f>""</f>
        <v/>
      </c>
      <c r="S2237" s="36" t="str">
        <f>""</f>
        <v/>
      </c>
      <c r="T2237" s="36" t="str">
        <f>""</f>
        <v/>
      </c>
      <c r="U2237" s="36" t="str">
        <f>""</f>
        <v/>
      </c>
      <c r="V2237" s="36" t="str">
        <f>""</f>
        <v/>
      </c>
      <c r="W2237" s="36">
        <f t="shared" si="207"/>
        <v>1</v>
      </c>
      <c r="X2237" t="str">
        <f t="shared" si="208"/>
        <v>Inactive</v>
      </c>
      <c r="Y2237" t="str">
        <f>IF(MAIN!$H$3="Selected Year",IF(A2237=MAIN!$B$3,"Yes","No"),IF(MAIN!$H$3="Included Years",IF(D2237="Yes","Yes","No"),IF(C2237="Yes","Yes","No")))</f>
        <v>No</v>
      </c>
      <c r="Z2237" t="str">
        <f>IF(MAIN!$F$3="Project to Date",IF(AND(A2237&gt;=SETTINGS!$B$4,A2237&lt;MAIN!$B$3),"Yes",IF(AND(A2237=MAIN!$B$3,E2237&lt;=MAIN!$L$3),"Yes","No")),IF(OR(MAIN!$F$3="Full Year",MAIN!$D$3="All"),"Yes",IF(MAIN!$F$3="Monthly",IF(E2237=MAIN!$L$3,"Yes","No"),IF(E2237&lt;=MAIN!$L$3,"Yes","No"))))</f>
        <v>Yes</v>
      </c>
      <c r="AA2237" t="str">
        <f t="shared" si="209"/>
        <v>No</v>
      </c>
    </row>
    <row r="2238" spans="1:27" x14ac:dyDescent="0.3">
      <c r="A2238">
        <f>INDEX(SETTINGS!$A$15:$A$24,$B2238)</f>
        <v>2034</v>
      </c>
      <c r="B2238">
        <v>10</v>
      </c>
      <c r="C2238" t="str">
        <f>IF(AND(A2238&gt;=SETTINGS!$B$4,A2238&lt;=SETTINGS!$B$5),"Yes","No")</f>
        <v>No</v>
      </c>
      <c r="D2238" t="str">
        <f>IFERROR(INDEX(SETTINGS!$C$15:$C$24,MATCH(A2238,SETTINGS!$A$15:$A$24,0)),"No")</f>
        <v>No</v>
      </c>
      <c r="E2238">
        <v>10</v>
      </c>
      <c r="F2238" t="s">
        <v>43</v>
      </c>
      <c r="G2238">
        <v>240</v>
      </c>
      <c r="H2238" t="s">
        <v>107</v>
      </c>
      <c r="I2238" t="s">
        <v>22</v>
      </c>
      <c r="J2238" t="s">
        <v>27</v>
      </c>
      <c r="K2238" t="s">
        <v>3</v>
      </c>
      <c r="L2238" s="36">
        <f ca="1">IF(C2238&lt;&gt;"Yes",0,IF(A2238=2025,N('2025'!D240),IF(A2238=2026,N('2026'!D240),IF(A2238=2027,N('2027'!D240),IF(A2238=2028,N('2028'!D240),IF(A2238=2029,N('2029'!D240),IF(A2238=2030,N('2030'!D240),IF(A2238=2031,N('2031'!D240),IF(A2238=2032,N('2032'!D240),IF(A2238=2033,N('2033'!D240),IF(A2238=2034,N('2034'!D240),IFERROR(N(INDIRECT("'"&amp;A2238&amp;"'!D"&amp;G2238)),0))))))))))))</f>
        <v>0</v>
      </c>
      <c r="M2238" s="36">
        <f>IFERROR(IF(NOT(ISBLANK(KPI_TARGETS!$P$18)),KPI_TARGETS!$P$18,IF(NOT(ISBLANK(KPI_TARGETS!$F$18)),KPI_TARGETS!$F$18,"")),"")</f>
        <v>4</v>
      </c>
      <c r="N2238" s="36" t="str">
        <f>IFERROR(KPI_TARGETS!$E$18,"Higher is better")</f>
        <v>Higher is better</v>
      </c>
      <c r="O2238" s="37">
        <f t="shared" ca="1" si="204"/>
        <v>0</v>
      </c>
      <c r="P2238" t="str">
        <f t="shared" ca="1" si="205"/>
        <v>Red</v>
      </c>
      <c r="Q2238" s="36">
        <f t="shared" ca="1" si="206"/>
        <v>-4</v>
      </c>
      <c r="R2238" s="36" t="str">
        <f>""</f>
        <v/>
      </c>
      <c r="S2238" s="36" t="str">
        <f>""</f>
        <v/>
      </c>
      <c r="T2238" s="36" t="str">
        <f>""</f>
        <v/>
      </c>
      <c r="U2238" s="36" t="str">
        <f>""</f>
        <v/>
      </c>
      <c r="V2238" s="36" t="str">
        <f>""</f>
        <v/>
      </c>
      <c r="W2238" s="36">
        <f t="shared" si="207"/>
        <v>1</v>
      </c>
      <c r="X2238" t="str">
        <f t="shared" si="208"/>
        <v>Inactive</v>
      </c>
      <c r="Y2238" t="str">
        <f>IF(MAIN!$H$3="Selected Year",IF(A2238=MAIN!$B$3,"Yes","No"),IF(MAIN!$H$3="Included Years",IF(D2238="Yes","Yes","No"),IF(C2238="Yes","Yes","No")))</f>
        <v>No</v>
      </c>
      <c r="Z2238" t="str">
        <f>IF(MAIN!$F$3="Project to Date",IF(AND(A2238&gt;=SETTINGS!$B$4,A2238&lt;MAIN!$B$3),"Yes",IF(AND(A2238=MAIN!$B$3,E2238&lt;=MAIN!$L$3),"Yes","No")),IF(OR(MAIN!$F$3="Full Year",MAIN!$D$3="All"),"Yes",IF(MAIN!$F$3="Monthly",IF(E2238=MAIN!$L$3,"Yes","No"),IF(E2238&lt;=MAIN!$L$3,"Yes","No"))))</f>
        <v>Yes</v>
      </c>
      <c r="AA2238" t="str">
        <f t="shared" si="209"/>
        <v>No</v>
      </c>
    </row>
    <row r="2239" spans="1:27" x14ac:dyDescent="0.3">
      <c r="A2239">
        <f>INDEX(SETTINGS!$A$15:$A$24,$B2239)</f>
        <v>2034</v>
      </c>
      <c r="B2239">
        <v>10</v>
      </c>
      <c r="C2239" t="str">
        <f>IF(AND(A2239&gt;=SETTINGS!$B$4,A2239&lt;=SETTINGS!$B$5),"Yes","No")</f>
        <v>No</v>
      </c>
      <c r="D2239" t="str">
        <f>IFERROR(INDEX(SETTINGS!$C$15:$C$24,MATCH(A2239,SETTINGS!$A$15:$A$24,0)),"No")</f>
        <v>No</v>
      </c>
      <c r="E2239">
        <v>10</v>
      </c>
      <c r="F2239" t="s">
        <v>43</v>
      </c>
      <c r="G2239">
        <v>241</v>
      </c>
      <c r="H2239" t="s">
        <v>108</v>
      </c>
      <c r="I2239" t="s">
        <v>22</v>
      </c>
      <c r="J2239" t="s">
        <v>28</v>
      </c>
      <c r="K2239" t="s">
        <v>3</v>
      </c>
      <c r="L2239" s="36">
        <f ca="1">IF(C2239&lt;&gt;"Yes",0,IF(A2239=2025,N('2025'!D241),IF(A2239=2026,N('2026'!D241),IF(A2239=2027,N('2027'!D241),IF(A2239=2028,N('2028'!D241),IF(A2239=2029,N('2029'!D241),IF(A2239=2030,N('2030'!D241),IF(A2239=2031,N('2031'!D241),IF(A2239=2032,N('2032'!D241),IF(A2239=2033,N('2033'!D241),IF(A2239=2034,N('2034'!D241),IFERROR(N(INDIRECT("'"&amp;A2239&amp;"'!D"&amp;G2239)),0))))))))))))</f>
        <v>0</v>
      </c>
      <c r="M2239" s="36">
        <f>IFERROR(IF(NOT(ISBLANK(KPI_TARGETS!$P$19)),KPI_TARGETS!$P$19,IF(NOT(ISBLANK(KPI_TARGETS!$F$19)),KPI_TARGETS!$F$19,"")),"")</f>
        <v>16</v>
      </c>
      <c r="N2239" s="36" t="str">
        <f>IFERROR(KPI_TARGETS!$E$19,"Higher is better")</f>
        <v>Higher is better</v>
      </c>
      <c r="O2239" s="37">
        <f t="shared" ca="1" si="204"/>
        <v>0</v>
      </c>
      <c r="P2239" t="str">
        <f t="shared" ca="1" si="205"/>
        <v>Red</v>
      </c>
      <c r="Q2239" s="36">
        <f t="shared" ca="1" si="206"/>
        <v>-16</v>
      </c>
      <c r="R2239" s="36" t="str">
        <f>""</f>
        <v/>
      </c>
      <c r="S2239" s="36" t="str">
        <f>""</f>
        <v/>
      </c>
      <c r="T2239" s="36" t="str">
        <f>""</f>
        <v/>
      </c>
      <c r="U2239" s="36" t="str">
        <f>""</f>
        <v/>
      </c>
      <c r="V2239" s="36" t="str">
        <f>""</f>
        <v/>
      </c>
      <c r="W2239" s="36">
        <f t="shared" si="207"/>
        <v>1</v>
      </c>
      <c r="X2239" t="str">
        <f t="shared" si="208"/>
        <v>Inactive</v>
      </c>
      <c r="Y2239" t="str">
        <f>IF(MAIN!$H$3="Selected Year",IF(A2239=MAIN!$B$3,"Yes","No"),IF(MAIN!$H$3="Included Years",IF(D2239="Yes","Yes","No"),IF(C2239="Yes","Yes","No")))</f>
        <v>No</v>
      </c>
      <c r="Z2239" t="str">
        <f>IF(MAIN!$F$3="Project to Date",IF(AND(A2239&gt;=SETTINGS!$B$4,A2239&lt;MAIN!$B$3),"Yes",IF(AND(A2239=MAIN!$B$3,E2239&lt;=MAIN!$L$3),"Yes","No")),IF(OR(MAIN!$F$3="Full Year",MAIN!$D$3="All"),"Yes",IF(MAIN!$F$3="Monthly",IF(E2239=MAIN!$L$3,"Yes","No"),IF(E2239&lt;=MAIN!$L$3,"Yes","No"))))</f>
        <v>Yes</v>
      </c>
      <c r="AA2239" t="str">
        <f t="shared" si="209"/>
        <v>No</v>
      </c>
    </row>
    <row r="2240" spans="1:27" x14ac:dyDescent="0.3">
      <c r="A2240">
        <f>INDEX(SETTINGS!$A$15:$A$24,$B2240)</f>
        <v>2034</v>
      </c>
      <c r="B2240">
        <v>10</v>
      </c>
      <c r="C2240" t="str">
        <f>IF(AND(A2240&gt;=SETTINGS!$B$4,A2240&lt;=SETTINGS!$B$5),"Yes","No")</f>
        <v>No</v>
      </c>
      <c r="D2240" t="str">
        <f>IFERROR(INDEX(SETTINGS!$C$15:$C$24,MATCH(A2240,SETTINGS!$A$15:$A$24,0)),"No")</f>
        <v>No</v>
      </c>
      <c r="E2240">
        <v>10</v>
      </c>
      <c r="F2240" t="s">
        <v>43</v>
      </c>
      <c r="G2240">
        <v>242</v>
      </c>
      <c r="H2240" t="s">
        <v>109</v>
      </c>
      <c r="I2240" t="s">
        <v>22</v>
      </c>
      <c r="J2240" t="s">
        <v>29</v>
      </c>
      <c r="K2240" t="s">
        <v>3</v>
      </c>
      <c r="L2240" s="36">
        <f ca="1">IF(C2240&lt;&gt;"Yes",0,IF(A2240=2025,N('2025'!D242),IF(A2240=2026,N('2026'!D242),IF(A2240=2027,N('2027'!D242),IF(A2240=2028,N('2028'!D242),IF(A2240=2029,N('2029'!D242),IF(A2240=2030,N('2030'!D242),IF(A2240=2031,N('2031'!D242),IF(A2240=2032,N('2032'!D242),IF(A2240=2033,N('2033'!D242),IF(A2240=2034,N('2034'!D242),IFERROR(N(INDIRECT("'"&amp;A2240&amp;"'!D"&amp;G2240)),0))))))))))))</f>
        <v>0</v>
      </c>
      <c r="M2240" s="36">
        <f>IFERROR(IF(NOT(ISBLANK(KPI_TARGETS!$P$20)),KPI_TARGETS!$P$20,IF(NOT(ISBLANK(KPI_TARGETS!$F$20)),KPI_TARGETS!$F$20,"")),"")</f>
        <v>1</v>
      </c>
      <c r="N2240" s="36" t="str">
        <f>IFERROR(KPI_TARGETS!$E$20,"Higher is better")</f>
        <v>Higher is better</v>
      </c>
      <c r="O2240" s="37">
        <f t="shared" ca="1" si="204"/>
        <v>0</v>
      </c>
      <c r="P2240" t="str">
        <f t="shared" ca="1" si="205"/>
        <v>Red</v>
      </c>
      <c r="Q2240" s="36">
        <f t="shared" ca="1" si="206"/>
        <v>-1</v>
      </c>
      <c r="R2240" s="36" t="str">
        <f>""</f>
        <v/>
      </c>
      <c r="S2240" s="36" t="str">
        <f>""</f>
        <v/>
      </c>
      <c r="T2240" s="36" t="str">
        <f>""</f>
        <v/>
      </c>
      <c r="U2240" s="36" t="str">
        <f>""</f>
        <v/>
      </c>
      <c r="V2240" s="36" t="str">
        <f>""</f>
        <v/>
      </c>
      <c r="W2240" s="36">
        <f t="shared" si="207"/>
        <v>1</v>
      </c>
      <c r="X2240" t="str">
        <f t="shared" si="208"/>
        <v>Inactive</v>
      </c>
      <c r="Y2240" t="str">
        <f>IF(MAIN!$H$3="Selected Year",IF(A2240=MAIN!$B$3,"Yes","No"),IF(MAIN!$H$3="Included Years",IF(D2240="Yes","Yes","No"),IF(C2240="Yes","Yes","No")))</f>
        <v>No</v>
      </c>
      <c r="Z2240" t="str">
        <f>IF(MAIN!$F$3="Project to Date",IF(AND(A2240&gt;=SETTINGS!$B$4,A2240&lt;MAIN!$B$3),"Yes",IF(AND(A2240=MAIN!$B$3,E2240&lt;=MAIN!$L$3),"Yes","No")),IF(OR(MAIN!$F$3="Full Year",MAIN!$D$3="All"),"Yes",IF(MAIN!$F$3="Monthly",IF(E2240=MAIN!$L$3,"Yes","No"),IF(E2240&lt;=MAIN!$L$3,"Yes","No"))))</f>
        <v>Yes</v>
      </c>
      <c r="AA2240" t="str">
        <f t="shared" si="209"/>
        <v>No</v>
      </c>
    </row>
    <row r="2241" spans="1:27" x14ac:dyDescent="0.3">
      <c r="A2241">
        <f>INDEX(SETTINGS!$A$15:$A$24,$B2241)</f>
        <v>2034</v>
      </c>
      <c r="B2241">
        <v>10</v>
      </c>
      <c r="C2241" t="str">
        <f>IF(AND(A2241&gt;=SETTINGS!$B$4,A2241&lt;=SETTINGS!$B$5),"Yes","No")</f>
        <v>No</v>
      </c>
      <c r="D2241" t="str">
        <f>IFERROR(INDEX(SETTINGS!$C$15:$C$24,MATCH(A2241,SETTINGS!$A$15:$A$24,0)),"No")</f>
        <v>No</v>
      </c>
      <c r="E2241">
        <v>10</v>
      </c>
      <c r="F2241" t="s">
        <v>43</v>
      </c>
      <c r="G2241">
        <v>244</v>
      </c>
      <c r="H2241" t="s">
        <v>110</v>
      </c>
      <c r="I2241" t="s">
        <v>30</v>
      </c>
      <c r="J2241" t="s">
        <v>31</v>
      </c>
      <c r="K2241" t="s">
        <v>3</v>
      </c>
      <c r="L2241" s="36">
        <f ca="1">IF(C2241&lt;&gt;"Yes",0,IF(A2241=2025,N('2025'!D244),IF(A2241=2026,N('2026'!D244),IF(A2241=2027,N('2027'!D244),IF(A2241=2028,N('2028'!D244),IF(A2241=2029,N('2029'!D244),IF(A2241=2030,N('2030'!D244),IF(A2241=2031,N('2031'!D244),IF(A2241=2032,N('2032'!D244),IF(A2241=2033,N('2033'!D244),IF(A2241=2034,N('2034'!D244),IFERROR(N(INDIRECT("'"&amp;A2241&amp;"'!D"&amp;G2241)),0))))))))))))</f>
        <v>0</v>
      </c>
      <c r="M2241" s="36">
        <f>IFERROR(IF(NOT(ISBLANK(KPI_TARGETS!$P$21)),KPI_TARGETS!$P$21,IF(NOT(ISBLANK(KPI_TARGETS!$F$21)),KPI_TARGETS!$F$21,"")),"")</f>
        <v>0</v>
      </c>
      <c r="N2241" s="36" t="str">
        <f>IFERROR(KPI_TARGETS!$E$21,"Higher is better")</f>
        <v>Lower is better</v>
      </c>
      <c r="O2241" s="37">
        <f t="shared" ca="1" si="204"/>
        <v>1</v>
      </c>
      <c r="P2241" t="str">
        <f t="shared" ca="1" si="205"/>
        <v>Green</v>
      </c>
      <c r="Q2241" s="36">
        <f t="shared" ca="1" si="206"/>
        <v>0</v>
      </c>
      <c r="R2241" s="36" t="str">
        <f>""</f>
        <v/>
      </c>
      <c r="S2241" s="36" t="str">
        <f>""</f>
        <v/>
      </c>
      <c r="T2241" s="36" t="str">
        <f>""</f>
        <v/>
      </c>
      <c r="U2241" s="36" t="str">
        <f>""</f>
        <v/>
      </c>
      <c r="V2241" s="36" t="str">
        <f>""</f>
        <v/>
      </c>
      <c r="W2241" s="36">
        <f t="shared" si="207"/>
        <v>1</v>
      </c>
      <c r="X2241" t="str">
        <f t="shared" si="208"/>
        <v>Inactive</v>
      </c>
      <c r="Y2241" t="str">
        <f>IF(MAIN!$H$3="Selected Year",IF(A2241=MAIN!$B$3,"Yes","No"),IF(MAIN!$H$3="Included Years",IF(D2241="Yes","Yes","No"),IF(C2241="Yes","Yes","No")))</f>
        <v>No</v>
      </c>
      <c r="Z2241" t="str">
        <f>IF(MAIN!$F$3="Project to Date",IF(AND(A2241&gt;=SETTINGS!$B$4,A2241&lt;MAIN!$B$3),"Yes",IF(AND(A2241=MAIN!$B$3,E2241&lt;=MAIN!$L$3),"Yes","No")),IF(OR(MAIN!$F$3="Full Year",MAIN!$D$3="All"),"Yes",IF(MAIN!$F$3="Monthly",IF(E2241=MAIN!$L$3,"Yes","No"),IF(E2241&lt;=MAIN!$L$3,"Yes","No"))))</f>
        <v>Yes</v>
      </c>
      <c r="AA2241" t="str">
        <f t="shared" si="209"/>
        <v>No</v>
      </c>
    </row>
    <row r="2242" spans="1:27" x14ac:dyDescent="0.3">
      <c r="A2242">
        <f>INDEX(SETTINGS!$A$15:$A$24,$B2242)</f>
        <v>2034</v>
      </c>
      <c r="B2242">
        <v>10</v>
      </c>
      <c r="C2242" t="str">
        <f>IF(AND(A2242&gt;=SETTINGS!$B$4,A2242&lt;=SETTINGS!$B$5),"Yes","No")</f>
        <v>No</v>
      </c>
      <c r="D2242" t="str">
        <f>IFERROR(INDEX(SETTINGS!$C$15:$C$24,MATCH(A2242,SETTINGS!$A$15:$A$24,0)),"No")</f>
        <v>No</v>
      </c>
      <c r="E2242">
        <v>10</v>
      </c>
      <c r="F2242" t="s">
        <v>43</v>
      </c>
      <c r="G2242">
        <v>245</v>
      </c>
      <c r="H2242" t="s">
        <v>111</v>
      </c>
      <c r="I2242" t="s">
        <v>30</v>
      </c>
      <c r="J2242" t="s">
        <v>32</v>
      </c>
      <c r="K2242" t="s">
        <v>3</v>
      </c>
      <c r="L2242" s="36">
        <f ca="1">IF(C2242&lt;&gt;"Yes",0,IF(A2242=2025,N('2025'!D245),IF(A2242=2026,N('2026'!D245),IF(A2242=2027,N('2027'!D245),IF(A2242=2028,N('2028'!D245),IF(A2242=2029,N('2029'!D245),IF(A2242=2030,N('2030'!D245),IF(A2242=2031,N('2031'!D245),IF(A2242=2032,N('2032'!D245),IF(A2242=2033,N('2033'!D245),IF(A2242=2034,N('2034'!D245),IFERROR(N(INDIRECT("'"&amp;A2242&amp;"'!D"&amp;G2242)),0))))))))))))</f>
        <v>0</v>
      </c>
      <c r="M2242" s="36">
        <f>IFERROR(IF(NOT(ISBLANK(KPI_TARGETS!$P$22)),KPI_TARGETS!$P$22,IF(NOT(ISBLANK(KPI_TARGETS!$F$22)),KPI_TARGETS!$F$22,"")),"")</f>
        <v>1</v>
      </c>
      <c r="N2242" s="36" t="str">
        <f>IFERROR(KPI_TARGETS!$E$22,"Higher is better")</f>
        <v>Higher is better</v>
      </c>
      <c r="O2242" s="37">
        <f t="shared" ref="O2242:O2281" ca="1" si="210">IF(M2242="","",IF(N2242="Higher is better",IFERROR(L2242/M2242,""),IF(L2242=0,1,IFERROR(M2242/L2242,""))))</f>
        <v>0</v>
      </c>
      <c r="P2242" t="str">
        <f t="shared" ref="P2242:P2281" ca="1" si="211">IF(M2242="","Target Needed",IF(N2242="Higher is better",IF(L2242&gt;=M2242,"Green",IF(L2242&gt;=0.8*M2242,"Amber","Red")),IF(M2242=0,IF(L2242=0,"Green","Red"),IF(L2242&lt;=M2242,"Green",IF(L2242&lt;=1.25*M2242,"Amber","Red")))))</f>
        <v>Red</v>
      </c>
      <c r="Q2242" s="36">
        <f t="shared" ref="Q2242:Q2281" ca="1" si="212">IF(M2242="","",IF(N2242="Higher is better",L2242-M2242,M2242-L2242))</f>
        <v>-1</v>
      </c>
      <c r="R2242" s="36" t="str">
        <f>""</f>
        <v/>
      </c>
      <c r="S2242" s="36" t="str">
        <f>""</f>
        <v/>
      </c>
      <c r="T2242" s="36" t="str">
        <f>""</f>
        <v/>
      </c>
      <c r="U2242" s="36" t="str">
        <f>""</f>
        <v/>
      </c>
      <c r="V2242" s="36" t="str">
        <f>""</f>
        <v/>
      </c>
      <c r="W2242" s="36">
        <f t="shared" ref="W2242:W2281" si="213">IF(LEN(M2242&amp;"")&gt;0,1,0)</f>
        <v>1</v>
      </c>
      <c r="X2242" t="str">
        <f t="shared" ref="X2242:X2281" si="214">IF(C2242&lt;&gt;"Yes","Inactive",IF(M2242="","Missing target","OK"))</f>
        <v>Inactive</v>
      </c>
      <c r="Y2242" t="str">
        <f>IF(MAIN!$H$3="Selected Year",IF(A2242=MAIN!$B$3,"Yes","No"),IF(MAIN!$H$3="Included Years",IF(D2242="Yes","Yes","No"),IF(C2242="Yes","Yes","No")))</f>
        <v>No</v>
      </c>
      <c r="Z2242" t="str">
        <f>IF(MAIN!$F$3="Project to Date",IF(AND(A2242&gt;=SETTINGS!$B$4,A2242&lt;MAIN!$B$3),"Yes",IF(AND(A2242=MAIN!$B$3,E2242&lt;=MAIN!$L$3),"Yes","No")),IF(OR(MAIN!$F$3="Full Year",MAIN!$D$3="All"),"Yes",IF(MAIN!$F$3="Monthly",IF(E2242=MAIN!$L$3,"Yes","No"),IF(E2242&lt;=MAIN!$L$3,"Yes","No"))))</f>
        <v>Yes</v>
      </c>
      <c r="AA2242" t="str">
        <f t="shared" ref="AA2242:AA2281" si="215">IF(AND(Y2242="Yes",Z2242="Yes"),"Yes","No")</f>
        <v>No</v>
      </c>
    </row>
    <row r="2243" spans="1:27" x14ac:dyDescent="0.3">
      <c r="A2243">
        <f>INDEX(SETTINGS!$A$15:$A$24,$B2243)</f>
        <v>2034</v>
      </c>
      <c r="B2243">
        <v>10</v>
      </c>
      <c r="C2243" t="str">
        <f>IF(AND(A2243&gt;=SETTINGS!$B$4,A2243&lt;=SETTINGS!$B$5),"Yes","No")</f>
        <v>No</v>
      </c>
      <c r="D2243" t="str">
        <f>IFERROR(INDEX(SETTINGS!$C$15:$C$24,MATCH(A2243,SETTINGS!$A$15:$A$24,0)),"No")</f>
        <v>No</v>
      </c>
      <c r="E2243">
        <v>10</v>
      </c>
      <c r="F2243" t="s">
        <v>43</v>
      </c>
      <c r="G2243">
        <v>246</v>
      </c>
      <c r="H2243" t="s">
        <v>112</v>
      </c>
      <c r="I2243" t="s">
        <v>30</v>
      </c>
      <c r="J2243" t="s">
        <v>33</v>
      </c>
      <c r="K2243" t="s">
        <v>34</v>
      </c>
      <c r="L2243" s="36">
        <f ca="1">IF(C2243&lt;&gt;"Yes",0,IF(A2243=2025,N('2025'!D246),IF(A2243=2026,N('2026'!D246),IF(A2243=2027,N('2027'!D246),IF(A2243=2028,N('2028'!D246),IF(A2243=2029,N('2029'!D246),IF(A2243=2030,N('2030'!D246),IF(A2243=2031,N('2031'!D246),IF(A2243=2032,N('2032'!D246),IF(A2243=2033,N('2033'!D246),IF(A2243=2034,N('2034'!D246),IFERROR(N(INDIRECT("'"&amp;A2243&amp;"'!D"&amp;G2243)),0))))))))))))</f>
        <v>0</v>
      </c>
      <c r="M2243" s="36">
        <f>IFERROR(IF(NOT(ISBLANK(KPI_TARGETS!$P$23)),KPI_TARGETS!$P$23,IF(NOT(ISBLANK(KPI_TARGETS!$F$23)),KPI_TARGETS!$F$23,"")),"")</f>
        <v>1</v>
      </c>
      <c r="N2243" s="36" t="str">
        <f>IFERROR(KPI_TARGETS!$E$23,"Higher is better")</f>
        <v>Higher is better</v>
      </c>
      <c r="O2243" s="37">
        <f t="shared" ca="1" si="210"/>
        <v>0</v>
      </c>
      <c r="P2243" t="str">
        <f t="shared" ca="1" si="211"/>
        <v>Red</v>
      </c>
      <c r="Q2243" s="36">
        <f t="shared" ca="1" si="212"/>
        <v>-1</v>
      </c>
      <c r="R2243" s="36" t="str">
        <f>""</f>
        <v/>
      </c>
      <c r="S2243" s="36" t="str">
        <f>""</f>
        <v/>
      </c>
      <c r="T2243" s="36" t="str">
        <f>""</f>
        <v/>
      </c>
      <c r="U2243" s="36" t="str">
        <f>""</f>
        <v/>
      </c>
      <c r="V2243" s="36" t="str">
        <f>""</f>
        <v/>
      </c>
      <c r="W2243" s="36">
        <f t="shared" si="213"/>
        <v>1</v>
      </c>
      <c r="X2243" t="str">
        <f t="shared" si="214"/>
        <v>Inactive</v>
      </c>
      <c r="Y2243" t="str">
        <f>IF(MAIN!$H$3="Selected Year",IF(A2243=MAIN!$B$3,"Yes","No"),IF(MAIN!$H$3="Included Years",IF(D2243="Yes","Yes","No"),IF(C2243="Yes","Yes","No")))</f>
        <v>No</v>
      </c>
      <c r="Z2243" t="str">
        <f>IF(MAIN!$F$3="Project to Date",IF(AND(A2243&gt;=SETTINGS!$B$4,A2243&lt;MAIN!$B$3),"Yes",IF(AND(A2243=MAIN!$B$3,E2243&lt;=MAIN!$L$3),"Yes","No")),IF(OR(MAIN!$F$3="Full Year",MAIN!$D$3="All"),"Yes",IF(MAIN!$F$3="Monthly",IF(E2243=MAIN!$L$3,"Yes","No"),IF(E2243&lt;=MAIN!$L$3,"Yes","No"))))</f>
        <v>Yes</v>
      </c>
      <c r="AA2243" t="str">
        <f t="shared" si="215"/>
        <v>No</v>
      </c>
    </row>
    <row r="2244" spans="1:27" x14ac:dyDescent="0.3">
      <c r="A2244">
        <f>INDEX(SETTINGS!$A$15:$A$24,$B2244)</f>
        <v>2034</v>
      </c>
      <c r="B2244">
        <v>10</v>
      </c>
      <c r="C2244" t="str">
        <f>IF(AND(A2244&gt;=SETTINGS!$B$4,A2244&lt;=SETTINGS!$B$5),"Yes","No")</f>
        <v>No</v>
      </c>
      <c r="D2244" t="str">
        <f>IFERROR(INDEX(SETTINGS!$C$15:$C$24,MATCH(A2244,SETTINGS!$A$15:$A$24,0)),"No")</f>
        <v>No</v>
      </c>
      <c r="E2244">
        <v>11</v>
      </c>
      <c r="F2244" t="s">
        <v>44</v>
      </c>
      <c r="G2244">
        <v>249</v>
      </c>
      <c r="H2244" t="s">
        <v>88</v>
      </c>
      <c r="I2244" t="s">
        <v>89</v>
      </c>
      <c r="J2244" t="s">
        <v>10</v>
      </c>
      <c r="K2244" t="s">
        <v>3</v>
      </c>
      <c r="L2244" s="36">
        <f ca="1">IF(C2244&lt;&gt;"Yes",0,IF(A2244=2025,N('2025'!D249),IF(A2244=2026,N('2026'!D249),IF(A2244=2027,N('2027'!D249),IF(A2244=2028,N('2028'!D249),IF(A2244=2029,N('2029'!D249),IF(A2244=2030,N('2030'!D249),IF(A2244=2031,N('2031'!D249),IF(A2244=2032,N('2032'!D249),IF(A2244=2033,N('2033'!D249),IF(A2244=2034,N('2034'!D249),IFERROR(N(INDIRECT("'"&amp;A2244&amp;"'!D"&amp;G2244)),0))))))))))))</f>
        <v>0</v>
      </c>
      <c r="M2244" s="36">
        <f>IFERROR(IF(NOT(ISBLANK(KPI_TARGETS!$P$5)),KPI_TARGETS!$P$5,IF(NOT(ISBLANK(KPI_TARGETS!$F$5)),KPI_TARGETS!$F$5,"")),"")</f>
        <v>104</v>
      </c>
      <c r="N2244" s="36" t="str">
        <f>IFERROR(KPI_TARGETS!$E$5,"Higher is better")</f>
        <v>Higher is better</v>
      </c>
      <c r="O2244" s="37">
        <f t="shared" ca="1" si="210"/>
        <v>0</v>
      </c>
      <c r="P2244" t="str">
        <f t="shared" ca="1" si="211"/>
        <v>Red</v>
      </c>
      <c r="Q2244" s="36">
        <f t="shared" ca="1" si="212"/>
        <v>-104</v>
      </c>
      <c r="R2244" s="36" t="str">
        <f>""</f>
        <v/>
      </c>
      <c r="S2244" s="36" t="str">
        <f>""</f>
        <v/>
      </c>
      <c r="T2244" s="36" t="str">
        <f>""</f>
        <v/>
      </c>
      <c r="U2244" s="36" t="str">
        <f>""</f>
        <v/>
      </c>
      <c r="V2244" s="36" t="str">
        <f>""</f>
        <v/>
      </c>
      <c r="W2244" s="36">
        <f t="shared" si="213"/>
        <v>1</v>
      </c>
      <c r="X2244" t="str">
        <f t="shared" si="214"/>
        <v>Inactive</v>
      </c>
      <c r="Y2244" t="str">
        <f>IF(MAIN!$H$3="Selected Year",IF(A2244=MAIN!$B$3,"Yes","No"),IF(MAIN!$H$3="Included Years",IF(D2244="Yes","Yes","No"),IF(C2244="Yes","Yes","No")))</f>
        <v>No</v>
      </c>
      <c r="Z2244" t="str">
        <f>IF(MAIN!$F$3="Project to Date",IF(AND(A2244&gt;=SETTINGS!$B$4,A2244&lt;MAIN!$B$3),"Yes",IF(AND(A2244=MAIN!$B$3,E2244&lt;=MAIN!$L$3),"Yes","No")),IF(OR(MAIN!$F$3="Full Year",MAIN!$D$3="All"),"Yes",IF(MAIN!$F$3="Monthly",IF(E2244=MAIN!$L$3,"Yes","No"),IF(E2244&lt;=MAIN!$L$3,"Yes","No"))))</f>
        <v>Yes</v>
      </c>
      <c r="AA2244" t="str">
        <f t="shared" si="215"/>
        <v>No</v>
      </c>
    </row>
    <row r="2245" spans="1:27" x14ac:dyDescent="0.3">
      <c r="A2245">
        <f>INDEX(SETTINGS!$A$15:$A$24,$B2245)</f>
        <v>2034</v>
      </c>
      <c r="B2245">
        <v>10</v>
      </c>
      <c r="C2245" t="str">
        <f>IF(AND(A2245&gt;=SETTINGS!$B$4,A2245&lt;=SETTINGS!$B$5),"Yes","No")</f>
        <v>No</v>
      </c>
      <c r="D2245" t="str">
        <f>IFERROR(INDEX(SETTINGS!$C$15:$C$24,MATCH(A2245,SETTINGS!$A$15:$A$24,0)),"No")</f>
        <v>No</v>
      </c>
      <c r="E2245">
        <v>11</v>
      </c>
      <c r="F2245" t="s">
        <v>44</v>
      </c>
      <c r="G2245">
        <v>250</v>
      </c>
      <c r="H2245" t="s">
        <v>91</v>
      </c>
      <c r="I2245" t="s">
        <v>89</v>
      </c>
      <c r="J2245" t="s">
        <v>11</v>
      </c>
      <c r="K2245" t="s">
        <v>12</v>
      </c>
      <c r="L2245" s="36">
        <f ca="1">IF(C2245&lt;&gt;"Yes",0,IF(A2245=2025,N('2025'!D250),IF(A2245=2026,N('2026'!D250),IF(A2245=2027,N('2027'!D250),IF(A2245=2028,N('2028'!D250),IF(A2245=2029,N('2029'!D250),IF(A2245=2030,N('2030'!D250),IF(A2245=2031,N('2031'!D250),IF(A2245=2032,N('2032'!D250),IF(A2245=2033,N('2033'!D250),IF(A2245=2034,N('2034'!D250),IFERROR(N(INDIRECT("'"&amp;A2245&amp;"'!D"&amp;G2245)),0))))))))))))</f>
        <v>0</v>
      </c>
      <c r="M2245" s="36">
        <f>IFERROR(IF(NOT(ISBLANK(KPI_TARGETS!$P$6)),KPI_TARGETS!$P$6,IF(NOT(ISBLANK(KPI_TARGETS!$F$6)),KPI_TARGETS!$F$6,"")),"")</f>
        <v>4000</v>
      </c>
      <c r="N2245" s="36" t="str">
        <f>IFERROR(KPI_TARGETS!$E$6,"Higher is better")</f>
        <v>Higher is better</v>
      </c>
      <c r="O2245" s="37">
        <f t="shared" ca="1" si="210"/>
        <v>0</v>
      </c>
      <c r="P2245" t="str">
        <f t="shared" ca="1" si="211"/>
        <v>Red</v>
      </c>
      <c r="Q2245" s="36">
        <f t="shared" ca="1" si="212"/>
        <v>-4000</v>
      </c>
      <c r="R2245" s="36" t="str">
        <f>""</f>
        <v/>
      </c>
      <c r="S2245" s="36" t="str">
        <f>""</f>
        <v/>
      </c>
      <c r="T2245" s="36" t="str">
        <f>""</f>
        <v/>
      </c>
      <c r="U2245" s="36" t="str">
        <f>""</f>
        <v/>
      </c>
      <c r="V2245" s="36" t="str">
        <f>""</f>
        <v/>
      </c>
      <c r="W2245" s="36">
        <f t="shared" si="213"/>
        <v>1</v>
      </c>
      <c r="X2245" t="str">
        <f t="shared" si="214"/>
        <v>Inactive</v>
      </c>
      <c r="Y2245" t="str">
        <f>IF(MAIN!$H$3="Selected Year",IF(A2245=MAIN!$B$3,"Yes","No"),IF(MAIN!$H$3="Included Years",IF(D2245="Yes","Yes","No"),IF(C2245="Yes","Yes","No")))</f>
        <v>No</v>
      </c>
      <c r="Z2245" t="str">
        <f>IF(MAIN!$F$3="Project to Date",IF(AND(A2245&gt;=SETTINGS!$B$4,A2245&lt;MAIN!$B$3),"Yes",IF(AND(A2245=MAIN!$B$3,E2245&lt;=MAIN!$L$3),"Yes","No")),IF(OR(MAIN!$F$3="Full Year",MAIN!$D$3="All"),"Yes",IF(MAIN!$F$3="Monthly",IF(E2245=MAIN!$L$3,"Yes","No"),IF(E2245&lt;=MAIN!$L$3,"Yes","No"))))</f>
        <v>Yes</v>
      </c>
      <c r="AA2245" t="str">
        <f t="shared" si="215"/>
        <v>No</v>
      </c>
    </row>
    <row r="2246" spans="1:27" x14ac:dyDescent="0.3">
      <c r="A2246">
        <f>INDEX(SETTINGS!$A$15:$A$24,$B2246)</f>
        <v>2034</v>
      </c>
      <c r="B2246">
        <v>10</v>
      </c>
      <c r="C2246" t="str">
        <f>IF(AND(A2246&gt;=SETTINGS!$B$4,A2246&lt;=SETTINGS!$B$5),"Yes","No")</f>
        <v>No</v>
      </c>
      <c r="D2246" t="str">
        <f>IFERROR(INDEX(SETTINGS!$C$15:$C$24,MATCH(A2246,SETTINGS!$A$15:$A$24,0)),"No")</f>
        <v>No</v>
      </c>
      <c r="E2246">
        <v>11</v>
      </c>
      <c r="F2246" t="s">
        <v>44</v>
      </c>
      <c r="G2246">
        <v>251</v>
      </c>
      <c r="H2246" t="s">
        <v>93</v>
      </c>
      <c r="I2246" t="s">
        <v>89</v>
      </c>
      <c r="J2246" t="s">
        <v>13</v>
      </c>
      <c r="K2246" t="s">
        <v>14</v>
      </c>
      <c r="L2246" s="36">
        <f ca="1">IF(C2246&lt;&gt;"Yes",0,IF(A2246=2025,N('2025'!D251),IF(A2246=2026,N('2026'!D251),IF(A2246=2027,N('2027'!D251),IF(A2246=2028,N('2028'!D251),IF(A2246=2029,N('2029'!D251),IF(A2246=2030,N('2030'!D251),IF(A2246=2031,N('2031'!D251),IF(A2246=2032,N('2032'!D251),IF(A2246=2033,N('2033'!D251),IF(A2246=2034,N('2034'!D251),IFERROR(N(INDIRECT("'"&amp;A2246&amp;"'!D"&amp;G2246)),0))))))))))))</f>
        <v>0</v>
      </c>
      <c r="M2246" s="36">
        <f>IFERROR(IF(NOT(ISBLANK(KPI_TARGETS!$P$7)),KPI_TARGETS!$P$7,IF(NOT(ISBLANK(KPI_TARGETS!$F$7)),KPI_TARGETS!$F$7,"")),"")</f>
        <v>8000</v>
      </c>
      <c r="N2246" s="36" t="str">
        <f>IFERROR(KPI_TARGETS!$E$7,"Higher is better")</f>
        <v>Higher is better</v>
      </c>
      <c r="O2246" s="37">
        <f t="shared" ca="1" si="210"/>
        <v>0</v>
      </c>
      <c r="P2246" t="str">
        <f t="shared" ca="1" si="211"/>
        <v>Red</v>
      </c>
      <c r="Q2246" s="36">
        <f t="shared" ca="1" si="212"/>
        <v>-8000</v>
      </c>
      <c r="R2246" s="36" t="str">
        <f>""</f>
        <v/>
      </c>
      <c r="S2246" s="36" t="str">
        <f>""</f>
        <v/>
      </c>
      <c r="T2246" s="36" t="str">
        <f>""</f>
        <v/>
      </c>
      <c r="U2246" s="36" t="str">
        <f>""</f>
        <v/>
      </c>
      <c r="V2246" s="36" t="str">
        <f>""</f>
        <v/>
      </c>
      <c r="W2246" s="36">
        <f t="shared" si="213"/>
        <v>1</v>
      </c>
      <c r="X2246" t="str">
        <f t="shared" si="214"/>
        <v>Inactive</v>
      </c>
      <c r="Y2246" t="str">
        <f>IF(MAIN!$H$3="Selected Year",IF(A2246=MAIN!$B$3,"Yes","No"),IF(MAIN!$H$3="Included Years",IF(D2246="Yes","Yes","No"),IF(C2246="Yes","Yes","No")))</f>
        <v>No</v>
      </c>
      <c r="Z2246" t="str">
        <f>IF(MAIN!$F$3="Project to Date",IF(AND(A2246&gt;=SETTINGS!$B$4,A2246&lt;MAIN!$B$3),"Yes",IF(AND(A2246=MAIN!$B$3,E2246&lt;=MAIN!$L$3),"Yes","No")),IF(OR(MAIN!$F$3="Full Year",MAIN!$D$3="All"),"Yes",IF(MAIN!$F$3="Monthly",IF(E2246=MAIN!$L$3,"Yes","No"),IF(E2246&lt;=MAIN!$L$3,"Yes","No"))))</f>
        <v>Yes</v>
      </c>
      <c r="AA2246" t="str">
        <f t="shared" si="215"/>
        <v>No</v>
      </c>
    </row>
    <row r="2247" spans="1:27" x14ac:dyDescent="0.3">
      <c r="A2247">
        <f>INDEX(SETTINGS!$A$15:$A$24,$B2247)</f>
        <v>2034</v>
      </c>
      <c r="B2247">
        <v>10</v>
      </c>
      <c r="C2247" t="str">
        <f>IF(AND(A2247&gt;=SETTINGS!$B$4,A2247&lt;=SETTINGS!$B$5),"Yes","No")</f>
        <v>No</v>
      </c>
      <c r="D2247" t="str">
        <f>IFERROR(INDEX(SETTINGS!$C$15:$C$24,MATCH(A2247,SETTINGS!$A$15:$A$24,0)),"No")</f>
        <v>No</v>
      </c>
      <c r="E2247">
        <v>11</v>
      </c>
      <c r="F2247" t="s">
        <v>44</v>
      </c>
      <c r="G2247">
        <v>253</v>
      </c>
      <c r="H2247" t="s">
        <v>95</v>
      </c>
      <c r="I2247" t="s">
        <v>15</v>
      </c>
      <c r="J2247" t="s">
        <v>16</v>
      </c>
      <c r="K2247" t="s">
        <v>3</v>
      </c>
      <c r="L2247" s="36">
        <f ca="1">IF(C2247&lt;&gt;"Yes",0,IF(A2247=2025,N('2025'!D253),IF(A2247=2026,N('2026'!D253),IF(A2247=2027,N('2027'!D253),IF(A2247=2028,N('2028'!D253),IF(A2247=2029,N('2029'!D253),IF(A2247=2030,N('2030'!D253),IF(A2247=2031,N('2031'!D253),IF(A2247=2032,N('2032'!D253),IF(A2247=2033,N('2033'!D253),IF(A2247=2034,N('2034'!D253),IFERROR(N(INDIRECT("'"&amp;A2247&amp;"'!D"&amp;G2247)),0))))))))))))</f>
        <v>0</v>
      </c>
      <c r="M2247" s="36">
        <f>IFERROR(IF(NOT(ISBLANK(KPI_TARGETS!$P$8)),KPI_TARGETS!$P$8,IF(NOT(ISBLANK(KPI_TARGETS!$F$8)),KPI_TARGETS!$F$8,"")),"")</f>
        <v>0</v>
      </c>
      <c r="N2247" s="36" t="str">
        <f>IFERROR(KPI_TARGETS!$E$8,"Higher is better")</f>
        <v>Lower is better</v>
      </c>
      <c r="O2247" s="37">
        <f t="shared" ca="1" si="210"/>
        <v>1</v>
      </c>
      <c r="P2247" t="str">
        <f t="shared" ca="1" si="211"/>
        <v>Green</v>
      </c>
      <c r="Q2247" s="36">
        <f t="shared" ca="1" si="212"/>
        <v>0</v>
      </c>
      <c r="R2247" s="36" t="str">
        <f>""</f>
        <v/>
      </c>
      <c r="S2247" s="36" t="str">
        <f>""</f>
        <v/>
      </c>
      <c r="T2247" s="36" t="str">
        <f>""</f>
        <v/>
      </c>
      <c r="U2247" s="36" t="str">
        <f>""</f>
        <v/>
      </c>
      <c r="V2247" s="36" t="str">
        <f>""</f>
        <v/>
      </c>
      <c r="W2247" s="36">
        <f t="shared" si="213"/>
        <v>1</v>
      </c>
      <c r="X2247" t="str">
        <f t="shared" si="214"/>
        <v>Inactive</v>
      </c>
      <c r="Y2247" t="str">
        <f>IF(MAIN!$H$3="Selected Year",IF(A2247=MAIN!$B$3,"Yes","No"),IF(MAIN!$H$3="Included Years",IF(D2247="Yes","Yes","No"),IF(C2247="Yes","Yes","No")))</f>
        <v>No</v>
      </c>
      <c r="Z2247" t="str">
        <f>IF(MAIN!$F$3="Project to Date",IF(AND(A2247&gt;=SETTINGS!$B$4,A2247&lt;MAIN!$B$3),"Yes",IF(AND(A2247=MAIN!$B$3,E2247&lt;=MAIN!$L$3),"Yes","No")),IF(OR(MAIN!$F$3="Full Year",MAIN!$D$3="All"),"Yes",IF(MAIN!$F$3="Monthly",IF(E2247=MAIN!$L$3,"Yes","No"),IF(E2247&lt;=MAIN!$L$3,"Yes","No"))))</f>
        <v>Yes</v>
      </c>
      <c r="AA2247" t="str">
        <f t="shared" si="215"/>
        <v>No</v>
      </c>
    </row>
    <row r="2248" spans="1:27" x14ac:dyDescent="0.3">
      <c r="A2248">
        <f>INDEX(SETTINGS!$A$15:$A$24,$B2248)</f>
        <v>2034</v>
      </c>
      <c r="B2248">
        <v>10</v>
      </c>
      <c r="C2248" t="str">
        <f>IF(AND(A2248&gt;=SETTINGS!$B$4,A2248&lt;=SETTINGS!$B$5),"Yes","No")</f>
        <v>No</v>
      </c>
      <c r="D2248" t="str">
        <f>IFERROR(INDEX(SETTINGS!$C$15:$C$24,MATCH(A2248,SETTINGS!$A$15:$A$24,0)),"No")</f>
        <v>No</v>
      </c>
      <c r="E2248">
        <v>11</v>
      </c>
      <c r="F2248" t="s">
        <v>44</v>
      </c>
      <c r="G2248">
        <v>254</v>
      </c>
      <c r="H2248" t="s">
        <v>97</v>
      </c>
      <c r="I2248" t="s">
        <v>15</v>
      </c>
      <c r="J2248" t="s">
        <v>17</v>
      </c>
      <c r="K2248" t="s">
        <v>3</v>
      </c>
      <c r="L2248" s="36">
        <f ca="1">IF(C2248&lt;&gt;"Yes",0,IF(A2248=2025,N('2025'!D254),IF(A2248=2026,N('2026'!D254),IF(A2248=2027,N('2027'!D254),IF(A2248=2028,N('2028'!D254),IF(A2248=2029,N('2029'!D254),IF(A2248=2030,N('2030'!D254),IF(A2248=2031,N('2031'!D254),IF(A2248=2032,N('2032'!D254),IF(A2248=2033,N('2033'!D254),IF(A2248=2034,N('2034'!D254),IFERROR(N(INDIRECT("'"&amp;A2248&amp;"'!D"&amp;G2248)),0))))))))))))</f>
        <v>0</v>
      </c>
      <c r="M2248" s="36">
        <f>IFERROR(IF(NOT(ISBLANK(KPI_TARGETS!$P$9)),KPI_TARGETS!$P$9,IF(NOT(ISBLANK(KPI_TARGETS!$F$9)),KPI_TARGETS!$F$9,"")),"")</f>
        <v>0</v>
      </c>
      <c r="N2248" s="36" t="str">
        <f>IFERROR(KPI_TARGETS!$E$9,"Higher is better")</f>
        <v>Higher is better</v>
      </c>
      <c r="O2248" s="37" t="str">
        <f t="shared" ca="1" si="210"/>
        <v/>
      </c>
      <c r="P2248" t="str">
        <f t="shared" ca="1" si="211"/>
        <v>Green</v>
      </c>
      <c r="Q2248" s="36">
        <f t="shared" ca="1" si="212"/>
        <v>0</v>
      </c>
      <c r="R2248" s="36" t="str">
        <f>""</f>
        <v/>
      </c>
      <c r="S2248" s="36" t="str">
        <f>""</f>
        <v/>
      </c>
      <c r="T2248" s="36" t="str">
        <f>""</f>
        <v/>
      </c>
      <c r="U2248" s="36" t="str">
        <f>""</f>
        <v/>
      </c>
      <c r="V2248" s="36" t="str">
        <f>""</f>
        <v/>
      </c>
      <c r="W2248" s="36">
        <f t="shared" si="213"/>
        <v>1</v>
      </c>
      <c r="X2248" t="str">
        <f t="shared" si="214"/>
        <v>Inactive</v>
      </c>
      <c r="Y2248" t="str">
        <f>IF(MAIN!$H$3="Selected Year",IF(A2248=MAIN!$B$3,"Yes","No"),IF(MAIN!$H$3="Included Years",IF(D2248="Yes","Yes","No"),IF(C2248="Yes","Yes","No")))</f>
        <v>No</v>
      </c>
      <c r="Z2248" t="str">
        <f>IF(MAIN!$F$3="Project to Date",IF(AND(A2248&gt;=SETTINGS!$B$4,A2248&lt;MAIN!$B$3),"Yes",IF(AND(A2248=MAIN!$B$3,E2248&lt;=MAIN!$L$3),"Yes","No")),IF(OR(MAIN!$F$3="Full Year",MAIN!$D$3="All"),"Yes",IF(MAIN!$F$3="Monthly",IF(E2248=MAIN!$L$3,"Yes","No"),IF(E2248&lt;=MAIN!$L$3,"Yes","No"))))</f>
        <v>Yes</v>
      </c>
      <c r="AA2248" t="str">
        <f t="shared" si="215"/>
        <v>No</v>
      </c>
    </row>
    <row r="2249" spans="1:27" x14ac:dyDescent="0.3">
      <c r="A2249">
        <f>INDEX(SETTINGS!$A$15:$A$24,$B2249)</f>
        <v>2034</v>
      </c>
      <c r="B2249">
        <v>10</v>
      </c>
      <c r="C2249" t="str">
        <f>IF(AND(A2249&gt;=SETTINGS!$B$4,A2249&lt;=SETTINGS!$B$5),"Yes","No")</f>
        <v>No</v>
      </c>
      <c r="D2249" t="str">
        <f>IFERROR(INDEX(SETTINGS!$C$15:$C$24,MATCH(A2249,SETTINGS!$A$15:$A$24,0)),"No")</f>
        <v>No</v>
      </c>
      <c r="E2249">
        <v>11</v>
      </c>
      <c r="F2249" t="s">
        <v>44</v>
      </c>
      <c r="G2249">
        <v>255</v>
      </c>
      <c r="H2249" t="s">
        <v>99</v>
      </c>
      <c r="I2249" t="s">
        <v>15</v>
      </c>
      <c r="J2249" t="s">
        <v>18</v>
      </c>
      <c r="K2249" t="s">
        <v>3</v>
      </c>
      <c r="L2249" s="36">
        <f ca="1">IF(C2249&lt;&gt;"Yes",0,IF(A2249=2025,N('2025'!D255),IF(A2249=2026,N('2026'!D255),IF(A2249=2027,N('2027'!D255),IF(A2249=2028,N('2028'!D255),IF(A2249=2029,N('2029'!D255),IF(A2249=2030,N('2030'!D255),IF(A2249=2031,N('2031'!D255),IF(A2249=2032,N('2032'!D255),IF(A2249=2033,N('2033'!D255),IF(A2249=2034,N('2034'!D255),IFERROR(N(INDIRECT("'"&amp;A2249&amp;"'!D"&amp;G2249)),0))))))))))))</f>
        <v>0</v>
      </c>
      <c r="M2249" s="36">
        <f>IFERROR(IF(NOT(ISBLANK(KPI_TARGETS!$P$10)),KPI_TARGETS!$P$10,IF(NOT(ISBLANK(KPI_TARGETS!$F$10)),KPI_TARGETS!$F$10,"")),"")</f>
        <v>0</v>
      </c>
      <c r="N2249" s="36" t="str">
        <f>IFERROR(KPI_TARGETS!$E$10,"Higher is better")</f>
        <v>Lower is better</v>
      </c>
      <c r="O2249" s="37">
        <f t="shared" ca="1" si="210"/>
        <v>1</v>
      </c>
      <c r="P2249" t="str">
        <f t="shared" ca="1" si="211"/>
        <v>Green</v>
      </c>
      <c r="Q2249" s="36">
        <f t="shared" ca="1" si="212"/>
        <v>0</v>
      </c>
      <c r="R2249" s="36" t="str">
        <f>""</f>
        <v/>
      </c>
      <c r="S2249" s="36" t="str">
        <f>""</f>
        <v/>
      </c>
      <c r="T2249" s="36" t="str">
        <f>""</f>
        <v/>
      </c>
      <c r="U2249" s="36" t="str">
        <f>""</f>
        <v/>
      </c>
      <c r="V2249" s="36" t="str">
        <f>""</f>
        <v/>
      </c>
      <c r="W2249" s="36">
        <f t="shared" si="213"/>
        <v>1</v>
      </c>
      <c r="X2249" t="str">
        <f t="shared" si="214"/>
        <v>Inactive</v>
      </c>
      <c r="Y2249" t="str">
        <f>IF(MAIN!$H$3="Selected Year",IF(A2249=MAIN!$B$3,"Yes","No"),IF(MAIN!$H$3="Included Years",IF(D2249="Yes","Yes","No"),IF(C2249="Yes","Yes","No")))</f>
        <v>No</v>
      </c>
      <c r="Z2249" t="str">
        <f>IF(MAIN!$F$3="Project to Date",IF(AND(A2249&gt;=SETTINGS!$B$4,A2249&lt;MAIN!$B$3),"Yes",IF(AND(A2249=MAIN!$B$3,E2249&lt;=MAIN!$L$3),"Yes","No")),IF(OR(MAIN!$F$3="Full Year",MAIN!$D$3="All"),"Yes",IF(MAIN!$F$3="Monthly",IF(E2249=MAIN!$L$3,"Yes","No"),IF(E2249&lt;=MAIN!$L$3,"Yes","No"))))</f>
        <v>Yes</v>
      </c>
      <c r="AA2249" t="str">
        <f t="shared" si="215"/>
        <v>No</v>
      </c>
    </row>
    <row r="2250" spans="1:27" x14ac:dyDescent="0.3">
      <c r="A2250">
        <f>INDEX(SETTINGS!$A$15:$A$24,$B2250)</f>
        <v>2034</v>
      </c>
      <c r="B2250">
        <v>10</v>
      </c>
      <c r="C2250" t="str">
        <f>IF(AND(A2250&gt;=SETTINGS!$B$4,A2250&lt;=SETTINGS!$B$5),"Yes","No")</f>
        <v>No</v>
      </c>
      <c r="D2250" t="str">
        <f>IFERROR(INDEX(SETTINGS!$C$15:$C$24,MATCH(A2250,SETTINGS!$A$15:$A$24,0)),"No")</f>
        <v>No</v>
      </c>
      <c r="E2250">
        <v>11</v>
      </c>
      <c r="F2250" t="s">
        <v>44</v>
      </c>
      <c r="G2250">
        <v>256</v>
      </c>
      <c r="H2250" t="s">
        <v>100</v>
      </c>
      <c r="I2250" t="s">
        <v>15</v>
      </c>
      <c r="J2250" t="s">
        <v>19</v>
      </c>
      <c r="K2250" t="s">
        <v>3</v>
      </c>
      <c r="L2250" s="36">
        <f ca="1">IF(C2250&lt;&gt;"Yes",0,IF(A2250=2025,N('2025'!D256),IF(A2250=2026,N('2026'!D256),IF(A2250=2027,N('2027'!D256),IF(A2250=2028,N('2028'!D256),IF(A2250=2029,N('2029'!D256),IF(A2250=2030,N('2030'!D256),IF(A2250=2031,N('2031'!D256),IF(A2250=2032,N('2032'!D256),IF(A2250=2033,N('2033'!D256),IF(A2250=2034,N('2034'!D256),IFERROR(N(INDIRECT("'"&amp;A2250&amp;"'!D"&amp;G2250)),0))))))))))))</f>
        <v>0</v>
      </c>
      <c r="M2250" s="36">
        <f>IFERROR(IF(NOT(ISBLANK(KPI_TARGETS!$P$11)),KPI_TARGETS!$P$11,IF(NOT(ISBLANK(KPI_TARGETS!$F$11)),KPI_TARGETS!$F$11,"")),"")</f>
        <v>0</v>
      </c>
      <c r="N2250" s="36" t="str">
        <f>IFERROR(KPI_TARGETS!$E$11,"Higher is better")</f>
        <v>Lower is better</v>
      </c>
      <c r="O2250" s="37">
        <f t="shared" ca="1" si="210"/>
        <v>1</v>
      </c>
      <c r="P2250" t="str">
        <f t="shared" ca="1" si="211"/>
        <v>Green</v>
      </c>
      <c r="Q2250" s="36">
        <f t="shared" ca="1" si="212"/>
        <v>0</v>
      </c>
      <c r="R2250" s="36" t="str">
        <f>""</f>
        <v/>
      </c>
      <c r="S2250" s="36" t="str">
        <f>""</f>
        <v/>
      </c>
      <c r="T2250" s="36" t="str">
        <f>""</f>
        <v/>
      </c>
      <c r="U2250" s="36" t="str">
        <f>""</f>
        <v/>
      </c>
      <c r="V2250" s="36" t="str">
        <f>""</f>
        <v/>
      </c>
      <c r="W2250" s="36">
        <f t="shared" si="213"/>
        <v>1</v>
      </c>
      <c r="X2250" t="str">
        <f t="shared" si="214"/>
        <v>Inactive</v>
      </c>
      <c r="Y2250" t="str">
        <f>IF(MAIN!$H$3="Selected Year",IF(A2250=MAIN!$B$3,"Yes","No"),IF(MAIN!$H$3="Included Years",IF(D2250="Yes","Yes","No"),IF(C2250="Yes","Yes","No")))</f>
        <v>No</v>
      </c>
      <c r="Z2250" t="str">
        <f>IF(MAIN!$F$3="Project to Date",IF(AND(A2250&gt;=SETTINGS!$B$4,A2250&lt;MAIN!$B$3),"Yes",IF(AND(A2250=MAIN!$B$3,E2250&lt;=MAIN!$L$3),"Yes","No")),IF(OR(MAIN!$F$3="Full Year",MAIN!$D$3="All"),"Yes",IF(MAIN!$F$3="Monthly",IF(E2250=MAIN!$L$3,"Yes","No"),IF(E2250&lt;=MAIN!$L$3,"Yes","No"))))</f>
        <v>Yes</v>
      </c>
      <c r="AA2250" t="str">
        <f t="shared" si="215"/>
        <v>No</v>
      </c>
    </row>
    <row r="2251" spans="1:27" x14ac:dyDescent="0.3">
      <c r="A2251">
        <f>INDEX(SETTINGS!$A$15:$A$24,$B2251)</f>
        <v>2034</v>
      </c>
      <c r="B2251">
        <v>10</v>
      </c>
      <c r="C2251" t="str">
        <f>IF(AND(A2251&gt;=SETTINGS!$B$4,A2251&lt;=SETTINGS!$B$5),"Yes","No")</f>
        <v>No</v>
      </c>
      <c r="D2251" t="str">
        <f>IFERROR(INDEX(SETTINGS!$C$15:$C$24,MATCH(A2251,SETTINGS!$A$15:$A$24,0)),"No")</f>
        <v>No</v>
      </c>
      <c r="E2251">
        <v>11</v>
      </c>
      <c r="F2251" t="s">
        <v>44</v>
      </c>
      <c r="G2251">
        <v>257</v>
      </c>
      <c r="H2251" t="s">
        <v>101</v>
      </c>
      <c r="I2251" t="s">
        <v>15</v>
      </c>
      <c r="J2251" t="s">
        <v>20</v>
      </c>
      <c r="K2251" t="s">
        <v>3</v>
      </c>
      <c r="L2251" s="36">
        <f ca="1">IF(C2251&lt;&gt;"Yes",0,IF(A2251=2025,N('2025'!D257),IF(A2251=2026,N('2026'!D257),IF(A2251=2027,N('2027'!D257),IF(A2251=2028,N('2028'!D257),IF(A2251=2029,N('2029'!D257),IF(A2251=2030,N('2030'!D257),IF(A2251=2031,N('2031'!D257),IF(A2251=2032,N('2032'!D257),IF(A2251=2033,N('2033'!D257),IF(A2251=2034,N('2034'!D257),IFERROR(N(INDIRECT("'"&amp;A2251&amp;"'!D"&amp;G2251)),0))))))))))))</f>
        <v>0</v>
      </c>
      <c r="M2251" s="36">
        <f>IFERROR(IF(NOT(ISBLANK(KPI_TARGETS!$P$12)),KPI_TARGETS!$P$12,IF(NOT(ISBLANK(KPI_TARGETS!$F$12)),KPI_TARGETS!$F$12,"")),"")</f>
        <v>0</v>
      </c>
      <c r="N2251" s="36" t="str">
        <f>IFERROR(KPI_TARGETS!$E$12,"Higher is better")</f>
        <v>Lower is better</v>
      </c>
      <c r="O2251" s="37">
        <f t="shared" ca="1" si="210"/>
        <v>1</v>
      </c>
      <c r="P2251" t="str">
        <f t="shared" ca="1" si="211"/>
        <v>Green</v>
      </c>
      <c r="Q2251" s="36">
        <f t="shared" ca="1" si="212"/>
        <v>0</v>
      </c>
      <c r="R2251" s="36" t="str">
        <f>""</f>
        <v/>
      </c>
      <c r="S2251" s="36" t="str">
        <f>""</f>
        <v/>
      </c>
      <c r="T2251" s="36" t="str">
        <f>""</f>
        <v/>
      </c>
      <c r="U2251" s="36" t="str">
        <f>""</f>
        <v/>
      </c>
      <c r="V2251" s="36" t="str">
        <f>""</f>
        <v/>
      </c>
      <c r="W2251" s="36">
        <f t="shared" si="213"/>
        <v>1</v>
      </c>
      <c r="X2251" t="str">
        <f t="shared" si="214"/>
        <v>Inactive</v>
      </c>
      <c r="Y2251" t="str">
        <f>IF(MAIN!$H$3="Selected Year",IF(A2251=MAIN!$B$3,"Yes","No"),IF(MAIN!$H$3="Included Years",IF(D2251="Yes","Yes","No"),IF(C2251="Yes","Yes","No")))</f>
        <v>No</v>
      </c>
      <c r="Z2251" t="str">
        <f>IF(MAIN!$F$3="Project to Date",IF(AND(A2251&gt;=SETTINGS!$B$4,A2251&lt;MAIN!$B$3),"Yes",IF(AND(A2251=MAIN!$B$3,E2251&lt;=MAIN!$L$3),"Yes","No")),IF(OR(MAIN!$F$3="Full Year",MAIN!$D$3="All"),"Yes",IF(MAIN!$F$3="Monthly",IF(E2251=MAIN!$L$3,"Yes","No"),IF(E2251&lt;=MAIN!$L$3,"Yes","No"))))</f>
        <v>Yes</v>
      </c>
      <c r="AA2251" t="str">
        <f t="shared" si="215"/>
        <v>No</v>
      </c>
    </row>
    <row r="2252" spans="1:27" x14ac:dyDescent="0.3">
      <c r="A2252">
        <f>INDEX(SETTINGS!$A$15:$A$24,$B2252)</f>
        <v>2034</v>
      </c>
      <c r="B2252">
        <v>10</v>
      </c>
      <c r="C2252" t="str">
        <f>IF(AND(A2252&gt;=SETTINGS!$B$4,A2252&lt;=SETTINGS!$B$5),"Yes","No")</f>
        <v>No</v>
      </c>
      <c r="D2252" t="str">
        <f>IFERROR(INDEX(SETTINGS!$C$15:$C$24,MATCH(A2252,SETTINGS!$A$15:$A$24,0)),"No")</f>
        <v>No</v>
      </c>
      <c r="E2252">
        <v>11</v>
      </c>
      <c r="F2252" t="s">
        <v>44</v>
      </c>
      <c r="G2252">
        <v>258</v>
      </c>
      <c r="H2252" t="s">
        <v>102</v>
      </c>
      <c r="I2252" t="s">
        <v>15</v>
      </c>
      <c r="J2252" t="s">
        <v>21</v>
      </c>
      <c r="K2252" t="s">
        <v>3</v>
      </c>
      <c r="L2252" s="36">
        <f ca="1">IF(C2252&lt;&gt;"Yes",0,IF(A2252=2025,N('2025'!D258),IF(A2252=2026,N('2026'!D258),IF(A2252=2027,N('2027'!D258),IF(A2252=2028,N('2028'!D258),IF(A2252=2029,N('2029'!D258),IF(A2252=2030,N('2030'!D258),IF(A2252=2031,N('2031'!D258),IF(A2252=2032,N('2032'!D258),IF(A2252=2033,N('2033'!D258),IF(A2252=2034,N('2034'!D258),IFERROR(N(INDIRECT("'"&amp;A2252&amp;"'!D"&amp;G2252)),0))))))))))))</f>
        <v>0</v>
      </c>
      <c r="M2252" s="36">
        <f>IFERROR(IF(NOT(ISBLANK(KPI_TARGETS!$P$13)),KPI_TARGETS!$P$13,IF(NOT(ISBLANK(KPI_TARGETS!$F$13)),KPI_TARGETS!$F$13,"")),"")</f>
        <v>0</v>
      </c>
      <c r="N2252" s="36" t="str">
        <f>IFERROR(KPI_TARGETS!$E$13,"Higher is better")</f>
        <v>Lower is better</v>
      </c>
      <c r="O2252" s="37">
        <f t="shared" ca="1" si="210"/>
        <v>1</v>
      </c>
      <c r="P2252" t="str">
        <f t="shared" ca="1" si="211"/>
        <v>Green</v>
      </c>
      <c r="Q2252" s="36">
        <f t="shared" ca="1" si="212"/>
        <v>0</v>
      </c>
      <c r="R2252" s="36" t="str">
        <f>""</f>
        <v/>
      </c>
      <c r="S2252" s="36" t="str">
        <f>""</f>
        <v/>
      </c>
      <c r="T2252" s="36" t="str">
        <f>""</f>
        <v/>
      </c>
      <c r="U2252" s="36" t="str">
        <f>""</f>
        <v/>
      </c>
      <c r="V2252" s="36" t="str">
        <f>""</f>
        <v/>
      </c>
      <c r="W2252" s="36">
        <f t="shared" si="213"/>
        <v>1</v>
      </c>
      <c r="X2252" t="str">
        <f t="shared" si="214"/>
        <v>Inactive</v>
      </c>
      <c r="Y2252" t="str">
        <f>IF(MAIN!$H$3="Selected Year",IF(A2252=MAIN!$B$3,"Yes","No"),IF(MAIN!$H$3="Included Years",IF(D2252="Yes","Yes","No"),IF(C2252="Yes","Yes","No")))</f>
        <v>No</v>
      </c>
      <c r="Z2252" t="str">
        <f>IF(MAIN!$F$3="Project to Date",IF(AND(A2252&gt;=SETTINGS!$B$4,A2252&lt;MAIN!$B$3),"Yes",IF(AND(A2252=MAIN!$B$3,E2252&lt;=MAIN!$L$3),"Yes","No")),IF(OR(MAIN!$F$3="Full Year",MAIN!$D$3="All"),"Yes",IF(MAIN!$F$3="Monthly",IF(E2252=MAIN!$L$3,"Yes","No"),IF(E2252&lt;=MAIN!$L$3,"Yes","No"))))</f>
        <v>Yes</v>
      </c>
      <c r="AA2252" t="str">
        <f t="shared" si="215"/>
        <v>No</v>
      </c>
    </row>
    <row r="2253" spans="1:27" x14ac:dyDescent="0.3">
      <c r="A2253">
        <f>INDEX(SETTINGS!$A$15:$A$24,$B2253)</f>
        <v>2034</v>
      </c>
      <c r="B2253">
        <v>10</v>
      </c>
      <c r="C2253" t="str">
        <f>IF(AND(A2253&gt;=SETTINGS!$B$4,A2253&lt;=SETTINGS!$B$5),"Yes","No")</f>
        <v>No</v>
      </c>
      <c r="D2253" t="str">
        <f>IFERROR(INDEX(SETTINGS!$C$15:$C$24,MATCH(A2253,SETTINGS!$A$15:$A$24,0)),"No")</f>
        <v>No</v>
      </c>
      <c r="E2253">
        <v>11</v>
      </c>
      <c r="F2253" t="s">
        <v>44</v>
      </c>
      <c r="G2253">
        <v>260</v>
      </c>
      <c r="H2253" t="s">
        <v>103</v>
      </c>
      <c r="I2253" t="s">
        <v>22</v>
      </c>
      <c r="J2253" t="s">
        <v>23</v>
      </c>
      <c r="K2253" t="s">
        <v>3</v>
      </c>
      <c r="L2253" s="36">
        <f ca="1">IF(C2253&lt;&gt;"Yes",0,IF(A2253=2025,N('2025'!D260),IF(A2253=2026,N('2026'!D260),IF(A2253=2027,N('2027'!D260),IF(A2253=2028,N('2028'!D260),IF(A2253=2029,N('2029'!D260),IF(A2253=2030,N('2030'!D260),IF(A2253=2031,N('2031'!D260),IF(A2253=2032,N('2032'!D260),IF(A2253=2033,N('2033'!D260),IF(A2253=2034,N('2034'!D260),IFERROR(N(INDIRECT("'"&amp;A2253&amp;"'!D"&amp;G2253)),0))))))))))))</f>
        <v>0</v>
      </c>
      <c r="M2253" s="36">
        <f>IFERROR(IF(NOT(ISBLANK(KPI_TARGETS!$P$14)),KPI_TARGETS!$P$14,IF(NOT(ISBLANK(KPI_TARGETS!$F$14)),KPI_TARGETS!$F$14,"")),"")</f>
        <v>35</v>
      </c>
      <c r="N2253" s="36" t="str">
        <f>IFERROR(KPI_TARGETS!$E$14,"Higher is better")</f>
        <v>Higher is better</v>
      </c>
      <c r="O2253" s="37">
        <f t="shared" ca="1" si="210"/>
        <v>0</v>
      </c>
      <c r="P2253" t="str">
        <f t="shared" ca="1" si="211"/>
        <v>Red</v>
      </c>
      <c r="Q2253" s="36">
        <f t="shared" ca="1" si="212"/>
        <v>-35</v>
      </c>
      <c r="R2253" s="36" t="str">
        <f>""</f>
        <v/>
      </c>
      <c r="S2253" s="36" t="str">
        <f>""</f>
        <v/>
      </c>
      <c r="T2253" s="36" t="str">
        <f>""</f>
        <v/>
      </c>
      <c r="U2253" s="36" t="str">
        <f>""</f>
        <v/>
      </c>
      <c r="V2253" s="36" t="str">
        <f>""</f>
        <v/>
      </c>
      <c r="W2253" s="36">
        <f t="shared" si="213"/>
        <v>1</v>
      </c>
      <c r="X2253" t="str">
        <f t="shared" si="214"/>
        <v>Inactive</v>
      </c>
      <c r="Y2253" t="str">
        <f>IF(MAIN!$H$3="Selected Year",IF(A2253=MAIN!$B$3,"Yes","No"),IF(MAIN!$H$3="Included Years",IF(D2253="Yes","Yes","No"),IF(C2253="Yes","Yes","No")))</f>
        <v>No</v>
      </c>
      <c r="Z2253" t="str">
        <f>IF(MAIN!$F$3="Project to Date",IF(AND(A2253&gt;=SETTINGS!$B$4,A2253&lt;MAIN!$B$3),"Yes",IF(AND(A2253=MAIN!$B$3,E2253&lt;=MAIN!$L$3),"Yes","No")),IF(OR(MAIN!$F$3="Full Year",MAIN!$D$3="All"),"Yes",IF(MAIN!$F$3="Monthly",IF(E2253=MAIN!$L$3,"Yes","No"),IF(E2253&lt;=MAIN!$L$3,"Yes","No"))))</f>
        <v>Yes</v>
      </c>
      <c r="AA2253" t="str">
        <f t="shared" si="215"/>
        <v>No</v>
      </c>
    </row>
    <row r="2254" spans="1:27" x14ac:dyDescent="0.3">
      <c r="A2254">
        <f>INDEX(SETTINGS!$A$15:$A$24,$B2254)</f>
        <v>2034</v>
      </c>
      <c r="B2254">
        <v>10</v>
      </c>
      <c r="C2254" t="str">
        <f>IF(AND(A2254&gt;=SETTINGS!$B$4,A2254&lt;=SETTINGS!$B$5),"Yes","No")</f>
        <v>No</v>
      </c>
      <c r="D2254" t="str">
        <f>IFERROR(INDEX(SETTINGS!$C$15:$C$24,MATCH(A2254,SETTINGS!$A$15:$A$24,0)),"No")</f>
        <v>No</v>
      </c>
      <c r="E2254">
        <v>11</v>
      </c>
      <c r="F2254" t="s">
        <v>44</v>
      </c>
      <c r="G2254">
        <v>261</v>
      </c>
      <c r="H2254" t="s">
        <v>104</v>
      </c>
      <c r="I2254" t="s">
        <v>22</v>
      </c>
      <c r="J2254" t="s">
        <v>24</v>
      </c>
      <c r="K2254" t="s">
        <v>3</v>
      </c>
      <c r="L2254" s="36">
        <f ca="1">IF(C2254&lt;&gt;"Yes",0,IF(A2254=2025,N('2025'!D261),IF(A2254=2026,N('2026'!D261),IF(A2254=2027,N('2027'!D261),IF(A2254=2028,N('2028'!D261),IF(A2254=2029,N('2029'!D261),IF(A2254=2030,N('2030'!D261),IF(A2254=2031,N('2031'!D261),IF(A2254=2032,N('2032'!D261),IF(A2254=2033,N('2033'!D261),IF(A2254=2034,N('2034'!D261),IFERROR(N(INDIRECT("'"&amp;A2254&amp;"'!D"&amp;G2254)),0))))))))))))</f>
        <v>0</v>
      </c>
      <c r="M2254" s="36">
        <f>IFERROR(IF(NOT(ISBLANK(KPI_TARGETS!$P$15)),KPI_TARGETS!$P$15,IF(NOT(ISBLANK(KPI_TARGETS!$F$15)),KPI_TARGETS!$F$15,"")),"")</f>
        <v>5</v>
      </c>
      <c r="N2254" s="36" t="str">
        <f>IFERROR(KPI_TARGETS!$E$15,"Higher is better")</f>
        <v>Higher is better</v>
      </c>
      <c r="O2254" s="37">
        <f t="shared" ca="1" si="210"/>
        <v>0</v>
      </c>
      <c r="P2254" t="str">
        <f t="shared" ca="1" si="211"/>
        <v>Red</v>
      </c>
      <c r="Q2254" s="36">
        <f t="shared" ca="1" si="212"/>
        <v>-5</v>
      </c>
      <c r="R2254" s="36" t="str">
        <f>""</f>
        <v/>
      </c>
      <c r="S2254" s="36" t="str">
        <f>""</f>
        <v/>
      </c>
      <c r="T2254" s="36" t="str">
        <f>""</f>
        <v/>
      </c>
      <c r="U2254" s="36" t="str">
        <f>""</f>
        <v/>
      </c>
      <c r="V2254" s="36" t="str">
        <f>""</f>
        <v/>
      </c>
      <c r="W2254" s="36">
        <f t="shared" si="213"/>
        <v>1</v>
      </c>
      <c r="X2254" t="str">
        <f t="shared" si="214"/>
        <v>Inactive</v>
      </c>
      <c r="Y2254" t="str">
        <f>IF(MAIN!$H$3="Selected Year",IF(A2254=MAIN!$B$3,"Yes","No"),IF(MAIN!$H$3="Included Years",IF(D2254="Yes","Yes","No"),IF(C2254="Yes","Yes","No")))</f>
        <v>No</v>
      </c>
      <c r="Z2254" t="str">
        <f>IF(MAIN!$F$3="Project to Date",IF(AND(A2254&gt;=SETTINGS!$B$4,A2254&lt;MAIN!$B$3),"Yes",IF(AND(A2254=MAIN!$B$3,E2254&lt;=MAIN!$L$3),"Yes","No")),IF(OR(MAIN!$F$3="Full Year",MAIN!$D$3="All"),"Yes",IF(MAIN!$F$3="Monthly",IF(E2254=MAIN!$L$3,"Yes","No"),IF(E2254&lt;=MAIN!$L$3,"Yes","No"))))</f>
        <v>Yes</v>
      </c>
      <c r="AA2254" t="str">
        <f t="shared" si="215"/>
        <v>No</v>
      </c>
    </row>
    <row r="2255" spans="1:27" x14ac:dyDescent="0.3">
      <c r="A2255">
        <f>INDEX(SETTINGS!$A$15:$A$24,$B2255)</f>
        <v>2034</v>
      </c>
      <c r="B2255">
        <v>10</v>
      </c>
      <c r="C2255" t="str">
        <f>IF(AND(A2255&gt;=SETTINGS!$B$4,A2255&lt;=SETTINGS!$B$5),"Yes","No")</f>
        <v>No</v>
      </c>
      <c r="D2255" t="str">
        <f>IFERROR(INDEX(SETTINGS!$C$15:$C$24,MATCH(A2255,SETTINGS!$A$15:$A$24,0)),"No")</f>
        <v>No</v>
      </c>
      <c r="E2255">
        <v>11</v>
      </c>
      <c r="F2255" t="s">
        <v>44</v>
      </c>
      <c r="G2255">
        <v>262</v>
      </c>
      <c r="H2255" t="s">
        <v>105</v>
      </c>
      <c r="I2255" t="s">
        <v>22</v>
      </c>
      <c r="J2255" t="s">
        <v>25</v>
      </c>
      <c r="K2255" t="s">
        <v>3</v>
      </c>
      <c r="L2255" s="36">
        <f ca="1">IF(C2255&lt;&gt;"Yes",0,IF(A2255=2025,N('2025'!D262),IF(A2255=2026,N('2026'!D262),IF(A2255=2027,N('2027'!D262),IF(A2255=2028,N('2028'!D262),IF(A2255=2029,N('2029'!D262),IF(A2255=2030,N('2030'!D262),IF(A2255=2031,N('2031'!D262),IF(A2255=2032,N('2032'!D262),IF(A2255=2033,N('2033'!D262),IF(A2255=2034,N('2034'!D262),IFERROR(N(INDIRECT("'"&amp;A2255&amp;"'!D"&amp;G2255)),0))))))))))))</f>
        <v>0</v>
      </c>
      <c r="M2255" s="36">
        <f>IFERROR(IF(NOT(ISBLANK(KPI_TARGETS!$P$16)),KPI_TARGETS!$P$16,IF(NOT(ISBLANK(KPI_TARGETS!$F$16)),KPI_TARGETS!$F$16,"")),"")</f>
        <v>4</v>
      </c>
      <c r="N2255" s="36" t="str">
        <f>IFERROR(KPI_TARGETS!$E$16,"Higher is better")</f>
        <v>Higher is better</v>
      </c>
      <c r="O2255" s="37">
        <f t="shared" ca="1" si="210"/>
        <v>0</v>
      </c>
      <c r="P2255" t="str">
        <f t="shared" ca="1" si="211"/>
        <v>Red</v>
      </c>
      <c r="Q2255" s="36">
        <f t="shared" ca="1" si="212"/>
        <v>-4</v>
      </c>
      <c r="R2255" s="36" t="str">
        <f>""</f>
        <v/>
      </c>
      <c r="S2255" s="36" t="str">
        <f>""</f>
        <v/>
      </c>
      <c r="T2255" s="36" t="str">
        <f>""</f>
        <v/>
      </c>
      <c r="U2255" s="36" t="str">
        <f>""</f>
        <v/>
      </c>
      <c r="V2255" s="36" t="str">
        <f>""</f>
        <v/>
      </c>
      <c r="W2255" s="36">
        <f t="shared" si="213"/>
        <v>1</v>
      </c>
      <c r="X2255" t="str">
        <f t="shared" si="214"/>
        <v>Inactive</v>
      </c>
      <c r="Y2255" t="str">
        <f>IF(MAIN!$H$3="Selected Year",IF(A2255=MAIN!$B$3,"Yes","No"),IF(MAIN!$H$3="Included Years",IF(D2255="Yes","Yes","No"),IF(C2255="Yes","Yes","No")))</f>
        <v>No</v>
      </c>
      <c r="Z2255" t="str">
        <f>IF(MAIN!$F$3="Project to Date",IF(AND(A2255&gt;=SETTINGS!$B$4,A2255&lt;MAIN!$B$3),"Yes",IF(AND(A2255=MAIN!$B$3,E2255&lt;=MAIN!$L$3),"Yes","No")),IF(OR(MAIN!$F$3="Full Year",MAIN!$D$3="All"),"Yes",IF(MAIN!$F$3="Monthly",IF(E2255=MAIN!$L$3,"Yes","No"),IF(E2255&lt;=MAIN!$L$3,"Yes","No"))))</f>
        <v>Yes</v>
      </c>
      <c r="AA2255" t="str">
        <f t="shared" si="215"/>
        <v>No</v>
      </c>
    </row>
    <row r="2256" spans="1:27" x14ac:dyDescent="0.3">
      <c r="A2256">
        <f>INDEX(SETTINGS!$A$15:$A$24,$B2256)</f>
        <v>2034</v>
      </c>
      <c r="B2256">
        <v>10</v>
      </c>
      <c r="C2256" t="str">
        <f>IF(AND(A2256&gt;=SETTINGS!$B$4,A2256&lt;=SETTINGS!$B$5),"Yes","No")</f>
        <v>No</v>
      </c>
      <c r="D2256" t="str">
        <f>IFERROR(INDEX(SETTINGS!$C$15:$C$24,MATCH(A2256,SETTINGS!$A$15:$A$24,0)),"No")</f>
        <v>No</v>
      </c>
      <c r="E2256">
        <v>11</v>
      </c>
      <c r="F2256" t="s">
        <v>44</v>
      </c>
      <c r="G2256">
        <v>263</v>
      </c>
      <c r="H2256" t="s">
        <v>106</v>
      </c>
      <c r="I2256" t="s">
        <v>22</v>
      </c>
      <c r="J2256" t="s">
        <v>26</v>
      </c>
      <c r="K2256" t="s">
        <v>3</v>
      </c>
      <c r="L2256" s="36">
        <f ca="1">IF(C2256&lt;&gt;"Yes",0,IF(A2256=2025,N('2025'!D263),IF(A2256=2026,N('2026'!D263),IF(A2256=2027,N('2027'!D263),IF(A2256=2028,N('2028'!D263),IF(A2256=2029,N('2029'!D263),IF(A2256=2030,N('2030'!D263),IF(A2256=2031,N('2031'!D263),IF(A2256=2032,N('2032'!D263),IF(A2256=2033,N('2033'!D263),IF(A2256=2034,N('2034'!D263),IFERROR(N(INDIRECT("'"&amp;A2256&amp;"'!D"&amp;G2256)),0))))))))))))</f>
        <v>0</v>
      </c>
      <c r="M2256" s="36">
        <f>IFERROR(IF(NOT(ISBLANK(KPI_TARGETS!$P$17)),KPI_TARGETS!$P$17,IF(NOT(ISBLANK(KPI_TARGETS!$F$17)),KPI_TARGETS!$F$17,"")),"")</f>
        <v>12</v>
      </c>
      <c r="N2256" s="36" t="str">
        <f>IFERROR(KPI_TARGETS!$E$17,"Higher is better")</f>
        <v>Higher is better</v>
      </c>
      <c r="O2256" s="37">
        <f t="shared" ca="1" si="210"/>
        <v>0</v>
      </c>
      <c r="P2256" t="str">
        <f t="shared" ca="1" si="211"/>
        <v>Red</v>
      </c>
      <c r="Q2256" s="36">
        <f t="shared" ca="1" si="212"/>
        <v>-12</v>
      </c>
      <c r="R2256" s="36" t="str">
        <f>""</f>
        <v/>
      </c>
      <c r="S2256" s="36" t="str">
        <f>""</f>
        <v/>
      </c>
      <c r="T2256" s="36" t="str">
        <f>""</f>
        <v/>
      </c>
      <c r="U2256" s="36" t="str">
        <f>""</f>
        <v/>
      </c>
      <c r="V2256" s="36" t="str">
        <f>""</f>
        <v/>
      </c>
      <c r="W2256" s="36">
        <f t="shared" si="213"/>
        <v>1</v>
      </c>
      <c r="X2256" t="str">
        <f t="shared" si="214"/>
        <v>Inactive</v>
      </c>
      <c r="Y2256" t="str">
        <f>IF(MAIN!$H$3="Selected Year",IF(A2256=MAIN!$B$3,"Yes","No"),IF(MAIN!$H$3="Included Years",IF(D2256="Yes","Yes","No"),IF(C2256="Yes","Yes","No")))</f>
        <v>No</v>
      </c>
      <c r="Z2256" t="str">
        <f>IF(MAIN!$F$3="Project to Date",IF(AND(A2256&gt;=SETTINGS!$B$4,A2256&lt;MAIN!$B$3),"Yes",IF(AND(A2256=MAIN!$B$3,E2256&lt;=MAIN!$L$3),"Yes","No")),IF(OR(MAIN!$F$3="Full Year",MAIN!$D$3="All"),"Yes",IF(MAIN!$F$3="Monthly",IF(E2256=MAIN!$L$3,"Yes","No"),IF(E2256&lt;=MAIN!$L$3,"Yes","No"))))</f>
        <v>Yes</v>
      </c>
      <c r="AA2256" t="str">
        <f t="shared" si="215"/>
        <v>No</v>
      </c>
    </row>
    <row r="2257" spans="1:27" x14ac:dyDescent="0.3">
      <c r="A2257">
        <f>INDEX(SETTINGS!$A$15:$A$24,$B2257)</f>
        <v>2034</v>
      </c>
      <c r="B2257">
        <v>10</v>
      </c>
      <c r="C2257" t="str">
        <f>IF(AND(A2257&gt;=SETTINGS!$B$4,A2257&lt;=SETTINGS!$B$5),"Yes","No")</f>
        <v>No</v>
      </c>
      <c r="D2257" t="str">
        <f>IFERROR(INDEX(SETTINGS!$C$15:$C$24,MATCH(A2257,SETTINGS!$A$15:$A$24,0)),"No")</f>
        <v>No</v>
      </c>
      <c r="E2257">
        <v>11</v>
      </c>
      <c r="F2257" t="s">
        <v>44</v>
      </c>
      <c r="G2257">
        <v>264</v>
      </c>
      <c r="H2257" t="s">
        <v>107</v>
      </c>
      <c r="I2257" t="s">
        <v>22</v>
      </c>
      <c r="J2257" t="s">
        <v>27</v>
      </c>
      <c r="K2257" t="s">
        <v>3</v>
      </c>
      <c r="L2257" s="36">
        <f ca="1">IF(C2257&lt;&gt;"Yes",0,IF(A2257=2025,N('2025'!D264),IF(A2257=2026,N('2026'!D264),IF(A2257=2027,N('2027'!D264),IF(A2257=2028,N('2028'!D264),IF(A2257=2029,N('2029'!D264),IF(A2257=2030,N('2030'!D264),IF(A2257=2031,N('2031'!D264),IF(A2257=2032,N('2032'!D264),IF(A2257=2033,N('2033'!D264),IF(A2257=2034,N('2034'!D264),IFERROR(N(INDIRECT("'"&amp;A2257&amp;"'!D"&amp;G2257)),0))))))))))))</f>
        <v>0</v>
      </c>
      <c r="M2257" s="36">
        <f>IFERROR(IF(NOT(ISBLANK(KPI_TARGETS!$P$18)),KPI_TARGETS!$P$18,IF(NOT(ISBLANK(KPI_TARGETS!$F$18)),KPI_TARGETS!$F$18,"")),"")</f>
        <v>4</v>
      </c>
      <c r="N2257" s="36" t="str">
        <f>IFERROR(KPI_TARGETS!$E$18,"Higher is better")</f>
        <v>Higher is better</v>
      </c>
      <c r="O2257" s="37">
        <f t="shared" ca="1" si="210"/>
        <v>0</v>
      </c>
      <c r="P2257" t="str">
        <f t="shared" ca="1" si="211"/>
        <v>Red</v>
      </c>
      <c r="Q2257" s="36">
        <f t="shared" ca="1" si="212"/>
        <v>-4</v>
      </c>
      <c r="R2257" s="36" t="str">
        <f>""</f>
        <v/>
      </c>
      <c r="S2257" s="36" t="str">
        <f>""</f>
        <v/>
      </c>
      <c r="T2257" s="36" t="str">
        <f>""</f>
        <v/>
      </c>
      <c r="U2257" s="36" t="str">
        <f>""</f>
        <v/>
      </c>
      <c r="V2257" s="36" t="str">
        <f>""</f>
        <v/>
      </c>
      <c r="W2257" s="36">
        <f t="shared" si="213"/>
        <v>1</v>
      </c>
      <c r="X2257" t="str">
        <f t="shared" si="214"/>
        <v>Inactive</v>
      </c>
      <c r="Y2257" t="str">
        <f>IF(MAIN!$H$3="Selected Year",IF(A2257=MAIN!$B$3,"Yes","No"),IF(MAIN!$H$3="Included Years",IF(D2257="Yes","Yes","No"),IF(C2257="Yes","Yes","No")))</f>
        <v>No</v>
      </c>
      <c r="Z2257" t="str">
        <f>IF(MAIN!$F$3="Project to Date",IF(AND(A2257&gt;=SETTINGS!$B$4,A2257&lt;MAIN!$B$3),"Yes",IF(AND(A2257=MAIN!$B$3,E2257&lt;=MAIN!$L$3),"Yes","No")),IF(OR(MAIN!$F$3="Full Year",MAIN!$D$3="All"),"Yes",IF(MAIN!$F$3="Monthly",IF(E2257=MAIN!$L$3,"Yes","No"),IF(E2257&lt;=MAIN!$L$3,"Yes","No"))))</f>
        <v>Yes</v>
      </c>
      <c r="AA2257" t="str">
        <f t="shared" si="215"/>
        <v>No</v>
      </c>
    </row>
    <row r="2258" spans="1:27" x14ac:dyDescent="0.3">
      <c r="A2258">
        <f>INDEX(SETTINGS!$A$15:$A$24,$B2258)</f>
        <v>2034</v>
      </c>
      <c r="B2258">
        <v>10</v>
      </c>
      <c r="C2258" t="str">
        <f>IF(AND(A2258&gt;=SETTINGS!$B$4,A2258&lt;=SETTINGS!$B$5),"Yes","No")</f>
        <v>No</v>
      </c>
      <c r="D2258" t="str">
        <f>IFERROR(INDEX(SETTINGS!$C$15:$C$24,MATCH(A2258,SETTINGS!$A$15:$A$24,0)),"No")</f>
        <v>No</v>
      </c>
      <c r="E2258">
        <v>11</v>
      </c>
      <c r="F2258" t="s">
        <v>44</v>
      </c>
      <c r="G2258">
        <v>265</v>
      </c>
      <c r="H2258" t="s">
        <v>108</v>
      </c>
      <c r="I2258" t="s">
        <v>22</v>
      </c>
      <c r="J2258" t="s">
        <v>28</v>
      </c>
      <c r="K2258" t="s">
        <v>3</v>
      </c>
      <c r="L2258" s="36">
        <f ca="1">IF(C2258&lt;&gt;"Yes",0,IF(A2258=2025,N('2025'!D265),IF(A2258=2026,N('2026'!D265),IF(A2258=2027,N('2027'!D265),IF(A2258=2028,N('2028'!D265),IF(A2258=2029,N('2029'!D265),IF(A2258=2030,N('2030'!D265),IF(A2258=2031,N('2031'!D265),IF(A2258=2032,N('2032'!D265),IF(A2258=2033,N('2033'!D265),IF(A2258=2034,N('2034'!D265),IFERROR(N(INDIRECT("'"&amp;A2258&amp;"'!D"&amp;G2258)),0))))))))))))</f>
        <v>0</v>
      </c>
      <c r="M2258" s="36">
        <f>IFERROR(IF(NOT(ISBLANK(KPI_TARGETS!$P$19)),KPI_TARGETS!$P$19,IF(NOT(ISBLANK(KPI_TARGETS!$F$19)),KPI_TARGETS!$F$19,"")),"")</f>
        <v>16</v>
      </c>
      <c r="N2258" s="36" t="str">
        <f>IFERROR(KPI_TARGETS!$E$19,"Higher is better")</f>
        <v>Higher is better</v>
      </c>
      <c r="O2258" s="37">
        <f t="shared" ca="1" si="210"/>
        <v>0</v>
      </c>
      <c r="P2258" t="str">
        <f t="shared" ca="1" si="211"/>
        <v>Red</v>
      </c>
      <c r="Q2258" s="36">
        <f t="shared" ca="1" si="212"/>
        <v>-16</v>
      </c>
      <c r="R2258" s="36" t="str">
        <f>""</f>
        <v/>
      </c>
      <c r="S2258" s="36" t="str">
        <f>""</f>
        <v/>
      </c>
      <c r="T2258" s="36" t="str">
        <f>""</f>
        <v/>
      </c>
      <c r="U2258" s="36" t="str">
        <f>""</f>
        <v/>
      </c>
      <c r="V2258" s="36" t="str">
        <f>""</f>
        <v/>
      </c>
      <c r="W2258" s="36">
        <f t="shared" si="213"/>
        <v>1</v>
      </c>
      <c r="X2258" t="str">
        <f t="shared" si="214"/>
        <v>Inactive</v>
      </c>
      <c r="Y2258" t="str">
        <f>IF(MAIN!$H$3="Selected Year",IF(A2258=MAIN!$B$3,"Yes","No"),IF(MAIN!$H$3="Included Years",IF(D2258="Yes","Yes","No"),IF(C2258="Yes","Yes","No")))</f>
        <v>No</v>
      </c>
      <c r="Z2258" t="str">
        <f>IF(MAIN!$F$3="Project to Date",IF(AND(A2258&gt;=SETTINGS!$B$4,A2258&lt;MAIN!$B$3),"Yes",IF(AND(A2258=MAIN!$B$3,E2258&lt;=MAIN!$L$3),"Yes","No")),IF(OR(MAIN!$F$3="Full Year",MAIN!$D$3="All"),"Yes",IF(MAIN!$F$3="Monthly",IF(E2258=MAIN!$L$3,"Yes","No"),IF(E2258&lt;=MAIN!$L$3,"Yes","No"))))</f>
        <v>Yes</v>
      </c>
      <c r="AA2258" t="str">
        <f t="shared" si="215"/>
        <v>No</v>
      </c>
    </row>
    <row r="2259" spans="1:27" x14ac:dyDescent="0.3">
      <c r="A2259">
        <f>INDEX(SETTINGS!$A$15:$A$24,$B2259)</f>
        <v>2034</v>
      </c>
      <c r="B2259">
        <v>10</v>
      </c>
      <c r="C2259" t="str">
        <f>IF(AND(A2259&gt;=SETTINGS!$B$4,A2259&lt;=SETTINGS!$B$5),"Yes","No")</f>
        <v>No</v>
      </c>
      <c r="D2259" t="str">
        <f>IFERROR(INDEX(SETTINGS!$C$15:$C$24,MATCH(A2259,SETTINGS!$A$15:$A$24,0)),"No")</f>
        <v>No</v>
      </c>
      <c r="E2259">
        <v>11</v>
      </c>
      <c r="F2259" t="s">
        <v>44</v>
      </c>
      <c r="G2259">
        <v>266</v>
      </c>
      <c r="H2259" t="s">
        <v>109</v>
      </c>
      <c r="I2259" t="s">
        <v>22</v>
      </c>
      <c r="J2259" t="s">
        <v>29</v>
      </c>
      <c r="K2259" t="s">
        <v>3</v>
      </c>
      <c r="L2259" s="36">
        <f ca="1">IF(C2259&lt;&gt;"Yes",0,IF(A2259=2025,N('2025'!D266),IF(A2259=2026,N('2026'!D266),IF(A2259=2027,N('2027'!D266),IF(A2259=2028,N('2028'!D266),IF(A2259=2029,N('2029'!D266),IF(A2259=2030,N('2030'!D266),IF(A2259=2031,N('2031'!D266),IF(A2259=2032,N('2032'!D266),IF(A2259=2033,N('2033'!D266),IF(A2259=2034,N('2034'!D266),IFERROR(N(INDIRECT("'"&amp;A2259&amp;"'!D"&amp;G2259)),0))))))))))))</f>
        <v>0</v>
      </c>
      <c r="M2259" s="36">
        <f>IFERROR(IF(NOT(ISBLANK(KPI_TARGETS!$P$20)),KPI_TARGETS!$P$20,IF(NOT(ISBLANK(KPI_TARGETS!$F$20)),KPI_TARGETS!$F$20,"")),"")</f>
        <v>1</v>
      </c>
      <c r="N2259" s="36" t="str">
        <f>IFERROR(KPI_TARGETS!$E$20,"Higher is better")</f>
        <v>Higher is better</v>
      </c>
      <c r="O2259" s="37">
        <f t="shared" ca="1" si="210"/>
        <v>0</v>
      </c>
      <c r="P2259" t="str">
        <f t="shared" ca="1" si="211"/>
        <v>Red</v>
      </c>
      <c r="Q2259" s="36">
        <f t="shared" ca="1" si="212"/>
        <v>-1</v>
      </c>
      <c r="R2259" s="36" t="str">
        <f>""</f>
        <v/>
      </c>
      <c r="S2259" s="36" t="str">
        <f>""</f>
        <v/>
      </c>
      <c r="T2259" s="36" t="str">
        <f>""</f>
        <v/>
      </c>
      <c r="U2259" s="36" t="str">
        <f>""</f>
        <v/>
      </c>
      <c r="V2259" s="36" t="str">
        <f>""</f>
        <v/>
      </c>
      <c r="W2259" s="36">
        <f t="shared" si="213"/>
        <v>1</v>
      </c>
      <c r="X2259" t="str">
        <f t="shared" si="214"/>
        <v>Inactive</v>
      </c>
      <c r="Y2259" t="str">
        <f>IF(MAIN!$H$3="Selected Year",IF(A2259=MAIN!$B$3,"Yes","No"),IF(MAIN!$H$3="Included Years",IF(D2259="Yes","Yes","No"),IF(C2259="Yes","Yes","No")))</f>
        <v>No</v>
      </c>
      <c r="Z2259" t="str">
        <f>IF(MAIN!$F$3="Project to Date",IF(AND(A2259&gt;=SETTINGS!$B$4,A2259&lt;MAIN!$B$3),"Yes",IF(AND(A2259=MAIN!$B$3,E2259&lt;=MAIN!$L$3),"Yes","No")),IF(OR(MAIN!$F$3="Full Year",MAIN!$D$3="All"),"Yes",IF(MAIN!$F$3="Monthly",IF(E2259=MAIN!$L$3,"Yes","No"),IF(E2259&lt;=MAIN!$L$3,"Yes","No"))))</f>
        <v>Yes</v>
      </c>
      <c r="AA2259" t="str">
        <f t="shared" si="215"/>
        <v>No</v>
      </c>
    </row>
    <row r="2260" spans="1:27" x14ac:dyDescent="0.3">
      <c r="A2260">
        <f>INDEX(SETTINGS!$A$15:$A$24,$B2260)</f>
        <v>2034</v>
      </c>
      <c r="B2260">
        <v>10</v>
      </c>
      <c r="C2260" t="str">
        <f>IF(AND(A2260&gt;=SETTINGS!$B$4,A2260&lt;=SETTINGS!$B$5),"Yes","No")</f>
        <v>No</v>
      </c>
      <c r="D2260" t="str">
        <f>IFERROR(INDEX(SETTINGS!$C$15:$C$24,MATCH(A2260,SETTINGS!$A$15:$A$24,0)),"No")</f>
        <v>No</v>
      </c>
      <c r="E2260">
        <v>11</v>
      </c>
      <c r="F2260" t="s">
        <v>44</v>
      </c>
      <c r="G2260">
        <v>268</v>
      </c>
      <c r="H2260" t="s">
        <v>110</v>
      </c>
      <c r="I2260" t="s">
        <v>30</v>
      </c>
      <c r="J2260" t="s">
        <v>31</v>
      </c>
      <c r="K2260" t="s">
        <v>3</v>
      </c>
      <c r="L2260" s="36">
        <f ca="1">IF(C2260&lt;&gt;"Yes",0,IF(A2260=2025,N('2025'!D268),IF(A2260=2026,N('2026'!D268),IF(A2260=2027,N('2027'!D268),IF(A2260=2028,N('2028'!D268),IF(A2260=2029,N('2029'!D268),IF(A2260=2030,N('2030'!D268),IF(A2260=2031,N('2031'!D268),IF(A2260=2032,N('2032'!D268),IF(A2260=2033,N('2033'!D268),IF(A2260=2034,N('2034'!D268),IFERROR(N(INDIRECT("'"&amp;A2260&amp;"'!D"&amp;G2260)),0))))))))))))</f>
        <v>0</v>
      </c>
      <c r="M2260" s="36">
        <f>IFERROR(IF(NOT(ISBLANK(KPI_TARGETS!$P$21)),KPI_TARGETS!$P$21,IF(NOT(ISBLANK(KPI_TARGETS!$F$21)),KPI_TARGETS!$F$21,"")),"")</f>
        <v>0</v>
      </c>
      <c r="N2260" s="36" t="str">
        <f>IFERROR(KPI_TARGETS!$E$21,"Higher is better")</f>
        <v>Lower is better</v>
      </c>
      <c r="O2260" s="37">
        <f t="shared" ca="1" si="210"/>
        <v>1</v>
      </c>
      <c r="P2260" t="str">
        <f t="shared" ca="1" si="211"/>
        <v>Green</v>
      </c>
      <c r="Q2260" s="36">
        <f t="shared" ca="1" si="212"/>
        <v>0</v>
      </c>
      <c r="R2260" s="36" t="str">
        <f>""</f>
        <v/>
      </c>
      <c r="S2260" s="36" t="str">
        <f>""</f>
        <v/>
      </c>
      <c r="T2260" s="36" t="str">
        <f>""</f>
        <v/>
      </c>
      <c r="U2260" s="36" t="str">
        <f>""</f>
        <v/>
      </c>
      <c r="V2260" s="36" t="str">
        <f>""</f>
        <v/>
      </c>
      <c r="W2260" s="36">
        <f t="shared" si="213"/>
        <v>1</v>
      </c>
      <c r="X2260" t="str">
        <f t="shared" si="214"/>
        <v>Inactive</v>
      </c>
      <c r="Y2260" t="str">
        <f>IF(MAIN!$H$3="Selected Year",IF(A2260=MAIN!$B$3,"Yes","No"),IF(MAIN!$H$3="Included Years",IF(D2260="Yes","Yes","No"),IF(C2260="Yes","Yes","No")))</f>
        <v>No</v>
      </c>
      <c r="Z2260" t="str">
        <f>IF(MAIN!$F$3="Project to Date",IF(AND(A2260&gt;=SETTINGS!$B$4,A2260&lt;MAIN!$B$3),"Yes",IF(AND(A2260=MAIN!$B$3,E2260&lt;=MAIN!$L$3),"Yes","No")),IF(OR(MAIN!$F$3="Full Year",MAIN!$D$3="All"),"Yes",IF(MAIN!$F$3="Monthly",IF(E2260=MAIN!$L$3,"Yes","No"),IF(E2260&lt;=MAIN!$L$3,"Yes","No"))))</f>
        <v>Yes</v>
      </c>
      <c r="AA2260" t="str">
        <f t="shared" si="215"/>
        <v>No</v>
      </c>
    </row>
    <row r="2261" spans="1:27" x14ac:dyDescent="0.3">
      <c r="A2261">
        <f>INDEX(SETTINGS!$A$15:$A$24,$B2261)</f>
        <v>2034</v>
      </c>
      <c r="B2261">
        <v>10</v>
      </c>
      <c r="C2261" t="str">
        <f>IF(AND(A2261&gt;=SETTINGS!$B$4,A2261&lt;=SETTINGS!$B$5),"Yes","No")</f>
        <v>No</v>
      </c>
      <c r="D2261" t="str">
        <f>IFERROR(INDEX(SETTINGS!$C$15:$C$24,MATCH(A2261,SETTINGS!$A$15:$A$24,0)),"No")</f>
        <v>No</v>
      </c>
      <c r="E2261">
        <v>11</v>
      </c>
      <c r="F2261" t="s">
        <v>44</v>
      </c>
      <c r="G2261">
        <v>269</v>
      </c>
      <c r="H2261" t="s">
        <v>111</v>
      </c>
      <c r="I2261" t="s">
        <v>30</v>
      </c>
      <c r="J2261" t="s">
        <v>32</v>
      </c>
      <c r="K2261" t="s">
        <v>3</v>
      </c>
      <c r="L2261" s="36">
        <f ca="1">IF(C2261&lt;&gt;"Yes",0,IF(A2261=2025,N('2025'!D269),IF(A2261=2026,N('2026'!D269),IF(A2261=2027,N('2027'!D269),IF(A2261=2028,N('2028'!D269),IF(A2261=2029,N('2029'!D269),IF(A2261=2030,N('2030'!D269),IF(A2261=2031,N('2031'!D269),IF(A2261=2032,N('2032'!D269),IF(A2261=2033,N('2033'!D269),IF(A2261=2034,N('2034'!D269),IFERROR(N(INDIRECT("'"&amp;A2261&amp;"'!D"&amp;G2261)),0))))))))))))</f>
        <v>0</v>
      </c>
      <c r="M2261" s="36">
        <f>IFERROR(IF(NOT(ISBLANK(KPI_TARGETS!$P$22)),KPI_TARGETS!$P$22,IF(NOT(ISBLANK(KPI_TARGETS!$F$22)),KPI_TARGETS!$F$22,"")),"")</f>
        <v>1</v>
      </c>
      <c r="N2261" s="36" t="str">
        <f>IFERROR(KPI_TARGETS!$E$22,"Higher is better")</f>
        <v>Higher is better</v>
      </c>
      <c r="O2261" s="37">
        <f t="shared" ca="1" si="210"/>
        <v>0</v>
      </c>
      <c r="P2261" t="str">
        <f t="shared" ca="1" si="211"/>
        <v>Red</v>
      </c>
      <c r="Q2261" s="36">
        <f t="shared" ca="1" si="212"/>
        <v>-1</v>
      </c>
      <c r="R2261" s="36" t="str">
        <f>""</f>
        <v/>
      </c>
      <c r="S2261" s="36" t="str">
        <f>""</f>
        <v/>
      </c>
      <c r="T2261" s="36" t="str">
        <f>""</f>
        <v/>
      </c>
      <c r="U2261" s="36" t="str">
        <f>""</f>
        <v/>
      </c>
      <c r="V2261" s="36" t="str">
        <f>""</f>
        <v/>
      </c>
      <c r="W2261" s="36">
        <f t="shared" si="213"/>
        <v>1</v>
      </c>
      <c r="X2261" t="str">
        <f t="shared" si="214"/>
        <v>Inactive</v>
      </c>
      <c r="Y2261" t="str">
        <f>IF(MAIN!$H$3="Selected Year",IF(A2261=MAIN!$B$3,"Yes","No"),IF(MAIN!$H$3="Included Years",IF(D2261="Yes","Yes","No"),IF(C2261="Yes","Yes","No")))</f>
        <v>No</v>
      </c>
      <c r="Z2261" t="str">
        <f>IF(MAIN!$F$3="Project to Date",IF(AND(A2261&gt;=SETTINGS!$B$4,A2261&lt;MAIN!$B$3),"Yes",IF(AND(A2261=MAIN!$B$3,E2261&lt;=MAIN!$L$3),"Yes","No")),IF(OR(MAIN!$F$3="Full Year",MAIN!$D$3="All"),"Yes",IF(MAIN!$F$3="Monthly",IF(E2261=MAIN!$L$3,"Yes","No"),IF(E2261&lt;=MAIN!$L$3,"Yes","No"))))</f>
        <v>Yes</v>
      </c>
      <c r="AA2261" t="str">
        <f t="shared" si="215"/>
        <v>No</v>
      </c>
    </row>
    <row r="2262" spans="1:27" x14ac:dyDescent="0.3">
      <c r="A2262">
        <f>INDEX(SETTINGS!$A$15:$A$24,$B2262)</f>
        <v>2034</v>
      </c>
      <c r="B2262">
        <v>10</v>
      </c>
      <c r="C2262" t="str">
        <f>IF(AND(A2262&gt;=SETTINGS!$B$4,A2262&lt;=SETTINGS!$B$5),"Yes","No")</f>
        <v>No</v>
      </c>
      <c r="D2262" t="str">
        <f>IFERROR(INDEX(SETTINGS!$C$15:$C$24,MATCH(A2262,SETTINGS!$A$15:$A$24,0)),"No")</f>
        <v>No</v>
      </c>
      <c r="E2262">
        <v>11</v>
      </c>
      <c r="F2262" t="s">
        <v>44</v>
      </c>
      <c r="G2262">
        <v>270</v>
      </c>
      <c r="H2262" t="s">
        <v>112</v>
      </c>
      <c r="I2262" t="s">
        <v>30</v>
      </c>
      <c r="J2262" t="s">
        <v>33</v>
      </c>
      <c r="K2262" t="s">
        <v>34</v>
      </c>
      <c r="L2262" s="36">
        <f ca="1">IF(C2262&lt;&gt;"Yes",0,IF(A2262=2025,N('2025'!D270),IF(A2262=2026,N('2026'!D270),IF(A2262=2027,N('2027'!D270),IF(A2262=2028,N('2028'!D270),IF(A2262=2029,N('2029'!D270),IF(A2262=2030,N('2030'!D270),IF(A2262=2031,N('2031'!D270),IF(A2262=2032,N('2032'!D270),IF(A2262=2033,N('2033'!D270),IF(A2262=2034,N('2034'!D270),IFERROR(N(INDIRECT("'"&amp;A2262&amp;"'!D"&amp;G2262)),0))))))))))))</f>
        <v>0</v>
      </c>
      <c r="M2262" s="36">
        <f>IFERROR(IF(NOT(ISBLANK(KPI_TARGETS!$P$23)),KPI_TARGETS!$P$23,IF(NOT(ISBLANK(KPI_TARGETS!$F$23)),KPI_TARGETS!$F$23,"")),"")</f>
        <v>1</v>
      </c>
      <c r="N2262" s="36" t="str">
        <f>IFERROR(KPI_TARGETS!$E$23,"Higher is better")</f>
        <v>Higher is better</v>
      </c>
      <c r="O2262" s="37">
        <f t="shared" ca="1" si="210"/>
        <v>0</v>
      </c>
      <c r="P2262" t="str">
        <f t="shared" ca="1" si="211"/>
        <v>Red</v>
      </c>
      <c r="Q2262" s="36">
        <f t="shared" ca="1" si="212"/>
        <v>-1</v>
      </c>
      <c r="R2262" s="36" t="str">
        <f>""</f>
        <v/>
      </c>
      <c r="S2262" s="36" t="str">
        <f>""</f>
        <v/>
      </c>
      <c r="T2262" s="36" t="str">
        <f>""</f>
        <v/>
      </c>
      <c r="U2262" s="36" t="str">
        <f>""</f>
        <v/>
      </c>
      <c r="V2262" s="36" t="str">
        <f>""</f>
        <v/>
      </c>
      <c r="W2262" s="36">
        <f t="shared" si="213"/>
        <v>1</v>
      </c>
      <c r="X2262" t="str">
        <f t="shared" si="214"/>
        <v>Inactive</v>
      </c>
      <c r="Y2262" t="str">
        <f>IF(MAIN!$H$3="Selected Year",IF(A2262=MAIN!$B$3,"Yes","No"),IF(MAIN!$H$3="Included Years",IF(D2262="Yes","Yes","No"),IF(C2262="Yes","Yes","No")))</f>
        <v>No</v>
      </c>
      <c r="Z2262" t="str">
        <f>IF(MAIN!$F$3="Project to Date",IF(AND(A2262&gt;=SETTINGS!$B$4,A2262&lt;MAIN!$B$3),"Yes",IF(AND(A2262=MAIN!$B$3,E2262&lt;=MAIN!$L$3),"Yes","No")),IF(OR(MAIN!$F$3="Full Year",MAIN!$D$3="All"),"Yes",IF(MAIN!$F$3="Monthly",IF(E2262=MAIN!$L$3,"Yes","No"),IF(E2262&lt;=MAIN!$L$3,"Yes","No"))))</f>
        <v>Yes</v>
      </c>
      <c r="AA2262" t="str">
        <f t="shared" si="215"/>
        <v>No</v>
      </c>
    </row>
    <row r="2263" spans="1:27" x14ac:dyDescent="0.3">
      <c r="A2263">
        <f>INDEX(SETTINGS!$A$15:$A$24,$B2263)</f>
        <v>2034</v>
      </c>
      <c r="B2263">
        <v>10</v>
      </c>
      <c r="C2263" t="str">
        <f>IF(AND(A2263&gt;=SETTINGS!$B$4,A2263&lt;=SETTINGS!$B$5),"Yes","No")</f>
        <v>No</v>
      </c>
      <c r="D2263" t="str">
        <f>IFERROR(INDEX(SETTINGS!$C$15:$C$24,MATCH(A2263,SETTINGS!$A$15:$A$24,0)),"No")</f>
        <v>No</v>
      </c>
      <c r="E2263">
        <v>12</v>
      </c>
      <c r="F2263" t="s">
        <v>45</v>
      </c>
      <c r="G2263">
        <v>273</v>
      </c>
      <c r="H2263" t="s">
        <v>88</v>
      </c>
      <c r="I2263" t="s">
        <v>89</v>
      </c>
      <c r="J2263" t="s">
        <v>10</v>
      </c>
      <c r="K2263" t="s">
        <v>3</v>
      </c>
      <c r="L2263" s="36">
        <f ca="1">IF(C2263&lt;&gt;"Yes",0,IF(A2263=2025,N('2025'!D273),IF(A2263=2026,N('2026'!D273),IF(A2263=2027,N('2027'!D273),IF(A2263=2028,N('2028'!D273),IF(A2263=2029,N('2029'!D273),IF(A2263=2030,N('2030'!D273),IF(A2263=2031,N('2031'!D273),IF(A2263=2032,N('2032'!D273),IF(A2263=2033,N('2033'!D273),IF(A2263=2034,N('2034'!D273),IFERROR(N(INDIRECT("'"&amp;A2263&amp;"'!D"&amp;G2263)),0))))))))))))</f>
        <v>0</v>
      </c>
      <c r="M2263" s="36">
        <f>IFERROR(IF(NOT(ISBLANK(KPI_TARGETS!$P$5)),KPI_TARGETS!$P$5,IF(NOT(ISBLANK(KPI_TARGETS!$F$5)),KPI_TARGETS!$F$5,"")),"")</f>
        <v>104</v>
      </c>
      <c r="N2263" s="36" t="str">
        <f>IFERROR(KPI_TARGETS!$E$5,"Higher is better")</f>
        <v>Higher is better</v>
      </c>
      <c r="O2263" s="37">
        <f t="shared" ca="1" si="210"/>
        <v>0</v>
      </c>
      <c r="P2263" t="str">
        <f t="shared" ca="1" si="211"/>
        <v>Red</v>
      </c>
      <c r="Q2263" s="36">
        <f t="shared" ca="1" si="212"/>
        <v>-104</v>
      </c>
      <c r="R2263" s="36" t="str">
        <f>""</f>
        <v/>
      </c>
      <c r="S2263" s="36" t="str">
        <f>""</f>
        <v/>
      </c>
      <c r="T2263" s="36" t="str">
        <f>""</f>
        <v/>
      </c>
      <c r="U2263" s="36" t="str">
        <f>""</f>
        <v/>
      </c>
      <c r="V2263" s="36" t="str">
        <f>""</f>
        <v/>
      </c>
      <c r="W2263" s="36">
        <f t="shared" si="213"/>
        <v>1</v>
      </c>
      <c r="X2263" t="str">
        <f t="shared" si="214"/>
        <v>Inactive</v>
      </c>
      <c r="Y2263" t="str">
        <f>IF(MAIN!$H$3="Selected Year",IF(A2263=MAIN!$B$3,"Yes","No"),IF(MAIN!$H$3="Included Years",IF(D2263="Yes","Yes","No"),IF(C2263="Yes","Yes","No")))</f>
        <v>No</v>
      </c>
      <c r="Z2263" t="str">
        <f>IF(MAIN!$F$3="Project to Date",IF(AND(A2263&gt;=SETTINGS!$B$4,A2263&lt;MAIN!$B$3),"Yes",IF(AND(A2263=MAIN!$B$3,E2263&lt;=MAIN!$L$3),"Yes","No")),IF(OR(MAIN!$F$3="Full Year",MAIN!$D$3="All"),"Yes",IF(MAIN!$F$3="Monthly",IF(E2263=MAIN!$L$3,"Yes","No"),IF(E2263&lt;=MAIN!$L$3,"Yes","No"))))</f>
        <v>Yes</v>
      </c>
      <c r="AA2263" t="str">
        <f t="shared" si="215"/>
        <v>No</v>
      </c>
    </row>
    <row r="2264" spans="1:27" x14ac:dyDescent="0.3">
      <c r="A2264">
        <f>INDEX(SETTINGS!$A$15:$A$24,$B2264)</f>
        <v>2034</v>
      </c>
      <c r="B2264">
        <v>10</v>
      </c>
      <c r="C2264" t="str">
        <f>IF(AND(A2264&gt;=SETTINGS!$B$4,A2264&lt;=SETTINGS!$B$5),"Yes","No")</f>
        <v>No</v>
      </c>
      <c r="D2264" t="str">
        <f>IFERROR(INDEX(SETTINGS!$C$15:$C$24,MATCH(A2264,SETTINGS!$A$15:$A$24,0)),"No")</f>
        <v>No</v>
      </c>
      <c r="E2264">
        <v>12</v>
      </c>
      <c r="F2264" t="s">
        <v>45</v>
      </c>
      <c r="G2264">
        <v>274</v>
      </c>
      <c r="H2264" t="s">
        <v>91</v>
      </c>
      <c r="I2264" t="s">
        <v>89</v>
      </c>
      <c r="J2264" t="s">
        <v>11</v>
      </c>
      <c r="K2264" t="s">
        <v>12</v>
      </c>
      <c r="L2264" s="36">
        <f ca="1">IF(C2264&lt;&gt;"Yes",0,IF(A2264=2025,N('2025'!D274),IF(A2264=2026,N('2026'!D274),IF(A2264=2027,N('2027'!D274),IF(A2264=2028,N('2028'!D274),IF(A2264=2029,N('2029'!D274),IF(A2264=2030,N('2030'!D274),IF(A2264=2031,N('2031'!D274),IF(A2264=2032,N('2032'!D274),IF(A2264=2033,N('2033'!D274),IF(A2264=2034,N('2034'!D274),IFERROR(N(INDIRECT("'"&amp;A2264&amp;"'!D"&amp;G2264)),0))))))))))))</f>
        <v>0</v>
      </c>
      <c r="M2264" s="36">
        <f>IFERROR(IF(NOT(ISBLANK(KPI_TARGETS!$P$6)),KPI_TARGETS!$P$6,IF(NOT(ISBLANK(KPI_TARGETS!$F$6)),KPI_TARGETS!$F$6,"")),"")</f>
        <v>4000</v>
      </c>
      <c r="N2264" s="36" t="str">
        <f>IFERROR(KPI_TARGETS!$E$6,"Higher is better")</f>
        <v>Higher is better</v>
      </c>
      <c r="O2264" s="37">
        <f t="shared" ca="1" si="210"/>
        <v>0</v>
      </c>
      <c r="P2264" t="str">
        <f t="shared" ca="1" si="211"/>
        <v>Red</v>
      </c>
      <c r="Q2264" s="36">
        <f t="shared" ca="1" si="212"/>
        <v>-4000</v>
      </c>
      <c r="R2264" s="36" t="str">
        <f>""</f>
        <v/>
      </c>
      <c r="S2264" s="36" t="str">
        <f>""</f>
        <v/>
      </c>
      <c r="T2264" s="36" t="str">
        <f>""</f>
        <v/>
      </c>
      <c r="U2264" s="36" t="str">
        <f>""</f>
        <v/>
      </c>
      <c r="V2264" s="36" t="str">
        <f>""</f>
        <v/>
      </c>
      <c r="W2264" s="36">
        <f t="shared" si="213"/>
        <v>1</v>
      </c>
      <c r="X2264" t="str">
        <f t="shared" si="214"/>
        <v>Inactive</v>
      </c>
      <c r="Y2264" t="str">
        <f>IF(MAIN!$H$3="Selected Year",IF(A2264=MAIN!$B$3,"Yes","No"),IF(MAIN!$H$3="Included Years",IF(D2264="Yes","Yes","No"),IF(C2264="Yes","Yes","No")))</f>
        <v>No</v>
      </c>
      <c r="Z2264" t="str">
        <f>IF(MAIN!$F$3="Project to Date",IF(AND(A2264&gt;=SETTINGS!$B$4,A2264&lt;MAIN!$B$3),"Yes",IF(AND(A2264=MAIN!$B$3,E2264&lt;=MAIN!$L$3),"Yes","No")),IF(OR(MAIN!$F$3="Full Year",MAIN!$D$3="All"),"Yes",IF(MAIN!$F$3="Monthly",IF(E2264=MAIN!$L$3,"Yes","No"),IF(E2264&lt;=MAIN!$L$3,"Yes","No"))))</f>
        <v>Yes</v>
      </c>
      <c r="AA2264" t="str">
        <f t="shared" si="215"/>
        <v>No</v>
      </c>
    </row>
    <row r="2265" spans="1:27" x14ac:dyDescent="0.3">
      <c r="A2265">
        <f>INDEX(SETTINGS!$A$15:$A$24,$B2265)</f>
        <v>2034</v>
      </c>
      <c r="B2265">
        <v>10</v>
      </c>
      <c r="C2265" t="str">
        <f>IF(AND(A2265&gt;=SETTINGS!$B$4,A2265&lt;=SETTINGS!$B$5),"Yes","No")</f>
        <v>No</v>
      </c>
      <c r="D2265" t="str">
        <f>IFERROR(INDEX(SETTINGS!$C$15:$C$24,MATCH(A2265,SETTINGS!$A$15:$A$24,0)),"No")</f>
        <v>No</v>
      </c>
      <c r="E2265">
        <v>12</v>
      </c>
      <c r="F2265" t="s">
        <v>45</v>
      </c>
      <c r="G2265">
        <v>275</v>
      </c>
      <c r="H2265" t="s">
        <v>93</v>
      </c>
      <c r="I2265" t="s">
        <v>89</v>
      </c>
      <c r="J2265" t="s">
        <v>13</v>
      </c>
      <c r="K2265" t="s">
        <v>14</v>
      </c>
      <c r="L2265" s="36">
        <f ca="1">IF(C2265&lt;&gt;"Yes",0,IF(A2265=2025,N('2025'!D275),IF(A2265=2026,N('2026'!D275),IF(A2265=2027,N('2027'!D275),IF(A2265=2028,N('2028'!D275),IF(A2265=2029,N('2029'!D275),IF(A2265=2030,N('2030'!D275),IF(A2265=2031,N('2031'!D275),IF(A2265=2032,N('2032'!D275),IF(A2265=2033,N('2033'!D275),IF(A2265=2034,N('2034'!D275),IFERROR(N(INDIRECT("'"&amp;A2265&amp;"'!D"&amp;G2265)),0))))))))))))</f>
        <v>0</v>
      </c>
      <c r="M2265" s="36">
        <f>IFERROR(IF(NOT(ISBLANK(KPI_TARGETS!$P$7)),KPI_TARGETS!$P$7,IF(NOT(ISBLANK(KPI_TARGETS!$F$7)),KPI_TARGETS!$F$7,"")),"")</f>
        <v>8000</v>
      </c>
      <c r="N2265" s="36" t="str">
        <f>IFERROR(KPI_TARGETS!$E$7,"Higher is better")</f>
        <v>Higher is better</v>
      </c>
      <c r="O2265" s="37">
        <f t="shared" ca="1" si="210"/>
        <v>0</v>
      </c>
      <c r="P2265" t="str">
        <f t="shared" ca="1" si="211"/>
        <v>Red</v>
      </c>
      <c r="Q2265" s="36">
        <f t="shared" ca="1" si="212"/>
        <v>-8000</v>
      </c>
      <c r="R2265" s="36" t="str">
        <f>""</f>
        <v/>
      </c>
      <c r="S2265" s="36" t="str">
        <f>""</f>
        <v/>
      </c>
      <c r="T2265" s="36" t="str">
        <f>""</f>
        <v/>
      </c>
      <c r="U2265" s="36" t="str">
        <f>""</f>
        <v/>
      </c>
      <c r="V2265" s="36" t="str">
        <f>""</f>
        <v/>
      </c>
      <c r="W2265" s="36">
        <f t="shared" si="213"/>
        <v>1</v>
      </c>
      <c r="X2265" t="str">
        <f t="shared" si="214"/>
        <v>Inactive</v>
      </c>
      <c r="Y2265" t="str">
        <f>IF(MAIN!$H$3="Selected Year",IF(A2265=MAIN!$B$3,"Yes","No"),IF(MAIN!$H$3="Included Years",IF(D2265="Yes","Yes","No"),IF(C2265="Yes","Yes","No")))</f>
        <v>No</v>
      </c>
      <c r="Z2265" t="str">
        <f>IF(MAIN!$F$3="Project to Date",IF(AND(A2265&gt;=SETTINGS!$B$4,A2265&lt;MAIN!$B$3),"Yes",IF(AND(A2265=MAIN!$B$3,E2265&lt;=MAIN!$L$3),"Yes","No")),IF(OR(MAIN!$F$3="Full Year",MAIN!$D$3="All"),"Yes",IF(MAIN!$F$3="Monthly",IF(E2265=MAIN!$L$3,"Yes","No"),IF(E2265&lt;=MAIN!$L$3,"Yes","No"))))</f>
        <v>Yes</v>
      </c>
      <c r="AA2265" t="str">
        <f t="shared" si="215"/>
        <v>No</v>
      </c>
    </row>
    <row r="2266" spans="1:27" x14ac:dyDescent="0.3">
      <c r="A2266">
        <f>INDEX(SETTINGS!$A$15:$A$24,$B2266)</f>
        <v>2034</v>
      </c>
      <c r="B2266">
        <v>10</v>
      </c>
      <c r="C2266" t="str">
        <f>IF(AND(A2266&gt;=SETTINGS!$B$4,A2266&lt;=SETTINGS!$B$5),"Yes","No")</f>
        <v>No</v>
      </c>
      <c r="D2266" t="str">
        <f>IFERROR(INDEX(SETTINGS!$C$15:$C$24,MATCH(A2266,SETTINGS!$A$15:$A$24,0)),"No")</f>
        <v>No</v>
      </c>
      <c r="E2266">
        <v>12</v>
      </c>
      <c r="F2266" t="s">
        <v>45</v>
      </c>
      <c r="G2266">
        <v>277</v>
      </c>
      <c r="H2266" t="s">
        <v>95</v>
      </c>
      <c r="I2266" t="s">
        <v>15</v>
      </c>
      <c r="J2266" t="s">
        <v>16</v>
      </c>
      <c r="K2266" t="s">
        <v>3</v>
      </c>
      <c r="L2266" s="36">
        <f ca="1">IF(C2266&lt;&gt;"Yes",0,IF(A2266=2025,N('2025'!D277),IF(A2266=2026,N('2026'!D277),IF(A2266=2027,N('2027'!D277),IF(A2266=2028,N('2028'!D277),IF(A2266=2029,N('2029'!D277),IF(A2266=2030,N('2030'!D277),IF(A2266=2031,N('2031'!D277),IF(A2266=2032,N('2032'!D277),IF(A2266=2033,N('2033'!D277),IF(A2266=2034,N('2034'!D277),IFERROR(N(INDIRECT("'"&amp;A2266&amp;"'!D"&amp;G2266)),0))))))))))))</f>
        <v>0</v>
      </c>
      <c r="M2266" s="36">
        <f>IFERROR(IF(NOT(ISBLANK(KPI_TARGETS!$P$8)),KPI_TARGETS!$P$8,IF(NOT(ISBLANK(KPI_TARGETS!$F$8)),KPI_TARGETS!$F$8,"")),"")</f>
        <v>0</v>
      </c>
      <c r="N2266" s="36" t="str">
        <f>IFERROR(KPI_TARGETS!$E$8,"Higher is better")</f>
        <v>Lower is better</v>
      </c>
      <c r="O2266" s="37">
        <f t="shared" ca="1" si="210"/>
        <v>1</v>
      </c>
      <c r="P2266" t="str">
        <f t="shared" ca="1" si="211"/>
        <v>Green</v>
      </c>
      <c r="Q2266" s="36">
        <f t="shared" ca="1" si="212"/>
        <v>0</v>
      </c>
      <c r="R2266" s="36" t="str">
        <f>""</f>
        <v/>
      </c>
      <c r="S2266" s="36" t="str">
        <f>""</f>
        <v/>
      </c>
      <c r="T2266" s="36" t="str">
        <f>""</f>
        <v/>
      </c>
      <c r="U2266" s="36" t="str">
        <f>""</f>
        <v/>
      </c>
      <c r="V2266" s="36" t="str">
        <f>""</f>
        <v/>
      </c>
      <c r="W2266" s="36">
        <f t="shared" si="213"/>
        <v>1</v>
      </c>
      <c r="X2266" t="str">
        <f t="shared" si="214"/>
        <v>Inactive</v>
      </c>
      <c r="Y2266" t="str">
        <f>IF(MAIN!$H$3="Selected Year",IF(A2266=MAIN!$B$3,"Yes","No"),IF(MAIN!$H$3="Included Years",IF(D2266="Yes","Yes","No"),IF(C2266="Yes","Yes","No")))</f>
        <v>No</v>
      </c>
      <c r="Z2266" t="str">
        <f>IF(MAIN!$F$3="Project to Date",IF(AND(A2266&gt;=SETTINGS!$B$4,A2266&lt;MAIN!$B$3),"Yes",IF(AND(A2266=MAIN!$B$3,E2266&lt;=MAIN!$L$3),"Yes","No")),IF(OR(MAIN!$F$3="Full Year",MAIN!$D$3="All"),"Yes",IF(MAIN!$F$3="Monthly",IF(E2266=MAIN!$L$3,"Yes","No"),IF(E2266&lt;=MAIN!$L$3,"Yes","No"))))</f>
        <v>Yes</v>
      </c>
      <c r="AA2266" t="str">
        <f t="shared" si="215"/>
        <v>No</v>
      </c>
    </row>
    <row r="2267" spans="1:27" x14ac:dyDescent="0.3">
      <c r="A2267">
        <f>INDEX(SETTINGS!$A$15:$A$24,$B2267)</f>
        <v>2034</v>
      </c>
      <c r="B2267">
        <v>10</v>
      </c>
      <c r="C2267" t="str">
        <f>IF(AND(A2267&gt;=SETTINGS!$B$4,A2267&lt;=SETTINGS!$B$5),"Yes","No")</f>
        <v>No</v>
      </c>
      <c r="D2267" t="str">
        <f>IFERROR(INDEX(SETTINGS!$C$15:$C$24,MATCH(A2267,SETTINGS!$A$15:$A$24,0)),"No")</f>
        <v>No</v>
      </c>
      <c r="E2267">
        <v>12</v>
      </c>
      <c r="F2267" t="s">
        <v>45</v>
      </c>
      <c r="G2267">
        <v>278</v>
      </c>
      <c r="H2267" t="s">
        <v>97</v>
      </c>
      <c r="I2267" t="s">
        <v>15</v>
      </c>
      <c r="J2267" t="s">
        <v>17</v>
      </c>
      <c r="K2267" t="s">
        <v>3</v>
      </c>
      <c r="L2267" s="36">
        <f ca="1">IF(C2267&lt;&gt;"Yes",0,IF(A2267=2025,N('2025'!D278),IF(A2267=2026,N('2026'!D278),IF(A2267=2027,N('2027'!D278),IF(A2267=2028,N('2028'!D278),IF(A2267=2029,N('2029'!D278),IF(A2267=2030,N('2030'!D278),IF(A2267=2031,N('2031'!D278),IF(A2267=2032,N('2032'!D278),IF(A2267=2033,N('2033'!D278),IF(A2267=2034,N('2034'!D278),IFERROR(N(INDIRECT("'"&amp;A2267&amp;"'!D"&amp;G2267)),0))))))))))))</f>
        <v>0</v>
      </c>
      <c r="M2267" s="36">
        <f>IFERROR(IF(NOT(ISBLANK(KPI_TARGETS!$P$9)),KPI_TARGETS!$P$9,IF(NOT(ISBLANK(KPI_TARGETS!$F$9)),KPI_TARGETS!$F$9,"")),"")</f>
        <v>0</v>
      </c>
      <c r="N2267" s="36" t="str">
        <f>IFERROR(KPI_TARGETS!$E$9,"Higher is better")</f>
        <v>Higher is better</v>
      </c>
      <c r="O2267" s="37" t="str">
        <f t="shared" ca="1" si="210"/>
        <v/>
      </c>
      <c r="P2267" t="str">
        <f t="shared" ca="1" si="211"/>
        <v>Green</v>
      </c>
      <c r="Q2267" s="36">
        <f t="shared" ca="1" si="212"/>
        <v>0</v>
      </c>
      <c r="R2267" s="36" t="str">
        <f>""</f>
        <v/>
      </c>
      <c r="S2267" s="36" t="str">
        <f>""</f>
        <v/>
      </c>
      <c r="T2267" s="36" t="str">
        <f>""</f>
        <v/>
      </c>
      <c r="U2267" s="36" t="str">
        <f>""</f>
        <v/>
      </c>
      <c r="V2267" s="36" t="str">
        <f>""</f>
        <v/>
      </c>
      <c r="W2267" s="36">
        <f t="shared" si="213"/>
        <v>1</v>
      </c>
      <c r="X2267" t="str">
        <f t="shared" si="214"/>
        <v>Inactive</v>
      </c>
      <c r="Y2267" t="str">
        <f>IF(MAIN!$H$3="Selected Year",IF(A2267=MAIN!$B$3,"Yes","No"),IF(MAIN!$H$3="Included Years",IF(D2267="Yes","Yes","No"),IF(C2267="Yes","Yes","No")))</f>
        <v>No</v>
      </c>
      <c r="Z2267" t="str">
        <f>IF(MAIN!$F$3="Project to Date",IF(AND(A2267&gt;=SETTINGS!$B$4,A2267&lt;MAIN!$B$3),"Yes",IF(AND(A2267=MAIN!$B$3,E2267&lt;=MAIN!$L$3),"Yes","No")),IF(OR(MAIN!$F$3="Full Year",MAIN!$D$3="All"),"Yes",IF(MAIN!$F$3="Monthly",IF(E2267=MAIN!$L$3,"Yes","No"),IF(E2267&lt;=MAIN!$L$3,"Yes","No"))))</f>
        <v>Yes</v>
      </c>
      <c r="AA2267" t="str">
        <f t="shared" si="215"/>
        <v>No</v>
      </c>
    </row>
    <row r="2268" spans="1:27" x14ac:dyDescent="0.3">
      <c r="A2268">
        <f>INDEX(SETTINGS!$A$15:$A$24,$B2268)</f>
        <v>2034</v>
      </c>
      <c r="B2268">
        <v>10</v>
      </c>
      <c r="C2268" t="str">
        <f>IF(AND(A2268&gt;=SETTINGS!$B$4,A2268&lt;=SETTINGS!$B$5),"Yes","No")</f>
        <v>No</v>
      </c>
      <c r="D2268" t="str">
        <f>IFERROR(INDEX(SETTINGS!$C$15:$C$24,MATCH(A2268,SETTINGS!$A$15:$A$24,0)),"No")</f>
        <v>No</v>
      </c>
      <c r="E2268">
        <v>12</v>
      </c>
      <c r="F2268" t="s">
        <v>45</v>
      </c>
      <c r="G2268">
        <v>279</v>
      </c>
      <c r="H2268" t="s">
        <v>99</v>
      </c>
      <c r="I2268" t="s">
        <v>15</v>
      </c>
      <c r="J2268" t="s">
        <v>18</v>
      </c>
      <c r="K2268" t="s">
        <v>3</v>
      </c>
      <c r="L2268" s="36">
        <f ca="1">IF(C2268&lt;&gt;"Yes",0,IF(A2268=2025,N('2025'!D279),IF(A2268=2026,N('2026'!D279),IF(A2268=2027,N('2027'!D279),IF(A2268=2028,N('2028'!D279),IF(A2268=2029,N('2029'!D279),IF(A2268=2030,N('2030'!D279),IF(A2268=2031,N('2031'!D279),IF(A2268=2032,N('2032'!D279),IF(A2268=2033,N('2033'!D279),IF(A2268=2034,N('2034'!D279),IFERROR(N(INDIRECT("'"&amp;A2268&amp;"'!D"&amp;G2268)),0))))))))))))</f>
        <v>0</v>
      </c>
      <c r="M2268" s="36">
        <f>IFERROR(IF(NOT(ISBLANK(KPI_TARGETS!$P$10)),KPI_TARGETS!$P$10,IF(NOT(ISBLANK(KPI_TARGETS!$F$10)),KPI_TARGETS!$F$10,"")),"")</f>
        <v>0</v>
      </c>
      <c r="N2268" s="36" t="str">
        <f>IFERROR(KPI_TARGETS!$E$10,"Higher is better")</f>
        <v>Lower is better</v>
      </c>
      <c r="O2268" s="37">
        <f t="shared" ca="1" si="210"/>
        <v>1</v>
      </c>
      <c r="P2268" t="str">
        <f t="shared" ca="1" si="211"/>
        <v>Green</v>
      </c>
      <c r="Q2268" s="36">
        <f t="shared" ca="1" si="212"/>
        <v>0</v>
      </c>
      <c r="R2268" s="36" t="str">
        <f>""</f>
        <v/>
      </c>
      <c r="S2268" s="36" t="str">
        <f>""</f>
        <v/>
      </c>
      <c r="T2268" s="36" t="str">
        <f>""</f>
        <v/>
      </c>
      <c r="U2268" s="36" t="str">
        <f>""</f>
        <v/>
      </c>
      <c r="V2268" s="36" t="str">
        <f>""</f>
        <v/>
      </c>
      <c r="W2268" s="36">
        <f t="shared" si="213"/>
        <v>1</v>
      </c>
      <c r="X2268" t="str">
        <f t="shared" si="214"/>
        <v>Inactive</v>
      </c>
      <c r="Y2268" t="str">
        <f>IF(MAIN!$H$3="Selected Year",IF(A2268=MAIN!$B$3,"Yes","No"),IF(MAIN!$H$3="Included Years",IF(D2268="Yes","Yes","No"),IF(C2268="Yes","Yes","No")))</f>
        <v>No</v>
      </c>
      <c r="Z2268" t="str">
        <f>IF(MAIN!$F$3="Project to Date",IF(AND(A2268&gt;=SETTINGS!$B$4,A2268&lt;MAIN!$B$3),"Yes",IF(AND(A2268=MAIN!$B$3,E2268&lt;=MAIN!$L$3),"Yes","No")),IF(OR(MAIN!$F$3="Full Year",MAIN!$D$3="All"),"Yes",IF(MAIN!$F$3="Monthly",IF(E2268=MAIN!$L$3,"Yes","No"),IF(E2268&lt;=MAIN!$L$3,"Yes","No"))))</f>
        <v>Yes</v>
      </c>
      <c r="AA2268" t="str">
        <f t="shared" si="215"/>
        <v>No</v>
      </c>
    </row>
    <row r="2269" spans="1:27" x14ac:dyDescent="0.3">
      <c r="A2269">
        <f>INDEX(SETTINGS!$A$15:$A$24,$B2269)</f>
        <v>2034</v>
      </c>
      <c r="B2269">
        <v>10</v>
      </c>
      <c r="C2269" t="str">
        <f>IF(AND(A2269&gt;=SETTINGS!$B$4,A2269&lt;=SETTINGS!$B$5),"Yes","No")</f>
        <v>No</v>
      </c>
      <c r="D2269" t="str">
        <f>IFERROR(INDEX(SETTINGS!$C$15:$C$24,MATCH(A2269,SETTINGS!$A$15:$A$24,0)),"No")</f>
        <v>No</v>
      </c>
      <c r="E2269">
        <v>12</v>
      </c>
      <c r="F2269" t="s">
        <v>45</v>
      </c>
      <c r="G2269">
        <v>280</v>
      </c>
      <c r="H2269" t="s">
        <v>100</v>
      </c>
      <c r="I2269" t="s">
        <v>15</v>
      </c>
      <c r="J2269" t="s">
        <v>19</v>
      </c>
      <c r="K2269" t="s">
        <v>3</v>
      </c>
      <c r="L2269" s="36">
        <f ca="1">IF(C2269&lt;&gt;"Yes",0,IF(A2269=2025,N('2025'!D280),IF(A2269=2026,N('2026'!D280),IF(A2269=2027,N('2027'!D280),IF(A2269=2028,N('2028'!D280),IF(A2269=2029,N('2029'!D280),IF(A2269=2030,N('2030'!D280),IF(A2269=2031,N('2031'!D280),IF(A2269=2032,N('2032'!D280),IF(A2269=2033,N('2033'!D280),IF(A2269=2034,N('2034'!D280),IFERROR(N(INDIRECT("'"&amp;A2269&amp;"'!D"&amp;G2269)),0))))))))))))</f>
        <v>0</v>
      </c>
      <c r="M2269" s="36">
        <f>IFERROR(IF(NOT(ISBLANK(KPI_TARGETS!$P$11)),KPI_TARGETS!$P$11,IF(NOT(ISBLANK(KPI_TARGETS!$F$11)),KPI_TARGETS!$F$11,"")),"")</f>
        <v>0</v>
      </c>
      <c r="N2269" s="36" t="str">
        <f>IFERROR(KPI_TARGETS!$E$11,"Higher is better")</f>
        <v>Lower is better</v>
      </c>
      <c r="O2269" s="37">
        <f t="shared" ca="1" si="210"/>
        <v>1</v>
      </c>
      <c r="P2269" t="str">
        <f t="shared" ca="1" si="211"/>
        <v>Green</v>
      </c>
      <c r="Q2269" s="36">
        <f t="shared" ca="1" si="212"/>
        <v>0</v>
      </c>
      <c r="R2269" s="36" t="str">
        <f>""</f>
        <v/>
      </c>
      <c r="S2269" s="36" t="str">
        <f>""</f>
        <v/>
      </c>
      <c r="T2269" s="36" t="str">
        <f>""</f>
        <v/>
      </c>
      <c r="U2269" s="36" t="str">
        <f>""</f>
        <v/>
      </c>
      <c r="V2269" s="36" t="str">
        <f>""</f>
        <v/>
      </c>
      <c r="W2269" s="36">
        <f t="shared" si="213"/>
        <v>1</v>
      </c>
      <c r="X2269" t="str">
        <f t="shared" si="214"/>
        <v>Inactive</v>
      </c>
      <c r="Y2269" t="str">
        <f>IF(MAIN!$H$3="Selected Year",IF(A2269=MAIN!$B$3,"Yes","No"),IF(MAIN!$H$3="Included Years",IF(D2269="Yes","Yes","No"),IF(C2269="Yes","Yes","No")))</f>
        <v>No</v>
      </c>
      <c r="Z2269" t="str">
        <f>IF(MAIN!$F$3="Project to Date",IF(AND(A2269&gt;=SETTINGS!$B$4,A2269&lt;MAIN!$B$3),"Yes",IF(AND(A2269=MAIN!$B$3,E2269&lt;=MAIN!$L$3),"Yes","No")),IF(OR(MAIN!$F$3="Full Year",MAIN!$D$3="All"),"Yes",IF(MAIN!$F$3="Monthly",IF(E2269=MAIN!$L$3,"Yes","No"),IF(E2269&lt;=MAIN!$L$3,"Yes","No"))))</f>
        <v>Yes</v>
      </c>
      <c r="AA2269" t="str">
        <f t="shared" si="215"/>
        <v>No</v>
      </c>
    </row>
    <row r="2270" spans="1:27" x14ac:dyDescent="0.3">
      <c r="A2270">
        <f>INDEX(SETTINGS!$A$15:$A$24,$B2270)</f>
        <v>2034</v>
      </c>
      <c r="B2270">
        <v>10</v>
      </c>
      <c r="C2270" t="str">
        <f>IF(AND(A2270&gt;=SETTINGS!$B$4,A2270&lt;=SETTINGS!$B$5),"Yes","No")</f>
        <v>No</v>
      </c>
      <c r="D2270" t="str">
        <f>IFERROR(INDEX(SETTINGS!$C$15:$C$24,MATCH(A2270,SETTINGS!$A$15:$A$24,0)),"No")</f>
        <v>No</v>
      </c>
      <c r="E2270">
        <v>12</v>
      </c>
      <c r="F2270" t="s">
        <v>45</v>
      </c>
      <c r="G2270">
        <v>281</v>
      </c>
      <c r="H2270" t="s">
        <v>101</v>
      </c>
      <c r="I2270" t="s">
        <v>15</v>
      </c>
      <c r="J2270" t="s">
        <v>20</v>
      </c>
      <c r="K2270" t="s">
        <v>3</v>
      </c>
      <c r="L2270" s="36">
        <f ca="1">IF(C2270&lt;&gt;"Yes",0,IF(A2270=2025,N('2025'!D281),IF(A2270=2026,N('2026'!D281),IF(A2270=2027,N('2027'!D281),IF(A2270=2028,N('2028'!D281),IF(A2270=2029,N('2029'!D281),IF(A2270=2030,N('2030'!D281),IF(A2270=2031,N('2031'!D281),IF(A2270=2032,N('2032'!D281),IF(A2270=2033,N('2033'!D281),IF(A2270=2034,N('2034'!D281),IFERROR(N(INDIRECT("'"&amp;A2270&amp;"'!D"&amp;G2270)),0))))))))))))</f>
        <v>0</v>
      </c>
      <c r="M2270" s="36">
        <f>IFERROR(IF(NOT(ISBLANK(KPI_TARGETS!$P$12)),KPI_TARGETS!$P$12,IF(NOT(ISBLANK(KPI_TARGETS!$F$12)),KPI_TARGETS!$F$12,"")),"")</f>
        <v>0</v>
      </c>
      <c r="N2270" s="36" t="str">
        <f>IFERROR(KPI_TARGETS!$E$12,"Higher is better")</f>
        <v>Lower is better</v>
      </c>
      <c r="O2270" s="37">
        <f t="shared" ca="1" si="210"/>
        <v>1</v>
      </c>
      <c r="P2270" t="str">
        <f t="shared" ca="1" si="211"/>
        <v>Green</v>
      </c>
      <c r="Q2270" s="36">
        <f t="shared" ca="1" si="212"/>
        <v>0</v>
      </c>
      <c r="R2270" s="36" t="str">
        <f>""</f>
        <v/>
      </c>
      <c r="S2270" s="36" t="str">
        <f>""</f>
        <v/>
      </c>
      <c r="T2270" s="36" t="str">
        <f>""</f>
        <v/>
      </c>
      <c r="U2270" s="36" t="str">
        <f>""</f>
        <v/>
      </c>
      <c r="V2270" s="36" t="str">
        <f>""</f>
        <v/>
      </c>
      <c r="W2270" s="36">
        <f t="shared" si="213"/>
        <v>1</v>
      </c>
      <c r="X2270" t="str">
        <f t="shared" si="214"/>
        <v>Inactive</v>
      </c>
      <c r="Y2270" t="str">
        <f>IF(MAIN!$H$3="Selected Year",IF(A2270=MAIN!$B$3,"Yes","No"),IF(MAIN!$H$3="Included Years",IF(D2270="Yes","Yes","No"),IF(C2270="Yes","Yes","No")))</f>
        <v>No</v>
      </c>
      <c r="Z2270" t="str">
        <f>IF(MAIN!$F$3="Project to Date",IF(AND(A2270&gt;=SETTINGS!$B$4,A2270&lt;MAIN!$B$3),"Yes",IF(AND(A2270=MAIN!$B$3,E2270&lt;=MAIN!$L$3),"Yes","No")),IF(OR(MAIN!$F$3="Full Year",MAIN!$D$3="All"),"Yes",IF(MAIN!$F$3="Monthly",IF(E2270=MAIN!$L$3,"Yes","No"),IF(E2270&lt;=MAIN!$L$3,"Yes","No"))))</f>
        <v>Yes</v>
      </c>
      <c r="AA2270" t="str">
        <f t="shared" si="215"/>
        <v>No</v>
      </c>
    </row>
    <row r="2271" spans="1:27" x14ac:dyDescent="0.3">
      <c r="A2271">
        <f>INDEX(SETTINGS!$A$15:$A$24,$B2271)</f>
        <v>2034</v>
      </c>
      <c r="B2271">
        <v>10</v>
      </c>
      <c r="C2271" t="str">
        <f>IF(AND(A2271&gt;=SETTINGS!$B$4,A2271&lt;=SETTINGS!$B$5),"Yes","No")</f>
        <v>No</v>
      </c>
      <c r="D2271" t="str">
        <f>IFERROR(INDEX(SETTINGS!$C$15:$C$24,MATCH(A2271,SETTINGS!$A$15:$A$24,0)),"No")</f>
        <v>No</v>
      </c>
      <c r="E2271">
        <v>12</v>
      </c>
      <c r="F2271" t="s">
        <v>45</v>
      </c>
      <c r="G2271">
        <v>282</v>
      </c>
      <c r="H2271" t="s">
        <v>102</v>
      </c>
      <c r="I2271" t="s">
        <v>15</v>
      </c>
      <c r="J2271" t="s">
        <v>21</v>
      </c>
      <c r="K2271" t="s">
        <v>3</v>
      </c>
      <c r="L2271" s="36">
        <f ca="1">IF(C2271&lt;&gt;"Yes",0,IF(A2271=2025,N('2025'!D282),IF(A2271=2026,N('2026'!D282),IF(A2271=2027,N('2027'!D282),IF(A2271=2028,N('2028'!D282),IF(A2271=2029,N('2029'!D282),IF(A2271=2030,N('2030'!D282),IF(A2271=2031,N('2031'!D282),IF(A2271=2032,N('2032'!D282),IF(A2271=2033,N('2033'!D282),IF(A2271=2034,N('2034'!D282),IFERROR(N(INDIRECT("'"&amp;A2271&amp;"'!D"&amp;G2271)),0))))))))))))</f>
        <v>0</v>
      </c>
      <c r="M2271" s="36">
        <f>IFERROR(IF(NOT(ISBLANK(KPI_TARGETS!$P$13)),KPI_TARGETS!$P$13,IF(NOT(ISBLANK(KPI_TARGETS!$F$13)),KPI_TARGETS!$F$13,"")),"")</f>
        <v>0</v>
      </c>
      <c r="N2271" s="36" t="str">
        <f>IFERROR(KPI_TARGETS!$E$13,"Higher is better")</f>
        <v>Lower is better</v>
      </c>
      <c r="O2271" s="37">
        <f t="shared" ca="1" si="210"/>
        <v>1</v>
      </c>
      <c r="P2271" t="str">
        <f t="shared" ca="1" si="211"/>
        <v>Green</v>
      </c>
      <c r="Q2271" s="36">
        <f t="shared" ca="1" si="212"/>
        <v>0</v>
      </c>
      <c r="R2271" s="36" t="str">
        <f>""</f>
        <v/>
      </c>
      <c r="S2271" s="36" t="str">
        <f>""</f>
        <v/>
      </c>
      <c r="T2271" s="36" t="str">
        <f>""</f>
        <v/>
      </c>
      <c r="U2271" s="36" t="str">
        <f>""</f>
        <v/>
      </c>
      <c r="V2271" s="36" t="str">
        <f>""</f>
        <v/>
      </c>
      <c r="W2271" s="36">
        <f t="shared" si="213"/>
        <v>1</v>
      </c>
      <c r="X2271" t="str">
        <f t="shared" si="214"/>
        <v>Inactive</v>
      </c>
      <c r="Y2271" t="str">
        <f>IF(MAIN!$H$3="Selected Year",IF(A2271=MAIN!$B$3,"Yes","No"),IF(MAIN!$H$3="Included Years",IF(D2271="Yes","Yes","No"),IF(C2271="Yes","Yes","No")))</f>
        <v>No</v>
      </c>
      <c r="Z2271" t="str">
        <f>IF(MAIN!$F$3="Project to Date",IF(AND(A2271&gt;=SETTINGS!$B$4,A2271&lt;MAIN!$B$3),"Yes",IF(AND(A2271=MAIN!$B$3,E2271&lt;=MAIN!$L$3),"Yes","No")),IF(OR(MAIN!$F$3="Full Year",MAIN!$D$3="All"),"Yes",IF(MAIN!$F$3="Monthly",IF(E2271=MAIN!$L$3,"Yes","No"),IF(E2271&lt;=MAIN!$L$3,"Yes","No"))))</f>
        <v>Yes</v>
      </c>
      <c r="AA2271" t="str">
        <f t="shared" si="215"/>
        <v>No</v>
      </c>
    </row>
    <row r="2272" spans="1:27" x14ac:dyDescent="0.3">
      <c r="A2272">
        <f>INDEX(SETTINGS!$A$15:$A$24,$B2272)</f>
        <v>2034</v>
      </c>
      <c r="B2272">
        <v>10</v>
      </c>
      <c r="C2272" t="str">
        <f>IF(AND(A2272&gt;=SETTINGS!$B$4,A2272&lt;=SETTINGS!$B$5),"Yes","No")</f>
        <v>No</v>
      </c>
      <c r="D2272" t="str">
        <f>IFERROR(INDEX(SETTINGS!$C$15:$C$24,MATCH(A2272,SETTINGS!$A$15:$A$24,0)),"No")</f>
        <v>No</v>
      </c>
      <c r="E2272">
        <v>12</v>
      </c>
      <c r="F2272" t="s">
        <v>45</v>
      </c>
      <c r="G2272">
        <v>284</v>
      </c>
      <c r="H2272" t="s">
        <v>103</v>
      </c>
      <c r="I2272" t="s">
        <v>22</v>
      </c>
      <c r="J2272" t="s">
        <v>23</v>
      </c>
      <c r="K2272" t="s">
        <v>3</v>
      </c>
      <c r="L2272" s="36">
        <f ca="1">IF(C2272&lt;&gt;"Yes",0,IF(A2272=2025,N('2025'!D284),IF(A2272=2026,N('2026'!D284),IF(A2272=2027,N('2027'!D284),IF(A2272=2028,N('2028'!D284),IF(A2272=2029,N('2029'!D284),IF(A2272=2030,N('2030'!D284),IF(A2272=2031,N('2031'!D284),IF(A2272=2032,N('2032'!D284),IF(A2272=2033,N('2033'!D284),IF(A2272=2034,N('2034'!D284),IFERROR(N(INDIRECT("'"&amp;A2272&amp;"'!D"&amp;G2272)),0))))))))))))</f>
        <v>0</v>
      </c>
      <c r="M2272" s="36">
        <f>IFERROR(IF(NOT(ISBLANK(KPI_TARGETS!$P$14)),KPI_TARGETS!$P$14,IF(NOT(ISBLANK(KPI_TARGETS!$F$14)),KPI_TARGETS!$F$14,"")),"")</f>
        <v>35</v>
      </c>
      <c r="N2272" s="36" t="str">
        <f>IFERROR(KPI_TARGETS!$E$14,"Higher is better")</f>
        <v>Higher is better</v>
      </c>
      <c r="O2272" s="37">
        <f t="shared" ca="1" si="210"/>
        <v>0</v>
      </c>
      <c r="P2272" t="str">
        <f t="shared" ca="1" si="211"/>
        <v>Red</v>
      </c>
      <c r="Q2272" s="36">
        <f t="shared" ca="1" si="212"/>
        <v>-35</v>
      </c>
      <c r="R2272" s="36" t="str">
        <f>""</f>
        <v/>
      </c>
      <c r="S2272" s="36" t="str">
        <f>""</f>
        <v/>
      </c>
      <c r="T2272" s="36" t="str">
        <f>""</f>
        <v/>
      </c>
      <c r="U2272" s="36" t="str">
        <f>""</f>
        <v/>
      </c>
      <c r="V2272" s="36" t="str">
        <f>""</f>
        <v/>
      </c>
      <c r="W2272" s="36">
        <f t="shared" si="213"/>
        <v>1</v>
      </c>
      <c r="X2272" t="str">
        <f t="shared" si="214"/>
        <v>Inactive</v>
      </c>
      <c r="Y2272" t="str">
        <f>IF(MAIN!$H$3="Selected Year",IF(A2272=MAIN!$B$3,"Yes","No"),IF(MAIN!$H$3="Included Years",IF(D2272="Yes","Yes","No"),IF(C2272="Yes","Yes","No")))</f>
        <v>No</v>
      </c>
      <c r="Z2272" t="str">
        <f>IF(MAIN!$F$3="Project to Date",IF(AND(A2272&gt;=SETTINGS!$B$4,A2272&lt;MAIN!$B$3),"Yes",IF(AND(A2272=MAIN!$B$3,E2272&lt;=MAIN!$L$3),"Yes","No")),IF(OR(MAIN!$F$3="Full Year",MAIN!$D$3="All"),"Yes",IF(MAIN!$F$3="Monthly",IF(E2272=MAIN!$L$3,"Yes","No"),IF(E2272&lt;=MAIN!$L$3,"Yes","No"))))</f>
        <v>Yes</v>
      </c>
      <c r="AA2272" t="str">
        <f t="shared" si="215"/>
        <v>No</v>
      </c>
    </row>
    <row r="2273" spans="1:27" x14ac:dyDescent="0.3">
      <c r="A2273">
        <f>INDEX(SETTINGS!$A$15:$A$24,$B2273)</f>
        <v>2034</v>
      </c>
      <c r="B2273">
        <v>10</v>
      </c>
      <c r="C2273" t="str">
        <f>IF(AND(A2273&gt;=SETTINGS!$B$4,A2273&lt;=SETTINGS!$B$5),"Yes","No")</f>
        <v>No</v>
      </c>
      <c r="D2273" t="str">
        <f>IFERROR(INDEX(SETTINGS!$C$15:$C$24,MATCH(A2273,SETTINGS!$A$15:$A$24,0)),"No")</f>
        <v>No</v>
      </c>
      <c r="E2273">
        <v>12</v>
      </c>
      <c r="F2273" t="s">
        <v>45</v>
      </c>
      <c r="G2273">
        <v>285</v>
      </c>
      <c r="H2273" t="s">
        <v>104</v>
      </c>
      <c r="I2273" t="s">
        <v>22</v>
      </c>
      <c r="J2273" t="s">
        <v>24</v>
      </c>
      <c r="K2273" t="s">
        <v>3</v>
      </c>
      <c r="L2273" s="36">
        <f ca="1">IF(C2273&lt;&gt;"Yes",0,IF(A2273=2025,N('2025'!D285),IF(A2273=2026,N('2026'!D285),IF(A2273=2027,N('2027'!D285),IF(A2273=2028,N('2028'!D285),IF(A2273=2029,N('2029'!D285),IF(A2273=2030,N('2030'!D285),IF(A2273=2031,N('2031'!D285),IF(A2273=2032,N('2032'!D285),IF(A2273=2033,N('2033'!D285),IF(A2273=2034,N('2034'!D285),IFERROR(N(INDIRECT("'"&amp;A2273&amp;"'!D"&amp;G2273)),0))))))))))))</f>
        <v>0</v>
      </c>
      <c r="M2273" s="36">
        <f>IFERROR(IF(NOT(ISBLANK(KPI_TARGETS!$P$15)),KPI_TARGETS!$P$15,IF(NOT(ISBLANK(KPI_TARGETS!$F$15)),KPI_TARGETS!$F$15,"")),"")</f>
        <v>5</v>
      </c>
      <c r="N2273" s="36" t="str">
        <f>IFERROR(KPI_TARGETS!$E$15,"Higher is better")</f>
        <v>Higher is better</v>
      </c>
      <c r="O2273" s="37">
        <f t="shared" ca="1" si="210"/>
        <v>0</v>
      </c>
      <c r="P2273" t="str">
        <f t="shared" ca="1" si="211"/>
        <v>Red</v>
      </c>
      <c r="Q2273" s="36">
        <f t="shared" ca="1" si="212"/>
        <v>-5</v>
      </c>
      <c r="R2273" s="36" t="str">
        <f>""</f>
        <v/>
      </c>
      <c r="S2273" s="36" t="str">
        <f>""</f>
        <v/>
      </c>
      <c r="T2273" s="36" t="str">
        <f>""</f>
        <v/>
      </c>
      <c r="U2273" s="36" t="str">
        <f>""</f>
        <v/>
      </c>
      <c r="V2273" s="36" t="str">
        <f>""</f>
        <v/>
      </c>
      <c r="W2273" s="36">
        <f t="shared" si="213"/>
        <v>1</v>
      </c>
      <c r="X2273" t="str">
        <f t="shared" si="214"/>
        <v>Inactive</v>
      </c>
      <c r="Y2273" t="str">
        <f>IF(MAIN!$H$3="Selected Year",IF(A2273=MAIN!$B$3,"Yes","No"),IF(MAIN!$H$3="Included Years",IF(D2273="Yes","Yes","No"),IF(C2273="Yes","Yes","No")))</f>
        <v>No</v>
      </c>
      <c r="Z2273" t="str">
        <f>IF(MAIN!$F$3="Project to Date",IF(AND(A2273&gt;=SETTINGS!$B$4,A2273&lt;MAIN!$B$3),"Yes",IF(AND(A2273=MAIN!$B$3,E2273&lt;=MAIN!$L$3),"Yes","No")),IF(OR(MAIN!$F$3="Full Year",MAIN!$D$3="All"),"Yes",IF(MAIN!$F$3="Monthly",IF(E2273=MAIN!$L$3,"Yes","No"),IF(E2273&lt;=MAIN!$L$3,"Yes","No"))))</f>
        <v>Yes</v>
      </c>
      <c r="AA2273" t="str">
        <f t="shared" si="215"/>
        <v>No</v>
      </c>
    </row>
    <row r="2274" spans="1:27" x14ac:dyDescent="0.3">
      <c r="A2274">
        <f>INDEX(SETTINGS!$A$15:$A$24,$B2274)</f>
        <v>2034</v>
      </c>
      <c r="B2274">
        <v>10</v>
      </c>
      <c r="C2274" t="str">
        <f>IF(AND(A2274&gt;=SETTINGS!$B$4,A2274&lt;=SETTINGS!$B$5),"Yes","No")</f>
        <v>No</v>
      </c>
      <c r="D2274" t="str">
        <f>IFERROR(INDEX(SETTINGS!$C$15:$C$24,MATCH(A2274,SETTINGS!$A$15:$A$24,0)),"No")</f>
        <v>No</v>
      </c>
      <c r="E2274">
        <v>12</v>
      </c>
      <c r="F2274" t="s">
        <v>45</v>
      </c>
      <c r="G2274">
        <v>286</v>
      </c>
      <c r="H2274" t="s">
        <v>105</v>
      </c>
      <c r="I2274" t="s">
        <v>22</v>
      </c>
      <c r="J2274" t="s">
        <v>25</v>
      </c>
      <c r="K2274" t="s">
        <v>3</v>
      </c>
      <c r="L2274" s="36">
        <f ca="1">IF(C2274&lt;&gt;"Yes",0,IF(A2274=2025,N('2025'!D286),IF(A2274=2026,N('2026'!D286),IF(A2274=2027,N('2027'!D286),IF(A2274=2028,N('2028'!D286),IF(A2274=2029,N('2029'!D286),IF(A2274=2030,N('2030'!D286),IF(A2274=2031,N('2031'!D286),IF(A2274=2032,N('2032'!D286),IF(A2274=2033,N('2033'!D286),IF(A2274=2034,N('2034'!D286),IFERROR(N(INDIRECT("'"&amp;A2274&amp;"'!D"&amp;G2274)),0))))))))))))</f>
        <v>0</v>
      </c>
      <c r="M2274" s="36">
        <f>IFERROR(IF(NOT(ISBLANK(KPI_TARGETS!$P$16)),KPI_TARGETS!$P$16,IF(NOT(ISBLANK(KPI_TARGETS!$F$16)),KPI_TARGETS!$F$16,"")),"")</f>
        <v>4</v>
      </c>
      <c r="N2274" s="36" t="str">
        <f>IFERROR(KPI_TARGETS!$E$16,"Higher is better")</f>
        <v>Higher is better</v>
      </c>
      <c r="O2274" s="37">
        <f t="shared" ca="1" si="210"/>
        <v>0</v>
      </c>
      <c r="P2274" t="str">
        <f t="shared" ca="1" si="211"/>
        <v>Red</v>
      </c>
      <c r="Q2274" s="36">
        <f t="shared" ca="1" si="212"/>
        <v>-4</v>
      </c>
      <c r="R2274" s="36" t="str">
        <f>""</f>
        <v/>
      </c>
      <c r="S2274" s="36" t="str">
        <f>""</f>
        <v/>
      </c>
      <c r="T2274" s="36" t="str">
        <f>""</f>
        <v/>
      </c>
      <c r="U2274" s="36" t="str">
        <f>""</f>
        <v/>
      </c>
      <c r="V2274" s="36" t="str">
        <f>""</f>
        <v/>
      </c>
      <c r="W2274" s="36">
        <f t="shared" si="213"/>
        <v>1</v>
      </c>
      <c r="X2274" t="str">
        <f t="shared" si="214"/>
        <v>Inactive</v>
      </c>
      <c r="Y2274" t="str">
        <f>IF(MAIN!$H$3="Selected Year",IF(A2274=MAIN!$B$3,"Yes","No"),IF(MAIN!$H$3="Included Years",IF(D2274="Yes","Yes","No"),IF(C2274="Yes","Yes","No")))</f>
        <v>No</v>
      </c>
      <c r="Z2274" t="str">
        <f>IF(MAIN!$F$3="Project to Date",IF(AND(A2274&gt;=SETTINGS!$B$4,A2274&lt;MAIN!$B$3),"Yes",IF(AND(A2274=MAIN!$B$3,E2274&lt;=MAIN!$L$3),"Yes","No")),IF(OR(MAIN!$F$3="Full Year",MAIN!$D$3="All"),"Yes",IF(MAIN!$F$3="Monthly",IF(E2274=MAIN!$L$3,"Yes","No"),IF(E2274&lt;=MAIN!$L$3,"Yes","No"))))</f>
        <v>Yes</v>
      </c>
      <c r="AA2274" t="str">
        <f t="shared" si="215"/>
        <v>No</v>
      </c>
    </row>
    <row r="2275" spans="1:27" x14ac:dyDescent="0.3">
      <c r="A2275">
        <f>INDEX(SETTINGS!$A$15:$A$24,$B2275)</f>
        <v>2034</v>
      </c>
      <c r="B2275">
        <v>10</v>
      </c>
      <c r="C2275" t="str">
        <f>IF(AND(A2275&gt;=SETTINGS!$B$4,A2275&lt;=SETTINGS!$B$5),"Yes","No")</f>
        <v>No</v>
      </c>
      <c r="D2275" t="str">
        <f>IFERROR(INDEX(SETTINGS!$C$15:$C$24,MATCH(A2275,SETTINGS!$A$15:$A$24,0)),"No")</f>
        <v>No</v>
      </c>
      <c r="E2275">
        <v>12</v>
      </c>
      <c r="F2275" t="s">
        <v>45</v>
      </c>
      <c r="G2275">
        <v>287</v>
      </c>
      <c r="H2275" t="s">
        <v>106</v>
      </c>
      <c r="I2275" t="s">
        <v>22</v>
      </c>
      <c r="J2275" t="s">
        <v>26</v>
      </c>
      <c r="K2275" t="s">
        <v>3</v>
      </c>
      <c r="L2275" s="36">
        <f ca="1">IF(C2275&lt;&gt;"Yes",0,IF(A2275=2025,N('2025'!D287),IF(A2275=2026,N('2026'!D287),IF(A2275=2027,N('2027'!D287),IF(A2275=2028,N('2028'!D287),IF(A2275=2029,N('2029'!D287),IF(A2275=2030,N('2030'!D287),IF(A2275=2031,N('2031'!D287),IF(A2275=2032,N('2032'!D287),IF(A2275=2033,N('2033'!D287),IF(A2275=2034,N('2034'!D287),IFERROR(N(INDIRECT("'"&amp;A2275&amp;"'!D"&amp;G2275)),0))))))))))))</f>
        <v>0</v>
      </c>
      <c r="M2275" s="36">
        <f>IFERROR(IF(NOT(ISBLANK(KPI_TARGETS!$P$17)),KPI_TARGETS!$P$17,IF(NOT(ISBLANK(KPI_TARGETS!$F$17)),KPI_TARGETS!$F$17,"")),"")</f>
        <v>12</v>
      </c>
      <c r="N2275" s="36" t="str">
        <f>IFERROR(KPI_TARGETS!$E$17,"Higher is better")</f>
        <v>Higher is better</v>
      </c>
      <c r="O2275" s="37">
        <f t="shared" ca="1" si="210"/>
        <v>0</v>
      </c>
      <c r="P2275" t="str">
        <f t="shared" ca="1" si="211"/>
        <v>Red</v>
      </c>
      <c r="Q2275" s="36">
        <f t="shared" ca="1" si="212"/>
        <v>-12</v>
      </c>
      <c r="R2275" s="36" t="str">
        <f>""</f>
        <v/>
      </c>
      <c r="S2275" s="36" t="str">
        <f>""</f>
        <v/>
      </c>
      <c r="T2275" s="36" t="str">
        <f>""</f>
        <v/>
      </c>
      <c r="U2275" s="36" t="str">
        <f>""</f>
        <v/>
      </c>
      <c r="V2275" s="36" t="str">
        <f>""</f>
        <v/>
      </c>
      <c r="W2275" s="36">
        <f t="shared" si="213"/>
        <v>1</v>
      </c>
      <c r="X2275" t="str">
        <f t="shared" si="214"/>
        <v>Inactive</v>
      </c>
      <c r="Y2275" t="str">
        <f>IF(MAIN!$H$3="Selected Year",IF(A2275=MAIN!$B$3,"Yes","No"),IF(MAIN!$H$3="Included Years",IF(D2275="Yes","Yes","No"),IF(C2275="Yes","Yes","No")))</f>
        <v>No</v>
      </c>
      <c r="Z2275" t="str">
        <f>IF(MAIN!$F$3="Project to Date",IF(AND(A2275&gt;=SETTINGS!$B$4,A2275&lt;MAIN!$B$3),"Yes",IF(AND(A2275=MAIN!$B$3,E2275&lt;=MAIN!$L$3),"Yes","No")),IF(OR(MAIN!$F$3="Full Year",MAIN!$D$3="All"),"Yes",IF(MAIN!$F$3="Monthly",IF(E2275=MAIN!$L$3,"Yes","No"),IF(E2275&lt;=MAIN!$L$3,"Yes","No"))))</f>
        <v>Yes</v>
      </c>
      <c r="AA2275" t="str">
        <f t="shared" si="215"/>
        <v>No</v>
      </c>
    </row>
    <row r="2276" spans="1:27" x14ac:dyDescent="0.3">
      <c r="A2276">
        <f>INDEX(SETTINGS!$A$15:$A$24,$B2276)</f>
        <v>2034</v>
      </c>
      <c r="B2276">
        <v>10</v>
      </c>
      <c r="C2276" t="str">
        <f>IF(AND(A2276&gt;=SETTINGS!$B$4,A2276&lt;=SETTINGS!$B$5),"Yes","No")</f>
        <v>No</v>
      </c>
      <c r="D2276" t="str">
        <f>IFERROR(INDEX(SETTINGS!$C$15:$C$24,MATCH(A2276,SETTINGS!$A$15:$A$24,0)),"No")</f>
        <v>No</v>
      </c>
      <c r="E2276">
        <v>12</v>
      </c>
      <c r="F2276" t="s">
        <v>45</v>
      </c>
      <c r="G2276">
        <v>288</v>
      </c>
      <c r="H2276" t="s">
        <v>107</v>
      </c>
      <c r="I2276" t="s">
        <v>22</v>
      </c>
      <c r="J2276" t="s">
        <v>27</v>
      </c>
      <c r="K2276" t="s">
        <v>3</v>
      </c>
      <c r="L2276" s="36">
        <f ca="1">IF(C2276&lt;&gt;"Yes",0,IF(A2276=2025,N('2025'!D288),IF(A2276=2026,N('2026'!D288),IF(A2276=2027,N('2027'!D288),IF(A2276=2028,N('2028'!D288),IF(A2276=2029,N('2029'!D288),IF(A2276=2030,N('2030'!D288),IF(A2276=2031,N('2031'!D288),IF(A2276=2032,N('2032'!D288),IF(A2276=2033,N('2033'!D288),IF(A2276=2034,N('2034'!D288),IFERROR(N(INDIRECT("'"&amp;A2276&amp;"'!D"&amp;G2276)),0))))))))))))</f>
        <v>0</v>
      </c>
      <c r="M2276" s="36">
        <f>IFERROR(IF(NOT(ISBLANK(KPI_TARGETS!$P$18)),KPI_TARGETS!$P$18,IF(NOT(ISBLANK(KPI_TARGETS!$F$18)),KPI_TARGETS!$F$18,"")),"")</f>
        <v>4</v>
      </c>
      <c r="N2276" s="36" t="str">
        <f>IFERROR(KPI_TARGETS!$E$18,"Higher is better")</f>
        <v>Higher is better</v>
      </c>
      <c r="O2276" s="37">
        <f t="shared" ca="1" si="210"/>
        <v>0</v>
      </c>
      <c r="P2276" t="str">
        <f t="shared" ca="1" si="211"/>
        <v>Red</v>
      </c>
      <c r="Q2276" s="36">
        <f t="shared" ca="1" si="212"/>
        <v>-4</v>
      </c>
      <c r="R2276" s="36" t="str">
        <f>""</f>
        <v/>
      </c>
      <c r="S2276" s="36" t="str">
        <f>""</f>
        <v/>
      </c>
      <c r="T2276" s="36" t="str">
        <f>""</f>
        <v/>
      </c>
      <c r="U2276" s="36" t="str">
        <f>""</f>
        <v/>
      </c>
      <c r="V2276" s="36" t="str">
        <f>""</f>
        <v/>
      </c>
      <c r="W2276" s="36">
        <f t="shared" si="213"/>
        <v>1</v>
      </c>
      <c r="X2276" t="str">
        <f t="shared" si="214"/>
        <v>Inactive</v>
      </c>
      <c r="Y2276" t="str">
        <f>IF(MAIN!$H$3="Selected Year",IF(A2276=MAIN!$B$3,"Yes","No"),IF(MAIN!$H$3="Included Years",IF(D2276="Yes","Yes","No"),IF(C2276="Yes","Yes","No")))</f>
        <v>No</v>
      </c>
      <c r="Z2276" t="str">
        <f>IF(MAIN!$F$3="Project to Date",IF(AND(A2276&gt;=SETTINGS!$B$4,A2276&lt;MAIN!$B$3),"Yes",IF(AND(A2276=MAIN!$B$3,E2276&lt;=MAIN!$L$3),"Yes","No")),IF(OR(MAIN!$F$3="Full Year",MAIN!$D$3="All"),"Yes",IF(MAIN!$F$3="Monthly",IF(E2276=MAIN!$L$3,"Yes","No"),IF(E2276&lt;=MAIN!$L$3,"Yes","No"))))</f>
        <v>Yes</v>
      </c>
      <c r="AA2276" t="str">
        <f t="shared" si="215"/>
        <v>No</v>
      </c>
    </row>
    <row r="2277" spans="1:27" x14ac:dyDescent="0.3">
      <c r="A2277">
        <f>INDEX(SETTINGS!$A$15:$A$24,$B2277)</f>
        <v>2034</v>
      </c>
      <c r="B2277">
        <v>10</v>
      </c>
      <c r="C2277" t="str">
        <f>IF(AND(A2277&gt;=SETTINGS!$B$4,A2277&lt;=SETTINGS!$B$5),"Yes","No")</f>
        <v>No</v>
      </c>
      <c r="D2277" t="str">
        <f>IFERROR(INDEX(SETTINGS!$C$15:$C$24,MATCH(A2277,SETTINGS!$A$15:$A$24,0)),"No")</f>
        <v>No</v>
      </c>
      <c r="E2277">
        <v>12</v>
      </c>
      <c r="F2277" t="s">
        <v>45</v>
      </c>
      <c r="G2277">
        <v>289</v>
      </c>
      <c r="H2277" t="s">
        <v>108</v>
      </c>
      <c r="I2277" t="s">
        <v>22</v>
      </c>
      <c r="J2277" t="s">
        <v>28</v>
      </c>
      <c r="K2277" t="s">
        <v>3</v>
      </c>
      <c r="L2277" s="36">
        <f ca="1">IF(C2277&lt;&gt;"Yes",0,IF(A2277=2025,N('2025'!D289),IF(A2277=2026,N('2026'!D289),IF(A2277=2027,N('2027'!D289),IF(A2277=2028,N('2028'!D289),IF(A2277=2029,N('2029'!D289),IF(A2277=2030,N('2030'!D289),IF(A2277=2031,N('2031'!D289),IF(A2277=2032,N('2032'!D289),IF(A2277=2033,N('2033'!D289),IF(A2277=2034,N('2034'!D289),IFERROR(N(INDIRECT("'"&amp;A2277&amp;"'!D"&amp;G2277)),0))))))))))))</f>
        <v>0</v>
      </c>
      <c r="M2277" s="36">
        <f>IFERROR(IF(NOT(ISBLANK(KPI_TARGETS!$P$19)),KPI_TARGETS!$P$19,IF(NOT(ISBLANK(KPI_TARGETS!$F$19)),KPI_TARGETS!$F$19,"")),"")</f>
        <v>16</v>
      </c>
      <c r="N2277" s="36" t="str">
        <f>IFERROR(KPI_TARGETS!$E$19,"Higher is better")</f>
        <v>Higher is better</v>
      </c>
      <c r="O2277" s="37">
        <f t="shared" ca="1" si="210"/>
        <v>0</v>
      </c>
      <c r="P2277" t="str">
        <f t="shared" ca="1" si="211"/>
        <v>Red</v>
      </c>
      <c r="Q2277" s="36">
        <f t="shared" ca="1" si="212"/>
        <v>-16</v>
      </c>
      <c r="R2277" s="36" t="str">
        <f>""</f>
        <v/>
      </c>
      <c r="S2277" s="36" t="str">
        <f>""</f>
        <v/>
      </c>
      <c r="T2277" s="36" t="str">
        <f>""</f>
        <v/>
      </c>
      <c r="U2277" s="36" t="str">
        <f>""</f>
        <v/>
      </c>
      <c r="V2277" s="36" t="str">
        <f>""</f>
        <v/>
      </c>
      <c r="W2277" s="36">
        <f t="shared" si="213"/>
        <v>1</v>
      </c>
      <c r="X2277" t="str">
        <f t="shared" si="214"/>
        <v>Inactive</v>
      </c>
      <c r="Y2277" t="str">
        <f>IF(MAIN!$H$3="Selected Year",IF(A2277=MAIN!$B$3,"Yes","No"),IF(MAIN!$H$3="Included Years",IF(D2277="Yes","Yes","No"),IF(C2277="Yes","Yes","No")))</f>
        <v>No</v>
      </c>
      <c r="Z2277" t="str">
        <f>IF(MAIN!$F$3="Project to Date",IF(AND(A2277&gt;=SETTINGS!$B$4,A2277&lt;MAIN!$B$3),"Yes",IF(AND(A2277=MAIN!$B$3,E2277&lt;=MAIN!$L$3),"Yes","No")),IF(OR(MAIN!$F$3="Full Year",MAIN!$D$3="All"),"Yes",IF(MAIN!$F$3="Monthly",IF(E2277=MAIN!$L$3,"Yes","No"),IF(E2277&lt;=MAIN!$L$3,"Yes","No"))))</f>
        <v>Yes</v>
      </c>
      <c r="AA2277" t="str">
        <f t="shared" si="215"/>
        <v>No</v>
      </c>
    </row>
    <row r="2278" spans="1:27" x14ac:dyDescent="0.3">
      <c r="A2278">
        <f>INDEX(SETTINGS!$A$15:$A$24,$B2278)</f>
        <v>2034</v>
      </c>
      <c r="B2278">
        <v>10</v>
      </c>
      <c r="C2278" t="str">
        <f>IF(AND(A2278&gt;=SETTINGS!$B$4,A2278&lt;=SETTINGS!$B$5),"Yes","No")</f>
        <v>No</v>
      </c>
      <c r="D2278" t="str">
        <f>IFERROR(INDEX(SETTINGS!$C$15:$C$24,MATCH(A2278,SETTINGS!$A$15:$A$24,0)),"No")</f>
        <v>No</v>
      </c>
      <c r="E2278">
        <v>12</v>
      </c>
      <c r="F2278" t="s">
        <v>45</v>
      </c>
      <c r="G2278">
        <v>290</v>
      </c>
      <c r="H2278" t="s">
        <v>109</v>
      </c>
      <c r="I2278" t="s">
        <v>22</v>
      </c>
      <c r="J2278" t="s">
        <v>29</v>
      </c>
      <c r="K2278" t="s">
        <v>3</v>
      </c>
      <c r="L2278" s="36">
        <f ca="1">IF(C2278&lt;&gt;"Yes",0,IF(A2278=2025,N('2025'!D290),IF(A2278=2026,N('2026'!D290),IF(A2278=2027,N('2027'!D290),IF(A2278=2028,N('2028'!D290),IF(A2278=2029,N('2029'!D290),IF(A2278=2030,N('2030'!D290),IF(A2278=2031,N('2031'!D290),IF(A2278=2032,N('2032'!D290),IF(A2278=2033,N('2033'!D290),IF(A2278=2034,N('2034'!D290),IFERROR(N(INDIRECT("'"&amp;A2278&amp;"'!D"&amp;G2278)),0))))))))))))</f>
        <v>0</v>
      </c>
      <c r="M2278" s="36">
        <f>IFERROR(IF(NOT(ISBLANK(KPI_TARGETS!$P$20)),KPI_TARGETS!$P$20,IF(NOT(ISBLANK(KPI_TARGETS!$F$20)),KPI_TARGETS!$F$20,"")),"")</f>
        <v>1</v>
      </c>
      <c r="N2278" s="36" t="str">
        <f>IFERROR(KPI_TARGETS!$E$20,"Higher is better")</f>
        <v>Higher is better</v>
      </c>
      <c r="O2278" s="37">
        <f t="shared" ca="1" si="210"/>
        <v>0</v>
      </c>
      <c r="P2278" t="str">
        <f t="shared" ca="1" si="211"/>
        <v>Red</v>
      </c>
      <c r="Q2278" s="36">
        <f t="shared" ca="1" si="212"/>
        <v>-1</v>
      </c>
      <c r="R2278" s="36" t="str">
        <f>""</f>
        <v/>
      </c>
      <c r="S2278" s="36" t="str">
        <f>""</f>
        <v/>
      </c>
      <c r="T2278" s="36" t="str">
        <f>""</f>
        <v/>
      </c>
      <c r="U2278" s="36" t="str">
        <f>""</f>
        <v/>
      </c>
      <c r="V2278" s="36" t="str">
        <f>""</f>
        <v/>
      </c>
      <c r="W2278" s="36">
        <f t="shared" si="213"/>
        <v>1</v>
      </c>
      <c r="X2278" t="str">
        <f t="shared" si="214"/>
        <v>Inactive</v>
      </c>
      <c r="Y2278" t="str">
        <f>IF(MAIN!$H$3="Selected Year",IF(A2278=MAIN!$B$3,"Yes","No"),IF(MAIN!$H$3="Included Years",IF(D2278="Yes","Yes","No"),IF(C2278="Yes","Yes","No")))</f>
        <v>No</v>
      </c>
      <c r="Z2278" t="str">
        <f>IF(MAIN!$F$3="Project to Date",IF(AND(A2278&gt;=SETTINGS!$B$4,A2278&lt;MAIN!$B$3),"Yes",IF(AND(A2278=MAIN!$B$3,E2278&lt;=MAIN!$L$3),"Yes","No")),IF(OR(MAIN!$F$3="Full Year",MAIN!$D$3="All"),"Yes",IF(MAIN!$F$3="Monthly",IF(E2278=MAIN!$L$3,"Yes","No"),IF(E2278&lt;=MAIN!$L$3,"Yes","No"))))</f>
        <v>Yes</v>
      </c>
      <c r="AA2278" t="str">
        <f t="shared" si="215"/>
        <v>No</v>
      </c>
    </row>
    <row r="2279" spans="1:27" x14ac:dyDescent="0.3">
      <c r="A2279">
        <f>INDEX(SETTINGS!$A$15:$A$24,$B2279)</f>
        <v>2034</v>
      </c>
      <c r="B2279">
        <v>10</v>
      </c>
      <c r="C2279" t="str">
        <f>IF(AND(A2279&gt;=SETTINGS!$B$4,A2279&lt;=SETTINGS!$B$5),"Yes","No")</f>
        <v>No</v>
      </c>
      <c r="D2279" t="str">
        <f>IFERROR(INDEX(SETTINGS!$C$15:$C$24,MATCH(A2279,SETTINGS!$A$15:$A$24,0)),"No")</f>
        <v>No</v>
      </c>
      <c r="E2279">
        <v>12</v>
      </c>
      <c r="F2279" t="s">
        <v>45</v>
      </c>
      <c r="G2279">
        <v>292</v>
      </c>
      <c r="H2279" t="s">
        <v>110</v>
      </c>
      <c r="I2279" t="s">
        <v>30</v>
      </c>
      <c r="J2279" t="s">
        <v>31</v>
      </c>
      <c r="K2279" t="s">
        <v>3</v>
      </c>
      <c r="L2279" s="36">
        <f ca="1">IF(C2279&lt;&gt;"Yes",0,IF(A2279=2025,N('2025'!D292),IF(A2279=2026,N('2026'!D292),IF(A2279=2027,N('2027'!D292),IF(A2279=2028,N('2028'!D292),IF(A2279=2029,N('2029'!D292),IF(A2279=2030,N('2030'!D292),IF(A2279=2031,N('2031'!D292),IF(A2279=2032,N('2032'!D292),IF(A2279=2033,N('2033'!D292),IF(A2279=2034,N('2034'!D292),IFERROR(N(INDIRECT("'"&amp;A2279&amp;"'!D"&amp;G2279)),0))))))))))))</f>
        <v>0</v>
      </c>
      <c r="M2279" s="36">
        <f>IFERROR(IF(NOT(ISBLANK(KPI_TARGETS!$P$21)),KPI_TARGETS!$P$21,IF(NOT(ISBLANK(KPI_TARGETS!$F$21)),KPI_TARGETS!$F$21,"")),"")</f>
        <v>0</v>
      </c>
      <c r="N2279" s="36" t="str">
        <f>IFERROR(KPI_TARGETS!$E$21,"Higher is better")</f>
        <v>Lower is better</v>
      </c>
      <c r="O2279" s="37">
        <f t="shared" ca="1" si="210"/>
        <v>1</v>
      </c>
      <c r="P2279" t="str">
        <f t="shared" ca="1" si="211"/>
        <v>Green</v>
      </c>
      <c r="Q2279" s="36">
        <f t="shared" ca="1" si="212"/>
        <v>0</v>
      </c>
      <c r="R2279" s="36" t="str">
        <f>""</f>
        <v/>
      </c>
      <c r="S2279" s="36" t="str">
        <f>""</f>
        <v/>
      </c>
      <c r="T2279" s="36" t="str">
        <f>""</f>
        <v/>
      </c>
      <c r="U2279" s="36" t="str">
        <f>""</f>
        <v/>
      </c>
      <c r="V2279" s="36" t="str">
        <f>""</f>
        <v/>
      </c>
      <c r="W2279" s="36">
        <f t="shared" si="213"/>
        <v>1</v>
      </c>
      <c r="X2279" t="str">
        <f t="shared" si="214"/>
        <v>Inactive</v>
      </c>
      <c r="Y2279" t="str">
        <f>IF(MAIN!$H$3="Selected Year",IF(A2279=MAIN!$B$3,"Yes","No"),IF(MAIN!$H$3="Included Years",IF(D2279="Yes","Yes","No"),IF(C2279="Yes","Yes","No")))</f>
        <v>No</v>
      </c>
      <c r="Z2279" t="str">
        <f>IF(MAIN!$F$3="Project to Date",IF(AND(A2279&gt;=SETTINGS!$B$4,A2279&lt;MAIN!$B$3),"Yes",IF(AND(A2279=MAIN!$B$3,E2279&lt;=MAIN!$L$3),"Yes","No")),IF(OR(MAIN!$F$3="Full Year",MAIN!$D$3="All"),"Yes",IF(MAIN!$F$3="Monthly",IF(E2279=MAIN!$L$3,"Yes","No"),IF(E2279&lt;=MAIN!$L$3,"Yes","No"))))</f>
        <v>Yes</v>
      </c>
      <c r="AA2279" t="str">
        <f t="shared" si="215"/>
        <v>No</v>
      </c>
    </row>
    <row r="2280" spans="1:27" x14ac:dyDescent="0.3">
      <c r="A2280">
        <f>INDEX(SETTINGS!$A$15:$A$24,$B2280)</f>
        <v>2034</v>
      </c>
      <c r="B2280">
        <v>10</v>
      </c>
      <c r="C2280" t="str">
        <f>IF(AND(A2280&gt;=SETTINGS!$B$4,A2280&lt;=SETTINGS!$B$5),"Yes","No")</f>
        <v>No</v>
      </c>
      <c r="D2280" t="str">
        <f>IFERROR(INDEX(SETTINGS!$C$15:$C$24,MATCH(A2280,SETTINGS!$A$15:$A$24,0)),"No")</f>
        <v>No</v>
      </c>
      <c r="E2280">
        <v>12</v>
      </c>
      <c r="F2280" t="s">
        <v>45</v>
      </c>
      <c r="G2280">
        <v>293</v>
      </c>
      <c r="H2280" t="s">
        <v>111</v>
      </c>
      <c r="I2280" t="s">
        <v>30</v>
      </c>
      <c r="J2280" t="s">
        <v>32</v>
      </c>
      <c r="K2280" t="s">
        <v>3</v>
      </c>
      <c r="L2280" s="36">
        <f ca="1">IF(C2280&lt;&gt;"Yes",0,IF(A2280=2025,N('2025'!D293),IF(A2280=2026,N('2026'!D293),IF(A2280=2027,N('2027'!D293),IF(A2280=2028,N('2028'!D293),IF(A2280=2029,N('2029'!D293),IF(A2280=2030,N('2030'!D293),IF(A2280=2031,N('2031'!D293),IF(A2280=2032,N('2032'!D293),IF(A2280=2033,N('2033'!D293),IF(A2280=2034,N('2034'!D293),IFERROR(N(INDIRECT("'"&amp;A2280&amp;"'!D"&amp;G2280)),0))))))))))))</f>
        <v>0</v>
      </c>
      <c r="M2280" s="36">
        <f>IFERROR(IF(NOT(ISBLANK(KPI_TARGETS!$P$22)),KPI_TARGETS!$P$22,IF(NOT(ISBLANK(KPI_TARGETS!$F$22)),KPI_TARGETS!$F$22,"")),"")</f>
        <v>1</v>
      </c>
      <c r="N2280" s="36" t="str">
        <f>IFERROR(KPI_TARGETS!$E$22,"Higher is better")</f>
        <v>Higher is better</v>
      </c>
      <c r="O2280" s="37">
        <f t="shared" ca="1" si="210"/>
        <v>0</v>
      </c>
      <c r="P2280" t="str">
        <f t="shared" ca="1" si="211"/>
        <v>Red</v>
      </c>
      <c r="Q2280" s="36">
        <f t="shared" ca="1" si="212"/>
        <v>-1</v>
      </c>
      <c r="R2280" s="36" t="str">
        <f>""</f>
        <v/>
      </c>
      <c r="S2280" s="36" t="str">
        <f>""</f>
        <v/>
      </c>
      <c r="T2280" s="36" t="str">
        <f>""</f>
        <v/>
      </c>
      <c r="U2280" s="36" t="str">
        <f>""</f>
        <v/>
      </c>
      <c r="V2280" s="36" t="str">
        <f>""</f>
        <v/>
      </c>
      <c r="W2280" s="36">
        <f t="shared" si="213"/>
        <v>1</v>
      </c>
      <c r="X2280" t="str">
        <f t="shared" si="214"/>
        <v>Inactive</v>
      </c>
      <c r="Y2280" t="str">
        <f>IF(MAIN!$H$3="Selected Year",IF(A2280=MAIN!$B$3,"Yes","No"),IF(MAIN!$H$3="Included Years",IF(D2280="Yes","Yes","No"),IF(C2280="Yes","Yes","No")))</f>
        <v>No</v>
      </c>
      <c r="Z2280" t="str">
        <f>IF(MAIN!$F$3="Project to Date",IF(AND(A2280&gt;=SETTINGS!$B$4,A2280&lt;MAIN!$B$3),"Yes",IF(AND(A2280=MAIN!$B$3,E2280&lt;=MAIN!$L$3),"Yes","No")),IF(OR(MAIN!$F$3="Full Year",MAIN!$D$3="All"),"Yes",IF(MAIN!$F$3="Monthly",IF(E2280=MAIN!$L$3,"Yes","No"),IF(E2280&lt;=MAIN!$L$3,"Yes","No"))))</f>
        <v>Yes</v>
      </c>
      <c r="AA2280" t="str">
        <f t="shared" si="215"/>
        <v>No</v>
      </c>
    </row>
    <row r="2281" spans="1:27" x14ac:dyDescent="0.3">
      <c r="A2281">
        <f>INDEX(SETTINGS!$A$15:$A$24,$B2281)</f>
        <v>2034</v>
      </c>
      <c r="B2281">
        <v>10</v>
      </c>
      <c r="C2281" t="str">
        <f>IF(AND(A2281&gt;=SETTINGS!$B$4,A2281&lt;=SETTINGS!$B$5),"Yes","No")</f>
        <v>No</v>
      </c>
      <c r="D2281" t="str">
        <f>IFERROR(INDEX(SETTINGS!$C$15:$C$24,MATCH(A2281,SETTINGS!$A$15:$A$24,0)),"No")</f>
        <v>No</v>
      </c>
      <c r="E2281">
        <v>12</v>
      </c>
      <c r="F2281" t="s">
        <v>45</v>
      </c>
      <c r="G2281">
        <v>294</v>
      </c>
      <c r="H2281" t="s">
        <v>112</v>
      </c>
      <c r="I2281" t="s">
        <v>30</v>
      </c>
      <c r="J2281" t="s">
        <v>33</v>
      </c>
      <c r="K2281" t="s">
        <v>34</v>
      </c>
      <c r="L2281" s="36">
        <f ca="1">IF(C2281&lt;&gt;"Yes",0,IF(A2281=2025,N('2025'!D294),IF(A2281=2026,N('2026'!D294),IF(A2281=2027,N('2027'!D294),IF(A2281=2028,N('2028'!D294),IF(A2281=2029,N('2029'!D294),IF(A2281=2030,N('2030'!D294),IF(A2281=2031,N('2031'!D294),IF(A2281=2032,N('2032'!D294),IF(A2281=2033,N('2033'!D294),IF(A2281=2034,N('2034'!D294),IFERROR(N(INDIRECT("'"&amp;A2281&amp;"'!D"&amp;G2281)),0))))))))))))</f>
        <v>0</v>
      </c>
      <c r="M2281" s="36">
        <f>IFERROR(IF(NOT(ISBLANK(KPI_TARGETS!$P$23)),KPI_TARGETS!$P$23,IF(NOT(ISBLANK(KPI_TARGETS!$F$23)),KPI_TARGETS!$F$23,"")),"")</f>
        <v>1</v>
      </c>
      <c r="N2281" s="36" t="str">
        <f>IFERROR(KPI_TARGETS!$E$23,"Higher is better")</f>
        <v>Higher is better</v>
      </c>
      <c r="O2281" s="37">
        <f t="shared" ca="1" si="210"/>
        <v>0</v>
      </c>
      <c r="P2281" t="str">
        <f t="shared" ca="1" si="211"/>
        <v>Red</v>
      </c>
      <c r="Q2281" s="36">
        <f t="shared" ca="1" si="212"/>
        <v>-1</v>
      </c>
      <c r="R2281" s="36" t="str">
        <f>""</f>
        <v/>
      </c>
      <c r="S2281" s="36" t="str">
        <f>""</f>
        <v/>
      </c>
      <c r="T2281" s="36" t="str">
        <f>""</f>
        <v/>
      </c>
      <c r="U2281" s="36" t="str">
        <f>""</f>
        <v/>
      </c>
      <c r="V2281" s="36" t="str">
        <f>""</f>
        <v/>
      </c>
      <c r="W2281" s="36">
        <f t="shared" si="213"/>
        <v>1</v>
      </c>
      <c r="X2281" t="str">
        <f t="shared" si="214"/>
        <v>Inactive</v>
      </c>
      <c r="Y2281" t="str">
        <f>IF(MAIN!$H$3="Selected Year",IF(A2281=MAIN!$B$3,"Yes","No"),IF(MAIN!$H$3="Included Years",IF(D2281="Yes","Yes","No"),IF(C2281="Yes","Yes","No")))</f>
        <v>No</v>
      </c>
      <c r="Z2281" t="str">
        <f>IF(MAIN!$F$3="Project to Date",IF(AND(A2281&gt;=SETTINGS!$B$4,A2281&lt;MAIN!$B$3),"Yes",IF(AND(A2281=MAIN!$B$3,E2281&lt;=MAIN!$L$3),"Yes","No")),IF(OR(MAIN!$F$3="Full Year",MAIN!$D$3="All"),"Yes",IF(MAIN!$F$3="Monthly",IF(E2281=MAIN!$L$3,"Yes","No"),IF(E2281&lt;=MAIN!$L$3,"Yes","No"))))</f>
        <v>Yes</v>
      </c>
      <c r="AA2281" t="str">
        <f t="shared" si="215"/>
        <v>No</v>
      </c>
    </row>
  </sheetData>
  <conditionalFormatting sqref="P2:P2281">
    <cfRule type="containsText" dxfId="13" priority="1" operator="containsText" text="Green"/>
    <cfRule type="containsText" dxfId="12" priority="2" operator="containsText" text="Amber"/>
    <cfRule type="containsText" dxfId="11" priority="3" operator="containsText" text="Red"/>
    <cfRule type="containsText" dxfId="10" priority="4" operator="containsText" text="Target Needed"/>
    <cfRule type="containsText" dxfId="9" priority="5" operator="containsText" text="Ready"/>
    <cfRule type="containsText" dxfId="8" priority="6" operator="containsText" text="Default Only"/>
    <cfRule type="containsText" dxfId="7" priority="7" operator="containsText" text="Missing target"/>
  </conditionalFormatting>
  <conditionalFormatting sqref="X2:X2281">
    <cfRule type="containsText" dxfId="6" priority="8" operator="containsText" text="Green"/>
    <cfRule type="containsText" dxfId="5" priority="9" operator="containsText" text="Amber"/>
    <cfRule type="containsText" dxfId="4" priority="10" operator="containsText" text="Red"/>
    <cfRule type="containsText" dxfId="3" priority="11" operator="containsText" text="Target Needed"/>
    <cfRule type="containsText" dxfId="2" priority="12" operator="containsText" text="Ready"/>
    <cfRule type="containsText" dxfId="1" priority="13" operator="containsText" text="Default Only"/>
    <cfRule type="containsText" dxfId="0" priority="14" operator="containsText" text="Missing target"/>
  </conditionalFormatting>
  <pageMargins left="0.7" right="0.7" top="0.75" bottom="0.75" header="0.3" footer="0.3"/>
  <ignoredErrors>
    <ignoredError sqref="H2:H228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34998626667073579"/>
  </sheetPr>
  <dimension ref="A1:H24"/>
  <sheetViews>
    <sheetView showGridLines="0" workbookViewId="0">
      <selection sqref="A1:H1"/>
    </sheetView>
  </sheetViews>
  <sheetFormatPr defaultRowHeight="14.4" x14ac:dyDescent="0.3"/>
  <cols>
    <col min="1" max="1" width="23.5546875" customWidth="1"/>
    <col min="2" max="5" width="19.5546875" customWidth="1"/>
  </cols>
  <sheetData>
    <row r="1" spans="1:8" ht="23.4" x14ac:dyDescent="0.3">
      <c r="A1" s="67" t="s">
        <v>229</v>
      </c>
      <c r="B1" s="67" t="s">
        <v>229</v>
      </c>
      <c r="C1" s="67" t="s">
        <v>229</v>
      </c>
      <c r="D1" s="67" t="s">
        <v>229</v>
      </c>
      <c r="E1" s="67" t="s">
        <v>229</v>
      </c>
      <c r="F1" s="67" t="s">
        <v>229</v>
      </c>
      <c r="G1" s="67" t="s">
        <v>229</v>
      </c>
      <c r="H1" s="67" t="s">
        <v>229</v>
      </c>
    </row>
    <row r="2" spans="1:8" x14ac:dyDescent="0.3">
      <c r="A2" s="68" t="s">
        <v>230</v>
      </c>
      <c r="B2" s="68" t="s">
        <v>230</v>
      </c>
      <c r="C2" s="68" t="s">
        <v>230</v>
      </c>
      <c r="D2" s="68" t="s">
        <v>230</v>
      </c>
      <c r="E2" s="68" t="s">
        <v>230</v>
      </c>
      <c r="F2" s="68" t="s">
        <v>230</v>
      </c>
      <c r="G2" s="68" t="s">
        <v>230</v>
      </c>
      <c r="H2" s="68" t="s">
        <v>230</v>
      </c>
    </row>
    <row r="4" spans="1:8" x14ac:dyDescent="0.3">
      <c r="A4" s="7" t="s">
        <v>231</v>
      </c>
      <c r="B4" s="8">
        <v>2025</v>
      </c>
      <c r="D4" s="91" t="s">
        <v>232</v>
      </c>
      <c r="E4" s="91"/>
      <c r="F4" s="91"/>
      <c r="G4" s="91"/>
      <c r="H4" s="91"/>
    </row>
    <row r="5" spans="1:8" x14ac:dyDescent="0.3">
      <c r="A5" s="9" t="s">
        <v>233</v>
      </c>
      <c r="B5" s="10">
        <v>2026</v>
      </c>
      <c r="D5" s="91" t="s">
        <v>234</v>
      </c>
      <c r="E5" s="91"/>
      <c r="F5" s="91"/>
      <c r="G5" s="91"/>
      <c r="H5" s="91"/>
    </row>
    <row r="6" spans="1:8" x14ac:dyDescent="0.3">
      <c r="A6" s="9" t="s">
        <v>235</v>
      </c>
      <c r="B6" s="10">
        <v>2026</v>
      </c>
      <c r="D6" s="91" t="s">
        <v>236</v>
      </c>
      <c r="E6" s="91"/>
      <c r="F6" s="91"/>
      <c r="G6" s="91"/>
      <c r="H6" s="91"/>
    </row>
    <row r="7" spans="1:8" x14ac:dyDescent="0.3">
      <c r="A7" s="9" t="s">
        <v>237</v>
      </c>
      <c r="B7" s="10" t="s">
        <v>2</v>
      </c>
      <c r="D7" s="91" t="s">
        <v>238</v>
      </c>
      <c r="E7" s="91"/>
      <c r="F7" s="91"/>
      <c r="G7" s="91"/>
      <c r="H7" s="91"/>
    </row>
    <row r="8" spans="1:8" x14ac:dyDescent="0.3">
      <c r="A8" s="9" t="s">
        <v>239</v>
      </c>
      <c r="B8" s="10" t="s">
        <v>50</v>
      </c>
      <c r="D8" s="91" t="s">
        <v>240</v>
      </c>
      <c r="E8" s="91"/>
      <c r="F8" s="91"/>
      <c r="G8" s="91"/>
      <c r="H8" s="91"/>
    </row>
    <row r="9" spans="1:8" x14ac:dyDescent="0.3">
      <c r="A9" s="9" t="s">
        <v>241</v>
      </c>
      <c r="B9" s="10" t="s">
        <v>52</v>
      </c>
      <c r="D9" s="91" t="s">
        <v>242</v>
      </c>
      <c r="E9" s="91"/>
      <c r="F9" s="91"/>
      <c r="G9" s="91"/>
      <c r="H9" s="91"/>
    </row>
    <row r="10" spans="1:8" x14ac:dyDescent="0.3">
      <c r="A10" s="11" t="s">
        <v>243</v>
      </c>
      <c r="B10" s="12" t="s">
        <v>54</v>
      </c>
      <c r="D10" s="91" t="s">
        <v>244</v>
      </c>
      <c r="E10" s="91"/>
      <c r="F10" s="91"/>
      <c r="G10" s="91"/>
      <c r="H10" s="91"/>
    </row>
    <row r="14" spans="1:8" x14ac:dyDescent="0.3">
      <c r="A14" s="3" t="s">
        <v>0</v>
      </c>
      <c r="B14" s="3" t="s">
        <v>147</v>
      </c>
      <c r="C14" s="3" t="s">
        <v>245</v>
      </c>
      <c r="D14" s="3" t="s">
        <v>246</v>
      </c>
      <c r="E14" s="3" t="s">
        <v>247</v>
      </c>
    </row>
    <row r="15" spans="1:8" x14ac:dyDescent="0.3">
      <c r="A15">
        <f>$B$4+0</f>
        <v>2025</v>
      </c>
      <c r="B15" t="str">
        <f t="shared" ref="B15:B24" si="0">IF(AND(A15&gt;=$B$4,A15&lt;=$B$5),"Yes","No")</f>
        <v>Yes</v>
      </c>
      <c r="C15" t="s">
        <v>132</v>
      </c>
      <c r="D15">
        <f t="shared" ref="D15:D24" si="1">A15</f>
        <v>2025</v>
      </c>
      <c r="E15" t="str">
        <f ca="1">IF(B15&lt;&gt;"Yes","Inactive",IF(COUNTIFS(KPI_DATA!$A$2:$A$2281,A15,KPI_DATA!$L$2:$L$2281,"&gt;0")&gt;0,"Data entered","No data yet"))</f>
        <v>Data entered</v>
      </c>
    </row>
    <row r="16" spans="1:8" x14ac:dyDescent="0.3">
      <c r="A16">
        <f>$B$4+1</f>
        <v>2026</v>
      </c>
      <c r="B16" t="str">
        <f t="shared" si="0"/>
        <v>Yes</v>
      </c>
      <c r="C16" t="s">
        <v>132</v>
      </c>
      <c r="D16">
        <f t="shared" si="1"/>
        <v>2026</v>
      </c>
      <c r="E16" t="str">
        <f ca="1">IF(B16&lt;&gt;"Yes","Inactive",IF(COUNTIFS(KPI_DATA!$A$2:$A$2281,A16,KPI_DATA!$L$2:$L$2281,"&gt;0")&gt;0,"Data entered","No data yet"))</f>
        <v>Data entered</v>
      </c>
    </row>
    <row r="17" spans="1:5" x14ac:dyDescent="0.3">
      <c r="A17">
        <f>$B$4+2</f>
        <v>2027</v>
      </c>
      <c r="B17" t="str">
        <f t="shared" si="0"/>
        <v>No</v>
      </c>
      <c r="C17" t="s">
        <v>135</v>
      </c>
      <c r="D17">
        <f t="shared" si="1"/>
        <v>2027</v>
      </c>
      <c r="E17" t="str">
        <f>IF(B17&lt;&gt;"Yes","Inactive",IF(COUNTIFS(KPI_DATA!$A$2:$A$2281,A17,KPI_DATA!$L$2:$L$2281,"&gt;0")&gt;0,"Data entered","No data yet"))</f>
        <v>Inactive</v>
      </c>
    </row>
    <row r="18" spans="1:5" x14ac:dyDescent="0.3">
      <c r="A18">
        <f>$B$4+3</f>
        <v>2028</v>
      </c>
      <c r="B18" t="str">
        <f t="shared" si="0"/>
        <v>No</v>
      </c>
      <c r="C18" t="s">
        <v>135</v>
      </c>
      <c r="D18">
        <f t="shared" si="1"/>
        <v>2028</v>
      </c>
      <c r="E18" t="str">
        <f>IF(B18&lt;&gt;"Yes","Inactive",IF(COUNTIFS(KPI_DATA!$A$2:$A$2281,A18,KPI_DATA!$L$2:$L$2281,"&gt;0")&gt;0,"Data entered","No data yet"))</f>
        <v>Inactive</v>
      </c>
    </row>
    <row r="19" spans="1:5" x14ac:dyDescent="0.3">
      <c r="A19">
        <f>$B$4+4</f>
        <v>2029</v>
      </c>
      <c r="B19" t="str">
        <f t="shared" si="0"/>
        <v>No</v>
      </c>
      <c r="C19" t="s">
        <v>135</v>
      </c>
      <c r="D19">
        <f t="shared" si="1"/>
        <v>2029</v>
      </c>
      <c r="E19" t="str">
        <f>IF(B19&lt;&gt;"Yes","Inactive",IF(COUNTIFS(KPI_DATA!$A$2:$A$2281,A19,KPI_DATA!$L$2:$L$2281,"&gt;0")&gt;0,"Data entered","No data yet"))</f>
        <v>Inactive</v>
      </c>
    </row>
    <row r="20" spans="1:5" x14ac:dyDescent="0.3">
      <c r="A20">
        <f>$B$4+5</f>
        <v>2030</v>
      </c>
      <c r="B20" t="str">
        <f t="shared" si="0"/>
        <v>No</v>
      </c>
      <c r="C20" t="s">
        <v>135</v>
      </c>
      <c r="D20">
        <f t="shared" si="1"/>
        <v>2030</v>
      </c>
      <c r="E20" t="str">
        <f>IF(B20&lt;&gt;"Yes","Inactive",IF(COUNTIFS(KPI_DATA!$A$2:$A$2281,A20,KPI_DATA!$L$2:$L$2281,"&gt;0")&gt;0,"Data entered","No data yet"))</f>
        <v>Inactive</v>
      </c>
    </row>
    <row r="21" spans="1:5" x14ac:dyDescent="0.3">
      <c r="A21">
        <f>$B$4+6</f>
        <v>2031</v>
      </c>
      <c r="B21" t="str">
        <f t="shared" si="0"/>
        <v>No</v>
      </c>
      <c r="C21" t="s">
        <v>135</v>
      </c>
      <c r="D21">
        <f t="shared" si="1"/>
        <v>2031</v>
      </c>
      <c r="E21" t="str">
        <f>IF(B21&lt;&gt;"Yes","Inactive",IF(COUNTIFS(KPI_DATA!$A$2:$A$2281,A21,KPI_DATA!$L$2:$L$2281,"&gt;0")&gt;0,"Data entered","No data yet"))</f>
        <v>Inactive</v>
      </c>
    </row>
    <row r="22" spans="1:5" x14ac:dyDescent="0.3">
      <c r="A22">
        <f>$B$4+7</f>
        <v>2032</v>
      </c>
      <c r="B22" t="str">
        <f t="shared" si="0"/>
        <v>No</v>
      </c>
      <c r="C22" t="s">
        <v>135</v>
      </c>
      <c r="D22">
        <f t="shared" si="1"/>
        <v>2032</v>
      </c>
      <c r="E22" t="str">
        <f>IF(B22&lt;&gt;"Yes","Inactive",IF(COUNTIFS(KPI_DATA!$A$2:$A$2281,A22,KPI_DATA!$L$2:$L$2281,"&gt;0")&gt;0,"Data entered","No data yet"))</f>
        <v>Inactive</v>
      </c>
    </row>
    <row r="23" spans="1:5" x14ac:dyDescent="0.3">
      <c r="A23">
        <f>$B$4+8</f>
        <v>2033</v>
      </c>
      <c r="B23" t="str">
        <f t="shared" si="0"/>
        <v>No</v>
      </c>
      <c r="C23" t="s">
        <v>135</v>
      </c>
      <c r="D23">
        <f t="shared" si="1"/>
        <v>2033</v>
      </c>
      <c r="E23" t="str">
        <f>IF(B23&lt;&gt;"Yes","Inactive",IF(COUNTIFS(KPI_DATA!$A$2:$A$2281,A23,KPI_DATA!$L$2:$L$2281,"&gt;0")&gt;0,"Data entered","No data yet"))</f>
        <v>Inactive</v>
      </c>
    </row>
    <row r="24" spans="1:5" x14ac:dyDescent="0.3">
      <c r="A24">
        <f>$B$4+9</f>
        <v>2034</v>
      </c>
      <c r="B24" t="str">
        <f t="shared" si="0"/>
        <v>No</v>
      </c>
      <c r="C24" t="s">
        <v>135</v>
      </c>
      <c r="D24">
        <f t="shared" si="1"/>
        <v>2034</v>
      </c>
      <c r="E24" t="str">
        <f>IF(B24&lt;&gt;"Yes","Inactive",IF(COUNTIFS(KPI_DATA!$A$2:$A$2281,A24,KPI_DATA!$L$2:$L$2281,"&gt;0")&gt;0,"Data entered","No data yet"))</f>
        <v>Inactive</v>
      </c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dataValidations count="1">
    <dataValidation type="whole" sqref="B4:B6" xr:uid="{00000000-0002-0000-0E00-000000000000}">
      <formula1>2020</formula1>
      <formula2>2050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E00-000001000000}">
          <x14:formula1>
            <xm:f>LISTS!$B$3:$B$14</xm:f>
          </x14:formula1>
          <xm:sqref>B7</xm:sqref>
        </x14:dataValidation>
        <x14:dataValidation type="list" xr:uid="{00000000-0002-0000-0E00-000002000000}">
          <x14:formula1>
            <xm:f>LISTS!$E$2:$E$5</xm:f>
          </x14:formula1>
          <xm:sqref>B8</xm:sqref>
        </x14:dataValidation>
        <x14:dataValidation type="list" xr:uid="{00000000-0002-0000-0E00-000003000000}">
          <x14:formula1>
            <xm:f>LISTS!$F$2:$F$4</xm:f>
          </x14:formula1>
          <xm:sqref>B9</xm:sqref>
        </x14:dataValidation>
        <x14:dataValidation type="list" xr:uid="{00000000-0002-0000-0E00-000004000000}">
          <x14:formula1>
            <xm:f>LISTS!$C$2:$C$6</xm:f>
          </x14:formula1>
          <xm:sqref>B10</xm:sqref>
        </x14:dataValidation>
        <x14:dataValidation type="list" xr:uid="{00000000-0002-0000-0E00-000005000000}">
          <x14:formula1>
            <xm:f>LISTS!$D$2:$D$3</xm:f>
          </x14:formula1>
          <xm:sqref>C15:C24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</sheetPr>
  <dimension ref="A1:F25"/>
  <sheetViews>
    <sheetView showGridLines="0" workbookViewId="0">
      <selection sqref="A1:F1"/>
    </sheetView>
  </sheetViews>
  <sheetFormatPr defaultRowHeight="14.4" x14ac:dyDescent="0.3"/>
  <cols>
    <col min="1" max="1" width="17.44140625" customWidth="1"/>
    <col min="2" max="2" width="31" customWidth="1"/>
    <col min="3" max="3" width="55.88671875" customWidth="1"/>
    <col min="4" max="4" width="28.88671875" customWidth="1"/>
  </cols>
  <sheetData>
    <row r="1" spans="1:6" ht="23.4" x14ac:dyDescent="0.3">
      <c r="A1" s="67" t="s">
        <v>155</v>
      </c>
      <c r="B1" s="67" t="s">
        <v>155</v>
      </c>
      <c r="C1" s="67" t="s">
        <v>155</v>
      </c>
      <c r="D1" s="67" t="s">
        <v>155</v>
      </c>
      <c r="E1" s="67" t="s">
        <v>155</v>
      </c>
      <c r="F1" s="67" t="s">
        <v>155</v>
      </c>
    </row>
    <row r="2" spans="1:6" x14ac:dyDescent="0.3">
      <c r="A2" s="68" t="s">
        <v>156</v>
      </c>
      <c r="B2" s="68" t="s">
        <v>156</v>
      </c>
      <c r="C2" s="68" t="s">
        <v>156</v>
      </c>
      <c r="D2" s="68" t="s">
        <v>156</v>
      </c>
      <c r="E2" s="68" t="s">
        <v>156</v>
      </c>
      <c r="F2" s="68" t="s">
        <v>156</v>
      </c>
    </row>
    <row r="4" spans="1:6" x14ac:dyDescent="0.3">
      <c r="A4" s="40" t="s">
        <v>157</v>
      </c>
      <c r="B4" s="41" t="s">
        <v>158</v>
      </c>
      <c r="C4" s="41" t="s">
        <v>159</v>
      </c>
      <c r="D4" s="42" t="s">
        <v>160</v>
      </c>
    </row>
    <row r="5" spans="1:6" ht="28.8" customHeight="1" x14ac:dyDescent="0.3">
      <c r="A5" s="23" t="s">
        <v>161</v>
      </c>
      <c r="B5" s="24" t="s">
        <v>162</v>
      </c>
      <c r="C5" s="24" t="s">
        <v>163</v>
      </c>
      <c r="D5" s="25" t="s">
        <v>164</v>
      </c>
    </row>
    <row r="6" spans="1:6" ht="28.8" customHeight="1" x14ac:dyDescent="0.3">
      <c r="A6" s="23" t="s">
        <v>165</v>
      </c>
      <c r="B6" s="24" t="s">
        <v>166</v>
      </c>
      <c r="C6" s="24" t="s">
        <v>167</v>
      </c>
      <c r="D6" s="25" t="s">
        <v>168</v>
      </c>
    </row>
    <row r="7" spans="1:6" ht="28.8" x14ac:dyDescent="0.3">
      <c r="A7" s="23" t="s">
        <v>169</v>
      </c>
      <c r="B7" s="24" t="s">
        <v>142</v>
      </c>
      <c r="C7" s="24" t="s">
        <v>170</v>
      </c>
      <c r="D7" s="25" t="s">
        <v>168</v>
      </c>
    </row>
    <row r="8" spans="1:6" ht="28.8" x14ac:dyDescent="0.3">
      <c r="A8" s="23" t="s">
        <v>171</v>
      </c>
      <c r="B8" s="24" t="s">
        <v>172</v>
      </c>
      <c r="C8" s="24" t="s">
        <v>173</v>
      </c>
      <c r="D8" s="25" t="s">
        <v>168</v>
      </c>
    </row>
    <row r="9" spans="1:6" ht="28.8" x14ac:dyDescent="0.3">
      <c r="A9" s="23" t="s">
        <v>174</v>
      </c>
      <c r="B9" s="24" t="s">
        <v>175</v>
      </c>
      <c r="C9" s="24" t="s">
        <v>176</v>
      </c>
      <c r="D9" s="25" t="s">
        <v>177</v>
      </c>
    </row>
    <row r="10" spans="1:6" ht="28.8" x14ac:dyDescent="0.3">
      <c r="A10" s="23" t="s">
        <v>178</v>
      </c>
      <c r="B10" s="24" t="s">
        <v>179</v>
      </c>
      <c r="C10" s="24" t="s">
        <v>180</v>
      </c>
      <c r="D10" s="25" t="s">
        <v>181</v>
      </c>
    </row>
    <row r="11" spans="1:6" ht="28.8" x14ac:dyDescent="0.3">
      <c r="A11" s="23" t="s">
        <v>182</v>
      </c>
      <c r="B11" s="24" t="s">
        <v>183</v>
      </c>
      <c r="C11" s="24" t="s">
        <v>184</v>
      </c>
      <c r="D11" s="25" t="s">
        <v>185</v>
      </c>
    </row>
    <row r="12" spans="1:6" ht="28.8" x14ac:dyDescent="0.3">
      <c r="A12" s="23" t="s">
        <v>186</v>
      </c>
      <c r="B12" s="24" t="s">
        <v>187</v>
      </c>
      <c r="C12" s="24" t="s">
        <v>188</v>
      </c>
      <c r="D12" s="25" t="s">
        <v>168</v>
      </c>
    </row>
    <row r="13" spans="1:6" ht="28.8" x14ac:dyDescent="0.3">
      <c r="A13" s="23" t="s">
        <v>189</v>
      </c>
      <c r="B13" s="24" t="s">
        <v>190</v>
      </c>
      <c r="C13" s="24" t="s">
        <v>191</v>
      </c>
      <c r="D13" s="25" t="s">
        <v>192</v>
      </c>
    </row>
    <row r="14" spans="1:6" ht="28.8" x14ac:dyDescent="0.3">
      <c r="A14" s="23" t="s">
        <v>193</v>
      </c>
      <c r="B14" s="24" t="s">
        <v>194</v>
      </c>
      <c r="C14" s="24" t="s">
        <v>195</v>
      </c>
      <c r="D14" s="25" t="s">
        <v>196</v>
      </c>
    </row>
    <row r="15" spans="1:6" ht="28.8" customHeight="1" x14ac:dyDescent="0.3">
      <c r="A15" s="23" t="s">
        <v>197</v>
      </c>
      <c r="B15" s="24" t="s">
        <v>198</v>
      </c>
      <c r="C15" s="24" t="s">
        <v>199</v>
      </c>
      <c r="D15" s="25" t="s">
        <v>168</v>
      </c>
    </row>
    <row r="16" spans="1:6" ht="28.8" customHeight="1" x14ac:dyDescent="0.3">
      <c r="A16" s="23" t="s">
        <v>200</v>
      </c>
      <c r="B16" s="24" t="s">
        <v>201</v>
      </c>
      <c r="C16" s="24" t="s">
        <v>202</v>
      </c>
      <c r="D16" s="25" t="s">
        <v>177</v>
      </c>
    </row>
    <row r="17" spans="1:4" ht="28.8" customHeight="1" x14ac:dyDescent="0.3">
      <c r="A17" s="23" t="s">
        <v>203</v>
      </c>
      <c r="B17" s="24" t="s">
        <v>204</v>
      </c>
      <c r="C17" s="24" t="s">
        <v>205</v>
      </c>
      <c r="D17" s="25" t="s">
        <v>177</v>
      </c>
    </row>
    <row r="18" spans="1:4" ht="28.8" x14ac:dyDescent="0.3">
      <c r="A18" s="23" t="s">
        <v>206</v>
      </c>
      <c r="B18" s="24" t="s">
        <v>207</v>
      </c>
      <c r="C18" s="24" t="s">
        <v>208</v>
      </c>
      <c r="D18" s="25" t="s">
        <v>209</v>
      </c>
    </row>
    <row r="19" spans="1:4" x14ac:dyDescent="0.3">
      <c r="A19" s="23" t="s">
        <v>210</v>
      </c>
      <c r="B19" s="24" t="s">
        <v>211</v>
      </c>
      <c r="C19" s="24" t="s">
        <v>212</v>
      </c>
      <c r="D19" s="25" t="s">
        <v>213</v>
      </c>
    </row>
    <row r="20" spans="1:4" ht="28.8" x14ac:dyDescent="0.3">
      <c r="A20" s="26" t="s">
        <v>214</v>
      </c>
      <c r="B20" s="27" t="s">
        <v>215</v>
      </c>
      <c r="C20" s="27" t="s">
        <v>216</v>
      </c>
      <c r="D20" s="28" t="s">
        <v>196</v>
      </c>
    </row>
    <row r="21" spans="1:4" ht="18" customHeight="1" x14ac:dyDescent="0.3"/>
    <row r="22" spans="1:4" ht="18" customHeight="1" x14ac:dyDescent="0.3"/>
    <row r="23" spans="1:4" ht="18" customHeight="1" x14ac:dyDescent="0.3"/>
    <row r="24" spans="1:4" ht="18" customHeight="1" x14ac:dyDescent="0.3"/>
    <row r="25" spans="1:4" ht="18" customHeight="1" x14ac:dyDescent="0.3"/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MAIN</vt:lpstr>
      <vt:lpstr>DASHBOARD</vt:lpstr>
      <vt:lpstr>YEAR_COMPARISON</vt:lpstr>
      <vt:lpstr>2026</vt:lpstr>
      <vt:lpstr>2025</vt:lpstr>
      <vt:lpstr>LISTS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KPI_TARGETS</vt:lpstr>
      <vt:lpstr>KPI_DATA</vt:lpstr>
      <vt:lpstr>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samer.ali@taamgroup.com</dc:creator>
  <cp:lastModifiedBy>Samer Ali</cp:lastModifiedBy>
  <dcterms:modified xsi:type="dcterms:W3CDTF">2026-05-19T08:46:05Z</dcterms:modified>
</cp:coreProperties>
</file>